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iaEPS/Shared Documents/Completed EPS Variables/bldgs/bldgs/FoBObE/"/>
    </mc:Choice>
  </mc:AlternateContent>
  <xr:revisionPtr revIDLastSave="20" documentId="13_ncr:1_{C25E6845-8B46-4453-B4A1-40359D1440C5}" xr6:coauthVersionLast="47" xr6:coauthVersionMax="47" xr10:uidLastSave="{97198D70-4A93-48FD-B55D-29EBD4EE3455}"/>
  <bookViews>
    <workbookView xWindow="-38520" yWindow="-5880" windowWidth="38640" windowHeight="21120" activeTab="2" xr2:uid="{00000000-000D-0000-FFFF-FFFF00000000}"/>
  </bookViews>
  <sheets>
    <sheet name="About" sheetId="1" r:id="rId1"/>
    <sheet name="Commercial Bldngs" sheetId="5" r:id="rId2"/>
    <sheet name="FoBObE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5" l="1"/>
  <c r="J22" i="5" s="1"/>
  <c r="C38" i="5"/>
  <c r="B38" i="5"/>
  <c r="D51" i="5"/>
  <c r="C41" i="5"/>
  <c r="B41" i="5"/>
  <c r="D46" i="5"/>
  <c r="I37" i="5"/>
  <c r="D40" i="5"/>
  <c r="D39" i="5"/>
  <c r="D37" i="5"/>
  <c r="C35" i="5"/>
  <c r="B35" i="5"/>
  <c r="C27" i="5"/>
  <c r="D36" i="5"/>
  <c r="D38" i="5" s="1"/>
  <c r="D34" i="5"/>
  <c r="D33" i="5"/>
  <c r="D32" i="5"/>
  <c r="D31" i="5"/>
  <c r="I34" i="5"/>
  <c r="B27" i="5"/>
  <c r="D26" i="5"/>
  <c r="D25" i="5"/>
  <c r="D24" i="5"/>
  <c r="D23" i="5"/>
  <c r="D22" i="5"/>
  <c r="D21" i="5"/>
  <c r="D27" i="5" s="1"/>
  <c r="D17" i="5"/>
  <c r="D12" i="5"/>
  <c r="C7" i="5"/>
  <c r="D5" i="5"/>
  <c r="D6" i="5"/>
  <c r="D4" i="5"/>
  <c r="D7" i="5" s="1"/>
  <c r="B7" i="5"/>
  <c r="D41" i="5" l="1"/>
  <c r="D35" i="5"/>
  <c r="I4" i="5" s="1"/>
  <c r="I3" i="5"/>
  <c r="I2" i="5"/>
  <c r="J3" i="5" l="1"/>
  <c r="J5" i="5" s="1"/>
  <c r="D2" i="4" s="1"/>
  <c r="J4" i="5"/>
  <c r="J6" i="5" s="1"/>
  <c r="D3" i="4" s="1"/>
  <c r="C3" i="4" l="1"/>
  <c r="C2" i="4"/>
  <c r="C4" i="4"/>
</calcChain>
</file>

<file path=xl/sharedStrings.xml><?xml version="1.0" encoding="utf-8"?>
<sst xmlns="http://schemas.openxmlformats.org/spreadsheetml/2006/main" count="147" uniqueCount="113">
  <si>
    <t>FoBObE Fraction of Buildings Owned by Entity</t>
  </si>
  <si>
    <t>Sources:</t>
  </si>
  <si>
    <t>Commercial Building Sub-categories</t>
  </si>
  <si>
    <t>Govt. and Private School shares</t>
  </si>
  <si>
    <t>Kumar et. Al</t>
  </si>
  <si>
    <t>CARE Ratings</t>
  </si>
  <si>
    <t>Estimating India’s commercial building stock to address the energy data challenge</t>
  </si>
  <si>
    <t xml:space="preserve">Share of Govt. and Private Schools </t>
  </si>
  <si>
    <t>https://www.tandfonline.com/doi/full/10.1080/09613218.2018.1515304</t>
  </si>
  <si>
    <t>http://www.careratings.com/upload/NewsFiles/Studies/Overview%20of%20the%20Indian%20Education%20Industry%20June%202018.pdf</t>
  </si>
  <si>
    <t>Tables 2-8, pp 11-12</t>
  </si>
  <si>
    <t>Chart 2</t>
  </si>
  <si>
    <t>Journal - Building Research &amp; Information (Taylor &amp; Francis)</t>
  </si>
  <si>
    <t>Govt. and Pvt. Sector Banking shares</t>
  </si>
  <si>
    <t>Govt. and Private Higher Education Institution shares</t>
  </si>
  <si>
    <t>India Brand Equity Foundation</t>
  </si>
  <si>
    <t>Ministry of Human Resource Development</t>
  </si>
  <si>
    <t>2020-21</t>
  </si>
  <si>
    <t>Banking Sector in India</t>
  </si>
  <si>
    <t>All India Survey on Higher Education (AISHE)</t>
  </si>
  <si>
    <t>https://www.ibef.org/industry/banking-india.aspx</t>
  </si>
  <si>
    <t>http://aishe.nic.in/aishe/viewDocument.action;jsessionid=2EC24AA673CAA0B15C890D961B1FDE1C?documentId=245</t>
  </si>
  <si>
    <t>'Market Size' section; Snapshot Tab</t>
  </si>
  <si>
    <t>Figure 2.1.2(a), p8; Sec 2.1.3, p10</t>
  </si>
  <si>
    <t>Notes</t>
  </si>
  <si>
    <t>Fraction of buildings owned by cash flow entity is used in cash flow calculations.</t>
  </si>
  <si>
    <t>There is no official data available on building ownership in India.</t>
  </si>
  <si>
    <t>Commercial:</t>
  </si>
  <si>
    <t xml:space="preserve">We refer to a study (Kumar et. al) that develops a bottom-up framework to classify the commercial </t>
  </si>
  <si>
    <t xml:space="preserve">buildings by sub-categories which provides an estimate of govt. vs. private ownership. For schools and </t>
  </si>
  <si>
    <t xml:space="preserve">higher-ed institutions, share of govt. and pvt. floorspace is estimated using relative shares of </t>
  </si>
  <si>
    <t>the number of schools, colleges, and stand-alone institutions reported by CARE ratings and</t>
  </si>
  <si>
    <t xml:space="preserve">government surveys (MoHRD). </t>
  </si>
  <si>
    <t>For share of govt. vs. private in banking and financial services, we use the breakdown</t>
  </si>
  <si>
    <t>in IBEF's industry snapshots.</t>
  </si>
  <si>
    <t>We assume that all transit stations are owned by govt., and places of assembly (e.g. worship)</t>
  </si>
  <si>
    <t>by private entities. In the absence of suitable data, we assume that retail and restaurant</t>
  </si>
  <si>
    <t>spaces are owned by private entities (even though there may be a small share that is govt. run).</t>
  </si>
  <si>
    <r>
      <rPr>
        <b/>
        <sz val="11"/>
        <color theme="1"/>
        <rFont val="Calibri"/>
        <family val="2"/>
        <scheme val="minor"/>
      </rPr>
      <t xml:space="preserve">Residential: </t>
    </r>
    <r>
      <rPr>
        <sz val="11"/>
        <color theme="1"/>
        <rFont val="Calibri"/>
        <family val="2"/>
        <scheme val="minor"/>
      </rPr>
      <t>We assume that all commercially-run residential buildings are registered legally</t>
    </r>
  </si>
  <si>
    <t xml:space="preserve">for commercial electricity connection categories and hence accounted within commercial buildings. </t>
  </si>
  <si>
    <t>Hence, we assume that residential buildings are fully consumer-owned.</t>
  </si>
  <si>
    <t>In the output tab, we show more decimal places in order to avoid rounding error in Vensim</t>
  </si>
  <si>
    <t>(each column must add to 1).</t>
  </si>
  <si>
    <t>In the absence of energy vs. nonenergy industries breakdown for India, we use the relative</t>
  </si>
  <si>
    <t xml:space="preserve">shares from the US estimates i.e. a total ~5% for energy industries is subtracted from the current </t>
  </si>
  <si>
    <t xml:space="preserve">combined share of govt. and private ownership. This 5% is then distributed evenly between </t>
  </si>
  <si>
    <t>the fuel and electricity suppliers.</t>
  </si>
  <si>
    <t>Table 2. Hospitals: floor area, 2017</t>
  </si>
  <si>
    <t>(million m2)</t>
  </si>
  <si>
    <t>%</t>
  </si>
  <si>
    <t>Total floor area (million m2)</t>
  </si>
  <si>
    <t xml:space="preserve">Total commercial floor space </t>
  </si>
  <si>
    <t>Building subcategory</t>
  </si>
  <si>
    <t>Min</t>
  </si>
  <si>
    <t>Max</t>
  </si>
  <si>
    <t>Avg</t>
  </si>
  <si>
    <t>government</t>
  </si>
  <si>
    <t>Government urban hospitals</t>
  </si>
  <si>
    <t>private</t>
  </si>
  <si>
    <t>Government rural hospitals</t>
  </si>
  <si>
    <t>gov</t>
  </si>
  <si>
    <t>&lt;-- After subtracting 0.05 for energy industries</t>
  </si>
  <si>
    <t>Pvt. Hospitals</t>
  </si>
  <si>
    <t>Total</t>
  </si>
  <si>
    <t>Table 3. Hotels and restaurants: floor area, 2017</t>
  </si>
  <si>
    <t>Table 4. Retail: floor area, 2017</t>
  </si>
  <si>
    <t>Table 5. Offices: floor area, 2017</t>
  </si>
  <si>
    <t>Banking sub-sectors</t>
  </si>
  <si>
    <t>No. of Banks</t>
  </si>
  <si>
    <t>Information Tech</t>
  </si>
  <si>
    <t>Public sector</t>
  </si>
  <si>
    <t>Govt.</t>
  </si>
  <si>
    <t>Banking, Services, Finance, Insurance</t>
  </si>
  <si>
    <t>Pvt. Sector</t>
  </si>
  <si>
    <t>Pvt.</t>
  </si>
  <si>
    <t>Central govt.</t>
  </si>
  <si>
    <t>Foreign</t>
  </si>
  <si>
    <t>State govt.</t>
  </si>
  <si>
    <t>Regional rural</t>
  </si>
  <si>
    <t>Quasi govt.</t>
  </si>
  <si>
    <t>Local bodies</t>
  </si>
  <si>
    <t>Source: IBEF (cooperatives not included)</t>
  </si>
  <si>
    <t>Table 6. Institutions: floor area, 2017</t>
  </si>
  <si>
    <t>Share of govt. schools</t>
  </si>
  <si>
    <t>Share of pvt. Schools</t>
  </si>
  <si>
    <t>Primary</t>
  </si>
  <si>
    <t>Source: CARE Ratings</t>
  </si>
  <si>
    <t>Upper Primary</t>
  </si>
  <si>
    <t>2020-2021</t>
  </si>
  <si>
    <t>Secondary</t>
  </si>
  <si>
    <t>Share of pvt. Colleges</t>
  </si>
  <si>
    <t>Higher Secondary</t>
  </si>
  <si>
    <t>Share of govt. colleges</t>
  </si>
  <si>
    <t>Total - Schools</t>
  </si>
  <si>
    <t>Rural College</t>
  </si>
  <si>
    <t>Share of pvt. Standalone inst.</t>
  </si>
  <si>
    <t>Urban College</t>
  </si>
  <si>
    <t>Share of govt. Standalone inst.</t>
  </si>
  <si>
    <t>Total - Colleges</t>
  </si>
  <si>
    <t xml:space="preserve">Source: AISHE </t>
  </si>
  <si>
    <t>Institutes of National Importance</t>
  </si>
  <si>
    <t>Stand-alone institutions</t>
  </si>
  <si>
    <t>Total - Institutions</t>
  </si>
  <si>
    <t>Table 7. Assembly places: floor area, 2017</t>
  </si>
  <si>
    <t>Table 8. Transit stations: floor area, 2017</t>
  </si>
  <si>
    <t>Source - Kumar et. Al</t>
  </si>
  <si>
    <t>Ownership by Cash Flow Entity (dimensionless)</t>
  </si>
  <si>
    <t>Urban Residential</t>
  </si>
  <si>
    <t>Rural Residential</t>
  </si>
  <si>
    <t>Commercial</t>
  </si>
  <si>
    <t>domestic industries</t>
  </si>
  <si>
    <t>labor and consumers</t>
  </si>
  <si>
    <t>foreign entities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</si>
</sst>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1" fillId="2" borderId="0" xfId="0" applyFont="1" applyFill="1"/>
    <xf numFmtId="0" fontId="1" fillId="0" borderId="0" xfId="0" applyFont="1" applyAlignment="1">
      <alignment horizontal="right"/>
    </xf>
    <xf numFmtId="165" fontId="0" fillId="0" borderId="0" xfId="0" applyNumberFormat="1"/>
    <xf numFmtId="0" fontId="0" fillId="0" borderId="0" xfId="0" applyAlignment="1">
      <alignment horizontal="center"/>
    </xf>
    <xf numFmtId="0" fontId="2" fillId="0" borderId="0" xfId="1" applyFill="1"/>
    <xf numFmtId="164" fontId="0" fillId="0" borderId="0" xfId="0" applyNumberFormat="1"/>
    <xf numFmtId="0" fontId="0" fillId="0" borderId="0" xfId="0" quotePrefix="1"/>
    <xf numFmtId="0" fontId="0" fillId="0" borderId="11" xfId="0" applyBorder="1"/>
    <xf numFmtId="0" fontId="1" fillId="0" borderId="11" xfId="0" applyFont="1" applyBorder="1"/>
    <xf numFmtId="0" fontId="1" fillId="0" borderId="11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1" fillId="0" borderId="8" xfId="0" applyFont="1" applyBorder="1" applyAlignment="1">
      <alignment horizontal="center"/>
    </xf>
    <xf numFmtId="0" fontId="0" fillId="0" borderId="12" xfId="0" applyBorder="1"/>
    <xf numFmtId="0" fontId="1" fillId="4" borderId="0" xfId="0" applyFont="1" applyFill="1"/>
    <xf numFmtId="0" fontId="0" fillId="4" borderId="0" xfId="0" applyFill="1"/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1" fillId="0" borderId="10" xfId="0" applyFont="1" applyBorder="1"/>
    <xf numFmtId="0" fontId="0" fillId="0" borderId="14" xfId="0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0" borderId="0" xfId="0" applyFont="1"/>
    <xf numFmtId="165" fontId="0" fillId="0" borderId="11" xfId="0" applyNumberFormat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0" fontId="1" fillId="0" borderId="0" xfId="0" applyFont="1" applyAlignment="1">
      <alignment wrapText="1"/>
    </xf>
    <xf numFmtId="166" fontId="0" fillId="0" borderId="0" xfId="0" applyNumberFormat="1"/>
    <xf numFmtId="0" fontId="4" fillId="0" borderId="0" xfId="0" applyFont="1"/>
    <xf numFmtId="10" fontId="5" fillId="0" borderId="0" xfId="0" applyNumberFormat="1" applyFont="1"/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" xfId="0" applyBorder="1" applyAlignment="1"/>
    <xf numFmtId="0" fontId="0" fillId="0" borderId="2" xfId="0" applyBorder="1" applyAlignment="1"/>
    <xf numFmtId="0" fontId="0" fillId="0" borderId="4" xfId="0" applyBorder="1" applyAlignment="1"/>
    <xf numFmtId="0" fontId="0" fillId="0" borderId="0" xfId="0" applyAlignment="1"/>
    <xf numFmtId="0" fontId="0" fillId="0" borderId="6" xfId="0" applyBorder="1" applyAlignment="1"/>
    <xf numFmtId="0" fontId="0" fillId="0" borderId="7" xfId="0" applyBorder="1" applyAlignment="1"/>
    <xf numFmtId="0" fontId="1" fillId="0" borderId="11" xfId="0" applyFont="1" applyBorder="1" applyAlignment="1"/>
    <xf numFmtId="0" fontId="0" fillId="0" borderId="11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ibef.org/industry/banking-india.aspx" TargetMode="External"/><Relationship Id="rId1" Type="http://schemas.openxmlformats.org/officeDocument/2006/relationships/hyperlink" Target="http://aishe.nic.in/aishe/viewDocument.action;jsessionid=2EC24AA673CAA0B15C890D961B1FDE1C?documentId=2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opLeftCell="A40" workbookViewId="0">
      <selection activeCell="B10" sqref="B10"/>
    </sheetView>
  </sheetViews>
  <sheetFormatPr defaultRowHeight="14.45"/>
  <cols>
    <col min="1" max="1" width="11.7109375" customWidth="1"/>
    <col min="2" max="2" width="72.140625" customWidth="1"/>
    <col min="3" max="3" width="10.28515625" customWidth="1"/>
    <col min="4" max="4" width="68.5703125" customWidth="1"/>
  </cols>
  <sheetData>
    <row r="1" spans="1:4">
      <c r="A1" s="1" t="s">
        <v>0</v>
      </c>
    </row>
    <row r="3" spans="1:4">
      <c r="A3" s="1" t="s">
        <v>1</v>
      </c>
      <c r="B3" s="4" t="s">
        <v>2</v>
      </c>
      <c r="C3" s="1"/>
      <c r="D3" s="4" t="s">
        <v>3</v>
      </c>
    </row>
    <row r="4" spans="1:4">
      <c r="B4" t="s">
        <v>4</v>
      </c>
      <c r="D4" t="s">
        <v>5</v>
      </c>
    </row>
    <row r="5" spans="1:4">
      <c r="B5" s="2">
        <v>2019</v>
      </c>
      <c r="C5" s="2"/>
      <c r="D5" s="2">
        <v>2017</v>
      </c>
    </row>
    <row r="6" spans="1:4">
      <c r="B6" t="s">
        <v>6</v>
      </c>
      <c r="D6" t="s">
        <v>7</v>
      </c>
    </row>
    <row r="7" spans="1:4">
      <c r="B7" s="3" t="s">
        <v>8</v>
      </c>
      <c r="C7" s="8"/>
      <c r="D7" t="s">
        <v>9</v>
      </c>
    </row>
    <row r="8" spans="1:4">
      <c r="B8" t="s">
        <v>10</v>
      </c>
      <c r="D8" t="s">
        <v>11</v>
      </c>
    </row>
    <row r="9" spans="1:4">
      <c r="B9" t="s">
        <v>12</v>
      </c>
      <c r="D9" s="39"/>
    </row>
    <row r="10" spans="1:4">
      <c r="B10" s="39"/>
    </row>
    <row r="11" spans="1:4">
      <c r="B11" s="4" t="s">
        <v>13</v>
      </c>
      <c r="C11" s="1"/>
      <c r="D11" s="4" t="s">
        <v>14</v>
      </c>
    </row>
    <row r="12" spans="1:4">
      <c r="B12" t="s">
        <v>15</v>
      </c>
      <c r="D12" t="s">
        <v>16</v>
      </c>
    </row>
    <row r="13" spans="1:4">
      <c r="B13" s="2">
        <v>2019</v>
      </c>
      <c r="C13" s="2"/>
      <c r="D13" s="2" t="s">
        <v>17</v>
      </c>
    </row>
    <row r="14" spans="1:4">
      <c r="B14" t="s">
        <v>18</v>
      </c>
      <c r="D14" t="s">
        <v>19</v>
      </c>
    </row>
    <row r="15" spans="1:4">
      <c r="B15" s="3" t="s">
        <v>20</v>
      </c>
      <c r="C15" s="3"/>
      <c r="D15" s="3" t="s">
        <v>21</v>
      </c>
    </row>
    <row r="16" spans="1:4">
      <c r="B16" s="10" t="s">
        <v>22</v>
      </c>
      <c r="D16" t="s">
        <v>23</v>
      </c>
    </row>
    <row r="17" spans="1:4">
      <c r="D17" s="39"/>
    </row>
    <row r="18" spans="1:4">
      <c r="A18" s="1" t="s">
        <v>24</v>
      </c>
    </row>
    <row r="19" spans="1:4">
      <c r="A19" t="s">
        <v>25</v>
      </c>
    </row>
    <row r="21" spans="1:4">
      <c r="A21" t="s">
        <v>26</v>
      </c>
    </row>
    <row r="22" spans="1:4">
      <c r="A22" s="1" t="s">
        <v>27</v>
      </c>
    </row>
    <row r="23" spans="1:4">
      <c r="A23" t="s">
        <v>28</v>
      </c>
    </row>
    <row r="24" spans="1:4">
      <c r="A24" t="s">
        <v>29</v>
      </c>
    </row>
    <row r="25" spans="1:4">
      <c r="A25" t="s">
        <v>30</v>
      </c>
    </row>
    <row r="26" spans="1:4">
      <c r="A26" t="s">
        <v>31</v>
      </c>
    </row>
    <row r="27" spans="1:4">
      <c r="A27" t="s">
        <v>32</v>
      </c>
    </row>
    <row r="28" spans="1:4">
      <c r="A28" t="s">
        <v>33</v>
      </c>
    </row>
    <row r="29" spans="1:4">
      <c r="A29" t="s">
        <v>34</v>
      </c>
    </row>
    <row r="31" spans="1:4">
      <c r="A31" t="s">
        <v>35</v>
      </c>
    </row>
    <row r="32" spans="1:4">
      <c r="A32" t="s">
        <v>36</v>
      </c>
    </row>
    <row r="33" spans="1:1">
      <c r="A33" t="s">
        <v>37</v>
      </c>
    </row>
    <row r="35" spans="1:1">
      <c r="A35" t="s">
        <v>38</v>
      </c>
    </row>
    <row r="36" spans="1:1">
      <c r="A36" t="s">
        <v>39</v>
      </c>
    </row>
    <row r="37" spans="1:1">
      <c r="A37" t="s">
        <v>40</v>
      </c>
    </row>
    <row r="39" spans="1:1">
      <c r="A39" t="s">
        <v>41</v>
      </c>
    </row>
    <row r="40" spans="1:1">
      <c r="A40" t="s">
        <v>42</v>
      </c>
    </row>
    <row r="42" spans="1:1">
      <c r="A42" t="s">
        <v>43</v>
      </c>
    </row>
    <row r="43" spans="1:1">
      <c r="A43" t="s">
        <v>44</v>
      </c>
    </row>
    <row r="44" spans="1:1">
      <c r="A44" t="s">
        <v>45</v>
      </c>
    </row>
    <row r="45" spans="1:1">
      <c r="A45" t="s">
        <v>46</v>
      </c>
    </row>
  </sheetData>
  <hyperlinks>
    <hyperlink ref="D15" r:id="rId1" xr:uid="{4B3A677C-EF39-475C-A2A5-60DD387918C4}"/>
    <hyperlink ref="B15" r:id="rId2" xr:uid="{4A5073BB-D408-4597-961E-B8D3844D3789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D178A-CA05-44CE-9F19-FF60E33CF1A6}">
  <dimension ref="A1:K53"/>
  <sheetViews>
    <sheetView topLeftCell="B1" zoomScale="80" zoomScaleNormal="80" workbookViewId="0">
      <selection activeCell="J6" sqref="J6"/>
    </sheetView>
  </sheetViews>
  <sheetFormatPr defaultRowHeight="14.45"/>
  <cols>
    <col min="1" max="1" width="34.140625" customWidth="1"/>
    <col min="7" max="7" width="13.42578125" customWidth="1"/>
    <col min="8" max="8" width="19.140625" customWidth="1"/>
    <col min="9" max="9" width="15" customWidth="1"/>
  </cols>
  <sheetData>
    <row r="1" spans="1:11">
      <c r="A1" s="18" t="s">
        <v>47</v>
      </c>
      <c r="I1" s="24" t="s">
        <v>48</v>
      </c>
      <c r="J1" s="24" t="s">
        <v>49</v>
      </c>
    </row>
    <row r="2" spans="1:11">
      <c r="B2" s="41" t="s">
        <v>50</v>
      </c>
      <c r="C2" s="42"/>
      <c r="D2" s="43"/>
      <c r="F2" s="44" t="s">
        <v>51</v>
      </c>
      <c r="G2" s="45"/>
      <c r="H2" s="45"/>
      <c r="I2" s="30">
        <f>SUM(D7,D12,D17,D27,D35,D38,D41,D46,D51)</f>
        <v>1107.45</v>
      </c>
      <c r="J2" s="20"/>
    </row>
    <row r="3" spans="1:11">
      <c r="A3" s="12" t="s">
        <v>52</v>
      </c>
      <c r="B3" s="13" t="s">
        <v>53</v>
      </c>
      <c r="C3" s="13" t="s">
        <v>54</v>
      </c>
      <c r="D3" s="16" t="s">
        <v>55</v>
      </c>
      <c r="F3" s="46" t="s">
        <v>56</v>
      </c>
      <c r="G3" s="47"/>
      <c r="H3" s="47"/>
      <c r="I3" s="31">
        <f>(D4+D5+D22*J21+D23+D24+D25+D26+D35*I29+D38*I34+D41*I37+D51)</f>
        <v>329.16355199346407</v>
      </c>
      <c r="J3" s="35">
        <f>I3/I2</f>
        <v>0.29722655830372846</v>
      </c>
    </row>
    <row r="4" spans="1:11">
      <c r="A4" s="14" t="s">
        <v>57</v>
      </c>
      <c r="B4" s="20">
        <v>26.9</v>
      </c>
      <c r="C4" s="20">
        <v>32.28</v>
      </c>
      <c r="D4" s="21">
        <f>AVERAGE(B4:C4)</f>
        <v>29.59</v>
      </c>
      <c r="F4" s="48" t="s">
        <v>58</v>
      </c>
      <c r="G4" s="49"/>
      <c r="H4" s="49"/>
      <c r="I4" s="32">
        <f>(D6+D12+D17+D21+D22*J22+D35*I30+D38*I33+D41*I36+D46)</f>
        <v>778.28644800653603</v>
      </c>
      <c r="J4" s="36">
        <f>I4/I2</f>
        <v>0.70277344169627165</v>
      </c>
    </row>
    <row r="5" spans="1:11">
      <c r="A5" s="14" t="s">
        <v>59</v>
      </c>
      <c r="B5" s="22">
        <v>7.59</v>
      </c>
      <c r="C5" s="22">
        <v>9.76</v>
      </c>
      <c r="D5" s="23">
        <f t="shared" ref="D5:D6" si="0">AVERAGE(B5:C5)</f>
        <v>8.6750000000000007</v>
      </c>
      <c r="I5" s="9" t="s">
        <v>60</v>
      </c>
      <c r="J5" s="6">
        <f>J3-0.025</f>
        <v>0.27222655830372844</v>
      </c>
      <c r="K5" t="s">
        <v>61</v>
      </c>
    </row>
    <row r="6" spans="1:11">
      <c r="A6" s="14" t="s">
        <v>62</v>
      </c>
      <c r="B6" s="22">
        <v>29.07</v>
      </c>
      <c r="C6" s="22">
        <v>33.22</v>
      </c>
      <c r="D6" s="23">
        <f t="shared" si="0"/>
        <v>31.145</v>
      </c>
      <c r="I6" t="s">
        <v>58</v>
      </c>
      <c r="J6" s="6">
        <f>J4-0.025</f>
        <v>0.67777344169627163</v>
      </c>
    </row>
    <row r="7" spans="1:11">
      <c r="A7" s="12" t="s">
        <v>63</v>
      </c>
      <c r="B7" s="24">
        <f>SUM(B4:B6)</f>
        <v>63.559999999999995</v>
      </c>
      <c r="C7" s="24">
        <f t="shared" ref="C7:D7" si="1">SUM(C4:C6)</f>
        <v>75.259999999999991</v>
      </c>
      <c r="D7" s="25">
        <f t="shared" si="1"/>
        <v>69.41</v>
      </c>
      <c r="J7" s="6"/>
    </row>
    <row r="8" spans="1:11">
      <c r="J8" s="6"/>
    </row>
    <row r="9" spans="1:11">
      <c r="A9" s="18" t="s">
        <v>64</v>
      </c>
      <c r="B9" s="19"/>
    </row>
    <row r="10" spans="1:11">
      <c r="B10" s="41" t="s">
        <v>50</v>
      </c>
      <c r="C10" s="42"/>
      <c r="D10" s="43"/>
    </row>
    <row r="11" spans="1:11">
      <c r="B11" s="13" t="s">
        <v>53</v>
      </c>
      <c r="C11" s="13" t="s">
        <v>54</v>
      </c>
      <c r="D11" s="16" t="s">
        <v>55</v>
      </c>
    </row>
    <row r="12" spans="1:11">
      <c r="A12" s="12" t="s">
        <v>63</v>
      </c>
      <c r="B12" s="24">
        <v>70.790000000000006</v>
      </c>
      <c r="C12" s="24">
        <v>133.03</v>
      </c>
      <c r="D12" s="25">
        <f>AVERAGE(B12:C12)</f>
        <v>101.91</v>
      </c>
    </row>
    <row r="14" spans="1:11">
      <c r="A14" s="18" t="s">
        <v>65</v>
      </c>
    </row>
    <row r="15" spans="1:11">
      <c r="B15" s="41" t="s">
        <v>50</v>
      </c>
      <c r="C15" s="42"/>
      <c r="D15" s="43"/>
    </row>
    <row r="16" spans="1:11">
      <c r="B16" s="13" t="s">
        <v>53</v>
      </c>
      <c r="C16" s="13" t="s">
        <v>54</v>
      </c>
      <c r="D16" s="16" t="s">
        <v>55</v>
      </c>
    </row>
    <row r="17" spans="1:10">
      <c r="A17" s="12" t="s">
        <v>63</v>
      </c>
      <c r="B17" s="24">
        <v>215.25</v>
      </c>
      <c r="C17" s="24">
        <v>308.52</v>
      </c>
      <c r="D17" s="25">
        <f>AVERAGE(B17:C17)</f>
        <v>261.88499999999999</v>
      </c>
    </row>
    <row r="19" spans="1:10">
      <c r="A19" s="18" t="s">
        <v>66</v>
      </c>
      <c r="B19" s="41" t="s">
        <v>50</v>
      </c>
      <c r="C19" s="42"/>
      <c r="D19" s="43"/>
    </row>
    <row r="20" spans="1:10">
      <c r="A20" s="12" t="s">
        <v>52</v>
      </c>
      <c r="B20" s="13" t="s">
        <v>53</v>
      </c>
      <c r="C20" s="13" t="s">
        <v>54</v>
      </c>
      <c r="D20" s="16" t="s">
        <v>55</v>
      </c>
      <c r="F20" s="50" t="s">
        <v>67</v>
      </c>
      <c r="G20" s="50"/>
      <c r="H20" s="12" t="s">
        <v>68</v>
      </c>
      <c r="J20" s="13" t="s">
        <v>49</v>
      </c>
    </row>
    <row r="21" spans="1:10">
      <c r="A21" s="17" t="s">
        <v>69</v>
      </c>
      <c r="B21" s="20">
        <v>73.8</v>
      </c>
      <c r="C21" s="20">
        <v>110</v>
      </c>
      <c r="D21" s="21">
        <f>AVERAGE(B21:C21)</f>
        <v>91.9</v>
      </c>
      <c r="F21" s="11" t="s">
        <v>70</v>
      </c>
      <c r="G21" s="11"/>
      <c r="H21" s="24">
        <v>27</v>
      </c>
      <c r="I21" s="11" t="s">
        <v>71</v>
      </c>
      <c r="J21" s="34">
        <f>(H21+H24)/SUM(H21:H24)</f>
        <v>0.54248366013071891</v>
      </c>
    </row>
    <row r="22" spans="1:10">
      <c r="A22" s="14" t="s">
        <v>72</v>
      </c>
      <c r="B22" s="22">
        <v>21</v>
      </c>
      <c r="C22" s="22">
        <v>32</v>
      </c>
      <c r="D22" s="23">
        <f t="shared" ref="D22:D23" si="2">AVERAGE(B22:C22)</f>
        <v>26.5</v>
      </c>
      <c r="F22" s="11" t="s">
        <v>73</v>
      </c>
      <c r="G22" s="11"/>
      <c r="H22" s="24">
        <v>21</v>
      </c>
      <c r="I22" s="11" t="s">
        <v>74</v>
      </c>
      <c r="J22" s="34">
        <f>1-J21</f>
        <v>0.45751633986928109</v>
      </c>
    </row>
    <row r="23" spans="1:10">
      <c r="A23" s="14" t="s">
        <v>75</v>
      </c>
      <c r="B23" s="22">
        <v>24</v>
      </c>
      <c r="C23" s="22">
        <v>31.5</v>
      </c>
      <c r="D23" s="23">
        <f t="shared" si="2"/>
        <v>27.75</v>
      </c>
      <c r="F23" s="11" t="s">
        <v>76</v>
      </c>
      <c r="G23" s="11"/>
      <c r="H23" s="24">
        <v>49</v>
      </c>
    </row>
    <row r="24" spans="1:10">
      <c r="A24" s="14" t="s">
        <v>77</v>
      </c>
      <c r="B24" s="22">
        <v>65</v>
      </c>
      <c r="C24" s="22">
        <v>80.400000000000006</v>
      </c>
      <c r="D24" s="23">
        <f>AVERAGE(B24:C24)</f>
        <v>72.7</v>
      </c>
      <c r="F24" s="11" t="s">
        <v>78</v>
      </c>
      <c r="G24" s="11"/>
      <c r="H24" s="24">
        <v>56</v>
      </c>
    </row>
    <row r="25" spans="1:10">
      <c r="A25" s="14" t="s">
        <v>79</v>
      </c>
      <c r="B25" s="22">
        <v>44</v>
      </c>
      <c r="C25" s="22">
        <v>57</v>
      </c>
      <c r="D25" s="23">
        <f>AVERAGE(B25:C25)</f>
        <v>50.5</v>
      </c>
    </row>
    <row r="26" spans="1:10">
      <c r="A26" s="15" t="s">
        <v>80</v>
      </c>
      <c r="B26" s="27">
        <v>5.4</v>
      </c>
      <c r="C26" s="27">
        <v>10</v>
      </c>
      <c r="D26" s="23">
        <f>AVERAGE(B26:C26)</f>
        <v>7.7</v>
      </c>
      <c r="F26" s="33" t="s">
        <v>81</v>
      </c>
    </row>
    <row r="27" spans="1:10">
      <c r="A27" s="26" t="s">
        <v>63</v>
      </c>
      <c r="B27" s="24">
        <f>SUM(B21:B26)</f>
        <v>233.20000000000002</v>
      </c>
      <c r="C27" s="24">
        <f t="shared" ref="C27:D27" si="3">SUM(C21:C26)</f>
        <v>320.89999999999998</v>
      </c>
      <c r="D27" s="28">
        <f t="shared" si="3"/>
        <v>277.05</v>
      </c>
    </row>
    <row r="29" spans="1:10">
      <c r="A29" s="18" t="s">
        <v>82</v>
      </c>
      <c r="B29" s="41" t="s">
        <v>50</v>
      </c>
      <c r="C29" s="42"/>
      <c r="D29" s="43"/>
      <c r="G29" s="51" t="s">
        <v>83</v>
      </c>
      <c r="H29" s="51"/>
      <c r="I29" s="24">
        <v>0.76200000000000001</v>
      </c>
    </row>
    <row r="30" spans="1:10">
      <c r="A30" s="12" t="s">
        <v>52</v>
      </c>
      <c r="B30" s="13" t="s">
        <v>53</v>
      </c>
      <c r="C30" s="13" t="s">
        <v>54</v>
      </c>
      <c r="D30" s="16" t="s">
        <v>55</v>
      </c>
      <c r="G30" s="51" t="s">
        <v>84</v>
      </c>
      <c r="H30" s="51"/>
      <c r="I30" s="24">
        <v>0.23799999999999999</v>
      </c>
    </row>
    <row r="31" spans="1:10">
      <c r="A31" s="17" t="s">
        <v>85</v>
      </c>
      <c r="B31" s="30">
        <v>5.08</v>
      </c>
      <c r="C31" s="30">
        <v>5.42</v>
      </c>
      <c r="D31" s="30">
        <f>AVERAGE(B31:C31)</f>
        <v>5.25</v>
      </c>
      <c r="G31" s="33" t="s">
        <v>86</v>
      </c>
      <c r="I31" s="7"/>
    </row>
    <row r="32" spans="1:10">
      <c r="A32" s="14" t="s">
        <v>87</v>
      </c>
      <c r="B32" s="31">
        <v>5.12</v>
      </c>
      <c r="C32" s="31">
        <v>5.27</v>
      </c>
      <c r="D32" s="31">
        <f t="shared" ref="D32:D33" si="4">AVERAGE(B32:C32)</f>
        <v>5.1950000000000003</v>
      </c>
      <c r="I32" s="7"/>
      <c r="J32" t="s">
        <v>88</v>
      </c>
    </row>
    <row r="33" spans="1:10">
      <c r="A33" s="14" t="s">
        <v>89</v>
      </c>
      <c r="B33" s="31">
        <v>35.99</v>
      </c>
      <c r="C33" s="31">
        <v>36.380000000000003</v>
      </c>
      <c r="D33" s="31">
        <f t="shared" si="4"/>
        <v>36.185000000000002</v>
      </c>
      <c r="G33" s="51" t="s">
        <v>90</v>
      </c>
      <c r="H33" s="51"/>
      <c r="I33" s="24">
        <v>0.78</v>
      </c>
      <c r="J33" s="40">
        <v>0.78600000000000003</v>
      </c>
    </row>
    <row r="34" spans="1:10">
      <c r="A34" s="14" t="s">
        <v>91</v>
      </c>
      <c r="B34" s="32">
        <v>68.89</v>
      </c>
      <c r="C34" s="32">
        <v>69.260000000000005</v>
      </c>
      <c r="D34" s="32">
        <f>AVERAGE(B34:C34)</f>
        <v>69.075000000000003</v>
      </c>
      <c r="G34" s="51" t="s">
        <v>92</v>
      </c>
      <c r="H34" s="51"/>
      <c r="I34" s="24">
        <f>1-I33</f>
        <v>0.21999999999999997</v>
      </c>
      <c r="J34" s="40">
        <v>0.214</v>
      </c>
    </row>
    <row r="35" spans="1:10">
      <c r="A35" s="12" t="s">
        <v>93</v>
      </c>
      <c r="B35" s="29">
        <f>SUM(B31:B34)</f>
        <v>115.08</v>
      </c>
      <c r="C35" s="24">
        <f t="shared" ref="C35:D35" si="5">SUM(C31:C34)</f>
        <v>116.33000000000001</v>
      </c>
      <c r="D35" s="28">
        <f t="shared" si="5"/>
        <v>115.70500000000001</v>
      </c>
      <c r="I35" s="7"/>
    </row>
    <row r="36" spans="1:10">
      <c r="A36" t="s">
        <v>94</v>
      </c>
      <c r="B36" s="20">
        <v>34.65</v>
      </c>
      <c r="C36" s="20">
        <v>46.2</v>
      </c>
      <c r="D36" s="20">
        <f>AVERAGE(B36:C36)</f>
        <v>40.424999999999997</v>
      </c>
      <c r="G36" s="51" t="s">
        <v>95</v>
      </c>
      <c r="H36" s="51"/>
      <c r="I36" s="24">
        <v>0.755</v>
      </c>
      <c r="J36" s="40">
        <v>0.76160000000000005</v>
      </c>
    </row>
    <row r="37" spans="1:10">
      <c r="A37" t="s">
        <v>96</v>
      </c>
      <c r="B37" s="32">
        <v>30.8</v>
      </c>
      <c r="C37" s="32">
        <v>38.5</v>
      </c>
      <c r="D37" s="32">
        <f>AVERAGE(B37:C37)</f>
        <v>34.65</v>
      </c>
      <c r="G37" s="51" t="s">
        <v>97</v>
      </c>
      <c r="H37" s="51"/>
      <c r="I37" s="24">
        <f>1-I36</f>
        <v>0.245</v>
      </c>
      <c r="J37" s="40">
        <v>0.2384</v>
      </c>
    </row>
    <row r="38" spans="1:10">
      <c r="A38" s="26" t="s">
        <v>98</v>
      </c>
      <c r="B38" s="24">
        <f>SUM(B36:B37)</f>
        <v>65.45</v>
      </c>
      <c r="C38" s="24">
        <f t="shared" ref="C38:D38" si="6">SUM(C36:C37)</f>
        <v>84.7</v>
      </c>
      <c r="D38" s="28">
        <f t="shared" si="6"/>
        <v>75.074999999999989</v>
      </c>
      <c r="G38" s="33" t="s">
        <v>99</v>
      </c>
    </row>
    <row r="39" spans="1:10">
      <c r="A39" t="s">
        <v>100</v>
      </c>
      <c r="B39" s="20">
        <v>1.5</v>
      </c>
      <c r="C39" s="20">
        <v>1.88</v>
      </c>
      <c r="D39" s="20">
        <f>AVERAGE(B39:C39)</f>
        <v>1.69</v>
      </c>
    </row>
    <row r="40" spans="1:10">
      <c r="A40" t="s">
        <v>101</v>
      </c>
      <c r="B40" s="32">
        <v>6.14</v>
      </c>
      <c r="C40" s="32">
        <v>7.37</v>
      </c>
      <c r="D40" s="32">
        <f>AVERAGE(B40:C40)</f>
        <v>6.7549999999999999</v>
      </c>
    </row>
    <row r="41" spans="1:10">
      <c r="A41" s="26" t="s">
        <v>102</v>
      </c>
      <c r="B41" s="24">
        <f>SUM(B39:B40)</f>
        <v>7.64</v>
      </c>
      <c r="C41" s="24">
        <f t="shared" ref="C41:D41" si="7">SUM(C39:C40)</f>
        <v>9.25</v>
      </c>
      <c r="D41" s="28">
        <f t="shared" si="7"/>
        <v>8.4450000000000003</v>
      </c>
    </row>
    <row r="42" spans="1:10">
      <c r="B42" s="9"/>
      <c r="C42" s="9"/>
      <c r="D42" s="9"/>
    </row>
    <row r="43" spans="1:10">
      <c r="A43" s="18" t="s">
        <v>103</v>
      </c>
      <c r="B43" s="19"/>
    </row>
    <row r="44" spans="1:10">
      <c r="A44" s="1"/>
      <c r="B44" s="41" t="s">
        <v>50</v>
      </c>
      <c r="C44" s="42"/>
      <c r="D44" s="43"/>
    </row>
    <row r="45" spans="1:10">
      <c r="B45" s="13" t="s">
        <v>53</v>
      </c>
      <c r="C45" s="13" t="s">
        <v>54</v>
      </c>
      <c r="D45" s="16" t="s">
        <v>55</v>
      </c>
    </row>
    <row r="46" spans="1:10">
      <c r="A46" s="12" t="s">
        <v>63</v>
      </c>
      <c r="B46" s="24">
        <v>164.85</v>
      </c>
      <c r="C46" s="24">
        <v>208.85</v>
      </c>
      <c r="D46" s="25">
        <f>AVERAGE(B46:C46)</f>
        <v>186.85</v>
      </c>
    </row>
    <row r="48" spans="1:10">
      <c r="A48" s="18" t="s">
        <v>104</v>
      </c>
      <c r="B48" s="19"/>
    </row>
    <row r="49" spans="1:4">
      <c r="A49" s="1"/>
      <c r="B49" s="41" t="s">
        <v>50</v>
      </c>
      <c r="C49" s="42"/>
      <c r="D49" s="43"/>
    </row>
    <row r="50" spans="1:4">
      <c r="B50" s="13" t="s">
        <v>53</v>
      </c>
      <c r="C50" s="13" t="s">
        <v>54</v>
      </c>
      <c r="D50" s="16" t="s">
        <v>55</v>
      </c>
    </row>
    <row r="51" spans="1:4">
      <c r="A51" s="12" t="s">
        <v>63</v>
      </c>
      <c r="B51" s="24">
        <v>7.72</v>
      </c>
      <c r="C51" s="24">
        <v>14.52</v>
      </c>
      <c r="D51" s="25">
        <f>AVERAGE(B51:C51)</f>
        <v>11.12</v>
      </c>
    </row>
    <row r="53" spans="1:4">
      <c r="A53" s="33" t="s">
        <v>105</v>
      </c>
    </row>
  </sheetData>
  <mergeCells count="17">
    <mergeCell ref="B29:D29"/>
    <mergeCell ref="B44:D44"/>
    <mergeCell ref="B49:D49"/>
    <mergeCell ref="G29:H29"/>
    <mergeCell ref="G30:H30"/>
    <mergeCell ref="G33:H33"/>
    <mergeCell ref="G34:H34"/>
    <mergeCell ref="G36:H36"/>
    <mergeCell ref="G37:H37"/>
    <mergeCell ref="F2:H2"/>
    <mergeCell ref="F3:H3"/>
    <mergeCell ref="F4:H4"/>
    <mergeCell ref="F20:G20"/>
    <mergeCell ref="B2:D2"/>
    <mergeCell ref="B10:D10"/>
    <mergeCell ref="B15:D15"/>
    <mergeCell ref="B19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D11"/>
  <sheetViews>
    <sheetView tabSelected="1" workbookViewId="0">
      <selection activeCell="A6" sqref="A6:D10"/>
    </sheetView>
  </sheetViews>
  <sheetFormatPr defaultRowHeight="14.45"/>
  <cols>
    <col min="1" max="1" width="33.42578125" bestFit="1" customWidth="1"/>
    <col min="2" max="2" width="18.28515625" customWidth="1"/>
    <col min="3" max="3" width="19" customWidth="1"/>
    <col min="4" max="4" width="15.140625" customWidth="1"/>
  </cols>
  <sheetData>
    <row r="1" spans="1:4" ht="29.1">
      <c r="A1" s="37" t="s">
        <v>106</v>
      </c>
      <c r="B1" s="5" t="s">
        <v>107</v>
      </c>
      <c r="C1" s="5" t="s">
        <v>108</v>
      </c>
      <c r="D1" s="5" t="s">
        <v>109</v>
      </c>
    </row>
    <row r="2" spans="1:4">
      <c r="A2" t="s">
        <v>56</v>
      </c>
      <c r="B2" s="38">
        <v>0</v>
      </c>
      <c r="C2" s="38">
        <f>B2</f>
        <v>0</v>
      </c>
      <c r="D2" s="38">
        <f>'Commercial Bldngs'!J5</f>
        <v>0.27222655830372844</v>
      </c>
    </row>
    <row r="3" spans="1:4">
      <c r="A3" t="s">
        <v>110</v>
      </c>
      <c r="B3" s="38">
        <v>0</v>
      </c>
      <c r="C3" s="38">
        <f t="shared" ref="C3:C4" si="0">B3</f>
        <v>0</v>
      </c>
      <c r="D3" s="38">
        <f>'Commercial Bldngs'!J6</f>
        <v>0.67777344169627163</v>
      </c>
    </row>
    <row r="4" spans="1:4">
      <c r="A4" t="s">
        <v>111</v>
      </c>
      <c r="B4" s="38">
        <v>1</v>
      </c>
      <c r="C4" s="38">
        <f t="shared" si="0"/>
        <v>1</v>
      </c>
      <c r="D4" s="38">
        <v>0</v>
      </c>
    </row>
    <row r="5" spans="1:4">
      <c r="A5" t="s">
        <v>112</v>
      </c>
      <c r="B5" s="38">
        <v>0</v>
      </c>
      <c r="C5" s="38">
        <v>0</v>
      </c>
      <c r="D5" s="38">
        <v>0</v>
      </c>
    </row>
    <row r="6" spans="1:4">
      <c r="B6" s="38"/>
      <c r="C6" s="38"/>
      <c r="D6" s="38"/>
    </row>
    <row r="7" spans="1:4">
      <c r="B7" s="38"/>
      <c r="C7" s="38"/>
      <c r="D7" s="38"/>
    </row>
    <row r="8" spans="1:4">
      <c r="B8" s="38"/>
      <c r="C8" s="38"/>
      <c r="D8" s="38"/>
    </row>
    <row r="9" spans="1:4">
      <c r="B9" s="38"/>
      <c r="C9" s="38"/>
      <c r="D9" s="38"/>
    </row>
    <row r="10" spans="1:4">
      <c r="B10" s="38"/>
      <c r="C10" s="38"/>
      <c r="D10" s="38"/>
    </row>
    <row r="11" spans="1:4">
      <c r="D11" s="3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56B740-05F1-4948-A4B6-ED9D771E7C29}"/>
</file>

<file path=customXml/itemProps2.xml><?xml version="1.0" encoding="utf-8"?>
<ds:datastoreItem xmlns:ds="http://schemas.openxmlformats.org/officeDocument/2006/customXml" ds:itemID="{5BD73883-AA14-411C-8091-334521519C78}"/>
</file>

<file path=customXml/itemProps3.xml><?xml version="1.0" encoding="utf-8"?>
<ds:datastoreItem xmlns:ds="http://schemas.openxmlformats.org/officeDocument/2006/customXml" ds:itemID="{96F9B565-77E8-4829-A14E-9E0F7A60E0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EnergyInnovation.org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2014-04-17T21:40:42Z</dcterms:created>
  <dcterms:modified xsi:type="dcterms:W3CDTF">2024-07-02T05:15:52Z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