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onewri-my.sharepoint.com/personal/khushi_parakh_wri_org/Documents/Desktop/EPS update/current WIP/"/>
    </mc:Choice>
  </mc:AlternateContent>
  <xr:revisionPtr revIDLastSave="86" documentId="11_7A8A06D90558BE4790F1CA3A63B325264CD0A75C" xr6:coauthVersionLast="47" xr6:coauthVersionMax="47" xr10:uidLastSave="{AD52929C-97AD-4B31-B05E-ACBBF42DF1A0}"/>
  <bookViews>
    <workbookView xWindow="-110" yWindow="-110" windowWidth="19420" windowHeight="10300" activeTab="1" xr2:uid="{00000000-000D-0000-FFFF-FFFF00000000}"/>
  </bookViews>
  <sheets>
    <sheet name="About" sheetId="2" r:id="rId1"/>
    <sheet name="Calcs" sheetId="1" r:id="rId2"/>
    <sheet name="India Adjustment" sheetId="4" r:id="rId3"/>
    <sheet name="ICtPSFfL" sheetId="3" r:id="rId4"/>
  </sheets>
  <externalReferences>
    <externalReference r:id="rId5"/>
    <externalReference r:id="rId6"/>
  </externalReferences>
  <definedNames>
    <definedName name="btu_per_EGJ">About!$A$26</definedName>
    <definedName name="btu_per_EJ">About!$A$26</definedName>
    <definedName name="btu_per_GJ">About!$A$26</definedName>
    <definedName name="HHV_Adjust">[1]About!$A$160</definedName>
    <definedName name="lignite_multiplier">#REF!</definedName>
    <definedName name="nonlignite_multiplier">#REF!</definedName>
    <definedName name="tax_fuel_labels">'[2]Tax_Share of Price'!$A$2:$A$22</definedName>
    <definedName name="Tax_share_2">'[2]Tax_Share of Price'!$B$2:$BC$22</definedName>
    <definedName name="use_lifecycle_biofuel_EIs">[1]About!$A$61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P49" i="1" s="1"/>
  <c r="AT7" i="3" s="1"/>
  <c r="Q45" i="1"/>
  <c r="R45" i="1"/>
  <c r="S45" i="1"/>
  <c r="T45" i="1"/>
  <c r="U45" i="1"/>
  <c r="B45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B42" i="1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F34" i="1"/>
  <c r="AF6" i="3" s="1"/>
  <c r="AG34" i="1"/>
  <c r="AG6" i="3" s="1"/>
  <c r="AH34" i="1"/>
  <c r="AH6" i="3" s="1"/>
  <c r="AI34" i="1"/>
  <c r="AI6" i="3" s="1"/>
  <c r="AJ34" i="1"/>
  <c r="AJ6" i="3" s="1"/>
  <c r="AK34" i="1"/>
  <c r="AK6" i="3" s="1"/>
  <c r="AL34" i="1"/>
  <c r="AL6" i="3" s="1"/>
  <c r="AM34" i="1"/>
  <c r="AM6" i="3" s="1"/>
  <c r="AN34" i="1"/>
  <c r="AN6" i="3" s="1"/>
  <c r="AO34" i="1"/>
  <c r="AO6" i="3" s="1"/>
  <c r="AP34" i="1"/>
  <c r="AP6" i="3" s="1"/>
  <c r="AQ34" i="1"/>
  <c r="AQ6" i="3" s="1"/>
  <c r="AR34" i="1"/>
  <c r="AR6" i="3" s="1"/>
  <c r="AS34" i="1"/>
  <c r="AS6" i="3" s="1"/>
  <c r="AT34" i="1"/>
  <c r="AT6" i="3" s="1"/>
  <c r="AU34" i="1"/>
  <c r="AU6" i="3" s="1"/>
  <c r="AV34" i="1"/>
  <c r="AV6" i="3" s="1"/>
  <c r="AW34" i="1"/>
  <c r="AW6" i="3" s="1"/>
  <c r="AX34" i="1"/>
  <c r="AX6" i="3" s="1"/>
  <c r="AY34" i="1"/>
  <c r="AY6" i="3" s="1"/>
  <c r="E49" i="1" l="1"/>
  <c r="AI7" i="3" s="1"/>
  <c r="O49" i="1"/>
  <c r="AS7" i="3" s="1"/>
  <c r="N49" i="1"/>
  <c r="AR7" i="3" s="1"/>
  <c r="U49" i="1"/>
  <c r="AY7" i="3" s="1"/>
  <c r="I49" i="1"/>
  <c r="AM7" i="3" s="1"/>
  <c r="D49" i="1"/>
  <c r="AH7" i="3" s="1"/>
  <c r="C49" i="1"/>
  <c r="AG7" i="3" s="1"/>
  <c r="L49" i="1"/>
  <c r="AP7" i="3" s="1"/>
  <c r="T49" i="1"/>
  <c r="AX7" i="3" s="1"/>
  <c r="H49" i="1"/>
  <c r="AL7" i="3" s="1"/>
  <c r="S49" i="1"/>
  <c r="AW7" i="3" s="1"/>
  <c r="G49" i="1"/>
  <c r="AK7" i="3" s="1"/>
  <c r="R49" i="1"/>
  <c r="AV7" i="3" s="1"/>
  <c r="F49" i="1"/>
  <c r="AJ7" i="3" s="1"/>
  <c r="M49" i="1"/>
  <c r="AQ7" i="3" s="1"/>
  <c r="Q49" i="1"/>
  <c r="AU7" i="3" s="1"/>
  <c r="K49" i="1"/>
  <c r="AO7" i="3" s="1"/>
  <c r="B49" i="1"/>
  <c r="AF7" i="3" s="1"/>
  <c r="J49" i="1"/>
  <c r="AN7" i="3" s="1"/>
  <c r="D6" i="4"/>
  <c r="B9" i="4"/>
  <c r="D7" i="4"/>
  <c r="AE11" i="3" l="1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B2" i="3" l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B34" i="1" l="1"/>
  <c r="B6" i="3" s="1"/>
  <c r="C34" i="1"/>
  <c r="C6" i="3" s="1"/>
  <c r="D34" i="1"/>
  <c r="D6" i="3" s="1"/>
  <c r="E34" i="1"/>
  <c r="E6" i="3" s="1"/>
  <c r="F34" i="1"/>
  <c r="F6" i="3" s="1"/>
  <c r="G34" i="1"/>
  <c r="G6" i="3" s="1"/>
  <c r="H34" i="1"/>
  <c r="H6" i="3" s="1"/>
  <c r="I34" i="1"/>
  <c r="I6" i="3" s="1"/>
  <c r="J34" i="1"/>
  <c r="J6" i="3" s="1"/>
  <c r="K34" i="1"/>
  <c r="K6" i="3" s="1"/>
  <c r="L34" i="1"/>
  <c r="L6" i="3" s="1"/>
  <c r="M34" i="1"/>
  <c r="M6" i="3" s="1"/>
  <c r="N34" i="1"/>
  <c r="N6" i="3" s="1"/>
  <c r="O34" i="1"/>
  <c r="O6" i="3" s="1"/>
  <c r="P34" i="1"/>
  <c r="P6" i="3" s="1"/>
  <c r="Q34" i="1"/>
  <c r="Q6" i="3" s="1"/>
  <c r="R34" i="1"/>
  <c r="R6" i="3" s="1"/>
  <c r="S34" i="1"/>
  <c r="S6" i="3" s="1"/>
  <c r="T34" i="1"/>
  <c r="T6" i="3" s="1"/>
  <c r="U34" i="1"/>
  <c r="U6" i="3" s="1"/>
  <c r="V34" i="1"/>
  <c r="V6" i="3" s="1"/>
  <c r="W34" i="1"/>
  <c r="W6" i="3" s="1"/>
  <c r="X34" i="1"/>
  <c r="X6" i="3" s="1"/>
  <c r="Y34" i="1"/>
  <c r="Y6" i="3" s="1"/>
  <c r="Z34" i="1"/>
  <c r="Z6" i="3" s="1"/>
  <c r="AA34" i="1"/>
  <c r="AA6" i="3" s="1"/>
  <c r="AB34" i="1"/>
  <c r="AB6" i="3" s="1"/>
  <c r="AC34" i="1"/>
  <c r="AC6" i="3" s="1"/>
  <c r="AD34" i="1"/>
  <c r="AD6" i="3" s="1"/>
  <c r="AE34" i="1"/>
  <c r="AE6" i="3" s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B35" i="1" l="1"/>
  <c r="AB7" i="3" s="1"/>
  <c r="X35" i="1"/>
  <c r="X7" i="3" s="1"/>
  <c r="T35" i="1"/>
  <c r="T7" i="3" s="1"/>
  <c r="P35" i="1"/>
  <c r="P7" i="3" s="1"/>
  <c r="L35" i="1"/>
  <c r="L7" i="3" s="1"/>
  <c r="H35" i="1"/>
  <c r="H7" i="3" s="1"/>
  <c r="D35" i="1"/>
  <c r="D7" i="3" s="1"/>
  <c r="AE35" i="1"/>
  <c r="AE7" i="3" s="1"/>
  <c r="AA35" i="1"/>
  <c r="AA7" i="3" s="1"/>
  <c r="W35" i="1"/>
  <c r="W7" i="3" s="1"/>
  <c r="S35" i="1"/>
  <c r="S7" i="3" s="1"/>
  <c r="O35" i="1"/>
  <c r="O7" i="3" s="1"/>
  <c r="K35" i="1"/>
  <c r="K7" i="3" s="1"/>
  <c r="G35" i="1"/>
  <c r="G7" i="3" s="1"/>
  <c r="C35" i="1"/>
  <c r="C7" i="3" s="1"/>
  <c r="AC35" i="1"/>
  <c r="AC7" i="3" s="1"/>
  <c r="Y35" i="1"/>
  <c r="Y7" i="3" s="1"/>
  <c r="U35" i="1"/>
  <c r="U7" i="3" s="1"/>
  <c r="Q35" i="1"/>
  <c r="Q7" i="3" s="1"/>
  <c r="M35" i="1"/>
  <c r="M7" i="3" s="1"/>
  <c r="I35" i="1"/>
  <c r="I7" i="3" s="1"/>
  <c r="E35" i="1"/>
  <c r="E7" i="3" s="1"/>
  <c r="AD35" i="1"/>
  <c r="AD7" i="3" s="1"/>
  <c r="Z35" i="1"/>
  <c r="Z7" i="3" s="1"/>
  <c r="V35" i="1"/>
  <c r="V7" i="3" s="1"/>
  <c r="R35" i="1"/>
  <c r="R7" i="3" s="1"/>
  <c r="N35" i="1"/>
  <c r="N7" i="3" s="1"/>
  <c r="J35" i="1"/>
  <c r="J7" i="3" s="1"/>
  <c r="F35" i="1"/>
  <c r="F7" i="3" s="1"/>
  <c r="B35" i="1"/>
  <c r="B7" i="3" s="1"/>
</calcChain>
</file>

<file path=xl/sharedStrings.xml><?xml version="1.0" encoding="utf-8"?>
<sst xmlns="http://schemas.openxmlformats.org/spreadsheetml/2006/main" count="120" uniqueCount="63">
  <si>
    <t>ICtPSFfL Incremental Cost to Produce Substitute Fuel for LCFS</t>
  </si>
  <si>
    <t>Source:</t>
  </si>
  <si>
    <t>Fuel Production Costs</t>
  </si>
  <si>
    <t>E3 Pathways</t>
  </si>
  <si>
    <t>Weighted Average Delivered Energy Costs</t>
  </si>
  <si>
    <t>File fuels/BFPaT for both India and US EPS 3.1</t>
  </si>
  <si>
    <t>Notes:</t>
  </si>
  <si>
    <t>This varibale calculates the incremental fuel production cost from switching from</t>
  </si>
  <si>
    <t xml:space="preserve">conventional fuels to LCFS substitute fuels. In Pathways, conventional ethanol </t>
  </si>
  <si>
    <t>has the same price as gasoline, so it has no incremental cost. Electricity credits</t>
  </si>
  <si>
    <t>are typically delivered to electric charging station owners, and there is no incremental</t>
  </si>
  <si>
    <t>cost of electricity production. Similarly, in Pathways the delivered natural gas prices</t>
  </si>
  <si>
    <t>are all below the gasoline price, so we use a value of zero. Only renewable diesel,</t>
  </si>
  <si>
    <t>which we use as the substitute fuel for petroleum diesel, has an incremental cost</t>
  </si>
  <si>
    <t>increase. Note also that per Pathways, this value drops over time, eventually falling so far</t>
  </si>
  <si>
    <t>that it costs lets than traditional diesel to produce, though we limit our incremental</t>
  </si>
  <si>
    <t>costs to a low value of zero.</t>
  </si>
  <si>
    <t>Conventional fuels under the LCFS (petroleum gasoline, petroleum diesel, and</t>
  </si>
  <si>
    <t>jet fuel) should always have a value of zero in this variable.</t>
  </si>
  <si>
    <t>Conversion Factor</t>
  </si>
  <si>
    <t>BTU/GJ</t>
  </si>
  <si>
    <t>For India, we apply an adjustment factor based on the ratio of biofuel costs in</t>
  </si>
  <si>
    <t>India compared to the US.</t>
  </si>
  <si>
    <t>$/GJ</t>
  </si>
  <si>
    <t>Renewable Diesel</t>
  </si>
  <si>
    <t>Biodiesel</t>
  </si>
  <si>
    <t>Renewable Gasoline</t>
  </si>
  <si>
    <t>NAN</t>
  </si>
  <si>
    <t>Renewable Ethanol</t>
  </si>
  <si>
    <t>Gasoline</t>
  </si>
  <si>
    <t>Diesel</t>
  </si>
  <si>
    <t>Conventional Gasoline/Ethanol</t>
  </si>
  <si>
    <t>$/BTU</t>
  </si>
  <si>
    <t>Reference Fuels</t>
  </si>
  <si>
    <t>electricity</t>
  </si>
  <si>
    <t>petroleum gasoline</t>
  </si>
  <si>
    <t>natural gas</t>
  </si>
  <si>
    <t>biofuel gasoline</t>
  </si>
  <si>
    <t>biofuel diesel</t>
  </si>
  <si>
    <t>petroleum diesel</t>
  </si>
  <si>
    <t>Incremental Costs of Production ($/BTU)</t>
  </si>
  <si>
    <t>biodiesel</t>
  </si>
  <si>
    <t>BFPaT-pretax</t>
  </si>
  <si>
    <t>India</t>
  </si>
  <si>
    <t>US</t>
  </si>
  <si>
    <t>BFPaT-tax</t>
  </si>
  <si>
    <t>total</t>
  </si>
  <si>
    <t>Ratio</t>
  </si>
  <si>
    <t>Cost ($/BTU)</t>
  </si>
  <si>
    <t>jet fuel</t>
  </si>
  <si>
    <t>heavy or residual fuel oil</t>
  </si>
  <si>
    <t>LPG propane or butane</t>
  </si>
  <si>
    <t>hydrogen</t>
  </si>
  <si>
    <t>$/BTU (India Total Fuel Prices)</t>
  </si>
  <si>
    <t>Incremental Costs of Production ($/BTU) (India)</t>
  </si>
  <si>
    <t>Biofuel diesel</t>
  </si>
  <si>
    <t>Diesel pre tax</t>
  </si>
  <si>
    <t>Diesel fuel tax</t>
  </si>
  <si>
    <t>Diesel total fuel price</t>
  </si>
  <si>
    <t>Biodiesel pre tax</t>
  </si>
  <si>
    <t>Biodiesel fuel tax</t>
  </si>
  <si>
    <t>Biodiesel total fuel price</t>
  </si>
  <si>
    <t>Biofuel diesel [2051-2070]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</si>
</sst>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ris%20Busch\Dropbox%20(Energy%20InNovation)\Desktop\eps-1.3.3-California-wipC\InputData\fuels\PEI\Pollutant%20Emissions%20Intensiti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wri-my.sharepoint.com/personal/khushi_parakh_wri_org/Documents/Desktop/EPS%20update/current%20WIP/BAU%20Fuel%20Prices%20and%20Taxes.xlsx" TargetMode="External"/><Relationship Id="rId1" Type="http://schemas.openxmlformats.org/officeDocument/2006/relationships/externalLinkPath" Target="BAU%20Fuel%20Prices%20and%20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alifornia notes"/>
      <sheetName val="biofuel using LDVs"/>
      <sheetName val="Key to Data Locs"/>
      <sheetName val="Sheet2"/>
      <sheetName val="GREET1 Results"/>
      <sheetName val="GREET1 EF"/>
      <sheetName val="GREET1 Electric"/>
      <sheetName val="GREET1 JetFuel_WTWa"/>
      <sheetName val="GREET1 Fuel_Specs"/>
      <sheetName val="eGrid Plant"/>
      <sheetName val="Hard Coal and Lignite"/>
      <sheetName val="E3 BAU transpo data"/>
      <sheetName val="intermediate calcs and sources"/>
      <sheetName val="transpo fuel CIs for LCFS"/>
      <sheetName val="PEI-TFPEI-LDVs"/>
      <sheetName val="PEI-TFPEI-HDVs"/>
      <sheetName val="PEI-TFPEI-aircraft"/>
      <sheetName val="PEI-TFPEI-rail"/>
      <sheetName val="PEI-TFPEI-ships"/>
      <sheetName val="PEI-TFPEI-motorbikes"/>
      <sheetName val="PEI-EFPEI"/>
      <sheetName val="PEI-BFPEI"/>
      <sheetName val="PEI-IFPE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Tax Data&gt;"/>
      <sheetName val="Petroleum &amp; Diesel Prices"/>
      <sheetName val="Tax Rates"/>
      <sheetName val="Electricity Tax Rates"/>
      <sheetName val="Electricity Tariffs and Consump"/>
      <sheetName val="Average electricity tariffs"/>
      <sheetName val="Petroleum Products Consumption"/>
      <sheetName val="NG Sales"/>
      <sheetName val="Crude Oil Production"/>
      <sheetName val="Coal &amp; Lignite"/>
      <sheetName val="Fuel Oil &amp; LPG"/>
      <sheetName val="Start Year Taxes"/>
      <sheetName val="Tax_Share of Price"/>
      <sheetName val="Total Fuel Cost&gt;"/>
      <sheetName val="Conversion Factors"/>
      <sheetName val="AEO Table 73"/>
      <sheetName val="Electricity"/>
      <sheetName val="BIFUbC-electricity"/>
      <sheetName val="Coal and Lignite"/>
      <sheetName val="BFPIaE"/>
      <sheetName val="Consumption of Coal&amp;Lignite"/>
      <sheetName val="NE Population"/>
      <sheetName val="Natural Gas"/>
      <sheetName val="LPG"/>
      <sheetName val="Nuclear Fuel"/>
      <sheetName val="Biomass"/>
      <sheetName val="Petro Gasoline &amp; Diesel"/>
      <sheetName val="Bio gasoline"/>
      <sheetName val="Kerosene"/>
      <sheetName val="Jet Fuel"/>
      <sheetName val="Crude Oil"/>
      <sheetName val="Heavy Fuel Oil"/>
      <sheetName val="Municipal Solid Waste"/>
      <sheetName val="Hydrogen"/>
      <sheetName val="Start Year Prices"/>
      <sheetName val="AEO Table 3"/>
      <sheetName val="AEO Table 12"/>
      <sheetName val="AEO Table 13"/>
      <sheetName val="2070_projection"/>
      <sheetName val="Total Fuel Pric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lignite"/>
      <sheetName val="BFPaT-pretax-geothermal"/>
      <sheetName val="BFPaT-pretax-crude"/>
      <sheetName val="BFPaT-pretax-heavyfueloil"/>
      <sheetName val="BFPaT-pretax-lpgpropbut"/>
      <sheetName val="BFPaT-pretax-msw"/>
      <sheetName val="BFPaT-pretax-hydrogen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lignite"/>
      <sheetName val="BFPaT-fueltax-geothermal"/>
      <sheetName val="BFPaT-fueltax-crude"/>
      <sheetName val="BFPaT-fueltax-heavyfueloil"/>
      <sheetName val="BFPaT-fueltax-lpgpropbut"/>
      <sheetName val="BFPaT-fueltax-msw"/>
      <sheetName val="BFPaT-fueltax-hydrog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electricity</v>
          </cell>
          <cell r="B2">
            <v>6.388870260500451E-2</v>
          </cell>
          <cell r="C2">
            <v>6.388870260500451E-2</v>
          </cell>
          <cell r="D2">
            <v>6.388870260500451E-2</v>
          </cell>
          <cell r="E2">
            <v>6.388870260500451E-2</v>
          </cell>
          <cell r="F2">
            <v>6.388870260500451E-2</v>
          </cell>
          <cell r="G2">
            <v>6.388870260500451E-2</v>
          </cell>
          <cell r="H2">
            <v>6.388870260500451E-2</v>
          </cell>
          <cell r="I2">
            <v>6.388870260500451E-2</v>
          </cell>
          <cell r="J2">
            <v>6.388870260500451E-2</v>
          </cell>
          <cell r="K2">
            <v>6.388870260500451E-2</v>
          </cell>
          <cell r="L2">
            <v>6.388870260500451E-2</v>
          </cell>
          <cell r="M2">
            <v>6.388870260500451E-2</v>
          </cell>
          <cell r="N2">
            <v>6.388870260500451E-2</v>
          </cell>
          <cell r="O2">
            <v>6.388870260500451E-2</v>
          </cell>
          <cell r="P2">
            <v>6.388870260500451E-2</v>
          </cell>
          <cell r="Q2">
            <v>6.388870260500451E-2</v>
          </cell>
          <cell r="R2">
            <v>6.388870260500451E-2</v>
          </cell>
          <cell r="S2">
            <v>6.388870260500451E-2</v>
          </cell>
          <cell r="T2">
            <v>6.388870260500451E-2</v>
          </cell>
          <cell r="U2">
            <v>6.388870260500451E-2</v>
          </cell>
          <cell r="V2">
            <v>6.388870260500451E-2</v>
          </cell>
          <cell r="W2">
            <v>6.388870260500451E-2</v>
          </cell>
          <cell r="X2">
            <v>6.388870260500451E-2</v>
          </cell>
          <cell r="Y2">
            <v>6.388870260500451E-2</v>
          </cell>
          <cell r="Z2">
            <v>6.388870260500451E-2</v>
          </cell>
          <cell r="AA2">
            <v>6.388870260500451E-2</v>
          </cell>
          <cell r="AB2">
            <v>6.388870260500451E-2</v>
          </cell>
          <cell r="AC2">
            <v>6.388870260500451E-2</v>
          </cell>
          <cell r="AD2">
            <v>6.388870260500451E-2</v>
          </cell>
          <cell r="AE2">
            <v>6.388870260500451E-2</v>
          </cell>
          <cell r="AF2">
            <v>6.388870260500451E-2</v>
          </cell>
          <cell r="AG2">
            <v>6.388870260500451E-2</v>
          </cell>
          <cell r="AH2">
            <v>6.388870260500451E-2</v>
          </cell>
          <cell r="AI2">
            <v>6.388870260500451E-2</v>
          </cell>
          <cell r="AJ2">
            <v>6.388870260500451E-2</v>
          </cell>
          <cell r="AK2">
            <v>6.388870260500451E-2</v>
          </cell>
          <cell r="AL2">
            <v>6.388870260500451E-2</v>
          </cell>
          <cell r="AM2">
            <v>6.388870260500451E-2</v>
          </cell>
          <cell r="AN2">
            <v>6.388870260500451E-2</v>
          </cell>
          <cell r="AO2">
            <v>6.388870260500451E-2</v>
          </cell>
          <cell r="AP2">
            <v>6.388870260500451E-2</v>
          </cell>
          <cell r="AQ2">
            <v>6.388870260500451E-2</v>
          </cell>
          <cell r="AR2">
            <v>6.388870260500451E-2</v>
          </cell>
          <cell r="AS2">
            <v>6.388870260500451E-2</v>
          </cell>
          <cell r="AT2">
            <v>6.388870260500451E-2</v>
          </cell>
          <cell r="AU2">
            <v>6.388870260500451E-2</v>
          </cell>
          <cell r="AV2">
            <v>6.388870260500451E-2</v>
          </cell>
          <cell r="AW2">
            <v>6.388870260500451E-2</v>
          </cell>
          <cell r="AX2">
            <v>6.388870260500451E-2</v>
          </cell>
          <cell r="AY2">
            <v>6.388870260500451E-2</v>
          </cell>
          <cell r="AZ2">
            <v>6.388870260500451E-2</v>
          </cell>
          <cell r="BA2">
            <v>6.388870260500451E-2</v>
          </cell>
          <cell r="BB2">
            <v>6.388870260500451E-2</v>
          </cell>
          <cell r="BC2">
            <v>6.388870260500451E-2</v>
          </cell>
        </row>
        <row r="3">
          <cell r="A3" t="str">
            <v>coal</v>
          </cell>
          <cell r="B3">
            <v>0.22737352659904814</v>
          </cell>
          <cell r="C3">
            <v>0.22737352659904814</v>
          </cell>
          <cell r="D3">
            <v>0.22737352659904814</v>
          </cell>
          <cell r="E3">
            <v>0.22737352659904814</v>
          </cell>
          <cell r="F3">
            <v>0.22737352659904814</v>
          </cell>
          <cell r="G3">
            <v>0.22737352659904814</v>
          </cell>
          <cell r="H3">
            <v>0.22737352659904814</v>
          </cell>
          <cell r="I3">
            <v>0.22737352659904814</v>
          </cell>
          <cell r="J3">
            <v>0.22737352659904814</v>
          </cell>
          <cell r="K3">
            <v>0.22737352659904814</v>
          </cell>
          <cell r="L3">
            <v>0.22737352659904814</v>
          </cell>
          <cell r="M3">
            <v>0.22737352659904814</v>
          </cell>
          <cell r="N3">
            <v>0.22737352659904814</v>
          </cell>
          <cell r="O3">
            <v>0.22737352659904814</v>
          </cell>
          <cell r="P3">
            <v>0.22737352659904814</v>
          </cell>
          <cell r="Q3">
            <v>0.22737352659904814</v>
          </cell>
          <cell r="R3">
            <v>0.22737352659904814</v>
          </cell>
          <cell r="S3">
            <v>0.22737352659904814</v>
          </cell>
          <cell r="T3">
            <v>0.22737352659904814</v>
          </cell>
          <cell r="U3">
            <v>0.22737352659904814</v>
          </cell>
          <cell r="V3">
            <v>0.22737352659904814</v>
          </cell>
          <cell r="W3">
            <v>0.22737352659904814</v>
          </cell>
          <cell r="X3">
            <v>0.22737352659904814</v>
          </cell>
          <cell r="Y3">
            <v>0.22737352659904814</v>
          </cell>
          <cell r="Z3">
            <v>0.22737352659904814</v>
          </cell>
          <cell r="AA3">
            <v>0.22737352659904814</v>
          </cell>
          <cell r="AB3">
            <v>0.22737352659904814</v>
          </cell>
          <cell r="AC3">
            <v>0.22737352659904814</v>
          </cell>
          <cell r="AD3">
            <v>0.22737352659904814</v>
          </cell>
          <cell r="AE3">
            <v>0.22737352659904814</v>
          </cell>
          <cell r="AF3">
            <v>0.22737352659904814</v>
          </cell>
          <cell r="AG3">
            <v>0.22737352659904814</v>
          </cell>
          <cell r="AH3">
            <v>0.22737352659904814</v>
          </cell>
          <cell r="AI3">
            <v>0.22737352659904814</v>
          </cell>
          <cell r="AJ3">
            <v>0.22737352659904814</v>
          </cell>
          <cell r="AK3">
            <v>0.22737352659904814</v>
          </cell>
          <cell r="AL3">
            <v>0.22737352659904814</v>
          </cell>
          <cell r="AM3">
            <v>0.22737352659904814</v>
          </cell>
          <cell r="AN3">
            <v>0.22737352659904814</v>
          </cell>
          <cell r="AO3">
            <v>0.22737352659904814</v>
          </cell>
          <cell r="AP3">
            <v>0.22737352659904814</v>
          </cell>
          <cell r="AQ3">
            <v>0.22737352659904814</v>
          </cell>
          <cell r="AR3">
            <v>0.22737352659904814</v>
          </cell>
          <cell r="AS3">
            <v>0.22737352659904814</v>
          </cell>
          <cell r="AT3">
            <v>0.22737352659904814</v>
          </cell>
          <cell r="AU3">
            <v>0.22737352659904814</v>
          </cell>
          <cell r="AV3">
            <v>0.22737352659904814</v>
          </cell>
          <cell r="AW3">
            <v>0.22737352659904814</v>
          </cell>
          <cell r="AX3">
            <v>0.22737352659904814</v>
          </cell>
          <cell r="AY3">
            <v>0.22737352659904814</v>
          </cell>
          <cell r="AZ3">
            <v>0.22737352659904814</v>
          </cell>
          <cell r="BA3">
            <v>0.22737352659904814</v>
          </cell>
          <cell r="BB3">
            <v>0.22737352659904814</v>
          </cell>
          <cell r="BC3">
            <v>0.22737352659904814</v>
          </cell>
        </row>
        <row r="4">
          <cell r="A4" t="str">
            <v>natural gas</v>
          </cell>
          <cell r="B4">
            <v>0.13008789902204082</v>
          </cell>
          <cell r="C4">
            <v>0.13008789902204082</v>
          </cell>
          <cell r="D4">
            <v>0.13008789902204082</v>
          </cell>
          <cell r="E4">
            <v>0.13008789902204082</v>
          </cell>
          <cell r="F4">
            <v>0.13008789902204082</v>
          </cell>
          <cell r="G4">
            <v>0.13008789902204082</v>
          </cell>
          <cell r="H4">
            <v>0.13008789902204082</v>
          </cell>
          <cell r="I4">
            <v>0.13008789902204082</v>
          </cell>
          <cell r="J4">
            <v>0.13008789902204082</v>
          </cell>
          <cell r="K4">
            <v>0.13008789902204082</v>
          </cell>
          <cell r="L4">
            <v>0.13008789902204082</v>
          </cell>
          <cell r="M4">
            <v>0.13008789902204082</v>
          </cell>
          <cell r="N4">
            <v>0.13008789902204082</v>
          </cell>
          <cell r="O4">
            <v>0.13008789902204082</v>
          </cell>
          <cell r="P4">
            <v>0.13008789902204082</v>
          </cell>
          <cell r="Q4">
            <v>0.13008789902204082</v>
          </cell>
          <cell r="R4">
            <v>0.13008789902204082</v>
          </cell>
          <cell r="S4">
            <v>0.13008789902204082</v>
          </cell>
          <cell r="T4">
            <v>0.13008789902204082</v>
          </cell>
          <cell r="U4">
            <v>0.13008789902204082</v>
          </cell>
          <cell r="V4">
            <v>0.13008789902204082</v>
          </cell>
          <cell r="W4">
            <v>0.13008789902204082</v>
          </cell>
          <cell r="X4">
            <v>0.13008789902204082</v>
          </cell>
          <cell r="Y4">
            <v>0.13008789902204082</v>
          </cell>
          <cell r="Z4">
            <v>0.13008789902204082</v>
          </cell>
          <cell r="AA4">
            <v>0.13008789902204082</v>
          </cell>
          <cell r="AB4">
            <v>0.13008789902204082</v>
          </cell>
          <cell r="AC4">
            <v>0.13008789902204082</v>
          </cell>
          <cell r="AD4">
            <v>0.13008789902204082</v>
          </cell>
          <cell r="AE4">
            <v>0.13008789902204082</v>
          </cell>
          <cell r="AF4">
            <v>0.13008789902204082</v>
          </cell>
          <cell r="AG4">
            <v>0.13008789902204082</v>
          </cell>
          <cell r="AH4">
            <v>0.13008789902204082</v>
          </cell>
          <cell r="AI4">
            <v>0.13008789902204082</v>
          </cell>
          <cell r="AJ4">
            <v>0.13008789902204082</v>
          </cell>
          <cell r="AK4">
            <v>0.13008789902204082</v>
          </cell>
          <cell r="AL4">
            <v>0.13008789902204082</v>
          </cell>
          <cell r="AM4">
            <v>0.13008789902204082</v>
          </cell>
          <cell r="AN4">
            <v>0.13008789902204082</v>
          </cell>
          <cell r="AO4">
            <v>0.13008789902204082</v>
          </cell>
          <cell r="AP4">
            <v>0.13008789902204082</v>
          </cell>
          <cell r="AQ4">
            <v>0.13008789902204082</v>
          </cell>
          <cell r="AR4">
            <v>0.13008789902204082</v>
          </cell>
          <cell r="AS4">
            <v>0.13008789902204082</v>
          </cell>
          <cell r="AT4">
            <v>0.13008789902204082</v>
          </cell>
          <cell r="AU4">
            <v>0.13008789902204082</v>
          </cell>
          <cell r="AV4">
            <v>0.13008789902204082</v>
          </cell>
          <cell r="AW4">
            <v>0.13008789902204082</v>
          </cell>
          <cell r="AX4">
            <v>0.13008789902204082</v>
          </cell>
          <cell r="AY4">
            <v>0.13008789902204082</v>
          </cell>
          <cell r="AZ4">
            <v>0.13008789902204082</v>
          </cell>
          <cell r="BA4">
            <v>0.13008789902204082</v>
          </cell>
          <cell r="BB4">
            <v>0.13008789902204082</v>
          </cell>
          <cell r="BC4">
            <v>0.13008789902204082</v>
          </cell>
        </row>
        <row r="5">
          <cell r="A5" t="str">
            <v>nuclear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</row>
        <row r="6">
          <cell r="A6" t="str">
            <v>Hydro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A7" t="str">
            <v>Wind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</row>
        <row r="8">
          <cell r="A8" t="str">
            <v>Solar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A9" t="str">
            <v>biomass</v>
          </cell>
          <cell r="B9">
            <v>0.05</v>
          </cell>
          <cell r="C9">
            <v>0.05</v>
          </cell>
          <cell r="D9">
            <v>0.05</v>
          </cell>
          <cell r="E9">
            <v>0.05</v>
          </cell>
          <cell r="F9">
            <v>0.05</v>
          </cell>
          <cell r="G9">
            <v>0.05</v>
          </cell>
          <cell r="H9">
            <v>0.05</v>
          </cell>
          <cell r="I9">
            <v>0.05</v>
          </cell>
          <cell r="J9">
            <v>0.05</v>
          </cell>
          <cell r="K9">
            <v>0.05</v>
          </cell>
          <cell r="L9">
            <v>0.05</v>
          </cell>
          <cell r="M9">
            <v>0.05</v>
          </cell>
          <cell r="N9">
            <v>0.05</v>
          </cell>
          <cell r="O9">
            <v>0.05</v>
          </cell>
          <cell r="P9">
            <v>0.05</v>
          </cell>
          <cell r="Q9">
            <v>0.05</v>
          </cell>
          <cell r="R9">
            <v>0.05</v>
          </cell>
          <cell r="S9">
            <v>0.05</v>
          </cell>
          <cell r="T9">
            <v>0.05</v>
          </cell>
          <cell r="U9">
            <v>0.05</v>
          </cell>
          <cell r="V9">
            <v>0.05</v>
          </cell>
          <cell r="W9">
            <v>0.05</v>
          </cell>
          <cell r="X9">
            <v>0.05</v>
          </cell>
          <cell r="Y9">
            <v>0.05</v>
          </cell>
          <cell r="Z9">
            <v>0.05</v>
          </cell>
          <cell r="AA9">
            <v>0.05</v>
          </cell>
          <cell r="AB9">
            <v>0.05</v>
          </cell>
          <cell r="AC9">
            <v>0.05</v>
          </cell>
          <cell r="AD9">
            <v>0.05</v>
          </cell>
          <cell r="AE9">
            <v>0.05</v>
          </cell>
          <cell r="AF9">
            <v>0.05</v>
          </cell>
          <cell r="AG9">
            <v>0.05</v>
          </cell>
          <cell r="AH9">
            <v>0.05</v>
          </cell>
          <cell r="AI9">
            <v>0.05</v>
          </cell>
          <cell r="AJ9">
            <v>0.05</v>
          </cell>
          <cell r="AK9">
            <v>0.05</v>
          </cell>
          <cell r="AL9">
            <v>0.05</v>
          </cell>
          <cell r="AM9">
            <v>0.05</v>
          </cell>
          <cell r="AN9">
            <v>0.05</v>
          </cell>
          <cell r="AO9">
            <v>0.05</v>
          </cell>
          <cell r="AP9">
            <v>0.05</v>
          </cell>
          <cell r="AQ9">
            <v>0.05</v>
          </cell>
          <cell r="AR9">
            <v>0.05</v>
          </cell>
          <cell r="AS9">
            <v>0.05</v>
          </cell>
          <cell r="AT9">
            <v>0.05</v>
          </cell>
          <cell r="AU9">
            <v>0.05</v>
          </cell>
          <cell r="AV9">
            <v>0.05</v>
          </cell>
          <cell r="AW9">
            <v>0.05</v>
          </cell>
          <cell r="AX9">
            <v>0.05</v>
          </cell>
          <cell r="AY9">
            <v>0.05</v>
          </cell>
          <cell r="AZ9">
            <v>0.05</v>
          </cell>
          <cell r="BA9">
            <v>0.05</v>
          </cell>
          <cell r="BB9">
            <v>0.05</v>
          </cell>
          <cell r="BC9">
            <v>0.05</v>
          </cell>
        </row>
        <row r="10">
          <cell r="A10" t="str">
            <v>petroleum gasoline</v>
          </cell>
          <cell r="B10">
            <v>0.49449743213499636</v>
          </cell>
          <cell r="C10">
            <v>0.49449743213499636</v>
          </cell>
          <cell r="D10">
            <v>0.49449743213499636</v>
          </cell>
          <cell r="E10">
            <v>0.49449743213499636</v>
          </cell>
          <cell r="F10">
            <v>0.49449743213499636</v>
          </cell>
          <cell r="G10">
            <v>0.49449743213499636</v>
          </cell>
          <cell r="H10">
            <v>0.49449743213499636</v>
          </cell>
          <cell r="I10">
            <v>0.49449743213499636</v>
          </cell>
          <cell r="J10">
            <v>0.49449743213499636</v>
          </cell>
          <cell r="K10">
            <v>0.49449743213499636</v>
          </cell>
          <cell r="L10">
            <v>0.49449743213499636</v>
          </cell>
          <cell r="M10">
            <v>0.49449743213499636</v>
          </cell>
          <cell r="N10">
            <v>0.49449743213499636</v>
          </cell>
          <cell r="O10">
            <v>0.49449743213499636</v>
          </cell>
          <cell r="P10">
            <v>0.49449743213499636</v>
          </cell>
          <cell r="Q10">
            <v>0.49449743213499636</v>
          </cell>
          <cell r="R10">
            <v>0.49449743213499636</v>
          </cell>
          <cell r="S10">
            <v>0.49449743213499636</v>
          </cell>
          <cell r="T10">
            <v>0.49449743213499636</v>
          </cell>
          <cell r="U10">
            <v>0.49449743213499636</v>
          </cell>
          <cell r="V10">
            <v>0.49449743213499636</v>
          </cell>
          <cell r="W10">
            <v>0.49449743213499636</v>
          </cell>
          <cell r="X10">
            <v>0.49449743213499636</v>
          </cell>
          <cell r="Y10">
            <v>0.49449743213499636</v>
          </cell>
          <cell r="Z10">
            <v>0.49449743213499636</v>
          </cell>
          <cell r="AA10">
            <v>0.49449743213499636</v>
          </cell>
          <cell r="AB10">
            <v>0.49449743213499636</v>
          </cell>
          <cell r="AC10">
            <v>0.49449743213499636</v>
          </cell>
          <cell r="AD10">
            <v>0.49449743213499636</v>
          </cell>
          <cell r="AE10">
            <v>0.49449743213499636</v>
          </cell>
          <cell r="AF10">
            <v>0.49449743213499636</v>
          </cell>
          <cell r="AG10">
            <v>0.49449743213499636</v>
          </cell>
          <cell r="AH10">
            <v>0.49449743213499636</v>
          </cell>
          <cell r="AI10">
            <v>0.49449743213499636</v>
          </cell>
          <cell r="AJ10">
            <v>0.49449743213499636</v>
          </cell>
          <cell r="AK10">
            <v>0.49449743213499636</v>
          </cell>
          <cell r="AL10">
            <v>0.49449743213499636</v>
          </cell>
          <cell r="AM10">
            <v>0.49449743213499636</v>
          </cell>
          <cell r="AN10">
            <v>0.49449743213499636</v>
          </cell>
          <cell r="AO10">
            <v>0.49449743213499636</v>
          </cell>
          <cell r="AP10">
            <v>0.49449743213499636</v>
          </cell>
          <cell r="AQ10">
            <v>0.49449743213499636</v>
          </cell>
          <cell r="AR10">
            <v>0.49449743213499636</v>
          </cell>
          <cell r="AS10">
            <v>0.49449743213499636</v>
          </cell>
          <cell r="AT10">
            <v>0.49449743213499636</v>
          </cell>
          <cell r="AU10">
            <v>0.49449743213499636</v>
          </cell>
          <cell r="AV10">
            <v>0.49449743213499636</v>
          </cell>
          <cell r="AW10">
            <v>0.49449743213499636</v>
          </cell>
          <cell r="AX10">
            <v>0.49449743213499636</v>
          </cell>
          <cell r="AY10">
            <v>0.49449743213499636</v>
          </cell>
          <cell r="AZ10">
            <v>0.49449743213499636</v>
          </cell>
          <cell r="BA10">
            <v>0.49449743213499636</v>
          </cell>
          <cell r="BB10">
            <v>0.49449743213499636</v>
          </cell>
          <cell r="BC10">
            <v>0.49449743213499636</v>
          </cell>
        </row>
        <row r="11">
          <cell r="A11" t="str">
            <v>petroleum diesel</v>
          </cell>
          <cell r="B11">
            <v>0.42725279796930887</v>
          </cell>
          <cell r="C11">
            <v>0.42725279796930887</v>
          </cell>
          <cell r="D11">
            <v>0.42725279796930887</v>
          </cell>
          <cell r="E11">
            <v>0.42725279796930887</v>
          </cell>
          <cell r="F11">
            <v>0.42725279796930887</v>
          </cell>
          <cell r="G11">
            <v>0.42725279796930887</v>
          </cell>
          <cell r="H11">
            <v>0.42725279796930887</v>
          </cell>
          <cell r="I11">
            <v>0.42725279796930887</v>
          </cell>
          <cell r="J11">
            <v>0.42725279796930887</v>
          </cell>
          <cell r="K11">
            <v>0.42725279796930887</v>
          </cell>
          <cell r="L11">
            <v>0.42725279796930887</v>
          </cell>
          <cell r="M11">
            <v>0.42725279796930887</v>
          </cell>
          <cell r="N11">
            <v>0.42725279796930887</v>
          </cell>
          <cell r="O11">
            <v>0.42725279796930887</v>
          </cell>
          <cell r="P11">
            <v>0.42725279796930887</v>
          </cell>
          <cell r="Q11">
            <v>0.42725279796930887</v>
          </cell>
          <cell r="R11">
            <v>0.42725279796930887</v>
          </cell>
          <cell r="S11">
            <v>0.42725279796930887</v>
          </cell>
          <cell r="T11">
            <v>0.42725279796930887</v>
          </cell>
          <cell r="U11">
            <v>0.42725279796930887</v>
          </cell>
          <cell r="V11">
            <v>0.42725279796930887</v>
          </cell>
          <cell r="W11">
            <v>0.42725279796930887</v>
          </cell>
          <cell r="X11">
            <v>0.42725279796930887</v>
          </cell>
          <cell r="Y11">
            <v>0.42725279796930887</v>
          </cell>
          <cell r="Z11">
            <v>0.42725279796930887</v>
          </cell>
          <cell r="AA11">
            <v>0.42725279796930887</v>
          </cell>
          <cell r="AB11">
            <v>0.42725279796930887</v>
          </cell>
          <cell r="AC11">
            <v>0.42725279796930887</v>
          </cell>
          <cell r="AD11">
            <v>0.42725279796930887</v>
          </cell>
          <cell r="AE11">
            <v>0.42725279796930887</v>
          </cell>
          <cell r="AF11">
            <v>0.42725279796930887</v>
          </cell>
          <cell r="AG11">
            <v>0.42725279796930887</v>
          </cell>
          <cell r="AH11">
            <v>0.42725279796930887</v>
          </cell>
          <cell r="AI11">
            <v>0.42725279796930887</v>
          </cell>
          <cell r="AJ11">
            <v>0.42725279796930887</v>
          </cell>
          <cell r="AK11">
            <v>0.42725279796930887</v>
          </cell>
          <cell r="AL11">
            <v>0.42725279796930887</v>
          </cell>
          <cell r="AM11">
            <v>0.42725279796930887</v>
          </cell>
          <cell r="AN11">
            <v>0.42725279796930887</v>
          </cell>
          <cell r="AO11">
            <v>0.42725279796930887</v>
          </cell>
          <cell r="AP11">
            <v>0.42725279796930887</v>
          </cell>
          <cell r="AQ11">
            <v>0.42725279796930887</v>
          </cell>
          <cell r="AR11">
            <v>0.42725279796930887</v>
          </cell>
          <cell r="AS11">
            <v>0.42725279796930887</v>
          </cell>
          <cell r="AT11">
            <v>0.42725279796930887</v>
          </cell>
          <cell r="AU11">
            <v>0.42725279796930887</v>
          </cell>
          <cell r="AV11">
            <v>0.42725279796930887</v>
          </cell>
          <cell r="AW11">
            <v>0.42725279796930887</v>
          </cell>
          <cell r="AX11">
            <v>0.42725279796930887</v>
          </cell>
          <cell r="AY11">
            <v>0.42725279796930887</v>
          </cell>
          <cell r="AZ11">
            <v>0.42725279796930887</v>
          </cell>
          <cell r="BA11">
            <v>0.42725279796930887</v>
          </cell>
          <cell r="BB11">
            <v>0.42725279796930887</v>
          </cell>
          <cell r="BC11">
            <v>0.42725279796930887</v>
          </cell>
        </row>
        <row r="12">
          <cell r="A12" t="str">
            <v>biofuel gasoline</v>
          </cell>
          <cell r="B12">
            <v>0.05</v>
          </cell>
          <cell r="C12">
            <v>0.05</v>
          </cell>
          <cell r="D12">
            <v>0.05</v>
          </cell>
          <cell r="E12">
            <v>0.05</v>
          </cell>
          <cell r="F12">
            <v>0.05</v>
          </cell>
          <cell r="G12">
            <v>0.05</v>
          </cell>
          <cell r="H12">
            <v>0.05</v>
          </cell>
          <cell r="I12">
            <v>0.05</v>
          </cell>
          <cell r="J12">
            <v>0.05</v>
          </cell>
          <cell r="K12">
            <v>0.05</v>
          </cell>
          <cell r="L12">
            <v>0.05</v>
          </cell>
          <cell r="M12">
            <v>0.05</v>
          </cell>
          <cell r="N12">
            <v>0.05</v>
          </cell>
          <cell r="O12">
            <v>0.05</v>
          </cell>
          <cell r="P12">
            <v>0.05</v>
          </cell>
          <cell r="Q12">
            <v>0.05</v>
          </cell>
          <cell r="R12">
            <v>0.05</v>
          </cell>
          <cell r="S12">
            <v>0.05</v>
          </cell>
          <cell r="T12">
            <v>0.05</v>
          </cell>
          <cell r="U12">
            <v>0.05</v>
          </cell>
          <cell r="V12">
            <v>0.05</v>
          </cell>
          <cell r="W12">
            <v>0.05</v>
          </cell>
          <cell r="X12">
            <v>0.05</v>
          </cell>
          <cell r="Y12">
            <v>0.05</v>
          </cell>
          <cell r="Z12">
            <v>0.05</v>
          </cell>
          <cell r="AA12">
            <v>0.05</v>
          </cell>
          <cell r="AB12">
            <v>0.05</v>
          </cell>
          <cell r="AC12">
            <v>0.05</v>
          </cell>
          <cell r="AD12">
            <v>0.05</v>
          </cell>
          <cell r="AE12">
            <v>0.05</v>
          </cell>
          <cell r="AF12">
            <v>0.05</v>
          </cell>
          <cell r="AG12">
            <v>0.05</v>
          </cell>
          <cell r="AH12">
            <v>0.05</v>
          </cell>
          <cell r="AI12">
            <v>0.05</v>
          </cell>
          <cell r="AJ12">
            <v>0.05</v>
          </cell>
          <cell r="AK12">
            <v>0.05</v>
          </cell>
          <cell r="AL12">
            <v>0.05</v>
          </cell>
          <cell r="AM12">
            <v>0.05</v>
          </cell>
          <cell r="AN12">
            <v>0.05</v>
          </cell>
          <cell r="AO12">
            <v>0.05</v>
          </cell>
          <cell r="AP12">
            <v>0.05</v>
          </cell>
          <cell r="AQ12">
            <v>0.05</v>
          </cell>
          <cell r="AR12">
            <v>0.05</v>
          </cell>
          <cell r="AS12">
            <v>0.05</v>
          </cell>
          <cell r="AT12">
            <v>0.05</v>
          </cell>
          <cell r="AU12">
            <v>0.05</v>
          </cell>
          <cell r="AV12">
            <v>0.05</v>
          </cell>
          <cell r="AW12">
            <v>0.05</v>
          </cell>
          <cell r="AX12">
            <v>0.05</v>
          </cell>
          <cell r="AY12">
            <v>0.05</v>
          </cell>
          <cell r="AZ12">
            <v>0.05</v>
          </cell>
          <cell r="BA12">
            <v>0.05</v>
          </cell>
          <cell r="BB12">
            <v>0.05</v>
          </cell>
          <cell r="BC12">
            <v>0.05</v>
          </cell>
        </row>
        <row r="13">
          <cell r="A13" t="str">
            <v>biofuel diesel</v>
          </cell>
          <cell r="B13">
            <v>0.05</v>
          </cell>
          <cell r="C13">
            <v>0.05</v>
          </cell>
          <cell r="D13">
            <v>0.05</v>
          </cell>
          <cell r="E13">
            <v>0.05</v>
          </cell>
          <cell r="F13">
            <v>0.05</v>
          </cell>
          <cell r="G13">
            <v>0.05</v>
          </cell>
          <cell r="H13">
            <v>0.05</v>
          </cell>
          <cell r="I13">
            <v>0.05</v>
          </cell>
          <cell r="J13">
            <v>0.05</v>
          </cell>
          <cell r="K13">
            <v>0.05</v>
          </cell>
          <cell r="L13">
            <v>0.05</v>
          </cell>
          <cell r="M13">
            <v>0.05</v>
          </cell>
          <cell r="N13">
            <v>0.05</v>
          </cell>
          <cell r="O13">
            <v>0.05</v>
          </cell>
          <cell r="P13">
            <v>0.05</v>
          </cell>
          <cell r="Q13">
            <v>0.05</v>
          </cell>
          <cell r="R13">
            <v>0.05</v>
          </cell>
          <cell r="S13">
            <v>0.05</v>
          </cell>
          <cell r="T13">
            <v>0.05</v>
          </cell>
          <cell r="U13">
            <v>0.05</v>
          </cell>
          <cell r="V13">
            <v>0.05</v>
          </cell>
          <cell r="W13">
            <v>0.05</v>
          </cell>
          <cell r="X13">
            <v>0.05</v>
          </cell>
          <cell r="Y13">
            <v>0.05</v>
          </cell>
          <cell r="Z13">
            <v>0.05</v>
          </cell>
          <cell r="AA13">
            <v>0.05</v>
          </cell>
          <cell r="AB13">
            <v>0.05</v>
          </cell>
          <cell r="AC13">
            <v>0.05</v>
          </cell>
          <cell r="AD13">
            <v>0.05</v>
          </cell>
          <cell r="AE13">
            <v>0.05</v>
          </cell>
          <cell r="AF13">
            <v>0.05</v>
          </cell>
          <cell r="AG13">
            <v>0.05</v>
          </cell>
          <cell r="AH13">
            <v>0.05</v>
          </cell>
          <cell r="AI13">
            <v>0.05</v>
          </cell>
          <cell r="AJ13">
            <v>0.05</v>
          </cell>
          <cell r="AK13">
            <v>0.05</v>
          </cell>
          <cell r="AL13">
            <v>0.05</v>
          </cell>
          <cell r="AM13">
            <v>0.05</v>
          </cell>
          <cell r="AN13">
            <v>0.05</v>
          </cell>
          <cell r="AO13">
            <v>0.05</v>
          </cell>
          <cell r="AP13">
            <v>0.05</v>
          </cell>
          <cell r="AQ13">
            <v>0.05</v>
          </cell>
          <cell r="AR13">
            <v>0.05</v>
          </cell>
          <cell r="AS13">
            <v>0.05</v>
          </cell>
          <cell r="AT13">
            <v>0.05</v>
          </cell>
          <cell r="AU13">
            <v>0.05</v>
          </cell>
          <cell r="AV13">
            <v>0.05</v>
          </cell>
          <cell r="AW13">
            <v>0.05</v>
          </cell>
          <cell r="AX13">
            <v>0.05</v>
          </cell>
          <cell r="AY13">
            <v>0.05</v>
          </cell>
          <cell r="AZ13">
            <v>0.05</v>
          </cell>
          <cell r="BA13">
            <v>0.05</v>
          </cell>
          <cell r="BB13">
            <v>0.05</v>
          </cell>
          <cell r="BC13">
            <v>0.05</v>
          </cell>
        </row>
        <row r="14">
          <cell r="A14" t="str">
            <v>Jet Fuel or Kerosene</v>
          </cell>
          <cell r="B14">
            <v>0.17497962338086417</v>
          </cell>
          <cell r="C14">
            <v>0.17497962338086417</v>
          </cell>
          <cell r="D14">
            <v>0.17497962338086417</v>
          </cell>
          <cell r="E14">
            <v>0.17497962338086417</v>
          </cell>
          <cell r="F14">
            <v>0.17497962338086417</v>
          </cell>
          <cell r="G14">
            <v>0.17497962338086417</v>
          </cell>
          <cell r="H14">
            <v>0.17497962338086417</v>
          </cell>
          <cell r="I14">
            <v>0.17497962338086417</v>
          </cell>
          <cell r="J14">
            <v>0.17497962338086417</v>
          </cell>
          <cell r="K14">
            <v>0.17497962338086417</v>
          </cell>
          <cell r="L14">
            <v>0.17497962338086417</v>
          </cell>
          <cell r="M14">
            <v>0.17497962338086417</v>
          </cell>
          <cell r="N14">
            <v>0.17497962338086417</v>
          </cell>
          <cell r="O14">
            <v>0.17497962338086417</v>
          </cell>
          <cell r="P14">
            <v>0.17497962338086417</v>
          </cell>
          <cell r="Q14">
            <v>0.17497962338086417</v>
          </cell>
          <cell r="R14">
            <v>0.17497962338086417</v>
          </cell>
          <cell r="S14">
            <v>0.17497962338086417</v>
          </cell>
          <cell r="T14">
            <v>0.17497962338086417</v>
          </cell>
          <cell r="U14">
            <v>0.17497962338086417</v>
          </cell>
          <cell r="V14">
            <v>0.17497962338086417</v>
          </cell>
          <cell r="W14">
            <v>0.17497962338086417</v>
          </cell>
          <cell r="X14">
            <v>0.17497962338086417</v>
          </cell>
          <cell r="Y14">
            <v>0.17497962338086417</v>
          </cell>
          <cell r="Z14">
            <v>0.17497962338086417</v>
          </cell>
          <cell r="AA14">
            <v>0.17497962338086417</v>
          </cell>
          <cell r="AB14">
            <v>0.17497962338086417</v>
          </cell>
          <cell r="AC14">
            <v>0.17497962338086417</v>
          </cell>
          <cell r="AD14">
            <v>0.17497962338086417</v>
          </cell>
          <cell r="AE14">
            <v>0.17497962338086417</v>
          </cell>
          <cell r="AF14">
            <v>0.17497962338086417</v>
          </cell>
          <cell r="AG14">
            <v>0.17497962338086417</v>
          </cell>
          <cell r="AH14">
            <v>0.17497962338086417</v>
          </cell>
          <cell r="AI14">
            <v>0.17497962338086417</v>
          </cell>
          <cell r="AJ14">
            <v>0.17497962338086417</v>
          </cell>
          <cell r="AK14">
            <v>0.17497962338086417</v>
          </cell>
          <cell r="AL14">
            <v>0.17497962338086417</v>
          </cell>
          <cell r="AM14">
            <v>0.17497962338086417</v>
          </cell>
          <cell r="AN14">
            <v>0.17497962338086417</v>
          </cell>
          <cell r="AO14">
            <v>0.17497962338086417</v>
          </cell>
          <cell r="AP14">
            <v>0.17497962338086417</v>
          </cell>
          <cell r="AQ14">
            <v>0.17497962338086417</v>
          </cell>
          <cell r="AR14">
            <v>0.17497962338086417</v>
          </cell>
          <cell r="AS14">
            <v>0.17497962338086417</v>
          </cell>
          <cell r="AT14">
            <v>0.17497962338086417</v>
          </cell>
          <cell r="AU14">
            <v>0.17497962338086417</v>
          </cell>
          <cell r="AV14">
            <v>0.17497962338086417</v>
          </cell>
          <cell r="AW14">
            <v>0.17497962338086417</v>
          </cell>
          <cell r="AX14">
            <v>0.17497962338086417</v>
          </cell>
          <cell r="AY14">
            <v>0.17497962338086417</v>
          </cell>
          <cell r="AZ14">
            <v>0.17497962338086417</v>
          </cell>
          <cell r="BA14">
            <v>0.17497962338086417</v>
          </cell>
          <cell r="BB14">
            <v>0.17497962338086417</v>
          </cell>
          <cell r="BC14">
            <v>0.17497962338086417</v>
          </cell>
        </row>
        <row r="15">
          <cell r="A15" t="str">
            <v>heat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</row>
        <row r="16">
          <cell r="A16" t="str">
            <v>Geothermal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</row>
        <row r="17">
          <cell r="A17" t="str">
            <v>lignite</v>
          </cell>
          <cell r="B17">
            <v>0.19524741753022354</v>
          </cell>
          <cell r="C17">
            <v>0.19524741753022354</v>
          </cell>
          <cell r="D17">
            <v>0.19524741753022354</v>
          </cell>
          <cell r="E17">
            <v>0.19524741753022354</v>
          </cell>
          <cell r="F17">
            <v>0.19524741753022354</v>
          </cell>
          <cell r="G17">
            <v>0.19524741753022354</v>
          </cell>
          <cell r="H17">
            <v>0.19524741753022354</v>
          </cell>
          <cell r="I17">
            <v>0.19524741753022354</v>
          </cell>
          <cell r="J17">
            <v>0.19524741753022354</v>
          </cell>
          <cell r="K17">
            <v>0.19524741753022354</v>
          </cell>
          <cell r="L17">
            <v>0.19524741753022354</v>
          </cell>
          <cell r="M17">
            <v>0.19524741753022354</v>
          </cell>
          <cell r="N17">
            <v>0.19524741753022354</v>
          </cell>
          <cell r="O17">
            <v>0.19524741753022354</v>
          </cell>
          <cell r="P17">
            <v>0.19524741753022354</v>
          </cell>
          <cell r="Q17">
            <v>0.19524741753022354</v>
          </cell>
          <cell r="R17">
            <v>0.19524741753022354</v>
          </cell>
          <cell r="S17">
            <v>0.19524741753022354</v>
          </cell>
          <cell r="T17">
            <v>0.19524741753022354</v>
          </cell>
          <cell r="U17">
            <v>0.19524741753022354</v>
          </cell>
          <cell r="V17">
            <v>0.19524741753022354</v>
          </cell>
          <cell r="W17">
            <v>0.19524741753022354</v>
          </cell>
          <cell r="X17">
            <v>0.19524741753022354</v>
          </cell>
          <cell r="Y17">
            <v>0.19524741753022354</v>
          </cell>
          <cell r="Z17">
            <v>0.19524741753022354</v>
          </cell>
          <cell r="AA17">
            <v>0.19524741753022354</v>
          </cell>
          <cell r="AB17">
            <v>0.19524741753022354</v>
          </cell>
          <cell r="AC17">
            <v>0.19524741753022354</v>
          </cell>
          <cell r="AD17">
            <v>0.19524741753022354</v>
          </cell>
          <cell r="AE17">
            <v>0.19524741753022354</v>
          </cell>
          <cell r="AF17">
            <v>0.19524741753022354</v>
          </cell>
          <cell r="AG17">
            <v>0.19524741753022354</v>
          </cell>
          <cell r="AH17">
            <v>0.19524741753022354</v>
          </cell>
          <cell r="AI17">
            <v>0.19524741753022354</v>
          </cell>
          <cell r="AJ17">
            <v>0.19524741753022354</v>
          </cell>
          <cell r="AK17">
            <v>0.19524741753022354</v>
          </cell>
          <cell r="AL17">
            <v>0.19524741753022354</v>
          </cell>
          <cell r="AM17">
            <v>0.19524741753022354</v>
          </cell>
          <cell r="AN17">
            <v>0.19524741753022354</v>
          </cell>
          <cell r="AO17">
            <v>0.19524741753022354</v>
          </cell>
          <cell r="AP17">
            <v>0.19524741753022354</v>
          </cell>
          <cell r="AQ17">
            <v>0.19524741753022354</v>
          </cell>
          <cell r="AR17">
            <v>0.19524741753022354</v>
          </cell>
          <cell r="AS17">
            <v>0.19524741753022354</v>
          </cell>
          <cell r="AT17">
            <v>0.19524741753022354</v>
          </cell>
          <cell r="AU17">
            <v>0.19524741753022354</v>
          </cell>
          <cell r="AV17">
            <v>0.19524741753022354</v>
          </cell>
          <cell r="AW17">
            <v>0.19524741753022354</v>
          </cell>
          <cell r="AX17">
            <v>0.19524741753022354</v>
          </cell>
          <cell r="AY17">
            <v>0.19524741753022354</v>
          </cell>
          <cell r="AZ17">
            <v>0.19524741753022354</v>
          </cell>
          <cell r="BA17">
            <v>0.19524741753022354</v>
          </cell>
          <cell r="BB17">
            <v>0.19524741753022354</v>
          </cell>
          <cell r="BC17">
            <v>0.19524741753022354</v>
          </cell>
        </row>
        <row r="18">
          <cell r="A18" t="str">
            <v>crude oil</v>
          </cell>
          <cell r="B18">
            <v>4.9958338844068258E-2</v>
          </cell>
          <cell r="C18">
            <v>4.9958338844068258E-2</v>
          </cell>
          <cell r="D18">
            <v>4.9958338844068258E-2</v>
          </cell>
          <cell r="E18">
            <v>4.9958338844068258E-2</v>
          </cell>
          <cell r="F18">
            <v>4.9958338844068258E-2</v>
          </cell>
          <cell r="G18">
            <v>4.9958338844068258E-2</v>
          </cell>
          <cell r="H18">
            <v>4.9958338844068258E-2</v>
          </cell>
          <cell r="I18">
            <v>4.9958338844068258E-2</v>
          </cell>
          <cell r="J18">
            <v>4.9958338844068258E-2</v>
          </cell>
          <cell r="K18">
            <v>4.9958338844068258E-2</v>
          </cell>
          <cell r="L18">
            <v>4.9958338844068258E-2</v>
          </cell>
          <cell r="M18">
            <v>4.9958338844068258E-2</v>
          </cell>
          <cell r="N18">
            <v>4.9958338844068258E-2</v>
          </cell>
          <cell r="O18">
            <v>4.9958338844068258E-2</v>
          </cell>
          <cell r="P18">
            <v>4.9958338844068258E-2</v>
          </cell>
          <cell r="Q18">
            <v>4.9958338844068258E-2</v>
          </cell>
          <cell r="R18">
            <v>4.9958338844068258E-2</v>
          </cell>
          <cell r="S18">
            <v>4.9958338844068258E-2</v>
          </cell>
          <cell r="T18">
            <v>4.9958338844068258E-2</v>
          </cell>
          <cell r="U18">
            <v>4.9958338844068258E-2</v>
          </cell>
          <cell r="V18">
            <v>4.9958338844068258E-2</v>
          </cell>
          <cell r="W18">
            <v>4.9958338844068258E-2</v>
          </cell>
          <cell r="X18">
            <v>4.9958338844068258E-2</v>
          </cell>
          <cell r="Y18">
            <v>4.9958338844068258E-2</v>
          </cell>
          <cell r="Z18">
            <v>4.9958338844068258E-2</v>
          </cell>
          <cell r="AA18">
            <v>4.9958338844068258E-2</v>
          </cell>
          <cell r="AB18">
            <v>4.9958338844068258E-2</v>
          </cell>
          <cell r="AC18">
            <v>4.9958338844068258E-2</v>
          </cell>
          <cell r="AD18">
            <v>4.9958338844068258E-2</v>
          </cell>
          <cell r="AE18">
            <v>4.9958338844068258E-2</v>
          </cell>
          <cell r="AF18">
            <v>4.9958338844068258E-2</v>
          </cell>
          <cell r="AG18">
            <v>4.9958338844068258E-2</v>
          </cell>
          <cell r="AH18">
            <v>4.9958338844068258E-2</v>
          </cell>
          <cell r="AI18">
            <v>4.9958338844068258E-2</v>
          </cell>
          <cell r="AJ18">
            <v>4.9958338844068258E-2</v>
          </cell>
          <cell r="AK18">
            <v>4.9958338844068258E-2</v>
          </cell>
          <cell r="AL18">
            <v>4.9958338844068258E-2</v>
          </cell>
          <cell r="AM18">
            <v>4.9958338844068258E-2</v>
          </cell>
          <cell r="AN18">
            <v>4.9958338844068258E-2</v>
          </cell>
          <cell r="AO18">
            <v>4.9958338844068258E-2</v>
          </cell>
          <cell r="AP18">
            <v>4.9958338844068258E-2</v>
          </cell>
          <cell r="AQ18">
            <v>4.9958338844068258E-2</v>
          </cell>
          <cell r="AR18">
            <v>4.9958338844068258E-2</v>
          </cell>
          <cell r="AS18">
            <v>4.9958338844068258E-2</v>
          </cell>
          <cell r="AT18">
            <v>4.9958338844068258E-2</v>
          </cell>
          <cell r="AU18">
            <v>4.9958338844068258E-2</v>
          </cell>
          <cell r="AV18">
            <v>4.9958338844068258E-2</v>
          </cell>
          <cell r="AW18">
            <v>4.9958338844068258E-2</v>
          </cell>
          <cell r="AX18">
            <v>4.9958338844068258E-2</v>
          </cell>
          <cell r="AY18">
            <v>4.9958338844068258E-2</v>
          </cell>
          <cell r="AZ18">
            <v>4.9958338844068258E-2</v>
          </cell>
          <cell r="BA18">
            <v>4.9958338844068258E-2</v>
          </cell>
          <cell r="BB18">
            <v>4.9958338844068258E-2</v>
          </cell>
          <cell r="BC18">
            <v>4.9958338844068258E-2</v>
          </cell>
        </row>
        <row r="19">
          <cell r="A19" t="str">
            <v>heavy fuel oil</v>
          </cell>
          <cell r="B19">
            <v>0.18</v>
          </cell>
          <cell r="C19">
            <v>0.18</v>
          </cell>
          <cell r="D19">
            <v>0.18</v>
          </cell>
          <cell r="E19">
            <v>0.18</v>
          </cell>
          <cell r="F19">
            <v>0.18</v>
          </cell>
          <cell r="G19">
            <v>0.18</v>
          </cell>
          <cell r="H19">
            <v>0.18</v>
          </cell>
          <cell r="I19">
            <v>0.18</v>
          </cell>
          <cell r="J19">
            <v>0.18</v>
          </cell>
          <cell r="K19">
            <v>0.18</v>
          </cell>
          <cell r="L19">
            <v>0.18</v>
          </cell>
          <cell r="M19">
            <v>0.18</v>
          </cell>
          <cell r="N19">
            <v>0.18</v>
          </cell>
          <cell r="O19">
            <v>0.18</v>
          </cell>
          <cell r="P19">
            <v>0.18</v>
          </cell>
          <cell r="Q19">
            <v>0.18</v>
          </cell>
          <cell r="R19">
            <v>0.18</v>
          </cell>
          <cell r="S19">
            <v>0.18</v>
          </cell>
          <cell r="T19">
            <v>0.18</v>
          </cell>
          <cell r="U19">
            <v>0.18</v>
          </cell>
          <cell r="V19">
            <v>0.18</v>
          </cell>
          <cell r="W19">
            <v>0.18</v>
          </cell>
          <cell r="X19">
            <v>0.18</v>
          </cell>
          <cell r="Y19">
            <v>0.18</v>
          </cell>
          <cell r="Z19">
            <v>0.18</v>
          </cell>
          <cell r="AA19">
            <v>0.18</v>
          </cell>
          <cell r="AB19">
            <v>0.18</v>
          </cell>
          <cell r="AC19">
            <v>0.18</v>
          </cell>
          <cell r="AD19">
            <v>0.18</v>
          </cell>
          <cell r="AE19">
            <v>0.18</v>
          </cell>
          <cell r="AF19">
            <v>0.18</v>
          </cell>
          <cell r="AG19">
            <v>0.18</v>
          </cell>
          <cell r="AH19">
            <v>0.18</v>
          </cell>
          <cell r="AI19">
            <v>0.18</v>
          </cell>
          <cell r="AJ19">
            <v>0.18</v>
          </cell>
          <cell r="AK19">
            <v>0.18</v>
          </cell>
          <cell r="AL19">
            <v>0.18</v>
          </cell>
          <cell r="AM19">
            <v>0.18</v>
          </cell>
          <cell r="AN19">
            <v>0.18</v>
          </cell>
          <cell r="AO19">
            <v>0.18</v>
          </cell>
          <cell r="AP19">
            <v>0.18</v>
          </cell>
          <cell r="AQ19">
            <v>0.18</v>
          </cell>
          <cell r="AR19">
            <v>0.18</v>
          </cell>
          <cell r="AS19">
            <v>0.18</v>
          </cell>
          <cell r="AT19">
            <v>0.18</v>
          </cell>
          <cell r="AU19">
            <v>0.18</v>
          </cell>
          <cell r="AV19">
            <v>0.18</v>
          </cell>
          <cell r="AW19">
            <v>0.18</v>
          </cell>
          <cell r="AX19">
            <v>0.18</v>
          </cell>
          <cell r="AY19">
            <v>0.18</v>
          </cell>
          <cell r="AZ19">
            <v>0.18</v>
          </cell>
          <cell r="BA19">
            <v>0.18</v>
          </cell>
          <cell r="BB19">
            <v>0.18</v>
          </cell>
          <cell r="BC19">
            <v>0.18</v>
          </cell>
        </row>
        <row r="20">
          <cell r="A20" t="str">
            <v>LPG propane or butane</v>
          </cell>
          <cell r="B20">
            <v>0.05</v>
          </cell>
          <cell r="C20">
            <v>0.05</v>
          </cell>
          <cell r="D20">
            <v>0.05</v>
          </cell>
          <cell r="E20">
            <v>0.05</v>
          </cell>
          <cell r="F20">
            <v>0.05</v>
          </cell>
          <cell r="G20">
            <v>0.05</v>
          </cell>
          <cell r="H20">
            <v>0.05</v>
          </cell>
          <cell r="I20">
            <v>0.05</v>
          </cell>
          <cell r="J20">
            <v>0.05</v>
          </cell>
          <cell r="K20">
            <v>0.05</v>
          </cell>
          <cell r="L20">
            <v>0.05</v>
          </cell>
          <cell r="M20">
            <v>0.05</v>
          </cell>
          <cell r="N20">
            <v>0.05</v>
          </cell>
          <cell r="O20">
            <v>0.05</v>
          </cell>
          <cell r="P20">
            <v>0.05</v>
          </cell>
          <cell r="Q20">
            <v>0.05</v>
          </cell>
          <cell r="R20">
            <v>0.05</v>
          </cell>
          <cell r="S20">
            <v>0.05</v>
          </cell>
          <cell r="T20">
            <v>0.05</v>
          </cell>
          <cell r="U20">
            <v>0.05</v>
          </cell>
          <cell r="V20">
            <v>0.05</v>
          </cell>
          <cell r="W20">
            <v>0.05</v>
          </cell>
          <cell r="X20">
            <v>0.05</v>
          </cell>
          <cell r="Y20">
            <v>0.05</v>
          </cell>
          <cell r="Z20">
            <v>0.05</v>
          </cell>
          <cell r="AA20">
            <v>0.05</v>
          </cell>
          <cell r="AB20">
            <v>0.05</v>
          </cell>
          <cell r="AC20">
            <v>0.05</v>
          </cell>
          <cell r="AD20">
            <v>0.05</v>
          </cell>
          <cell r="AE20">
            <v>0.05</v>
          </cell>
          <cell r="AF20">
            <v>0.05</v>
          </cell>
          <cell r="AG20">
            <v>0.05</v>
          </cell>
          <cell r="AH20">
            <v>0.05</v>
          </cell>
          <cell r="AI20">
            <v>0.05</v>
          </cell>
          <cell r="AJ20">
            <v>0.05</v>
          </cell>
          <cell r="AK20">
            <v>0.05</v>
          </cell>
          <cell r="AL20">
            <v>0.05</v>
          </cell>
          <cell r="AM20">
            <v>0.05</v>
          </cell>
          <cell r="AN20">
            <v>0.05</v>
          </cell>
          <cell r="AO20">
            <v>0.05</v>
          </cell>
          <cell r="AP20">
            <v>0.05</v>
          </cell>
          <cell r="AQ20">
            <v>0.05</v>
          </cell>
          <cell r="AR20">
            <v>0.05</v>
          </cell>
          <cell r="AS20">
            <v>0.05</v>
          </cell>
          <cell r="AT20">
            <v>0.05</v>
          </cell>
          <cell r="AU20">
            <v>0.05</v>
          </cell>
          <cell r="AV20">
            <v>0.05</v>
          </cell>
          <cell r="AW20">
            <v>0.05</v>
          </cell>
          <cell r="AX20">
            <v>0.05</v>
          </cell>
          <cell r="AY20">
            <v>0.05</v>
          </cell>
          <cell r="AZ20">
            <v>0.05</v>
          </cell>
          <cell r="BA20">
            <v>0.05</v>
          </cell>
          <cell r="BB20">
            <v>0.05</v>
          </cell>
          <cell r="BC20">
            <v>0.05</v>
          </cell>
        </row>
        <row r="21">
          <cell r="A21" t="str">
            <v>municipal solid waste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</row>
        <row r="22">
          <cell r="A22" t="str">
            <v>hydrogen</v>
          </cell>
          <cell r="B22">
            <v>6.388870260500451E-2</v>
          </cell>
          <cell r="C22">
            <v>6.388870260500451E-2</v>
          </cell>
          <cell r="D22">
            <v>6.388870260500451E-2</v>
          </cell>
          <cell r="E22">
            <v>6.388870260500451E-2</v>
          </cell>
          <cell r="F22">
            <v>6.388870260500451E-2</v>
          </cell>
          <cell r="G22">
            <v>6.388870260500451E-2</v>
          </cell>
          <cell r="H22">
            <v>6.388870260500451E-2</v>
          </cell>
          <cell r="I22">
            <v>6.388870260500451E-2</v>
          </cell>
          <cell r="J22">
            <v>6.388870260500451E-2</v>
          </cell>
          <cell r="K22">
            <v>6.388870260500451E-2</v>
          </cell>
          <cell r="L22">
            <v>6.388870260500451E-2</v>
          </cell>
          <cell r="M22">
            <v>6.388870260500451E-2</v>
          </cell>
          <cell r="N22">
            <v>6.388870260500451E-2</v>
          </cell>
          <cell r="O22">
            <v>6.388870260500451E-2</v>
          </cell>
          <cell r="P22">
            <v>6.388870260500451E-2</v>
          </cell>
          <cell r="Q22">
            <v>6.388870260500451E-2</v>
          </cell>
          <cell r="R22">
            <v>6.388870260500451E-2</v>
          </cell>
          <cell r="S22">
            <v>6.388870260500451E-2</v>
          </cell>
          <cell r="T22">
            <v>6.388870260500451E-2</v>
          </cell>
          <cell r="U22">
            <v>6.388870260500451E-2</v>
          </cell>
          <cell r="V22">
            <v>6.388870260500451E-2</v>
          </cell>
          <cell r="W22">
            <v>6.388870260500451E-2</v>
          </cell>
          <cell r="X22">
            <v>6.388870260500451E-2</v>
          </cell>
          <cell r="Y22">
            <v>6.388870260500451E-2</v>
          </cell>
          <cell r="Z22">
            <v>6.388870260500451E-2</v>
          </cell>
          <cell r="AA22">
            <v>6.388870260500451E-2</v>
          </cell>
          <cell r="AB22">
            <v>6.388870260500451E-2</v>
          </cell>
          <cell r="AC22">
            <v>6.388870260500451E-2</v>
          </cell>
          <cell r="AD22">
            <v>6.388870260500451E-2</v>
          </cell>
          <cell r="AE22">
            <v>6.388870260500451E-2</v>
          </cell>
          <cell r="AF22">
            <v>6.388870260500451E-2</v>
          </cell>
          <cell r="AG22">
            <v>6.388870260500451E-2</v>
          </cell>
          <cell r="AH22">
            <v>6.388870260500451E-2</v>
          </cell>
          <cell r="AI22">
            <v>6.388870260500451E-2</v>
          </cell>
          <cell r="AJ22">
            <v>6.388870260500451E-2</v>
          </cell>
          <cell r="AK22">
            <v>6.388870260500451E-2</v>
          </cell>
          <cell r="AL22">
            <v>6.388870260500451E-2</v>
          </cell>
          <cell r="AM22">
            <v>6.388870260500451E-2</v>
          </cell>
          <cell r="AN22">
            <v>6.388870260500451E-2</v>
          </cell>
          <cell r="AO22">
            <v>6.388870260500451E-2</v>
          </cell>
          <cell r="AP22">
            <v>6.388870260500451E-2</v>
          </cell>
          <cell r="AQ22">
            <v>6.388870260500451E-2</v>
          </cell>
          <cell r="AR22">
            <v>6.388870260500451E-2</v>
          </cell>
          <cell r="AS22">
            <v>6.388870260500451E-2</v>
          </cell>
          <cell r="AT22">
            <v>6.388870260500451E-2</v>
          </cell>
          <cell r="AU22">
            <v>6.388870260500451E-2</v>
          </cell>
          <cell r="AV22">
            <v>6.388870260500451E-2</v>
          </cell>
          <cell r="AW22">
            <v>6.388870260500451E-2</v>
          </cell>
          <cell r="AX22">
            <v>6.388870260500451E-2</v>
          </cell>
          <cell r="AY22">
            <v>6.388870260500451E-2</v>
          </cell>
          <cell r="AZ22">
            <v>6.388870260500451E-2</v>
          </cell>
          <cell r="BA22">
            <v>6.388870260500451E-2</v>
          </cell>
          <cell r="BB22">
            <v>6.388870260500451E-2</v>
          </cell>
          <cell r="BC22">
            <v>6.388870260500451E-2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A26" sqref="A26"/>
    </sheetView>
  </sheetViews>
  <sheetFormatPr defaultRowHeight="14.5" x14ac:dyDescent="0.35"/>
  <cols>
    <col min="2" max="2" width="54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s="3" t="s">
        <v>2</v>
      </c>
    </row>
    <row r="4" spans="1:2" x14ac:dyDescent="0.35">
      <c r="B4" t="s">
        <v>3</v>
      </c>
    </row>
    <row r="5" spans="1:2" x14ac:dyDescent="0.35">
      <c r="B5" s="4">
        <v>2018</v>
      </c>
    </row>
    <row r="6" spans="1:2" x14ac:dyDescent="0.35">
      <c r="B6" t="s">
        <v>4</v>
      </c>
    </row>
    <row r="8" spans="1:2" x14ac:dyDescent="0.35">
      <c r="B8" t="s">
        <v>5</v>
      </c>
    </row>
    <row r="10" spans="1:2" x14ac:dyDescent="0.35">
      <c r="A10" s="1" t="s">
        <v>6</v>
      </c>
    </row>
    <row r="11" spans="1:2" x14ac:dyDescent="0.35">
      <c r="A11" t="s">
        <v>7</v>
      </c>
    </row>
    <row r="12" spans="1:2" x14ac:dyDescent="0.35">
      <c r="A12" t="s">
        <v>8</v>
      </c>
    </row>
    <row r="13" spans="1:2" x14ac:dyDescent="0.35">
      <c r="A13" t="s">
        <v>9</v>
      </c>
    </row>
    <row r="14" spans="1:2" x14ac:dyDescent="0.35">
      <c r="A14" t="s">
        <v>10</v>
      </c>
    </row>
    <row r="15" spans="1:2" x14ac:dyDescent="0.35">
      <c r="A15" t="s">
        <v>11</v>
      </c>
    </row>
    <row r="16" spans="1:2" x14ac:dyDescent="0.35">
      <c r="A16" t="s">
        <v>12</v>
      </c>
    </row>
    <row r="17" spans="1:2" x14ac:dyDescent="0.35">
      <c r="A17" t="s">
        <v>13</v>
      </c>
    </row>
    <row r="18" spans="1:2" x14ac:dyDescent="0.35">
      <c r="A18" t="s">
        <v>14</v>
      </c>
    </row>
    <row r="19" spans="1:2" x14ac:dyDescent="0.35">
      <c r="A19" t="s">
        <v>15</v>
      </c>
    </row>
    <row r="20" spans="1:2" x14ac:dyDescent="0.35">
      <c r="A20" t="s">
        <v>16</v>
      </c>
    </row>
    <row r="22" spans="1:2" x14ac:dyDescent="0.35">
      <c r="A22" t="s">
        <v>17</v>
      </c>
    </row>
    <row r="23" spans="1:2" x14ac:dyDescent="0.35">
      <c r="A23" t="s">
        <v>18</v>
      </c>
    </row>
    <row r="25" spans="1:2" x14ac:dyDescent="0.35">
      <c r="A25" s="1" t="s">
        <v>19</v>
      </c>
    </row>
    <row r="26" spans="1:2" x14ac:dyDescent="0.35">
      <c r="A26" s="2">
        <v>947817.12</v>
      </c>
      <c r="B26" t="s">
        <v>20</v>
      </c>
    </row>
    <row r="28" spans="1:2" x14ac:dyDescent="0.35">
      <c r="A28" t="s">
        <v>21</v>
      </c>
    </row>
    <row r="29" spans="1:2" x14ac:dyDescent="0.35">
      <c r="A29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49"/>
  <sheetViews>
    <sheetView tabSelected="1" topLeftCell="A34" zoomScaleNormal="100" workbookViewId="0">
      <selection activeCell="B36" sqref="B36"/>
    </sheetView>
  </sheetViews>
  <sheetFormatPr defaultRowHeight="14.5" x14ac:dyDescent="0.35"/>
  <cols>
    <col min="1" max="1" width="30.453125" customWidth="1"/>
    <col min="2" max="2" width="13.1796875" bestFit="1" customWidth="1"/>
  </cols>
  <sheetData>
    <row r="1" spans="1:31" s="3" customFormat="1" x14ac:dyDescent="0.35">
      <c r="A1" s="3" t="s">
        <v>23</v>
      </c>
    </row>
    <row r="2" spans="1:31" x14ac:dyDescent="0.3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35">
      <c r="A3" t="s">
        <v>24</v>
      </c>
      <c r="B3">
        <v>37.140568977148</v>
      </c>
      <c r="C3">
        <v>37.201341596238301</v>
      </c>
      <c r="D3">
        <v>36.728316129251802</v>
      </c>
      <c r="E3">
        <v>36.677828784820498</v>
      </c>
      <c r="F3">
        <v>36.626599818380598</v>
      </c>
      <c r="G3">
        <v>36.572461411753103</v>
      </c>
      <c r="H3">
        <v>36.514272608001797</v>
      </c>
      <c r="I3">
        <v>36.448877970331999</v>
      </c>
      <c r="J3">
        <v>36.3769621627359</v>
      </c>
      <c r="K3">
        <v>36.290113496790497</v>
      </c>
      <c r="L3">
        <v>39.485801824193203</v>
      </c>
      <c r="M3">
        <v>39.360335765631802</v>
      </c>
      <c r="N3">
        <v>39.227440118650399</v>
      </c>
      <c r="O3">
        <v>39.065413308941302</v>
      </c>
      <c r="P3">
        <v>42.199321756490697</v>
      </c>
      <c r="Q3">
        <v>41.794950809280301</v>
      </c>
      <c r="R3">
        <v>41.583448345097203</v>
      </c>
      <c r="S3">
        <v>40.963428663038599</v>
      </c>
      <c r="T3">
        <v>40.145703626660698</v>
      </c>
      <c r="U3">
        <v>38.195291008552203</v>
      </c>
      <c r="V3">
        <v>35.931080556081596</v>
      </c>
      <c r="W3">
        <v>32.806003427901203</v>
      </c>
      <c r="X3">
        <v>33.516125921839198</v>
      </c>
      <c r="Y3">
        <v>34.240401085662803</v>
      </c>
      <c r="Z3">
        <v>34.9791109833658</v>
      </c>
      <c r="AA3">
        <v>35.732543302089297</v>
      </c>
      <c r="AB3">
        <v>36.500991448572698</v>
      </c>
      <c r="AC3">
        <v>37.284754693832603</v>
      </c>
      <c r="AD3">
        <v>38.084138269613902</v>
      </c>
      <c r="AE3">
        <v>38.8994534841326</v>
      </c>
    </row>
    <row r="4" spans="1:31" x14ac:dyDescent="0.35">
      <c r="A4" t="s">
        <v>25</v>
      </c>
      <c r="B4">
        <v>37.546766209614901</v>
      </c>
      <c r="C4">
        <v>37.654387681194002</v>
      </c>
      <c r="D4">
        <v>36.901840311449902</v>
      </c>
      <c r="E4">
        <v>36.851083582248002</v>
      </c>
      <c r="F4">
        <v>36.799581273972997</v>
      </c>
      <c r="G4">
        <v>36.745154001642298</v>
      </c>
      <c r="H4">
        <v>36.686654720528203</v>
      </c>
      <c r="I4">
        <v>36.624656952994499</v>
      </c>
      <c r="J4">
        <v>36.555260746967001</v>
      </c>
      <c r="K4">
        <v>36.479154329282203</v>
      </c>
      <c r="L4">
        <v>39.732315947579302</v>
      </c>
      <c r="M4">
        <v>39.647692722791199</v>
      </c>
      <c r="N4">
        <v>39.553434322290101</v>
      </c>
      <c r="O4">
        <v>39.446443725311298</v>
      </c>
      <c r="P4">
        <v>42.643600884777101</v>
      </c>
      <c r="Q4">
        <v>42.525742039002999</v>
      </c>
      <c r="R4">
        <v>42.392770878941199</v>
      </c>
      <c r="S4">
        <v>42.241590383826598</v>
      </c>
      <c r="T4">
        <v>42.068931476185398</v>
      </c>
      <c r="U4">
        <v>41.870521414406703</v>
      </c>
      <c r="V4">
        <v>41.653902017575298</v>
      </c>
      <c r="W4">
        <v>47.526138928681398</v>
      </c>
      <c r="X4">
        <v>47.526138928681398</v>
      </c>
      <c r="Y4">
        <v>47.526138928681398</v>
      </c>
      <c r="Z4">
        <v>47.526138928681398</v>
      </c>
      <c r="AA4">
        <v>47.526138928681398</v>
      </c>
      <c r="AB4">
        <v>47.526138928681398</v>
      </c>
      <c r="AC4">
        <v>47.526138928681398</v>
      </c>
      <c r="AD4">
        <v>47.526138928681398</v>
      </c>
      <c r="AE4">
        <v>47.526138928681398</v>
      </c>
    </row>
    <row r="5" spans="1:31" x14ac:dyDescent="0.35">
      <c r="A5" t="s">
        <v>26</v>
      </c>
      <c r="B5">
        <v>24.4123828477519</v>
      </c>
      <c r="C5">
        <v>22.145680536501199</v>
      </c>
      <c r="D5" t="s">
        <v>27</v>
      </c>
      <c r="E5" t="s">
        <v>27</v>
      </c>
      <c r="F5" t="s">
        <v>27</v>
      </c>
      <c r="G5">
        <v>21.3964771206401</v>
      </c>
      <c r="H5">
        <v>21.7729145628895</v>
      </c>
      <c r="I5">
        <v>22.2436609271344</v>
      </c>
      <c r="J5">
        <v>22.683597538932801</v>
      </c>
      <c r="K5">
        <v>23.1218659183283</v>
      </c>
      <c r="L5">
        <v>23.566176653619902</v>
      </c>
      <c r="M5">
        <v>24.1310698620544</v>
      </c>
      <c r="N5">
        <v>24.704385300341599</v>
      </c>
      <c r="O5">
        <v>25.255915857274299</v>
      </c>
      <c r="P5">
        <v>25.8263996697486</v>
      </c>
      <c r="Q5">
        <v>26.402122914468301</v>
      </c>
      <c r="R5">
        <v>26.909595633042802</v>
      </c>
      <c r="S5">
        <v>27.5349971141585</v>
      </c>
      <c r="T5">
        <v>28.245733891082601</v>
      </c>
      <c r="U5">
        <v>28.879223203245399</v>
      </c>
      <c r="V5">
        <v>29.531293688379201</v>
      </c>
      <c r="W5">
        <v>30.1966448119476</v>
      </c>
      <c r="X5">
        <v>30.875547063714201</v>
      </c>
      <c r="Y5">
        <v>31.568276440847001</v>
      </c>
      <c r="Z5">
        <v>32.275114544370702</v>
      </c>
      <c r="AA5">
        <v>32.996348733489803</v>
      </c>
      <c r="AB5">
        <v>33.732272202749598</v>
      </c>
      <c r="AC5">
        <v>34.483184146005001</v>
      </c>
      <c r="AD5">
        <v>35.249389814291398</v>
      </c>
      <c r="AE5">
        <v>36.031200708728697</v>
      </c>
    </row>
    <row r="6" spans="1:31" x14ac:dyDescent="0.35">
      <c r="A6" t="s">
        <v>28</v>
      </c>
      <c r="B6">
        <v>33.612289874019702</v>
      </c>
      <c r="C6">
        <v>35.599415538046003</v>
      </c>
      <c r="D6">
        <v>32.242666969309099</v>
      </c>
      <c r="E6">
        <v>33.6065564910934</v>
      </c>
      <c r="F6">
        <v>33.686471702587497</v>
      </c>
      <c r="G6">
        <v>32.5361535347255</v>
      </c>
      <c r="H6">
        <v>32.601073994382801</v>
      </c>
      <c r="I6">
        <v>32.578972963509798</v>
      </c>
      <c r="J6">
        <v>33.997588461072702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 t="s">
        <v>27</v>
      </c>
      <c r="AB6" t="s">
        <v>27</v>
      </c>
      <c r="AC6" t="s">
        <v>27</v>
      </c>
      <c r="AD6" t="s">
        <v>27</v>
      </c>
      <c r="AE6">
        <v>41.934834775512002</v>
      </c>
    </row>
    <row r="7" spans="1:31" x14ac:dyDescent="0.35">
      <c r="A7" t="s">
        <v>29</v>
      </c>
      <c r="B7">
        <v>19.8374928814148</v>
      </c>
      <c r="C7">
        <v>20.124146387541099</v>
      </c>
      <c r="D7">
        <v>20.405841388180399</v>
      </c>
      <c r="E7">
        <v>20.681106544405299</v>
      </c>
      <c r="F7">
        <v>21.044223205382401</v>
      </c>
      <c r="G7">
        <v>21.396822042904098</v>
      </c>
      <c r="H7">
        <v>21.773061470146899</v>
      </c>
      <c r="I7">
        <v>22.243804889006501</v>
      </c>
      <c r="J7">
        <v>22.6837492358313</v>
      </c>
      <c r="K7">
        <v>23.1218659183283</v>
      </c>
      <c r="L7">
        <v>23.566176653619902</v>
      </c>
      <c r="M7">
        <v>24.1310698620544</v>
      </c>
      <c r="N7">
        <v>24.704385300341599</v>
      </c>
      <c r="O7">
        <v>25.255915857274299</v>
      </c>
      <c r="P7">
        <v>25.8263996697486</v>
      </c>
      <c r="Q7">
        <v>26.402122914468301</v>
      </c>
      <c r="R7">
        <v>26.909595633042802</v>
      </c>
      <c r="S7">
        <v>27.5349971141585</v>
      </c>
      <c r="T7">
        <v>28.245733891082601</v>
      </c>
      <c r="U7">
        <v>28.879223203245399</v>
      </c>
      <c r="V7">
        <v>29.531293688379201</v>
      </c>
      <c r="W7">
        <v>30.1966448119476</v>
      </c>
      <c r="X7">
        <v>30.875547063714201</v>
      </c>
      <c r="Y7">
        <v>31.568276440847001</v>
      </c>
      <c r="Z7">
        <v>32.275114544370702</v>
      </c>
      <c r="AA7">
        <v>32.996348733489803</v>
      </c>
      <c r="AB7">
        <v>33.732272202749598</v>
      </c>
      <c r="AC7">
        <v>34.483184146005001</v>
      </c>
      <c r="AD7">
        <v>35.249389814291398</v>
      </c>
      <c r="AE7">
        <v>36.031508112322399</v>
      </c>
    </row>
    <row r="8" spans="1:31" x14ac:dyDescent="0.35">
      <c r="A8" t="s">
        <v>30</v>
      </c>
      <c r="B8">
        <v>25.114456126404701</v>
      </c>
      <c r="C8">
        <v>26.273551364326099</v>
      </c>
      <c r="D8">
        <v>27.113185887634899</v>
      </c>
      <c r="E8">
        <v>27.1750336796445</v>
      </c>
      <c r="F8">
        <v>27.264087175071801</v>
      </c>
      <c r="G8">
        <v>27.360004604056599</v>
      </c>
      <c r="H8">
        <v>27.458947547582699</v>
      </c>
      <c r="I8">
        <v>27.725497725461398</v>
      </c>
      <c r="J8">
        <v>27.866533312591901</v>
      </c>
      <c r="K8">
        <v>27.9921144701059</v>
      </c>
      <c r="L8">
        <v>29.580078335087901</v>
      </c>
      <c r="M8">
        <v>29.7479354066264</v>
      </c>
      <c r="N8">
        <v>29.946867596442001</v>
      </c>
      <c r="O8">
        <v>30.2166473589233</v>
      </c>
      <c r="P8">
        <v>31.657737206255799</v>
      </c>
      <c r="Q8">
        <v>31.893495022011599</v>
      </c>
      <c r="R8">
        <v>32.102231111746804</v>
      </c>
      <c r="S8">
        <v>32.422004429496603</v>
      </c>
      <c r="T8">
        <v>32.7713692879232</v>
      </c>
      <c r="U8">
        <v>33.088395089337197</v>
      </c>
      <c r="V8">
        <v>33.4920306239582</v>
      </c>
      <c r="W8">
        <v>34.821931191245199</v>
      </c>
      <c r="X8">
        <v>35.430388308616202</v>
      </c>
      <c r="Y8">
        <v>35.903180099485297</v>
      </c>
      <c r="Z8">
        <v>36.375363654415999</v>
      </c>
      <c r="AA8">
        <v>36.886317632200402</v>
      </c>
      <c r="AB8">
        <v>37.4355079640805</v>
      </c>
      <c r="AC8">
        <v>38.022609552183503</v>
      </c>
      <c r="AD8">
        <v>38.6473470673916</v>
      </c>
      <c r="AE8">
        <v>39.309585492238803</v>
      </c>
    </row>
    <row r="9" spans="1:31" x14ac:dyDescent="0.35">
      <c r="A9" t="s">
        <v>31</v>
      </c>
    </row>
    <row r="10" spans="1:31" x14ac:dyDescent="0.35">
      <c r="A10" t="s">
        <v>24</v>
      </c>
      <c r="B10">
        <v>37.136317172433102</v>
      </c>
      <c r="C10">
        <v>37.204454286359599</v>
      </c>
      <c r="D10">
        <v>36.744945576598397</v>
      </c>
      <c r="E10">
        <v>36.922278808423002</v>
      </c>
      <c r="F10">
        <v>36.894382411330398</v>
      </c>
      <c r="G10">
        <v>36.864546387446197</v>
      </c>
      <c r="H10">
        <v>36.830346203280499</v>
      </c>
      <c r="I10">
        <v>36.775998831937002</v>
      </c>
      <c r="J10">
        <v>36.899417148687</v>
      </c>
      <c r="K10">
        <v>36.764803890889603</v>
      </c>
      <c r="L10">
        <v>39.536667406341998</v>
      </c>
      <c r="M10">
        <v>39.450583171392601</v>
      </c>
      <c r="N10">
        <v>39.238065796928304</v>
      </c>
      <c r="O10">
        <v>38.961110419247603</v>
      </c>
      <c r="P10">
        <v>41.072339298003698</v>
      </c>
      <c r="Q10">
        <v>40.593925954554301</v>
      </c>
      <c r="R10">
        <v>39.715411441798899</v>
      </c>
      <c r="S10">
        <v>38.5482287955315</v>
      </c>
      <c r="T10">
        <v>38.856084022377402</v>
      </c>
      <c r="U10">
        <v>37.613622737666397</v>
      </c>
      <c r="V10">
        <v>37.000345196475998</v>
      </c>
      <c r="W10">
        <v>40.016689961730002</v>
      </c>
      <c r="X10">
        <v>38.701382368153702</v>
      </c>
      <c r="Y10">
        <v>35.727965527013701</v>
      </c>
      <c r="Z10">
        <v>34.9791109833658</v>
      </c>
      <c r="AA10">
        <v>35.732543302089297</v>
      </c>
      <c r="AB10">
        <v>36.500991448572798</v>
      </c>
      <c r="AC10">
        <v>37.284754693832603</v>
      </c>
      <c r="AD10">
        <v>38.084138269613902</v>
      </c>
      <c r="AE10">
        <v>38.8994534841326</v>
      </c>
    </row>
    <row r="11" spans="1:31" x14ac:dyDescent="0.35">
      <c r="A11" t="s">
        <v>25</v>
      </c>
      <c r="B11">
        <v>37.547683845397103</v>
      </c>
      <c r="C11">
        <v>37.657656758667997</v>
      </c>
      <c r="D11">
        <v>36.918558488356602</v>
      </c>
      <c r="E11">
        <v>37.096837915163697</v>
      </c>
      <c r="F11">
        <v>37.068792671570698</v>
      </c>
      <c r="G11">
        <v>37.038797451940702</v>
      </c>
      <c r="H11">
        <v>37.004414786227002</v>
      </c>
      <c r="I11">
        <v>36.965788055020802</v>
      </c>
      <c r="J11">
        <v>37.0976121703549</v>
      </c>
      <c r="K11">
        <v>37.054397260237799</v>
      </c>
      <c r="L11">
        <v>40.056671520462501</v>
      </c>
      <c r="M11">
        <v>40.0013266123497</v>
      </c>
      <c r="N11">
        <v>39.939845014943501</v>
      </c>
      <c r="O11">
        <v>39.8710796835162</v>
      </c>
      <c r="P11">
        <v>42.844448416602198</v>
      </c>
      <c r="Q11">
        <v>42.756298029276302</v>
      </c>
      <c r="R11">
        <v>42.656275729018397</v>
      </c>
      <c r="S11">
        <v>42.542546244264202</v>
      </c>
      <c r="T11">
        <v>42.637980365611199</v>
      </c>
      <c r="U11">
        <v>42.506070221922499</v>
      </c>
      <c r="V11">
        <v>42.361628614583402</v>
      </c>
      <c r="W11">
        <v>48.293855964949699</v>
      </c>
      <c r="X11">
        <v>48.095015761398102</v>
      </c>
      <c r="Y11">
        <v>47.858122349004098</v>
      </c>
      <c r="Z11">
        <v>47.570328826817097</v>
      </c>
      <c r="AA11">
        <v>47.526138928681398</v>
      </c>
      <c r="AB11">
        <v>47.526138928681398</v>
      </c>
      <c r="AC11">
        <v>47.526138928681398</v>
      </c>
      <c r="AD11">
        <v>47.526138928681398</v>
      </c>
      <c r="AE11">
        <v>47.526138928681398</v>
      </c>
    </row>
    <row r="13" spans="1:31" s="3" customFormat="1" x14ac:dyDescent="0.35">
      <c r="A13" s="3" t="s">
        <v>32</v>
      </c>
    </row>
    <row r="14" spans="1:31" x14ac:dyDescent="0.35">
      <c r="A14" t="s">
        <v>24</v>
      </c>
      <c r="B14">
        <f>B3/btu_per_EJ</f>
        <v>3.9185374681930201E-5</v>
      </c>
      <c r="C14">
        <f>C3/btu_per_EJ</f>
        <v>3.9249493189401668E-5</v>
      </c>
      <c r="D14">
        <f>D3/btu_per_EJ</f>
        <v>3.8750424901854275E-5</v>
      </c>
      <c r="E14">
        <f>E3/btu_per_EJ</f>
        <v>3.8697157933611182E-5</v>
      </c>
      <c r="F14">
        <f>F3/btu_per_EJ</f>
        <v>3.8643108512727222E-5</v>
      </c>
      <c r="G14">
        <f>G3/btu_per_EJ</f>
        <v>3.858598946994448E-5</v>
      </c>
      <c r="H14">
        <f>H3/btu_per_EJ</f>
        <v>3.8524597031969414E-5</v>
      </c>
      <c r="I14">
        <f>I3/btu_per_EJ</f>
        <v>3.8455602036743121E-5</v>
      </c>
      <c r="J14">
        <f>J3/btu_per_EJ</f>
        <v>3.8379726843017881E-5</v>
      </c>
      <c r="K14">
        <f>K3/btu_per_EJ</f>
        <v>3.8288096649689652E-5</v>
      </c>
      <c r="L14">
        <f>L3/btu_per_EJ</f>
        <v>4.165972632377985E-5</v>
      </c>
      <c r="M14">
        <f>M3/btu_per_EJ</f>
        <v>4.1527352624345722E-5</v>
      </c>
      <c r="N14">
        <f>N3/btu_per_EJ</f>
        <v>4.1387140294163922E-5</v>
      </c>
      <c r="O14">
        <f>O3/btu_per_EJ</f>
        <v>4.1216192960242484E-5</v>
      </c>
      <c r="P14">
        <f>P3/btu_per_EJ</f>
        <v>4.4522641410497731E-5</v>
      </c>
      <c r="Q14">
        <f>Q3/btu_per_EJ</f>
        <v>4.409600747587288E-5</v>
      </c>
      <c r="R14">
        <f>R3/btu_per_EJ</f>
        <v>4.3872860563119181E-5</v>
      </c>
      <c r="S14">
        <f>S3/btu_per_EJ</f>
        <v>4.3218705168607418E-5</v>
      </c>
      <c r="T14">
        <f>T3/btu_per_EJ</f>
        <v>4.2355959582857818E-5</v>
      </c>
      <c r="U14">
        <f>U3/btu_per_EJ</f>
        <v>4.0298165334418315E-5</v>
      </c>
      <c r="V14">
        <f>V3/btu_per_EJ</f>
        <v>3.7909296844186139E-5</v>
      </c>
      <c r="W14">
        <f>W3/btu_per_EJ</f>
        <v>3.4612165929120589E-5</v>
      </c>
      <c r="X14">
        <f>X3/btu_per_EJ</f>
        <v>3.5361384822674651E-5</v>
      </c>
      <c r="Y14">
        <f>Y3/btu_per_EJ</f>
        <v>3.6125535573426656E-5</v>
      </c>
      <c r="Z14">
        <f>Z3/btu_per_EJ</f>
        <v>3.6904915774644164E-5</v>
      </c>
      <c r="AA14">
        <f>AA3/btu_per_EJ</f>
        <v>3.7699828952329217E-5</v>
      </c>
      <c r="AB14">
        <f>AB3/btu_per_EJ</f>
        <v>3.8510584666979533E-5</v>
      </c>
      <c r="AC14">
        <f>AC3/btu_per_EJ</f>
        <v>3.9337498666232791E-5</v>
      </c>
      <c r="AD14">
        <f>AD3/btu_per_EJ</f>
        <v>4.0180892986627953E-5</v>
      </c>
      <c r="AE14">
        <f>AE3/btu_per_EJ</f>
        <v>4.1041096075720387E-5</v>
      </c>
    </row>
    <row r="15" spans="1:31" x14ac:dyDescent="0.35">
      <c r="A15" t="s">
        <v>25</v>
      </c>
      <c r="B15">
        <f>B4/btu_per_EJ</f>
        <v>3.9613935449504121E-5</v>
      </c>
      <c r="C15">
        <f>C4/btu_per_EJ</f>
        <v>3.9727482112998762E-5</v>
      </c>
      <c r="D15">
        <f>D4/btu_per_EJ</f>
        <v>3.8933502605914002E-5</v>
      </c>
      <c r="E15">
        <f>E4/btu_per_EJ</f>
        <v>3.8879951421691985E-5</v>
      </c>
      <c r="F15">
        <f>F4/btu_per_EJ</f>
        <v>3.8825613609905036E-5</v>
      </c>
      <c r="G15">
        <f>G4/btu_per_EJ</f>
        <v>3.8768189797671407E-5</v>
      </c>
      <c r="H15">
        <f>H4/btu_per_EJ</f>
        <v>3.8706469788737519E-5</v>
      </c>
      <c r="I15">
        <f>I4/btu_per_EJ</f>
        <v>3.8641058681230087E-5</v>
      </c>
      <c r="J15">
        <f>J4/btu_per_EJ</f>
        <v>3.8567841807886946E-5</v>
      </c>
      <c r="K15">
        <f>K4/btu_per_EJ</f>
        <v>3.8487545286460116E-5</v>
      </c>
      <c r="L15">
        <f>L4/btu_per_EJ</f>
        <v>4.1919812492497818E-5</v>
      </c>
      <c r="M15">
        <f>M4/btu_per_EJ</f>
        <v>4.1830530263888033E-5</v>
      </c>
      <c r="N15">
        <f>N4/btu_per_EJ</f>
        <v>4.173108238674788E-5</v>
      </c>
      <c r="O15">
        <f>O4/btu_per_EJ</f>
        <v>4.1618201331192773E-5</v>
      </c>
      <c r="P15">
        <f>P4/btu_per_EJ</f>
        <v>4.4991380705148162E-5</v>
      </c>
      <c r="Q15">
        <f>Q4/btu_per_EJ</f>
        <v>4.4867033040090055E-5</v>
      </c>
      <c r="R15">
        <f>R4/btu_per_EJ</f>
        <v>4.4726741039390805E-5</v>
      </c>
      <c r="S15">
        <f>S4/btu_per_EJ</f>
        <v>4.4567237173165427E-5</v>
      </c>
      <c r="T15">
        <f>T4/btu_per_EJ</f>
        <v>4.4385072382091385E-5</v>
      </c>
      <c r="U15">
        <f>U4/btu_per_EJ</f>
        <v>4.4175738685123882E-5</v>
      </c>
      <c r="V15">
        <f>V4/btu_per_EJ</f>
        <v>4.3947193122630346E-5</v>
      </c>
      <c r="W15">
        <f>W4/btu_per_EJ</f>
        <v>5.0142731045712066E-5</v>
      </c>
      <c r="X15">
        <f>X4/btu_per_EJ</f>
        <v>5.0142731045712066E-5</v>
      </c>
      <c r="Y15">
        <f>Y4/btu_per_EJ</f>
        <v>5.0142731045712066E-5</v>
      </c>
      <c r="Z15">
        <f>Z4/btu_per_EJ</f>
        <v>5.0142731045712066E-5</v>
      </c>
      <c r="AA15">
        <f>AA4/btu_per_EJ</f>
        <v>5.0142731045712066E-5</v>
      </c>
      <c r="AB15">
        <f>AB4/btu_per_EJ</f>
        <v>5.0142731045712066E-5</v>
      </c>
      <c r="AC15">
        <f>AC4/btu_per_EJ</f>
        <v>5.0142731045712066E-5</v>
      </c>
      <c r="AD15">
        <f>AD4/btu_per_EJ</f>
        <v>5.0142731045712066E-5</v>
      </c>
      <c r="AE15">
        <f>AE4/btu_per_EJ</f>
        <v>5.0142731045712066E-5</v>
      </c>
    </row>
    <row r="16" spans="1:31" x14ac:dyDescent="0.35">
      <c r="A16" t="s">
        <v>26</v>
      </c>
      <c r="B16">
        <f>B5/btu_per_EJ</f>
        <v>2.5756427408434974E-5</v>
      </c>
      <c r="C16">
        <f>C5/btu_per_EJ</f>
        <v>2.336492986801209E-5</v>
      </c>
      <c r="D16" t="e">
        <f>D5/btu_per_EJ</f>
        <v>#VALUE!</v>
      </c>
      <c r="E16" t="e">
        <f>E5/btu_per_EJ</f>
        <v>#VALUE!</v>
      </c>
      <c r="F16" t="e">
        <f>F5/btu_per_EJ</f>
        <v>#VALUE!</v>
      </c>
      <c r="G16">
        <f>G5/btu_per_EJ</f>
        <v>2.2574478419043644E-5</v>
      </c>
      <c r="H16">
        <f>H5/btu_per_EJ</f>
        <v>2.2971640945765467E-5</v>
      </c>
      <c r="I16">
        <f>I5/btu_per_EJ</f>
        <v>2.3468304652625816E-5</v>
      </c>
      <c r="J16">
        <f>J5/btu_per_EJ</f>
        <v>2.3932462349838967E-5</v>
      </c>
      <c r="K16">
        <f>K5/btu_per_EJ</f>
        <v>2.4394859968691324E-5</v>
      </c>
      <c r="L16">
        <f>L5/btu_per_EJ</f>
        <v>2.4863632610497585E-5</v>
      </c>
      <c r="M16">
        <f>M5/btu_per_EJ</f>
        <v>2.5459626496358705E-5</v>
      </c>
      <c r="N16">
        <f>N5/btu_per_EJ</f>
        <v>2.606450630512097E-5</v>
      </c>
      <c r="O16">
        <f>O5/btu_per_EJ</f>
        <v>2.6646401847303939E-5</v>
      </c>
      <c r="P16">
        <f>P5/btu_per_EJ</f>
        <v>2.7248294132678887E-5</v>
      </c>
      <c r="Q16">
        <f>Q5/btu_per_EJ</f>
        <v>2.7855714311710578E-5</v>
      </c>
      <c r="R16">
        <f>R5/btu_per_EJ</f>
        <v>2.8391126373664574E-5</v>
      </c>
      <c r="S16">
        <f>S5/btu_per_EJ</f>
        <v>2.9050959866771029E-5</v>
      </c>
      <c r="T16">
        <f>T5/btu_per_EJ</f>
        <v>2.980082686318496E-5</v>
      </c>
      <c r="U16">
        <f>U5/btu_per_EJ</f>
        <v>3.0469193469775478E-5</v>
      </c>
      <c r="V16">
        <f>V5/btu_per_EJ</f>
        <v>3.1157164251664075E-5</v>
      </c>
      <c r="W16">
        <f>W5/btu_per_EJ</f>
        <v>3.185914684886426E-5</v>
      </c>
      <c r="X16">
        <f>X5/btu_per_EJ</f>
        <v>3.2575426643184288E-5</v>
      </c>
      <c r="Y16">
        <f>Y5/btu_per_EJ</f>
        <v>3.3306294827051657E-5</v>
      </c>
      <c r="Z16">
        <f>Z5/btu_per_EJ</f>
        <v>3.4052048505275682E-5</v>
      </c>
      <c r="AA16">
        <f>AA5/btu_per_EJ</f>
        <v>3.4812990857866973E-5</v>
      </c>
      <c r="AB16">
        <f>AB5/btu_per_EJ</f>
        <v>3.55894312214466E-5</v>
      </c>
      <c r="AC16">
        <f>AC5/btu_per_EJ</f>
        <v>3.6381685262242366E-5</v>
      </c>
      <c r="AD16">
        <f>AD5/btu_per_EJ</f>
        <v>3.7190075037145769E-5</v>
      </c>
      <c r="AE16">
        <f>AE5/btu_per_EJ</f>
        <v>3.8014929197236589E-5</v>
      </c>
    </row>
    <row r="17" spans="1:51" x14ac:dyDescent="0.35">
      <c r="A17" t="s">
        <v>28</v>
      </c>
      <c r="B17">
        <f>B6/btu_per_EJ</f>
        <v>3.5462843163267301E-5</v>
      </c>
      <c r="C17">
        <f>C6/btu_per_EJ</f>
        <v>3.7559371725682696E-5</v>
      </c>
      <c r="D17">
        <f>D6/btu_per_EJ</f>
        <v>3.4017814501292296E-5</v>
      </c>
      <c r="E17">
        <f>E6/btu_per_EJ</f>
        <v>3.5456794124053592E-5</v>
      </c>
      <c r="F17">
        <f>F6/btu_per_EJ</f>
        <v>3.5541109135681677E-5</v>
      </c>
      <c r="G17">
        <f>G6/btu_per_EJ</f>
        <v>3.4327459219902568E-5</v>
      </c>
      <c r="H17">
        <f>H6/btu_per_EJ</f>
        <v>3.4395953930841428E-5</v>
      </c>
      <c r="I17">
        <f>I6/btu_per_EJ</f>
        <v>3.4372636108862221E-5</v>
      </c>
      <c r="J17">
        <f>J6/btu_per_EJ</f>
        <v>3.5869354692678167E-5</v>
      </c>
      <c r="K17" t="e">
        <f>K6/btu_per_EJ</f>
        <v>#VALUE!</v>
      </c>
      <c r="L17" t="e">
        <f>L6/btu_per_EJ</f>
        <v>#VALUE!</v>
      </c>
      <c r="M17" t="e">
        <f>M6/btu_per_EJ</f>
        <v>#VALUE!</v>
      </c>
      <c r="N17" t="e">
        <f>N6/btu_per_EJ</f>
        <v>#VALUE!</v>
      </c>
      <c r="O17" t="e">
        <f>O6/btu_per_EJ</f>
        <v>#VALUE!</v>
      </c>
      <c r="P17" t="e">
        <f>P6/btu_per_EJ</f>
        <v>#VALUE!</v>
      </c>
      <c r="Q17" t="e">
        <f>Q6/btu_per_EJ</f>
        <v>#VALUE!</v>
      </c>
      <c r="R17" t="e">
        <f>R6/btu_per_EJ</f>
        <v>#VALUE!</v>
      </c>
      <c r="S17" t="e">
        <f>S6/btu_per_EJ</f>
        <v>#VALUE!</v>
      </c>
      <c r="T17" t="e">
        <f>T6/btu_per_EJ</f>
        <v>#VALUE!</v>
      </c>
      <c r="U17" t="e">
        <f>U6/btu_per_EJ</f>
        <v>#VALUE!</v>
      </c>
      <c r="V17" t="e">
        <f>V6/btu_per_EJ</f>
        <v>#VALUE!</v>
      </c>
      <c r="W17" t="e">
        <f>W6/btu_per_EJ</f>
        <v>#VALUE!</v>
      </c>
      <c r="X17" t="e">
        <f>X6/btu_per_EJ</f>
        <v>#VALUE!</v>
      </c>
      <c r="Y17" t="e">
        <f>Y6/btu_per_EJ</f>
        <v>#VALUE!</v>
      </c>
      <c r="Z17" t="e">
        <f>Z6/btu_per_EJ</f>
        <v>#VALUE!</v>
      </c>
      <c r="AA17" t="e">
        <f>AA6/btu_per_EJ</f>
        <v>#VALUE!</v>
      </c>
      <c r="AB17" t="e">
        <f>AB6/btu_per_EJ</f>
        <v>#VALUE!</v>
      </c>
      <c r="AC17" t="e">
        <f>AC6/btu_per_EJ</f>
        <v>#VALUE!</v>
      </c>
      <c r="AD17" t="e">
        <f>AD6/btu_per_EJ</f>
        <v>#VALUE!</v>
      </c>
      <c r="AE17">
        <f>AE6/btu_per_EJ</f>
        <v>4.4243592873182117E-5</v>
      </c>
    </row>
    <row r="18" spans="1:51" x14ac:dyDescent="0.35">
      <c r="A18" t="s">
        <v>29</v>
      </c>
      <c r="B18">
        <f>B7/btu_per_EJ</f>
        <v>2.092966297276293E-5</v>
      </c>
      <c r="C18">
        <f>C7/btu_per_EJ</f>
        <v>2.1232098432175502E-5</v>
      </c>
      <c r="D18">
        <f>D7/btu_per_EJ</f>
        <v>2.1529302391352033E-5</v>
      </c>
      <c r="E18">
        <f>E7/btu_per_EJ</f>
        <v>2.1819722505545479E-5</v>
      </c>
      <c r="F18">
        <f>F7/btu_per_EJ</f>
        <v>2.2202830864019846E-5</v>
      </c>
      <c r="G18">
        <f>G7/btu_per_EJ</f>
        <v>2.2574842331297094E-5</v>
      </c>
      <c r="H18">
        <f>H7/btu_per_EJ</f>
        <v>2.2971795941127227E-5</v>
      </c>
      <c r="I18">
        <f>I7/btu_per_EJ</f>
        <v>2.346845654044158E-5</v>
      </c>
      <c r="J18">
        <f>J7/btu_per_EJ</f>
        <v>2.3932622398539605E-5</v>
      </c>
      <c r="K18">
        <f>K7/btu_per_EJ</f>
        <v>2.4394859968691324E-5</v>
      </c>
      <c r="L18">
        <f>L7/btu_per_EJ</f>
        <v>2.4863632610497585E-5</v>
      </c>
      <c r="M18">
        <f>M7/btu_per_EJ</f>
        <v>2.5459626496358705E-5</v>
      </c>
      <c r="N18">
        <f>N7/btu_per_EJ</f>
        <v>2.606450630512097E-5</v>
      </c>
      <c r="O18">
        <f>O7/btu_per_EJ</f>
        <v>2.6646401847303939E-5</v>
      </c>
      <c r="P18">
        <f>P7/btu_per_EJ</f>
        <v>2.7248294132678887E-5</v>
      </c>
      <c r="Q18">
        <f>Q7/btu_per_EJ</f>
        <v>2.7855714311710578E-5</v>
      </c>
      <c r="R18">
        <f>R7/btu_per_EJ</f>
        <v>2.8391126373664574E-5</v>
      </c>
      <c r="S18">
        <f>S7/btu_per_EJ</f>
        <v>2.9050959866771029E-5</v>
      </c>
      <c r="T18">
        <f>T7/btu_per_EJ</f>
        <v>2.980082686318496E-5</v>
      </c>
      <c r="U18">
        <f>U7/btu_per_EJ</f>
        <v>3.0469193469775478E-5</v>
      </c>
      <c r="V18">
        <f>V7/btu_per_EJ</f>
        <v>3.1157164251664075E-5</v>
      </c>
      <c r="W18">
        <f>W7/btu_per_EJ</f>
        <v>3.185914684886426E-5</v>
      </c>
      <c r="X18">
        <f>X7/btu_per_EJ</f>
        <v>3.2575426643184288E-5</v>
      </c>
      <c r="Y18">
        <f>Y7/btu_per_EJ</f>
        <v>3.3306294827051657E-5</v>
      </c>
      <c r="Z18">
        <f>Z7/btu_per_EJ</f>
        <v>3.4052048505275682E-5</v>
      </c>
      <c r="AA18">
        <f>AA7/btu_per_EJ</f>
        <v>3.4812990857866973E-5</v>
      </c>
      <c r="AB18">
        <f>AB7/btu_per_EJ</f>
        <v>3.55894312214466E-5</v>
      </c>
      <c r="AC18">
        <f>AC7/btu_per_EJ</f>
        <v>3.6381685262242366E-5</v>
      </c>
      <c r="AD18">
        <f>AD7/btu_per_EJ</f>
        <v>3.7190075037145769E-5</v>
      </c>
      <c r="AE18">
        <f>AE7/btu_per_EJ</f>
        <v>3.8015253525197351E-5</v>
      </c>
    </row>
    <row r="19" spans="1:51" x14ac:dyDescent="0.35">
      <c r="A19" t="s">
        <v>30</v>
      </c>
      <c r="B19">
        <f>B8/btu_per_EJ</f>
        <v>2.6497153930290583E-5</v>
      </c>
      <c r="C19">
        <f>C8/btu_per_EJ</f>
        <v>2.772006414520778E-5</v>
      </c>
      <c r="D19">
        <f>D8/btu_per_EJ</f>
        <v>2.8605925463379367E-5</v>
      </c>
      <c r="E19">
        <f>E8/btu_per_EJ</f>
        <v>2.8671178338332292E-5</v>
      </c>
      <c r="F19">
        <f>F8/btu_per_EJ</f>
        <v>2.8765134749910194E-5</v>
      </c>
      <c r="G19">
        <f>G8/btu_per_EJ</f>
        <v>2.8866332994762323E-5</v>
      </c>
      <c r="H19">
        <f>H8/btu_per_EJ</f>
        <v>2.8970723326439491E-5</v>
      </c>
      <c r="I19">
        <f>I8/btu_per_EJ</f>
        <v>2.925194865172028E-5</v>
      </c>
      <c r="J19">
        <f>J8/btu_per_EJ</f>
        <v>2.9400749073399202E-5</v>
      </c>
      <c r="K19">
        <f>K8/btu_per_EJ</f>
        <v>2.9533244208656942E-5</v>
      </c>
      <c r="L19">
        <f>L8/btu_per_EJ</f>
        <v>3.1208634778709106E-5</v>
      </c>
      <c r="M19">
        <f>M8/btu_per_EJ</f>
        <v>3.1385733364497993E-5</v>
      </c>
      <c r="N19">
        <f>N8/btu_per_EJ</f>
        <v>3.159561793570684E-5</v>
      </c>
      <c r="O19">
        <f>O8/btu_per_EJ</f>
        <v>3.1880250653125256E-5</v>
      </c>
      <c r="P19">
        <f>P8/btu_per_EJ</f>
        <v>3.3400680931207279E-5</v>
      </c>
      <c r="Q19">
        <f>Q8/btu_per_EJ</f>
        <v>3.3649418594603569E-5</v>
      </c>
      <c r="R19">
        <f>R8/btu_per_EJ</f>
        <v>3.3869646827804504E-5</v>
      </c>
      <c r="S19">
        <f>S8/btu_per_EJ</f>
        <v>3.4207025538319675E-5</v>
      </c>
      <c r="T19">
        <f>T8/btu_per_EJ</f>
        <v>3.4575624977024262E-5</v>
      </c>
      <c r="U19">
        <f>U8/btu_per_EJ</f>
        <v>3.4910104904348212E-5</v>
      </c>
      <c r="V19">
        <f>V8/btu_per_EJ</f>
        <v>3.5335962937616282E-5</v>
      </c>
      <c r="W19">
        <f>W8/btu_per_EJ</f>
        <v>3.6739082314998908E-5</v>
      </c>
      <c r="X19">
        <f>X8/btu_per_EJ</f>
        <v>3.7381038557961687E-5</v>
      </c>
      <c r="Y19">
        <f>Y8/btu_per_EJ</f>
        <v>3.7879860304153716E-5</v>
      </c>
      <c r="Z19">
        <f>Z8/btu_per_EJ</f>
        <v>3.8378040327458953E-5</v>
      </c>
      <c r="AA19">
        <f>AA8/btu_per_EJ</f>
        <v>3.8917125312318058E-5</v>
      </c>
      <c r="AB19">
        <f>AB8/btu_per_EJ</f>
        <v>3.9496551786362013E-5</v>
      </c>
      <c r="AC19">
        <f>AC8/btu_per_EJ</f>
        <v>4.0115976753177347E-5</v>
      </c>
      <c r="AD19">
        <f>AD8/btu_per_EJ</f>
        <v>4.0775109725166814E-5</v>
      </c>
      <c r="AE19">
        <f>AE8/btu_per_EJ</f>
        <v>4.1473808251362669E-5</v>
      </c>
    </row>
    <row r="20" spans="1:51" x14ac:dyDescent="0.35">
      <c r="A20" t="s">
        <v>31</v>
      </c>
      <c r="B20">
        <f>B9/btu_per_EJ</f>
        <v>0</v>
      </c>
      <c r="C20">
        <f>C9/btu_per_EJ</f>
        <v>0</v>
      </c>
      <c r="D20">
        <f>D9/btu_per_EJ</f>
        <v>0</v>
      </c>
      <c r="E20">
        <f>E9/btu_per_EJ</f>
        <v>0</v>
      </c>
      <c r="F20">
        <f>F9/btu_per_EJ</f>
        <v>0</v>
      </c>
      <c r="G20">
        <f>G9/btu_per_EJ</f>
        <v>0</v>
      </c>
      <c r="H20">
        <f>H9/btu_per_EJ</f>
        <v>0</v>
      </c>
      <c r="I20">
        <f>I9/btu_per_EJ</f>
        <v>0</v>
      </c>
      <c r="J20">
        <f>J9/btu_per_EJ</f>
        <v>0</v>
      </c>
      <c r="K20">
        <f>K9/btu_per_EJ</f>
        <v>0</v>
      </c>
      <c r="L20">
        <f>L9/btu_per_EJ</f>
        <v>0</v>
      </c>
      <c r="M20">
        <f>M9/btu_per_EJ</f>
        <v>0</v>
      </c>
      <c r="N20">
        <f>N9/btu_per_EJ</f>
        <v>0</v>
      </c>
      <c r="O20">
        <f>O9/btu_per_EJ</f>
        <v>0</v>
      </c>
      <c r="P20">
        <f>P9/btu_per_EJ</f>
        <v>0</v>
      </c>
      <c r="Q20">
        <f>Q9/btu_per_EJ</f>
        <v>0</v>
      </c>
      <c r="R20">
        <f>R9/btu_per_EJ</f>
        <v>0</v>
      </c>
      <c r="S20">
        <f>S9/btu_per_EJ</f>
        <v>0</v>
      </c>
      <c r="T20">
        <f>T9/btu_per_EJ</f>
        <v>0</v>
      </c>
      <c r="U20">
        <f>U9/btu_per_EJ</f>
        <v>0</v>
      </c>
      <c r="V20">
        <f>V9/btu_per_EJ</f>
        <v>0</v>
      </c>
      <c r="W20">
        <f>W9/btu_per_EJ</f>
        <v>0</v>
      </c>
      <c r="X20">
        <f>X9/btu_per_EJ</f>
        <v>0</v>
      </c>
      <c r="Y20">
        <f>Y9/btu_per_EJ</f>
        <v>0</v>
      </c>
      <c r="Z20">
        <f>Z9/btu_per_EJ</f>
        <v>0</v>
      </c>
      <c r="AA20">
        <f>AA9/btu_per_EJ</f>
        <v>0</v>
      </c>
      <c r="AB20">
        <f>AB9/btu_per_EJ</f>
        <v>0</v>
      </c>
      <c r="AC20">
        <f>AC9/btu_per_EJ</f>
        <v>0</v>
      </c>
      <c r="AD20">
        <f>AD9/btu_per_EJ</f>
        <v>0</v>
      </c>
      <c r="AE20">
        <f>AE9/btu_per_EJ</f>
        <v>0</v>
      </c>
    </row>
    <row r="21" spans="1:51" x14ac:dyDescent="0.35">
      <c r="A21" t="s">
        <v>24</v>
      </c>
      <c r="B21">
        <f>B10/btu_per_EJ</f>
        <v>3.9180888790480071E-5</v>
      </c>
      <c r="C21">
        <f>C10/btu_per_EJ</f>
        <v>3.9252777251332621E-5</v>
      </c>
      <c r="D21">
        <f>D10/btu_per_EJ</f>
        <v>3.876796989760894E-5</v>
      </c>
      <c r="E21">
        <f>E10/btu_per_EJ</f>
        <v>3.8955066361771352E-5</v>
      </c>
      <c r="F21">
        <f>F10/btu_per_EJ</f>
        <v>3.892563410474206E-5</v>
      </c>
      <c r="G21">
        <f>G10/btu_per_EJ</f>
        <v>3.8894155433113717E-5</v>
      </c>
      <c r="H21">
        <f>H10/btu_per_EJ</f>
        <v>3.8858072328637091E-5</v>
      </c>
      <c r="I21">
        <f>I10/btu_per_EJ</f>
        <v>3.8800732816407668E-5</v>
      </c>
      <c r="J21">
        <f>J10/btu_per_EJ</f>
        <v>3.8930946033858302E-5</v>
      </c>
      <c r="K21">
        <f>K10/btu_per_EJ</f>
        <v>3.8788921528331964E-5</v>
      </c>
      <c r="L21">
        <f>L10/btu_per_EJ</f>
        <v>4.1713392353940595E-5</v>
      </c>
      <c r="M21">
        <f>M10/btu_per_EJ</f>
        <v>4.1622568678008901E-5</v>
      </c>
      <c r="N21">
        <f>N10/btu_per_EJ</f>
        <v>4.1398350978222789E-5</v>
      </c>
      <c r="O21">
        <f>O10/btu_per_EJ</f>
        <v>4.1106147585989588E-5</v>
      </c>
      <c r="P21">
        <f>P10/btu_per_EJ</f>
        <v>4.3333611971477894E-5</v>
      </c>
      <c r="Q21">
        <f>Q10/btu_per_EJ</f>
        <v>4.2828859173333252E-5</v>
      </c>
      <c r="R21">
        <f>R10/btu_per_EJ</f>
        <v>4.1901977294732659E-5</v>
      </c>
      <c r="S21">
        <f>S10/btu_per_EJ</f>
        <v>4.0670534412304667E-5</v>
      </c>
      <c r="T21">
        <f>T10/btu_per_EJ</f>
        <v>4.0995338871255461E-5</v>
      </c>
      <c r="U21">
        <f>U10/btu_per_EJ</f>
        <v>3.9684472820734024E-5</v>
      </c>
      <c r="V21">
        <f>V10/btu_per_EJ</f>
        <v>3.9037430761406795E-5</v>
      </c>
      <c r="W21">
        <f>W10/btu_per_EJ</f>
        <v>4.2219842960559737E-5</v>
      </c>
      <c r="X21">
        <f>X10/btu_per_EJ</f>
        <v>4.0832119985502794E-5</v>
      </c>
      <c r="Y21">
        <f>Y10/btu_per_EJ</f>
        <v>3.7694999143942138E-5</v>
      </c>
      <c r="Z21">
        <f>Z10/btu_per_EJ</f>
        <v>3.6904915774644164E-5</v>
      </c>
      <c r="AA21">
        <f>AA10/btu_per_EJ</f>
        <v>3.7699828952329217E-5</v>
      </c>
      <c r="AB21">
        <f>AB10/btu_per_EJ</f>
        <v>3.8510584666979635E-5</v>
      </c>
      <c r="AC21">
        <f>AC10/btu_per_EJ</f>
        <v>3.9337498666232791E-5</v>
      </c>
      <c r="AD21">
        <f>AD10/btu_per_EJ</f>
        <v>4.0180892986627953E-5</v>
      </c>
      <c r="AE21">
        <f>AE10/btu_per_EJ</f>
        <v>4.1041096075720387E-5</v>
      </c>
    </row>
    <row r="22" spans="1:51" x14ac:dyDescent="0.35">
      <c r="A22" t="s">
        <v>25</v>
      </c>
      <c r="B22">
        <f>B11/btu_per_EJ</f>
        <v>3.9614903606507026E-5</v>
      </c>
      <c r="C22">
        <f>C11/btu_per_EJ</f>
        <v>3.9730931172321509E-5</v>
      </c>
      <c r="D22">
        <f>D11/btu_per_EJ</f>
        <v>3.8951141216310381E-5</v>
      </c>
      <c r="E22">
        <f>E11/btu_per_EJ</f>
        <v>3.913923596902712E-5</v>
      </c>
      <c r="F22">
        <f>F11/btu_per_EJ</f>
        <v>3.9109646670626398E-5</v>
      </c>
      <c r="G22">
        <f>G11/btu_per_EJ</f>
        <v>3.9078000038594684E-5</v>
      </c>
      <c r="H22">
        <f>H11/btu_per_EJ</f>
        <v>3.9041724405892776E-5</v>
      </c>
      <c r="I22">
        <f>I11/btu_per_EJ</f>
        <v>3.9000971047052621E-5</v>
      </c>
      <c r="J22">
        <f>J11/btu_per_EJ</f>
        <v>3.9140052851498292E-5</v>
      </c>
      <c r="K22">
        <f>K11/btu_per_EJ</f>
        <v>3.909445870764373E-5</v>
      </c>
      <c r="L22">
        <f>L11/btu_per_EJ</f>
        <v>4.2262025738111271E-5</v>
      </c>
      <c r="M22">
        <f>M11/btu_per_EJ</f>
        <v>4.2203633768874846E-5</v>
      </c>
      <c r="N22">
        <f>N11/btu_per_EJ</f>
        <v>4.2138767249681562E-5</v>
      </c>
      <c r="O22">
        <f>O11/btu_per_EJ</f>
        <v>4.2066215984277853E-5</v>
      </c>
      <c r="P22">
        <f>P11/btu_per_EJ</f>
        <v>4.5203286069154565E-5</v>
      </c>
      <c r="Q22">
        <f>Q11/btu_per_EJ</f>
        <v>4.5110282487064909E-5</v>
      </c>
      <c r="R22">
        <f>R11/btu_per_EJ</f>
        <v>4.5004753373750413E-5</v>
      </c>
      <c r="S22">
        <f>S11/btu_per_EJ</f>
        <v>4.4884762415205377E-5</v>
      </c>
      <c r="T22">
        <f>T11/btu_per_EJ</f>
        <v>4.4985450743505458E-5</v>
      </c>
      <c r="U22">
        <f>U11/btu_per_EJ</f>
        <v>4.4846278174340744E-5</v>
      </c>
      <c r="V22">
        <f>V11/btu_per_EJ</f>
        <v>4.469388421110541E-5</v>
      </c>
      <c r="W22">
        <f>W11/btu_per_EJ</f>
        <v>5.0952715398250774E-5</v>
      </c>
      <c r="X22">
        <f>X11/btu_per_EJ</f>
        <v>5.0742927877688159E-5</v>
      </c>
      <c r="Y22">
        <f>Y11/btu_per_EJ</f>
        <v>5.049299209641212E-5</v>
      </c>
      <c r="Z22">
        <f>Z11/btu_per_EJ</f>
        <v>5.0189353856382228E-5</v>
      </c>
      <c r="AA22">
        <f>AA11/btu_per_EJ</f>
        <v>5.0142731045712066E-5</v>
      </c>
      <c r="AB22">
        <f>AB11/btu_per_EJ</f>
        <v>5.0142731045712066E-5</v>
      </c>
      <c r="AC22">
        <f>AC11/btu_per_EJ</f>
        <v>5.0142731045712066E-5</v>
      </c>
      <c r="AD22">
        <f>AD11/btu_per_EJ</f>
        <v>5.0142731045712066E-5</v>
      </c>
      <c r="AE22">
        <f>AE11/btu_per_EJ</f>
        <v>5.0142731045712066E-5</v>
      </c>
    </row>
    <row r="24" spans="1:51" s="3" customFormat="1" x14ac:dyDescent="0.35">
      <c r="A24" s="3" t="s">
        <v>33</v>
      </c>
    </row>
    <row r="25" spans="1:51" x14ac:dyDescent="0.35">
      <c r="A25" t="s">
        <v>34</v>
      </c>
      <c r="B25" t="s">
        <v>35</v>
      </c>
    </row>
    <row r="26" spans="1:51" x14ac:dyDescent="0.35">
      <c r="A26" t="s">
        <v>36</v>
      </c>
      <c r="B26" t="s">
        <v>35</v>
      </c>
    </row>
    <row r="27" spans="1:51" x14ac:dyDescent="0.35">
      <c r="A27" t="s">
        <v>37</v>
      </c>
      <c r="B27" t="s">
        <v>35</v>
      </c>
    </row>
    <row r="28" spans="1:51" x14ac:dyDescent="0.35">
      <c r="A28" t="s">
        <v>38</v>
      </c>
      <c r="B28" t="s">
        <v>39</v>
      </c>
    </row>
    <row r="30" spans="1:51" s="3" customFormat="1" x14ac:dyDescent="0.35">
      <c r="A30" s="3" t="s">
        <v>40</v>
      </c>
    </row>
    <row r="31" spans="1:51" x14ac:dyDescent="0.35"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  <c r="AF31">
        <v>2051</v>
      </c>
      <c r="AG31">
        <v>2052</v>
      </c>
      <c r="AH31">
        <v>2053</v>
      </c>
      <c r="AI31">
        <v>2054</v>
      </c>
      <c r="AJ31">
        <v>2055</v>
      </c>
      <c r="AK31">
        <v>2056</v>
      </c>
      <c r="AL31">
        <v>2057</v>
      </c>
      <c r="AM31">
        <v>2058</v>
      </c>
      <c r="AN31">
        <v>2059</v>
      </c>
      <c r="AO31">
        <v>2060</v>
      </c>
      <c r="AP31">
        <v>2061</v>
      </c>
      <c r="AQ31">
        <v>2062</v>
      </c>
      <c r="AR31">
        <v>2063</v>
      </c>
      <c r="AS31">
        <v>2064</v>
      </c>
      <c r="AT31">
        <v>2065</v>
      </c>
      <c r="AU31">
        <v>2066</v>
      </c>
      <c r="AV31">
        <v>2067</v>
      </c>
      <c r="AW31">
        <v>2068</v>
      </c>
      <c r="AX31">
        <v>2069</v>
      </c>
      <c r="AY31">
        <v>2070</v>
      </c>
    </row>
    <row r="32" spans="1:51" x14ac:dyDescent="0.35">
      <c r="A32" t="s">
        <v>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35">
      <c r="A33" t="s">
        <v>36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35">
      <c r="A34" t="s">
        <v>37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  <c r="I34">
        <f>0</f>
        <v>0</v>
      </c>
      <c r="J34">
        <f>0</f>
        <v>0</v>
      </c>
      <c r="K34">
        <f>0</f>
        <v>0</v>
      </c>
      <c r="L34">
        <f>0</f>
        <v>0</v>
      </c>
      <c r="M34">
        <f>0</f>
        <v>0</v>
      </c>
      <c r="N34">
        <f>0</f>
        <v>0</v>
      </c>
      <c r="O34">
        <f>0</f>
        <v>0</v>
      </c>
      <c r="P34">
        <f>0</f>
        <v>0</v>
      </c>
      <c r="Q34">
        <f>0</f>
        <v>0</v>
      </c>
      <c r="R34">
        <f>0</f>
        <v>0</v>
      </c>
      <c r="S34">
        <f>0</f>
        <v>0</v>
      </c>
      <c r="T34">
        <f>0</f>
        <v>0</v>
      </c>
      <c r="U34">
        <f>0</f>
        <v>0</v>
      </c>
      <c r="V34">
        <f>0</f>
        <v>0</v>
      </c>
      <c r="W34">
        <f>0</f>
        <v>0</v>
      </c>
      <c r="X34">
        <f>0</f>
        <v>0</v>
      </c>
      <c r="Y34">
        <f>0</f>
        <v>0</v>
      </c>
      <c r="Z34">
        <f>0</f>
        <v>0</v>
      </c>
      <c r="AA34">
        <f>0</f>
        <v>0</v>
      </c>
      <c r="AB34">
        <f>0</f>
        <v>0</v>
      </c>
      <c r="AC34">
        <f>0</f>
        <v>0</v>
      </c>
      <c r="AD34">
        <f>0</f>
        <v>0</v>
      </c>
      <c r="AE34">
        <f>0</f>
        <v>0</v>
      </c>
      <c r="AF34">
        <f>0</f>
        <v>0</v>
      </c>
      <c r="AG34">
        <f>0</f>
        <v>0</v>
      </c>
      <c r="AH34">
        <f>0</f>
        <v>0</v>
      </c>
      <c r="AI34">
        <f>0</f>
        <v>0</v>
      </c>
      <c r="AJ34">
        <f>0</f>
        <v>0</v>
      </c>
      <c r="AK34">
        <f>0</f>
        <v>0</v>
      </c>
      <c r="AL34">
        <f>0</f>
        <v>0</v>
      </c>
      <c r="AM34">
        <f>0</f>
        <v>0</v>
      </c>
      <c r="AN34">
        <f>0</f>
        <v>0</v>
      </c>
      <c r="AO34">
        <f>0</f>
        <v>0</v>
      </c>
      <c r="AP34">
        <f>0</f>
        <v>0</v>
      </c>
      <c r="AQ34">
        <f>0</f>
        <v>0</v>
      </c>
      <c r="AR34">
        <f>0</f>
        <v>0</v>
      </c>
      <c r="AS34">
        <f>0</f>
        <v>0</v>
      </c>
      <c r="AT34">
        <f>0</f>
        <v>0</v>
      </c>
      <c r="AU34">
        <f>0</f>
        <v>0</v>
      </c>
      <c r="AV34">
        <f>0</f>
        <v>0</v>
      </c>
      <c r="AW34">
        <f>0</f>
        <v>0</v>
      </c>
      <c r="AX34">
        <f>0</f>
        <v>0</v>
      </c>
      <c r="AY34">
        <f>0</f>
        <v>0</v>
      </c>
    </row>
    <row r="35" spans="1:51" x14ac:dyDescent="0.35">
      <c r="A35" t="s">
        <v>38</v>
      </c>
      <c r="B35">
        <f>B21-B19</f>
        <v>1.2683734860189488E-5</v>
      </c>
      <c r="C35">
        <f>C21-C19</f>
        <v>1.153271310612484E-5</v>
      </c>
      <c r="D35">
        <f>D21-D19</f>
        <v>1.0162044434229573E-5</v>
      </c>
      <c r="E35">
        <f>E21-E19</f>
        <v>1.0283888023439061E-5</v>
      </c>
      <c r="F35">
        <f>F21-F19</f>
        <v>1.0160499354831865E-5</v>
      </c>
      <c r="G35">
        <f>G21-G19</f>
        <v>1.0027822438351394E-5</v>
      </c>
      <c r="H35">
        <f>H21-H19</f>
        <v>9.8873490021975999E-6</v>
      </c>
      <c r="I35">
        <f>I21-I19</f>
        <v>9.5487841646873881E-6</v>
      </c>
      <c r="J35">
        <f>J21-J19</f>
        <v>9.5301969604591001E-6</v>
      </c>
      <c r="K35">
        <f>K21-K19</f>
        <v>9.2556773196750223E-6</v>
      </c>
      <c r="L35">
        <f>L21-L19</f>
        <v>1.050475757523149E-5</v>
      </c>
      <c r="M35">
        <f>M21-M19</f>
        <v>1.0236835313510908E-5</v>
      </c>
      <c r="N35">
        <f>N21-N19</f>
        <v>9.8027330425159485E-6</v>
      </c>
      <c r="O35">
        <f>O21-O19</f>
        <v>9.2258969328643323E-6</v>
      </c>
      <c r="P35">
        <f>P21-P19</f>
        <v>9.9329310402706153E-6</v>
      </c>
      <c r="Q35">
        <f>Q21-Q19</f>
        <v>9.1794405787296826E-6</v>
      </c>
      <c r="R35">
        <f>R21-R19</f>
        <v>8.0323304669281553E-6</v>
      </c>
      <c r="S35">
        <f>S21-S19</f>
        <v>6.4635088739849921E-6</v>
      </c>
      <c r="T35">
        <f>T21-T19</f>
        <v>6.4197138942311997E-6</v>
      </c>
      <c r="U35">
        <f>U21-U19</f>
        <v>4.7743679163858121E-6</v>
      </c>
      <c r="V35">
        <f>V21-V19</f>
        <v>3.7014678237905137E-6</v>
      </c>
      <c r="W35">
        <f>W21-W19</f>
        <v>5.4807606455608285E-6</v>
      </c>
      <c r="X35">
        <f>X21-X19</f>
        <v>3.4510814275411062E-6</v>
      </c>
      <c r="Y35">
        <f>Y21-Y19</f>
        <v>-1.8486116021157808E-7</v>
      </c>
      <c r="Z35">
        <f>Z21-Z19</f>
        <v>-1.4731245528147894E-6</v>
      </c>
      <c r="AA35">
        <f>AA21-AA19</f>
        <v>-1.2172963599888417E-6</v>
      </c>
      <c r="AB35">
        <f>AB21-AB19</f>
        <v>-9.8596711938237885E-7</v>
      </c>
      <c r="AC35">
        <f>AC21-AC19</f>
        <v>-7.7847808694455668E-7</v>
      </c>
      <c r="AD35">
        <f>AD21-AD19</f>
        <v>-5.9421673853886088E-7</v>
      </c>
      <c r="AE35">
        <f>AE21-AE19</f>
        <v>-4.3271217564228297E-7</v>
      </c>
    </row>
    <row r="37" spans="1:51" x14ac:dyDescent="0.35">
      <c r="A37" s="1" t="s">
        <v>62</v>
      </c>
    </row>
    <row r="38" spans="1:51" s="5" customFormat="1" x14ac:dyDescent="0.35">
      <c r="A38" s="3" t="s">
        <v>53</v>
      </c>
    </row>
    <row r="39" spans="1:51" x14ac:dyDescent="0.35">
      <c r="A39" s="1"/>
      <c r="B39">
        <v>2051</v>
      </c>
      <c r="C39">
        <v>2052</v>
      </c>
      <c r="D39">
        <v>2053</v>
      </c>
      <c r="E39">
        <v>2054</v>
      </c>
      <c r="F39">
        <v>2055</v>
      </c>
      <c r="G39">
        <v>2056</v>
      </c>
      <c r="H39">
        <v>2057</v>
      </c>
      <c r="I39">
        <v>2058</v>
      </c>
      <c r="J39">
        <v>2059</v>
      </c>
      <c r="K39">
        <v>2060</v>
      </c>
      <c r="L39">
        <v>2061</v>
      </c>
      <c r="M39">
        <v>2062</v>
      </c>
      <c r="N39">
        <v>2063</v>
      </c>
      <c r="O39">
        <v>2064</v>
      </c>
      <c r="P39">
        <v>2065</v>
      </c>
      <c r="Q39">
        <v>2066</v>
      </c>
      <c r="R39">
        <v>2067</v>
      </c>
      <c r="S39">
        <v>2068</v>
      </c>
      <c r="T39">
        <v>2069</v>
      </c>
      <c r="U39">
        <v>2070</v>
      </c>
    </row>
    <row r="40" spans="1:51" x14ac:dyDescent="0.35">
      <c r="A40" t="s">
        <v>56</v>
      </c>
      <c r="B40">
        <v>1.4410419585930552E-5</v>
      </c>
      <c r="C40">
        <v>1.4535410576195218E-5</v>
      </c>
      <c r="D40">
        <v>1.4623945860966025E-5</v>
      </c>
      <c r="E40">
        <v>1.470206522988144E-5</v>
      </c>
      <c r="F40">
        <v>1.4819681751720493E-5</v>
      </c>
      <c r="G40">
        <v>1.4938239205734256E-5</v>
      </c>
      <c r="H40">
        <v>1.505774511938013E-5</v>
      </c>
      <c r="I40">
        <v>1.5178207080335172E-5</v>
      </c>
      <c r="J40">
        <v>1.5299632736977854E-5</v>
      </c>
      <c r="K40">
        <v>1.5422029798873678E-5</v>
      </c>
      <c r="L40">
        <v>1.5545406037264667E-5</v>
      </c>
      <c r="M40">
        <v>1.5669769285562785E-5</v>
      </c>
      <c r="N40">
        <v>1.5795127439847284E-5</v>
      </c>
      <c r="O40">
        <v>1.5921488459366063E-5</v>
      </c>
      <c r="P40">
        <v>1.6048860367040994E-5</v>
      </c>
      <c r="Q40">
        <v>1.617725124997732E-5</v>
      </c>
      <c r="R40">
        <v>1.6306669259977139E-5</v>
      </c>
      <c r="S40">
        <v>1.6437122614056954E-5</v>
      </c>
      <c r="T40">
        <v>1.6568619594969411E-5</v>
      </c>
      <c r="U40">
        <v>1.6701168551729169E-5</v>
      </c>
    </row>
    <row r="41" spans="1:51" x14ac:dyDescent="0.35">
      <c r="A41" t="s">
        <v>57</v>
      </c>
      <c r="B41">
        <v>1.0749754981204841E-5</v>
      </c>
      <c r="C41">
        <v>1.0842994634095666E-5</v>
      </c>
      <c r="D41">
        <v>1.0909039388226669E-5</v>
      </c>
      <c r="E41">
        <v>1.0967314171283436E-5</v>
      </c>
      <c r="F41">
        <v>1.1055052684653703E-5</v>
      </c>
      <c r="G41">
        <v>1.1143493106130931E-5</v>
      </c>
      <c r="H41">
        <v>1.1232641050979979E-5</v>
      </c>
      <c r="I41">
        <v>1.1322502179387818E-5</v>
      </c>
      <c r="J41">
        <v>1.1413082196822922E-5</v>
      </c>
      <c r="K41">
        <v>1.1504386854397507E-5</v>
      </c>
      <c r="L41">
        <v>1.1596421949232685E-5</v>
      </c>
      <c r="M41">
        <v>1.1689193324826548E-5</v>
      </c>
      <c r="N41">
        <v>1.178270687142516E-5</v>
      </c>
      <c r="O41">
        <v>1.1876968526396561E-5</v>
      </c>
      <c r="P41">
        <v>1.1971984274607734E-5</v>
      </c>
      <c r="Q41">
        <v>1.2067760148804595E-5</v>
      </c>
      <c r="R41">
        <v>1.2164302229995031E-5</v>
      </c>
      <c r="S41">
        <v>1.2261616647834991E-5</v>
      </c>
      <c r="T41">
        <v>1.2359709581017672E-5</v>
      </c>
      <c r="U41">
        <v>1.2458587257665816E-5</v>
      </c>
    </row>
    <row r="42" spans="1:51" x14ac:dyDescent="0.35">
      <c r="A42" t="s">
        <v>58</v>
      </c>
      <c r="B42">
        <f>B40+B41</f>
        <v>2.5160174567135395E-5</v>
      </c>
      <c r="C42">
        <f t="shared" ref="C42:U42" si="0">C40+C41</f>
        <v>2.5378405210290886E-5</v>
      </c>
      <c r="D42">
        <f t="shared" si="0"/>
        <v>2.5532985249192695E-5</v>
      </c>
      <c r="E42">
        <f t="shared" si="0"/>
        <v>2.5669379401164878E-5</v>
      </c>
      <c r="F42">
        <f t="shared" si="0"/>
        <v>2.5874734436374194E-5</v>
      </c>
      <c r="G42">
        <f t="shared" si="0"/>
        <v>2.6081732311865187E-5</v>
      </c>
      <c r="H42">
        <f t="shared" si="0"/>
        <v>2.6290386170360108E-5</v>
      </c>
      <c r="I42">
        <f t="shared" si="0"/>
        <v>2.6500709259722988E-5</v>
      </c>
      <c r="J42">
        <f t="shared" si="0"/>
        <v>2.6712714933800777E-5</v>
      </c>
      <c r="K42">
        <f t="shared" si="0"/>
        <v>2.6926416653271183E-5</v>
      </c>
      <c r="L42">
        <f t="shared" si="0"/>
        <v>2.7141827986497354E-5</v>
      </c>
      <c r="M42">
        <f t="shared" si="0"/>
        <v>2.7358962610389333E-5</v>
      </c>
      <c r="N42">
        <f t="shared" si="0"/>
        <v>2.7577834311272443E-5</v>
      </c>
      <c r="O42">
        <f t="shared" si="0"/>
        <v>2.7798456985762624E-5</v>
      </c>
      <c r="P42">
        <f t="shared" si="0"/>
        <v>2.802084464164873E-5</v>
      </c>
      <c r="Q42">
        <f t="shared" si="0"/>
        <v>2.8245011398781914E-5</v>
      </c>
      <c r="R42">
        <f t="shared" si="0"/>
        <v>2.8470971489972171E-5</v>
      </c>
      <c r="S42">
        <f t="shared" si="0"/>
        <v>2.8698739261891945E-5</v>
      </c>
      <c r="T42">
        <f t="shared" si="0"/>
        <v>2.8928329175987085E-5</v>
      </c>
      <c r="U42">
        <f t="shared" si="0"/>
        <v>2.9159755809394986E-5</v>
      </c>
    </row>
    <row r="43" spans="1:51" x14ac:dyDescent="0.35">
      <c r="A43" t="s">
        <v>59</v>
      </c>
      <c r="B43">
        <v>2.3902165838778622E-5</v>
      </c>
      <c r="C43">
        <v>2.4109484949776336E-5</v>
      </c>
      <c r="D43">
        <v>2.4256335986733057E-5</v>
      </c>
      <c r="E43">
        <v>2.4385910431106631E-5</v>
      </c>
      <c r="F43">
        <v>2.4580997714555482E-5</v>
      </c>
      <c r="G43">
        <v>2.4777645696271926E-5</v>
      </c>
      <c r="H43">
        <v>2.4975866861842102E-5</v>
      </c>
      <c r="I43">
        <v>2.5175673796736839E-5</v>
      </c>
      <c r="J43">
        <v>2.5377079187110734E-5</v>
      </c>
      <c r="K43">
        <v>2.5580095820607622E-5</v>
      </c>
      <c r="L43">
        <v>2.5784736587172481E-5</v>
      </c>
      <c r="M43">
        <v>2.5991014479869864E-5</v>
      </c>
      <c r="N43">
        <v>2.6198942595708821E-5</v>
      </c>
      <c r="O43">
        <v>2.640853413647449E-5</v>
      </c>
      <c r="P43">
        <v>2.6619802409566289E-5</v>
      </c>
      <c r="Q43">
        <v>2.6832760828842815E-5</v>
      </c>
      <c r="R43">
        <v>2.7047422915473556E-5</v>
      </c>
      <c r="S43">
        <v>2.7263802298797347E-5</v>
      </c>
      <c r="T43">
        <v>2.7481912717187728E-5</v>
      </c>
      <c r="U43">
        <v>2.7701768018925232E-5</v>
      </c>
    </row>
    <row r="44" spans="1:51" x14ac:dyDescent="0.35">
      <c r="A44" t="s">
        <v>60</v>
      </c>
      <c r="B44">
        <v>1.2580087283567696E-6</v>
      </c>
      <c r="C44">
        <v>1.2689202605145442E-6</v>
      </c>
      <c r="D44">
        <v>1.2766492624596348E-6</v>
      </c>
      <c r="E44">
        <v>1.2834689700582439E-6</v>
      </c>
      <c r="F44">
        <v>1.2937367218187098E-6</v>
      </c>
      <c r="G44">
        <v>1.3040866155932595E-6</v>
      </c>
      <c r="H44">
        <v>1.3145193085180056E-6</v>
      </c>
      <c r="I44">
        <v>1.3250354629861495E-6</v>
      </c>
      <c r="J44">
        <v>1.3356357466900388E-6</v>
      </c>
      <c r="K44">
        <v>1.3463208326635592E-6</v>
      </c>
      <c r="L44">
        <v>1.3570913993248676E-6</v>
      </c>
      <c r="M44">
        <v>1.3679481305194666E-6</v>
      </c>
      <c r="N44">
        <v>1.3788917155636222E-6</v>
      </c>
      <c r="O44">
        <v>1.3899228492881312E-6</v>
      </c>
      <c r="P44">
        <v>1.4010422320824363E-6</v>
      </c>
      <c r="Q44">
        <v>1.4122505699390959E-6</v>
      </c>
      <c r="R44">
        <v>1.4235485744986085E-6</v>
      </c>
      <c r="S44">
        <v>1.4349369630945974E-6</v>
      </c>
      <c r="T44">
        <v>1.4464164587993541E-6</v>
      </c>
      <c r="U44">
        <v>1.4579877904697493E-6</v>
      </c>
    </row>
    <row r="45" spans="1:51" x14ac:dyDescent="0.35">
      <c r="A45" t="s">
        <v>61</v>
      </c>
      <c r="B45">
        <f>B43+B44</f>
        <v>2.5160174567135391E-5</v>
      </c>
      <c r="C45">
        <f t="shared" ref="C45:U45" si="1">C43+C44</f>
        <v>2.5378405210290879E-5</v>
      </c>
      <c r="D45">
        <f t="shared" si="1"/>
        <v>2.5532985249192692E-5</v>
      </c>
      <c r="E45">
        <f t="shared" si="1"/>
        <v>2.5669379401164874E-5</v>
      </c>
      <c r="F45">
        <f t="shared" si="1"/>
        <v>2.5874734436374191E-5</v>
      </c>
      <c r="G45">
        <f t="shared" si="1"/>
        <v>2.6081732311865184E-5</v>
      </c>
      <c r="H45">
        <f t="shared" si="1"/>
        <v>2.6290386170360108E-5</v>
      </c>
      <c r="I45">
        <f t="shared" si="1"/>
        <v>2.6500709259722988E-5</v>
      </c>
      <c r="J45">
        <f t="shared" si="1"/>
        <v>2.6712714933800774E-5</v>
      </c>
      <c r="K45">
        <f t="shared" si="1"/>
        <v>2.6926416653271183E-5</v>
      </c>
      <c r="L45">
        <f t="shared" si="1"/>
        <v>2.7141827986497348E-5</v>
      </c>
      <c r="M45">
        <f t="shared" si="1"/>
        <v>2.7358962610389333E-5</v>
      </c>
      <c r="N45">
        <f t="shared" si="1"/>
        <v>2.7577834311272443E-5</v>
      </c>
      <c r="O45">
        <f t="shared" si="1"/>
        <v>2.779845698576262E-5</v>
      </c>
      <c r="P45">
        <f t="shared" si="1"/>
        <v>2.8020844641648726E-5</v>
      </c>
      <c r="Q45">
        <f t="shared" si="1"/>
        <v>2.824501139878191E-5</v>
      </c>
      <c r="R45">
        <f t="shared" si="1"/>
        <v>2.8470971489972164E-5</v>
      </c>
      <c r="S45">
        <f t="shared" si="1"/>
        <v>2.8698739261891945E-5</v>
      </c>
      <c r="T45">
        <f t="shared" si="1"/>
        <v>2.8928329175987082E-5</v>
      </c>
      <c r="U45">
        <f t="shared" si="1"/>
        <v>2.9159755809394982E-5</v>
      </c>
    </row>
    <row r="47" spans="1:51" s="5" customFormat="1" x14ac:dyDescent="0.35">
      <c r="A47" s="3" t="s">
        <v>54</v>
      </c>
    </row>
    <row r="48" spans="1:51" x14ac:dyDescent="0.35">
      <c r="A48" s="1"/>
      <c r="B48">
        <v>2051</v>
      </c>
      <c r="C48">
        <v>2052</v>
      </c>
      <c r="D48">
        <v>2053</v>
      </c>
      <c r="E48">
        <v>2054</v>
      </c>
      <c r="F48">
        <v>2055</v>
      </c>
      <c r="G48">
        <v>2056</v>
      </c>
      <c r="H48">
        <v>2057</v>
      </c>
      <c r="I48">
        <v>2058</v>
      </c>
      <c r="J48">
        <v>2059</v>
      </c>
      <c r="K48">
        <v>2060</v>
      </c>
      <c r="L48">
        <v>2061</v>
      </c>
      <c r="M48">
        <v>2062</v>
      </c>
      <c r="N48">
        <v>2063</v>
      </c>
      <c r="O48">
        <v>2064</v>
      </c>
      <c r="P48">
        <v>2065</v>
      </c>
      <c r="Q48">
        <v>2066</v>
      </c>
      <c r="R48">
        <v>2067</v>
      </c>
      <c r="S48">
        <v>2068</v>
      </c>
      <c r="T48">
        <v>2069</v>
      </c>
      <c r="U48">
        <v>2070</v>
      </c>
    </row>
    <row r="49" spans="1:21" x14ac:dyDescent="0.35">
      <c r="A49" t="s">
        <v>55</v>
      </c>
      <c r="B49">
        <f>B45-B42</f>
        <v>0</v>
      </c>
      <c r="C49">
        <f t="shared" ref="C49:U49" si="2">C45-C42</f>
        <v>0</v>
      </c>
      <c r="D49">
        <f t="shared" si="2"/>
        <v>0</v>
      </c>
      <c r="E49">
        <f t="shared" si="2"/>
        <v>0</v>
      </c>
      <c r="F49">
        <f t="shared" si="2"/>
        <v>0</v>
      </c>
      <c r="G49">
        <f t="shared" si="2"/>
        <v>0</v>
      </c>
      <c r="H49">
        <f t="shared" si="2"/>
        <v>0</v>
      </c>
      <c r="I49">
        <f t="shared" si="2"/>
        <v>0</v>
      </c>
      <c r="J49">
        <f t="shared" si="2"/>
        <v>0</v>
      </c>
      <c r="K49">
        <f t="shared" si="2"/>
        <v>0</v>
      </c>
      <c r="L49">
        <f t="shared" si="2"/>
        <v>0</v>
      </c>
      <c r="M49">
        <f t="shared" si="2"/>
        <v>0</v>
      </c>
      <c r="N49">
        <f t="shared" si="2"/>
        <v>0</v>
      </c>
      <c r="O49">
        <f t="shared" si="2"/>
        <v>0</v>
      </c>
      <c r="P49">
        <f t="shared" si="2"/>
        <v>0</v>
      </c>
      <c r="Q49">
        <f t="shared" si="2"/>
        <v>0</v>
      </c>
      <c r="R49">
        <f t="shared" si="2"/>
        <v>0</v>
      </c>
      <c r="S49">
        <f t="shared" si="2"/>
        <v>0</v>
      </c>
      <c r="T49">
        <f t="shared" si="2"/>
        <v>0</v>
      </c>
      <c r="U49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F11" sqref="F11"/>
    </sheetView>
  </sheetViews>
  <sheetFormatPr defaultRowHeight="14.5" x14ac:dyDescent="0.35"/>
  <cols>
    <col min="2" max="2" width="13.26953125" customWidth="1"/>
    <col min="4" max="4" width="11.54296875" bestFit="1" customWidth="1"/>
  </cols>
  <sheetData>
    <row r="1" spans="1:4" x14ac:dyDescent="0.35">
      <c r="A1" t="s">
        <v>41</v>
      </c>
      <c r="B1" t="s">
        <v>42</v>
      </c>
      <c r="C1" t="s">
        <v>43</v>
      </c>
      <c r="D1">
        <v>2.4943594849428614E-5</v>
      </c>
    </row>
    <row r="2" spans="1:4" x14ac:dyDescent="0.35">
      <c r="A2" t="s">
        <v>41</v>
      </c>
      <c r="B2" t="s">
        <v>42</v>
      </c>
      <c r="C2" t="s">
        <v>44</v>
      </c>
      <c r="D2">
        <v>1.3741805125825274E-5</v>
      </c>
    </row>
    <row r="3" spans="1:4" x14ac:dyDescent="0.35">
      <c r="A3" t="s">
        <v>41</v>
      </c>
      <c r="B3" t="s">
        <v>45</v>
      </c>
      <c r="C3" t="s">
        <v>43</v>
      </c>
      <c r="D3">
        <v>1.3128207815488744E-6</v>
      </c>
    </row>
    <row r="4" spans="1:4" x14ac:dyDescent="0.35">
      <c r="A4" t="s">
        <v>41</v>
      </c>
      <c r="B4" t="s">
        <v>45</v>
      </c>
      <c r="C4" t="s">
        <v>44</v>
      </c>
      <c r="D4">
        <v>4.3719605054697814E-6</v>
      </c>
    </row>
    <row r="6" spans="1:4" x14ac:dyDescent="0.35">
      <c r="A6" t="s">
        <v>41</v>
      </c>
      <c r="B6" t="s">
        <v>46</v>
      </c>
      <c r="C6" t="s">
        <v>43</v>
      </c>
      <c r="D6">
        <f>D1+D3</f>
        <v>2.6256415630977488E-5</v>
      </c>
    </row>
    <row r="7" spans="1:4" x14ac:dyDescent="0.35">
      <c r="A7" t="s">
        <v>41</v>
      </c>
      <c r="B7" t="s">
        <v>46</v>
      </c>
      <c r="C7" t="s">
        <v>44</v>
      </c>
      <c r="D7">
        <f>D2+D4</f>
        <v>1.8113765631295055E-5</v>
      </c>
    </row>
    <row r="9" spans="1:4" x14ac:dyDescent="0.35">
      <c r="A9" t="s">
        <v>47</v>
      </c>
      <c r="B9">
        <f>D6/D7</f>
        <v>1.4495282850306079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Y11"/>
  <sheetViews>
    <sheetView workbookViewId="0">
      <selection activeCell="B1" sqref="B1:G11"/>
    </sheetView>
  </sheetViews>
  <sheetFormatPr defaultRowHeight="14.5" x14ac:dyDescent="0.35"/>
  <cols>
    <col min="1" max="1" width="23.81640625" customWidth="1"/>
    <col min="2" max="2" width="12" bestFit="1" customWidth="1"/>
    <col min="38" max="39" width="11.81640625" bestFit="1" customWidth="1"/>
  </cols>
  <sheetData>
    <row r="1" spans="1:51" x14ac:dyDescent="0.35">
      <c r="A1" s="1" t="s">
        <v>48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34</v>
      </c>
      <c r="B2">
        <f>Calcs!B32</f>
        <v>0</v>
      </c>
      <c r="C2">
        <f>Calcs!C32</f>
        <v>0</v>
      </c>
      <c r="D2">
        <f>Calcs!D32</f>
        <v>0</v>
      </c>
      <c r="E2">
        <f>Calcs!E32</f>
        <v>0</v>
      </c>
      <c r="F2">
        <f>Calcs!F32</f>
        <v>0</v>
      </c>
      <c r="G2">
        <f>Calcs!G32</f>
        <v>0</v>
      </c>
      <c r="H2">
        <f>Calcs!H32</f>
        <v>0</v>
      </c>
      <c r="I2">
        <f>Calcs!I32</f>
        <v>0</v>
      </c>
      <c r="J2">
        <f>Calcs!J32</f>
        <v>0</v>
      </c>
      <c r="K2">
        <f>Calcs!K32</f>
        <v>0</v>
      </c>
      <c r="L2">
        <f>Calcs!L32</f>
        <v>0</v>
      </c>
      <c r="M2">
        <f>Calcs!M32</f>
        <v>0</v>
      </c>
      <c r="N2">
        <f>Calcs!N32</f>
        <v>0</v>
      </c>
      <c r="O2">
        <f>Calcs!O32</f>
        <v>0</v>
      </c>
      <c r="P2">
        <f>Calcs!P32</f>
        <v>0</v>
      </c>
      <c r="Q2">
        <f>Calcs!Q32</f>
        <v>0</v>
      </c>
      <c r="R2">
        <f>Calcs!R32</f>
        <v>0</v>
      </c>
      <c r="S2">
        <f>Calcs!S32</f>
        <v>0</v>
      </c>
      <c r="T2">
        <f>Calcs!T32</f>
        <v>0</v>
      </c>
      <c r="U2">
        <f>Calcs!U32</f>
        <v>0</v>
      </c>
      <c r="V2">
        <f>Calcs!V32</f>
        <v>0</v>
      </c>
      <c r="W2">
        <f>Calcs!W32</f>
        <v>0</v>
      </c>
      <c r="X2">
        <f>Calcs!X32</f>
        <v>0</v>
      </c>
      <c r="Y2">
        <f>Calcs!Y32</f>
        <v>0</v>
      </c>
      <c r="Z2">
        <f>Calcs!Z32</f>
        <v>0</v>
      </c>
      <c r="AA2">
        <f>Calcs!AA32</f>
        <v>0</v>
      </c>
      <c r="AB2">
        <f>Calcs!AB32</f>
        <v>0</v>
      </c>
      <c r="AC2">
        <f>Calcs!AC32</f>
        <v>0</v>
      </c>
      <c r="AD2">
        <f>Calcs!AD32</f>
        <v>0</v>
      </c>
      <c r="AE2">
        <f>Calcs!AE32</f>
        <v>0</v>
      </c>
      <c r="AF2">
        <f>Calcs!AF32</f>
        <v>0</v>
      </c>
      <c r="AG2">
        <f>Calcs!AG32</f>
        <v>0</v>
      </c>
      <c r="AH2">
        <f>Calcs!AH32</f>
        <v>0</v>
      </c>
      <c r="AI2">
        <f>Calcs!AI32</f>
        <v>0</v>
      </c>
      <c r="AJ2">
        <f>Calcs!AJ32</f>
        <v>0</v>
      </c>
      <c r="AK2">
        <f>Calcs!AK32</f>
        <v>0</v>
      </c>
      <c r="AL2">
        <f>Calcs!AL32</f>
        <v>0</v>
      </c>
      <c r="AM2">
        <f>Calcs!AM32</f>
        <v>0</v>
      </c>
      <c r="AN2">
        <f>Calcs!AN32</f>
        <v>0</v>
      </c>
      <c r="AO2">
        <f>Calcs!AO32</f>
        <v>0</v>
      </c>
      <c r="AP2">
        <f>Calcs!AP32</f>
        <v>0</v>
      </c>
      <c r="AQ2">
        <f>Calcs!AQ32</f>
        <v>0</v>
      </c>
      <c r="AR2">
        <f>Calcs!AR32</f>
        <v>0</v>
      </c>
      <c r="AS2">
        <f>Calcs!AS32</f>
        <v>0</v>
      </c>
      <c r="AT2">
        <f>Calcs!AT32</f>
        <v>0</v>
      </c>
      <c r="AU2">
        <f>Calcs!AU32</f>
        <v>0</v>
      </c>
      <c r="AV2">
        <f>Calcs!AV32</f>
        <v>0</v>
      </c>
      <c r="AW2">
        <f>Calcs!AW32</f>
        <v>0</v>
      </c>
      <c r="AX2">
        <f>Calcs!AX32</f>
        <v>0</v>
      </c>
      <c r="AY2">
        <f>Calcs!AY32</f>
        <v>0</v>
      </c>
    </row>
    <row r="3" spans="1:51" x14ac:dyDescent="0.35">
      <c r="A3" t="s">
        <v>36</v>
      </c>
      <c r="B3">
        <f>Calcs!B33</f>
        <v>0</v>
      </c>
      <c r="C3">
        <f>Calcs!C33</f>
        <v>0</v>
      </c>
      <c r="D3">
        <f>Calcs!D33</f>
        <v>0</v>
      </c>
      <c r="E3">
        <f>Calcs!E33</f>
        <v>0</v>
      </c>
      <c r="F3">
        <f>Calcs!F33</f>
        <v>0</v>
      </c>
      <c r="G3">
        <f>Calcs!G33</f>
        <v>0</v>
      </c>
      <c r="H3">
        <f>Calcs!H33</f>
        <v>0</v>
      </c>
      <c r="I3">
        <f>Calcs!I33</f>
        <v>0</v>
      </c>
      <c r="J3">
        <f>Calcs!J33</f>
        <v>0</v>
      </c>
      <c r="K3">
        <f>Calcs!K33</f>
        <v>0</v>
      </c>
      <c r="L3">
        <f>Calcs!L33</f>
        <v>0</v>
      </c>
      <c r="M3">
        <f>Calcs!M33</f>
        <v>0</v>
      </c>
      <c r="N3">
        <f>Calcs!N33</f>
        <v>0</v>
      </c>
      <c r="O3">
        <f>Calcs!O33</f>
        <v>0</v>
      </c>
      <c r="P3">
        <f>Calcs!P33</f>
        <v>0</v>
      </c>
      <c r="Q3">
        <f>Calcs!Q33</f>
        <v>0</v>
      </c>
      <c r="R3">
        <f>Calcs!R33</f>
        <v>0</v>
      </c>
      <c r="S3">
        <f>Calcs!S33</f>
        <v>0</v>
      </c>
      <c r="T3">
        <f>Calcs!T33</f>
        <v>0</v>
      </c>
      <c r="U3">
        <f>Calcs!U33</f>
        <v>0</v>
      </c>
      <c r="V3">
        <f>Calcs!V33</f>
        <v>0</v>
      </c>
      <c r="W3">
        <f>Calcs!W33</f>
        <v>0</v>
      </c>
      <c r="X3">
        <f>Calcs!X33</f>
        <v>0</v>
      </c>
      <c r="Y3">
        <f>Calcs!Y33</f>
        <v>0</v>
      </c>
      <c r="Z3">
        <f>Calcs!Z33</f>
        <v>0</v>
      </c>
      <c r="AA3">
        <f>Calcs!AA33</f>
        <v>0</v>
      </c>
      <c r="AB3">
        <f>Calcs!AB33</f>
        <v>0</v>
      </c>
      <c r="AC3">
        <f>Calcs!AC33</f>
        <v>0</v>
      </c>
      <c r="AD3">
        <f>Calcs!AD33</f>
        <v>0</v>
      </c>
      <c r="AE3">
        <f>Calcs!AE33</f>
        <v>0</v>
      </c>
      <c r="AF3">
        <f>Calcs!AF33</f>
        <v>0</v>
      </c>
      <c r="AG3">
        <f>Calcs!AG33</f>
        <v>0</v>
      </c>
      <c r="AH3">
        <f>Calcs!AH33</f>
        <v>0</v>
      </c>
      <c r="AI3">
        <f>Calcs!AI33</f>
        <v>0</v>
      </c>
      <c r="AJ3">
        <f>Calcs!AJ33</f>
        <v>0</v>
      </c>
      <c r="AK3">
        <f>Calcs!AK33</f>
        <v>0</v>
      </c>
      <c r="AL3">
        <f>Calcs!AL33</f>
        <v>0</v>
      </c>
      <c r="AM3">
        <f>Calcs!AM33</f>
        <v>0</v>
      </c>
      <c r="AN3">
        <f>Calcs!AN33</f>
        <v>0</v>
      </c>
      <c r="AO3">
        <f>Calcs!AO33</f>
        <v>0</v>
      </c>
      <c r="AP3">
        <f>Calcs!AP33</f>
        <v>0</v>
      </c>
      <c r="AQ3">
        <f>Calcs!AQ33</f>
        <v>0</v>
      </c>
      <c r="AR3">
        <f>Calcs!AR33</f>
        <v>0</v>
      </c>
      <c r="AS3">
        <f>Calcs!AS33</f>
        <v>0</v>
      </c>
      <c r="AT3">
        <f>Calcs!AT33</f>
        <v>0</v>
      </c>
      <c r="AU3">
        <f>Calcs!AU33</f>
        <v>0</v>
      </c>
      <c r="AV3">
        <f>Calcs!AV33</f>
        <v>0</v>
      </c>
      <c r="AW3">
        <f>Calcs!AW33</f>
        <v>0</v>
      </c>
      <c r="AX3">
        <f>Calcs!AX33</f>
        <v>0</v>
      </c>
      <c r="AY3">
        <f>Calcs!AY33</f>
        <v>0</v>
      </c>
    </row>
    <row r="4" spans="1:51" x14ac:dyDescent="0.35">
      <c r="A4" t="s">
        <v>35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  <c r="I4">
        <f>0</f>
        <v>0</v>
      </c>
      <c r="J4">
        <f>0</f>
        <v>0</v>
      </c>
      <c r="K4">
        <f>0</f>
        <v>0</v>
      </c>
      <c r="L4">
        <f>0</f>
        <v>0</v>
      </c>
      <c r="M4">
        <f>0</f>
        <v>0</v>
      </c>
      <c r="N4">
        <f>0</f>
        <v>0</v>
      </c>
      <c r="O4">
        <f>0</f>
        <v>0</v>
      </c>
      <c r="P4">
        <f>0</f>
        <v>0</v>
      </c>
      <c r="Q4">
        <f>0</f>
        <v>0</v>
      </c>
      <c r="R4">
        <f>0</f>
        <v>0</v>
      </c>
      <c r="S4">
        <f>0</f>
        <v>0</v>
      </c>
      <c r="T4">
        <f>0</f>
        <v>0</v>
      </c>
      <c r="U4">
        <f>0</f>
        <v>0</v>
      </c>
      <c r="V4">
        <f>0</f>
        <v>0</v>
      </c>
      <c r="W4">
        <f>0</f>
        <v>0</v>
      </c>
      <c r="X4">
        <f>0</f>
        <v>0</v>
      </c>
      <c r="Y4">
        <f>0</f>
        <v>0</v>
      </c>
      <c r="Z4">
        <f>0</f>
        <v>0</v>
      </c>
      <c r="AA4">
        <f>0</f>
        <v>0</v>
      </c>
      <c r="AB4">
        <f>0</f>
        <v>0</v>
      </c>
      <c r="AC4">
        <f>0</f>
        <v>0</v>
      </c>
      <c r="AD4">
        <f>0</f>
        <v>0</v>
      </c>
      <c r="AE4">
        <f>0</f>
        <v>0</v>
      </c>
      <c r="AF4">
        <f>0</f>
        <v>0</v>
      </c>
      <c r="AG4">
        <f>0</f>
        <v>0</v>
      </c>
      <c r="AH4">
        <f>0</f>
        <v>0</v>
      </c>
      <c r="AI4">
        <f>0</f>
        <v>0</v>
      </c>
      <c r="AJ4">
        <f>0</f>
        <v>0</v>
      </c>
      <c r="AK4">
        <f>0</f>
        <v>0</v>
      </c>
      <c r="AL4">
        <f>0</f>
        <v>0</v>
      </c>
      <c r="AM4">
        <f>0</f>
        <v>0</v>
      </c>
      <c r="AN4">
        <f>0</f>
        <v>0</v>
      </c>
      <c r="AO4">
        <f>0</f>
        <v>0</v>
      </c>
      <c r="AP4">
        <f>0</f>
        <v>0</v>
      </c>
      <c r="AQ4">
        <f>0</f>
        <v>0</v>
      </c>
      <c r="AR4">
        <f>0</f>
        <v>0</v>
      </c>
      <c r="AS4">
        <f>0</f>
        <v>0</v>
      </c>
      <c r="AT4">
        <f>0</f>
        <v>0</v>
      </c>
      <c r="AU4">
        <f>0</f>
        <v>0</v>
      </c>
      <c r="AV4">
        <f>0</f>
        <v>0</v>
      </c>
      <c r="AW4">
        <f>0</f>
        <v>0</v>
      </c>
      <c r="AX4">
        <f>0</f>
        <v>0</v>
      </c>
      <c r="AY4">
        <f>0</f>
        <v>0</v>
      </c>
    </row>
    <row r="5" spans="1:51" x14ac:dyDescent="0.35">
      <c r="A5" t="s">
        <v>39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  <c r="I5">
        <f>0</f>
        <v>0</v>
      </c>
      <c r="J5">
        <f>0</f>
        <v>0</v>
      </c>
      <c r="K5">
        <f>0</f>
        <v>0</v>
      </c>
      <c r="L5">
        <f>0</f>
        <v>0</v>
      </c>
      <c r="M5">
        <f>0</f>
        <v>0</v>
      </c>
      <c r="N5">
        <f>0</f>
        <v>0</v>
      </c>
      <c r="O5">
        <f>0</f>
        <v>0</v>
      </c>
      <c r="P5">
        <f>0</f>
        <v>0</v>
      </c>
      <c r="Q5">
        <f>0</f>
        <v>0</v>
      </c>
      <c r="R5">
        <f>0</f>
        <v>0</v>
      </c>
      <c r="S5">
        <f>0</f>
        <v>0</v>
      </c>
      <c r="T5">
        <f>0</f>
        <v>0</v>
      </c>
      <c r="U5">
        <f>0</f>
        <v>0</v>
      </c>
      <c r="V5">
        <f>0</f>
        <v>0</v>
      </c>
      <c r="W5">
        <f>0</f>
        <v>0</v>
      </c>
      <c r="X5">
        <f>0</f>
        <v>0</v>
      </c>
      <c r="Y5">
        <f>0</f>
        <v>0</v>
      </c>
      <c r="Z5">
        <f>0</f>
        <v>0</v>
      </c>
      <c r="AA5">
        <f>0</f>
        <v>0</v>
      </c>
      <c r="AB5">
        <f>0</f>
        <v>0</v>
      </c>
      <c r="AC5">
        <f>0</f>
        <v>0</v>
      </c>
      <c r="AD5">
        <f>0</f>
        <v>0</v>
      </c>
      <c r="AE5">
        <f>0</f>
        <v>0</v>
      </c>
      <c r="AF5">
        <f>0</f>
        <v>0</v>
      </c>
      <c r="AG5">
        <f>0</f>
        <v>0</v>
      </c>
      <c r="AH5">
        <f>0</f>
        <v>0</v>
      </c>
      <c r="AI5">
        <f>0</f>
        <v>0</v>
      </c>
      <c r="AJ5">
        <f>0</f>
        <v>0</v>
      </c>
      <c r="AK5">
        <f>0</f>
        <v>0</v>
      </c>
      <c r="AL5">
        <f>0</f>
        <v>0</v>
      </c>
      <c r="AM5">
        <f>0</f>
        <v>0</v>
      </c>
      <c r="AN5">
        <f>0</f>
        <v>0</v>
      </c>
      <c r="AO5">
        <f>0</f>
        <v>0</v>
      </c>
      <c r="AP5">
        <f>0</f>
        <v>0</v>
      </c>
      <c r="AQ5">
        <f>0</f>
        <v>0</v>
      </c>
      <c r="AR5">
        <f>0</f>
        <v>0</v>
      </c>
      <c r="AS5">
        <f>0</f>
        <v>0</v>
      </c>
      <c r="AT5">
        <f>0</f>
        <v>0</v>
      </c>
      <c r="AU5">
        <f>0</f>
        <v>0</v>
      </c>
      <c r="AV5">
        <f>0</f>
        <v>0</v>
      </c>
      <c r="AW5">
        <f>0</f>
        <v>0</v>
      </c>
      <c r="AX5">
        <f>0</f>
        <v>0</v>
      </c>
      <c r="AY5">
        <f>0</f>
        <v>0</v>
      </c>
    </row>
    <row r="6" spans="1:51" x14ac:dyDescent="0.35">
      <c r="A6" t="s">
        <v>37</v>
      </c>
      <c r="B6">
        <f>Calcs!B34</f>
        <v>0</v>
      </c>
      <c r="C6">
        <f>Calcs!C34</f>
        <v>0</v>
      </c>
      <c r="D6">
        <f>Calcs!D34</f>
        <v>0</v>
      </c>
      <c r="E6">
        <f>Calcs!E34</f>
        <v>0</v>
      </c>
      <c r="F6">
        <f>Calcs!F34</f>
        <v>0</v>
      </c>
      <c r="G6">
        <f>Calcs!G34</f>
        <v>0</v>
      </c>
      <c r="H6">
        <f>Calcs!H34</f>
        <v>0</v>
      </c>
      <c r="I6">
        <f>Calcs!I34</f>
        <v>0</v>
      </c>
      <c r="J6">
        <f>Calcs!J34</f>
        <v>0</v>
      </c>
      <c r="K6">
        <f>Calcs!K34</f>
        <v>0</v>
      </c>
      <c r="L6">
        <f>Calcs!L34</f>
        <v>0</v>
      </c>
      <c r="M6">
        <f>Calcs!M34</f>
        <v>0</v>
      </c>
      <c r="N6">
        <f>Calcs!N34</f>
        <v>0</v>
      </c>
      <c r="O6">
        <f>Calcs!O34</f>
        <v>0</v>
      </c>
      <c r="P6">
        <f>Calcs!P34</f>
        <v>0</v>
      </c>
      <c r="Q6">
        <f>Calcs!Q34</f>
        <v>0</v>
      </c>
      <c r="R6">
        <f>Calcs!R34</f>
        <v>0</v>
      </c>
      <c r="S6">
        <f>Calcs!S34</f>
        <v>0</v>
      </c>
      <c r="T6">
        <f>Calcs!T34</f>
        <v>0</v>
      </c>
      <c r="U6">
        <f>Calcs!U34</f>
        <v>0</v>
      </c>
      <c r="V6">
        <f>Calcs!V34</f>
        <v>0</v>
      </c>
      <c r="W6">
        <f>Calcs!W34</f>
        <v>0</v>
      </c>
      <c r="X6">
        <f>Calcs!X34</f>
        <v>0</v>
      </c>
      <c r="Y6">
        <f>Calcs!Y34</f>
        <v>0</v>
      </c>
      <c r="Z6">
        <f>Calcs!Z34</f>
        <v>0</v>
      </c>
      <c r="AA6">
        <f>Calcs!AA34</f>
        <v>0</v>
      </c>
      <c r="AB6">
        <f>Calcs!AB34</f>
        <v>0</v>
      </c>
      <c r="AC6">
        <f>Calcs!AC34</f>
        <v>0</v>
      </c>
      <c r="AD6">
        <f>Calcs!AD34</f>
        <v>0</v>
      </c>
      <c r="AE6">
        <f>Calcs!AE34</f>
        <v>0</v>
      </c>
      <c r="AF6">
        <f>Calcs!AF34</f>
        <v>0</v>
      </c>
      <c r="AG6">
        <f>Calcs!AG34</f>
        <v>0</v>
      </c>
      <c r="AH6">
        <f>Calcs!AH34</f>
        <v>0</v>
      </c>
      <c r="AI6">
        <f>Calcs!AI34</f>
        <v>0</v>
      </c>
      <c r="AJ6">
        <f>Calcs!AJ34</f>
        <v>0</v>
      </c>
      <c r="AK6">
        <f>Calcs!AK34</f>
        <v>0</v>
      </c>
      <c r="AL6">
        <f>Calcs!AL34</f>
        <v>0</v>
      </c>
      <c r="AM6">
        <f>Calcs!AM34</f>
        <v>0</v>
      </c>
      <c r="AN6">
        <f>Calcs!AN34</f>
        <v>0</v>
      </c>
      <c r="AO6">
        <f>Calcs!AO34</f>
        <v>0</v>
      </c>
      <c r="AP6">
        <f>Calcs!AP34</f>
        <v>0</v>
      </c>
      <c r="AQ6">
        <f>Calcs!AQ34</f>
        <v>0</v>
      </c>
      <c r="AR6">
        <f>Calcs!AR34</f>
        <v>0</v>
      </c>
      <c r="AS6">
        <f>Calcs!AS34</f>
        <v>0</v>
      </c>
      <c r="AT6">
        <f>Calcs!AT34</f>
        <v>0</v>
      </c>
      <c r="AU6">
        <f>Calcs!AU34</f>
        <v>0</v>
      </c>
      <c r="AV6">
        <f>Calcs!AV34</f>
        <v>0</v>
      </c>
      <c r="AW6">
        <f>Calcs!AW34</f>
        <v>0</v>
      </c>
      <c r="AX6">
        <f>Calcs!AX34</f>
        <v>0</v>
      </c>
      <c r="AY6">
        <f>Calcs!AY34</f>
        <v>0</v>
      </c>
    </row>
    <row r="7" spans="1:51" x14ac:dyDescent="0.35">
      <c r="A7" t="s">
        <v>38</v>
      </c>
      <c r="B7">
        <f>MAX(Calcs!B35,0)*'India Adjustment'!$B$9</f>
        <v>1.8385432439673406E-5</v>
      </c>
      <c r="C7">
        <f>MAX(Calcs!C35,0)*'India Adjustment'!$B$9</f>
        <v>1.6716993850471156E-5</v>
      </c>
      <c r="D7">
        <f>MAX(Calcs!D35,0)*'India Adjustment'!$B$9</f>
        <v>1.4730170841153627E-5</v>
      </c>
      <c r="E7">
        <f>MAX(Calcs!E35,0)*'India Adjustment'!$B$9</f>
        <v>1.4906786570062429E-5</v>
      </c>
      <c r="F7">
        <f>MAX(Calcs!F35,0)*'India Adjustment'!$B$9</f>
        <v>1.4727931204864032E-5</v>
      </c>
      <c r="G7">
        <f>MAX(Calcs!G35,0)*'India Adjustment'!$B$9</f>
        <v>1.4535612261654945E-5</v>
      </c>
      <c r="H7">
        <f>MAX(Calcs!H35,0)*'India Adjustment'!$B$9</f>
        <v>1.4331992042654579E-5</v>
      </c>
      <c r="I7">
        <f>MAX(Calcs!I35,0)*'India Adjustment'!$B$9</f>
        <v>1.3841232734366737E-5</v>
      </c>
      <c r="J7">
        <f>MAX(Calcs!J35,0)*'India Adjustment'!$B$9</f>
        <v>1.3814290056098193E-5</v>
      </c>
      <c r="K7">
        <f>MAX(Calcs!K35,0)*'India Adjustment'!$B$9</f>
        <v>1.3416366071985228E-5</v>
      </c>
      <c r="L7">
        <f>MAX(Calcs!L35,0)*'India Adjustment'!$B$9</f>
        <v>1.5226943232687588E-5</v>
      </c>
      <c r="M7">
        <f>MAX(Calcs!M35,0)*'India Adjustment'!$B$9</f>
        <v>1.4838582336134232E-5</v>
      </c>
      <c r="N7">
        <f>MAX(Calcs!N35,0)*'India Adjustment'!$B$9</f>
        <v>1.4209338815731016E-5</v>
      </c>
      <c r="O7">
        <f>MAX(Calcs!O35,0)*'India Adjustment'!$B$9</f>
        <v>1.3373198558963981E-5</v>
      </c>
      <c r="P7">
        <f>MAX(Calcs!P35,0)*'India Adjustment'!$B$9</f>
        <v>1.4398064496130757E-5</v>
      </c>
      <c r="Q7">
        <f>MAX(Calcs!Q35,0)*'India Adjustment'!$B$9</f>
        <v>1.3305858759626409E-5</v>
      </c>
      <c r="R7">
        <f>MAX(Calcs!R35,0)*'India Adjustment'!$B$9</f>
        <v>1.1643090206525472E-5</v>
      </c>
      <c r="S7">
        <f>MAX(Calcs!S35,0)*'India Adjustment'!$B$9</f>
        <v>9.369038933387582E-6</v>
      </c>
      <c r="T7">
        <f>MAX(Calcs!T35,0)*'India Adjustment'!$B$9</f>
        <v>9.3055568714921171E-6</v>
      </c>
      <c r="U7">
        <f>MAX(Calcs!U35,0)*'India Adjustment'!$B$9</f>
        <v>6.9205813379438834E-6</v>
      </c>
      <c r="V7">
        <f>MAX(Calcs!V35,0)*'India Adjustment'!$B$9</f>
        <v>5.3653823067150401E-6</v>
      </c>
      <c r="W7">
        <f>MAX(Calcs!W35,0)*'India Adjustment'!$B$9</f>
        <v>7.944517579223035E-6</v>
      </c>
      <c r="X7">
        <f>MAX(Calcs!X35,0)*'India Adjustment'!$B$9</f>
        <v>5.0024401431646422E-6</v>
      </c>
      <c r="Y7">
        <f>MAX(Calcs!Y35,0)*'India Adjustment'!$B$9</f>
        <v>0</v>
      </c>
      <c r="Z7">
        <f>MAX(Calcs!Z35,0)*'India Adjustment'!$B$9</f>
        <v>0</v>
      </c>
      <c r="AA7">
        <f>MAX(Calcs!AA35,0)*'India Adjustment'!$B$9</f>
        <v>0</v>
      </c>
      <c r="AB7">
        <f>MAX(Calcs!AB35,0)*'India Adjustment'!$B$9</f>
        <v>0</v>
      </c>
      <c r="AC7">
        <f>MAX(Calcs!AC35,0)*'India Adjustment'!$B$9</f>
        <v>0</v>
      </c>
      <c r="AD7">
        <f>MAX(Calcs!AD35,0)*'India Adjustment'!$B$9</f>
        <v>0</v>
      </c>
      <c r="AE7">
        <f>MAX(Calcs!AE35,0)*'India Adjustment'!$B$9</f>
        <v>0</v>
      </c>
      <c r="AF7">
        <f>Calcs!B49</f>
        <v>0</v>
      </c>
      <c r="AG7">
        <f>Calcs!C49</f>
        <v>0</v>
      </c>
      <c r="AH7">
        <f>Calcs!D49</f>
        <v>0</v>
      </c>
      <c r="AI7">
        <f>Calcs!E49</f>
        <v>0</v>
      </c>
      <c r="AJ7">
        <f>Calcs!F49</f>
        <v>0</v>
      </c>
      <c r="AK7">
        <f>Calcs!G49</f>
        <v>0</v>
      </c>
      <c r="AL7">
        <f>Calcs!H49</f>
        <v>0</v>
      </c>
      <c r="AM7">
        <f>Calcs!I49</f>
        <v>0</v>
      </c>
      <c r="AN7">
        <f>Calcs!J49</f>
        <v>0</v>
      </c>
      <c r="AO7">
        <f>Calcs!K49</f>
        <v>0</v>
      </c>
      <c r="AP7">
        <f>Calcs!L49</f>
        <v>0</v>
      </c>
      <c r="AQ7">
        <f>Calcs!M49</f>
        <v>0</v>
      </c>
      <c r="AR7">
        <f>Calcs!N49</f>
        <v>0</v>
      </c>
      <c r="AS7">
        <f>Calcs!O49</f>
        <v>0</v>
      </c>
      <c r="AT7">
        <f>Calcs!P49</f>
        <v>0</v>
      </c>
      <c r="AU7">
        <f>Calcs!Q49</f>
        <v>0</v>
      </c>
      <c r="AV7">
        <f>Calcs!R49</f>
        <v>0</v>
      </c>
      <c r="AW7">
        <f>Calcs!S49</f>
        <v>0</v>
      </c>
      <c r="AX7">
        <f>Calcs!T49</f>
        <v>0</v>
      </c>
      <c r="AY7">
        <f>Calcs!U49</f>
        <v>0</v>
      </c>
    </row>
    <row r="8" spans="1:51" x14ac:dyDescent="0.35">
      <c r="A8" t="s">
        <v>49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  <c r="I8">
        <f>0</f>
        <v>0</v>
      </c>
      <c r="J8">
        <f>0</f>
        <v>0</v>
      </c>
      <c r="K8">
        <f>0</f>
        <v>0</v>
      </c>
      <c r="L8">
        <f>0</f>
        <v>0</v>
      </c>
      <c r="M8">
        <f>0</f>
        <v>0</v>
      </c>
      <c r="N8">
        <f>0</f>
        <v>0</v>
      </c>
      <c r="O8">
        <f>0</f>
        <v>0</v>
      </c>
      <c r="P8">
        <f>0</f>
        <v>0</v>
      </c>
      <c r="Q8">
        <f>0</f>
        <v>0</v>
      </c>
      <c r="R8">
        <f>0</f>
        <v>0</v>
      </c>
      <c r="S8">
        <f>0</f>
        <v>0</v>
      </c>
      <c r="T8">
        <f>0</f>
        <v>0</v>
      </c>
      <c r="U8">
        <f>0</f>
        <v>0</v>
      </c>
      <c r="V8">
        <f>0</f>
        <v>0</v>
      </c>
      <c r="W8">
        <f>0</f>
        <v>0</v>
      </c>
      <c r="X8">
        <f>0</f>
        <v>0</v>
      </c>
      <c r="Y8">
        <f>0</f>
        <v>0</v>
      </c>
      <c r="Z8">
        <f>0</f>
        <v>0</v>
      </c>
      <c r="AA8">
        <f>0</f>
        <v>0</v>
      </c>
      <c r="AB8">
        <f>0</f>
        <v>0</v>
      </c>
      <c r="AC8">
        <f>0</f>
        <v>0</v>
      </c>
      <c r="AD8">
        <f>0</f>
        <v>0</v>
      </c>
      <c r="AE8">
        <f>0</f>
        <v>0</v>
      </c>
      <c r="AF8">
        <f>0</f>
        <v>0</v>
      </c>
      <c r="AG8">
        <f>0</f>
        <v>0</v>
      </c>
      <c r="AH8">
        <f>0</f>
        <v>0</v>
      </c>
      <c r="AI8">
        <f>0</f>
        <v>0</v>
      </c>
      <c r="AJ8">
        <f>0</f>
        <v>0</v>
      </c>
      <c r="AK8">
        <f>0</f>
        <v>0</v>
      </c>
      <c r="AL8">
        <f>0</f>
        <v>0</v>
      </c>
      <c r="AM8">
        <f>0</f>
        <v>0</v>
      </c>
      <c r="AN8">
        <f>0</f>
        <v>0</v>
      </c>
      <c r="AO8">
        <f>0</f>
        <v>0</v>
      </c>
      <c r="AP8">
        <f>0</f>
        <v>0</v>
      </c>
      <c r="AQ8">
        <f>0</f>
        <v>0</v>
      </c>
      <c r="AR8">
        <f>0</f>
        <v>0</v>
      </c>
      <c r="AS8">
        <f>0</f>
        <v>0</v>
      </c>
      <c r="AT8">
        <f>0</f>
        <v>0</v>
      </c>
      <c r="AU8">
        <f>0</f>
        <v>0</v>
      </c>
      <c r="AV8">
        <f>0</f>
        <v>0</v>
      </c>
      <c r="AW8">
        <f>0</f>
        <v>0</v>
      </c>
      <c r="AX8">
        <f>0</f>
        <v>0</v>
      </c>
      <c r="AY8">
        <f>0</f>
        <v>0</v>
      </c>
    </row>
    <row r="9" spans="1:51" x14ac:dyDescent="0.35">
      <c r="A9" t="s">
        <v>50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  <c r="I9">
        <f>0</f>
        <v>0</v>
      </c>
      <c r="J9">
        <f>0</f>
        <v>0</v>
      </c>
      <c r="K9">
        <f>0</f>
        <v>0</v>
      </c>
      <c r="L9">
        <f>0</f>
        <v>0</v>
      </c>
      <c r="M9">
        <f>0</f>
        <v>0</v>
      </c>
      <c r="N9">
        <f>0</f>
        <v>0</v>
      </c>
      <c r="O9">
        <f>0</f>
        <v>0</v>
      </c>
      <c r="P9">
        <f>0</f>
        <v>0</v>
      </c>
      <c r="Q9">
        <f>0</f>
        <v>0</v>
      </c>
      <c r="R9">
        <f>0</f>
        <v>0</v>
      </c>
      <c r="S9">
        <f>0</f>
        <v>0</v>
      </c>
      <c r="T9">
        <f>0</f>
        <v>0</v>
      </c>
      <c r="U9">
        <f>0</f>
        <v>0</v>
      </c>
      <c r="V9">
        <f>0</f>
        <v>0</v>
      </c>
      <c r="W9">
        <f>0</f>
        <v>0</v>
      </c>
      <c r="X9">
        <f>0</f>
        <v>0</v>
      </c>
      <c r="Y9">
        <f>0</f>
        <v>0</v>
      </c>
      <c r="Z9">
        <f>0</f>
        <v>0</v>
      </c>
      <c r="AA9">
        <f>0</f>
        <v>0</v>
      </c>
      <c r="AB9">
        <f>0</f>
        <v>0</v>
      </c>
      <c r="AC9">
        <f>0</f>
        <v>0</v>
      </c>
      <c r="AD9">
        <f>0</f>
        <v>0</v>
      </c>
      <c r="AE9">
        <f>0</f>
        <v>0</v>
      </c>
      <c r="AF9">
        <f>0</f>
        <v>0</v>
      </c>
      <c r="AG9">
        <f>0</f>
        <v>0</v>
      </c>
      <c r="AH9">
        <f>0</f>
        <v>0</v>
      </c>
      <c r="AI9">
        <f>0</f>
        <v>0</v>
      </c>
      <c r="AJ9">
        <f>0</f>
        <v>0</v>
      </c>
      <c r="AK9">
        <f>0</f>
        <v>0</v>
      </c>
      <c r="AL9">
        <f>0</f>
        <v>0</v>
      </c>
      <c r="AM9">
        <f>0</f>
        <v>0</v>
      </c>
      <c r="AN9">
        <f>0</f>
        <v>0</v>
      </c>
      <c r="AO9">
        <f>0</f>
        <v>0</v>
      </c>
      <c r="AP9">
        <f>0</f>
        <v>0</v>
      </c>
      <c r="AQ9">
        <f>0</f>
        <v>0</v>
      </c>
      <c r="AR9">
        <f>0</f>
        <v>0</v>
      </c>
      <c r="AS9">
        <f>0</f>
        <v>0</v>
      </c>
      <c r="AT9">
        <f>0</f>
        <v>0</v>
      </c>
      <c r="AU9">
        <f>0</f>
        <v>0</v>
      </c>
      <c r="AV9">
        <f>0</f>
        <v>0</v>
      </c>
      <c r="AW9">
        <f>0</f>
        <v>0</v>
      </c>
      <c r="AX9">
        <f>0</f>
        <v>0</v>
      </c>
      <c r="AY9">
        <f>0</f>
        <v>0</v>
      </c>
    </row>
    <row r="10" spans="1:51" x14ac:dyDescent="0.35">
      <c r="A10" t="s">
        <v>51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  <c r="I10">
        <f>0</f>
        <v>0</v>
      </c>
      <c r="J10">
        <f>0</f>
        <v>0</v>
      </c>
      <c r="K10">
        <f>0</f>
        <v>0</v>
      </c>
      <c r="L10">
        <f>0</f>
        <v>0</v>
      </c>
      <c r="M10">
        <f>0</f>
        <v>0</v>
      </c>
      <c r="N10">
        <f>0</f>
        <v>0</v>
      </c>
      <c r="O10">
        <f>0</f>
        <v>0</v>
      </c>
      <c r="P10">
        <f>0</f>
        <v>0</v>
      </c>
      <c r="Q10">
        <f>0</f>
        <v>0</v>
      </c>
      <c r="R10">
        <f>0</f>
        <v>0</v>
      </c>
      <c r="S10">
        <f>0</f>
        <v>0</v>
      </c>
      <c r="T10">
        <f>0</f>
        <v>0</v>
      </c>
      <c r="U10">
        <f>0</f>
        <v>0</v>
      </c>
      <c r="V10">
        <f>0</f>
        <v>0</v>
      </c>
      <c r="W10">
        <f>0</f>
        <v>0</v>
      </c>
      <c r="X10">
        <f>0</f>
        <v>0</v>
      </c>
      <c r="Y10">
        <f>0</f>
        <v>0</v>
      </c>
      <c r="Z10">
        <f>0</f>
        <v>0</v>
      </c>
      <c r="AA10">
        <f>0</f>
        <v>0</v>
      </c>
      <c r="AB10">
        <f>0</f>
        <v>0</v>
      </c>
      <c r="AC10">
        <f>0</f>
        <v>0</v>
      </c>
      <c r="AD10">
        <f>0</f>
        <v>0</v>
      </c>
      <c r="AE10">
        <f>0</f>
        <v>0</v>
      </c>
      <c r="AF10">
        <f>0</f>
        <v>0</v>
      </c>
      <c r="AG10">
        <f>0</f>
        <v>0</v>
      </c>
      <c r="AH10">
        <f>0</f>
        <v>0</v>
      </c>
      <c r="AI10">
        <f>0</f>
        <v>0</v>
      </c>
      <c r="AJ10">
        <f>0</f>
        <v>0</v>
      </c>
      <c r="AK10">
        <f>0</f>
        <v>0</v>
      </c>
      <c r="AL10">
        <f>0</f>
        <v>0</v>
      </c>
      <c r="AM10">
        <f>0</f>
        <v>0</v>
      </c>
      <c r="AN10">
        <f>0</f>
        <v>0</v>
      </c>
      <c r="AO10">
        <f>0</f>
        <v>0</v>
      </c>
      <c r="AP10">
        <f>0</f>
        <v>0</v>
      </c>
      <c r="AQ10">
        <f>0</f>
        <v>0</v>
      </c>
      <c r="AR10">
        <f>0</f>
        <v>0</v>
      </c>
      <c r="AS10">
        <f>0</f>
        <v>0</v>
      </c>
      <c r="AT10">
        <f>0</f>
        <v>0</v>
      </c>
      <c r="AU10">
        <f>0</f>
        <v>0</v>
      </c>
      <c r="AV10">
        <f>0</f>
        <v>0</v>
      </c>
      <c r="AW10">
        <f>0</f>
        <v>0</v>
      </c>
      <c r="AX10">
        <f>0</f>
        <v>0</v>
      </c>
      <c r="AY10">
        <f>0</f>
        <v>0</v>
      </c>
    </row>
    <row r="11" spans="1:51" x14ac:dyDescent="0.35">
      <c r="A11" t="s">
        <v>52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  <c r="I11">
        <f>0</f>
        <v>0</v>
      </c>
      <c r="J11">
        <f>0</f>
        <v>0</v>
      </c>
      <c r="K11">
        <f>0</f>
        <v>0</v>
      </c>
      <c r="L11">
        <f>0</f>
        <v>0</v>
      </c>
      <c r="M11">
        <f>0</f>
        <v>0</v>
      </c>
      <c r="N11">
        <f>0</f>
        <v>0</v>
      </c>
      <c r="O11">
        <f>0</f>
        <v>0</v>
      </c>
      <c r="P11">
        <f>0</f>
        <v>0</v>
      </c>
      <c r="Q11">
        <f>0</f>
        <v>0</v>
      </c>
      <c r="R11">
        <f>0</f>
        <v>0</v>
      </c>
      <c r="S11">
        <f>0</f>
        <v>0</v>
      </c>
      <c r="T11">
        <f>0</f>
        <v>0</v>
      </c>
      <c r="U11">
        <f>0</f>
        <v>0</v>
      </c>
      <c r="V11">
        <f>0</f>
        <v>0</v>
      </c>
      <c r="W11">
        <f>0</f>
        <v>0</v>
      </c>
      <c r="X11">
        <f>0</f>
        <v>0</v>
      </c>
      <c r="Y11">
        <f>0</f>
        <v>0</v>
      </c>
      <c r="Z11">
        <f>0</f>
        <v>0</v>
      </c>
      <c r="AA11">
        <f>0</f>
        <v>0</v>
      </c>
      <c r="AB11">
        <f>0</f>
        <v>0</v>
      </c>
      <c r="AC11">
        <f>0</f>
        <v>0</v>
      </c>
      <c r="AD11">
        <f>0</f>
        <v>0</v>
      </c>
      <c r="AE11">
        <f>0</f>
        <v>0</v>
      </c>
      <c r="AF11">
        <f>0</f>
        <v>0</v>
      </c>
      <c r="AG11">
        <f>0</f>
        <v>0</v>
      </c>
      <c r="AH11">
        <f>0</f>
        <v>0</v>
      </c>
      <c r="AI11">
        <f>0</f>
        <v>0</v>
      </c>
      <c r="AJ11">
        <f>0</f>
        <v>0</v>
      </c>
      <c r="AK11">
        <f>0</f>
        <v>0</v>
      </c>
      <c r="AL11">
        <f>0</f>
        <v>0</v>
      </c>
      <c r="AM11">
        <f>0</f>
        <v>0</v>
      </c>
      <c r="AN11">
        <f>0</f>
        <v>0</v>
      </c>
      <c r="AO11">
        <f>0</f>
        <v>0</v>
      </c>
      <c r="AP11">
        <f>0</f>
        <v>0</v>
      </c>
      <c r="AQ11">
        <f>0</f>
        <v>0</v>
      </c>
      <c r="AR11">
        <f>0</f>
        <v>0</v>
      </c>
      <c r="AS11">
        <f>0</f>
        <v>0</v>
      </c>
      <c r="AT11">
        <f>0</f>
        <v>0</v>
      </c>
      <c r="AU11">
        <f>0</f>
        <v>0</v>
      </c>
      <c r="AV11">
        <f>0</f>
        <v>0</v>
      </c>
      <c r="AW11">
        <f>0</f>
        <v>0</v>
      </c>
      <c r="AX11">
        <f>0</f>
        <v>0</v>
      </c>
      <c r="AY11">
        <f>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385CE5-B849-41CA-8EC8-BDC4E0ED90EA}"/>
</file>

<file path=customXml/itemProps2.xml><?xml version="1.0" encoding="utf-8"?>
<ds:datastoreItem xmlns:ds="http://schemas.openxmlformats.org/officeDocument/2006/customXml" ds:itemID="{8C22EAD2-0289-4140-975B-C5DBA4F5B93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C66DA4-0F3B-4855-83EE-25D8E69256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About</vt:lpstr>
      <vt:lpstr>Calcs</vt:lpstr>
      <vt:lpstr>India Adjustment</vt:lpstr>
      <vt:lpstr>ICtPSFfL</vt:lpstr>
      <vt:lpstr>btu_per_EGJ</vt:lpstr>
      <vt:lpstr>btu_per_EJ</vt:lpstr>
      <vt:lpstr>btu_per_GJ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Khushi Parakh</cp:lastModifiedBy>
  <cp:revision/>
  <dcterms:created xsi:type="dcterms:W3CDTF">2018-05-22T21:13:29Z</dcterms:created>
  <dcterms:modified xsi:type="dcterms:W3CDTF">2025-03-17T07:08:36Z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