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ccs/BCS/"/>
    </mc:Choice>
  </mc:AlternateContent>
  <xr:revisionPtr revIDLastSave="3" documentId="13_ncr:1_{BE6010A5-9296-4BCB-89A5-8BC51C00131D}" xr6:coauthVersionLast="47" xr6:coauthVersionMax="47" xr10:uidLastSave="{C69687C6-3B7D-432E-933B-6C1C1AD41FFB}"/>
  <bookViews>
    <workbookView xWindow="9510" yWindow="0" windowWidth="9780" windowHeight="11370" xr2:uid="{00000000-000D-0000-FFFF-FFFF00000000}"/>
  </bookViews>
  <sheets>
    <sheet name="About" sheetId="1" r:id="rId1"/>
    <sheet name="Electricity Calculations" sheetId="5" r:id="rId2"/>
    <sheet name="BCS-BCS" sheetId="4" r:id="rId3"/>
    <sheet name="BCS-DoSfCS" sheetId="6" r:id="rId4"/>
  </sheets>
  <definedNames>
    <definedName name="solver_adj" localSheetId="0" hidden="1">About!$A$11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1" i="5"/>
  <c r="B4" i="5" s="1"/>
</calcChain>
</file>

<file path=xl/sharedStrings.xml><?xml version="1.0" encoding="utf-8"?>
<sst xmlns="http://schemas.openxmlformats.org/spreadsheetml/2006/main" count="18" uniqueCount="18">
  <si>
    <t>BCS BAU CCS Subsidy</t>
  </si>
  <si>
    <t>Source:</t>
  </si>
  <si>
    <t>None needed</t>
  </si>
  <si>
    <t>Notes:</t>
  </si>
  <si>
    <t>This variable captures any BAU subsidies for CCS, specified in dollars per ton captured.</t>
  </si>
  <si>
    <t>For electricity, adjust the credit value based on its duration relative to the financing repayment period</t>
  </si>
  <si>
    <t>2022 to 2012 USD</t>
  </si>
  <si>
    <t>45Q Tax Credit Amount</t>
  </si>
  <si>
    <t>Credit Amount</t>
  </si>
  <si>
    <t>Repayment Period for Financing</t>
  </si>
  <si>
    <t>45Q Credit Duration</t>
  </si>
  <si>
    <t>Credit Value</t>
  </si>
  <si>
    <t>$ / metric ton</t>
  </si>
  <si>
    <t>electricity sector</t>
  </si>
  <si>
    <t>industry sector</t>
  </si>
  <si>
    <t>For India, values are zero as no subsidy for CCS have been announced</t>
  </si>
  <si>
    <t>Years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</si>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</sst>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44" fontId="0" fillId="0" borderId="0" xfId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4" sqref="A4"/>
    </sheetView>
  </sheetViews>
  <sheetFormatPr defaultRowHeight="14.5" x14ac:dyDescent="0.35"/>
  <cols>
    <col min="1" max="1" width="30.26953125" customWidth="1"/>
    <col min="2" max="2" width="55.81640625" customWidth="1"/>
    <col min="4" max="4" width="30.5429687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9" spans="1:2" x14ac:dyDescent="0.35">
      <c r="A9" s="5">
        <v>0.78500000000000003</v>
      </c>
      <c r="B9" t="s">
        <v>6</v>
      </c>
    </row>
    <row r="11" spans="1:2" x14ac:dyDescent="0.35">
      <c r="A11" s="3" t="s">
        <v>7</v>
      </c>
      <c r="B11" s="6">
        <v>85</v>
      </c>
    </row>
    <row r="14" spans="1:2" x14ac:dyDescent="0.35">
      <c r="A14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5C55-7F27-44A6-A8A7-496D78F28576}">
  <dimension ref="A1:B4"/>
  <sheetViews>
    <sheetView workbookViewId="0">
      <selection activeCell="B4" sqref="B4"/>
    </sheetView>
  </sheetViews>
  <sheetFormatPr defaultRowHeight="14.5" x14ac:dyDescent="0.35"/>
  <cols>
    <col min="1" max="1" width="30" bestFit="1" customWidth="1"/>
  </cols>
  <sheetData>
    <row r="1" spans="1:2" x14ac:dyDescent="0.35">
      <c r="A1" t="s">
        <v>8</v>
      </c>
      <c r="B1" s="7">
        <f>About!B11</f>
        <v>85</v>
      </c>
    </row>
    <row r="2" spans="1:2" x14ac:dyDescent="0.35">
      <c r="A2" t="s">
        <v>9</v>
      </c>
      <c r="B2">
        <v>20</v>
      </c>
    </row>
    <row r="3" spans="1:2" x14ac:dyDescent="0.35">
      <c r="A3" t="s">
        <v>10</v>
      </c>
      <c r="B3">
        <v>12</v>
      </c>
    </row>
    <row r="4" spans="1:2" x14ac:dyDescent="0.35">
      <c r="A4" t="s">
        <v>11</v>
      </c>
      <c r="B4" s="7">
        <f>B1*B3/B2</f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3"/>
  <sheetViews>
    <sheetView workbookViewId="0"/>
  </sheetViews>
  <sheetFormatPr defaultRowHeight="14.5" x14ac:dyDescent="0.35"/>
  <cols>
    <col min="1" max="1" width="19.453125" customWidth="1"/>
    <col min="2" max="2" width="24.54296875" customWidth="1"/>
  </cols>
  <sheetData>
    <row r="1" spans="1:51" x14ac:dyDescent="0.35">
      <c r="A1" t="s">
        <v>12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>
        <v>2051</v>
      </c>
      <c r="AG1" s="2">
        <v>2052</v>
      </c>
      <c r="AH1" s="2">
        <v>2053</v>
      </c>
      <c r="AI1" s="2">
        <v>2054</v>
      </c>
      <c r="AJ1" s="2">
        <v>2055</v>
      </c>
      <c r="AK1" s="2">
        <v>2056</v>
      </c>
      <c r="AL1" s="2">
        <v>2057</v>
      </c>
      <c r="AM1" s="2">
        <v>2058</v>
      </c>
      <c r="AN1" s="2">
        <v>2059</v>
      </c>
      <c r="AO1" s="2">
        <v>2060</v>
      </c>
      <c r="AP1" s="2">
        <v>2061</v>
      </c>
      <c r="AQ1" s="2">
        <v>2062</v>
      </c>
      <c r="AR1" s="2">
        <v>2063</v>
      </c>
      <c r="AS1" s="2">
        <v>2064</v>
      </c>
      <c r="AT1" s="2">
        <v>2065</v>
      </c>
      <c r="AU1" s="2">
        <v>2066</v>
      </c>
      <c r="AV1" s="2">
        <v>2067</v>
      </c>
      <c r="AW1" s="2">
        <v>2068</v>
      </c>
      <c r="AX1" s="2">
        <v>2069</v>
      </c>
      <c r="AY1" s="2">
        <v>2070</v>
      </c>
    </row>
    <row r="2" spans="1:51" x14ac:dyDescent="0.35">
      <c r="A2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</row>
    <row r="3" spans="1:51" x14ac:dyDescent="0.35">
      <c r="A3" t="s">
        <v>14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>
        <v>0</v>
      </c>
      <c r="AB3">
        <v>0</v>
      </c>
      <c r="AC3">
        <v>0</v>
      </c>
      <c r="AD3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C3E1-6516-465A-AEE7-962768A4FB8A}">
  <sheetPr>
    <tabColor theme="3"/>
  </sheetPr>
  <dimension ref="A1:AE2"/>
  <sheetViews>
    <sheetView workbookViewId="0">
      <selection activeCell="F8" sqref="F8"/>
    </sheetView>
  </sheetViews>
  <sheetFormatPr defaultRowHeight="14.5" x14ac:dyDescent="0.35"/>
  <sheetData>
    <row r="1" spans="1:31" x14ac:dyDescent="0.35">
      <c r="A1" t="s">
        <v>16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17</v>
      </c>
      <c r="B2">
        <v>0</v>
      </c>
      <c r="C2">
        <f>$B$2</f>
        <v>0</v>
      </c>
      <c r="D2">
        <f>$B$2</f>
        <v>0</v>
      </c>
      <c r="E2">
        <f t="shared" ref="E2:AE2" si="0">$B$2</f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DDEA3-8531-4158-903E-EDA5ECE6D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7A5F25-FED6-4313-8E0A-BBDEDCD810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Electricity Calculations</vt:lpstr>
      <vt:lpstr>BCS-BCS</vt:lpstr>
      <vt:lpstr>BCS-DoSfCS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2014-08-18T23:28:12Z</dcterms:created>
  <dcterms:modified xsi:type="dcterms:W3CDTF">2024-06-03T17:58:24Z</dcterms:modified>
  <cp:category/>
  <cp:contentStatus/>
</cp:coreProperties>
</file>