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8"/>
  <workbookPr/>
  <mc:AlternateContent xmlns:mc="http://schemas.openxmlformats.org/markup-compatibility/2006">
    <mc:Choice Requires="x15">
      <x15ac:absPath xmlns:x15ac="http://schemas.microsoft.com/office/spreadsheetml/2010/11/ac" url="C:\Users\Shruti.Dayal\Downloads\"/>
    </mc:Choice>
  </mc:AlternateContent>
  <xr:revisionPtr revIDLastSave="4" documentId="13_ncr:1_{0248164D-7B40-414E-BCCD-1B0B9ACA60E5}" xr6:coauthVersionLast="47" xr6:coauthVersionMax="47" xr10:uidLastSave="{3832F87D-F0A8-4CF4-A5C0-ED1E0D5C7387}"/>
  <bookViews>
    <workbookView xWindow="-110" yWindow="-110" windowWidth="19420" windowHeight="10420" firstSheet="1" xr2:uid="{00000000-000D-0000-FFFF-FFFF00000000}"/>
  </bookViews>
  <sheets>
    <sheet name="About" sheetId="1" r:id="rId1"/>
    <sheet name="Calculations" sheetId="3" r:id="rId2"/>
    <sheet name="EHPpU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2" l="1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E4" i="3"/>
  <c r="E3" i="3"/>
  <c r="A15" i="3"/>
  <c r="E5" i="3" l="1"/>
  <c r="C2" i="2" l="1"/>
  <c r="G2" i="2"/>
  <c r="K2" i="2"/>
  <c r="O2" i="2"/>
  <c r="S2" i="2"/>
  <c r="W2" i="2"/>
  <c r="AA2" i="2"/>
  <c r="AE2" i="2"/>
  <c r="AI2" i="2"/>
  <c r="D2" i="2"/>
  <c r="H2" i="2"/>
  <c r="L2" i="2"/>
  <c r="P2" i="2"/>
  <c r="T2" i="2"/>
  <c r="X2" i="2"/>
  <c r="AB2" i="2"/>
  <c r="AF2" i="2"/>
  <c r="B2" i="2"/>
  <c r="E2" i="2"/>
  <c r="I2" i="2"/>
  <c r="M2" i="2"/>
  <c r="Q2" i="2"/>
  <c r="U2" i="2"/>
  <c r="Y2" i="2"/>
  <c r="AC2" i="2"/>
  <c r="AG2" i="2"/>
  <c r="F2" i="2"/>
  <c r="J2" i="2"/>
  <c r="N2" i="2"/>
  <c r="R2" i="2"/>
  <c r="V2" i="2"/>
  <c r="Z2" i="2"/>
  <c r="AD2" i="2"/>
  <c r="AH2" i="2"/>
</calcChain>
</file>

<file path=xl/sharedStrings.xml><?xml version="1.0" encoding="utf-8"?>
<sst xmlns="http://schemas.openxmlformats.org/spreadsheetml/2006/main" count="26" uniqueCount="26">
  <si>
    <t>EHPpUC Electrolyzer Hydrogen Production per Unit Capacity</t>
  </si>
  <si>
    <t>Source:</t>
  </si>
  <si>
    <t>Wang et al.</t>
  </si>
  <si>
    <t>Quantifying the flexibility of hydrogen production systems to support large-scale renewable energy integration</t>
  </si>
  <si>
    <t>https://doi.org/10.1016/j.jpowsour.2018.07.101</t>
  </si>
  <si>
    <t>Page 388, Table 2</t>
  </si>
  <si>
    <t>Notes</t>
  </si>
  <si>
    <t>This variable should contain the minimum input electricity</t>
  </si>
  <si>
    <t>capacity requirements to produce a particular amount</t>
  </si>
  <si>
    <t>of hydrogen per year via electrolysis.  Thus, it assumes</t>
  </si>
  <si>
    <t>the electrolyzer runs 24/7/365.</t>
  </si>
  <si>
    <t>Table 2 (Excerpt)</t>
  </si>
  <si>
    <t>Scenario</t>
  </si>
  <si>
    <t>H2 Production (ton/yr)</t>
  </si>
  <si>
    <t>Electrolyzer Capacity (MW)</t>
  </si>
  <si>
    <t>tons H2 / MW</t>
  </si>
  <si>
    <t>Hydrogen Energy Density (Higher Heating Value)</t>
  </si>
  <si>
    <t>BTU/lb</t>
  </si>
  <si>
    <t>https://www.engineeringtoolbox.com/fuels-higher-calorific-values-d_169.html</t>
  </si>
  <si>
    <t>lb per metric ton</t>
  </si>
  <si>
    <t>lb/metric ton</t>
  </si>
  <si>
    <t xml:space="preserve">The study they are citing uses 3 scenarios of Fuel Cell Electric Vehicle adoption. Then it calculates the amount of hydrogen needed to suppor those vehicles. Then it calculates the electrolyzer capacity needed to supply that hydrogen. </t>
  </si>
  <si>
    <t>So, I think it's fair, using the EPS assumptions of 24/7/365 operation, that smallest electrolyzer you would need to produce 1.39e10 annual Btu would be 1 MW.</t>
  </si>
  <si>
    <t>BTU H2 / MW (annual production)</t>
  </si>
  <si>
    <t>No reason to think this would be different for Texas.</t>
  </si>
  <si>
    <t>(BTU H2/yr) /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</si>
</sst>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1"/>
      <name val="Open Sans"/>
    </font>
    <font>
      <sz val="12"/>
      <color theme="1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9" fontId="0" fillId="0" borderId="0" xfId="0" applyNumberFormat="1"/>
    <xf numFmtId="1" fontId="0" fillId="0" borderId="0" xfId="0" applyNumberFormat="1"/>
    <xf numFmtId="11" fontId="0" fillId="0" borderId="0" xfId="0" applyNumberFormat="1"/>
    <xf numFmtId="0" fontId="1" fillId="2" borderId="0" xfId="0" applyFont="1" applyFill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5" fillId="0" borderId="0" xfId="0" applyFont="1"/>
    <xf numFmtId="0" fontId="6" fillId="0" borderId="0" xfId="1" applyFont="1" applyFill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jpowsour.2018.07.1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gineeringtoolbox.com/fuels-higher-calorific-values-d_16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ColWidth="8.85546875" defaultRowHeight="14.4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2018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</sheetData>
  <hyperlinks>
    <hyperlink ref="B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activeCell="F17" sqref="F17"/>
    </sheetView>
  </sheetViews>
  <sheetFormatPr defaultColWidth="8.85546875" defaultRowHeight="14.45"/>
  <cols>
    <col min="1" max="1" width="12" customWidth="1"/>
    <col min="2" max="2" width="25.140625" customWidth="1"/>
    <col min="3" max="3" width="27.42578125" customWidth="1"/>
    <col min="4" max="5" width="14.7109375" customWidth="1"/>
    <col min="6" max="6" width="11.85546875" bestFit="1" customWidth="1"/>
  </cols>
  <sheetData>
    <row r="1" spans="1:7">
      <c r="A1" s="1" t="s">
        <v>11</v>
      </c>
    </row>
    <row r="2" spans="1:7">
      <c r="A2" s="7" t="s">
        <v>12</v>
      </c>
      <c r="B2" s="7" t="s">
        <v>13</v>
      </c>
      <c r="C2" s="7" t="s">
        <v>14</v>
      </c>
      <c r="D2" s="4"/>
      <c r="E2" s="4" t="s">
        <v>15</v>
      </c>
      <c r="F2" s="9"/>
      <c r="G2" s="10"/>
    </row>
    <row r="3" spans="1:7">
      <c r="A3">
        <v>1</v>
      </c>
      <c r="B3">
        <v>40150</v>
      </c>
      <c r="C3">
        <v>152</v>
      </c>
      <c r="E3" s="5">
        <f>B3/C3</f>
        <v>264.14473684210526</v>
      </c>
    </row>
    <row r="4" spans="1:7">
      <c r="A4">
        <v>2</v>
      </c>
      <c r="B4">
        <v>160600</v>
      </c>
      <c r="C4">
        <v>608</v>
      </c>
      <c r="E4" s="5">
        <f>B4/C4</f>
        <v>264.14473684210526</v>
      </c>
    </row>
    <row r="5" spans="1:7">
      <c r="A5">
        <v>3</v>
      </c>
      <c r="B5">
        <v>301125</v>
      </c>
      <c r="C5">
        <v>1140</v>
      </c>
      <c r="E5" s="5">
        <f t="shared" ref="E5" si="0">B5/C5</f>
        <v>264.14473684210526</v>
      </c>
    </row>
    <row r="7" spans="1:7">
      <c r="A7" s="1" t="s">
        <v>16</v>
      </c>
    </row>
    <row r="8" spans="1:7">
      <c r="A8">
        <v>60920</v>
      </c>
      <c r="B8" t="s">
        <v>17</v>
      </c>
      <c r="C8" s="3" t="s">
        <v>18</v>
      </c>
    </row>
    <row r="9" spans="1:7" ht="15.6">
      <c r="A9" s="11"/>
      <c r="C9" s="12"/>
    </row>
    <row r="11" spans="1:7">
      <c r="A11" s="1" t="s">
        <v>19</v>
      </c>
    </row>
    <row r="12" spans="1:7">
      <c r="A12">
        <v>2204.62</v>
      </c>
      <c r="B12" t="s">
        <v>20</v>
      </c>
      <c r="C12" s="8" t="s">
        <v>21</v>
      </c>
    </row>
    <row r="13" spans="1:7">
      <c r="C13" s="8" t="s">
        <v>22</v>
      </c>
    </row>
    <row r="14" spans="1:7">
      <c r="A14" s="1" t="s">
        <v>23</v>
      </c>
      <c r="C14" s="8" t="s">
        <v>24</v>
      </c>
    </row>
    <row r="15" spans="1:7">
      <c r="A15" s="6">
        <f>E3*A12*A8</f>
        <v>35476077852.368416</v>
      </c>
    </row>
    <row r="16" spans="1:7">
      <c r="E16" s="1"/>
    </row>
    <row r="18" spans="5:6" ht="16.5">
      <c r="E18" s="13"/>
      <c r="F18" s="13"/>
    </row>
    <row r="19" spans="5:6" ht="16.5">
      <c r="E19" s="13"/>
      <c r="F19" s="13"/>
    </row>
    <row r="20" spans="5:6" ht="16.5">
      <c r="E20" s="13"/>
      <c r="F20" s="13"/>
    </row>
    <row r="21" spans="5:6" ht="16.5">
      <c r="E21" s="13"/>
      <c r="F21" s="13"/>
    </row>
    <row r="22" spans="5:6" ht="16.5">
      <c r="E22" s="13"/>
      <c r="F22" s="13"/>
    </row>
    <row r="23" spans="5:6" ht="16.5">
      <c r="E23" s="13"/>
      <c r="F23" s="13"/>
    </row>
    <row r="24" spans="5:6" ht="16.5">
      <c r="E24" s="13"/>
      <c r="F24" s="13"/>
    </row>
    <row r="25" spans="5:6" ht="16.5">
      <c r="E25" s="13"/>
      <c r="F25" s="13"/>
    </row>
  </sheetData>
  <hyperlinks>
    <hyperlink ref="C8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C2"/>
  <sheetViews>
    <sheetView workbookViewId="0"/>
  </sheetViews>
  <sheetFormatPr defaultColWidth="8.85546875" defaultRowHeight="14.45"/>
  <cols>
    <col min="1" max="1" width="17" customWidth="1"/>
  </cols>
  <sheetData>
    <row r="1" spans="1:55"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>
      <c r="A2" t="s">
        <v>25</v>
      </c>
      <c r="B2" s="6">
        <f>Calculations!$A$15</f>
        <v>35476077852.368416</v>
      </c>
      <c r="C2" s="6">
        <f>Calculations!$A$15</f>
        <v>35476077852.368416</v>
      </c>
      <c r="D2" s="6">
        <f>Calculations!$A$15</f>
        <v>35476077852.368416</v>
      </c>
      <c r="E2" s="6">
        <f>Calculations!$A$15</f>
        <v>35476077852.368416</v>
      </c>
      <c r="F2" s="6">
        <f>Calculations!$A$15</f>
        <v>35476077852.368416</v>
      </c>
      <c r="G2" s="6">
        <f>Calculations!$A$15</f>
        <v>35476077852.368416</v>
      </c>
      <c r="H2" s="6">
        <f>Calculations!$A$15</f>
        <v>35476077852.368416</v>
      </c>
      <c r="I2" s="6">
        <f>Calculations!$A$15</f>
        <v>35476077852.368416</v>
      </c>
      <c r="J2" s="6">
        <f>Calculations!$A$15</f>
        <v>35476077852.368416</v>
      </c>
      <c r="K2" s="6">
        <f>Calculations!$A$15</f>
        <v>35476077852.368416</v>
      </c>
      <c r="L2" s="6">
        <f>Calculations!$A$15</f>
        <v>35476077852.368416</v>
      </c>
      <c r="M2" s="6">
        <f>Calculations!$A$15</f>
        <v>35476077852.368416</v>
      </c>
      <c r="N2" s="6">
        <f>Calculations!$A$15</f>
        <v>35476077852.368416</v>
      </c>
      <c r="O2" s="6">
        <f>Calculations!$A$15</f>
        <v>35476077852.368416</v>
      </c>
      <c r="P2" s="6">
        <f>Calculations!$A$15</f>
        <v>35476077852.368416</v>
      </c>
      <c r="Q2" s="6">
        <f>Calculations!$A$15</f>
        <v>35476077852.368416</v>
      </c>
      <c r="R2" s="6">
        <f>Calculations!$A$15</f>
        <v>35476077852.368416</v>
      </c>
      <c r="S2" s="6">
        <f>Calculations!$A$15</f>
        <v>35476077852.368416</v>
      </c>
      <c r="T2" s="6">
        <f>Calculations!$A$15</f>
        <v>35476077852.368416</v>
      </c>
      <c r="U2" s="6">
        <f>Calculations!$A$15</f>
        <v>35476077852.368416</v>
      </c>
      <c r="V2" s="6">
        <f>Calculations!$A$15</f>
        <v>35476077852.368416</v>
      </c>
      <c r="W2" s="6">
        <f>Calculations!$A$15</f>
        <v>35476077852.368416</v>
      </c>
      <c r="X2" s="6">
        <f>Calculations!$A$15</f>
        <v>35476077852.368416</v>
      </c>
      <c r="Y2" s="6">
        <f>Calculations!$A$15</f>
        <v>35476077852.368416</v>
      </c>
      <c r="Z2" s="6">
        <f>Calculations!$A$15</f>
        <v>35476077852.368416</v>
      </c>
      <c r="AA2" s="6">
        <f>Calculations!$A$15</f>
        <v>35476077852.368416</v>
      </c>
      <c r="AB2" s="6">
        <f>Calculations!$A$15</f>
        <v>35476077852.368416</v>
      </c>
      <c r="AC2" s="6">
        <f>Calculations!$A$15</f>
        <v>35476077852.368416</v>
      </c>
      <c r="AD2" s="6">
        <f>Calculations!$A$15</f>
        <v>35476077852.368416</v>
      </c>
      <c r="AE2" s="6">
        <f>Calculations!$A$15</f>
        <v>35476077852.368416</v>
      </c>
      <c r="AF2" s="6">
        <f>Calculations!$A$15</f>
        <v>35476077852.368416</v>
      </c>
      <c r="AG2" s="6">
        <f>Calculations!$A$15</f>
        <v>35476077852.368416</v>
      </c>
      <c r="AH2" s="6">
        <f>Calculations!$A$15</f>
        <v>35476077852.368416</v>
      </c>
      <c r="AI2" s="6">
        <f>Calculations!$A$15</f>
        <v>35476077852.368416</v>
      </c>
      <c r="AJ2" s="6">
        <f>Calculations!$A$15</f>
        <v>35476077852.368416</v>
      </c>
      <c r="AK2" s="6">
        <f>Calculations!$A$15</f>
        <v>35476077852.368416</v>
      </c>
      <c r="AL2" s="6">
        <f>Calculations!$A$15</f>
        <v>35476077852.368416</v>
      </c>
      <c r="AM2" s="6">
        <f>Calculations!$A$15</f>
        <v>35476077852.368416</v>
      </c>
      <c r="AN2" s="6">
        <f>Calculations!$A$15</f>
        <v>35476077852.368416</v>
      </c>
      <c r="AO2" s="6">
        <f>Calculations!$A$15</f>
        <v>35476077852.368416</v>
      </c>
      <c r="AP2" s="6">
        <f>Calculations!$A$15</f>
        <v>35476077852.368416</v>
      </c>
      <c r="AQ2" s="6">
        <f>Calculations!$A$15</f>
        <v>35476077852.368416</v>
      </c>
      <c r="AR2" s="6">
        <f>Calculations!$A$15</f>
        <v>35476077852.368416</v>
      </c>
      <c r="AS2" s="6">
        <f>Calculations!$A$15</f>
        <v>35476077852.368416</v>
      </c>
      <c r="AT2" s="6">
        <f>Calculations!$A$15</f>
        <v>35476077852.368416</v>
      </c>
      <c r="AU2" s="6">
        <f>Calculations!$A$15</f>
        <v>35476077852.368416</v>
      </c>
      <c r="AV2" s="6">
        <f>Calculations!$A$15</f>
        <v>35476077852.368416</v>
      </c>
      <c r="AW2" s="6">
        <f>Calculations!$A$15</f>
        <v>35476077852.368416</v>
      </c>
      <c r="AX2" s="6">
        <f>Calculations!$A$15</f>
        <v>35476077852.368416</v>
      </c>
      <c r="AY2" s="6">
        <f>Calculations!$A$15</f>
        <v>35476077852.368416</v>
      </c>
      <c r="AZ2" s="6">
        <f>Calculations!$A$15</f>
        <v>35476077852.368416</v>
      </c>
      <c r="BA2" s="6">
        <f>Calculations!$A$15</f>
        <v>35476077852.368416</v>
      </c>
      <c r="BB2" s="6">
        <f>Calculations!$A$15</f>
        <v>35476077852.368416</v>
      </c>
      <c r="BC2" s="6">
        <f>Calculations!$A$15</f>
        <v>35476077852.368416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A2D4F-7FF7-4999-A3B9-D7ED148FA1BC}"/>
</file>

<file path=customXml/itemProps2.xml><?xml version="1.0" encoding="utf-8"?>
<ds:datastoreItem xmlns:ds="http://schemas.openxmlformats.org/officeDocument/2006/customXml" ds:itemID="{8CD51863-A7CB-4B11-8FFA-99B819E497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2019-07-24T01:16:31Z</dcterms:created>
  <dcterms:modified xsi:type="dcterms:W3CDTF">2024-04-24T10:28:04Z</dcterms:modified>
  <cp:category/>
  <cp:contentStatus/>
</cp:coreProperties>
</file>