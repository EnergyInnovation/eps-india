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xl/externalLinks/externalLink13.xml" ContentType="application/vnd.openxmlformats-officedocument.spreadsheetml.externalLink+xml"/>
  <Override PartName="/docProps/core.xml" ContentType="application/vnd.openxmlformats-package.core-properties+xml"/>
  <Override PartName="/xl/externalLinks/externalLink12.xml" ContentType="application/vnd.openxmlformats-officedocument.spreadsheetml.externalLink+xml"/>
  <Override PartName="/xl/externalLinks/externalLink22.xml" ContentType="application/vnd.openxmlformats-officedocument.spreadsheetml.externalLink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externalLinks/externalLink1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6.xml" ContentType="application/vnd.openxmlformats-officedocument.spreadsheetml.externalLink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calcChain.xml" ContentType="application/vnd.openxmlformats-officedocument.spreadsheetml.calcChain+xml"/>
  <Override PartName="/xl/styles.xml" ContentType="application/vnd.openxmlformats-officedocument.spreadsheetml.styles+xml"/>
  <Override PartName="/customXml/itemProps2.xml" ContentType="application/vnd.openxmlformats-officedocument.customXmlProperties+xml"/>
  <Override PartName="/xl/externalLinks/externalLink15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20.xml" ContentType="application/vnd.openxmlformats-officedocument.spreadsheetml.externalLink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\Dropbox (Energy Innovation)\My Documents\Energy Policy Solutions\US\Models\eps-us\InputData\elec\SYTaDC\"/>
    </mc:Choice>
  </mc:AlternateContent>
  <xr:revisionPtr revIDLastSave="171" documentId="8_{2592958B-34E3-40EE-84F9-778F5BCBBFEE}" xr6:coauthVersionLast="47" xr6:coauthVersionMax="47" xr10:uidLastSave="{DF1027CA-5BF5-4038-AE1A-0E02DC50BFCD}"/>
  <bookViews>
    <workbookView xWindow="11400" yWindow="3045" windowWidth="20475" windowHeight="17325" firstSheet="1" activeTab="5" xr2:uid="{00000000-000D-0000-FFFF-FFFF00000000}"/>
  </bookViews>
  <sheets>
    <sheet name="About" sheetId="1" r:id="rId1"/>
    <sheet name="India Calcs" sheetId="8" r:id="rId2"/>
    <sheet name="SYTaDC-Transmission OM" sheetId="3" r:id="rId3"/>
    <sheet name="SYTaDC-Distribution OM" sheetId="5" r:id="rId4"/>
    <sheet name="SYTaDC-Transmission Capital" sheetId="6" r:id="rId5"/>
    <sheet name="SYTaDC-Distribution Capital" sheetId="7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</externalReferences>
  <definedNames>
    <definedName name="_1_year">#REF!</definedName>
    <definedName name="_1_yr_after_compl_yr">#REF!</definedName>
    <definedName name="_1_yr_after_compl_yr0">#REF!</definedName>
    <definedName name="_1_yr_before_compl_yr">#REF!</definedName>
    <definedName name="_2_2010_Output_Pechan_Utility_Boiler">#REF!</definedName>
    <definedName name="_2_year">#REF!</definedName>
    <definedName name="_2_year_after_compl_yr">#REF!</definedName>
    <definedName name="_2_years">#REF!</definedName>
    <definedName name="_2_yrs_before_compl_yr">#REF!</definedName>
    <definedName name="_20_years">#REF!</definedName>
    <definedName name="_2003_to_2005_inflator">#REF!</definedName>
    <definedName name="_22_years">#REF!</definedName>
    <definedName name="_25_years">#REF!</definedName>
    <definedName name="_3_years">#REF!</definedName>
    <definedName name="_3_yrs_before_compl_yr">#REF!</definedName>
    <definedName name="_30_years">#REF!</definedName>
    <definedName name="_5_years">#REF!</definedName>
    <definedName name="_5_yrs_after_compl_yr">#REF!</definedName>
    <definedName name="_d2">'[1]County-to-Node'!$A$3:$C$2624</definedName>
    <definedName name="Acadia" hidden="1">{"calspreads",#N/A,FALSE,"Sheet1";"curves",#N/A,FALSE,"Sheet1";"libor",#N/A,FALSE,"Sheet1"}</definedName>
    <definedName name="AEO2013ER_NEL">'[2]AEO 2017 without CPP M'!$A$5:$AR$27</definedName>
    <definedName name="AEOCosts">#REF!</definedName>
    <definedName name="afdasdfa" hidden="1">{"calspreads",#N/A,FALSE,"Sheet1";"curves",#N/A,FALSE,"Sheet1";"libor",#N/A,FALSE,"Sheet1"}</definedName>
    <definedName name="ALBA2007">'[3]Supply Data'!$B$2:$J$2300</definedName>
    <definedName name="Alberta">#REF!</definedName>
    <definedName name="ALLOWPRICE">#REF!</definedName>
    <definedName name="analysis_year">#REF!</definedName>
    <definedName name="annualavg">'[4]AnnualAvg 2003$ per MMBtu'!$A$2:$W$85</definedName>
    <definedName name="as" hidden="1">{"calspreads",#N/A,FALSE,"Sheet1";"curves",#N/A,FALSE,"Sheet1";"libor",#N/A,FALSE,"Sheet1"}</definedName>
    <definedName name="asdfasdf">#REF!</definedName>
    <definedName name="CAIR_Share">#REF!</definedName>
    <definedName name="CAIR_State">#REF!</definedName>
    <definedName name="CAN_DR">'[5]Regions-CCOST Scalar'!#REF!</definedName>
    <definedName name="CanadaWindProfile">'[6]Canada Wind Profile'!$A$1:$Z$133</definedName>
    <definedName name="Capacity">[7]Parameters!$C$3</definedName>
    <definedName name="Capacity2">[7]Parameters!$C$3</definedName>
    <definedName name="capital_20_for_ipm">#REF!</definedName>
    <definedName name="capital_22_for_ipm">#REF!</definedName>
    <definedName name="capital_25_for_ipm">#REF!</definedName>
    <definedName name="capital_30_for_ipm">#REF!</definedName>
    <definedName name="capital_ct_30_for_ipm">#REF!</definedName>
    <definedName name="CDR">[3]Key!$L$2:$M$194</definedName>
    <definedName name="ck_310_Tm_master2">#REF!</definedName>
    <definedName name="ck_310_Tm_master2_ICF">#REF!</definedName>
    <definedName name="Clear10">#REF!</definedName>
    <definedName name="Clear9">#REF!</definedName>
    <definedName name="COALPRICE">#REF!</definedName>
    <definedName name="CoalRegion">#REF!</definedName>
    <definedName name="COALTYPE">'[8]Assumps-CoalTypes'!$A$7:$L$50</definedName>
    <definedName name="COALTYPES">'[9]Assumps-CoalTypes'!$A$6:$K$31</definedName>
    <definedName name="COALTYPESOLD">#REF!</definedName>
    <definedName name="ColumnOffset">'[2]Net Imports for Generation'!#REF!</definedName>
    <definedName name="compl_yr">#REF!</definedName>
    <definedName name="compl_yr_for_ipm">#REF!</definedName>
    <definedName name="compliance_year_1">#REF!</definedName>
    <definedName name="compliance_year_2">#REF!</definedName>
    <definedName name="compliance_year_3">#REF!</definedName>
    <definedName name="compliance_year_4">#REF!</definedName>
    <definedName name="compliance_year_5">#REF!</definedName>
    <definedName name="compliance_year_6">#REF!</definedName>
    <definedName name="compliance_year_7">#REF!</definedName>
    <definedName name="compliance_year_8">#REF!</definedName>
    <definedName name="compliance_year_9">#REF!</definedName>
    <definedName name="ContigRange">#REF!</definedName>
    <definedName name="ContingencyFactorTable">[10]ContingencyFactors!$A$2:$D$22</definedName>
    <definedName name="Country_Map">#REF!</definedName>
    <definedName name="CountryMap">#REF!</definedName>
    <definedName name="CPNMatching">#REF!</definedName>
    <definedName name="CSR">[3]Key!$I$2:$J$35</definedName>
    <definedName name="CSR_Total">[3]Key!$A$2:$B$86</definedName>
    <definedName name="ct_icr">#REF!</definedName>
    <definedName name="d" hidden="1">{"calspreads",#N/A,FALSE,"Sheet1";"curves",#N/A,FALSE,"Sheet1";"libor",#N/A,FALSE,"Sheet1"}</definedName>
    <definedName name="_xlnm.Database">#REF!</definedName>
    <definedName name="DeepBase">#REF!</definedName>
    <definedName name="discount_rate">#REF!</definedName>
    <definedName name="Dollar_Convert">#REF!</definedName>
    <definedName name="downtime_for_ipm">#REF!</definedName>
    <definedName name="dq_stq_facility_costs">[11]DQ_STQ_Facility_Level_Costs!$A:$IV</definedName>
    <definedName name="ESCAL">'[8]Assumps-Escalation'!$J$49:$AD$91</definedName>
    <definedName name="ExtraPlants">#REF!</definedName>
    <definedName name="F860_COOLING_STATUS">#REF!</definedName>
    <definedName name="F860_NOXCONTROL">#REF!</definedName>
    <definedName name="fda">'[12]Valid Load Zones'!$A$1:$A$8</definedName>
    <definedName name="fds" hidden="1">{"calspreads",#N/A,FALSE,"Sheet1";"curves",#N/A,FALSE,"Sheet1";"libor",#N/A,FALSE,"Sheet1"}</definedName>
    <definedName name="FirstYear">'[13]Gas Price Basis Delivered'!$D$7</definedName>
    <definedName name="fom_for_ipm">#REF!</definedName>
    <definedName name="FOR">'[14]macro setup'!$F$12</definedName>
    <definedName name="FossilRange">#REF!</definedName>
    <definedName name="fuck">'[15]Data Validation List'!#REF!</definedName>
    <definedName name="FuelType">#REF!</definedName>
    <definedName name="gas">#REF!</definedName>
    <definedName name="GasSpots">[16]Matchings!$J$3:$J$73</definedName>
    <definedName name="HeatContent">#REF!</definedName>
    <definedName name="hfaskjd">#REF!</definedName>
    <definedName name="HTML_CodePage" hidden="1">437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cr_costs">#REF!</definedName>
    <definedName name="InputUnitList">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istCommandControVaryingDegrees">'[17]Data Validation List'!#REF!</definedName>
    <definedName name="LoadZones">'[18]Valid Load Zones'!$A$1:$A$8</definedName>
    <definedName name="lookup">#REF!</definedName>
    <definedName name="MILLRATES">'[8]Assumps-TransportRates'!$A$71:$P$125</definedName>
    <definedName name="Model_Regions">#REF!</definedName>
    <definedName name="monitor_markup">[19]Assumptions!$H$4</definedName>
    <definedName name="ne_06">#REF!</definedName>
    <definedName name="NEEDS_For_Parsing">#REF!</definedName>
    <definedName name="NEEDS617_Population">#REF!</definedName>
    <definedName name="NEMSmap">'[20]macro setup'!$W$3:$Y$50</definedName>
    <definedName name="NetEnergy4Load">#REF!</definedName>
    <definedName name="No_Coal_cblink">#REF!</definedName>
    <definedName name="nominal_disc_rate">#REF!</definedName>
    <definedName name="non_ct_icr">#REF!</definedName>
    <definedName name="ok" hidden="1">{"calspreads",#N/A,FALSE,"Sheet1";"curves",#N/A,FALSE,"Sheet1";"libor",#N/A,FALSE,"Sheet1"}</definedName>
    <definedName name="option">#REF!</definedName>
    <definedName name="option_vlookup">#REF!</definedName>
    <definedName name="P_III_2_CA">#REF!</definedName>
    <definedName name="P_IV_7">#REF!</definedName>
    <definedName name="penalty_for_ipm">#REF!</definedName>
    <definedName name="_xlnm.Print_Titles">#N/A</definedName>
    <definedName name="Profile">#REF!</definedName>
    <definedName name="ProfileTable">[10]Profiles!$A:$J</definedName>
    <definedName name="promulgation_year">#REF!</definedName>
    <definedName name="ProvinceList">#REF!</definedName>
    <definedName name="PSGases">[16]Matchings!$L$3:$L$39</definedName>
    <definedName name="PSRegions">[16]Matchings!$B$3:$B$65</definedName>
    <definedName name="qr_MTEP_App_ABC_Projects">#REF!</definedName>
    <definedName name="qryUnitsModeledIdentity">#REF!</definedName>
    <definedName name="real_disc_rate">#REF!</definedName>
    <definedName name="reg_06">#REF!</definedName>
    <definedName name="Region">#REF!</definedName>
    <definedName name="RegionNames">#REF!</definedName>
    <definedName name="Run_Acronym">#REF!</definedName>
    <definedName name="run_page">#REF!</definedName>
    <definedName name="S">'[9]Assumps-TransportRates'!$A$9:A$50</definedName>
    <definedName name="sa">#REF!</definedName>
    <definedName name="ScheduleName">[10]Setup!$C$11</definedName>
    <definedName name="sd_06">#REF!</definedName>
    <definedName name="seasonalavg">#REF!</definedName>
    <definedName name="seasons">#REF!</definedName>
    <definedName name="ShallowBase">#REF!</definedName>
    <definedName name="SliceTable">#REF!</definedName>
    <definedName name="SO2EmissionCostChartData">#REF!</definedName>
    <definedName name="SO2EmissionsChartData">#REF!</definedName>
    <definedName name="sreg_06">#REF!</definedName>
    <definedName name="STARTINGRATES">'[8]Assumps-TransportRates'!$A$9:A$63</definedName>
    <definedName name="StateList">#REF!</definedName>
    <definedName name="Sum_Emiss">[21]Summary!#REF!</definedName>
    <definedName name="Sum_NatEmiss">[21]Summary!#REF!</definedName>
    <definedName name="Supply">'[3]Supply Data'!$B$2:$K$2300</definedName>
    <definedName name="Sys_Report">[21]Setup!$V$13</definedName>
    <definedName name="SystemOutput">#REF!,#REF!,#REF!,#REF!,#REF!</definedName>
    <definedName name="Table_1">#REF!</definedName>
    <definedName name="Table2">#REF!</definedName>
    <definedName name="Tbl_Cap">#REF!</definedName>
    <definedName name="tblBuildUnitRenewableGenerationProfiles">#REF!</definedName>
    <definedName name="tech_costs">#REF!</definedName>
    <definedName name="temp">'[22]Supply Regions LIST'!#REF!</definedName>
    <definedName name="TitleChange">#REF!</definedName>
    <definedName name="Tm_310_master2">#REF!</definedName>
    <definedName name="Tm_616_Population">#REF!</definedName>
    <definedName name="TransAreas">[16]Matchings!$E$3:$E$65</definedName>
    <definedName name="Turndown_Cap">[7]Parameters!$C$3 * [7]Parameters!$C$5</definedName>
    <definedName name="Turndown_cap2">[7]Parameters!$C$3 * [7]Parameters!$C$5</definedName>
    <definedName name="UnitPopulationInput">#REF!</definedName>
    <definedName name="UnitPopulationOutput">#REF!</definedName>
    <definedName name="UnitPopulationOutputPolicy">#REF!</definedName>
    <definedName name="UnitsModeledIdentity">#REF!</definedName>
    <definedName name="USA_DR">'[5]Regions-CCOST Scalar'!#REF!</definedName>
    <definedName name="UserInputList">#REF!</definedName>
    <definedName name="vlookup_base">#REF!</definedName>
    <definedName name="vom_for_ipm">#REF!</definedName>
    <definedName name="wd_06">#REF!</definedName>
    <definedName name="wrn.Output.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hidden="1">{"calspreads",#N/A,FALSE,"Sheet1";"curves",#N/A,FALSE,"Sheet1";"libor",#N/A,FALSE,"Sheet1"}</definedName>
    <definedName name="Years">'[2]AEO 2017 without CPP M'!$5:$5</definedName>
    <definedName name="z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1" l="1"/>
  <c r="J15" i="8"/>
  <c r="J16" i="8" s="1"/>
  <c r="D16" i="8"/>
  <c r="A15" i="8"/>
  <c r="A16" i="8" s="1"/>
  <c r="A17" i="8" s="1"/>
  <c r="J17" i="8" l="1"/>
  <c r="A20" i="8"/>
  <c r="A22" i="8" l="1"/>
  <c r="B2" i="5" s="1"/>
  <c r="B2" i="7"/>
  <c r="J20" i="8"/>
  <c r="J22" i="8" l="1"/>
  <c r="B2" i="3" s="1"/>
  <c r="B2" i="6"/>
</calcChain>
</file>

<file path=xl/sharedStrings.xml><?xml version="1.0" encoding="utf-8"?>
<sst xmlns="http://schemas.openxmlformats.org/spreadsheetml/2006/main" count="76" uniqueCount="55">
  <si>
    <t>SYTaDC Start Year Transmission and Distribution Costs</t>
  </si>
  <si>
    <t>Sources:</t>
  </si>
  <si>
    <t>REPORT ON PERFORMANCE OF POWER UTILITIES 2022-23</t>
  </si>
  <si>
    <t>Power Finance Corporation of India</t>
  </si>
  <si>
    <t>Page 22 - Grand total for Distribution companies in 2021</t>
  </si>
  <si>
    <t>Page 89 - Total expenses for transmission in 2021</t>
  </si>
  <si>
    <t>https://pfcindia.com/ensite/DocumentRepository/ckfinder/files/Operations/Performance_Reports_of_State_Power_Utilities/Report%20Database%202022-23%20-%20updated%20up%20to%20April%202024EntityApr.pdf</t>
  </si>
  <si>
    <t>Transmission O&amp;M Spending</t>
  </si>
  <si>
    <t>U.S. Energy Information Administration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</si>
  <si>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</si>
  <si>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</si>
  <si>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First paragraph</t>
  </si>
  <si>
    <t>Distribution O&amp;M Spending</t>
  </si>
  <si>
    <t>Major utilities' spending on the electric distribution system continues to increase</t>
  </si>
  <si>
    <t>https://www.eia.gov/todayinenergy/detail.php?id=48136#:~:text=Annual%20spending%20on%20electricity%20distribution,2000%20after%20adjusting%20for%20inflation.</t>
  </si>
  <si>
    <t>Note:</t>
  </si>
  <si>
    <t>Approach</t>
  </si>
  <si>
    <t>With available annual expenses of transmission and distribution utilities in 2021, we apportion the total expneses between capital and O&amp;M</t>
  </si>
  <si>
    <t xml:space="preserve">based on the share of each of these expense categories as found in the US 4.0 input file. </t>
  </si>
  <si>
    <t>We adopt this approach because publicly available sources that clearly demarcate capital and O&amp;M expenses were not found and approximate were inconsistent</t>
  </si>
  <si>
    <t>Retaining US file sources as the numbers were used for the calculations in this file as well</t>
  </si>
  <si>
    <t>We adjust 2024 INR to 2012 dollars using the following conversion factor:</t>
  </si>
  <si>
    <t>See "cpi.xlsx" in the InputData folder for source information.</t>
  </si>
  <si>
    <t>Source</t>
  </si>
  <si>
    <t>Report Database 2022-23 - updated up to April 2024EntityApr.pdf (pfcindia.com)</t>
  </si>
  <si>
    <r>
      <rPr>
        <sz val="11"/>
        <color rgb="FF000000"/>
        <rFont val="Calibri"/>
        <scheme val="minor"/>
      </rPr>
      <t>*</t>
    </r>
    <r>
      <rPr>
        <i/>
        <sz val="11"/>
        <color rgb="FF000000"/>
        <rFont val="Calibri"/>
        <scheme val="minor"/>
      </rPr>
      <t>In this report, all cost values are expressed in 2024 Crores</t>
    </r>
  </si>
  <si>
    <t>Transmission expense report in 2021-2022</t>
  </si>
  <si>
    <t>Power procurement</t>
  </si>
  <si>
    <t>Employee costs</t>
  </si>
  <si>
    <t>Interest</t>
  </si>
  <si>
    <t>Depreciation</t>
  </si>
  <si>
    <t>OTher costs</t>
  </si>
  <si>
    <t>Grant total</t>
  </si>
  <si>
    <t>US Splits</t>
  </si>
  <si>
    <t>Costs (2012 $)</t>
  </si>
  <si>
    <t>Distribution Capital</t>
  </si>
  <si>
    <t>Transmission Capital</t>
  </si>
  <si>
    <t>Distribution OM</t>
  </si>
  <si>
    <t>Transmission OM</t>
  </si>
  <si>
    <t>DISCOM expenses 2021-2022</t>
  </si>
  <si>
    <t>Distribution Calcs</t>
  </si>
  <si>
    <t>Transmission Calcs</t>
  </si>
  <si>
    <t>Distribution costs = Grant total - power procurement</t>
  </si>
  <si>
    <t>Transmission cost = Grand total(transmission) - Power procurement (transmission)</t>
  </si>
  <si>
    <t>2024 INR Cr</t>
  </si>
  <si>
    <t xml:space="preserve">Conversion factor for 2024 INR to 2012 dollars </t>
  </si>
  <si>
    <t>2024 INR</t>
  </si>
  <si>
    <t>2012 dollars</t>
  </si>
  <si>
    <t xml:space="preserve">Distribution capital </t>
  </si>
  <si>
    <t>Transmission capital</t>
  </si>
  <si>
    <t>2012 Dollars</t>
  </si>
  <si>
    <t>Distribution O&amp;M</t>
  </si>
  <si>
    <t>Transmission O&amp;M</t>
  </si>
  <si>
    <t>Costs ($)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</si>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</sst>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u/>
      <sz val="11"/>
      <color theme="1"/>
      <name val="Calibri"/>
      <family val="2"/>
      <scheme val="minor"/>
    </font>
    <font>
      <u val="double"/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000000"/>
      <name val="Calibri"/>
      <scheme val="minor"/>
    </font>
    <font>
      <i/>
      <sz val="11"/>
      <color rgb="FF00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0" fillId="3" borderId="0" xfId="0" applyFill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0" borderId="0" xfId="0" applyFont="1"/>
    <xf numFmtId="0" fontId="0" fillId="0" borderId="0" xfId="0" applyFont="1"/>
    <xf numFmtId="49" fontId="0" fillId="0" borderId="0" xfId="0" applyNumberFormat="1"/>
  </cellXfs>
  <cellStyles count="10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26" Type="http://schemas.openxmlformats.org/officeDocument/2006/relationships/externalLink" Target="externalLinks/externalLink20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5.xml"/><Relationship Id="rId34" Type="http://schemas.openxmlformats.org/officeDocument/2006/relationships/customXml" Target="../customXml/item2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0.xml"/><Relationship Id="rId20" Type="http://schemas.openxmlformats.org/officeDocument/2006/relationships/externalLink" Target="externalLinks/externalLink14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24" Type="http://schemas.openxmlformats.org/officeDocument/2006/relationships/externalLink" Target="externalLinks/externalLink18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10" Type="http://schemas.openxmlformats.org/officeDocument/2006/relationships/externalLink" Target="externalLinks/externalLink4.xml"/><Relationship Id="rId19" Type="http://schemas.openxmlformats.org/officeDocument/2006/relationships/externalLink" Target="externalLinks/externalLink13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18</xdr:col>
      <xdr:colOff>781050</xdr:colOff>
      <xdr:row>5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0C4A3C-2877-BCA4-C809-2583BCFAE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81000"/>
          <a:ext cx="11753850" cy="342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19050</xdr:rowOff>
    </xdr:from>
    <xdr:to>
      <xdr:col>18</xdr:col>
      <xdr:colOff>571500</xdr:colOff>
      <xdr:row>11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D0CA11-3F2A-F826-556C-8EE0E42F7AA6}"/>
            </a:ext>
            <a:ext uri="{147F2762-F138-4A5C-976F-8EAC2B608ADB}">
              <a16:predDERef xmlns:a16="http://schemas.microsoft.com/office/drawing/2014/main" pred="{5A0C4A3C-2877-BCA4-C809-2583BCFAE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543050"/>
          <a:ext cx="11544300" cy="3333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tmodel\CodeD902\Reference90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10183/AT%20HOME/EPA%20v6.17%20Design/Electricity%20Demand/Energy%20Forecast%20AEO2017%20without%20CPP%20-%20AEO%20Regional%20Approach%20v6.17_01-27-17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14843\My%20Documents\Multiclient\2007\Coal%20Results%20Internat%20New%20CDR%204P%20M3%20Shany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%20and%20Settings\16369\Local%20Settings\Temporary%20Internet%20Files\OLK77\Sebastian\Entegra%20Power%20Group\EEA1007_SeasonalPriceDifferentials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10183\AT%20HOME\New%20folder%20(3)\NREL%20Cost%20Analysis%2003-31-15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ehaS\_Projects\EPAV6.20\Potential%20Units\FE_Implementation\New%20Solar%20PV\Template\From%20Potential%20Template%208-11-17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GERHARDT\Capstone%20MachGen%20II\Globals%20and%20Calibration\Starts%20Macro\Suez-Machgen%204.0%2032408\Millenium%20-%20Starts%20Macro%20(based%20on%204.0)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Projects\EPAV5.12\Coal%20Assumption%20Update\coaltransport-EPA-May2012ver11c2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Projects\EPAV5.12\Coal%20Assumption%20Update\OLDcoaltransport-NERA-Nov2011ver1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Staff\Soo%20Ra%20Kim\Potential%20Unit%20Update%20AEO%202013\Conventional\ECO%20Master%20Potential%20EPA5.13%2007-01-13%20(Non%20Renewable).xlsm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ERD\TYCHE%20Contract\Assignments\WA%200-05%20(316(b))\Ph4_Supporting_Analyses\Data_Supporting_All_Analyses\EPA\PhIV_Compliance_Costs_by_Option\P4%20I&amp;E%20All%20S2%20Compliance%20Costs_7-31-08_Adj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NonPriceRetirements_PermanentDeLists\NPR_Tracking_WorkingDocument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Projects\Wholesale%20Power\2011-%20ARCLIGHT-FRC\Market%20Assumptions\Wholesale-GMM0711a_rundate08.10.11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Projects\EPAV4.0%20AEO%202009\Potential%20Units\Renewables\Wind\AEO%202008\Wind%20RM%20AEO2008%20061008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sers\10183\AT%20HOME\EPA%20v5.12%20Design\Retrofits\Retrofit%20Cost%20Check\V412_RetrofitCostCheck_v8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xchange.icfconsulting.com/Documents%20and%20Settings/BOLKW/Local%20Settings/Temp/CPN%20-%20Comparison%20of%20CPN%20June30%20Fwds%20to%20PROSYM%20Results%20v6%201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EPA%205.12\Retrofit%20checks\ReferenceKey_v512_PF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M\Internal%20Documentation\NonPriceRetirements_PermanentDeLists\NPR_Tracking_WorkingDocument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ERD\TYCHE%20Contract\Assignments\WA%200-05%20(316(b))\Ph4_Supporting_Analyses\All_Ph_IV_Analyses\Cost_Analyses_Using_PhIV_IPM_Baseline\Cost_Analysis\Private_Costs_Assessment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Projects\EPAV4.0%20AEO%202009\Potential%20Units\Renewables\Solar\Solar%20RM%20040808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hared\SSR\EPA412_BC_33b\output\SSR_1-2_EPA412(10-10-12)%20EXCEL2010_EPA412_BC_32-2.xlsm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EPAV3.1\Fuel%20Demand%20Region\Reference1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ME"/>
      <sheetName val="FileList"/>
      <sheetName val="NetworkMap"/>
      <sheetName val="L48 Demand Nodes"/>
      <sheetName val="County-to-Node"/>
      <sheetName val="Node Names"/>
      <sheetName val="Supply Regions"/>
      <sheetName val="SupplyRegion Map"/>
      <sheetName val="PlotDiscountCurves"/>
      <sheetName val="DC_Calc"/>
      <sheetName val="Network Link Names"/>
      <sheetName val="Output Variables"/>
      <sheetName val="Aggregate Regions"/>
      <sheetName val="Census Regions"/>
      <sheetName val="Demand Regions"/>
      <sheetName val="NERC Regions"/>
      <sheetName val="GD Locations"/>
      <sheetName val="Storage Regions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ME"/>
      <sheetName val="AEO2017 without CPP"/>
      <sheetName val="AEO 2017 without CPP M"/>
      <sheetName val="AEO 2017 withoutCPP NEL by NEMS"/>
      <sheetName val="AEO2017woCPP NetImports by NEMS"/>
      <sheetName val="Net Imports for Generation"/>
      <sheetName val="bnvnotes"/>
      <sheetName val="IPM to AEORegion Ratios"/>
      <sheetName val="EPA617AEO2017noCPP NEL Projecti"/>
      <sheetName val="tblEnergyGrowthForecastSchedule"/>
      <sheetName val="tblEnergyGrowthForecast"/>
      <sheetName val="tblModelRegionScenari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y"/>
      <sheetName val="Europe"/>
      <sheetName val="CDR Pivot"/>
      <sheetName val="Imp and Exp"/>
      <sheetName val="US Prod Data"/>
      <sheetName val="2006 Int Flows"/>
      <sheetName val="Int Prod Data"/>
      <sheetName val="Price Data"/>
      <sheetName val="Supply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asonalAvg 2003$ per MMBtu"/>
      <sheetName val="AnnualAvg 2003$ per MMBtu"/>
      <sheetName val="SeasonalDiff 2003$ per MMBtu"/>
      <sheetName val="Comparison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gions-CCOST Scalar"/>
      <sheetName val="Table 4-16"/>
      <sheetName val="Notes"/>
      <sheetName val="NREL Solar PV CF"/>
      <sheetName val="Wind - Onshore"/>
      <sheetName val="Wind - Offshore"/>
      <sheetName val="Solar - PV"/>
      <sheetName val="Solar - CSP"/>
      <sheetName val="UnitDefinitionEPA514_BC_2k"/>
      <sheetName val="Construction Profiles"/>
      <sheetName val="Lookup"/>
      <sheetName val="Capital Escalation Scalars"/>
      <sheetName val="SolarTh"/>
      <sheetName val="SolarPV"/>
      <sheetName val="Wind"/>
      <sheetName val="Offshore Wind"/>
      <sheetName val="NREL SolarThermalProfiles"/>
      <sheetName val="SolarThermal C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Canada Wind Profile"/>
      <sheetName val="Wind Profile"/>
      <sheetName val="Offshore Wind Profile"/>
      <sheetName val="Solar Profile"/>
      <sheetName val="v512 FIPS5 IPM Region Mapping"/>
      <sheetName val="ToSooRa 12-24-12"/>
      <sheetName val="ToSooRa 01-08-13"/>
      <sheetName val="biomass region"/>
      <sheetName val="Sheet1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del"/>
      <sheetName val="Parameters"/>
      <sheetName val="Menus"/>
      <sheetName val="Gas Input"/>
      <sheetName val="Energy Prices"/>
      <sheetName val="Gas Prices"/>
      <sheetName val="Generation"/>
      <sheetName val="Starts"/>
      <sheetName val="Margin"/>
      <sheetName val="Duration"/>
      <sheetName val="Frequency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s-CoalTypes"/>
      <sheetName val="Assumps-Escalation"/>
      <sheetName val="Assumps-TransportRates"/>
      <sheetName val="Transport Rate Calcs-Detail"/>
      <sheetName val="Transp Rate Calcs-Sum1-Formulas"/>
      <sheetName val="Transp Rate Calcs-Sum2-Formulas"/>
      <sheetName val="Transp Rate Calcs-Sum1-HARDCODE"/>
      <sheetName val="Transp Rate Calcs-Sum2-HARDCODE"/>
      <sheetName val="Sheet5"/>
      <sheetName val="Sheet4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 refreshError="1"/>
      <sheetData sheetId="9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umps-CoalTypes"/>
      <sheetName val="Assumps-Escalation"/>
      <sheetName val="Assumps-TransportRates"/>
      <sheetName val="Transport Rate Calcs-Detail"/>
      <sheetName val="Transport Rate Calcs-Summary"/>
      <sheetName val="Sheet5"/>
      <sheetName val="Sheet4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ME"/>
      <sheetName val="EPA'sCC and CT updated costs"/>
      <sheetName val="CDN CPI"/>
      <sheetName val="Setup"/>
      <sheetName val="Inputs"/>
      <sheetName val="deleted on 01-15-13"/>
      <sheetName val="Capital escalation 2"/>
      <sheetName val="tblCapitalEsc.ScalarsUnitPot."/>
      <sheetName val="tblCapitalEscalationSchedules"/>
      <sheetName val="tblCapitalEscalationScalars"/>
      <sheetName val="Regions"/>
      <sheetName val="email"/>
      <sheetName val="Profiles"/>
      <sheetName val="ContingencyFactors"/>
      <sheetName val="AEO2008 Availability Data"/>
      <sheetName val="SubTypes_OLD"/>
      <sheetName val="SubTypes"/>
      <sheetName val="Hydro Final"/>
      <sheetName val="Landfill Gas Final"/>
      <sheetName val="Geo Final"/>
      <sheetName val="Onshore Wind CapitalCosts"/>
      <sheetName val="Offshore DeepWater CapCosts"/>
      <sheetName val="Offshore ShallowWater CapCosts"/>
      <sheetName val="Wind Canada Final"/>
      <sheetName val="Canada Wind Profile"/>
      <sheetName val="Wind Profile"/>
      <sheetName val="Offshore Wind Profile"/>
      <sheetName val="Wind RMs"/>
      <sheetName val="Solar thermal costs"/>
      <sheetName val="Solar Profile"/>
      <sheetName val="ToAccess_BldUntRenewGenProfiles"/>
      <sheetName val="Solar RMs"/>
      <sheetName val="ToAccess_BuildCumulativeSchedul"/>
      <sheetName val="ToAccess_BuildUnitSchedules"/>
      <sheetName val="total number of plants check"/>
      <sheetName val="ToAccess_BuildUnits"/>
      <sheetName val="ToAccess_BuildFinancialSch"/>
      <sheetName val="ToAccess_BuildFinancialSch(F)"/>
      <sheetName val="ToAccess_DiscRateSchedules"/>
      <sheetName val="ToAccess_DiscountRates"/>
      <sheetName val="ToAccess_BuildUnitScheduleUnits"/>
      <sheetName val="BuildUnitScheduleUnits"/>
      <sheetName val="ToAccess_BuildCumBounds"/>
      <sheetName val="ToAccess_CumBoundsDetails"/>
      <sheetName val="ToAccess_VOM"/>
      <sheetName val="ToAccess_MaintenanceOutageBuild"/>
      <sheetName val="ToAc_FuelDemandRegionBuildUnits"/>
      <sheetName val="Conversion of year dolla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Q_STQ_Final_Costs"/>
      <sheetName val="DQ_STQ_Facility_Level_Costs"/>
      <sheetName val="DQ_Final_Costs"/>
      <sheetName val="DQ_Facility_Level_Costs"/>
      <sheetName val="CUR_Adjustment"/>
      <sheetName val="Original_Data--&gt;"/>
      <sheetName val="S2Run"/>
      <sheetName val="Model Fac. I&amp;E All Costs -S2"/>
      <sheetName val="No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rnal Spreadsheet"/>
      <sheetName val="External Spreadsheet"/>
      <sheetName val="Valid Load Zones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 of Contents"/>
      <sheetName val="Gas Price Basis Delivered RunYr"/>
      <sheetName val="Henry Hub RunYr"/>
      <sheetName val="IPM Run Year Mapping"/>
      <sheetName val="Seasonal Differential"/>
      <sheetName val="Gas Price Basis Delivered"/>
      <sheetName val="Henry Hub"/>
      <sheetName val="Gas Price Delivered"/>
      <sheetName val="Gas Prices Basis (Pure)"/>
      <sheetName val="GMM + Offline"/>
      <sheetName val="Offline (NEPOOL+)"/>
      <sheetName val="Mapping"/>
      <sheetName val="Mapping - Ventyx"/>
      <sheetName val="LDC"/>
      <sheetName val="Tax"/>
      <sheetName val="Ventyx 2006$"/>
      <sheetName val="Ventyx Nom$"/>
      <sheetName val="Bloomberg 2006$"/>
      <sheetName val="Bloomberg Nom$"/>
      <sheetName val="SeasonalDiff 2006$"/>
      <sheetName val="GMM SeasonalDiff 2006$"/>
      <sheetName val="GMM Seasonal 2006$"/>
      <sheetName val="GMM Basis 2006$"/>
      <sheetName val="GMM 2006$"/>
      <sheetName val="GMM Raw Seasonal Data"/>
      <sheetName val="GMM Raw Annual Data"/>
      <sheetName val="Inflation"/>
      <sheetName val="Table of Contents NEPOOL"/>
      <sheetName val="Methodology"/>
      <sheetName val="Hist. NEPOOL Pipeline Prices"/>
      <sheetName val="GMM Basis Differentials"/>
      <sheetName val="NEPOOL Basis and Delivered"/>
      <sheetName val="Output Wk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macro setup"/>
      <sheetName val="(Step1)"/>
      <sheetName val="WindData-FromAEO2008"/>
      <sheetName val="CF Data"/>
      <sheetName val="Loadshapes"/>
      <sheetName val="(Step2)"/>
      <sheetName val="CFs"/>
      <sheetName val="Sorted CFs"/>
      <sheetName val="Wind RMs"/>
      <sheetName val="Wind Profil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eral Notes"/>
      <sheetName val="Ck-dat file"/>
      <sheetName val="All units (back up)"/>
      <sheetName val="Fr JZ - JZ Edited Fuels"/>
      <sheetName val="Reverse fuels to pre-JZ-Edit"/>
      <sheetName val="Blank 3"/>
      <sheetName val="Main-Retrofit Costs Check"/>
      <sheetName val="Ck-Front End fuels"/>
      <sheetName val="CK-BC_2m fuel"/>
      <sheetName val="Input-NOx RedFac"/>
      <sheetName val="Input-MedianSO2Content"/>
      <sheetName val="Input-VOM Adder"/>
      <sheetName val="Input-dat file"/>
      <sheetName val="blank 1"/>
      <sheetName val="Input-AppBinOptions"/>
      <sheetName val="Ref-Equation ID"/>
      <sheetName val="Non DLL Cost Equations"/>
      <sheetName val="ACI"/>
      <sheetName val="Particulate Control"/>
      <sheetName val="SNCR - FBC"/>
      <sheetName val="SNCR Tangential - Non FBC"/>
      <sheetName val="SCR"/>
      <sheetName val="Dry FGD"/>
      <sheetName val="Wet FGD"/>
      <sheetName val="DSI-FF"/>
      <sheetName val="Input-DollarConversion"/>
      <sheetName val="Blank 2"/>
      <sheetName val="Ref-Index Definitions"/>
      <sheetName val="Ref-2nd stage rules"/>
      <sheetName val="Ref-FuelGradeKey"/>
      <sheetName val="Ref-Tier-1 Combo Definition"/>
      <sheetName val="Data Validation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tsByGroup"/>
      <sheetName val="PlantsByGroup Market Prices"/>
      <sheetName val="Market Price Summary"/>
      <sheetName val="Power Summary"/>
      <sheetName val="Gas Summary"/>
      <sheetName val="NY spots"/>
      <sheetName val="SPPnth adjustment"/>
      <sheetName val="CPN Elec Peak Fwds"/>
      <sheetName val="CPN Elec Off-Pk Fwds"/>
      <sheetName val="CPN Gas Fwds"/>
      <sheetName val="Prosym Elec Peak"/>
      <sheetName val="Prosym Elec Off-Pk"/>
      <sheetName val="Prosym Capc Price"/>
      <sheetName val="Prosym LICAP"/>
      <sheetName val="Prosym Final Capc Price"/>
      <sheetName val="Prosym Capc Spread"/>
      <sheetName val="Prosym Gas"/>
      <sheetName val="PA Inflation"/>
      <sheetName val="Matchings"/>
      <sheetName val="CPN Matching"/>
      <sheetName val="Comparisons"/>
      <sheetName val="Comparisons - Annual"/>
      <sheetName val="Gas Price Basis Delivered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LL Input Variables"/>
      <sheetName val="DLL EquIDs"/>
      <sheetName val="Hg EMFs v5.12"/>
      <sheetName val="Index Key"/>
      <sheetName val="BurnerType"/>
      <sheetName val="Particulate"/>
      <sheetName val="PostComb"/>
      <sheetName val="FuelGroup"/>
      <sheetName val="NEEDS-Retrofit Index"/>
      <sheetName val="2nd stage rules"/>
      <sheetName val="Retrofit Options Key v512"/>
      <sheetName val="Retrofit Options Key v411"/>
      <sheetName val="Data Validation List"/>
      <sheetName val="Key to Emission Contro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ternal Spreadsheet"/>
      <sheetName val="External Spreadsheet"/>
      <sheetName val="Valid Load Zones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 Info"/>
      <sheetName val="Tables_4Compar"/>
      <sheetName val="Tables"/>
      <sheetName val="Summary_PreTax"/>
      <sheetName val="Summary_AfterTax"/>
      <sheetName val="Summary_RetiredFacilities"/>
      <sheetName val="Private_Costs _AnalysisYear"/>
      <sheetName val="Private_Costs _PromulgationYear"/>
      <sheetName val="Private_Costs _ComplianceYear"/>
      <sheetName val="ICR_Costs"/>
      <sheetName val="Assumption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setup"/>
      <sheetName val="(Step1)"/>
      <sheetName val="Solar CFs AEO 2007"/>
      <sheetName val="CF Data"/>
      <sheetName val="(Step2)"/>
      <sheetName val="CFs"/>
      <sheetName val="Sorted CFs"/>
      <sheetName val="Solar RMs"/>
      <sheetName val="Solar Profile"/>
    </sheetNames>
    <sheetDataSet>
      <sheetData sheetId="0"/>
      <sheetData sheetId="1" refreshError="1"/>
      <sheetData sheetId="2" refreshError="1"/>
      <sheetData sheetId="3"/>
      <sheetData sheetId="4" refreshError="1"/>
      <sheetData sheetId="5"/>
      <sheetData sheetId="6" refreshError="1"/>
      <sheetData sheetId="7"/>
      <sheetData sheetId="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hat's new"/>
      <sheetName val="Setup"/>
      <sheetName val="NPV"/>
      <sheetName val="Nox policy cost Map"/>
      <sheetName val="Final Wholesale Price"/>
      <sheetName val="Create LoadShape"/>
      <sheetName val="Input - Coal Supply"/>
      <sheetName val="input - Collapse Tables"/>
      <sheetName val="Gen&amp;Cap Summary"/>
      <sheetName val="Cap_Summary"/>
      <sheetName val="PlantType"/>
      <sheetName val="Summary"/>
      <sheetName val="ToAccess"/>
      <sheetName val="NEW UNITS Table"/>
      <sheetName val="state list abb"/>
      <sheetName val="State Emissions Data"/>
      <sheetName val="Emission Ra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ME"/>
      <sheetName val="FileList"/>
      <sheetName val="NetworkMap"/>
      <sheetName val="Node Names"/>
      <sheetName val="LNG Facilities"/>
      <sheetName val="L48 Demand Nodes MAP"/>
      <sheetName val="L48 Demand Nodes LIST"/>
      <sheetName val="Supply Regions MAP"/>
      <sheetName val="Supply Regions LIST"/>
      <sheetName val="DC_Calc"/>
      <sheetName val="Network Link Names"/>
      <sheetName val="Output Variables"/>
      <sheetName val="Aggregate Regions"/>
      <sheetName val="Census Regions"/>
      <sheetName val="Demand Regions"/>
      <sheetName val="NERC Regions"/>
      <sheetName val="GD Locations"/>
      <sheetName val="Storage Regions"/>
      <sheetName val="PlotDiscountCurve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fcindia.com/ensite/DocumentRepository/ckfinder/files/Operations/Performance_Reports_of_State_Power_Utilities/Report%20Database%202022-23%20-%20updated%20up%20to%20April%202024EntityApr.pdf" TargetMode="External"/><Relationship Id="rId2" Type="http://schemas.openxmlformats.org/officeDocument/2006/relationships/hyperlink" Target="https://www.eia.gov/todayinenergy/detail.php?id=48136" TargetMode="External"/><Relationship Id="rId1" Type="http://schemas.openxmlformats.org/officeDocument/2006/relationships/hyperlink" Target="https://www.eia.gov/todayinenergy/detail.php?id=47316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pfcindia.com/ensite/DocumentRepository/ckfinder/files/Operations/Performance_Reports_of_State_Power_Utilities/Report%20Database%202022-23%20-%20updated%20up%20to%20April%202024EntityApr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3"/>
  <sheetViews>
    <sheetView topLeftCell="A11" workbookViewId="0">
      <selection activeCell="D34" sqref="D34"/>
    </sheetView>
  </sheetViews>
  <sheetFormatPr defaultRowHeight="15"/>
  <cols>
    <col min="2" max="2" width="52.28515625" customWidth="1"/>
  </cols>
  <sheetData>
    <row r="1" spans="1:2">
      <c r="A1" s="1" t="s">
        <v>0</v>
      </c>
    </row>
    <row r="3" spans="1:2">
      <c r="A3" s="1" t="s">
        <v>1</v>
      </c>
      <c r="B3" s="6" t="s">
        <v>2</v>
      </c>
    </row>
    <row r="4" spans="1:2">
      <c r="B4" t="s">
        <v>3</v>
      </c>
    </row>
    <row r="5" spans="1:2">
      <c r="B5" s="15">
        <v>2024</v>
      </c>
    </row>
    <row r="6" spans="1:2">
      <c r="B6" t="s">
        <v>4</v>
      </c>
    </row>
    <row r="7" spans="1:2">
      <c r="B7" t="s">
        <v>5</v>
      </c>
    </row>
    <row r="8" spans="1:2">
      <c r="B8" s="3" t="s">
        <v>6</v>
      </c>
    </row>
    <row r="9" spans="1:2">
      <c r="B9" s="3"/>
    </row>
    <row r="10" spans="1:2">
      <c r="B10" s="6" t="s">
        <v>7</v>
      </c>
    </row>
    <row r="11" spans="1:2">
      <c r="A11" s="1"/>
      <c r="B11" t="s">
        <v>8</v>
      </c>
    </row>
    <row r="12" spans="1:2">
      <c r="A12" s="1"/>
      <c r="B12" s="2">
        <v>2021</v>
      </c>
    </row>
    <row r="13" spans="1:2" ht="30">
      <c r="A13" s="1"/>
      <c r="B13" s="4" t="s">
        <v>9</v>
      </c>
    </row>
    <row r="14" spans="1:2">
      <c r="A14" s="1"/>
      <c r="B14" s="3" t="s">
        <v>10</v>
      </c>
    </row>
    <row r="15" spans="1:2">
      <c r="A15" s="1"/>
      <c r="B15" t="s">
        <v>11</v>
      </c>
    </row>
    <row r="16" spans="1:2">
      <c r="A16" s="1"/>
    </row>
    <row r="17" spans="1:2">
      <c r="A17" s="1"/>
      <c r="B17" s="6" t="s">
        <v>12</v>
      </c>
    </row>
    <row r="18" spans="1:2">
      <c r="A18" s="1"/>
      <c r="B18" t="s">
        <v>8</v>
      </c>
    </row>
    <row r="19" spans="1:2">
      <c r="A19" s="1"/>
      <c r="B19" s="2">
        <v>2021</v>
      </c>
    </row>
    <row r="20" spans="1:2" ht="30">
      <c r="A20" s="1"/>
      <c r="B20" s="4" t="s">
        <v>13</v>
      </c>
    </row>
    <row r="21" spans="1:2">
      <c r="A21" s="1"/>
      <c r="B21" s="3" t="s">
        <v>14</v>
      </c>
    </row>
    <row r="22" spans="1:2">
      <c r="A22" s="1"/>
      <c r="B22" t="s">
        <v>11</v>
      </c>
    </row>
    <row r="23" spans="1:2">
      <c r="A23" s="1"/>
    </row>
    <row r="24" spans="1:2">
      <c r="A24" s="1"/>
    </row>
    <row r="25" spans="1:2">
      <c r="A25" s="1" t="s">
        <v>15</v>
      </c>
    </row>
    <row r="26" spans="1:2">
      <c r="A26" s="1" t="s">
        <v>16</v>
      </c>
      <c r="B26" t="s">
        <v>17</v>
      </c>
    </row>
    <row r="27" spans="1:2">
      <c r="A27" s="1"/>
      <c r="B27" t="s">
        <v>18</v>
      </c>
    </row>
    <row r="28" spans="1:2">
      <c r="A28" s="1"/>
      <c r="B28" t="s">
        <v>19</v>
      </c>
    </row>
    <row r="29" spans="1:2">
      <c r="A29" s="1"/>
      <c r="B29" t="s">
        <v>20</v>
      </c>
    </row>
    <row r="30" spans="1:2">
      <c r="A30" s="1"/>
    </row>
    <row r="31" spans="1:2">
      <c r="A31" t="s">
        <v>21</v>
      </c>
    </row>
    <row r="32" spans="1:2">
      <c r="A32" s="5">
        <f>'India Calcs'!D16</f>
        <v>9.5994587441181715E-3</v>
      </c>
    </row>
    <row r="33" spans="1:1">
      <c r="A33" t="s">
        <v>22</v>
      </c>
    </row>
  </sheetData>
  <hyperlinks>
    <hyperlink ref="B14" r:id="rId1" location=":~:text=Utilities%20spent%20%2416.6%20billion%20on,7%25%20more%20than%20in%202018.&amp;text=Power%20plants%20are%20often%20located,power%20lines%20to%20deliver%20electricity" xr:uid="{B62E2E72-9FDA-492B-85A8-BD4042EF0399}"/>
    <hyperlink ref="B21" r:id="rId2" location=":~:text=Annual%20spending%20on%20electricity%20distribution,2000%20after%20adjusting%20for%20inflation" xr:uid="{14E7A6E4-A769-4D01-8DC3-91C2B163095C}"/>
    <hyperlink ref="B8" r:id="rId3" xr:uid="{8922172B-FF2C-4D76-AB21-0FD97D2C6A69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D6E3E-2710-4B0A-B722-BD55E9E41B4F}">
  <dimension ref="A1:W22"/>
  <sheetViews>
    <sheetView workbookViewId="0">
      <selection activeCell="W5" sqref="W5"/>
    </sheetView>
  </sheetViews>
  <sheetFormatPr defaultRowHeight="15"/>
  <cols>
    <col min="19" max="19" width="13" customWidth="1"/>
    <col min="20" max="20" width="2" customWidth="1"/>
    <col min="22" max="22" width="18.7109375" customWidth="1"/>
  </cols>
  <sheetData>
    <row r="1" spans="1:23">
      <c r="A1" t="s">
        <v>23</v>
      </c>
      <c r="B1" s="3" t="s">
        <v>24</v>
      </c>
      <c r="T1" s="8"/>
    </row>
    <row r="2" spans="1:23">
      <c r="A2" s="13" t="s">
        <v>25</v>
      </c>
      <c r="B2" s="3"/>
      <c r="T2" s="8"/>
    </row>
    <row r="3" spans="1:23">
      <c r="A3" s="13"/>
      <c r="B3" s="3"/>
      <c r="T3" s="8"/>
    </row>
    <row r="4" spans="1:23">
      <c r="A4" t="s">
        <v>26</v>
      </c>
      <c r="E4" s="14" t="s">
        <v>27</v>
      </c>
      <c r="H4" t="s">
        <v>28</v>
      </c>
      <c r="K4" t="s">
        <v>29</v>
      </c>
      <c r="M4" t="s">
        <v>30</v>
      </c>
      <c r="P4" t="s">
        <v>31</v>
      </c>
      <c r="S4" t="s">
        <v>32</v>
      </c>
      <c r="T4" s="8"/>
      <c r="V4" s="1" t="s">
        <v>33</v>
      </c>
      <c r="W4" t="s">
        <v>34</v>
      </c>
    </row>
    <row r="5" spans="1:23">
      <c r="T5" s="8"/>
      <c r="V5" t="s">
        <v>35</v>
      </c>
      <c r="W5">
        <v>26605349669.705128</v>
      </c>
    </row>
    <row r="6" spans="1:23">
      <c r="T6" s="8"/>
      <c r="V6" t="s">
        <v>36</v>
      </c>
      <c r="W6">
        <v>19911647045.798424</v>
      </c>
    </row>
    <row r="7" spans="1:23">
      <c r="T7" s="8"/>
      <c r="V7" t="s">
        <v>37</v>
      </c>
      <c r="W7">
        <v>22114637782.780376</v>
      </c>
    </row>
    <row r="8" spans="1:23">
      <c r="T8" s="8"/>
      <c r="V8" t="s">
        <v>38</v>
      </c>
      <c r="W8">
        <v>14065248551.500164</v>
      </c>
    </row>
    <row r="9" spans="1:23">
      <c r="T9" s="8"/>
    </row>
    <row r="10" spans="1:23">
      <c r="A10" t="s">
        <v>39</v>
      </c>
      <c r="E10" t="s">
        <v>27</v>
      </c>
      <c r="H10" t="s">
        <v>28</v>
      </c>
      <c r="K10" t="s">
        <v>29</v>
      </c>
      <c r="M10" t="s">
        <v>30</v>
      </c>
      <c r="P10" t="s">
        <v>31</v>
      </c>
      <c r="S10" t="s">
        <v>32</v>
      </c>
      <c r="T10" s="8"/>
    </row>
    <row r="11" spans="1:23">
      <c r="T11" s="8"/>
    </row>
    <row r="12" spans="1:23">
      <c r="T12" s="8"/>
    </row>
    <row r="13" spans="1:23">
      <c r="A13" s="11" t="s">
        <v>40</v>
      </c>
      <c r="B13" s="11"/>
      <c r="C13" s="11"/>
      <c r="D13" s="11"/>
      <c r="E13" s="11"/>
      <c r="F13" s="11"/>
      <c r="G13" s="11"/>
      <c r="H13" s="11"/>
      <c r="I13" s="11"/>
      <c r="J13" s="11" t="s">
        <v>41</v>
      </c>
      <c r="K13" s="12"/>
      <c r="L13" s="12"/>
      <c r="M13" s="12"/>
      <c r="N13" s="12"/>
      <c r="O13" s="12"/>
      <c r="P13" s="12"/>
      <c r="Q13" s="12"/>
      <c r="R13" s="12"/>
      <c r="S13" s="12"/>
      <c r="T13" s="8"/>
    </row>
    <row r="14" spans="1:23">
      <c r="A14" t="s">
        <v>42</v>
      </c>
      <c r="J14" t="s">
        <v>43</v>
      </c>
    </row>
    <row r="15" spans="1:23">
      <c r="A15">
        <f>839216-637117</f>
        <v>202099</v>
      </c>
      <c r="B15" t="s">
        <v>44</v>
      </c>
      <c r="D15" t="s">
        <v>45</v>
      </c>
      <c r="J15">
        <f>42148-224</f>
        <v>41924</v>
      </c>
      <c r="K15" t="s">
        <v>44</v>
      </c>
    </row>
    <row r="16" spans="1:23">
      <c r="A16">
        <f>A15*10000000</f>
        <v>2020990000000</v>
      </c>
      <c r="B16" t="s">
        <v>46</v>
      </c>
      <c r="D16">
        <f>1/(1.902*54.77)</f>
        <v>9.5994587441181715E-3</v>
      </c>
      <c r="J16">
        <f>J15*10^7</f>
        <v>419240000000</v>
      </c>
      <c r="K16" t="s">
        <v>44</v>
      </c>
    </row>
    <row r="17" spans="1:11">
      <c r="A17">
        <f>A16/(1.902*54.77)</f>
        <v>19400410127.275383</v>
      </c>
      <c r="B17" t="s">
        <v>47</v>
      </c>
      <c r="J17">
        <f>J16*$D$16</f>
        <v>4024477083.8841023</v>
      </c>
      <c r="K17" t="s">
        <v>47</v>
      </c>
    </row>
    <row r="19" spans="1:11">
      <c r="A19" s="9" t="s">
        <v>48</v>
      </c>
      <c r="J19" s="9" t="s">
        <v>49</v>
      </c>
    </row>
    <row r="20" spans="1:11">
      <c r="A20">
        <f>A17*(W5/(W7+W5))</f>
        <v>10594310921.67734</v>
      </c>
      <c r="B20" t="s">
        <v>50</v>
      </c>
      <c r="J20">
        <f>J17*W6/(W6+W8)</f>
        <v>2358484076.5904341</v>
      </c>
      <c r="K20" t="s">
        <v>47</v>
      </c>
    </row>
    <row r="21" spans="1:11">
      <c r="A21" s="10" t="s">
        <v>51</v>
      </c>
      <c r="J21" s="9" t="s">
        <v>52</v>
      </c>
    </row>
    <row r="22" spans="1:11">
      <c r="A22">
        <f>A17-A20</f>
        <v>8806099205.5980434</v>
      </c>
      <c r="B22" t="s">
        <v>50</v>
      </c>
      <c r="J22">
        <f>J17-J20</f>
        <v>1665993007.2936683</v>
      </c>
      <c r="K22" t="s">
        <v>47</v>
      </c>
    </row>
  </sheetData>
  <mergeCells count="2">
    <mergeCell ref="A13:I13"/>
    <mergeCell ref="J13:S13"/>
  </mergeCells>
  <hyperlinks>
    <hyperlink ref="B1" r:id="rId1" xr:uid="{DD901C63-7788-4551-804F-18FAD9C5102D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3"/>
  <sheetViews>
    <sheetView workbookViewId="0">
      <selection activeCell="B3" sqref="B3"/>
    </sheetView>
  </sheetViews>
  <sheetFormatPr defaultRowHeight="15"/>
  <cols>
    <col min="1" max="1" width="24.85546875" customWidth="1"/>
    <col min="2" max="2" width="24.5703125" customWidth="1"/>
  </cols>
  <sheetData>
    <row r="1" spans="1:2">
      <c r="B1" t="s">
        <v>53</v>
      </c>
    </row>
    <row r="2" spans="1:2">
      <c r="A2" t="s">
        <v>38</v>
      </c>
      <c r="B2" s="7">
        <f>'India Calcs'!J22</f>
        <v>1665993007.2936683</v>
      </c>
    </row>
    <row r="3" spans="1:2">
      <c r="B3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3"/>
  <sheetViews>
    <sheetView workbookViewId="0">
      <selection activeCell="B3" sqref="B3"/>
    </sheetView>
  </sheetViews>
  <sheetFormatPr defaultRowHeight="15"/>
  <cols>
    <col min="1" max="1" width="24.85546875" customWidth="1"/>
    <col min="2" max="2" width="24.5703125" customWidth="1"/>
  </cols>
  <sheetData>
    <row r="1" spans="1:2">
      <c r="B1" t="s">
        <v>53</v>
      </c>
    </row>
    <row r="2" spans="1:2">
      <c r="A2" t="s">
        <v>37</v>
      </c>
      <c r="B2" s="7">
        <f>'India Calcs'!A22</f>
        <v>8806099205.5980434</v>
      </c>
    </row>
    <row r="3" spans="1:2">
      <c r="B3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3"/>
  <sheetViews>
    <sheetView workbookViewId="0">
      <selection activeCell="B3" sqref="B3"/>
    </sheetView>
  </sheetViews>
  <sheetFormatPr defaultRowHeight="15"/>
  <cols>
    <col min="1" max="1" width="24.85546875" customWidth="1"/>
    <col min="2" max="2" width="24.5703125" customWidth="1"/>
  </cols>
  <sheetData>
    <row r="1" spans="1:2">
      <c r="B1" t="s">
        <v>53</v>
      </c>
    </row>
    <row r="2" spans="1:2">
      <c r="A2" t="s">
        <v>36</v>
      </c>
      <c r="B2" s="7">
        <f>'India Calcs'!J20</f>
        <v>2358484076.5904341</v>
      </c>
    </row>
    <row r="3" spans="1:2">
      <c r="B3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3"/>
  <sheetViews>
    <sheetView tabSelected="1" workbookViewId="0">
      <selection activeCell="H17" sqref="H17"/>
    </sheetView>
  </sheetViews>
  <sheetFormatPr defaultRowHeight="15"/>
  <cols>
    <col min="1" max="1" width="24.85546875" customWidth="1"/>
    <col min="2" max="2" width="24.5703125" customWidth="1"/>
  </cols>
  <sheetData>
    <row r="1" spans="1:2">
      <c r="B1" t="s">
        <v>53</v>
      </c>
    </row>
    <row r="2" spans="1:2">
      <c r="A2" t="s">
        <v>35</v>
      </c>
      <c r="B2" s="7">
        <f>'India Calcs'!A20</f>
        <v>10594310921.67734</v>
      </c>
    </row>
    <row r="3" spans="1:2">
      <c r="A3" t="s">
        <v>54</v>
      </c>
      <c r="B3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51C7805F896F47A4F48569C73A0799" ma:contentTypeVersion="4" ma:contentTypeDescription="Create a new document." ma:contentTypeScope="" ma:versionID="7abd873f26c83d98889b6bc5171c7cdd">
  <xsd:schema xmlns:xsd="http://www.w3.org/2001/XMLSchema" xmlns:xs="http://www.w3.org/2001/XMLSchema" xmlns:p="http://schemas.microsoft.com/office/2006/metadata/properties" xmlns:ns2="f3083de3-5d4e-49f2-a3cd-0aeb079e6739" targetNamespace="http://schemas.microsoft.com/office/2006/metadata/properties" ma:root="true" ma:fieldsID="295384f30983e71c631053ca9b14fb23" ns2:_="">
    <xsd:import namespace="f3083de3-5d4e-49f2-a3cd-0aeb079e67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83de3-5d4e-49f2-a3cd-0aeb079e6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82CC211-5AAA-4860-9DEC-3486292ECCCC}"/>
</file>

<file path=customXml/itemProps2.xml><?xml version="1.0" encoding="utf-8"?>
<ds:datastoreItem xmlns:ds="http://schemas.openxmlformats.org/officeDocument/2006/customXml" ds:itemID="{9D3CD2E4-C44E-49C1-9DCF-605CB10EE872}"/>
</file>

<file path=customXml/itemProps3.xml><?xml version="1.0" encoding="utf-8"?>
<ds:datastoreItem xmlns:ds="http://schemas.openxmlformats.org/officeDocument/2006/customXml" ds:itemID="{9659FA89-68D4-4AEC-9323-51F365F4BB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Devadathan Biju</cp:lastModifiedBy>
  <cp:revision/>
  <dcterms:created xsi:type="dcterms:W3CDTF">2015-07-06T21:06:03Z</dcterms:created>
  <dcterms:modified xsi:type="dcterms:W3CDTF">2024-08-27T12:47:41Z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0x010100A251C7805F896F47A4F48569C73A0799</vt:lpwstr>
  </property>
</Properties>
</file>