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ICpUEfEBE/"/>
    </mc:Choice>
  </mc:AlternateContent>
  <xr:revisionPtr revIDLastSave="107" documentId="8_{0A60D6D9-4297-430E-8E2A-335EA6501C55}" xr6:coauthVersionLast="47" xr6:coauthVersionMax="47" xr10:uidLastSave="{D6DC017A-326D-48C0-AAB4-0821CE354767}"/>
  <bookViews>
    <workbookView xWindow="9510" yWindow="0" windowWidth="9780" windowHeight="11370" firstSheet="6" activeTab="13" xr2:uid="{00000000-000D-0000-FFFF-FFFF00000000}"/>
  </bookViews>
  <sheets>
    <sheet name="About" sheetId="17" r:id="rId1"/>
    <sheet name="EIA Costs" sheetId="9" r:id="rId2"/>
    <sheet name="EIA AEO Table 4" sheetId="7" r:id="rId3"/>
    <sheet name="EIA AEO Table 21" sheetId="8" r:id="rId4"/>
    <sheet name="NREL EF Table 22" sheetId="13" r:id="rId5"/>
    <sheet name="NREL EF Table 23" sheetId="14" r:id="rId6"/>
    <sheet name="Calculations" sheetId="6" r:id="rId7"/>
    <sheet name="IESS Residential" sheetId="49" r:id="rId8"/>
    <sheet name="GDP per capita" sheetId="47" r:id="rId9"/>
    <sheet name="ICpUEfEBE-urb-res-heating" sheetId="18" r:id="rId10"/>
    <sheet name="ICpUEfEBE-urb-res-appl" sheetId="38" r:id="rId11"/>
    <sheet name="ICpUEfEBE-urb-res-other" sheetId="40" r:id="rId12"/>
    <sheet name="ICpUEfEBE-rur-res-heating" sheetId="34" r:id="rId13"/>
    <sheet name="ICpUEfEBE-rur-res-appl" sheetId="39" r:id="rId14"/>
    <sheet name="ICpUEfEBE-rur-res-other" sheetId="41" r:id="rId15"/>
    <sheet name="ICpUEfEBE-com-heating" sheetId="42" r:id="rId16"/>
    <sheet name="ICpUEfEBE-com-appl" sheetId="45" r:id="rId17"/>
    <sheet name="ICpUEfEBE-com-other" sheetId="46" r:id="rId18"/>
  </sheets>
  <externalReferences>
    <externalReference r:id="rId19"/>
    <externalReference r:id="rId20"/>
    <externalReference r:id="rId21"/>
  </externalReferences>
  <definedNames>
    <definedName name="_AMO_UniqueIdentifier" hidden="1">"'7dff0b4d-5a4e-428f-a156-c32727f2a01b'"</definedName>
    <definedName name="_xlnm._FilterDatabase" localSheetId="8" hidden="1">'GDP per capita'!$A$4:$BL$268</definedName>
    <definedName name="Fraction_coal">[1]About!$C$50</definedName>
    <definedName name="GDP_per_capita_ratio">#REF!</definedName>
    <definedName name="INR">[2]Conversions!$E$105</definedName>
    <definedName name="Percent_rural">[1]About!$A$77</definedName>
    <definedName name="Percent_urban">[1]About!$A$76</definedName>
    <definedName name="Preferences.moneyunits">[2]Preferences!$C$9</definedName>
    <definedName name="quadrillion">[1]About!$B$79</definedName>
    <definedName name="Table4">'[1]AEO Table 4'!$C$34:$AI$72</definedName>
    <definedName name="Table5">'[1]AEO Table 5'!$C$31:$AI$58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39" l="1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AX3" i="39"/>
  <c r="AY3" i="39"/>
  <c r="AZ3" i="39"/>
  <c r="BA3" i="39"/>
  <c r="AF4" i="39"/>
  <c r="AG4" i="39"/>
  <c r="AH4" i="39"/>
  <c r="AI4" i="39"/>
  <c r="AJ4" i="39"/>
  <c r="AK4" i="39"/>
  <c r="AL4" i="39"/>
  <c r="AM4" i="39"/>
  <c r="AN4" i="39"/>
  <c r="AO4" i="39"/>
  <c r="AP4" i="39"/>
  <c r="AQ4" i="39"/>
  <c r="AR4" i="39"/>
  <c r="AS4" i="39"/>
  <c r="AT4" i="39"/>
  <c r="AU4" i="39"/>
  <c r="AV4" i="39"/>
  <c r="AW4" i="39"/>
  <c r="AX4" i="39"/>
  <c r="AY4" i="39"/>
  <c r="AZ4" i="39"/>
  <c r="BA4" i="39"/>
  <c r="AF5" i="39"/>
  <c r="AG5" i="39"/>
  <c r="AH5" i="39"/>
  <c r="AI5" i="39"/>
  <c r="AJ5" i="39"/>
  <c r="AK5" i="39"/>
  <c r="AL5" i="39"/>
  <c r="AM5" i="39"/>
  <c r="AN5" i="39"/>
  <c r="AO5" i="39"/>
  <c r="AP5" i="39"/>
  <c r="AQ5" i="39"/>
  <c r="AR5" i="39"/>
  <c r="AS5" i="39"/>
  <c r="AT5" i="39"/>
  <c r="AU5" i="39"/>
  <c r="AV5" i="39"/>
  <c r="AW5" i="39"/>
  <c r="AX5" i="39"/>
  <c r="AY5" i="39"/>
  <c r="AZ5" i="39"/>
  <c r="BA5" i="39"/>
  <c r="AF6" i="39"/>
  <c r="AG6" i="39"/>
  <c r="AH6" i="39"/>
  <c r="AI6" i="39"/>
  <c r="AJ6" i="39"/>
  <c r="AK6" i="39"/>
  <c r="AL6" i="39"/>
  <c r="AM6" i="39"/>
  <c r="AN6" i="39"/>
  <c r="AO6" i="39"/>
  <c r="AP6" i="39"/>
  <c r="AQ6" i="39"/>
  <c r="AR6" i="39"/>
  <c r="AS6" i="39"/>
  <c r="AT6" i="39"/>
  <c r="AU6" i="39"/>
  <c r="AV6" i="39"/>
  <c r="AW6" i="39"/>
  <c r="AX6" i="39"/>
  <c r="AY6" i="39"/>
  <c r="AZ6" i="39"/>
  <c r="BA6" i="39"/>
  <c r="AF7" i="39"/>
  <c r="AG7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AU7" i="39"/>
  <c r="AV7" i="39"/>
  <c r="AW7" i="39"/>
  <c r="AX7" i="39"/>
  <c r="AY7" i="39"/>
  <c r="AZ7" i="39"/>
  <c r="BA7" i="39"/>
  <c r="AF8" i="39"/>
  <c r="AG8" i="39"/>
  <c r="AH8" i="39"/>
  <c r="AI8" i="39"/>
  <c r="AJ8" i="39"/>
  <c r="AK8" i="39"/>
  <c r="AL8" i="39"/>
  <c r="AM8" i="39"/>
  <c r="AN8" i="39"/>
  <c r="AO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AF9" i="39"/>
  <c r="AG9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AU9" i="39"/>
  <c r="AV9" i="39"/>
  <c r="AW9" i="39"/>
  <c r="AX9" i="39"/>
  <c r="AY9" i="39"/>
  <c r="AZ9" i="39"/>
  <c r="BA9" i="39"/>
  <c r="AF10" i="39"/>
  <c r="AG10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AU10" i="39"/>
  <c r="AV10" i="39"/>
  <c r="AW10" i="39"/>
  <c r="AX10" i="39"/>
  <c r="AY10" i="39"/>
  <c r="AZ10" i="39"/>
  <c r="BA10" i="39"/>
  <c r="AF11" i="39"/>
  <c r="AG11" i="39"/>
  <c r="AH11" i="39"/>
  <c r="AI11" i="39"/>
  <c r="AJ11" i="39"/>
  <c r="AK11" i="39"/>
  <c r="AL11" i="39"/>
  <c r="AM11" i="39"/>
  <c r="AN11" i="39"/>
  <c r="AO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AH7" i="38"/>
  <c r="AI7" i="38"/>
  <c r="AJ7" i="38"/>
  <c r="AK7" i="38"/>
  <c r="AL7" i="38"/>
  <c r="AM7" i="38"/>
  <c r="AN7" i="38"/>
  <c r="AO7" i="38"/>
  <c r="AP7" i="38"/>
  <c r="AQ7" i="38"/>
  <c r="AR7" i="38"/>
  <c r="AS7" i="38"/>
  <c r="AT7" i="38"/>
  <c r="AU7" i="38"/>
  <c r="AV7" i="38"/>
  <c r="AW7" i="38"/>
  <c r="AX7" i="38"/>
  <c r="AY7" i="38"/>
  <c r="AZ7" i="38"/>
  <c r="BA7" i="38"/>
  <c r="BB7" i="38"/>
  <c r="AH8" i="38"/>
  <c r="AI8" i="38"/>
  <c r="AJ8" i="38"/>
  <c r="AK8" i="38"/>
  <c r="AL8" i="38"/>
  <c r="AM8" i="38"/>
  <c r="AN8" i="38"/>
  <c r="AO8" i="38"/>
  <c r="AP8" i="38"/>
  <c r="AQ8" i="38"/>
  <c r="AR8" i="38"/>
  <c r="AS8" i="38"/>
  <c r="AT8" i="38"/>
  <c r="AU8" i="38"/>
  <c r="AV8" i="38"/>
  <c r="AW8" i="38"/>
  <c r="AX8" i="38"/>
  <c r="AY8" i="38"/>
  <c r="AZ8" i="38"/>
  <c r="BA8" i="38"/>
  <c r="BB8" i="38"/>
  <c r="AH9" i="38"/>
  <c r="AI9" i="38"/>
  <c r="AJ9" i="38"/>
  <c r="AK9" i="38"/>
  <c r="AL9" i="38"/>
  <c r="AM9" i="38"/>
  <c r="AN9" i="38"/>
  <c r="AO9" i="38"/>
  <c r="AP9" i="38"/>
  <c r="AQ9" i="38"/>
  <c r="AR9" i="38"/>
  <c r="AS9" i="38"/>
  <c r="AT9" i="38"/>
  <c r="AU9" i="38"/>
  <c r="AV9" i="38"/>
  <c r="AW9" i="38"/>
  <c r="AX9" i="38"/>
  <c r="AY9" i="38"/>
  <c r="AZ9" i="38"/>
  <c r="BA9" i="38"/>
  <c r="BB9" i="38"/>
  <c r="AH10" i="38"/>
  <c r="AI10" i="38"/>
  <c r="AJ10" i="38"/>
  <c r="AK10" i="38"/>
  <c r="AL10" i="38"/>
  <c r="AM10" i="38"/>
  <c r="AN10" i="38"/>
  <c r="AO10" i="38"/>
  <c r="AP10" i="38"/>
  <c r="AQ10" i="38"/>
  <c r="AR10" i="38"/>
  <c r="AS10" i="38"/>
  <c r="AT10" i="38"/>
  <c r="AU10" i="38"/>
  <c r="AV10" i="38"/>
  <c r="AW10" i="38"/>
  <c r="AX10" i="38"/>
  <c r="AY10" i="38"/>
  <c r="AZ10" i="38"/>
  <c r="BA10" i="38"/>
  <c r="BB10" i="38"/>
  <c r="AH11" i="38"/>
  <c r="AI11" i="38"/>
  <c r="AJ11" i="38"/>
  <c r="AK11" i="38"/>
  <c r="AL11" i="38"/>
  <c r="AM11" i="38"/>
  <c r="AN11" i="38"/>
  <c r="AO11" i="38"/>
  <c r="AP11" i="38"/>
  <c r="AQ11" i="38"/>
  <c r="AR11" i="38"/>
  <c r="AS11" i="38"/>
  <c r="AT11" i="38"/>
  <c r="AU11" i="38"/>
  <c r="AV11" i="38"/>
  <c r="AW11" i="38"/>
  <c r="AX11" i="38"/>
  <c r="AY11" i="38"/>
  <c r="AZ11" i="38"/>
  <c r="BA11" i="38"/>
  <c r="BB11" i="38"/>
  <c r="AH3" i="38"/>
  <c r="AI3" i="38"/>
  <c r="AJ3" i="38"/>
  <c r="AK3" i="38"/>
  <c r="AL3" i="38"/>
  <c r="AM3" i="38"/>
  <c r="AN3" i="38"/>
  <c r="AO3" i="38"/>
  <c r="AP3" i="38"/>
  <c r="AQ3" i="38"/>
  <c r="AR3" i="38"/>
  <c r="AS3" i="38"/>
  <c r="AT3" i="38"/>
  <c r="AU3" i="38"/>
  <c r="AV3" i="38"/>
  <c r="AW3" i="38"/>
  <c r="AX3" i="38"/>
  <c r="AY3" i="38"/>
  <c r="AZ3" i="38"/>
  <c r="BA3" i="38"/>
  <c r="BB3" i="38"/>
  <c r="AH4" i="38"/>
  <c r="AI4" i="38"/>
  <c r="AJ4" i="38"/>
  <c r="AK4" i="38"/>
  <c r="AL4" i="38"/>
  <c r="AM4" i="38"/>
  <c r="AN4" i="38"/>
  <c r="AO4" i="38"/>
  <c r="AP4" i="38"/>
  <c r="AQ4" i="38"/>
  <c r="AR4" i="38"/>
  <c r="AS4" i="38"/>
  <c r="AT4" i="38"/>
  <c r="AU4" i="38"/>
  <c r="AV4" i="38"/>
  <c r="AW4" i="38"/>
  <c r="AX4" i="38"/>
  <c r="AY4" i="38"/>
  <c r="AZ4" i="38"/>
  <c r="BA4" i="38"/>
  <c r="BB4" i="38"/>
  <c r="AH5" i="38"/>
  <c r="AI5" i="38"/>
  <c r="AJ5" i="38"/>
  <c r="AK5" i="38"/>
  <c r="AL5" i="38"/>
  <c r="AM5" i="38"/>
  <c r="AN5" i="38"/>
  <c r="AO5" i="38"/>
  <c r="AP5" i="38"/>
  <c r="AQ5" i="38"/>
  <c r="AR5" i="38"/>
  <c r="AS5" i="38"/>
  <c r="AT5" i="38"/>
  <c r="AU5" i="38"/>
  <c r="AV5" i="38"/>
  <c r="AW5" i="38"/>
  <c r="AX5" i="38"/>
  <c r="AY5" i="38"/>
  <c r="AZ5" i="38"/>
  <c r="BA5" i="38"/>
  <c r="BB5" i="38"/>
  <c r="AH6" i="38"/>
  <c r="AI6" i="38"/>
  <c r="AJ6" i="38"/>
  <c r="AK6" i="38"/>
  <c r="AL6" i="38"/>
  <c r="AM6" i="38"/>
  <c r="AN6" i="38"/>
  <c r="AO6" i="38"/>
  <c r="AP6" i="38"/>
  <c r="AQ6" i="38"/>
  <c r="AR6" i="38"/>
  <c r="AS6" i="38"/>
  <c r="AT6" i="38"/>
  <c r="AU6" i="38"/>
  <c r="AV6" i="38"/>
  <c r="AW6" i="38"/>
  <c r="AX6" i="38"/>
  <c r="AY6" i="38"/>
  <c r="AZ6" i="38"/>
  <c r="BA6" i="38"/>
  <c r="BB6" i="38"/>
  <c r="C7" i="38"/>
  <c r="D7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C3" i="38"/>
  <c r="C10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C9" i="6"/>
  <c r="BA3" i="45"/>
  <c r="BA4" i="45"/>
  <c r="BA5" i="45"/>
  <c r="BA6" i="45"/>
  <c r="BA7" i="45"/>
  <c r="BA8" i="45"/>
  <c r="BA9" i="45"/>
  <c r="BA10" i="45"/>
  <c r="BA11" i="45"/>
  <c r="AH3" i="45"/>
  <c r="AI3" i="45"/>
  <c r="AJ3" i="45"/>
  <c r="AK3" i="45"/>
  <c r="AL3" i="45"/>
  <c r="AM3" i="45"/>
  <c r="AN3" i="45"/>
  <c r="AO3" i="45"/>
  <c r="AP3" i="45"/>
  <c r="AQ3" i="45"/>
  <c r="AR3" i="45"/>
  <c r="AS3" i="45"/>
  <c r="AT3" i="45"/>
  <c r="AU3" i="45"/>
  <c r="AV3" i="45"/>
  <c r="AW3" i="45"/>
  <c r="AX3" i="45"/>
  <c r="AY3" i="45"/>
  <c r="AZ3" i="45"/>
  <c r="AH4" i="45"/>
  <c r="AI4" i="45"/>
  <c r="AJ4" i="45"/>
  <c r="AK4" i="45"/>
  <c r="AL4" i="45"/>
  <c r="AM4" i="45"/>
  <c r="AN4" i="45"/>
  <c r="AO4" i="45"/>
  <c r="AP4" i="45"/>
  <c r="AQ4" i="45"/>
  <c r="AR4" i="45"/>
  <c r="AS4" i="45"/>
  <c r="AT4" i="45"/>
  <c r="AU4" i="45"/>
  <c r="AV4" i="45"/>
  <c r="AW4" i="45"/>
  <c r="AX4" i="45"/>
  <c r="AY4" i="45"/>
  <c r="AZ4" i="45"/>
  <c r="AH5" i="45"/>
  <c r="AI5" i="45"/>
  <c r="AJ5" i="45"/>
  <c r="AK5" i="45"/>
  <c r="AL5" i="45"/>
  <c r="AM5" i="45"/>
  <c r="AN5" i="45"/>
  <c r="AO5" i="45"/>
  <c r="AP5" i="45"/>
  <c r="AQ5" i="45"/>
  <c r="AR5" i="45"/>
  <c r="AS5" i="45"/>
  <c r="AT5" i="45"/>
  <c r="AU5" i="45"/>
  <c r="AV5" i="45"/>
  <c r="AW5" i="45"/>
  <c r="AX5" i="45"/>
  <c r="AY5" i="45"/>
  <c r="AZ5" i="45"/>
  <c r="AH6" i="45"/>
  <c r="AI6" i="45"/>
  <c r="AJ6" i="45"/>
  <c r="AK6" i="45"/>
  <c r="AL6" i="45"/>
  <c r="AM6" i="45"/>
  <c r="AN6" i="45"/>
  <c r="AO6" i="45"/>
  <c r="AP6" i="45"/>
  <c r="AQ6" i="45"/>
  <c r="AR6" i="45"/>
  <c r="AS6" i="45"/>
  <c r="AT6" i="45"/>
  <c r="AU6" i="45"/>
  <c r="AV6" i="45"/>
  <c r="AW6" i="45"/>
  <c r="AX6" i="45"/>
  <c r="AY6" i="45"/>
  <c r="AZ6" i="45"/>
  <c r="AH7" i="45"/>
  <c r="AI7" i="45"/>
  <c r="AJ7" i="45"/>
  <c r="AK7" i="45"/>
  <c r="AL7" i="45"/>
  <c r="AM7" i="45"/>
  <c r="AN7" i="45"/>
  <c r="AO7" i="45"/>
  <c r="AP7" i="45"/>
  <c r="AQ7" i="45"/>
  <c r="AR7" i="45"/>
  <c r="AS7" i="45"/>
  <c r="AT7" i="45"/>
  <c r="AU7" i="45"/>
  <c r="AV7" i="45"/>
  <c r="AW7" i="45"/>
  <c r="AX7" i="45"/>
  <c r="AY7" i="45"/>
  <c r="AZ7" i="45"/>
  <c r="AH8" i="45"/>
  <c r="AI8" i="45"/>
  <c r="AJ8" i="45"/>
  <c r="AK8" i="45"/>
  <c r="AL8" i="45"/>
  <c r="AM8" i="45"/>
  <c r="AN8" i="45"/>
  <c r="AO8" i="45"/>
  <c r="AP8" i="45"/>
  <c r="AQ8" i="45"/>
  <c r="AR8" i="45"/>
  <c r="AS8" i="45"/>
  <c r="AT8" i="45"/>
  <c r="AU8" i="45"/>
  <c r="AV8" i="45"/>
  <c r="AW8" i="45"/>
  <c r="AX8" i="45"/>
  <c r="AY8" i="45"/>
  <c r="AZ8" i="45"/>
  <c r="AH9" i="45"/>
  <c r="AI9" i="45"/>
  <c r="AJ9" i="45"/>
  <c r="AK9" i="45"/>
  <c r="AL9" i="45"/>
  <c r="AM9" i="45"/>
  <c r="AN9" i="45"/>
  <c r="AO9" i="45"/>
  <c r="AP9" i="45"/>
  <c r="AQ9" i="45"/>
  <c r="AR9" i="45"/>
  <c r="AS9" i="45"/>
  <c r="AT9" i="45"/>
  <c r="AU9" i="45"/>
  <c r="AV9" i="45"/>
  <c r="AW9" i="45"/>
  <c r="AX9" i="45"/>
  <c r="AY9" i="45"/>
  <c r="AZ9" i="45"/>
  <c r="AH10" i="45"/>
  <c r="AI10" i="45"/>
  <c r="AJ10" i="45"/>
  <c r="AK10" i="45"/>
  <c r="AL10" i="45"/>
  <c r="AM10" i="45"/>
  <c r="AN10" i="45"/>
  <c r="AO10" i="45"/>
  <c r="AP10" i="45"/>
  <c r="AQ10" i="45"/>
  <c r="AR10" i="45"/>
  <c r="AS10" i="45"/>
  <c r="AT10" i="45"/>
  <c r="AU10" i="45"/>
  <c r="AV10" i="45"/>
  <c r="AW10" i="45"/>
  <c r="AX10" i="45"/>
  <c r="AY10" i="45"/>
  <c r="AZ10" i="45"/>
  <c r="AH11" i="45"/>
  <c r="AI11" i="45"/>
  <c r="AJ11" i="45"/>
  <c r="AK11" i="45"/>
  <c r="AL11" i="45"/>
  <c r="AM11" i="45"/>
  <c r="AN11" i="45"/>
  <c r="AO11" i="45"/>
  <c r="AP11" i="45"/>
  <c r="AQ11" i="45"/>
  <c r="AR11" i="45"/>
  <c r="AS11" i="45"/>
  <c r="AT11" i="45"/>
  <c r="AU11" i="45"/>
  <c r="AV11" i="45"/>
  <c r="AW11" i="45"/>
  <c r="AX11" i="45"/>
  <c r="AY11" i="45"/>
  <c r="AZ11" i="45"/>
  <c r="B4" i="45"/>
  <c r="B6" i="45" s="1"/>
  <c r="C6" i="45" s="1"/>
  <c r="B5" i="45"/>
  <c r="C5" i="45" s="1"/>
  <c r="C68" i="9"/>
  <c r="B11" i="45" l="1"/>
  <c r="C11" i="45" s="1"/>
  <c r="C4" i="45"/>
  <c r="B8" i="45"/>
  <c r="C8" i="45" s="1"/>
  <c r="B10" i="45"/>
  <c r="C10" i="45" s="1"/>
  <c r="B9" i="45"/>
  <c r="C9" i="45" s="1"/>
  <c r="B3" i="45"/>
  <c r="C3" i="45" s="1"/>
  <c r="B7" i="45"/>
  <c r="C7" i="45" s="1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B5" i="6"/>
  <c r="C8" i="6"/>
  <c r="C12" i="6" s="1"/>
  <c r="D8" i="6"/>
  <c r="D12" i="6" s="1"/>
  <c r="E8" i="6"/>
  <c r="E12" i="6" s="1"/>
  <c r="F8" i="6"/>
  <c r="F12" i="6" s="1"/>
  <c r="G8" i="6"/>
  <c r="G12" i="6" s="1"/>
  <c r="H8" i="6"/>
  <c r="H12" i="6" s="1"/>
  <c r="I8" i="6"/>
  <c r="I12" i="6" s="1"/>
  <c r="J8" i="6"/>
  <c r="J12" i="6" s="1"/>
  <c r="K8" i="6"/>
  <c r="K12" i="6" s="1"/>
  <c r="L8" i="6"/>
  <c r="L12" i="6" s="1"/>
  <c r="M8" i="6"/>
  <c r="M12" i="6" s="1"/>
  <c r="N8" i="6"/>
  <c r="N12" i="6" s="1"/>
  <c r="O8" i="6"/>
  <c r="O12" i="6" s="1"/>
  <c r="P8" i="6"/>
  <c r="P12" i="6" s="1"/>
  <c r="Q8" i="6"/>
  <c r="Q12" i="6" s="1"/>
  <c r="R8" i="6"/>
  <c r="R12" i="6" s="1"/>
  <c r="S8" i="6"/>
  <c r="S12" i="6" s="1"/>
  <c r="T8" i="6"/>
  <c r="T12" i="6" s="1"/>
  <c r="U8" i="6"/>
  <c r="U12" i="6" s="1"/>
  <c r="V8" i="6"/>
  <c r="V12" i="6" s="1"/>
  <c r="W8" i="6"/>
  <c r="W12" i="6" s="1"/>
  <c r="X8" i="6"/>
  <c r="X12" i="6" s="1"/>
  <c r="Y8" i="6"/>
  <c r="Y12" i="6" s="1"/>
  <c r="Z8" i="6"/>
  <c r="Z12" i="6" s="1"/>
  <c r="AA8" i="6"/>
  <c r="AA12" i="6" s="1"/>
  <c r="AB8" i="6"/>
  <c r="AB12" i="6" s="1"/>
  <c r="AC8" i="6"/>
  <c r="AC12" i="6" s="1"/>
  <c r="AD8" i="6"/>
  <c r="AD12" i="6" s="1"/>
  <c r="B8" i="6"/>
  <c r="B12" i="6" s="1"/>
  <c r="AE8" i="6" l="1"/>
  <c r="AE12" i="6" s="1"/>
  <c r="C16" i="6"/>
  <c r="AF8" i="6"/>
  <c r="C4" i="6"/>
  <c r="D4" i="6"/>
  <c r="D16" i="6" s="1"/>
  <c r="B7" i="39" s="1"/>
  <c r="E4" i="6"/>
  <c r="E16" i="6" s="1"/>
  <c r="C7" i="39" s="1"/>
  <c r="F4" i="6"/>
  <c r="F16" i="6" s="1"/>
  <c r="D7" i="39" s="1"/>
  <c r="G4" i="6"/>
  <c r="G16" i="6" s="1"/>
  <c r="E7" i="39" s="1"/>
  <c r="H4" i="6"/>
  <c r="H16" i="6" s="1"/>
  <c r="F7" i="39" s="1"/>
  <c r="I4" i="6"/>
  <c r="I16" i="6" s="1"/>
  <c r="G7" i="39" s="1"/>
  <c r="J4" i="6"/>
  <c r="J16" i="6" s="1"/>
  <c r="H7" i="39" s="1"/>
  <c r="K4" i="6"/>
  <c r="K16" i="6" s="1"/>
  <c r="I7" i="39" s="1"/>
  <c r="L4" i="6"/>
  <c r="L16" i="6" s="1"/>
  <c r="J7" i="39" s="1"/>
  <c r="M4" i="6"/>
  <c r="M16" i="6" s="1"/>
  <c r="K7" i="39" s="1"/>
  <c r="N4" i="6"/>
  <c r="N16" i="6" s="1"/>
  <c r="L7" i="39" s="1"/>
  <c r="O4" i="6"/>
  <c r="O16" i="6" s="1"/>
  <c r="M7" i="39" s="1"/>
  <c r="P4" i="6"/>
  <c r="P16" i="6" s="1"/>
  <c r="N7" i="39" s="1"/>
  <c r="Q4" i="6"/>
  <c r="Q16" i="6" s="1"/>
  <c r="O7" i="39" s="1"/>
  <c r="R4" i="6"/>
  <c r="R16" i="6" s="1"/>
  <c r="P7" i="39" s="1"/>
  <c r="S4" i="6"/>
  <c r="S16" i="6" s="1"/>
  <c r="Q7" i="39" s="1"/>
  <c r="T4" i="6"/>
  <c r="T16" i="6" s="1"/>
  <c r="R7" i="39" s="1"/>
  <c r="U4" i="6"/>
  <c r="U16" i="6" s="1"/>
  <c r="S7" i="39" s="1"/>
  <c r="V4" i="6"/>
  <c r="V16" i="6" s="1"/>
  <c r="T7" i="39" s="1"/>
  <c r="W4" i="6"/>
  <c r="W16" i="6" s="1"/>
  <c r="U7" i="39" s="1"/>
  <c r="X4" i="6"/>
  <c r="X16" i="6" s="1"/>
  <c r="V7" i="39" s="1"/>
  <c r="Y4" i="6"/>
  <c r="Y16" i="6" s="1"/>
  <c r="W7" i="39" s="1"/>
  <c r="Z4" i="6"/>
  <c r="Z16" i="6" s="1"/>
  <c r="X7" i="39" s="1"/>
  <c r="AA4" i="6"/>
  <c r="AA16" i="6" s="1"/>
  <c r="Y7" i="39" s="1"/>
  <c r="AB4" i="6"/>
  <c r="AB16" i="6" s="1"/>
  <c r="Z7" i="39" s="1"/>
  <c r="AC4" i="6"/>
  <c r="AC16" i="6" s="1"/>
  <c r="AA7" i="39" s="1"/>
  <c r="AD4" i="6"/>
  <c r="AD16" i="6" s="1"/>
  <c r="AB7" i="39" s="1"/>
  <c r="AE4" i="6"/>
  <c r="AF4" i="6"/>
  <c r="AG4" i="6"/>
  <c r="B4" i="6"/>
  <c r="B16" i="6" s="1"/>
  <c r="B7" i="38" s="1"/>
  <c r="AD9" i="6" l="1"/>
  <c r="AE16" i="6"/>
  <c r="AC7" i="39" s="1"/>
  <c r="AG8" i="6"/>
  <c r="AG12" i="6" s="1"/>
  <c r="AG16" i="6" s="1"/>
  <c r="AE7" i="39" s="1"/>
  <c r="AF12" i="6"/>
  <c r="AF16" i="6" s="1"/>
  <c r="AD7" i="39" s="1"/>
  <c r="AD13" i="6" l="1"/>
  <c r="AD17" i="6" s="1"/>
  <c r="AB10" i="39" s="1"/>
  <c r="AE9" i="6"/>
  <c r="AE13" i="6" l="1"/>
  <c r="AE17" i="6" s="1"/>
  <c r="AC10" i="39" s="1"/>
  <c r="AF9" i="6"/>
  <c r="G29" i="6"/>
  <c r="F29" i="6"/>
  <c r="E29" i="6"/>
  <c r="D29" i="6"/>
  <c r="B29" i="6"/>
  <c r="G28" i="6"/>
  <c r="F28" i="6"/>
  <c r="E28" i="6"/>
  <c r="D28" i="6"/>
  <c r="C28" i="6"/>
  <c r="G27" i="6"/>
  <c r="F27" i="6"/>
  <c r="E27" i="6"/>
  <c r="D27" i="6"/>
  <c r="M32" i="6" s="1"/>
  <c r="C27" i="6"/>
  <c r="AG9" i="6" l="1"/>
  <c r="AG13" i="6" s="1"/>
  <c r="AG17" i="6" s="1"/>
  <c r="AE10" i="39" s="1"/>
  <c r="AF13" i="6"/>
  <c r="AF17" i="6" s="1"/>
  <c r="AD10" i="39" s="1"/>
  <c r="U32" i="6"/>
  <c r="AE32" i="6"/>
  <c r="E33" i="6"/>
  <c r="G33" i="6"/>
  <c r="E32" i="6"/>
  <c r="B32" i="6"/>
  <c r="AE33" i="6"/>
  <c r="AA33" i="6"/>
  <c r="W33" i="6"/>
  <c r="S33" i="6"/>
  <c r="O33" i="6"/>
  <c r="AG33" i="6"/>
  <c r="AC33" i="6"/>
  <c r="Y33" i="6"/>
  <c r="U33" i="6"/>
  <c r="Q33" i="6"/>
  <c r="AG34" i="6"/>
  <c r="AC34" i="6"/>
  <c r="Y34" i="6"/>
  <c r="U34" i="6"/>
  <c r="Q34" i="6"/>
  <c r="AF34" i="6"/>
  <c r="AB34" i="6"/>
  <c r="X34" i="6"/>
  <c r="T34" i="6"/>
  <c r="P34" i="6"/>
  <c r="L34" i="6"/>
  <c r="H34" i="6"/>
  <c r="D34" i="6"/>
  <c r="AE34" i="6"/>
  <c r="AA34" i="6"/>
  <c r="W34" i="6"/>
  <c r="S34" i="6"/>
  <c r="O34" i="6"/>
  <c r="AD34" i="6"/>
  <c r="Z34" i="6"/>
  <c r="V34" i="6"/>
  <c r="R34" i="6"/>
  <c r="N34" i="6"/>
  <c r="J34" i="6"/>
  <c r="F34" i="6"/>
  <c r="L32" i="6"/>
  <c r="B33" i="6"/>
  <c r="G32" i="6"/>
  <c r="O32" i="6"/>
  <c r="W32" i="6"/>
  <c r="AF32" i="6"/>
  <c r="AB32" i="6"/>
  <c r="X32" i="6"/>
  <c r="T32" i="6"/>
  <c r="P32" i="6"/>
  <c r="AD32" i="6"/>
  <c r="Z32" i="6"/>
  <c r="V32" i="6"/>
  <c r="R32" i="6"/>
  <c r="N32" i="6"/>
  <c r="L33" i="6"/>
  <c r="H33" i="6"/>
  <c r="D33" i="6"/>
  <c r="K33" i="6"/>
  <c r="J33" i="6"/>
  <c r="F33" i="6"/>
  <c r="I32" i="6"/>
  <c r="Q32" i="6"/>
  <c r="Y32" i="6"/>
  <c r="AG32" i="6"/>
  <c r="I33" i="6"/>
  <c r="AC32" i="6"/>
  <c r="AF33" i="6"/>
  <c r="M34" i="6"/>
  <c r="C32" i="6"/>
  <c r="K32" i="6"/>
  <c r="S32" i="6"/>
  <c r="AA32" i="6"/>
  <c r="C33" i="6"/>
  <c r="M33" i="6"/>
  <c r="F32" i="6"/>
  <c r="J32" i="6"/>
  <c r="N33" i="6"/>
  <c r="R33" i="6"/>
  <c r="V33" i="6"/>
  <c r="Z33" i="6"/>
  <c r="AD33" i="6"/>
  <c r="C34" i="6"/>
  <c r="G34" i="6"/>
  <c r="K34" i="6"/>
  <c r="D32" i="6"/>
  <c r="H32" i="6"/>
  <c r="P33" i="6"/>
  <c r="T33" i="6"/>
  <c r="X33" i="6"/>
  <c r="AB33" i="6"/>
  <c r="E34" i="6"/>
  <c r="I34" i="6"/>
  <c r="J37" i="6" l="1"/>
  <c r="J38" i="6"/>
  <c r="X38" i="6"/>
  <c r="X37" i="6"/>
  <c r="AA38" i="6"/>
  <c r="AA37" i="6"/>
  <c r="I37" i="6"/>
  <c r="I38" i="6"/>
  <c r="K38" i="6"/>
  <c r="K37" i="6"/>
  <c r="M38" i="6"/>
  <c r="M37" i="6"/>
  <c r="R37" i="6"/>
  <c r="R38" i="6"/>
  <c r="AE38" i="6"/>
  <c r="AE37" i="6"/>
  <c r="AF37" i="6"/>
  <c r="AF38" i="6"/>
  <c r="W38" i="6"/>
  <c r="W37" i="6"/>
  <c r="N37" i="6"/>
  <c r="N38" i="6"/>
  <c r="AB38" i="6"/>
  <c r="AB37" i="6"/>
  <c r="E37" i="6"/>
  <c r="E38" i="6"/>
  <c r="G37" i="6"/>
  <c r="G38" i="6"/>
  <c r="V38" i="6"/>
  <c r="V37" i="6"/>
  <c r="D38" i="6"/>
  <c r="D37" i="6"/>
  <c r="Q38" i="6"/>
  <c r="Q37" i="6"/>
  <c r="B34" i="6"/>
  <c r="C38" i="6"/>
  <c r="C37" i="6"/>
  <c r="Z37" i="6"/>
  <c r="Z38" i="6"/>
  <c r="H38" i="6"/>
  <c r="H37" i="6"/>
  <c r="U38" i="6"/>
  <c r="U37" i="6"/>
  <c r="AD38" i="6"/>
  <c r="AD37" i="6"/>
  <c r="L38" i="6"/>
  <c r="L37" i="6"/>
  <c r="Y38" i="6"/>
  <c r="Y37" i="6"/>
  <c r="O37" i="6"/>
  <c r="O38" i="6"/>
  <c r="P37" i="6"/>
  <c r="P38" i="6"/>
  <c r="AC38" i="6"/>
  <c r="AC37" i="6"/>
  <c r="F38" i="6"/>
  <c r="F37" i="6"/>
  <c r="S38" i="6"/>
  <c r="S37" i="6"/>
  <c r="T38" i="6"/>
  <c r="T37" i="6"/>
  <c r="AG38" i="6"/>
  <c r="AG37" i="6"/>
  <c r="B37" i="6" l="1"/>
  <c r="B38" i="6"/>
  <c r="D5" i="45" l="1"/>
  <c r="E5" i="45" s="1"/>
  <c r="F5" i="45" s="1"/>
  <c r="G5" i="45" s="1"/>
  <c r="H5" i="45" s="1"/>
  <c r="I5" i="45" s="1"/>
  <c r="J5" i="45" s="1"/>
  <c r="K5" i="45" s="1"/>
  <c r="L5" i="45" s="1"/>
  <c r="M5" i="45" s="1"/>
  <c r="N5" i="45" s="1"/>
  <c r="O5" i="45" s="1"/>
  <c r="P5" i="45" s="1"/>
  <c r="Q5" i="45" s="1"/>
  <c r="R5" i="45" s="1"/>
  <c r="S5" i="45" s="1"/>
  <c r="T5" i="45" s="1"/>
  <c r="U5" i="45" s="1"/>
  <c r="V5" i="45" s="1"/>
  <c r="W5" i="45" s="1"/>
  <c r="X5" i="45" s="1"/>
  <c r="Y5" i="45" s="1"/>
  <c r="Z5" i="45" s="1"/>
  <c r="AA5" i="45" s="1"/>
  <c r="AB5" i="45" s="1"/>
  <c r="AC5" i="45" s="1"/>
  <c r="AD5" i="45" s="1"/>
  <c r="AE5" i="45" s="1"/>
  <c r="AF5" i="45" s="1"/>
  <c r="AG5" i="45" s="1"/>
  <c r="D3" i="45"/>
  <c r="E3" i="45" s="1"/>
  <c r="F3" i="45" s="1"/>
  <c r="G3" i="45" s="1"/>
  <c r="H3" i="45" s="1"/>
  <c r="I3" i="45" s="1"/>
  <c r="J3" i="45" s="1"/>
  <c r="K3" i="45" s="1"/>
  <c r="L3" i="45" s="1"/>
  <c r="M3" i="45" s="1"/>
  <c r="N3" i="45" s="1"/>
  <c r="O3" i="45" s="1"/>
  <c r="P3" i="45" s="1"/>
  <c r="Q3" i="45" s="1"/>
  <c r="R3" i="45" s="1"/>
  <c r="S3" i="45" s="1"/>
  <c r="T3" i="45" s="1"/>
  <c r="U3" i="45" s="1"/>
  <c r="V3" i="45" s="1"/>
  <c r="W3" i="45" s="1"/>
  <c r="X3" i="45" s="1"/>
  <c r="Y3" i="45" s="1"/>
  <c r="Z3" i="45" s="1"/>
  <c r="AA3" i="45" s="1"/>
  <c r="AB3" i="45" s="1"/>
  <c r="AC3" i="45" s="1"/>
  <c r="AD3" i="45" s="1"/>
  <c r="AE3" i="45" s="1"/>
  <c r="AF3" i="45" s="1"/>
  <c r="AG3" i="45" s="1"/>
  <c r="D4" i="45"/>
  <c r="E4" i="45" s="1"/>
  <c r="F4" i="45" s="1"/>
  <c r="G4" i="45" s="1"/>
  <c r="H4" i="45" s="1"/>
  <c r="I4" i="45" s="1"/>
  <c r="J4" i="45" s="1"/>
  <c r="K4" i="45" s="1"/>
  <c r="L4" i="45" s="1"/>
  <c r="M4" i="45" s="1"/>
  <c r="N4" i="45" s="1"/>
  <c r="O4" i="45" s="1"/>
  <c r="P4" i="45" s="1"/>
  <c r="Q4" i="45" s="1"/>
  <c r="R4" i="45" s="1"/>
  <c r="S4" i="45" s="1"/>
  <c r="T4" i="45" s="1"/>
  <c r="U4" i="45" s="1"/>
  <c r="V4" i="45" s="1"/>
  <c r="W4" i="45" s="1"/>
  <c r="X4" i="45" s="1"/>
  <c r="Y4" i="45" s="1"/>
  <c r="Z4" i="45" s="1"/>
  <c r="AA4" i="45" s="1"/>
  <c r="AB4" i="45" s="1"/>
  <c r="AC4" i="45" s="1"/>
  <c r="AD4" i="45" s="1"/>
  <c r="AE4" i="45" s="1"/>
  <c r="AF4" i="45" s="1"/>
  <c r="AG4" i="45" s="1"/>
  <c r="D11" i="45"/>
  <c r="E11" i="45" s="1"/>
  <c r="F11" i="45" s="1"/>
  <c r="G11" i="45" s="1"/>
  <c r="H11" i="45" s="1"/>
  <c r="I11" i="45" s="1"/>
  <c r="J11" i="45" s="1"/>
  <c r="K11" i="45" s="1"/>
  <c r="L11" i="45" s="1"/>
  <c r="M11" i="45" s="1"/>
  <c r="N11" i="45" s="1"/>
  <c r="O11" i="45" s="1"/>
  <c r="P11" i="45" s="1"/>
  <c r="Q11" i="45" s="1"/>
  <c r="R11" i="45" s="1"/>
  <c r="S11" i="45" s="1"/>
  <c r="T11" i="45" s="1"/>
  <c r="U11" i="45" s="1"/>
  <c r="V11" i="45" s="1"/>
  <c r="W11" i="45" s="1"/>
  <c r="X11" i="45" s="1"/>
  <c r="Y11" i="45" s="1"/>
  <c r="Z11" i="45" s="1"/>
  <c r="AA11" i="45" s="1"/>
  <c r="AB11" i="45" s="1"/>
  <c r="AC11" i="45" s="1"/>
  <c r="AD11" i="45" s="1"/>
  <c r="AE11" i="45" s="1"/>
  <c r="AF11" i="45" s="1"/>
  <c r="AG11" i="45" s="1"/>
  <c r="D10" i="45"/>
  <c r="E10" i="45" s="1"/>
  <c r="F10" i="45" s="1"/>
  <c r="G10" i="45" s="1"/>
  <c r="H10" i="45" s="1"/>
  <c r="I10" i="45" s="1"/>
  <c r="J10" i="45" s="1"/>
  <c r="K10" i="45" s="1"/>
  <c r="L10" i="45" s="1"/>
  <c r="M10" i="45" s="1"/>
  <c r="N10" i="45" s="1"/>
  <c r="O10" i="45" s="1"/>
  <c r="P10" i="45" s="1"/>
  <c r="Q10" i="45" s="1"/>
  <c r="R10" i="45" s="1"/>
  <c r="S10" i="45" s="1"/>
  <c r="T10" i="45" s="1"/>
  <c r="U10" i="45" s="1"/>
  <c r="V10" i="45" s="1"/>
  <c r="W10" i="45" s="1"/>
  <c r="X10" i="45" s="1"/>
  <c r="Y10" i="45" s="1"/>
  <c r="Z10" i="45" s="1"/>
  <c r="AA10" i="45" s="1"/>
  <c r="AB10" i="45" s="1"/>
  <c r="AC10" i="45" s="1"/>
  <c r="AD10" i="45" s="1"/>
  <c r="AE10" i="45" s="1"/>
  <c r="AF10" i="45" s="1"/>
  <c r="AG10" i="45" s="1"/>
  <c r="D6" i="45"/>
  <c r="E6" i="45" s="1"/>
  <c r="F6" i="45" s="1"/>
  <c r="G6" i="45" s="1"/>
  <c r="H6" i="45" s="1"/>
  <c r="I6" i="45" s="1"/>
  <c r="J6" i="45" s="1"/>
  <c r="K6" i="45" s="1"/>
  <c r="L6" i="45" s="1"/>
  <c r="M6" i="45" s="1"/>
  <c r="N6" i="45" s="1"/>
  <c r="O6" i="45" s="1"/>
  <c r="P6" i="45" s="1"/>
  <c r="Q6" i="45" s="1"/>
  <c r="R6" i="45" s="1"/>
  <c r="S6" i="45" s="1"/>
  <c r="T6" i="45" s="1"/>
  <c r="U6" i="45" s="1"/>
  <c r="V6" i="45" s="1"/>
  <c r="W6" i="45" s="1"/>
  <c r="X6" i="45" s="1"/>
  <c r="Y6" i="45" s="1"/>
  <c r="Z6" i="45" s="1"/>
  <c r="AA6" i="45" s="1"/>
  <c r="AB6" i="45" s="1"/>
  <c r="AC6" i="45" s="1"/>
  <c r="AD6" i="45" s="1"/>
  <c r="AE6" i="45" s="1"/>
  <c r="AF6" i="45" s="1"/>
  <c r="AG6" i="45" s="1"/>
  <c r="D9" i="45" l="1"/>
  <c r="E9" i="45" s="1"/>
  <c r="F9" i="45" s="1"/>
  <c r="G9" i="45" s="1"/>
  <c r="H9" i="45" s="1"/>
  <c r="I9" i="45" s="1"/>
  <c r="J9" i="45" s="1"/>
  <c r="K9" i="45" s="1"/>
  <c r="L9" i="45" s="1"/>
  <c r="M9" i="45" s="1"/>
  <c r="N9" i="45" s="1"/>
  <c r="O9" i="45" s="1"/>
  <c r="P9" i="45" s="1"/>
  <c r="Q9" i="45" s="1"/>
  <c r="R9" i="45" s="1"/>
  <c r="S9" i="45" s="1"/>
  <c r="T9" i="45" s="1"/>
  <c r="U9" i="45" s="1"/>
  <c r="V9" i="45" s="1"/>
  <c r="W9" i="45" s="1"/>
  <c r="X9" i="45" s="1"/>
  <c r="Y9" i="45" s="1"/>
  <c r="Z9" i="45" s="1"/>
  <c r="AA9" i="45" s="1"/>
  <c r="AB9" i="45" s="1"/>
  <c r="AC9" i="45" s="1"/>
  <c r="AD9" i="45" s="1"/>
  <c r="AE9" i="45" s="1"/>
  <c r="AF9" i="45" s="1"/>
  <c r="AG9" i="45" s="1"/>
  <c r="D8" i="45"/>
  <c r="E8" i="45" s="1"/>
  <c r="F8" i="45" s="1"/>
  <c r="G8" i="45" s="1"/>
  <c r="H8" i="45" s="1"/>
  <c r="I8" i="45" s="1"/>
  <c r="J8" i="45" s="1"/>
  <c r="K8" i="45" s="1"/>
  <c r="L8" i="45" s="1"/>
  <c r="M8" i="45" s="1"/>
  <c r="N8" i="45" s="1"/>
  <c r="O8" i="45" s="1"/>
  <c r="P8" i="45" s="1"/>
  <c r="Q8" i="45" s="1"/>
  <c r="R8" i="45" s="1"/>
  <c r="S8" i="45" s="1"/>
  <c r="T8" i="45" s="1"/>
  <c r="U8" i="45" s="1"/>
  <c r="V8" i="45" s="1"/>
  <c r="W8" i="45" s="1"/>
  <c r="X8" i="45" s="1"/>
  <c r="Y8" i="45" s="1"/>
  <c r="Z8" i="45" s="1"/>
  <c r="AA8" i="45" s="1"/>
  <c r="AB8" i="45" s="1"/>
  <c r="AC8" i="45" s="1"/>
  <c r="AD8" i="45" s="1"/>
  <c r="AE8" i="45" s="1"/>
  <c r="AF8" i="45" s="1"/>
  <c r="AG8" i="45" s="1"/>
  <c r="D7" i="45"/>
  <c r="E7" i="45" s="1"/>
  <c r="F7" i="45" s="1"/>
  <c r="G7" i="45" s="1"/>
  <c r="H7" i="45" s="1"/>
  <c r="I7" i="45" s="1"/>
  <c r="J7" i="45" s="1"/>
  <c r="K7" i="45" s="1"/>
  <c r="L7" i="45" s="1"/>
  <c r="M7" i="45" s="1"/>
  <c r="N7" i="45" s="1"/>
  <c r="O7" i="45" s="1"/>
  <c r="P7" i="45" s="1"/>
  <c r="Q7" i="45" s="1"/>
  <c r="R7" i="45" s="1"/>
  <c r="S7" i="45" s="1"/>
  <c r="T7" i="45" s="1"/>
  <c r="U7" i="45" s="1"/>
  <c r="V7" i="45" s="1"/>
  <c r="W7" i="45" s="1"/>
  <c r="X7" i="45" s="1"/>
  <c r="Y7" i="45" s="1"/>
  <c r="Z7" i="45" s="1"/>
  <c r="AA7" i="45" s="1"/>
  <c r="AB7" i="45" s="1"/>
  <c r="AC7" i="45" s="1"/>
  <c r="AD7" i="45" s="1"/>
  <c r="AE7" i="45" s="1"/>
  <c r="AF7" i="45" s="1"/>
  <c r="AG7" i="45" s="1"/>
  <c r="B9" i="6" l="1"/>
  <c r="B13" i="6" s="1"/>
  <c r="B17" i="6" s="1"/>
  <c r="B10" i="38" s="1"/>
  <c r="R9" i="6"/>
  <c r="R13" i="6" s="1"/>
  <c r="R17" i="6" s="1"/>
  <c r="P10" i="39" s="1"/>
  <c r="X9" i="6"/>
  <c r="X13" i="6" s="1"/>
  <c r="X17" i="6" s="1"/>
  <c r="V10" i="39" s="1"/>
  <c r="W9" i="6"/>
  <c r="W13" i="6"/>
  <c r="W17" i="6" s="1"/>
  <c r="U10" i="39" s="1"/>
  <c r="Y9" i="6"/>
  <c r="Y13" i="6" s="1"/>
  <c r="Y17" i="6" s="1"/>
  <c r="W10" i="39" s="1"/>
  <c r="Z9" i="6"/>
  <c r="Z13" i="6" s="1"/>
  <c r="Z17" i="6" s="1"/>
  <c r="X10" i="39" s="1"/>
  <c r="C13" i="6"/>
  <c r="C17" i="6"/>
  <c r="L9" i="6"/>
  <c r="L13" i="6" s="1"/>
  <c r="L17" i="6" s="1"/>
  <c r="J10" i="39" s="1"/>
  <c r="P9" i="6"/>
  <c r="P13" i="6" s="1"/>
  <c r="P17" i="6" s="1"/>
  <c r="N10" i="39" s="1"/>
  <c r="Q9" i="6"/>
  <c r="Q13" i="6" s="1"/>
  <c r="Q17" i="6" s="1"/>
  <c r="O10" i="39" s="1"/>
  <c r="AB9" i="6"/>
  <c r="AB13" i="6" s="1"/>
  <c r="AB17" i="6" s="1"/>
  <c r="Z10" i="39" s="1"/>
  <c r="V9" i="6"/>
  <c r="V13" i="6" s="1"/>
  <c r="V17" i="6" s="1"/>
  <c r="T10" i="39" s="1"/>
  <c r="K9" i="6"/>
  <c r="K13" i="6" s="1"/>
  <c r="K17" i="6" s="1"/>
  <c r="I10" i="39" s="1"/>
  <c r="T9" i="6"/>
  <c r="T13" i="6" s="1"/>
  <c r="T17" i="6" s="1"/>
  <c r="R10" i="39" s="1"/>
  <c r="G9" i="6"/>
  <c r="G13" i="6" s="1"/>
  <c r="G17" i="6" s="1"/>
  <c r="E10" i="39" s="1"/>
  <c r="D9" i="6"/>
  <c r="D13" i="6" s="1"/>
  <c r="D17" i="6" s="1"/>
  <c r="B10" i="39" s="1"/>
  <c r="H9" i="6"/>
  <c r="H13" i="6" s="1"/>
  <c r="H17" i="6" s="1"/>
  <c r="F10" i="39" s="1"/>
  <c r="I9" i="6"/>
  <c r="I13" i="6" s="1"/>
  <c r="I17" i="6" s="1"/>
  <c r="G10" i="39" s="1"/>
  <c r="J9" i="6"/>
  <c r="J13" i="6" s="1"/>
  <c r="J17" i="6" s="1"/>
  <c r="H10" i="39" s="1"/>
  <c r="S9" i="6"/>
  <c r="S13" i="6" s="1"/>
  <c r="S17" i="6" s="1"/>
  <c r="Q10" i="39" s="1"/>
  <c r="AA9" i="6"/>
  <c r="AA13" i="6" s="1"/>
  <c r="AA17" i="6" s="1"/>
  <c r="Y10" i="39" s="1"/>
  <c r="AC9" i="6"/>
  <c r="AC13" i="6" s="1"/>
  <c r="AC17" i="6" s="1"/>
  <c r="AA10" i="39" s="1"/>
  <c r="U9" i="6"/>
  <c r="U13" i="6" s="1"/>
  <c r="U17" i="6" s="1"/>
  <c r="S10" i="39" s="1"/>
  <c r="M9" i="6"/>
  <c r="M13" i="6" s="1"/>
  <c r="M17" i="6" s="1"/>
  <c r="K10" i="39" s="1"/>
  <c r="E9" i="6"/>
  <c r="E13" i="6" s="1"/>
  <c r="E17" i="6" s="1"/>
  <c r="C10" i="39" s="1"/>
  <c r="F9" i="6"/>
  <c r="F13" i="6" s="1"/>
  <c r="F17" i="6" s="1"/>
  <c r="D10" i="39" s="1"/>
  <c r="N9" i="6"/>
  <c r="N13" i="6" s="1"/>
  <c r="N17" i="6" s="1"/>
  <c r="L10" i="39" s="1"/>
  <c r="O9" i="6"/>
  <c r="O13" i="6" s="1"/>
  <c r="O17" i="6" s="1"/>
  <c r="M10" i="39" s="1"/>
  <c r="B3" i="38" l="1"/>
  <c r="C11" i="38"/>
  <c r="B5" i="38"/>
  <c r="B4" i="38"/>
  <c r="C9" i="38"/>
  <c r="B8" i="38"/>
  <c r="B11" i="38"/>
  <c r="C6" i="38"/>
  <c r="C5" i="38"/>
  <c r="C4" i="38"/>
  <c r="C8" i="38"/>
  <c r="B6" i="38"/>
  <c r="B9" i="38"/>
  <c r="S4" i="38"/>
  <c r="Q4" i="39" s="1"/>
  <c r="Q4" i="38"/>
  <c r="O4" i="39" s="1"/>
  <c r="AD8" i="38"/>
  <c r="AB8" i="39" s="1"/>
  <c r="AF11" i="38"/>
  <c r="AD11" i="39" s="1"/>
  <c r="X6" i="38"/>
  <c r="V6" i="39" s="1"/>
  <c r="L11" i="38"/>
  <c r="J11" i="39" s="1"/>
  <c r="F5" i="38"/>
  <c r="D5" i="39" s="1"/>
  <c r="P8" i="38"/>
  <c r="N8" i="39" s="1"/>
  <c r="K3" i="38"/>
  <c r="I3" i="39" s="1"/>
  <c r="T8" i="38"/>
  <c r="R8" i="39" s="1"/>
  <c r="X9" i="38"/>
  <c r="V9" i="39" s="1"/>
  <c r="V8" i="38"/>
  <c r="T8" i="39" s="1"/>
  <c r="J11" i="38"/>
  <c r="H11" i="39" s="1"/>
  <c r="F8" i="38"/>
  <c r="D8" i="39" s="1"/>
  <c r="E11" i="38"/>
  <c r="C11" i="39" s="1"/>
  <c r="P9" i="38"/>
  <c r="N9" i="39" s="1"/>
  <c r="K4" i="38"/>
  <c r="I4" i="39" s="1"/>
  <c r="N8" i="38"/>
  <c r="L8" i="39" s="1"/>
  <c r="I3" i="38"/>
  <c r="G3" i="39" s="1"/>
  <c r="O5" i="38"/>
  <c r="M5" i="39" s="1"/>
  <c r="M8" i="38"/>
  <c r="K8" i="39" s="1"/>
  <c r="H3" i="38"/>
  <c r="F3" i="39" s="1"/>
  <c r="H6" i="38"/>
  <c r="F6" i="39" s="1"/>
  <c r="AD11" i="38"/>
  <c r="AB11" i="39" s="1"/>
  <c r="AA8" i="38"/>
  <c r="Y8" i="39" s="1"/>
  <c r="AF5" i="38"/>
  <c r="AD5" i="39" s="1"/>
  <c r="AD3" i="38"/>
  <c r="AB3" i="39" s="1"/>
  <c r="D11" i="38"/>
  <c r="B11" i="39" s="1"/>
  <c r="AE6" i="38"/>
  <c r="AC6" i="39" s="1"/>
  <c r="AC4" i="38"/>
  <c r="AA4" i="39" s="1"/>
  <c r="I9" i="38"/>
  <c r="G9" i="39" s="1"/>
  <c r="F6" i="38"/>
  <c r="D6" i="39" s="1"/>
  <c r="D4" i="38"/>
  <c r="B4" i="39" s="1"/>
  <c r="O11" i="38"/>
  <c r="M11" i="39" s="1"/>
  <c r="L8" i="38"/>
  <c r="J8" i="39" s="1"/>
  <c r="I5" i="38"/>
  <c r="G5" i="39" s="1"/>
  <c r="G3" i="38"/>
  <c r="E3" i="39" s="1"/>
  <c r="S6" i="38"/>
  <c r="Q6" i="39" s="1"/>
  <c r="AG11" i="38"/>
  <c r="AE11" i="39" s="1"/>
  <c r="X3" i="38"/>
  <c r="V3" i="39" s="1"/>
  <c r="F3" i="38"/>
  <c r="D3" i="39" s="1"/>
  <c r="Q5" i="38"/>
  <c r="O5" i="39" s="1"/>
  <c r="T6" i="38"/>
  <c r="R6" i="39" s="1"/>
  <c r="F9" i="38"/>
  <c r="D9" i="39" s="1"/>
  <c r="AE8" i="38"/>
  <c r="AC8" i="39" s="1"/>
  <c r="Z3" i="38"/>
  <c r="X3" i="39" s="1"/>
  <c r="AB6" i="38"/>
  <c r="Z6" i="39" s="1"/>
  <c r="N4" i="38"/>
  <c r="L4" i="39" s="1"/>
  <c r="AA6" i="38"/>
  <c r="Y6" i="39" s="1"/>
  <c r="AC11" i="38"/>
  <c r="AA11" i="39" s="1"/>
  <c r="W5" i="38"/>
  <c r="U5" i="39" s="1"/>
  <c r="V11" i="38"/>
  <c r="T11" i="39" s="1"/>
  <c r="S8" i="38"/>
  <c r="Q8" i="39" s="1"/>
  <c r="X5" i="38"/>
  <c r="V5" i="39" s="1"/>
  <c r="V3" i="38"/>
  <c r="T3" i="39" s="1"/>
  <c r="Z9" i="38"/>
  <c r="X9" i="39" s="1"/>
  <c r="W6" i="38"/>
  <c r="U6" i="39" s="1"/>
  <c r="U4" i="38"/>
  <c r="S4" i="39" s="1"/>
  <c r="AA11" i="38"/>
  <c r="Y11" i="39" s="1"/>
  <c r="AF8" i="38"/>
  <c r="AD8" i="39" s="1"/>
  <c r="AC5" i="38"/>
  <c r="AA5" i="39" s="1"/>
  <c r="AA3" i="38"/>
  <c r="Y3" i="39" s="1"/>
  <c r="G11" i="38"/>
  <c r="E11" i="39" s="1"/>
  <c r="D8" i="38"/>
  <c r="B8" i="39" s="1"/>
  <c r="AF4" i="38"/>
  <c r="AD4" i="39" s="1"/>
  <c r="H9" i="38"/>
  <c r="F9" i="39" s="1"/>
  <c r="AA4" i="38"/>
  <c r="Y4" i="39" s="1"/>
  <c r="P6" i="38"/>
  <c r="N6" i="39" s="1"/>
  <c r="AA9" i="38"/>
  <c r="Y9" i="39" s="1"/>
  <c r="D9" i="38"/>
  <c r="B9" i="39" s="1"/>
  <c r="G4" i="38"/>
  <c r="E4" i="39" s="1"/>
  <c r="G6" i="38"/>
  <c r="E6" i="39" s="1"/>
  <c r="Q9" i="38"/>
  <c r="O9" i="39" s="1"/>
  <c r="L4" i="38"/>
  <c r="J4" i="39" s="1"/>
  <c r="R6" i="38"/>
  <c r="P6" i="39" s="1"/>
  <c r="W8" i="38"/>
  <c r="U8" i="39" s="1"/>
  <c r="I11" i="38"/>
  <c r="G11" i="39" s="1"/>
  <c r="R5" i="38"/>
  <c r="P5" i="39" s="1"/>
  <c r="AC6" i="38"/>
  <c r="AA6" i="39" s="1"/>
  <c r="Y3" i="38"/>
  <c r="W3" i="39" s="1"/>
  <c r="Z5" i="38"/>
  <c r="X5" i="39" s="1"/>
  <c r="H5" i="38"/>
  <c r="F5" i="39" s="1"/>
  <c r="I8" i="38"/>
  <c r="G8" i="39" s="1"/>
  <c r="K11" i="38"/>
  <c r="I11" i="39" s="1"/>
  <c r="M5" i="38"/>
  <c r="K5" i="39" s="1"/>
  <c r="W11" i="38"/>
  <c r="U11" i="39" s="1"/>
  <c r="O3" i="38"/>
  <c r="M3" i="39" s="1"/>
  <c r="D5" i="38"/>
  <c r="B5" i="39" s="1"/>
  <c r="R3" i="38"/>
  <c r="P3" i="39" s="1"/>
  <c r="G8" i="38"/>
  <c r="E8" i="39" s="1"/>
  <c r="V9" i="38"/>
  <c r="T9" i="39" s="1"/>
  <c r="AF3" i="38"/>
  <c r="AD3" i="39" s="1"/>
  <c r="AD4" i="38"/>
  <c r="AB4" i="39" s="1"/>
  <c r="M6" i="38"/>
  <c r="K6" i="39" s="1"/>
  <c r="Q11" i="38"/>
  <c r="O11" i="39" s="1"/>
  <c r="K5" i="38"/>
  <c r="I5" i="39" s="1"/>
  <c r="U11" i="38"/>
  <c r="S11" i="39" s="1"/>
  <c r="P11" i="38"/>
  <c r="N11" i="39" s="1"/>
  <c r="J5" i="38"/>
  <c r="H5" i="39" s="1"/>
  <c r="K9" i="38"/>
  <c r="I9" i="39" s="1"/>
  <c r="F4" i="38"/>
  <c r="D4" i="39" s="1"/>
  <c r="AB9" i="38"/>
  <c r="Z9" i="39" s="1"/>
  <c r="AG6" i="38"/>
  <c r="AE6" i="39" s="1"/>
  <c r="AE4" i="38"/>
  <c r="AC4" i="39" s="1"/>
  <c r="AG8" i="38"/>
  <c r="AE8" i="39" s="1"/>
  <c r="AD5" i="38"/>
  <c r="AB5" i="39" s="1"/>
  <c r="AB3" i="38"/>
  <c r="Z3" i="39" s="1"/>
  <c r="H8" i="38"/>
  <c r="F8" i="39" s="1"/>
  <c r="E5" i="38"/>
  <c r="C5" i="39" s="1"/>
  <c r="M9" i="38"/>
  <c r="K9" i="39" s="1"/>
  <c r="J6" i="38"/>
  <c r="H6" i="39" s="1"/>
  <c r="H4" i="38"/>
  <c r="F4" i="39" s="1"/>
  <c r="S5" i="38"/>
  <c r="Q5" i="39" s="1"/>
  <c r="AE5" i="38"/>
  <c r="AC5" i="39" s="1"/>
  <c r="E8" i="38"/>
  <c r="C8" i="39" s="1"/>
  <c r="F11" i="38"/>
  <c r="D11" i="39" s="1"/>
  <c r="E4" i="38"/>
  <c r="C4" i="39" s="1"/>
  <c r="T5" i="38"/>
  <c r="R5" i="39" s="1"/>
  <c r="E6" i="38"/>
  <c r="C6" i="39" s="1"/>
  <c r="P3" i="38"/>
  <c r="N3" i="39" s="1"/>
  <c r="AC3" i="38"/>
  <c r="AA3" i="39" s="1"/>
  <c r="AB5" i="38"/>
  <c r="Z5" i="39" s="1"/>
  <c r="AE9" i="38"/>
  <c r="AC9" i="39" s="1"/>
  <c r="Z4" i="38"/>
  <c r="X4" i="39" s="1"/>
  <c r="S9" i="38"/>
  <c r="Q9" i="39" s="1"/>
  <c r="AD9" i="38"/>
  <c r="AB9" i="39" s="1"/>
  <c r="Y4" i="38"/>
  <c r="W4" i="39" s="1"/>
  <c r="Z8" i="38"/>
  <c r="X8" i="39" s="1"/>
  <c r="U3" i="38"/>
  <c r="S3" i="39" s="1"/>
  <c r="T9" i="38"/>
  <c r="R9" i="39" s="1"/>
  <c r="Y6" i="38"/>
  <c r="W6" i="39" s="1"/>
  <c r="W4" i="38"/>
  <c r="U4" i="39" s="1"/>
  <c r="AB11" i="38"/>
  <c r="Z11" i="39" s="1"/>
  <c r="Y8" i="38"/>
  <c r="W8" i="39" s="1"/>
  <c r="V5" i="38"/>
  <c r="T5" i="39" s="1"/>
  <c r="T3" i="38"/>
  <c r="R3" i="39" s="1"/>
  <c r="AG9" i="38"/>
  <c r="AE9" i="39" s="1"/>
  <c r="AD6" i="38"/>
  <c r="AB6" i="39" s="1"/>
  <c r="AB4" i="38"/>
  <c r="Z4" i="39" s="1"/>
  <c r="E9" i="38"/>
  <c r="C9" i="39" s="1"/>
  <c r="AG5" i="38"/>
  <c r="AE5" i="39" s="1"/>
  <c r="AE3" i="38"/>
  <c r="AC3" i="39" s="1"/>
  <c r="Z11" i="38"/>
  <c r="X11" i="39" s="1"/>
  <c r="X11" i="38"/>
  <c r="V11" i="39" s="1"/>
  <c r="AF9" i="38"/>
  <c r="AD9" i="39" s="1"/>
  <c r="AA5" i="38"/>
  <c r="Y5" i="39" s="1"/>
  <c r="AC8" i="38"/>
  <c r="AA8" i="39" s="1"/>
  <c r="V4" i="38"/>
  <c r="T4" i="39" s="1"/>
  <c r="I6" i="38"/>
  <c r="G6" i="39" s="1"/>
  <c r="J9" i="38"/>
  <c r="H9" i="39" s="1"/>
  <c r="D3" i="38"/>
  <c r="B3" i="39" s="1"/>
  <c r="N6" i="38"/>
  <c r="L6" i="39" s="1"/>
  <c r="U9" i="38"/>
  <c r="S9" i="39" s="1"/>
  <c r="P4" i="38"/>
  <c r="N4" i="39" s="1"/>
  <c r="Y11" i="38"/>
  <c r="W11" i="39" s="1"/>
  <c r="D6" i="38"/>
  <c r="B6" i="39" s="1"/>
  <c r="Q3" i="38"/>
  <c r="O3" i="39" s="1"/>
  <c r="R4" i="38"/>
  <c r="P4" i="39" s="1"/>
  <c r="G9" i="38"/>
  <c r="E9" i="39" s="1"/>
  <c r="AG3" i="38"/>
  <c r="AE3" i="39" s="1"/>
  <c r="AG4" i="38"/>
  <c r="AE4" i="39" s="1"/>
  <c r="U6" i="38"/>
  <c r="S6" i="39" s="1"/>
  <c r="W9" i="38"/>
  <c r="U9" i="39" s="1"/>
  <c r="U8" i="38"/>
  <c r="S8" i="39" s="1"/>
  <c r="Z6" i="38"/>
  <c r="X6" i="39" s="1"/>
  <c r="S3" i="38"/>
  <c r="Q3" i="39" s="1"/>
  <c r="X8" i="38"/>
  <c r="V8" i="39" s="1"/>
  <c r="M4" i="38"/>
  <c r="K4" i="39" s="1"/>
  <c r="R9" i="38"/>
  <c r="P9" i="39" s="1"/>
  <c r="P5" i="38"/>
  <c r="N5" i="39" s="1"/>
  <c r="N11" i="38"/>
  <c r="L11" i="39" s="1"/>
  <c r="M11" i="38"/>
  <c r="K11" i="39" s="1"/>
  <c r="M3" i="38"/>
  <c r="K3" i="39" s="1"/>
  <c r="L6" i="38"/>
  <c r="J6" i="39" s="1"/>
  <c r="O8" i="38"/>
  <c r="M8" i="39" s="1"/>
  <c r="AB8" i="38"/>
  <c r="Z8" i="39" s="1"/>
  <c r="T4" i="38"/>
  <c r="R4" i="39" s="1"/>
  <c r="Y9" i="38"/>
  <c r="W9" i="39" s="1"/>
  <c r="N5" i="38"/>
  <c r="L5" i="39" s="1"/>
  <c r="T11" i="38"/>
  <c r="R11" i="39" s="1"/>
  <c r="Q6" i="38"/>
  <c r="O6" i="39" s="1"/>
  <c r="E3" i="38"/>
  <c r="C3" i="39" s="1"/>
  <c r="I4" i="38"/>
  <c r="G4" i="39" s="1"/>
  <c r="R8" i="38"/>
  <c r="P8" i="39" s="1"/>
  <c r="O9" i="38"/>
  <c r="M9" i="39" s="1"/>
  <c r="R11" i="38"/>
  <c r="P11" i="39" s="1"/>
  <c r="X4" i="38"/>
  <c r="V4" i="39" s="1"/>
  <c r="AC9" i="38"/>
  <c r="AA9" i="39" s="1"/>
  <c r="U5" i="38"/>
  <c r="S5" i="39" s="1"/>
  <c r="S11" i="38"/>
  <c r="Q11" i="39" s="1"/>
  <c r="O6" i="38"/>
  <c r="M6" i="39" s="1"/>
  <c r="N3" i="38"/>
  <c r="L3" i="39" s="1"/>
  <c r="K8" i="38"/>
  <c r="I8" i="39" s="1"/>
  <c r="G5" i="38"/>
  <c r="E5" i="39" s="1"/>
  <c r="K6" i="38"/>
  <c r="I6" i="39" s="1"/>
  <c r="H11" i="38"/>
  <c r="F11" i="39" s="1"/>
  <c r="J3" i="38"/>
  <c r="H3" i="39" s="1"/>
  <c r="AF6" i="38"/>
  <c r="AD6" i="39" s="1"/>
  <c r="W3" i="38"/>
  <c r="U3" i="39" s="1"/>
  <c r="Y5" i="38"/>
  <c r="W5" i="39" s="1"/>
  <c r="AE11" i="38"/>
  <c r="AC11" i="39" s="1"/>
  <c r="V6" i="38"/>
  <c r="T6" i="39" s="1"/>
  <c r="L3" i="38"/>
  <c r="J3" i="39" s="1"/>
  <c r="Q8" i="38"/>
  <c r="O8" i="39" s="1"/>
  <c r="O4" i="38"/>
  <c r="M4" i="39" s="1"/>
  <c r="L9" i="38"/>
  <c r="J9" i="39" s="1"/>
  <c r="J8" i="38"/>
  <c r="H8" i="39" s="1"/>
  <c r="N9" i="38"/>
  <c r="L9" i="39" s="1"/>
  <c r="J4" i="38"/>
  <c r="H4" i="39" s="1"/>
  <c r="L5" i="38"/>
  <c r="J5" i="39" s="1"/>
</calcChain>
</file>

<file path=xl/sharedStrings.xml><?xml version="1.0" encoding="utf-8"?>
<sst xmlns="http://schemas.openxmlformats.org/spreadsheetml/2006/main" count="2423" uniqueCount="1312">
  <si>
    <t>ICpUEfEBE Incremental Cost per Unit Energy for Electrified Building Equipment</t>
  </si>
  <si>
    <t>Sources:</t>
  </si>
  <si>
    <t>Cost of technologies except commerial heat pumps</t>
  </si>
  <si>
    <t>Commercial heating and water heating heat pump costs</t>
  </si>
  <si>
    <t>EIA</t>
  </si>
  <si>
    <t>NREL</t>
  </si>
  <si>
    <t>Updated Buildings Sector Appliance and Equipment Costs and Efficiencies</t>
  </si>
  <si>
    <t>Electrification Futures Study Technology Report Figure Data</t>
  </si>
  <si>
    <t>https://www.eia.gov/analysis/studies/buildings/equipcosts/pdf/full.pdf</t>
  </si>
  <si>
    <t>https://data.nrel.gov/system/files/93/EFS_70485_figure_data.xlsx</t>
  </si>
  <si>
    <t>p. 9, 12, 29, 46, 51, 54, 58, 90, 92, 120, 123</t>
  </si>
  <si>
    <t>Tables 22 and 23</t>
  </si>
  <si>
    <t>GDP Per Capita</t>
  </si>
  <si>
    <t>Commercial building equipment load factors</t>
  </si>
  <si>
    <t>The World Bank</t>
  </si>
  <si>
    <t>"GDP per capita (current US$)</t>
  </si>
  <si>
    <t>Electrification Futures Study: End-Use Electric Technology Cost and Performance Projections through 2050</t>
  </si>
  <si>
    <t>https://data.worldbank.org/indicator/NY.GDP.PCAP.CD</t>
  </si>
  <si>
    <t>https://www.nrel.gov/docs/fy18osti/70485.pdf</t>
  </si>
  <si>
    <t>P.90</t>
  </si>
  <si>
    <t>Residential Cooking Fuel Use and Costs</t>
  </si>
  <si>
    <t>NITI Aayog</t>
  </si>
  <si>
    <t>Residential building equipment stock and average annual energy consumption</t>
  </si>
  <si>
    <t>India Energy Security Scenarios</t>
  </si>
  <si>
    <t>http://indiaenergy.gov.in/iess/docs/IESS_Version3.xlsx</t>
  </si>
  <si>
    <t>AEO 2022, AEO 2023</t>
  </si>
  <si>
    <t>Table XIII.a</t>
  </si>
  <si>
    <t>https://www.eia.gov/outlooks/aeo/tables_side.php</t>
  </si>
  <si>
    <t>Tables 4 and 21</t>
  </si>
  <si>
    <t>Notes:</t>
  </si>
  <si>
    <t>All policy-driven electrification in the EPS is assumed to rely on heat pumps,</t>
  </si>
  <si>
    <t>not electric resistance heating</t>
  </si>
  <si>
    <t>Methodology:</t>
  </si>
  <si>
    <t>For India, there is no fossil fuel use in the heating or other categories, so only the appliance tabs are</t>
  </si>
  <si>
    <t>used here.</t>
  </si>
  <si>
    <t xml:space="preserve">The primary driver of residential appliance energy consumption in India is cooking. We calculate the </t>
  </si>
  <si>
    <t>average energy used by equipment of different types, which allows us to find a $/BTU value. We then estimate</t>
  </si>
  <si>
    <t>the cost of switching to heat pump equipment based on the data from EIA</t>
  </si>
  <si>
    <t xml:space="preserve">and annual energy consumption. </t>
  </si>
  <si>
    <t>For commercial buildings, we use US data with a GDP per capita adjustment for India.</t>
  </si>
  <si>
    <t>US Notes:</t>
  </si>
  <si>
    <t>For commercial buildings, we lack data on annual energy use, but the NREL</t>
  </si>
  <si>
    <t>report provides data on annual heating and water heating utilization rates</t>
  </si>
  <si>
    <t>and the costs are normalized to $/(kBTU/hr) input, so we standardize the costs</t>
  </si>
  <si>
    <t>from EIA and then estimate the cost per BTU shifted using the annual load factors.</t>
  </si>
  <si>
    <t>Data in this variable are reported in $/(BTU/yr) of fuel burned by the equipment</t>
  </si>
  <si>
    <t>that would have been purchased in the absence of the fuel shifting policy (e.g.</t>
  </si>
  <si>
    <t>a natural gas appliance, an oil appliance, etc.), not $/(BTU/yr) of electricity used by</t>
  </si>
  <si>
    <t>the electrified appliance that is purchased instead.  Electricity is used more efficiently</t>
  </si>
  <si>
    <t>than thermal fuels, and this adjustment is made within Vensim.</t>
  </si>
  <si>
    <t xml:space="preserve">For commercial appliances, we use data for water heaters for </t>
  </si>
  <si>
    <t xml:space="preserve">natural gas and oil water heaters following the mapping above. All appliance </t>
  </si>
  <si>
    <t>energy shifting assumes the costs of water heating shifting, which is the dominant</t>
  </si>
  <si>
    <t>energy consumer among all the appliance equipment.</t>
  </si>
  <si>
    <t>For commercial heating, we only have data for natural gas and oil, and assign</t>
  </si>
  <si>
    <t>other fuels based on the above mapping, with biomass mapped to petroleum.</t>
  </si>
  <si>
    <t>2017 to 2012 USD</t>
  </si>
  <si>
    <t>2016 to 2012 USD</t>
  </si>
  <si>
    <t>Ruppees per dollar</t>
  </si>
  <si>
    <t>Residential Gas Fired Furnaces</t>
  </si>
  <si>
    <r>
      <rPr>
        <b/>
        <sz val="11"/>
        <color rgb="FFFFFFFF"/>
        <rFont val="Calibri"/>
        <family val="2"/>
      </rPr>
      <t>DATA</t>
    </r>
  </si>
  <si>
    <r>
      <rPr>
        <b/>
        <sz val="11"/>
        <rFont val="Calibri"/>
        <family val="2"/>
      </rPr>
      <t>Installed Base</t>
    </r>
  </si>
  <si>
    <r>
      <rPr>
        <b/>
        <sz val="11"/>
        <rFont val="Calibri"/>
        <family val="2"/>
      </rPr>
      <t>Current Standard</t>
    </r>
  </si>
  <si>
    <r>
      <rPr>
        <b/>
        <sz val="11"/>
        <rFont val="Calibri"/>
        <family val="2"/>
      </rPr>
      <t>Typical</t>
    </r>
  </si>
  <si>
    <r>
      <rPr>
        <b/>
        <sz val="11"/>
        <rFont val="Calibri"/>
        <family val="2"/>
      </rPr>
      <t xml:space="preserve">ENERGY STAR
</t>
    </r>
    <r>
      <rPr>
        <b/>
        <sz val="11"/>
        <rFont val="Calibri"/>
        <family val="2"/>
      </rPr>
      <t>(South)</t>
    </r>
  </si>
  <si>
    <r>
      <rPr>
        <b/>
        <sz val="11"/>
        <rFont val="Calibri"/>
        <family val="2"/>
      </rPr>
      <t>High</t>
    </r>
  </si>
  <si>
    <r>
      <rPr>
        <b/>
        <sz val="11"/>
        <rFont val="Calibri"/>
        <family val="2"/>
      </rPr>
      <t>Typical Input Capacity (kBtu/h)</t>
    </r>
  </si>
  <si>
    <r>
      <rPr>
        <b/>
        <sz val="11"/>
        <rFont val="Calibri"/>
        <family val="2"/>
      </rPr>
      <t>AFUE (%)</t>
    </r>
  </si>
  <si>
    <r>
      <rPr>
        <b/>
        <sz val="11"/>
        <rFont val="Calibri"/>
        <family val="2"/>
      </rPr>
      <t>Electric Consumption (kWh/yr)*</t>
    </r>
  </si>
  <si>
    <r>
      <rPr>
        <b/>
        <sz val="11"/>
        <rFont val="Calibri"/>
        <family val="2"/>
      </rPr>
      <t>Average Life (yrs)**</t>
    </r>
  </si>
  <si>
    <r>
      <rPr>
        <b/>
        <sz val="11"/>
        <rFont val="Calibri"/>
        <family val="2"/>
      </rPr>
      <t>Retail Equipment Cost (2017$)</t>
    </r>
  </si>
  <si>
    <r>
      <rPr>
        <b/>
        <sz val="11"/>
        <rFont val="Calibri"/>
        <family val="2"/>
      </rPr>
      <t>Total Installed Cost (2017$)</t>
    </r>
  </si>
  <si>
    <r>
      <rPr>
        <b/>
        <sz val="11"/>
        <rFont val="Calibri"/>
        <family val="2"/>
      </rPr>
      <t>Annual Maintenance Cost (2017$)</t>
    </r>
  </si>
  <si>
    <t>Residential Oil Fired Furnaces</t>
  </si>
  <si>
    <r>
      <rPr>
        <b/>
        <sz val="11"/>
        <rFont val="Calibri"/>
        <family val="2"/>
      </rPr>
      <t>ENERGY STAR</t>
    </r>
  </si>
  <si>
    <r>
      <rPr>
        <b/>
        <sz val="11"/>
        <rFont val="Calibri"/>
        <family val="2"/>
      </rPr>
      <t>High      Typical</t>
    </r>
  </si>
  <si>
    <t>Residential Wood Pellet Stoves</t>
  </si>
  <si>
    <r>
      <rPr>
        <b/>
        <sz val="11"/>
        <rFont val="Calibri"/>
        <family val="2"/>
      </rPr>
      <t xml:space="preserve">Installed
</t>
    </r>
    <r>
      <rPr>
        <b/>
        <sz val="11"/>
        <rFont val="Calibri"/>
        <family val="2"/>
      </rPr>
      <t>Base</t>
    </r>
  </si>
  <si>
    <r>
      <rPr>
        <b/>
        <sz val="11"/>
        <rFont val="Calibri"/>
        <family val="2"/>
      </rPr>
      <t>Typical Capacity (kBtu/h)</t>
    </r>
  </si>
  <si>
    <r>
      <rPr>
        <b/>
        <sz val="11"/>
        <rFont val="Calibri"/>
        <family val="2"/>
      </rPr>
      <t>Efficiency (HHV)</t>
    </r>
  </si>
  <si>
    <r>
      <rPr>
        <b/>
        <sz val="11"/>
        <rFont val="Calibri"/>
        <family val="2"/>
      </rPr>
      <t>Annual Electricity Consumption (kWh)</t>
    </r>
  </si>
  <si>
    <r>
      <rPr>
        <b/>
        <sz val="11"/>
        <rFont val="Calibri"/>
        <family val="2"/>
      </rPr>
      <t>Average Life (yrs)</t>
    </r>
  </si>
  <si>
    <t>Residential Air Source Heat Pumps</t>
  </si>
  <si>
    <r>
      <rPr>
        <b/>
        <sz val="11"/>
        <color rgb="FFFFFFFF"/>
        <rFont val="Calibri"/>
        <family val="2"/>
      </rPr>
      <t>2030**</t>
    </r>
  </si>
  <si>
    <r>
      <rPr>
        <b/>
        <sz val="11"/>
        <rFont val="Calibri"/>
        <family val="2"/>
      </rPr>
      <t>SEER (Cooling)*</t>
    </r>
  </si>
  <si>
    <r>
      <rPr>
        <b/>
        <sz val="11"/>
        <rFont val="Calibri"/>
        <family val="2"/>
      </rPr>
      <t>HSPF (Heating)*</t>
    </r>
  </si>
  <si>
    <r>
      <rPr>
        <sz val="11"/>
        <rFont val="Calibri"/>
        <family val="2"/>
      </rPr>
      <t>7 .0</t>
    </r>
  </si>
  <si>
    <r>
      <rPr>
        <b/>
        <sz val="11"/>
        <rFont val="Calibri"/>
        <family val="2"/>
      </rPr>
      <t>Retail Equipment Cost (2017$)*</t>
    </r>
  </si>
  <si>
    <r>
      <rPr>
        <b/>
        <sz val="11"/>
        <rFont val="Calibri"/>
        <family val="2"/>
      </rPr>
      <t>Total Installed Cost (2017$)*</t>
    </r>
  </si>
  <si>
    <t>Residential Gas Water Heater</t>
  </si>
  <si>
    <t xml:space="preserve">Installed Base </t>
  </si>
  <si>
    <t xml:space="preserve">Current Standard </t>
  </si>
  <si>
    <t xml:space="preserve">Typical </t>
  </si>
  <si>
    <t xml:space="preserve">ENERGY STAR </t>
  </si>
  <si>
    <t xml:space="preserve">High </t>
  </si>
  <si>
    <t xml:space="preserve">Typical Capacity (gal) </t>
  </si>
  <si>
    <t xml:space="preserve">Uniform Energy Factor (UEF)* </t>
  </si>
  <si>
    <t xml:space="preserve">Average Life (yrs) </t>
  </si>
  <si>
    <t xml:space="preserve">Retail Equipment Cost (2017$) </t>
  </si>
  <si>
    <t xml:space="preserve">Total Installed Cost (2017$)** </t>
  </si>
  <si>
    <t xml:space="preserve">Annual Maintenance Cost (2017$)*** </t>
  </si>
  <si>
    <t xml:space="preserve">- </t>
  </si>
  <si>
    <t>Residential Oil Water Heater</t>
  </si>
  <si>
    <r>
      <rPr>
        <b/>
        <sz val="11"/>
        <rFont val="Calibri"/>
        <family val="2"/>
      </rPr>
      <t xml:space="preserve">Current
</t>
    </r>
    <r>
      <rPr>
        <b/>
        <sz val="11"/>
        <rFont val="Calibri"/>
        <family val="2"/>
      </rPr>
      <t>Standard</t>
    </r>
  </si>
  <si>
    <r>
      <rPr>
        <b/>
        <sz val="11"/>
        <rFont val="Calibri"/>
        <family val="2"/>
      </rPr>
      <t>Typical Capacity (gal)</t>
    </r>
  </si>
  <si>
    <r>
      <rPr>
        <b/>
        <sz val="11"/>
        <rFont val="Calibri"/>
        <family val="2"/>
      </rPr>
      <t>Uniform Energy Factor (UEF)*</t>
    </r>
  </si>
  <si>
    <t>Residential Heat Pump Water Heater</t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</si>
  <si>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</t>
    </r>
  </si>
  <si>
    <t>Commercial Gas Furnace</t>
  </si>
  <si>
    <r>
      <rPr>
        <b/>
        <sz val="11"/>
        <rFont val="Calibri"/>
        <family val="2"/>
      </rPr>
      <t>Thermal Efficiency (%)*</t>
    </r>
  </si>
  <si>
    <r>
      <rPr>
        <b/>
        <sz val="11"/>
        <rFont val="Calibri"/>
        <family val="2"/>
      </rPr>
      <t>Annual Maintenance Cost (2017$)**</t>
    </r>
  </si>
  <si>
    <t>Commercial Oil Furnace</t>
  </si>
  <si>
    <r>
      <rPr>
        <sz val="10"/>
        <rFont val="Palatino Linotype"/>
        <family val="1"/>
      </rPr>
      <t>* DOE's efficiency metric for commercial furnaces accounts only for flue losses, not jacket losses.</t>
    </r>
  </si>
  <si>
    <t>Commercial Heat Pump</t>
  </si>
  <si>
    <r>
      <rPr>
        <b/>
        <sz val="11"/>
        <color rgb="FFFFFFFF"/>
        <rFont val="Calibri"/>
        <family val="2"/>
      </rPr>
      <t>2020***</t>
    </r>
  </si>
  <si>
    <r>
      <rPr>
        <b/>
        <sz val="11"/>
        <color rgb="FFFFFFFF"/>
        <rFont val="Calibri"/>
        <family val="2"/>
      </rPr>
      <t>2030****</t>
    </r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</si>
  <si>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STAR**</t>
    </r>
  </si>
  <si>
    <r>
      <rPr>
        <b/>
        <sz val="11"/>
        <rFont val="Calibri"/>
        <family val="2"/>
      </rPr>
      <t>Efficiency (EER)*</t>
    </r>
  </si>
  <si>
    <r>
      <rPr>
        <b/>
        <sz val="11"/>
        <rFont val="Calibri"/>
        <family val="2"/>
      </rPr>
      <t>Part Load Efficiency (IEER)</t>
    </r>
  </si>
  <si>
    <r>
      <rPr>
        <sz val="11"/>
        <rFont val="Calibri"/>
        <family val="2"/>
      </rPr>
      <t>-</t>
    </r>
  </si>
  <si>
    <r>
      <rPr>
        <b/>
        <sz val="11"/>
        <rFont val="Calibri"/>
        <family val="2"/>
      </rPr>
      <t>COP (Heating)</t>
    </r>
  </si>
  <si>
    <t>Commercial Gas Water Heater</t>
  </si>
  <si>
    <r>
      <rPr>
        <b/>
        <sz val="11"/>
        <rFont val="Calibri"/>
        <family val="2"/>
      </rPr>
      <t>Typical Storage Capacity (gal)</t>
    </r>
  </si>
  <si>
    <r>
      <rPr>
        <b/>
        <sz val="11"/>
        <rFont val="Calibri"/>
        <family val="2"/>
      </rPr>
      <t>Thermal Efficiency (%)</t>
    </r>
  </si>
  <si>
    <r>
      <rPr>
        <b/>
        <sz val="11"/>
        <rFont val="Calibri"/>
        <family val="2"/>
      </rPr>
      <t>Retail Equipment Cost (2017$)**</t>
    </r>
  </si>
  <si>
    <r>
      <rPr>
        <b/>
        <sz val="11"/>
        <rFont val="Calibri"/>
        <family val="2"/>
      </rPr>
      <t>Total Installed Cost (2017$)**</t>
    </r>
  </si>
  <si>
    <t>Commercial Oil Water Heater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</si>
  <si>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</si>
  <si>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</si>
  <si>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</si>
  <si>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</si>
  <si>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</si>
  <si>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</si>
  <si>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</si>
  <si>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</si>
  <si>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</si>
  <si>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</si>
  <si>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RKI000</t>
  </si>
  <si>
    <t>4. Residential Sector Key Indicators and Consumption</t>
  </si>
  <si>
    <t>Average</t>
  </si>
  <si>
    <t>(quadrillion Btu, unless otherwise noted)</t>
  </si>
  <si>
    <t>Annual</t>
  </si>
  <si>
    <t>Change</t>
  </si>
  <si>
    <t>2019-</t>
  </si>
  <si>
    <t xml:space="preserve"> Key Indicators and Consumption</t>
  </si>
  <si>
    <t>2022–2050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</si>
  <si>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</si>
  <si>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</si>
  <si>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</si>
  <si>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</si>
  <si>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</si>
  <si>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</si>
  <si>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</si>
  <si>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</si>
  <si>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</si>
  <si>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</si>
  <si>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</si>
  <si>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</si>
  <si>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</si>
  <si>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</si>
  <si>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</si>
  <si>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</si>
  <si>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</si>
  <si>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</si>
  <si>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</si>
  <si>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</si>
  <si>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</si>
  <si>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</si>
  <si>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</si>
  <si>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</si>
  <si>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</si>
  <si>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</si>
  <si>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</si>
  <si>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</si>
  <si>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</si>
  <si>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</si>
  <si>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</si>
  <si>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</si>
  <si>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</si>
  <si>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</si>
  <si>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</si>
  <si>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</si>
  <si>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</si>
  <si>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</si>
  <si>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</si>
  <si>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</si>
  <si>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</si>
  <si>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</si>
  <si>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</si>
  <si>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</si>
  <si>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</si>
  <si>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</si>
  <si>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</si>
  <si>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</si>
  <si>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</si>
  <si>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</si>
  <si>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</si>
  <si>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</si>
  <si>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</si>
  <si>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 xml:space="preserve">   On-site Generation for Own Use</t>
  </si>
  <si>
    <t xml:space="preserve">     Purchased Electricity</t>
  </si>
  <si>
    <t>RKI000:ga_SpaceHeating</t>
  </si>
  <si>
    <t>RKI000:ga_SpaceCooling</t>
  </si>
  <si>
    <t xml:space="preserve"> Natural Gas</t>
  </si>
  <si>
    <t>RKI000:ga_WaterHeating</t>
  </si>
  <si>
    <t>RKI000:ga_Cooking</t>
  </si>
  <si>
    <t>RKI000:ga_ClothesDryers</t>
  </si>
  <si>
    <t>RKI000:ga_OtherNatGas</t>
  </si>
  <si>
    <t>RKI000:ga_DeliveredEner</t>
  </si>
  <si>
    <t xml:space="preserve">   Other Uses 6/</t>
  </si>
  <si>
    <t xml:space="preserve">     Delivered Energy</t>
  </si>
  <si>
    <t>RKI000:ha_SpaceHeating</t>
  </si>
  <si>
    <t>RKI000:ha_WaterHeating</t>
  </si>
  <si>
    <t xml:space="preserve"> Distillate Fuel Oil 7/</t>
  </si>
  <si>
    <t>RKI000:Other_ha_ha</t>
  </si>
  <si>
    <t>RKI000:ha_DeliveredEner</t>
  </si>
  <si>
    <t xml:space="preserve">   Other Uses 8/</t>
  </si>
  <si>
    <t>RKI000:ia_SpaceHeating</t>
  </si>
  <si>
    <t>RKI000:ia_WaterHeating</t>
  </si>
  <si>
    <t xml:space="preserve"> Propane</t>
  </si>
  <si>
    <t>RKI000:ia_Cooking</t>
  </si>
  <si>
    <t>RKI000:ia_OtherUses</t>
  </si>
  <si>
    <t>RKI000:ia_DeliveredEner</t>
  </si>
  <si>
    <t xml:space="preserve">   Other Uses 9/</t>
  </si>
  <si>
    <t>RKI000:ja_MarketedRenew</t>
  </si>
  <si>
    <t xml:space="preserve"> Marketed Renewables (wood) 10/</t>
  </si>
  <si>
    <t>RKI000:ka_SpaceHeating</t>
  </si>
  <si>
    <t>RKI000:ka_SpaceCooling</t>
  </si>
  <si>
    <t>Energy Consumption by End Use 1/</t>
  </si>
  <si>
    <t>RKI000:ka_WaterHeating</t>
  </si>
  <si>
    <t xml:space="preserve"> Space Heating</t>
  </si>
  <si>
    <t>RKI000:ka_Refrigeration</t>
  </si>
  <si>
    <t xml:space="preserve"> Space Cooling</t>
  </si>
  <si>
    <t>RKI000:ka_Cooking</t>
  </si>
  <si>
    <t xml:space="preserve"> Water Heating</t>
  </si>
  <si>
    <t>RKI000:ka_ClothesDryers</t>
  </si>
  <si>
    <t xml:space="preserve"> Refrigeration</t>
  </si>
  <si>
    <t>RKI000:ka_Freezers</t>
  </si>
  <si>
    <t xml:space="preserve"> Cooking</t>
  </si>
  <si>
    <t>RKI000:ka_Lighting</t>
  </si>
  <si>
    <t xml:space="preserve"> Clothes Dryers</t>
  </si>
  <si>
    <t>RKI000:ka_ClothesWasher</t>
  </si>
  <si>
    <t xml:space="preserve"> Freezers</t>
  </si>
  <si>
    <t>RKI000:ka_Dishwashers</t>
  </si>
  <si>
    <t xml:space="preserve"> Lighting</t>
  </si>
  <si>
    <t>RKI000:ka_ColorTelevisi</t>
  </si>
  <si>
    <t xml:space="preserve"> Clothes Washers 2/</t>
  </si>
  <si>
    <t>RKI000:ka_PersonalCompu</t>
  </si>
  <si>
    <t xml:space="preserve"> Dishwashers 2/</t>
  </si>
  <si>
    <t>RKI000:ka_FurnaceFans</t>
  </si>
  <si>
    <t xml:space="preserve"> Televisions and Related Equipment 3/</t>
  </si>
  <si>
    <t>RKI000:ka_OtherUses</t>
  </si>
  <si>
    <t xml:space="preserve"> Computers and Related Equipment 4/</t>
  </si>
  <si>
    <t>RKI000:ka_DeliveredEner</t>
  </si>
  <si>
    <t xml:space="preserve"> Furnace Fans and Boiler Circulation Pumps</t>
  </si>
  <si>
    <t xml:space="preserve"> Other Uses 11/</t>
  </si>
  <si>
    <t>RKI000:la_ElectricityRe</t>
  </si>
  <si>
    <t xml:space="preserve">    Gross End-use Consumption</t>
  </si>
  <si>
    <t xml:space="preserve"> On-site Generation for Own Use</t>
  </si>
  <si>
    <t xml:space="preserve">    Delivered Energy</t>
  </si>
  <si>
    <t>RKI000:ma_SpaceHeating</t>
  </si>
  <si>
    <t>RKI000:ma_SpaceCooling</t>
  </si>
  <si>
    <t>Electricity Related Losses</t>
  </si>
  <si>
    <t>RKI000:ma_WaterHeating</t>
  </si>
  <si>
    <t>RKI000:ma_Refrigeration</t>
  </si>
  <si>
    <t>Total Energy Consumption by End Use 1/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</si>
  <si>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</si>
  <si>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</si>
  <si>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</si>
  <si>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</si>
  <si>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</si>
  <si>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</si>
  <si>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</si>
  <si>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</si>
  <si>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</si>
  <si>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</si>
  <si>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</si>
  <si>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>RKI000:na_GeothermalHea</t>
  </si>
  <si>
    <t>RKI000:na_SolarHotWater</t>
  </si>
  <si>
    <t xml:space="preserve">   Total Gross End-use Consumption</t>
  </si>
  <si>
    <t>RKI000:na_SolarPhotovol</t>
  </si>
  <si>
    <t xml:space="preserve"> Generation for Own Use</t>
  </si>
  <si>
    <t>RKI000:na_WindHuffPuff</t>
  </si>
  <si>
    <t>Total Net Own-use Generation</t>
  </si>
  <si>
    <t>RKI000:na_Total</t>
  </si>
  <si>
    <t>Nonmarketed Renewables 12/</t>
  </si>
  <si>
    <t xml:space="preserve">  Geothermal Heat Pumps</t>
  </si>
  <si>
    <t>RKI000:hdd_NewEngland</t>
  </si>
  <si>
    <t xml:space="preserve">  Solar Hot Water Heating</t>
  </si>
  <si>
    <t>RKI000:hdd_MiddleAtlant</t>
  </si>
  <si>
    <t xml:space="preserve">  Solar Photovoltaic</t>
  </si>
  <si>
    <t>RKI000:hdd_EastNorthCen</t>
  </si>
  <si>
    <t xml:space="preserve">  Wind</t>
  </si>
  <si>
    <t>RKI000:hdd_WestNorthCen</t>
  </si>
  <si>
    <t xml:space="preserve">    Total</t>
  </si>
  <si>
    <t>RKI000:hdd_SouthAtlantc</t>
  </si>
  <si>
    <t>RKI000:hdd_EastSouthCen</t>
  </si>
  <si>
    <t>Heating Degree Days</t>
  </si>
  <si>
    <t>RKI000:hdd_WestSouthCen</t>
  </si>
  <si>
    <t xml:space="preserve">   New England</t>
  </si>
  <si>
    <t>RKI000:hdd_Mountain</t>
  </si>
  <si>
    <t xml:space="preserve">   Middle Atlantic</t>
  </si>
  <si>
    <t>RKI000:hdd_Pacific</t>
  </si>
  <si>
    <t xml:space="preserve">   East North Central</t>
  </si>
  <si>
    <t>RKI000:hdd_UnitedStates</t>
  </si>
  <si>
    <t xml:space="preserve">   West North Central</t>
  </si>
  <si>
    <t xml:space="preserve">   South Atlantic</t>
  </si>
  <si>
    <t xml:space="preserve">   East South Central</t>
  </si>
  <si>
    <t>RKI000:cdd_NewEngland</t>
  </si>
  <si>
    <t xml:space="preserve">   West South Central</t>
  </si>
  <si>
    <t>RKI000:cdd_MiddleAtlant</t>
  </si>
  <si>
    <t xml:space="preserve">   Mountain</t>
  </si>
  <si>
    <t>RKI000:cdd_EastNorthCen</t>
  </si>
  <si>
    <t xml:space="preserve">   Pacific</t>
  </si>
  <si>
    <t>RKI000:cdd_WestNorthCen</t>
  </si>
  <si>
    <t xml:space="preserve">      United States</t>
  </si>
  <si>
    <t>RKI000:cdd_SouthAtlantc</t>
  </si>
  <si>
    <t>RKI000:cdd_EastSouthCen</t>
  </si>
  <si>
    <t>Cooling Degree Days</t>
  </si>
  <si>
    <t>RKI000:cdd_WestSouthCen</t>
  </si>
  <si>
    <t>RKI000:cdd_Mountain</t>
  </si>
  <si>
    <t>RKI000:cdd_Pacific</t>
  </si>
  <si>
    <t>RKI000:cdd_UnitedStates</t>
  </si>
  <si>
    <t xml:space="preserve">   1/ Does not include water heating portion of load.</t>
  </si>
  <si>
    <t>1/ Unless otherwise specified, energy consumption by end use includes all electricity consumed for that end use,</t>
  </si>
  <si>
    <t>including purchased electricity and on-site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</si>
  <si>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</si>
  <si>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</si>
  <si>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</si>
  <si>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</si>
  <si>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</si>
  <si>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</si>
  <si>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</si>
  <si>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</si>
  <si>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</si>
  <si>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</si>
  <si>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</si>
  <si>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</si>
  <si>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</si>
  <si>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</si>
  <si>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</si>
  <si>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</si>
  <si>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</si>
  <si>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</si>
  <si>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</si>
  <si>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</si>
  <si>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</si>
  <si>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>Data source: 2022:  U.S. Energy Information Administration (EIA), Short-Term Energy Outlook, November 2022 and EIA, AEO2023</t>
  </si>
  <si>
    <t>National Energy Modeling System run ref2023.d020623a.  Projections:  EIA, AEO2023 National Energy Modeling System run ref2023.d020623a.</t>
  </si>
  <si>
    <t>Table 21.  Residential Sector Equipment Stock and Efficiency, and Distributed Generation</t>
  </si>
  <si>
    <t>https://www.eia.gov/outlooks/aeo/data/browser/#/?id=30-AEO2022&amp;cases=lowmacro&amp;sourcekey=0</t>
  </si>
  <si>
    <t>Thu Apr 13 2023 14:53:57 GMT-0400 (Eastern Daylight Time)</t>
  </si>
  <si>
    <t>Source: U.S. Energy Information Administration</t>
  </si>
  <si>
    <t>full name</t>
  </si>
  <si>
    <t>api key</t>
  </si>
  <si>
    <t>units</t>
  </si>
  <si>
    <t>Growth (2021-2050)</t>
  </si>
  <si>
    <t>Equipment Stock (million units)</t>
  </si>
  <si>
    <t>Main Space Heaters</t>
  </si>
  <si>
    <t>Electric Heat Pumps</t>
  </si>
  <si>
    <t>Residential Equipment: Equipment Stock: Main Space Heaters: Electric Heat Pumps: Low economic growth</t>
  </si>
  <si>
    <t>AEO.2022.LOWMACRO.EQNR_STK_RESD_MSHR_EHP_NA_NA_MILL.A</t>
  </si>
  <si>
    <t>millions</t>
  </si>
  <si>
    <t>Electric Other</t>
  </si>
  <si>
    <t>Residential Equipment: Equipment Stock: Main Space Heaters: Electric Other: Low economic growth</t>
  </si>
  <si>
    <t>AEO.2022.LOWMACRO.EQNR_STK_RESD_MSHR_ELO_NA_NA_MILL.A</t>
  </si>
  <si>
    <t>RST000</t>
  </si>
  <si>
    <t>Natural Gas Heat Pumps</t>
  </si>
  <si>
    <t>Residential Equipment: Equipment Stock: Main Space Heaters: Natural Gas Heat Pumps: Low economic growth</t>
  </si>
  <si>
    <t>AEO.2022.LOWMACRO.EQNR_STK_RESD_MSHR_NHU_NA_NA_MILL.A</t>
  </si>
  <si>
    <t>Natural Gas Other</t>
  </si>
  <si>
    <t>Residential Equipment: Equipment Stock: Main Space Heaters: Natural Gas Other: Low economic growth</t>
  </si>
  <si>
    <t>AEO.2022.LOWMACRO.EQNR_STK_RESD_MSHR_NGO_NA_NA_MILL.A</t>
  </si>
  <si>
    <t>Distillate Fuel Oil</t>
  </si>
  <si>
    <t>Residential Equipment: Equipment Stock: Main Space Heaters: Distillate Fuel Oil: Low economic growth</t>
  </si>
  <si>
    <t>AEO.2022.LOWMACRO.EQNR_STK_RESD_MSHR_DFO_NA_NA_MILL.A</t>
  </si>
  <si>
    <t>Propane</t>
  </si>
  <si>
    <t>Residential Equipment: Equipment Stock: Main Space Heaters: Propane: Low economic growth</t>
  </si>
  <si>
    <t>AEO.2022.LOWMACRO.EQNR_STK_RESD_MSHR_PROP_NA_NA_MILL.A</t>
  </si>
  <si>
    <t>Kerosene</t>
  </si>
  <si>
    <t>Residential Equipment: Equipment Stock: Main Space Heaters: Kerosene: Low economic growth</t>
  </si>
  <si>
    <t>AEO.2022.LOWMACRO.EQNR_STK_RESD_MSHR_KRS_NA_NA_MILL.A</t>
  </si>
  <si>
    <t>Wood Stoves</t>
  </si>
  <si>
    <t>Residential Equipment: Equipment Stock: Main Space Heaters: Wood Stoves: Low economic growth</t>
  </si>
  <si>
    <t>AEO.2022.LOWMACRO.EQNR_STK_RESD_MSHR_WDS_NA_NA_MILL.A</t>
  </si>
  <si>
    <t>Geothermal Heat Pumps</t>
  </si>
  <si>
    <t>Residential Equipment: Equipment Stock: Main Space Heaters: Geothermal Heat Pumps: Low economic growth</t>
  </si>
  <si>
    <t>AEO.2022.LOWMACRO.EQNR_STK_RESD_MSHR_GEHP_NA_NA_MILL.A</t>
  </si>
  <si>
    <t>RST000:ba_ElectricHeatP</t>
  </si>
  <si>
    <t>Total</t>
  </si>
  <si>
    <t>Residential Equipment: Equipment Stock: Main Space Heaters: Total: Low economic growth</t>
  </si>
  <si>
    <t>AEO.2022.LOWMACRO.EQNR_STK_RESD_MSHR_TOT_NA_NA_MILL.A</t>
  </si>
  <si>
    <t>RST000:ba_ElectricOther</t>
  </si>
  <si>
    <t>Space Cooling (million units)</t>
  </si>
  <si>
    <t>RST000:ba_NaturalGasHea</t>
  </si>
  <si>
    <t>Residential Equipment: Equipment Stock: Space Cooling: Electric Heat Pumps: Low economic growth</t>
  </si>
  <si>
    <t>AEO.2022.LOWMACRO.EQNR_STK_RESD_SPC_EHP_NA_NA_MILL.A</t>
  </si>
  <si>
    <t>RST000:ba_NaturalGasOth</t>
  </si>
  <si>
    <t>Residential Equipment: Equipment Stock: Space Cooling: Natural Gas Heat Pumps: Low economic growth</t>
  </si>
  <si>
    <t>AEO.2022.LOWMACRO.EQNR_STK_RESD_SPC_NHU_NA_NA_MILL.A</t>
  </si>
  <si>
    <t>RST000:ba_Distillate</t>
  </si>
  <si>
    <t>Residential Equipment: Equipment Stock: Space Cooling: Geothermal Heat Pumps: Low economic growth</t>
  </si>
  <si>
    <t>AEO.2022.LOWMACRO.EQNR_STK_RESD_SPC_GEHP_NA_NA_MILL.A</t>
  </si>
  <si>
    <t>RST000:ba_LiquefiedPetr</t>
  </si>
  <si>
    <t>Central Air Conditioners</t>
  </si>
  <si>
    <t>Residential Equipment: Equipment Stock: Space Cooling: Central Air Conditioners: Low economic growth</t>
  </si>
  <si>
    <t>AEO.2022.LOWMACRO.EQNR_STK_RESD_SPC_CAC_NA_NA_MILL.A</t>
  </si>
  <si>
    <t>RST000:ba_Kerosene</t>
  </si>
  <si>
    <t>Room Air Conditioners</t>
  </si>
  <si>
    <t>Residential Equipment: Equipment Stock: Space Cooling: Room Air Conditioners: Low economic growth</t>
  </si>
  <si>
    <t>AEO.2022.LOWMACRO.EQNR_STK_RESD_SPC_RAC_NA_NA_MILL.A</t>
  </si>
  <si>
    <t>RST000:ba_WoodStoves</t>
  </si>
  <si>
    <t>Residential Equipment: Equipment Stock: Space Cooling: Total: Low economic growth</t>
  </si>
  <si>
    <t>AEO.2022.LOWMACRO.EQNR_STK_RESD_SPC_TOT_NA_NA_MILL.A</t>
  </si>
  <si>
    <t>RST000:ba_GeothermalHea</t>
  </si>
  <si>
    <t>Water Heaters (million units)</t>
  </si>
  <si>
    <t>RST000:ba_Total</t>
  </si>
  <si>
    <t>Electric</t>
  </si>
  <si>
    <t>Residential Equipment: Equipment Stock: Water Heaters: Electric: Low economic growth</t>
  </si>
  <si>
    <t>AEO.2022.LOWMACRO.EQNR_STK_RESD_WHT_ELE_NA_NA_MILL.A</t>
  </si>
  <si>
    <t>Natural Gas</t>
  </si>
  <si>
    <t>Residential Equipment: Equipment Stock: Water Heaters: Natural Gas: Low economic growth</t>
  </si>
  <si>
    <t>AEO.2022.LOWMACRO.EQNR_STK_RESD_WHT_NG_NA_NA_MILL.A</t>
  </si>
  <si>
    <t>Residential Equipment: Equipment Stock: Water Heaters: Distillate Fuel Oil: Low economic growth</t>
  </si>
  <si>
    <t>AEO.2022.LOWMACRO.EQNR_STK_RESD_WHT_DFO_NA_NA_MILL.A</t>
  </si>
  <si>
    <t>RST000:ca_ElectricHeatP</t>
  </si>
  <si>
    <t>Residential Equipment: Equipment Stock: Water Heaters: Propane: Low economic growth</t>
  </si>
  <si>
    <t>AEO.2022.LOWMACRO.EQNR_STK_RESD_WHT_PROP_NA_NA_MILL.A</t>
  </si>
  <si>
    <t>RST000:ca_NaturalGasHea</t>
  </si>
  <si>
    <t>Solar Thermal</t>
  </si>
  <si>
    <t>Residential Equipment: Equipment Stock: Water Heaters: Solar Thermal: Low economic growth</t>
  </si>
  <si>
    <t>AEO.2022.LOWMACRO.EQNR_STK_RESD_WHT_SLR_THERM_NA_MILL.A</t>
  </si>
  <si>
    <t>RST000:ca_GeothermalHea</t>
  </si>
  <si>
    <t>Residential Equipment: Equipment Stock: Water Heaters: Total: Low economic growth</t>
  </si>
  <si>
    <t>AEO.2022.LOWMACRO.EQNR_STK_RESD_WHT_TOT_NA_NA_MILL.A</t>
  </si>
  <si>
    <t>RST000:ca_CentralAirCon</t>
  </si>
  <si>
    <t>Cooking Equipment (million units)</t>
  </si>
  <si>
    <t>RST000:ca_RoomAirCondit</t>
  </si>
  <si>
    <t>Residential Equipment: Equipment Stock: Cooking Equipment: Electric: Low economic growth</t>
  </si>
  <si>
    <t>AEO.2022.LOWMACRO.EQNR_STK_RESD_CER_ELE_NA_NA_MILL.A</t>
  </si>
  <si>
    <t>RST000:ca_Total</t>
  </si>
  <si>
    <t>Residential Equipment: Equipment Stock: Cooking Equipment: Natural Gas: Low economic growth</t>
  </si>
  <si>
    <t>AEO.2022.LOWMACRO.EQNR_STK_RESD_CER_NG_NA_NA_MILL.A</t>
  </si>
  <si>
    <t>Residential Equipment: Equipment Stock: Cooking Equipment: Propane: Low economic growth</t>
  </si>
  <si>
    <t>AEO.2022.LOWMACRO.EQNR_STK_RESD_CER_PROP_NA_NA_MILL.A</t>
  </si>
  <si>
    <t>Residential Equipment: Equipment Stock: Cooking Equipment: Total: Low economic growth</t>
  </si>
  <si>
    <t>AEO.2022.LOWMACRO.EQNR_STK_RESD_CER_TOT_NA_NA_MILL.A</t>
  </si>
  <si>
    <t>RST000:da_Electric</t>
  </si>
  <si>
    <t>Clothes Dryers (million units)</t>
  </si>
  <si>
    <t>RST000:da_NaturalGas</t>
  </si>
  <si>
    <t>Residential Equipment: Equipment Stock: Clothes Dryers: Electric: Low economic growth</t>
  </si>
  <si>
    <t>AEO.2022.LOWMACRO.EQNR_STK_RESD_CDR_ELE_NA_NA_MILL.A</t>
  </si>
  <si>
    <t>RST000:da_Distillate</t>
  </si>
  <si>
    <t>Residential Equipment: Equipment Stock: Clothes Dryers: Natural Gas: Low economic growth</t>
  </si>
  <si>
    <t>AEO.2022.LOWMACRO.EQNR_STK_RESD_CDR_NG_NA_NA_MILL.A</t>
  </si>
  <si>
    <t>RST000:da_LiquefiedPetr</t>
  </si>
  <si>
    <t>Residential Equipment: Equipment Stock: Clothes Dryers: Total: Low economic growth</t>
  </si>
  <si>
    <t>AEO.2022.LOWMACRO.EQNR_STK_RESD_CDR_TOT_NA_NA_MILL.A</t>
  </si>
  <si>
    <t>RST000:da_SolarThermal</t>
  </si>
  <si>
    <t>Other Appliances (million units)</t>
  </si>
  <si>
    <t>RST000:da_Total</t>
  </si>
  <si>
    <t>Refrigerators</t>
  </si>
  <si>
    <t>Residential Equipment: Equipment Stock: Other Appliances: Refrigerators: Low economic growth</t>
  </si>
  <si>
    <t>AEO.2022.LOWMACRO.EQNR_STK_RESD_OTAR_RFG_NA_NA_MILL.A</t>
  </si>
  <si>
    <t>Freezers</t>
  </si>
  <si>
    <t>Residential Equipment: Equipment Stock: Other Appliances: Freezers: Low economic growth</t>
  </si>
  <si>
    <t>AEO.2022.LOWMACRO.EQNR_STK_RESD_OTAR_FRZ_NA_NA_MILL.A</t>
  </si>
  <si>
    <t>Stock Average Equipment Efficiency</t>
  </si>
  <si>
    <t>RST000:ea_Electric</t>
  </si>
  <si>
    <t>RST000:ea_NaturalGas</t>
  </si>
  <si>
    <t>Electric Heat Pumps (HSPF)</t>
  </si>
  <si>
    <t>Residential Equipment: Stock Average Efficiency: Main Space Heaters: Electric Heat Pumps: Low economic growth</t>
  </si>
  <si>
    <t>AEO.2022.LOWMACRO.EFI_STK_RESD_SPHR_EHP_NA_NA_HSPF.A</t>
  </si>
  <si>
    <t>HSPF</t>
  </si>
  <si>
    <t>RST000:ea_LiquefiedPetr</t>
  </si>
  <si>
    <t>Natural Gas Heat Pumps (GCOP)</t>
  </si>
  <si>
    <t>Residential Equipment: Stock Average Efficiency: Main Space Heaters: Natural Gas Heat Pumps: Low economic growth</t>
  </si>
  <si>
    <t>AEO.2022.LOWMACRO.EFI_STK_RESD_SPHR_NHU_NA_NA_GCOP.A</t>
  </si>
  <si>
    <t>GCOP</t>
  </si>
  <si>
    <t>RST000:ea_Total</t>
  </si>
  <si>
    <t>Geothermal Heat Pumps (COP)</t>
  </si>
  <si>
    <t>Residential Equipment: Stock Average Efficiency: Main Space Heaters: Geothermal Heat Pumps: Low economic growth</t>
  </si>
  <si>
    <t>AEO.2022.LOWMACRO.EFI_STK_RESD_SPHR_GEHP_NA_NA_COP.A</t>
  </si>
  <si>
    <t>COP</t>
  </si>
  <si>
    <t>Natural Gas Furnace (AFUE)</t>
  </si>
  <si>
    <t>Residential Equipment: Stock Average Efficiency: Main Space Heaters: Natural Gas Furnace: Low economic growth</t>
  </si>
  <si>
    <t>AEO.2022.LOWMACRO.EFI_STK_RESD_SPHR_NFR_NA_NA_AFUE.A</t>
  </si>
  <si>
    <t>AFUE</t>
  </si>
  <si>
    <t>Distillate Furnace (AFUE)</t>
  </si>
  <si>
    <t>Residential Equipment: Stock Average Efficiency: Main Space Heaters: Distillate Furnace: Low economic growth</t>
  </si>
  <si>
    <t>AEO.2022.LOWMACRO.EFI_STK_RESD_SPHR_DFR_NA_NA_AFUE.A</t>
  </si>
  <si>
    <t>RST000:fa_Electric</t>
  </si>
  <si>
    <t>Space Cooling</t>
  </si>
  <si>
    <t>RST000:fa_NaturalGas</t>
  </si>
  <si>
    <t>Electric Heat Pumps (SEER)</t>
  </si>
  <si>
    <t>Residential Equipment: Stock Average Efficiency: Space Cooling: Electric Heat Pumps: Low economic growth</t>
  </si>
  <si>
    <t>AEO.2022.LOWMACRO.EFI_STK_RESD_SPC_EHP_NA_NA_SEER.A</t>
  </si>
  <si>
    <t>SEER</t>
  </si>
  <si>
    <t>RST000:fa_Total</t>
  </si>
  <si>
    <t>Residential Equipment: Stock Average Efficiency: Space Cooling: Natural Gas Heat Pumps: Low economic growth</t>
  </si>
  <si>
    <t>AEO.2022.LOWMACRO.EFI_STK_RESD_SPC_NHU_NA_NA_GCOP.A</t>
  </si>
  <si>
    <t>Geothermal Heat Pumps (EER)</t>
  </si>
  <si>
    <t>Residential Equipment: Stock Average Efficiency: Space Cooling: Geothermal Heat Pumps: Low economic growth</t>
  </si>
  <si>
    <t>AEO.2022.LOWMACRO.EFI_STK_RESD_SPC_GEHP_NA_NA_EER.A</t>
  </si>
  <si>
    <t>EER</t>
  </si>
  <si>
    <t>Central Air Conditioners (SEER)</t>
  </si>
  <si>
    <t>Residential Equipment: Stock Average Efficiency: Space Cooling: Central Air Conditioners: Low economic growth</t>
  </si>
  <si>
    <t>AEO.2022.LOWMACRO.EFI_STK_RESD_SPC_CAC_NA_NA_SEER.A</t>
  </si>
  <si>
    <t>RST000:ga_Refrigerators</t>
  </si>
  <si>
    <t>Room Air Conditioners (EER)</t>
  </si>
  <si>
    <t>Residential Equipment: Stock Average Efficiency: Space Cooling: Room Air Conditioners: Low economic growth</t>
  </si>
  <si>
    <t>AEO.2022.LOWMACRO.EFI_STK_RESD_SPC_RAC_NA_NA_EER.A</t>
  </si>
  <si>
    <t>RST000:ga_Freezers</t>
  </si>
  <si>
    <t>Water Heaters</t>
  </si>
  <si>
    <t>Electric (EF)</t>
  </si>
  <si>
    <t>Residential Equipment: Stock Average Efficiency: Water Heaters: Electric: Low economic growth</t>
  </si>
  <si>
    <t>AEO.2022.LOWMACRO.EFI_STK_RESD_WHT_ELE_NA_NA_EF.A</t>
  </si>
  <si>
    <t>EF</t>
  </si>
  <si>
    <t>Natural Gas (EF)</t>
  </si>
  <si>
    <t>Residential Equipment: Stock Average Efficiency: Water Heaters: Natural Gas: Low economic growth</t>
  </si>
  <si>
    <t>AEO.2022.LOWMACRO.EFI_STK_RESD_WHT_NG_NA_NA_EF.A</t>
  </si>
  <si>
    <t>Distillate Fuel Oil (EF)</t>
  </si>
  <si>
    <t>Residential Equipment: Stock Average Efficiency: Water Heaters: Distillate Fuel Oil: Low economic growth</t>
  </si>
  <si>
    <t>AEO.2022.LOWMACRO.EFI_STK_RESD_WHT_DFO_NA_NA_EF.A</t>
  </si>
  <si>
    <t>RST000:ha_ElectricHeatP</t>
  </si>
  <si>
    <t>Propane (EF)</t>
  </si>
  <si>
    <t>Residential Equipment: Stock Average Efficiency: Water Heaters: Propane: Low economic growth</t>
  </si>
  <si>
    <t>AEO.2022.LOWMACRO.EFI_STK_RESD_WHT_PROP_NA_NA_EF.A</t>
  </si>
  <si>
    <t>RST000:ha_NaturalGasHea</t>
  </si>
  <si>
    <t>Other Appliances (kilowatthours per year)</t>
  </si>
  <si>
    <t>RST000:ha_GeothermalHea</t>
  </si>
  <si>
    <t>Residential Equipment: Stock Average Efficiency: Other Appliances: Refrigerators: Low economic growth</t>
  </si>
  <si>
    <t>AEO.2022.LOWMACRO.EFI_STK_RESD_OTAR_RFG_NA_NA_KWH.A</t>
  </si>
  <si>
    <t>kWh</t>
  </si>
  <si>
    <t>RST000:ha_NaturalGasFur</t>
  </si>
  <si>
    <t>Residential Equipment: Stock Average Efficiency: Other Appliances: Freezers: Low economic growth</t>
  </si>
  <si>
    <t>AEO.2022.LOWMACRO.EFI_STK_RESD_OTAR_FRZ_NA_NA_KWH.A</t>
  </si>
  <si>
    <t>RST000:ha_DistillateFur</t>
  </si>
  <si>
    <t>Building Shell Efficiency Index</t>
  </si>
  <si>
    <t>Space Heating</t>
  </si>
  <si>
    <t>Pre-2015 Homes</t>
  </si>
  <si>
    <t>Residential Equipment: Building Shell Efficiency Index: Space Heating: Pre-2015 Homes: Low economic growth</t>
  </si>
  <si>
    <t>AEO.2022.LOWMACRO.EFI_BSE_RESD_SPH_OLD_NA_NA_Y15EQ1.A</t>
  </si>
  <si>
    <t>2015=1.00</t>
  </si>
  <si>
    <t>RST000:ia_ElectricHeatP</t>
  </si>
  <si>
    <t>New Construction</t>
  </si>
  <si>
    <t>Residential Equipment: Building Shell Efficiency Index: Space Heating: New Construction: Low economic growth</t>
  </si>
  <si>
    <t>AEO.2022.LOWMACRO.EFI_BSE_RESD_SPH_NCO_NA_NA_Y15EQ1.A</t>
  </si>
  <si>
    <t>RST000:ia_NaturalGasHea</t>
  </si>
  <si>
    <t>All Homes</t>
  </si>
  <si>
    <t>Residential Equipment: Building Shell Efficiency Index: Space Heating: All Homes: Low economic growth</t>
  </si>
  <si>
    <t>AEO.2022.LOWMACRO.EFI_BSE_RESD_SPH_AHM_NA_NA_Y15EQ1.A</t>
  </si>
  <si>
    <t>RST000:ia_GeothermalHea</t>
  </si>
  <si>
    <t>RST000:ia_Cent.AirCondi</t>
  </si>
  <si>
    <t>Residential Equipment: Building Shell Efficiency Index: Space Cooling: Pre-2015 Homes: Low economic growth</t>
  </si>
  <si>
    <t>AEO.2022.LOWMACRO.EFI_BSE_RESD_SPC_OLD_NA_NA_Y15EQ1.A</t>
  </si>
  <si>
    <t>RST000:ia_RoomAirCondit</t>
  </si>
  <si>
    <t>Residential Equipment: Building Shell Efficiency Index: Space Cooling: New Construction: Low economic growth</t>
  </si>
  <si>
    <t>AEO.2022.LOWMACRO.EFI_BSE_RESD_SPC_NCO_NA_NA_Y15EQ1.A</t>
  </si>
  <si>
    <t>Residential Equipment: Building Shell Efficiency Index: Space Cooling: All Homes: Low economic growth</t>
  </si>
  <si>
    <t>AEO.2022.LOWMACRO.EFI_BSE_RESD_SPC_AHM_NA_NA_Y15EQ1.A</t>
  </si>
  <si>
    <t>Distributed Generation and</t>
  </si>
  <si>
    <t>RST000:ja_Electric(EF)</t>
  </si>
  <si>
    <t>Combined Heat and Power</t>
  </si>
  <si>
    <t>RST000:ja_NaturalGas(EF</t>
  </si>
  <si>
    <t>Generating Capacity (gigawatts)</t>
  </si>
  <si>
    <t>RST000:ja_Distillate(EF</t>
  </si>
  <si>
    <t>Natural Gas Fuel Cells</t>
  </si>
  <si>
    <t>Residential: Combined Heat and Power: Generating Capacity: Fuel Cells: Low economic growth</t>
  </si>
  <si>
    <t>AEO.2022.LOWMACRO.CAP_NA_COMM_CHP_FCL_NA_NA_MW.A</t>
  </si>
  <si>
    <t>GW</t>
  </si>
  <si>
    <t>- -</t>
  </si>
  <si>
    <t>RST000:ja_LiquefiedPetr</t>
  </si>
  <si>
    <t>Solar Photovoltaic</t>
  </si>
  <si>
    <t>Residential: Combined Heat and Power: Generating Capacity: Solar Photovoltaic: Low economic growth</t>
  </si>
  <si>
    <t>AEO.2022.LOWMACRO.CAP_NA_RESD_CHP_SLR_PHTVL_NA_MW.A</t>
  </si>
  <si>
    <t>Wind</t>
  </si>
  <si>
    <t>Residential: Combined Heat and Power: Generating Capacity: Wind: Low economic growth</t>
  </si>
  <si>
    <t>AEO.2022.LOWMACRO.CAP_NA_RESD_CHP_WND_NA_NA_MW.A</t>
  </si>
  <si>
    <t>Residential: Combined Heat and Power: Generating Capacity: Total: Low economic growth</t>
  </si>
  <si>
    <t>AEO.2022.LOWMACRO.CAP_NA_RESD_CHP_TOT_NA_NA_MW.A</t>
  </si>
  <si>
    <t>RST000:ka_Refrigerators</t>
  </si>
  <si>
    <t>Net Generation (billion kilowatthours)</t>
  </si>
  <si>
    <t>RST000:ka_Freezers</t>
  </si>
  <si>
    <t>Residential: Combined Heat and Power: Net Generation: Fuel Cells: Low economic growth</t>
  </si>
  <si>
    <t>AEO.2022.LOWMACRO.GEN_NA_COMM_CHP_FCL_NA_NA_MILLKWH.A</t>
  </si>
  <si>
    <t>billion kWh</t>
  </si>
  <si>
    <t>Residential: Combined Heat and Power: Net Generation: Solar Photovoltaic: Low economic growth</t>
  </si>
  <si>
    <t>AEO.2022.LOWMACRO.GEN_NA_COMM_CHP_SLR_PHTVL_NA_MILLKWH.A</t>
  </si>
  <si>
    <t>Residential: Combined Heat and Power: Net Generation: Wind: Low economic growth</t>
  </si>
  <si>
    <t>AEO.2022.LOWMACRO.GEN_NA_COMM_CHP_WND_NA_NA_MILLKWH.A</t>
  </si>
  <si>
    <t>Residential: Combined Heat and Power: Net Generation: Total: Low economic growth</t>
  </si>
  <si>
    <t>AEO.2022.LOWMACRO.GEN_NA_COMM_CHP_TOT_NA_NA_MILLKWH.A</t>
  </si>
  <si>
    <t>RST000:la_Pre-1998Homes</t>
  </si>
  <si>
    <t>Disposition</t>
  </si>
  <si>
    <t>RST000:la_NewConstructi</t>
  </si>
  <si>
    <t>Sales to the Grid</t>
  </si>
  <si>
    <t>Residential: Combined Heat and Power: Net Generation: Sales to the Grid: Low economic growth</t>
  </si>
  <si>
    <t>AEO.2022.LOWMACRO.GEN_NA_COMM_CHP_STG_NA_NA_MILLKWH.A</t>
  </si>
  <si>
    <t>RST000:la_AllHomes</t>
  </si>
  <si>
    <t>Generation for Own Use</t>
  </si>
  <si>
    <t>Residential: Combined Heat and Power: Net Generation: Generation for Own Use: Low economic growth</t>
  </si>
  <si>
    <t>AEO.2022.LOWMACRO.GEN_NA_COMM_CHP_GFO_NA_NA_MILLKWH.A</t>
  </si>
  <si>
    <t>Energy Input (trillion Btu)</t>
  </si>
  <si>
    <t>Residential: Combined Heat and Power: Energy Input: Fuel Cells: Low economic growth</t>
  </si>
  <si>
    <t>AEO.2022.LOWMACRO.CNSM_NA_COMM_CHP_FCL_NA_NA_TRLBTU.A</t>
  </si>
  <si>
    <t>trillion Btu</t>
  </si>
  <si>
    <t>RST000:ma_Pre-1998Homes</t>
  </si>
  <si>
    <t>Residential: Combined Heat and Power: Energy Input: Solar Photovoltaic: Low economic growth</t>
  </si>
  <si>
    <t>AEO.2022.LOWMACRO.CNSM_NA_COMM_CHP_SLR_PHTVL_NA_TRLBTU.A</t>
  </si>
  <si>
    <t>RST000:ma_NewConstructi</t>
  </si>
  <si>
    <t>Residential: Combined Heat and Power: Energy Input: Wind: Low economic growth</t>
  </si>
  <si>
    <t>AEO.2022.LOWMACRO.CNSM_NA_COMM_CHP_WND_NA_NA_TRLBTU.A</t>
  </si>
  <si>
    <t>RST000:ma_AllHomes</t>
  </si>
  <si>
    <t>Residential: Combined Heat and Power: Energy Input: Total: Low economic growth</t>
  </si>
  <si>
    <t>AEO.2022.LOWMACRO.CNSM_NA_COMM_CHP_TOT_NA_NA_TRLBTU.A</t>
  </si>
  <si>
    <t>RST000:dgc_FuelsCells</t>
  </si>
  <si>
    <t>RST000:dgc_SolarPhoto</t>
  </si>
  <si>
    <t>RST000:dgc_WindHuffHuff</t>
  </si>
  <si>
    <t>RST000:dgc_TotalCap</t>
  </si>
  <si>
    <t>RST000:dgg_FuelCells</t>
  </si>
  <si>
    <t>RST000:dgg_SolarPhoto</t>
  </si>
  <si>
    <t>RST000:dgg_WindHuffHuff</t>
  </si>
  <si>
    <t>RST000:dgg_TotalGen</t>
  </si>
  <si>
    <t>RST000:dgg_SalestoGrid</t>
  </si>
  <si>
    <t>RST000:dgg_forOwnUse</t>
  </si>
  <si>
    <t>RST000:dge_FuelCells</t>
  </si>
  <si>
    <t>RST000:dge_SolarPhoto</t>
  </si>
  <si>
    <t>RST000:dge_WindHuffHuff</t>
  </si>
  <si>
    <t>RST000:dge_TotalGen</t>
  </si>
  <si>
    <t>Figure 22. Installed unit costs (left) and performance projections (right) for commercial air-source heat pumps</t>
  </si>
  <si>
    <t>Figure Notes:</t>
  </si>
  <si>
    <t xml:space="preserve">Installed costs include both capital and installation costs.
</t>
  </si>
  <si>
    <t>Year</t>
  </si>
  <si>
    <t>Technology</t>
  </si>
  <si>
    <t>EFS Case</t>
  </si>
  <si>
    <t>Installed Cost ($/kBtu/hr)</t>
  </si>
  <si>
    <t>Efficiency (COP)</t>
  </si>
  <si>
    <t>Air Source Heat Pump</t>
  </si>
  <si>
    <t>Moderate Advancement</t>
  </si>
  <si>
    <t>Rapid Advancement</t>
  </si>
  <si>
    <t>Slow Advancement</t>
  </si>
  <si>
    <t>Cold Climate Air Source Heat Pump</t>
  </si>
  <si>
    <t>Figure 23. Installed costs (left) and performance projections (right) for commercial HPWHs</t>
  </si>
  <si>
    <t>Installed costs include both capital and installation costs.</t>
  </si>
  <si>
    <t>Heat Pump Water Heater</t>
  </si>
  <si>
    <t>Residential Equipment</t>
  </si>
  <si>
    <t>Appliances (cooking)</t>
  </si>
  <si>
    <t>Appliances Energy Consumption per Unit per Year by Fuel (btu/household)</t>
  </si>
  <si>
    <t>traditional biomass</t>
  </si>
  <si>
    <t>LPG</t>
  </si>
  <si>
    <t>Annualized Incremental Equipment Cost</t>
  </si>
  <si>
    <t>traditional biomass (trillion Rs)</t>
  </si>
  <si>
    <t>LPG (trillion Rs)</t>
  </si>
  <si>
    <t>traditional biomass (2012 USD)</t>
  </si>
  <si>
    <t>LPG (2012 USD)</t>
  </si>
  <si>
    <t>Annualized Incremental Cost per BTU Shifted</t>
  </si>
  <si>
    <t>Commercial Equipment</t>
  </si>
  <si>
    <t>Appliances (water heaters)</t>
  </si>
  <si>
    <t>Utilization Assumption</t>
  </si>
  <si>
    <t>space heating</t>
  </si>
  <si>
    <t>water heating</t>
  </si>
  <si>
    <t>Installed Cost ($/kBTU/hr)</t>
  </si>
  <si>
    <t>natural gas (2017 USD)</t>
  </si>
  <si>
    <t>oil (2017 USD)</t>
  </si>
  <si>
    <t>ASHP (2016 USD)</t>
  </si>
  <si>
    <t xml:space="preserve">Annualized Installed Cost ($/kBTU/hr) </t>
  </si>
  <si>
    <t>natural gas (2012 USD)</t>
  </si>
  <si>
    <t>oil (2012 USD)</t>
  </si>
  <si>
    <t>ASHP (2012 USD)</t>
  </si>
  <si>
    <t>Annualized Incremental Capital Cost per BTU Shifted</t>
  </si>
  <si>
    <t>natural gas</t>
  </si>
  <si>
    <t>oil</t>
  </si>
  <si>
    <t>Household Annual Fuel Consumption</t>
  </si>
  <si>
    <t>Assumption</t>
  </si>
  <si>
    <t>Per hh consumption Annual</t>
  </si>
  <si>
    <t>Unit</t>
  </si>
  <si>
    <t>Life Cycle( Years)</t>
  </si>
  <si>
    <t>TWh</t>
  </si>
  <si>
    <t>Electricity</t>
  </si>
  <si>
    <t>PNG</t>
  </si>
  <si>
    <t xml:space="preserve">Improved Biomass </t>
  </si>
  <si>
    <t>Coal</t>
  </si>
  <si>
    <t>Biogas</t>
  </si>
  <si>
    <t>Traditional Biomass</t>
  </si>
  <si>
    <t>Efficiency of a Traditional Biomass Chulha</t>
  </si>
  <si>
    <t>TWh to BTU</t>
  </si>
  <si>
    <t>Infrastructure costs for fuels</t>
  </si>
  <si>
    <t>Source</t>
  </si>
  <si>
    <t>Connection costs per unit of cook stove (fuel switching)</t>
  </si>
  <si>
    <t>Network replacement and O&amp;M cost per year</t>
  </si>
  <si>
    <t>Lifespan of asset (years)</t>
  </si>
  <si>
    <t>Cost of Network Augmention/
annum in INR Trillion</t>
  </si>
  <si>
    <t>High</t>
  </si>
  <si>
    <t>Point</t>
  </si>
  <si>
    <t>Low</t>
  </si>
  <si>
    <t>Improved Biomass (only cookstove cost )</t>
  </si>
  <si>
    <t>N/A</t>
  </si>
  <si>
    <t>Capital cost per unit of Cookstove</t>
  </si>
  <si>
    <t>INR Trillion/unit of cookstove</t>
  </si>
  <si>
    <t>Delta</t>
  </si>
  <si>
    <t>High estimate</t>
  </si>
  <si>
    <t>Point estimate</t>
  </si>
  <si>
    <t>Low estimate</t>
  </si>
  <si>
    <t>Operating cost per unit of Cookstove</t>
  </si>
  <si>
    <t>Infrastructure cost per unit of Cookstove</t>
  </si>
  <si>
    <t>Traditional Biomass Cookstove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</si>
  <si>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</si>
  <si>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</si>
  <si>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</si>
  <si>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</si>
  <si>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</si>
  <si>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</si>
  <si>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</si>
  <si>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</si>
  <si>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</si>
  <si>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</si>
  <si>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</si>
  <si>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</si>
  <si>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</si>
  <si>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</si>
  <si>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</si>
  <si>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</si>
  <si>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</si>
  <si>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</si>
  <si>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</si>
  <si>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</si>
  <si>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</si>
  <si>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</si>
  <si>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</si>
  <si>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</si>
  <si>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</si>
  <si>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</si>
  <si>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</si>
  <si>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</si>
  <si>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</si>
  <si>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</si>
  <si>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</si>
  <si>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</si>
  <si>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</si>
  <si>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</si>
  <si>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</si>
  <si>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</si>
  <si>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</si>
  <si>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</si>
  <si>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</si>
  <si>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</si>
  <si>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</si>
  <si>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</si>
  <si>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</si>
  <si>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</si>
  <si>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</si>
  <si>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</si>
  <si>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</si>
  <si>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</si>
  <si>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</si>
  <si>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</si>
  <si>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</si>
  <si>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</si>
  <si>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</si>
  <si>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</si>
  <si>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</si>
  <si>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</si>
  <si>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</si>
  <si>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</si>
  <si>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</si>
  <si>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</si>
  <si>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</si>
  <si>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</si>
  <si>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</si>
  <si>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</si>
  <si>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</si>
  <si>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</si>
  <si>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Aruba</t>
  </si>
  <si>
    <t>ABW</t>
  </si>
  <si>
    <t>GDP per capita (current US$)</t>
  </si>
  <si>
    <t>NY.GDP.PCAP.CD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</si>
  <si>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</si>
  <si>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</si>
  <si>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</si>
  <si>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</si>
  <si>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</si>
  <si>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</si>
  <si>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</si>
  <si>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</si>
  <si>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</si>
  <si>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</si>
  <si>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</si>
  <si>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</si>
  <si>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</si>
  <si>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</si>
  <si>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</si>
  <si>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</si>
  <si>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</si>
  <si>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</si>
  <si>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</si>
  <si>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</si>
  <si>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</si>
  <si>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</si>
  <si>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</si>
  <si>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</si>
  <si>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</si>
  <si>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</si>
  <si>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</si>
  <si>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</si>
  <si>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</si>
  <si>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</si>
  <si>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</si>
  <si>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</si>
  <si>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</si>
  <si>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</si>
  <si>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</si>
  <si>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</si>
  <si>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</si>
  <si>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</si>
  <si>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</si>
  <si>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</si>
  <si>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</si>
  <si>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</si>
  <si>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</si>
  <si>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</si>
  <si>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</si>
  <si>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</si>
  <si>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</si>
  <si>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</si>
  <si>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</si>
  <si>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</si>
  <si>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</si>
  <si>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</si>
  <si>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</si>
  <si>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</si>
  <si>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</si>
  <si>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</si>
  <si>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</si>
  <si>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</si>
  <si>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</si>
  <si>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</si>
  <si>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</si>
  <si>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</si>
  <si>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</si>
  <si>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</si>
  <si>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</si>
  <si>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</si>
  <si>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</si>
  <si>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</si>
  <si>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</si>
  <si>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</si>
  <si>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</si>
  <si>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</si>
  <si>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</si>
  <si>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</si>
  <si>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</si>
  <si>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</si>
  <si>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</si>
  <si>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</si>
  <si>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</si>
  <si>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</si>
  <si>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</si>
  <si>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</si>
  <si>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</si>
  <si>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</si>
  <si>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</si>
  <si>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</si>
  <si>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</si>
  <si>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</si>
  <si>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</si>
  <si>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</si>
  <si>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</si>
  <si>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</si>
  <si>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</si>
  <si>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</si>
  <si>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</si>
  <si>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</si>
  <si>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</si>
  <si>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</si>
  <si>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</si>
  <si>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</si>
  <si>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</si>
  <si>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</si>
  <si>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</si>
  <si>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</si>
  <si>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</si>
  <si>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</si>
  <si>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</si>
  <si>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</si>
  <si>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</si>
  <si>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</si>
  <si>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</si>
  <si>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</si>
  <si>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</si>
  <si>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</si>
  <si>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</si>
  <si>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</si>
  <si>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</si>
  <si>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</si>
  <si>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</si>
  <si>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</si>
  <si>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</si>
  <si>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</si>
  <si>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</si>
  <si>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</si>
  <si>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</si>
  <si>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</si>
  <si>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</si>
  <si>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</si>
  <si>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</si>
  <si>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</si>
  <si>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</si>
  <si>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</si>
  <si>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</si>
  <si>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</si>
  <si>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</si>
  <si>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</si>
  <si>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</si>
  <si>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</si>
  <si>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</si>
  <si>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</si>
  <si>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</si>
  <si>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</si>
  <si>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</si>
  <si>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</si>
  <si>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</si>
  <si>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</si>
  <si>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</si>
  <si>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</si>
  <si>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</si>
  <si>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</si>
  <si>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</si>
  <si>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</si>
  <si>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</si>
  <si>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</si>
  <si>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</si>
  <si>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</si>
  <si>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</si>
  <si>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</si>
  <si>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</si>
  <si>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</si>
  <si>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</si>
  <si>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</si>
  <si>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</si>
  <si>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</si>
  <si>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</si>
  <si>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</si>
  <si>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</si>
  <si>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</si>
  <si>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</si>
  <si>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</si>
  <si>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</si>
  <si>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</si>
  <si>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</si>
  <si>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</si>
  <si>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</si>
  <si>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</si>
  <si>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</si>
  <si>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</si>
  <si>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</si>
  <si>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</si>
  <si>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</si>
  <si>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</si>
  <si>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</si>
  <si>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</si>
  <si>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</si>
  <si>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</si>
  <si>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</si>
  <si>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</si>
  <si>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</si>
  <si>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</si>
  <si>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</si>
  <si>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</si>
  <si>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</si>
  <si>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</si>
  <si>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</si>
  <si>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</si>
  <si>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</si>
  <si>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</si>
  <si>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</si>
  <si>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</si>
  <si>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</si>
  <si>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</si>
  <si>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</si>
  <si>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</si>
  <si>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</si>
  <si>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</si>
  <si>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</si>
  <si>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</si>
  <si>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</si>
  <si>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</si>
  <si>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</si>
  <si>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</si>
  <si>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</si>
  <si>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</si>
  <si>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</si>
  <si>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</si>
  <si>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</si>
  <si>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</si>
  <si>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</si>
  <si>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</si>
  <si>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</si>
  <si>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</si>
  <si>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</si>
  <si>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</si>
  <si>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</si>
  <si>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</si>
  <si>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</si>
  <si>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</si>
  <si>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</si>
  <si>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</si>
  <si>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</si>
  <si>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</si>
  <si>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</si>
  <si>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</si>
  <si>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</si>
  <si>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</si>
  <si>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</si>
  <si>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</si>
  <si>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</si>
  <si>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</si>
  <si>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</si>
  <si>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</si>
  <si>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</si>
  <si>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</si>
  <si>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</si>
  <si>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</si>
  <si>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</si>
  <si>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</si>
  <si>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</si>
  <si>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</si>
  <si>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</si>
  <si>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</si>
  <si>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</si>
  <si>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</si>
  <si>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</si>
  <si>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</si>
  <si>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</si>
  <si>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</si>
  <si>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</si>
  <si>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</si>
  <si>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</si>
  <si>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</si>
  <si>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</si>
  <si>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</si>
  <si>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</si>
  <si>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</si>
  <si>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</si>
  <si>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</si>
  <si>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</si>
  <si>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</si>
  <si>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</si>
  <si>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</si>
  <si>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</si>
  <si>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</si>
  <si>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</si>
  <si>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</si>
  <si>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</si>
  <si>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</si>
  <si>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</si>
  <si>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</si>
  <si>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</si>
  <si>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</si>
  <si>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</si>
  <si>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</si>
  <si>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</si>
  <si>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</si>
  <si>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</si>
  <si>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</si>
  <si>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</si>
  <si>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</si>
  <si>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</si>
  <si>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</si>
  <si>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</si>
  <si>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</si>
  <si>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</si>
  <si>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</si>
  <si>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</si>
  <si>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</si>
  <si>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</si>
  <si>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</si>
  <si>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</si>
  <si>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</si>
  <si>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</si>
  <si>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</si>
  <si>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</si>
  <si>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</si>
  <si>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</si>
  <si>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</si>
  <si>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</si>
  <si>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</si>
  <si>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</si>
  <si>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</si>
  <si>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</si>
  <si>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</si>
  <si>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</si>
  <si>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</si>
  <si>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</si>
  <si>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</si>
  <si>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</si>
  <si>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</si>
  <si>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</si>
  <si>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</si>
  <si>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</si>
  <si>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</si>
  <si>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</si>
  <si>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</si>
  <si>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</si>
  <si>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</si>
  <si>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</si>
  <si>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</si>
  <si>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</si>
  <si>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</si>
  <si>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</si>
  <si>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</si>
  <si>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</si>
  <si>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</si>
  <si>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</si>
  <si>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</si>
  <si>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</si>
  <si>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</si>
  <si>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</si>
  <si>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</si>
  <si>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</si>
  <si>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</si>
  <si>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</si>
  <si>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</si>
  <si>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</si>
  <si>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</si>
  <si>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</si>
  <si>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</si>
  <si>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</si>
  <si>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</si>
  <si>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</si>
  <si>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</si>
  <si>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</si>
  <si>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</si>
  <si>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</si>
  <si>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</si>
  <si>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</si>
  <si>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</si>
  <si>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</si>
  <si>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</si>
  <si>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</si>
  <si>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</si>
  <si>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</si>
  <si>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</si>
  <si>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</si>
  <si>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</si>
  <si>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</si>
  <si>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</si>
  <si>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</si>
  <si>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</si>
  <si>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</si>
  <si>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</si>
  <si>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</si>
  <si>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</si>
  <si>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</si>
  <si>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</si>
  <si>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</si>
  <si>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</si>
  <si>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</si>
  <si>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</si>
  <si>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</si>
  <si>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</si>
  <si>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</si>
  <si>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</si>
  <si>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</si>
  <si>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</si>
  <si>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</si>
  <si>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</si>
  <si>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</si>
  <si>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</si>
  <si>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</si>
  <si>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</si>
  <si>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</si>
  <si>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</si>
  <si>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</si>
  <si>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</si>
  <si>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</si>
  <si>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</si>
  <si>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</si>
  <si>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</si>
  <si>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</si>
  <si>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</si>
  <si>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</si>
  <si>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</si>
  <si>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</si>
  <si>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</si>
  <si>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</si>
  <si>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</si>
  <si>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</si>
  <si>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</si>
  <si>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</si>
  <si>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</si>
  <si>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</si>
  <si>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</si>
  <si>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</si>
  <si>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</si>
  <si>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</si>
  <si>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</si>
  <si>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</si>
  <si>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</si>
  <si>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</si>
  <si>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</si>
  <si>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</si>
  <si>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</si>
  <si>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</si>
  <si>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</si>
  <si>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</si>
  <si>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</si>
  <si>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</si>
  <si>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</si>
  <si>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</si>
  <si>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</si>
  <si>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</si>
  <si>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</si>
  <si>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</si>
  <si>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</si>
  <si>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</si>
  <si>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</si>
  <si>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</si>
  <si>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</si>
  <si>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</si>
  <si>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</si>
  <si>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</si>
  <si>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</si>
  <si>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</si>
  <si>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</si>
  <si>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</si>
  <si>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</si>
  <si>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</si>
  <si>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</si>
  <si>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</si>
  <si>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</si>
  <si>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</si>
  <si>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</si>
  <si>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</si>
  <si>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</si>
  <si>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</si>
  <si>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</si>
  <si>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</si>
  <si>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</si>
  <si>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</si>
  <si>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</si>
  <si>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</si>
  <si>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</si>
  <si>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</si>
  <si>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</si>
  <si>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</si>
  <si>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</si>
  <si>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</si>
  <si>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</si>
  <si>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</si>
  <si>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</si>
  <si>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</si>
  <si>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</si>
  <si>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</si>
  <si>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</si>
  <si>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</si>
  <si>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</si>
  <si>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</si>
  <si>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</si>
  <si>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</si>
  <si>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</si>
  <si>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</si>
  <si>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</si>
  <si>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</si>
  <si>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</si>
  <si>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</si>
  <si>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</si>
  <si>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</si>
  <si>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</si>
  <si>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</si>
  <si>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</si>
  <si>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</si>
  <si>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</si>
  <si>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</si>
  <si>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</si>
  <si>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</si>
  <si>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</si>
  <si>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</si>
  <si>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</si>
  <si>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</si>
  <si>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</si>
  <si>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</si>
  <si>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</si>
  <si>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</si>
  <si>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</si>
  <si>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</si>
  <si>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</si>
  <si>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</si>
  <si>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</si>
  <si>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</si>
  <si>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</si>
  <si>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</si>
  <si>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</si>
  <si>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</si>
  <si>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</si>
  <si>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</si>
  <si>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</si>
  <si>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</si>
  <si>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</si>
  <si>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</si>
  <si>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</si>
  <si>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</si>
  <si>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Unit: $/(BTU/yr) - a measure of capacity of the fuel-burning equipment that would have been purchased in the absence of an electrification policy</t>
  </si>
  <si>
    <t>electricity</t>
  </si>
  <si>
    <t>coal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</si>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</sst>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%"/>
    <numFmt numFmtId="165" formatCode="#,##0.0"/>
    <numFmt numFmtId="166" formatCode="###0;###0"/>
    <numFmt numFmtId="167" formatCode="#,##0;#,##0"/>
    <numFmt numFmtId="168" formatCode="###0.0;###0.0"/>
    <numFmt numFmtId="169" formatCode="###0.00;###0.00"/>
    <numFmt numFmtId="170" formatCode="0.000E+00"/>
    <numFmt numFmtId="171" formatCode="#,##0_);\(#,##0\);&quot;-&quot;_);@"/>
    <numFmt numFmtId="172" formatCode="#,##0;[Red]#,##0"/>
    <numFmt numFmtId="173" formatCode="#,##0.0_);\(#,##0.0\);&quot;-&quot;_);@"/>
    <numFmt numFmtId="174" formatCode="#,##0.0000000000000_);\(#,##0.0000000000000\);&quot;-&quot;_);@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0"/>
      <name val="Palatino Linotype"/>
      <family val="1"/>
    </font>
    <font>
      <i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 Light"/>
      <family val="2"/>
      <scheme val="major"/>
    </font>
    <font>
      <sz val="10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93678"/>
      </patternFill>
    </fill>
    <fill>
      <patternFill patternType="solid">
        <fgColor rgb="FFCCCED6"/>
      </patternFill>
    </fill>
    <fill>
      <patternFill patternType="solid">
        <fgColor rgb="FFE7E8E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B3E1"/>
        <bgColor rgb="FF000000"/>
      </patternFill>
    </fill>
    <fill>
      <patternFill patternType="solid">
        <fgColor rgb="FF0F9ED5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2" applyNumberFormat="0" applyProtection="0">
      <alignment horizontal="left" wrapText="1"/>
    </xf>
    <xf numFmtId="0" fontId="6" fillId="0" borderId="1" applyNumberFormat="0" applyProtection="0">
      <alignment wrapText="1"/>
    </xf>
    <xf numFmtId="0" fontId="7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7" fillId="0" borderId="5" applyNumberFormat="0" applyProtection="0">
      <alignment vertical="top" wrapText="1"/>
    </xf>
    <xf numFmtId="0" fontId="8" fillId="0" borderId="0" applyNumberFormat="0" applyFill="0" applyBorder="0" applyAlignment="0" applyProtection="0"/>
    <xf numFmtId="0" fontId="21" fillId="0" borderId="0"/>
    <xf numFmtId="0" fontId="22" fillId="7" borderId="0" applyNumberFormat="0" applyBorder="0" applyAlignment="0" applyProtection="0"/>
  </cellStyleXfs>
  <cellXfs count="20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8" fillId="0" borderId="0" xfId="10"/>
    <xf numFmtId="0" fontId="9" fillId="0" borderId="6" xfId="6" applyFont="1" applyBorder="1">
      <alignment wrapText="1"/>
    </xf>
    <xf numFmtId="0" fontId="11" fillId="0" borderId="0" xfId="0" applyFont="1"/>
    <xf numFmtId="164" fontId="0" fillId="0" borderId="3" xfId="7" applyNumberFormat="1" applyFont="1" applyAlignment="1">
      <alignment horizontal="right" wrapText="1"/>
    </xf>
    <xf numFmtId="164" fontId="6" fillId="0" borderId="4" xfId="8" applyNumberFormat="1" applyAlignment="1">
      <alignment horizontal="right" wrapText="1"/>
    </xf>
    <xf numFmtId="0" fontId="12" fillId="0" borderId="0" xfId="0" applyFont="1"/>
    <xf numFmtId="0" fontId="2" fillId="2" borderId="0" xfId="0" applyFont="1" applyFill="1"/>
    <xf numFmtId="0" fontId="4" fillId="0" borderId="0" xfId="0" applyFont="1"/>
    <xf numFmtId="166" fontId="14" fillId="3" borderId="9" xfId="0" applyNumberFormat="1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left" vertical="top" wrapText="1"/>
    </xf>
    <xf numFmtId="0" fontId="13" fillId="5" borderId="9" xfId="0" applyFont="1" applyFill="1" applyBorder="1" applyAlignment="1">
      <alignment horizontal="left" vertical="top" wrapText="1"/>
    </xf>
    <xf numFmtId="166" fontId="15" fillId="5" borderId="9" xfId="0" applyNumberFormat="1" applyFont="1" applyFill="1" applyBorder="1" applyAlignment="1">
      <alignment horizontal="left" vertical="top" wrapText="1"/>
    </xf>
    <xf numFmtId="166" fontId="15" fillId="5" borderId="10" xfId="0" applyNumberFormat="1" applyFont="1" applyFill="1" applyBorder="1" applyAlignment="1">
      <alignment horizontal="left" vertical="top" wrapText="1"/>
    </xf>
    <xf numFmtId="166" fontId="15" fillId="5" borderId="12" xfId="0" applyNumberFormat="1" applyFont="1" applyFill="1" applyBorder="1" applyAlignment="1">
      <alignment horizontal="left" vertical="top" wrapText="1"/>
    </xf>
    <xf numFmtId="166" fontId="15" fillId="4" borderId="9" xfId="0" applyNumberFormat="1" applyFont="1" applyFill="1" applyBorder="1" applyAlignment="1">
      <alignment horizontal="left" vertical="top" wrapText="1"/>
    </xf>
    <xf numFmtId="166" fontId="15" fillId="4" borderId="10" xfId="0" applyNumberFormat="1" applyFont="1" applyFill="1" applyBorder="1" applyAlignment="1">
      <alignment horizontal="left" vertical="top" wrapText="1"/>
    </xf>
    <xf numFmtId="166" fontId="15" fillId="4" borderId="12" xfId="0" applyNumberFormat="1" applyFont="1" applyFill="1" applyBorder="1" applyAlignment="1">
      <alignment horizontal="left" vertical="top" wrapText="1"/>
    </xf>
    <xf numFmtId="167" fontId="15" fillId="5" borderId="9" xfId="0" applyNumberFormat="1" applyFont="1" applyFill="1" applyBorder="1" applyAlignment="1">
      <alignment horizontal="left" vertical="top" wrapText="1"/>
    </xf>
    <xf numFmtId="167" fontId="15" fillId="5" borderId="10" xfId="0" applyNumberFormat="1" applyFont="1" applyFill="1" applyBorder="1" applyAlignment="1">
      <alignment horizontal="left" vertical="top" wrapText="1"/>
    </xf>
    <xf numFmtId="167" fontId="15" fillId="5" borderId="12" xfId="0" applyNumberFormat="1" applyFont="1" applyFill="1" applyBorder="1" applyAlignment="1">
      <alignment horizontal="left" vertical="top" wrapText="1"/>
    </xf>
    <xf numFmtId="167" fontId="15" fillId="4" borderId="9" xfId="0" applyNumberFormat="1" applyFont="1" applyFill="1" applyBorder="1" applyAlignment="1">
      <alignment horizontal="left" vertical="top" wrapText="1"/>
    </xf>
    <xf numFmtId="167" fontId="15" fillId="4" borderId="10" xfId="0" applyNumberFormat="1" applyFont="1" applyFill="1" applyBorder="1" applyAlignment="1">
      <alignment horizontal="left" vertical="top" wrapText="1"/>
    </xf>
    <xf numFmtId="167" fontId="15" fillId="4" borderId="12" xfId="0" applyNumberFormat="1" applyFont="1" applyFill="1" applyBorder="1" applyAlignment="1">
      <alignment horizontal="left" vertical="top" wrapText="1"/>
    </xf>
    <xf numFmtId="0" fontId="17" fillId="3" borderId="8" xfId="0" applyFont="1" applyFill="1" applyBorder="1" applyAlignment="1">
      <alignment horizontal="center" wrapText="1"/>
    </xf>
    <xf numFmtId="0" fontId="17" fillId="3" borderId="8" xfId="0" applyFont="1" applyFill="1" applyBorder="1" applyAlignment="1">
      <alignment horizontal="left"/>
    </xf>
    <xf numFmtId="0" fontId="13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top" wrapText="1"/>
    </xf>
    <xf numFmtId="166" fontId="14" fillId="3" borderId="12" xfId="0" applyNumberFormat="1" applyFont="1" applyFill="1" applyBorder="1" applyAlignment="1">
      <alignment horizontal="left" vertical="top" wrapText="1"/>
    </xf>
    <xf numFmtId="0" fontId="13" fillId="5" borderId="10" xfId="0" applyFont="1" applyFill="1" applyBorder="1" applyAlignment="1">
      <alignment horizontal="left" vertical="top" wrapText="1"/>
    </xf>
    <xf numFmtId="168" fontId="15" fillId="4" borderId="12" xfId="0" applyNumberFormat="1" applyFont="1" applyFill="1" applyBorder="1" applyAlignment="1">
      <alignment horizontal="left" vertical="top" wrapText="1"/>
    </xf>
    <xf numFmtId="168" fontId="15" fillId="4" borderId="9" xfId="0" applyNumberFormat="1" applyFont="1" applyFill="1" applyBorder="1" applyAlignment="1">
      <alignment horizontal="left" vertical="top" wrapText="1"/>
    </xf>
    <xf numFmtId="0" fontId="18" fillId="5" borderId="12" xfId="0" applyFont="1" applyFill="1" applyBorder="1" applyAlignment="1">
      <alignment horizontal="left" vertical="top" wrapText="1"/>
    </xf>
    <xf numFmtId="168" fontId="15" fillId="5" borderId="9" xfId="0" applyNumberFormat="1" applyFont="1" applyFill="1" applyBorder="1" applyAlignment="1">
      <alignment horizontal="left" vertical="top" wrapText="1"/>
    </xf>
    <xf numFmtId="166" fontId="15" fillId="4" borderId="12" xfId="0" applyNumberFormat="1" applyFont="1" applyFill="1" applyBorder="1" applyAlignment="1">
      <alignment horizontal="right" vertical="top" wrapText="1"/>
    </xf>
    <xf numFmtId="166" fontId="15" fillId="4" borderId="9" xfId="0" applyNumberFormat="1" applyFont="1" applyFill="1" applyBorder="1" applyAlignment="1">
      <alignment horizontal="right" vertical="top" wrapText="1"/>
    </xf>
    <xf numFmtId="0" fontId="0" fillId="2" borderId="0" xfId="0" applyFill="1"/>
    <xf numFmtId="2" fontId="0" fillId="0" borderId="0" xfId="0" applyNumberFormat="1"/>
    <xf numFmtId="11" fontId="0" fillId="0" borderId="0" xfId="0" applyNumberFormat="1"/>
    <xf numFmtId="0" fontId="13" fillId="3" borderId="8" xfId="0" applyFont="1" applyFill="1" applyBorder="1" applyAlignment="1">
      <alignment horizontal="center" vertical="center" wrapText="1"/>
    </xf>
    <xf numFmtId="166" fontId="14" fillId="3" borderId="17" xfId="0" applyNumberFormat="1" applyFont="1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center" vertical="top" wrapText="1"/>
    </xf>
    <xf numFmtId="0" fontId="13" fillId="4" borderId="13" xfId="0" applyFont="1" applyFill="1" applyBorder="1" applyAlignment="1">
      <alignment horizontal="left" vertical="top" wrapText="1"/>
    </xf>
    <xf numFmtId="0" fontId="13" fillId="4" borderId="18" xfId="0" applyFont="1" applyFill="1" applyBorder="1" applyAlignment="1">
      <alignment horizontal="left" vertical="top" wrapText="1"/>
    </xf>
    <xf numFmtId="166" fontId="15" fillId="4" borderId="8" xfId="0" applyNumberFormat="1" applyFont="1" applyFill="1" applyBorder="1" applyAlignment="1">
      <alignment horizontal="left" vertical="top" wrapText="1"/>
    </xf>
    <xf numFmtId="166" fontId="15" fillId="4" borderId="17" xfId="0" applyNumberFormat="1" applyFont="1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166" fontId="15" fillId="4" borderId="13" xfId="0" applyNumberFormat="1" applyFont="1" applyFill="1" applyBorder="1" applyAlignment="1">
      <alignment horizontal="left" vertical="top" wrapText="1"/>
    </xf>
    <xf numFmtId="166" fontId="15" fillId="4" borderId="18" xfId="0" applyNumberFormat="1" applyFont="1" applyFill="1" applyBorder="1" applyAlignment="1">
      <alignment horizontal="left" vertical="top" wrapText="1"/>
    </xf>
    <xf numFmtId="0" fontId="2" fillId="6" borderId="0" xfId="0" applyFont="1" applyFill="1"/>
    <xf numFmtId="0" fontId="0" fillId="6" borderId="0" xfId="0" applyFill="1"/>
    <xf numFmtId="0" fontId="0" fillId="3" borderId="8" xfId="0" applyFill="1" applyBorder="1" applyAlignment="1">
      <alignment horizontal="left" vertical="top" wrapText="1"/>
    </xf>
    <xf numFmtId="0" fontId="13" fillId="4" borderId="15" xfId="0" applyFont="1" applyFill="1" applyBorder="1" applyAlignment="1">
      <alignment horizontal="left" vertical="top" wrapText="1"/>
    </xf>
    <xf numFmtId="169" fontId="15" fillId="4" borderId="9" xfId="0" applyNumberFormat="1" applyFont="1" applyFill="1" applyBorder="1" applyAlignment="1">
      <alignment horizontal="left" vertical="top" wrapText="1"/>
    </xf>
    <xf numFmtId="169" fontId="15" fillId="4" borderId="10" xfId="0" applyNumberFormat="1" applyFont="1" applyFill="1" applyBorder="1" applyAlignment="1">
      <alignment horizontal="left" vertical="top" wrapText="1"/>
    </xf>
    <xf numFmtId="169" fontId="15" fillId="4" borderId="12" xfId="0" applyNumberFormat="1" applyFont="1" applyFill="1" applyBorder="1" applyAlignment="1">
      <alignment horizontal="left" vertical="top" wrapText="1"/>
    </xf>
    <xf numFmtId="166" fontId="15" fillId="5" borderId="14" xfId="0" applyNumberFormat="1" applyFont="1" applyFill="1" applyBorder="1" applyAlignment="1">
      <alignment horizontal="right" vertical="top" wrapText="1"/>
    </xf>
    <xf numFmtId="166" fontId="15" fillId="5" borderId="8" xfId="0" applyNumberFormat="1" applyFont="1" applyFill="1" applyBorder="1" applyAlignment="1">
      <alignment horizontal="left" vertical="top" wrapText="1"/>
    </xf>
    <xf numFmtId="166" fontId="15" fillId="5" borderId="17" xfId="0" applyNumberFormat="1" applyFont="1" applyFill="1" applyBorder="1" applyAlignment="1">
      <alignment horizontal="right" vertical="top" wrapText="1"/>
    </xf>
    <xf numFmtId="0" fontId="0" fillId="5" borderId="15" xfId="0" applyFill="1" applyBorder="1" applyAlignment="1">
      <alignment horizontal="left" vertical="top" wrapText="1"/>
    </xf>
    <xf numFmtId="166" fontId="15" fillId="5" borderId="15" xfId="0" applyNumberFormat="1" applyFont="1" applyFill="1" applyBorder="1" applyAlignment="1">
      <alignment horizontal="left" vertical="top" wrapText="1"/>
    </xf>
    <xf numFmtId="166" fontId="15" fillId="5" borderId="13" xfId="0" applyNumberFormat="1" applyFont="1" applyFill="1" applyBorder="1" applyAlignment="1">
      <alignment horizontal="left" vertical="top" wrapText="1"/>
    </xf>
    <xf numFmtId="166" fontId="15" fillId="5" borderId="18" xfId="0" applyNumberFormat="1" applyFont="1" applyFill="1" applyBorder="1" applyAlignment="1">
      <alignment horizontal="left" vertical="top" wrapText="1"/>
    </xf>
    <xf numFmtId="167" fontId="15" fillId="4" borderId="14" xfId="0" applyNumberFormat="1" applyFont="1" applyFill="1" applyBorder="1" applyAlignment="1">
      <alignment horizontal="left" vertical="top" wrapText="1"/>
    </xf>
    <xf numFmtId="167" fontId="15" fillId="4" borderId="8" xfId="0" applyNumberFormat="1" applyFont="1" applyFill="1" applyBorder="1" applyAlignment="1">
      <alignment horizontal="left" vertical="top" wrapText="1"/>
    </xf>
    <xf numFmtId="167" fontId="15" fillId="4" borderId="17" xfId="0" applyNumberFormat="1" applyFont="1" applyFill="1" applyBorder="1" applyAlignment="1">
      <alignment horizontal="left" vertical="top" wrapText="1"/>
    </xf>
    <xf numFmtId="167" fontId="15" fillId="4" borderId="15" xfId="0" applyNumberFormat="1" applyFont="1" applyFill="1" applyBorder="1" applyAlignment="1">
      <alignment horizontal="left" vertical="top" wrapText="1"/>
    </xf>
    <xf numFmtId="167" fontId="15" fillId="4" borderId="13" xfId="0" applyNumberFormat="1" applyFont="1" applyFill="1" applyBorder="1" applyAlignment="1">
      <alignment horizontal="left" vertical="top" wrapText="1"/>
    </xf>
    <xf numFmtId="167" fontId="15" fillId="4" borderId="18" xfId="0" applyNumberFormat="1" applyFont="1" applyFill="1" applyBorder="1" applyAlignment="1">
      <alignment horizontal="left" vertical="top" wrapText="1"/>
    </xf>
    <xf numFmtId="167" fontId="15" fillId="5" borderId="14" xfId="0" applyNumberFormat="1" applyFont="1" applyFill="1" applyBorder="1" applyAlignment="1">
      <alignment horizontal="left" vertical="top" wrapText="1"/>
    </xf>
    <xf numFmtId="167" fontId="15" fillId="5" borderId="8" xfId="0" applyNumberFormat="1" applyFont="1" applyFill="1" applyBorder="1" applyAlignment="1">
      <alignment horizontal="left" vertical="top" wrapText="1"/>
    </xf>
    <xf numFmtId="167" fontId="15" fillId="5" borderId="17" xfId="0" applyNumberFormat="1" applyFont="1" applyFill="1" applyBorder="1" applyAlignment="1">
      <alignment horizontal="left" vertical="top" wrapText="1"/>
    </xf>
    <xf numFmtId="167" fontId="15" fillId="5" borderId="15" xfId="0" applyNumberFormat="1" applyFont="1" applyFill="1" applyBorder="1" applyAlignment="1">
      <alignment horizontal="left" vertical="top" wrapText="1"/>
    </xf>
    <xf numFmtId="167" fontId="15" fillId="5" borderId="13" xfId="0" applyNumberFormat="1" applyFont="1" applyFill="1" applyBorder="1" applyAlignment="1">
      <alignment horizontal="left" vertical="top" wrapText="1"/>
    </xf>
    <xf numFmtId="167" fontId="15" fillId="5" borderId="18" xfId="0" applyNumberFormat="1" applyFont="1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166" fontId="15" fillId="5" borderId="11" xfId="0" applyNumberFormat="1" applyFont="1" applyFill="1" applyBorder="1" applyAlignment="1">
      <alignment horizontal="left" vertical="top" wrapText="1"/>
    </xf>
    <xf numFmtId="166" fontId="15" fillId="5" borderId="17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4" borderId="19" xfId="0" applyFont="1" applyFill="1" applyBorder="1" applyAlignment="1">
      <alignment horizontal="left" vertical="top" wrapText="1"/>
    </xf>
    <xf numFmtId="0" fontId="13" fillId="4" borderId="14" xfId="0" applyFont="1" applyFill="1" applyBorder="1" applyAlignment="1">
      <alignment horizontal="left" vertical="top" wrapText="1"/>
    </xf>
    <xf numFmtId="0" fontId="13" fillId="5" borderId="14" xfId="0" applyFont="1" applyFill="1" applyBorder="1" applyAlignment="1">
      <alignment horizontal="left" vertical="top" wrapText="1"/>
    </xf>
    <xf numFmtId="43" fontId="0" fillId="0" borderId="0" xfId="1" applyFont="1"/>
    <xf numFmtId="43" fontId="0" fillId="0" borderId="0" xfId="0" applyNumberFormat="1"/>
    <xf numFmtId="166" fontId="15" fillId="5" borderId="10" xfId="0" applyNumberFormat="1" applyFont="1" applyFill="1" applyBorder="1" applyAlignment="1">
      <alignment horizontal="center" vertical="top" wrapText="1"/>
    </xf>
    <xf numFmtId="166" fontId="15" fillId="4" borderId="10" xfId="0" applyNumberFormat="1" applyFont="1" applyFill="1" applyBorder="1" applyAlignment="1">
      <alignment horizontal="center" vertical="top" wrapText="1"/>
    </xf>
    <xf numFmtId="166" fontId="15" fillId="4" borderId="11" xfId="0" applyNumberFormat="1" applyFont="1" applyFill="1" applyBorder="1" applyAlignment="1">
      <alignment horizontal="left" vertical="top" wrapText="1"/>
    </xf>
    <xf numFmtId="167" fontId="15" fillId="4" borderId="11" xfId="0" applyNumberFormat="1" applyFont="1" applyFill="1" applyBorder="1" applyAlignment="1">
      <alignment horizontal="left" vertical="top" wrapText="1"/>
    </xf>
    <xf numFmtId="167" fontId="15" fillId="5" borderId="11" xfId="0" applyNumberFormat="1" applyFont="1" applyFill="1" applyBorder="1" applyAlignment="1">
      <alignment horizontal="left" vertical="top" wrapText="1"/>
    </xf>
    <xf numFmtId="0" fontId="13" fillId="3" borderId="9" xfId="0" applyFont="1" applyFill="1" applyBorder="1" applyAlignment="1">
      <alignment horizontal="left" vertical="top" wrapText="1"/>
    </xf>
    <xf numFmtId="166" fontId="14" fillId="3" borderId="10" xfId="0" applyNumberFormat="1" applyFont="1" applyFill="1" applyBorder="1" applyAlignment="1">
      <alignment horizontal="left" vertical="top" wrapText="1"/>
    </xf>
    <xf numFmtId="0" fontId="13" fillId="4" borderId="9" xfId="0" applyFont="1" applyFill="1" applyBorder="1" applyAlignment="1">
      <alignment horizontal="center" vertical="top" wrapText="1"/>
    </xf>
    <xf numFmtId="166" fontId="15" fillId="5" borderId="9" xfId="0" applyNumberFormat="1" applyFont="1" applyFill="1" applyBorder="1" applyAlignment="1">
      <alignment horizontal="right" vertical="top" wrapText="1"/>
    </xf>
    <xf numFmtId="0" fontId="19" fillId="0" borderId="0" xfId="0" applyFont="1" applyAlignment="1">
      <alignment horizontal="left" vertical="top"/>
    </xf>
    <xf numFmtId="0" fontId="18" fillId="5" borderId="9" xfId="0" applyFont="1" applyFill="1" applyBorder="1" applyAlignment="1">
      <alignment horizontal="right" vertical="top" wrapText="1"/>
    </xf>
    <xf numFmtId="9" fontId="0" fillId="0" borderId="0" xfId="0" applyNumberFormat="1"/>
    <xf numFmtId="9" fontId="0" fillId="0" borderId="0" xfId="2" applyFont="1"/>
    <xf numFmtId="0" fontId="0" fillId="3" borderId="13" xfId="0" applyFill="1" applyBorder="1" applyAlignment="1">
      <alignment horizontal="left" vertical="top" wrapText="1"/>
    </xf>
    <xf numFmtId="0" fontId="0" fillId="4" borderId="19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left" vertical="top" wrapText="1"/>
    </xf>
    <xf numFmtId="166" fontId="15" fillId="5" borderId="10" xfId="0" applyNumberFormat="1" applyFont="1" applyFill="1" applyBorder="1" applyAlignment="1">
      <alignment horizontal="right" vertical="top" wrapText="1"/>
    </xf>
    <xf numFmtId="166" fontId="15" fillId="4" borderId="10" xfId="0" applyNumberFormat="1" applyFont="1" applyFill="1" applyBorder="1" applyAlignment="1">
      <alignment horizontal="right" vertical="top" wrapText="1"/>
    </xf>
    <xf numFmtId="166" fontId="15" fillId="5" borderId="14" xfId="0" applyNumberFormat="1" applyFont="1" applyFill="1" applyBorder="1" applyAlignment="1">
      <alignment horizontal="left" vertical="top" wrapText="1"/>
    </xf>
    <xf numFmtId="167" fontId="0" fillId="4" borderId="15" xfId="0" applyNumberFormat="1" applyFill="1" applyBorder="1" applyAlignment="1">
      <alignment horizontal="center" vertical="top" wrapText="1"/>
    </xf>
    <xf numFmtId="0" fontId="0" fillId="4" borderId="13" xfId="0" applyFill="1" applyBorder="1" applyAlignment="1">
      <alignment vertical="top" wrapText="1"/>
    </xf>
    <xf numFmtId="0" fontId="13" fillId="4" borderId="13" xfId="0" applyFont="1" applyFill="1" applyBorder="1" applyAlignment="1">
      <alignment vertical="top" wrapText="1"/>
    </xf>
    <xf numFmtId="167" fontId="15" fillId="5" borderId="8" xfId="0" applyNumberFormat="1" applyFont="1" applyFill="1" applyBorder="1" applyAlignment="1">
      <alignment vertical="top" wrapText="1"/>
    </xf>
    <xf numFmtId="167" fontId="15" fillId="5" borderId="13" xfId="0" applyNumberFormat="1" applyFont="1" applyFill="1" applyBorder="1" applyAlignment="1">
      <alignment vertical="top" wrapText="1"/>
    </xf>
    <xf numFmtId="167" fontId="15" fillId="4" borderId="8" xfId="0" applyNumberFormat="1" applyFont="1" applyFill="1" applyBorder="1" applyAlignment="1">
      <alignment vertical="top" wrapText="1"/>
    </xf>
    <xf numFmtId="167" fontId="15" fillId="4" borderId="13" xfId="0" applyNumberFormat="1" applyFont="1" applyFill="1" applyBorder="1" applyAlignment="1">
      <alignment vertical="top" wrapText="1"/>
    </xf>
    <xf numFmtId="170" fontId="0" fillId="2" borderId="0" xfId="0" applyNumberFormat="1" applyFill="1"/>
    <xf numFmtId="0" fontId="20" fillId="0" borderId="0" xfId="0" applyFont="1"/>
    <xf numFmtId="0" fontId="21" fillId="0" borderId="0" xfId="11"/>
    <xf numFmtId="14" fontId="21" fillId="0" borderId="0" xfId="11" applyNumberFormat="1"/>
    <xf numFmtId="170" fontId="0" fillId="0" borderId="0" xfId="0" applyNumberFormat="1"/>
    <xf numFmtId="0" fontId="0" fillId="0" borderId="0" xfId="0" applyAlignment="1">
      <alignment wrapText="1"/>
    </xf>
    <xf numFmtId="171" fontId="0" fillId="0" borderId="0" xfId="0" applyNumberFormat="1"/>
    <xf numFmtId="172" fontId="0" fillId="0" borderId="0" xfId="0" applyNumberFormat="1"/>
    <xf numFmtId="174" fontId="23" fillId="8" borderId="0" xfId="1" applyNumberFormat="1" applyFont="1" applyFill="1" applyBorder="1" applyAlignment="1">
      <alignment horizontal="right" vertical="center"/>
    </xf>
    <xf numFmtId="1" fontId="0" fillId="0" borderId="0" xfId="0" applyNumberFormat="1"/>
    <xf numFmtId="173" fontId="0" fillId="0" borderId="0" xfId="0" applyNumberFormat="1"/>
    <xf numFmtId="10" fontId="0" fillId="0" borderId="0" xfId="0" applyNumberFormat="1"/>
    <xf numFmtId="0" fontId="13" fillId="4" borderId="10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3" borderId="8" xfId="0" applyFont="1" applyFill="1" applyBorder="1" applyAlignment="1">
      <alignment horizontal="center" wrapText="1"/>
    </xf>
    <xf numFmtId="0" fontId="13" fillId="4" borderId="14" xfId="0" applyFont="1" applyFill="1" applyBorder="1" applyAlignment="1">
      <alignment horizontal="left" vertical="center" wrapText="1"/>
    </xf>
    <xf numFmtId="0" fontId="13" fillId="5" borderId="14" xfId="0" applyFont="1" applyFill="1" applyBorder="1" applyAlignment="1">
      <alignment horizontal="left" vertical="center" wrapText="1"/>
    </xf>
    <xf numFmtId="166" fontId="14" fillId="3" borderId="8" xfId="0" applyNumberFormat="1" applyFont="1" applyFill="1" applyBorder="1" applyAlignment="1">
      <alignment horizontal="left" vertical="top" wrapText="1"/>
    </xf>
    <xf numFmtId="166" fontId="14" fillId="3" borderId="16" xfId="0" applyNumberFormat="1" applyFont="1" applyFill="1" applyBorder="1" applyAlignment="1">
      <alignment horizontal="left" vertical="top" wrapText="1"/>
    </xf>
    <xf numFmtId="0" fontId="6" fillId="0" borderId="1" xfId="6">
      <alignment wrapText="1"/>
    </xf>
    <xf numFmtId="0" fontId="24" fillId="0" borderId="0" xfId="11" applyFont="1"/>
    <xf numFmtId="0" fontId="10" fillId="0" borderId="0" xfId="11" applyFont="1"/>
    <xf numFmtId="0" fontId="25" fillId="0" borderId="0" xfId="4" applyFont="1">
      <alignment horizontal="left"/>
    </xf>
    <xf numFmtId="0" fontId="26" fillId="0" borderId="0" xfId="0" applyFont="1" applyAlignment="1">
      <alignment horizontal="right"/>
    </xf>
    <xf numFmtId="0" fontId="12" fillId="0" borderId="0" xfId="10" applyFont="1"/>
    <xf numFmtId="0" fontId="12" fillId="0" borderId="0" xfId="0" applyFont="1" applyAlignment="1">
      <alignment horizontal="left"/>
    </xf>
    <xf numFmtId="0" fontId="26" fillId="0" borderId="1" xfId="6" applyFont="1">
      <alignment wrapText="1"/>
    </xf>
    <xf numFmtId="0" fontId="26" fillId="0" borderId="1" xfId="6" applyFont="1" applyAlignment="1">
      <alignment horizontal="right"/>
    </xf>
    <xf numFmtId="0" fontId="26" fillId="0" borderId="4" xfId="8" applyFont="1">
      <alignment wrapText="1"/>
    </xf>
    <xf numFmtId="0" fontId="12" fillId="0" borderId="3" xfId="7" applyFont="1">
      <alignment wrapText="1"/>
    </xf>
    <xf numFmtId="4" fontId="12" fillId="0" borderId="3" xfId="7" applyNumberFormat="1" applyFont="1" applyAlignment="1">
      <alignment horizontal="right" wrapText="1"/>
    </xf>
    <xf numFmtId="164" fontId="12" fillId="0" borderId="3" xfId="7" applyNumberFormat="1" applyFont="1" applyAlignment="1">
      <alignment horizontal="right" wrapText="1"/>
    </xf>
    <xf numFmtId="4" fontId="26" fillId="0" borderId="4" xfId="8" applyNumberFormat="1" applyFont="1" applyAlignment="1">
      <alignment horizontal="right" wrapText="1"/>
    </xf>
    <xf numFmtId="164" fontId="26" fillId="0" borderId="4" xfId="8" applyNumberFormat="1" applyFont="1" applyAlignment="1">
      <alignment horizontal="right" wrapText="1"/>
    </xf>
    <xf numFmtId="3" fontId="26" fillId="0" borderId="4" xfId="8" applyNumberFormat="1" applyFont="1" applyAlignment="1">
      <alignment horizontal="right" wrapText="1"/>
    </xf>
    <xf numFmtId="165" fontId="12" fillId="0" borderId="3" xfId="7" applyNumberFormat="1" applyFont="1" applyAlignment="1">
      <alignment horizontal="right" wrapText="1"/>
    </xf>
    <xf numFmtId="4" fontId="26" fillId="0" borderId="4" xfId="8" applyNumberFormat="1" applyFont="1">
      <alignment wrapText="1"/>
    </xf>
    <xf numFmtId="164" fontId="26" fillId="0" borderId="4" xfId="8" applyNumberFormat="1" applyFont="1">
      <alignment wrapText="1"/>
    </xf>
    <xf numFmtId="3" fontId="12" fillId="0" borderId="3" xfId="7" applyNumberFormat="1" applyFont="1" applyAlignment="1">
      <alignment horizontal="right" wrapText="1"/>
    </xf>
    <xf numFmtId="0" fontId="12" fillId="0" borderId="5" xfId="9" applyFont="1" applyAlignment="1"/>
    <xf numFmtId="0" fontId="21" fillId="0" borderId="7" xfId="11" applyBorder="1"/>
    <xf numFmtId="0" fontId="0" fillId="0" borderId="7" xfId="0" applyBorder="1"/>
    <xf numFmtId="0" fontId="12" fillId="0" borderId="0" xfId="11" applyFont="1"/>
    <xf numFmtId="0" fontId="0" fillId="9" borderId="0" xfId="0" applyFill="1"/>
    <xf numFmtId="10" fontId="0" fillId="9" borderId="0" xfId="0" applyNumberFormat="1" applyFill="1"/>
    <xf numFmtId="0" fontId="0" fillId="10" borderId="0" xfId="0" applyFill="1"/>
    <xf numFmtId="10" fontId="0" fillId="10" borderId="0" xfId="0" applyNumberFormat="1" applyFill="1"/>
    <xf numFmtId="0" fontId="0" fillId="11" borderId="0" xfId="0" applyFill="1"/>
    <xf numFmtId="10" fontId="0" fillId="11" borderId="0" xfId="0" applyNumberFormat="1" applyFill="1"/>
    <xf numFmtId="0" fontId="0" fillId="12" borderId="0" xfId="0" applyFill="1"/>
    <xf numFmtId="10" fontId="0" fillId="12" borderId="0" xfId="0" applyNumberFormat="1" applyFill="1"/>
    <xf numFmtId="0" fontId="0" fillId="13" borderId="0" xfId="0" applyFill="1"/>
    <xf numFmtId="10" fontId="0" fillId="13" borderId="0" xfId="0" applyNumberFormat="1" applyFill="1"/>
    <xf numFmtId="3" fontId="0" fillId="0" borderId="0" xfId="0" applyNumberFormat="1" applyAlignment="1">
      <alignment horizontal="left"/>
    </xf>
    <xf numFmtId="0" fontId="3" fillId="0" borderId="0" xfId="3" applyAlignment="1">
      <alignment wrapText="1"/>
    </xf>
    <xf numFmtId="0" fontId="15" fillId="0" borderId="0" xfId="0" applyFont="1"/>
    <xf numFmtId="166" fontId="14" fillId="3" borderId="11" xfId="0" applyNumberFormat="1" applyFont="1" applyFill="1" applyBorder="1" applyAlignment="1">
      <alignment horizontal="center" vertical="top" wrapText="1"/>
    </xf>
    <xf numFmtId="166" fontId="14" fillId="3" borderId="12" xfId="0" applyNumberFormat="1" applyFont="1" applyFill="1" applyBorder="1" applyAlignment="1">
      <alignment horizontal="center" vertical="top" wrapText="1"/>
    </xf>
    <xf numFmtId="166" fontId="14" fillId="3" borderId="10" xfId="0" applyNumberFormat="1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3" borderId="8" xfId="0" applyFont="1" applyFill="1" applyBorder="1" applyAlignment="1">
      <alignment horizontal="center" wrapText="1"/>
    </xf>
    <xf numFmtId="0" fontId="13" fillId="3" borderId="13" xfId="0" applyFont="1" applyFill="1" applyBorder="1" applyAlignment="1">
      <alignment horizontal="center" wrapText="1"/>
    </xf>
    <xf numFmtId="0" fontId="13" fillId="4" borderId="8" xfId="0" applyFont="1" applyFill="1" applyBorder="1" applyAlignment="1">
      <alignment horizontal="left" wrapText="1"/>
    </xf>
    <xf numFmtId="0" fontId="13" fillId="4" borderId="13" xfId="0" applyFont="1" applyFill="1" applyBorder="1" applyAlignment="1">
      <alignment horizontal="left" wrapText="1"/>
    </xf>
    <xf numFmtId="0" fontId="13" fillId="5" borderId="8" xfId="0" applyFont="1" applyFill="1" applyBorder="1" applyAlignment="1">
      <alignment horizontal="left" vertical="top" wrapText="1"/>
    </xf>
    <xf numFmtId="0" fontId="13" fillId="5" borderId="13" xfId="0" applyFont="1" applyFill="1" applyBorder="1" applyAlignment="1">
      <alignment horizontal="left" vertical="top" wrapText="1"/>
    </xf>
    <xf numFmtId="0" fontId="13" fillId="3" borderId="14" xfId="0" applyFont="1" applyFill="1" applyBorder="1" applyAlignment="1">
      <alignment horizontal="center" wrapText="1"/>
    </xf>
    <xf numFmtId="0" fontId="13" fillId="3" borderId="15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 vertical="top" wrapText="1"/>
    </xf>
    <xf numFmtId="0" fontId="16" fillId="3" borderId="12" xfId="0" applyFont="1" applyFill="1" applyBorder="1" applyAlignment="1">
      <alignment horizontal="center" vertical="top" wrapText="1"/>
    </xf>
    <xf numFmtId="0" fontId="13" fillId="4" borderId="14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  <xf numFmtId="0" fontId="13" fillId="5" borderId="14" xfId="0" applyFont="1" applyFill="1" applyBorder="1" applyAlignment="1">
      <alignment horizontal="left" vertical="center" wrapText="1"/>
    </xf>
    <xf numFmtId="0" fontId="13" fillId="5" borderId="15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center" vertical="top" wrapText="1"/>
    </xf>
    <xf numFmtId="0" fontId="13" fillId="3" borderId="12" xfId="0" applyFont="1" applyFill="1" applyBorder="1" applyAlignment="1">
      <alignment horizontal="center" vertical="top" wrapText="1"/>
    </xf>
    <xf numFmtId="0" fontId="13" fillId="3" borderId="10" xfId="0" applyFont="1" applyFill="1" applyBorder="1" applyAlignment="1">
      <alignment horizontal="left" vertical="top" wrapText="1"/>
    </xf>
    <xf numFmtId="0" fontId="13" fillId="3" borderId="12" xfId="0" applyFont="1" applyFill="1" applyBorder="1" applyAlignment="1">
      <alignment horizontal="left" vertical="top" wrapText="1"/>
    </xf>
    <xf numFmtId="166" fontId="14" fillId="3" borderId="16" xfId="0" applyNumberFormat="1" applyFont="1" applyFill="1" applyBorder="1" applyAlignment="1">
      <alignment horizontal="center" vertical="top" wrapText="1"/>
    </xf>
    <xf numFmtId="166" fontId="14" fillId="3" borderId="8" xfId="0" applyNumberFormat="1" applyFont="1" applyFill="1" applyBorder="1" applyAlignment="1">
      <alignment horizontal="left" vertical="top" wrapText="1"/>
    </xf>
    <xf numFmtId="166" fontId="14" fillId="3" borderId="16" xfId="0" applyNumberFormat="1" applyFont="1" applyFill="1" applyBorder="1" applyAlignment="1">
      <alignment horizontal="left" vertical="top" wrapText="1"/>
    </xf>
    <xf numFmtId="166" fontId="14" fillId="3" borderId="8" xfId="0" applyNumberFormat="1" applyFont="1" applyFill="1" applyBorder="1" applyAlignment="1">
      <alignment horizontal="center" vertical="top" wrapText="1"/>
    </xf>
    <xf numFmtId="0" fontId="8" fillId="0" borderId="7" xfId="9" applyFont="1" applyBorder="1" applyAlignment="1">
      <alignment wrapText="1"/>
    </xf>
    <xf numFmtId="0" fontId="15" fillId="14" borderId="0" xfId="0" applyFont="1" applyFill="1" applyBorder="1" applyAlignment="1"/>
    <xf numFmtId="0" fontId="15" fillId="0" borderId="0" xfId="0" applyFont="1" applyFill="1" applyBorder="1" applyAlignment="1"/>
    <xf numFmtId="0" fontId="15" fillId="15" borderId="0" xfId="0" applyFont="1" applyFill="1" applyBorder="1" applyAlignment="1"/>
    <xf numFmtId="0" fontId="27" fillId="15" borderId="0" xfId="0" applyFont="1" applyFill="1" applyBorder="1" applyAlignment="1"/>
    <xf numFmtId="0" fontId="27" fillId="14" borderId="0" xfId="0" applyFont="1" applyFill="1" applyBorder="1" applyAlignment="1"/>
    <xf numFmtId="0" fontId="0" fillId="0" borderId="0" xfId="0" applyAlignment="1"/>
  </cellXfs>
  <cellStyles count="13">
    <cellStyle name="20% - Accent6 7" xfId="12" xr:uid="{00000000-0005-0000-0000-000000000000}"/>
    <cellStyle name="Body: normal cell" xfId="7" xr:uid="{00000000-0005-0000-0000-000001000000}"/>
    <cellStyle name="Comma" xfId="1" builtinId="3"/>
    <cellStyle name="Font: Calibri, 9pt regular" xfId="10" xr:uid="{00000000-0005-0000-0000-000003000000}"/>
    <cellStyle name="Footnotes: top row" xfId="9" xr:uid="{00000000-0005-0000-0000-000004000000}"/>
    <cellStyle name="Header: bottom row" xfId="6" xr:uid="{00000000-0005-0000-0000-000005000000}"/>
    <cellStyle name="Header: top rows" xfId="5" xr:uid="{00000000-0005-0000-0000-000006000000}"/>
    <cellStyle name="Hyperlink" xfId="3" builtinId="8"/>
    <cellStyle name="Normal" xfId="0" builtinId="0"/>
    <cellStyle name="Normal 2" xfId="11" xr:uid="{00000000-0005-0000-0000-000009000000}"/>
    <cellStyle name="Parent row" xfId="8" xr:uid="{00000000-0005-0000-0000-00000A000000}"/>
    <cellStyle name="Percent" xfId="2" builtinId="5"/>
    <cellStyle name="Table title" xfId="4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rvis\Dropbox%20(Energy%20InNovation)\My%20Documents\Energy%20Policy%20Solutions\US\Models\eps-us\InputData\bldgs\BCEU\BAU%20Components%20Energy%20U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han\Dropbox%20(Energy%20Innovation)\EPS%20Documents\Regional%20Adaptation%20Work\India\IESSV2-Webtool-10.0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cha.richa\Downloads\ICpUEfEBE%20(2)\_US\Incr%20Cost%20per%20Unit%20E%20for%20Electrified%20Building%20Equipment_US.xlsx" TargetMode="External"/><Relationship Id="rId1" Type="http://schemas.openxmlformats.org/officeDocument/2006/relationships/externalLinkPath" Target="file:///C:\Users\Richa.richa\Downloads\ICpUEfEBE%20(2)\_US\Incr%20Cost%20per%20Unit%20E%20for%20Electrified%20Building%20Equipment_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4"/>
      <sheetName val="AEO Table 5"/>
      <sheetName val="District Heat"/>
      <sheetName val="RECS HC2.1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IESS V2 Results"/>
      <sheetName val="Intermediate output"/>
      <sheetName val="Charts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IV"/>
      <sheetName val="XV.a"/>
      <sheetName val="XV.b"/>
      <sheetName val="XV.c"/>
      <sheetName val="XVI"/>
      <sheetName val="XVII.a"/>
      <sheetName val="XVII.b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EIA Costs"/>
      <sheetName val="AEO22 Table 4"/>
      <sheetName val="AEO23 Table 4"/>
      <sheetName val="AEO22 Table 21"/>
      <sheetName val="AEO23 Table 21"/>
      <sheetName val="NREL EF Table 22"/>
      <sheetName val="NREL EF Table 23"/>
      <sheetName val="Calculations"/>
      <sheetName val="ICpUEfEBE-urb-res-heating"/>
      <sheetName val="ICpUEfEBE-urb-res-appl"/>
      <sheetName val="ICpUEfEBE-urb-res-other"/>
      <sheetName val="ICpUEfEBE-rur-res-heating"/>
      <sheetName val="ICpUEfEBE-rur-res-appl"/>
      <sheetName val="ICpUEfEBE-rur-res-other"/>
      <sheetName val="ICpUEfEBE-com-heating"/>
      <sheetName val="ICpUEfEBE-com-appl"/>
      <sheetName val="ICpUEfEBE-com-other"/>
    </sheetNames>
    <sheetDataSet>
      <sheetData sheetId="0"/>
      <sheetData sheetId="1">
        <row r="136">
          <cell r="D136">
            <v>4300</v>
          </cell>
        </row>
        <row r="137">
          <cell r="D137">
            <v>6150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8osti/70485.pdf" TargetMode="External"/><Relationship Id="rId2" Type="http://schemas.openxmlformats.org/officeDocument/2006/relationships/hyperlink" Target="https://data.nrel.gov/system/files/93/EFS_70485_figure_data.xlsx" TargetMode="External"/><Relationship Id="rId1" Type="http://schemas.openxmlformats.org/officeDocument/2006/relationships/hyperlink" Target="https://www.eia.gov/analysis/studies/buildings/equipcosts/pdf/full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indiaenergy.gov.in/iess/docs/IESS_Version3.xlsx" TargetMode="External"/><Relationship Id="rId4" Type="http://schemas.openxmlformats.org/officeDocument/2006/relationships/hyperlink" Target="https://www.eia.gov/outlooks/aeo/tables_side.php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opLeftCell="A48" workbookViewId="0">
      <selection activeCell="B58" sqref="B58"/>
    </sheetView>
  </sheetViews>
  <sheetFormatPr defaultRowHeight="15"/>
  <cols>
    <col min="1" max="1" width="13.28515625" customWidth="1"/>
    <col min="2" max="2" width="69.42578125" customWidth="1"/>
    <col min="4" max="4" width="61.85546875" customWidth="1"/>
  </cols>
  <sheetData>
    <row r="1" spans="1:4">
      <c r="A1" s="1" t="s">
        <v>0</v>
      </c>
    </row>
    <row r="3" spans="1:4">
      <c r="A3" s="1" t="s">
        <v>1</v>
      </c>
      <c r="B3" s="10" t="s">
        <v>2</v>
      </c>
      <c r="D3" s="10" t="s">
        <v>3</v>
      </c>
    </row>
    <row r="4" spans="1:4">
      <c r="B4" t="s">
        <v>4</v>
      </c>
      <c r="D4" t="s">
        <v>5</v>
      </c>
    </row>
    <row r="5" spans="1:4">
      <c r="B5" s="2">
        <v>2018</v>
      </c>
      <c r="D5" s="2">
        <v>2018</v>
      </c>
    </row>
    <row r="6" spans="1:4">
      <c r="B6" t="s">
        <v>6</v>
      </c>
      <c r="D6" t="s">
        <v>7</v>
      </c>
    </row>
    <row r="7" spans="1:4">
      <c r="B7" s="3" t="s">
        <v>8</v>
      </c>
      <c r="D7" s="3" t="s">
        <v>9</v>
      </c>
    </row>
    <row r="8" spans="1:4">
      <c r="B8" t="s">
        <v>10</v>
      </c>
      <c r="D8" t="s">
        <v>11</v>
      </c>
    </row>
    <row r="10" spans="1:4">
      <c r="B10" s="10" t="s">
        <v>12</v>
      </c>
      <c r="D10" s="10" t="s">
        <v>13</v>
      </c>
    </row>
    <row r="11" spans="1:4">
      <c r="B11" t="s">
        <v>14</v>
      </c>
      <c r="D11" t="s">
        <v>5</v>
      </c>
    </row>
    <row r="12" spans="1:4">
      <c r="B12" s="2">
        <v>2021</v>
      </c>
      <c r="D12" s="2">
        <v>2018</v>
      </c>
    </row>
    <row r="13" spans="1:4">
      <c r="B13" t="s">
        <v>15</v>
      </c>
      <c r="D13" t="s">
        <v>16</v>
      </c>
    </row>
    <row r="14" spans="1:4">
      <c r="B14" t="s">
        <v>17</v>
      </c>
      <c r="D14" s="3" t="s">
        <v>18</v>
      </c>
    </row>
    <row r="15" spans="1:4">
      <c r="D15" t="s">
        <v>19</v>
      </c>
    </row>
    <row r="16" spans="1:4">
      <c r="B16" s="10" t="s">
        <v>20</v>
      </c>
    </row>
    <row r="17" spans="1:4">
      <c r="B17" s="2" t="s">
        <v>21</v>
      </c>
      <c r="D17" s="10" t="s">
        <v>22</v>
      </c>
    </row>
    <row r="18" spans="1:4">
      <c r="B18" s="2">
        <v>2023</v>
      </c>
      <c r="D18" t="s">
        <v>4</v>
      </c>
    </row>
    <row r="19" spans="1:4">
      <c r="B19" s="120" t="s">
        <v>23</v>
      </c>
      <c r="D19" s="168">
        <v>20222023</v>
      </c>
    </row>
    <row r="20" spans="1:4">
      <c r="B20" s="169" t="s">
        <v>24</v>
      </c>
      <c r="D20" t="s">
        <v>25</v>
      </c>
    </row>
    <row r="21" spans="1:4">
      <c r="B21" t="s">
        <v>26</v>
      </c>
      <c r="D21" s="3" t="s">
        <v>27</v>
      </c>
    </row>
    <row r="22" spans="1:4">
      <c r="D22" t="s">
        <v>28</v>
      </c>
    </row>
    <row r="24" spans="1:4">
      <c r="A24" s="1" t="s">
        <v>29</v>
      </c>
    </row>
    <row r="25" spans="1:4">
      <c r="A25" t="s">
        <v>30</v>
      </c>
    </row>
    <row r="26" spans="1:4">
      <c r="A26" t="s">
        <v>31</v>
      </c>
    </row>
    <row r="28" spans="1:4">
      <c r="A28" s="1" t="s">
        <v>32</v>
      </c>
    </row>
    <row r="29" spans="1:4">
      <c r="A29" t="s">
        <v>33</v>
      </c>
    </row>
    <row r="30" spans="1:4">
      <c r="A30" t="s">
        <v>34</v>
      </c>
    </row>
    <row r="32" spans="1:4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7" spans="1:1">
      <c r="A37" t="s">
        <v>39</v>
      </c>
    </row>
    <row r="39" spans="1:1">
      <c r="A39" s="1" t="s">
        <v>40</v>
      </c>
    </row>
    <row r="40" spans="1:1">
      <c r="A40" t="s">
        <v>41</v>
      </c>
    </row>
    <row r="41" spans="1:1">
      <c r="A41" t="s">
        <v>42</v>
      </c>
    </row>
    <row r="42" spans="1:1">
      <c r="A42" t="s">
        <v>43</v>
      </c>
    </row>
    <row r="43" spans="1:1">
      <c r="A43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2">
      <c r="A49" t="s">
        <v>49</v>
      </c>
    </row>
    <row r="51" spans="1:2">
      <c r="A51" t="s">
        <v>50</v>
      </c>
    </row>
    <row r="52" spans="1:2">
      <c r="A52" t="s">
        <v>51</v>
      </c>
    </row>
    <row r="53" spans="1:2">
      <c r="A53" t="s">
        <v>52</v>
      </c>
    </row>
    <row r="54" spans="1:2">
      <c r="A54" t="s">
        <v>53</v>
      </c>
    </row>
    <row r="56" spans="1:2">
      <c r="A56" t="s">
        <v>54</v>
      </c>
    </row>
    <row r="57" spans="1:2">
      <c r="A57" t="s">
        <v>55</v>
      </c>
    </row>
    <row r="58" spans="1:2">
      <c r="B58">
        <v>54.77</v>
      </c>
    </row>
    <row r="59" spans="1:2">
      <c r="A59" s="1" t="s">
        <v>56</v>
      </c>
    </row>
    <row r="60" spans="1:2">
      <c r="A60">
        <v>0.93665959530026111</v>
      </c>
    </row>
    <row r="61" spans="1:2">
      <c r="A61" s="1" t="s">
        <v>57</v>
      </c>
    </row>
    <row r="62" spans="1:2">
      <c r="A62">
        <v>0.95661376543184151</v>
      </c>
    </row>
    <row r="64" spans="1:2">
      <c r="A64" s="1" t="s">
        <v>58</v>
      </c>
    </row>
    <row r="65" spans="1:1">
      <c r="A65">
        <v>2012</v>
      </c>
    </row>
  </sheetData>
  <hyperlinks>
    <hyperlink ref="B7" r:id="rId1" xr:uid="{00000000-0004-0000-0000-000000000000}"/>
    <hyperlink ref="D7" r:id="rId2" xr:uid="{00000000-0004-0000-0000-000001000000}"/>
    <hyperlink ref="D14" r:id="rId3" xr:uid="{00000000-0004-0000-0000-000002000000}"/>
    <hyperlink ref="D21" r:id="rId4" xr:uid="{03531B42-0DAD-4602-BC1E-DA164C588A54}"/>
    <hyperlink ref="B20" r:id="rId5" xr:uid="{56B61B63-DB30-4150-B26B-5B1ADF912371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topLeftCell="A42" workbookViewId="0">
      <selection activeCell="Q14" sqref="Q14"/>
    </sheetView>
  </sheetViews>
  <sheetFormatPr defaultRowHeight="15"/>
  <cols>
    <col min="1" max="1" width="28" bestFit="1" customWidth="1"/>
    <col min="16" max="16" width="12" bestFit="1" customWidth="1"/>
  </cols>
  <sheetData>
    <row r="1" spans="1:15" ht="18.75">
      <c r="A1" s="28" t="s">
        <v>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>
      <c r="A2" s="182" t="s">
        <v>60</v>
      </c>
      <c r="B2" s="12">
        <v>2009</v>
      </c>
      <c r="C2" s="12">
        <v>2015</v>
      </c>
      <c r="D2" s="173">
        <v>2017</v>
      </c>
      <c r="E2" s="171"/>
      <c r="F2" s="171"/>
      <c r="G2" s="172"/>
      <c r="H2" s="173">
        <v>2020</v>
      </c>
      <c r="I2" s="172"/>
      <c r="J2" s="173">
        <v>2030</v>
      </c>
      <c r="K2" s="172"/>
      <c r="L2" s="173">
        <v>2040</v>
      </c>
      <c r="M2" s="172"/>
      <c r="N2" s="173">
        <v>2050</v>
      </c>
      <c r="O2" s="172"/>
    </row>
    <row r="3" spans="1:15" ht="45">
      <c r="A3" s="183"/>
      <c r="B3" s="13" t="s">
        <v>61</v>
      </c>
      <c r="C3" s="13" t="s">
        <v>61</v>
      </c>
      <c r="D3" s="13" t="s">
        <v>62</v>
      </c>
      <c r="E3" s="29" t="s">
        <v>63</v>
      </c>
      <c r="F3" s="30" t="s">
        <v>64</v>
      </c>
      <c r="G3" s="29" t="s">
        <v>65</v>
      </c>
      <c r="H3" s="29" t="s">
        <v>63</v>
      </c>
      <c r="I3" s="29" t="s">
        <v>65</v>
      </c>
      <c r="J3" s="29" t="s">
        <v>63</v>
      </c>
      <c r="K3" s="29" t="s">
        <v>65</v>
      </c>
      <c r="L3" s="29" t="s">
        <v>63</v>
      </c>
      <c r="M3" s="29" t="s">
        <v>65</v>
      </c>
      <c r="N3" s="29" t="s">
        <v>63</v>
      </c>
      <c r="O3" s="29" t="s">
        <v>65</v>
      </c>
    </row>
    <row r="4" spans="1:15" ht="30">
      <c r="A4" s="14" t="s">
        <v>66</v>
      </c>
      <c r="B4" s="15">
        <v>80</v>
      </c>
      <c r="C4" s="15">
        <v>80</v>
      </c>
      <c r="D4" s="15">
        <v>80</v>
      </c>
      <c r="E4" s="15">
        <v>80</v>
      </c>
      <c r="F4" s="15">
        <v>80</v>
      </c>
      <c r="G4" s="15">
        <v>80</v>
      </c>
      <c r="H4" s="15">
        <v>80</v>
      </c>
      <c r="I4" s="15">
        <v>80</v>
      </c>
      <c r="J4" s="15">
        <v>80</v>
      </c>
      <c r="K4" s="15">
        <v>80</v>
      </c>
      <c r="L4" s="15">
        <v>80</v>
      </c>
      <c r="M4" s="15">
        <v>80</v>
      </c>
      <c r="N4" s="15">
        <v>80</v>
      </c>
      <c r="O4" s="15">
        <v>80</v>
      </c>
    </row>
    <row r="5" spans="1:15">
      <c r="A5" s="13" t="s">
        <v>67</v>
      </c>
      <c r="B5" s="18">
        <v>80</v>
      </c>
      <c r="C5" s="18">
        <v>80</v>
      </c>
      <c r="D5" s="18">
        <v>80</v>
      </c>
      <c r="E5" s="18">
        <v>80</v>
      </c>
      <c r="F5" s="18">
        <v>90</v>
      </c>
      <c r="G5" s="18">
        <v>99</v>
      </c>
      <c r="H5" s="18">
        <v>80</v>
      </c>
      <c r="I5" s="18">
        <v>99</v>
      </c>
      <c r="J5" s="18">
        <v>80</v>
      </c>
      <c r="K5" s="18">
        <v>99</v>
      </c>
      <c r="L5" s="18">
        <v>80</v>
      </c>
      <c r="M5" s="18">
        <v>99</v>
      </c>
      <c r="N5" s="18">
        <v>80</v>
      </c>
      <c r="O5" s="18">
        <v>99</v>
      </c>
    </row>
    <row r="6" spans="1:15" ht="30">
      <c r="A6" s="14" t="s">
        <v>68</v>
      </c>
      <c r="B6" s="15">
        <v>548</v>
      </c>
      <c r="C6" s="15">
        <v>522</v>
      </c>
      <c r="D6" s="15">
        <v>470</v>
      </c>
      <c r="E6" s="15">
        <v>470</v>
      </c>
      <c r="F6" s="15">
        <v>408</v>
      </c>
      <c r="G6" s="15">
        <v>418</v>
      </c>
      <c r="H6" s="15">
        <v>329</v>
      </c>
      <c r="I6" s="15">
        <v>334</v>
      </c>
      <c r="J6" s="15">
        <v>329</v>
      </c>
      <c r="K6" s="15">
        <v>334</v>
      </c>
      <c r="L6" s="15">
        <v>329</v>
      </c>
      <c r="M6" s="15">
        <v>334</v>
      </c>
      <c r="N6" s="15">
        <v>329</v>
      </c>
      <c r="O6" s="15">
        <v>334</v>
      </c>
    </row>
    <row r="7" spans="1:15">
      <c r="A7" s="186" t="s">
        <v>69</v>
      </c>
      <c r="B7" s="18">
        <v>16</v>
      </c>
      <c r="C7" s="18">
        <v>16</v>
      </c>
      <c r="D7" s="18">
        <v>16</v>
      </c>
      <c r="E7" s="18">
        <v>16</v>
      </c>
      <c r="F7" s="18">
        <v>16</v>
      </c>
      <c r="G7" s="18">
        <v>16</v>
      </c>
      <c r="H7" s="18">
        <v>16</v>
      </c>
      <c r="I7" s="18">
        <v>16</v>
      </c>
      <c r="J7" s="18">
        <v>16</v>
      </c>
      <c r="K7" s="18">
        <v>16</v>
      </c>
      <c r="L7" s="18">
        <v>16</v>
      </c>
      <c r="M7" s="18">
        <v>16</v>
      </c>
      <c r="N7" s="18">
        <v>16</v>
      </c>
      <c r="O7" s="18">
        <v>16</v>
      </c>
    </row>
    <row r="8" spans="1:15">
      <c r="A8" s="187"/>
      <c r="B8" s="18">
        <v>27</v>
      </c>
      <c r="C8" s="18">
        <v>27</v>
      </c>
      <c r="D8" s="18">
        <v>27</v>
      </c>
      <c r="E8" s="18">
        <v>27</v>
      </c>
      <c r="F8" s="18">
        <v>27</v>
      </c>
      <c r="G8" s="18">
        <v>27</v>
      </c>
      <c r="H8" s="18">
        <v>27</v>
      </c>
      <c r="I8" s="18">
        <v>27</v>
      </c>
      <c r="J8" s="18">
        <v>27</v>
      </c>
      <c r="K8" s="18">
        <v>27</v>
      </c>
      <c r="L8" s="18">
        <v>27</v>
      </c>
      <c r="M8" s="18">
        <v>27</v>
      </c>
      <c r="N8" s="18">
        <v>27</v>
      </c>
      <c r="O8" s="18">
        <v>27</v>
      </c>
    </row>
    <row r="9" spans="1:15">
      <c r="A9" s="14" t="s">
        <v>70</v>
      </c>
      <c r="B9" s="15">
        <v>840</v>
      </c>
      <c r="C9" s="15">
        <v>860</v>
      </c>
      <c r="D9" s="15">
        <v>890</v>
      </c>
      <c r="E9" s="15">
        <v>890</v>
      </c>
      <c r="F9" s="21">
        <v>1150</v>
      </c>
      <c r="G9" s="21">
        <v>1620</v>
      </c>
      <c r="H9" s="21">
        <v>1080</v>
      </c>
      <c r="I9" s="21">
        <v>1620</v>
      </c>
      <c r="J9" s="21">
        <v>1080</v>
      </c>
      <c r="K9" s="21">
        <v>1620</v>
      </c>
      <c r="L9" s="21">
        <v>1080</v>
      </c>
      <c r="M9" s="21">
        <v>1620</v>
      </c>
      <c r="N9" s="21">
        <v>1080</v>
      </c>
      <c r="O9" s="21">
        <v>1620</v>
      </c>
    </row>
    <row r="10" spans="1:15">
      <c r="A10" s="13" t="s">
        <v>71</v>
      </c>
      <c r="B10" s="24">
        <v>2000</v>
      </c>
      <c r="C10" s="24">
        <v>2020</v>
      </c>
      <c r="D10" s="24">
        <v>2050</v>
      </c>
      <c r="E10" s="24">
        <v>2050</v>
      </c>
      <c r="F10" s="24">
        <v>2560</v>
      </c>
      <c r="G10" s="24">
        <v>3040</v>
      </c>
      <c r="H10" s="24">
        <v>2240</v>
      </c>
      <c r="I10" s="24">
        <v>3040</v>
      </c>
      <c r="J10" s="24">
        <v>2240</v>
      </c>
      <c r="K10" s="24">
        <v>3040</v>
      </c>
      <c r="L10" s="24">
        <v>2240</v>
      </c>
      <c r="M10" s="24">
        <v>3040</v>
      </c>
      <c r="N10" s="24">
        <v>2240</v>
      </c>
      <c r="O10" s="24">
        <v>3040</v>
      </c>
    </row>
    <row r="11" spans="1:15" ht="30">
      <c r="A11" s="14" t="s">
        <v>72</v>
      </c>
      <c r="B11" s="15">
        <v>40</v>
      </c>
      <c r="C11" s="15">
        <v>40</v>
      </c>
      <c r="D11" s="15">
        <v>40</v>
      </c>
      <c r="E11" s="15">
        <v>40</v>
      </c>
      <c r="F11" s="15">
        <v>40</v>
      </c>
      <c r="G11" s="15">
        <v>40</v>
      </c>
      <c r="H11" s="15">
        <v>40</v>
      </c>
      <c r="I11" s="15">
        <v>40</v>
      </c>
      <c r="J11" s="15">
        <v>40</v>
      </c>
      <c r="K11" s="15">
        <v>40</v>
      </c>
      <c r="L11" s="15">
        <v>40</v>
      </c>
      <c r="M11" s="15">
        <v>40</v>
      </c>
      <c r="N11" s="15">
        <v>40</v>
      </c>
      <c r="O11" s="15">
        <v>40</v>
      </c>
    </row>
    <row r="13" spans="1:15" ht="18.75">
      <c r="A13" s="28" t="s">
        <v>73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>
      <c r="A14" s="176" t="s">
        <v>60</v>
      </c>
      <c r="B14" s="12">
        <v>2009</v>
      </c>
      <c r="C14" s="12">
        <v>2015</v>
      </c>
      <c r="D14" s="173">
        <v>2017</v>
      </c>
      <c r="E14" s="171"/>
      <c r="F14" s="171"/>
      <c r="G14" s="172"/>
      <c r="H14" s="173">
        <v>2020</v>
      </c>
      <c r="I14" s="171"/>
      <c r="J14" s="171">
        <v>2030</v>
      </c>
      <c r="K14" s="172"/>
      <c r="L14" s="173">
        <v>2040</v>
      </c>
      <c r="M14" s="172"/>
      <c r="N14" s="173">
        <v>2050</v>
      </c>
      <c r="O14" s="172"/>
    </row>
    <row r="15" spans="1:15" ht="30">
      <c r="A15" s="177"/>
      <c r="B15" s="13" t="s">
        <v>61</v>
      </c>
      <c r="C15" s="13" t="s">
        <v>61</v>
      </c>
      <c r="D15" s="13" t="s">
        <v>62</v>
      </c>
      <c r="E15" s="13" t="s">
        <v>63</v>
      </c>
      <c r="F15" s="13" t="s">
        <v>74</v>
      </c>
      <c r="G15" s="13" t="s">
        <v>65</v>
      </c>
      <c r="H15" s="13" t="s">
        <v>63</v>
      </c>
      <c r="I15" s="174" t="s">
        <v>75</v>
      </c>
      <c r="J15" s="175"/>
      <c r="K15" s="13" t="s">
        <v>65</v>
      </c>
      <c r="L15" s="13" t="s">
        <v>63</v>
      </c>
      <c r="M15" s="13" t="s">
        <v>65</v>
      </c>
      <c r="N15" s="13" t="s">
        <v>63</v>
      </c>
      <c r="O15" s="13" t="s">
        <v>65</v>
      </c>
    </row>
    <row r="16" spans="1:15" ht="30">
      <c r="A16" s="14" t="s">
        <v>66</v>
      </c>
      <c r="B16" s="15">
        <v>105</v>
      </c>
      <c r="C16" s="15">
        <v>105</v>
      </c>
      <c r="D16" s="15">
        <v>105</v>
      </c>
      <c r="E16" s="15">
        <v>105</v>
      </c>
      <c r="F16" s="15">
        <v>105</v>
      </c>
      <c r="G16" s="15">
        <v>105</v>
      </c>
      <c r="H16" s="15">
        <v>105</v>
      </c>
      <c r="I16" s="16">
        <v>105</v>
      </c>
      <c r="J16" s="17">
        <v>105</v>
      </c>
      <c r="K16" s="15">
        <v>105</v>
      </c>
      <c r="L16" s="15">
        <v>105</v>
      </c>
      <c r="M16" s="15">
        <v>105</v>
      </c>
      <c r="N16" s="15">
        <v>105</v>
      </c>
      <c r="O16" s="15">
        <v>105</v>
      </c>
    </row>
    <row r="17" spans="1:15">
      <c r="A17" s="13" t="s">
        <v>67</v>
      </c>
      <c r="B17" s="18">
        <v>80</v>
      </c>
      <c r="C17" s="18">
        <v>83</v>
      </c>
      <c r="D17" s="18">
        <v>83</v>
      </c>
      <c r="E17" s="18">
        <v>83</v>
      </c>
      <c r="F17" s="18">
        <v>85</v>
      </c>
      <c r="G17" s="18">
        <v>97</v>
      </c>
      <c r="H17" s="18">
        <v>83</v>
      </c>
      <c r="I17" s="19">
        <v>97</v>
      </c>
      <c r="J17" s="20">
        <v>84</v>
      </c>
      <c r="K17" s="18">
        <v>97</v>
      </c>
      <c r="L17" s="18">
        <v>84</v>
      </c>
      <c r="M17" s="18">
        <v>97</v>
      </c>
      <c r="N17" s="18">
        <v>84</v>
      </c>
      <c r="O17" s="18">
        <v>97</v>
      </c>
    </row>
    <row r="18" spans="1:15" ht="30">
      <c r="A18" s="14" t="s">
        <v>68</v>
      </c>
      <c r="B18" s="15">
        <v>490</v>
      </c>
      <c r="C18" s="15">
        <v>477</v>
      </c>
      <c r="D18" s="15">
        <v>477</v>
      </c>
      <c r="E18" s="15">
        <v>477</v>
      </c>
      <c r="F18" s="15">
        <v>466</v>
      </c>
      <c r="G18" s="15">
        <v>410</v>
      </c>
      <c r="H18" s="15">
        <v>477</v>
      </c>
      <c r="I18" s="16">
        <v>410</v>
      </c>
      <c r="J18" s="17">
        <v>472</v>
      </c>
      <c r="K18" s="15">
        <v>410</v>
      </c>
      <c r="L18" s="15">
        <v>472</v>
      </c>
      <c r="M18" s="15">
        <v>410</v>
      </c>
      <c r="N18" s="15">
        <v>472</v>
      </c>
      <c r="O18" s="15">
        <v>410</v>
      </c>
    </row>
    <row r="19" spans="1:15">
      <c r="A19" s="186" t="s">
        <v>69</v>
      </c>
      <c r="B19" s="18">
        <v>20</v>
      </c>
      <c r="C19" s="18">
        <v>20</v>
      </c>
      <c r="D19" s="18">
        <v>20</v>
      </c>
      <c r="E19" s="18">
        <v>20</v>
      </c>
      <c r="F19" s="18">
        <v>20</v>
      </c>
      <c r="G19" s="18">
        <v>20</v>
      </c>
      <c r="H19" s="18">
        <v>20</v>
      </c>
      <c r="I19" s="19">
        <v>20</v>
      </c>
      <c r="J19" s="20">
        <v>20</v>
      </c>
      <c r="K19" s="18">
        <v>20</v>
      </c>
      <c r="L19" s="18">
        <v>20</v>
      </c>
      <c r="M19" s="18">
        <v>20</v>
      </c>
      <c r="N19" s="18">
        <v>20</v>
      </c>
      <c r="O19" s="18">
        <v>20</v>
      </c>
    </row>
    <row r="20" spans="1:15">
      <c r="A20" s="187"/>
      <c r="B20" s="18">
        <v>33</v>
      </c>
      <c r="C20" s="18">
        <v>33</v>
      </c>
      <c r="D20" s="18">
        <v>33</v>
      </c>
      <c r="E20" s="18">
        <v>33</v>
      </c>
      <c r="F20" s="18">
        <v>33</v>
      </c>
      <c r="G20" s="18">
        <v>33</v>
      </c>
      <c r="H20" s="18">
        <v>33</v>
      </c>
      <c r="I20" s="19">
        <v>33</v>
      </c>
      <c r="J20" s="20">
        <v>33</v>
      </c>
      <c r="K20" s="18">
        <v>33</v>
      </c>
      <c r="L20" s="18">
        <v>33</v>
      </c>
      <c r="M20" s="18">
        <v>33</v>
      </c>
      <c r="N20" s="18">
        <v>33</v>
      </c>
      <c r="O20" s="18">
        <v>33</v>
      </c>
    </row>
    <row r="21" spans="1:15">
      <c r="A21" s="188" t="s">
        <v>70</v>
      </c>
      <c r="B21" s="21">
        <v>2150</v>
      </c>
      <c r="C21" s="21">
        <v>2200</v>
      </c>
      <c r="D21" s="21">
        <v>2200</v>
      </c>
      <c r="E21" s="21">
        <v>2200</v>
      </c>
      <c r="F21" s="21">
        <v>2250</v>
      </c>
      <c r="G21" s="21">
        <v>2700</v>
      </c>
      <c r="H21" s="21">
        <v>2200</v>
      </c>
      <c r="I21" s="22">
        <v>2700</v>
      </c>
      <c r="J21" s="23">
        <v>2250</v>
      </c>
      <c r="K21" s="21">
        <v>2700</v>
      </c>
      <c r="L21" s="21">
        <v>2250</v>
      </c>
      <c r="M21" s="21">
        <v>2700</v>
      </c>
      <c r="N21" s="21">
        <v>2250</v>
      </c>
      <c r="O21" s="21">
        <v>2700</v>
      </c>
    </row>
    <row r="22" spans="1:15">
      <c r="A22" s="189"/>
      <c r="B22" s="21">
        <v>2350</v>
      </c>
      <c r="C22" s="21">
        <v>2900</v>
      </c>
      <c r="D22" s="21">
        <v>2900</v>
      </c>
      <c r="E22" s="21">
        <v>2900</v>
      </c>
      <c r="F22" s="21">
        <v>2950</v>
      </c>
      <c r="G22" s="21">
        <v>3450</v>
      </c>
      <c r="H22" s="21">
        <v>2900</v>
      </c>
      <c r="I22" s="22">
        <v>3450</v>
      </c>
      <c r="J22" s="23">
        <v>2950</v>
      </c>
      <c r="K22" s="21">
        <v>3450</v>
      </c>
      <c r="L22" s="21">
        <v>2950</v>
      </c>
      <c r="M22" s="21">
        <v>3450</v>
      </c>
      <c r="N22" s="21">
        <v>2950</v>
      </c>
      <c r="O22" s="21">
        <v>3450</v>
      </c>
    </row>
    <row r="23" spans="1:15">
      <c r="A23" s="186" t="s">
        <v>71</v>
      </c>
      <c r="B23" s="24">
        <v>2700</v>
      </c>
      <c r="C23" s="24">
        <v>2750</v>
      </c>
      <c r="D23" s="24">
        <v>2750</v>
      </c>
      <c r="E23" s="24">
        <v>2750</v>
      </c>
      <c r="F23" s="24">
        <v>2950</v>
      </c>
      <c r="G23" s="24">
        <v>4350</v>
      </c>
      <c r="H23" s="24">
        <v>2750</v>
      </c>
      <c r="I23" s="25">
        <v>4350</v>
      </c>
      <c r="J23" s="26">
        <v>2750</v>
      </c>
      <c r="K23" s="24">
        <v>4350</v>
      </c>
      <c r="L23" s="24">
        <v>2750</v>
      </c>
      <c r="M23" s="24">
        <v>4350</v>
      </c>
      <c r="N23" s="24">
        <v>2750</v>
      </c>
      <c r="O23" s="24">
        <v>4350</v>
      </c>
    </row>
    <row r="24" spans="1:15">
      <c r="A24" s="187"/>
      <c r="B24" s="24">
        <v>3400</v>
      </c>
      <c r="C24" s="24">
        <v>5500</v>
      </c>
      <c r="D24" s="24">
        <v>5500</v>
      </c>
      <c r="E24" s="24">
        <v>5500</v>
      </c>
      <c r="F24" s="24">
        <v>5750</v>
      </c>
      <c r="G24" s="24">
        <v>8550</v>
      </c>
      <c r="H24" s="24">
        <v>5500</v>
      </c>
      <c r="I24" s="25">
        <v>8550</v>
      </c>
      <c r="J24" s="26">
        <v>5700</v>
      </c>
      <c r="K24" s="24">
        <v>8550</v>
      </c>
      <c r="L24" s="24">
        <v>5700</v>
      </c>
      <c r="M24" s="24">
        <v>8550</v>
      </c>
      <c r="N24" s="24">
        <v>5700</v>
      </c>
      <c r="O24" s="24">
        <v>8550</v>
      </c>
    </row>
    <row r="25" spans="1:15" ht="30">
      <c r="A25" s="14" t="s">
        <v>72</v>
      </c>
      <c r="B25" s="15">
        <v>70</v>
      </c>
      <c r="C25" s="15">
        <v>70</v>
      </c>
      <c r="D25" s="15">
        <v>70</v>
      </c>
      <c r="E25" s="15">
        <v>70</v>
      </c>
      <c r="F25" s="15">
        <v>70</v>
      </c>
      <c r="G25" s="15">
        <v>200</v>
      </c>
      <c r="H25" s="15">
        <v>70</v>
      </c>
      <c r="I25" s="16">
        <v>200</v>
      </c>
      <c r="J25" s="17">
        <v>70</v>
      </c>
      <c r="K25" s="15">
        <v>200</v>
      </c>
      <c r="L25" s="15">
        <v>70</v>
      </c>
      <c r="M25" s="15">
        <v>200</v>
      </c>
      <c r="N25" s="15">
        <v>70</v>
      </c>
      <c r="O25" s="15">
        <v>200</v>
      </c>
    </row>
    <row r="27" spans="1:15" ht="18.75">
      <c r="A27" s="28" t="s">
        <v>76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>
      <c r="A28" s="42" t="s">
        <v>60</v>
      </c>
      <c r="B28" s="133">
        <v>2009</v>
      </c>
      <c r="C28" s="43">
        <v>2015</v>
      </c>
      <c r="D28" s="132">
        <v>2017</v>
      </c>
      <c r="E28" s="44"/>
      <c r="F28" s="132">
        <v>2020</v>
      </c>
      <c r="G28" s="44"/>
      <c r="H28" s="132">
        <v>2030</v>
      </c>
      <c r="I28" s="44"/>
      <c r="J28" s="132">
        <v>2040</v>
      </c>
      <c r="K28" s="44"/>
      <c r="L28" s="132">
        <v>2050</v>
      </c>
      <c r="M28" s="44"/>
    </row>
    <row r="29" spans="1:15" ht="30">
      <c r="A29" s="45"/>
      <c r="B29" s="46" t="s">
        <v>77</v>
      </c>
      <c r="C29" s="46" t="s">
        <v>77</v>
      </c>
      <c r="D29" s="47" t="s">
        <v>63</v>
      </c>
      <c r="E29" s="48" t="s">
        <v>65</v>
      </c>
      <c r="F29" s="47" t="s">
        <v>63</v>
      </c>
      <c r="G29" s="48" t="s">
        <v>65</v>
      </c>
      <c r="H29" s="47" t="s">
        <v>63</v>
      </c>
      <c r="I29" s="48" t="s">
        <v>65</v>
      </c>
      <c r="J29" s="47" t="s">
        <v>63</v>
      </c>
      <c r="K29" s="48" t="s">
        <v>65</v>
      </c>
      <c r="L29" s="47" t="s">
        <v>63</v>
      </c>
      <c r="M29" s="48" t="s">
        <v>65</v>
      </c>
    </row>
    <row r="30" spans="1:15">
      <c r="A30" s="14" t="s">
        <v>78</v>
      </c>
      <c r="B30" s="16">
        <v>50</v>
      </c>
      <c r="C30" s="17">
        <v>50</v>
      </c>
      <c r="D30" s="16">
        <v>50</v>
      </c>
      <c r="E30" s="17">
        <v>50</v>
      </c>
      <c r="F30" s="16">
        <v>50</v>
      </c>
      <c r="G30" s="17">
        <v>50</v>
      </c>
      <c r="H30" s="16">
        <v>50</v>
      </c>
      <c r="I30" s="17">
        <v>50</v>
      </c>
      <c r="J30" s="16">
        <v>50</v>
      </c>
      <c r="K30" s="17">
        <v>50</v>
      </c>
      <c r="L30" s="16">
        <v>50</v>
      </c>
      <c r="M30" s="17">
        <v>50</v>
      </c>
    </row>
    <row r="31" spans="1:15">
      <c r="A31" s="13" t="s">
        <v>79</v>
      </c>
      <c r="B31" s="19">
        <v>65</v>
      </c>
      <c r="C31" s="20">
        <v>70</v>
      </c>
      <c r="D31" s="19">
        <v>76</v>
      </c>
      <c r="E31" s="20">
        <v>87</v>
      </c>
      <c r="F31" s="19">
        <v>76</v>
      </c>
      <c r="G31" s="20">
        <v>87</v>
      </c>
      <c r="H31" s="19">
        <v>77</v>
      </c>
      <c r="I31" s="20">
        <v>87</v>
      </c>
      <c r="J31" s="19">
        <v>78</v>
      </c>
      <c r="K31" s="20">
        <v>88</v>
      </c>
      <c r="L31" s="19">
        <v>79</v>
      </c>
      <c r="M31" s="20">
        <v>89</v>
      </c>
    </row>
    <row r="32" spans="1:15" ht="30">
      <c r="A32" s="14" t="s">
        <v>80</v>
      </c>
      <c r="B32" s="16">
        <v>600</v>
      </c>
      <c r="C32" s="17">
        <v>600</v>
      </c>
      <c r="D32" s="16">
        <v>600</v>
      </c>
      <c r="E32" s="17">
        <v>600</v>
      </c>
      <c r="F32" s="16">
        <v>600</v>
      </c>
      <c r="G32" s="17">
        <v>600</v>
      </c>
      <c r="H32" s="16">
        <v>600</v>
      </c>
      <c r="I32" s="17">
        <v>600</v>
      </c>
      <c r="J32" s="16">
        <v>600</v>
      </c>
      <c r="K32" s="17">
        <v>600</v>
      </c>
      <c r="L32" s="16">
        <v>600</v>
      </c>
      <c r="M32" s="17">
        <v>600</v>
      </c>
    </row>
    <row r="33" spans="1:15">
      <c r="A33" s="130" t="s">
        <v>81</v>
      </c>
      <c r="B33" s="49">
        <v>12</v>
      </c>
      <c r="C33" s="50">
        <v>12</v>
      </c>
      <c r="D33" s="49">
        <v>12</v>
      </c>
      <c r="E33" s="50">
        <v>12</v>
      </c>
      <c r="F33" s="49">
        <v>12</v>
      </c>
      <c r="G33" s="50">
        <v>12</v>
      </c>
      <c r="H33" s="49">
        <v>12</v>
      </c>
      <c r="I33" s="50">
        <v>12</v>
      </c>
      <c r="J33" s="49">
        <v>12</v>
      </c>
      <c r="K33" s="50">
        <v>12</v>
      </c>
      <c r="L33" s="49">
        <v>12</v>
      </c>
      <c r="M33" s="50">
        <v>12</v>
      </c>
    </row>
    <row r="34" spans="1:15">
      <c r="A34" s="51"/>
      <c r="B34" s="52">
        <v>25</v>
      </c>
      <c r="C34" s="53">
        <v>25</v>
      </c>
      <c r="D34" s="52">
        <v>25</v>
      </c>
      <c r="E34" s="53">
        <v>25</v>
      </c>
      <c r="F34" s="52">
        <v>25</v>
      </c>
      <c r="G34" s="53">
        <v>25</v>
      </c>
      <c r="H34" s="52">
        <v>25</v>
      </c>
      <c r="I34" s="53">
        <v>25</v>
      </c>
      <c r="J34" s="52">
        <v>25</v>
      </c>
      <c r="K34" s="53">
        <v>25</v>
      </c>
      <c r="L34" s="52">
        <v>25</v>
      </c>
      <c r="M34" s="53">
        <v>25</v>
      </c>
    </row>
    <row r="35" spans="1:15">
      <c r="A35" s="14" t="s">
        <v>70</v>
      </c>
      <c r="B35" s="22">
        <v>3300</v>
      </c>
      <c r="C35" s="23">
        <v>3300</v>
      </c>
      <c r="D35" s="22">
        <v>3300</v>
      </c>
      <c r="E35" s="23">
        <v>4000</v>
      </c>
      <c r="F35" s="22">
        <v>3300</v>
      </c>
      <c r="G35" s="23">
        <v>4000</v>
      </c>
      <c r="H35" s="22">
        <v>3400</v>
      </c>
      <c r="I35" s="23">
        <v>4000</v>
      </c>
      <c r="J35" s="22">
        <v>3500</v>
      </c>
      <c r="K35" s="23">
        <v>4100</v>
      </c>
      <c r="L35" s="22">
        <v>3600</v>
      </c>
      <c r="M35" s="23">
        <v>4200</v>
      </c>
    </row>
    <row r="36" spans="1:15">
      <c r="A36" s="13" t="s">
        <v>71</v>
      </c>
      <c r="B36" s="25">
        <v>4700</v>
      </c>
      <c r="C36" s="26">
        <v>4700</v>
      </c>
      <c r="D36" s="25">
        <v>4700</v>
      </c>
      <c r="E36" s="26">
        <v>5400</v>
      </c>
      <c r="F36" s="25">
        <v>4700</v>
      </c>
      <c r="G36" s="26">
        <v>5400</v>
      </c>
      <c r="H36" s="25">
        <v>4800</v>
      </c>
      <c r="I36" s="26">
        <v>5400</v>
      </c>
      <c r="J36" s="25">
        <v>4900</v>
      </c>
      <c r="K36" s="26">
        <v>5500</v>
      </c>
      <c r="L36" s="25">
        <v>5000</v>
      </c>
      <c r="M36" s="26">
        <v>5600</v>
      </c>
    </row>
    <row r="37" spans="1:15" ht="30">
      <c r="A37" s="14" t="s">
        <v>72</v>
      </c>
      <c r="B37" s="16">
        <v>260</v>
      </c>
      <c r="C37" s="17">
        <v>260</v>
      </c>
      <c r="D37" s="16">
        <v>260</v>
      </c>
      <c r="E37" s="17">
        <v>260</v>
      </c>
      <c r="F37" s="16">
        <v>260</v>
      </c>
      <c r="G37" s="17">
        <v>260</v>
      </c>
      <c r="H37" s="16">
        <v>260</v>
      </c>
      <c r="I37" s="17">
        <v>260</v>
      </c>
      <c r="J37" s="16">
        <v>260</v>
      </c>
      <c r="K37" s="17">
        <v>260</v>
      </c>
      <c r="L37" s="16">
        <v>260</v>
      </c>
      <c r="M37" s="17">
        <v>260</v>
      </c>
    </row>
    <row r="39" spans="1:15" ht="18.75">
      <c r="A39" s="28" t="s">
        <v>82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</row>
    <row r="40" spans="1:15">
      <c r="A40" s="176" t="s">
        <v>60</v>
      </c>
      <c r="B40" s="31">
        <v>2009</v>
      </c>
      <c r="C40" s="12">
        <v>2015</v>
      </c>
      <c r="D40" s="173">
        <v>2017</v>
      </c>
      <c r="E40" s="171"/>
      <c r="F40" s="171"/>
      <c r="G40" s="172"/>
      <c r="H40" s="173">
        <v>2020</v>
      </c>
      <c r="I40" s="172"/>
      <c r="J40" s="190" t="s">
        <v>83</v>
      </c>
      <c r="K40" s="191"/>
      <c r="L40" s="173">
        <v>2040</v>
      </c>
      <c r="M40" s="172"/>
      <c r="N40" s="173">
        <v>2050</v>
      </c>
      <c r="O40" s="172"/>
    </row>
    <row r="41" spans="1:15" ht="30">
      <c r="A41" s="177"/>
      <c r="B41" s="13" t="s">
        <v>61</v>
      </c>
      <c r="C41" s="13" t="s">
        <v>61</v>
      </c>
      <c r="D41" s="13" t="s">
        <v>62</v>
      </c>
      <c r="E41" s="13" t="s">
        <v>63</v>
      </c>
      <c r="F41" s="13" t="s">
        <v>74</v>
      </c>
      <c r="G41" s="13" t="s">
        <v>65</v>
      </c>
      <c r="H41" s="13" t="s">
        <v>63</v>
      </c>
      <c r="I41" s="13" t="s">
        <v>65</v>
      </c>
      <c r="J41" s="13" t="s">
        <v>63</v>
      </c>
      <c r="K41" s="13" t="s">
        <v>65</v>
      </c>
      <c r="L41" s="13" t="s">
        <v>63</v>
      </c>
      <c r="M41" s="13" t="s">
        <v>65</v>
      </c>
      <c r="N41" s="13" t="s">
        <v>63</v>
      </c>
      <c r="O41" s="13" t="s">
        <v>65</v>
      </c>
    </row>
    <row r="42" spans="1:15">
      <c r="A42" s="32" t="s">
        <v>78</v>
      </c>
      <c r="B42" s="17">
        <v>36</v>
      </c>
      <c r="C42" s="15">
        <v>36</v>
      </c>
      <c r="D42" s="15">
        <v>36</v>
      </c>
      <c r="E42" s="15">
        <v>36</v>
      </c>
      <c r="F42" s="15">
        <v>36</v>
      </c>
      <c r="G42" s="15">
        <v>36</v>
      </c>
      <c r="H42" s="15">
        <v>36</v>
      </c>
      <c r="I42" s="15">
        <v>36</v>
      </c>
      <c r="J42" s="15">
        <v>36</v>
      </c>
      <c r="K42" s="15">
        <v>36</v>
      </c>
      <c r="L42" s="15">
        <v>36</v>
      </c>
      <c r="M42" s="15">
        <v>36</v>
      </c>
      <c r="N42" s="15">
        <v>36</v>
      </c>
      <c r="O42" s="15">
        <v>36</v>
      </c>
    </row>
    <row r="43" spans="1:15">
      <c r="A43" s="127" t="s">
        <v>84</v>
      </c>
      <c r="B43" s="33">
        <v>12</v>
      </c>
      <c r="C43" s="34">
        <v>13.1</v>
      </c>
      <c r="D43" s="34">
        <v>14</v>
      </c>
      <c r="E43" s="34">
        <v>15.3</v>
      </c>
      <c r="F43" s="34">
        <v>15</v>
      </c>
      <c r="G43" s="34">
        <v>19</v>
      </c>
      <c r="H43" s="34">
        <v>15.3</v>
      </c>
      <c r="I43" s="34">
        <v>19</v>
      </c>
      <c r="J43" s="34">
        <v>15.8</v>
      </c>
      <c r="K43" s="34">
        <v>19</v>
      </c>
      <c r="L43" s="34">
        <v>15.8</v>
      </c>
      <c r="M43" s="34">
        <v>19</v>
      </c>
      <c r="N43" s="34">
        <v>15.8</v>
      </c>
      <c r="O43" s="34">
        <v>19</v>
      </c>
    </row>
    <row r="44" spans="1:15">
      <c r="A44" s="32" t="s">
        <v>85</v>
      </c>
      <c r="B44" s="35" t="s">
        <v>86</v>
      </c>
      <c r="C44" s="36">
        <v>7.9</v>
      </c>
      <c r="D44" s="36">
        <v>8.1999999999999993</v>
      </c>
      <c r="E44" s="36">
        <v>8.6</v>
      </c>
      <c r="F44" s="36">
        <v>8.5</v>
      </c>
      <c r="G44" s="36">
        <v>9</v>
      </c>
      <c r="H44" s="36">
        <v>8.6</v>
      </c>
      <c r="I44" s="36">
        <v>9</v>
      </c>
      <c r="J44" s="36">
        <v>8.8000000000000007</v>
      </c>
      <c r="K44" s="36">
        <v>9</v>
      </c>
      <c r="L44" s="36">
        <v>8.8000000000000007</v>
      </c>
      <c r="M44" s="36">
        <v>9</v>
      </c>
      <c r="N44" s="36">
        <v>8.8000000000000007</v>
      </c>
      <c r="O44" s="36">
        <v>9</v>
      </c>
    </row>
    <row r="45" spans="1:15">
      <c r="A45" s="178" t="s">
        <v>81</v>
      </c>
      <c r="B45" s="37">
        <v>9</v>
      </c>
      <c r="C45" s="38">
        <v>9</v>
      </c>
      <c r="D45" s="38">
        <v>9</v>
      </c>
      <c r="E45" s="38">
        <v>9</v>
      </c>
      <c r="F45" s="38">
        <v>9</v>
      </c>
      <c r="G45" s="38">
        <v>9</v>
      </c>
      <c r="H45" s="38">
        <v>9</v>
      </c>
      <c r="I45" s="38">
        <v>9</v>
      </c>
      <c r="J45" s="38">
        <v>9</v>
      </c>
      <c r="K45" s="38">
        <v>9</v>
      </c>
      <c r="L45" s="38">
        <v>9</v>
      </c>
      <c r="M45" s="38">
        <v>9</v>
      </c>
      <c r="N45" s="38">
        <v>9</v>
      </c>
      <c r="O45" s="38">
        <v>9</v>
      </c>
    </row>
    <row r="46" spans="1:15">
      <c r="A46" s="179"/>
      <c r="B46" s="20">
        <v>22</v>
      </c>
      <c r="C46" s="18">
        <v>22</v>
      </c>
      <c r="D46" s="18">
        <v>22</v>
      </c>
      <c r="E46" s="18">
        <v>22</v>
      </c>
      <c r="F46" s="18">
        <v>22</v>
      </c>
      <c r="G46" s="18">
        <v>22</v>
      </c>
      <c r="H46" s="18">
        <v>22</v>
      </c>
      <c r="I46" s="18">
        <v>22</v>
      </c>
      <c r="J46" s="18">
        <v>22</v>
      </c>
      <c r="K46" s="18">
        <v>22</v>
      </c>
      <c r="L46" s="18">
        <v>22</v>
      </c>
      <c r="M46" s="18">
        <v>22</v>
      </c>
      <c r="N46" s="18">
        <v>22</v>
      </c>
      <c r="O46" s="18">
        <v>22</v>
      </c>
    </row>
    <row r="47" spans="1:15" ht="30">
      <c r="A47" s="32" t="s">
        <v>87</v>
      </c>
      <c r="B47" s="23">
        <v>2550</v>
      </c>
      <c r="C47" s="21">
        <v>2800</v>
      </c>
      <c r="D47" s="21">
        <v>3350</v>
      </c>
      <c r="E47" s="21">
        <v>3600</v>
      </c>
      <c r="F47" s="21">
        <v>3500</v>
      </c>
      <c r="G47" s="21">
        <v>4550</v>
      </c>
      <c r="H47" s="21">
        <v>3600</v>
      </c>
      <c r="I47" s="21">
        <v>4550</v>
      </c>
      <c r="J47" s="21">
        <v>3700</v>
      </c>
      <c r="K47" s="21">
        <v>4550</v>
      </c>
      <c r="L47" s="21">
        <v>3700</v>
      </c>
      <c r="M47" s="21">
        <v>4550</v>
      </c>
      <c r="N47" s="21">
        <v>3700</v>
      </c>
      <c r="O47" s="21">
        <v>4550</v>
      </c>
    </row>
    <row r="48" spans="1:15">
      <c r="A48" s="127" t="s">
        <v>88</v>
      </c>
      <c r="B48" s="26">
        <v>3000</v>
      </c>
      <c r="C48" s="24">
        <v>3250</v>
      </c>
      <c r="D48" s="24">
        <v>4850</v>
      </c>
      <c r="E48" s="24">
        <v>5100</v>
      </c>
      <c r="F48" s="24">
        <v>4950</v>
      </c>
      <c r="G48" s="24">
        <v>6100</v>
      </c>
      <c r="H48" s="24">
        <v>5100</v>
      </c>
      <c r="I48" s="24">
        <v>6100</v>
      </c>
      <c r="J48" s="24">
        <v>5150</v>
      </c>
      <c r="K48" s="24">
        <v>6100</v>
      </c>
      <c r="L48" s="24">
        <v>5150</v>
      </c>
      <c r="M48" s="24">
        <v>6100</v>
      </c>
      <c r="N48" s="24">
        <v>5150</v>
      </c>
      <c r="O48" s="24">
        <v>6100</v>
      </c>
    </row>
    <row r="49" spans="1:15" ht="14.45" customHeight="1">
      <c r="A49" s="180" t="s">
        <v>72</v>
      </c>
      <c r="B49" s="17">
        <v>20</v>
      </c>
      <c r="C49" s="15">
        <v>20</v>
      </c>
      <c r="D49" s="15">
        <v>20</v>
      </c>
      <c r="E49" s="15">
        <v>20</v>
      </c>
      <c r="F49" s="15">
        <v>20</v>
      </c>
      <c r="G49" s="15">
        <v>20</v>
      </c>
      <c r="H49" s="15">
        <v>20</v>
      </c>
      <c r="I49" s="15">
        <v>20</v>
      </c>
      <c r="J49" s="15">
        <v>20</v>
      </c>
      <c r="K49" s="15">
        <v>20</v>
      </c>
      <c r="L49" s="15">
        <v>20</v>
      </c>
      <c r="M49" s="15">
        <v>20</v>
      </c>
      <c r="N49" s="15">
        <v>20</v>
      </c>
      <c r="O49" s="15">
        <v>20</v>
      </c>
    </row>
    <row r="50" spans="1:15">
      <c r="A50" s="181"/>
      <c r="B50" s="17">
        <v>125</v>
      </c>
      <c r="C50" s="15">
        <v>125</v>
      </c>
      <c r="D50" s="15">
        <v>125</v>
      </c>
      <c r="E50" s="15">
        <v>125</v>
      </c>
      <c r="F50" s="15">
        <v>125</v>
      </c>
      <c r="G50" s="15">
        <v>125</v>
      </c>
      <c r="H50" s="15">
        <v>125</v>
      </c>
      <c r="I50" s="15">
        <v>125</v>
      </c>
      <c r="J50" s="15">
        <v>125</v>
      </c>
      <c r="K50" s="15">
        <v>125</v>
      </c>
      <c r="L50" s="15">
        <v>125</v>
      </c>
      <c r="M50" s="15">
        <v>125</v>
      </c>
      <c r="N50" s="15">
        <v>125</v>
      </c>
      <c r="O50" s="15">
        <v>125</v>
      </c>
    </row>
    <row r="52" spans="1:15" ht="18.75">
      <c r="A52" s="28" t="s">
        <v>89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>
      <c r="A53" s="42"/>
      <c r="B53" s="31">
        <v>2009</v>
      </c>
      <c r="C53" s="12">
        <v>2015</v>
      </c>
      <c r="D53" s="173">
        <v>2017</v>
      </c>
      <c r="E53" s="171"/>
      <c r="F53" s="171"/>
      <c r="G53" s="172"/>
      <c r="H53" s="173">
        <v>2020</v>
      </c>
      <c r="I53" s="172"/>
      <c r="J53" s="184">
        <v>2030</v>
      </c>
      <c r="K53" s="185"/>
      <c r="L53" s="173">
        <v>2040</v>
      </c>
      <c r="M53" s="172"/>
      <c r="N53" s="173">
        <v>2050</v>
      </c>
      <c r="O53" s="172"/>
    </row>
    <row r="54" spans="1:15" ht="30">
      <c r="A54" s="45"/>
      <c r="B54" s="13" t="s">
        <v>90</v>
      </c>
      <c r="C54" s="13" t="s">
        <v>90</v>
      </c>
      <c r="D54" s="13" t="s">
        <v>91</v>
      </c>
      <c r="E54" s="13" t="s">
        <v>92</v>
      </c>
      <c r="F54" s="13" t="s">
        <v>93</v>
      </c>
      <c r="G54" s="13" t="s">
        <v>94</v>
      </c>
      <c r="H54" s="13" t="s">
        <v>92</v>
      </c>
      <c r="I54" s="13" t="s">
        <v>94</v>
      </c>
      <c r="J54" s="13" t="s">
        <v>92</v>
      </c>
      <c r="K54" s="13" t="s">
        <v>94</v>
      </c>
      <c r="L54" s="13" t="s">
        <v>92</v>
      </c>
      <c r="M54" s="13" t="s">
        <v>94</v>
      </c>
      <c r="N54" s="13" t="s">
        <v>92</v>
      </c>
      <c r="O54" s="13" t="s">
        <v>94</v>
      </c>
    </row>
    <row r="55" spans="1:15">
      <c r="A55" s="14" t="s">
        <v>95</v>
      </c>
      <c r="B55" s="15">
        <v>40</v>
      </c>
      <c r="C55" s="15">
        <v>40</v>
      </c>
      <c r="D55" s="15">
        <v>40</v>
      </c>
      <c r="E55" s="15">
        <v>40</v>
      </c>
      <c r="F55" s="15">
        <v>40</v>
      </c>
      <c r="G55" s="16">
        <v>40</v>
      </c>
      <c r="H55" s="17">
        <v>40</v>
      </c>
      <c r="I55" s="16">
        <v>40</v>
      </c>
      <c r="J55" s="17">
        <v>40</v>
      </c>
      <c r="K55" s="16">
        <v>40</v>
      </c>
      <c r="L55" s="17">
        <v>40</v>
      </c>
      <c r="M55" s="16">
        <v>40</v>
      </c>
      <c r="N55" s="17">
        <v>40</v>
      </c>
      <c r="O55" s="14">
        <v>40</v>
      </c>
    </row>
    <row r="56" spans="1:15">
      <c r="A56" s="13" t="s">
        <v>96</v>
      </c>
      <c r="B56" s="58">
        <v>0.57999999999999996</v>
      </c>
      <c r="C56" s="58">
        <v>0.57999999999999996</v>
      </c>
      <c r="D56" s="58">
        <v>0.61</v>
      </c>
      <c r="E56" s="58">
        <v>0.63</v>
      </c>
      <c r="F56" s="58">
        <v>0.66</v>
      </c>
      <c r="G56" s="59">
        <v>0.81</v>
      </c>
      <c r="H56" s="60">
        <v>0.63</v>
      </c>
      <c r="I56" s="59">
        <v>0.81</v>
      </c>
      <c r="J56" s="60">
        <v>0.63</v>
      </c>
      <c r="K56" s="59">
        <v>0.81</v>
      </c>
      <c r="L56" s="60">
        <v>0.63</v>
      </c>
      <c r="M56" s="59">
        <v>0.81</v>
      </c>
      <c r="N56" s="60">
        <v>0.63</v>
      </c>
      <c r="O56" s="13">
        <v>0.81</v>
      </c>
    </row>
    <row r="57" spans="1:15">
      <c r="A57" s="131" t="s">
        <v>97</v>
      </c>
      <c r="B57" s="61">
        <v>6</v>
      </c>
      <c r="C57" s="61">
        <v>6</v>
      </c>
      <c r="D57" s="61">
        <v>6</v>
      </c>
      <c r="E57" s="61">
        <v>6</v>
      </c>
      <c r="F57" s="61">
        <v>6</v>
      </c>
      <c r="G57" s="62">
        <v>6</v>
      </c>
      <c r="H57" s="63">
        <v>6</v>
      </c>
      <c r="I57" s="62">
        <v>6</v>
      </c>
      <c r="J57" s="63">
        <v>6</v>
      </c>
      <c r="K57" s="62">
        <v>6</v>
      </c>
      <c r="L57" s="63">
        <v>6</v>
      </c>
      <c r="M57" s="62">
        <v>6</v>
      </c>
      <c r="N57" s="63">
        <v>6</v>
      </c>
      <c r="O57" s="131">
        <v>6</v>
      </c>
    </row>
    <row r="58" spans="1:15">
      <c r="A58" s="64"/>
      <c r="B58" s="65">
        <v>20</v>
      </c>
      <c r="C58" s="65">
        <v>20</v>
      </c>
      <c r="D58" s="65">
        <v>20</v>
      </c>
      <c r="E58" s="65">
        <v>20</v>
      </c>
      <c r="F58" s="65">
        <v>20</v>
      </c>
      <c r="G58" s="66">
        <v>20</v>
      </c>
      <c r="H58" s="67">
        <v>20</v>
      </c>
      <c r="I58" s="66">
        <v>20</v>
      </c>
      <c r="J58" s="67">
        <v>20</v>
      </c>
      <c r="K58" s="66">
        <v>20</v>
      </c>
      <c r="L58" s="67">
        <v>20</v>
      </c>
      <c r="M58" s="66">
        <v>20</v>
      </c>
      <c r="N58" s="67">
        <v>20</v>
      </c>
      <c r="O58" s="64">
        <v>20</v>
      </c>
    </row>
    <row r="59" spans="1:15">
      <c r="A59" s="130" t="s">
        <v>98</v>
      </c>
      <c r="B59" s="68">
        <v>500</v>
      </c>
      <c r="C59" s="68">
        <v>500</v>
      </c>
      <c r="D59" s="68">
        <v>700</v>
      </c>
      <c r="E59" s="68">
        <v>750</v>
      </c>
      <c r="F59" s="68">
        <v>800</v>
      </c>
      <c r="G59" s="69">
        <v>1850</v>
      </c>
      <c r="H59" s="70">
        <v>750</v>
      </c>
      <c r="I59" s="69">
        <v>1850</v>
      </c>
      <c r="J59" s="70">
        <v>750</v>
      </c>
      <c r="K59" s="69">
        <v>1850</v>
      </c>
      <c r="L59" s="70">
        <v>750</v>
      </c>
      <c r="M59" s="69">
        <v>1850</v>
      </c>
      <c r="N59" s="70">
        <v>750</v>
      </c>
      <c r="O59" s="130">
        <v>1850</v>
      </c>
    </row>
    <row r="60" spans="1:15">
      <c r="A60" s="51"/>
      <c r="B60" s="71">
        <v>550</v>
      </c>
      <c r="C60" s="71">
        <v>550</v>
      </c>
      <c r="D60" s="71">
        <v>1000</v>
      </c>
      <c r="E60" s="71">
        <v>1200</v>
      </c>
      <c r="F60" s="71">
        <v>1350</v>
      </c>
      <c r="G60" s="72">
        <v>2100</v>
      </c>
      <c r="H60" s="73">
        <v>1200</v>
      </c>
      <c r="I60" s="72">
        <v>2100</v>
      </c>
      <c r="J60" s="73">
        <v>1200</v>
      </c>
      <c r="K60" s="72">
        <v>2100</v>
      </c>
      <c r="L60" s="73">
        <v>1200</v>
      </c>
      <c r="M60" s="72">
        <v>2100</v>
      </c>
      <c r="N60" s="73">
        <v>1200</v>
      </c>
      <c r="O60" s="51">
        <v>2100</v>
      </c>
    </row>
    <row r="61" spans="1:15">
      <c r="A61" s="131" t="s">
        <v>99</v>
      </c>
      <c r="B61" s="74">
        <v>1050</v>
      </c>
      <c r="C61" s="74">
        <v>1050</v>
      </c>
      <c r="D61" s="74">
        <v>1350</v>
      </c>
      <c r="E61" s="74">
        <v>1400</v>
      </c>
      <c r="F61" s="74">
        <v>1500</v>
      </c>
      <c r="G61" s="75">
        <v>2450</v>
      </c>
      <c r="H61" s="76">
        <v>1400</v>
      </c>
      <c r="I61" s="75">
        <v>2450</v>
      </c>
      <c r="J61" s="76">
        <v>1400</v>
      </c>
      <c r="K61" s="75">
        <v>2450</v>
      </c>
      <c r="L61" s="76">
        <v>1400</v>
      </c>
      <c r="M61" s="75">
        <v>2450</v>
      </c>
      <c r="N61" s="76">
        <v>1400</v>
      </c>
      <c r="O61" s="131">
        <v>2450</v>
      </c>
    </row>
    <row r="62" spans="1:15">
      <c r="A62" s="64"/>
      <c r="B62" s="77">
        <v>1050</v>
      </c>
      <c r="C62" s="77">
        <v>1050</v>
      </c>
      <c r="D62" s="77">
        <v>2300</v>
      </c>
      <c r="E62" s="77">
        <v>2450</v>
      </c>
      <c r="F62" s="77">
        <v>2550</v>
      </c>
      <c r="G62" s="78">
        <v>3700</v>
      </c>
      <c r="H62" s="79">
        <v>2450</v>
      </c>
      <c r="I62" s="78">
        <v>3700</v>
      </c>
      <c r="J62" s="79">
        <v>2450</v>
      </c>
      <c r="K62" s="78">
        <v>3700</v>
      </c>
      <c r="L62" s="79">
        <v>2450</v>
      </c>
      <c r="M62" s="78">
        <v>3700</v>
      </c>
      <c r="N62" s="79">
        <v>2450</v>
      </c>
      <c r="O62" s="64">
        <v>3700</v>
      </c>
    </row>
    <row r="63" spans="1:15" ht="15" customHeight="1">
      <c r="A63" s="13" t="s">
        <v>100</v>
      </c>
      <c r="B63" s="18" t="s">
        <v>101</v>
      </c>
      <c r="C63" s="18" t="s">
        <v>101</v>
      </c>
      <c r="D63" s="18" t="s">
        <v>101</v>
      </c>
      <c r="E63" s="18" t="s">
        <v>101</v>
      </c>
      <c r="F63" s="18" t="s">
        <v>101</v>
      </c>
      <c r="G63" s="19" t="s">
        <v>101</v>
      </c>
      <c r="H63" s="20" t="s">
        <v>101</v>
      </c>
      <c r="I63" s="19" t="s">
        <v>101</v>
      </c>
      <c r="J63" s="20" t="s">
        <v>101</v>
      </c>
      <c r="K63" s="19" t="s">
        <v>101</v>
      </c>
      <c r="L63" s="20" t="s">
        <v>101</v>
      </c>
      <c r="M63" s="19" t="s">
        <v>101</v>
      </c>
      <c r="N63" s="20" t="s">
        <v>101</v>
      </c>
      <c r="O63" s="13" t="s">
        <v>101</v>
      </c>
    </row>
    <row r="66" spans="1:14" ht="18.75">
      <c r="A66" s="28" t="s">
        <v>102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1:14">
      <c r="A67" s="42" t="s">
        <v>60</v>
      </c>
      <c r="B67" s="133">
        <v>2009</v>
      </c>
      <c r="C67" s="43">
        <v>2015</v>
      </c>
      <c r="D67" s="56"/>
      <c r="E67" s="133">
        <v>2017</v>
      </c>
      <c r="F67" s="44"/>
      <c r="G67" s="132">
        <v>2020</v>
      </c>
      <c r="H67" s="44"/>
      <c r="I67" s="132">
        <v>2030</v>
      </c>
      <c r="J67" s="44"/>
      <c r="K67" s="132">
        <v>2040</v>
      </c>
      <c r="L67" s="44"/>
      <c r="M67" s="132">
        <v>2050</v>
      </c>
      <c r="N67" s="44"/>
    </row>
    <row r="68" spans="1:14" ht="30">
      <c r="A68" s="45"/>
      <c r="B68" s="46" t="s">
        <v>77</v>
      </c>
      <c r="C68" s="108">
        <f>AVERAGE('[3]EIA Costs'!D136:D137)</f>
        <v>5225</v>
      </c>
      <c r="D68" s="51" t="s">
        <v>103</v>
      </c>
      <c r="E68" s="57" t="s">
        <v>63</v>
      </c>
      <c r="F68" s="57" t="s">
        <v>65</v>
      </c>
      <c r="G68" s="47" t="s">
        <v>63</v>
      </c>
      <c r="H68" s="48" t="s">
        <v>65</v>
      </c>
      <c r="I68" s="47" t="s">
        <v>63</v>
      </c>
      <c r="J68" s="48" t="s">
        <v>65</v>
      </c>
      <c r="K68" s="47" t="s">
        <v>63</v>
      </c>
      <c r="L68" s="48" t="s">
        <v>65</v>
      </c>
      <c r="M68" s="47" t="s">
        <v>63</v>
      </c>
      <c r="N68" s="48" t="s">
        <v>65</v>
      </c>
    </row>
    <row r="69" spans="1:14">
      <c r="A69" s="14" t="s">
        <v>104</v>
      </c>
      <c r="B69" s="15">
        <v>30</v>
      </c>
      <c r="C69" s="15">
        <v>32</v>
      </c>
      <c r="D69" s="15">
        <v>32</v>
      </c>
      <c r="E69" s="15">
        <v>32</v>
      </c>
      <c r="F69" s="15">
        <v>32</v>
      </c>
      <c r="G69" s="16">
        <v>32</v>
      </c>
      <c r="H69" s="17">
        <v>32</v>
      </c>
      <c r="I69" s="16">
        <v>32</v>
      </c>
      <c r="J69" s="17">
        <v>32</v>
      </c>
      <c r="K69" s="16">
        <v>32</v>
      </c>
      <c r="L69" s="17">
        <v>32</v>
      </c>
      <c r="M69" s="16">
        <v>32</v>
      </c>
      <c r="N69" s="17">
        <v>32</v>
      </c>
    </row>
    <row r="70" spans="1:14">
      <c r="A70" s="13" t="s">
        <v>105</v>
      </c>
      <c r="B70" s="58">
        <v>0.51</v>
      </c>
      <c r="C70" s="58">
        <v>0.51</v>
      </c>
      <c r="D70" s="58">
        <v>0.64</v>
      </c>
      <c r="E70" s="58">
        <v>0.67</v>
      </c>
      <c r="F70" s="58">
        <v>0.69</v>
      </c>
      <c r="G70" s="59">
        <v>0.67</v>
      </c>
      <c r="H70" s="60">
        <v>0.69</v>
      </c>
      <c r="I70" s="59">
        <v>0.67</v>
      </c>
      <c r="J70" s="60">
        <v>0.69</v>
      </c>
      <c r="K70" s="59">
        <v>0.67</v>
      </c>
      <c r="L70" s="60">
        <v>0.69</v>
      </c>
      <c r="M70" s="59">
        <v>0.67</v>
      </c>
      <c r="N70" s="60">
        <v>0.69</v>
      </c>
    </row>
    <row r="71" spans="1:14">
      <c r="A71" s="131" t="s">
        <v>81</v>
      </c>
      <c r="B71" s="61">
        <v>6</v>
      </c>
      <c r="C71" s="61">
        <v>6</v>
      </c>
      <c r="D71" s="61">
        <v>6</v>
      </c>
      <c r="E71" s="61">
        <v>6</v>
      </c>
      <c r="F71" s="61">
        <v>6</v>
      </c>
      <c r="G71" s="62">
        <v>6</v>
      </c>
      <c r="H71" s="63">
        <v>6</v>
      </c>
      <c r="I71" s="62">
        <v>6</v>
      </c>
      <c r="J71" s="63">
        <v>6</v>
      </c>
      <c r="K71" s="62">
        <v>6</v>
      </c>
      <c r="L71" s="63">
        <v>6</v>
      </c>
      <c r="M71" s="62">
        <v>6</v>
      </c>
      <c r="N71" s="63">
        <v>6</v>
      </c>
    </row>
    <row r="72" spans="1:14">
      <c r="A72" s="64"/>
      <c r="B72" s="65">
        <v>20</v>
      </c>
      <c r="C72" s="65">
        <v>20</v>
      </c>
      <c r="D72" s="65">
        <v>20</v>
      </c>
      <c r="E72" s="65">
        <v>20</v>
      </c>
      <c r="F72" s="65">
        <v>20</v>
      </c>
      <c r="G72" s="66">
        <v>20</v>
      </c>
      <c r="H72" s="67">
        <v>20</v>
      </c>
      <c r="I72" s="66">
        <v>20</v>
      </c>
      <c r="J72" s="67">
        <v>20</v>
      </c>
      <c r="K72" s="66">
        <v>20</v>
      </c>
      <c r="L72" s="67">
        <v>20</v>
      </c>
      <c r="M72" s="66">
        <v>20</v>
      </c>
      <c r="N72" s="67">
        <v>20</v>
      </c>
    </row>
    <row r="73" spans="1:14">
      <c r="A73" s="130" t="s">
        <v>70</v>
      </c>
      <c r="B73" s="68">
        <v>1350</v>
      </c>
      <c r="C73" s="68">
        <v>1350</v>
      </c>
      <c r="D73" s="68">
        <v>1500</v>
      </c>
      <c r="E73" s="68">
        <v>1600</v>
      </c>
      <c r="F73" s="68">
        <v>1600</v>
      </c>
      <c r="G73" s="69">
        <v>1600</v>
      </c>
      <c r="H73" s="70">
        <v>1600</v>
      </c>
      <c r="I73" s="69">
        <v>1600</v>
      </c>
      <c r="J73" s="70">
        <v>1600</v>
      </c>
      <c r="K73" s="69">
        <v>1600</v>
      </c>
      <c r="L73" s="70">
        <v>1600</v>
      </c>
      <c r="M73" s="69">
        <v>1600</v>
      </c>
      <c r="N73" s="70">
        <v>1600</v>
      </c>
    </row>
    <row r="74" spans="1:14">
      <c r="A74" s="51"/>
      <c r="B74" s="71">
        <v>1450</v>
      </c>
      <c r="C74" s="71">
        <v>1450</v>
      </c>
      <c r="D74" s="71">
        <v>1900</v>
      </c>
      <c r="E74" s="71">
        <v>2050</v>
      </c>
      <c r="F74" s="71">
        <v>2050</v>
      </c>
      <c r="G74" s="72">
        <v>2050</v>
      </c>
      <c r="H74" s="73">
        <v>2050</v>
      </c>
      <c r="I74" s="72">
        <v>2050</v>
      </c>
      <c r="J74" s="73">
        <v>2050</v>
      </c>
      <c r="K74" s="72">
        <v>2050</v>
      </c>
      <c r="L74" s="73">
        <v>2050</v>
      </c>
      <c r="M74" s="72">
        <v>2050</v>
      </c>
      <c r="N74" s="73">
        <v>2050</v>
      </c>
    </row>
    <row r="75" spans="1:14">
      <c r="A75" s="131" t="s">
        <v>71</v>
      </c>
      <c r="B75" s="74">
        <v>2000</v>
      </c>
      <c r="C75" s="74">
        <v>2000</v>
      </c>
      <c r="D75" s="74">
        <v>2100</v>
      </c>
      <c r="E75" s="74">
        <v>2250</v>
      </c>
      <c r="F75" s="74">
        <v>2200</v>
      </c>
      <c r="G75" s="75">
        <v>2250</v>
      </c>
      <c r="H75" s="76">
        <v>2200</v>
      </c>
      <c r="I75" s="75">
        <v>2250</v>
      </c>
      <c r="J75" s="76">
        <v>2200</v>
      </c>
      <c r="K75" s="75">
        <v>2250</v>
      </c>
      <c r="L75" s="76">
        <v>2200</v>
      </c>
      <c r="M75" s="75">
        <v>2250</v>
      </c>
      <c r="N75" s="76">
        <v>2200</v>
      </c>
    </row>
    <row r="76" spans="1:14">
      <c r="A76" s="64"/>
      <c r="B76" s="77">
        <v>2100</v>
      </c>
      <c r="C76" s="77">
        <v>2100</v>
      </c>
      <c r="D76" s="77">
        <v>2700</v>
      </c>
      <c r="E76" s="77">
        <v>2850</v>
      </c>
      <c r="F76" s="77">
        <v>2850</v>
      </c>
      <c r="G76" s="78">
        <v>2850</v>
      </c>
      <c r="H76" s="79">
        <v>2850</v>
      </c>
      <c r="I76" s="78">
        <v>2850</v>
      </c>
      <c r="J76" s="79">
        <v>2850</v>
      </c>
      <c r="K76" s="78">
        <v>2850</v>
      </c>
      <c r="L76" s="79">
        <v>2850</v>
      </c>
      <c r="M76" s="78">
        <v>2850</v>
      </c>
      <c r="N76" s="79">
        <v>2850</v>
      </c>
    </row>
    <row r="77" spans="1:14" ht="30">
      <c r="A77" s="13" t="s">
        <v>72</v>
      </c>
      <c r="B77" s="18">
        <v>180</v>
      </c>
      <c r="C77" s="18">
        <v>180</v>
      </c>
      <c r="D77" s="18">
        <v>180</v>
      </c>
      <c r="E77" s="18">
        <v>180</v>
      </c>
      <c r="F77" s="18">
        <v>180</v>
      </c>
      <c r="G77" s="19">
        <v>180</v>
      </c>
      <c r="H77" s="20">
        <v>180</v>
      </c>
      <c r="I77" s="19">
        <v>180</v>
      </c>
      <c r="J77" s="20">
        <v>180</v>
      </c>
      <c r="K77" s="19">
        <v>180</v>
      </c>
      <c r="L77" s="20">
        <v>180</v>
      </c>
      <c r="M77" s="19">
        <v>180</v>
      </c>
      <c r="N77" s="20">
        <v>180</v>
      </c>
    </row>
    <row r="79" spans="1:14" ht="18.75">
      <c r="A79" s="28" t="s">
        <v>106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spans="1:14">
      <c r="A80" s="42" t="s">
        <v>60</v>
      </c>
      <c r="B80" s="133">
        <v>2009</v>
      </c>
      <c r="C80" s="43">
        <v>2015</v>
      </c>
      <c r="D80" s="56"/>
      <c r="E80" s="133">
        <v>2017</v>
      </c>
      <c r="F80" s="44"/>
      <c r="G80" s="132">
        <v>2020</v>
      </c>
      <c r="H80" s="44"/>
      <c r="I80" s="132">
        <v>2030</v>
      </c>
      <c r="J80" s="44"/>
      <c r="K80" s="132">
        <v>2040</v>
      </c>
      <c r="L80" s="44"/>
      <c r="M80" s="132">
        <v>2050</v>
      </c>
      <c r="N80" s="44"/>
    </row>
    <row r="81" spans="1:14" ht="30">
      <c r="A81" s="45"/>
      <c r="B81" s="46" t="s">
        <v>77</v>
      </c>
      <c r="C81" s="46" t="s">
        <v>77</v>
      </c>
      <c r="D81" s="57" t="s">
        <v>63</v>
      </c>
      <c r="E81" s="46" t="s">
        <v>107</v>
      </c>
      <c r="F81" s="57" t="s">
        <v>65</v>
      </c>
      <c r="G81" s="47" t="s">
        <v>63</v>
      </c>
      <c r="H81" s="48" t="s">
        <v>65</v>
      </c>
      <c r="I81" s="47" t="s">
        <v>63</v>
      </c>
      <c r="J81" s="48" t="s">
        <v>65</v>
      </c>
      <c r="K81" s="47" t="s">
        <v>63</v>
      </c>
      <c r="L81" s="48" t="s">
        <v>65</v>
      </c>
      <c r="M81" s="47" t="s">
        <v>63</v>
      </c>
      <c r="N81" s="48" t="s">
        <v>65</v>
      </c>
    </row>
    <row r="82" spans="1:14">
      <c r="A82" s="14" t="s">
        <v>104</v>
      </c>
      <c r="B82" s="15">
        <v>50</v>
      </c>
      <c r="C82" s="15">
        <v>50</v>
      </c>
      <c r="D82" s="15">
        <v>50</v>
      </c>
      <c r="E82" s="15">
        <v>50</v>
      </c>
      <c r="F82" s="15">
        <v>50</v>
      </c>
      <c r="G82" s="16">
        <v>50</v>
      </c>
      <c r="H82" s="17">
        <v>50</v>
      </c>
      <c r="I82" s="16">
        <v>50</v>
      </c>
      <c r="J82" s="17">
        <v>50</v>
      </c>
      <c r="K82" s="16">
        <v>50</v>
      </c>
      <c r="L82" s="17">
        <v>50</v>
      </c>
      <c r="M82" s="16">
        <v>50</v>
      </c>
      <c r="N82" s="17">
        <v>50</v>
      </c>
    </row>
    <row r="83" spans="1:14">
      <c r="A83" s="13" t="s">
        <v>105</v>
      </c>
      <c r="B83" s="58">
        <v>2.0499999999999998</v>
      </c>
      <c r="C83" s="58">
        <v>2.0499999999999998</v>
      </c>
      <c r="D83" s="58">
        <v>3.28</v>
      </c>
      <c r="E83" s="58">
        <v>2</v>
      </c>
      <c r="F83" s="58">
        <v>3.55</v>
      </c>
      <c r="G83" s="59">
        <v>3.28</v>
      </c>
      <c r="H83" s="60">
        <v>3.55</v>
      </c>
      <c r="I83" s="59">
        <v>3.28</v>
      </c>
      <c r="J83" s="60">
        <v>3.55</v>
      </c>
      <c r="K83" s="59">
        <v>3.28</v>
      </c>
      <c r="L83" s="60">
        <v>3.55</v>
      </c>
      <c r="M83" s="59">
        <v>3.28</v>
      </c>
      <c r="N83" s="60">
        <v>3.55</v>
      </c>
    </row>
    <row r="84" spans="1:14">
      <c r="A84" s="131" t="s">
        <v>81</v>
      </c>
      <c r="B84" s="61">
        <v>6</v>
      </c>
      <c r="C84" s="61">
        <v>6</v>
      </c>
      <c r="D84" s="61">
        <v>6</v>
      </c>
      <c r="E84" s="61">
        <v>6</v>
      </c>
      <c r="F84" s="61">
        <v>6</v>
      </c>
      <c r="G84" s="62">
        <v>6</v>
      </c>
      <c r="H84" s="63">
        <v>6</v>
      </c>
      <c r="I84" s="62">
        <v>6</v>
      </c>
      <c r="J84" s="63">
        <v>6</v>
      </c>
      <c r="K84" s="62">
        <v>6</v>
      </c>
      <c r="L84" s="63">
        <v>6</v>
      </c>
      <c r="M84" s="62">
        <v>6</v>
      </c>
      <c r="N84" s="63">
        <v>6</v>
      </c>
    </row>
    <row r="85" spans="1:14">
      <c r="A85" s="64"/>
      <c r="B85" s="65">
        <v>20</v>
      </c>
      <c r="C85" s="65">
        <v>20</v>
      </c>
      <c r="D85" s="65">
        <v>20</v>
      </c>
      <c r="E85" s="65">
        <v>20</v>
      </c>
      <c r="F85" s="65">
        <v>20</v>
      </c>
      <c r="G85" s="66">
        <v>20</v>
      </c>
      <c r="H85" s="67">
        <v>20</v>
      </c>
      <c r="I85" s="66">
        <v>20</v>
      </c>
      <c r="J85" s="67">
        <v>20</v>
      </c>
      <c r="K85" s="66">
        <v>20</v>
      </c>
      <c r="L85" s="67">
        <v>20</v>
      </c>
      <c r="M85" s="66">
        <v>20</v>
      </c>
      <c r="N85" s="67">
        <v>20</v>
      </c>
    </row>
    <row r="86" spans="1:14">
      <c r="A86" s="85" t="s">
        <v>70</v>
      </c>
      <c r="B86" s="68">
        <v>1550</v>
      </c>
      <c r="C86" s="68">
        <v>1100</v>
      </c>
      <c r="D86" s="68">
        <v>1200</v>
      </c>
      <c r="E86" s="68">
        <v>1050</v>
      </c>
      <c r="F86" s="68">
        <v>1200</v>
      </c>
      <c r="G86" s="69">
        <v>1200</v>
      </c>
      <c r="H86" s="70">
        <v>1200</v>
      </c>
      <c r="I86" s="69">
        <v>1200</v>
      </c>
      <c r="J86" s="70">
        <v>1200</v>
      </c>
      <c r="K86" s="69">
        <v>1200</v>
      </c>
      <c r="L86" s="70">
        <v>1200</v>
      </c>
      <c r="M86" s="69">
        <v>1200</v>
      </c>
      <c r="N86" s="70">
        <v>1200</v>
      </c>
    </row>
    <row r="87" spans="1:14">
      <c r="A87" s="51"/>
      <c r="B87" s="71">
        <v>1900</v>
      </c>
      <c r="C87" s="71">
        <v>1400</v>
      </c>
      <c r="D87" s="71">
        <v>1500</v>
      </c>
      <c r="E87" s="71">
        <v>1350</v>
      </c>
      <c r="F87" s="71">
        <v>2300</v>
      </c>
      <c r="G87" s="72">
        <v>1500</v>
      </c>
      <c r="H87" s="73">
        <v>2300</v>
      </c>
      <c r="I87" s="72">
        <v>1500</v>
      </c>
      <c r="J87" s="73">
        <v>2300</v>
      </c>
      <c r="K87" s="72">
        <v>1500</v>
      </c>
      <c r="L87" s="73">
        <v>2300</v>
      </c>
      <c r="M87" s="72">
        <v>1500</v>
      </c>
      <c r="N87" s="73">
        <v>2300</v>
      </c>
    </row>
    <row r="88" spans="1:14">
      <c r="A88" s="86" t="s">
        <v>71</v>
      </c>
      <c r="B88" s="74">
        <v>1700</v>
      </c>
      <c r="C88" s="74">
        <v>1450</v>
      </c>
      <c r="D88" s="74">
        <v>1600</v>
      </c>
      <c r="E88" s="74">
        <v>1400</v>
      </c>
      <c r="F88" s="74">
        <v>1600</v>
      </c>
      <c r="G88" s="75">
        <v>1600</v>
      </c>
      <c r="H88" s="76">
        <v>1600</v>
      </c>
      <c r="I88" s="75">
        <v>1600</v>
      </c>
      <c r="J88" s="76">
        <v>1600</v>
      </c>
      <c r="K88" s="75">
        <v>1600</v>
      </c>
      <c r="L88" s="76">
        <v>1600</v>
      </c>
      <c r="M88" s="75">
        <v>1600</v>
      </c>
      <c r="N88" s="76">
        <v>1600</v>
      </c>
    </row>
    <row r="89" spans="1:14">
      <c r="A89" s="64"/>
      <c r="B89" s="77">
        <v>2450</v>
      </c>
      <c r="C89" s="77">
        <v>2500</v>
      </c>
      <c r="D89" s="77">
        <v>2550</v>
      </c>
      <c r="E89" s="77">
        <v>2400</v>
      </c>
      <c r="F89" s="77">
        <v>3350</v>
      </c>
      <c r="G89" s="78">
        <v>2550</v>
      </c>
      <c r="H89" s="79">
        <v>3350</v>
      </c>
      <c r="I89" s="78">
        <v>2550</v>
      </c>
      <c r="J89" s="79">
        <v>3350</v>
      </c>
      <c r="K89" s="78">
        <v>2550</v>
      </c>
      <c r="L89" s="79">
        <v>3350</v>
      </c>
      <c r="M89" s="78">
        <v>2550</v>
      </c>
      <c r="N89" s="79">
        <v>3350</v>
      </c>
    </row>
    <row r="90" spans="1:14" ht="30">
      <c r="A90" s="13" t="s">
        <v>72</v>
      </c>
      <c r="B90" s="18">
        <v>20</v>
      </c>
      <c r="C90" s="18">
        <v>20</v>
      </c>
      <c r="D90" s="18">
        <v>20</v>
      </c>
      <c r="E90" s="18">
        <v>20</v>
      </c>
      <c r="F90" s="18">
        <v>20</v>
      </c>
      <c r="G90" s="19">
        <v>20</v>
      </c>
      <c r="H90" s="20">
        <v>20</v>
      </c>
      <c r="I90" s="19">
        <v>20</v>
      </c>
      <c r="J90" s="20">
        <v>20</v>
      </c>
      <c r="K90" s="19">
        <v>20</v>
      </c>
      <c r="L90" s="20">
        <v>20</v>
      </c>
      <c r="M90" s="19">
        <v>20</v>
      </c>
      <c r="N90" s="20">
        <v>20</v>
      </c>
    </row>
    <row r="93" spans="1:14" ht="18.75">
      <c r="A93" s="28" t="s">
        <v>108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4">
      <c r="A94" s="129" t="s">
        <v>60</v>
      </c>
      <c r="B94" s="43">
        <v>2012</v>
      </c>
      <c r="C94" s="56"/>
      <c r="D94" s="133">
        <v>2017</v>
      </c>
      <c r="E94" s="44"/>
      <c r="F94" s="132">
        <v>2020</v>
      </c>
      <c r="G94" s="44"/>
      <c r="H94" s="132">
        <v>2030</v>
      </c>
      <c r="I94" s="44"/>
      <c r="J94" s="132">
        <v>2040</v>
      </c>
      <c r="K94" s="80"/>
      <c r="L94" s="133">
        <v>2050</v>
      </c>
      <c r="M94" s="44"/>
    </row>
    <row r="95" spans="1:14" ht="30">
      <c r="A95" s="45"/>
      <c r="B95" s="46" t="s">
        <v>77</v>
      </c>
      <c r="C95" s="51" t="s">
        <v>103</v>
      </c>
      <c r="D95" s="57" t="s">
        <v>63</v>
      </c>
      <c r="E95" s="57" t="s">
        <v>65</v>
      </c>
      <c r="F95" s="47" t="s">
        <v>63</v>
      </c>
      <c r="G95" s="48" t="s">
        <v>65</v>
      </c>
      <c r="H95" s="47" t="s">
        <v>63</v>
      </c>
      <c r="I95" s="48" t="s">
        <v>65</v>
      </c>
      <c r="J95" s="47" t="s">
        <v>63</v>
      </c>
      <c r="K95" s="84" t="s">
        <v>65</v>
      </c>
      <c r="L95" s="84" t="s">
        <v>63</v>
      </c>
      <c r="M95" s="48" t="s">
        <v>65</v>
      </c>
    </row>
    <row r="96" spans="1:14" ht="30">
      <c r="A96" s="14" t="s">
        <v>66</v>
      </c>
      <c r="B96" s="15">
        <v>400</v>
      </c>
      <c r="C96" s="15">
        <v>400</v>
      </c>
      <c r="D96" s="15">
        <v>400</v>
      </c>
      <c r="E96" s="15">
        <v>400</v>
      </c>
      <c r="F96" s="89">
        <v>400</v>
      </c>
      <c r="G96" s="17">
        <v>400</v>
      </c>
      <c r="H96" s="89">
        <v>400</v>
      </c>
      <c r="I96" s="17">
        <v>400</v>
      </c>
      <c r="J96" s="89">
        <v>400</v>
      </c>
      <c r="K96" s="81">
        <v>400</v>
      </c>
      <c r="L96" s="81">
        <v>400</v>
      </c>
      <c r="M96" s="17">
        <v>400</v>
      </c>
    </row>
    <row r="97" spans="1:13">
      <c r="A97" s="13" t="s">
        <v>109</v>
      </c>
      <c r="B97" s="18">
        <v>80</v>
      </c>
      <c r="C97" s="18">
        <v>80</v>
      </c>
      <c r="D97" s="18">
        <v>80</v>
      </c>
      <c r="E97" s="18">
        <v>95</v>
      </c>
      <c r="F97" s="90">
        <v>80</v>
      </c>
      <c r="G97" s="20">
        <v>95</v>
      </c>
      <c r="H97" s="90">
        <v>81</v>
      </c>
      <c r="I97" s="20">
        <v>95</v>
      </c>
      <c r="J97" s="90">
        <v>81</v>
      </c>
      <c r="K97" s="91">
        <v>95</v>
      </c>
      <c r="L97" s="91">
        <v>81</v>
      </c>
      <c r="M97" s="20">
        <v>95</v>
      </c>
    </row>
    <row r="98" spans="1:13">
      <c r="A98" s="14" t="s">
        <v>81</v>
      </c>
      <c r="B98" s="15">
        <v>23</v>
      </c>
      <c r="C98" s="15">
        <v>23</v>
      </c>
      <c r="D98" s="15">
        <v>23</v>
      </c>
      <c r="E98" s="15">
        <v>23</v>
      </c>
      <c r="F98" s="89">
        <v>23</v>
      </c>
      <c r="G98" s="17">
        <v>23</v>
      </c>
      <c r="H98" s="89">
        <v>23</v>
      </c>
      <c r="I98" s="17">
        <v>23</v>
      </c>
      <c r="J98" s="89">
        <v>23</v>
      </c>
      <c r="K98" s="81">
        <v>23</v>
      </c>
      <c r="L98" s="81">
        <v>23</v>
      </c>
      <c r="M98" s="17">
        <v>23</v>
      </c>
    </row>
    <row r="99" spans="1:13">
      <c r="A99" s="13" t="s">
        <v>70</v>
      </c>
      <c r="B99" s="24">
        <v>1050</v>
      </c>
      <c r="C99" s="24">
        <v>1050</v>
      </c>
      <c r="D99" s="24">
        <v>1050</v>
      </c>
      <c r="E99" s="24">
        <v>2450</v>
      </c>
      <c r="F99" s="25">
        <v>1050</v>
      </c>
      <c r="G99" s="26">
        <v>2450</v>
      </c>
      <c r="H99" s="25">
        <v>1050</v>
      </c>
      <c r="I99" s="26">
        <v>2450</v>
      </c>
      <c r="J99" s="25">
        <v>1050</v>
      </c>
      <c r="K99" s="92">
        <v>2450</v>
      </c>
      <c r="L99" s="92">
        <v>1050</v>
      </c>
      <c r="M99" s="26">
        <v>2450</v>
      </c>
    </row>
    <row r="100" spans="1:13">
      <c r="A100" s="14" t="s">
        <v>71</v>
      </c>
      <c r="B100" s="21">
        <v>2150</v>
      </c>
      <c r="C100" s="21">
        <v>2150</v>
      </c>
      <c r="D100" s="21">
        <v>2150</v>
      </c>
      <c r="E100" s="21">
        <v>3950</v>
      </c>
      <c r="F100" s="22">
        <v>2150</v>
      </c>
      <c r="G100" s="23">
        <v>3950</v>
      </c>
      <c r="H100" s="22">
        <v>2200</v>
      </c>
      <c r="I100" s="23">
        <v>3950</v>
      </c>
      <c r="J100" s="22">
        <v>2200</v>
      </c>
      <c r="K100" s="93">
        <v>3950</v>
      </c>
      <c r="L100" s="93">
        <v>2200</v>
      </c>
      <c r="M100" s="23">
        <v>3950</v>
      </c>
    </row>
    <row r="101" spans="1:13" ht="30">
      <c r="A101" s="13" t="s">
        <v>110</v>
      </c>
      <c r="B101" s="18">
        <v>170</v>
      </c>
      <c r="C101" s="18">
        <v>170</v>
      </c>
      <c r="D101" s="18">
        <v>170</v>
      </c>
      <c r="E101" s="18">
        <v>180</v>
      </c>
      <c r="F101" s="90">
        <v>170</v>
      </c>
      <c r="G101" s="20">
        <v>180</v>
      </c>
      <c r="H101" s="90">
        <v>170</v>
      </c>
      <c r="I101" s="20">
        <v>180</v>
      </c>
      <c r="J101" s="90">
        <v>170</v>
      </c>
      <c r="K101" s="91">
        <v>180</v>
      </c>
      <c r="L101" s="91">
        <v>170</v>
      </c>
      <c r="M101" s="20">
        <v>180</v>
      </c>
    </row>
    <row r="104" spans="1:13" ht="18.75">
      <c r="A104" s="28" t="s">
        <v>111</v>
      </c>
      <c r="B104" s="27"/>
      <c r="C104" s="27"/>
      <c r="D104" s="27"/>
      <c r="E104" s="27"/>
      <c r="F104" s="27"/>
      <c r="G104" s="27"/>
      <c r="H104" s="27"/>
      <c r="I104" s="27"/>
    </row>
    <row r="105" spans="1:13">
      <c r="A105" s="176" t="s">
        <v>60</v>
      </c>
      <c r="B105" s="12">
        <v>2012</v>
      </c>
      <c r="C105" s="173">
        <v>2017</v>
      </c>
      <c r="D105" s="171"/>
      <c r="E105" s="172"/>
      <c r="F105" s="12">
        <v>2020</v>
      </c>
      <c r="G105" s="94" t="s">
        <v>83</v>
      </c>
      <c r="H105" s="12">
        <v>2040</v>
      </c>
      <c r="I105" s="95">
        <v>2050</v>
      </c>
    </row>
    <row r="106" spans="1:13" ht="30">
      <c r="A106" s="177"/>
      <c r="B106" s="13" t="s">
        <v>61</v>
      </c>
      <c r="C106" s="13" t="s">
        <v>62</v>
      </c>
      <c r="D106" s="13" t="s">
        <v>63</v>
      </c>
      <c r="E106" s="96" t="s">
        <v>65</v>
      </c>
      <c r="F106" s="13" t="s">
        <v>63</v>
      </c>
      <c r="G106" s="13" t="s">
        <v>63</v>
      </c>
      <c r="H106" s="13" t="s">
        <v>63</v>
      </c>
      <c r="I106" s="13" t="s">
        <v>63</v>
      </c>
    </row>
    <row r="107" spans="1:13" ht="30">
      <c r="A107" s="14" t="s">
        <v>66</v>
      </c>
      <c r="B107" s="15">
        <v>400</v>
      </c>
      <c r="C107" s="15">
        <v>400</v>
      </c>
      <c r="D107" s="15">
        <v>400</v>
      </c>
      <c r="E107" s="15">
        <v>400</v>
      </c>
      <c r="F107" s="15">
        <v>400</v>
      </c>
      <c r="G107" s="15">
        <v>400</v>
      </c>
      <c r="H107" s="15">
        <v>400</v>
      </c>
      <c r="I107" s="15">
        <v>400</v>
      </c>
    </row>
    <row r="108" spans="1:13">
      <c r="A108" s="13" t="s">
        <v>109</v>
      </c>
      <c r="B108" s="38">
        <v>81</v>
      </c>
      <c r="C108" s="38">
        <v>81</v>
      </c>
      <c r="D108" s="38">
        <v>82</v>
      </c>
      <c r="E108" s="38">
        <v>85</v>
      </c>
      <c r="F108" s="38">
        <v>82</v>
      </c>
      <c r="G108" s="38">
        <v>82</v>
      </c>
      <c r="H108" s="38">
        <v>82</v>
      </c>
      <c r="I108" s="38">
        <v>82</v>
      </c>
    </row>
    <row r="109" spans="1:13">
      <c r="A109" s="14" t="s">
        <v>81</v>
      </c>
      <c r="B109" s="97">
        <v>23</v>
      </c>
      <c r="C109" s="97">
        <v>23</v>
      </c>
      <c r="D109" s="97">
        <v>23</v>
      </c>
      <c r="E109" s="97">
        <v>23</v>
      </c>
      <c r="F109" s="97">
        <v>23</v>
      </c>
      <c r="G109" s="97">
        <v>23</v>
      </c>
      <c r="H109" s="97">
        <v>23</v>
      </c>
      <c r="I109" s="97">
        <v>23</v>
      </c>
    </row>
    <row r="110" spans="1:13">
      <c r="A110" s="13" t="s">
        <v>70</v>
      </c>
      <c r="B110" s="24">
        <v>4650</v>
      </c>
      <c r="C110" s="24">
        <v>4650</v>
      </c>
      <c r="D110" s="24">
        <v>4700</v>
      </c>
      <c r="E110" s="24">
        <v>5050</v>
      </c>
      <c r="F110" s="24">
        <v>4700</v>
      </c>
      <c r="G110" s="24">
        <v>4700</v>
      </c>
      <c r="H110" s="24">
        <v>4700</v>
      </c>
      <c r="I110" s="24">
        <v>4700</v>
      </c>
    </row>
    <row r="111" spans="1:13">
      <c r="A111" s="14" t="s">
        <v>71</v>
      </c>
      <c r="B111" s="21">
        <v>6550</v>
      </c>
      <c r="C111" s="21">
        <v>6550</v>
      </c>
      <c r="D111" s="21">
        <v>6600</v>
      </c>
      <c r="E111" s="21">
        <v>6750</v>
      </c>
      <c r="F111" s="21">
        <v>6600</v>
      </c>
      <c r="G111" s="21">
        <v>6600</v>
      </c>
      <c r="H111" s="21">
        <v>6600</v>
      </c>
      <c r="I111" s="21">
        <v>6600</v>
      </c>
    </row>
    <row r="112" spans="1:13" ht="30">
      <c r="A112" s="13" t="s">
        <v>110</v>
      </c>
      <c r="B112" s="18">
        <v>300</v>
      </c>
      <c r="C112" s="18">
        <v>300</v>
      </c>
      <c r="D112" s="18">
        <v>300</v>
      </c>
      <c r="E112" s="18">
        <v>300</v>
      </c>
      <c r="F112" s="18">
        <v>300</v>
      </c>
      <c r="G112" s="18">
        <v>300</v>
      </c>
      <c r="H112" s="18">
        <v>300</v>
      </c>
      <c r="I112" s="18">
        <v>300</v>
      </c>
    </row>
    <row r="113" spans="1:14">
      <c r="A113" s="98" t="s">
        <v>112</v>
      </c>
      <c r="B113" s="83"/>
      <c r="C113" s="83"/>
      <c r="D113" s="83"/>
      <c r="E113" s="83"/>
      <c r="F113" s="83"/>
      <c r="G113" s="83"/>
      <c r="H113" s="83"/>
      <c r="I113" s="83"/>
    </row>
    <row r="114" spans="1:14">
      <c r="A114" s="98"/>
      <c r="B114" s="83"/>
      <c r="C114" s="83"/>
      <c r="D114" s="83"/>
      <c r="E114" s="83"/>
      <c r="F114" s="83"/>
      <c r="G114" s="83"/>
      <c r="H114" s="83"/>
      <c r="I114" s="83"/>
    </row>
    <row r="115" spans="1:14" ht="18.75">
      <c r="A115" s="28" t="s">
        <v>113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</row>
    <row r="116" spans="1:14" ht="14.45" customHeight="1">
      <c r="A116" s="176" t="s">
        <v>60</v>
      </c>
      <c r="B116" s="12">
        <v>2012</v>
      </c>
      <c r="C116" s="173">
        <v>2017</v>
      </c>
      <c r="D116" s="171"/>
      <c r="E116" s="171"/>
      <c r="F116" s="172"/>
      <c r="G116" s="192" t="s">
        <v>114</v>
      </c>
      <c r="H116" s="193"/>
      <c r="I116" s="192" t="s">
        <v>115</v>
      </c>
      <c r="J116" s="193"/>
      <c r="K116" s="173">
        <v>2040</v>
      </c>
      <c r="L116" s="172"/>
      <c r="M116" s="173">
        <v>2050</v>
      </c>
      <c r="N116" s="172"/>
    </row>
    <row r="117" spans="1:14" ht="30">
      <c r="A117" s="177"/>
      <c r="B117" s="128" t="s">
        <v>61</v>
      </c>
      <c r="C117" s="13" t="s">
        <v>62</v>
      </c>
      <c r="D117" s="13" t="s">
        <v>63</v>
      </c>
      <c r="E117" s="30" t="s">
        <v>116</v>
      </c>
      <c r="F117" s="13" t="s">
        <v>65</v>
      </c>
      <c r="G117" s="13" t="s">
        <v>63</v>
      </c>
      <c r="H117" s="13" t="s">
        <v>65</v>
      </c>
      <c r="I117" s="13" t="s">
        <v>63</v>
      </c>
      <c r="J117" s="13" t="s">
        <v>65</v>
      </c>
      <c r="K117" s="13" t="s">
        <v>63</v>
      </c>
      <c r="L117" s="13" t="s">
        <v>65</v>
      </c>
      <c r="M117" s="13" t="s">
        <v>63</v>
      </c>
      <c r="N117" s="13" t="s">
        <v>65</v>
      </c>
    </row>
    <row r="118" spans="1:14">
      <c r="A118" s="14" t="s">
        <v>78</v>
      </c>
      <c r="B118" s="97">
        <v>90</v>
      </c>
      <c r="C118" s="15">
        <v>90</v>
      </c>
      <c r="D118" s="15">
        <v>90</v>
      </c>
      <c r="E118" s="15">
        <v>90</v>
      </c>
      <c r="F118" s="15">
        <v>90</v>
      </c>
      <c r="G118" s="15">
        <v>90</v>
      </c>
      <c r="H118" s="15">
        <v>90</v>
      </c>
      <c r="I118" s="15">
        <v>90</v>
      </c>
      <c r="J118" s="15">
        <v>90</v>
      </c>
      <c r="K118" s="15">
        <v>90</v>
      </c>
      <c r="L118" s="15">
        <v>90</v>
      </c>
      <c r="M118" s="15">
        <v>90</v>
      </c>
      <c r="N118" s="15">
        <v>90</v>
      </c>
    </row>
    <row r="119" spans="1:14">
      <c r="A119" s="13" t="s">
        <v>117</v>
      </c>
      <c r="B119" s="34">
        <v>10.199999999999999</v>
      </c>
      <c r="C119" s="34">
        <v>11</v>
      </c>
      <c r="D119" s="34">
        <v>11.2</v>
      </c>
      <c r="E119" s="34">
        <v>11.3</v>
      </c>
      <c r="F119" s="34">
        <v>13.1</v>
      </c>
      <c r="G119" s="34">
        <v>11.2</v>
      </c>
      <c r="H119" s="34">
        <v>13.1</v>
      </c>
      <c r="I119" s="34">
        <v>11.7</v>
      </c>
      <c r="J119" s="34">
        <v>13.1</v>
      </c>
      <c r="K119" s="34">
        <v>11.7</v>
      </c>
      <c r="L119" s="34">
        <v>13.1</v>
      </c>
      <c r="M119" s="34">
        <v>11.7</v>
      </c>
      <c r="N119" s="34">
        <v>13.1</v>
      </c>
    </row>
    <row r="120" spans="1:14">
      <c r="A120" s="14" t="s">
        <v>118</v>
      </c>
      <c r="B120" s="36">
        <v>12</v>
      </c>
      <c r="C120" s="99" t="s">
        <v>119</v>
      </c>
      <c r="D120" s="36">
        <v>11.3</v>
      </c>
      <c r="E120" s="36">
        <v>11.4</v>
      </c>
      <c r="F120" s="36">
        <v>20.3</v>
      </c>
      <c r="G120" s="36">
        <v>12.4</v>
      </c>
      <c r="H120" s="36">
        <v>20.3</v>
      </c>
      <c r="I120" s="36">
        <v>14.4</v>
      </c>
      <c r="J120" s="36">
        <v>20.3</v>
      </c>
      <c r="K120" s="36">
        <v>14.4</v>
      </c>
      <c r="L120" s="36">
        <v>20.3</v>
      </c>
      <c r="M120" s="36">
        <v>14.4</v>
      </c>
      <c r="N120" s="36">
        <v>20.3</v>
      </c>
    </row>
    <row r="121" spans="1:14">
      <c r="A121" s="13" t="s">
        <v>120</v>
      </c>
      <c r="B121" s="34">
        <v>3.3</v>
      </c>
      <c r="C121" s="34">
        <v>3.3</v>
      </c>
      <c r="D121" s="34">
        <v>3.3</v>
      </c>
      <c r="E121" s="34">
        <v>3.4</v>
      </c>
      <c r="F121" s="34">
        <v>3.7</v>
      </c>
      <c r="G121" s="34">
        <v>3.3</v>
      </c>
      <c r="H121" s="34">
        <v>3.7</v>
      </c>
      <c r="I121" s="34">
        <v>3.4</v>
      </c>
      <c r="J121" s="34">
        <v>3.7</v>
      </c>
      <c r="K121" s="34">
        <v>3.4</v>
      </c>
      <c r="L121" s="34">
        <v>3.7</v>
      </c>
      <c r="M121" s="34">
        <v>3.4</v>
      </c>
      <c r="N121" s="34">
        <v>3.7</v>
      </c>
    </row>
    <row r="122" spans="1:14">
      <c r="A122" s="14" t="s">
        <v>81</v>
      </c>
      <c r="B122" s="97">
        <v>21</v>
      </c>
      <c r="C122" s="15">
        <v>21</v>
      </c>
      <c r="D122" s="15">
        <v>21</v>
      </c>
      <c r="E122" s="15">
        <v>21</v>
      </c>
      <c r="F122" s="15">
        <v>21</v>
      </c>
      <c r="G122" s="15">
        <v>21</v>
      </c>
      <c r="H122" s="15">
        <v>21</v>
      </c>
      <c r="I122" s="15">
        <v>21</v>
      </c>
      <c r="J122" s="15">
        <v>21</v>
      </c>
      <c r="K122" s="15">
        <v>21</v>
      </c>
      <c r="L122" s="15">
        <v>21</v>
      </c>
      <c r="M122" s="15">
        <v>21</v>
      </c>
      <c r="N122" s="15">
        <v>21</v>
      </c>
    </row>
    <row r="123" spans="1:14">
      <c r="A123" s="13" t="s">
        <v>70</v>
      </c>
      <c r="B123" s="24">
        <v>6050</v>
      </c>
      <c r="C123" s="24">
        <v>6050</v>
      </c>
      <c r="D123" s="24">
        <v>6050</v>
      </c>
      <c r="E123" s="24">
        <v>6250</v>
      </c>
      <c r="F123" s="24">
        <v>11000</v>
      </c>
      <c r="G123" s="24">
        <v>7750</v>
      </c>
      <c r="H123" s="24">
        <v>11000</v>
      </c>
      <c r="I123" s="24">
        <v>8750</v>
      </c>
      <c r="J123" s="24">
        <v>11000</v>
      </c>
      <c r="K123" s="24">
        <v>8750</v>
      </c>
      <c r="L123" s="24">
        <v>11000</v>
      </c>
      <c r="M123" s="24">
        <v>8750</v>
      </c>
      <c r="N123" s="24">
        <v>11000</v>
      </c>
    </row>
    <row r="124" spans="1:14">
      <c r="A124" s="14" t="s">
        <v>71</v>
      </c>
      <c r="B124" s="21">
        <v>7550</v>
      </c>
      <c r="C124" s="21">
        <v>7550</v>
      </c>
      <c r="D124" s="21">
        <v>7550</v>
      </c>
      <c r="E124" s="21">
        <v>7750</v>
      </c>
      <c r="F124" s="21">
        <v>16050</v>
      </c>
      <c r="G124" s="21">
        <v>11150</v>
      </c>
      <c r="H124" s="21">
        <v>16050</v>
      </c>
      <c r="I124" s="21">
        <v>12750</v>
      </c>
      <c r="J124" s="21">
        <v>16050</v>
      </c>
      <c r="K124" s="21">
        <v>12750</v>
      </c>
      <c r="L124" s="21">
        <v>16050</v>
      </c>
      <c r="M124" s="21">
        <v>12750</v>
      </c>
      <c r="N124" s="21">
        <v>16050</v>
      </c>
    </row>
    <row r="125" spans="1:14" ht="30">
      <c r="A125" s="85" t="s">
        <v>72</v>
      </c>
      <c r="B125" s="18">
        <v>310</v>
      </c>
      <c r="C125" s="18">
        <v>310</v>
      </c>
      <c r="D125" s="18">
        <v>310</v>
      </c>
      <c r="E125" s="18">
        <v>310</v>
      </c>
      <c r="F125" s="18">
        <v>310</v>
      </c>
      <c r="G125" s="18">
        <v>310</v>
      </c>
      <c r="H125" s="18">
        <v>310</v>
      </c>
      <c r="I125" s="18">
        <v>310</v>
      </c>
      <c r="J125" s="18">
        <v>310</v>
      </c>
      <c r="K125" s="18">
        <v>310</v>
      </c>
      <c r="L125" s="18">
        <v>310</v>
      </c>
      <c r="M125" s="18">
        <v>310</v>
      </c>
      <c r="N125" s="18">
        <v>310</v>
      </c>
    </row>
    <row r="127" spans="1:14" ht="18.75">
      <c r="A127" s="28" t="s">
        <v>121</v>
      </c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</row>
    <row r="128" spans="1:14">
      <c r="A128" s="42" t="s">
        <v>60</v>
      </c>
      <c r="B128" s="133">
        <v>2012</v>
      </c>
      <c r="C128" s="80"/>
      <c r="D128" s="194">
        <v>2017</v>
      </c>
      <c r="E128" s="194"/>
      <c r="F128" s="194"/>
      <c r="G128" s="195">
        <v>2020</v>
      </c>
      <c r="H128" s="196"/>
      <c r="I128" s="195">
        <v>2030</v>
      </c>
      <c r="J128" s="196"/>
      <c r="K128" s="197">
        <v>2040</v>
      </c>
      <c r="L128" s="194"/>
      <c r="M128" s="132">
        <v>2050</v>
      </c>
      <c r="N128" s="44"/>
    </row>
    <row r="129" spans="1:14" ht="30">
      <c r="A129" s="102"/>
      <c r="B129" s="103" t="s">
        <v>77</v>
      </c>
      <c r="C129" s="104" t="s">
        <v>103</v>
      </c>
      <c r="D129" s="57" t="s">
        <v>63</v>
      </c>
      <c r="E129" s="109" t="s">
        <v>107</v>
      </c>
      <c r="F129" s="57" t="s">
        <v>65</v>
      </c>
      <c r="G129" s="57" t="s">
        <v>63</v>
      </c>
      <c r="H129" s="110" t="s">
        <v>65</v>
      </c>
      <c r="I129" s="57" t="s">
        <v>63</v>
      </c>
      <c r="J129" s="48" t="s">
        <v>65</v>
      </c>
      <c r="K129" s="57" t="s">
        <v>63</v>
      </c>
      <c r="L129" s="48" t="s">
        <v>65</v>
      </c>
      <c r="M129" s="47" t="s">
        <v>63</v>
      </c>
      <c r="N129" s="48" t="s">
        <v>65</v>
      </c>
    </row>
    <row r="130" spans="1:14">
      <c r="A130" s="14" t="s">
        <v>122</v>
      </c>
      <c r="B130" s="16">
        <v>100</v>
      </c>
      <c r="C130" s="17">
        <v>100</v>
      </c>
      <c r="D130" s="15">
        <v>100</v>
      </c>
      <c r="E130" s="17">
        <v>100</v>
      </c>
      <c r="F130" s="15">
        <v>100</v>
      </c>
      <c r="G130" s="15">
        <v>100</v>
      </c>
      <c r="H130" s="17">
        <v>100</v>
      </c>
      <c r="I130" s="15">
        <v>100</v>
      </c>
      <c r="J130" s="17">
        <v>100</v>
      </c>
      <c r="K130" s="15">
        <v>100</v>
      </c>
      <c r="L130" s="17">
        <v>100</v>
      </c>
      <c r="M130" s="16">
        <v>100</v>
      </c>
      <c r="N130" s="17">
        <v>100</v>
      </c>
    </row>
    <row r="131" spans="1:14" ht="30">
      <c r="A131" s="13" t="s">
        <v>66</v>
      </c>
      <c r="B131" s="19">
        <v>199</v>
      </c>
      <c r="C131" s="20">
        <v>199</v>
      </c>
      <c r="D131" s="18">
        <v>199</v>
      </c>
      <c r="E131" s="20">
        <v>199</v>
      </c>
      <c r="F131" s="18">
        <v>199</v>
      </c>
      <c r="G131" s="18">
        <v>199</v>
      </c>
      <c r="H131" s="20">
        <v>199</v>
      </c>
      <c r="I131" s="18">
        <v>199</v>
      </c>
      <c r="J131" s="20">
        <v>199</v>
      </c>
      <c r="K131" s="18">
        <v>199</v>
      </c>
      <c r="L131" s="20">
        <v>199</v>
      </c>
      <c r="M131" s="19">
        <v>199</v>
      </c>
      <c r="N131" s="20">
        <v>199</v>
      </c>
    </row>
    <row r="132" spans="1:14">
      <c r="A132" s="14" t="s">
        <v>123</v>
      </c>
      <c r="B132" s="105">
        <v>81</v>
      </c>
      <c r="C132" s="17">
        <v>80</v>
      </c>
      <c r="D132" s="15">
        <v>82</v>
      </c>
      <c r="E132" s="17">
        <v>94</v>
      </c>
      <c r="F132" s="15">
        <v>99</v>
      </c>
      <c r="G132" s="15">
        <v>82</v>
      </c>
      <c r="H132" s="17">
        <v>99</v>
      </c>
      <c r="I132" s="15">
        <v>82</v>
      </c>
      <c r="J132" s="17">
        <v>99</v>
      </c>
      <c r="K132" s="15">
        <v>82</v>
      </c>
      <c r="L132" s="17">
        <v>99</v>
      </c>
      <c r="M132" s="16">
        <v>82</v>
      </c>
      <c r="N132" s="17">
        <v>99</v>
      </c>
    </row>
    <row r="133" spans="1:14">
      <c r="A133" s="13" t="s">
        <v>81</v>
      </c>
      <c r="B133" s="106">
        <v>13</v>
      </c>
      <c r="C133" s="20">
        <v>10</v>
      </c>
      <c r="D133" s="18">
        <v>10</v>
      </c>
      <c r="E133" s="20">
        <v>10</v>
      </c>
      <c r="F133" s="18">
        <v>10</v>
      </c>
      <c r="G133" s="18">
        <v>10</v>
      </c>
      <c r="H133" s="20">
        <v>10</v>
      </c>
      <c r="I133" s="18">
        <v>10</v>
      </c>
      <c r="J133" s="20">
        <v>10</v>
      </c>
      <c r="K133" s="18">
        <v>10</v>
      </c>
      <c r="L133" s="20">
        <v>10</v>
      </c>
      <c r="M133" s="19">
        <v>10</v>
      </c>
      <c r="N133" s="20">
        <v>10</v>
      </c>
    </row>
    <row r="134" spans="1:14" ht="30">
      <c r="A134" s="131" t="s">
        <v>124</v>
      </c>
      <c r="B134" s="75">
        <v>3400</v>
      </c>
      <c r="C134" s="76">
        <v>3300</v>
      </c>
      <c r="D134" s="74">
        <v>3450</v>
      </c>
      <c r="E134" s="76">
        <v>3950</v>
      </c>
      <c r="F134" s="74">
        <v>4050</v>
      </c>
      <c r="G134" s="74">
        <v>3450</v>
      </c>
      <c r="H134" s="76">
        <v>4050</v>
      </c>
      <c r="I134" s="74">
        <v>3450</v>
      </c>
      <c r="J134" s="111">
        <v>4050</v>
      </c>
      <c r="K134" s="74">
        <v>3450</v>
      </c>
      <c r="L134" s="111">
        <v>4050</v>
      </c>
      <c r="M134" s="75">
        <v>3450</v>
      </c>
      <c r="N134" s="76">
        <v>4050</v>
      </c>
    </row>
    <row r="135" spans="1:14">
      <c r="A135" s="64"/>
      <c r="B135" s="78">
        <v>4200</v>
      </c>
      <c r="C135" s="79">
        <v>4100</v>
      </c>
      <c r="D135" s="77">
        <v>4300</v>
      </c>
      <c r="E135" s="79">
        <v>4850</v>
      </c>
      <c r="F135" s="77">
        <v>4950</v>
      </c>
      <c r="G135" s="77">
        <v>4300</v>
      </c>
      <c r="H135" s="79">
        <v>4950</v>
      </c>
      <c r="I135" s="77">
        <v>4300</v>
      </c>
      <c r="J135" s="112">
        <v>4950</v>
      </c>
      <c r="K135" s="77">
        <v>4300</v>
      </c>
      <c r="L135" s="112">
        <v>4950</v>
      </c>
      <c r="M135" s="78">
        <v>4300</v>
      </c>
      <c r="N135" s="79">
        <v>4950</v>
      </c>
    </row>
    <row r="136" spans="1:14">
      <c r="A136" s="130" t="s">
        <v>125</v>
      </c>
      <c r="B136" s="69">
        <v>4200</v>
      </c>
      <c r="C136" s="70">
        <v>4150</v>
      </c>
      <c r="D136" s="68">
        <v>4300</v>
      </c>
      <c r="E136" s="70">
        <v>5450</v>
      </c>
      <c r="F136" s="68">
        <v>5550</v>
      </c>
      <c r="G136" s="68">
        <v>4300</v>
      </c>
      <c r="H136" s="70">
        <v>5550</v>
      </c>
      <c r="I136" s="68">
        <v>4300</v>
      </c>
      <c r="J136" s="113">
        <v>5550</v>
      </c>
      <c r="K136" s="68">
        <v>4300</v>
      </c>
      <c r="L136" s="113">
        <v>5550</v>
      </c>
      <c r="M136" s="69">
        <v>4300</v>
      </c>
      <c r="N136" s="70">
        <v>5550</v>
      </c>
    </row>
    <row r="137" spans="1:14">
      <c r="A137" s="51"/>
      <c r="B137" s="72">
        <v>6050</v>
      </c>
      <c r="C137" s="73">
        <v>5950</v>
      </c>
      <c r="D137" s="71">
        <v>6150</v>
      </c>
      <c r="E137" s="73">
        <v>6500</v>
      </c>
      <c r="F137" s="71">
        <v>6600</v>
      </c>
      <c r="G137" s="71">
        <v>6150</v>
      </c>
      <c r="H137" s="73">
        <v>6600</v>
      </c>
      <c r="I137" s="71">
        <v>6150</v>
      </c>
      <c r="J137" s="114">
        <v>6600</v>
      </c>
      <c r="K137" s="71">
        <v>6150</v>
      </c>
      <c r="L137" s="114">
        <v>6600</v>
      </c>
      <c r="M137" s="72">
        <v>6150</v>
      </c>
      <c r="N137" s="73">
        <v>6600</v>
      </c>
    </row>
    <row r="138" spans="1:14" ht="30">
      <c r="A138" s="14" t="s">
        <v>72</v>
      </c>
      <c r="B138" s="62">
        <v>270</v>
      </c>
      <c r="C138" s="82">
        <v>270</v>
      </c>
      <c r="D138" s="107">
        <v>270</v>
      </c>
      <c r="E138" s="82">
        <v>270</v>
      </c>
      <c r="F138" s="107">
        <v>270</v>
      </c>
      <c r="G138" s="107">
        <v>270</v>
      </c>
      <c r="H138" s="82">
        <v>270</v>
      </c>
      <c r="I138" s="107">
        <v>270</v>
      </c>
      <c r="J138" s="82">
        <v>270</v>
      </c>
      <c r="K138" s="107">
        <v>270</v>
      </c>
      <c r="L138" s="82">
        <v>270</v>
      </c>
      <c r="M138" s="62">
        <v>270</v>
      </c>
      <c r="N138" s="82">
        <v>270</v>
      </c>
    </row>
    <row r="140" spans="1:14" ht="18.75">
      <c r="A140" s="28" t="s">
        <v>126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1:14">
      <c r="A141" s="176" t="s">
        <v>60</v>
      </c>
      <c r="B141" s="12">
        <v>2012</v>
      </c>
      <c r="C141" s="173">
        <v>2017</v>
      </c>
      <c r="D141" s="171"/>
      <c r="E141" s="172"/>
      <c r="F141" s="173">
        <v>2020</v>
      </c>
      <c r="G141" s="172"/>
      <c r="H141" s="173">
        <v>2030</v>
      </c>
      <c r="I141" s="172"/>
      <c r="J141" s="173">
        <v>2040</v>
      </c>
      <c r="K141" s="172"/>
      <c r="L141" s="173">
        <v>2050</v>
      </c>
      <c r="M141" s="172"/>
    </row>
    <row r="142" spans="1:14" ht="30">
      <c r="A142" s="177"/>
      <c r="B142" s="128" t="s">
        <v>61</v>
      </c>
      <c r="C142" s="13" t="s">
        <v>62</v>
      </c>
      <c r="D142" s="13" t="s">
        <v>63</v>
      </c>
      <c r="E142" s="13" t="s">
        <v>65</v>
      </c>
      <c r="F142" s="13" t="s">
        <v>63</v>
      </c>
      <c r="G142" s="13" t="s">
        <v>65</v>
      </c>
      <c r="H142" s="13" t="s">
        <v>63</v>
      </c>
      <c r="I142" s="13" t="s">
        <v>65</v>
      </c>
      <c r="J142" s="13" t="s">
        <v>63</v>
      </c>
      <c r="K142" s="13" t="s">
        <v>65</v>
      </c>
      <c r="L142" s="13" t="s">
        <v>63</v>
      </c>
      <c r="M142" s="13" t="s">
        <v>65</v>
      </c>
    </row>
    <row r="143" spans="1:14">
      <c r="A143" s="14" t="s">
        <v>122</v>
      </c>
      <c r="B143" s="97">
        <v>70</v>
      </c>
      <c r="C143" s="97">
        <v>85</v>
      </c>
      <c r="D143" s="97">
        <v>85</v>
      </c>
      <c r="E143" s="97">
        <v>85</v>
      </c>
      <c r="F143" s="15">
        <v>85</v>
      </c>
      <c r="G143" s="15">
        <v>85</v>
      </c>
      <c r="H143" s="15">
        <v>85</v>
      </c>
      <c r="I143" s="15">
        <v>85</v>
      </c>
      <c r="J143" s="15">
        <v>85</v>
      </c>
      <c r="K143" s="15">
        <v>85</v>
      </c>
      <c r="L143" s="15">
        <v>85</v>
      </c>
      <c r="M143" s="15">
        <v>85</v>
      </c>
    </row>
    <row r="144" spans="1:14" ht="30">
      <c r="A144" s="13" t="s">
        <v>66</v>
      </c>
      <c r="B144" s="18">
        <v>300</v>
      </c>
      <c r="C144" s="18">
        <v>300</v>
      </c>
      <c r="D144" s="18">
        <v>300</v>
      </c>
      <c r="E144" s="18">
        <v>300</v>
      </c>
      <c r="F144" s="18">
        <v>300</v>
      </c>
      <c r="G144" s="18">
        <v>300</v>
      </c>
      <c r="H144" s="18">
        <v>300</v>
      </c>
      <c r="I144" s="18">
        <v>300</v>
      </c>
      <c r="J144" s="18">
        <v>300</v>
      </c>
      <c r="K144" s="18">
        <v>300</v>
      </c>
      <c r="L144" s="18">
        <v>300</v>
      </c>
      <c r="M144" s="18">
        <v>300</v>
      </c>
    </row>
    <row r="145" spans="1:13">
      <c r="A145" s="14" t="s">
        <v>123</v>
      </c>
      <c r="B145" s="97">
        <v>79</v>
      </c>
      <c r="C145" s="97">
        <v>80</v>
      </c>
      <c r="D145" s="97">
        <v>81</v>
      </c>
      <c r="E145" s="97">
        <v>82</v>
      </c>
      <c r="F145" s="15">
        <v>81</v>
      </c>
      <c r="G145" s="15">
        <v>82</v>
      </c>
      <c r="H145" s="15">
        <v>81</v>
      </c>
      <c r="I145" s="15">
        <v>82</v>
      </c>
      <c r="J145" s="15">
        <v>81</v>
      </c>
      <c r="K145" s="15">
        <v>82</v>
      </c>
      <c r="L145" s="15">
        <v>81</v>
      </c>
      <c r="M145" s="15">
        <v>82</v>
      </c>
    </row>
    <row r="146" spans="1:13">
      <c r="A146" s="13" t="s">
        <v>81</v>
      </c>
      <c r="B146" s="38">
        <v>13</v>
      </c>
      <c r="C146" s="38">
        <v>13</v>
      </c>
      <c r="D146" s="38">
        <v>13</v>
      </c>
      <c r="E146" s="38">
        <v>13</v>
      </c>
      <c r="F146" s="18">
        <v>13</v>
      </c>
      <c r="G146" s="18">
        <v>13</v>
      </c>
      <c r="H146" s="18">
        <v>13</v>
      </c>
      <c r="I146" s="18">
        <v>13</v>
      </c>
      <c r="J146" s="18">
        <v>13</v>
      </c>
      <c r="K146" s="18">
        <v>13</v>
      </c>
      <c r="L146" s="18">
        <v>13</v>
      </c>
      <c r="M146" s="18">
        <v>13</v>
      </c>
    </row>
    <row r="147" spans="1:13">
      <c r="A147" s="14" t="s">
        <v>70</v>
      </c>
      <c r="B147" s="21">
        <v>4650</v>
      </c>
      <c r="C147" s="21">
        <v>4650</v>
      </c>
      <c r="D147" s="21">
        <v>4650</v>
      </c>
      <c r="E147" s="21">
        <v>4650</v>
      </c>
      <c r="F147" s="21">
        <v>4650</v>
      </c>
      <c r="G147" s="21">
        <v>4650</v>
      </c>
      <c r="H147" s="21">
        <v>4650</v>
      </c>
      <c r="I147" s="21">
        <v>4650</v>
      </c>
      <c r="J147" s="21">
        <v>4650</v>
      </c>
      <c r="K147" s="21">
        <v>4650</v>
      </c>
      <c r="L147" s="21">
        <v>4650</v>
      </c>
      <c r="M147" s="21">
        <v>4650</v>
      </c>
    </row>
    <row r="148" spans="1:13">
      <c r="A148" s="13" t="s">
        <v>71</v>
      </c>
      <c r="B148" s="24">
        <v>5200</v>
      </c>
      <c r="C148" s="24">
        <v>5200</v>
      </c>
      <c r="D148" s="24">
        <v>5200</v>
      </c>
      <c r="E148" s="24">
        <v>5200</v>
      </c>
      <c r="F148" s="24">
        <v>5200</v>
      </c>
      <c r="G148" s="24">
        <v>5200</v>
      </c>
      <c r="H148" s="24">
        <v>5200</v>
      </c>
      <c r="I148" s="24">
        <v>5200</v>
      </c>
      <c r="J148" s="24">
        <v>5200</v>
      </c>
      <c r="K148" s="24">
        <v>5200</v>
      </c>
      <c r="L148" s="24">
        <v>5200</v>
      </c>
      <c r="M148" s="24">
        <v>5200</v>
      </c>
    </row>
    <row r="149" spans="1:13" ht="30">
      <c r="A149" s="86" t="s">
        <v>72</v>
      </c>
      <c r="B149" s="15">
        <v>168</v>
      </c>
      <c r="C149" s="15">
        <v>168</v>
      </c>
      <c r="D149" s="15">
        <v>168</v>
      </c>
      <c r="E149" s="15">
        <v>168</v>
      </c>
      <c r="F149" s="15">
        <v>168</v>
      </c>
      <c r="G149" s="15">
        <v>168</v>
      </c>
      <c r="H149" s="15">
        <v>168</v>
      </c>
      <c r="I149" s="15">
        <v>168</v>
      </c>
      <c r="J149" s="15">
        <v>168</v>
      </c>
      <c r="K149" s="15">
        <v>168</v>
      </c>
      <c r="L149" s="15">
        <v>168</v>
      </c>
      <c r="M149" s="15">
        <v>168</v>
      </c>
    </row>
  </sheetData>
  <mergeCells count="48">
    <mergeCell ref="A141:A142"/>
    <mergeCell ref="C141:E141"/>
    <mergeCell ref="F141:G141"/>
    <mergeCell ref="H141:I141"/>
    <mergeCell ref="J141:K141"/>
    <mergeCell ref="L141:M141"/>
    <mergeCell ref="K116:L116"/>
    <mergeCell ref="M116:N116"/>
    <mergeCell ref="D128:F128"/>
    <mergeCell ref="G128:H128"/>
    <mergeCell ref="I128:J128"/>
    <mergeCell ref="K128:L128"/>
    <mergeCell ref="I116:J116"/>
    <mergeCell ref="A105:A106"/>
    <mergeCell ref="C105:E105"/>
    <mergeCell ref="A116:A117"/>
    <mergeCell ref="C116:F116"/>
    <mergeCell ref="G116:H116"/>
    <mergeCell ref="A2:A3"/>
    <mergeCell ref="N53:O53"/>
    <mergeCell ref="L53:M53"/>
    <mergeCell ref="D53:G53"/>
    <mergeCell ref="H53:I53"/>
    <mergeCell ref="J53:K53"/>
    <mergeCell ref="L40:M40"/>
    <mergeCell ref="N40:O40"/>
    <mergeCell ref="A19:A20"/>
    <mergeCell ref="A21:A22"/>
    <mergeCell ref="A23:A24"/>
    <mergeCell ref="A7:A8"/>
    <mergeCell ref="A40:A41"/>
    <mergeCell ref="D40:G40"/>
    <mergeCell ref="H40:I40"/>
    <mergeCell ref="J40:K40"/>
    <mergeCell ref="A14:A15"/>
    <mergeCell ref="D14:G14"/>
    <mergeCell ref="H14:I14"/>
    <mergeCell ref="A45:A46"/>
    <mergeCell ref="A49:A50"/>
    <mergeCell ref="J14:K14"/>
    <mergeCell ref="L14:M14"/>
    <mergeCell ref="N14:O14"/>
    <mergeCell ref="I15:J15"/>
    <mergeCell ref="D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836"/>
  <sheetViews>
    <sheetView topLeftCell="B2" workbookViewId="0">
      <selection activeCell="F9" sqref="F9"/>
    </sheetView>
  </sheetViews>
  <sheetFormatPr defaultRowHeight="15"/>
  <cols>
    <col min="1" max="1" width="20.85546875" hidden="1" customWidth="1"/>
    <col min="2" max="2" width="43.5703125" customWidth="1"/>
  </cols>
  <sheetData>
    <row r="1" spans="1:35" ht="15" customHeight="1" thickBot="1">
      <c r="B1" s="4" t="s">
        <v>127</v>
      </c>
      <c r="C1" s="134">
        <v>2022</v>
      </c>
      <c r="D1" s="134">
        <v>2023</v>
      </c>
      <c r="E1" s="134">
        <v>2024</v>
      </c>
      <c r="F1" s="134">
        <v>2025</v>
      </c>
      <c r="G1" s="134">
        <v>2026</v>
      </c>
      <c r="H1" s="134">
        <v>2027</v>
      </c>
      <c r="I1" s="134">
        <v>2028</v>
      </c>
      <c r="J1" s="134">
        <v>2029</v>
      </c>
      <c r="K1" s="134">
        <v>2030</v>
      </c>
      <c r="L1" s="134">
        <v>2031</v>
      </c>
      <c r="M1" s="134">
        <v>2032</v>
      </c>
      <c r="N1" s="134">
        <v>2033</v>
      </c>
      <c r="O1" s="134">
        <v>2034</v>
      </c>
      <c r="P1" s="134">
        <v>2035</v>
      </c>
      <c r="Q1" s="134">
        <v>2036</v>
      </c>
      <c r="R1" s="134">
        <v>2037</v>
      </c>
      <c r="S1" s="134">
        <v>2038</v>
      </c>
      <c r="T1" s="134">
        <v>2039</v>
      </c>
      <c r="U1" s="134">
        <v>2040</v>
      </c>
      <c r="V1" s="134">
        <v>2041</v>
      </c>
      <c r="W1" s="134">
        <v>2042</v>
      </c>
      <c r="X1" s="134">
        <v>2043</v>
      </c>
      <c r="Y1" s="134">
        <v>2044</v>
      </c>
      <c r="Z1" s="134">
        <v>2045</v>
      </c>
      <c r="AA1" s="134">
        <v>2046</v>
      </c>
      <c r="AB1" s="134">
        <v>2047</v>
      </c>
      <c r="AC1" s="134">
        <v>2048</v>
      </c>
      <c r="AD1" s="134">
        <v>2049</v>
      </c>
      <c r="AE1" s="134">
        <v>2050</v>
      </c>
    </row>
    <row r="2" spans="1:35" ht="15" customHeight="1" thickTop="1"/>
    <row r="3" spans="1:35" ht="15" customHeight="1">
      <c r="C3" s="135" t="s">
        <v>128</v>
      </c>
      <c r="D3" s="135" t="s">
        <v>129</v>
      </c>
      <c r="E3" s="136"/>
      <c r="F3" s="136"/>
      <c r="G3" s="136"/>
    </row>
    <row r="4" spans="1:35" ht="15" customHeight="1">
      <c r="C4" s="135" t="s">
        <v>130</v>
      </c>
      <c r="D4" s="135" t="s">
        <v>131</v>
      </c>
      <c r="E4" s="136"/>
      <c r="F4" s="136"/>
      <c r="G4" s="135" t="s">
        <v>132</v>
      </c>
    </row>
    <row r="5" spans="1:35" ht="15" customHeight="1">
      <c r="C5" s="135" t="s">
        <v>133</v>
      </c>
      <c r="D5" s="135" t="s">
        <v>134</v>
      </c>
      <c r="E5" s="136"/>
      <c r="F5" s="136"/>
      <c r="G5" s="136"/>
    </row>
    <row r="6" spans="1:35" ht="15" customHeight="1">
      <c r="C6" s="135" t="s">
        <v>135</v>
      </c>
      <c r="D6" s="136"/>
      <c r="E6" s="135" t="s">
        <v>136</v>
      </c>
      <c r="F6" s="136"/>
      <c r="G6" s="136"/>
    </row>
    <row r="9" spans="1:3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5" ht="15" customHeight="1">
      <c r="A10" s="6" t="s">
        <v>137</v>
      </c>
      <c r="B10" s="137" t="s">
        <v>138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38" t="s">
        <v>139</v>
      </c>
      <c r="AG10" s="9"/>
    </row>
    <row r="11" spans="1:35" ht="15" customHeight="1">
      <c r="B11" s="139" t="s">
        <v>140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38" t="s">
        <v>141</v>
      </c>
      <c r="AG11" s="9"/>
    </row>
    <row r="12" spans="1:35" ht="15" customHeight="1">
      <c r="B12" s="139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38" t="s">
        <v>142</v>
      </c>
      <c r="AG12" s="9"/>
      <c r="AI12" s="2" t="s">
        <v>143</v>
      </c>
    </row>
    <row r="13" spans="1:35" ht="15" customHeight="1" thickBot="1">
      <c r="B13" s="141" t="s">
        <v>144</v>
      </c>
      <c r="C13" s="141">
        <v>2022</v>
      </c>
      <c r="D13" s="141">
        <v>2023</v>
      </c>
      <c r="E13" s="141">
        <v>2024</v>
      </c>
      <c r="F13" s="141">
        <v>2025</v>
      </c>
      <c r="G13" s="141">
        <v>2026</v>
      </c>
      <c r="H13" s="141">
        <v>2027</v>
      </c>
      <c r="I13" s="141">
        <v>2028</v>
      </c>
      <c r="J13" s="141">
        <v>2029</v>
      </c>
      <c r="K13" s="141">
        <v>2030</v>
      </c>
      <c r="L13" s="141">
        <v>2031</v>
      </c>
      <c r="M13" s="141">
        <v>2032</v>
      </c>
      <c r="N13" s="141">
        <v>2033</v>
      </c>
      <c r="O13" s="141">
        <v>2034</v>
      </c>
      <c r="P13" s="141">
        <v>2035</v>
      </c>
      <c r="Q13" s="141">
        <v>2036</v>
      </c>
      <c r="R13" s="141">
        <v>2037</v>
      </c>
      <c r="S13" s="141">
        <v>2038</v>
      </c>
      <c r="T13" s="141">
        <v>2039</v>
      </c>
      <c r="U13" s="141">
        <v>2040</v>
      </c>
      <c r="V13" s="141">
        <v>2041</v>
      </c>
      <c r="W13" s="141">
        <v>2042</v>
      </c>
      <c r="X13" s="141">
        <v>2043</v>
      </c>
      <c r="Y13" s="141">
        <v>2044</v>
      </c>
      <c r="Z13" s="141">
        <v>2045</v>
      </c>
      <c r="AA13" s="141">
        <v>2046</v>
      </c>
      <c r="AB13" s="141">
        <v>2047</v>
      </c>
      <c r="AC13" s="141">
        <v>2048</v>
      </c>
      <c r="AD13" s="141">
        <v>2049</v>
      </c>
      <c r="AE13" s="141">
        <v>2050</v>
      </c>
      <c r="AF13" s="142" t="s">
        <v>145</v>
      </c>
      <c r="AG13" s="9"/>
      <c r="AI13" s="5">
        <v>2050</v>
      </c>
    </row>
    <row r="14" spans="1:35" ht="15" customHeight="1" thickTop="1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5" ht="15" customHeight="1">
      <c r="B15" s="143" t="s">
        <v>146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5" ht="15" customHeight="1">
      <c r="B16" s="143" t="s">
        <v>147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5" ht="15" customHeight="1">
      <c r="A17" s="6" t="s">
        <v>148</v>
      </c>
      <c r="B17" s="144" t="s">
        <v>149</v>
      </c>
      <c r="C17" s="145">
        <v>86.924255000000002</v>
      </c>
      <c r="D17" s="145">
        <v>87.748610999999997</v>
      </c>
      <c r="E17" s="145">
        <v>88.618674999999996</v>
      </c>
      <c r="F17" s="145">
        <v>89.519981000000001</v>
      </c>
      <c r="G17" s="145">
        <v>90.411308000000005</v>
      </c>
      <c r="H17" s="145">
        <v>91.302132</v>
      </c>
      <c r="I17" s="145">
        <v>92.198265000000006</v>
      </c>
      <c r="J17" s="145">
        <v>93.091507000000007</v>
      </c>
      <c r="K17" s="145">
        <v>93.970618999999999</v>
      </c>
      <c r="L17" s="145">
        <v>94.836555000000004</v>
      </c>
      <c r="M17" s="145">
        <v>95.694557000000003</v>
      </c>
      <c r="N17" s="145">
        <v>96.533203</v>
      </c>
      <c r="O17" s="145">
        <v>97.347885000000005</v>
      </c>
      <c r="P17" s="145">
        <v>98.154381000000001</v>
      </c>
      <c r="Q17" s="145">
        <v>98.959145000000007</v>
      </c>
      <c r="R17" s="145">
        <v>99.757239999999996</v>
      </c>
      <c r="S17" s="145">
        <v>100.55006400000001</v>
      </c>
      <c r="T17" s="145">
        <v>101.334656</v>
      </c>
      <c r="U17" s="145">
        <v>102.12499200000001</v>
      </c>
      <c r="V17" s="145">
        <v>102.91761</v>
      </c>
      <c r="W17" s="145">
        <v>103.69783</v>
      </c>
      <c r="X17" s="145">
        <v>104.47331200000001</v>
      </c>
      <c r="Y17" s="145">
        <v>105.24597199999999</v>
      </c>
      <c r="Z17" s="145">
        <v>106.016052</v>
      </c>
      <c r="AA17" s="145">
        <v>106.78051000000001</v>
      </c>
      <c r="AB17" s="145">
        <v>107.538147</v>
      </c>
      <c r="AC17" s="145">
        <v>108.286224</v>
      </c>
      <c r="AD17" s="145">
        <v>109.022423</v>
      </c>
      <c r="AE17" s="145">
        <v>109.74867999999999</v>
      </c>
      <c r="AF17" s="146">
        <v>8.3619999999999996E-3</v>
      </c>
      <c r="AG17" s="9"/>
      <c r="AI17" s="7">
        <v>7.038E-3</v>
      </c>
    </row>
    <row r="18" spans="1:35" ht="15" customHeight="1">
      <c r="A18" s="6" t="s">
        <v>150</v>
      </c>
      <c r="B18" s="144" t="s">
        <v>151</v>
      </c>
      <c r="C18" s="145">
        <v>32.842151999999999</v>
      </c>
      <c r="D18" s="145">
        <v>33.209229000000001</v>
      </c>
      <c r="E18" s="145">
        <v>33.535468999999999</v>
      </c>
      <c r="F18" s="145">
        <v>33.858150000000002</v>
      </c>
      <c r="G18" s="145">
        <v>34.181629000000001</v>
      </c>
      <c r="H18" s="145">
        <v>34.507632999999998</v>
      </c>
      <c r="I18" s="145">
        <v>34.834254999999999</v>
      </c>
      <c r="J18" s="145">
        <v>35.155056000000002</v>
      </c>
      <c r="K18" s="145">
        <v>35.465130000000002</v>
      </c>
      <c r="L18" s="145">
        <v>35.769081</v>
      </c>
      <c r="M18" s="145">
        <v>36.071800000000003</v>
      </c>
      <c r="N18" s="145">
        <v>36.366607999999999</v>
      </c>
      <c r="O18" s="145">
        <v>36.650593000000001</v>
      </c>
      <c r="P18" s="145">
        <v>36.930110999999997</v>
      </c>
      <c r="Q18" s="145">
        <v>37.212017000000003</v>
      </c>
      <c r="R18" s="145">
        <v>37.496158999999999</v>
      </c>
      <c r="S18" s="145">
        <v>37.783923999999999</v>
      </c>
      <c r="T18" s="145">
        <v>38.073307</v>
      </c>
      <c r="U18" s="145">
        <v>38.36647</v>
      </c>
      <c r="V18" s="145">
        <v>38.656506</v>
      </c>
      <c r="W18" s="145">
        <v>38.941955999999998</v>
      </c>
      <c r="X18" s="145">
        <v>39.223990999999998</v>
      </c>
      <c r="Y18" s="145">
        <v>39.501944999999999</v>
      </c>
      <c r="Z18" s="145">
        <v>39.776778999999998</v>
      </c>
      <c r="AA18" s="145">
        <v>40.048442999999999</v>
      </c>
      <c r="AB18" s="145">
        <v>40.322777000000002</v>
      </c>
      <c r="AC18" s="145">
        <v>40.595905000000002</v>
      </c>
      <c r="AD18" s="145">
        <v>40.869537000000001</v>
      </c>
      <c r="AE18" s="145">
        <v>41.144089000000001</v>
      </c>
      <c r="AF18" s="146">
        <v>8.0809999999999996E-3</v>
      </c>
      <c r="AG18" s="9"/>
      <c r="AI18" s="7">
        <v>5.5909999999999996E-3</v>
      </c>
    </row>
    <row r="19" spans="1:35" ht="15" customHeight="1">
      <c r="A19" s="6" t="s">
        <v>152</v>
      </c>
      <c r="B19" s="144" t="s">
        <v>153</v>
      </c>
      <c r="C19" s="145">
        <v>6.6483759999999998</v>
      </c>
      <c r="D19" s="145">
        <v>6.6544350000000003</v>
      </c>
      <c r="E19" s="145">
        <v>6.6577469999999996</v>
      </c>
      <c r="F19" s="145">
        <v>6.6602829999999997</v>
      </c>
      <c r="G19" s="145">
        <v>6.66859</v>
      </c>
      <c r="H19" s="145">
        <v>6.680898</v>
      </c>
      <c r="I19" s="145">
        <v>6.6957050000000002</v>
      </c>
      <c r="J19" s="145">
        <v>6.7098389999999997</v>
      </c>
      <c r="K19" s="145">
        <v>6.7178110000000002</v>
      </c>
      <c r="L19" s="145">
        <v>6.7220909999999998</v>
      </c>
      <c r="M19" s="145">
        <v>6.7270110000000001</v>
      </c>
      <c r="N19" s="145">
        <v>6.7340980000000004</v>
      </c>
      <c r="O19" s="145">
        <v>6.7406730000000001</v>
      </c>
      <c r="P19" s="145">
        <v>6.7449050000000002</v>
      </c>
      <c r="Q19" s="145">
        <v>6.7499500000000001</v>
      </c>
      <c r="R19" s="145">
        <v>6.7524220000000001</v>
      </c>
      <c r="S19" s="145">
        <v>6.7519479999999996</v>
      </c>
      <c r="T19" s="145">
        <v>6.7501660000000001</v>
      </c>
      <c r="U19" s="145">
        <v>6.7508609999999996</v>
      </c>
      <c r="V19" s="145">
        <v>6.7531869999999996</v>
      </c>
      <c r="W19" s="145">
        <v>6.7562660000000001</v>
      </c>
      <c r="X19" s="145">
        <v>6.759341</v>
      </c>
      <c r="Y19" s="145">
        <v>6.7618809999999998</v>
      </c>
      <c r="Z19" s="145">
        <v>6.7638369999999997</v>
      </c>
      <c r="AA19" s="145">
        <v>6.7644349999999998</v>
      </c>
      <c r="AB19" s="145">
        <v>6.7655010000000004</v>
      </c>
      <c r="AC19" s="145">
        <v>6.7664489999999997</v>
      </c>
      <c r="AD19" s="145">
        <v>6.7667669999999998</v>
      </c>
      <c r="AE19" s="145">
        <v>6.7672350000000003</v>
      </c>
      <c r="AF19" s="146">
        <v>6.3299999999999999E-4</v>
      </c>
      <c r="AG19" s="9"/>
      <c r="AI19" s="7">
        <v>-1.1866E-2</v>
      </c>
    </row>
    <row r="20" spans="1:35" ht="15" customHeight="1">
      <c r="A20" s="6" t="s">
        <v>154</v>
      </c>
      <c r="B20" s="143" t="s">
        <v>155</v>
      </c>
      <c r="C20" s="147">
        <v>126.41477999999999</v>
      </c>
      <c r="D20" s="147">
        <v>127.612274</v>
      </c>
      <c r="E20" s="147">
        <v>128.81189000000001</v>
      </c>
      <c r="F20" s="147">
        <v>130.03840600000001</v>
      </c>
      <c r="G20" s="147">
        <v>131.26153600000001</v>
      </c>
      <c r="H20" s="147">
        <v>132.49066199999999</v>
      </c>
      <c r="I20" s="147">
        <v>133.72822600000001</v>
      </c>
      <c r="J20" s="147">
        <v>134.95640599999999</v>
      </c>
      <c r="K20" s="147">
        <v>136.153549</v>
      </c>
      <c r="L20" s="147">
        <v>137.32772800000001</v>
      </c>
      <c r="M20" s="147">
        <v>138.49336199999999</v>
      </c>
      <c r="N20" s="147">
        <v>139.63391100000001</v>
      </c>
      <c r="O20" s="147">
        <v>140.73915099999999</v>
      </c>
      <c r="P20" s="147">
        <v>141.82939099999999</v>
      </c>
      <c r="Q20" s="147">
        <v>142.92111199999999</v>
      </c>
      <c r="R20" s="147">
        <v>144.00582900000001</v>
      </c>
      <c r="S20" s="147">
        <v>145.085938</v>
      </c>
      <c r="T20" s="147">
        <v>146.15812700000001</v>
      </c>
      <c r="U20" s="147">
        <v>147.24231</v>
      </c>
      <c r="V20" s="147">
        <v>148.32730100000001</v>
      </c>
      <c r="W20" s="147">
        <v>149.39605700000001</v>
      </c>
      <c r="X20" s="147">
        <v>150.45663500000001</v>
      </c>
      <c r="Y20" s="147">
        <v>151.50981100000001</v>
      </c>
      <c r="Z20" s="147">
        <v>152.55667099999999</v>
      </c>
      <c r="AA20" s="147">
        <v>153.59338399999999</v>
      </c>
      <c r="AB20" s="147">
        <v>154.62643399999999</v>
      </c>
      <c r="AC20" s="147">
        <v>155.64857499999999</v>
      </c>
      <c r="AD20" s="147">
        <v>156.658737</v>
      </c>
      <c r="AE20" s="147">
        <v>157.66000399999999</v>
      </c>
      <c r="AF20" s="148">
        <v>7.92E-3</v>
      </c>
      <c r="AG20" s="9"/>
      <c r="AI20" s="8">
        <v>5.9040000000000004E-3</v>
      </c>
    </row>
    <row r="21" spans="1:3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5" ht="15" customHeight="1">
      <c r="A22" s="6" t="s">
        <v>156</v>
      </c>
      <c r="B22" s="143" t="s">
        <v>157</v>
      </c>
      <c r="C22" s="149">
        <v>1798.9157709999999</v>
      </c>
      <c r="D22" s="149">
        <v>1803.520874</v>
      </c>
      <c r="E22" s="149">
        <v>1808.4263920000001</v>
      </c>
      <c r="F22" s="149">
        <v>1813.318481</v>
      </c>
      <c r="G22" s="149">
        <v>1818.0804439999999</v>
      </c>
      <c r="H22" s="149">
        <v>1822.7229</v>
      </c>
      <c r="I22" s="149">
        <v>1827.2777100000001</v>
      </c>
      <c r="J22" s="149">
        <v>1831.8000489999999</v>
      </c>
      <c r="K22" s="149">
        <v>1836.3393550000001</v>
      </c>
      <c r="L22" s="149">
        <v>1840.849487</v>
      </c>
      <c r="M22" s="149">
        <v>1845.2855219999999</v>
      </c>
      <c r="N22" s="149">
        <v>1849.6773679999999</v>
      </c>
      <c r="O22" s="149">
        <v>1854.0607910000001</v>
      </c>
      <c r="P22" s="149">
        <v>1858.411255</v>
      </c>
      <c r="Q22" s="149">
        <v>1862.6759030000001</v>
      </c>
      <c r="R22" s="149">
        <v>1866.8663329999999</v>
      </c>
      <c r="S22" s="149">
        <v>1870.9754640000001</v>
      </c>
      <c r="T22" s="149">
        <v>1875.0113530000001</v>
      </c>
      <c r="U22" s="149">
        <v>1878.957764</v>
      </c>
      <c r="V22" s="149">
        <v>1882.868408</v>
      </c>
      <c r="W22" s="149">
        <v>1886.739746</v>
      </c>
      <c r="X22" s="149">
        <v>1890.5778809999999</v>
      </c>
      <c r="Y22" s="149">
        <v>1894.3920900000001</v>
      </c>
      <c r="Z22" s="149">
        <v>1898.1798100000001</v>
      </c>
      <c r="AA22" s="149">
        <v>1901.9388429999999</v>
      </c>
      <c r="AB22" s="149">
        <v>1905.62085</v>
      </c>
      <c r="AC22" s="149">
        <v>1909.2523189999999</v>
      </c>
      <c r="AD22" s="149">
        <v>1912.822876</v>
      </c>
      <c r="AE22" s="149">
        <v>1916.330322</v>
      </c>
      <c r="AF22" s="148">
        <v>2.261E-3</v>
      </c>
      <c r="AG22" s="9"/>
      <c r="AI22" s="8">
        <v>3.4350000000000001E-3</v>
      </c>
    </row>
    <row r="23" spans="1:3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5" ht="15" customHeight="1">
      <c r="B24" s="143" t="s">
        <v>158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5" ht="15" customHeight="1">
      <c r="B25" s="143" t="s">
        <v>159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5" ht="15" customHeight="1">
      <c r="A26" s="6" t="s">
        <v>160</v>
      </c>
      <c r="B26" s="144" t="s">
        <v>161</v>
      </c>
      <c r="C26" s="150">
        <v>93.909476999999995</v>
      </c>
      <c r="D26" s="150">
        <v>92.769119000000003</v>
      </c>
      <c r="E26" s="150">
        <v>89.479934999999998</v>
      </c>
      <c r="F26" s="150">
        <v>89.052955999999995</v>
      </c>
      <c r="G26" s="150">
        <v>88.647407999999999</v>
      </c>
      <c r="H26" s="150">
        <v>88.231392</v>
      </c>
      <c r="I26" s="150">
        <v>87.719673</v>
      </c>
      <c r="J26" s="150">
        <v>87.082458000000003</v>
      </c>
      <c r="K26" s="150">
        <v>86.372932000000006</v>
      </c>
      <c r="L26" s="150">
        <v>85.637900999999999</v>
      </c>
      <c r="M26" s="150">
        <v>84.930008000000001</v>
      </c>
      <c r="N26" s="150">
        <v>84.330368000000007</v>
      </c>
      <c r="O26" s="150">
        <v>83.726021000000003</v>
      </c>
      <c r="P26" s="150">
        <v>83.229088000000004</v>
      </c>
      <c r="Q26" s="150">
        <v>82.803543000000005</v>
      </c>
      <c r="R26" s="150">
        <v>82.429969999999997</v>
      </c>
      <c r="S26" s="150">
        <v>82.039726000000002</v>
      </c>
      <c r="T26" s="150">
        <v>81.693481000000006</v>
      </c>
      <c r="U26" s="150">
        <v>81.360573000000002</v>
      </c>
      <c r="V26" s="150">
        <v>81.060019999999994</v>
      </c>
      <c r="W26" s="150">
        <v>80.817672999999999</v>
      </c>
      <c r="X26" s="150">
        <v>80.633194000000003</v>
      </c>
      <c r="Y26" s="150">
        <v>80.500007999999994</v>
      </c>
      <c r="Z26" s="150">
        <v>80.389549000000002</v>
      </c>
      <c r="AA26" s="150">
        <v>80.279944999999998</v>
      </c>
      <c r="AB26" s="150">
        <v>80.223388999999997</v>
      </c>
      <c r="AC26" s="150">
        <v>80.211196999999999</v>
      </c>
      <c r="AD26" s="150">
        <v>80.229491999999993</v>
      </c>
      <c r="AE26" s="150">
        <v>80.285049000000001</v>
      </c>
      <c r="AF26" s="146">
        <v>-5.5830000000000003E-3</v>
      </c>
      <c r="AG26" s="9"/>
      <c r="AI26" s="7">
        <v>-6.0089999999999996E-3</v>
      </c>
    </row>
    <row r="27" spans="1:35" ht="15" customHeight="1">
      <c r="A27" s="6" t="s">
        <v>162</v>
      </c>
      <c r="B27" s="144" t="s">
        <v>163</v>
      </c>
      <c r="C27" s="150">
        <v>93.023323000000005</v>
      </c>
      <c r="D27" s="150">
        <v>91.801674000000006</v>
      </c>
      <c r="E27" s="150">
        <v>88.420021000000006</v>
      </c>
      <c r="F27" s="150">
        <v>87.901168999999996</v>
      </c>
      <c r="G27" s="150">
        <v>87.405547999999996</v>
      </c>
      <c r="H27" s="150">
        <v>86.898582000000005</v>
      </c>
      <c r="I27" s="150">
        <v>86.294922</v>
      </c>
      <c r="J27" s="150">
        <v>85.563857999999996</v>
      </c>
      <c r="K27" s="150">
        <v>84.758437999999998</v>
      </c>
      <c r="L27" s="150">
        <v>83.924873000000005</v>
      </c>
      <c r="M27" s="150">
        <v>83.114104999999995</v>
      </c>
      <c r="N27" s="150">
        <v>82.411513999999997</v>
      </c>
      <c r="O27" s="150">
        <v>81.703484000000003</v>
      </c>
      <c r="P27" s="150">
        <v>81.117576999999997</v>
      </c>
      <c r="Q27" s="150">
        <v>80.600104999999999</v>
      </c>
      <c r="R27" s="150">
        <v>80.131668000000005</v>
      </c>
      <c r="S27" s="150">
        <v>79.641068000000004</v>
      </c>
      <c r="T27" s="150">
        <v>79.188064999999995</v>
      </c>
      <c r="U27" s="150">
        <v>78.743117999999996</v>
      </c>
      <c r="V27" s="150">
        <v>78.324791000000005</v>
      </c>
      <c r="W27" s="150">
        <v>77.958663999999999</v>
      </c>
      <c r="X27" s="150">
        <v>77.644553999999999</v>
      </c>
      <c r="Y27" s="150">
        <v>77.377632000000006</v>
      </c>
      <c r="Z27" s="150">
        <v>77.127983</v>
      </c>
      <c r="AA27" s="150">
        <v>76.874870000000001</v>
      </c>
      <c r="AB27" s="150">
        <v>76.670601000000005</v>
      </c>
      <c r="AC27" s="150">
        <v>76.504470999999995</v>
      </c>
      <c r="AD27" s="150">
        <v>76.365882999999997</v>
      </c>
      <c r="AE27" s="150">
        <v>76.260413999999997</v>
      </c>
      <c r="AF27" s="146">
        <v>-7.071E-3</v>
      </c>
      <c r="AG27" s="9"/>
      <c r="AI27" s="7">
        <v>-6.2950000000000002E-3</v>
      </c>
    </row>
    <row r="28" spans="1:35" ht="15" customHeight="1">
      <c r="B28" s="143" t="s">
        <v>164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5" ht="15" customHeight="1">
      <c r="A29" s="6" t="s">
        <v>165</v>
      </c>
      <c r="B29" s="144" t="s">
        <v>161</v>
      </c>
      <c r="C29" s="150">
        <v>52.203377000000003</v>
      </c>
      <c r="D29" s="150">
        <v>51.437781999999999</v>
      </c>
      <c r="E29" s="150">
        <v>49.479443000000003</v>
      </c>
      <c r="F29" s="150">
        <v>49.110489000000001</v>
      </c>
      <c r="G29" s="150">
        <v>48.758792999999997</v>
      </c>
      <c r="H29" s="150">
        <v>48.406364000000004</v>
      </c>
      <c r="I29" s="150">
        <v>48.005661000000003</v>
      </c>
      <c r="J29" s="150">
        <v>47.539284000000002</v>
      </c>
      <c r="K29" s="150">
        <v>47.035389000000002</v>
      </c>
      <c r="L29" s="150">
        <v>46.520859000000002</v>
      </c>
      <c r="M29" s="150">
        <v>46.025402</v>
      </c>
      <c r="N29" s="150">
        <v>45.591934000000002</v>
      </c>
      <c r="O29" s="150">
        <v>45.158183999999999</v>
      </c>
      <c r="P29" s="150">
        <v>44.785075999999997</v>
      </c>
      <c r="Q29" s="150">
        <v>44.454079</v>
      </c>
      <c r="R29" s="150">
        <v>44.15419</v>
      </c>
      <c r="S29" s="150">
        <v>43.848636999999997</v>
      </c>
      <c r="T29" s="150">
        <v>43.569595</v>
      </c>
      <c r="U29" s="150">
        <v>43.300902999999998</v>
      </c>
      <c r="V29" s="150">
        <v>43.051346000000002</v>
      </c>
      <c r="W29" s="150">
        <v>42.834560000000003</v>
      </c>
      <c r="X29" s="150">
        <v>42.650024000000002</v>
      </c>
      <c r="Y29" s="150">
        <v>42.493847000000002</v>
      </c>
      <c r="Z29" s="150">
        <v>42.350861000000002</v>
      </c>
      <c r="AA29" s="150">
        <v>42.209533999999998</v>
      </c>
      <c r="AB29" s="150">
        <v>42.098292999999998</v>
      </c>
      <c r="AC29" s="150">
        <v>42.011837</v>
      </c>
      <c r="AD29" s="150">
        <v>41.942982000000001</v>
      </c>
      <c r="AE29" s="150">
        <v>41.895203000000002</v>
      </c>
      <c r="AF29" s="146">
        <v>-7.8250000000000004E-3</v>
      </c>
      <c r="AG29" s="9"/>
      <c r="AI29" s="7">
        <v>-9.4120000000000002E-3</v>
      </c>
    </row>
    <row r="30" spans="1:35" ht="15" customHeight="1">
      <c r="A30" s="6" t="s">
        <v>166</v>
      </c>
      <c r="B30" s="144" t="s">
        <v>163</v>
      </c>
      <c r="C30" s="150">
        <v>51.710773000000003</v>
      </c>
      <c r="D30" s="150">
        <v>50.901363000000003</v>
      </c>
      <c r="E30" s="150">
        <v>48.893349000000001</v>
      </c>
      <c r="F30" s="150">
        <v>48.475307000000001</v>
      </c>
      <c r="G30" s="150">
        <v>48.075733</v>
      </c>
      <c r="H30" s="150">
        <v>47.675148</v>
      </c>
      <c r="I30" s="150">
        <v>47.225948000000002</v>
      </c>
      <c r="J30" s="150">
        <v>46.710258000000003</v>
      </c>
      <c r="K30" s="150">
        <v>46.156193000000002</v>
      </c>
      <c r="L30" s="150">
        <v>45.590297999999997</v>
      </c>
      <c r="M30" s="150">
        <v>45.041325000000001</v>
      </c>
      <c r="N30" s="150">
        <v>44.554535000000001</v>
      </c>
      <c r="O30" s="150">
        <v>44.067314000000003</v>
      </c>
      <c r="P30" s="150">
        <v>43.648884000000002</v>
      </c>
      <c r="Q30" s="150">
        <v>43.271141</v>
      </c>
      <c r="R30" s="150">
        <v>42.923088</v>
      </c>
      <c r="S30" s="150">
        <v>42.566600999999999</v>
      </c>
      <c r="T30" s="150">
        <v>42.233378999999999</v>
      </c>
      <c r="U30" s="150">
        <v>41.907867000000003</v>
      </c>
      <c r="V30" s="150">
        <v>41.598655999999998</v>
      </c>
      <c r="W30" s="150">
        <v>41.319248000000002</v>
      </c>
      <c r="X30" s="150">
        <v>41.069217999999999</v>
      </c>
      <c r="Y30" s="150">
        <v>40.845627</v>
      </c>
      <c r="Z30" s="150">
        <v>40.632603000000003</v>
      </c>
      <c r="AA30" s="150">
        <v>40.419212000000002</v>
      </c>
      <c r="AB30" s="150">
        <v>40.233921000000002</v>
      </c>
      <c r="AC30" s="150">
        <v>40.070380999999998</v>
      </c>
      <c r="AD30" s="150">
        <v>39.923133999999997</v>
      </c>
      <c r="AE30" s="150">
        <v>39.795025000000003</v>
      </c>
      <c r="AF30" s="146">
        <v>-9.3109999999999998E-3</v>
      </c>
      <c r="AG30" s="9"/>
      <c r="AI30" s="7">
        <v>-9.6959999999999998E-3</v>
      </c>
    </row>
    <row r="31" spans="1:3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5" ht="15" customHeight="1">
      <c r="B32" s="143" t="s">
        <v>167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5" ht="15" customHeight="1">
      <c r="B33" s="143" t="s">
        <v>168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5" ht="15" customHeight="1">
      <c r="A34" s="6" t="s">
        <v>169</v>
      </c>
      <c r="B34" s="144" t="s">
        <v>170</v>
      </c>
      <c r="C34" s="145">
        <v>0.74561999999999995</v>
      </c>
      <c r="D34" s="145">
        <v>0.74402500000000005</v>
      </c>
      <c r="E34" s="145">
        <v>0.65757200000000005</v>
      </c>
      <c r="F34" s="145">
        <v>0.65694900000000001</v>
      </c>
      <c r="G34" s="145">
        <v>0.65573199999999998</v>
      </c>
      <c r="H34" s="145">
        <v>0.65321499999999999</v>
      </c>
      <c r="I34" s="145">
        <v>0.64940799999999999</v>
      </c>
      <c r="J34" s="145">
        <v>0.64433799999999997</v>
      </c>
      <c r="K34" s="145">
        <v>0.63785099999999995</v>
      </c>
      <c r="L34" s="145">
        <v>0.63049299999999997</v>
      </c>
      <c r="M34" s="145">
        <v>0.62302299999999999</v>
      </c>
      <c r="N34" s="145">
        <v>0.61513200000000001</v>
      </c>
      <c r="O34" s="145">
        <v>0.606908</v>
      </c>
      <c r="P34" s="145">
        <v>0.59983799999999998</v>
      </c>
      <c r="Q34" s="145">
        <v>0.59312200000000004</v>
      </c>
      <c r="R34" s="145">
        <v>0.58654700000000004</v>
      </c>
      <c r="S34" s="145">
        <v>0.57942300000000002</v>
      </c>
      <c r="T34" s="145">
        <v>0.57227499999999998</v>
      </c>
      <c r="U34" s="145">
        <v>0.56561099999999997</v>
      </c>
      <c r="V34" s="145">
        <v>0.55932499999999996</v>
      </c>
      <c r="W34" s="145">
        <v>0.55341399999999996</v>
      </c>
      <c r="X34" s="145">
        <v>0.54783000000000004</v>
      </c>
      <c r="Y34" s="145">
        <v>0.54221399999999997</v>
      </c>
      <c r="Z34" s="145">
        <v>0.53667600000000004</v>
      </c>
      <c r="AA34" s="145">
        <v>0.53138099999999999</v>
      </c>
      <c r="AB34" s="145">
        <v>0.526393</v>
      </c>
      <c r="AC34" s="145">
        <v>0.52143200000000001</v>
      </c>
      <c r="AD34" s="145">
        <v>0.51668800000000004</v>
      </c>
      <c r="AE34" s="145">
        <v>0.51238399999999995</v>
      </c>
      <c r="AF34" s="146">
        <v>-1.3309E-2</v>
      </c>
      <c r="AG34" s="9"/>
      <c r="AI34" s="7">
        <v>-9.7560000000000008E-3</v>
      </c>
    </row>
    <row r="35" spans="1:35" ht="15" customHeight="1">
      <c r="A35" s="6" t="s">
        <v>171</v>
      </c>
      <c r="B35" s="144" t="s">
        <v>172</v>
      </c>
      <c r="C35" s="145">
        <v>0.85358699999999998</v>
      </c>
      <c r="D35" s="145">
        <v>0.73519199999999996</v>
      </c>
      <c r="E35" s="145">
        <v>0.89090899999999995</v>
      </c>
      <c r="F35" s="145">
        <v>0.91105000000000003</v>
      </c>
      <c r="G35" s="145">
        <v>0.93018100000000004</v>
      </c>
      <c r="H35" s="145">
        <v>0.95014200000000004</v>
      </c>
      <c r="I35" s="145">
        <v>0.96970900000000004</v>
      </c>
      <c r="J35" s="145">
        <v>0.98822399999999999</v>
      </c>
      <c r="K35" s="145">
        <v>1.0044709999999999</v>
      </c>
      <c r="L35" s="145">
        <v>1.019774</v>
      </c>
      <c r="M35" s="145">
        <v>1.0362020000000001</v>
      </c>
      <c r="N35" s="145">
        <v>1.052583</v>
      </c>
      <c r="O35" s="145">
        <v>1.069291</v>
      </c>
      <c r="P35" s="145">
        <v>1.088333</v>
      </c>
      <c r="Q35" s="145">
        <v>1.1091219999999999</v>
      </c>
      <c r="R35" s="145">
        <v>1.130924</v>
      </c>
      <c r="S35" s="145">
        <v>1.152515</v>
      </c>
      <c r="T35" s="145">
        <v>1.1745490000000001</v>
      </c>
      <c r="U35" s="145">
        <v>1.1969080000000001</v>
      </c>
      <c r="V35" s="145">
        <v>1.2194160000000001</v>
      </c>
      <c r="W35" s="145">
        <v>1.2425580000000001</v>
      </c>
      <c r="X35" s="145">
        <v>1.266365</v>
      </c>
      <c r="Y35" s="145">
        <v>1.29112</v>
      </c>
      <c r="Z35" s="145">
        <v>1.3168</v>
      </c>
      <c r="AA35" s="145">
        <v>1.344624</v>
      </c>
      <c r="AB35" s="145">
        <v>1.373569</v>
      </c>
      <c r="AC35" s="145">
        <v>1.4030819999999999</v>
      </c>
      <c r="AD35" s="145">
        <v>1.4325289999999999</v>
      </c>
      <c r="AE35" s="145">
        <v>1.4631479999999999</v>
      </c>
      <c r="AF35" s="146">
        <v>1.9432999999999999E-2</v>
      </c>
      <c r="AG35" s="9"/>
      <c r="AI35" s="7">
        <v>1.6140999999999999E-2</v>
      </c>
    </row>
    <row r="36" spans="1:35" ht="15" customHeight="1">
      <c r="A36" s="6" t="s">
        <v>173</v>
      </c>
      <c r="B36" s="144" t="s">
        <v>174</v>
      </c>
      <c r="C36" s="145">
        <v>0.59979700000000002</v>
      </c>
      <c r="D36" s="145">
        <v>0.59884499999999996</v>
      </c>
      <c r="E36" s="145">
        <v>0.59878600000000004</v>
      </c>
      <c r="F36" s="145">
        <v>0.59958199999999995</v>
      </c>
      <c r="G36" s="145">
        <v>0.59953599999999996</v>
      </c>
      <c r="H36" s="145">
        <v>0.59912500000000002</v>
      </c>
      <c r="I36" s="145">
        <v>0.59802</v>
      </c>
      <c r="J36" s="145">
        <v>0.596113</v>
      </c>
      <c r="K36" s="145">
        <v>0.59322299999999994</v>
      </c>
      <c r="L36" s="145">
        <v>0.58991099999999996</v>
      </c>
      <c r="M36" s="145">
        <v>0.58684700000000001</v>
      </c>
      <c r="N36" s="145">
        <v>0.58612399999999998</v>
      </c>
      <c r="O36" s="145">
        <v>0.58614599999999994</v>
      </c>
      <c r="P36" s="145">
        <v>0.58855199999999996</v>
      </c>
      <c r="Q36" s="145">
        <v>0.59146399999999999</v>
      </c>
      <c r="R36" s="145">
        <v>0.59436500000000003</v>
      </c>
      <c r="S36" s="145">
        <v>0.59693099999999999</v>
      </c>
      <c r="T36" s="145">
        <v>0.59932099999999999</v>
      </c>
      <c r="U36" s="145">
        <v>0.60179499999999997</v>
      </c>
      <c r="V36" s="145">
        <v>0.604464</v>
      </c>
      <c r="W36" s="145">
        <v>0.60740400000000005</v>
      </c>
      <c r="X36" s="145">
        <v>0.61058400000000002</v>
      </c>
      <c r="Y36" s="145">
        <v>0.61373800000000001</v>
      </c>
      <c r="Z36" s="145">
        <v>0.61683500000000002</v>
      </c>
      <c r="AA36" s="145">
        <v>0.620251</v>
      </c>
      <c r="AB36" s="145">
        <v>0.62392099999999995</v>
      </c>
      <c r="AC36" s="145">
        <v>0.62766699999999997</v>
      </c>
      <c r="AD36" s="145">
        <v>0.63161800000000001</v>
      </c>
      <c r="AE36" s="145">
        <v>0.63607999999999998</v>
      </c>
      <c r="AF36" s="146">
        <v>2.0999999999999999E-3</v>
      </c>
      <c r="AG36" s="9"/>
      <c r="AI36" s="7">
        <v>1.207E-3</v>
      </c>
    </row>
    <row r="37" spans="1:35" ht="15" customHeight="1">
      <c r="A37" s="6" t="s">
        <v>175</v>
      </c>
      <c r="B37" s="144" t="s">
        <v>176</v>
      </c>
      <c r="C37" s="145">
        <v>0.29555799999999999</v>
      </c>
      <c r="D37" s="145">
        <v>0.293987</v>
      </c>
      <c r="E37" s="145">
        <v>0.29266799999999998</v>
      </c>
      <c r="F37" s="145">
        <v>0.29163</v>
      </c>
      <c r="G37" s="145">
        <v>0.29078300000000001</v>
      </c>
      <c r="H37" s="145">
        <v>0.29015800000000003</v>
      </c>
      <c r="I37" s="145">
        <v>0.28977799999999998</v>
      </c>
      <c r="J37" s="145">
        <v>0.28961500000000001</v>
      </c>
      <c r="K37" s="145">
        <v>0.289659</v>
      </c>
      <c r="L37" s="145">
        <v>0.28998600000000002</v>
      </c>
      <c r="M37" s="145">
        <v>0.29063</v>
      </c>
      <c r="N37" s="145">
        <v>0.29157</v>
      </c>
      <c r="O37" s="145">
        <v>0.29279500000000003</v>
      </c>
      <c r="P37" s="145">
        <v>0.29434300000000002</v>
      </c>
      <c r="Q37" s="145">
        <v>0.29624200000000001</v>
      </c>
      <c r="R37" s="145">
        <v>0.29844700000000002</v>
      </c>
      <c r="S37" s="145">
        <v>0.30096000000000001</v>
      </c>
      <c r="T37" s="145">
        <v>0.30374499999999999</v>
      </c>
      <c r="U37" s="145">
        <v>0.30684800000000001</v>
      </c>
      <c r="V37" s="145">
        <v>0.310249</v>
      </c>
      <c r="W37" s="145">
        <v>0.313888</v>
      </c>
      <c r="X37" s="145">
        <v>0.31748199999999999</v>
      </c>
      <c r="Y37" s="145">
        <v>0.32102399999999998</v>
      </c>
      <c r="Z37" s="145">
        <v>0.32450699999999999</v>
      </c>
      <c r="AA37" s="145">
        <v>0.32791500000000001</v>
      </c>
      <c r="AB37" s="145">
        <v>0.33124999999999999</v>
      </c>
      <c r="AC37" s="145">
        <v>0.33449600000000002</v>
      </c>
      <c r="AD37" s="145">
        <v>0.33764499999999997</v>
      </c>
      <c r="AE37" s="145">
        <v>0.340702</v>
      </c>
      <c r="AF37" s="146">
        <v>5.0899999999999999E-3</v>
      </c>
      <c r="AG37" s="9"/>
      <c r="AI37" s="7">
        <v>2.2049999999999999E-3</v>
      </c>
    </row>
    <row r="38" spans="1:35" ht="15" customHeight="1">
      <c r="A38" s="6" t="s">
        <v>177</v>
      </c>
      <c r="B38" s="144" t="s">
        <v>178</v>
      </c>
      <c r="C38" s="145">
        <v>5.5863000000000003E-2</v>
      </c>
      <c r="D38" s="145">
        <v>5.6202000000000002E-2</v>
      </c>
      <c r="E38" s="145">
        <v>5.6536000000000003E-2</v>
      </c>
      <c r="F38" s="145">
        <v>5.6875000000000002E-2</v>
      </c>
      <c r="G38" s="145">
        <v>5.7204999999999999E-2</v>
      </c>
      <c r="H38" s="145">
        <v>5.7529999999999998E-2</v>
      </c>
      <c r="I38" s="145">
        <v>5.7847999999999997E-2</v>
      </c>
      <c r="J38" s="145">
        <v>5.8138000000000002E-2</v>
      </c>
      <c r="K38" s="145">
        <v>5.8390999999999998E-2</v>
      </c>
      <c r="L38" s="145">
        <v>5.8604000000000003E-2</v>
      </c>
      <c r="M38" s="145">
        <v>5.8781E-2</v>
      </c>
      <c r="N38" s="145">
        <v>5.8965999999999998E-2</v>
      </c>
      <c r="O38" s="145">
        <v>5.917E-2</v>
      </c>
      <c r="P38" s="145">
        <v>5.9403999999999998E-2</v>
      </c>
      <c r="Q38" s="145">
        <v>5.9679999999999997E-2</v>
      </c>
      <c r="R38" s="145">
        <v>5.9996000000000001E-2</v>
      </c>
      <c r="S38" s="145">
        <v>6.0304000000000003E-2</v>
      </c>
      <c r="T38" s="145">
        <v>6.0601000000000002E-2</v>
      </c>
      <c r="U38" s="145">
        <v>6.0894999999999998E-2</v>
      </c>
      <c r="V38" s="145">
        <v>6.1182E-2</v>
      </c>
      <c r="W38" s="145">
        <v>6.1454000000000002E-2</v>
      </c>
      <c r="X38" s="145">
        <v>6.1713999999999998E-2</v>
      </c>
      <c r="Y38" s="145">
        <v>6.1963999999999998E-2</v>
      </c>
      <c r="Z38" s="145">
        <v>6.2203000000000001E-2</v>
      </c>
      <c r="AA38" s="145">
        <v>6.2434000000000003E-2</v>
      </c>
      <c r="AB38" s="145">
        <v>6.2659000000000006E-2</v>
      </c>
      <c r="AC38" s="145">
        <v>6.2880000000000005E-2</v>
      </c>
      <c r="AD38" s="145">
        <v>6.3098000000000001E-2</v>
      </c>
      <c r="AE38" s="145">
        <v>6.3319E-2</v>
      </c>
      <c r="AF38" s="146">
        <v>4.4850000000000003E-3</v>
      </c>
      <c r="AG38" s="9"/>
      <c r="AI38" s="7">
        <v>2.4450000000000001E-3</v>
      </c>
    </row>
    <row r="39" spans="1:35" ht="15" customHeight="1">
      <c r="A39" s="6" t="s">
        <v>179</v>
      </c>
      <c r="B39" s="144" t="s">
        <v>180</v>
      </c>
      <c r="C39" s="145">
        <v>0.222467</v>
      </c>
      <c r="D39" s="145">
        <v>0.227024</v>
      </c>
      <c r="E39" s="145">
        <v>0.23189100000000001</v>
      </c>
      <c r="F39" s="145">
        <v>0.23729500000000001</v>
      </c>
      <c r="G39" s="145">
        <v>0.242448</v>
      </c>
      <c r="H39" s="145">
        <v>0.24726600000000001</v>
      </c>
      <c r="I39" s="145">
        <v>0.25179299999999999</v>
      </c>
      <c r="J39" s="145">
        <v>0.25596000000000002</v>
      </c>
      <c r="K39" s="145">
        <v>0.25967099999999999</v>
      </c>
      <c r="L39" s="145">
        <v>0.263071</v>
      </c>
      <c r="M39" s="145">
        <v>0.26643600000000001</v>
      </c>
      <c r="N39" s="145">
        <v>0.26939200000000002</v>
      </c>
      <c r="O39" s="145">
        <v>0.27234199999999997</v>
      </c>
      <c r="P39" s="145">
        <v>0.275723</v>
      </c>
      <c r="Q39" s="145">
        <v>0.27934199999999998</v>
      </c>
      <c r="R39" s="145">
        <v>0.28279900000000002</v>
      </c>
      <c r="S39" s="145">
        <v>0.28596300000000002</v>
      </c>
      <c r="T39" s="145">
        <v>0.28907500000000003</v>
      </c>
      <c r="U39" s="145">
        <v>0.29220600000000002</v>
      </c>
      <c r="V39" s="145">
        <v>0.29541099999999998</v>
      </c>
      <c r="W39" s="145">
        <v>0.29872300000000002</v>
      </c>
      <c r="X39" s="145">
        <v>0.30215999999999998</v>
      </c>
      <c r="Y39" s="145">
        <v>0.30563499999999999</v>
      </c>
      <c r="Z39" s="145">
        <v>0.30910900000000002</v>
      </c>
      <c r="AA39" s="145">
        <v>0.31273000000000001</v>
      </c>
      <c r="AB39" s="145">
        <v>0.31651000000000001</v>
      </c>
      <c r="AC39" s="145">
        <v>0.32030700000000001</v>
      </c>
      <c r="AD39" s="145">
        <v>0.32417200000000002</v>
      </c>
      <c r="AE39" s="145">
        <v>0.32827800000000001</v>
      </c>
      <c r="AF39" s="146">
        <v>1.3993E-2</v>
      </c>
      <c r="AG39" s="9"/>
      <c r="AI39" s="7">
        <v>1.1783E-2</v>
      </c>
    </row>
    <row r="40" spans="1:35" ht="15" customHeight="1">
      <c r="A40" s="6" t="s">
        <v>181</v>
      </c>
      <c r="B40" s="144" t="s">
        <v>182</v>
      </c>
      <c r="C40" s="145">
        <v>6.9006999999999999E-2</v>
      </c>
      <c r="D40" s="145">
        <v>6.8849999999999995E-2</v>
      </c>
      <c r="E40" s="145">
        <v>6.8686999999999998E-2</v>
      </c>
      <c r="F40" s="145">
        <v>6.8515999999999994E-2</v>
      </c>
      <c r="G40" s="145">
        <v>6.8318000000000004E-2</v>
      </c>
      <c r="H40" s="145">
        <v>6.8104999999999999E-2</v>
      </c>
      <c r="I40" s="145">
        <v>6.7921999999999996E-2</v>
      </c>
      <c r="J40" s="145">
        <v>6.7761000000000002E-2</v>
      </c>
      <c r="K40" s="145">
        <v>6.7614999999999995E-2</v>
      </c>
      <c r="L40" s="145">
        <v>6.7486000000000004E-2</v>
      </c>
      <c r="M40" s="145">
        <v>6.7377000000000006E-2</v>
      </c>
      <c r="N40" s="145">
        <v>6.7287E-2</v>
      </c>
      <c r="O40" s="145">
        <v>6.7215999999999998E-2</v>
      </c>
      <c r="P40" s="145">
        <v>6.7169000000000006E-2</v>
      </c>
      <c r="Q40" s="145">
        <v>6.7158999999999996E-2</v>
      </c>
      <c r="R40" s="145">
        <v>6.7178000000000002E-2</v>
      </c>
      <c r="S40" s="145">
        <v>6.7228999999999997E-2</v>
      </c>
      <c r="T40" s="145">
        <v>6.7310999999999996E-2</v>
      </c>
      <c r="U40" s="145">
        <v>6.7431000000000005E-2</v>
      </c>
      <c r="V40" s="145">
        <v>6.7596000000000003E-2</v>
      </c>
      <c r="W40" s="145">
        <v>6.7793999999999993E-2</v>
      </c>
      <c r="X40" s="145">
        <v>6.8035999999999999E-2</v>
      </c>
      <c r="Y40" s="145">
        <v>6.8325999999999998E-2</v>
      </c>
      <c r="Z40" s="145">
        <v>6.8666000000000005E-2</v>
      </c>
      <c r="AA40" s="145">
        <v>6.9053000000000003E-2</v>
      </c>
      <c r="AB40" s="145">
        <v>6.9481000000000001E-2</v>
      </c>
      <c r="AC40" s="145">
        <v>6.9903999999999994E-2</v>
      </c>
      <c r="AD40" s="145">
        <v>7.0319000000000007E-2</v>
      </c>
      <c r="AE40" s="145">
        <v>7.0729E-2</v>
      </c>
      <c r="AF40" s="146">
        <v>8.8099999999999995E-4</v>
      </c>
      <c r="AG40" s="9"/>
      <c r="AI40" s="7">
        <v>-1.5100000000000001E-3</v>
      </c>
    </row>
    <row r="41" spans="1:35" ht="15" customHeight="1">
      <c r="A41" s="6" t="s">
        <v>183</v>
      </c>
      <c r="B41" s="144" t="s">
        <v>184</v>
      </c>
      <c r="C41" s="145">
        <v>0.22927</v>
      </c>
      <c r="D41" s="145">
        <v>0.21315999999999999</v>
      </c>
      <c r="E41" s="145">
        <v>0.20679400000000001</v>
      </c>
      <c r="F41" s="145">
        <v>0.20512900000000001</v>
      </c>
      <c r="G41" s="145">
        <v>0.20519999999999999</v>
      </c>
      <c r="H41" s="145">
        <v>0.206404</v>
      </c>
      <c r="I41" s="145">
        <v>0.20832999999999999</v>
      </c>
      <c r="J41" s="145">
        <v>0.210226</v>
      </c>
      <c r="K41" s="145">
        <v>0.209704</v>
      </c>
      <c r="L41" s="145">
        <v>0.20916399999999999</v>
      </c>
      <c r="M41" s="145">
        <v>0.20885500000000001</v>
      </c>
      <c r="N41" s="145">
        <v>0.208568</v>
      </c>
      <c r="O41" s="145">
        <v>0.208536</v>
      </c>
      <c r="P41" s="145">
        <v>0.20901600000000001</v>
      </c>
      <c r="Q41" s="145">
        <v>0.20962700000000001</v>
      </c>
      <c r="R41" s="145">
        <v>0.210178</v>
      </c>
      <c r="S41" s="145">
        <v>0.210558</v>
      </c>
      <c r="T41" s="145">
        <v>0.210954</v>
      </c>
      <c r="U41" s="145">
        <v>0.207703</v>
      </c>
      <c r="V41" s="145">
        <v>0.205012</v>
      </c>
      <c r="W41" s="145">
        <v>0.20291100000000001</v>
      </c>
      <c r="X41" s="145">
        <v>0.20146700000000001</v>
      </c>
      <c r="Y41" s="145">
        <v>0.200848</v>
      </c>
      <c r="Z41" s="145">
        <v>0.20064000000000001</v>
      </c>
      <c r="AA41" s="145">
        <v>0.20059199999999999</v>
      </c>
      <c r="AB41" s="145">
        <v>0.20072999999999999</v>
      </c>
      <c r="AC41" s="145">
        <v>0.200991</v>
      </c>
      <c r="AD41" s="145">
        <v>0.20142299999999999</v>
      </c>
      <c r="AE41" s="145">
        <v>0.20205600000000001</v>
      </c>
      <c r="AF41" s="146">
        <v>-4.5030000000000001E-3</v>
      </c>
      <c r="AG41" s="9"/>
      <c r="AI41" s="7">
        <v>-1.0524E-2</v>
      </c>
    </row>
    <row r="42" spans="1:35" ht="15" customHeight="1">
      <c r="A42" s="6" t="s">
        <v>185</v>
      </c>
      <c r="B42" s="144" t="s">
        <v>186</v>
      </c>
      <c r="C42" s="145">
        <v>3.7489000000000001E-2</v>
      </c>
      <c r="D42" s="145">
        <v>3.7812999999999999E-2</v>
      </c>
      <c r="E42" s="145">
        <v>3.8143999999999997E-2</v>
      </c>
      <c r="F42" s="145">
        <v>3.8485999999999999E-2</v>
      </c>
      <c r="G42" s="145">
        <v>3.8827E-2</v>
      </c>
      <c r="H42" s="145">
        <v>3.9168000000000001E-2</v>
      </c>
      <c r="I42" s="145">
        <v>3.9518999999999999E-2</v>
      </c>
      <c r="J42" s="145">
        <v>3.9875000000000001E-2</v>
      </c>
      <c r="K42" s="145">
        <v>4.0245999999999997E-2</v>
      </c>
      <c r="L42" s="145">
        <v>4.0617E-2</v>
      </c>
      <c r="M42" s="145">
        <v>4.0992000000000001E-2</v>
      </c>
      <c r="N42" s="145">
        <v>4.1364999999999999E-2</v>
      </c>
      <c r="O42" s="145">
        <v>4.1732999999999999E-2</v>
      </c>
      <c r="P42" s="145">
        <v>4.2098999999999998E-2</v>
      </c>
      <c r="Q42" s="145">
        <v>4.2465000000000003E-2</v>
      </c>
      <c r="R42" s="145">
        <v>4.2827999999999998E-2</v>
      </c>
      <c r="S42" s="145">
        <v>4.3187000000000003E-2</v>
      </c>
      <c r="T42" s="145">
        <v>4.3541999999999997E-2</v>
      </c>
      <c r="U42" s="145">
        <v>4.3898E-2</v>
      </c>
      <c r="V42" s="145">
        <v>4.4252E-2</v>
      </c>
      <c r="W42" s="145">
        <v>4.4599E-2</v>
      </c>
      <c r="X42" s="145">
        <v>4.4942000000000003E-2</v>
      </c>
      <c r="Y42" s="145">
        <v>4.5282000000000003E-2</v>
      </c>
      <c r="Z42" s="145">
        <v>4.5619E-2</v>
      </c>
      <c r="AA42" s="145">
        <v>4.5952E-2</v>
      </c>
      <c r="AB42" s="145">
        <v>4.6282999999999998E-2</v>
      </c>
      <c r="AC42" s="145">
        <v>4.6611E-2</v>
      </c>
      <c r="AD42" s="145">
        <v>4.6935999999999999E-2</v>
      </c>
      <c r="AE42" s="145">
        <v>4.7258000000000001E-2</v>
      </c>
      <c r="AF42" s="146">
        <v>8.3049999999999999E-3</v>
      </c>
      <c r="AG42" s="9"/>
      <c r="AI42" s="7">
        <v>6.6740000000000002E-3</v>
      </c>
    </row>
    <row r="43" spans="1:35" ht="15" customHeight="1">
      <c r="A43" s="6" t="s">
        <v>187</v>
      </c>
      <c r="B43" s="144" t="s">
        <v>188</v>
      </c>
      <c r="C43" s="145">
        <v>2.7618E-2</v>
      </c>
      <c r="D43" s="145">
        <v>2.8063999999999999E-2</v>
      </c>
      <c r="E43" s="145">
        <v>2.8506E-2</v>
      </c>
      <c r="F43" s="145">
        <v>2.8944999999999999E-2</v>
      </c>
      <c r="G43" s="145">
        <v>2.937E-2</v>
      </c>
      <c r="H43" s="145">
        <v>2.9781999999999999E-2</v>
      </c>
      <c r="I43" s="145">
        <v>3.0232999999999999E-2</v>
      </c>
      <c r="J43" s="145">
        <v>3.0721999999999999E-2</v>
      </c>
      <c r="K43" s="145">
        <v>3.1241999999999999E-2</v>
      </c>
      <c r="L43" s="145">
        <v>3.1796999999999999E-2</v>
      </c>
      <c r="M43" s="145">
        <v>3.2391999999999997E-2</v>
      </c>
      <c r="N43" s="145">
        <v>3.3027000000000001E-2</v>
      </c>
      <c r="O43" s="145">
        <v>3.3702000000000003E-2</v>
      </c>
      <c r="P43" s="145">
        <v>3.4373000000000001E-2</v>
      </c>
      <c r="Q43" s="145">
        <v>3.5042999999999998E-2</v>
      </c>
      <c r="R43" s="145">
        <v>3.5709999999999999E-2</v>
      </c>
      <c r="S43" s="145">
        <v>3.6374999999999998E-2</v>
      </c>
      <c r="T43" s="145">
        <v>3.7035999999999999E-2</v>
      </c>
      <c r="U43" s="145">
        <v>3.7698000000000002E-2</v>
      </c>
      <c r="V43" s="145">
        <v>3.8358999999999997E-2</v>
      </c>
      <c r="W43" s="145">
        <v>3.9015000000000001E-2</v>
      </c>
      <c r="X43" s="145">
        <v>3.9667000000000001E-2</v>
      </c>
      <c r="Y43" s="145">
        <v>4.0315999999999998E-2</v>
      </c>
      <c r="Z43" s="145">
        <v>4.0961999999999998E-2</v>
      </c>
      <c r="AA43" s="145">
        <v>4.1605000000000003E-2</v>
      </c>
      <c r="AB43" s="145">
        <v>4.2244999999999998E-2</v>
      </c>
      <c r="AC43" s="145">
        <v>4.2882000000000003E-2</v>
      </c>
      <c r="AD43" s="145">
        <v>4.3513999999999997E-2</v>
      </c>
      <c r="AE43" s="145">
        <v>4.4143000000000002E-2</v>
      </c>
      <c r="AF43" s="146">
        <v>1.6889999999999999E-2</v>
      </c>
      <c r="AG43" s="9"/>
      <c r="AI43" s="7">
        <v>1.4947E-2</v>
      </c>
    </row>
    <row r="44" spans="1:35" ht="15" customHeight="1">
      <c r="A44" s="6" t="s">
        <v>189</v>
      </c>
      <c r="B44" s="144" t="s">
        <v>190</v>
      </c>
      <c r="C44" s="145">
        <v>0.18509200000000001</v>
      </c>
      <c r="D44" s="145">
        <v>0.181559</v>
      </c>
      <c r="E44" s="145">
        <v>0.178365</v>
      </c>
      <c r="F44" s="145">
        <v>0.17569199999999999</v>
      </c>
      <c r="G44" s="145">
        <v>0.17295099999999999</v>
      </c>
      <c r="H44" s="145">
        <v>0.17014299999999999</v>
      </c>
      <c r="I44" s="145">
        <v>0.16719800000000001</v>
      </c>
      <c r="J44" s="145">
        <v>0.16413900000000001</v>
      </c>
      <c r="K44" s="145">
        <v>0.16098699999999999</v>
      </c>
      <c r="L44" s="145">
        <v>0.15786700000000001</v>
      </c>
      <c r="M44" s="145">
        <v>0.154866</v>
      </c>
      <c r="N44" s="145">
        <v>0.151867</v>
      </c>
      <c r="O44" s="145">
        <v>0.14899799999999999</v>
      </c>
      <c r="P44" s="145">
        <v>0.14658499999999999</v>
      </c>
      <c r="Q44" s="145">
        <v>0.14447299999999999</v>
      </c>
      <c r="R44" s="145">
        <v>0.142566</v>
      </c>
      <c r="S44" s="145">
        <v>0.14076</v>
      </c>
      <c r="T44" s="145">
        <v>0.13918900000000001</v>
      </c>
      <c r="U44" s="145">
        <v>0.13791</v>
      </c>
      <c r="V44" s="145">
        <v>0.136911</v>
      </c>
      <c r="W44" s="145">
        <v>0.13620699999999999</v>
      </c>
      <c r="X44" s="145">
        <v>0.13575499999999999</v>
      </c>
      <c r="Y44" s="145">
        <v>0.13553699999999999</v>
      </c>
      <c r="Z44" s="145">
        <v>0.13555200000000001</v>
      </c>
      <c r="AA44" s="145">
        <v>0.13580200000000001</v>
      </c>
      <c r="AB44" s="145">
        <v>0.136265</v>
      </c>
      <c r="AC44" s="145">
        <v>0.13685</v>
      </c>
      <c r="AD44" s="145">
        <v>0.13759299999999999</v>
      </c>
      <c r="AE44" s="145">
        <v>0.13852700000000001</v>
      </c>
      <c r="AF44" s="146">
        <v>-1.0296E-2</v>
      </c>
      <c r="AG44" s="9"/>
      <c r="AI44" s="7">
        <v>7.737E-3</v>
      </c>
    </row>
    <row r="45" spans="1:35" ht="15" customHeight="1">
      <c r="A45" s="6" t="s">
        <v>191</v>
      </c>
      <c r="B45" s="144" t="s">
        <v>192</v>
      </c>
      <c r="C45" s="145">
        <v>0.120106</v>
      </c>
      <c r="D45" s="145">
        <v>0.118562</v>
      </c>
      <c r="E45" s="145">
        <v>0.11693099999999999</v>
      </c>
      <c r="F45" s="145">
        <v>0.11536299999999999</v>
      </c>
      <c r="G45" s="145">
        <v>0.113493</v>
      </c>
      <c r="H45" s="145">
        <v>0.111328</v>
      </c>
      <c r="I45" s="145">
        <v>0.108857</v>
      </c>
      <c r="J45" s="145">
        <v>0.106117</v>
      </c>
      <c r="K45" s="145">
        <v>0.103168</v>
      </c>
      <c r="L45" s="145">
        <v>0.100088</v>
      </c>
      <c r="M45" s="145">
        <v>9.6979999999999997E-2</v>
      </c>
      <c r="N45" s="145">
        <v>9.3785999999999994E-2</v>
      </c>
      <c r="O45" s="145">
        <v>9.0609999999999996E-2</v>
      </c>
      <c r="P45" s="145">
        <v>8.7647000000000003E-2</v>
      </c>
      <c r="Q45" s="145">
        <v>8.4848000000000007E-2</v>
      </c>
      <c r="R45" s="145">
        <v>8.2132999999999998E-2</v>
      </c>
      <c r="S45" s="145">
        <v>7.9492999999999994E-2</v>
      </c>
      <c r="T45" s="145">
        <v>7.7007999999999993E-2</v>
      </c>
      <c r="U45" s="145">
        <v>7.4726000000000001E-2</v>
      </c>
      <c r="V45" s="145">
        <v>7.2651999999999994E-2</v>
      </c>
      <c r="W45" s="145">
        <v>7.0824999999999999E-2</v>
      </c>
      <c r="X45" s="145">
        <v>6.9226999999999997E-2</v>
      </c>
      <c r="Y45" s="145">
        <v>6.7875000000000005E-2</v>
      </c>
      <c r="Z45" s="145">
        <v>6.6753000000000007E-2</v>
      </c>
      <c r="AA45" s="145">
        <v>6.5956000000000001E-2</v>
      </c>
      <c r="AB45" s="145">
        <v>6.5417000000000003E-2</v>
      </c>
      <c r="AC45" s="145">
        <v>6.5087000000000006E-2</v>
      </c>
      <c r="AD45" s="145">
        <v>6.4992999999999995E-2</v>
      </c>
      <c r="AE45" s="145">
        <v>6.5106999999999998E-2</v>
      </c>
      <c r="AF45" s="146">
        <v>-2.1631999999999998E-2</v>
      </c>
      <c r="AG45" s="9"/>
      <c r="AI45" s="7">
        <v>-2.6585000000000001E-2</v>
      </c>
    </row>
    <row r="46" spans="1:35" ht="15" customHeight="1">
      <c r="A46" s="6" t="s">
        <v>193</v>
      </c>
      <c r="B46" s="144" t="s">
        <v>194</v>
      </c>
      <c r="C46" s="145">
        <v>8.9175000000000004E-2</v>
      </c>
      <c r="D46" s="145">
        <v>8.8249999999999995E-2</v>
      </c>
      <c r="E46" s="145">
        <v>7.9128000000000004E-2</v>
      </c>
      <c r="F46" s="145">
        <v>8.0093999999999999E-2</v>
      </c>
      <c r="G46" s="145">
        <v>8.0979999999999996E-2</v>
      </c>
      <c r="H46" s="145">
        <v>8.1729999999999997E-2</v>
      </c>
      <c r="I46" s="145">
        <v>8.2280000000000006E-2</v>
      </c>
      <c r="J46" s="145">
        <v>8.2540000000000002E-2</v>
      </c>
      <c r="K46" s="145">
        <v>8.2561999999999997E-2</v>
      </c>
      <c r="L46" s="145">
        <v>8.2343E-2</v>
      </c>
      <c r="M46" s="145">
        <v>8.1923999999999997E-2</v>
      </c>
      <c r="N46" s="145">
        <v>8.1309000000000006E-2</v>
      </c>
      <c r="O46" s="145">
        <v>8.0431000000000002E-2</v>
      </c>
      <c r="P46" s="145">
        <v>7.9390000000000002E-2</v>
      </c>
      <c r="Q46" s="145">
        <v>7.8254000000000004E-2</v>
      </c>
      <c r="R46" s="145">
        <v>7.7045000000000002E-2</v>
      </c>
      <c r="S46" s="145">
        <v>7.5693999999999997E-2</v>
      </c>
      <c r="T46" s="145">
        <v>7.4348999999999998E-2</v>
      </c>
      <c r="U46" s="145">
        <v>7.3050000000000004E-2</v>
      </c>
      <c r="V46" s="145">
        <v>7.1817000000000006E-2</v>
      </c>
      <c r="W46" s="145">
        <v>7.0639999999999994E-2</v>
      </c>
      <c r="X46" s="145">
        <v>6.9587999999999997E-2</v>
      </c>
      <c r="Y46" s="145">
        <v>6.8662000000000001E-2</v>
      </c>
      <c r="Z46" s="145">
        <v>6.7822999999999994E-2</v>
      </c>
      <c r="AA46" s="145">
        <v>6.7005999999999996E-2</v>
      </c>
      <c r="AB46" s="145">
        <v>6.6321000000000005E-2</v>
      </c>
      <c r="AC46" s="145">
        <v>6.5775E-2</v>
      </c>
      <c r="AD46" s="145">
        <v>6.5343999999999999E-2</v>
      </c>
      <c r="AE46" s="145">
        <v>6.4996999999999999E-2</v>
      </c>
      <c r="AF46" s="146">
        <v>-1.1231E-2</v>
      </c>
      <c r="AG46" s="9"/>
      <c r="AI46" s="7">
        <v>-9.5099999999999994E-3</v>
      </c>
    </row>
    <row r="47" spans="1:35" ht="15" customHeight="1">
      <c r="A47" s="6" t="s">
        <v>195</v>
      </c>
      <c r="B47" s="144" t="s">
        <v>196</v>
      </c>
      <c r="C47" s="145">
        <v>1.7289920000000001</v>
      </c>
      <c r="D47" s="145">
        <v>1.778594</v>
      </c>
      <c r="E47" s="145">
        <v>1.805526</v>
      </c>
      <c r="F47" s="145">
        <v>1.8416680000000001</v>
      </c>
      <c r="G47" s="145">
        <v>1.877618</v>
      </c>
      <c r="H47" s="145">
        <v>1.9181360000000001</v>
      </c>
      <c r="I47" s="145">
        <v>1.9534260000000001</v>
      </c>
      <c r="J47" s="145">
        <v>1.984526</v>
      </c>
      <c r="K47" s="145">
        <v>2.015298</v>
      </c>
      <c r="L47" s="145">
        <v>2.045995</v>
      </c>
      <c r="M47" s="145">
        <v>2.0771999999999999</v>
      </c>
      <c r="N47" s="145">
        <v>2.1083090000000002</v>
      </c>
      <c r="O47" s="145">
        <v>2.1370680000000002</v>
      </c>
      <c r="P47" s="145">
        <v>2.1696040000000001</v>
      </c>
      <c r="Q47" s="145">
        <v>2.2045029999999999</v>
      </c>
      <c r="R47" s="145">
        <v>2.2416749999999999</v>
      </c>
      <c r="S47" s="145">
        <v>2.277666</v>
      </c>
      <c r="T47" s="145">
        <v>2.3144999999999998</v>
      </c>
      <c r="U47" s="145">
        <v>2.3536220000000001</v>
      </c>
      <c r="V47" s="145">
        <v>2.393605</v>
      </c>
      <c r="W47" s="145">
        <v>2.4362240000000002</v>
      </c>
      <c r="X47" s="145">
        <v>2.4803709999999999</v>
      </c>
      <c r="Y47" s="145">
        <v>2.5261019999999998</v>
      </c>
      <c r="Z47" s="145">
        <v>2.5735540000000001</v>
      </c>
      <c r="AA47" s="145">
        <v>2.6229239999999998</v>
      </c>
      <c r="AB47" s="145">
        <v>2.6745640000000002</v>
      </c>
      <c r="AC47" s="145">
        <v>2.727255</v>
      </c>
      <c r="AD47" s="145">
        <v>2.7817340000000002</v>
      </c>
      <c r="AE47" s="145">
        <v>2.8402690000000002</v>
      </c>
      <c r="AF47" s="146">
        <v>1.7885000000000002E-2</v>
      </c>
      <c r="AG47" s="9"/>
      <c r="AI47" s="7">
        <v>1.1690000000000001E-2</v>
      </c>
    </row>
    <row r="48" spans="1:35" ht="15" customHeight="1">
      <c r="A48" s="6" t="s">
        <v>197</v>
      </c>
      <c r="B48" s="143" t="s">
        <v>198</v>
      </c>
      <c r="C48" s="147">
        <v>5.2596420000000004</v>
      </c>
      <c r="D48" s="147">
        <v>5.1701290000000002</v>
      </c>
      <c r="E48" s="147">
        <v>5.2504400000000002</v>
      </c>
      <c r="F48" s="147">
        <v>5.3072759999999999</v>
      </c>
      <c r="G48" s="147">
        <v>5.3626420000000001</v>
      </c>
      <c r="H48" s="147">
        <v>5.4222320000000002</v>
      </c>
      <c r="I48" s="147">
        <v>5.4743199999999996</v>
      </c>
      <c r="J48" s="147">
        <v>5.5182950000000002</v>
      </c>
      <c r="K48" s="147">
        <v>5.5540880000000001</v>
      </c>
      <c r="L48" s="147">
        <v>5.5871940000000002</v>
      </c>
      <c r="M48" s="147">
        <v>5.6225040000000002</v>
      </c>
      <c r="N48" s="147">
        <v>5.6592840000000004</v>
      </c>
      <c r="O48" s="147">
        <v>5.694947</v>
      </c>
      <c r="P48" s="147">
        <v>5.742076</v>
      </c>
      <c r="Q48" s="147">
        <v>5.7953429999999999</v>
      </c>
      <c r="R48" s="147">
        <v>5.8523889999999996</v>
      </c>
      <c r="S48" s="147">
        <v>5.9070590000000003</v>
      </c>
      <c r="T48" s="147">
        <v>5.9634539999999996</v>
      </c>
      <c r="U48" s="147">
        <v>6.0202999999999998</v>
      </c>
      <c r="V48" s="147">
        <v>6.0802500000000004</v>
      </c>
      <c r="W48" s="147">
        <v>6.1456559999999998</v>
      </c>
      <c r="X48" s="147">
        <v>6.2151889999999996</v>
      </c>
      <c r="Y48" s="147">
        <v>6.2886449999999998</v>
      </c>
      <c r="Z48" s="147">
        <v>6.3656980000000001</v>
      </c>
      <c r="AA48" s="147">
        <v>6.4482220000000003</v>
      </c>
      <c r="AB48" s="147">
        <v>6.5356100000000001</v>
      </c>
      <c r="AC48" s="147">
        <v>6.6252180000000003</v>
      </c>
      <c r="AD48" s="147">
        <v>6.7176070000000001</v>
      </c>
      <c r="AE48" s="147">
        <v>6.816999</v>
      </c>
      <c r="AF48" s="148">
        <v>9.306E-3</v>
      </c>
      <c r="AG48" s="9"/>
      <c r="AI48" s="8">
        <v>6.1809999999999999E-3</v>
      </c>
    </row>
    <row r="49" spans="1:35">
      <c r="B49" s="144" t="s">
        <v>199</v>
      </c>
      <c r="C49" s="145">
        <v>0.112023</v>
      </c>
      <c r="D49" s="145">
        <v>0.123458</v>
      </c>
      <c r="E49" s="145">
        <v>0.13652900000000001</v>
      </c>
      <c r="F49" s="145">
        <v>0.14977699999999999</v>
      </c>
      <c r="G49" s="145">
        <v>0.16300899999999999</v>
      </c>
      <c r="H49" s="145">
        <v>0.17658499999999999</v>
      </c>
      <c r="I49" s="145">
        <v>0.19053</v>
      </c>
      <c r="J49" s="145">
        <v>0.20494499999999999</v>
      </c>
      <c r="K49" s="145">
        <v>0.21981999999999999</v>
      </c>
      <c r="L49" s="145">
        <v>0.23524600000000001</v>
      </c>
      <c r="M49" s="145">
        <v>0.25148999999999999</v>
      </c>
      <c r="N49" s="145">
        <v>0.26793699999999998</v>
      </c>
      <c r="O49" s="145">
        <v>0.28465000000000001</v>
      </c>
      <c r="P49" s="145">
        <v>0.29947400000000002</v>
      </c>
      <c r="Q49" s="145">
        <v>0.31491799999999998</v>
      </c>
      <c r="R49" s="145">
        <v>0.33096799999999998</v>
      </c>
      <c r="S49" s="145">
        <v>0.34801199999999999</v>
      </c>
      <c r="T49" s="145">
        <v>0.36618699999999998</v>
      </c>
      <c r="U49" s="145">
        <v>0.38540000000000002</v>
      </c>
      <c r="V49" s="145">
        <v>0.40570899999999999</v>
      </c>
      <c r="W49" s="145">
        <v>0.427124</v>
      </c>
      <c r="X49" s="145">
        <v>0.44966</v>
      </c>
      <c r="Y49" s="145">
        <v>0.47307100000000002</v>
      </c>
      <c r="Z49" s="145">
        <v>0.49757400000000002</v>
      </c>
      <c r="AA49" s="145">
        <v>0.52299700000000005</v>
      </c>
      <c r="AB49" s="145">
        <v>0.54935500000000004</v>
      </c>
      <c r="AC49" s="145">
        <v>0.57694599999999996</v>
      </c>
      <c r="AD49" s="145">
        <v>0.60526800000000003</v>
      </c>
      <c r="AE49" s="145">
        <v>0.63452399999999998</v>
      </c>
      <c r="AF49" s="146">
        <v>6.3893000000000005E-2</v>
      </c>
      <c r="AG49" s="9"/>
    </row>
    <row r="50" spans="1:35" ht="15" customHeight="1">
      <c r="B50" s="143" t="s">
        <v>200</v>
      </c>
      <c r="C50" s="147">
        <v>5.1476179999999996</v>
      </c>
      <c r="D50" s="147">
        <v>5.0466709999999999</v>
      </c>
      <c r="E50" s="147">
        <v>5.1139109999999999</v>
      </c>
      <c r="F50" s="147">
        <v>5.1574989999999996</v>
      </c>
      <c r="G50" s="147">
        <v>5.1996339999999996</v>
      </c>
      <c r="H50" s="147">
        <v>5.2456469999999999</v>
      </c>
      <c r="I50" s="147">
        <v>5.2837899999999998</v>
      </c>
      <c r="J50" s="147">
        <v>5.3133499999999998</v>
      </c>
      <c r="K50" s="147">
        <v>5.3342679999999998</v>
      </c>
      <c r="L50" s="147">
        <v>5.3519490000000003</v>
      </c>
      <c r="M50" s="147">
        <v>5.3710139999999997</v>
      </c>
      <c r="N50" s="147">
        <v>5.3913460000000004</v>
      </c>
      <c r="O50" s="147">
        <v>5.4102969999999999</v>
      </c>
      <c r="P50" s="147">
        <v>5.4426019999999999</v>
      </c>
      <c r="Q50" s="147">
        <v>5.4804250000000003</v>
      </c>
      <c r="R50" s="147">
        <v>5.5214210000000001</v>
      </c>
      <c r="S50" s="147">
        <v>5.5590469999999996</v>
      </c>
      <c r="T50" s="147">
        <v>5.5972670000000004</v>
      </c>
      <c r="U50" s="147">
        <v>5.6349</v>
      </c>
      <c r="V50" s="147">
        <v>5.6745409999999996</v>
      </c>
      <c r="W50" s="147">
        <v>5.7185319999999997</v>
      </c>
      <c r="X50" s="147">
        <v>5.7655289999999999</v>
      </c>
      <c r="Y50" s="147">
        <v>5.8155739999999998</v>
      </c>
      <c r="Z50" s="147">
        <v>5.8681239999999999</v>
      </c>
      <c r="AA50" s="147">
        <v>5.9252250000000002</v>
      </c>
      <c r="AB50" s="147">
        <v>5.9862549999999999</v>
      </c>
      <c r="AC50" s="147">
        <v>6.0482719999999999</v>
      </c>
      <c r="AD50" s="147">
        <v>6.1123390000000004</v>
      </c>
      <c r="AE50" s="147">
        <v>6.1824750000000002</v>
      </c>
      <c r="AF50" s="148">
        <v>6.5640000000000004E-3</v>
      </c>
      <c r="AG50" s="9"/>
    </row>
    <row r="51" spans="1:35" ht="15" customHeight="1">
      <c r="A51" s="6" t="s">
        <v>201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I51" s="7">
        <v>-6.3759999999999997E-3</v>
      </c>
    </row>
    <row r="52" spans="1:35" ht="15" customHeight="1">
      <c r="A52" s="6" t="s">
        <v>202</v>
      </c>
      <c r="B52" s="143" t="s">
        <v>203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I52" s="7">
        <v>-3.1570000000000001E-3</v>
      </c>
    </row>
    <row r="53" spans="1:35" ht="15" customHeight="1">
      <c r="A53" s="6" t="s">
        <v>204</v>
      </c>
      <c r="B53" s="144" t="s">
        <v>170</v>
      </c>
      <c r="C53" s="145">
        <v>3.7369300000000001</v>
      </c>
      <c r="D53" s="145">
        <v>3.7861340000000001</v>
      </c>
      <c r="E53" s="145">
        <v>3.5242059999999999</v>
      </c>
      <c r="F53" s="145">
        <v>3.5347719999999998</v>
      </c>
      <c r="G53" s="145">
        <v>3.5407920000000002</v>
      </c>
      <c r="H53" s="145">
        <v>3.5382799999999999</v>
      </c>
      <c r="I53" s="145">
        <v>3.5293040000000002</v>
      </c>
      <c r="J53" s="145">
        <v>3.510945</v>
      </c>
      <c r="K53" s="145">
        <v>3.4878969999999998</v>
      </c>
      <c r="L53" s="145">
        <v>3.4622350000000002</v>
      </c>
      <c r="M53" s="145">
        <v>3.4365359999999998</v>
      </c>
      <c r="N53" s="145">
        <v>3.41919</v>
      </c>
      <c r="O53" s="145">
        <v>3.3989539999999998</v>
      </c>
      <c r="P53" s="145">
        <v>3.379413</v>
      </c>
      <c r="Q53" s="145">
        <v>3.362053</v>
      </c>
      <c r="R53" s="145">
        <v>3.3461120000000002</v>
      </c>
      <c r="S53" s="145">
        <v>3.3294380000000001</v>
      </c>
      <c r="T53" s="145">
        <v>3.3147989999999998</v>
      </c>
      <c r="U53" s="145">
        <v>3.3015089999999998</v>
      </c>
      <c r="V53" s="145">
        <v>3.2886820000000001</v>
      </c>
      <c r="W53" s="145">
        <v>3.2766220000000001</v>
      </c>
      <c r="X53" s="145">
        <v>3.2663669999999998</v>
      </c>
      <c r="Y53" s="145">
        <v>3.2576480000000001</v>
      </c>
      <c r="Z53" s="145">
        <v>3.2478159999999998</v>
      </c>
      <c r="AA53" s="145">
        <v>3.2346270000000001</v>
      </c>
      <c r="AB53" s="145">
        <v>3.2227749999999999</v>
      </c>
      <c r="AC53" s="145">
        <v>3.212637</v>
      </c>
      <c r="AD53" s="145">
        <v>3.2025510000000001</v>
      </c>
      <c r="AE53" s="145">
        <v>3.191122</v>
      </c>
      <c r="AF53" s="146">
        <v>-5.6230000000000004E-3</v>
      </c>
      <c r="AG53" s="9"/>
      <c r="AI53" s="7">
        <v>5.3550000000000004E-3</v>
      </c>
    </row>
    <row r="54" spans="1:35" ht="15" customHeight="1">
      <c r="A54" s="6" t="s">
        <v>205</v>
      </c>
      <c r="B54" s="144" t="s">
        <v>172</v>
      </c>
      <c r="C54" s="145">
        <v>5.8888000000000003E-2</v>
      </c>
      <c r="D54" s="145">
        <v>5.0529999999999999E-2</v>
      </c>
      <c r="E54" s="145">
        <v>5.9461E-2</v>
      </c>
      <c r="F54" s="145">
        <v>5.9824000000000002E-2</v>
      </c>
      <c r="G54" s="145">
        <v>6.0086000000000001E-2</v>
      </c>
      <c r="H54" s="145">
        <v>6.0236999999999999E-2</v>
      </c>
      <c r="I54" s="145">
        <v>6.0283000000000003E-2</v>
      </c>
      <c r="J54" s="145">
        <v>6.0234999999999997E-2</v>
      </c>
      <c r="K54" s="145">
        <v>6.0099E-2</v>
      </c>
      <c r="L54" s="145">
        <v>5.9889999999999999E-2</v>
      </c>
      <c r="M54" s="145">
        <v>5.9665999999999997E-2</v>
      </c>
      <c r="N54" s="145">
        <v>5.9420000000000001E-2</v>
      </c>
      <c r="O54" s="145">
        <v>5.9214999999999997E-2</v>
      </c>
      <c r="P54" s="145">
        <v>5.9098999999999999E-2</v>
      </c>
      <c r="Q54" s="145">
        <v>5.9116000000000002E-2</v>
      </c>
      <c r="R54" s="145">
        <v>5.9265999999999999E-2</v>
      </c>
      <c r="S54" s="145">
        <v>5.9430999999999998E-2</v>
      </c>
      <c r="T54" s="145">
        <v>5.9636000000000002E-2</v>
      </c>
      <c r="U54" s="145">
        <v>5.9840999999999998E-2</v>
      </c>
      <c r="V54" s="145">
        <v>6.0023E-2</v>
      </c>
      <c r="W54" s="145">
        <v>6.0231E-2</v>
      </c>
      <c r="X54" s="145">
        <v>6.0454000000000001E-2</v>
      </c>
      <c r="Y54" s="145">
        <v>6.0706000000000003E-2</v>
      </c>
      <c r="Z54" s="145">
        <v>6.0935999999999997E-2</v>
      </c>
      <c r="AA54" s="145">
        <v>6.1136999999999997E-2</v>
      </c>
      <c r="AB54" s="145">
        <v>6.1339999999999999E-2</v>
      </c>
      <c r="AC54" s="145">
        <v>6.1596999999999999E-2</v>
      </c>
      <c r="AD54" s="145">
        <v>6.1870000000000001E-2</v>
      </c>
      <c r="AE54" s="145">
        <v>6.2121999999999997E-2</v>
      </c>
      <c r="AF54" s="146">
        <v>1.9109999999999999E-3</v>
      </c>
      <c r="AG54" s="9"/>
      <c r="AI54" s="7">
        <v>4.0439999999999999E-3</v>
      </c>
    </row>
    <row r="55" spans="1:35" ht="15" customHeight="1">
      <c r="A55" s="6" t="s">
        <v>206</v>
      </c>
      <c r="B55" s="144" t="s">
        <v>174</v>
      </c>
      <c r="C55" s="145">
        <v>0.98298799999999997</v>
      </c>
      <c r="D55" s="145">
        <v>0.980209</v>
      </c>
      <c r="E55" s="145">
        <v>0.98977099999999996</v>
      </c>
      <c r="F55" s="145">
        <v>1.0055149999999999</v>
      </c>
      <c r="G55" s="145">
        <v>1.0222389999999999</v>
      </c>
      <c r="H55" s="145">
        <v>1.038243</v>
      </c>
      <c r="I55" s="145">
        <v>1.0537510000000001</v>
      </c>
      <c r="J55" s="145">
        <v>1.066705</v>
      </c>
      <c r="K55" s="145">
        <v>1.078192</v>
      </c>
      <c r="L55" s="145">
        <v>1.087593</v>
      </c>
      <c r="M55" s="145">
        <v>1.096298</v>
      </c>
      <c r="N55" s="145">
        <v>1.1049169999999999</v>
      </c>
      <c r="O55" s="145">
        <v>1.1131009999999999</v>
      </c>
      <c r="P55" s="145">
        <v>1.121259</v>
      </c>
      <c r="Q55" s="145">
        <v>1.1294930000000001</v>
      </c>
      <c r="R55" s="145">
        <v>1.13727</v>
      </c>
      <c r="S55" s="145">
        <v>1.1440520000000001</v>
      </c>
      <c r="T55" s="145">
        <v>1.1511439999999999</v>
      </c>
      <c r="U55" s="145">
        <v>1.158029</v>
      </c>
      <c r="V55" s="145">
        <v>1.1645909999999999</v>
      </c>
      <c r="W55" s="145">
        <v>1.1712849999999999</v>
      </c>
      <c r="X55" s="145">
        <v>1.178668</v>
      </c>
      <c r="Y55" s="145">
        <v>1.186804</v>
      </c>
      <c r="Z55" s="145">
        <v>1.1945509999999999</v>
      </c>
      <c r="AA55" s="145">
        <v>1.1994590000000001</v>
      </c>
      <c r="AB55" s="145">
        <v>1.205508</v>
      </c>
      <c r="AC55" s="145">
        <v>1.2130890000000001</v>
      </c>
      <c r="AD55" s="145">
        <v>1.221263</v>
      </c>
      <c r="AE55" s="145">
        <v>1.2289669999999999</v>
      </c>
      <c r="AF55" s="146">
        <v>8.0079999999999995E-3</v>
      </c>
      <c r="AG55" s="9"/>
      <c r="AI55" s="7">
        <v>1.2555E-2</v>
      </c>
    </row>
    <row r="56" spans="1:35" ht="15" customHeight="1">
      <c r="A56" s="6" t="s">
        <v>207</v>
      </c>
      <c r="B56" s="144" t="s">
        <v>178</v>
      </c>
      <c r="C56" s="145">
        <v>0.10353900000000001</v>
      </c>
      <c r="D56" s="145">
        <v>0.10372099999999999</v>
      </c>
      <c r="E56" s="145">
        <v>0.10392999999999999</v>
      </c>
      <c r="F56" s="145">
        <v>0.104173</v>
      </c>
      <c r="G56" s="145">
        <v>0.104412</v>
      </c>
      <c r="H56" s="145">
        <v>0.10465000000000001</v>
      </c>
      <c r="I56" s="145">
        <v>0.10492</v>
      </c>
      <c r="J56" s="145">
        <v>0.105265</v>
      </c>
      <c r="K56" s="145">
        <v>0.10567799999999999</v>
      </c>
      <c r="L56" s="145">
        <v>0.10617600000000001</v>
      </c>
      <c r="M56" s="145">
        <v>0.10677300000000001</v>
      </c>
      <c r="N56" s="145">
        <v>0.107469</v>
      </c>
      <c r="O56" s="145">
        <v>0.108208</v>
      </c>
      <c r="P56" s="145">
        <v>0.109004</v>
      </c>
      <c r="Q56" s="145">
        <v>0.10985200000000001</v>
      </c>
      <c r="R56" s="145">
        <v>0.11074299999999999</v>
      </c>
      <c r="S56" s="145">
        <v>0.111655</v>
      </c>
      <c r="T56" s="145">
        <v>0.11258700000000001</v>
      </c>
      <c r="U56" s="145">
        <v>0.113552</v>
      </c>
      <c r="V56" s="145">
        <v>0.11454499999999999</v>
      </c>
      <c r="W56" s="145">
        <v>0.11555799999999999</v>
      </c>
      <c r="X56" s="145">
        <v>0.116595</v>
      </c>
      <c r="Y56" s="145">
        <v>0.117656</v>
      </c>
      <c r="Z56" s="145">
        <v>0.11873599999999999</v>
      </c>
      <c r="AA56" s="145">
        <v>0.119822</v>
      </c>
      <c r="AB56" s="145">
        <v>0.120911</v>
      </c>
      <c r="AC56" s="145">
        <v>0.121992</v>
      </c>
      <c r="AD56" s="145">
        <v>0.123053</v>
      </c>
      <c r="AE56" s="145">
        <v>0.12409000000000001</v>
      </c>
      <c r="AF56" s="146">
        <v>6.4869999999999997E-3</v>
      </c>
      <c r="AG56" s="9"/>
      <c r="AI56" s="7">
        <v>-4.0159999999999996E-3</v>
      </c>
    </row>
    <row r="57" spans="1:35" ht="15" customHeight="1">
      <c r="A57" s="6" t="s">
        <v>208</v>
      </c>
      <c r="B57" s="144" t="s">
        <v>180</v>
      </c>
      <c r="C57" s="145">
        <v>3.9712999999999998E-2</v>
      </c>
      <c r="D57" s="145">
        <v>4.0030999999999997E-2</v>
      </c>
      <c r="E57" s="145">
        <v>4.0827000000000002E-2</v>
      </c>
      <c r="F57" s="145">
        <v>4.1871999999999999E-2</v>
      </c>
      <c r="G57" s="145">
        <v>4.2965000000000003E-2</v>
      </c>
      <c r="H57" s="145">
        <v>4.4041999999999998E-2</v>
      </c>
      <c r="I57" s="145">
        <v>4.5060000000000003E-2</v>
      </c>
      <c r="J57" s="145">
        <v>4.5927000000000003E-2</v>
      </c>
      <c r="K57" s="145">
        <v>4.6698000000000003E-2</v>
      </c>
      <c r="L57" s="145">
        <v>4.7412999999999997E-2</v>
      </c>
      <c r="M57" s="145">
        <v>4.8115999999999999E-2</v>
      </c>
      <c r="N57" s="145">
        <v>4.879E-2</v>
      </c>
      <c r="O57" s="145">
        <v>4.9444000000000002E-2</v>
      </c>
      <c r="P57" s="145">
        <v>5.008E-2</v>
      </c>
      <c r="Q57" s="145">
        <v>5.0721000000000002E-2</v>
      </c>
      <c r="R57" s="145">
        <v>5.1386000000000001E-2</v>
      </c>
      <c r="S57" s="145">
        <v>5.2047999999999997E-2</v>
      </c>
      <c r="T57" s="145">
        <v>5.2755000000000003E-2</v>
      </c>
      <c r="U57" s="145">
        <v>5.3475000000000002E-2</v>
      </c>
      <c r="V57" s="145">
        <v>5.4198000000000003E-2</v>
      </c>
      <c r="W57" s="145">
        <v>5.4938000000000001E-2</v>
      </c>
      <c r="X57" s="145">
        <v>5.5710999999999997E-2</v>
      </c>
      <c r="Y57" s="145">
        <v>5.6512E-2</v>
      </c>
      <c r="Z57" s="145">
        <v>5.7282E-2</v>
      </c>
      <c r="AA57" s="145">
        <v>5.7895000000000002E-2</v>
      </c>
      <c r="AB57" s="145">
        <v>5.8550999999999999E-2</v>
      </c>
      <c r="AC57" s="145">
        <v>5.9274E-2</v>
      </c>
      <c r="AD57" s="145">
        <v>6.0025000000000002E-2</v>
      </c>
      <c r="AE57" s="145">
        <v>6.0749999999999998E-2</v>
      </c>
      <c r="AF57" s="146">
        <v>1.5298000000000001E-2</v>
      </c>
      <c r="AG57" s="9"/>
      <c r="AI57" s="8">
        <v>-3.2659999999999998E-3</v>
      </c>
    </row>
    <row r="58" spans="1:35">
      <c r="B58" s="144" t="s">
        <v>209</v>
      </c>
      <c r="C58" s="145">
        <v>0.22733500000000001</v>
      </c>
      <c r="D58" s="145">
        <v>0.225826</v>
      </c>
      <c r="E58" s="145">
        <v>0.22627800000000001</v>
      </c>
      <c r="F58" s="145">
        <v>0.22780500000000001</v>
      </c>
      <c r="G58" s="145">
        <v>0.22943</v>
      </c>
      <c r="H58" s="145">
        <v>0.23081199999999999</v>
      </c>
      <c r="I58" s="145">
        <v>0.23187099999999999</v>
      </c>
      <c r="J58" s="145">
        <v>0.23214099999999999</v>
      </c>
      <c r="K58" s="145">
        <v>0.23191100000000001</v>
      </c>
      <c r="L58" s="145">
        <v>0.23139599999999999</v>
      </c>
      <c r="M58" s="145">
        <v>0.23083100000000001</v>
      </c>
      <c r="N58" s="145">
        <v>0.23017299999999999</v>
      </c>
      <c r="O58" s="145">
        <v>0.22950300000000001</v>
      </c>
      <c r="P58" s="145">
        <v>0.22885800000000001</v>
      </c>
      <c r="Q58" s="145">
        <v>0.22833500000000001</v>
      </c>
      <c r="R58" s="145">
        <v>0.22784299999999999</v>
      </c>
      <c r="S58" s="145">
        <v>0.227266</v>
      </c>
      <c r="T58" s="145">
        <v>0.22681899999999999</v>
      </c>
      <c r="U58" s="145">
        <v>0.226353</v>
      </c>
      <c r="V58" s="145">
        <v>0.225855</v>
      </c>
      <c r="W58" s="145">
        <v>0.225413</v>
      </c>
      <c r="X58" s="145">
        <v>0.22509299999999999</v>
      </c>
      <c r="Y58" s="145">
        <v>0.22487799999999999</v>
      </c>
      <c r="Z58" s="145">
        <v>0.22455700000000001</v>
      </c>
      <c r="AA58" s="145">
        <v>0.22354599999999999</v>
      </c>
      <c r="AB58" s="145">
        <v>0.222772</v>
      </c>
      <c r="AC58" s="145">
        <v>0.22233800000000001</v>
      </c>
      <c r="AD58" s="145">
        <v>0.22208800000000001</v>
      </c>
      <c r="AE58" s="145">
        <v>0.22178899999999999</v>
      </c>
      <c r="AF58" s="146">
        <v>-8.8199999999999997E-4</v>
      </c>
      <c r="AG58" s="9"/>
    </row>
    <row r="59" spans="1:35" ht="15" customHeight="1">
      <c r="B59" s="143" t="s">
        <v>210</v>
      </c>
      <c r="C59" s="147">
        <v>5.1493919999999997</v>
      </c>
      <c r="D59" s="147">
        <v>5.1864509999999999</v>
      </c>
      <c r="E59" s="147">
        <v>4.9444739999999996</v>
      </c>
      <c r="F59" s="147">
        <v>4.9739610000000001</v>
      </c>
      <c r="G59" s="147">
        <v>4.9999250000000002</v>
      </c>
      <c r="H59" s="147">
        <v>5.0162659999999999</v>
      </c>
      <c r="I59" s="147">
        <v>5.0251890000000001</v>
      </c>
      <c r="J59" s="147">
        <v>5.021217</v>
      </c>
      <c r="K59" s="147">
        <v>5.0104759999999997</v>
      </c>
      <c r="L59" s="147">
        <v>4.9947030000000003</v>
      </c>
      <c r="M59" s="147">
        <v>4.9782209999999996</v>
      </c>
      <c r="N59" s="147">
        <v>4.9699590000000002</v>
      </c>
      <c r="O59" s="147">
        <v>4.9584260000000002</v>
      </c>
      <c r="P59" s="147">
        <v>4.9477130000000002</v>
      </c>
      <c r="Q59" s="147">
        <v>4.9395699999999998</v>
      </c>
      <c r="R59" s="147">
        <v>4.9326210000000001</v>
      </c>
      <c r="S59" s="147">
        <v>4.9238910000000002</v>
      </c>
      <c r="T59" s="147">
        <v>4.9177400000000002</v>
      </c>
      <c r="U59" s="147">
        <v>4.9127590000000003</v>
      </c>
      <c r="V59" s="147">
        <v>4.9078949999999999</v>
      </c>
      <c r="W59" s="147">
        <v>4.9040470000000003</v>
      </c>
      <c r="X59" s="147">
        <v>4.9028879999999999</v>
      </c>
      <c r="Y59" s="147">
        <v>4.904204</v>
      </c>
      <c r="Z59" s="147">
        <v>4.9038760000000003</v>
      </c>
      <c r="AA59" s="147">
        <v>4.8964850000000002</v>
      </c>
      <c r="AB59" s="147">
        <v>4.8918569999999999</v>
      </c>
      <c r="AC59" s="147">
        <v>4.8909269999999996</v>
      </c>
      <c r="AD59" s="147">
        <v>4.8908509999999996</v>
      </c>
      <c r="AE59" s="147">
        <v>4.8888410000000002</v>
      </c>
      <c r="AF59" s="148">
        <v>-1.853E-3</v>
      </c>
      <c r="AG59" s="9"/>
    </row>
    <row r="60" spans="1:35" ht="15" customHeight="1">
      <c r="A60" s="6" t="s">
        <v>211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I60" s="7">
        <v>-2.3494999999999999E-2</v>
      </c>
    </row>
    <row r="61" spans="1:35" ht="15" customHeight="1">
      <c r="A61" s="6" t="s">
        <v>212</v>
      </c>
      <c r="B61" s="143" t="s">
        <v>213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I61" s="7">
        <v>-2.4362999999999999E-2</v>
      </c>
    </row>
    <row r="62" spans="1:35" ht="15" customHeight="1">
      <c r="A62" s="6" t="s">
        <v>214</v>
      </c>
      <c r="B62" s="144" t="s">
        <v>170</v>
      </c>
      <c r="C62" s="145">
        <v>0.38192500000000001</v>
      </c>
      <c r="D62" s="145">
        <v>0.38353599999999999</v>
      </c>
      <c r="E62" s="145">
        <v>0.32749</v>
      </c>
      <c r="F62" s="145">
        <v>0.323264</v>
      </c>
      <c r="G62" s="145">
        <v>0.31815500000000002</v>
      </c>
      <c r="H62" s="145">
        <v>0.31265199999999999</v>
      </c>
      <c r="I62" s="145">
        <v>0.30687900000000001</v>
      </c>
      <c r="J62" s="145">
        <v>0.300867</v>
      </c>
      <c r="K62" s="145">
        <v>0.29493999999999998</v>
      </c>
      <c r="L62" s="145">
        <v>0.289076</v>
      </c>
      <c r="M62" s="145">
        <v>0.28336600000000001</v>
      </c>
      <c r="N62" s="145">
        <v>0.27821800000000002</v>
      </c>
      <c r="O62" s="145">
        <v>0.273003</v>
      </c>
      <c r="P62" s="145">
        <v>0.26784599999999997</v>
      </c>
      <c r="Q62" s="145">
        <v>0.26289899999999999</v>
      </c>
      <c r="R62" s="145">
        <v>0.25812299999999999</v>
      </c>
      <c r="S62" s="145">
        <v>0.25350699999999998</v>
      </c>
      <c r="T62" s="145">
        <v>0.24901699999999999</v>
      </c>
      <c r="U62" s="145">
        <v>0.24471499999999999</v>
      </c>
      <c r="V62" s="145">
        <v>0.240453</v>
      </c>
      <c r="W62" s="145">
        <v>0.236259</v>
      </c>
      <c r="X62" s="145">
        <v>0.232016</v>
      </c>
      <c r="Y62" s="145">
        <v>0.22792000000000001</v>
      </c>
      <c r="Z62" s="145">
        <v>0.223829</v>
      </c>
      <c r="AA62" s="145">
        <v>0.219666</v>
      </c>
      <c r="AB62" s="145">
        <v>0.21551799999999999</v>
      </c>
      <c r="AC62" s="145">
        <v>0.21145800000000001</v>
      </c>
      <c r="AD62" s="145">
        <v>0.20741999999999999</v>
      </c>
      <c r="AE62" s="145">
        <v>0.203485</v>
      </c>
      <c r="AF62" s="146">
        <v>-2.2235999999999999E-2</v>
      </c>
      <c r="AG62" s="9"/>
      <c r="AI62" s="7">
        <v>-6.1199999999999996E-3</v>
      </c>
    </row>
    <row r="63" spans="1:35" ht="15" customHeight="1">
      <c r="A63" s="6" t="s">
        <v>215</v>
      </c>
      <c r="B63" s="144" t="s">
        <v>174</v>
      </c>
      <c r="C63" s="145">
        <v>4.3041000000000003E-2</v>
      </c>
      <c r="D63" s="145">
        <v>4.0314999999999997E-2</v>
      </c>
      <c r="E63" s="145">
        <v>3.8573000000000003E-2</v>
      </c>
      <c r="F63" s="145">
        <v>3.7465999999999999E-2</v>
      </c>
      <c r="G63" s="145">
        <v>3.6442000000000002E-2</v>
      </c>
      <c r="H63" s="145">
        <v>3.5552E-2</v>
      </c>
      <c r="I63" s="145">
        <v>3.4810000000000001E-2</v>
      </c>
      <c r="J63" s="145">
        <v>3.4218999999999999E-2</v>
      </c>
      <c r="K63" s="145">
        <v>3.3803E-2</v>
      </c>
      <c r="L63" s="145">
        <v>3.3316999999999999E-2</v>
      </c>
      <c r="M63" s="145">
        <v>3.2805000000000001E-2</v>
      </c>
      <c r="N63" s="145">
        <v>3.227E-2</v>
      </c>
      <c r="O63" s="145">
        <v>3.1734999999999999E-2</v>
      </c>
      <c r="P63" s="145">
        <v>3.1182000000000001E-2</v>
      </c>
      <c r="Q63" s="145">
        <v>3.0637000000000001E-2</v>
      </c>
      <c r="R63" s="145">
        <v>3.0092000000000001E-2</v>
      </c>
      <c r="S63" s="145">
        <v>2.9555999999999999E-2</v>
      </c>
      <c r="T63" s="145">
        <v>2.9034000000000001E-2</v>
      </c>
      <c r="U63" s="145">
        <v>2.8531000000000001E-2</v>
      </c>
      <c r="V63" s="145">
        <v>2.8038E-2</v>
      </c>
      <c r="W63" s="145">
        <v>2.7574000000000001E-2</v>
      </c>
      <c r="X63" s="145">
        <v>2.7129E-2</v>
      </c>
      <c r="Y63" s="145">
        <v>2.6714999999999999E-2</v>
      </c>
      <c r="Z63" s="145">
        <v>2.6321000000000001E-2</v>
      </c>
      <c r="AA63" s="145">
        <v>2.5933000000000001E-2</v>
      </c>
      <c r="AB63" s="145">
        <v>2.5562999999999999E-2</v>
      </c>
      <c r="AC63" s="145">
        <v>2.5212999999999999E-2</v>
      </c>
      <c r="AD63" s="145">
        <v>2.4871000000000001E-2</v>
      </c>
      <c r="AE63" s="145">
        <v>2.4542000000000001E-2</v>
      </c>
      <c r="AF63" s="146">
        <v>-1.9862999999999999E-2</v>
      </c>
      <c r="AG63" s="9"/>
      <c r="AI63" s="8">
        <v>-2.3188E-2</v>
      </c>
    </row>
    <row r="64" spans="1:35">
      <c r="B64" s="144" t="s">
        <v>216</v>
      </c>
      <c r="C64" s="145">
        <v>7.5310000000000004E-3</v>
      </c>
      <c r="D64" s="145">
        <v>7.3670000000000003E-3</v>
      </c>
      <c r="E64" s="145">
        <v>7.3299999999999997E-3</v>
      </c>
      <c r="F64" s="145">
        <v>7.3689999999999997E-3</v>
      </c>
      <c r="G64" s="145">
        <v>7.3889999999999997E-3</v>
      </c>
      <c r="H64" s="145">
        <v>7.3969999999999999E-3</v>
      </c>
      <c r="I64" s="145">
        <v>7.3959999999999998E-3</v>
      </c>
      <c r="J64" s="145">
        <v>7.3850000000000001E-3</v>
      </c>
      <c r="K64" s="145">
        <v>7.3699999999999998E-3</v>
      </c>
      <c r="L64" s="145">
        <v>7.3499999999999998E-3</v>
      </c>
      <c r="M64" s="145">
        <v>7.3309999999999998E-3</v>
      </c>
      <c r="N64" s="145">
        <v>7.3119999999999999E-3</v>
      </c>
      <c r="O64" s="145">
        <v>7.293E-3</v>
      </c>
      <c r="P64" s="145">
        <v>7.2750000000000002E-3</v>
      </c>
      <c r="Q64" s="145">
        <v>7.2570000000000004E-3</v>
      </c>
      <c r="R64" s="145">
        <v>7.2389999999999998E-3</v>
      </c>
      <c r="S64" s="145">
        <v>7.2220000000000001E-3</v>
      </c>
      <c r="T64" s="145">
        <v>7.2049999999999996E-3</v>
      </c>
      <c r="U64" s="145">
        <v>7.1890000000000001E-3</v>
      </c>
      <c r="V64" s="145">
        <v>7.1710000000000003E-3</v>
      </c>
      <c r="W64" s="145">
        <v>7.1549999999999999E-3</v>
      </c>
      <c r="X64" s="145">
        <v>7.1390000000000004E-3</v>
      </c>
      <c r="Y64" s="145">
        <v>7.1250000000000003E-3</v>
      </c>
      <c r="Z64" s="145">
        <v>7.1110000000000001E-3</v>
      </c>
      <c r="AA64" s="145">
        <v>7.0930000000000003E-3</v>
      </c>
      <c r="AB64" s="145">
        <v>7.0759999999999998E-3</v>
      </c>
      <c r="AC64" s="145">
        <v>7.0609999999999996E-3</v>
      </c>
      <c r="AD64" s="145">
        <v>7.0470000000000003E-3</v>
      </c>
      <c r="AE64" s="145">
        <v>7.0330000000000002E-3</v>
      </c>
      <c r="AF64" s="146">
        <v>-2.4420000000000002E-3</v>
      </c>
      <c r="AG64" s="9"/>
    </row>
    <row r="65" spans="1:35" ht="15" customHeight="1">
      <c r="B65" s="143" t="s">
        <v>210</v>
      </c>
      <c r="C65" s="147">
        <v>0.43249700000000002</v>
      </c>
      <c r="D65" s="147">
        <v>0.43121700000000002</v>
      </c>
      <c r="E65" s="147">
        <v>0.37339299999999997</v>
      </c>
      <c r="F65" s="147">
        <v>0.36809900000000001</v>
      </c>
      <c r="G65" s="147">
        <v>0.36198599999999997</v>
      </c>
      <c r="H65" s="147">
        <v>0.355601</v>
      </c>
      <c r="I65" s="147">
        <v>0.34908499999999998</v>
      </c>
      <c r="J65" s="147">
        <v>0.34247100000000003</v>
      </c>
      <c r="K65" s="147">
        <v>0.336113</v>
      </c>
      <c r="L65" s="147">
        <v>0.32974399999999998</v>
      </c>
      <c r="M65" s="147">
        <v>0.32350200000000001</v>
      </c>
      <c r="N65" s="147">
        <v>0.317799</v>
      </c>
      <c r="O65" s="147">
        <v>0.31203199999999998</v>
      </c>
      <c r="P65" s="147">
        <v>0.30630299999999999</v>
      </c>
      <c r="Q65" s="147">
        <v>0.30079400000000001</v>
      </c>
      <c r="R65" s="147">
        <v>0.29545399999999999</v>
      </c>
      <c r="S65" s="147">
        <v>0.29028399999999999</v>
      </c>
      <c r="T65" s="147">
        <v>0.28525600000000001</v>
      </c>
      <c r="U65" s="147">
        <v>0.28043400000000002</v>
      </c>
      <c r="V65" s="147">
        <v>0.27566299999999999</v>
      </c>
      <c r="W65" s="147">
        <v>0.27098800000000001</v>
      </c>
      <c r="X65" s="147">
        <v>0.26628299999999999</v>
      </c>
      <c r="Y65" s="147">
        <v>0.26175999999999999</v>
      </c>
      <c r="Z65" s="147">
        <v>0.25726100000000002</v>
      </c>
      <c r="AA65" s="147">
        <v>0.25269200000000003</v>
      </c>
      <c r="AB65" s="147">
        <v>0.24818499999999999</v>
      </c>
      <c r="AC65" s="147">
        <v>0.24379000000000001</v>
      </c>
      <c r="AD65" s="147">
        <v>0.239424</v>
      </c>
      <c r="AE65" s="147">
        <v>0.23517399999999999</v>
      </c>
      <c r="AF65" s="148">
        <v>-2.1524000000000001E-2</v>
      </c>
      <c r="AG65" s="9"/>
    </row>
    <row r="66" spans="1:35" ht="15" customHeight="1">
      <c r="A66" s="6" t="s">
        <v>217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I66" s="7">
        <v>-1.6118E-2</v>
      </c>
    </row>
    <row r="67" spans="1:35" ht="15" customHeight="1">
      <c r="A67" s="6" t="s">
        <v>218</v>
      </c>
      <c r="B67" s="143" t="s">
        <v>219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I67" s="7">
        <v>-2.6516999999999999E-2</v>
      </c>
    </row>
    <row r="68" spans="1:35" ht="15" customHeight="1">
      <c r="A68" s="6" t="s">
        <v>220</v>
      </c>
      <c r="B68" s="144" t="s">
        <v>170</v>
      </c>
      <c r="C68" s="145">
        <v>0.340393</v>
      </c>
      <c r="D68" s="145">
        <v>0.32860299999999998</v>
      </c>
      <c r="E68" s="145">
        <v>0.298348</v>
      </c>
      <c r="F68" s="145">
        <v>0.29450799999999999</v>
      </c>
      <c r="G68" s="145">
        <v>0.29172100000000001</v>
      </c>
      <c r="H68" s="145">
        <v>0.28928799999999999</v>
      </c>
      <c r="I68" s="145">
        <v>0.28668399999999999</v>
      </c>
      <c r="J68" s="145">
        <v>0.283808</v>
      </c>
      <c r="K68" s="145">
        <v>0.28064499999999998</v>
      </c>
      <c r="L68" s="145">
        <v>0.27730500000000002</v>
      </c>
      <c r="M68" s="145">
        <v>0.27384999999999998</v>
      </c>
      <c r="N68" s="145">
        <v>0.27067099999999999</v>
      </c>
      <c r="O68" s="145">
        <v>0.26741599999999999</v>
      </c>
      <c r="P68" s="145">
        <v>0.26435500000000001</v>
      </c>
      <c r="Q68" s="145">
        <v>0.26152700000000001</v>
      </c>
      <c r="R68" s="145">
        <v>0.25891500000000001</v>
      </c>
      <c r="S68" s="145">
        <v>0.25636999999999999</v>
      </c>
      <c r="T68" s="145">
        <v>0.25396800000000003</v>
      </c>
      <c r="U68" s="145">
        <v>0.25170300000000001</v>
      </c>
      <c r="V68" s="145">
        <v>0.24954599999999999</v>
      </c>
      <c r="W68" s="145">
        <v>0.247417</v>
      </c>
      <c r="X68" s="145">
        <v>0.24538499999999999</v>
      </c>
      <c r="Y68" s="145">
        <v>0.24345900000000001</v>
      </c>
      <c r="Z68" s="145">
        <v>0.241594</v>
      </c>
      <c r="AA68" s="145">
        <v>0.239707</v>
      </c>
      <c r="AB68" s="145">
        <v>0.23788400000000001</v>
      </c>
      <c r="AC68" s="145">
        <v>0.23608100000000001</v>
      </c>
      <c r="AD68" s="145">
        <v>0.23432800000000001</v>
      </c>
      <c r="AE68" s="145">
        <v>0.23263400000000001</v>
      </c>
      <c r="AF68" s="146">
        <v>-1.3502E-2</v>
      </c>
      <c r="AG68" s="9"/>
      <c r="AI68" s="7">
        <v>-1.2579999999999999E-2</v>
      </c>
    </row>
    <row r="69" spans="1:35" ht="15" customHeight="1">
      <c r="A69" s="6" t="s">
        <v>221</v>
      </c>
      <c r="B69" s="144" t="s">
        <v>174</v>
      </c>
      <c r="C69" s="145">
        <v>6.0220999999999997E-2</v>
      </c>
      <c r="D69" s="145">
        <v>5.7038999999999999E-2</v>
      </c>
      <c r="E69" s="145">
        <v>5.4758000000000001E-2</v>
      </c>
      <c r="F69" s="145">
        <v>5.3261999999999997E-2</v>
      </c>
      <c r="G69" s="145">
        <v>5.2171000000000002E-2</v>
      </c>
      <c r="H69" s="145">
        <v>5.1295E-2</v>
      </c>
      <c r="I69" s="145">
        <v>5.0535999999999998E-2</v>
      </c>
      <c r="J69" s="145">
        <v>4.9869999999999998E-2</v>
      </c>
      <c r="K69" s="145">
        <v>4.9292999999999997E-2</v>
      </c>
      <c r="L69" s="145">
        <v>4.8556000000000002E-2</v>
      </c>
      <c r="M69" s="145">
        <v>4.7706999999999999E-2</v>
      </c>
      <c r="N69" s="145">
        <v>4.6803999999999998E-2</v>
      </c>
      <c r="O69" s="145">
        <v>4.5865999999999997E-2</v>
      </c>
      <c r="P69" s="145">
        <v>4.4928000000000003E-2</v>
      </c>
      <c r="Q69" s="145">
        <v>4.4021999999999999E-2</v>
      </c>
      <c r="R69" s="145">
        <v>4.3145000000000003E-2</v>
      </c>
      <c r="S69" s="145">
        <v>4.2285999999999997E-2</v>
      </c>
      <c r="T69" s="145">
        <v>4.1473000000000003E-2</v>
      </c>
      <c r="U69" s="145">
        <v>4.0703999999999997E-2</v>
      </c>
      <c r="V69" s="145">
        <v>3.9976999999999999E-2</v>
      </c>
      <c r="W69" s="145">
        <v>3.9300000000000002E-2</v>
      </c>
      <c r="X69" s="145">
        <v>3.8684999999999997E-2</v>
      </c>
      <c r="Y69" s="145">
        <v>3.8130999999999998E-2</v>
      </c>
      <c r="Z69" s="145">
        <v>3.7622999999999997E-2</v>
      </c>
      <c r="AA69" s="145">
        <v>3.7130000000000003E-2</v>
      </c>
      <c r="AB69" s="145">
        <v>3.6677000000000001E-2</v>
      </c>
      <c r="AC69" s="145">
        <v>3.6255999999999997E-2</v>
      </c>
      <c r="AD69" s="145">
        <v>3.5862999999999999E-2</v>
      </c>
      <c r="AE69" s="145">
        <v>3.5496E-2</v>
      </c>
      <c r="AF69" s="146">
        <v>-1.8702E-2</v>
      </c>
      <c r="AG69" s="9"/>
      <c r="AI69" s="7">
        <v>1.6822E-2</v>
      </c>
    </row>
    <row r="70" spans="1:35" ht="15" customHeight="1">
      <c r="A70" s="6" t="s">
        <v>222</v>
      </c>
      <c r="B70" s="144" t="s">
        <v>178</v>
      </c>
      <c r="C70" s="145">
        <v>1.6931000000000002E-2</v>
      </c>
      <c r="D70" s="145">
        <v>1.6749E-2</v>
      </c>
      <c r="E70" s="145">
        <v>1.6560999999999999E-2</v>
      </c>
      <c r="F70" s="145">
        <v>1.6368000000000001E-2</v>
      </c>
      <c r="G70" s="145">
        <v>1.6164999999999999E-2</v>
      </c>
      <c r="H70" s="145">
        <v>1.5948E-2</v>
      </c>
      <c r="I70" s="145">
        <v>1.5723000000000001E-2</v>
      </c>
      <c r="J70" s="145">
        <v>1.5488999999999999E-2</v>
      </c>
      <c r="K70" s="145">
        <v>1.5245E-2</v>
      </c>
      <c r="L70" s="145">
        <v>1.4994E-2</v>
      </c>
      <c r="M70" s="145">
        <v>1.4737E-2</v>
      </c>
      <c r="N70" s="145">
        <v>1.4520999999999999E-2</v>
      </c>
      <c r="O70" s="145">
        <v>1.4345E-2</v>
      </c>
      <c r="P70" s="145">
        <v>1.421E-2</v>
      </c>
      <c r="Q70" s="145">
        <v>1.4119E-2</v>
      </c>
      <c r="R70" s="145">
        <v>1.4071E-2</v>
      </c>
      <c r="S70" s="145">
        <v>1.4016000000000001E-2</v>
      </c>
      <c r="T70" s="145">
        <v>1.3956E-2</v>
      </c>
      <c r="U70" s="145">
        <v>1.389E-2</v>
      </c>
      <c r="V70" s="145">
        <v>1.3818E-2</v>
      </c>
      <c r="W70" s="145">
        <v>1.3741E-2</v>
      </c>
      <c r="X70" s="145">
        <v>1.3661E-2</v>
      </c>
      <c r="Y70" s="145">
        <v>1.3580999999999999E-2</v>
      </c>
      <c r="Z70" s="145">
        <v>1.3502E-2</v>
      </c>
      <c r="AA70" s="145">
        <v>1.3427E-2</v>
      </c>
      <c r="AB70" s="145">
        <v>1.3357000000000001E-2</v>
      </c>
      <c r="AC70" s="145">
        <v>1.3292999999999999E-2</v>
      </c>
      <c r="AD70" s="145">
        <v>1.3233E-2</v>
      </c>
      <c r="AE70" s="145">
        <v>1.3174999999999999E-2</v>
      </c>
      <c r="AF70" s="146">
        <v>-8.9169999999999996E-3</v>
      </c>
      <c r="AG70" s="9"/>
      <c r="AI70" s="8">
        <v>-9.6410000000000003E-3</v>
      </c>
    </row>
    <row r="71" spans="1:35">
      <c r="B71" s="144" t="s">
        <v>223</v>
      </c>
      <c r="C71" s="145">
        <v>7.3539999999999994E-2</v>
      </c>
      <c r="D71" s="145">
        <v>7.3881000000000002E-2</v>
      </c>
      <c r="E71" s="145">
        <v>7.5037999999999994E-2</v>
      </c>
      <c r="F71" s="145">
        <v>7.6966999999999994E-2</v>
      </c>
      <c r="G71" s="145">
        <v>7.9217999999999997E-2</v>
      </c>
      <c r="H71" s="145">
        <v>8.1564999999999999E-2</v>
      </c>
      <c r="I71" s="145">
        <v>8.3859000000000003E-2</v>
      </c>
      <c r="J71" s="145">
        <v>8.6046999999999998E-2</v>
      </c>
      <c r="K71" s="145">
        <v>8.8106000000000004E-2</v>
      </c>
      <c r="L71" s="145">
        <v>9.0053999999999995E-2</v>
      </c>
      <c r="M71" s="145">
        <v>9.1918E-2</v>
      </c>
      <c r="N71" s="145">
        <v>9.3709000000000001E-2</v>
      </c>
      <c r="O71" s="145">
        <v>9.5459000000000002E-2</v>
      </c>
      <c r="P71" s="145">
        <v>9.7230999999999998E-2</v>
      </c>
      <c r="Q71" s="145">
        <v>9.9066000000000001E-2</v>
      </c>
      <c r="R71" s="145">
        <v>0.10094500000000001</v>
      </c>
      <c r="S71" s="145">
        <v>0.102823</v>
      </c>
      <c r="T71" s="145">
        <v>0.104744</v>
      </c>
      <c r="U71" s="145">
        <v>0.10668800000000001</v>
      </c>
      <c r="V71" s="145">
        <v>0.10864500000000001</v>
      </c>
      <c r="W71" s="145">
        <v>0.110621</v>
      </c>
      <c r="X71" s="145">
        <v>0.112653</v>
      </c>
      <c r="Y71" s="145">
        <v>0.114748</v>
      </c>
      <c r="Z71" s="145">
        <v>0.116869</v>
      </c>
      <c r="AA71" s="145">
        <v>0.118934</v>
      </c>
      <c r="AB71" s="145">
        <v>0.121035</v>
      </c>
      <c r="AC71" s="145">
        <v>0.12316199999999999</v>
      </c>
      <c r="AD71" s="145">
        <v>0.12532199999999999</v>
      </c>
      <c r="AE71" s="145">
        <v>0.12750900000000001</v>
      </c>
      <c r="AF71" s="146">
        <v>1.985E-2</v>
      </c>
      <c r="AG71" s="9"/>
    </row>
    <row r="72" spans="1:35" ht="15" customHeight="1">
      <c r="A72" s="6" t="s">
        <v>224</v>
      </c>
      <c r="B72" s="143" t="s">
        <v>210</v>
      </c>
      <c r="C72" s="147">
        <v>0.49108499999999999</v>
      </c>
      <c r="D72" s="147">
        <v>0.47627199999999997</v>
      </c>
      <c r="E72" s="147">
        <v>0.44470500000000002</v>
      </c>
      <c r="F72" s="147">
        <v>0.44110500000000002</v>
      </c>
      <c r="G72" s="147">
        <v>0.43927500000000003</v>
      </c>
      <c r="H72" s="147">
        <v>0.43809599999999999</v>
      </c>
      <c r="I72" s="147">
        <v>0.43680099999999999</v>
      </c>
      <c r="J72" s="147">
        <v>0.43521399999999999</v>
      </c>
      <c r="K72" s="147">
        <v>0.43328899999999998</v>
      </c>
      <c r="L72" s="147">
        <v>0.43090899999999999</v>
      </c>
      <c r="M72" s="147">
        <v>0.42821300000000001</v>
      </c>
      <c r="N72" s="147">
        <v>0.425705</v>
      </c>
      <c r="O72" s="147">
        <v>0.42308499999999999</v>
      </c>
      <c r="P72" s="147">
        <v>0.42072399999999999</v>
      </c>
      <c r="Q72" s="147">
        <v>0.418734</v>
      </c>
      <c r="R72" s="147">
        <v>0.417076</v>
      </c>
      <c r="S72" s="147">
        <v>0.415495</v>
      </c>
      <c r="T72" s="147">
        <v>0.41414200000000001</v>
      </c>
      <c r="U72" s="147">
        <v>0.41298400000000002</v>
      </c>
      <c r="V72" s="147">
        <v>0.41198600000000002</v>
      </c>
      <c r="W72" s="147">
        <v>0.41108</v>
      </c>
      <c r="X72" s="147">
        <v>0.410385</v>
      </c>
      <c r="Y72" s="147">
        <v>0.40991899999999998</v>
      </c>
      <c r="Z72" s="147">
        <v>0.40958800000000001</v>
      </c>
      <c r="AA72" s="147">
        <v>0.40919800000000001</v>
      </c>
      <c r="AB72" s="147">
        <v>0.40895199999999998</v>
      </c>
      <c r="AC72" s="147">
        <v>0.40879199999999999</v>
      </c>
      <c r="AD72" s="147">
        <v>0.408746</v>
      </c>
      <c r="AE72" s="147">
        <v>0.40881400000000001</v>
      </c>
      <c r="AF72" s="148">
        <v>-6.5269999999999998E-3</v>
      </c>
      <c r="AG72" s="9"/>
      <c r="AI72" s="7">
        <v>-1.7600000000000001E-2</v>
      </c>
    </row>
    <row r="73" spans="1:35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1:35" ht="15" customHeight="1">
      <c r="B74" s="144" t="s">
        <v>225</v>
      </c>
      <c r="C74" s="145">
        <v>0.53893199999999997</v>
      </c>
      <c r="D74" s="145">
        <v>0.57440999999999998</v>
      </c>
      <c r="E74" s="145">
        <v>0.51306799999999997</v>
      </c>
      <c r="F74" s="145">
        <v>0.48986400000000002</v>
      </c>
      <c r="G74" s="145">
        <v>0.47216399999999997</v>
      </c>
      <c r="H74" s="145">
        <v>0.45763999999999999</v>
      </c>
      <c r="I74" s="145">
        <v>0.44519999999999998</v>
      </c>
      <c r="J74" s="145">
        <v>0.435137</v>
      </c>
      <c r="K74" s="145">
        <v>0.42601699999999998</v>
      </c>
      <c r="L74" s="145">
        <v>0.41790899999999997</v>
      </c>
      <c r="M74" s="145">
        <v>0.409804</v>
      </c>
      <c r="N74" s="145">
        <v>0.40263100000000002</v>
      </c>
      <c r="O74" s="145">
        <v>0.39503899999999997</v>
      </c>
      <c r="P74" s="145">
        <v>0.38751400000000003</v>
      </c>
      <c r="Q74" s="145">
        <v>0.37993500000000002</v>
      </c>
      <c r="R74" s="145">
        <v>0.37285699999999999</v>
      </c>
      <c r="S74" s="145">
        <v>0.36608299999999999</v>
      </c>
      <c r="T74" s="145">
        <v>0.35957499999999998</v>
      </c>
      <c r="U74" s="145">
        <v>0.35324100000000003</v>
      </c>
      <c r="V74" s="145">
        <v>0.34762199999999999</v>
      </c>
      <c r="W74" s="145">
        <v>0.34207100000000001</v>
      </c>
      <c r="X74" s="145">
        <v>0.33705400000000002</v>
      </c>
      <c r="Y74" s="145">
        <v>0.332011</v>
      </c>
      <c r="Z74" s="145">
        <v>0.327538</v>
      </c>
      <c r="AA74" s="145">
        <v>0.32387199999999999</v>
      </c>
      <c r="AB74" s="145">
        <v>0.32008300000000001</v>
      </c>
      <c r="AC74" s="145">
        <v>0.31608900000000001</v>
      </c>
      <c r="AD74" s="145">
        <v>0.31211100000000003</v>
      </c>
      <c r="AE74" s="145">
        <v>0.30802400000000002</v>
      </c>
      <c r="AF74" s="146">
        <v>-1.9781E-2</v>
      </c>
      <c r="AG74" s="9"/>
    </row>
    <row r="75" spans="1:35" ht="15" customHeight="1">
      <c r="A75" s="6" t="s">
        <v>226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I75" s="7">
        <v>-9.1420000000000008E-3</v>
      </c>
    </row>
    <row r="76" spans="1:35" ht="15" customHeight="1">
      <c r="A76" s="6" t="s">
        <v>227</v>
      </c>
      <c r="B76" s="143" t="s">
        <v>228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I76" s="7">
        <v>1.5056E-2</v>
      </c>
    </row>
    <row r="77" spans="1:35" ht="15" customHeight="1">
      <c r="A77" s="6" t="s">
        <v>229</v>
      </c>
      <c r="B77" s="144" t="s">
        <v>230</v>
      </c>
      <c r="C77" s="145">
        <v>5.7437990000000001</v>
      </c>
      <c r="D77" s="145">
        <v>5.8167090000000004</v>
      </c>
      <c r="E77" s="145">
        <v>5.3206829999999998</v>
      </c>
      <c r="F77" s="145">
        <v>5.2993560000000004</v>
      </c>
      <c r="G77" s="145">
        <v>5.2785640000000003</v>
      </c>
      <c r="H77" s="145">
        <v>5.2510760000000003</v>
      </c>
      <c r="I77" s="145">
        <v>5.2174740000000002</v>
      </c>
      <c r="J77" s="145">
        <v>5.1750949999999998</v>
      </c>
      <c r="K77" s="145">
        <v>5.127351</v>
      </c>
      <c r="L77" s="145">
        <v>5.0770179999999998</v>
      </c>
      <c r="M77" s="145">
        <v>5.02658</v>
      </c>
      <c r="N77" s="145">
        <v>4.9858409999999997</v>
      </c>
      <c r="O77" s="145">
        <v>4.9413200000000002</v>
      </c>
      <c r="P77" s="145">
        <v>4.8989659999999997</v>
      </c>
      <c r="Q77" s="145">
        <v>4.8595360000000003</v>
      </c>
      <c r="R77" s="145">
        <v>4.8225550000000004</v>
      </c>
      <c r="S77" s="145">
        <v>4.784821</v>
      </c>
      <c r="T77" s="145">
        <v>4.7496340000000004</v>
      </c>
      <c r="U77" s="145">
        <v>4.7167779999999997</v>
      </c>
      <c r="V77" s="145">
        <v>4.6856280000000003</v>
      </c>
      <c r="W77" s="145">
        <v>4.6557829999999996</v>
      </c>
      <c r="X77" s="145">
        <v>4.628654</v>
      </c>
      <c r="Y77" s="145">
        <v>4.6032520000000003</v>
      </c>
      <c r="Z77" s="145">
        <v>4.5774530000000002</v>
      </c>
      <c r="AA77" s="145">
        <v>4.5492520000000001</v>
      </c>
      <c r="AB77" s="145">
        <v>4.522653</v>
      </c>
      <c r="AC77" s="145">
        <v>4.4976979999999998</v>
      </c>
      <c r="AD77" s="145">
        <v>4.4730980000000002</v>
      </c>
      <c r="AE77" s="145">
        <v>4.4476490000000002</v>
      </c>
      <c r="AF77" s="146">
        <v>-9.0919999999999994E-3</v>
      </c>
      <c r="AG77" s="9"/>
      <c r="AI77" s="7">
        <v>2.5309999999999998E-3</v>
      </c>
    </row>
    <row r="78" spans="1:35" ht="15" customHeight="1">
      <c r="A78" s="6" t="s">
        <v>231</v>
      </c>
      <c r="B78" s="144" t="s">
        <v>232</v>
      </c>
      <c r="C78" s="145">
        <v>0.91247500000000004</v>
      </c>
      <c r="D78" s="145">
        <v>0.78572200000000003</v>
      </c>
      <c r="E78" s="145">
        <v>0.95037000000000005</v>
      </c>
      <c r="F78" s="145">
        <v>0.97087400000000001</v>
      </c>
      <c r="G78" s="145">
        <v>0.99026800000000004</v>
      </c>
      <c r="H78" s="145">
        <v>1.0103789999999999</v>
      </c>
      <c r="I78" s="145">
        <v>1.029992</v>
      </c>
      <c r="J78" s="145">
        <v>1.048459</v>
      </c>
      <c r="K78" s="145">
        <v>1.0645690000000001</v>
      </c>
      <c r="L78" s="145">
        <v>1.079664</v>
      </c>
      <c r="M78" s="145">
        <v>1.0958680000000001</v>
      </c>
      <c r="N78" s="145">
        <v>1.1120030000000001</v>
      </c>
      <c r="O78" s="145">
        <v>1.1285069999999999</v>
      </c>
      <c r="P78" s="145">
        <v>1.147432</v>
      </c>
      <c r="Q78" s="145">
        <v>1.1682380000000001</v>
      </c>
      <c r="R78" s="145">
        <v>1.1901900000000001</v>
      </c>
      <c r="S78" s="145">
        <v>1.2119450000000001</v>
      </c>
      <c r="T78" s="145">
        <v>1.2341850000000001</v>
      </c>
      <c r="U78" s="145">
        <v>1.2567489999999999</v>
      </c>
      <c r="V78" s="145">
        <v>1.279439</v>
      </c>
      <c r="W78" s="145">
        <v>1.302789</v>
      </c>
      <c r="X78" s="145">
        <v>1.326819</v>
      </c>
      <c r="Y78" s="145">
        <v>1.351826</v>
      </c>
      <c r="Z78" s="145">
        <v>1.3777349999999999</v>
      </c>
      <c r="AA78" s="145">
        <v>1.405762</v>
      </c>
      <c r="AB78" s="145">
        <v>1.434909</v>
      </c>
      <c r="AC78" s="145">
        <v>1.4646790000000001</v>
      </c>
      <c r="AD78" s="145">
        <v>1.494399</v>
      </c>
      <c r="AE78" s="145">
        <v>1.5252699999999999</v>
      </c>
      <c r="AF78" s="146">
        <v>1.8518E-2</v>
      </c>
      <c r="AG78" s="9"/>
      <c r="AI78" s="7">
        <v>2.2049999999999999E-3</v>
      </c>
    </row>
    <row r="79" spans="1:35" ht="15" customHeight="1">
      <c r="A79" s="6" t="s">
        <v>233</v>
      </c>
      <c r="B79" s="144" t="s">
        <v>234</v>
      </c>
      <c r="C79" s="145">
        <v>1.6860470000000001</v>
      </c>
      <c r="D79" s="145">
        <v>1.6764079999999999</v>
      </c>
      <c r="E79" s="145">
        <v>1.681888</v>
      </c>
      <c r="F79" s="145">
        <v>1.6958260000000001</v>
      </c>
      <c r="G79" s="145">
        <v>1.710388</v>
      </c>
      <c r="H79" s="145">
        <v>1.7242150000000001</v>
      </c>
      <c r="I79" s="145">
        <v>1.737117</v>
      </c>
      <c r="J79" s="145">
        <v>1.746907</v>
      </c>
      <c r="K79" s="145">
        <v>1.75451</v>
      </c>
      <c r="L79" s="145">
        <v>1.759377</v>
      </c>
      <c r="M79" s="145">
        <v>1.763657</v>
      </c>
      <c r="N79" s="145">
        <v>1.7701150000000001</v>
      </c>
      <c r="O79" s="145">
        <v>1.776848</v>
      </c>
      <c r="P79" s="145">
        <v>1.7859210000000001</v>
      </c>
      <c r="Q79" s="145">
        <v>1.7956160000000001</v>
      </c>
      <c r="R79" s="145">
        <v>1.8048709999999999</v>
      </c>
      <c r="S79" s="145">
        <v>1.8128249999999999</v>
      </c>
      <c r="T79" s="145">
        <v>1.820973</v>
      </c>
      <c r="U79" s="145">
        <v>1.8290569999999999</v>
      </c>
      <c r="V79" s="145">
        <v>1.8370709999999999</v>
      </c>
      <c r="W79" s="145">
        <v>1.8455630000000001</v>
      </c>
      <c r="X79" s="145">
        <v>1.8550660000000001</v>
      </c>
      <c r="Y79" s="145">
        <v>1.865388</v>
      </c>
      <c r="Z79" s="145">
        <v>1.8753299999999999</v>
      </c>
      <c r="AA79" s="145">
        <v>1.8827719999999999</v>
      </c>
      <c r="AB79" s="145">
        <v>1.891669</v>
      </c>
      <c r="AC79" s="145">
        <v>1.9022250000000001</v>
      </c>
      <c r="AD79" s="145">
        <v>1.9136150000000001</v>
      </c>
      <c r="AE79" s="145">
        <v>1.9250860000000001</v>
      </c>
      <c r="AF79" s="146">
        <v>4.7460000000000002E-3</v>
      </c>
      <c r="AG79" s="9"/>
      <c r="AI79" s="7">
        <v>2.2360000000000001E-3</v>
      </c>
    </row>
    <row r="80" spans="1:35" ht="15" customHeight="1">
      <c r="A80" s="6" t="s">
        <v>235</v>
      </c>
      <c r="B80" s="144" t="s">
        <v>236</v>
      </c>
      <c r="C80" s="145">
        <v>0.29555799999999999</v>
      </c>
      <c r="D80" s="145">
        <v>0.293987</v>
      </c>
      <c r="E80" s="145">
        <v>0.29266799999999998</v>
      </c>
      <c r="F80" s="145">
        <v>0.29163</v>
      </c>
      <c r="G80" s="145">
        <v>0.29078300000000001</v>
      </c>
      <c r="H80" s="145">
        <v>0.29015800000000003</v>
      </c>
      <c r="I80" s="145">
        <v>0.28977799999999998</v>
      </c>
      <c r="J80" s="145">
        <v>0.28961500000000001</v>
      </c>
      <c r="K80" s="145">
        <v>0.289659</v>
      </c>
      <c r="L80" s="145">
        <v>0.28998600000000002</v>
      </c>
      <c r="M80" s="145">
        <v>0.29063</v>
      </c>
      <c r="N80" s="145">
        <v>0.29157</v>
      </c>
      <c r="O80" s="145">
        <v>0.29279500000000003</v>
      </c>
      <c r="P80" s="145">
        <v>0.29434300000000002</v>
      </c>
      <c r="Q80" s="145">
        <v>0.29624200000000001</v>
      </c>
      <c r="R80" s="145">
        <v>0.29844700000000002</v>
      </c>
      <c r="S80" s="145">
        <v>0.30096000000000001</v>
      </c>
      <c r="T80" s="145">
        <v>0.30374499999999999</v>
      </c>
      <c r="U80" s="145">
        <v>0.30684800000000001</v>
      </c>
      <c r="V80" s="145">
        <v>0.310249</v>
      </c>
      <c r="W80" s="145">
        <v>0.313888</v>
      </c>
      <c r="X80" s="145">
        <v>0.31748199999999999</v>
      </c>
      <c r="Y80" s="145">
        <v>0.32102399999999998</v>
      </c>
      <c r="Z80" s="145">
        <v>0.32450699999999999</v>
      </c>
      <c r="AA80" s="145">
        <v>0.32791500000000001</v>
      </c>
      <c r="AB80" s="145">
        <v>0.33124999999999999</v>
      </c>
      <c r="AC80" s="145">
        <v>0.33449600000000002</v>
      </c>
      <c r="AD80" s="145">
        <v>0.33764499999999997</v>
      </c>
      <c r="AE80" s="145">
        <v>0.340702</v>
      </c>
      <c r="AF80" s="146">
        <v>5.0899999999999999E-3</v>
      </c>
      <c r="AG80" s="9"/>
      <c r="AI80" s="7">
        <v>1.1904E-2</v>
      </c>
    </row>
    <row r="81" spans="1:35" ht="15" customHeight="1">
      <c r="A81" s="6" t="s">
        <v>237</v>
      </c>
      <c r="B81" s="144" t="s">
        <v>238</v>
      </c>
      <c r="C81" s="145">
        <v>0.17633199999999999</v>
      </c>
      <c r="D81" s="145">
        <v>0.176672</v>
      </c>
      <c r="E81" s="145">
        <v>0.17702799999999999</v>
      </c>
      <c r="F81" s="145">
        <v>0.17741699999999999</v>
      </c>
      <c r="G81" s="145">
        <v>0.177783</v>
      </c>
      <c r="H81" s="145">
        <v>0.17812800000000001</v>
      </c>
      <c r="I81" s="145">
        <v>0.17849000000000001</v>
      </c>
      <c r="J81" s="145">
        <v>0.178893</v>
      </c>
      <c r="K81" s="145">
        <v>0.179315</v>
      </c>
      <c r="L81" s="145">
        <v>0.17977399999999999</v>
      </c>
      <c r="M81" s="145">
        <v>0.18029100000000001</v>
      </c>
      <c r="N81" s="145">
        <v>0.18095600000000001</v>
      </c>
      <c r="O81" s="145">
        <v>0.181724</v>
      </c>
      <c r="P81" s="145">
        <v>0.182619</v>
      </c>
      <c r="Q81" s="145">
        <v>0.18365200000000001</v>
      </c>
      <c r="R81" s="145">
        <v>0.18481</v>
      </c>
      <c r="S81" s="145">
        <v>0.185975</v>
      </c>
      <c r="T81" s="145">
        <v>0.187144</v>
      </c>
      <c r="U81" s="145">
        <v>0.188336</v>
      </c>
      <c r="V81" s="145">
        <v>0.18954399999999999</v>
      </c>
      <c r="W81" s="145">
        <v>0.190752</v>
      </c>
      <c r="X81" s="145">
        <v>0.191971</v>
      </c>
      <c r="Y81" s="145">
        <v>0.19320100000000001</v>
      </c>
      <c r="Z81" s="145">
        <v>0.194441</v>
      </c>
      <c r="AA81" s="145">
        <v>0.19568199999999999</v>
      </c>
      <c r="AB81" s="145">
        <v>0.19692699999999999</v>
      </c>
      <c r="AC81" s="145">
        <v>0.19816400000000001</v>
      </c>
      <c r="AD81" s="145">
        <v>0.19938400000000001</v>
      </c>
      <c r="AE81" s="145">
        <v>0.20058400000000001</v>
      </c>
      <c r="AF81" s="146">
        <v>4.6129999999999999E-3</v>
      </c>
      <c r="AG81" s="9"/>
      <c r="AI81" s="7">
        <v>-1.5100000000000001E-3</v>
      </c>
    </row>
    <row r="82" spans="1:35" ht="15" customHeight="1">
      <c r="A82" s="6" t="s">
        <v>239</v>
      </c>
      <c r="B82" s="144" t="s">
        <v>240</v>
      </c>
      <c r="C82" s="145">
        <v>0.262179</v>
      </c>
      <c r="D82" s="145">
        <v>0.26705499999999999</v>
      </c>
      <c r="E82" s="145">
        <v>0.27271800000000002</v>
      </c>
      <c r="F82" s="145">
        <v>0.27916600000000003</v>
      </c>
      <c r="G82" s="145">
        <v>0.28541299999999997</v>
      </c>
      <c r="H82" s="145">
        <v>0.29130800000000001</v>
      </c>
      <c r="I82" s="145">
        <v>0.29685299999999998</v>
      </c>
      <c r="J82" s="145">
        <v>0.30188700000000002</v>
      </c>
      <c r="K82" s="145">
        <v>0.306369</v>
      </c>
      <c r="L82" s="145">
        <v>0.31048399999999998</v>
      </c>
      <c r="M82" s="145">
        <v>0.314552</v>
      </c>
      <c r="N82" s="145">
        <v>0.31818200000000002</v>
      </c>
      <c r="O82" s="145">
        <v>0.32178600000000002</v>
      </c>
      <c r="P82" s="145">
        <v>0.32580300000000001</v>
      </c>
      <c r="Q82" s="145">
        <v>0.330063</v>
      </c>
      <c r="R82" s="145">
        <v>0.33418500000000001</v>
      </c>
      <c r="S82" s="145">
        <v>0.33801199999999998</v>
      </c>
      <c r="T82" s="145">
        <v>0.34182899999999999</v>
      </c>
      <c r="U82" s="145">
        <v>0.34568100000000002</v>
      </c>
      <c r="V82" s="145">
        <v>0.349609</v>
      </c>
      <c r="W82" s="145">
        <v>0.353661</v>
      </c>
      <c r="X82" s="145">
        <v>0.35787099999999999</v>
      </c>
      <c r="Y82" s="145">
        <v>0.362147</v>
      </c>
      <c r="Z82" s="145">
        <v>0.36639100000000002</v>
      </c>
      <c r="AA82" s="145">
        <v>0.37062499999999998</v>
      </c>
      <c r="AB82" s="145">
        <v>0.37506099999999998</v>
      </c>
      <c r="AC82" s="145">
        <v>0.379581</v>
      </c>
      <c r="AD82" s="145">
        <v>0.38419700000000001</v>
      </c>
      <c r="AE82" s="145">
        <v>0.38902799999999998</v>
      </c>
      <c r="AF82" s="146">
        <v>1.4194E-2</v>
      </c>
      <c r="AG82" s="9"/>
      <c r="AI82" s="7">
        <v>-1.0524E-2</v>
      </c>
    </row>
    <row r="83" spans="1:35" ht="15" customHeight="1">
      <c r="A83" s="6" t="s">
        <v>241</v>
      </c>
      <c r="B83" s="144" t="s">
        <v>242</v>
      </c>
      <c r="C83" s="145">
        <v>6.9006999999999999E-2</v>
      </c>
      <c r="D83" s="145">
        <v>6.8849999999999995E-2</v>
      </c>
      <c r="E83" s="145">
        <v>6.8686999999999998E-2</v>
      </c>
      <c r="F83" s="145">
        <v>6.8515999999999994E-2</v>
      </c>
      <c r="G83" s="145">
        <v>6.8318000000000004E-2</v>
      </c>
      <c r="H83" s="145">
        <v>6.8104999999999999E-2</v>
      </c>
      <c r="I83" s="145">
        <v>6.7921999999999996E-2</v>
      </c>
      <c r="J83" s="145">
        <v>6.7761000000000002E-2</v>
      </c>
      <c r="K83" s="145">
        <v>6.7614999999999995E-2</v>
      </c>
      <c r="L83" s="145">
        <v>6.7486000000000004E-2</v>
      </c>
      <c r="M83" s="145">
        <v>6.7377000000000006E-2</v>
      </c>
      <c r="N83" s="145">
        <v>6.7287E-2</v>
      </c>
      <c r="O83" s="145">
        <v>6.7215999999999998E-2</v>
      </c>
      <c r="P83" s="145">
        <v>6.7169000000000006E-2</v>
      </c>
      <c r="Q83" s="145">
        <v>6.7158999999999996E-2</v>
      </c>
      <c r="R83" s="145">
        <v>6.7178000000000002E-2</v>
      </c>
      <c r="S83" s="145">
        <v>6.7228999999999997E-2</v>
      </c>
      <c r="T83" s="145">
        <v>6.7310999999999996E-2</v>
      </c>
      <c r="U83" s="145">
        <v>6.7431000000000005E-2</v>
      </c>
      <c r="V83" s="145">
        <v>6.7596000000000003E-2</v>
      </c>
      <c r="W83" s="145">
        <v>6.7793999999999993E-2</v>
      </c>
      <c r="X83" s="145">
        <v>6.8035999999999999E-2</v>
      </c>
      <c r="Y83" s="145">
        <v>6.8325999999999998E-2</v>
      </c>
      <c r="Z83" s="145">
        <v>6.8666000000000005E-2</v>
      </c>
      <c r="AA83" s="145">
        <v>6.9053000000000003E-2</v>
      </c>
      <c r="AB83" s="145">
        <v>6.9481000000000001E-2</v>
      </c>
      <c r="AC83" s="145">
        <v>6.9903999999999994E-2</v>
      </c>
      <c r="AD83" s="145">
        <v>7.0319000000000007E-2</v>
      </c>
      <c r="AE83" s="145">
        <v>7.0729E-2</v>
      </c>
      <c r="AF83" s="146">
        <v>8.8099999999999995E-4</v>
      </c>
      <c r="AG83" s="9"/>
      <c r="AI83" s="7">
        <v>6.6740000000000002E-3</v>
      </c>
    </row>
    <row r="84" spans="1:35" ht="15" customHeight="1">
      <c r="A84" s="6" t="s">
        <v>243</v>
      </c>
      <c r="B84" s="144" t="s">
        <v>244</v>
      </c>
      <c r="C84" s="145">
        <v>0.22927</v>
      </c>
      <c r="D84" s="145">
        <v>0.21315999999999999</v>
      </c>
      <c r="E84" s="145">
        <v>0.20679400000000001</v>
      </c>
      <c r="F84" s="145">
        <v>0.20512900000000001</v>
      </c>
      <c r="G84" s="145">
        <v>0.20519999999999999</v>
      </c>
      <c r="H84" s="145">
        <v>0.206404</v>
      </c>
      <c r="I84" s="145">
        <v>0.20832999999999999</v>
      </c>
      <c r="J84" s="145">
        <v>0.210226</v>
      </c>
      <c r="K84" s="145">
        <v>0.209704</v>
      </c>
      <c r="L84" s="145">
        <v>0.20916399999999999</v>
      </c>
      <c r="M84" s="145">
        <v>0.20885500000000001</v>
      </c>
      <c r="N84" s="145">
        <v>0.208568</v>
      </c>
      <c r="O84" s="145">
        <v>0.208536</v>
      </c>
      <c r="P84" s="145">
        <v>0.20901600000000001</v>
      </c>
      <c r="Q84" s="145">
        <v>0.20962700000000001</v>
      </c>
      <c r="R84" s="145">
        <v>0.210178</v>
      </c>
      <c r="S84" s="145">
        <v>0.210558</v>
      </c>
      <c r="T84" s="145">
        <v>0.210954</v>
      </c>
      <c r="U84" s="145">
        <v>0.207703</v>
      </c>
      <c r="V84" s="145">
        <v>0.205012</v>
      </c>
      <c r="W84" s="145">
        <v>0.20291100000000001</v>
      </c>
      <c r="X84" s="145">
        <v>0.20146700000000001</v>
      </c>
      <c r="Y84" s="145">
        <v>0.200848</v>
      </c>
      <c r="Z84" s="145">
        <v>0.20064000000000001</v>
      </c>
      <c r="AA84" s="145">
        <v>0.20059199999999999</v>
      </c>
      <c r="AB84" s="145">
        <v>0.20072999999999999</v>
      </c>
      <c r="AC84" s="145">
        <v>0.200991</v>
      </c>
      <c r="AD84" s="145">
        <v>0.20142299999999999</v>
      </c>
      <c r="AE84" s="145">
        <v>0.20205600000000001</v>
      </c>
      <c r="AF84" s="146">
        <v>-4.5030000000000001E-3</v>
      </c>
      <c r="AG84" s="9"/>
      <c r="AI84" s="7">
        <v>1.4947E-2</v>
      </c>
    </row>
    <row r="85" spans="1:35" ht="15" customHeight="1">
      <c r="A85" s="6" t="s">
        <v>245</v>
      </c>
      <c r="B85" s="144" t="s">
        <v>246</v>
      </c>
      <c r="C85" s="145">
        <v>3.7489000000000001E-2</v>
      </c>
      <c r="D85" s="145">
        <v>3.7812999999999999E-2</v>
      </c>
      <c r="E85" s="145">
        <v>3.8143999999999997E-2</v>
      </c>
      <c r="F85" s="145">
        <v>3.8485999999999999E-2</v>
      </c>
      <c r="G85" s="145">
        <v>3.8827E-2</v>
      </c>
      <c r="H85" s="145">
        <v>3.9168000000000001E-2</v>
      </c>
      <c r="I85" s="145">
        <v>3.9518999999999999E-2</v>
      </c>
      <c r="J85" s="145">
        <v>3.9875000000000001E-2</v>
      </c>
      <c r="K85" s="145">
        <v>4.0245999999999997E-2</v>
      </c>
      <c r="L85" s="145">
        <v>4.0617E-2</v>
      </c>
      <c r="M85" s="145">
        <v>4.0992000000000001E-2</v>
      </c>
      <c r="N85" s="145">
        <v>4.1364999999999999E-2</v>
      </c>
      <c r="O85" s="145">
        <v>4.1732999999999999E-2</v>
      </c>
      <c r="P85" s="145">
        <v>4.2098999999999998E-2</v>
      </c>
      <c r="Q85" s="145">
        <v>4.2465000000000003E-2</v>
      </c>
      <c r="R85" s="145">
        <v>4.2827999999999998E-2</v>
      </c>
      <c r="S85" s="145">
        <v>4.3187000000000003E-2</v>
      </c>
      <c r="T85" s="145">
        <v>4.3541999999999997E-2</v>
      </c>
      <c r="U85" s="145">
        <v>4.3898E-2</v>
      </c>
      <c r="V85" s="145">
        <v>4.4252E-2</v>
      </c>
      <c r="W85" s="145">
        <v>4.4599E-2</v>
      </c>
      <c r="X85" s="145">
        <v>4.4942000000000003E-2</v>
      </c>
      <c r="Y85" s="145">
        <v>4.5282000000000003E-2</v>
      </c>
      <c r="Z85" s="145">
        <v>4.5619E-2</v>
      </c>
      <c r="AA85" s="145">
        <v>4.5952E-2</v>
      </c>
      <c r="AB85" s="145">
        <v>4.6282999999999998E-2</v>
      </c>
      <c r="AC85" s="145">
        <v>4.6611E-2</v>
      </c>
      <c r="AD85" s="145">
        <v>4.6935999999999999E-2</v>
      </c>
      <c r="AE85" s="145">
        <v>4.7258000000000001E-2</v>
      </c>
      <c r="AF85" s="146">
        <v>8.3049999999999999E-3</v>
      </c>
      <c r="AG85" s="9"/>
      <c r="AI85" s="7">
        <v>7.737E-3</v>
      </c>
    </row>
    <row r="86" spans="1:35" ht="15" customHeight="1">
      <c r="A86" s="6" t="s">
        <v>247</v>
      </c>
      <c r="B86" s="144" t="s">
        <v>248</v>
      </c>
      <c r="C86" s="145">
        <v>2.7618E-2</v>
      </c>
      <c r="D86" s="145">
        <v>2.8063999999999999E-2</v>
      </c>
      <c r="E86" s="145">
        <v>2.8506E-2</v>
      </c>
      <c r="F86" s="145">
        <v>2.8944999999999999E-2</v>
      </c>
      <c r="G86" s="145">
        <v>2.937E-2</v>
      </c>
      <c r="H86" s="145">
        <v>2.9781999999999999E-2</v>
      </c>
      <c r="I86" s="145">
        <v>3.0232999999999999E-2</v>
      </c>
      <c r="J86" s="145">
        <v>3.0721999999999999E-2</v>
      </c>
      <c r="K86" s="145">
        <v>3.1241999999999999E-2</v>
      </c>
      <c r="L86" s="145">
        <v>3.1796999999999999E-2</v>
      </c>
      <c r="M86" s="145">
        <v>3.2391999999999997E-2</v>
      </c>
      <c r="N86" s="145">
        <v>3.3027000000000001E-2</v>
      </c>
      <c r="O86" s="145">
        <v>3.3702000000000003E-2</v>
      </c>
      <c r="P86" s="145">
        <v>3.4373000000000001E-2</v>
      </c>
      <c r="Q86" s="145">
        <v>3.5042999999999998E-2</v>
      </c>
      <c r="R86" s="145">
        <v>3.5709999999999999E-2</v>
      </c>
      <c r="S86" s="145">
        <v>3.6374999999999998E-2</v>
      </c>
      <c r="T86" s="145">
        <v>3.7035999999999999E-2</v>
      </c>
      <c r="U86" s="145">
        <v>3.7698000000000002E-2</v>
      </c>
      <c r="V86" s="145">
        <v>3.8358999999999997E-2</v>
      </c>
      <c r="W86" s="145">
        <v>3.9015000000000001E-2</v>
      </c>
      <c r="X86" s="145">
        <v>3.9667000000000001E-2</v>
      </c>
      <c r="Y86" s="145">
        <v>4.0315999999999998E-2</v>
      </c>
      <c r="Z86" s="145">
        <v>4.0961999999999998E-2</v>
      </c>
      <c r="AA86" s="145">
        <v>4.1605000000000003E-2</v>
      </c>
      <c r="AB86" s="145">
        <v>4.2244999999999998E-2</v>
      </c>
      <c r="AC86" s="145">
        <v>4.2882000000000003E-2</v>
      </c>
      <c r="AD86" s="145">
        <v>4.3513999999999997E-2</v>
      </c>
      <c r="AE86" s="145">
        <v>4.4143000000000002E-2</v>
      </c>
      <c r="AF86" s="146">
        <v>1.6889999999999999E-2</v>
      </c>
      <c r="AG86" s="9"/>
      <c r="AI86" s="7">
        <v>-2.6585000000000001E-2</v>
      </c>
    </row>
    <row r="87" spans="1:35" ht="15" customHeight="1">
      <c r="A87" s="6" t="s">
        <v>249</v>
      </c>
      <c r="B87" s="144" t="s">
        <v>250</v>
      </c>
      <c r="C87" s="145">
        <v>0.18509200000000001</v>
      </c>
      <c r="D87" s="145">
        <v>0.181559</v>
      </c>
      <c r="E87" s="145">
        <v>0.178365</v>
      </c>
      <c r="F87" s="145">
        <v>0.17569199999999999</v>
      </c>
      <c r="G87" s="145">
        <v>0.17295099999999999</v>
      </c>
      <c r="H87" s="145">
        <v>0.17014299999999999</v>
      </c>
      <c r="I87" s="145">
        <v>0.16719800000000001</v>
      </c>
      <c r="J87" s="145">
        <v>0.16413900000000001</v>
      </c>
      <c r="K87" s="145">
        <v>0.16098699999999999</v>
      </c>
      <c r="L87" s="145">
        <v>0.15786700000000001</v>
      </c>
      <c r="M87" s="145">
        <v>0.154866</v>
      </c>
      <c r="N87" s="145">
        <v>0.151867</v>
      </c>
      <c r="O87" s="145">
        <v>0.14899799999999999</v>
      </c>
      <c r="P87" s="145">
        <v>0.14658499999999999</v>
      </c>
      <c r="Q87" s="145">
        <v>0.14447299999999999</v>
      </c>
      <c r="R87" s="145">
        <v>0.142566</v>
      </c>
      <c r="S87" s="145">
        <v>0.14076</v>
      </c>
      <c r="T87" s="145">
        <v>0.13918900000000001</v>
      </c>
      <c r="U87" s="145">
        <v>0.13791</v>
      </c>
      <c r="V87" s="145">
        <v>0.136911</v>
      </c>
      <c r="W87" s="145">
        <v>0.13620699999999999</v>
      </c>
      <c r="X87" s="145">
        <v>0.13575499999999999</v>
      </c>
      <c r="Y87" s="145">
        <v>0.13553699999999999</v>
      </c>
      <c r="Z87" s="145">
        <v>0.13555200000000001</v>
      </c>
      <c r="AA87" s="145">
        <v>0.13580200000000001</v>
      </c>
      <c r="AB87" s="145">
        <v>0.136265</v>
      </c>
      <c r="AC87" s="145">
        <v>0.13685</v>
      </c>
      <c r="AD87" s="145">
        <v>0.13759299999999999</v>
      </c>
      <c r="AE87" s="145">
        <v>0.13852700000000001</v>
      </c>
      <c r="AF87" s="146">
        <v>-1.0296E-2</v>
      </c>
      <c r="AG87" s="9"/>
      <c r="AI87" s="7">
        <v>-9.5099999999999994E-3</v>
      </c>
    </row>
    <row r="88" spans="1:35" ht="15" customHeight="1">
      <c r="A88" s="6" t="s">
        <v>251</v>
      </c>
      <c r="B88" s="144" t="s">
        <v>252</v>
      </c>
      <c r="C88" s="145">
        <v>0.120106</v>
      </c>
      <c r="D88" s="145">
        <v>0.118562</v>
      </c>
      <c r="E88" s="145">
        <v>0.11693099999999999</v>
      </c>
      <c r="F88" s="145">
        <v>0.11536299999999999</v>
      </c>
      <c r="G88" s="145">
        <v>0.113493</v>
      </c>
      <c r="H88" s="145">
        <v>0.111328</v>
      </c>
      <c r="I88" s="145">
        <v>0.108857</v>
      </c>
      <c r="J88" s="145">
        <v>0.106117</v>
      </c>
      <c r="K88" s="145">
        <v>0.103168</v>
      </c>
      <c r="L88" s="145">
        <v>0.100088</v>
      </c>
      <c r="M88" s="145">
        <v>9.6979999999999997E-2</v>
      </c>
      <c r="N88" s="145">
        <v>9.3785999999999994E-2</v>
      </c>
      <c r="O88" s="145">
        <v>9.0609999999999996E-2</v>
      </c>
      <c r="P88" s="145">
        <v>8.7647000000000003E-2</v>
      </c>
      <c r="Q88" s="145">
        <v>8.4848000000000007E-2</v>
      </c>
      <c r="R88" s="145">
        <v>8.2132999999999998E-2</v>
      </c>
      <c r="S88" s="145">
        <v>7.9492999999999994E-2</v>
      </c>
      <c r="T88" s="145">
        <v>7.7007999999999993E-2</v>
      </c>
      <c r="U88" s="145">
        <v>7.4726000000000001E-2</v>
      </c>
      <c r="V88" s="145">
        <v>7.2651999999999994E-2</v>
      </c>
      <c r="W88" s="145">
        <v>7.0824999999999999E-2</v>
      </c>
      <c r="X88" s="145">
        <v>6.9226999999999997E-2</v>
      </c>
      <c r="Y88" s="145">
        <v>6.7875000000000005E-2</v>
      </c>
      <c r="Z88" s="145">
        <v>6.6753000000000007E-2</v>
      </c>
      <c r="AA88" s="145">
        <v>6.5956000000000001E-2</v>
      </c>
      <c r="AB88" s="145">
        <v>6.5417000000000003E-2</v>
      </c>
      <c r="AC88" s="145">
        <v>6.5087000000000006E-2</v>
      </c>
      <c r="AD88" s="145">
        <v>6.4992999999999995E-2</v>
      </c>
      <c r="AE88" s="145">
        <v>6.5106999999999998E-2</v>
      </c>
      <c r="AF88" s="146">
        <v>-2.1631999999999998E-2</v>
      </c>
      <c r="AG88" s="9"/>
      <c r="AI88" s="7">
        <v>1.0208E-2</v>
      </c>
    </row>
    <row r="89" spans="1:35" ht="15" customHeight="1">
      <c r="A89" s="6" t="s">
        <v>253</v>
      </c>
      <c r="B89" s="144" t="s">
        <v>254</v>
      </c>
      <c r="C89" s="145">
        <v>8.9175000000000004E-2</v>
      </c>
      <c r="D89" s="145">
        <v>8.8249999999999995E-2</v>
      </c>
      <c r="E89" s="145">
        <v>7.9128000000000004E-2</v>
      </c>
      <c r="F89" s="145">
        <v>8.0093999999999999E-2</v>
      </c>
      <c r="G89" s="145">
        <v>8.0979999999999996E-2</v>
      </c>
      <c r="H89" s="145">
        <v>8.1729999999999997E-2</v>
      </c>
      <c r="I89" s="145">
        <v>8.2280000000000006E-2</v>
      </c>
      <c r="J89" s="145">
        <v>8.2540000000000002E-2</v>
      </c>
      <c r="K89" s="145">
        <v>8.2561999999999997E-2</v>
      </c>
      <c r="L89" s="145">
        <v>8.2343E-2</v>
      </c>
      <c r="M89" s="145">
        <v>8.1923999999999997E-2</v>
      </c>
      <c r="N89" s="145">
        <v>8.1309000000000006E-2</v>
      </c>
      <c r="O89" s="145">
        <v>8.0431000000000002E-2</v>
      </c>
      <c r="P89" s="145">
        <v>7.9390000000000002E-2</v>
      </c>
      <c r="Q89" s="145">
        <v>7.8254000000000004E-2</v>
      </c>
      <c r="R89" s="145">
        <v>7.7045000000000002E-2</v>
      </c>
      <c r="S89" s="145">
        <v>7.5693999999999997E-2</v>
      </c>
      <c r="T89" s="145">
        <v>7.4348999999999998E-2</v>
      </c>
      <c r="U89" s="145">
        <v>7.3050000000000004E-2</v>
      </c>
      <c r="V89" s="145">
        <v>7.1817000000000006E-2</v>
      </c>
      <c r="W89" s="145">
        <v>7.0639999999999994E-2</v>
      </c>
      <c r="X89" s="145">
        <v>6.9587999999999997E-2</v>
      </c>
      <c r="Y89" s="145">
        <v>6.8662000000000001E-2</v>
      </c>
      <c r="Z89" s="145">
        <v>6.7822999999999994E-2</v>
      </c>
      <c r="AA89" s="145">
        <v>6.7005999999999996E-2</v>
      </c>
      <c r="AB89" s="145">
        <v>6.6321000000000005E-2</v>
      </c>
      <c r="AC89" s="145">
        <v>6.5775E-2</v>
      </c>
      <c r="AD89" s="145">
        <v>6.5343999999999999E-2</v>
      </c>
      <c r="AE89" s="145">
        <v>6.4996999999999999E-2</v>
      </c>
      <c r="AF89" s="146">
        <v>-1.1231E-2</v>
      </c>
      <c r="AG89" s="9"/>
      <c r="AI89" s="8">
        <v>-1.4100000000000001E-4</v>
      </c>
    </row>
    <row r="90" spans="1:35">
      <c r="B90" s="144" t="s">
        <v>255</v>
      </c>
      <c r="C90" s="145">
        <v>2.037398</v>
      </c>
      <c r="D90" s="145">
        <v>2.0856680000000001</v>
      </c>
      <c r="E90" s="145">
        <v>2.1141719999999999</v>
      </c>
      <c r="F90" s="145">
        <v>2.15381</v>
      </c>
      <c r="G90" s="145">
        <v>2.1936559999999998</v>
      </c>
      <c r="H90" s="145">
        <v>2.237911</v>
      </c>
      <c r="I90" s="145">
        <v>2.2765520000000001</v>
      </c>
      <c r="J90" s="145">
        <v>2.3100990000000001</v>
      </c>
      <c r="K90" s="145">
        <v>2.3426849999999999</v>
      </c>
      <c r="L90" s="145">
        <v>2.3747950000000002</v>
      </c>
      <c r="M90" s="145">
        <v>2.4072800000000001</v>
      </c>
      <c r="N90" s="145">
        <v>2.4395030000000002</v>
      </c>
      <c r="O90" s="145">
        <v>2.4693230000000002</v>
      </c>
      <c r="P90" s="145">
        <v>2.5029680000000001</v>
      </c>
      <c r="Q90" s="145">
        <v>2.5391620000000001</v>
      </c>
      <c r="R90" s="145">
        <v>2.5777019999999999</v>
      </c>
      <c r="S90" s="145">
        <v>2.614976</v>
      </c>
      <c r="T90" s="145">
        <v>2.6532680000000002</v>
      </c>
      <c r="U90" s="145">
        <v>2.693851</v>
      </c>
      <c r="V90" s="145">
        <v>2.7352759999999998</v>
      </c>
      <c r="W90" s="145">
        <v>2.7794129999999999</v>
      </c>
      <c r="X90" s="145">
        <v>2.825256</v>
      </c>
      <c r="Y90" s="145">
        <v>2.8728530000000001</v>
      </c>
      <c r="Z90" s="145">
        <v>2.9220899999999999</v>
      </c>
      <c r="AA90" s="145">
        <v>2.9724970000000002</v>
      </c>
      <c r="AB90" s="145">
        <v>3.0254470000000002</v>
      </c>
      <c r="AC90" s="145">
        <v>3.079815</v>
      </c>
      <c r="AD90" s="145">
        <v>3.1361910000000002</v>
      </c>
      <c r="AE90" s="145">
        <v>3.196599</v>
      </c>
      <c r="AF90" s="146">
        <v>1.6216000000000001E-2</v>
      </c>
      <c r="AG90" s="9"/>
    </row>
    <row r="91" spans="1:35" ht="15" customHeight="1">
      <c r="A91" s="6" t="s">
        <v>256</v>
      </c>
      <c r="B91" s="143" t="s">
        <v>257</v>
      </c>
      <c r="C91" s="147">
        <v>11.871544999999999</v>
      </c>
      <c r="D91" s="147">
        <v>11.838481</v>
      </c>
      <c r="E91" s="147">
        <v>11.526081</v>
      </c>
      <c r="F91" s="147">
        <v>11.580304999999999</v>
      </c>
      <c r="G91" s="147">
        <v>11.635992999999999</v>
      </c>
      <c r="H91" s="147">
        <v>11.689837000000001</v>
      </c>
      <c r="I91" s="147">
        <v>11.730596</v>
      </c>
      <c r="J91" s="147">
        <v>11.752335</v>
      </c>
      <c r="K91" s="147">
        <v>11.759981</v>
      </c>
      <c r="L91" s="147">
        <v>11.76046</v>
      </c>
      <c r="M91" s="147">
        <v>11.762243</v>
      </c>
      <c r="N91" s="147">
        <v>11.775377000000001</v>
      </c>
      <c r="O91" s="147">
        <v>11.783529</v>
      </c>
      <c r="P91" s="147">
        <v>11.804330999999999</v>
      </c>
      <c r="Q91" s="147">
        <v>11.834376000000001</v>
      </c>
      <c r="R91" s="147">
        <v>11.870398</v>
      </c>
      <c r="S91" s="147">
        <v>11.902811</v>
      </c>
      <c r="T91" s="147">
        <v>11.940166</v>
      </c>
      <c r="U91" s="147">
        <v>11.979717000000001</v>
      </c>
      <c r="V91" s="147">
        <v>12.023415</v>
      </c>
      <c r="W91" s="147">
        <v>12.073841</v>
      </c>
      <c r="X91" s="147">
        <v>12.131802</v>
      </c>
      <c r="Y91" s="147">
        <v>12.196539</v>
      </c>
      <c r="Z91" s="147">
        <v>12.263961999999999</v>
      </c>
      <c r="AA91" s="147">
        <v>12.330469000000001</v>
      </c>
      <c r="AB91" s="147">
        <v>12.404661000000001</v>
      </c>
      <c r="AC91" s="147">
        <v>12.484757999999999</v>
      </c>
      <c r="AD91" s="147">
        <v>12.568652999999999</v>
      </c>
      <c r="AE91" s="147">
        <v>12.657738</v>
      </c>
      <c r="AF91" s="148">
        <v>2.2929999999999999E-3</v>
      </c>
      <c r="AG91" s="9"/>
      <c r="AI91" s="8">
        <v>-7.8600000000000002E-4</v>
      </c>
    </row>
    <row r="92" spans="1:35">
      <c r="B92" s="144" t="s">
        <v>258</v>
      </c>
      <c r="C92" s="145">
        <v>0.112023</v>
      </c>
      <c r="D92" s="145">
        <v>0.123458</v>
      </c>
      <c r="E92" s="145">
        <v>0.13652900000000001</v>
      </c>
      <c r="F92" s="145">
        <v>0.14977699999999999</v>
      </c>
      <c r="G92" s="145">
        <v>0.16300899999999999</v>
      </c>
      <c r="H92" s="145">
        <v>0.17658499999999999</v>
      </c>
      <c r="I92" s="145">
        <v>0.19053</v>
      </c>
      <c r="J92" s="145">
        <v>0.20494499999999999</v>
      </c>
      <c r="K92" s="145">
        <v>0.21981999999999999</v>
      </c>
      <c r="L92" s="145">
        <v>0.23524600000000001</v>
      </c>
      <c r="M92" s="145">
        <v>0.25148999999999999</v>
      </c>
      <c r="N92" s="145">
        <v>0.26793699999999998</v>
      </c>
      <c r="O92" s="145">
        <v>0.28465000000000001</v>
      </c>
      <c r="P92" s="145">
        <v>0.29947400000000002</v>
      </c>
      <c r="Q92" s="145">
        <v>0.31491799999999998</v>
      </c>
      <c r="R92" s="145">
        <v>0.33096799999999998</v>
      </c>
      <c r="S92" s="145">
        <v>0.34801199999999999</v>
      </c>
      <c r="T92" s="145">
        <v>0.36618699999999998</v>
      </c>
      <c r="U92" s="145">
        <v>0.38540000000000002</v>
      </c>
      <c r="V92" s="145">
        <v>0.40570899999999999</v>
      </c>
      <c r="W92" s="145">
        <v>0.427124</v>
      </c>
      <c r="X92" s="145">
        <v>0.44966</v>
      </c>
      <c r="Y92" s="145">
        <v>0.47307100000000002</v>
      </c>
      <c r="Z92" s="145">
        <v>0.49757400000000002</v>
      </c>
      <c r="AA92" s="145">
        <v>0.52299700000000005</v>
      </c>
      <c r="AB92" s="145">
        <v>0.54935500000000004</v>
      </c>
      <c r="AC92" s="145">
        <v>0.57694599999999996</v>
      </c>
      <c r="AD92" s="145">
        <v>0.60526800000000003</v>
      </c>
      <c r="AE92" s="145">
        <v>0.63452399999999998</v>
      </c>
      <c r="AF92" s="146">
        <v>6.3893000000000005E-2</v>
      </c>
      <c r="AG92" s="9"/>
    </row>
    <row r="93" spans="1:35" ht="15" customHeight="1">
      <c r="B93" s="143" t="s">
        <v>259</v>
      </c>
      <c r="C93" s="147">
        <v>11.759520999999999</v>
      </c>
      <c r="D93" s="147">
        <v>11.715023</v>
      </c>
      <c r="E93" s="147">
        <v>11.389552</v>
      </c>
      <c r="F93" s="147">
        <v>11.430529</v>
      </c>
      <c r="G93" s="147">
        <v>11.472984</v>
      </c>
      <c r="H93" s="147">
        <v>11.513251</v>
      </c>
      <c r="I93" s="147">
        <v>11.540065999999999</v>
      </c>
      <c r="J93" s="147">
        <v>11.547389000000001</v>
      </c>
      <c r="K93" s="147">
        <v>11.540160999999999</v>
      </c>
      <c r="L93" s="147">
        <v>11.525214</v>
      </c>
      <c r="M93" s="147">
        <v>11.510754</v>
      </c>
      <c r="N93" s="147">
        <v>11.507440000000001</v>
      </c>
      <c r="O93" s="147">
        <v>11.498879000000001</v>
      </c>
      <c r="P93" s="147">
        <v>11.504856</v>
      </c>
      <c r="Q93" s="147">
        <v>11.519458999999999</v>
      </c>
      <c r="R93" s="147">
        <v>11.539429</v>
      </c>
      <c r="S93" s="147">
        <v>11.554798999999999</v>
      </c>
      <c r="T93" s="147">
        <v>11.573979</v>
      </c>
      <c r="U93" s="147">
        <v>11.594315999999999</v>
      </c>
      <c r="V93" s="147">
        <v>11.617705000000001</v>
      </c>
      <c r="W93" s="147">
        <v>11.646717000000001</v>
      </c>
      <c r="X93" s="147">
        <v>11.682141</v>
      </c>
      <c r="Y93" s="147">
        <v>11.723468</v>
      </c>
      <c r="Z93" s="147">
        <v>11.766387999999999</v>
      </c>
      <c r="AA93" s="147">
        <v>11.807472000000001</v>
      </c>
      <c r="AB93" s="147">
        <v>11.855307</v>
      </c>
      <c r="AC93" s="147">
        <v>11.907812</v>
      </c>
      <c r="AD93" s="147">
        <v>11.963385000000001</v>
      </c>
      <c r="AE93" s="147">
        <v>12.023213</v>
      </c>
      <c r="AF93" s="148">
        <v>7.9199999999999995E-4</v>
      </c>
      <c r="AG93" s="9"/>
    </row>
    <row r="94" spans="1:35" ht="15" customHeight="1">
      <c r="A94" s="6" t="s">
        <v>260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I94" s="7">
        <v>-1.0451999999999999E-2</v>
      </c>
    </row>
    <row r="95" spans="1:35" ht="15" customHeight="1">
      <c r="A95" s="6" t="s">
        <v>261</v>
      </c>
      <c r="B95" s="143" t="s">
        <v>262</v>
      </c>
      <c r="C95" s="147">
        <v>9.4318840000000002</v>
      </c>
      <c r="D95" s="147">
        <v>9.0614460000000001</v>
      </c>
      <c r="E95" s="147">
        <v>9.2159829999999996</v>
      </c>
      <c r="F95" s="147">
        <v>9.2775800000000004</v>
      </c>
      <c r="G95" s="147">
        <v>9.2647940000000002</v>
      </c>
      <c r="H95" s="147">
        <v>9.2480410000000006</v>
      </c>
      <c r="I95" s="147">
        <v>9.2045560000000002</v>
      </c>
      <c r="J95" s="147">
        <v>9.1618700000000004</v>
      </c>
      <c r="K95" s="147">
        <v>9.1329999999999991</v>
      </c>
      <c r="L95" s="147">
        <v>9.1532210000000003</v>
      </c>
      <c r="M95" s="147">
        <v>9.2185980000000001</v>
      </c>
      <c r="N95" s="147">
        <v>9.2462999999999997</v>
      </c>
      <c r="O95" s="147">
        <v>9.3134979999999992</v>
      </c>
      <c r="P95" s="147">
        <v>9.3774160000000002</v>
      </c>
      <c r="Q95" s="147">
        <v>9.4475390000000008</v>
      </c>
      <c r="R95" s="147">
        <v>9.487012</v>
      </c>
      <c r="S95" s="147">
        <v>9.4913959999999999</v>
      </c>
      <c r="T95" s="147">
        <v>9.4915699999999994</v>
      </c>
      <c r="U95" s="147">
        <v>9.5147720000000007</v>
      </c>
      <c r="V95" s="147">
        <v>9.5577690000000004</v>
      </c>
      <c r="W95" s="147">
        <v>9.6436150000000005</v>
      </c>
      <c r="X95" s="147">
        <v>9.717905</v>
      </c>
      <c r="Y95" s="147">
        <v>9.8050350000000002</v>
      </c>
      <c r="Z95" s="147">
        <v>9.9067640000000008</v>
      </c>
      <c r="AA95" s="147">
        <v>9.9749020000000002</v>
      </c>
      <c r="AB95" s="147">
        <v>10.062101999999999</v>
      </c>
      <c r="AC95" s="147">
        <v>10.154728</v>
      </c>
      <c r="AD95" s="147">
        <v>10.235389</v>
      </c>
      <c r="AE95" s="147">
        <v>10.336385</v>
      </c>
      <c r="AF95" s="148">
        <v>3.2759999999999998E-3</v>
      </c>
      <c r="AG95" s="9"/>
      <c r="AI95" s="7">
        <v>1.137E-2</v>
      </c>
    </row>
    <row r="96" spans="1:35" ht="15" customHeight="1">
      <c r="A96" s="6" t="s">
        <v>263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I96" s="7">
        <v>-5.2899999999999996E-4</v>
      </c>
    </row>
    <row r="97" spans="1:35" ht="15" customHeight="1">
      <c r="A97" s="6" t="s">
        <v>264</v>
      </c>
      <c r="B97" s="143" t="s">
        <v>265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I97" s="7">
        <v>-2.189E-3</v>
      </c>
    </row>
    <row r="98" spans="1:35" ht="15" customHeight="1">
      <c r="A98" s="6" t="s">
        <v>266</v>
      </c>
      <c r="B98" s="144" t="s">
        <v>230</v>
      </c>
      <c r="C98" s="145">
        <v>7.1100149999999998</v>
      </c>
      <c r="D98" s="145">
        <v>7.1526610000000002</v>
      </c>
      <c r="E98" s="145">
        <v>6.5057520000000002</v>
      </c>
      <c r="F98" s="145">
        <v>6.4811459999999999</v>
      </c>
      <c r="G98" s="145">
        <v>6.4469950000000003</v>
      </c>
      <c r="H98" s="145">
        <v>6.4027279999999998</v>
      </c>
      <c r="I98" s="145">
        <v>6.3488069999999999</v>
      </c>
      <c r="J98" s="145">
        <v>6.2861770000000003</v>
      </c>
      <c r="K98" s="145">
        <v>6.2194839999999996</v>
      </c>
      <c r="L98" s="145">
        <v>6.1553719999999998</v>
      </c>
      <c r="M98" s="145">
        <v>6.0959630000000002</v>
      </c>
      <c r="N98" s="145">
        <v>6.0408600000000003</v>
      </c>
      <c r="O98" s="145">
        <v>5.9861310000000003</v>
      </c>
      <c r="P98" s="145">
        <v>5.9325229999999998</v>
      </c>
      <c r="Q98" s="145">
        <v>5.8820589999999999</v>
      </c>
      <c r="R98" s="145">
        <v>5.8304309999999999</v>
      </c>
      <c r="S98" s="145">
        <v>5.774178</v>
      </c>
      <c r="T98" s="145">
        <v>5.7201329999999997</v>
      </c>
      <c r="U98" s="145">
        <v>5.6719030000000004</v>
      </c>
      <c r="V98" s="145">
        <v>5.6277799999999996</v>
      </c>
      <c r="W98" s="145">
        <v>5.5891190000000002</v>
      </c>
      <c r="X98" s="145">
        <v>5.5521039999999999</v>
      </c>
      <c r="Y98" s="145">
        <v>5.5174979999999998</v>
      </c>
      <c r="Z98" s="145">
        <v>5.4835640000000003</v>
      </c>
      <c r="AA98" s="145">
        <v>5.4438909999999998</v>
      </c>
      <c r="AB98" s="145">
        <v>5.4075309999999996</v>
      </c>
      <c r="AC98" s="145">
        <v>5.3732379999999997</v>
      </c>
      <c r="AD98" s="145">
        <v>5.3384010000000002</v>
      </c>
      <c r="AE98" s="145">
        <v>5.3043849999999999</v>
      </c>
      <c r="AF98" s="146">
        <v>-1.0409E-2</v>
      </c>
      <c r="AG98" s="9"/>
      <c r="AI98" s="7">
        <v>-1.26E-4</v>
      </c>
    </row>
    <row r="99" spans="1:35" ht="15" customHeight="1">
      <c r="A99" s="6" t="s">
        <v>267</v>
      </c>
      <c r="B99" s="144" t="s">
        <v>232</v>
      </c>
      <c r="C99" s="145">
        <v>2.4765199999999998</v>
      </c>
      <c r="D99" s="145">
        <v>2.1058129999999999</v>
      </c>
      <c r="E99" s="145">
        <v>2.555955</v>
      </c>
      <c r="F99" s="145">
        <v>2.6097670000000002</v>
      </c>
      <c r="G99" s="145">
        <v>2.647732</v>
      </c>
      <c r="H99" s="145">
        <v>2.6855289999999998</v>
      </c>
      <c r="I99" s="145">
        <v>2.7193200000000002</v>
      </c>
      <c r="J99" s="145">
        <v>2.7525309999999998</v>
      </c>
      <c r="K99" s="145">
        <v>2.7844319999999998</v>
      </c>
      <c r="L99" s="145">
        <v>2.8238189999999999</v>
      </c>
      <c r="M99" s="145">
        <v>2.8744489999999998</v>
      </c>
      <c r="N99" s="145">
        <v>2.9172989999999999</v>
      </c>
      <c r="O99" s="145">
        <v>2.9693239999999999</v>
      </c>
      <c r="P99" s="145">
        <v>3.0226950000000001</v>
      </c>
      <c r="Q99" s="145">
        <v>3.0803289999999999</v>
      </c>
      <c r="R99" s="145">
        <v>3.1334810000000002</v>
      </c>
      <c r="S99" s="145">
        <v>3.1798470000000001</v>
      </c>
      <c r="T99" s="145">
        <v>3.226057</v>
      </c>
      <c r="U99" s="145">
        <v>3.2779180000000001</v>
      </c>
      <c r="V99" s="145">
        <v>3.3334779999999999</v>
      </c>
      <c r="W99" s="145">
        <v>3.3983690000000002</v>
      </c>
      <c r="X99" s="145">
        <v>3.461468</v>
      </c>
      <c r="Y99" s="145">
        <v>3.5288270000000002</v>
      </c>
      <c r="Z99" s="145">
        <v>3.6009890000000002</v>
      </c>
      <c r="AA99" s="145">
        <v>3.6695880000000001</v>
      </c>
      <c r="AB99" s="145">
        <v>3.7439070000000001</v>
      </c>
      <c r="AC99" s="145">
        <v>3.820605</v>
      </c>
      <c r="AD99" s="145">
        <v>3.8934709999999999</v>
      </c>
      <c r="AE99" s="145">
        <v>3.9717359999999999</v>
      </c>
      <c r="AF99" s="146">
        <v>1.7013E-2</v>
      </c>
      <c r="AG99" s="9"/>
      <c r="AI99" s="7">
        <v>7.6790000000000001E-3</v>
      </c>
    </row>
    <row r="100" spans="1:35" ht="15" customHeight="1">
      <c r="A100" s="6" t="s">
        <v>268</v>
      </c>
      <c r="B100" s="144" t="s">
        <v>234</v>
      </c>
      <c r="C100" s="145">
        <v>2.785069</v>
      </c>
      <c r="D100" s="145">
        <v>2.7516790000000002</v>
      </c>
      <c r="E100" s="145">
        <v>2.7610139999999999</v>
      </c>
      <c r="F100" s="145">
        <v>2.7744179999999998</v>
      </c>
      <c r="G100" s="145">
        <v>2.778686</v>
      </c>
      <c r="H100" s="145">
        <v>2.7805049999999998</v>
      </c>
      <c r="I100" s="145">
        <v>2.7789269999999999</v>
      </c>
      <c r="J100" s="145">
        <v>2.7748309999999998</v>
      </c>
      <c r="K100" s="145">
        <v>2.7702309999999999</v>
      </c>
      <c r="L100" s="145">
        <v>2.7683219999999999</v>
      </c>
      <c r="M100" s="145">
        <v>2.770947</v>
      </c>
      <c r="N100" s="145">
        <v>2.7753830000000002</v>
      </c>
      <c r="O100" s="145">
        <v>2.7859159999999998</v>
      </c>
      <c r="P100" s="145">
        <v>2.8000310000000002</v>
      </c>
      <c r="Q100" s="145">
        <v>2.8152810000000001</v>
      </c>
      <c r="R100" s="145">
        <v>2.8261799999999999</v>
      </c>
      <c r="S100" s="145">
        <v>2.832077</v>
      </c>
      <c r="T100" s="145">
        <v>2.8373390000000001</v>
      </c>
      <c r="U100" s="145">
        <v>2.8452839999999999</v>
      </c>
      <c r="V100" s="145">
        <v>2.8552569999999999</v>
      </c>
      <c r="W100" s="145">
        <v>2.8699539999999999</v>
      </c>
      <c r="X100" s="145">
        <v>2.884296</v>
      </c>
      <c r="Y100" s="145">
        <v>2.9002319999999999</v>
      </c>
      <c r="Z100" s="145">
        <v>2.9167800000000002</v>
      </c>
      <c r="AA100" s="145">
        <v>2.9270330000000002</v>
      </c>
      <c r="AB100" s="145">
        <v>2.9404949999999999</v>
      </c>
      <c r="AC100" s="145">
        <v>2.9561459999999999</v>
      </c>
      <c r="AD100" s="145">
        <v>2.971393</v>
      </c>
      <c r="AE100" s="145">
        <v>2.988648</v>
      </c>
      <c r="AF100" s="146">
        <v>2.5230000000000001E-3</v>
      </c>
      <c r="AG100" s="9"/>
      <c r="AI100" s="7">
        <v>-5.888E-3</v>
      </c>
    </row>
    <row r="101" spans="1:35" ht="15" customHeight="1">
      <c r="A101" s="6" t="s">
        <v>269</v>
      </c>
      <c r="B101" s="144" t="s">
        <v>236</v>
      </c>
      <c r="C101" s="145">
        <v>0.83711599999999997</v>
      </c>
      <c r="D101" s="145">
        <v>0.82186300000000001</v>
      </c>
      <c r="E101" s="145">
        <v>0.82011000000000001</v>
      </c>
      <c r="F101" s="145">
        <v>0.81624399999999997</v>
      </c>
      <c r="G101" s="145">
        <v>0.80891999999999997</v>
      </c>
      <c r="H101" s="145">
        <v>0.80172299999999996</v>
      </c>
      <c r="I101" s="145">
        <v>0.79459900000000006</v>
      </c>
      <c r="J101" s="145">
        <v>0.78902099999999997</v>
      </c>
      <c r="K101" s="145">
        <v>0.78561499999999995</v>
      </c>
      <c r="L101" s="145">
        <v>0.78595899999999996</v>
      </c>
      <c r="M101" s="145">
        <v>0.78947999999999996</v>
      </c>
      <c r="N101" s="145">
        <v>0.79164599999999996</v>
      </c>
      <c r="O101" s="145">
        <v>0.79685099999999998</v>
      </c>
      <c r="P101" s="145">
        <v>0.80151399999999995</v>
      </c>
      <c r="Q101" s="145">
        <v>0.80695399999999995</v>
      </c>
      <c r="R101" s="145">
        <v>0.81127400000000005</v>
      </c>
      <c r="S101" s="145">
        <v>0.81484500000000004</v>
      </c>
      <c r="T101" s="145">
        <v>0.818855</v>
      </c>
      <c r="U101" s="145">
        <v>0.82500899999999999</v>
      </c>
      <c r="V101" s="145">
        <v>0.83284599999999998</v>
      </c>
      <c r="W101" s="145">
        <v>0.84326100000000004</v>
      </c>
      <c r="X101" s="145">
        <v>0.85264499999999999</v>
      </c>
      <c r="Y101" s="145">
        <v>0.862313</v>
      </c>
      <c r="Z101" s="145">
        <v>0.87239699999999998</v>
      </c>
      <c r="AA101" s="145">
        <v>0.879996</v>
      </c>
      <c r="AB101" s="145">
        <v>0.88808900000000002</v>
      </c>
      <c r="AC101" s="145">
        <v>0.89615100000000003</v>
      </c>
      <c r="AD101" s="145">
        <v>0.90310299999999999</v>
      </c>
      <c r="AE101" s="145">
        <v>0.91037599999999996</v>
      </c>
      <c r="AF101" s="146">
        <v>3.0010000000000002E-3</v>
      </c>
      <c r="AG101" s="9"/>
      <c r="AI101" s="7">
        <v>-1.4862999999999999E-2</v>
      </c>
    </row>
    <row r="102" spans="1:35" ht="15" customHeight="1">
      <c r="A102" s="6" t="s">
        <v>270</v>
      </c>
      <c r="B102" s="144" t="s">
        <v>238</v>
      </c>
      <c r="C102" s="145">
        <v>0.27869100000000002</v>
      </c>
      <c r="D102" s="145">
        <v>0.277586</v>
      </c>
      <c r="E102" s="145">
        <v>0.278916</v>
      </c>
      <c r="F102" s="145">
        <v>0.27972900000000001</v>
      </c>
      <c r="G102" s="145">
        <v>0.27971499999999999</v>
      </c>
      <c r="H102" s="145">
        <v>0.27955600000000003</v>
      </c>
      <c r="I102" s="145">
        <v>0.27926699999999999</v>
      </c>
      <c r="J102" s="145">
        <v>0.27914499999999998</v>
      </c>
      <c r="K102" s="145">
        <v>0.27929199999999998</v>
      </c>
      <c r="L102" s="145">
        <v>0.28000700000000001</v>
      </c>
      <c r="M102" s="145">
        <v>0.28118500000000002</v>
      </c>
      <c r="N102" s="145">
        <v>0.28208899999999998</v>
      </c>
      <c r="O102" s="145">
        <v>0.28358800000000001</v>
      </c>
      <c r="P102" s="145">
        <v>0.28497600000000001</v>
      </c>
      <c r="Q102" s="145">
        <v>0.28653800000000001</v>
      </c>
      <c r="R102" s="145">
        <v>0.28790199999999999</v>
      </c>
      <c r="S102" s="145">
        <v>0.28894199999999998</v>
      </c>
      <c r="T102" s="145">
        <v>0.28991400000000001</v>
      </c>
      <c r="U102" s="145">
        <v>0.29116700000000001</v>
      </c>
      <c r="V102" s="145">
        <v>0.292601</v>
      </c>
      <c r="W102" s="145">
        <v>0.29439500000000002</v>
      </c>
      <c r="X102" s="145">
        <v>0.29599999999999999</v>
      </c>
      <c r="Y102" s="145">
        <v>0.29768</v>
      </c>
      <c r="Z102" s="145">
        <v>0.29946400000000001</v>
      </c>
      <c r="AA102" s="145">
        <v>0.30079600000000001</v>
      </c>
      <c r="AB102" s="145">
        <v>0.30225800000000003</v>
      </c>
      <c r="AC102" s="145">
        <v>0.30374600000000002</v>
      </c>
      <c r="AD102" s="145">
        <v>0.30505599999999999</v>
      </c>
      <c r="AE102" s="145">
        <v>0.30645699999999998</v>
      </c>
      <c r="AF102" s="146">
        <v>3.398E-3</v>
      </c>
      <c r="AG102" s="9"/>
      <c r="AI102" s="7">
        <v>2.2599999999999999E-3</v>
      </c>
    </row>
    <row r="103" spans="1:35" ht="15" customHeight="1">
      <c r="A103" s="6" t="s">
        <v>271</v>
      </c>
      <c r="B103" s="144" t="s">
        <v>240</v>
      </c>
      <c r="C103" s="145">
        <v>0.66981000000000002</v>
      </c>
      <c r="D103" s="145">
        <v>0.67469400000000002</v>
      </c>
      <c r="E103" s="145">
        <v>0.69062800000000002</v>
      </c>
      <c r="F103" s="145">
        <v>0.70603700000000003</v>
      </c>
      <c r="G103" s="145">
        <v>0.71742399999999995</v>
      </c>
      <c r="H103" s="145">
        <v>0.72725099999999998</v>
      </c>
      <c r="I103" s="145">
        <v>0.73550199999999999</v>
      </c>
      <c r="J103" s="145">
        <v>0.743259</v>
      </c>
      <c r="K103" s="145">
        <v>0.75097999999999998</v>
      </c>
      <c r="L103" s="145">
        <v>0.76042200000000004</v>
      </c>
      <c r="M103" s="145">
        <v>0.77187300000000003</v>
      </c>
      <c r="N103" s="145">
        <v>0.780219</v>
      </c>
      <c r="O103" s="145">
        <v>0.79063000000000005</v>
      </c>
      <c r="P103" s="145">
        <v>0.80088999999999999</v>
      </c>
      <c r="Q103" s="145">
        <v>0.811639</v>
      </c>
      <c r="R103" s="145">
        <v>0.82012600000000002</v>
      </c>
      <c r="S103" s="145">
        <v>0.82628999999999997</v>
      </c>
      <c r="T103" s="145">
        <v>0.83206000000000002</v>
      </c>
      <c r="U103" s="145">
        <v>0.839117</v>
      </c>
      <c r="V103" s="145">
        <v>0.84721199999999997</v>
      </c>
      <c r="W103" s="145">
        <v>0.85745899999999997</v>
      </c>
      <c r="X103" s="145">
        <v>0.86720699999999995</v>
      </c>
      <c r="Y103" s="145">
        <v>0.87748899999999996</v>
      </c>
      <c r="Z103" s="145">
        <v>0.88828300000000004</v>
      </c>
      <c r="AA103" s="145">
        <v>0.89714099999999997</v>
      </c>
      <c r="AB103" s="145">
        <v>0.90712099999999996</v>
      </c>
      <c r="AC103" s="145">
        <v>0.91741099999999998</v>
      </c>
      <c r="AD103" s="145">
        <v>0.927091</v>
      </c>
      <c r="AE103" s="145">
        <v>0.93792699999999996</v>
      </c>
      <c r="AF103" s="146">
        <v>1.2097E-2</v>
      </c>
      <c r="AG103" s="9"/>
      <c r="AI103" s="7">
        <v>1.0496999999999999E-2</v>
      </c>
    </row>
    <row r="104" spans="1:35" ht="15" customHeight="1">
      <c r="A104" s="6" t="s">
        <v>272</v>
      </c>
      <c r="B104" s="144" t="s">
        <v>242</v>
      </c>
      <c r="C104" s="145">
        <v>0.19544900000000001</v>
      </c>
      <c r="D104" s="145">
        <v>0.19247400000000001</v>
      </c>
      <c r="E104" s="145">
        <v>0.19247300000000001</v>
      </c>
      <c r="F104" s="145">
        <v>0.191769</v>
      </c>
      <c r="G104" s="145">
        <v>0.190053</v>
      </c>
      <c r="H104" s="145">
        <v>0.18817800000000001</v>
      </c>
      <c r="I104" s="145">
        <v>0.186248</v>
      </c>
      <c r="J104" s="145">
        <v>0.18460599999999999</v>
      </c>
      <c r="K104" s="145">
        <v>0.18338699999999999</v>
      </c>
      <c r="L104" s="145">
        <v>0.18290899999999999</v>
      </c>
      <c r="M104" s="145">
        <v>0.18302499999999999</v>
      </c>
      <c r="N104" s="145">
        <v>0.18269299999999999</v>
      </c>
      <c r="O104" s="145">
        <v>0.18293100000000001</v>
      </c>
      <c r="P104" s="145">
        <v>0.18290400000000001</v>
      </c>
      <c r="Q104" s="145">
        <v>0.18293799999999999</v>
      </c>
      <c r="R104" s="145">
        <v>0.18260999999999999</v>
      </c>
      <c r="S104" s="145">
        <v>0.18202199999999999</v>
      </c>
      <c r="T104" s="145">
        <v>0.18146000000000001</v>
      </c>
      <c r="U104" s="145">
        <v>0.18129899999999999</v>
      </c>
      <c r="V104" s="145">
        <v>0.18145800000000001</v>
      </c>
      <c r="W104" s="145">
        <v>0.18212900000000001</v>
      </c>
      <c r="X104" s="145">
        <v>0.18271999999999999</v>
      </c>
      <c r="Y104" s="145">
        <v>0.183532</v>
      </c>
      <c r="Z104" s="145">
        <v>0.18459900000000001</v>
      </c>
      <c r="AA104" s="145">
        <v>0.185312</v>
      </c>
      <c r="AB104" s="145">
        <v>0.186281</v>
      </c>
      <c r="AC104" s="145">
        <v>0.18728</v>
      </c>
      <c r="AD104" s="145">
        <v>0.188084</v>
      </c>
      <c r="AE104" s="145">
        <v>0.18899299999999999</v>
      </c>
      <c r="AF104" s="146">
        <v>-1.199E-3</v>
      </c>
      <c r="AG104" s="9"/>
      <c r="AI104" s="7">
        <v>3.3180000000000002E-3</v>
      </c>
    </row>
    <row r="105" spans="1:35" ht="15" customHeight="1">
      <c r="A105" s="6" t="s">
        <v>273</v>
      </c>
      <c r="B105" s="144" t="s">
        <v>244</v>
      </c>
      <c r="C105" s="145">
        <v>0.64936700000000003</v>
      </c>
      <c r="D105" s="145">
        <v>0.59590500000000002</v>
      </c>
      <c r="E105" s="145">
        <v>0.57947400000000004</v>
      </c>
      <c r="F105" s="145">
        <v>0.57413700000000001</v>
      </c>
      <c r="G105" s="145">
        <v>0.57083899999999999</v>
      </c>
      <c r="H105" s="145">
        <v>0.57030599999999998</v>
      </c>
      <c r="I105" s="145">
        <v>0.57125999999999999</v>
      </c>
      <c r="J105" s="145">
        <v>0.57273600000000002</v>
      </c>
      <c r="K105" s="145">
        <v>0.56876000000000004</v>
      </c>
      <c r="L105" s="145">
        <v>0.56690600000000002</v>
      </c>
      <c r="M105" s="145">
        <v>0.56734200000000001</v>
      </c>
      <c r="N105" s="145">
        <v>0.56628500000000004</v>
      </c>
      <c r="O105" s="145">
        <v>0.56753699999999996</v>
      </c>
      <c r="P105" s="145">
        <v>0.56916199999999995</v>
      </c>
      <c r="Q105" s="145">
        <v>0.57101800000000003</v>
      </c>
      <c r="R105" s="145">
        <v>0.57133199999999995</v>
      </c>
      <c r="S105" s="145">
        <v>0.57008400000000004</v>
      </c>
      <c r="T105" s="145">
        <v>0.56870299999999996</v>
      </c>
      <c r="U105" s="145">
        <v>0.55844300000000002</v>
      </c>
      <c r="V105" s="145">
        <v>0.550342</v>
      </c>
      <c r="W105" s="145">
        <v>0.545122</v>
      </c>
      <c r="X105" s="145">
        <v>0.54107000000000005</v>
      </c>
      <c r="Y105" s="145">
        <v>0.53950600000000004</v>
      </c>
      <c r="Z105" s="145">
        <v>0.53939599999999999</v>
      </c>
      <c r="AA105" s="145">
        <v>0.53831099999999998</v>
      </c>
      <c r="AB105" s="145">
        <v>0.53816200000000003</v>
      </c>
      <c r="AC105" s="145">
        <v>0.53847599999999995</v>
      </c>
      <c r="AD105" s="145">
        <v>0.53874900000000003</v>
      </c>
      <c r="AE105" s="145">
        <v>0.539906</v>
      </c>
      <c r="AF105" s="146">
        <v>-6.5709999999999996E-3</v>
      </c>
      <c r="AG105" s="9"/>
      <c r="AI105" s="7">
        <v>-3.0852999999999998E-2</v>
      </c>
    </row>
    <row r="106" spans="1:35" ht="15" customHeight="1">
      <c r="A106" s="6" t="s">
        <v>274</v>
      </c>
      <c r="B106" s="144" t="s">
        <v>246</v>
      </c>
      <c r="C106" s="145">
        <v>0.106182</v>
      </c>
      <c r="D106" s="145">
        <v>0.105708</v>
      </c>
      <c r="E106" s="145">
        <v>0.10688499999999999</v>
      </c>
      <c r="F106" s="145">
        <v>0.107719</v>
      </c>
      <c r="G106" s="145">
        <v>0.108011</v>
      </c>
      <c r="H106" s="145">
        <v>0.108223</v>
      </c>
      <c r="I106" s="145">
        <v>0.108365</v>
      </c>
      <c r="J106" s="145">
        <v>0.10863399999999999</v>
      </c>
      <c r="K106" s="145">
        <v>0.109156</v>
      </c>
      <c r="L106" s="145">
        <v>0.110086</v>
      </c>
      <c r="M106" s="145">
        <v>0.11135200000000001</v>
      </c>
      <c r="N106" s="145">
        <v>0.11230999999999999</v>
      </c>
      <c r="O106" s="145">
        <v>0.113578</v>
      </c>
      <c r="P106" s="145">
        <v>0.114638</v>
      </c>
      <c r="Q106" s="145">
        <v>0.115674</v>
      </c>
      <c r="R106" s="145">
        <v>0.11642</v>
      </c>
      <c r="S106" s="145">
        <v>0.11692900000000001</v>
      </c>
      <c r="T106" s="145">
        <v>0.117383</v>
      </c>
      <c r="U106" s="145">
        <v>0.11802600000000001</v>
      </c>
      <c r="V106" s="145">
        <v>0.11879199999999999</v>
      </c>
      <c r="W106" s="145">
        <v>0.11981600000000001</v>
      </c>
      <c r="X106" s="145">
        <v>0.1207</v>
      </c>
      <c r="Y106" s="145">
        <v>0.12163400000000001</v>
      </c>
      <c r="Z106" s="145">
        <v>0.12264</v>
      </c>
      <c r="AA106" s="145">
        <v>0.123317</v>
      </c>
      <c r="AB106" s="145">
        <v>0.124087</v>
      </c>
      <c r="AC106" s="145">
        <v>0.124877</v>
      </c>
      <c r="AD106" s="145">
        <v>0.12554000000000001</v>
      </c>
      <c r="AE106" s="145">
        <v>0.126277</v>
      </c>
      <c r="AF106" s="146">
        <v>6.2090000000000001E-3</v>
      </c>
      <c r="AG106" s="9"/>
      <c r="AI106" s="7">
        <v>-1.3853000000000001E-2</v>
      </c>
    </row>
    <row r="107" spans="1:35" ht="15" customHeight="1">
      <c r="A107" s="6" t="s">
        <v>275</v>
      </c>
      <c r="B107" s="144" t="s">
        <v>248</v>
      </c>
      <c r="C107" s="145">
        <v>7.8223000000000001E-2</v>
      </c>
      <c r="D107" s="145">
        <v>7.8455999999999998E-2</v>
      </c>
      <c r="E107" s="145">
        <v>7.9879000000000006E-2</v>
      </c>
      <c r="F107" s="145">
        <v>8.1015000000000004E-2</v>
      </c>
      <c r="G107" s="145">
        <v>8.1703999999999999E-2</v>
      </c>
      <c r="H107" s="145">
        <v>8.2288E-2</v>
      </c>
      <c r="I107" s="145">
        <v>8.2902000000000003E-2</v>
      </c>
      <c r="J107" s="145">
        <v>8.3697999999999995E-2</v>
      </c>
      <c r="K107" s="145">
        <v>8.4734000000000004E-2</v>
      </c>
      <c r="L107" s="145">
        <v>8.6179000000000006E-2</v>
      </c>
      <c r="M107" s="145">
        <v>8.7991E-2</v>
      </c>
      <c r="N107" s="145">
        <v>8.9672000000000002E-2</v>
      </c>
      <c r="O107" s="145">
        <v>9.1721999999999998E-2</v>
      </c>
      <c r="P107" s="145">
        <v>9.3600000000000003E-2</v>
      </c>
      <c r="Q107" s="145">
        <v>9.5455999999999999E-2</v>
      </c>
      <c r="R107" s="145">
        <v>9.7072000000000006E-2</v>
      </c>
      <c r="S107" s="145">
        <v>9.8484000000000002E-2</v>
      </c>
      <c r="T107" s="145">
        <v>9.9843000000000001E-2</v>
      </c>
      <c r="U107" s="145">
        <v>0.101357</v>
      </c>
      <c r="V107" s="145">
        <v>0.102973</v>
      </c>
      <c r="W107" s="145">
        <v>0.104813</v>
      </c>
      <c r="X107" s="145">
        <v>0.106531</v>
      </c>
      <c r="Y107" s="145">
        <v>0.108293</v>
      </c>
      <c r="Z107" s="145">
        <v>0.110121</v>
      </c>
      <c r="AA107" s="145">
        <v>0.111651</v>
      </c>
      <c r="AB107" s="145">
        <v>0.11326</v>
      </c>
      <c r="AC107" s="145">
        <v>0.114884</v>
      </c>
      <c r="AD107" s="145">
        <v>0.116387</v>
      </c>
      <c r="AE107" s="145">
        <v>0.117952</v>
      </c>
      <c r="AF107" s="146">
        <v>1.4777E-2</v>
      </c>
      <c r="AG107" s="9"/>
      <c r="AI107" s="7">
        <v>6.9249999999999997E-3</v>
      </c>
    </row>
    <row r="108" spans="1:35" ht="15" customHeight="1">
      <c r="A108" s="6" t="s">
        <v>276</v>
      </c>
      <c r="B108" s="144" t="s">
        <v>250</v>
      </c>
      <c r="C108" s="145">
        <v>0.52424099999999996</v>
      </c>
      <c r="D108" s="145">
        <v>0.50756000000000001</v>
      </c>
      <c r="E108" s="145">
        <v>0.49981199999999998</v>
      </c>
      <c r="F108" s="145">
        <v>0.49174499999999999</v>
      </c>
      <c r="G108" s="145">
        <v>0.48112700000000003</v>
      </c>
      <c r="H108" s="145">
        <v>0.47011500000000001</v>
      </c>
      <c r="I108" s="145">
        <v>0.45847399999999999</v>
      </c>
      <c r="J108" s="145">
        <v>0.44717800000000002</v>
      </c>
      <c r="K108" s="145">
        <v>0.43663000000000002</v>
      </c>
      <c r="L108" s="145">
        <v>0.42787199999999997</v>
      </c>
      <c r="M108" s="145">
        <v>0.42068299999999997</v>
      </c>
      <c r="N108" s="145">
        <v>0.41233599999999998</v>
      </c>
      <c r="O108" s="145">
        <v>0.40550199999999997</v>
      </c>
      <c r="P108" s="145">
        <v>0.39916000000000001</v>
      </c>
      <c r="Q108" s="145">
        <v>0.39354099999999997</v>
      </c>
      <c r="R108" s="145">
        <v>0.38753900000000002</v>
      </c>
      <c r="S108" s="145">
        <v>0.381106</v>
      </c>
      <c r="T108" s="145">
        <v>0.37523499999999999</v>
      </c>
      <c r="U108" s="145">
        <v>0.37079299999999998</v>
      </c>
      <c r="V108" s="145">
        <v>0.36753000000000002</v>
      </c>
      <c r="W108" s="145">
        <v>0.36592000000000002</v>
      </c>
      <c r="X108" s="145">
        <v>0.36459000000000003</v>
      </c>
      <c r="Y108" s="145">
        <v>0.36407099999999998</v>
      </c>
      <c r="Z108" s="145">
        <v>0.36441600000000002</v>
      </c>
      <c r="AA108" s="145">
        <v>0.36443900000000001</v>
      </c>
      <c r="AB108" s="145">
        <v>0.36532999999999999</v>
      </c>
      <c r="AC108" s="145">
        <v>0.36663499999999999</v>
      </c>
      <c r="AD108" s="145">
        <v>0.36802099999999999</v>
      </c>
      <c r="AE108" s="145">
        <v>0.37015199999999998</v>
      </c>
      <c r="AF108" s="146">
        <v>-1.2352999999999999E-2</v>
      </c>
      <c r="AG108" s="9"/>
      <c r="AI108" s="8">
        <v>-4.2900000000000002E-4</v>
      </c>
    </row>
    <row r="109" spans="1:35">
      <c r="B109" s="144" t="s">
        <v>252</v>
      </c>
      <c r="C109" s="145">
        <v>0.34017799999999998</v>
      </c>
      <c r="D109" s="145">
        <v>0.33145000000000002</v>
      </c>
      <c r="E109" s="145">
        <v>0.32766200000000001</v>
      </c>
      <c r="F109" s="145">
        <v>0.32289099999999998</v>
      </c>
      <c r="G109" s="145">
        <v>0.31572299999999998</v>
      </c>
      <c r="H109" s="145">
        <v>0.30760500000000002</v>
      </c>
      <c r="I109" s="145">
        <v>0.29849799999999999</v>
      </c>
      <c r="J109" s="145">
        <v>0.28910400000000003</v>
      </c>
      <c r="K109" s="145">
        <v>0.27981200000000001</v>
      </c>
      <c r="L109" s="145">
        <v>0.27127299999999999</v>
      </c>
      <c r="M109" s="145">
        <v>0.26343899999999998</v>
      </c>
      <c r="N109" s="145">
        <v>0.25463999999999998</v>
      </c>
      <c r="O109" s="145">
        <v>0.24659700000000001</v>
      </c>
      <c r="P109" s="145">
        <v>0.23866799999999999</v>
      </c>
      <c r="Q109" s="145">
        <v>0.23112199999999999</v>
      </c>
      <c r="R109" s="145">
        <v>0.22326399999999999</v>
      </c>
      <c r="S109" s="145">
        <v>0.215225</v>
      </c>
      <c r="T109" s="145">
        <v>0.20760400000000001</v>
      </c>
      <c r="U109" s="145">
        <v>0.20091200000000001</v>
      </c>
      <c r="V109" s="145">
        <v>0.19502900000000001</v>
      </c>
      <c r="W109" s="145">
        <v>0.190272</v>
      </c>
      <c r="X109" s="145">
        <v>0.18592</v>
      </c>
      <c r="Y109" s="145">
        <v>0.18232200000000001</v>
      </c>
      <c r="Z109" s="145">
        <v>0.17945700000000001</v>
      </c>
      <c r="AA109" s="145">
        <v>0.17699999999999999</v>
      </c>
      <c r="AB109" s="145">
        <v>0.17538599999999999</v>
      </c>
      <c r="AC109" s="145">
        <v>0.174376</v>
      </c>
      <c r="AD109" s="145">
        <v>0.17383799999999999</v>
      </c>
      <c r="AE109" s="145">
        <v>0.17397000000000001</v>
      </c>
      <c r="AF109" s="146">
        <v>-2.3664999999999999E-2</v>
      </c>
      <c r="AG109" s="9"/>
    </row>
    <row r="110" spans="1:35" ht="15" customHeight="1">
      <c r="B110" s="144" t="s">
        <v>254</v>
      </c>
      <c r="C110" s="145">
        <v>0.25257299999999999</v>
      </c>
      <c r="D110" s="145">
        <v>0.24671000000000001</v>
      </c>
      <c r="E110" s="145">
        <v>0.22173100000000001</v>
      </c>
      <c r="F110" s="145">
        <v>0.22417599999999999</v>
      </c>
      <c r="G110" s="145">
        <v>0.225276</v>
      </c>
      <c r="H110" s="145">
        <v>0.225825</v>
      </c>
      <c r="I110" s="145">
        <v>0.22562099999999999</v>
      </c>
      <c r="J110" s="145">
        <v>0.22486900000000001</v>
      </c>
      <c r="K110" s="145">
        <v>0.22392599999999999</v>
      </c>
      <c r="L110" s="145">
        <v>0.22317799999999999</v>
      </c>
      <c r="M110" s="145">
        <v>0.22254199999999999</v>
      </c>
      <c r="N110" s="145">
        <v>0.22076200000000001</v>
      </c>
      <c r="O110" s="145">
        <v>0.21889700000000001</v>
      </c>
      <c r="P110" s="145">
        <v>0.21618299999999999</v>
      </c>
      <c r="Q110" s="145">
        <v>0.21316199999999999</v>
      </c>
      <c r="R110" s="145">
        <v>0.20943300000000001</v>
      </c>
      <c r="S110" s="145">
        <v>0.20494000000000001</v>
      </c>
      <c r="T110" s="145">
        <v>0.200434</v>
      </c>
      <c r="U110" s="145">
        <v>0.196406</v>
      </c>
      <c r="V110" s="145">
        <v>0.19278899999999999</v>
      </c>
      <c r="W110" s="145">
        <v>0.189775</v>
      </c>
      <c r="X110" s="145">
        <v>0.18689</v>
      </c>
      <c r="Y110" s="145">
        <v>0.18443599999999999</v>
      </c>
      <c r="Z110" s="145">
        <v>0.182334</v>
      </c>
      <c r="AA110" s="145">
        <v>0.17981900000000001</v>
      </c>
      <c r="AB110" s="145">
        <v>0.17780699999999999</v>
      </c>
      <c r="AC110" s="145">
        <v>0.17621899999999999</v>
      </c>
      <c r="AD110" s="145">
        <v>0.17477599999999999</v>
      </c>
      <c r="AE110" s="145">
        <v>0.173677</v>
      </c>
      <c r="AF110" s="146">
        <v>-1.3285999999999999E-2</v>
      </c>
      <c r="AG110" s="9"/>
    </row>
    <row r="111" spans="1:35" ht="15" customHeight="1">
      <c r="A111" s="6" t="s">
        <v>277</v>
      </c>
      <c r="B111" s="144" t="s">
        <v>255</v>
      </c>
      <c r="C111" s="145">
        <v>5.2054660000000004</v>
      </c>
      <c r="D111" s="145">
        <v>5.2792649999999997</v>
      </c>
      <c r="E111" s="145">
        <v>5.3680680000000001</v>
      </c>
      <c r="F111" s="145">
        <v>5.4667950000000003</v>
      </c>
      <c r="G111" s="145">
        <v>5.5393330000000001</v>
      </c>
      <c r="H111" s="145">
        <v>5.6196859999999997</v>
      </c>
      <c r="I111" s="145">
        <v>5.6796139999999999</v>
      </c>
      <c r="J111" s="145">
        <v>5.7321720000000003</v>
      </c>
      <c r="K111" s="145">
        <v>5.7932949999999996</v>
      </c>
      <c r="L111" s="145">
        <v>5.8741300000000001</v>
      </c>
      <c r="M111" s="145">
        <v>5.9726720000000002</v>
      </c>
      <c r="N111" s="145">
        <v>6.0554870000000003</v>
      </c>
      <c r="O111" s="145">
        <v>6.1483489999999996</v>
      </c>
      <c r="P111" s="145">
        <v>6.2413259999999999</v>
      </c>
      <c r="Q111" s="145">
        <v>6.3396559999999997</v>
      </c>
      <c r="R111" s="145">
        <v>6.4296220000000002</v>
      </c>
      <c r="S111" s="145">
        <v>6.5040570000000004</v>
      </c>
      <c r="T111" s="145">
        <v>6.5783399999999999</v>
      </c>
      <c r="U111" s="145">
        <v>6.6683149999999998</v>
      </c>
      <c r="V111" s="145">
        <v>6.7671700000000001</v>
      </c>
      <c r="W111" s="145">
        <v>6.8881180000000004</v>
      </c>
      <c r="X111" s="145">
        <v>7.0062930000000003</v>
      </c>
      <c r="Y111" s="145">
        <v>7.1321969999999997</v>
      </c>
      <c r="Z111" s="145">
        <v>7.2672169999999996</v>
      </c>
      <c r="AA111" s="145">
        <v>7.3884829999999999</v>
      </c>
      <c r="AB111" s="145">
        <v>7.5214470000000002</v>
      </c>
      <c r="AC111" s="145">
        <v>7.6591680000000002</v>
      </c>
      <c r="AD111" s="145">
        <v>7.7947930000000003</v>
      </c>
      <c r="AE111" s="145">
        <v>7.9456879999999996</v>
      </c>
      <c r="AF111" s="146">
        <v>1.5219E-2</v>
      </c>
      <c r="AG111" s="9"/>
      <c r="AI111" s="7">
        <v>4.5229999999999999E-2</v>
      </c>
    </row>
    <row r="112" spans="1:35" ht="15" customHeight="1">
      <c r="A112" s="6" t="s">
        <v>278</v>
      </c>
      <c r="B112" s="143" t="s">
        <v>279</v>
      </c>
      <c r="C112" s="151">
        <v>21.508896</v>
      </c>
      <c r="D112" s="151">
        <v>21.121822000000002</v>
      </c>
      <c r="E112" s="151">
        <v>20.988358000000002</v>
      </c>
      <c r="F112" s="151">
        <v>21.127586000000001</v>
      </c>
      <c r="G112" s="151">
        <v>21.191535999999999</v>
      </c>
      <c r="H112" s="151">
        <v>21.249516</v>
      </c>
      <c r="I112" s="151">
        <v>21.267403000000002</v>
      </c>
      <c r="J112" s="151">
        <v>21.267963000000002</v>
      </c>
      <c r="K112" s="151">
        <v>21.269732999999999</v>
      </c>
      <c r="L112" s="151">
        <v>21.316433</v>
      </c>
      <c r="M112" s="151">
        <v>21.412941</v>
      </c>
      <c r="N112" s="151">
        <v>21.481677999999999</v>
      </c>
      <c r="O112" s="151">
        <v>21.587553</v>
      </c>
      <c r="P112" s="151">
        <v>21.698273</v>
      </c>
      <c r="Q112" s="151">
        <v>21.825367</v>
      </c>
      <c r="R112" s="151">
        <v>21.926689</v>
      </c>
      <c r="S112" s="151">
        <v>21.989027</v>
      </c>
      <c r="T112" s="151">
        <v>22.053360000000001</v>
      </c>
      <c r="U112" s="151">
        <v>22.145949999999999</v>
      </c>
      <c r="V112" s="151">
        <v>22.265259</v>
      </c>
      <c r="W112" s="151">
        <v>22.438521999999999</v>
      </c>
      <c r="X112" s="151">
        <v>22.608433000000002</v>
      </c>
      <c r="Y112" s="151">
        <v>22.800034</v>
      </c>
      <c r="Z112" s="151">
        <v>23.011658000000001</v>
      </c>
      <c r="AA112" s="151">
        <v>23.186775000000001</v>
      </c>
      <c r="AB112" s="151">
        <v>23.391161</v>
      </c>
      <c r="AC112" s="151">
        <v>23.609210999999998</v>
      </c>
      <c r="AD112" s="151">
        <v>23.818702999999999</v>
      </c>
      <c r="AE112" s="151">
        <v>24.056145000000001</v>
      </c>
      <c r="AF112" s="152">
        <v>4.0049999999999999E-3</v>
      </c>
      <c r="AG112" s="9"/>
      <c r="AI112" s="7">
        <v>8.0780000000000001E-3</v>
      </c>
    </row>
    <row r="113" spans="1:35" ht="15" customHeight="1">
      <c r="A113" s="6" t="s">
        <v>280</v>
      </c>
      <c r="B113" s="144" t="s">
        <v>281</v>
      </c>
      <c r="C113" s="145">
        <v>0.112023</v>
      </c>
      <c r="D113" s="145">
        <v>0.123458</v>
      </c>
      <c r="E113" s="145">
        <v>0.13652900000000001</v>
      </c>
      <c r="F113" s="145">
        <v>0.14977699999999999</v>
      </c>
      <c r="G113" s="145">
        <v>0.16300899999999999</v>
      </c>
      <c r="H113" s="145">
        <v>0.17658499999999999</v>
      </c>
      <c r="I113" s="145">
        <v>0.19053</v>
      </c>
      <c r="J113" s="145">
        <v>0.20494499999999999</v>
      </c>
      <c r="K113" s="145">
        <v>0.21981999999999999</v>
      </c>
      <c r="L113" s="145">
        <v>0.23524600000000001</v>
      </c>
      <c r="M113" s="145">
        <v>0.25148999999999999</v>
      </c>
      <c r="N113" s="145">
        <v>0.26793699999999998</v>
      </c>
      <c r="O113" s="145">
        <v>0.28465000000000001</v>
      </c>
      <c r="P113" s="145">
        <v>0.29947400000000002</v>
      </c>
      <c r="Q113" s="145">
        <v>0.31491799999999998</v>
      </c>
      <c r="R113" s="145">
        <v>0.33096799999999998</v>
      </c>
      <c r="S113" s="145">
        <v>0.34801199999999999</v>
      </c>
      <c r="T113" s="145">
        <v>0.36618699999999998</v>
      </c>
      <c r="U113" s="145">
        <v>0.38540000000000002</v>
      </c>
      <c r="V113" s="145">
        <v>0.40570899999999999</v>
      </c>
      <c r="W113" s="145">
        <v>0.427124</v>
      </c>
      <c r="X113" s="145">
        <v>0.44966</v>
      </c>
      <c r="Y113" s="145">
        <v>0.47307100000000002</v>
      </c>
      <c r="Z113" s="145">
        <v>0.49757400000000002</v>
      </c>
      <c r="AA113" s="145">
        <v>0.52299700000000005</v>
      </c>
      <c r="AB113" s="145">
        <v>0.54935500000000004</v>
      </c>
      <c r="AC113" s="145">
        <v>0.57694599999999996</v>
      </c>
      <c r="AD113" s="145">
        <v>0.60526800000000003</v>
      </c>
      <c r="AE113" s="145">
        <v>0.63452399999999998</v>
      </c>
      <c r="AF113" s="146">
        <v>6.3893000000000005E-2</v>
      </c>
      <c r="AG113" s="9"/>
      <c r="AI113" s="7">
        <v>5.6024999999999998E-2</v>
      </c>
    </row>
    <row r="114" spans="1:35" ht="15" customHeight="1">
      <c r="A114" s="6" t="s">
        <v>282</v>
      </c>
      <c r="B114" s="143" t="s">
        <v>283</v>
      </c>
      <c r="C114" s="147">
        <v>21.396872999999999</v>
      </c>
      <c r="D114" s="147">
        <v>20.998363000000001</v>
      </c>
      <c r="E114" s="147">
        <v>20.851828000000001</v>
      </c>
      <c r="F114" s="147">
        <v>20.977810000000002</v>
      </c>
      <c r="G114" s="147">
        <v>21.028528000000001</v>
      </c>
      <c r="H114" s="147">
        <v>21.072931000000001</v>
      </c>
      <c r="I114" s="147">
        <v>21.076872000000002</v>
      </c>
      <c r="J114" s="147">
        <v>21.063019000000001</v>
      </c>
      <c r="K114" s="147">
        <v>21.049913</v>
      </c>
      <c r="L114" s="147">
        <v>21.081185999999999</v>
      </c>
      <c r="M114" s="147">
        <v>21.161451</v>
      </c>
      <c r="N114" s="147">
        <v>21.213740999999999</v>
      </c>
      <c r="O114" s="147">
        <v>21.302902</v>
      </c>
      <c r="P114" s="147">
        <v>21.398797999999999</v>
      </c>
      <c r="Q114" s="147">
        <v>21.510448</v>
      </c>
      <c r="R114" s="147">
        <v>21.59572</v>
      </c>
      <c r="S114" s="147">
        <v>21.641013999999998</v>
      </c>
      <c r="T114" s="147">
        <v>21.687172</v>
      </c>
      <c r="U114" s="147">
        <v>21.760549999999999</v>
      </c>
      <c r="V114" s="147">
        <v>21.859549000000001</v>
      </c>
      <c r="W114" s="147">
        <v>22.011398</v>
      </c>
      <c r="X114" s="147">
        <v>22.158773</v>
      </c>
      <c r="Y114" s="147">
        <v>22.326962999999999</v>
      </c>
      <c r="Z114" s="147">
        <v>22.514084</v>
      </c>
      <c r="AA114" s="147">
        <v>22.663778000000001</v>
      </c>
      <c r="AB114" s="147">
        <v>22.841805999999998</v>
      </c>
      <c r="AC114" s="147">
        <v>23.032264999999999</v>
      </c>
      <c r="AD114" s="147">
        <v>23.213433999999999</v>
      </c>
      <c r="AE114" s="147">
        <v>23.421619</v>
      </c>
      <c r="AF114" s="148">
        <v>3.2339999999999999E-3</v>
      </c>
      <c r="AG114" s="9"/>
      <c r="AI114" s="7">
        <v>1.2440000000000001E-3</v>
      </c>
    </row>
    <row r="115" spans="1:35" ht="15" customHeight="1">
      <c r="A115" s="6" t="s">
        <v>284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I115" s="8">
        <v>5.1090000000000003E-2</v>
      </c>
    </row>
    <row r="116" spans="1:35">
      <c r="B116" s="143" t="s">
        <v>285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1:35" ht="15" customHeight="1">
      <c r="B117" s="144" t="s">
        <v>286</v>
      </c>
      <c r="C117" s="145">
        <v>1.4845000000000001E-2</v>
      </c>
      <c r="D117" s="145">
        <v>1.5337E-2</v>
      </c>
      <c r="E117" s="145">
        <v>1.7392999999999999E-2</v>
      </c>
      <c r="F117" s="145">
        <v>1.9101E-2</v>
      </c>
      <c r="G117" s="145">
        <v>2.0705000000000001E-2</v>
      </c>
      <c r="H117" s="145">
        <v>2.2252999999999998E-2</v>
      </c>
      <c r="I117" s="145">
        <v>2.3747000000000001E-2</v>
      </c>
      <c r="J117" s="145">
        <v>2.5304E-2</v>
      </c>
      <c r="K117" s="145">
        <v>2.6698E-2</v>
      </c>
      <c r="L117" s="145">
        <v>2.8160000000000001E-2</v>
      </c>
      <c r="M117" s="145">
        <v>2.9547E-2</v>
      </c>
      <c r="N117" s="145">
        <v>3.0886E-2</v>
      </c>
      <c r="O117" s="145">
        <v>3.2044999999999997E-2</v>
      </c>
      <c r="P117" s="145">
        <v>3.2747999999999999E-2</v>
      </c>
      <c r="Q117" s="145">
        <v>3.3270000000000001E-2</v>
      </c>
      <c r="R117" s="145">
        <v>3.3674000000000003E-2</v>
      </c>
      <c r="S117" s="145">
        <v>3.3866E-2</v>
      </c>
      <c r="T117" s="145">
        <v>3.424E-2</v>
      </c>
      <c r="U117" s="145">
        <v>3.4597999999999997E-2</v>
      </c>
      <c r="V117" s="145">
        <v>3.5140999999999999E-2</v>
      </c>
      <c r="W117" s="145">
        <v>3.5660999999999998E-2</v>
      </c>
      <c r="X117" s="145">
        <v>3.6152999999999998E-2</v>
      </c>
      <c r="Y117" s="145">
        <v>3.6614000000000001E-2</v>
      </c>
      <c r="Z117" s="145">
        <v>3.7157999999999997E-2</v>
      </c>
      <c r="AA117" s="145">
        <v>3.7769999999999998E-2</v>
      </c>
      <c r="AB117" s="145">
        <v>3.8505999999999999E-2</v>
      </c>
      <c r="AC117" s="145">
        <v>3.9142999999999997E-2</v>
      </c>
      <c r="AD117" s="145">
        <v>3.9898999999999997E-2</v>
      </c>
      <c r="AE117" s="145">
        <v>4.0578000000000003E-2</v>
      </c>
      <c r="AF117" s="146">
        <v>3.6565E-2</v>
      </c>
      <c r="AG117" s="9"/>
    </row>
    <row r="118" spans="1:35" ht="15" customHeight="1">
      <c r="A118" s="6" t="s">
        <v>287</v>
      </c>
      <c r="B118" s="144" t="s">
        <v>288</v>
      </c>
      <c r="C118" s="145">
        <v>5.7070999999999997E-2</v>
      </c>
      <c r="D118" s="145">
        <v>6.5246999999999999E-2</v>
      </c>
      <c r="E118" s="145">
        <v>7.4490000000000001E-2</v>
      </c>
      <c r="F118" s="145">
        <v>8.2332000000000002E-2</v>
      </c>
      <c r="G118" s="145">
        <v>8.9647000000000004E-2</v>
      </c>
      <c r="H118" s="145">
        <v>9.6698999999999993E-2</v>
      </c>
      <c r="I118" s="145">
        <v>0.103424</v>
      </c>
      <c r="J118" s="145">
        <v>0.110056</v>
      </c>
      <c r="K118" s="145">
        <v>0.11708300000000001</v>
      </c>
      <c r="L118" s="145">
        <v>0.1244</v>
      </c>
      <c r="M118" s="145">
        <v>0.13175400000000001</v>
      </c>
      <c r="N118" s="145">
        <v>0.136737</v>
      </c>
      <c r="O118" s="145">
        <v>0.13999400000000001</v>
      </c>
      <c r="P118" s="145">
        <v>0.13961699999999999</v>
      </c>
      <c r="Q118" s="145">
        <v>0.13946500000000001</v>
      </c>
      <c r="R118" s="145">
        <v>0.13922100000000001</v>
      </c>
      <c r="S118" s="145">
        <v>0.13922000000000001</v>
      </c>
      <c r="T118" s="145">
        <v>0.139213</v>
      </c>
      <c r="U118" s="145">
        <v>0.139127</v>
      </c>
      <c r="V118" s="145">
        <v>0.139539</v>
      </c>
      <c r="W118" s="145">
        <v>0.13955999999999999</v>
      </c>
      <c r="X118" s="145">
        <v>0.13979800000000001</v>
      </c>
      <c r="Y118" s="145">
        <v>0.139983</v>
      </c>
      <c r="Z118" s="145">
        <v>0.14035800000000001</v>
      </c>
      <c r="AA118" s="145">
        <v>0.140489</v>
      </c>
      <c r="AB118" s="145">
        <v>0.140678</v>
      </c>
      <c r="AC118" s="145">
        <v>0.140518</v>
      </c>
      <c r="AD118" s="145">
        <v>0.14077500000000001</v>
      </c>
      <c r="AE118" s="145">
        <v>0.140678</v>
      </c>
      <c r="AF118" s="146">
        <v>3.2745000000000003E-2</v>
      </c>
      <c r="AG118" s="9"/>
      <c r="AI118" s="7">
        <v>-4.1180000000000001E-3</v>
      </c>
    </row>
    <row r="119" spans="1:35" ht="15" customHeight="1">
      <c r="A119" s="6" t="s">
        <v>289</v>
      </c>
      <c r="B119" s="144" t="s">
        <v>290</v>
      </c>
      <c r="C119" s="145">
        <v>0.32074200000000003</v>
      </c>
      <c r="D119" s="145">
        <v>0.35317799999999999</v>
      </c>
      <c r="E119" s="145">
        <v>0.39725199999999999</v>
      </c>
      <c r="F119" s="145">
        <v>0.43442599999999998</v>
      </c>
      <c r="G119" s="145">
        <v>0.47073300000000001</v>
      </c>
      <c r="H119" s="145">
        <v>0.50977799999999995</v>
      </c>
      <c r="I119" s="145">
        <v>0.54817300000000002</v>
      </c>
      <c r="J119" s="145">
        <v>0.58955800000000003</v>
      </c>
      <c r="K119" s="145">
        <v>0.63500900000000005</v>
      </c>
      <c r="L119" s="145">
        <v>0.682952</v>
      </c>
      <c r="M119" s="145">
        <v>0.73329999999999995</v>
      </c>
      <c r="N119" s="145">
        <v>0.78193000000000001</v>
      </c>
      <c r="O119" s="145">
        <v>0.83591400000000005</v>
      </c>
      <c r="P119" s="145">
        <v>0.88302199999999997</v>
      </c>
      <c r="Q119" s="145">
        <v>0.92925899999999995</v>
      </c>
      <c r="R119" s="145">
        <v>0.97457099999999997</v>
      </c>
      <c r="S119" s="145">
        <v>1.022575</v>
      </c>
      <c r="T119" s="145">
        <v>1.0770759999999999</v>
      </c>
      <c r="U119" s="145">
        <v>1.132468</v>
      </c>
      <c r="V119" s="145">
        <v>1.1976089999999999</v>
      </c>
      <c r="W119" s="145">
        <v>1.2617700000000001</v>
      </c>
      <c r="X119" s="145">
        <v>1.3309089999999999</v>
      </c>
      <c r="Y119" s="145">
        <v>1.4054310000000001</v>
      </c>
      <c r="Z119" s="145">
        <v>1.4835309999999999</v>
      </c>
      <c r="AA119" s="145">
        <v>1.559299</v>
      </c>
      <c r="AB119" s="145">
        <v>1.639516</v>
      </c>
      <c r="AC119" s="145">
        <v>1.7206680000000001</v>
      </c>
      <c r="AD119" s="145">
        <v>1.8081609999999999</v>
      </c>
      <c r="AE119" s="145">
        <v>1.890247</v>
      </c>
      <c r="AF119" s="146">
        <v>6.5401000000000001E-2</v>
      </c>
      <c r="AG119" s="9"/>
      <c r="AI119" s="7">
        <v>-3.313E-3</v>
      </c>
    </row>
    <row r="120" spans="1:35" ht="15" customHeight="1">
      <c r="A120" s="6" t="s">
        <v>291</v>
      </c>
      <c r="B120" s="144" t="s">
        <v>292</v>
      </c>
      <c r="C120" s="145">
        <v>5.6099999999999998E-4</v>
      </c>
      <c r="D120" s="145">
        <v>6.0300000000000002E-4</v>
      </c>
      <c r="E120" s="145">
        <v>6.5899999999999997E-4</v>
      </c>
      <c r="F120" s="145">
        <v>7.0500000000000001E-4</v>
      </c>
      <c r="G120" s="145">
        <v>7.4799999999999997E-4</v>
      </c>
      <c r="H120" s="145">
        <v>8.0099999999999995E-4</v>
      </c>
      <c r="I120" s="145">
        <v>8.5400000000000005E-4</v>
      </c>
      <c r="J120" s="145">
        <v>9.0700000000000004E-4</v>
      </c>
      <c r="K120" s="145">
        <v>9.6000000000000002E-4</v>
      </c>
      <c r="L120" s="145">
        <v>1.0169999999999999E-3</v>
      </c>
      <c r="M120" s="145">
        <v>1.072E-3</v>
      </c>
      <c r="N120" s="145">
        <v>1.122E-3</v>
      </c>
      <c r="O120" s="145">
        <v>1.122E-3</v>
      </c>
      <c r="P120" s="145">
        <v>1.127E-3</v>
      </c>
      <c r="Q120" s="145">
        <v>1.126E-3</v>
      </c>
      <c r="R120" s="145">
        <v>1.1280000000000001E-3</v>
      </c>
      <c r="S120" s="145">
        <v>1.1280000000000001E-3</v>
      </c>
      <c r="T120" s="145">
        <v>1.1299999999999999E-3</v>
      </c>
      <c r="U120" s="145">
        <v>1.1349999999999999E-3</v>
      </c>
      <c r="V120" s="145">
        <v>1.1440000000000001E-3</v>
      </c>
      <c r="W120" s="145">
        <v>1.1460000000000001E-3</v>
      </c>
      <c r="X120" s="145">
        <v>1.1540000000000001E-3</v>
      </c>
      <c r="Y120" s="145">
        <v>1.1620000000000001E-3</v>
      </c>
      <c r="Z120" s="145">
        <v>1.17E-3</v>
      </c>
      <c r="AA120" s="145">
        <v>1.1770000000000001E-3</v>
      </c>
      <c r="AB120" s="145">
        <v>1.183E-3</v>
      </c>
      <c r="AC120" s="145">
        <v>1.1869999999999999E-3</v>
      </c>
      <c r="AD120" s="145">
        <v>1.194E-3</v>
      </c>
      <c r="AE120" s="145">
        <v>1.1919999999999999E-3</v>
      </c>
      <c r="AF120" s="146">
        <v>2.7265000000000001E-2</v>
      </c>
      <c r="AG120" s="9"/>
      <c r="AI120" s="7">
        <v>-3.1150000000000001E-3</v>
      </c>
    </row>
    <row r="121" spans="1:35" ht="15" customHeight="1">
      <c r="A121" s="6" t="s">
        <v>293</v>
      </c>
      <c r="B121" s="143" t="s">
        <v>294</v>
      </c>
      <c r="C121" s="147">
        <v>0.39321899999999999</v>
      </c>
      <c r="D121" s="147">
        <v>0.43436599999999997</v>
      </c>
      <c r="E121" s="147">
        <v>0.48979299999999998</v>
      </c>
      <c r="F121" s="147">
        <v>0.53656400000000004</v>
      </c>
      <c r="G121" s="147">
        <v>0.58183300000000004</v>
      </c>
      <c r="H121" s="147">
        <v>0.62953099999999995</v>
      </c>
      <c r="I121" s="147">
        <v>0.67619799999999997</v>
      </c>
      <c r="J121" s="147">
        <v>0.72582400000000002</v>
      </c>
      <c r="K121" s="147">
        <v>0.77975099999999997</v>
      </c>
      <c r="L121" s="147">
        <v>0.83652899999999997</v>
      </c>
      <c r="M121" s="147">
        <v>0.89567300000000005</v>
      </c>
      <c r="N121" s="147">
        <v>0.95067500000000005</v>
      </c>
      <c r="O121" s="147">
        <v>1.0090749999999999</v>
      </c>
      <c r="P121" s="147">
        <v>1.056513</v>
      </c>
      <c r="Q121" s="147">
        <v>1.103119</v>
      </c>
      <c r="R121" s="147">
        <v>1.148593</v>
      </c>
      <c r="S121" s="147">
        <v>1.1967890000000001</v>
      </c>
      <c r="T121" s="147">
        <v>1.2516590000000001</v>
      </c>
      <c r="U121" s="147">
        <v>1.307328</v>
      </c>
      <c r="V121" s="147">
        <v>1.3734329999999999</v>
      </c>
      <c r="W121" s="147">
        <v>1.438137</v>
      </c>
      <c r="X121" s="147">
        <v>1.508014</v>
      </c>
      <c r="Y121" s="147">
        <v>1.5831900000000001</v>
      </c>
      <c r="Z121" s="147">
        <v>1.662218</v>
      </c>
      <c r="AA121" s="147">
        <v>1.7387349999999999</v>
      </c>
      <c r="AB121" s="147">
        <v>1.8198840000000001</v>
      </c>
      <c r="AC121" s="147">
        <v>1.9015150000000001</v>
      </c>
      <c r="AD121" s="147">
        <v>1.990029</v>
      </c>
      <c r="AE121" s="147">
        <v>2.072695</v>
      </c>
      <c r="AF121" s="148">
        <v>6.1163000000000002E-2</v>
      </c>
      <c r="AG121" s="9"/>
      <c r="AI121" s="7">
        <v>-4.3499999999999997E-3</v>
      </c>
    </row>
    <row r="122" spans="1:35" ht="15" customHeight="1">
      <c r="A122" s="6" t="s">
        <v>295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I122" s="7">
        <v>-1.6280000000000001E-3</v>
      </c>
    </row>
    <row r="123" spans="1:35" ht="15" customHeight="1">
      <c r="A123" s="6" t="s">
        <v>296</v>
      </c>
      <c r="B123" s="143" t="s">
        <v>297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I123" s="7">
        <v>-5.5500000000000005E-4</v>
      </c>
    </row>
    <row r="124" spans="1:35" ht="15" customHeight="1">
      <c r="A124" s="6" t="s">
        <v>298</v>
      </c>
      <c r="B124" s="144" t="s">
        <v>299</v>
      </c>
      <c r="C124" s="153">
        <v>6198</v>
      </c>
      <c r="D124" s="153">
        <v>6420</v>
      </c>
      <c r="E124" s="153">
        <v>5972</v>
      </c>
      <c r="F124" s="153">
        <v>5949</v>
      </c>
      <c r="G124" s="153">
        <v>5925</v>
      </c>
      <c r="H124" s="153">
        <v>5902</v>
      </c>
      <c r="I124" s="153">
        <v>5878</v>
      </c>
      <c r="J124" s="153">
        <v>5854</v>
      </c>
      <c r="K124" s="153">
        <v>5830</v>
      </c>
      <c r="L124" s="153">
        <v>5807</v>
      </c>
      <c r="M124" s="153">
        <v>5783</v>
      </c>
      <c r="N124" s="153">
        <v>5759</v>
      </c>
      <c r="O124" s="153">
        <v>5735</v>
      </c>
      <c r="P124" s="153">
        <v>5711</v>
      </c>
      <c r="Q124" s="153">
        <v>5687</v>
      </c>
      <c r="R124" s="153">
        <v>5663</v>
      </c>
      <c r="S124" s="153">
        <v>5639</v>
      </c>
      <c r="T124" s="153">
        <v>5615</v>
      </c>
      <c r="U124" s="153">
        <v>5591</v>
      </c>
      <c r="V124" s="153">
        <v>5567</v>
      </c>
      <c r="W124" s="153">
        <v>5543</v>
      </c>
      <c r="X124" s="153">
        <v>5519</v>
      </c>
      <c r="Y124" s="153">
        <v>5495</v>
      </c>
      <c r="Z124" s="153">
        <v>5471</v>
      </c>
      <c r="AA124" s="153">
        <v>5447</v>
      </c>
      <c r="AB124" s="153">
        <v>5423</v>
      </c>
      <c r="AC124" s="153">
        <v>5399</v>
      </c>
      <c r="AD124" s="153">
        <v>5374</v>
      </c>
      <c r="AE124" s="153">
        <v>5350</v>
      </c>
      <c r="AF124" s="146">
        <v>-5.241E-3</v>
      </c>
      <c r="AG124" s="9"/>
      <c r="AI124" s="7">
        <v>-5.5830000000000003E-3</v>
      </c>
    </row>
    <row r="125" spans="1:35" ht="15" customHeight="1">
      <c r="A125" s="6" t="s">
        <v>300</v>
      </c>
      <c r="B125" s="144" t="s">
        <v>301</v>
      </c>
      <c r="C125" s="153">
        <v>5742</v>
      </c>
      <c r="D125" s="153">
        <v>5779</v>
      </c>
      <c r="E125" s="153">
        <v>5348</v>
      </c>
      <c r="F125" s="153">
        <v>5325</v>
      </c>
      <c r="G125" s="153">
        <v>5303</v>
      </c>
      <c r="H125" s="153">
        <v>5281</v>
      </c>
      <c r="I125" s="153">
        <v>5259</v>
      </c>
      <c r="J125" s="153">
        <v>5236</v>
      </c>
      <c r="K125" s="153">
        <v>5214</v>
      </c>
      <c r="L125" s="153">
        <v>5192</v>
      </c>
      <c r="M125" s="153">
        <v>5169</v>
      </c>
      <c r="N125" s="153">
        <v>5147</v>
      </c>
      <c r="O125" s="153">
        <v>5125</v>
      </c>
      <c r="P125" s="153">
        <v>5102</v>
      </c>
      <c r="Q125" s="153">
        <v>5080</v>
      </c>
      <c r="R125" s="153">
        <v>5058</v>
      </c>
      <c r="S125" s="153">
        <v>5036</v>
      </c>
      <c r="T125" s="153">
        <v>5013</v>
      </c>
      <c r="U125" s="153">
        <v>4991</v>
      </c>
      <c r="V125" s="153">
        <v>4969</v>
      </c>
      <c r="W125" s="153">
        <v>4947</v>
      </c>
      <c r="X125" s="153">
        <v>4924</v>
      </c>
      <c r="Y125" s="153">
        <v>4902</v>
      </c>
      <c r="Z125" s="153">
        <v>4880</v>
      </c>
      <c r="AA125" s="153">
        <v>4858</v>
      </c>
      <c r="AB125" s="153">
        <v>4835</v>
      </c>
      <c r="AC125" s="153">
        <v>4813</v>
      </c>
      <c r="AD125" s="153">
        <v>4791</v>
      </c>
      <c r="AE125" s="153">
        <v>4769</v>
      </c>
      <c r="AF125" s="146">
        <v>-6.6090000000000003E-3</v>
      </c>
      <c r="AG125" s="9"/>
      <c r="AI125" s="7">
        <v>-6.0060000000000001E-3</v>
      </c>
    </row>
    <row r="126" spans="1:35" ht="15" customHeight="1">
      <c r="A126" s="6" t="s">
        <v>302</v>
      </c>
      <c r="B126" s="144" t="s">
        <v>303</v>
      </c>
      <c r="C126" s="153">
        <v>6427</v>
      </c>
      <c r="D126" s="153">
        <v>6306</v>
      </c>
      <c r="E126" s="153">
        <v>5982</v>
      </c>
      <c r="F126" s="153">
        <v>5967</v>
      </c>
      <c r="G126" s="153">
        <v>5953</v>
      </c>
      <c r="H126" s="153">
        <v>5938</v>
      </c>
      <c r="I126" s="153">
        <v>5923</v>
      </c>
      <c r="J126" s="153">
        <v>5908</v>
      </c>
      <c r="K126" s="153">
        <v>5893</v>
      </c>
      <c r="L126" s="153">
        <v>5879</v>
      </c>
      <c r="M126" s="153">
        <v>5864</v>
      </c>
      <c r="N126" s="153">
        <v>5849</v>
      </c>
      <c r="O126" s="153">
        <v>5834</v>
      </c>
      <c r="P126" s="153">
        <v>5819</v>
      </c>
      <c r="Q126" s="153">
        <v>5804</v>
      </c>
      <c r="R126" s="153">
        <v>5790</v>
      </c>
      <c r="S126" s="153">
        <v>5775</v>
      </c>
      <c r="T126" s="153">
        <v>5760</v>
      </c>
      <c r="U126" s="153">
        <v>5745</v>
      </c>
      <c r="V126" s="153">
        <v>5730</v>
      </c>
      <c r="W126" s="153">
        <v>5715</v>
      </c>
      <c r="X126" s="153">
        <v>5701</v>
      </c>
      <c r="Y126" s="153">
        <v>5686</v>
      </c>
      <c r="Z126" s="153">
        <v>5671</v>
      </c>
      <c r="AA126" s="153">
        <v>5656</v>
      </c>
      <c r="AB126" s="153">
        <v>5641</v>
      </c>
      <c r="AC126" s="153">
        <v>5626</v>
      </c>
      <c r="AD126" s="153">
        <v>5611</v>
      </c>
      <c r="AE126" s="153">
        <v>5597</v>
      </c>
      <c r="AF126" s="146">
        <v>-4.9259999999999998E-3</v>
      </c>
      <c r="AG126" s="9"/>
      <c r="AI126" s="7">
        <v>-6.9709999999999998E-3</v>
      </c>
    </row>
    <row r="127" spans="1:35" ht="15" customHeight="1">
      <c r="A127" s="6" t="s">
        <v>304</v>
      </c>
      <c r="B127" s="144" t="s">
        <v>305</v>
      </c>
      <c r="C127" s="153">
        <v>6845</v>
      </c>
      <c r="D127" s="153">
        <v>6601</v>
      </c>
      <c r="E127" s="153">
        <v>6349</v>
      </c>
      <c r="F127" s="153">
        <v>6340</v>
      </c>
      <c r="G127" s="153">
        <v>6330</v>
      </c>
      <c r="H127" s="153">
        <v>6321</v>
      </c>
      <c r="I127" s="153">
        <v>6311</v>
      </c>
      <c r="J127" s="153">
        <v>6301</v>
      </c>
      <c r="K127" s="153">
        <v>6291</v>
      </c>
      <c r="L127" s="153">
        <v>6281</v>
      </c>
      <c r="M127" s="153">
        <v>6271</v>
      </c>
      <c r="N127" s="153">
        <v>6261</v>
      </c>
      <c r="O127" s="153">
        <v>6250</v>
      </c>
      <c r="P127" s="153">
        <v>6240</v>
      </c>
      <c r="Q127" s="153">
        <v>6230</v>
      </c>
      <c r="R127" s="153">
        <v>6219</v>
      </c>
      <c r="S127" s="153">
        <v>6209</v>
      </c>
      <c r="T127" s="153">
        <v>6198</v>
      </c>
      <c r="U127" s="153">
        <v>6188</v>
      </c>
      <c r="V127" s="153">
        <v>6177</v>
      </c>
      <c r="W127" s="153">
        <v>6167</v>
      </c>
      <c r="X127" s="153">
        <v>6156</v>
      </c>
      <c r="Y127" s="153">
        <v>6145</v>
      </c>
      <c r="Z127" s="153">
        <v>6135</v>
      </c>
      <c r="AA127" s="153">
        <v>6124</v>
      </c>
      <c r="AB127" s="153">
        <v>6113</v>
      </c>
      <c r="AC127" s="153">
        <v>6103</v>
      </c>
      <c r="AD127" s="153">
        <v>6092</v>
      </c>
      <c r="AE127" s="153">
        <v>6081</v>
      </c>
      <c r="AF127" s="146">
        <v>-4.2180000000000004E-3</v>
      </c>
      <c r="AG127" s="9"/>
      <c r="AI127" s="8">
        <v>-5.2379999999999996E-3</v>
      </c>
    </row>
    <row r="128" spans="1:35">
      <c r="B128" s="144" t="s">
        <v>306</v>
      </c>
      <c r="C128" s="153">
        <v>2566</v>
      </c>
      <c r="D128" s="153">
        <v>2600</v>
      </c>
      <c r="E128" s="153">
        <v>2375</v>
      </c>
      <c r="F128" s="153">
        <v>2358</v>
      </c>
      <c r="G128" s="153">
        <v>2342</v>
      </c>
      <c r="H128" s="153">
        <v>2326</v>
      </c>
      <c r="I128" s="153">
        <v>2310</v>
      </c>
      <c r="J128" s="153">
        <v>2294</v>
      </c>
      <c r="K128" s="153">
        <v>2277</v>
      </c>
      <c r="L128" s="153">
        <v>2261</v>
      </c>
      <c r="M128" s="153">
        <v>2245</v>
      </c>
      <c r="N128" s="153">
        <v>2229</v>
      </c>
      <c r="O128" s="153">
        <v>2213</v>
      </c>
      <c r="P128" s="153">
        <v>2197</v>
      </c>
      <c r="Q128" s="153">
        <v>2180</v>
      </c>
      <c r="R128" s="153">
        <v>2164</v>
      </c>
      <c r="S128" s="153">
        <v>2148</v>
      </c>
      <c r="T128" s="153">
        <v>2132</v>
      </c>
      <c r="U128" s="153">
        <v>2116</v>
      </c>
      <c r="V128" s="153">
        <v>2100</v>
      </c>
      <c r="W128" s="153">
        <v>2084</v>
      </c>
      <c r="X128" s="153">
        <v>2068</v>
      </c>
      <c r="Y128" s="153">
        <v>2052</v>
      </c>
      <c r="Z128" s="153">
        <v>2036</v>
      </c>
      <c r="AA128" s="153">
        <v>2020</v>
      </c>
      <c r="AB128" s="153">
        <v>2005</v>
      </c>
      <c r="AC128" s="153">
        <v>1989</v>
      </c>
      <c r="AD128" s="153">
        <v>1973</v>
      </c>
      <c r="AE128" s="153">
        <v>1957</v>
      </c>
      <c r="AF128" s="146">
        <v>-9.6299999999999997E-3</v>
      </c>
      <c r="AG128" s="9"/>
    </row>
    <row r="129" spans="1:35" ht="15" customHeight="1">
      <c r="B129" s="144" t="s">
        <v>307</v>
      </c>
      <c r="C129" s="153">
        <v>3487</v>
      </c>
      <c r="D129" s="153">
        <v>3442</v>
      </c>
      <c r="E129" s="153">
        <v>3180</v>
      </c>
      <c r="F129" s="153">
        <v>3168</v>
      </c>
      <c r="G129" s="153">
        <v>3156</v>
      </c>
      <c r="H129" s="153">
        <v>3144</v>
      </c>
      <c r="I129" s="153">
        <v>3131</v>
      </c>
      <c r="J129" s="153">
        <v>3119</v>
      </c>
      <c r="K129" s="153">
        <v>3106</v>
      </c>
      <c r="L129" s="153">
        <v>3094</v>
      </c>
      <c r="M129" s="153">
        <v>3081</v>
      </c>
      <c r="N129" s="153">
        <v>3069</v>
      </c>
      <c r="O129" s="153">
        <v>3056</v>
      </c>
      <c r="P129" s="153">
        <v>3043</v>
      </c>
      <c r="Q129" s="153">
        <v>3031</v>
      </c>
      <c r="R129" s="153">
        <v>3018</v>
      </c>
      <c r="S129" s="153">
        <v>3005</v>
      </c>
      <c r="T129" s="153">
        <v>2992</v>
      </c>
      <c r="U129" s="153">
        <v>2980</v>
      </c>
      <c r="V129" s="153">
        <v>2967</v>
      </c>
      <c r="W129" s="153">
        <v>2954</v>
      </c>
      <c r="X129" s="153">
        <v>2941</v>
      </c>
      <c r="Y129" s="153">
        <v>2929</v>
      </c>
      <c r="Z129" s="153">
        <v>2916</v>
      </c>
      <c r="AA129" s="153">
        <v>2903</v>
      </c>
      <c r="AB129" s="153">
        <v>2890</v>
      </c>
      <c r="AC129" s="153">
        <v>2877</v>
      </c>
      <c r="AD129" s="153">
        <v>2865</v>
      </c>
      <c r="AE129" s="153">
        <v>2852</v>
      </c>
      <c r="AF129" s="146">
        <v>-7.1539999999999998E-3</v>
      </c>
      <c r="AG129" s="9"/>
    </row>
    <row r="130" spans="1:35" ht="15" customHeight="1">
      <c r="A130" s="6" t="s">
        <v>308</v>
      </c>
      <c r="B130" s="144" t="s">
        <v>309</v>
      </c>
      <c r="C130" s="153">
        <v>2195</v>
      </c>
      <c r="D130" s="153">
        <v>2056</v>
      </c>
      <c r="E130" s="153">
        <v>1942</v>
      </c>
      <c r="F130" s="153">
        <v>1934</v>
      </c>
      <c r="G130" s="153">
        <v>1925</v>
      </c>
      <c r="H130" s="153">
        <v>1916</v>
      </c>
      <c r="I130" s="153">
        <v>1908</v>
      </c>
      <c r="J130" s="153">
        <v>1899</v>
      </c>
      <c r="K130" s="153">
        <v>1891</v>
      </c>
      <c r="L130" s="153">
        <v>1882</v>
      </c>
      <c r="M130" s="153">
        <v>1874</v>
      </c>
      <c r="N130" s="153">
        <v>1865</v>
      </c>
      <c r="O130" s="153">
        <v>1857</v>
      </c>
      <c r="P130" s="153">
        <v>1849</v>
      </c>
      <c r="Q130" s="153">
        <v>1840</v>
      </c>
      <c r="R130" s="153">
        <v>1832</v>
      </c>
      <c r="S130" s="153">
        <v>1824</v>
      </c>
      <c r="T130" s="153">
        <v>1815</v>
      </c>
      <c r="U130" s="153">
        <v>1807</v>
      </c>
      <c r="V130" s="153">
        <v>1799</v>
      </c>
      <c r="W130" s="153">
        <v>1791</v>
      </c>
      <c r="X130" s="153">
        <v>1783</v>
      </c>
      <c r="Y130" s="153">
        <v>1774</v>
      </c>
      <c r="Z130" s="153">
        <v>1766</v>
      </c>
      <c r="AA130" s="153">
        <v>1758</v>
      </c>
      <c r="AB130" s="153">
        <v>1750</v>
      </c>
      <c r="AC130" s="153">
        <v>1742</v>
      </c>
      <c r="AD130" s="153">
        <v>1734</v>
      </c>
      <c r="AE130" s="153">
        <v>1726</v>
      </c>
      <c r="AF130" s="146">
        <v>-8.548E-3</v>
      </c>
      <c r="AG130" s="9"/>
      <c r="AI130" s="7">
        <v>1.1242E-2</v>
      </c>
    </row>
    <row r="131" spans="1:35" ht="15" customHeight="1">
      <c r="A131" s="6" t="s">
        <v>310</v>
      </c>
      <c r="B131" s="144" t="s">
        <v>311</v>
      </c>
      <c r="C131" s="153">
        <v>4970</v>
      </c>
      <c r="D131" s="153">
        <v>4978</v>
      </c>
      <c r="E131" s="153">
        <v>4789</v>
      </c>
      <c r="F131" s="153">
        <v>4776</v>
      </c>
      <c r="G131" s="153">
        <v>4763</v>
      </c>
      <c r="H131" s="153">
        <v>4751</v>
      </c>
      <c r="I131" s="153">
        <v>4738</v>
      </c>
      <c r="J131" s="153">
        <v>4725</v>
      </c>
      <c r="K131" s="153">
        <v>4712</v>
      </c>
      <c r="L131" s="153">
        <v>4698</v>
      </c>
      <c r="M131" s="153">
        <v>4685</v>
      </c>
      <c r="N131" s="153">
        <v>4672</v>
      </c>
      <c r="O131" s="153">
        <v>4658</v>
      </c>
      <c r="P131" s="153">
        <v>4645</v>
      </c>
      <c r="Q131" s="153">
        <v>4632</v>
      </c>
      <c r="R131" s="153">
        <v>4619</v>
      </c>
      <c r="S131" s="153">
        <v>4606</v>
      </c>
      <c r="T131" s="153">
        <v>4593</v>
      </c>
      <c r="U131" s="153">
        <v>4580</v>
      </c>
      <c r="V131" s="153">
        <v>4568</v>
      </c>
      <c r="W131" s="153">
        <v>4555</v>
      </c>
      <c r="X131" s="153">
        <v>4542</v>
      </c>
      <c r="Y131" s="153">
        <v>4530</v>
      </c>
      <c r="Z131" s="153">
        <v>4517</v>
      </c>
      <c r="AA131" s="153">
        <v>4504</v>
      </c>
      <c r="AB131" s="153">
        <v>4492</v>
      </c>
      <c r="AC131" s="153">
        <v>4479</v>
      </c>
      <c r="AD131" s="153">
        <v>4467</v>
      </c>
      <c r="AE131" s="153">
        <v>4454</v>
      </c>
      <c r="AF131" s="146">
        <v>-3.9069999999999999E-3</v>
      </c>
      <c r="AG131" s="9"/>
      <c r="AI131" s="7">
        <v>9.6939999999999995E-3</v>
      </c>
    </row>
    <row r="132" spans="1:35" ht="15" customHeight="1">
      <c r="A132" s="6" t="s">
        <v>312</v>
      </c>
      <c r="B132" s="144" t="s">
        <v>313</v>
      </c>
      <c r="C132" s="153">
        <v>3212</v>
      </c>
      <c r="D132" s="153">
        <v>3503</v>
      </c>
      <c r="E132" s="153">
        <v>3250</v>
      </c>
      <c r="F132" s="153">
        <v>3241</v>
      </c>
      <c r="G132" s="153">
        <v>3232</v>
      </c>
      <c r="H132" s="153">
        <v>3223</v>
      </c>
      <c r="I132" s="153">
        <v>3213</v>
      </c>
      <c r="J132" s="153">
        <v>3204</v>
      </c>
      <c r="K132" s="153">
        <v>3195</v>
      </c>
      <c r="L132" s="153">
        <v>3185</v>
      </c>
      <c r="M132" s="153">
        <v>3176</v>
      </c>
      <c r="N132" s="153">
        <v>3166</v>
      </c>
      <c r="O132" s="153">
        <v>3157</v>
      </c>
      <c r="P132" s="153">
        <v>3147</v>
      </c>
      <c r="Q132" s="153">
        <v>3137</v>
      </c>
      <c r="R132" s="153">
        <v>3128</v>
      </c>
      <c r="S132" s="153">
        <v>3118</v>
      </c>
      <c r="T132" s="153">
        <v>3108</v>
      </c>
      <c r="U132" s="153">
        <v>3098</v>
      </c>
      <c r="V132" s="153">
        <v>3089</v>
      </c>
      <c r="W132" s="153">
        <v>3079</v>
      </c>
      <c r="X132" s="153">
        <v>3069</v>
      </c>
      <c r="Y132" s="153">
        <v>3059</v>
      </c>
      <c r="Z132" s="153">
        <v>3049</v>
      </c>
      <c r="AA132" s="153">
        <v>3040</v>
      </c>
      <c r="AB132" s="153">
        <v>3030</v>
      </c>
      <c r="AC132" s="153">
        <v>3020</v>
      </c>
      <c r="AD132" s="153">
        <v>3010</v>
      </c>
      <c r="AE132" s="153">
        <v>3000</v>
      </c>
      <c r="AF132" s="146">
        <v>-2.4359999999999998E-3</v>
      </c>
      <c r="AG132" s="9"/>
      <c r="AI132" s="7">
        <v>7.489E-3</v>
      </c>
    </row>
    <row r="133" spans="1:35" ht="15" customHeight="1">
      <c r="A133" s="6" t="s">
        <v>314</v>
      </c>
      <c r="B133" s="143" t="s">
        <v>315</v>
      </c>
      <c r="C133" s="149">
        <v>4234.6137699999999</v>
      </c>
      <c r="D133" s="149">
        <v>4246.6186520000001</v>
      </c>
      <c r="E133" s="149">
        <v>3976.1059570000002</v>
      </c>
      <c r="F133" s="149">
        <v>3957.180664</v>
      </c>
      <c r="G133" s="149">
        <v>3938.5415039999998</v>
      </c>
      <c r="H133" s="149">
        <v>3920.0117190000001</v>
      </c>
      <c r="I133" s="149">
        <v>3901.2561040000001</v>
      </c>
      <c r="J133" s="149">
        <v>3882.5219729999999</v>
      </c>
      <c r="K133" s="149">
        <v>3863.8103030000002</v>
      </c>
      <c r="L133" s="149">
        <v>3845.1889649999998</v>
      </c>
      <c r="M133" s="149">
        <v>3826.626221</v>
      </c>
      <c r="N133" s="149">
        <v>3807.9733890000002</v>
      </c>
      <c r="O133" s="149">
        <v>3789.4521479999999</v>
      </c>
      <c r="P133" s="149">
        <v>3770.821289</v>
      </c>
      <c r="Q133" s="149">
        <v>3752.0329590000001</v>
      </c>
      <c r="R133" s="149">
        <v>3733.780029</v>
      </c>
      <c r="S133" s="149">
        <v>3715.305664</v>
      </c>
      <c r="T133" s="149">
        <v>3696.5273440000001</v>
      </c>
      <c r="U133" s="149">
        <v>3678.117432</v>
      </c>
      <c r="V133" s="149">
        <v>3659.850586</v>
      </c>
      <c r="W133" s="149">
        <v>3641.3955080000001</v>
      </c>
      <c r="X133" s="149">
        <v>3622.8991700000001</v>
      </c>
      <c r="Y133" s="149">
        <v>3604.398682</v>
      </c>
      <c r="Z133" s="149">
        <v>3585.969482</v>
      </c>
      <c r="AA133" s="149">
        <v>3567.7004390000002</v>
      </c>
      <c r="AB133" s="149">
        <v>3549.5581050000001</v>
      </c>
      <c r="AC133" s="149">
        <v>3531.4091800000001</v>
      </c>
      <c r="AD133" s="149">
        <v>3513.482422</v>
      </c>
      <c r="AE133" s="149">
        <v>3495.6748050000001</v>
      </c>
      <c r="AF133" s="148">
        <v>-6.8250000000000003E-3</v>
      </c>
      <c r="AG133" s="9"/>
      <c r="AI133" s="7">
        <v>7.8600000000000007E-3</v>
      </c>
    </row>
    <row r="134" spans="1:35" ht="15" customHeight="1">
      <c r="A134" s="6" t="s">
        <v>316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I134" s="7">
        <v>3.0799999999999998E-3</v>
      </c>
    </row>
    <row r="135" spans="1:35" ht="15" customHeight="1">
      <c r="A135" s="6" t="s">
        <v>317</v>
      </c>
      <c r="B135" s="143" t="s">
        <v>318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I135" s="7">
        <v>3.8960000000000002E-3</v>
      </c>
    </row>
    <row r="136" spans="1:35" ht="15" customHeight="1">
      <c r="A136" s="6" t="s">
        <v>319</v>
      </c>
      <c r="B136" s="144" t="s">
        <v>299</v>
      </c>
      <c r="C136" s="153">
        <v>639</v>
      </c>
      <c r="D136" s="153">
        <v>500</v>
      </c>
      <c r="E136" s="153">
        <v>614</v>
      </c>
      <c r="F136" s="153">
        <v>621</v>
      </c>
      <c r="G136" s="153">
        <v>629</v>
      </c>
      <c r="H136" s="153">
        <v>636</v>
      </c>
      <c r="I136" s="153">
        <v>643</v>
      </c>
      <c r="J136" s="153">
        <v>651</v>
      </c>
      <c r="K136" s="153">
        <v>658</v>
      </c>
      <c r="L136" s="153">
        <v>665</v>
      </c>
      <c r="M136" s="153">
        <v>673</v>
      </c>
      <c r="N136" s="153">
        <v>680</v>
      </c>
      <c r="O136" s="153">
        <v>687</v>
      </c>
      <c r="P136" s="153">
        <v>695</v>
      </c>
      <c r="Q136" s="153">
        <v>702</v>
      </c>
      <c r="R136" s="153">
        <v>710</v>
      </c>
      <c r="S136" s="153">
        <v>717</v>
      </c>
      <c r="T136" s="153">
        <v>724</v>
      </c>
      <c r="U136" s="153">
        <v>732</v>
      </c>
      <c r="V136" s="153">
        <v>739</v>
      </c>
      <c r="W136" s="153">
        <v>747</v>
      </c>
      <c r="X136" s="153">
        <v>754</v>
      </c>
      <c r="Y136" s="153">
        <v>761</v>
      </c>
      <c r="Z136" s="153">
        <v>769</v>
      </c>
      <c r="AA136" s="153">
        <v>776</v>
      </c>
      <c r="AB136" s="153">
        <v>784</v>
      </c>
      <c r="AC136" s="153">
        <v>791</v>
      </c>
      <c r="AD136" s="153">
        <v>799</v>
      </c>
      <c r="AE136" s="153">
        <v>806</v>
      </c>
      <c r="AF136" s="146">
        <v>8.3269999999999993E-3</v>
      </c>
      <c r="AG136" s="9"/>
      <c r="AI136" s="7">
        <v>5.6709999999999998E-3</v>
      </c>
    </row>
    <row r="137" spans="1:35" ht="15" customHeight="1">
      <c r="A137" s="6" t="s">
        <v>320</v>
      </c>
      <c r="B137" s="144" t="s">
        <v>301</v>
      </c>
      <c r="C137" s="153">
        <v>835</v>
      </c>
      <c r="D137" s="153">
        <v>692</v>
      </c>
      <c r="E137" s="153">
        <v>864</v>
      </c>
      <c r="F137" s="153">
        <v>874</v>
      </c>
      <c r="G137" s="153">
        <v>883</v>
      </c>
      <c r="H137" s="153">
        <v>893</v>
      </c>
      <c r="I137" s="153">
        <v>902</v>
      </c>
      <c r="J137" s="153">
        <v>912</v>
      </c>
      <c r="K137" s="153">
        <v>922</v>
      </c>
      <c r="L137" s="153">
        <v>931</v>
      </c>
      <c r="M137" s="153">
        <v>941</v>
      </c>
      <c r="N137" s="153">
        <v>950</v>
      </c>
      <c r="O137" s="153">
        <v>960</v>
      </c>
      <c r="P137" s="153">
        <v>970</v>
      </c>
      <c r="Q137" s="153">
        <v>979</v>
      </c>
      <c r="R137" s="153">
        <v>989</v>
      </c>
      <c r="S137" s="153">
        <v>999</v>
      </c>
      <c r="T137" s="153">
        <v>1008</v>
      </c>
      <c r="U137" s="153">
        <v>1018</v>
      </c>
      <c r="V137" s="153">
        <v>1027</v>
      </c>
      <c r="W137" s="153">
        <v>1037</v>
      </c>
      <c r="X137" s="153">
        <v>1047</v>
      </c>
      <c r="Y137" s="153">
        <v>1056</v>
      </c>
      <c r="Z137" s="153">
        <v>1066</v>
      </c>
      <c r="AA137" s="153">
        <v>1076</v>
      </c>
      <c r="AB137" s="153">
        <v>1085</v>
      </c>
      <c r="AC137" s="153">
        <v>1095</v>
      </c>
      <c r="AD137" s="153">
        <v>1104</v>
      </c>
      <c r="AE137" s="153">
        <v>1114</v>
      </c>
      <c r="AF137" s="146">
        <v>1.0349000000000001E-2</v>
      </c>
      <c r="AG137" s="9"/>
      <c r="AI137" s="7">
        <v>8.5380000000000005E-3</v>
      </c>
    </row>
    <row r="138" spans="1:35" ht="15" customHeight="1">
      <c r="A138" s="6" t="s">
        <v>321</v>
      </c>
      <c r="B138" s="144" t="s">
        <v>303</v>
      </c>
      <c r="C138" s="153">
        <v>813</v>
      </c>
      <c r="D138" s="153">
        <v>752</v>
      </c>
      <c r="E138" s="153">
        <v>892</v>
      </c>
      <c r="F138" s="153">
        <v>900</v>
      </c>
      <c r="G138" s="153">
        <v>908</v>
      </c>
      <c r="H138" s="153">
        <v>916</v>
      </c>
      <c r="I138" s="153">
        <v>924</v>
      </c>
      <c r="J138" s="153">
        <v>932</v>
      </c>
      <c r="K138" s="153">
        <v>939</v>
      </c>
      <c r="L138" s="153">
        <v>947</v>
      </c>
      <c r="M138" s="153">
        <v>955</v>
      </c>
      <c r="N138" s="153">
        <v>963</v>
      </c>
      <c r="O138" s="153">
        <v>971</v>
      </c>
      <c r="P138" s="153">
        <v>979</v>
      </c>
      <c r="Q138" s="153">
        <v>987</v>
      </c>
      <c r="R138" s="153">
        <v>994</v>
      </c>
      <c r="S138" s="153">
        <v>1002</v>
      </c>
      <c r="T138" s="153">
        <v>1010</v>
      </c>
      <c r="U138" s="153">
        <v>1018</v>
      </c>
      <c r="V138" s="153">
        <v>1026</v>
      </c>
      <c r="W138" s="153">
        <v>1034</v>
      </c>
      <c r="X138" s="153">
        <v>1042</v>
      </c>
      <c r="Y138" s="153">
        <v>1050</v>
      </c>
      <c r="Z138" s="153">
        <v>1058</v>
      </c>
      <c r="AA138" s="153">
        <v>1066</v>
      </c>
      <c r="AB138" s="153">
        <v>1073</v>
      </c>
      <c r="AC138" s="153">
        <v>1081</v>
      </c>
      <c r="AD138" s="153">
        <v>1089</v>
      </c>
      <c r="AE138" s="153">
        <v>1097</v>
      </c>
      <c r="AF138" s="146">
        <v>1.0758E-2</v>
      </c>
      <c r="AG138" s="9"/>
      <c r="AI138" s="7">
        <v>1.1802999999999999E-2</v>
      </c>
    </row>
    <row r="139" spans="1:35" ht="15" customHeight="1">
      <c r="A139" s="6" t="s">
        <v>322</v>
      </c>
      <c r="B139" s="144" t="s">
        <v>305</v>
      </c>
      <c r="C139" s="153">
        <v>1050</v>
      </c>
      <c r="D139" s="153">
        <v>944</v>
      </c>
      <c r="E139" s="153">
        <v>1069</v>
      </c>
      <c r="F139" s="153">
        <v>1077</v>
      </c>
      <c r="G139" s="153">
        <v>1084</v>
      </c>
      <c r="H139" s="153">
        <v>1091</v>
      </c>
      <c r="I139" s="153">
        <v>1099</v>
      </c>
      <c r="J139" s="153">
        <v>1106</v>
      </c>
      <c r="K139" s="153">
        <v>1114</v>
      </c>
      <c r="L139" s="153">
        <v>1121</v>
      </c>
      <c r="M139" s="153">
        <v>1129</v>
      </c>
      <c r="N139" s="153">
        <v>1136</v>
      </c>
      <c r="O139" s="153">
        <v>1144</v>
      </c>
      <c r="P139" s="153">
        <v>1151</v>
      </c>
      <c r="Q139" s="153">
        <v>1159</v>
      </c>
      <c r="R139" s="153">
        <v>1166</v>
      </c>
      <c r="S139" s="153">
        <v>1174</v>
      </c>
      <c r="T139" s="153">
        <v>1182</v>
      </c>
      <c r="U139" s="153">
        <v>1189</v>
      </c>
      <c r="V139" s="153">
        <v>1197</v>
      </c>
      <c r="W139" s="153">
        <v>1204</v>
      </c>
      <c r="X139" s="153">
        <v>1212</v>
      </c>
      <c r="Y139" s="153">
        <v>1220</v>
      </c>
      <c r="Z139" s="153">
        <v>1227</v>
      </c>
      <c r="AA139" s="153">
        <v>1235</v>
      </c>
      <c r="AB139" s="153">
        <v>1243</v>
      </c>
      <c r="AC139" s="153">
        <v>1250</v>
      </c>
      <c r="AD139" s="153">
        <v>1258</v>
      </c>
      <c r="AE139" s="153">
        <v>1266</v>
      </c>
      <c r="AF139" s="146">
        <v>6.7029999999999998E-3</v>
      </c>
      <c r="AG139" s="9"/>
      <c r="AI139" s="8">
        <v>7.5849999999999997E-3</v>
      </c>
    </row>
    <row r="140" spans="1:35" ht="15" customHeight="1" thickBot="1">
      <c r="B140" s="144" t="s">
        <v>306</v>
      </c>
      <c r="C140" s="153">
        <v>2264</v>
      </c>
      <c r="D140" s="153">
        <v>2150</v>
      </c>
      <c r="E140" s="153">
        <v>2408</v>
      </c>
      <c r="F140" s="153">
        <v>2426</v>
      </c>
      <c r="G140" s="153">
        <v>2442</v>
      </c>
      <c r="H140" s="153">
        <v>2459</v>
      </c>
      <c r="I140" s="153">
        <v>2476</v>
      </c>
      <c r="J140" s="153">
        <v>2494</v>
      </c>
      <c r="K140" s="153">
        <v>2511</v>
      </c>
      <c r="L140" s="153">
        <v>2528</v>
      </c>
      <c r="M140" s="153">
        <v>2545</v>
      </c>
      <c r="N140" s="153">
        <v>2562</v>
      </c>
      <c r="O140" s="153">
        <v>2579</v>
      </c>
      <c r="P140" s="153">
        <v>2597</v>
      </c>
      <c r="Q140" s="153">
        <v>2614</v>
      </c>
      <c r="R140" s="153">
        <v>2632</v>
      </c>
      <c r="S140" s="153">
        <v>2649</v>
      </c>
      <c r="T140" s="153">
        <v>2666</v>
      </c>
      <c r="U140" s="153">
        <v>2684</v>
      </c>
      <c r="V140" s="153">
        <v>2701</v>
      </c>
      <c r="W140" s="153">
        <v>2719</v>
      </c>
      <c r="X140" s="153">
        <v>2736</v>
      </c>
      <c r="Y140" s="153">
        <v>2754</v>
      </c>
      <c r="Z140" s="153">
        <v>2771</v>
      </c>
      <c r="AA140" s="153">
        <v>2789</v>
      </c>
      <c r="AB140" s="153">
        <v>2806</v>
      </c>
      <c r="AC140" s="153">
        <v>2824</v>
      </c>
      <c r="AD140" s="153">
        <v>2842</v>
      </c>
      <c r="AE140" s="153">
        <v>2859</v>
      </c>
      <c r="AF140" s="146">
        <v>8.3680000000000004E-3</v>
      </c>
      <c r="AG140" s="9"/>
    </row>
    <row r="141" spans="1:35" ht="15" customHeight="1">
      <c r="B141" s="198" t="s">
        <v>323</v>
      </c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</row>
    <row r="142" spans="1:35" ht="15" customHeight="1">
      <c r="B142" s="144" t="s">
        <v>309</v>
      </c>
      <c r="C142" s="153">
        <v>3000</v>
      </c>
      <c r="D142" s="153">
        <v>2658</v>
      </c>
      <c r="E142" s="153">
        <v>2860</v>
      </c>
      <c r="F142" s="153">
        <v>2874</v>
      </c>
      <c r="G142" s="153">
        <v>2887</v>
      </c>
      <c r="H142" s="153">
        <v>2901</v>
      </c>
      <c r="I142" s="153">
        <v>2915</v>
      </c>
      <c r="J142" s="153">
        <v>2928</v>
      </c>
      <c r="K142" s="153">
        <v>2942</v>
      </c>
      <c r="L142" s="153">
        <v>2955</v>
      </c>
      <c r="M142" s="153">
        <v>2969</v>
      </c>
      <c r="N142" s="153">
        <v>2982</v>
      </c>
      <c r="O142" s="153">
        <v>2996</v>
      </c>
      <c r="P142" s="153">
        <v>3009</v>
      </c>
      <c r="Q142" s="153">
        <v>3023</v>
      </c>
      <c r="R142" s="153">
        <v>3036</v>
      </c>
      <c r="S142" s="153">
        <v>3050</v>
      </c>
      <c r="T142" s="153">
        <v>3063</v>
      </c>
      <c r="U142" s="153">
        <v>3076</v>
      </c>
      <c r="V142" s="153">
        <v>3090</v>
      </c>
      <c r="W142" s="153">
        <v>3103</v>
      </c>
      <c r="X142" s="153">
        <v>3117</v>
      </c>
      <c r="Y142" s="153">
        <v>3130</v>
      </c>
      <c r="Z142" s="153">
        <v>3144</v>
      </c>
      <c r="AA142" s="153">
        <v>3157</v>
      </c>
      <c r="AB142" s="153">
        <v>3170</v>
      </c>
      <c r="AC142" s="153">
        <v>3184</v>
      </c>
      <c r="AD142" s="153">
        <v>3197</v>
      </c>
      <c r="AE142" s="153">
        <v>3210</v>
      </c>
      <c r="AF142" s="146">
        <v>2.4190000000000001E-3</v>
      </c>
      <c r="AG142" s="9"/>
    </row>
    <row r="143" spans="1:35" ht="15" customHeight="1">
      <c r="B143" s="144" t="s">
        <v>311</v>
      </c>
      <c r="C143" s="153">
        <v>1578</v>
      </c>
      <c r="D143" s="153">
        <v>1415</v>
      </c>
      <c r="E143" s="153">
        <v>1580</v>
      </c>
      <c r="F143" s="153">
        <v>1589</v>
      </c>
      <c r="G143" s="153">
        <v>1599</v>
      </c>
      <c r="H143" s="153">
        <v>1608</v>
      </c>
      <c r="I143" s="153">
        <v>1618</v>
      </c>
      <c r="J143" s="153">
        <v>1628</v>
      </c>
      <c r="K143" s="153">
        <v>1638</v>
      </c>
      <c r="L143" s="153">
        <v>1647</v>
      </c>
      <c r="M143" s="153">
        <v>1657</v>
      </c>
      <c r="N143" s="153">
        <v>1667</v>
      </c>
      <c r="O143" s="153">
        <v>1677</v>
      </c>
      <c r="P143" s="153">
        <v>1687</v>
      </c>
      <c r="Q143" s="153">
        <v>1697</v>
      </c>
      <c r="R143" s="153">
        <v>1706</v>
      </c>
      <c r="S143" s="153">
        <v>1716</v>
      </c>
      <c r="T143" s="153">
        <v>1726</v>
      </c>
      <c r="U143" s="153">
        <v>1735</v>
      </c>
      <c r="V143" s="153">
        <v>1745</v>
      </c>
      <c r="W143" s="153">
        <v>1755</v>
      </c>
      <c r="X143" s="153">
        <v>1764</v>
      </c>
      <c r="Y143" s="153">
        <v>1774</v>
      </c>
      <c r="Z143" s="153">
        <v>1783</v>
      </c>
      <c r="AA143" s="153">
        <v>1793</v>
      </c>
      <c r="AB143" s="153">
        <v>1802</v>
      </c>
      <c r="AC143" s="153">
        <v>1812</v>
      </c>
      <c r="AD143" s="153">
        <v>1822</v>
      </c>
      <c r="AE143" s="153">
        <v>1831</v>
      </c>
      <c r="AF143" s="146">
        <v>5.3249999999999999E-3</v>
      </c>
      <c r="AG143" s="9"/>
    </row>
    <row r="144" spans="1:35" ht="15" customHeight="1">
      <c r="B144" s="144" t="s">
        <v>313</v>
      </c>
      <c r="C144" s="153">
        <v>1098</v>
      </c>
      <c r="D144" s="153">
        <v>825</v>
      </c>
      <c r="E144" s="153">
        <v>1006</v>
      </c>
      <c r="F144" s="153">
        <v>1013</v>
      </c>
      <c r="G144" s="153">
        <v>1020</v>
      </c>
      <c r="H144" s="153">
        <v>1028</v>
      </c>
      <c r="I144" s="153">
        <v>1035</v>
      </c>
      <c r="J144" s="153">
        <v>1043</v>
      </c>
      <c r="K144" s="153">
        <v>1050</v>
      </c>
      <c r="L144" s="153">
        <v>1058</v>
      </c>
      <c r="M144" s="153">
        <v>1066</v>
      </c>
      <c r="N144" s="153">
        <v>1073</v>
      </c>
      <c r="O144" s="153">
        <v>1081</v>
      </c>
      <c r="P144" s="153">
        <v>1088</v>
      </c>
      <c r="Q144" s="153">
        <v>1096</v>
      </c>
      <c r="R144" s="153">
        <v>1104</v>
      </c>
      <c r="S144" s="153">
        <v>1111</v>
      </c>
      <c r="T144" s="153">
        <v>1119</v>
      </c>
      <c r="U144" s="153">
        <v>1127</v>
      </c>
      <c r="V144" s="153">
        <v>1134</v>
      </c>
      <c r="W144" s="153">
        <v>1142</v>
      </c>
      <c r="X144" s="153">
        <v>1150</v>
      </c>
      <c r="Y144" s="153">
        <v>1157</v>
      </c>
      <c r="Z144" s="153">
        <v>1165</v>
      </c>
      <c r="AA144" s="153">
        <v>1173</v>
      </c>
      <c r="AB144" s="153">
        <v>1181</v>
      </c>
      <c r="AC144" s="153">
        <v>1188</v>
      </c>
      <c r="AD144" s="153">
        <v>1196</v>
      </c>
      <c r="AE144" s="153">
        <v>1204</v>
      </c>
      <c r="AF144" s="146">
        <v>3.297E-3</v>
      </c>
      <c r="AG144" s="9"/>
    </row>
    <row r="145" spans="2:34" ht="15" customHeight="1">
      <c r="B145" s="143" t="s">
        <v>315</v>
      </c>
      <c r="C145" s="149">
        <v>1549.955811</v>
      </c>
      <c r="D145" s="149">
        <v>1383.8479</v>
      </c>
      <c r="E145" s="149">
        <v>1570.0424800000001</v>
      </c>
      <c r="F145" s="149">
        <v>1583.3448490000001</v>
      </c>
      <c r="G145" s="149">
        <v>1596.1142580000001</v>
      </c>
      <c r="H145" s="149">
        <v>1609.38501</v>
      </c>
      <c r="I145" s="149">
        <v>1622.5207519999999</v>
      </c>
      <c r="J145" s="149">
        <v>1636.0070800000001</v>
      </c>
      <c r="K145" s="149">
        <v>1649.149048</v>
      </c>
      <c r="L145" s="149">
        <v>1662.2188719999999</v>
      </c>
      <c r="M145" s="149">
        <v>1675.7426760000001</v>
      </c>
      <c r="N145" s="149">
        <v>1688.762207</v>
      </c>
      <c r="O145" s="149">
        <v>1702.278198</v>
      </c>
      <c r="P145" s="149">
        <v>1715.7017820000001</v>
      </c>
      <c r="Q145" s="149">
        <v>1729.1450199999999</v>
      </c>
      <c r="R145" s="149">
        <v>1742.5604249999999</v>
      </c>
      <c r="S145" s="149">
        <v>1755.9835210000001</v>
      </c>
      <c r="T145" s="149">
        <v>1769.3446039999999</v>
      </c>
      <c r="U145" s="149">
        <v>1782.940063</v>
      </c>
      <c r="V145" s="149">
        <v>1796.302124</v>
      </c>
      <c r="W145" s="149">
        <v>1810.015259</v>
      </c>
      <c r="X145" s="149">
        <v>1823.60437</v>
      </c>
      <c r="Y145" s="149">
        <v>1837.094971</v>
      </c>
      <c r="Z145" s="149">
        <v>1850.6906739999999</v>
      </c>
      <c r="AA145" s="149">
        <v>1864.471436</v>
      </c>
      <c r="AB145" s="149">
        <v>1877.7441409999999</v>
      </c>
      <c r="AC145" s="149">
        <v>1891.3885499999999</v>
      </c>
      <c r="AD145" s="149">
        <v>1904.9642329999999</v>
      </c>
      <c r="AE145" s="149">
        <v>1918.225586</v>
      </c>
      <c r="AF145" s="148">
        <v>7.6420000000000004E-3</v>
      </c>
      <c r="AG145" s="9"/>
    </row>
    <row r="146" spans="2:34" ht="15" customHeight="1" thickBot="1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2:34" ht="15" customHeight="1">
      <c r="B147" s="154" t="s">
        <v>324</v>
      </c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6"/>
    </row>
    <row r="148" spans="2:34" ht="15" customHeight="1">
      <c r="B148" s="157" t="s">
        <v>325</v>
      </c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</row>
    <row r="149" spans="2:34" ht="15" customHeight="1">
      <c r="B149" s="157" t="s">
        <v>326</v>
      </c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</row>
    <row r="150" spans="2:34" ht="15" customHeight="1">
      <c r="B150" s="157" t="s">
        <v>327</v>
      </c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</row>
    <row r="151" spans="2:34" ht="15" customHeight="1">
      <c r="B151" s="157" t="s">
        <v>328</v>
      </c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</row>
    <row r="152" spans="2:34" ht="15" customHeight="1">
      <c r="B152" s="157" t="s">
        <v>329</v>
      </c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</row>
    <row r="153" spans="2:34" ht="15" customHeight="1">
      <c r="B153" s="157" t="s">
        <v>330</v>
      </c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</row>
    <row r="154" spans="2:34" ht="15" customHeight="1">
      <c r="B154" s="157" t="s">
        <v>331</v>
      </c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</row>
    <row r="155" spans="2:34" ht="15" customHeight="1">
      <c r="B155" s="157" t="s">
        <v>332</v>
      </c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</row>
    <row r="156" spans="2:34" ht="15" customHeight="1">
      <c r="B156" s="157" t="s">
        <v>333</v>
      </c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</row>
    <row r="157" spans="2:34" ht="15" customHeight="1">
      <c r="B157" s="157" t="s">
        <v>334</v>
      </c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</row>
    <row r="158" spans="2:34" ht="15" customHeight="1">
      <c r="B158" s="157" t="s">
        <v>335</v>
      </c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</row>
    <row r="159" spans="2:34" ht="15" customHeight="1">
      <c r="B159" s="157" t="s">
        <v>336</v>
      </c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</row>
    <row r="160" spans="2:34">
      <c r="B160" s="157" t="s">
        <v>337</v>
      </c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</row>
    <row r="161" spans="2:33">
      <c r="B161" s="157" t="s">
        <v>338</v>
      </c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</row>
    <row r="162" spans="2:33">
      <c r="B162" s="157" t="s">
        <v>339</v>
      </c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</row>
    <row r="163" spans="2:33">
      <c r="B163" s="157" t="s">
        <v>340</v>
      </c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</row>
    <row r="164" spans="2:33">
      <c r="B164" s="157" t="s">
        <v>341</v>
      </c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</row>
    <row r="165" spans="2:33">
      <c r="B165" s="157" t="s">
        <v>342</v>
      </c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</row>
    <row r="166" spans="2:33">
      <c r="B166" s="157" t="s">
        <v>343</v>
      </c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</row>
    <row r="167" spans="2:33">
      <c r="B167" s="157" t="s">
        <v>344</v>
      </c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</row>
    <row r="168" spans="2:33">
      <c r="B168" s="157" t="s">
        <v>345</v>
      </c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</row>
    <row r="169" spans="2:33">
      <c r="B169" s="157" t="s">
        <v>346</v>
      </c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</row>
    <row r="170" spans="2:33">
      <c r="B170" s="157" t="s">
        <v>347</v>
      </c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</row>
    <row r="171" spans="2:33">
      <c r="B171" s="157" t="s">
        <v>348</v>
      </c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</row>
    <row r="172" spans="2:33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2:33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2:33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2:33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2:33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2:33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2:33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2:33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2:33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2:33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2:33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2:33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2:33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2:33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2:33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2:33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2:33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2:33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2:33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2:33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2:33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2:33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2:33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2:33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2:33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2:33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2:33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2:33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2:33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2:33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2:33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2:33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2:33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2:33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2:33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2:33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2:33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307" spans="2:32"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</row>
    <row r="510" spans="2:32"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</row>
    <row r="711" spans="2:32"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</row>
    <row r="886" spans="2:32"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</row>
    <row r="1100" spans="2:32">
      <c r="B1100" s="204"/>
      <c r="C1100" s="204"/>
      <c r="D1100" s="204"/>
      <c r="E1100" s="204"/>
      <c r="F1100" s="204"/>
      <c r="G1100" s="204"/>
      <c r="H1100" s="204"/>
      <c r="I1100" s="204"/>
      <c r="J1100" s="204"/>
      <c r="K1100" s="204"/>
      <c r="L1100" s="204"/>
      <c r="M1100" s="204"/>
      <c r="N1100" s="204"/>
      <c r="O1100" s="204"/>
      <c r="P1100" s="204"/>
      <c r="Q1100" s="204"/>
      <c r="R1100" s="204"/>
      <c r="S1100" s="204"/>
      <c r="T1100" s="204"/>
      <c r="U1100" s="204"/>
      <c r="V1100" s="204"/>
      <c r="W1100" s="204"/>
      <c r="X1100" s="204"/>
      <c r="Y1100" s="204"/>
      <c r="Z1100" s="204"/>
      <c r="AA1100" s="204"/>
      <c r="AB1100" s="204"/>
      <c r="AC1100" s="204"/>
      <c r="AD1100" s="204"/>
      <c r="AE1100" s="204"/>
      <c r="AF1100" s="204"/>
    </row>
    <row r="1228" spans="2:32">
      <c r="B1228" s="204"/>
      <c r="C1228" s="204"/>
      <c r="D1228" s="204"/>
      <c r="E1228" s="204"/>
      <c r="F1228" s="204"/>
      <c r="G1228" s="204"/>
      <c r="H1228" s="204"/>
      <c r="I1228" s="204"/>
      <c r="J1228" s="204"/>
      <c r="K1228" s="204"/>
      <c r="L1228" s="204"/>
      <c r="M1228" s="204"/>
      <c r="N1228" s="204"/>
      <c r="O1228" s="204"/>
      <c r="P1228" s="204"/>
      <c r="Q1228" s="204"/>
      <c r="R1228" s="204"/>
      <c r="S1228" s="204"/>
      <c r="T1228" s="204"/>
      <c r="U1228" s="204"/>
      <c r="V1228" s="204"/>
      <c r="W1228" s="204"/>
      <c r="X1228" s="204"/>
      <c r="Y1228" s="204"/>
      <c r="Z1228" s="204"/>
      <c r="AA1228" s="204"/>
      <c r="AB1228" s="204"/>
      <c r="AC1228" s="204"/>
      <c r="AD1228" s="204"/>
      <c r="AE1228" s="204"/>
      <c r="AF1228" s="204"/>
    </row>
    <row r="1389" spans="2:32">
      <c r="B1389" s="204"/>
      <c r="C1389" s="204"/>
      <c r="D1389" s="204"/>
      <c r="E1389" s="204"/>
      <c r="F1389" s="204"/>
      <c r="G1389" s="204"/>
      <c r="H1389" s="204"/>
      <c r="I1389" s="204"/>
      <c r="J1389" s="204"/>
      <c r="K1389" s="204"/>
      <c r="L1389" s="204"/>
      <c r="M1389" s="204"/>
      <c r="N1389" s="204"/>
      <c r="O1389" s="204"/>
      <c r="P1389" s="204"/>
      <c r="Q1389" s="204"/>
      <c r="R1389" s="204"/>
      <c r="S1389" s="204"/>
      <c r="T1389" s="204"/>
      <c r="U1389" s="204"/>
      <c r="V1389" s="204"/>
      <c r="W1389" s="204"/>
      <c r="X1389" s="204"/>
      <c r="Y1389" s="204"/>
      <c r="Z1389" s="204"/>
      <c r="AA1389" s="204"/>
      <c r="AB1389" s="204"/>
      <c r="AC1389" s="204"/>
      <c r="AD1389" s="204"/>
      <c r="AE1389" s="204"/>
      <c r="AF1389" s="204"/>
    </row>
    <row r="1501" spans="2:32">
      <c r="B1501" s="204"/>
      <c r="C1501" s="204"/>
      <c r="D1501" s="204"/>
      <c r="E1501" s="204"/>
      <c r="F1501" s="204"/>
      <c r="G1501" s="204"/>
      <c r="H1501" s="204"/>
      <c r="I1501" s="204"/>
      <c r="J1501" s="204"/>
      <c r="K1501" s="204"/>
      <c r="L1501" s="204"/>
      <c r="M1501" s="204"/>
      <c r="N1501" s="204"/>
      <c r="O1501" s="204"/>
      <c r="P1501" s="204"/>
      <c r="Q1501" s="204"/>
      <c r="R1501" s="204"/>
      <c r="S1501" s="204"/>
      <c r="T1501" s="204"/>
      <c r="U1501" s="204"/>
      <c r="V1501" s="204"/>
      <c r="W1501" s="204"/>
      <c r="X1501" s="204"/>
      <c r="Y1501" s="204"/>
      <c r="Z1501" s="204"/>
      <c r="AA1501" s="204"/>
      <c r="AB1501" s="204"/>
      <c r="AC1501" s="204"/>
      <c r="AD1501" s="204"/>
      <c r="AE1501" s="204"/>
      <c r="AF1501" s="204"/>
    </row>
    <row r="1603" spans="2:32">
      <c r="B1603" s="204"/>
      <c r="C1603" s="204"/>
      <c r="D1603" s="204"/>
      <c r="E1603" s="204"/>
      <c r="F1603" s="204"/>
      <c r="G1603" s="204"/>
      <c r="H1603" s="204"/>
      <c r="I1603" s="204"/>
      <c r="J1603" s="204"/>
      <c r="K1603" s="204"/>
      <c r="L1603" s="204"/>
      <c r="M1603" s="204"/>
      <c r="N1603" s="204"/>
      <c r="O1603" s="204"/>
      <c r="P1603" s="204"/>
      <c r="Q1603" s="204"/>
      <c r="R1603" s="204"/>
      <c r="S1603" s="204"/>
      <c r="T1603" s="204"/>
      <c r="U1603" s="204"/>
      <c r="V1603" s="204"/>
      <c r="W1603" s="204"/>
      <c r="X1603" s="204"/>
      <c r="Y1603" s="204"/>
      <c r="Z1603" s="204"/>
      <c r="AA1603" s="204"/>
      <c r="AB1603" s="204"/>
      <c r="AC1603" s="204"/>
      <c r="AD1603" s="204"/>
      <c r="AE1603" s="204"/>
      <c r="AF1603" s="204"/>
    </row>
    <row r="1698" spans="2:32">
      <c r="B1698" s="204"/>
      <c r="C1698" s="204"/>
      <c r="D1698" s="204"/>
      <c r="E1698" s="204"/>
      <c r="F1698" s="204"/>
      <c r="G1698" s="204"/>
      <c r="H1698" s="204"/>
      <c r="I1698" s="204"/>
      <c r="J1698" s="204"/>
      <c r="K1698" s="204"/>
      <c r="L1698" s="204"/>
      <c r="M1698" s="204"/>
      <c r="N1698" s="204"/>
      <c r="O1698" s="204"/>
      <c r="P1698" s="204"/>
      <c r="Q1698" s="204"/>
      <c r="R1698" s="204"/>
      <c r="S1698" s="204"/>
      <c r="T1698" s="204"/>
      <c r="U1698" s="204"/>
      <c r="V1698" s="204"/>
      <c r="W1698" s="204"/>
      <c r="X1698" s="204"/>
      <c r="Y1698" s="204"/>
      <c r="Z1698" s="204"/>
      <c r="AA1698" s="204"/>
      <c r="AB1698" s="204"/>
      <c r="AC1698" s="204"/>
      <c r="AD1698" s="204"/>
      <c r="AE1698" s="204"/>
      <c r="AF1698" s="204"/>
    </row>
    <row r="1944" spans="2:32">
      <c r="B1944" s="204"/>
      <c r="C1944" s="204"/>
      <c r="D1944" s="204"/>
      <c r="E1944" s="204"/>
      <c r="F1944" s="204"/>
      <c r="G1944" s="204"/>
      <c r="H1944" s="204"/>
      <c r="I1944" s="204"/>
      <c r="J1944" s="204"/>
      <c r="K1944" s="204"/>
      <c r="L1944" s="204"/>
      <c r="M1944" s="204"/>
      <c r="N1944" s="204"/>
      <c r="O1944" s="204"/>
      <c r="P1944" s="204"/>
      <c r="Q1944" s="204"/>
      <c r="R1944" s="204"/>
      <c r="S1944" s="204"/>
      <c r="T1944" s="204"/>
      <c r="U1944" s="204"/>
      <c r="V1944" s="204"/>
      <c r="W1944" s="204"/>
      <c r="X1944" s="204"/>
      <c r="Y1944" s="204"/>
      <c r="Z1944" s="204"/>
      <c r="AA1944" s="204"/>
      <c r="AB1944" s="204"/>
      <c r="AC1944" s="204"/>
      <c r="AD1944" s="204"/>
      <c r="AE1944" s="204"/>
      <c r="AF1944" s="204"/>
    </row>
    <row r="2030" spans="2:32">
      <c r="B2030" s="204"/>
      <c r="C2030" s="204"/>
      <c r="D2030" s="204"/>
      <c r="E2030" s="204"/>
      <c r="F2030" s="204"/>
      <c r="G2030" s="204"/>
      <c r="H2030" s="204"/>
      <c r="I2030" s="204"/>
      <c r="J2030" s="204"/>
      <c r="K2030" s="204"/>
      <c r="L2030" s="204"/>
      <c r="M2030" s="204"/>
      <c r="N2030" s="204"/>
      <c r="O2030" s="204"/>
      <c r="P2030" s="204"/>
      <c r="Q2030" s="204"/>
      <c r="R2030" s="204"/>
      <c r="S2030" s="204"/>
      <c r="T2030" s="204"/>
      <c r="U2030" s="204"/>
      <c r="V2030" s="204"/>
      <c r="W2030" s="204"/>
      <c r="X2030" s="204"/>
      <c r="Y2030" s="204"/>
      <c r="Z2030" s="204"/>
      <c r="AA2030" s="204"/>
      <c r="AB2030" s="204"/>
      <c r="AC2030" s="204"/>
      <c r="AD2030" s="204"/>
      <c r="AE2030" s="204"/>
      <c r="AF2030" s="204"/>
    </row>
    <row r="2152" spans="2:32">
      <c r="B2152" s="204"/>
      <c r="C2152" s="204"/>
      <c r="D2152" s="204"/>
      <c r="E2152" s="204"/>
      <c r="F2152" s="204"/>
      <c r="G2152" s="204"/>
      <c r="H2152" s="204"/>
      <c r="I2152" s="204"/>
      <c r="J2152" s="204"/>
      <c r="K2152" s="204"/>
      <c r="L2152" s="204"/>
      <c r="M2152" s="204"/>
      <c r="N2152" s="204"/>
      <c r="O2152" s="204"/>
      <c r="P2152" s="204"/>
      <c r="Q2152" s="204"/>
      <c r="R2152" s="204"/>
      <c r="S2152" s="204"/>
      <c r="T2152" s="204"/>
      <c r="U2152" s="204"/>
      <c r="V2152" s="204"/>
      <c r="W2152" s="204"/>
      <c r="X2152" s="204"/>
      <c r="Y2152" s="204"/>
      <c r="Z2152" s="204"/>
      <c r="AA2152" s="204"/>
      <c r="AB2152" s="204"/>
      <c r="AC2152" s="204"/>
      <c r="AD2152" s="204"/>
      <c r="AE2152" s="204"/>
      <c r="AF2152" s="204"/>
    </row>
    <row r="2316" spans="2:32">
      <c r="B2316" s="204"/>
      <c r="C2316" s="204"/>
      <c r="D2316" s="204"/>
      <c r="E2316" s="204"/>
      <c r="F2316" s="204"/>
      <c r="G2316" s="204"/>
      <c r="H2316" s="204"/>
      <c r="I2316" s="204"/>
      <c r="J2316" s="204"/>
      <c r="K2316" s="204"/>
      <c r="L2316" s="204"/>
      <c r="M2316" s="204"/>
      <c r="N2316" s="204"/>
      <c r="O2316" s="204"/>
      <c r="P2316" s="204"/>
      <c r="Q2316" s="204"/>
      <c r="R2316" s="204"/>
      <c r="S2316" s="204"/>
      <c r="T2316" s="204"/>
      <c r="U2316" s="204"/>
      <c r="V2316" s="204"/>
      <c r="W2316" s="204"/>
      <c r="X2316" s="204"/>
      <c r="Y2316" s="204"/>
      <c r="Z2316" s="204"/>
      <c r="AA2316" s="204"/>
      <c r="AB2316" s="204"/>
      <c r="AC2316" s="204"/>
      <c r="AD2316" s="204"/>
      <c r="AE2316" s="204"/>
      <c r="AF2316" s="204"/>
    </row>
    <row r="2418" spans="2:32">
      <c r="B2418" s="204"/>
      <c r="C2418" s="204"/>
      <c r="D2418" s="204"/>
      <c r="E2418" s="204"/>
      <c r="F2418" s="204"/>
      <c r="G2418" s="204"/>
      <c r="H2418" s="204"/>
      <c r="I2418" s="204"/>
      <c r="J2418" s="204"/>
      <c r="K2418" s="204"/>
      <c r="L2418" s="204"/>
      <c r="M2418" s="204"/>
      <c r="N2418" s="204"/>
      <c r="O2418" s="204"/>
      <c r="P2418" s="204"/>
      <c r="Q2418" s="204"/>
      <c r="R2418" s="204"/>
      <c r="S2418" s="204"/>
      <c r="T2418" s="204"/>
      <c r="U2418" s="204"/>
      <c r="V2418" s="204"/>
      <c r="W2418" s="204"/>
      <c r="X2418" s="204"/>
      <c r="Y2418" s="204"/>
      <c r="Z2418" s="204"/>
      <c r="AA2418" s="204"/>
      <c r="AB2418" s="204"/>
      <c r="AC2418" s="204"/>
      <c r="AD2418" s="204"/>
      <c r="AE2418" s="204"/>
      <c r="AF2418" s="204"/>
    </row>
    <row r="2508" spans="2:32">
      <c r="B2508" s="204"/>
      <c r="C2508" s="204"/>
      <c r="D2508" s="204"/>
      <c r="E2508" s="204"/>
      <c r="F2508" s="204"/>
      <c r="G2508" s="204"/>
      <c r="H2508" s="204"/>
      <c r="I2508" s="204"/>
      <c r="J2508" s="204"/>
      <c r="K2508" s="204"/>
      <c r="L2508" s="204"/>
      <c r="M2508" s="204"/>
      <c r="N2508" s="204"/>
      <c r="O2508" s="204"/>
      <c r="P2508" s="204"/>
      <c r="Q2508" s="204"/>
      <c r="R2508" s="204"/>
      <c r="S2508" s="204"/>
      <c r="T2508" s="204"/>
      <c r="U2508" s="204"/>
      <c r="V2508" s="204"/>
      <c r="W2508" s="204"/>
      <c r="X2508" s="204"/>
      <c r="Y2508" s="204"/>
      <c r="Z2508" s="204"/>
      <c r="AA2508" s="204"/>
      <c r="AB2508" s="204"/>
      <c r="AC2508" s="204"/>
      <c r="AD2508" s="204"/>
      <c r="AE2508" s="204"/>
      <c r="AF2508" s="204"/>
    </row>
    <row r="2597" spans="2:32">
      <c r="B2597" s="204"/>
      <c r="C2597" s="204"/>
      <c r="D2597" s="204"/>
      <c r="E2597" s="204"/>
      <c r="F2597" s="204"/>
      <c r="G2597" s="204"/>
      <c r="H2597" s="204"/>
      <c r="I2597" s="204"/>
      <c r="J2597" s="204"/>
      <c r="K2597" s="204"/>
      <c r="L2597" s="204"/>
      <c r="M2597" s="204"/>
      <c r="N2597" s="204"/>
      <c r="O2597" s="204"/>
      <c r="P2597" s="204"/>
      <c r="Q2597" s="204"/>
      <c r="R2597" s="204"/>
      <c r="S2597" s="204"/>
      <c r="T2597" s="204"/>
      <c r="U2597" s="204"/>
      <c r="V2597" s="204"/>
      <c r="W2597" s="204"/>
      <c r="X2597" s="204"/>
      <c r="Y2597" s="204"/>
      <c r="Z2597" s="204"/>
      <c r="AA2597" s="204"/>
      <c r="AB2597" s="204"/>
      <c r="AC2597" s="204"/>
      <c r="AD2597" s="204"/>
      <c r="AE2597" s="204"/>
      <c r="AF2597" s="204"/>
    </row>
    <row r="2718" spans="2:32">
      <c r="B2718" s="204"/>
      <c r="C2718" s="204"/>
      <c r="D2718" s="204"/>
      <c r="E2718" s="204"/>
      <c r="F2718" s="204"/>
      <c r="G2718" s="204"/>
      <c r="H2718" s="204"/>
      <c r="I2718" s="204"/>
      <c r="J2718" s="204"/>
      <c r="K2718" s="204"/>
      <c r="L2718" s="204"/>
      <c r="M2718" s="204"/>
      <c r="N2718" s="204"/>
      <c r="O2718" s="204"/>
      <c r="P2718" s="204"/>
      <c r="Q2718" s="204"/>
      <c r="R2718" s="204"/>
      <c r="S2718" s="204"/>
      <c r="T2718" s="204"/>
      <c r="U2718" s="204"/>
      <c r="V2718" s="204"/>
      <c r="W2718" s="204"/>
      <c r="X2718" s="204"/>
      <c r="Y2718" s="204"/>
      <c r="Z2718" s="204"/>
      <c r="AA2718" s="204"/>
      <c r="AB2718" s="204"/>
      <c r="AC2718" s="204"/>
      <c r="AD2718" s="204"/>
      <c r="AE2718" s="204"/>
      <c r="AF2718" s="204"/>
    </row>
    <row r="2836" spans="2:32">
      <c r="B2836" s="204"/>
      <c r="C2836" s="204"/>
      <c r="D2836" s="204"/>
      <c r="E2836" s="204"/>
      <c r="F2836" s="204"/>
      <c r="G2836" s="204"/>
      <c r="H2836" s="204"/>
      <c r="I2836" s="204"/>
      <c r="J2836" s="204"/>
      <c r="K2836" s="204"/>
      <c r="L2836" s="204"/>
      <c r="M2836" s="204"/>
      <c r="N2836" s="204"/>
      <c r="O2836" s="204"/>
      <c r="P2836" s="204"/>
      <c r="Q2836" s="204"/>
      <c r="R2836" s="204"/>
      <c r="S2836" s="204"/>
      <c r="T2836" s="204"/>
      <c r="U2836" s="204"/>
      <c r="V2836" s="204"/>
      <c r="W2836" s="204"/>
      <c r="X2836" s="204"/>
      <c r="Y2836" s="204"/>
      <c r="Z2836" s="204"/>
      <c r="AA2836" s="204"/>
      <c r="AB2836" s="204"/>
      <c r="AC2836" s="204"/>
      <c r="AD2836" s="204"/>
      <c r="AE2836" s="204"/>
      <c r="AF2836" s="204"/>
    </row>
  </sheetData>
  <mergeCells count="20">
    <mergeCell ref="B141:AI141"/>
    <mergeCell ref="B307:AF307"/>
    <mergeCell ref="B510:AF510"/>
    <mergeCell ref="B711:AF711"/>
    <mergeCell ref="B886:AF886"/>
    <mergeCell ref="B1100:AF1100"/>
    <mergeCell ref="B1228:AF1228"/>
    <mergeCell ref="B1389:AF1389"/>
    <mergeCell ref="B1501:AF1501"/>
    <mergeCell ref="B1603:AF1603"/>
    <mergeCell ref="B1698:AF1698"/>
    <mergeCell ref="B1944:AF1944"/>
    <mergeCell ref="B2030:AF2030"/>
    <mergeCell ref="B2152:AF2152"/>
    <mergeCell ref="B2316:AF2316"/>
    <mergeCell ref="B2418:AF2418"/>
    <mergeCell ref="B2508:AF2508"/>
    <mergeCell ref="B2597:AF2597"/>
    <mergeCell ref="B2718:AF2718"/>
    <mergeCell ref="B2836:AF28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43"/>
  <sheetViews>
    <sheetView topLeftCell="B1" workbookViewId="0">
      <selection activeCell="J18" sqref="J18"/>
    </sheetView>
  </sheetViews>
  <sheetFormatPr defaultRowHeight="15"/>
  <cols>
    <col min="1" max="1" width="20.85546875" hidden="1" customWidth="1"/>
  </cols>
  <sheetData>
    <row r="1" spans="1:38" ht="15" customHeight="1">
      <c r="B1" t="s">
        <v>349</v>
      </c>
    </row>
    <row r="2" spans="1:38" ht="15" customHeight="1">
      <c r="B2" t="s">
        <v>350</v>
      </c>
    </row>
    <row r="3" spans="1:38" ht="15" customHeight="1">
      <c r="B3" t="s">
        <v>351</v>
      </c>
    </row>
    <row r="4" spans="1:38" ht="15" customHeight="1">
      <c r="B4" t="s">
        <v>352</v>
      </c>
    </row>
    <row r="5" spans="1:38" ht="15" customHeight="1">
      <c r="C5" t="s">
        <v>353</v>
      </c>
      <c r="D5" t="s">
        <v>354</v>
      </c>
      <c r="E5" t="s">
        <v>355</v>
      </c>
      <c r="F5">
        <v>2020</v>
      </c>
      <c r="G5">
        <v>2021</v>
      </c>
      <c r="H5">
        <v>2022</v>
      </c>
      <c r="I5">
        <v>2023</v>
      </c>
      <c r="J5">
        <v>2024</v>
      </c>
      <c r="K5">
        <v>2025</v>
      </c>
      <c r="L5">
        <v>2026</v>
      </c>
      <c r="M5">
        <v>2027</v>
      </c>
      <c r="N5">
        <v>2028</v>
      </c>
      <c r="O5">
        <v>2029</v>
      </c>
      <c r="P5">
        <v>2030</v>
      </c>
      <c r="Q5">
        <v>2031</v>
      </c>
      <c r="R5">
        <v>2032</v>
      </c>
      <c r="S5">
        <v>2033</v>
      </c>
      <c r="T5">
        <v>2034</v>
      </c>
      <c r="U5">
        <v>2035</v>
      </c>
      <c r="V5">
        <v>2036</v>
      </c>
      <c r="W5">
        <v>2037</v>
      </c>
      <c r="X5">
        <v>2038</v>
      </c>
      <c r="Y5">
        <v>2039</v>
      </c>
      <c r="Z5">
        <v>2040</v>
      </c>
      <c r="AA5">
        <v>2041</v>
      </c>
      <c r="AB5">
        <v>2042</v>
      </c>
      <c r="AC5">
        <v>2043</v>
      </c>
      <c r="AD5">
        <v>2044</v>
      </c>
      <c r="AE5">
        <v>2045</v>
      </c>
      <c r="AF5">
        <v>2046</v>
      </c>
      <c r="AG5">
        <v>2047</v>
      </c>
      <c r="AH5">
        <v>2048</v>
      </c>
      <c r="AI5">
        <v>2049</v>
      </c>
      <c r="AJ5">
        <v>2050</v>
      </c>
      <c r="AK5" t="s">
        <v>356</v>
      </c>
    </row>
    <row r="6" spans="1:38" ht="15" customHeight="1">
      <c r="B6" t="s">
        <v>357</v>
      </c>
    </row>
    <row r="7" spans="1:38">
      <c r="B7" t="s">
        <v>358</v>
      </c>
    </row>
    <row r="8" spans="1:38">
      <c r="B8" t="s">
        <v>359</v>
      </c>
      <c r="C8" t="s">
        <v>360</v>
      </c>
      <c r="D8" t="s">
        <v>361</v>
      </c>
      <c r="E8" t="s">
        <v>362</v>
      </c>
      <c r="G8">
        <v>12.939867</v>
      </c>
      <c r="H8">
        <v>13.152194</v>
      </c>
      <c r="I8">
        <v>13.342212</v>
      </c>
      <c r="J8">
        <v>13.532937</v>
      </c>
      <c r="K8">
        <v>13.721615999999999</v>
      </c>
      <c r="L8">
        <v>13.903945999999999</v>
      </c>
      <c r="M8">
        <v>14.084396999999999</v>
      </c>
      <c r="N8">
        <v>14.269409</v>
      </c>
      <c r="O8">
        <v>14.454908</v>
      </c>
      <c r="P8">
        <v>14.636996999999999</v>
      </c>
      <c r="Q8">
        <v>14.814411</v>
      </c>
      <c r="R8">
        <v>14.999154000000001</v>
      </c>
      <c r="S8">
        <v>15.181839</v>
      </c>
      <c r="T8">
        <v>15.356400000000001</v>
      </c>
      <c r="U8">
        <v>15.527476</v>
      </c>
      <c r="V8">
        <v>15.696768</v>
      </c>
      <c r="W8">
        <v>15.868364</v>
      </c>
      <c r="X8">
        <v>16.039974000000001</v>
      </c>
      <c r="Y8">
        <v>16.212418</v>
      </c>
      <c r="Z8">
        <v>16.385061</v>
      </c>
      <c r="AA8">
        <v>16.555987999999999</v>
      </c>
      <c r="AB8">
        <v>16.724229999999999</v>
      </c>
      <c r="AC8">
        <v>16.890961000000001</v>
      </c>
      <c r="AD8">
        <v>17.056512999999999</v>
      </c>
      <c r="AE8">
        <v>17.221209999999999</v>
      </c>
      <c r="AF8">
        <v>17.385035999999999</v>
      </c>
      <c r="AG8">
        <v>17.548895000000002</v>
      </c>
      <c r="AH8">
        <v>17.710915</v>
      </c>
      <c r="AI8">
        <v>17.872004</v>
      </c>
      <c r="AJ8">
        <v>18.031734</v>
      </c>
      <c r="AK8" s="126">
        <v>1.2E-2</v>
      </c>
    </row>
    <row r="9" spans="1:38">
      <c r="B9" t="s">
        <v>363</v>
      </c>
      <c r="C9" t="s">
        <v>364</v>
      </c>
      <c r="D9" t="s">
        <v>365</v>
      </c>
      <c r="E9" t="s">
        <v>362</v>
      </c>
      <c r="G9">
        <v>30.553937999999999</v>
      </c>
      <c r="H9">
        <v>30.675936</v>
      </c>
      <c r="I9">
        <v>30.782753</v>
      </c>
      <c r="J9">
        <v>30.885431000000001</v>
      </c>
      <c r="K9">
        <v>30.986736000000001</v>
      </c>
      <c r="L9">
        <v>31.084375000000001</v>
      </c>
      <c r="M9">
        <v>31.182482</v>
      </c>
      <c r="N9">
        <v>31.286263000000002</v>
      </c>
      <c r="O9">
        <v>31.391994</v>
      </c>
      <c r="P9">
        <v>31.495815</v>
      </c>
      <c r="Q9">
        <v>31.596684</v>
      </c>
      <c r="R9">
        <v>31.703641999999999</v>
      </c>
      <c r="S9">
        <v>31.809694</v>
      </c>
      <c r="T9">
        <v>31.908785000000002</v>
      </c>
      <c r="U9">
        <v>32.005138000000002</v>
      </c>
      <c r="V9">
        <v>32.098762999999998</v>
      </c>
      <c r="W9">
        <v>32.194690999999999</v>
      </c>
      <c r="X9">
        <v>32.291415999999998</v>
      </c>
      <c r="Y9">
        <v>32.390796999999999</v>
      </c>
      <c r="Z9">
        <v>32.491833</v>
      </c>
      <c r="AA9">
        <v>32.590778</v>
      </c>
      <c r="AB9">
        <v>32.687199</v>
      </c>
      <c r="AC9">
        <v>32.782111999999998</v>
      </c>
      <c r="AD9">
        <v>32.876044999999998</v>
      </c>
      <c r="AE9">
        <v>32.970554</v>
      </c>
      <c r="AF9">
        <v>33.064605999999998</v>
      </c>
      <c r="AG9">
        <v>33.159756000000002</v>
      </c>
      <c r="AH9">
        <v>33.253028999999998</v>
      </c>
      <c r="AI9">
        <v>33.345913000000003</v>
      </c>
      <c r="AJ9">
        <v>33.438988000000002</v>
      </c>
      <c r="AK9" s="126">
        <v>3.0000000000000001E-3</v>
      </c>
    </row>
    <row r="10" spans="1:38" ht="15" customHeight="1">
      <c r="A10" s="6" t="s">
        <v>366</v>
      </c>
      <c r="B10" s="158" t="s">
        <v>367</v>
      </c>
      <c r="C10" s="158" t="s">
        <v>368</v>
      </c>
      <c r="D10" s="158" t="s">
        <v>369</v>
      </c>
      <c r="E10" s="158" t="s">
        <v>362</v>
      </c>
      <c r="F10" s="158"/>
      <c r="G10" s="158">
        <v>1.316486</v>
      </c>
      <c r="H10" s="158">
        <v>1.3145690000000001</v>
      </c>
      <c r="I10" s="158">
        <v>1.312659</v>
      </c>
      <c r="J10" s="158">
        <v>1.310759</v>
      </c>
      <c r="K10" s="158">
        <v>1.3088660000000001</v>
      </c>
      <c r="L10" s="158">
        <v>1.30698</v>
      </c>
      <c r="M10" s="158">
        <v>1.305104</v>
      </c>
      <c r="N10" s="158">
        <v>1.3032330000000001</v>
      </c>
      <c r="O10" s="158">
        <v>1.3013710000000001</v>
      </c>
      <c r="P10" s="158">
        <v>1.299515</v>
      </c>
      <c r="Q10" s="158">
        <v>1.2976669999999999</v>
      </c>
      <c r="R10" s="158">
        <v>1.2958270000000001</v>
      </c>
      <c r="S10" s="158">
        <v>1.2939929999999999</v>
      </c>
      <c r="T10" s="158">
        <v>1.2921670000000001</v>
      </c>
      <c r="U10" s="158">
        <v>1.2903469999999999</v>
      </c>
      <c r="V10" s="158">
        <v>1.288535</v>
      </c>
      <c r="W10" s="158">
        <v>1.286729</v>
      </c>
      <c r="X10" s="158">
        <v>1.2849299999999999</v>
      </c>
      <c r="Y10" s="158">
        <v>1.2831379999999999</v>
      </c>
      <c r="Z10" s="158">
        <v>1.281352</v>
      </c>
      <c r="AA10" s="158">
        <v>1.2795730000000001</v>
      </c>
      <c r="AB10" s="158">
        <v>1.2778</v>
      </c>
      <c r="AC10" s="158">
        <v>1.2760339999999999</v>
      </c>
      <c r="AD10" s="158">
        <v>1.274273</v>
      </c>
      <c r="AE10" s="158">
        <v>1.272519</v>
      </c>
      <c r="AF10" s="158">
        <v>1.270772</v>
      </c>
      <c r="AG10" s="158">
        <v>1.2690300000000001</v>
      </c>
      <c r="AH10" s="158">
        <v>1.2672939999999999</v>
      </c>
      <c r="AI10" s="158">
        <v>1.2655639999999999</v>
      </c>
      <c r="AJ10" s="158">
        <v>1.263841</v>
      </c>
      <c r="AK10" s="159">
        <v>-1E-3</v>
      </c>
      <c r="AL10" s="158"/>
    </row>
    <row r="11" spans="1:38" ht="15" customHeight="1">
      <c r="B11" s="158" t="s">
        <v>370</v>
      </c>
      <c r="C11" s="158" t="s">
        <v>371</v>
      </c>
      <c r="D11" s="158" t="s">
        <v>372</v>
      </c>
      <c r="E11" s="158" t="s">
        <v>362</v>
      </c>
      <c r="F11" s="158"/>
      <c r="G11" s="158">
        <v>61.33672</v>
      </c>
      <c r="H11" s="158">
        <v>62.030872000000002</v>
      </c>
      <c r="I11" s="158">
        <v>62.670054999999998</v>
      </c>
      <c r="J11" s="158">
        <v>63.315551999999997</v>
      </c>
      <c r="K11" s="158">
        <v>63.953544999999998</v>
      </c>
      <c r="L11" s="158">
        <v>64.569389000000001</v>
      </c>
      <c r="M11" s="158">
        <v>65.174591000000007</v>
      </c>
      <c r="N11" s="158">
        <v>65.787826999999993</v>
      </c>
      <c r="O11" s="158">
        <v>66.398574999999994</v>
      </c>
      <c r="P11" s="158">
        <v>66.995452999999998</v>
      </c>
      <c r="Q11" s="158">
        <v>67.574905000000001</v>
      </c>
      <c r="R11" s="158">
        <v>68.175156000000001</v>
      </c>
      <c r="S11" s="158">
        <v>68.765227999999993</v>
      </c>
      <c r="T11" s="158">
        <v>69.327278000000007</v>
      </c>
      <c r="U11" s="158">
        <v>69.872078000000002</v>
      </c>
      <c r="V11" s="158">
        <v>70.404387999999997</v>
      </c>
      <c r="W11" s="158">
        <v>70.934273000000005</v>
      </c>
      <c r="X11" s="158">
        <v>71.465973000000005</v>
      </c>
      <c r="Y11" s="158">
        <v>71.999747999999997</v>
      </c>
      <c r="Z11" s="158">
        <v>72.535377999999994</v>
      </c>
      <c r="AA11" s="158">
        <v>73.065192999999994</v>
      </c>
      <c r="AB11" s="158">
        <v>73.586014000000006</v>
      </c>
      <c r="AC11" s="158">
        <v>74.100395000000006</v>
      </c>
      <c r="AD11" s="158">
        <v>74.608742000000007</v>
      </c>
      <c r="AE11" s="158">
        <v>75.111382000000006</v>
      </c>
      <c r="AF11" s="158">
        <v>75.607239000000007</v>
      </c>
      <c r="AG11" s="158">
        <v>76.097046000000006</v>
      </c>
      <c r="AH11" s="158">
        <v>76.576888999999994</v>
      </c>
      <c r="AI11" s="158">
        <v>77.048858999999993</v>
      </c>
      <c r="AJ11" s="158">
        <v>77.510254000000003</v>
      </c>
      <c r="AK11" s="159">
        <v>8.0000000000000002E-3</v>
      </c>
      <c r="AL11" s="158"/>
    </row>
    <row r="12" spans="1:38" ht="15" customHeight="1">
      <c r="B12" s="160" t="s">
        <v>373</v>
      </c>
      <c r="C12" s="160" t="s">
        <v>374</v>
      </c>
      <c r="D12" s="160" t="s">
        <v>375</v>
      </c>
      <c r="E12" s="160" t="s">
        <v>362</v>
      </c>
      <c r="F12" s="160"/>
      <c r="G12" s="160">
        <v>5.5030679999999998</v>
      </c>
      <c r="H12" s="160">
        <v>5.4526849999999998</v>
      </c>
      <c r="I12" s="160">
        <v>5.4032239999999998</v>
      </c>
      <c r="J12" s="160">
        <v>5.3546199999999997</v>
      </c>
      <c r="K12" s="160">
        <v>5.3063570000000002</v>
      </c>
      <c r="L12" s="160">
        <v>5.2583820000000001</v>
      </c>
      <c r="M12" s="160">
        <v>5.212059</v>
      </c>
      <c r="N12" s="160">
        <v>5.1677419999999996</v>
      </c>
      <c r="O12" s="160">
        <v>5.1257320000000002</v>
      </c>
      <c r="P12" s="160">
        <v>5.0860649999999996</v>
      </c>
      <c r="Q12" s="160">
        <v>5.0479989999999999</v>
      </c>
      <c r="R12" s="160">
        <v>5.0117200000000004</v>
      </c>
      <c r="S12" s="160">
        <v>4.9768169999999996</v>
      </c>
      <c r="T12" s="160">
        <v>4.9429259999999999</v>
      </c>
      <c r="U12" s="160">
        <v>4.9099630000000003</v>
      </c>
      <c r="V12" s="160">
        <v>4.8776929999999998</v>
      </c>
      <c r="W12" s="160">
        <v>4.8467859999999998</v>
      </c>
      <c r="X12" s="160">
        <v>4.8169969999999998</v>
      </c>
      <c r="Y12" s="160">
        <v>4.7880190000000002</v>
      </c>
      <c r="Z12" s="160">
        <v>4.7598130000000003</v>
      </c>
      <c r="AA12" s="160">
        <v>4.7317330000000002</v>
      </c>
      <c r="AB12" s="160">
        <v>4.7021059999999997</v>
      </c>
      <c r="AC12" s="160">
        <v>4.6710000000000003</v>
      </c>
      <c r="AD12" s="160">
        <v>4.6386349999999998</v>
      </c>
      <c r="AE12" s="160">
        <v>4.6052799999999996</v>
      </c>
      <c r="AF12" s="160">
        <v>4.571091</v>
      </c>
      <c r="AG12" s="160">
        <v>4.5354780000000003</v>
      </c>
      <c r="AH12" s="160">
        <v>4.4988289999999997</v>
      </c>
      <c r="AI12" s="160">
        <v>4.4615580000000001</v>
      </c>
      <c r="AJ12" s="160">
        <v>4.4240649999999997</v>
      </c>
      <c r="AK12" s="161">
        <v>-7.0000000000000001E-3</v>
      </c>
      <c r="AL12" s="160"/>
    </row>
    <row r="13" spans="1:38" ht="15" customHeight="1">
      <c r="B13" t="s">
        <v>376</v>
      </c>
      <c r="C13" t="s">
        <v>377</v>
      </c>
      <c r="D13" t="s">
        <v>378</v>
      </c>
      <c r="E13" t="s">
        <v>362</v>
      </c>
      <c r="G13">
        <v>5.2455569999999998</v>
      </c>
      <c r="H13">
        <v>5.2454549999999998</v>
      </c>
      <c r="I13">
        <v>5.243608</v>
      </c>
      <c r="J13">
        <v>5.2403820000000003</v>
      </c>
      <c r="K13">
        <v>5.236936</v>
      </c>
      <c r="L13">
        <v>5.2333239999999996</v>
      </c>
      <c r="M13">
        <v>5.2293669999999999</v>
      </c>
      <c r="N13">
        <v>5.225949</v>
      </c>
      <c r="O13">
        <v>5.2230210000000001</v>
      </c>
      <c r="P13">
        <v>5.2198409999999997</v>
      </c>
      <c r="Q13">
        <v>5.2165520000000001</v>
      </c>
      <c r="R13">
        <v>5.2144709999999996</v>
      </c>
      <c r="S13">
        <v>5.2127080000000001</v>
      </c>
      <c r="T13">
        <v>5.2107320000000001</v>
      </c>
      <c r="U13">
        <v>5.2089049999999997</v>
      </c>
      <c r="V13">
        <v>5.206887</v>
      </c>
      <c r="W13">
        <v>5.2041870000000001</v>
      </c>
      <c r="X13">
        <v>5.2006899999999998</v>
      </c>
      <c r="Y13">
        <v>5.19686</v>
      </c>
      <c r="Z13">
        <v>5.1929069999999999</v>
      </c>
      <c r="AA13">
        <v>5.1886830000000002</v>
      </c>
      <c r="AB13">
        <v>5.1827800000000002</v>
      </c>
      <c r="AC13">
        <v>5.1753260000000001</v>
      </c>
      <c r="AD13">
        <v>5.1669070000000001</v>
      </c>
      <c r="AE13">
        <v>5.1582319999999999</v>
      </c>
      <c r="AF13">
        <v>5.1495879999999996</v>
      </c>
      <c r="AG13">
        <v>5.1413000000000002</v>
      </c>
      <c r="AH13">
        <v>5.1330910000000003</v>
      </c>
      <c r="AI13">
        <v>5.1251259999999998</v>
      </c>
      <c r="AJ13">
        <v>5.1175750000000004</v>
      </c>
      <c r="AK13" s="126">
        <v>-1E-3</v>
      </c>
    </row>
    <row r="14" spans="1:38" ht="15" customHeight="1">
      <c r="B14" t="s">
        <v>379</v>
      </c>
      <c r="C14" t="s">
        <v>380</v>
      </c>
      <c r="D14" t="s">
        <v>381</v>
      </c>
      <c r="E14" t="s">
        <v>362</v>
      </c>
      <c r="G14">
        <v>3.3449999999999999E-3</v>
      </c>
      <c r="H14">
        <v>6.0419999999999996E-3</v>
      </c>
      <c r="I14">
        <v>8.4989999999999996E-3</v>
      </c>
      <c r="J14">
        <v>1.0799E-2</v>
      </c>
      <c r="K14">
        <v>1.3122E-2</v>
      </c>
      <c r="L14">
        <v>1.5544000000000001E-2</v>
      </c>
      <c r="M14">
        <v>1.7829000000000001E-2</v>
      </c>
      <c r="N14">
        <v>2.0043999999999999E-2</v>
      </c>
      <c r="O14">
        <v>2.2209E-2</v>
      </c>
      <c r="P14">
        <v>2.4265999999999999E-2</v>
      </c>
      <c r="Q14">
        <v>2.6259999999999999E-2</v>
      </c>
      <c r="R14">
        <v>2.8254999999999999E-2</v>
      </c>
      <c r="S14">
        <v>3.0242999999999999E-2</v>
      </c>
      <c r="T14">
        <v>3.2189000000000002E-2</v>
      </c>
      <c r="U14">
        <v>3.4111000000000002E-2</v>
      </c>
      <c r="V14">
        <v>3.5971000000000003E-2</v>
      </c>
      <c r="W14">
        <v>3.7733999999999997E-2</v>
      </c>
      <c r="X14">
        <v>3.9376000000000001E-2</v>
      </c>
      <c r="Y14">
        <v>4.0966000000000002E-2</v>
      </c>
      <c r="Z14">
        <v>4.2535000000000003E-2</v>
      </c>
      <c r="AA14">
        <v>4.4012000000000003E-2</v>
      </c>
      <c r="AB14">
        <v>4.5418E-2</v>
      </c>
      <c r="AC14">
        <v>4.6762999999999999E-2</v>
      </c>
      <c r="AD14">
        <v>4.8073999999999999E-2</v>
      </c>
      <c r="AE14">
        <v>4.9373E-2</v>
      </c>
      <c r="AF14">
        <v>5.0626999999999998E-2</v>
      </c>
      <c r="AG14">
        <v>5.1852000000000002E-2</v>
      </c>
      <c r="AH14">
        <v>5.3008E-2</v>
      </c>
      <c r="AI14">
        <v>5.4101999999999997E-2</v>
      </c>
      <c r="AJ14">
        <v>5.5149999999999998E-2</v>
      </c>
      <c r="AK14" s="126">
        <v>0.10100000000000001</v>
      </c>
    </row>
    <row r="15" spans="1:38" ht="15" customHeight="1">
      <c r="B15" s="162" t="s">
        <v>382</v>
      </c>
      <c r="C15" s="162" t="s">
        <v>383</v>
      </c>
      <c r="D15" s="162" t="s">
        <v>384</v>
      </c>
      <c r="E15" s="162" t="s">
        <v>362</v>
      </c>
      <c r="F15" s="162"/>
      <c r="G15" s="162">
        <v>3.324872</v>
      </c>
      <c r="H15" s="162">
        <v>3.2964319999999998</v>
      </c>
      <c r="I15" s="162">
        <v>3.2699129999999998</v>
      </c>
      <c r="J15" s="162">
        <v>3.244488</v>
      </c>
      <c r="K15" s="162">
        <v>3.2199460000000002</v>
      </c>
      <c r="L15" s="162">
        <v>3.1962470000000001</v>
      </c>
      <c r="M15" s="162">
        <v>3.1728730000000001</v>
      </c>
      <c r="N15" s="162">
        <v>3.149143</v>
      </c>
      <c r="O15" s="162">
        <v>3.1249910000000001</v>
      </c>
      <c r="P15" s="162">
        <v>3.1006659999999999</v>
      </c>
      <c r="Q15" s="162">
        <v>3.0757780000000001</v>
      </c>
      <c r="R15" s="162">
        <v>3.0499580000000002</v>
      </c>
      <c r="S15" s="162">
        <v>3.023234</v>
      </c>
      <c r="T15" s="162">
        <v>2.9958320000000001</v>
      </c>
      <c r="U15" s="162">
        <v>2.9677449999999999</v>
      </c>
      <c r="V15" s="162">
        <v>2.9390010000000002</v>
      </c>
      <c r="W15" s="162">
        <v>2.9111760000000002</v>
      </c>
      <c r="X15" s="162">
        <v>2.8841290000000002</v>
      </c>
      <c r="Y15" s="162">
        <v>2.8578220000000001</v>
      </c>
      <c r="Z15" s="162">
        <v>2.8317230000000002</v>
      </c>
      <c r="AA15" s="162">
        <v>2.8066439999999999</v>
      </c>
      <c r="AB15" s="162">
        <v>2.7830750000000002</v>
      </c>
      <c r="AC15" s="162">
        <v>2.7609050000000002</v>
      </c>
      <c r="AD15" s="162">
        <v>2.7401529999999998</v>
      </c>
      <c r="AE15" s="162">
        <v>2.7208999999999999</v>
      </c>
      <c r="AF15" s="162">
        <v>2.7029269999999999</v>
      </c>
      <c r="AG15" s="162">
        <v>2.6848359999999998</v>
      </c>
      <c r="AH15" s="162">
        <v>2.666614</v>
      </c>
      <c r="AI15" s="162">
        <v>2.6482130000000002</v>
      </c>
      <c r="AJ15" s="162">
        <v>2.629575</v>
      </c>
      <c r="AK15" s="163">
        <v>-8.0000000000000002E-3</v>
      </c>
      <c r="AL15" s="162"/>
    </row>
    <row r="16" spans="1:38" ht="15" customHeight="1">
      <c r="B16" t="s">
        <v>385</v>
      </c>
      <c r="C16" t="s">
        <v>386</v>
      </c>
      <c r="D16" t="s">
        <v>387</v>
      </c>
      <c r="E16" t="s">
        <v>362</v>
      </c>
      <c r="G16">
        <v>0.69181599999999999</v>
      </c>
      <c r="H16">
        <v>0.74820200000000003</v>
      </c>
      <c r="I16">
        <v>0.80043699999999995</v>
      </c>
      <c r="J16">
        <v>0.85279099999999997</v>
      </c>
      <c r="K16">
        <v>0.90398599999999996</v>
      </c>
      <c r="L16">
        <v>0.953071</v>
      </c>
      <c r="M16">
        <v>1.0011140000000001</v>
      </c>
      <c r="N16">
        <v>1.050052</v>
      </c>
      <c r="O16">
        <v>1.0995349999999999</v>
      </c>
      <c r="P16">
        <v>1.148657</v>
      </c>
      <c r="Q16">
        <v>1.1975880000000001</v>
      </c>
      <c r="R16">
        <v>1.2491300000000001</v>
      </c>
      <c r="S16">
        <v>1.301267</v>
      </c>
      <c r="T16">
        <v>1.3528279999999999</v>
      </c>
      <c r="U16">
        <v>1.404353</v>
      </c>
      <c r="V16">
        <v>1.456145</v>
      </c>
      <c r="W16">
        <v>1.5069300000000001</v>
      </c>
      <c r="X16">
        <v>1.557102</v>
      </c>
      <c r="Y16">
        <v>1.6066320000000001</v>
      </c>
      <c r="Z16">
        <v>1.6561349999999999</v>
      </c>
      <c r="AA16">
        <v>1.704539</v>
      </c>
      <c r="AB16">
        <v>1.75091</v>
      </c>
      <c r="AC16">
        <v>1.7955000000000001</v>
      </c>
      <c r="AD16">
        <v>1.8383620000000001</v>
      </c>
      <c r="AE16">
        <v>1.8793439999999999</v>
      </c>
      <c r="AF16">
        <v>1.9187209999999999</v>
      </c>
      <c r="AG16">
        <v>1.9577910000000001</v>
      </c>
      <c r="AH16">
        <v>1.9964900000000001</v>
      </c>
      <c r="AI16">
        <v>2.0349370000000002</v>
      </c>
      <c r="AJ16">
        <v>2.0729860000000002</v>
      </c>
      <c r="AK16" s="126">
        <v>3.9E-2</v>
      </c>
    </row>
    <row r="17" spans="1:38" ht="15" customHeight="1">
      <c r="A17" s="6" t="s">
        <v>388</v>
      </c>
      <c r="B17" t="s">
        <v>389</v>
      </c>
      <c r="C17" t="s">
        <v>390</v>
      </c>
      <c r="D17" t="s">
        <v>391</v>
      </c>
      <c r="E17" t="s">
        <v>362</v>
      </c>
      <c r="G17">
        <v>120.915672</v>
      </c>
      <c r="H17">
        <v>121.92237900000001</v>
      </c>
      <c r="I17">
        <v>122.833359</v>
      </c>
      <c r="J17">
        <v>123.74775700000001</v>
      </c>
      <c r="K17">
        <v>124.651115</v>
      </c>
      <c r="L17">
        <v>125.521248</v>
      </c>
      <c r="M17">
        <v>126.379822</v>
      </c>
      <c r="N17">
        <v>127.259659</v>
      </c>
      <c r="O17">
        <v>128.14233400000001</v>
      </c>
      <c r="P17">
        <v>129.00727800000001</v>
      </c>
      <c r="Q17">
        <v>129.84783899999999</v>
      </c>
      <c r="R17">
        <v>130.72730999999999</v>
      </c>
      <c r="S17">
        <v>131.59501599999999</v>
      </c>
      <c r="T17">
        <v>132.41914399999999</v>
      </c>
      <c r="U17">
        <v>133.22010800000001</v>
      </c>
      <c r="V17">
        <v>134.00415000000001</v>
      </c>
      <c r="W17">
        <v>134.79087799999999</v>
      </c>
      <c r="X17">
        <v>135.58058199999999</v>
      </c>
      <c r="Y17">
        <v>136.37638899999999</v>
      </c>
      <c r="Z17">
        <v>137.176727</v>
      </c>
      <c r="AA17">
        <v>137.96714800000001</v>
      </c>
      <c r="AB17">
        <v>138.739563</v>
      </c>
      <c r="AC17">
        <v>139.499008</v>
      </c>
      <c r="AD17">
        <v>140.24771100000001</v>
      </c>
      <c r="AE17">
        <v>140.98881499999999</v>
      </c>
      <c r="AF17">
        <v>141.720596</v>
      </c>
      <c r="AG17">
        <v>142.44596899999999</v>
      </c>
      <c r="AH17">
        <v>143.156158</v>
      </c>
      <c r="AI17">
        <v>143.85629299999999</v>
      </c>
      <c r="AJ17">
        <v>144.54415900000001</v>
      </c>
      <c r="AK17" s="126">
        <v>6.0000000000000001E-3</v>
      </c>
    </row>
    <row r="18" spans="1:38" ht="15" customHeight="1">
      <c r="A18" s="6" t="s">
        <v>392</v>
      </c>
      <c r="B18" t="s">
        <v>393</v>
      </c>
    </row>
    <row r="19" spans="1:38" ht="15" customHeight="1">
      <c r="A19" s="6" t="s">
        <v>394</v>
      </c>
      <c r="B19" t="s">
        <v>359</v>
      </c>
      <c r="C19" t="s">
        <v>395</v>
      </c>
      <c r="D19" t="s">
        <v>396</v>
      </c>
      <c r="E19" t="s">
        <v>362</v>
      </c>
      <c r="G19">
        <v>12.939864999999999</v>
      </c>
      <c r="H19">
        <v>13.152193</v>
      </c>
      <c r="I19">
        <v>13.342216000000001</v>
      </c>
      <c r="J19">
        <v>13.53294</v>
      </c>
      <c r="K19">
        <v>13.721614000000001</v>
      </c>
      <c r="L19">
        <v>13.903945999999999</v>
      </c>
      <c r="M19">
        <v>14.0844</v>
      </c>
      <c r="N19">
        <v>14.269408</v>
      </c>
      <c r="O19">
        <v>14.454908</v>
      </c>
      <c r="P19">
        <v>14.637002000000001</v>
      </c>
      <c r="Q19">
        <v>14.814411</v>
      </c>
      <c r="R19">
        <v>14.999155999999999</v>
      </c>
      <c r="S19">
        <v>15.181841</v>
      </c>
      <c r="T19">
        <v>15.356396</v>
      </c>
      <c r="U19">
        <v>15.527485</v>
      </c>
      <c r="V19">
        <v>15.696770000000001</v>
      </c>
      <c r="W19">
        <v>15.868359</v>
      </c>
      <c r="X19">
        <v>16.039975999999999</v>
      </c>
      <c r="Y19">
        <v>16.212420000000002</v>
      </c>
      <c r="Z19">
        <v>16.385062999999999</v>
      </c>
      <c r="AA19">
        <v>16.555987999999999</v>
      </c>
      <c r="AB19">
        <v>16.724229999999999</v>
      </c>
      <c r="AC19">
        <v>16.890958999999999</v>
      </c>
      <c r="AD19">
        <v>17.056512999999999</v>
      </c>
      <c r="AE19">
        <v>17.221212000000001</v>
      </c>
      <c r="AF19">
        <v>17.38504</v>
      </c>
      <c r="AG19">
        <v>17.548897</v>
      </c>
      <c r="AH19">
        <v>17.710916999999998</v>
      </c>
      <c r="AI19">
        <v>17.872008999999998</v>
      </c>
      <c r="AJ19">
        <v>18.031742000000001</v>
      </c>
      <c r="AK19" s="126">
        <v>1.2E-2</v>
      </c>
    </row>
    <row r="20" spans="1:38" ht="15" customHeight="1">
      <c r="A20" s="6" t="s">
        <v>397</v>
      </c>
      <c r="B20" t="s">
        <v>367</v>
      </c>
      <c r="C20" t="s">
        <v>398</v>
      </c>
      <c r="D20" t="s">
        <v>399</v>
      </c>
      <c r="E20" t="s">
        <v>362</v>
      </c>
      <c r="G20">
        <v>1.316486</v>
      </c>
      <c r="H20">
        <v>1.3145690000000001</v>
      </c>
      <c r="I20">
        <v>1.3126599999999999</v>
      </c>
      <c r="J20">
        <v>1.310759</v>
      </c>
      <c r="K20">
        <v>1.3088660000000001</v>
      </c>
      <c r="L20">
        <v>1.3069809999999999</v>
      </c>
      <c r="M20">
        <v>1.3051029999999999</v>
      </c>
      <c r="N20">
        <v>1.3032330000000001</v>
      </c>
      <c r="O20">
        <v>1.3013710000000001</v>
      </c>
      <c r="P20">
        <v>1.299515</v>
      </c>
      <c r="Q20">
        <v>1.297668</v>
      </c>
      <c r="R20">
        <v>1.2958270000000001</v>
      </c>
      <c r="S20">
        <v>1.2939940000000001</v>
      </c>
      <c r="T20">
        <v>1.2921670000000001</v>
      </c>
      <c r="U20">
        <v>1.2903480000000001</v>
      </c>
      <c r="V20">
        <v>1.288535</v>
      </c>
      <c r="W20">
        <v>1.286729</v>
      </c>
      <c r="X20">
        <v>1.2849299999999999</v>
      </c>
      <c r="Y20">
        <v>1.2831379999999999</v>
      </c>
      <c r="Z20">
        <v>1.281352</v>
      </c>
      <c r="AA20">
        <v>1.2795730000000001</v>
      </c>
      <c r="AB20">
        <v>1.2778</v>
      </c>
      <c r="AC20">
        <v>1.2760339999999999</v>
      </c>
      <c r="AD20">
        <v>1.2742739999999999</v>
      </c>
      <c r="AE20">
        <v>1.272519</v>
      </c>
      <c r="AF20">
        <v>1.270772</v>
      </c>
      <c r="AG20">
        <v>1.2690300000000001</v>
      </c>
      <c r="AH20">
        <v>1.2672939999999999</v>
      </c>
      <c r="AI20">
        <v>1.2655639999999999</v>
      </c>
      <c r="AJ20">
        <v>1.263841</v>
      </c>
      <c r="AK20" s="126">
        <v>-1E-3</v>
      </c>
    </row>
    <row r="21" spans="1:38" ht="15" customHeight="1">
      <c r="A21" s="6" t="s">
        <v>400</v>
      </c>
      <c r="B21" t="s">
        <v>385</v>
      </c>
      <c r="C21" t="s">
        <v>401</v>
      </c>
      <c r="D21" t="s">
        <v>402</v>
      </c>
      <c r="E21" t="s">
        <v>362</v>
      </c>
      <c r="G21">
        <v>0.69181599999999999</v>
      </c>
      <c r="H21">
        <v>0.74820200000000003</v>
      </c>
      <c r="I21">
        <v>0.80043699999999995</v>
      </c>
      <c r="J21">
        <v>0.85279099999999997</v>
      </c>
      <c r="K21">
        <v>0.90398599999999996</v>
      </c>
      <c r="L21">
        <v>0.953071</v>
      </c>
      <c r="M21">
        <v>1.001115</v>
      </c>
      <c r="N21">
        <v>1.050052</v>
      </c>
      <c r="O21">
        <v>1.099534</v>
      </c>
      <c r="P21">
        <v>1.148657</v>
      </c>
      <c r="Q21">
        <v>1.1975880000000001</v>
      </c>
      <c r="R21">
        <v>1.249131</v>
      </c>
      <c r="S21">
        <v>1.301267</v>
      </c>
      <c r="T21">
        <v>1.3528279999999999</v>
      </c>
      <c r="U21">
        <v>1.404353</v>
      </c>
      <c r="V21">
        <v>1.4561459999999999</v>
      </c>
      <c r="W21">
        <v>1.5069300000000001</v>
      </c>
      <c r="X21">
        <v>1.557102</v>
      </c>
      <c r="Y21">
        <v>1.6066320000000001</v>
      </c>
      <c r="Z21">
        <v>1.6561349999999999</v>
      </c>
      <c r="AA21">
        <v>1.7045399999999999</v>
      </c>
      <c r="AB21">
        <v>1.75091</v>
      </c>
      <c r="AC21">
        <v>1.795501</v>
      </c>
      <c r="AD21">
        <v>1.8383620000000001</v>
      </c>
      <c r="AE21">
        <v>1.8793439999999999</v>
      </c>
      <c r="AF21">
        <v>1.9187209999999999</v>
      </c>
      <c r="AG21">
        <v>1.9577910000000001</v>
      </c>
      <c r="AH21">
        <v>1.9964900000000001</v>
      </c>
      <c r="AI21">
        <v>2.0349370000000002</v>
      </c>
      <c r="AJ21">
        <v>2.0729860000000002</v>
      </c>
      <c r="AK21" s="126">
        <v>3.9E-2</v>
      </c>
    </row>
    <row r="22" spans="1:38" ht="15" customHeight="1">
      <c r="A22" s="6" t="s">
        <v>403</v>
      </c>
      <c r="B22" t="s">
        <v>404</v>
      </c>
      <c r="C22" t="s">
        <v>405</v>
      </c>
      <c r="D22" t="s">
        <v>406</v>
      </c>
      <c r="E22" t="s">
        <v>362</v>
      </c>
      <c r="G22">
        <v>64.167404000000005</v>
      </c>
      <c r="H22">
        <v>65.628074999999995</v>
      </c>
      <c r="I22">
        <v>67.026932000000002</v>
      </c>
      <c r="J22">
        <v>68.427588999999998</v>
      </c>
      <c r="K22">
        <v>69.819655999999995</v>
      </c>
      <c r="L22">
        <v>71.188896</v>
      </c>
      <c r="M22">
        <v>72.548157000000003</v>
      </c>
      <c r="N22">
        <v>73.918555999999995</v>
      </c>
      <c r="O22">
        <v>75.288826</v>
      </c>
      <c r="P22">
        <v>76.645781999999997</v>
      </c>
      <c r="Q22">
        <v>77.985336000000004</v>
      </c>
      <c r="R22">
        <v>79.348358000000005</v>
      </c>
      <c r="S22">
        <v>80.702156000000002</v>
      </c>
      <c r="T22">
        <v>82.026725999999996</v>
      </c>
      <c r="U22">
        <v>83.334877000000006</v>
      </c>
      <c r="V22">
        <v>84.630607999999995</v>
      </c>
      <c r="W22">
        <v>85.925674000000001</v>
      </c>
      <c r="X22">
        <v>87.220566000000005</v>
      </c>
      <c r="Y22">
        <v>88.517241999999996</v>
      </c>
      <c r="Z22">
        <v>89.814919000000003</v>
      </c>
      <c r="AA22">
        <v>91.104797000000005</v>
      </c>
      <c r="AB22">
        <v>92.381446999999994</v>
      </c>
      <c r="AC22">
        <v>93.648139999999998</v>
      </c>
      <c r="AD22">
        <v>94.906357</v>
      </c>
      <c r="AE22">
        <v>96.157784000000007</v>
      </c>
      <c r="AF22">
        <v>97.401618999999997</v>
      </c>
      <c r="AG22">
        <v>98.639374000000004</v>
      </c>
      <c r="AH22">
        <v>99.865723000000003</v>
      </c>
      <c r="AI22">
        <v>101.083763</v>
      </c>
      <c r="AJ22">
        <v>102.29199199999999</v>
      </c>
      <c r="AK22" s="126">
        <v>1.6E-2</v>
      </c>
    </row>
    <row r="23" spans="1:38" ht="15" customHeight="1">
      <c r="A23" s="6" t="s">
        <v>407</v>
      </c>
      <c r="B23" t="s">
        <v>408</v>
      </c>
      <c r="C23" t="s">
        <v>409</v>
      </c>
      <c r="D23" t="s">
        <v>410</v>
      </c>
      <c r="E23" t="s">
        <v>362</v>
      </c>
      <c r="G23">
        <v>58.043906999999997</v>
      </c>
      <c r="H23">
        <v>58.031306999999998</v>
      </c>
      <c r="I23">
        <v>58.008541000000001</v>
      </c>
      <c r="J23">
        <v>57.986195000000002</v>
      </c>
      <c r="K23">
        <v>57.964832000000001</v>
      </c>
      <c r="L23">
        <v>57.943119000000003</v>
      </c>
      <c r="M23">
        <v>57.920296</v>
      </c>
      <c r="N23">
        <v>57.900295</v>
      </c>
      <c r="O23">
        <v>57.881512000000001</v>
      </c>
      <c r="P23">
        <v>57.861091999999999</v>
      </c>
      <c r="Q23">
        <v>57.838935999999997</v>
      </c>
      <c r="R23">
        <v>57.822066999999997</v>
      </c>
      <c r="S23">
        <v>57.805351000000002</v>
      </c>
      <c r="T23">
        <v>57.785151999999997</v>
      </c>
      <c r="U23">
        <v>57.763770999999998</v>
      </c>
      <c r="V23">
        <v>57.741295000000001</v>
      </c>
      <c r="W23">
        <v>57.719054999999997</v>
      </c>
      <c r="X23">
        <v>57.696807999999997</v>
      </c>
      <c r="Y23">
        <v>57.675690000000003</v>
      </c>
      <c r="Z23">
        <v>57.655997999999997</v>
      </c>
      <c r="AA23">
        <v>57.635544000000003</v>
      </c>
      <c r="AB23">
        <v>57.613773000000002</v>
      </c>
      <c r="AC23">
        <v>57.591301000000001</v>
      </c>
      <c r="AD23">
        <v>57.568767999999999</v>
      </c>
      <c r="AE23">
        <v>57.546726</v>
      </c>
      <c r="AF23">
        <v>57.524543999999999</v>
      </c>
      <c r="AG23">
        <v>57.502636000000003</v>
      </c>
      <c r="AH23">
        <v>57.479495999999997</v>
      </c>
      <c r="AI23">
        <v>57.455703999999997</v>
      </c>
      <c r="AJ23">
        <v>57.431247999999997</v>
      </c>
      <c r="AK23" s="126">
        <v>0</v>
      </c>
    </row>
    <row r="24" spans="1:38" ht="15" customHeight="1">
      <c r="A24" s="6" t="s">
        <v>411</v>
      </c>
      <c r="B24" t="s">
        <v>389</v>
      </c>
      <c r="C24" t="s">
        <v>412</v>
      </c>
      <c r="D24" t="s">
        <v>413</v>
      </c>
      <c r="E24" t="s">
        <v>362</v>
      </c>
      <c r="G24">
        <v>137.15948499999999</v>
      </c>
      <c r="H24">
        <v>138.87434400000001</v>
      </c>
      <c r="I24">
        <v>140.49078399999999</v>
      </c>
      <c r="J24">
        <v>142.110275</v>
      </c>
      <c r="K24">
        <v>143.71894800000001</v>
      </c>
      <c r="L24">
        <v>145.29600500000001</v>
      </c>
      <c r="M24">
        <v>146.85907</v>
      </c>
      <c r="N24">
        <v>148.44154399999999</v>
      </c>
      <c r="O24">
        <v>150.02615399999999</v>
      </c>
      <c r="P24">
        <v>151.59204099999999</v>
      </c>
      <c r="Q24">
        <v>153.13394199999999</v>
      </c>
      <c r="R24">
        <v>154.714539</v>
      </c>
      <c r="S24">
        <v>156.28460699999999</v>
      </c>
      <c r="T24">
        <v>157.81326300000001</v>
      </c>
      <c r="U24">
        <v>159.320831</v>
      </c>
      <c r="V24">
        <v>160.813354</v>
      </c>
      <c r="W24">
        <v>162.306747</v>
      </c>
      <c r="X24">
        <v>163.79937699999999</v>
      </c>
      <c r="Y24">
        <v>165.29512</v>
      </c>
      <c r="Z24">
        <v>166.79345699999999</v>
      </c>
      <c r="AA24">
        <v>168.280441</v>
      </c>
      <c r="AB24">
        <v>169.748154</v>
      </c>
      <c r="AC24">
        <v>171.20193499999999</v>
      </c>
      <c r="AD24">
        <v>172.644272</v>
      </c>
      <c r="AE24">
        <v>174.07759100000001</v>
      </c>
      <c r="AF24">
        <v>175.50070199999999</v>
      </c>
      <c r="AG24">
        <v>176.91772499999999</v>
      </c>
      <c r="AH24">
        <v>178.31991600000001</v>
      </c>
      <c r="AI24">
        <v>179.711975</v>
      </c>
      <c r="AJ24">
        <v>181.091812</v>
      </c>
      <c r="AK24" s="126">
        <v>0.01</v>
      </c>
    </row>
    <row r="25" spans="1:38" ht="15" customHeight="1">
      <c r="A25" s="6" t="s">
        <v>414</v>
      </c>
      <c r="B25" t="s">
        <v>415</v>
      </c>
    </row>
    <row r="26" spans="1:38" ht="15" customHeight="1">
      <c r="A26" s="6" t="s">
        <v>416</v>
      </c>
      <c r="B26" t="s">
        <v>417</v>
      </c>
      <c r="C26" t="s">
        <v>418</v>
      </c>
      <c r="D26" t="s">
        <v>419</v>
      </c>
      <c r="E26" t="s">
        <v>362</v>
      </c>
      <c r="G26">
        <v>59.829864999999998</v>
      </c>
      <c r="H26">
        <v>60.213782999999999</v>
      </c>
      <c r="I26">
        <v>60.580871999999999</v>
      </c>
      <c r="J26">
        <v>61.036349999999999</v>
      </c>
      <c r="K26">
        <v>61.449547000000003</v>
      </c>
      <c r="L26">
        <v>61.813381</v>
      </c>
      <c r="M26">
        <v>62.155467999999999</v>
      </c>
      <c r="N26">
        <v>62.490932000000001</v>
      </c>
      <c r="O26">
        <v>62.812950000000001</v>
      </c>
      <c r="P26">
        <v>63.113571</v>
      </c>
      <c r="Q26">
        <v>63.422279000000003</v>
      </c>
      <c r="R26">
        <v>63.766238999999999</v>
      </c>
      <c r="S26">
        <v>64.118187000000006</v>
      </c>
      <c r="T26">
        <v>64.462592999999998</v>
      </c>
      <c r="U26">
        <v>64.813332000000003</v>
      </c>
      <c r="V26">
        <v>65.166488999999999</v>
      </c>
      <c r="W26">
        <v>65.528687000000005</v>
      </c>
      <c r="X26">
        <v>65.899276999999998</v>
      </c>
      <c r="Y26">
        <v>66.268958999999995</v>
      </c>
      <c r="Z26">
        <v>66.632171999999997</v>
      </c>
      <c r="AA26">
        <v>66.986678999999995</v>
      </c>
      <c r="AB26">
        <v>67.326194999999998</v>
      </c>
      <c r="AC26">
        <v>67.657355999999993</v>
      </c>
      <c r="AD26">
        <v>67.981658999999993</v>
      </c>
      <c r="AE26">
        <v>68.299132999999998</v>
      </c>
      <c r="AF26">
        <v>68.614402999999996</v>
      </c>
      <c r="AG26">
        <v>68.928023999999994</v>
      </c>
      <c r="AH26">
        <v>69.236953999999997</v>
      </c>
      <c r="AI26">
        <v>69.544441000000006</v>
      </c>
      <c r="AJ26">
        <v>69.853415999999996</v>
      </c>
      <c r="AK26" s="126">
        <v>5.0000000000000001E-3</v>
      </c>
    </row>
    <row r="27" spans="1:38">
      <c r="B27" s="164" t="s">
        <v>420</v>
      </c>
      <c r="C27" s="164" t="s">
        <v>421</v>
      </c>
      <c r="D27" s="164" t="s">
        <v>422</v>
      </c>
      <c r="E27" s="164" t="s">
        <v>362</v>
      </c>
      <c r="F27" s="164"/>
      <c r="G27" s="164">
        <v>60.704216000000002</v>
      </c>
      <c r="H27" s="164">
        <v>61.224212999999999</v>
      </c>
      <c r="I27" s="164">
        <v>61.727145999999998</v>
      </c>
      <c r="J27" s="164">
        <v>62.283768000000002</v>
      </c>
      <c r="K27" s="164">
        <v>62.855930000000001</v>
      </c>
      <c r="L27" s="164">
        <v>63.432217000000001</v>
      </c>
      <c r="M27" s="164">
        <v>64.010368</v>
      </c>
      <c r="N27" s="164">
        <v>64.605727999999999</v>
      </c>
      <c r="O27" s="164">
        <v>65.206588999999994</v>
      </c>
      <c r="P27" s="164">
        <v>65.800719999999998</v>
      </c>
      <c r="Q27" s="164">
        <v>66.369591</v>
      </c>
      <c r="R27" s="164">
        <v>66.945937999999998</v>
      </c>
      <c r="S27" s="164">
        <v>67.506172000000007</v>
      </c>
      <c r="T27" s="164">
        <v>68.033278999999993</v>
      </c>
      <c r="U27" s="164">
        <v>68.533332999999999</v>
      </c>
      <c r="V27" s="164">
        <v>69.014731999999995</v>
      </c>
      <c r="W27" s="164">
        <v>69.489388000000005</v>
      </c>
      <c r="X27" s="164">
        <v>69.957626000000005</v>
      </c>
      <c r="Y27" s="164">
        <v>70.430130000000005</v>
      </c>
      <c r="Z27" s="164">
        <v>70.910094999999998</v>
      </c>
      <c r="AA27" s="164">
        <v>71.386016999999995</v>
      </c>
      <c r="AB27" s="164">
        <v>71.855698000000004</v>
      </c>
      <c r="AC27" s="164">
        <v>72.318618999999998</v>
      </c>
      <c r="AD27" s="164">
        <v>72.775092999999998</v>
      </c>
      <c r="AE27" s="164">
        <v>73.227836999999994</v>
      </c>
      <c r="AF27" s="164">
        <v>73.671576999999999</v>
      </c>
      <c r="AG27" s="164">
        <v>74.108504999999994</v>
      </c>
      <c r="AH27" s="164">
        <v>74.533339999999995</v>
      </c>
      <c r="AI27" s="164">
        <v>74.948402000000002</v>
      </c>
      <c r="AJ27" s="164">
        <v>75.348823999999993</v>
      </c>
      <c r="AK27" s="165">
        <v>7.0000000000000001E-3</v>
      </c>
      <c r="AL27" s="164"/>
    </row>
    <row r="28" spans="1:38" ht="15" customHeight="1">
      <c r="B28" s="166" t="s">
        <v>373</v>
      </c>
      <c r="C28" s="166" t="s">
        <v>423</v>
      </c>
      <c r="D28" s="166" t="s">
        <v>424</v>
      </c>
      <c r="E28" s="166" t="s">
        <v>362</v>
      </c>
      <c r="F28" s="166"/>
      <c r="G28" s="166">
        <v>2.6025719999999999</v>
      </c>
      <c r="H28" s="166">
        <v>2.554386</v>
      </c>
      <c r="I28" s="166">
        <v>2.5109530000000002</v>
      </c>
      <c r="J28" s="166">
        <v>2.4688330000000001</v>
      </c>
      <c r="K28" s="166">
        <v>2.429554</v>
      </c>
      <c r="L28" s="166">
        <v>2.393059</v>
      </c>
      <c r="M28" s="166">
        <v>2.359057</v>
      </c>
      <c r="N28" s="166">
        <v>2.3285689999999999</v>
      </c>
      <c r="O28" s="166">
        <v>2.3015110000000001</v>
      </c>
      <c r="P28" s="166">
        <v>2.2775599999999998</v>
      </c>
      <c r="Q28" s="166">
        <v>2.251528</v>
      </c>
      <c r="R28" s="166">
        <v>2.2243240000000002</v>
      </c>
      <c r="S28" s="166">
        <v>2.1961789999999999</v>
      </c>
      <c r="T28" s="166">
        <v>2.167443</v>
      </c>
      <c r="U28" s="166">
        <v>2.1378119999999998</v>
      </c>
      <c r="V28" s="166">
        <v>2.107999</v>
      </c>
      <c r="W28" s="166">
        <v>2.0786410000000002</v>
      </c>
      <c r="X28" s="166">
        <v>2.0497779999999999</v>
      </c>
      <c r="Y28" s="166">
        <v>2.0216229999999999</v>
      </c>
      <c r="Z28" s="166">
        <v>1.9943759999999999</v>
      </c>
      <c r="AA28" s="166">
        <v>1.9679580000000001</v>
      </c>
      <c r="AB28" s="166">
        <v>1.942628</v>
      </c>
      <c r="AC28" s="166">
        <v>1.917783</v>
      </c>
      <c r="AD28" s="166">
        <v>1.893621</v>
      </c>
      <c r="AE28" s="166">
        <v>1.8702799999999999</v>
      </c>
      <c r="AF28" s="166">
        <v>1.84734</v>
      </c>
      <c r="AG28" s="166">
        <v>1.82491</v>
      </c>
      <c r="AH28" s="166">
        <v>1.8029729999999999</v>
      </c>
      <c r="AI28" s="166">
        <v>1.781409</v>
      </c>
      <c r="AJ28" s="166">
        <v>1.7601260000000001</v>
      </c>
      <c r="AK28" s="167">
        <v>-1.2999999999999999E-2</v>
      </c>
      <c r="AL28" s="166"/>
    </row>
    <row r="29" spans="1:38" ht="15" customHeight="1">
      <c r="A29" s="6" t="s">
        <v>425</v>
      </c>
      <c r="B29" t="s">
        <v>376</v>
      </c>
      <c r="C29" t="s">
        <v>426</v>
      </c>
      <c r="D29" t="s">
        <v>427</v>
      </c>
      <c r="E29" t="s">
        <v>362</v>
      </c>
      <c r="G29">
        <v>3.9986820000000001</v>
      </c>
      <c r="H29">
        <v>3.897122</v>
      </c>
      <c r="I29">
        <v>3.8046039999999999</v>
      </c>
      <c r="J29">
        <v>3.72221</v>
      </c>
      <c r="K29">
        <v>3.649823</v>
      </c>
      <c r="L29">
        <v>3.5863239999999998</v>
      </c>
      <c r="M29">
        <v>3.5291579999999998</v>
      </c>
      <c r="N29">
        <v>3.4794999999999998</v>
      </c>
      <c r="O29">
        <v>3.437484</v>
      </c>
      <c r="P29">
        <v>3.4029799999999999</v>
      </c>
      <c r="Q29">
        <v>3.3632949999999999</v>
      </c>
      <c r="R29">
        <v>3.3204929999999999</v>
      </c>
      <c r="S29">
        <v>3.2749790000000001</v>
      </c>
      <c r="T29">
        <v>3.2272349999999999</v>
      </c>
      <c r="U29">
        <v>3.1784439999999998</v>
      </c>
      <c r="V29">
        <v>3.1296539999999999</v>
      </c>
      <c r="W29">
        <v>3.0814520000000001</v>
      </c>
      <c r="X29">
        <v>3.0343339999999999</v>
      </c>
      <c r="Y29">
        <v>2.9891909999999999</v>
      </c>
      <c r="Z29">
        <v>2.9465349999999999</v>
      </c>
      <c r="AA29">
        <v>2.9059059999999999</v>
      </c>
      <c r="AB29">
        <v>2.867353</v>
      </c>
      <c r="AC29">
        <v>2.8306079999999998</v>
      </c>
      <c r="AD29">
        <v>2.795922</v>
      </c>
      <c r="AE29">
        <v>2.7634029999999998</v>
      </c>
      <c r="AF29">
        <v>2.7326250000000001</v>
      </c>
      <c r="AG29">
        <v>2.7035589999999998</v>
      </c>
      <c r="AH29">
        <v>2.6756099999999998</v>
      </c>
      <c r="AI29">
        <v>2.6486999999999998</v>
      </c>
      <c r="AJ29">
        <v>2.6227290000000001</v>
      </c>
      <c r="AK29" s="126">
        <v>-1.4E-2</v>
      </c>
    </row>
    <row r="30" spans="1:38" ht="15" customHeight="1">
      <c r="A30" s="6" t="s">
        <v>428</v>
      </c>
      <c r="B30" t="s">
        <v>429</v>
      </c>
      <c r="C30" t="s">
        <v>430</v>
      </c>
      <c r="D30" t="s">
        <v>431</v>
      </c>
      <c r="E30" t="s">
        <v>362</v>
      </c>
      <c r="G30">
        <v>1.873337</v>
      </c>
      <c r="H30">
        <v>2.1068470000000001</v>
      </c>
      <c r="I30">
        <v>2.264974</v>
      </c>
      <c r="J30">
        <v>2.272993</v>
      </c>
      <c r="K30">
        <v>2.2840500000000001</v>
      </c>
      <c r="L30">
        <v>2.2956349999999999</v>
      </c>
      <c r="M30">
        <v>2.306829</v>
      </c>
      <c r="N30">
        <v>2.317815</v>
      </c>
      <c r="O30">
        <v>2.3286609999999999</v>
      </c>
      <c r="P30">
        <v>2.3393890000000002</v>
      </c>
      <c r="Q30">
        <v>2.3503069999999999</v>
      </c>
      <c r="R30">
        <v>2.3618290000000002</v>
      </c>
      <c r="S30">
        <v>2.3735210000000002</v>
      </c>
      <c r="T30">
        <v>2.385176</v>
      </c>
      <c r="U30">
        <v>2.396525</v>
      </c>
      <c r="V30">
        <v>2.407451</v>
      </c>
      <c r="W30">
        <v>2.4178660000000001</v>
      </c>
      <c r="X30">
        <v>2.4277730000000002</v>
      </c>
      <c r="Y30">
        <v>2.4379050000000002</v>
      </c>
      <c r="Z30">
        <v>2.4482680000000001</v>
      </c>
      <c r="AA30">
        <v>2.458755</v>
      </c>
      <c r="AB30">
        <v>2.469354</v>
      </c>
      <c r="AC30">
        <v>2.4799190000000002</v>
      </c>
      <c r="AD30">
        <v>2.4904929999999998</v>
      </c>
      <c r="AE30">
        <v>2.5010910000000002</v>
      </c>
      <c r="AF30">
        <v>2.5115590000000001</v>
      </c>
      <c r="AG30">
        <v>2.5220379999999998</v>
      </c>
      <c r="AH30">
        <v>2.5324170000000001</v>
      </c>
      <c r="AI30">
        <v>2.5427179999999998</v>
      </c>
      <c r="AJ30">
        <v>2.5528919999999999</v>
      </c>
      <c r="AK30" s="126">
        <v>1.0999999999999999E-2</v>
      </c>
    </row>
    <row r="31" spans="1:38" ht="15" customHeight="1">
      <c r="A31" s="6" t="s">
        <v>432</v>
      </c>
      <c r="B31" t="s">
        <v>389</v>
      </c>
      <c r="C31" t="s">
        <v>433</v>
      </c>
      <c r="D31" t="s">
        <v>434</v>
      </c>
      <c r="E31" t="s">
        <v>362</v>
      </c>
      <c r="G31">
        <v>129.008667</v>
      </c>
      <c r="H31">
        <v>129.996353</v>
      </c>
      <c r="I31">
        <v>130.88855000000001</v>
      </c>
      <c r="J31">
        <v>131.78414900000001</v>
      </c>
      <c r="K31">
        <v>132.668915</v>
      </c>
      <c r="L31">
        <v>133.52061499999999</v>
      </c>
      <c r="M31">
        <v>134.36087000000001</v>
      </c>
      <c r="N31">
        <v>135.222534</v>
      </c>
      <c r="O31">
        <v>136.087189</v>
      </c>
      <c r="P31">
        <v>136.93421900000001</v>
      </c>
      <c r="Q31">
        <v>137.75700399999999</v>
      </c>
      <c r="R31">
        <v>138.61882</v>
      </c>
      <c r="S31">
        <v>139.46904000000001</v>
      </c>
      <c r="T31">
        <v>140.27574200000001</v>
      </c>
      <c r="U31">
        <v>141.05946399999999</v>
      </c>
      <c r="V31">
        <v>141.826324</v>
      </c>
      <c r="W31">
        <v>142.596024</v>
      </c>
      <c r="X31">
        <v>143.36878999999999</v>
      </c>
      <c r="Y31">
        <v>144.14782700000001</v>
      </c>
      <c r="Z31">
        <v>144.931442</v>
      </c>
      <c r="AA31">
        <v>145.705307</v>
      </c>
      <c r="AB31">
        <v>146.46122700000001</v>
      </c>
      <c r="AC31">
        <v>147.20429999999999</v>
      </c>
      <c r="AD31">
        <v>147.93678299999999</v>
      </c>
      <c r="AE31">
        <v>148.66175799999999</v>
      </c>
      <c r="AF31">
        <v>149.37750199999999</v>
      </c>
      <c r="AG31">
        <v>150.08702099999999</v>
      </c>
      <c r="AH31">
        <v>150.781296</v>
      </c>
      <c r="AI31">
        <v>151.46566799999999</v>
      </c>
      <c r="AJ31">
        <v>152.13798499999999</v>
      </c>
      <c r="AK31" s="126">
        <v>6.0000000000000001E-3</v>
      </c>
    </row>
    <row r="32" spans="1:38" ht="15" customHeight="1">
      <c r="A32" s="6" t="s">
        <v>435</v>
      </c>
      <c r="B32" t="s">
        <v>436</v>
      </c>
    </row>
    <row r="33" spans="1:37" ht="15" customHeight="1">
      <c r="A33" s="6" t="s">
        <v>437</v>
      </c>
      <c r="B33" t="s">
        <v>417</v>
      </c>
      <c r="C33" t="s">
        <v>438</v>
      </c>
      <c r="D33" t="s">
        <v>439</v>
      </c>
      <c r="E33" t="s">
        <v>362</v>
      </c>
      <c r="G33">
        <v>97.282805999999994</v>
      </c>
      <c r="H33">
        <v>97.787353999999993</v>
      </c>
      <c r="I33">
        <v>98.215041999999997</v>
      </c>
      <c r="J33">
        <v>98.632728999999998</v>
      </c>
      <c r="K33">
        <v>99.032143000000005</v>
      </c>
      <c r="L33">
        <v>99.396202000000002</v>
      </c>
      <c r="M33">
        <v>99.739356999999998</v>
      </c>
      <c r="N33">
        <v>100.082947</v>
      </c>
      <c r="O33">
        <v>100.388443</v>
      </c>
      <c r="P33">
        <v>100.639343</v>
      </c>
      <c r="Q33">
        <v>100.822762</v>
      </c>
      <c r="R33">
        <v>100.97788199999999</v>
      </c>
      <c r="S33">
        <v>101.154274</v>
      </c>
      <c r="T33">
        <v>101.35496500000001</v>
      </c>
      <c r="U33">
        <v>101.59815999999999</v>
      </c>
      <c r="V33">
        <v>101.897423</v>
      </c>
      <c r="W33">
        <v>102.27224</v>
      </c>
      <c r="X33">
        <v>102.638313</v>
      </c>
      <c r="Y33">
        <v>102.997772</v>
      </c>
      <c r="Z33">
        <v>103.34813699999999</v>
      </c>
      <c r="AA33">
        <v>103.67842899999999</v>
      </c>
      <c r="AB33">
        <v>103.982529</v>
      </c>
      <c r="AC33">
        <v>104.263802</v>
      </c>
      <c r="AD33">
        <v>104.524124</v>
      </c>
      <c r="AE33">
        <v>104.76752500000001</v>
      </c>
      <c r="AF33">
        <v>104.99548299999999</v>
      </c>
      <c r="AG33">
        <v>105.214249</v>
      </c>
      <c r="AH33">
        <v>105.421913</v>
      </c>
      <c r="AI33">
        <v>105.62771600000001</v>
      </c>
      <c r="AJ33">
        <v>105.83530399999999</v>
      </c>
      <c r="AK33" s="126">
        <v>3.0000000000000001E-3</v>
      </c>
    </row>
    <row r="34" spans="1:37" ht="15" customHeight="1">
      <c r="A34" s="6" t="s">
        <v>440</v>
      </c>
      <c r="B34" t="s">
        <v>420</v>
      </c>
      <c r="C34" t="s">
        <v>441</v>
      </c>
      <c r="D34" t="s">
        <v>442</v>
      </c>
      <c r="E34" t="s">
        <v>362</v>
      </c>
      <c r="G34">
        <v>48.396942000000003</v>
      </c>
      <c r="H34">
        <v>48.864845000000003</v>
      </c>
      <c r="I34">
        <v>49.317436000000001</v>
      </c>
      <c r="J34">
        <v>49.785069</v>
      </c>
      <c r="K34">
        <v>50.261313999999999</v>
      </c>
      <c r="L34">
        <v>50.742012000000003</v>
      </c>
      <c r="M34">
        <v>51.236865999999999</v>
      </c>
      <c r="N34">
        <v>51.756042000000001</v>
      </c>
      <c r="O34">
        <v>52.320065</v>
      </c>
      <c r="P34">
        <v>52.924976000000001</v>
      </c>
      <c r="Q34">
        <v>53.576504</v>
      </c>
      <c r="R34">
        <v>54.296326000000001</v>
      </c>
      <c r="S34">
        <v>54.979056999999997</v>
      </c>
      <c r="T34">
        <v>55.590328</v>
      </c>
      <c r="U34">
        <v>56.132182999999998</v>
      </c>
      <c r="V34">
        <v>56.597126000000003</v>
      </c>
      <c r="W34">
        <v>56.985869999999998</v>
      </c>
      <c r="X34">
        <v>57.389172000000002</v>
      </c>
      <c r="Y34">
        <v>57.807803999999997</v>
      </c>
      <c r="Z34">
        <v>58.242534999999997</v>
      </c>
      <c r="AA34">
        <v>58.690311000000001</v>
      </c>
      <c r="AB34">
        <v>59.148795999999997</v>
      </c>
      <c r="AC34">
        <v>59.618918999999998</v>
      </c>
      <c r="AD34">
        <v>60.099831000000002</v>
      </c>
      <c r="AE34">
        <v>60.589511999999999</v>
      </c>
      <c r="AF34">
        <v>61.083973</v>
      </c>
      <c r="AG34">
        <v>61.579158999999997</v>
      </c>
      <c r="AH34">
        <v>62.068328999999999</v>
      </c>
      <c r="AI34">
        <v>62.547977000000003</v>
      </c>
      <c r="AJ34">
        <v>63.01305</v>
      </c>
      <c r="AK34" s="126">
        <v>8.9999999999999993E-3</v>
      </c>
    </row>
    <row r="35" spans="1:37">
      <c r="B35" t="s">
        <v>376</v>
      </c>
      <c r="C35" t="s">
        <v>443</v>
      </c>
      <c r="D35" t="s">
        <v>444</v>
      </c>
      <c r="E35" t="s">
        <v>362</v>
      </c>
      <c r="G35">
        <v>7.2159370000000003</v>
      </c>
      <c r="H35">
        <v>7.1989869999999998</v>
      </c>
      <c r="I35">
        <v>7.1787840000000003</v>
      </c>
      <c r="J35">
        <v>7.1571439999999997</v>
      </c>
      <c r="K35">
        <v>7.1345010000000002</v>
      </c>
      <c r="L35">
        <v>7.1098059999999998</v>
      </c>
      <c r="M35">
        <v>7.0806550000000001</v>
      </c>
      <c r="N35">
        <v>7.0481860000000003</v>
      </c>
      <c r="O35">
        <v>7.0122790000000004</v>
      </c>
      <c r="P35">
        <v>6.9723980000000001</v>
      </c>
      <c r="Q35">
        <v>6.929494</v>
      </c>
      <c r="R35">
        <v>6.8856950000000001</v>
      </c>
      <c r="S35">
        <v>6.8462370000000004</v>
      </c>
      <c r="T35">
        <v>6.8105039999999999</v>
      </c>
      <c r="U35">
        <v>6.778969</v>
      </c>
      <c r="V35">
        <v>6.751493</v>
      </c>
      <c r="W35">
        <v>6.7276939999999996</v>
      </c>
      <c r="X35">
        <v>6.7012729999999996</v>
      </c>
      <c r="Y35">
        <v>6.6724949999999996</v>
      </c>
      <c r="Z35">
        <v>6.6414689999999998</v>
      </c>
      <c r="AA35">
        <v>6.6077760000000003</v>
      </c>
      <c r="AB35">
        <v>6.5718139999999998</v>
      </c>
      <c r="AC35">
        <v>6.5343140000000002</v>
      </c>
      <c r="AD35">
        <v>6.4964389999999996</v>
      </c>
      <c r="AE35">
        <v>6.4594129999999996</v>
      </c>
      <c r="AF35">
        <v>6.4239769999999998</v>
      </c>
      <c r="AG35">
        <v>6.3908209999999999</v>
      </c>
      <c r="AH35">
        <v>6.3596640000000004</v>
      </c>
      <c r="AI35">
        <v>6.3301319999999999</v>
      </c>
      <c r="AJ35">
        <v>6.301469</v>
      </c>
      <c r="AK35" s="126">
        <v>-5.0000000000000001E-3</v>
      </c>
    </row>
    <row r="36" spans="1:37" ht="15" customHeight="1">
      <c r="B36" t="s">
        <v>389</v>
      </c>
      <c r="C36" t="s">
        <v>445</v>
      </c>
      <c r="D36" t="s">
        <v>446</v>
      </c>
      <c r="E36" t="s">
        <v>362</v>
      </c>
      <c r="G36">
        <v>152.895691</v>
      </c>
      <c r="H36">
        <v>153.851181</v>
      </c>
      <c r="I36">
        <v>154.71125799999999</v>
      </c>
      <c r="J36">
        <v>155.574951</v>
      </c>
      <c r="K36">
        <v>156.42796300000001</v>
      </c>
      <c r="L36">
        <v>157.24801600000001</v>
      </c>
      <c r="M36">
        <v>158.05688499999999</v>
      </c>
      <c r="N36">
        <v>158.88717700000001</v>
      </c>
      <c r="O36">
        <v>159.72079500000001</v>
      </c>
      <c r="P36">
        <v>160.53671299999999</v>
      </c>
      <c r="Q36">
        <v>161.32875100000001</v>
      </c>
      <c r="R36">
        <v>162.159897</v>
      </c>
      <c r="S36">
        <v>162.979568</v>
      </c>
      <c r="T36">
        <v>163.755798</v>
      </c>
      <c r="U36">
        <v>164.509308</v>
      </c>
      <c r="V36">
        <v>165.246048</v>
      </c>
      <c r="W36">
        <v>165.98580899999999</v>
      </c>
      <c r="X36">
        <v>166.72875999999999</v>
      </c>
      <c r="Y36">
        <v>167.47807299999999</v>
      </c>
      <c r="Z36">
        <v>168.23213200000001</v>
      </c>
      <c r="AA36">
        <v>168.976517</v>
      </c>
      <c r="AB36">
        <v>169.703125</v>
      </c>
      <c r="AC36">
        <v>170.41703799999999</v>
      </c>
      <c r="AD36">
        <v>171.120407</v>
      </c>
      <c r="AE36">
        <v>171.816452</v>
      </c>
      <c r="AF36">
        <v>172.503433</v>
      </c>
      <c r="AG36">
        <v>173.184235</v>
      </c>
      <c r="AH36">
        <v>173.84989899999999</v>
      </c>
      <c r="AI36">
        <v>174.50582900000001</v>
      </c>
      <c r="AJ36">
        <v>175.14982599999999</v>
      </c>
      <c r="AK36" s="126">
        <v>5.0000000000000001E-3</v>
      </c>
    </row>
    <row r="37" spans="1:37" ht="15" customHeight="1">
      <c r="A37" s="6" t="s">
        <v>447</v>
      </c>
      <c r="B37" t="s">
        <v>448</v>
      </c>
    </row>
    <row r="38" spans="1:37" ht="15" customHeight="1">
      <c r="A38" s="6" t="s">
        <v>449</v>
      </c>
      <c r="B38" t="s">
        <v>417</v>
      </c>
      <c r="C38" t="s">
        <v>450</v>
      </c>
      <c r="D38" t="s">
        <v>451</v>
      </c>
      <c r="E38" t="s">
        <v>362</v>
      </c>
      <c r="G38">
        <v>84.746170000000006</v>
      </c>
      <c r="H38">
        <v>86.235473999999996</v>
      </c>
      <c r="I38">
        <v>87.634345999999994</v>
      </c>
      <c r="J38">
        <v>89.025756999999999</v>
      </c>
      <c r="K38">
        <v>90.409912000000006</v>
      </c>
      <c r="L38">
        <v>91.740775999999997</v>
      </c>
      <c r="M38">
        <v>93.044623999999999</v>
      </c>
      <c r="N38">
        <v>94.368133999999998</v>
      </c>
      <c r="O38">
        <v>95.694359000000006</v>
      </c>
      <c r="P38">
        <v>97.005806000000007</v>
      </c>
      <c r="Q38">
        <v>98.296959000000001</v>
      </c>
      <c r="R38">
        <v>99.628151000000003</v>
      </c>
      <c r="S38">
        <v>100.95462000000001</v>
      </c>
      <c r="T38">
        <v>102.286011</v>
      </c>
      <c r="U38">
        <v>103.60919199999999</v>
      </c>
      <c r="V38">
        <v>104.931602</v>
      </c>
      <c r="W38">
        <v>106.24234</v>
      </c>
      <c r="X38">
        <v>107.54413599999999</v>
      </c>
      <c r="Y38">
        <v>108.84335299999999</v>
      </c>
      <c r="Z38">
        <v>110.137047</v>
      </c>
      <c r="AA38">
        <v>111.41454299999999</v>
      </c>
      <c r="AB38">
        <v>112.66831999999999</v>
      </c>
      <c r="AC38">
        <v>113.905731</v>
      </c>
      <c r="AD38">
        <v>115.130562</v>
      </c>
      <c r="AE38">
        <v>116.34580200000001</v>
      </c>
      <c r="AF38">
        <v>117.55255099999999</v>
      </c>
      <c r="AG38">
        <v>118.752441</v>
      </c>
      <c r="AH38">
        <v>119.93815600000001</v>
      </c>
      <c r="AI38">
        <v>121.113731</v>
      </c>
      <c r="AJ38">
        <v>122.27639000000001</v>
      </c>
      <c r="AK38" s="126">
        <v>1.2999999999999999E-2</v>
      </c>
    </row>
    <row r="39" spans="1:37" ht="15" customHeight="1">
      <c r="A39" s="6" t="s">
        <v>452</v>
      </c>
      <c r="B39" t="s">
        <v>420</v>
      </c>
      <c r="C39" t="s">
        <v>453</v>
      </c>
      <c r="D39" t="s">
        <v>454</v>
      </c>
      <c r="E39" t="s">
        <v>362</v>
      </c>
      <c r="G39">
        <v>19.709596999999999</v>
      </c>
      <c r="H39">
        <v>20.023541999999999</v>
      </c>
      <c r="I39">
        <v>20.338560000000001</v>
      </c>
      <c r="J39">
        <v>20.669288999999999</v>
      </c>
      <c r="K39">
        <v>21.015242000000001</v>
      </c>
      <c r="L39">
        <v>21.379358</v>
      </c>
      <c r="M39">
        <v>21.76585</v>
      </c>
      <c r="N39">
        <v>22.150590999999999</v>
      </c>
      <c r="O39">
        <v>22.533481999999999</v>
      </c>
      <c r="P39">
        <v>22.910875000000001</v>
      </c>
      <c r="Q39">
        <v>23.281893</v>
      </c>
      <c r="R39">
        <v>23.653245999999999</v>
      </c>
      <c r="S39">
        <v>24.015889999999999</v>
      </c>
      <c r="T39">
        <v>24.363271999999998</v>
      </c>
      <c r="U39">
        <v>24.692194000000001</v>
      </c>
      <c r="V39">
        <v>25.002323000000001</v>
      </c>
      <c r="W39">
        <v>25.322683000000001</v>
      </c>
      <c r="X39">
        <v>25.652546000000001</v>
      </c>
      <c r="Y39">
        <v>25.990679</v>
      </c>
      <c r="Z39">
        <v>26.336732999999999</v>
      </c>
      <c r="AA39">
        <v>26.687059000000001</v>
      </c>
      <c r="AB39">
        <v>27.039303</v>
      </c>
      <c r="AC39">
        <v>27.391558</v>
      </c>
      <c r="AD39">
        <v>27.742498000000001</v>
      </c>
      <c r="AE39">
        <v>28.091401999999999</v>
      </c>
      <c r="AF39">
        <v>28.436264000000001</v>
      </c>
      <c r="AG39">
        <v>28.777365</v>
      </c>
      <c r="AH39">
        <v>29.113682000000001</v>
      </c>
      <c r="AI39">
        <v>29.446186000000001</v>
      </c>
      <c r="AJ39">
        <v>29.77441</v>
      </c>
      <c r="AK39" s="126">
        <v>1.4E-2</v>
      </c>
    </row>
    <row r="40" spans="1:37" ht="15" customHeight="1">
      <c r="A40" s="6" t="s">
        <v>455</v>
      </c>
      <c r="B40" t="s">
        <v>389</v>
      </c>
      <c r="C40" t="s">
        <v>456</v>
      </c>
      <c r="D40" t="s">
        <v>457</v>
      </c>
      <c r="E40" t="s">
        <v>362</v>
      </c>
      <c r="G40">
        <v>104.455765</v>
      </c>
      <c r="H40">
        <v>106.259018</v>
      </c>
      <c r="I40">
        <v>107.972908</v>
      </c>
      <c r="J40">
        <v>109.69504499999999</v>
      </c>
      <c r="K40">
        <v>111.425156</v>
      </c>
      <c r="L40">
        <v>113.120132</v>
      </c>
      <c r="M40">
        <v>114.81047100000001</v>
      </c>
      <c r="N40">
        <v>116.51872299999999</v>
      </c>
      <c r="O40">
        <v>118.227844</v>
      </c>
      <c r="P40">
        <v>119.916679</v>
      </c>
      <c r="Q40">
        <v>121.57885</v>
      </c>
      <c r="R40">
        <v>123.281395</v>
      </c>
      <c r="S40">
        <v>124.970512</v>
      </c>
      <c r="T40">
        <v>126.64928399999999</v>
      </c>
      <c r="U40">
        <v>128.30139199999999</v>
      </c>
      <c r="V40">
        <v>129.93392900000001</v>
      </c>
      <c r="W40">
        <v>131.56501800000001</v>
      </c>
      <c r="X40">
        <v>133.196686</v>
      </c>
      <c r="Y40">
        <v>134.83403000000001</v>
      </c>
      <c r="Z40">
        <v>136.47378499999999</v>
      </c>
      <c r="AA40">
        <v>138.101608</v>
      </c>
      <c r="AB40">
        <v>139.707626</v>
      </c>
      <c r="AC40">
        <v>141.29728700000001</v>
      </c>
      <c r="AD40">
        <v>142.873062</v>
      </c>
      <c r="AE40">
        <v>144.43720999999999</v>
      </c>
      <c r="AF40">
        <v>145.98881499999999</v>
      </c>
      <c r="AG40">
        <v>147.52979999999999</v>
      </c>
      <c r="AH40">
        <v>149.05183400000001</v>
      </c>
      <c r="AI40">
        <v>150.559921</v>
      </c>
      <c r="AJ40">
        <v>152.05079699999999</v>
      </c>
      <c r="AK40" s="126">
        <v>1.2999999999999999E-2</v>
      </c>
    </row>
    <row r="41" spans="1:37" ht="15" customHeight="1">
      <c r="A41" s="6" t="s">
        <v>458</v>
      </c>
      <c r="B41" t="s">
        <v>459</v>
      </c>
    </row>
    <row r="42" spans="1:37" ht="15" customHeight="1">
      <c r="A42" s="6" t="s">
        <v>460</v>
      </c>
      <c r="B42" t="s">
        <v>461</v>
      </c>
      <c r="C42" t="s">
        <v>462</v>
      </c>
      <c r="D42" t="s">
        <v>463</v>
      </c>
      <c r="E42" t="s">
        <v>362</v>
      </c>
      <c r="G42">
        <v>170.63339199999999</v>
      </c>
      <c r="H42">
        <v>172.104568</v>
      </c>
      <c r="I42">
        <v>173.44502299999999</v>
      </c>
      <c r="J42">
        <v>174.80096399999999</v>
      </c>
      <c r="K42">
        <v>176.14250200000001</v>
      </c>
      <c r="L42">
        <v>177.43580600000001</v>
      </c>
      <c r="M42">
        <v>178.70770300000001</v>
      </c>
      <c r="N42">
        <v>180.007553</v>
      </c>
      <c r="O42">
        <v>181.311249</v>
      </c>
      <c r="P42">
        <v>182.588593</v>
      </c>
      <c r="Q42">
        <v>183.830322</v>
      </c>
      <c r="R42">
        <v>185.13275100000001</v>
      </c>
      <c r="S42">
        <v>186.41868600000001</v>
      </c>
      <c r="T42">
        <v>187.64331100000001</v>
      </c>
      <c r="U42">
        <v>188.83479299999999</v>
      </c>
      <c r="V42">
        <v>190.00289900000001</v>
      </c>
      <c r="W42">
        <v>191.17137099999999</v>
      </c>
      <c r="X42">
        <v>192.343155</v>
      </c>
      <c r="Y42">
        <v>193.52160599999999</v>
      </c>
      <c r="Z42">
        <v>194.70668000000001</v>
      </c>
      <c r="AA42">
        <v>195.87918099999999</v>
      </c>
      <c r="AB42">
        <v>197.02565000000001</v>
      </c>
      <c r="AC42">
        <v>198.153244</v>
      </c>
      <c r="AD42">
        <v>199.26563999999999</v>
      </c>
      <c r="AE42">
        <v>200.365509</v>
      </c>
      <c r="AF42">
        <v>201.45138499999999</v>
      </c>
      <c r="AG42">
        <v>202.52565000000001</v>
      </c>
      <c r="AH42">
        <v>203.577179</v>
      </c>
      <c r="AI42">
        <v>204.612549</v>
      </c>
      <c r="AJ42">
        <v>205.62712099999999</v>
      </c>
      <c r="AK42" s="126">
        <v>6.0000000000000001E-3</v>
      </c>
    </row>
    <row r="43" spans="1:37">
      <c r="B43" t="s">
        <v>464</v>
      </c>
      <c r="C43" t="s">
        <v>465</v>
      </c>
      <c r="D43" t="s">
        <v>466</v>
      </c>
      <c r="E43" t="s">
        <v>362</v>
      </c>
      <c r="G43">
        <v>44.947986999999998</v>
      </c>
      <c r="H43">
        <v>45.289402000000003</v>
      </c>
      <c r="I43">
        <v>45.602820999999999</v>
      </c>
      <c r="J43">
        <v>45.922535000000003</v>
      </c>
      <c r="K43">
        <v>46.241211</v>
      </c>
      <c r="L43">
        <v>46.551991000000001</v>
      </c>
      <c r="M43">
        <v>46.854709999999997</v>
      </c>
      <c r="N43">
        <v>47.162128000000003</v>
      </c>
      <c r="O43">
        <v>47.470244999999998</v>
      </c>
      <c r="P43">
        <v>47.771068999999997</v>
      </c>
      <c r="Q43">
        <v>48.063628999999999</v>
      </c>
      <c r="R43">
        <v>48.372039999999998</v>
      </c>
      <c r="S43">
        <v>48.677734000000001</v>
      </c>
      <c r="T43">
        <v>48.970444000000001</v>
      </c>
      <c r="U43">
        <v>49.256191000000001</v>
      </c>
      <c r="V43">
        <v>49.536830999999999</v>
      </c>
      <c r="W43">
        <v>49.814934000000001</v>
      </c>
      <c r="X43">
        <v>50.091827000000002</v>
      </c>
      <c r="Y43">
        <v>50.368972999999997</v>
      </c>
      <c r="Z43">
        <v>50.647869</v>
      </c>
      <c r="AA43">
        <v>50.923865999999997</v>
      </c>
      <c r="AB43">
        <v>51.193691000000001</v>
      </c>
      <c r="AC43">
        <v>51.459049</v>
      </c>
      <c r="AD43">
        <v>51.721454999999999</v>
      </c>
      <c r="AE43">
        <v>51.981228000000002</v>
      </c>
      <c r="AF43">
        <v>52.237853999999999</v>
      </c>
      <c r="AG43">
        <v>52.491165000000002</v>
      </c>
      <c r="AH43">
        <v>52.738608999999997</v>
      </c>
      <c r="AI43">
        <v>52.981316</v>
      </c>
      <c r="AJ43">
        <v>53.217987000000001</v>
      </c>
      <c r="AK43" s="126">
        <v>6.0000000000000001E-3</v>
      </c>
    </row>
    <row r="44" spans="1:37" ht="15" customHeight="1">
      <c r="B44" t="s">
        <v>467</v>
      </c>
    </row>
    <row r="45" spans="1:37" ht="15" customHeight="1">
      <c r="A45" s="6" t="s">
        <v>468</v>
      </c>
      <c r="B45" t="s">
        <v>358</v>
      </c>
    </row>
    <row r="46" spans="1:37" ht="15" customHeight="1">
      <c r="A46" s="6" t="s">
        <v>469</v>
      </c>
      <c r="B46" t="s">
        <v>470</v>
      </c>
      <c r="C46" t="s">
        <v>471</v>
      </c>
      <c r="D46" t="s">
        <v>472</v>
      </c>
      <c r="E46" t="s">
        <v>473</v>
      </c>
      <c r="G46">
        <v>8.1520740000000007</v>
      </c>
      <c r="H46">
        <v>8.1961180000000002</v>
      </c>
      <c r="I46">
        <v>8.2870659999999994</v>
      </c>
      <c r="J46">
        <v>8.3699680000000001</v>
      </c>
      <c r="K46">
        <v>8.4489809999999999</v>
      </c>
      <c r="L46">
        <v>8.5237669999999994</v>
      </c>
      <c r="M46">
        <v>8.5948499999999992</v>
      </c>
      <c r="N46">
        <v>8.6621629999999996</v>
      </c>
      <c r="O46">
        <v>8.7258829999999996</v>
      </c>
      <c r="P46">
        <v>8.7855760000000007</v>
      </c>
      <c r="Q46">
        <v>8.8411969999999993</v>
      </c>
      <c r="R46">
        <v>8.8925889999999992</v>
      </c>
      <c r="S46">
        <v>8.9390719999999995</v>
      </c>
      <c r="T46">
        <v>8.9801970000000004</v>
      </c>
      <c r="U46">
        <v>9.0152149999999995</v>
      </c>
      <c r="V46">
        <v>9.0429250000000003</v>
      </c>
      <c r="W46">
        <v>9.0621709999999993</v>
      </c>
      <c r="X46">
        <v>9.0798550000000002</v>
      </c>
      <c r="Y46">
        <v>9.0956109999999999</v>
      </c>
      <c r="Z46">
        <v>9.1092370000000003</v>
      </c>
      <c r="AA46">
        <v>9.1206569999999996</v>
      </c>
      <c r="AB46">
        <v>9.1299399999999995</v>
      </c>
      <c r="AC46">
        <v>9.1372339999999994</v>
      </c>
      <c r="AD46">
        <v>9.1427680000000002</v>
      </c>
      <c r="AE46">
        <v>9.1468240000000005</v>
      </c>
      <c r="AF46">
        <v>9.1496840000000006</v>
      </c>
      <c r="AG46">
        <v>9.1516330000000004</v>
      </c>
      <c r="AH46">
        <v>9.152927</v>
      </c>
      <c r="AI46">
        <v>9.1537509999999997</v>
      </c>
      <c r="AJ46">
        <v>9.1542680000000001</v>
      </c>
      <c r="AK46" s="126">
        <v>4.0000000000000001E-3</v>
      </c>
    </row>
    <row r="47" spans="1:37" ht="15" customHeight="1">
      <c r="A47" s="6" t="s">
        <v>474</v>
      </c>
      <c r="B47" t="s">
        <v>475</v>
      </c>
      <c r="C47" t="s">
        <v>476</v>
      </c>
      <c r="D47" t="s">
        <v>477</v>
      </c>
      <c r="E47" t="s">
        <v>478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>
        <v>1.3</v>
      </c>
      <c r="AH47">
        <v>1.3</v>
      </c>
      <c r="AI47">
        <v>1.3</v>
      </c>
      <c r="AJ47">
        <v>1.3</v>
      </c>
      <c r="AK47" s="126">
        <v>0</v>
      </c>
    </row>
    <row r="48" spans="1:37" ht="15" customHeight="1">
      <c r="A48" s="6" t="s">
        <v>479</v>
      </c>
      <c r="B48" t="s">
        <v>480</v>
      </c>
      <c r="C48" t="s">
        <v>481</v>
      </c>
      <c r="D48" t="s">
        <v>482</v>
      </c>
      <c r="E48" t="s">
        <v>483</v>
      </c>
      <c r="G48">
        <v>3.4527899999999998</v>
      </c>
      <c r="H48">
        <v>3.5014449999999999</v>
      </c>
      <c r="I48">
        <v>3.5417770000000002</v>
      </c>
      <c r="J48">
        <v>3.559523</v>
      </c>
      <c r="K48">
        <v>3.574398</v>
      </c>
      <c r="L48">
        <v>3.588524</v>
      </c>
      <c r="M48">
        <v>3.6006369999999999</v>
      </c>
      <c r="N48">
        <v>3.610833</v>
      </c>
      <c r="O48">
        <v>3.619402</v>
      </c>
      <c r="P48">
        <v>3.6265800000000001</v>
      </c>
      <c r="Q48">
        <v>3.6327660000000002</v>
      </c>
      <c r="R48">
        <v>3.6379190000000001</v>
      </c>
      <c r="S48">
        <v>3.6424289999999999</v>
      </c>
      <c r="T48">
        <v>3.6466059999999998</v>
      </c>
      <c r="U48">
        <v>3.650417</v>
      </c>
      <c r="V48">
        <v>3.6537760000000001</v>
      </c>
      <c r="W48">
        <v>3.6568100000000001</v>
      </c>
      <c r="X48">
        <v>3.6594259999999998</v>
      </c>
      <c r="Y48">
        <v>3.6617630000000001</v>
      </c>
      <c r="Z48">
        <v>3.663834</v>
      </c>
      <c r="AA48">
        <v>3.6656879999999998</v>
      </c>
      <c r="AB48">
        <v>3.6673309999999999</v>
      </c>
      <c r="AC48">
        <v>3.6686209999999999</v>
      </c>
      <c r="AD48">
        <v>3.6696140000000002</v>
      </c>
      <c r="AE48">
        <v>3.670264</v>
      </c>
      <c r="AF48">
        <v>3.6704819999999998</v>
      </c>
      <c r="AG48">
        <v>3.6708370000000001</v>
      </c>
      <c r="AH48">
        <v>3.6712639999999999</v>
      </c>
      <c r="AI48">
        <v>3.6717240000000002</v>
      </c>
      <c r="AJ48">
        <v>3.6721590000000002</v>
      </c>
      <c r="AK48" s="126">
        <v>2E-3</v>
      </c>
    </row>
    <row r="49" spans="1:37">
      <c r="B49" t="s">
        <v>484</v>
      </c>
      <c r="C49" t="s">
        <v>485</v>
      </c>
      <c r="D49" t="s">
        <v>486</v>
      </c>
      <c r="E49" t="s">
        <v>487</v>
      </c>
      <c r="G49">
        <v>0.82572800000000002</v>
      </c>
      <c r="H49">
        <v>0.82994400000000002</v>
      </c>
      <c r="I49">
        <v>0.83406100000000005</v>
      </c>
      <c r="J49">
        <v>0.83813300000000002</v>
      </c>
      <c r="K49">
        <v>0.84218000000000004</v>
      </c>
      <c r="L49">
        <v>0.84625600000000001</v>
      </c>
      <c r="M49">
        <v>0.85001599999999999</v>
      </c>
      <c r="N49">
        <v>0.85349299999999995</v>
      </c>
      <c r="O49">
        <v>0.85665999999999998</v>
      </c>
      <c r="P49">
        <v>0.85949900000000001</v>
      </c>
      <c r="Q49">
        <v>0.86205100000000001</v>
      </c>
      <c r="R49">
        <v>0.86429599999999995</v>
      </c>
      <c r="S49">
        <v>0.86625200000000002</v>
      </c>
      <c r="T49">
        <v>0.86791200000000002</v>
      </c>
      <c r="U49">
        <v>0.86928099999999997</v>
      </c>
      <c r="V49">
        <v>0.87035099999999999</v>
      </c>
      <c r="W49">
        <v>0.87114800000000003</v>
      </c>
      <c r="X49">
        <v>0.87166299999999997</v>
      </c>
      <c r="Y49">
        <v>0.87190100000000004</v>
      </c>
      <c r="Z49">
        <v>0.87185800000000002</v>
      </c>
      <c r="AA49">
        <v>0.87155400000000005</v>
      </c>
      <c r="AB49">
        <v>0.87127399999999999</v>
      </c>
      <c r="AC49">
        <v>0.87101399999999995</v>
      </c>
      <c r="AD49">
        <v>0.87077800000000005</v>
      </c>
      <c r="AE49">
        <v>0.87056500000000003</v>
      </c>
      <c r="AF49">
        <v>0.87037799999999999</v>
      </c>
      <c r="AG49">
        <v>0.87021599999999999</v>
      </c>
      <c r="AH49">
        <v>0.87007999999999996</v>
      </c>
      <c r="AI49">
        <v>0.86996700000000005</v>
      </c>
      <c r="AJ49">
        <v>0.86987400000000004</v>
      </c>
      <c r="AK49" s="126">
        <v>2E-3</v>
      </c>
    </row>
    <row r="50" spans="1:37" ht="15" customHeight="1">
      <c r="B50" t="s">
        <v>488</v>
      </c>
      <c r="C50" t="s">
        <v>489</v>
      </c>
      <c r="D50" t="s">
        <v>490</v>
      </c>
      <c r="E50" t="s">
        <v>487</v>
      </c>
      <c r="G50">
        <v>0.83468600000000004</v>
      </c>
      <c r="H50">
        <v>0.83559700000000003</v>
      </c>
      <c r="I50">
        <v>0.83641100000000002</v>
      </c>
      <c r="J50">
        <v>0.837252</v>
      </c>
      <c r="K50">
        <v>0.83810700000000005</v>
      </c>
      <c r="L50">
        <v>0.83897900000000003</v>
      </c>
      <c r="M50">
        <v>0.83982800000000002</v>
      </c>
      <c r="N50">
        <v>0.84061799999999998</v>
      </c>
      <c r="O50">
        <v>0.84134500000000001</v>
      </c>
      <c r="P50">
        <v>0.84199500000000005</v>
      </c>
      <c r="Q50">
        <v>0.842588</v>
      </c>
      <c r="R50">
        <v>0.843113</v>
      </c>
      <c r="S50">
        <v>0.84357899999999997</v>
      </c>
      <c r="T50">
        <v>0.84398399999999996</v>
      </c>
      <c r="U50">
        <v>0.844329</v>
      </c>
      <c r="V50">
        <v>0.84461600000000003</v>
      </c>
      <c r="W50">
        <v>0.84484700000000001</v>
      </c>
      <c r="X50">
        <v>0.84501999999999999</v>
      </c>
      <c r="Y50">
        <v>0.84513099999999997</v>
      </c>
      <c r="Z50">
        <v>0.84518000000000004</v>
      </c>
      <c r="AA50">
        <v>0.84517399999999998</v>
      </c>
      <c r="AB50">
        <v>0.84516500000000006</v>
      </c>
      <c r="AC50">
        <v>0.84515499999999999</v>
      </c>
      <c r="AD50">
        <v>0.84514100000000003</v>
      </c>
      <c r="AE50">
        <v>0.84511999999999998</v>
      </c>
      <c r="AF50">
        <v>0.84509400000000001</v>
      </c>
      <c r="AG50">
        <v>0.84505699999999995</v>
      </c>
      <c r="AH50">
        <v>0.84501000000000004</v>
      </c>
      <c r="AI50">
        <v>0.84495299999999995</v>
      </c>
      <c r="AJ50">
        <v>0.844885</v>
      </c>
      <c r="AK50" s="126">
        <v>0</v>
      </c>
    </row>
    <row r="51" spans="1:37" ht="15" customHeight="1">
      <c r="A51" s="6" t="s">
        <v>491</v>
      </c>
      <c r="B51" t="s">
        <v>492</v>
      </c>
    </row>
    <row r="52" spans="1:37" ht="15" customHeight="1">
      <c r="A52" s="6" t="s">
        <v>493</v>
      </c>
      <c r="B52" t="s">
        <v>494</v>
      </c>
      <c r="C52" t="s">
        <v>495</v>
      </c>
      <c r="D52" t="s">
        <v>496</v>
      </c>
      <c r="E52" t="s">
        <v>497</v>
      </c>
      <c r="G52">
        <v>13.942868000000001</v>
      </c>
      <c r="H52">
        <v>14.079188</v>
      </c>
      <c r="I52">
        <v>14.315822000000001</v>
      </c>
      <c r="J52">
        <v>14.532185999999999</v>
      </c>
      <c r="K52">
        <v>14.73676</v>
      </c>
      <c r="L52">
        <v>14.928680999999999</v>
      </c>
      <c r="M52">
        <v>15.109222000000001</v>
      </c>
      <c r="N52">
        <v>15.278121000000001</v>
      </c>
      <c r="O52">
        <v>15.435934</v>
      </c>
      <c r="P52">
        <v>15.581635</v>
      </c>
      <c r="Q52">
        <v>15.715282</v>
      </c>
      <c r="R52">
        <v>15.836614000000001</v>
      </c>
      <c r="S52">
        <v>15.944226</v>
      </c>
      <c r="T52">
        <v>16.037289000000001</v>
      </c>
      <c r="U52">
        <v>16.114222999999999</v>
      </c>
      <c r="V52">
        <v>16.172186</v>
      </c>
      <c r="W52">
        <v>16.208539999999999</v>
      </c>
      <c r="X52">
        <v>16.241852000000002</v>
      </c>
      <c r="Y52">
        <v>16.271374000000002</v>
      </c>
      <c r="Z52">
        <v>16.296741000000001</v>
      </c>
      <c r="AA52">
        <v>16.317813999999998</v>
      </c>
      <c r="AB52">
        <v>16.33474</v>
      </c>
      <c r="AC52">
        <v>16.347798999999998</v>
      </c>
      <c r="AD52">
        <v>16.357451999999999</v>
      </c>
      <c r="AE52">
        <v>16.364263999999999</v>
      </c>
      <c r="AF52">
        <v>16.368787999999999</v>
      </c>
      <c r="AG52">
        <v>16.371586000000001</v>
      </c>
      <c r="AH52">
        <v>16.373158</v>
      </c>
      <c r="AI52">
        <v>16.373884</v>
      </c>
      <c r="AJ52">
        <v>16.374081</v>
      </c>
      <c r="AK52" s="126">
        <v>6.0000000000000001E-3</v>
      </c>
    </row>
    <row r="53" spans="1:37" ht="15" customHeight="1">
      <c r="A53" s="6" t="s">
        <v>498</v>
      </c>
      <c r="B53" t="s">
        <v>475</v>
      </c>
      <c r="C53" t="s">
        <v>499</v>
      </c>
      <c r="D53" t="s">
        <v>500</v>
      </c>
      <c r="E53" t="s">
        <v>478</v>
      </c>
      <c r="G53">
        <v>0.61139299999999996</v>
      </c>
      <c r="H53">
        <v>0.61732100000000001</v>
      </c>
      <c r="I53">
        <v>0.62387899999999996</v>
      </c>
      <c r="J53">
        <v>0.630243</v>
      </c>
      <c r="K53">
        <v>0.636405</v>
      </c>
      <c r="L53">
        <v>0.64234400000000003</v>
      </c>
      <c r="M53">
        <v>0.64812800000000004</v>
      </c>
      <c r="N53">
        <v>0.65382300000000004</v>
      </c>
      <c r="O53">
        <v>0.65959100000000004</v>
      </c>
      <c r="P53">
        <v>0.665547</v>
      </c>
      <c r="Q53">
        <v>0.67179199999999994</v>
      </c>
      <c r="R53">
        <v>0.67826600000000004</v>
      </c>
      <c r="S53">
        <v>0.68466000000000005</v>
      </c>
      <c r="T53">
        <v>0.69046200000000002</v>
      </c>
      <c r="U53">
        <v>0.69508000000000003</v>
      </c>
      <c r="V53">
        <v>0.69806299999999999</v>
      </c>
      <c r="W53">
        <v>0.69928999999999997</v>
      </c>
      <c r="X53">
        <v>0.69981300000000002</v>
      </c>
      <c r="Y53">
        <v>0.69996800000000003</v>
      </c>
      <c r="Z53">
        <v>0.69999699999999998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>
        <v>0.7</v>
      </c>
      <c r="AH53">
        <v>0.7</v>
      </c>
      <c r="AI53">
        <v>0.7</v>
      </c>
      <c r="AJ53">
        <v>0.7</v>
      </c>
      <c r="AK53" s="126">
        <v>5.0000000000000001E-3</v>
      </c>
    </row>
    <row r="54" spans="1:37">
      <c r="B54" t="s">
        <v>501</v>
      </c>
      <c r="C54" t="s">
        <v>502</v>
      </c>
      <c r="D54" t="s">
        <v>503</v>
      </c>
      <c r="E54" t="s">
        <v>504</v>
      </c>
      <c r="G54">
        <v>15.699868</v>
      </c>
      <c r="H54">
        <v>16.037779</v>
      </c>
      <c r="I54">
        <v>16.317791</v>
      </c>
      <c r="J54">
        <v>16.439041</v>
      </c>
      <c r="K54">
        <v>16.536536999999999</v>
      </c>
      <c r="L54">
        <v>16.630521999999999</v>
      </c>
      <c r="M54">
        <v>16.71191</v>
      </c>
      <c r="N54">
        <v>16.780961999999999</v>
      </c>
      <c r="O54">
        <v>16.839209</v>
      </c>
      <c r="P54">
        <v>16.888083000000002</v>
      </c>
      <c r="Q54">
        <v>16.930128</v>
      </c>
      <c r="R54">
        <v>16.965260000000001</v>
      </c>
      <c r="S54">
        <v>16.995778999999999</v>
      </c>
      <c r="T54">
        <v>17.023705</v>
      </c>
      <c r="U54">
        <v>17.048967000000001</v>
      </c>
      <c r="V54">
        <v>17.071047</v>
      </c>
      <c r="W54">
        <v>17.090841000000001</v>
      </c>
      <c r="X54">
        <v>17.107814999999999</v>
      </c>
      <c r="Y54">
        <v>17.122906</v>
      </c>
      <c r="Z54">
        <v>17.136196000000002</v>
      </c>
      <c r="AA54">
        <v>17.148056</v>
      </c>
      <c r="AB54">
        <v>17.158498999999999</v>
      </c>
      <c r="AC54">
        <v>17.166633999999998</v>
      </c>
      <c r="AD54">
        <v>17.172841999999999</v>
      </c>
      <c r="AE54">
        <v>17.176811000000001</v>
      </c>
      <c r="AF54">
        <v>17.177924999999998</v>
      </c>
      <c r="AG54">
        <v>17.179966</v>
      </c>
      <c r="AH54">
        <v>17.182469999999999</v>
      </c>
      <c r="AI54">
        <v>17.185184</v>
      </c>
      <c r="AJ54">
        <v>17.187729000000001</v>
      </c>
      <c r="AK54" s="126">
        <v>3.0000000000000001E-3</v>
      </c>
    </row>
    <row r="55" spans="1:37" ht="15" customHeight="1">
      <c r="B55" t="s">
        <v>505</v>
      </c>
      <c r="C55" t="s">
        <v>506</v>
      </c>
      <c r="D55" t="s">
        <v>507</v>
      </c>
      <c r="E55" t="s">
        <v>497</v>
      </c>
      <c r="G55">
        <v>13.350917000000001</v>
      </c>
      <c r="H55">
        <v>13.482215</v>
      </c>
      <c r="I55">
        <v>13.698518999999999</v>
      </c>
      <c r="J55">
        <v>13.900107999999999</v>
      </c>
      <c r="K55">
        <v>14.087223</v>
      </c>
      <c r="L55">
        <v>14.259071</v>
      </c>
      <c r="M55">
        <v>14.416427000000001</v>
      </c>
      <c r="N55">
        <v>14.559613000000001</v>
      </c>
      <c r="O55">
        <v>14.690548</v>
      </c>
      <c r="P55">
        <v>14.808434</v>
      </c>
      <c r="Q55">
        <v>14.913205</v>
      </c>
      <c r="R55">
        <v>15.006129</v>
      </c>
      <c r="S55">
        <v>15.08869</v>
      </c>
      <c r="T55">
        <v>15.160207</v>
      </c>
      <c r="U55">
        <v>15.221270000000001</v>
      </c>
      <c r="V55">
        <v>15.270899</v>
      </c>
      <c r="W55">
        <v>15.307233999999999</v>
      </c>
      <c r="X55">
        <v>15.343105</v>
      </c>
      <c r="Y55">
        <v>15.377698000000001</v>
      </c>
      <c r="Z55">
        <v>15.410213000000001</v>
      </c>
      <c r="AA55">
        <v>15.439958000000001</v>
      </c>
      <c r="AB55">
        <v>15.466483</v>
      </c>
      <c r="AC55">
        <v>15.489461</v>
      </c>
      <c r="AD55">
        <v>15.508827</v>
      </c>
      <c r="AE55">
        <v>15.524755000000001</v>
      </c>
      <c r="AF55">
        <v>15.537507</v>
      </c>
      <c r="AG55">
        <v>15.547526</v>
      </c>
      <c r="AH55">
        <v>15.555306</v>
      </c>
      <c r="AI55">
        <v>15.561322000000001</v>
      </c>
      <c r="AJ55">
        <v>15.565972</v>
      </c>
      <c r="AK55" s="126">
        <v>5.0000000000000001E-3</v>
      </c>
    </row>
    <row r="56" spans="1:37" ht="15" customHeight="1">
      <c r="A56" s="6" t="s">
        <v>508</v>
      </c>
      <c r="B56" t="s">
        <v>509</v>
      </c>
      <c r="C56" t="s">
        <v>510</v>
      </c>
      <c r="D56" t="s">
        <v>511</v>
      </c>
      <c r="E56" t="s">
        <v>504</v>
      </c>
      <c r="G56">
        <v>11.214135000000001</v>
      </c>
      <c r="H56">
        <v>11.293177</v>
      </c>
      <c r="I56">
        <v>11.378102999999999</v>
      </c>
      <c r="J56">
        <v>11.469821</v>
      </c>
      <c r="K56">
        <v>11.554790000000001</v>
      </c>
      <c r="L56">
        <v>11.630031000000001</v>
      </c>
      <c r="M56">
        <v>11.695104000000001</v>
      </c>
      <c r="N56">
        <v>11.751246</v>
      </c>
      <c r="O56">
        <v>11.797316</v>
      </c>
      <c r="P56">
        <v>11.850436</v>
      </c>
      <c r="Q56">
        <v>11.887784999999999</v>
      </c>
      <c r="R56">
        <v>11.909636000000001</v>
      </c>
      <c r="S56">
        <v>11.931602</v>
      </c>
      <c r="T56">
        <v>11.953343</v>
      </c>
      <c r="U56">
        <v>11.974455000000001</v>
      </c>
      <c r="V56">
        <v>11.99447</v>
      </c>
      <c r="W56">
        <v>12.012794</v>
      </c>
      <c r="X56">
        <v>12.028731000000001</v>
      </c>
      <c r="Y56">
        <v>12.041741999999999</v>
      </c>
      <c r="Z56">
        <v>12.06344</v>
      </c>
      <c r="AA56">
        <v>12.081763</v>
      </c>
      <c r="AB56">
        <v>12.097495</v>
      </c>
      <c r="AC56">
        <v>12.1113</v>
      </c>
      <c r="AD56">
        <v>12.123844</v>
      </c>
      <c r="AE56">
        <v>12.135592000000001</v>
      </c>
      <c r="AF56">
        <v>12.146557</v>
      </c>
      <c r="AG56">
        <v>12.156594999999999</v>
      </c>
      <c r="AH56">
        <v>12.165376999999999</v>
      </c>
      <c r="AI56">
        <v>12.172610000000001</v>
      </c>
      <c r="AJ56">
        <v>12.178070999999999</v>
      </c>
      <c r="AK56" s="126">
        <v>3.0000000000000001E-3</v>
      </c>
    </row>
    <row r="57" spans="1:37" ht="15" customHeight="1">
      <c r="A57" s="6" t="s">
        <v>512</v>
      </c>
      <c r="B57" t="s">
        <v>513</v>
      </c>
    </row>
    <row r="58" spans="1:37">
      <c r="B58" t="s">
        <v>514</v>
      </c>
      <c r="C58" t="s">
        <v>515</v>
      </c>
      <c r="D58" t="s">
        <v>516</v>
      </c>
      <c r="E58" t="s">
        <v>517</v>
      </c>
      <c r="G58">
        <v>0.92347100000000004</v>
      </c>
      <c r="H58">
        <v>0.92952699999999999</v>
      </c>
      <c r="I58">
        <v>0.93479699999999999</v>
      </c>
      <c r="J58">
        <v>0.94042199999999998</v>
      </c>
      <c r="K58">
        <v>0.94617300000000004</v>
      </c>
      <c r="L58">
        <v>0.95200399999999996</v>
      </c>
      <c r="M58">
        <v>0.95734799999999998</v>
      </c>
      <c r="N58">
        <v>0.96221199999999996</v>
      </c>
      <c r="O58">
        <v>0.966561</v>
      </c>
      <c r="P58">
        <v>0.97040899999999997</v>
      </c>
      <c r="Q58">
        <v>0.97375500000000004</v>
      </c>
      <c r="R58">
        <v>0.97660000000000002</v>
      </c>
      <c r="S58">
        <v>0.97895699999999997</v>
      </c>
      <c r="T58">
        <v>0.980819</v>
      </c>
      <c r="U58">
        <v>0.98218899999999998</v>
      </c>
      <c r="V58">
        <v>0.98308499999999999</v>
      </c>
      <c r="W58">
        <v>0.983491</v>
      </c>
      <c r="X58">
        <v>0.98342799999999997</v>
      </c>
      <c r="Y58">
        <v>0.98337600000000003</v>
      </c>
      <c r="Z58">
        <v>0.98333499999999996</v>
      </c>
      <c r="AA58">
        <v>0.98330300000000004</v>
      </c>
      <c r="AB58">
        <v>0.98327900000000001</v>
      </c>
      <c r="AC58">
        <v>0.98326000000000002</v>
      </c>
      <c r="AD58">
        <v>0.98324699999999998</v>
      </c>
      <c r="AE58">
        <v>0.98323700000000003</v>
      </c>
      <c r="AF58">
        <v>0.98322900000000002</v>
      </c>
      <c r="AG58">
        <v>0.98322399999999999</v>
      </c>
      <c r="AH58">
        <v>0.98321999999999998</v>
      </c>
      <c r="AI58">
        <v>0.98321700000000001</v>
      </c>
      <c r="AJ58">
        <v>0.98321400000000003</v>
      </c>
      <c r="AK58" s="126">
        <v>2E-3</v>
      </c>
    </row>
    <row r="59" spans="1:37" ht="15" customHeight="1">
      <c r="B59" t="s">
        <v>518</v>
      </c>
      <c r="C59" t="s">
        <v>519</v>
      </c>
      <c r="D59" t="s">
        <v>520</v>
      </c>
      <c r="E59" t="s">
        <v>517</v>
      </c>
      <c r="G59">
        <v>0.61574399999999996</v>
      </c>
      <c r="H59">
        <v>0.61889499999999997</v>
      </c>
      <c r="I59">
        <v>0.62148499999999995</v>
      </c>
      <c r="J59">
        <v>0.62356599999999995</v>
      </c>
      <c r="K59">
        <v>0.62514800000000004</v>
      </c>
      <c r="L59">
        <v>0.62624000000000002</v>
      </c>
      <c r="M59">
        <v>0.62686500000000001</v>
      </c>
      <c r="N59">
        <v>0.62699899999999997</v>
      </c>
      <c r="O59">
        <v>0.62668100000000004</v>
      </c>
      <c r="P59">
        <v>0.62597199999999997</v>
      </c>
      <c r="Q59">
        <v>0.62526400000000004</v>
      </c>
      <c r="R59">
        <v>0.62457399999999996</v>
      </c>
      <c r="S59">
        <v>0.62391799999999997</v>
      </c>
      <c r="T59">
        <v>0.623309</v>
      </c>
      <c r="U59">
        <v>0.62275599999999998</v>
      </c>
      <c r="V59">
        <v>0.62226599999999999</v>
      </c>
      <c r="W59">
        <v>0.62184200000000001</v>
      </c>
      <c r="X59">
        <v>0.62148499999999995</v>
      </c>
      <c r="Y59">
        <v>0.62119199999999997</v>
      </c>
      <c r="Z59">
        <v>0.62095800000000001</v>
      </c>
      <c r="AA59">
        <v>0.62077700000000002</v>
      </c>
      <c r="AB59">
        <v>0.62064200000000003</v>
      </c>
      <c r="AC59">
        <v>0.62054299999999996</v>
      </c>
      <c r="AD59">
        <v>0.62047200000000002</v>
      </c>
      <c r="AE59">
        <v>0.620425</v>
      </c>
      <c r="AF59">
        <v>0.620394</v>
      </c>
      <c r="AG59">
        <v>0.62037500000000001</v>
      </c>
      <c r="AH59">
        <v>0.62036400000000003</v>
      </c>
      <c r="AI59">
        <v>0.62035899999999999</v>
      </c>
      <c r="AJ59">
        <v>0.62035700000000005</v>
      </c>
      <c r="AK59" s="126">
        <v>0</v>
      </c>
    </row>
    <row r="60" spans="1:37" ht="15" customHeight="1">
      <c r="B60" t="s">
        <v>521</v>
      </c>
      <c r="C60" t="s">
        <v>522</v>
      </c>
      <c r="D60" t="s">
        <v>523</v>
      </c>
      <c r="E60" t="s">
        <v>517</v>
      </c>
      <c r="G60">
        <v>0.59797800000000001</v>
      </c>
      <c r="H60">
        <v>0.61212500000000003</v>
      </c>
      <c r="I60">
        <v>0.62499000000000005</v>
      </c>
      <c r="J60">
        <v>0.63619599999999998</v>
      </c>
      <c r="K60">
        <v>0.64564900000000003</v>
      </c>
      <c r="L60">
        <v>0.65342100000000003</v>
      </c>
      <c r="M60">
        <v>0.65937999999999997</v>
      </c>
      <c r="N60">
        <v>0.66344899999999996</v>
      </c>
      <c r="O60">
        <v>0.66552500000000003</v>
      </c>
      <c r="P60">
        <v>0.66555600000000004</v>
      </c>
      <c r="Q60">
        <v>0.66559000000000001</v>
      </c>
      <c r="R60">
        <v>0.66562600000000005</v>
      </c>
      <c r="S60">
        <v>0.66566400000000003</v>
      </c>
      <c r="T60">
        <v>0.66570200000000002</v>
      </c>
      <c r="U60">
        <v>0.66574</v>
      </c>
      <c r="V60">
        <v>0.66577600000000003</v>
      </c>
      <c r="W60">
        <v>0.66581100000000004</v>
      </c>
      <c r="X60">
        <v>0.66584500000000002</v>
      </c>
      <c r="Y60">
        <v>0.66587600000000002</v>
      </c>
      <c r="Z60">
        <v>0.665906</v>
      </c>
      <c r="AA60">
        <v>0.66593500000000005</v>
      </c>
      <c r="AB60">
        <v>0.66596100000000003</v>
      </c>
      <c r="AC60">
        <v>0.66598599999999997</v>
      </c>
      <c r="AD60">
        <v>0.66601200000000005</v>
      </c>
      <c r="AE60">
        <v>0.66603500000000004</v>
      </c>
      <c r="AF60">
        <v>0.66605700000000001</v>
      </c>
      <c r="AG60">
        <v>0.66607700000000003</v>
      </c>
      <c r="AH60">
        <v>0.66609499999999999</v>
      </c>
      <c r="AI60">
        <v>0.66611200000000004</v>
      </c>
      <c r="AJ60">
        <v>0.666126</v>
      </c>
      <c r="AK60" s="126">
        <v>4.0000000000000001E-3</v>
      </c>
    </row>
    <row r="61" spans="1:37" ht="15" customHeight="1">
      <c r="A61" s="6" t="s">
        <v>524</v>
      </c>
      <c r="B61" t="s">
        <v>525</v>
      </c>
      <c r="C61" t="s">
        <v>526</v>
      </c>
      <c r="D61" t="s">
        <v>527</v>
      </c>
      <c r="E61" t="s">
        <v>517</v>
      </c>
      <c r="G61">
        <v>0.60339100000000001</v>
      </c>
      <c r="H61">
        <v>0.60644299999999995</v>
      </c>
      <c r="I61">
        <v>0.60917699999999997</v>
      </c>
      <c r="J61">
        <v>0.61153100000000005</v>
      </c>
      <c r="K61">
        <v>0.61349900000000002</v>
      </c>
      <c r="L61">
        <v>0.61508200000000002</v>
      </c>
      <c r="M61">
        <v>0.61626400000000003</v>
      </c>
      <c r="N61">
        <v>0.61701700000000004</v>
      </c>
      <c r="O61">
        <v>0.61733000000000005</v>
      </c>
      <c r="P61">
        <v>0.61719000000000002</v>
      </c>
      <c r="Q61">
        <v>0.61705100000000002</v>
      </c>
      <c r="R61">
        <v>0.61692100000000005</v>
      </c>
      <c r="S61">
        <v>0.61679899999999999</v>
      </c>
      <c r="T61">
        <v>0.61668999999999996</v>
      </c>
      <c r="U61">
        <v>0.61659200000000003</v>
      </c>
      <c r="V61">
        <v>0.61650899999999997</v>
      </c>
      <c r="W61">
        <v>0.61644100000000002</v>
      </c>
      <c r="X61">
        <v>0.61638999999999999</v>
      </c>
      <c r="Y61">
        <v>0.61635499999999999</v>
      </c>
      <c r="Z61">
        <v>0.61633599999999999</v>
      </c>
      <c r="AA61">
        <v>0.61633199999999999</v>
      </c>
      <c r="AB61">
        <v>0.61634100000000003</v>
      </c>
      <c r="AC61">
        <v>0.61636000000000002</v>
      </c>
      <c r="AD61">
        <v>0.61638899999999996</v>
      </c>
      <c r="AE61">
        <v>0.61642200000000003</v>
      </c>
      <c r="AF61">
        <v>0.616456</v>
      </c>
      <c r="AG61">
        <v>0.61648899999999995</v>
      </c>
      <c r="AH61">
        <v>0.61651900000000004</v>
      </c>
      <c r="AI61">
        <v>0.61654799999999998</v>
      </c>
      <c r="AJ61">
        <v>0.61657300000000004</v>
      </c>
      <c r="AK61" s="126">
        <v>1E-3</v>
      </c>
    </row>
    <row r="62" spans="1:37" ht="15" customHeight="1">
      <c r="A62" s="6" t="s">
        <v>528</v>
      </c>
      <c r="B62" t="s">
        <v>529</v>
      </c>
    </row>
    <row r="63" spans="1:37" ht="15" customHeight="1">
      <c r="A63" s="6" t="s">
        <v>530</v>
      </c>
      <c r="B63" t="s">
        <v>461</v>
      </c>
      <c r="C63" t="s">
        <v>531</v>
      </c>
      <c r="D63" t="s">
        <v>532</v>
      </c>
      <c r="E63" t="s">
        <v>533</v>
      </c>
      <c r="G63">
        <v>611.68988000000002</v>
      </c>
      <c r="H63">
        <v>602.07061799999997</v>
      </c>
      <c r="I63">
        <v>592.40869099999998</v>
      </c>
      <c r="J63">
        <v>583.24224900000002</v>
      </c>
      <c r="K63">
        <v>574.59338400000001</v>
      </c>
      <c r="L63">
        <v>566.45446800000002</v>
      </c>
      <c r="M63">
        <v>558.79931599999998</v>
      </c>
      <c r="N63">
        <v>551.60076900000001</v>
      </c>
      <c r="O63">
        <v>544.85504200000003</v>
      </c>
      <c r="P63">
        <v>538.59954800000003</v>
      </c>
      <c r="Q63">
        <v>532.915527</v>
      </c>
      <c r="R63">
        <v>527.75848399999995</v>
      </c>
      <c r="S63">
        <v>523.14086899999995</v>
      </c>
      <c r="T63">
        <v>519.06561299999998</v>
      </c>
      <c r="U63">
        <v>515.50518799999998</v>
      </c>
      <c r="V63">
        <v>512.45703100000003</v>
      </c>
      <c r="W63">
        <v>509.89144900000002</v>
      </c>
      <c r="X63">
        <v>507.83685300000002</v>
      </c>
      <c r="Y63">
        <v>506.26800500000002</v>
      </c>
      <c r="Z63">
        <v>505.20886200000001</v>
      </c>
      <c r="AA63">
        <v>504.68804899999998</v>
      </c>
      <c r="AB63">
        <v>504.69116200000002</v>
      </c>
      <c r="AC63">
        <v>504.69424400000003</v>
      </c>
      <c r="AD63">
        <v>504.69714399999998</v>
      </c>
      <c r="AE63">
        <v>504.69869999999997</v>
      </c>
      <c r="AF63">
        <v>504.70248400000003</v>
      </c>
      <c r="AG63">
        <v>504.70706200000001</v>
      </c>
      <c r="AH63">
        <v>504.71304300000003</v>
      </c>
      <c r="AI63">
        <v>504.72058099999998</v>
      </c>
      <c r="AJ63">
        <v>504.731201</v>
      </c>
      <c r="AK63" s="126">
        <v>-7.0000000000000001E-3</v>
      </c>
    </row>
    <row r="64" spans="1:37" ht="15" customHeight="1">
      <c r="A64" s="6" t="s">
        <v>534</v>
      </c>
      <c r="B64" t="s">
        <v>464</v>
      </c>
      <c r="C64" t="s">
        <v>535</v>
      </c>
      <c r="D64" t="s">
        <v>536</v>
      </c>
      <c r="E64" t="s">
        <v>533</v>
      </c>
      <c r="G64">
        <v>453.33017000000001</v>
      </c>
      <c r="H64">
        <v>448.66418499999997</v>
      </c>
      <c r="I64">
        <v>443.98052999999999</v>
      </c>
      <c r="J64">
        <v>439.19278000000003</v>
      </c>
      <c r="K64">
        <v>434.32385299999999</v>
      </c>
      <c r="L64">
        <v>429.37356599999998</v>
      </c>
      <c r="M64">
        <v>424.38076799999999</v>
      </c>
      <c r="N64">
        <v>419.61007699999999</v>
      </c>
      <c r="O64">
        <v>415.06066900000002</v>
      </c>
      <c r="P64">
        <v>410.752411</v>
      </c>
      <c r="Q64">
        <v>406.66867100000002</v>
      </c>
      <c r="R64">
        <v>402.77825899999999</v>
      </c>
      <c r="S64">
        <v>399.11785900000001</v>
      </c>
      <c r="T64">
        <v>395.70455900000002</v>
      </c>
      <c r="U64">
        <v>392.51959199999999</v>
      </c>
      <c r="V64">
        <v>389.60082999999997</v>
      </c>
      <c r="W64">
        <v>386.92303500000003</v>
      </c>
      <c r="X64">
        <v>384.497772</v>
      </c>
      <c r="Y64">
        <v>382.31036399999999</v>
      </c>
      <c r="Z64">
        <v>380.34643599999998</v>
      </c>
      <c r="AA64">
        <v>378.653595</v>
      </c>
      <c r="AB64">
        <v>377.20849600000003</v>
      </c>
      <c r="AC64">
        <v>376.04827899999998</v>
      </c>
      <c r="AD64">
        <v>375.19198599999999</v>
      </c>
      <c r="AE64">
        <v>374.641144</v>
      </c>
      <c r="AF64">
        <v>374.39031999999997</v>
      </c>
      <c r="AG64">
        <v>374.39163200000002</v>
      </c>
      <c r="AH64">
        <v>374.39300500000002</v>
      </c>
      <c r="AI64">
        <v>374.39413500000001</v>
      </c>
      <c r="AJ64">
        <v>374.395691</v>
      </c>
      <c r="AK64" s="126">
        <v>-7.0000000000000001E-3</v>
      </c>
    </row>
    <row r="65" spans="1:37" ht="15" customHeight="1">
      <c r="A65" s="6" t="s">
        <v>537</v>
      </c>
      <c r="B65" t="s">
        <v>538</v>
      </c>
    </row>
    <row r="66" spans="1:37">
      <c r="B66" t="s">
        <v>539</v>
      </c>
    </row>
    <row r="67" spans="1:37" ht="15" customHeight="1">
      <c r="B67" t="s">
        <v>540</v>
      </c>
      <c r="C67" t="s">
        <v>541</v>
      </c>
      <c r="D67" t="s">
        <v>542</v>
      </c>
      <c r="E67" t="s">
        <v>543</v>
      </c>
      <c r="G67">
        <v>0.96007399999999998</v>
      </c>
      <c r="H67">
        <v>0.95209699999999997</v>
      </c>
      <c r="I67">
        <v>0.94533299999999998</v>
      </c>
      <c r="J67">
        <v>0.93950999999999996</v>
      </c>
      <c r="K67">
        <v>0.93379400000000001</v>
      </c>
      <c r="L67">
        <v>0.92766899999999997</v>
      </c>
      <c r="M67">
        <v>0.92127300000000001</v>
      </c>
      <c r="N67">
        <v>0.91446700000000003</v>
      </c>
      <c r="O67">
        <v>0.90737900000000005</v>
      </c>
      <c r="P67">
        <v>0.900281</v>
      </c>
      <c r="Q67">
        <v>0.89324000000000003</v>
      </c>
      <c r="R67">
        <v>0.88593100000000002</v>
      </c>
      <c r="S67">
        <v>0.87865899999999997</v>
      </c>
      <c r="T67">
        <v>0.87160800000000005</v>
      </c>
      <c r="U67">
        <v>0.864869</v>
      </c>
      <c r="V67">
        <v>0.85831400000000002</v>
      </c>
      <c r="W67">
        <v>0.85174000000000005</v>
      </c>
      <c r="X67">
        <v>0.84510300000000005</v>
      </c>
      <c r="Y67">
        <v>0.83843999999999996</v>
      </c>
      <c r="Z67">
        <v>0.83173799999999998</v>
      </c>
      <c r="AA67">
        <v>0.82498700000000003</v>
      </c>
      <c r="AB67">
        <v>0.81828999999999996</v>
      </c>
      <c r="AC67">
        <v>0.81171599999999999</v>
      </c>
      <c r="AD67">
        <v>0.80518000000000001</v>
      </c>
      <c r="AE67">
        <v>0.79864599999999997</v>
      </c>
      <c r="AF67">
        <v>0.79214499999999999</v>
      </c>
      <c r="AG67">
        <v>0.78560300000000005</v>
      </c>
      <c r="AH67">
        <v>0.77905999999999997</v>
      </c>
      <c r="AI67">
        <v>0.77248099999999997</v>
      </c>
      <c r="AJ67">
        <v>0.765934</v>
      </c>
      <c r="AK67" s="126">
        <v>-8.0000000000000002E-3</v>
      </c>
    </row>
    <row r="68" spans="1:37" ht="15" customHeight="1">
      <c r="A68" s="6" t="s">
        <v>544</v>
      </c>
      <c r="B68" t="s">
        <v>545</v>
      </c>
      <c r="C68" t="s">
        <v>546</v>
      </c>
      <c r="D68" t="s">
        <v>547</v>
      </c>
      <c r="E68" t="s">
        <v>543</v>
      </c>
      <c r="G68">
        <v>0.84737600000000002</v>
      </c>
      <c r="H68">
        <v>0.88883999999999996</v>
      </c>
      <c r="I68">
        <v>0.874386</v>
      </c>
      <c r="J68">
        <v>0.87059200000000003</v>
      </c>
      <c r="K68">
        <v>0.86882499999999996</v>
      </c>
      <c r="L68">
        <v>0.86727600000000005</v>
      </c>
      <c r="M68">
        <v>0.87018399999999996</v>
      </c>
      <c r="N68">
        <v>0.87128000000000005</v>
      </c>
      <c r="O68">
        <v>0.87057600000000002</v>
      </c>
      <c r="P68">
        <v>0.87045799999999995</v>
      </c>
      <c r="Q68">
        <v>0.86966200000000005</v>
      </c>
      <c r="R68">
        <v>0.86566100000000001</v>
      </c>
      <c r="S68">
        <v>0.863842</v>
      </c>
      <c r="T68">
        <v>0.861375</v>
      </c>
      <c r="U68">
        <v>0.86007299999999998</v>
      </c>
      <c r="V68">
        <v>0.85832699999999995</v>
      </c>
      <c r="W68">
        <v>0.86018099999999997</v>
      </c>
      <c r="X68">
        <v>0.86018399999999995</v>
      </c>
      <c r="Y68">
        <v>0.86069399999999996</v>
      </c>
      <c r="Z68">
        <v>0.859456</v>
      </c>
      <c r="AA68">
        <v>0.85729</v>
      </c>
      <c r="AB68">
        <v>0.85628899999999997</v>
      </c>
      <c r="AC68">
        <v>0.855514</v>
      </c>
      <c r="AD68">
        <v>0.85429200000000005</v>
      </c>
      <c r="AE68">
        <v>0.85416700000000001</v>
      </c>
      <c r="AF68">
        <v>0.853711</v>
      </c>
      <c r="AG68">
        <v>0.85448199999999996</v>
      </c>
      <c r="AH68">
        <v>0.85420300000000005</v>
      </c>
      <c r="AI68">
        <v>0.854742</v>
      </c>
      <c r="AJ68">
        <v>0.85639799999999999</v>
      </c>
      <c r="AK68" s="126">
        <v>0</v>
      </c>
    </row>
    <row r="69" spans="1:37" ht="15" customHeight="1">
      <c r="A69" s="6" t="s">
        <v>548</v>
      </c>
      <c r="B69" t="s">
        <v>549</v>
      </c>
      <c r="C69" t="s">
        <v>550</v>
      </c>
      <c r="D69" t="s">
        <v>551</v>
      </c>
      <c r="E69" t="s">
        <v>543</v>
      </c>
      <c r="G69">
        <v>0.953071</v>
      </c>
      <c r="H69">
        <v>0.94503999999999999</v>
      </c>
      <c r="I69">
        <v>0.93817700000000004</v>
      </c>
      <c r="J69">
        <v>0.93225599999999997</v>
      </c>
      <c r="K69">
        <v>0.92652800000000002</v>
      </c>
      <c r="L69">
        <v>0.920543</v>
      </c>
      <c r="M69">
        <v>0.91445399999999999</v>
      </c>
      <c r="N69">
        <v>0.90811900000000001</v>
      </c>
      <c r="O69">
        <v>0.901644</v>
      </c>
      <c r="P69">
        <v>0.89527800000000002</v>
      </c>
      <c r="Q69">
        <v>0.88906499999999999</v>
      </c>
      <c r="R69">
        <v>0.88269399999999998</v>
      </c>
      <c r="S69">
        <v>0.87644699999999998</v>
      </c>
      <c r="T69">
        <v>0.87047099999999999</v>
      </c>
      <c r="U69">
        <v>0.86483900000000002</v>
      </c>
      <c r="V69">
        <v>0.85943199999999997</v>
      </c>
      <c r="W69">
        <v>0.85410699999999995</v>
      </c>
      <c r="X69">
        <v>0.84881499999999999</v>
      </c>
      <c r="Y69">
        <v>0.84358900000000003</v>
      </c>
      <c r="Z69">
        <v>0.83840499999999996</v>
      </c>
      <c r="AA69">
        <v>0.83324200000000004</v>
      </c>
      <c r="AB69">
        <v>0.82818999999999998</v>
      </c>
      <c r="AC69">
        <v>0.82329799999999997</v>
      </c>
      <c r="AD69">
        <v>0.818496</v>
      </c>
      <c r="AE69">
        <v>0.81376099999999996</v>
      </c>
      <c r="AF69">
        <v>0.80911299999999997</v>
      </c>
      <c r="AG69">
        <v>0.80450299999999997</v>
      </c>
      <c r="AH69">
        <v>0.79994799999999999</v>
      </c>
      <c r="AI69">
        <v>0.79542800000000002</v>
      </c>
      <c r="AJ69">
        <v>0.79100000000000004</v>
      </c>
      <c r="AK69" s="126">
        <v>-6.0000000000000001E-3</v>
      </c>
    </row>
    <row r="70" spans="1:37" ht="15" customHeight="1">
      <c r="A70" s="6" t="s">
        <v>552</v>
      </c>
      <c r="B70" t="s">
        <v>492</v>
      </c>
    </row>
    <row r="71" spans="1:37" ht="15" customHeight="1">
      <c r="A71" s="6" t="s">
        <v>553</v>
      </c>
      <c r="B71" t="s">
        <v>540</v>
      </c>
      <c r="C71" t="s">
        <v>554</v>
      </c>
      <c r="D71" t="s">
        <v>555</v>
      </c>
      <c r="E71" t="s">
        <v>543</v>
      </c>
      <c r="G71">
        <v>0.986008</v>
      </c>
      <c r="H71">
        <v>0.98319299999999998</v>
      </c>
      <c r="I71">
        <v>0.98083600000000004</v>
      </c>
      <c r="J71">
        <v>0.97877499999999995</v>
      </c>
      <c r="K71">
        <v>0.97672899999999996</v>
      </c>
      <c r="L71">
        <v>0.97452700000000003</v>
      </c>
      <c r="M71">
        <v>0.97223000000000004</v>
      </c>
      <c r="N71">
        <v>0.96978399999999998</v>
      </c>
      <c r="O71">
        <v>0.96724500000000002</v>
      </c>
      <c r="P71">
        <v>0.96471399999999996</v>
      </c>
      <c r="Q71">
        <v>0.96219100000000002</v>
      </c>
      <c r="R71">
        <v>0.95955900000000005</v>
      </c>
      <c r="S71">
        <v>0.95692999999999995</v>
      </c>
      <c r="T71">
        <v>0.95438000000000001</v>
      </c>
      <c r="U71">
        <v>0.95194999999999996</v>
      </c>
      <c r="V71">
        <v>0.94957899999999995</v>
      </c>
      <c r="W71">
        <v>0.94717899999999999</v>
      </c>
      <c r="X71">
        <v>0.94475399999999998</v>
      </c>
      <c r="Y71">
        <v>0.94232199999999999</v>
      </c>
      <c r="Z71">
        <v>0.93987100000000001</v>
      </c>
      <c r="AA71">
        <v>0.93738999999999995</v>
      </c>
      <c r="AB71">
        <v>0.93493099999999996</v>
      </c>
      <c r="AC71">
        <v>0.93251399999999995</v>
      </c>
      <c r="AD71">
        <v>0.93010899999999996</v>
      </c>
      <c r="AE71">
        <v>0.92770300000000006</v>
      </c>
      <c r="AF71">
        <v>0.92529499999999998</v>
      </c>
      <c r="AG71">
        <v>0.92288199999999998</v>
      </c>
      <c r="AH71">
        <v>0.92046600000000001</v>
      </c>
      <c r="AI71">
        <v>0.91803100000000004</v>
      </c>
      <c r="AJ71">
        <v>0.91561000000000003</v>
      </c>
      <c r="AK71" s="126">
        <v>-3.0000000000000001E-3</v>
      </c>
    </row>
    <row r="72" spans="1:37" ht="15" customHeight="1">
      <c r="A72" s="6" t="s">
        <v>556</v>
      </c>
      <c r="B72" t="s">
        <v>545</v>
      </c>
      <c r="C72" t="s">
        <v>557</v>
      </c>
      <c r="D72" t="s">
        <v>558</v>
      </c>
      <c r="E72" t="s">
        <v>543</v>
      </c>
      <c r="G72">
        <v>0.97500299999999995</v>
      </c>
      <c r="H72">
        <v>0.99866200000000005</v>
      </c>
      <c r="I72">
        <v>0.99372400000000005</v>
      </c>
      <c r="J72">
        <v>0.99062600000000001</v>
      </c>
      <c r="K72">
        <v>0.990066</v>
      </c>
      <c r="L72">
        <v>0.99032900000000001</v>
      </c>
      <c r="M72">
        <v>0.99183699999999997</v>
      </c>
      <c r="N72">
        <v>0.99227100000000001</v>
      </c>
      <c r="O72">
        <v>0.99197199999999996</v>
      </c>
      <c r="P72">
        <v>0.99193200000000004</v>
      </c>
      <c r="Q72">
        <v>0.99177599999999999</v>
      </c>
      <c r="R72">
        <v>0.989402</v>
      </c>
      <c r="S72">
        <v>0.98886799999999997</v>
      </c>
      <c r="T72">
        <v>0.98811499999999997</v>
      </c>
      <c r="U72">
        <v>0.98792800000000003</v>
      </c>
      <c r="V72">
        <v>0.98720699999999995</v>
      </c>
      <c r="W72">
        <v>0.98816899999999996</v>
      </c>
      <c r="X72">
        <v>0.98797400000000002</v>
      </c>
      <c r="Y72">
        <v>0.98843400000000003</v>
      </c>
      <c r="Z72">
        <v>0.98804599999999998</v>
      </c>
      <c r="AA72">
        <v>0.98692000000000002</v>
      </c>
      <c r="AB72">
        <v>0.98668400000000001</v>
      </c>
      <c r="AC72">
        <v>0.98651100000000003</v>
      </c>
      <c r="AD72">
        <v>0.986236</v>
      </c>
      <c r="AE72">
        <v>0.98674600000000001</v>
      </c>
      <c r="AF72">
        <v>0.986846</v>
      </c>
      <c r="AG72">
        <v>0.98780900000000005</v>
      </c>
      <c r="AH72">
        <v>0.98794800000000005</v>
      </c>
      <c r="AI72">
        <v>0.98856299999999997</v>
      </c>
      <c r="AJ72">
        <v>0.990008</v>
      </c>
      <c r="AK72" s="126">
        <v>1E-3</v>
      </c>
    </row>
    <row r="73" spans="1:37">
      <c r="B73" t="s">
        <v>549</v>
      </c>
      <c r="C73" t="s">
        <v>559</v>
      </c>
      <c r="D73" t="s">
        <v>560</v>
      </c>
      <c r="E73" t="s">
        <v>543</v>
      </c>
      <c r="G73">
        <v>0.986182</v>
      </c>
      <c r="H73">
        <v>0.983653</v>
      </c>
      <c r="I73">
        <v>0.98153599999999996</v>
      </c>
      <c r="J73">
        <v>0.97969700000000004</v>
      </c>
      <c r="K73">
        <v>0.97789199999999998</v>
      </c>
      <c r="L73">
        <v>0.97596799999999995</v>
      </c>
      <c r="M73">
        <v>0.97399500000000006</v>
      </c>
      <c r="N73">
        <v>0.97191899999999998</v>
      </c>
      <c r="O73">
        <v>0.96978399999999998</v>
      </c>
      <c r="P73">
        <v>0.96767899999999996</v>
      </c>
      <c r="Q73">
        <v>0.96560199999999996</v>
      </c>
      <c r="R73">
        <v>0.96344200000000002</v>
      </c>
      <c r="S73">
        <v>0.96130499999999997</v>
      </c>
      <c r="T73">
        <v>0.95924699999999996</v>
      </c>
      <c r="U73">
        <v>0.95730700000000002</v>
      </c>
      <c r="V73">
        <v>0.95542899999999997</v>
      </c>
      <c r="W73">
        <v>0.95355100000000004</v>
      </c>
      <c r="X73">
        <v>0.95166899999999999</v>
      </c>
      <c r="Y73">
        <v>0.94980299999999995</v>
      </c>
      <c r="Z73">
        <v>0.94793700000000003</v>
      </c>
      <c r="AA73">
        <v>0.94605300000000003</v>
      </c>
      <c r="AB73">
        <v>0.94419900000000001</v>
      </c>
      <c r="AC73">
        <v>0.94239099999999998</v>
      </c>
      <c r="AD73">
        <v>0.94060200000000005</v>
      </c>
      <c r="AE73">
        <v>0.93882900000000002</v>
      </c>
      <c r="AF73">
        <v>0.93706599999999995</v>
      </c>
      <c r="AG73">
        <v>0.93531500000000001</v>
      </c>
      <c r="AH73">
        <v>0.93357000000000001</v>
      </c>
      <c r="AI73">
        <v>0.93182299999999996</v>
      </c>
      <c r="AJ73">
        <v>0.93010300000000001</v>
      </c>
      <c r="AK73" s="126">
        <v>-2E-3</v>
      </c>
    </row>
    <row r="74" spans="1:37" ht="15" customHeight="1">
      <c r="B74" t="s">
        <v>561</v>
      </c>
    </row>
    <row r="75" spans="1:37" ht="15" customHeight="1">
      <c r="A75" s="6" t="s">
        <v>562</v>
      </c>
      <c r="B75" t="s">
        <v>563</v>
      </c>
    </row>
    <row r="76" spans="1:37" ht="15" customHeight="1">
      <c r="A76" s="6" t="s">
        <v>564</v>
      </c>
      <c r="B76" t="s">
        <v>565</v>
      </c>
    </row>
    <row r="77" spans="1:37" ht="15" customHeight="1">
      <c r="A77" s="6" t="s">
        <v>566</v>
      </c>
      <c r="B77" t="s">
        <v>567</v>
      </c>
      <c r="C77" t="s">
        <v>568</v>
      </c>
      <c r="D77" t="s">
        <v>569</v>
      </c>
      <c r="E77" t="s">
        <v>570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1.9999999999999999E-6</v>
      </c>
      <c r="U77">
        <v>5.0000000000000004E-6</v>
      </c>
      <c r="V77">
        <v>1.0000000000000001E-5</v>
      </c>
      <c r="W77">
        <v>2.0999999999999999E-5</v>
      </c>
      <c r="X77">
        <v>4.1E-5</v>
      </c>
      <c r="Y77">
        <v>7.7999999999999999E-5</v>
      </c>
      <c r="Z77">
        <v>1.46E-4</v>
      </c>
      <c r="AA77">
        <v>2.7099999999999997E-4</v>
      </c>
      <c r="AB77">
        <v>3.9500000000000001E-4</v>
      </c>
      <c r="AC77">
        <v>5.1999999999999995E-4</v>
      </c>
      <c r="AD77">
        <v>6.4499999999999996E-4</v>
      </c>
      <c r="AE77">
        <v>7.6999999999999996E-4</v>
      </c>
      <c r="AF77">
        <v>8.9599999999999999E-4</v>
      </c>
      <c r="AG77">
        <v>1.0219999999999999E-3</v>
      </c>
      <c r="AH77">
        <v>1.147E-3</v>
      </c>
      <c r="AI77">
        <v>1.273E-3</v>
      </c>
      <c r="AJ77">
        <v>1.3990000000000001E-3</v>
      </c>
      <c r="AK77" t="s">
        <v>571</v>
      </c>
    </row>
    <row r="78" spans="1:37" ht="15" customHeight="1">
      <c r="A78" s="6" t="s">
        <v>572</v>
      </c>
      <c r="B78" t="s">
        <v>573</v>
      </c>
      <c r="C78" t="s">
        <v>574</v>
      </c>
      <c r="D78" t="s">
        <v>575</v>
      </c>
      <c r="E78" t="s">
        <v>570</v>
      </c>
      <c r="G78">
        <v>21.272516</v>
      </c>
      <c r="H78">
        <v>23.219529999999999</v>
      </c>
      <c r="I78">
        <v>25.164964999999999</v>
      </c>
      <c r="J78">
        <v>26.557243</v>
      </c>
      <c r="K78">
        <v>27.860468000000001</v>
      </c>
      <c r="L78">
        <v>29.152688999999999</v>
      </c>
      <c r="M78">
        <v>30.454778999999998</v>
      </c>
      <c r="N78">
        <v>31.826214</v>
      </c>
      <c r="O78">
        <v>33.259166999999998</v>
      </c>
      <c r="P78">
        <v>34.706843999999997</v>
      </c>
      <c r="Q78">
        <v>36.238861</v>
      </c>
      <c r="R78">
        <v>37.829205000000002</v>
      </c>
      <c r="S78">
        <v>39.584491999999997</v>
      </c>
      <c r="T78">
        <v>41.482211999999997</v>
      </c>
      <c r="U78">
        <v>43.369297000000003</v>
      </c>
      <c r="V78">
        <v>45.266972000000003</v>
      </c>
      <c r="W78">
        <v>47.348140999999998</v>
      </c>
      <c r="X78">
        <v>49.414561999999997</v>
      </c>
      <c r="Y78">
        <v>51.598205999999998</v>
      </c>
      <c r="Z78">
        <v>53.988399999999999</v>
      </c>
      <c r="AA78">
        <v>56.450305999999998</v>
      </c>
      <c r="AB78">
        <v>59.155887999999997</v>
      </c>
      <c r="AC78">
        <v>62.009608999999998</v>
      </c>
      <c r="AD78">
        <v>64.908005000000003</v>
      </c>
      <c r="AE78">
        <v>68.013458</v>
      </c>
      <c r="AF78">
        <v>71.232567000000003</v>
      </c>
      <c r="AG78">
        <v>74.634651000000005</v>
      </c>
      <c r="AH78">
        <v>78.220139000000003</v>
      </c>
      <c r="AI78">
        <v>81.992232999999999</v>
      </c>
      <c r="AJ78">
        <v>85.854904000000005</v>
      </c>
      <c r="AK78" s="126">
        <v>4.9000000000000002E-2</v>
      </c>
    </row>
    <row r="79" spans="1:37">
      <c r="B79" t="s">
        <v>576</v>
      </c>
      <c r="C79" t="s">
        <v>577</v>
      </c>
      <c r="D79" t="s">
        <v>578</v>
      </c>
      <c r="E79" t="s">
        <v>570</v>
      </c>
      <c r="G79">
        <v>1.4232E-2</v>
      </c>
      <c r="H79">
        <v>1.4232E-2</v>
      </c>
      <c r="I79">
        <v>1.4232E-2</v>
      </c>
      <c r="J79">
        <v>1.4232E-2</v>
      </c>
      <c r="K79">
        <v>1.4232E-2</v>
      </c>
      <c r="L79">
        <v>1.4232E-2</v>
      </c>
      <c r="M79">
        <v>1.4232E-2</v>
      </c>
      <c r="N79">
        <v>1.4232E-2</v>
      </c>
      <c r="O79">
        <v>1.4232E-2</v>
      </c>
      <c r="P79">
        <v>1.4232E-2</v>
      </c>
      <c r="Q79">
        <v>1.4232E-2</v>
      </c>
      <c r="R79">
        <v>1.4233000000000001E-2</v>
      </c>
      <c r="S79">
        <v>1.4233000000000001E-2</v>
      </c>
      <c r="T79">
        <v>1.4236E-2</v>
      </c>
      <c r="U79">
        <v>1.4241999999999999E-2</v>
      </c>
      <c r="V79">
        <v>1.4253E-2</v>
      </c>
      <c r="W79">
        <v>1.4274E-2</v>
      </c>
      <c r="X79">
        <v>1.4314E-2</v>
      </c>
      <c r="Y79">
        <v>1.4388E-2</v>
      </c>
      <c r="Z79">
        <v>1.4525E-2</v>
      </c>
      <c r="AA79">
        <v>1.4773E-2</v>
      </c>
      <c r="AB79">
        <v>1.5022000000000001E-2</v>
      </c>
      <c r="AC79">
        <v>1.5272000000000001E-2</v>
      </c>
      <c r="AD79">
        <v>1.5521999999999999E-2</v>
      </c>
      <c r="AE79">
        <v>1.5772999999999999E-2</v>
      </c>
      <c r="AF79">
        <v>1.6024E-2</v>
      </c>
      <c r="AG79">
        <v>1.6275000000000001E-2</v>
      </c>
      <c r="AH79">
        <v>1.6527E-2</v>
      </c>
      <c r="AI79">
        <v>1.6778999999999999E-2</v>
      </c>
      <c r="AJ79">
        <v>1.7031000000000001E-2</v>
      </c>
      <c r="AK79" s="126">
        <v>6.0000000000000001E-3</v>
      </c>
    </row>
    <row r="80" spans="1:37" ht="15" customHeight="1">
      <c r="B80" t="s">
        <v>389</v>
      </c>
      <c r="C80" t="s">
        <v>579</v>
      </c>
      <c r="D80" t="s">
        <v>580</v>
      </c>
      <c r="E80" t="s">
        <v>570</v>
      </c>
      <c r="G80">
        <v>21.286749</v>
      </c>
      <c r="H80">
        <v>23.233763</v>
      </c>
      <c r="I80">
        <v>25.179196999999998</v>
      </c>
      <c r="J80">
        <v>26.571476000000001</v>
      </c>
      <c r="K80">
        <v>27.874701000000002</v>
      </c>
      <c r="L80">
        <v>29.166922</v>
      </c>
      <c r="M80">
        <v>30.469010999999998</v>
      </c>
      <c r="N80">
        <v>31.840446</v>
      </c>
      <c r="O80">
        <v>33.273398999999998</v>
      </c>
      <c r="P80">
        <v>34.721077000000001</v>
      </c>
      <c r="Q80">
        <v>36.253093999999997</v>
      </c>
      <c r="R80">
        <v>37.843437000000002</v>
      </c>
      <c r="S80">
        <v>39.598723999999997</v>
      </c>
      <c r="T80">
        <v>41.496448999999998</v>
      </c>
      <c r="U80">
        <v>43.383541000000001</v>
      </c>
      <c r="V80">
        <v>45.281235000000002</v>
      </c>
      <c r="W80">
        <v>47.362434</v>
      </c>
      <c r="X80">
        <v>49.428916999999998</v>
      </c>
      <c r="Y80">
        <v>51.612670999999999</v>
      </c>
      <c r="Z80">
        <v>54.003070999999998</v>
      </c>
      <c r="AA80">
        <v>56.465350999999998</v>
      </c>
      <c r="AB80">
        <v>59.171306999999999</v>
      </c>
      <c r="AC80">
        <v>62.025398000000003</v>
      </c>
      <c r="AD80">
        <v>64.924178999999995</v>
      </c>
      <c r="AE80">
        <v>68.029999000000004</v>
      </c>
      <c r="AF80">
        <v>71.249481000000003</v>
      </c>
      <c r="AG80">
        <v>74.651947000000007</v>
      </c>
      <c r="AH80">
        <v>78.237808000000001</v>
      </c>
      <c r="AI80">
        <v>82.010283999999999</v>
      </c>
      <c r="AJ80">
        <v>85.873328999999998</v>
      </c>
      <c r="AK80" s="126">
        <v>4.9000000000000002E-2</v>
      </c>
    </row>
    <row r="81" spans="1:37" ht="15" customHeight="1">
      <c r="A81" s="6" t="s">
        <v>581</v>
      </c>
      <c r="B81" t="s">
        <v>582</v>
      </c>
    </row>
    <row r="82" spans="1:37" ht="15" customHeight="1">
      <c r="A82" s="6" t="s">
        <v>583</v>
      </c>
      <c r="B82" t="s">
        <v>567</v>
      </c>
      <c r="C82" t="s">
        <v>584</v>
      </c>
      <c r="D82" t="s">
        <v>585</v>
      </c>
      <c r="E82" t="s">
        <v>586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9.9999999999999995E-7</v>
      </c>
      <c r="T82">
        <v>5.0000000000000004E-6</v>
      </c>
      <c r="U82">
        <v>1.2999999999999999E-5</v>
      </c>
      <c r="V82">
        <v>2.9E-5</v>
      </c>
      <c r="W82">
        <v>5.8E-5</v>
      </c>
      <c r="X82">
        <v>1.15E-4</v>
      </c>
      <c r="Y82">
        <v>2.1699999999999999E-4</v>
      </c>
      <c r="Z82">
        <v>4.08E-4</v>
      </c>
      <c r="AA82">
        <v>7.5500000000000003E-4</v>
      </c>
      <c r="AB82">
        <v>1.1019999999999999E-3</v>
      </c>
      <c r="AC82">
        <v>1.451E-3</v>
      </c>
      <c r="AD82">
        <v>1.8E-3</v>
      </c>
      <c r="AE82">
        <v>2.1489999999999999E-3</v>
      </c>
      <c r="AF82">
        <v>2.4989999999999999E-3</v>
      </c>
      <c r="AG82">
        <v>2.8500000000000001E-3</v>
      </c>
      <c r="AH82">
        <v>3.2009999999999999E-3</v>
      </c>
      <c r="AI82">
        <v>3.5530000000000002E-3</v>
      </c>
      <c r="AJ82">
        <v>3.9039999999999999E-3</v>
      </c>
      <c r="AK82" t="s">
        <v>571</v>
      </c>
    </row>
    <row r="83" spans="1:37">
      <c r="B83" t="s">
        <v>573</v>
      </c>
      <c r="C83" t="s">
        <v>587</v>
      </c>
      <c r="D83" t="s">
        <v>588</v>
      </c>
      <c r="E83" t="s">
        <v>586</v>
      </c>
      <c r="G83">
        <v>33.568367000000002</v>
      </c>
      <c r="H83">
        <v>37.323689000000002</v>
      </c>
      <c r="I83">
        <v>41.078842000000002</v>
      </c>
      <c r="J83">
        <v>43.929070000000003</v>
      </c>
      <c r="K83">
        <v>46.637698999999998</v>
      </c>
      <c r="L83">
        <v>49.32835</v>
      </c>
      <c r="M83">
        <v>52.035904000000002</v>
      </c>
      <c r="N83">
        <v>54.856461000000003</v>
      </c>
      <c r="O83">
        <v>57.778942000000001</v>
      </c>
      <c r="P83">
        <v>60.727286999999997</v>
      </c>
      <c r="Q83">
        <v>63.814194000000001</v>
      </c>
      <c r="R83">
        <v>66.997107999999997</v>
      </c>
      <c r="S83">
        <v>70.448288000000005</v>
      </c>
      <c r="T83">
        <v>74.131057999999996</v>
      </c>
      <c r="U83">
        <v>77.799164000000005</v>
      </c>
      <c r="V83">
        <v>81.486953999999997</v>
      </c>
      <c r="W83">
        <v>85.473922999999999</v>
      </c>
      <c r="X83">
        <v>89.439261999999999</v>
      </c>
      <c r="Y83">
        <v>93.596976999999995</v>
      </c>
      <c r="Z83">
        <v>98.090248000000003</v>
      </c>
      <c r="AA83">
        <v>102.701447</v>
      </c>
      <c r="AB83">
        <v>107.708275</v>
      </c>
      <c r="AC83">
        <v>112.956856</v>
      </c>
      <c r="AD83">
        <v>118.279808</v>
      </c>
      <c r="AE83">
        <v>123.941261</v>
      </c>
      <c r="AF83">
        <v>129.78887900000001</v>
      </c>
      <c r="AG83">
        <v>135.93684400000001</v>
      </c>
      <c r="AH83">
        <v>142.38464400000001</v>
      </c>
      <c r="AI83">
        <v>149.13726800000001</v>
      </c>
      <c r="AJ83">
        <v>156.04032900000001</v>
      </c>
      <c r="AK83" s="126">
        <v>5.3999999999999999E-2</v>
      </c>
    </row>
    <row r="84" spans="1:37" ht="15" customHeight="1">
      <c r="B84" t="s">
        <v>576</v>
      </c>
      <c r="C84" t="s">
        <v>589</v>
      </c>
      <c r="D84" t="s">
        <v>590</v>
      </c>
      <c r="E84" t="s">
        <v>586</v>
      </c>
      <c r="G84">
        <v>1.8546E-2</v>
      </c>
      <c r="H84">
        <v>1.8546E-2</v>
      </c>
      <c r="I84">
        <v>1.8546E-2</v>
      </c>
      <c r="J84">
        <v>1.8546E-2</v>
      </c>
      <c r="K84">
        <v>1.8546E-2</v>
      </c>
      <c r="L84">
        <v>1.8546E-2</v>
      </c>
      <c r="M84">
        <v>1.8546E-2</v>
      </c>
      <c r="N84">
        <v>1.8546E-2</v>
      </c>
      <c r="O84">
        <v>1.8546E-2</v>
      </c>
      <c r="P84">
        <v>1.8546E-2</v>
      </c>
      <c r="Q84">
        <v>1.8546E-2</v>
      </c>
      <c r="R84">
        <v>1.8546E-2</v>
      </c>
      <c r="S84">
        <v>1.8547000000000001E-2</v>
      </c>
      <c r="T84">
        <v>1.8549E-2</v>
      </c>
      <c r="U84">
        <v>1.8554999999999999E-2</v>
      </c>
      <c r="V84">
        <v>1.8567E-2</v>
      </c>
      <c r="W84">
        <v>1.8588E-2</v>
      </c>
      <c r="X84">
        <v>1.8630000000000001E-2</v>
      </c>
      <c r="Y84">
        <v>1.8704999999999999E-2</v>
      </c>
      <c r="Z84">
        <v>1.8846000000000002E-2</v>
      </c>
      <c r="AA84">
        <v>1.9101E-2</v>
      </c>
      <c r="AB84">
        <v>1.9356000000000002E-2</v>
      </c>
      <c r="AC84">
        <v>1.9612000000000001E-2</v>
      </c>
      <c r="AD84">
        <v>1.9868E-2</v>
      </c>
      <c r="AE84">
        <v>2.0125000000000001E-2</v>
      </c>
      <c r="AF84">
        <v>2.0381E-2</v>
      </c>
      <c r="AG84">
        <v>2.0638E-2</v>
      </c>
      <c r="AH84">
        <v>2.0896000000000001E-2</v>
      </c>
      <c r="AI84">
        <v>2.1153000000000002E-2</v>
      </c>
      <c r="AJ84">
        <v>2.1409999999999998E-2</v>
      </c>
      <c r="AK84" s="126">
        <v>5.0000000000000001E-3</v>
      </c>
    </row>
    <row r="85" spans="1:37" ht="15" customHeight="1">
      <c r="B85" t="s">
        <v>389</v>
      </c>
      <c r="C85" t="s">
        <v>591</v>
      </c>
      <c r="D85" t="s">
        <v>592</v>
      </c>
      <c r="E85" t="s">
        <v>586</v>
      </c>
      <c r="G85">
        <v>33.586914</v>
      </c>
      <c r="H85">
        <v>37.342236</v>
      </c>
      <c r="I85">
        <v>41.097389</v>
      </c>
      <c r="J85">
        <v>43.947617000000001</v>
      </c>
      <c r="K85">
        <v>46.656246000000003</v>
      </c>
      <c r="L85">
        <v>49.346896999999998</v>
      </c>
      <c r="M85">
        <v>52.054451</v>
      </c>
      <c r="N85">
        <v>54.875008000000001</v>
      </c>
      <c r="O85">
        <v>57.797488999999999</v>
      </c>
      <c r="P85">
        <v>60.745834000000002</v>
      </c>
      <c r="Q85">
        <v>63.832740999999999</v>
      </c>
      <c r="R85">
        <v>67.015656000000007</v>
      </c>
      <c r="S85">
        <v>70.466835000000003</v>
      </c>
      <c r="T85">
        <v>74.149612000000005</v>
      </c>
      <c r="U85">
        <v>77.817734000000002</v>
      </c>
      <c r="V85">
        <v>81.505554000000004</v>
      </c>
      <c r="W85">
        <v>85.492569000000003</v>
      </c>
      <c r="X85">
        <v>89.458008000000007</v>
      </c>
      <c r="Y85">
        <v>93.615898000000001</v>
      </c>
      <c r="Z85">
        <v>98.109497000000005</v>
      </c>
      <c r="AA85">
        <v>102.721306</v>
      </c>
      <c r="AB85">
        <v>107.728729</v>
      </c>
      <c r="AC85">
        <v>112.97792099999999</v>
      </c>
      <c r="AD85">
        <v>118.30147599999999</v>
      </c>
      <c r="AE85">
        <v>123.963539</v>
      </c>
      <c r="AF85">
        <v>129.811768</v>
      </c>
      <c r="AG85">
        <v>135.960342</v>
      </c>
      <c r="AH85">
        <v>142.408737</v>
      </c>
      <c r="AI85">
        <v>149.16197199999999</v>
      </c>
      <c r="AJ85">
        <v>156.06564299999999</v>
      </c>
      <c r="AK85" s="126">
        <v>5.3999999999999999E-2</v>
      </c>
    </row>
    <row r="86" spans="1:37" ht="15" customHeight="1">
      <c r="A86" s="6" t="s">
        <v>593</v>
      </c>
      <c r="B86" t="s">
        <v>594</v>
      </c>
    </row>
    <row r="87" spans="1:37" ht="15" customHeight="1">
      <c r="A87" s="6" t="s">
        <v>595</v>
      </c>
      <c r="B87" t="s">
        <v>596</v>
      </c>
      <c r="C87" t="s">
        <v>597</v>
      </c>
      <c r="D87" t="s">
        <v>598</v>
      </c>
      <c r="E87" t="s">
        <v>586</v>
      </c>
      <c r="G87">
        <v>5.2240640000000003</v>
      </c>
      <c r="H87">
        <v>5.9678550000000001</v>
      </c>
      <c r="I87">
        <v>6.6997229999999997</v>
      </c>
      <c r="J87">
        <v>7.2546109999999997</v>
      </c>
      <c r="K87">
        <v>7.7704009999999997</v>
      </c>
      <c r="L87">
        <v>8.2967110000000002</v>
      </c>
      <c r="M87">
        <v>8.8406330000000004</v>
      </c>
      <c r="N87">
        <v>9.4038310000000003</v>
      </c>
      <c r="O87">
        <v>9.9985579999999992</v>
      </c>
      <c r="P87">
        <v>10.589752000000001</v>
      </c>
      <c r="Q87">
        <v>11.223314</v>
      </c>
      <c r="R87">
        <v>11.871784</v>
      </c>
      <c r="S87">
        <v>12.597094</v>
      </c>
      <c r="T87">
        <v>13.369761</v>
      </c>
      <c r="U87">
        <v>14.142963</v>
      </c>
      <c r="V87">
        <v>14.904646</v>
      </c>
      <c r="W87">
        <v>15.74896</v>
      </c>
      <c r="X87">
        <v>16.568187999999999</v>
      </c>
      <c r="Y87">
        <v>17.441165999999999</v>
      </c>
      <c r="Z87">
        <v>18.38599</v>
      </c>
      <c r="AA87">
        <v>19.343506000000001</v>
      </c>
      <c r="AB87">
        <v>20.412244999999999</v>
      </c>
      <c r="AC87">
        <v>21.525922999999999</v>
      </c>
      <c r="AD87">
        <v>22.638148999999999</v>
      </c>
      <c r="AE87">
        <v>23.848206999999999</v>
      </c>
      <c r="AF87">
        <v>25.083582</v>
      </c>
      <c r="AG87">
        <v>26.401921999999999</v>
      </c>
      <c r="AH87">
        <v>27.772264</v>
      </c>
      <c r="AI87">
        <v>29.193532999999999</v>
      </c>
      <c r="AJ87">
        <v>30.651522</v>
      </c>
      <c r="AK87" s="126">
        <v>6.3E-2</v>
      </c>
    </row>
    <row r="88" spans="1:37" ht="15" customHeight="1">
      <c r="A88" s="6" t="s">
        <v>599</v>
      </c>
      <c r="B88" t="s">
        <v>600</v>
      </c>
      <c r="C88" t="s">
        <v>601</v>
      </c>
      <c r="D88" t="s">
        <v>602</v>
      </c>
      <c r="E88" t="s">
        <v>586</v>
      </c>
      <c r="G88">
        <v>28.362848</v>
      </c>
      <c r="H88">
        <v>31.374378</v>
      </c>
      <c r="I88">
        <v>34.397666999999998</v>
      </c>
      <c r="J88">
        <v>36.693004999999999</v>
      </c>
      <c r="K88">
        <v>38.885845000000003</v>
      </c>
      <c r="L88">
        <v>41.050185999999997</v>
      </c>
      <c r="M88">
        <v>43.213813999999999</v>
      </c>
      <c r="N88">
        <v>45.471176</v>
      </c>
      <c r="O88">
        <v>47.798931000000003</v>
      </c>
      <c r="P88">
        <v>50.156081999999998</v>
      </c>
      <c r="Q88">
        <v>52.609425000000002</v>
      </c>
      <c r="R88">
        <v>55.143870999999997</v>
      </c>
      <c r="S88">
        <v>57.86974</v>
      </c>
      <c r="T88">
        <v>60.779845999999999</v>
      </c>
      <c r="U88">
        <v>63.674770000000002</v>
      </c>
      <c r="V88">
        <v>66.600898999999998</v>
      </c>
      <c r="W88">
        <v>69.743606999999997</v>
      </c>
      <c r="X88">
        <v>72.889824000000004</v>
      </c>
      <c r="Y88">
        <v>76.174735999999996</v>
      </c>
      <c r="Z88">
        <v>79.723517999999999</v>
      </c>
      <c r="AA88">
        <v>83.377791999999999</v>
      </c>
      <c r="AB88">
        <v>87.316490000000002</v>
      </c>
      <c r="AC88">
        <v>91.452003000000005</v>
      </c>
      <c r="AD88">
        <v>95.663321999999994</v>
      </c>
      <c r="AE88">
        <v>100.115326</v>
      </c>
      <c r="AF88">
        <v>104.72817999999999</v>
      </c>
      <c r="AG88">
        <v>109.558403</v>
      </c>
      <c r="AH88">
        <v>114.636475</v>
      </c>
      <c r="AI88">
        <v>119.96843</v>
      </c>
      <c r="AJ88">
        <v>125.414124</v>
      </c>
      <c r="AK88" s="126">
        <v>5.2999999999999999E-2</v>
      </c>
    </row>
    <row r="89" spans="1:37">
      <c r="B89" t="s">
        <v>603</v>
      </c>
    </row>
    <row r="90" spans="1:37" ht="15" customHeight="1">
      <c r="B90" t="s">
        <v>567</v>
      </c>
      <c r="C90" t="s">
        <v>604</v>
      </c>
      <c r="D90" t="s">
        <v>605</v>
      </c>
      <c r="E90" t="s">
        <v>606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3.0000000000000001E-6</v>
      </c>
      <c r="S90">
        <v>9.0000000000000002E-6</v>
      </c>
      <c r="T90">
        <v>3.8999999999999999E-5</v>
      </c>
      <c r="U90">
        <v>1E-4</v>
      </c>
      <c r="V90">
        <v>2.2000000000000001E-4</v>
      </c>
      <c r="W90">
        <v>4.46E-4</v>
      </c>
      <c r="X90">
        <v>8.7500000000000002E-4</v>
      </c>
      <c r="Y90">
        <v>1.655E-3</v>
      </c>
      <c r="Z90">
        <v>3.101E-3</v>
      </c>
      <c r="AA90">
        <v>5.7250000000000001E-3</v>
      </c>
      <c r="AB90">
        <v>8.3470000000000003E-3</v>
      </c>
      <c r="AC90">
        <v>1.0971E-2</v>
      </c>
      <c r="AD90">
        <v>1.3594E-2</v>
      </c>
      <c r="AE90">
        <v>1.6216000000000001E-2</v>
      </c>
      <c r="AF90">
        <v>1.8834E-2</v>
      </c>
      <c r="AG90">
        <v>2.1454999999999998E-2</v>
      </c>
      <c r="AH90">
        <v>2.4070999999999999E-2</v>
      </c>
      <c r="AI90">
        <v>2.6682999999999998E-2</v>
      </c>
      <c r="AJ90">
        <v>2.9288000000000002E-2</v>
      </c>
      <c r="AK90" t="s">
        <v>571</v>
      </c>
    </row>
    <row r="91" spans="1:37" ht="15" customHeight="1">
      <c r="A91" s="6" t="s">
        <v>607</v>
      </c>
      <c r="B91" t="s">
        <v>573</v>
      </c>
      <c r="C91" t="s">
        <v>608</v>
      </c>
      <c r="D91" t="s">
        <v>609</v>
      </c>
      <c r="E91" t="s">
        <v>606</v>
      </c>
      <c r="G91">
        <v>277.55529799999999</v>
      </c>
      <c r="H91">
        <v>308.05718999999999</v>
      </c>
      <c r="I91">
        <v>336.70550500000002</v>
      </c>
      <c r="J91">
        <v>357.55841099999998</v>
      </c>
      <c r="K91">
        <v>378.32330300000001</v>
      </c>
      <c r="L91">
        <v>394.63433800000001</v>
      </c>
      <c r="M91">
        <v>415.04357900000002</v>
      </c>
      <c r="N91">
        <v>436.20336900000001</v>
      </c>
      <c r="O91">
        <v>458.1474</v>
      </c>
      <c r="P91">
        <v>479.54760700000003</v>
      </c>
      <c r="Q91">
        <v>502.21404999999999</v>
      </c>
      <c r="R91">
        <v>528.19928000000004</v>
      </c>
      <c r="S91">
        <v>554.21283000000005</v>
      </c>
      <c r="T91">
        <v>580.63433799999996</v>
      </c>
      <c r="U91">
        <v>606.95343000000003</v>
      </c>
      <c r="V91">
        <v>634.33252000000005</v>
      </c>
      <c r="W91">
        <v>664.00469999999996</v>
      </c>
      <c r="X91">
        <v>696.082764</v>
      </c>
      <c r="Y91">
        <v>729.50317399999994</v>
      </c>
      <c r="Z91">
        <v>764.87933299999997</v>
      </c>
      <c r="AA91">
        <v>800.34558100000004</v>
      </c>
      <c r="AB91">
        <v>838.40930200000003</v>
      </c>
      <c r="AC91">
        <v>880.90863000000002</v>
      </c>
      <c r="AD91">
        <v>920.922729</v>
      </c>
      <c r="AE91">
        <v>965.40332000000001</v>
      </c>
      <c r="AF91">
        <v>1012.125916</v>
      </c>
      <c r="AG91">
        <v>1058.2139890000001</v>
      </c>
      <c r="AH91">
        <v>1113.6363530000001</v>
      </c>
      <c r="AI91">
        <v>1164.774414</v>
      </c>
      <c r="AJ91">
        <v>1219.8955080000001</v>
      </c>
      <c r="AK91" s="126">
        <v>5.1999999999999998E-2</v>
      </c>
    </row>
    <row r="92" spans="1:37" ht="15" customHeight="1">
      <c r="A92" s="6" t="s">
        <v>610</v>
      </c>
      <c r="B92" t="s">
        <v>576</v>
      </c>
      <c r="C92" t="s">
        <v>611</v>
      </c>
      <c r="D92" t="s">
        <v>612</v>
      </c>
      <c r="E92" t="s">
        <v>606</v>
      </c>
      <c r="G92">
        <v>0.17224800000000001</v>
      </c>
      <c r="H92">
        <v>0.172009</v>
      </c>
      <c r="I92">
        <v>0.16995199999999999</v>
      </c>
      <c r="J92">
        <v>0.16835700000000001</v>
      </c>
      <c r="K92">
        <v>0.167438</v>
      </c>
      <c r="L92">
        <v>0.165436</v>
      </c>
      <c r="M92">
        <v>0.16420100000000001</v>
      </c>
      <c r="N92">
        <v>0.16352900000000001</v>
      </c>
      <c r="O92">
        <v>0.16248499999999999</v>
      </c>
      <c r="P92">
        <v>0.16231499999999999</v>
      </c>
      <c r="Q92">
        <v>0.16200400000000001</v>
      </c>
      <c r="R92">
        <v>0.16172900000000001</v>
      </c>
      <c r="S92">
        <v>0.161494</v>
      </c>
      <c r="T92">
        <v>0.16103300000000001</v>
      </c>
      <c r="U92">
        <v>0.16048599999999999</v>
      </c>
      <c r="V92">
        <v>0.16020799999999999</v>
      </c>
      <c r="W92">
        <v>0.15972800000000001</v>
      </c>
      <c r="X92">
        <v>0.15992799999999999</v>
      </c>
      <c r="Y92">
        <v>0.16044</v>
      </c>
      <c r="Z92">
        <v>0.16158600000000001</v>
      </c>
      <c r="AA92">
        <v>0.16331799999999999</v>
      </c>
      <c r="AB92">
        <v>0.16531899999999999</v>
      </c>
      <c r="AC92">
        <v>0.16711400000000001</v>
      </c>
      <c r="AD92">
        <v>0.16911499999999999</v>
      </c>
      <c r="AE92">
        <v>0.17075599999999999</v>
      </c>
      <c r="AF92">
        <v>0.17246600000000001</v>
      </c>
      <c r="AG92">
        <v>0.17432</v>
      </c>
      <c r="AH92">
        <v>0.17643</v>
      </c>
      <c r="AI92">
        <v>0.17836099999999999</v>
      </c>
      <c r="AJ92">
        <v>0.180448</v>
      </c>
      <c r="AK92" s="126">
        <v>2E-3</v>
      </c>
    </row>
    <row r="93" spans="1:37" ht="15" customHeight="1">
      <c r="A93" s="6" t="s">
        <v>613</v>
      </c>
      <c r="B93" t="s">
        <v>389</v>
      </c>
      <c r="C93" t="s">
        <v>614</v>
      </c>
      <c r="D93" t="s">
        <v>615</v>
      </c>
      <c r="E93" t="s">
        <v>606</v>
      </c>
      <c r="G93">
        <v>277.72753899999998</v>
      </c>
      <c r="H93">
        <v>308.22918700000002</v>
      </c>
      <c r="I93">
        <v>336.87545799999998</v>
      </c>
      <c r="J93">
        <v>357.72677599999997</v>
      </c>
      <c r="K93">
        <v>378.49075299999998</v>
      </c>
      <c r="L93">
        <v>394.79977400000001</v>
      </c>
      <c r="M93">
        <v>415.20779399999998</v>
      </c>
      <c r="N93">
        <v>436.36691300000001</v>
      </c>
      <c r="O93">
        <v>458.30987499999998</v>
      </c>
      <c r="P93">
        <v>479.70992999999999</v>
      </c>
      <c r="Q93">
        <v>502.37606799999998</v>
      </c>
      <c r="R93">
        <v>528.36102300000005</v>
      </c>
      <c r="S93">
        <v>554.37432899999999</v>
      </c>
      <c r="T93">
        <v>580.79540999999995</v>
      </c>
      <c r="U93">
        <v>607.114014</v>
      </c>
      <c r="V93">
        <v>634.49298099999999</v>
      </c>
      <c r="W93">
        <v>664.16485599999999</v>
      </c>
      <c r="X93">
        <v>696.24352999999996</v>
      </c>
      <c r="Y93">
        <v>729.66528300000004</v>
      </c>
      <c r="Z93">
        <v>765.04400599999997</v>
      </c>
      <c r="AA93">
        <v>800.51464799999997</v>
      </c>
      <c r="AB93">
        <v>838.58300799999995</v>
      </c>
      <c r="AC93">
        <v>881.08673099999999</v>
      </c>
      <c r="AD93">
        <v>921.10546899999997</v>
      </c>
      <c r="AE93">
        <v>965.59033199999999</v>
      </c>
      <c r="AF93">
        <v>1012.317261</v>
      </c>
      <c r="AG93">
        <v>1058.4097899999999</v>
      </c>
      <c r="AH93">
        <v>1113.8367920000001</v>
      </c>
      <c r="AI93">
        <v>1164.9794919999999</v>
      </c>
      <c r="AJ93">
        <v>1220.105225</v>
      </c>
      <c r="AK93" s="126">
        <v>5.1999999999999998E-2</v>
      </c>
    </row>
    <row r="95" spans="1:37" ht="15" customHeight="1"/>
    <row r="96" spans="1:37" ht="15" customHeight="1"/>
    <row r="97" spans="1:1" ht="15" customHeight="1"/>
    <row r="98" spans="1:1" ht="15" customHeight="1">
      <c r="A98" s="6" t="s">
        <v>616</v>
      </c>
    </row>
    <row r="99" spans="1:1" ht="15" customHeight="1">
      <c r="A99" s="6" t="s">
        <v>617</v>
      </c>
    </row>
    <row r="100" spans="1:1" ht="15" customHeight="1">
      <c r="A100" s="6" t="s">
        <v>618</v>
      </c>
    </row>
    <row r="101" spans="1:1" ht="15" customHeight="1">
      <c r="A101" s="6" t="s">
        <v>619</v>
      </c>
    </row>
    <row r="102" spans="1:1" ht="15" customHeight="1"/>
    <row r="103" spans="1:1" ht="15" customHeight="1">
      <c r="A103" s="6" t="s">
        <v>620</v>
      </c>
    </row>
    <row r="104" spans="1:1" ht="15" customHeight="1">
      <c r="A104" s="6" t="s">
        <v>621</v>
      </c>
    </row>
    <row r="105" spans="1:1" ht="15" customHeight="1">
      <c r="A105" s="6" t="s">
        <v>622</v>
      </c>
    </row>
    <row r="106" spans="1:1" ht="15" customHeight="1">
      <c r="A106" s="6" t="s">
        <v>623</v>
      </c>
    </row>
    <row r="107" spans="1:1" ht="15" customHeight="1"/>
    <row r="108" spans="1:1" ht="15" customHeight="1">
      <c r="A108" s="6" t="s">
        <v>624</v>
      </c>
    </row>
    <row r="109" spans="1:1" ht="15" customHeight="1">
      <c r="A109" s="6" t="s">
        <v>625</v>
      </c>
    </row>
    <row r="110" spans="1:1" ht="15" customHeight="1"/>
    <row r="111" spans="1:1" ht="15" customHeight="1">
      <c r="A111" s="6" t="s">
        <v>626</v>
      </c>
    </row>
    <row r="112" spans="1:1" ht="15" customHeight="1">
      <c r="A112" s="6" t="s">
        <v>627</v>
      </c>
    </row>
    <row r="113" spans="1:1" ht="15" customHeight="1">
      <c r="A113" s="6" t="s">
        <v>628</v>
      </c>
    </row>
    <row r="114" spans="1:1" ht="15" customHeight="1">
      <c r="A114" s="6" t="s">
        <v>629</v>
      </c>
    </row>
    <row r="115" spans="1:1" ht="15" customHeight="1"/>
    <row r="116" spans="1:1" ht="15" customHeight="1"/>
    <row r="117" spans="1:1" ht="15" customHeight="1"/>
    <row r="118" spans="1:1" ht="15" customHeight="1"/>
    <row r="119" spans="1:1" ht="15" customHeight="1"/>
    <row r="120" spans="1:1" ht="15" customHeight="1"/>
    <row r="121" spans="1:1" ht="15" customHeight="1"/>
    <row r="122" spans="1:1" ht="15" customHeight="1"/>
    <row r="123" spans="1:1" ht="15" customHeight="1"/>
    <row r="124" spans="1:1" ht="15" customHeight="1"/>
    <row r="125" spans="1:1" ht="15" customHeight="1"/>
    <row r="126" spans="1:1" ht="15" customHeight="1"/>
    <row r="127" spans="1:1" ht="15" customHeight="1"/>
    <row r="128" spans="1:1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selection activeCell="J10" sqref="J10"/>
    </sheetView>
  </sheetViews>
  <sheetFormatPr defaultRowHeight="15"/>
  <cols>
    <col min="2" max="2" width="23.7109375" customWidth="1"/>
    <col min="3" max="3" width="20.85546875" bestFit="1" customWidth="1"/>
    <col min="4" max="4" width="22.7109375" bestFit="1" customWidth="1"/>
    <col min="5" max="5" width="14.5703125" bestFit="1" customWidth="1"/>
  </cols>
  <sheetData>
    <row r="1" spans="1:5">
      <c r="A1" s="1" t="s">
        <v>630</v>
      </c>
    </row>
    <row r="2" spans="1:5">
      <c r="A2" s="1" t="s">
        <v>631</v>
      </c>
      <c r="B2" t="s">
        <v>632</v>
      </c>
    </row>
    <row r="4" spans="1:5" s="1" customFormat="1">
      <c r="A4" s="1" t="s">
        <v>633</v>
      </c>
      <c r="B4" s="1" t="s">
        <v>634</v>
      </c>
      <c r="C4" s="1" t="s">
        <v>635</v>
      </c>
      <c r="D4" s="1" t="s">
        <v>636</v>
      </c>
      <c r="E4" s="1" t="s">
        <v>637</v>
      </c>
    </row>
    <row r="5" spans="1:5">
      <c r="A5">
        <v>2015</v>
      </c>
      <c r="B5" t="s">
        <v>638</v>
      </c>
      <c r="C5" t="s">
        <v>639</v>
      </c>
      <c r="D5" s="87">
        <v>96</v>
      </c>
      <c r="E5">
        <v>3.3</v>
      </c>
    </row>
    <row r="6" spans="1:5">
      <c r="A6">
        <v>2015</v>
      </c>
      <c r="B6" t="s">
        <v>638</v>
      </c>
      <c r="C6" t="s">
        <v>640</v>
      </c>
      <c r="D6" s="87">
        <v>96</v>
      </c>
      <c r="E6">
        <v>3.3</v>
      </c>
    </row>
    <row r="7" spans="1:5">
      <c r="A7">
        <v>2015</v>
      </c>
      <c r="B7" t="s">
        <v>638</v>
      </c>
      <c r="C7" t="s">
        <v>641</v>
      </c>
      <c r="D7" s="87">
        <v>96</v>
      </c>
      <c r="E7">
        <v>3.3</v>
      </c>
    </row>
    <row r="8" spans="1:5">
      <c r="A8">
        <v>2015</v>
      </c>
      <c r="B8" t="s">
        <v>642</v>
      </c>
      <c r="C8" t="s">
        <v>639</v>
      </c>
      <c r="D8" s="87">
        <v>96</v>
      </c>
      <c r="E8">
        <v>1.5</v>
      </c>
    </row>
    <row r="9" spans="1:5">
      <c r="A9">
        <v>2015</v>
      </c>
      <c r="B9" t="s">
        <v>642</v>
      </c>
      <c r="C9" t="s">
        <v>640</v>
      </c>
      <c r="D9" s="87">
        <v>96</v>
      </c>
      <c r="E9">
        <v>1.5</v>
      </c>
    </row>
    <row r="10" spans="1:5">
      <c r="A10">
        <v>2015</v>
      </c>
      <c r="B10" t="s">
        <v>642</v>
      </c>
      <c r="C10" t="s">
        <v>641</v>
      </c>
      <c r="D10" s="87">
        <v>96</v>
      </c>
      <c r="E10">
        <v>1.5</v>
      </c>
    </row>
    <row r="11" spans="1:5">
      <c r="A11">
        <v>2020</v>
      </c>
      <c r="B11" t="s">
        <v>638</v>
      </c>
      <c r="C11" t="s">
        <v>639</v>
      </c>
      <c r="D11" s="87">
        <v>85</v>
      </c>
      <c r="E11">
        <v>3.75</v>
      </c>
    </row>
    <row r="12" spans="1:5">
      <c r="A12">
        <v>2020</v>
      </c>
      <c r="B12" t="s">
        <v>638</v>
      </c>
      <c r="C12" t="s">
        <v>640</v>
      </c>
      <c r="D12" s="87">
        <v>80</v>
      </c>
      <c r="E12">
        <v>4</v>
      </c>
    </row>
    <row r="13" spans="1:5">
      <c r="A13">
        <v>2020</v>
      </c>
      <c r="B13" t="s">
        <v>638</v>
      </c>
      <c r="C13" t="s">
        <v>641</v>
      </c>
      <c r="D13" s="87">
        <v>92.873542513425079</v>
      </c>
      <c r="E13">
        <v>3.4</v>
      </c>
    </row>
    <row r="14" spans="1:5">
      <c r="A14">
        <v>2020</v>
      </c>
      <c r="B14" t="s">
        <v>642</v>
      </c>
      <c r="C14" t="s">
        <v>639</v>
      </c>
      <c r="D14" s="87">
        <v>85</v>
      </c>
      <c r="E14">
        <v>2</v>
      </c>
    </row>
    <row r="15" spans="1:5">
      <c r="A15">
        <v>2020</v>
      </c>
      <c r="B15" t="s">
        <v>642</v>
      </c>
      <c r="C15" t="s">
        <v>640</v>
      </c>
      <c r="D15" s="87">
        <v>80</v>
      </c>
      <c r="E15">
        <v>2.5</v>
      </c>
    </row>
    <row r="16" spans="1:5">
      <c r="A16">
        <v>2020</v>
      </c>
      <c r="B16" t="s">
        <v>642</v>
      </c>
      <c r="C16" t="s">
        <v>641</v>
      </c>
      <c r="D16" s="87">
        <v>92.873542513425079</v>
      </c>
      <c r="E16">
        <v>1.75</v>
      </c>
    </row>
    <row r="17" spans="1:5">
      <c r="A17">
        <v>2030</v>
      </c>
      <c r="B17" t="s">
        <v>638</v>
      </c>
      <c r="C17" t="s">
        <v>639</v>
      </c>
      <c r="D17" s="87">
        <v>73</v>
      </c>
      <c r="E17">
        <v>4</v>
      </c>
    </row>
    <row r="18" spans="1:5">
      <c r="A18">
        <v>2030</v>
      </c>
      <c r="B18" t="s">
        <v>638</v>
      </c>
      <c r="C18" t="s">
        <v>640</v>
      </c>
      <c r="D18" s="87">
        <v>65</v>
      </c>
      <c r="E18">
        <v>4.5</v>
      </c>
    </row>
    <row r="19" spans="1:5">
      <c r="A19">
        <v>2030</v>
      </c>
      <c r="B19" t="s">
        <v>638</v>
      </c>
      <c r="C19" t="s">
        <v>641</v>
      </c>
      <c r="D19" s="87">
        <v>86.922772048714748</v>
      </c>
      <c r="E19">
        <v>3.5</v>
      </c>
    </row>
    <row r="20" spans="1:5">
      <c r="A20">
        <v>2030</v>
      </c>
      <c r="B20" t="s">
        <v>642</v>
      </c>
      <c r="C20" t="s">
        <v>639</v>
      </c>
      <c r="D20" s="87">
        <v>73</v>
      </c>
      <c r="E20">
        <v>2.5</v>
      </c>
    </row>
    <row r="21" spans="1:5">
      <c r="A21">
        <v>2030</v>
      </c>
      <c r="B21" t="s">
        <v>642</v>
      </c>
      <c r="C21" t="s">
        <v>640</v>
      </c>
      <c r="D21" s="87">
        <v>65</v>
      </c>
      <c r="E21">
        <v>3</v>
      </c>
    </row>
    <row r="22" spans="1:5">
      <c r="A22">
        <v>2030</v>
      </c>
      <c r="B22" t="s">
        <v>642</v>
      </c>
      <c r="C22" t="s">
        <v>641</v>
      </c>
      <c r="D22" s="87">
        <v>86.922772048714748</v>
      </c>
      <c r="E22">
        <v>2.1</v>
      </c>
    </row>
    <row r="23" spans="1:5">
      <c r="A23">
        <v>2040</v>
      </c>
      <c r="B23" t="s">
        <v>638</v>
      </c>
      <c r="C23" t="s">
        <v>639</v>
      </c>
      <c r="D23" s="87">
        <v>65</v>
      </c>
      <c r="E23">
        <v>4.1500000000000004</v>
      </c>
    </row>
    <row r="24" spans="1:5">
      <c r="A24">
        <v>2040</v>
      </c>
      <c r="B24" t="s">
        <v>638</v>
      </c>
      <c r="C24" t="s">
        <v>640</v>
      </c>
      <c r="D24" s="87">
        <v>60</v>
      </c>
      <c r="E24">
        <v>4.75</v>
      </c>
    </row>
    <row r="25" spans="1:5">
      <c r="A25">
        <v>2040</v>
      </c>
      <c r="B25" t="s">
        <v>638</v>
      </c>
      <c r="C25" t="s">
        <v>641</v>
      </c>
      <c r="D25" s="87">
        <v>81.353290680611792</v>
      </c>
      <c r="E25">
        <v>3.6</v>
      </c>
    </row>
    <row r="26" spans="1:5">
      <c r="A26">
        <v>2040</v>
      </c>
      <c r="B26" t="s">
        <v>642</v>
      </c>
      <c r="C26" t="s">
        <v>639</v>
      </c>
      <c r="D26" s="87">
        <v>65</v>
      </c>
      <c r="E26">
        <v>3</v>
      </c>
    </row>
    <row r="27" spans="1:5">
      <c r="A27">
        <v>2040</v>
      </c>
      <c r="B27" t="s">
        <v>642</v>
      </c>
      <c r="C27" t="s">
        <v>640</v>
      </c>
      <c r="D27" s="87">
        <v>60</v>
      </c>
      <c r="E27">
        <v>3</v>
      </c>
    </row>
    <row r="28" spans="1:5">
      <c r="A28">
        <v>2040</v>
      </c>
      <c r="B28" t="s">
        <v>642</v>
      </c>
      <c r="C28" t="s">
        <v>641</v>
      </c>
      <c r="D28" s="87">
        <v>81.353290680611792</v>
      </c>
      <c r="E28">
        <v>2.5</v>
      </c>
    </row>
    <row r="29" spans="1:5">
      <c r="A29">
        <v>2050</v>
      </c>
      <c r="B29" t="s">
        <v>638</v>
      </c>
      <c r="C29" t="s">
        <v>639</v>
      </c>
      <c r="D29" s="87">
        <v>60.296369222717402</v>
      </c>
      <c r="E29">
        <v>4.25</v>
      </c>
    </row>
    <row r="30" spans="1:5">
      <c r="A30">
        <v>2050</v>
      </c>
      <c r="B30" t="s">
        <v>638</v>
      </c>
      <c r="C30" t="s">
        <v>640</v>
      </c>
      <c r="D30" s="87">
        <v>57.599999999999994</v>
      </c>
      <c r="E30">
        <v>5</v>
      </c>
    </row>
    <row r="31" spans="1:5">
      <c r="A31">
        <v>2050</v>
      </c>
      <c r="B31" t="s">
        <v>638</v>
      </c>
      <c r="C31" t="s">
        <v>641</v>
      </c>
      <c r="D31" s="87">
        <v>76.140667728071804</v>
      </c>
      <c r="E31">
        <v>3.7</v>
      </c>
    </row>
    <row r="32" spans="1:5">
      <c r="A32">
        <v>2050</v>
      </c>
      <c r="B32" t="s">
        <v>642</v>
      </c>
      <c r="C32" t="s">
        <v>639</v>
      </c>
      <c r="D32" s="87">
        <v>60.296369222717402</v>
      </c>
      <c r="E32">
        <v>3</v>
      </c>
    </row>
    <row r="33" spans="1:5">
      <c r="A33">
        <v>2050</v>
      </c>
      <c r="B33" t="s">
        <v>642</v>
      </c>
      <c r="C33" t="s">
        <v>640</v>
      </c>
      <c r="D33" s="87">
        <v>57.599999999999994</v>
      </c>
      <c r="E33">
        <v>3</v>
      </c>
    </row>
    <row r="34" spans="1:5">
      <c r="A34">
        <v>2050</v>
      </c>
      <c r="B34" t="s">
        <v>642</v>
      </c>
      <c r="C34" t="s">
        <v>641</v>
      </c>
      <c r="D34" s="87">
        <v>76.140667728071804</v>
      </c>
      <c r="E34">
        <v>2.75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>
      <selection activeCell="D7" sqref="D7"/>
    </sheetView>
  </sheetViews>
  <sheetFormatPr defaultRowHeight="15"/>
  <cols>
    <col min="2" max="2" width="17.28515625" customWidth="1"/>
    <col min="3" max="3" width="22.85546875" bestFit="1" customWidth="1"/>
    <col min="4" max="4" width="23.85546875" bestFit="1" customWidth="1"/>
    <col min="5" max="5" width="17.28515625" customWidth="1"/>
  </cols>
  <sheetData>
    <row r="1" spans="1:5">
      <c r="A1" s="1" t="s">
        <v>643</v>
      </c>
    </row>
    <row r="2" spans="1:5">
      <c r="A2" s="1" t="s">
        <v>631</v>
      </c>
      <c r="B2" t="s">
        <v>644</v>
      </c>
    </row>
    <row r="4" spans="1:5">
      <c r="A4" s="1" t="s">
        <v>633</v>
      </c>
      <c r="B4" s="1" t="s">
        <v>634</v>
      </c>
      <c r="C4" s="1" t="s">
        <v>635</v>
      </c>
      <c r="D4" s="1" t="s">
        <v>636</v>
      </c>
      <c r="E4" s="1" t="s">
        <v>637</v>
      </c>
    </row>
    <row r="5" spans="1:5">
      <c r="A5">
        <v>2015</v>
      </c>
      <c r="B5" t="s">
        <v>645</v>
      </c>
      <c r="C5" t="s">
        <v>639</v>
      </c>
      <c r="D5" s="87">
        <v>310</v>
      </c>
      <c r="E5">
        <v>2.4500000000000002</v>
      </c>
    </row>
    <row r="6" spans="1:5">
      <c r="A6">
        <v>2015</v>
      </c>
      <c r="B6" t="s">
        <v>645</v>
      </c>
      <c r="C6" t="s">
        <v>640</v>
      </c>
      <c r="D6" s="87">
        <v>310</v>
      </c>
      <c r="E6">
        <v>2.4500000000000002</v>
      </c>
    </row>
    <row r="7" spans="1:5">
      <c r="A7">
        <v>2015</v>
      </c>
      <c r="B7" t="s">
        <v>645</v>
      </c>
      <c r="C7" t="s">
        <v>641</v>
      </c>
      <c r="D7" s="87">
        <v>310</v>
      </c>
      <c r="E7">
        <v>2.4500000000000002</v>
      </c>
    </row>
    <row r="8" spans="1:5">
      <c r="A8">
        <v>2020</v>
      </c>
      <c r="B8" t="s">
        <v>645</v>
      </c>
      <c r="C8" t="s">
        <v>639</v>
      </c>
      <c r="D8" s="87">
        <v>287.51781145613165</v>
      </c>
      <c r="E8">
        <v>3</v>
      </c>
    </row>
    <row r="9" spans="1:5">
      <c r="A9">
        <v>2020</v>
      </c>
      <c r="B9" t="s">
        <v>645</v>
      </c>
      <c r="C9" t="s">
        <v>640</v>
      </c>
      <c r="D9" s="87">
        <v>281.0389027686914</v>
      </c>
      <c r="E9">
        <v>3</v>
      </c>
    </row>
    <row r="10" spans="1:5">
      <c r="A10">
        <v>2020</v>
      </c>
      <c r="B10" t="s">
        <v>645</v>
      </c>
      <c r="C10" t="s">
        <v>641</v>
      </c>
      <c r="D10" s="87">
        <v>302.85282908362865</v>
      </c>
      <c r="E10">
        <v>3</v>
      </c>
    </row>
    <row r="11" spans="1:5">
      <c r="A11">
        <v>2030</v>
      </c>
      <c r="B11" t="s">
        <v>645</v>
      </c>
      <c r="C11" t="s">
        <v>639</v>
      </c>
      <c r="D11" s="87">
        <v>247.326626775699</v>
      </c>
      <c r="E11">
        <v>3.25</v>
      </c>
    </row>
    <row r="12" spans="1:5">
      <c r="A12">
        <v>2030</v>
      </c>
      <c r="B12" t="s">
        <v>645</v>
      </c>
      <c r="C12" t="s">
        <v>640</v>
      </c>
      <c r="D12" s="87">
        <v>219.56945138434571</v>
      </c>
      <c r="E12">
        <v>3.6</v>
      </c>
    </row>
    <row r="13" spans="1:5">
      <c r="A13">
        <v>2030</v>
      </c>
      <c r="B13" t="s">
        <v>645</v>
      </c>
      <c r="C13" t="s">
        <v>641</v>
      </c>
      <c r="D13" s="87">
        <v>289.04903060471639</v>
      </c>
      <c r="E13">
        <v>3</v>
      </c>
    </row>
    <row r="14" spans="1:5">
      <c r="A14">
        <v>2040</v>
      </c>
      <c r="B14" t="s">
        <v>645</v>
      </c>
      <c r="C14" t="s">
        <v>639</v>
      </c>
      <c r="D14" s="87">
        <v>212.75363777446901</v>
      </c>
      <c r="E14">
        <v>3.35</v>
      </c>
    </row>
    <row r="15" spans="1:5">
      <c r="A15">
        <v>2040</v>
      </c>
      <c r="B15" t="s">
        <v>645</v>
      </c>
      <c r="C15" t="s">
        <v>640</v>
      </c>
      <c r="D15" s="87">
        <v>180</v>
      </c>
      <c r="E15">
        <v>3.85</v>
      </c>
    </row>
    <row r="16" spans="1:5">
      <c r="A16">
        <v>2040</v>
      </c>
      <c r="B16" t="s">
        <v>645</v>
      </c>
      <c r="C16" t="s">
        <v>641</v>
      </c>
      <c r="D16" s="87">
        <v>275.87439861905744</v>
      </c>
      <c r="E16">
        <v>3</v>
      </c>
    </row>
    <row r="17" spans="1:5">
      <c r="A17">
        <v>2050</v>
      </c>
      <c r="B17" t="s">
        <v>645</v>
      </c>
      <c r="C17" t="s">
        <v>639</v>
      </c>
      <c r="D17" s="87">
        <v>184.45</v>
      </c>
      <c r="E17">
        <v>3.43</v>
      </c>
    </row>
    <row r="18" spans="1:5">
      <c r="A18">
        <v>2050</v>
      </c>
      <c r="B18" t="s">
        <v>645</v>
      </c>
      <c r="C18" t="s">
        <v>640</v>
      </c>
      <c r="D18" s="87">
        <v>158.1</v>
      </c>
      <c r="E18">
        <v>3.9200000000000004</v>
      </c>
    </row>
    <row r="19" spans="1:5">
      <c r="A19">
        <v>2050</v>
      </c>
      <c r="B19" t="s">
        <v>645</v>
      </c>
      <c r="C19" t="s">
        <v>641</v>
      </c>
      <c r="D19" s="87">
        <v>263.5</v>
      </c>
      <c r="E1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8"/>
  <sheetViews>
    <sheetView workbookViewId="0">
      <selection activeCell="B8" sqref="B8"/>
    </sheetView>
  </sheetViews>
  <sheetFormatPr defaultRowHeight="15"/>
  <cols>
    <col min="1" max="1" width="59.7109375" bestFit="1" customWidth="1"/>
    <col min="2" max="2" width="12" bestFit="1" customWidth="1"/>
    <col min="31" max="31" width="11.5703125" bestFit="1" customWidth="1"/>
  </cols>
  <sheetData>
    <row r="1" spans="1:33">
      <c r="A1" s="10" t="s">
        <v>646</v>
      </c>
      <c r="B1" s="10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3">
      <c r="A2" s="54" t="s">
        <v>647</v>
      </c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</row>
    <row r="3" spans="1:33">
      <c r="A3" s="11" t="s">
        <v>648</v>
      </c>
      <c r="B3">
        <v>2019</v>
      </c>
      <c r="C3">
        <v>2020</v>
      </c>
      <c r="D3">
        <v>2021</v>
      </c>
      <c r="E3">
        <v>2022</v>
      </c>
      <c r="F3">
        <v>2023</v>
      </c>
      <c r="G3">
        <v>2024</v>
      </c>
      <c r="H3">
        <v>2025</v>
      </c>
      <c r="I3">
        <v>2026</v>
      </c>
      <c r="J3">
        <v>2027</v>
      </c>
      <c r="K3">
        <v>2028</v>
      </c>
      <c r="L3">
        <v>2029</v>
      </c>
      <c r="M3">
        <v>2030</v>
      </c>
      <c r="N3">
        <v>2031</v>
      </c>
      <c r="O3">
        <v>2032</v>
      </c>
      <c r="P3">
        <v>2033</v>
      </c>
      <c r="Q3">
        <v>2034</v>
      </c>
      <c r="R3">
        <v>2035</v>
      </c>
      <c r="S3">
        <v>2036</v>
      </c>
      <c r="T3">
        <v>2037</v>
      </c>
      <c r="U3">
        <v>2038</v>
      </c>
      <c r="V3">
        <v>2039</v>
      </c>
      <c r="W3">
        <v>2040</v>
      </c>
      <c r="X3">
        <v>2041</v>
      </c>
      <c r="Y3">
        <v>2042</v>
      </c>
      <c r="Z3">
        <v>2043</v>
      </c>
      <c r="AA3">
        <v>2044</v>
      </c>
      <c r="AB3">
        <v>2045</v>
      </c>
      <c r="AC3">
        <v>2046</v>
      </c>
      <c r="AD3">
        <v>2047</v>
      </c>
      <c r="AE3">
        <v>2048</v>
      </c>
      <c r="AF3">
        <v>2049</v>
      </c>
      <c r="AG3">
        <v>2050</v>
      </c>
    </row>
    <row r="4" spans="1:33">
      <c r="A4" t="s">
        <v>649</v>
      </c>
      <c r="B4" s="41">
        <f>'IESS Residential'!$B$10*'IESS Residential'!$B$14</f>
        <v>4243675</v>
      </c>
      <c r="C4" s="41">
        <f>'IESS Residential'!$B$10*'IESS Residential'!$B$14</f>
        <v>4243675</v>
      </c>
      <c r="D4" s="41">
        <f>'IESS Residential'!$B$10*'IESS Residential'!$B$14</f>
        <v>4243675</v>
      </c>
      <c r="E4" s="41">
        <f>'IESS Residential'!$B$10*'IESS Residential'!$B$14</f>
        <v>4243675</v>
      </c>
      <c r="F4" s="41">
        <f>'IESS Residential'!$B$10*'IESS Residential'!$B$14</f>
        <v>4243675</v>
      </c>
      <c r="G4" s="41">
        <f>'IESS Residential'!$B$10*'IESS Residential'!$B$14</f>
        <v>4243675</v>
      </c>
      <c r="H4" s="41">
        <f>'IESS Residential'!$B$10*'IESS Residential'!$B$14</f>
        <v>4243675</v>
      </c>
      <c r="I4" s="41">
        <f>'IESS Residential'!$B$10*'IESS Residential'!$B$14</f>
        <v>4243675</v>
      </c>
      <c r="J4" s="41">
        <f>'IESS Residential'!$B$10*'IESS Residential'!$B$14</f>
        <v>4243675</v>
      </c>
      <c r="K4" s="41">
        <f>'IESS Residential'!$B$10*'IESS Residential'!$B$14</f>
        <v>4243675</v>
      </c>
      <c r="L4" s="41">
        <f>'IESS Residential'!$B$10*'IESS Residential'!$B$14</f>
        <v>4243675</v>
      </c>
      <c r="M4" s="41">
        <f>'IESS Residential'!$B$10*'IESS Residential'!$B$14</f>
        <v>4243675</v>
      </c>
      <c r="N4" s="41">
        <f>'IESS Residential'!$B$10*'IESS Residential'!$B$14</f>
        <v>4243675</v>
      </c>
      <c r="O4" s="41">
        <f>'IESS Residential'!$B$10*'IESS Residential'!$B$14</f>
        <v>4243675</v>
      </c>
      <c r="P4" s="41">
        <f>'IESS Residential'!$B$10*'IESS Residential'!$B$14</f>
        <v>4243675</v>
      </c>
      <c r="Q4" s="41">
        <f>'IESS Residential'!$B$10*'IESS Residential'!$B$14</f>
        <v>4243675</v>
      </c>
      <c r="R4" s="41">
        <f>'IESS Residential'!$B$10*'IESS Residential'!$B$14</f>
        <v>4243675</v>
      </c>
      <c r="S4" s="41">
        <f>'IESS Residential'!$B$10*'IESS Residential'!$B$14</f>
        <v>4243675</v>
      </c>
      <c r="T4" s="41">
        <f>'IESS Residential'!$B$10*'IESS Residential'!$B$14</f>
        <v>4243675</v>
      </c>
      <c r="U4" s="41">
        <f>'IESS Residential'!$B$10*'IESS Residential'!$B$14</f>
        <v>4243675</v>
      </c>
      <c r="V4" s="41">
        <f>'IESS Residential'!$B$10*'IESS Residential'!$B$14</f>
        <v>4243675</v>
      </c>
      <c r="W4" s="41">
        <f>'IESS Residential'!$B$10*'IESS Residential'!$B$14</f>
        <v>4243675</v>
      </c>
      <c r="X4" s="41">
        <f>'IESS Residential'!$B$10*'IESS Residential'!$B$14</f>
        <v>4243675</v>
      </c>
      <c r="Y4" s="41">
        <f>'IESS Residential'!$B$10*'IESS Residential'!$B$14</f>
        <v>4243675</v>
      </c>
      <c r="Z4" s="41">
        <f>'IESS Residential'!$B$10*'IESS Residential'!$B$14</f>
        <v>4243675</v>
      </c>
      <c r="AA4" s="41">
        <f>'IESS Residential'!$B$10*'IESS Residential'!$B$14</f>
        <v>4243675</v>
      </c>
      <c r="AB4" s="41">
        <f>'IESS Residential'!$B$10*'IESS Residential'!$B$14</f>
        <v>4243675</v>
      </c>
      <c r="AC4" s="41">
        <f>'IESS Residential'!$B$10*'IESS Residential'!$B$14</f>
        <v>4243675</v>
      </c>
      <c r="AD4" s="41">
        <f>'IESS Residential'!$B$10*'IESS Residential'!$B$14</f>
        <v>4243675</v>
      </c>
      <c r="AE4" s="41">
        <f>'IESS Residential'!$B$10*'IESS Residential'!$B$14</f>
        <v>4243675</v>
      </c>
      <c r="AF4" s="41">
        <f>'IESS Residential'!$B$10*'IESS Residential'!$B$14</f>
        <v>4243675</v>
      </c>
      <c r="AG4" s="41">
        <f>'IESS Residential'!$B$10*'IESS Residential'!$B$14</f>
        <v>4243675</v>
      </c>
    </row>
    <row r="5" spans="1:33">
      <c r="A5" t="s">
        <v>650</v>
      </c>
      <c r="B5" s="41">
        <f>'IESS Residential'!$B$4*'IESS Residential'!$B$14</f>
        <v>4811393.8888888881</v>
      </c>
      <c r="C5" s="41">
        <f>'IESS Residential'!$B$4*'IESS Residential'!$B$14</f>
        <v>4811393.8888888881</v>
      </c>
      <c r="D5" s="41">
        <f>'IESS Residential'!$B$4*'IESS Residential'!$B$14</f>
        <v>4811393.8888888881</v>
      </c>
      <c r="E5" s="41">
        <f>'IESS Residential'!$B$4*'IESS Residential'!$B$14</f>
        <v>4811393.8888888881</v>
      </c>
      <c r="F5" s="41">
        <f>'IESS Residential'!$B$4*'IESS Residential'!$B$14</f>
        <v>4811393.8888888881</v>
      </c>
      <c r="G5" s="41">
        <f>'IESS Residential'!$B$4*'IESS Residential'!$B$14</f>
        <v>4811393.8888888881</v>
      </c>
      <c r="H5" s="41">
        <f>'IESS Residential'!$B$4*'IESS Residential'!$B$14</f>
        <v>4811393.8888888881</v>
      </c>
      <c r="I5" s="41">
        <f>'IESS Residential'!$B$4*'IESS Residential'!$B$14</f>
        <v>4811393.8888888881</v>
      </c>
      <c r="J5" s="41">
        <f>'IESS Residential'!$B$4*'IESS Residential'!$B$14</f>
        <v>4811393.8888888881</v>
      </c>
      <c r="K5" s="41">
        <f>'IESS Residential'!$B$4*'IESS Residential'!$B$14</f>
        <v>4811393.8888888881</v>
      </c>
      <c r="L5" s="41">
        <f>'IESS Residential'!$B$4*'IESS Residential'!$B$14</f>
        <v>4811393.8888888881</v>
      </c>
      <c r="M5" s="41">
        <f>'IESS Residential'!$B$4*'IESS Residential'!$B$14</f>
        <v>4811393.8888888881</v>
      </c>
      <c r="N5" s="41">
        <f>'IESS Residential'!$B$4*'IESS Residential'!$B$14</f>
        <v>4811393.8888888881</v>
      </c>
      <c r="O5" s="41">
        <f>'IESS Residential'!$B$4*'IESS Residential'!$B$14</f>
        <v>4811393.8888888881</v>
      </c>
      <c r="P5" s="41">
        <f>'IESS Residential'!$B$4*'IESS Residential'!$B$14</f>
        <v>4811393.8888888881</v>
      </c>
      <c r="Q5" s="41">
        <f>'IESS Residential'!$B$4*'IESS Residential'!$B$14</f>
        <v>4811393.8888888881</v>
      </c>
      <c r="R5" s="41">
        <f>'IESS Residential'!$B$4*'IESS Residential'!$B$14</f>
        <v>4811393.8888888881</v>
      </c>
      <c r="S5" s="41">
        <f>'IESS Residential'!$B$4*'IESS Residential'!$B$14</f>
        <v>4811393.8888888881</v>
      </c>
      <c r="T5" s="41">
        <f>'IESS Residential'!$B$4*'IESS Residential'!$B$14</f>
        <v>4811393.8888888881</v>
      </c>
      <c r="U5" s="41">
        <f>'IESS Residential'!$B$4*'IESS Residential'!$B$14</f>
        <v>4811393.8888888881</v>
      </c>
      <c r="V5" s="41">
        <f>'IESS Residential'!$B$4*'IESS Residential'!$B$14</f>
        <v>4811393.8888888881</v>
      </c>
      <c r="W5" s="41">
        <f>'IESS Residential'!$B$4*'IESS Residential'!$B$14</f>
        <v>4811393.8888888881</v>
      </c>
      <c r="X5" s="41">
        <f>'IESS Residential'!$B$4*'IESS Residential'!$B$14</f>
        <v>4811393.8888888881</v>
      </c>
      <c r="Y5" s="41">
        <f>'IESS Residential'!$B$4*'IESS Residential'!$B$14</f>
        <v>4811393.8888888881</v>
      </c>
      <c r="Z5" s="41">
        <f>'IESS Residential'!$B$4*'IESS Residential'!$B$14</f>
        <v>4811393.8888888881</v>
      </c>
      <c r="AA5" s="41">
        <f>'IESS Residential'!$B$4*'IESS Residential'!$B$14</f>
        <v>4811393.8888888881</v>
      </c>
      <c r="AB5" s="41">
        <f>'IESS Residential'!$B$4*'IESS Residential'!$B$14</f>
        <v>4811393.8888888881</v>
      </c>
      <c r="AC5" s="41">
        <f>'IESS Residential'!$B$4*'IESS Residential'!$B$14</f>
        <v>4811393.8888888881</v>
      </c>
      <c r="AD5" s="41">
        <f>'IESS Residential'!$B$4*'IESS Residential'!$B$14</f>
        <v>4811393.8888888881</v>
      </c>
      <c r="AE5" s="41">
        <f>'IESS Residential'!$B$4*'IESS Residential'!$B$14</f>
        <v>4811393.8888888881</v>
      </c>
      <c r="AF5" s="41">
        <f>'IESS Residential'!$B$4*'IESS Residential'!$B$14</f>
        <v>4811393.8888888881</v>
      </c>
      <c r="AG5" s="41">
        <f>'IESS Residential'!$B$4*'IESS Residential'!$B$14</f>
        <v>4811393.8888888881</v>
      </c>
    </row>
    <row r="7" spans="1:33">
      <c r="A7" s="11" t="s">
        <v>651</v>
      </c>
      <c r="B7">
        <v>2019</v>
      </c>
      <c r="C7">
        <v>2020</v>
      </c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3">
      <c r="A8" t="s">
        <v>652</v>
      </c>
      <c r="B8">
        <f>'IESS Residential'!M56+'IESS Residential'!H21*'IESS Residential'!F21-'IESS Residential'!M78</f>
        <v>7.0337684633447279E-9</v>
      </c>
      <c r="C8">
        <f>'IESS Residential'!N56+'IESS Residential'!I21*'IESS Residential'!G21-'IESS Residential'!N78</f>
        <v>8.8724999999999996E-20</v>
      </c>
      <c r="D8">
        <f>'IESS Residential'!O56+'IESS Residential'!J21*'IESS Residential'!H21-'IESS Residential'!O78</f>
        <v>0</v>
      </c>
      <c r="E8">
        <f>'IESS Residential'!P56+'IESS Residential'!K21*'IESS Residential'!I21-'IESS Residential'!P78</f>
        <v>0.13600000000000001</v>
      </c>
      <c r="F8">
        <f>'IESS Residential'!Q56+'IESS Residential'!L21*'IESS Residential'!J21-'IESS Residential'!Q78</f>
        <v>0.14199999999999999</v>
      </c>
      <c r="G8">
        <f>'IESS Residential'!R56+'IESS Residential'!M21*'IESS Residential'!K21-'IESS Residential'!R78</f>
        <v>0.1585</v>
      </c>
      <c r="H8">
        <f>'IESS Residential'!S56+'IESS Residential'!N21*'IESS Residential'!L21-'IESS Residential'!S78</f>
        <v>0.17499999999999999</v>
      </c>
      <c r="I8">
        <f>'IESS Residential'!T56+'IESS Residential'!O21*'IESS Residential'!M21-'IESS Residential'!T78</f>
        <v>0.19149999999999998</v>
      </c>
      <c r="J8">
        <f>'IESS Residential'!U56+'IESS Residential'!P21*'IESS Residential'!N21-'IESS Residential'!U78</f>
        <v>0.22899999999999998</v>
      </c>
      <c r="K8">
        <f>'IESS Residential'!V56+'IESS Residential'!Q21*'IESS Residential'!O21-'IESS Residential'!V78</f>
        <v>0.26480000000000004</v>
      </c>
      <c r="L8">
        <f>'IESS Residential'!W56+'IESS Residential'!R21*'IESS Residential'!P21-'IESS Residential'!W78</f>
        <v>0.30059999999999998</v>
      </c>
      <c r="M8">
        <f>'IESS Residential'!X56+'IESS Residential'!S21*'IESS Residential'!Q21-'IESS Residential'!X78</f>
        <v>0.33639999999999998</v>
      </c>
      <c r="N8">
        <f>'IESS Residential'!Y56+'IESS Residential'!T21*'IESS Residential'!R21-'IESS Residential'!Y78</f>
        <v>0.37220000000000003</v>
      </c>
      <c r="O8">
        <f>'IESS Residential'!Z56+'IESS Residential'!U21*'IESS Residential'!S21-'IESS Residential'!Z78</f>
        <v>0.39599999999999996</v>
      </c>
      <c r="P8">
        <f>'IESS Residential'!AA56+'IESS Residential'!V21*'IESS Residential'!T21-'IESS Residential'!AA78</f>
        <v>0.4214</v>
      </c>
      <c r="Q8">
        <f>'IESS Residential'!AB56+'IESS Residential'!W21*'IESS Residential'!U21-'IESS Residential'!AB78</f>
        <v>0.44679999999999997</v>
      </c>
      <c r="R8">
        <f>'IESS Residential'!AC56+'IESS Residential'!X21*'IESS Residential'!V21-'IESS Residential'!AC78</f>
        <v>0.47220000000000001</v>
      </c>
      <c r="S8">
        <f>'IESS Residential'!AD56+'IESS Residential'!Y21*'IESS Residential'!W21-'IESS Residential'!AD78</f>
        <v>0.49760000000000004</v>
      </c>
      <c r="T8">
        <f>'IESS Residential'!AE56+'IESS Residential'!Z21*'IESS Residential'!X21-'IESS Residential'!AE78</f>
        <v>0.52579999999999993</v>
      </c>
      <c r="U8">
        <f>'IESS Residential'!AF56+'IESS Residential'!AA21*'IESS Residential'!Y21-'IESS Residential'!AF78</f>
        <v>0.55459999999999998</v>
      </c>
      <c r="V8">
        <f>'IESS Residential'!AG56+'IESS Residential'!AB21*'IESS Residential'!Z21-'IESS Residential'!AG78</f>
        <v>0.58340000000000003</v>
      </c>
      <c r="W8">
        <f>'IESS Residential'!AH56+'IESS Residential'!AC21*'IESS Residential'!AA21-'IESS Residential'!AH78</f>
        <v>0.61219999999999997</v>
      </c>
      <c r="X8">
        <f>'IESS Residential'!AI56+'IESS Residential'!AD21*'IESS Residential'!AB21-'IESS Residential'!AI78</f>
        <v>0.64100000000000001</v>
      </c>
      <c r="Y8">
        <f>'IESS Residential'!AJ56+'IESS Residential'!AE21*'IESS Residential'!AC21-'IESS Residential'!AJ78</f>
        <v>0.68220000000000003</v>
      </c>
      <c r="Z8">
        <f>'IESS Residential'!AK56+'IESS Residential'!AF21*'IESS Residential'!AD21-'IESS Residential'!AK78</f>
        <v>0.72339999999999993</v>
      </c>
      <c r="AA8">
        <f>'IESS Residential'!AL56+'IESS Residential'!AG21*'IESS Residential'!AE21-'IESS Residential'!AL78</f>
        <v>0.76459999999999995</v>
      </c>
      <c r="AB8">
        <f>'IESS Residential'!AM56+'IESS Residential'!AH21*'IESS Residential'!AF21-'IESS Residential'!AM78</f>
        <v>0.80579999999999996</v>
      </c>
      <c r="AC8">
        <f>'IESS Residential'!AN56+'IESS Residential'!AI21*'IESS Residential'!AG21-'IESS Residential'!AN78</f>
        <v>0.84699999999999998</v>
      </c>
      <c r="AD8">
        <f>'IESS Residential'!AO56+'IESS Residential'!AJ21*'IESS Residential'!AH21-'IESS Residential'!AO78</f>
        <v>0.73566699999999996</v>
      </c>
      <c r="AE8">
        <f t="shared" ref="AE8:AG9" si="0">AD8</f>
        <v>0.73566699999999996</v>
      </c>
      <c r="AF8">
        <f t="shared" si="0"/>
        <v>0.73566699999999996</v>
      </c>
      <c r="AG8">
        <f t="shared" si="0"/>
        <v>0.73566699999999996</v>
      </c>
    </row>
    <row r="9" spans="1:33">
      <c r="A9" t="s">
        <v>653</v>
      </c>
      <c r="B9">
        <f>('IESS Residential'!M56+'IESS Residential'!H21*'IESS Residential'!F21)-('IESS Residential'!M34+'IESS Residential'!H20*'IESS Residential'!F20)</f>
        <v>2.2000000000000007E-9</v>
      </c>
      <c r="C9">
        <f>('IESS Residential'!N56+'IESS Residential'!I21*'IESS Residential'!G21)-('IESS Residential'!N34+'IESS Residential'!I20*'IESS Residential'!G20)</f>
        <v>7.6437000000000001E-20</v>
      </c>
      <c r="D9">
        <f>('IESS Residential'!O56+'IESS Residential'!J21*'IESS Residential'!H21)-('IESS Residential'!O34+'IESS Residential'!J20*'IESS Residential'!H20)</f>
        <v>0</v>
      </c>
      <c r="E9">
        <f>('IESS Residential'!P56+'IESS Residential'!K21*'IESS Residential'!I21)-('IESS Residential'!P34+'IESS Residential'!K20*'IESS Residential'!I20)</f>
        <v>0.374</v>
      </c>
      <c r="F9">
        <f>('IESS Residential'!Q56+'IESS Residential'!L21*'IESS Residential'!J21)-('IESS Residential'!Q34+'IESS Residential'!L20*'IESS Residential'!J20)</f>
        <v>4.2499999999999996E-2</v>
      </c>
      <c r="G9">
        <f>('IESS Residential'!R56+'IESS Residential'!M21*'IESS Residential'!K21)-('IESS Residential'!R34+'IESS Residential'!M20*'IESS Residential'!K20)</f>
        <v>-0.28900000000000003</v>
      </c>
      <c r="H9">
        <f>('IESS Residential'!S56+'IESS Residential'!N21*'IESS Residential'!L21)-('IESS Residential'!S34+'IESS Residential'!N20*'IESS Residential'!L20)</f>
        <v>-0.62050000000000005</v>
      </c>
      <c r="I9">
        <f>('IESS Residential'!T56+'IESS Residential'!O21*'IESS Residential'!M21)-('IESS Residential'!T34+'IESS Residential'!O20*'IESS Residential'!M20)</f>
        <v>-0.95199999999999996</v>
      </c>
      <c r="J9">
        <f>('IESS Residential'!U56+'IESS Residential'!P21*'IESS Residential'!N21)-('IESS Residential'!U34+'IESS Residential'!P20*'IESS Residential'!N20)</f>
        <v>-0.91779999999999995</v>
      </c>
      <c r="K9">
        <f>('IESS Residential'!V56+'IESS Residential'!Q21*'IESS Residential'!O21)-('IESS Residential'!V34+'IESS Residential'!Q20*'IESS Residential'!O20)</f>
        <v>-0.88359999999999994</v>
      </c>
      <c r="L9">
        <f>('IESS Residential'!W56+'IESS Residential'!R21*'IESS Residential'!P21)-('IESS Residential'!W34+'IESS Residential'!R20*'IESS Residential'!P20)</f>
        <v>-0.84939999999999993</v>
      </c>
      <c r="M9">
        <f>('IESS Residential'!X56+'IESS Residential'!S21*'IESS Residential'!Q21)-('IESS Residential'!X34+'IESS Residential'!S20*'IESS Residential'!Q20)</f>
        <v>-0.81520000000000004</v>
      </c>
      <c r="N9">
        <f>('IESS Residential'!Y56+'IESS Residential'!T21*'IESS Residential'!R21)-('IESS Residential'!Y34+'IESS Residential'!T20*'IESS Residential'!R20)</f>
        <v>-0.78100000000000003</v>
      </c>
      <c r="O9">
        <f>('IESS Residential'!Z56+'IESS Residential'!U21*'IESS Residential'!S21)-('IESS Residential'!Z34+'IESS Residential'!U20*'IESS Residential'!S20)</f>
        <v>-0.75639999999999996</v>
      </c>
      <c r="P9">
        <f>('IESS Residential'!AA56+'IESS Residential'!V21*'IESS Residential'!T21)-('IESS Residential'!AA34+'IESS Residential'!V20*'IESS Residential'!T20)</f>
        <v>-0.73180000000000001</v>
      </c>
      <c r="Q9">
        <f>('IESS Residential'!AB56+'IESS Residential'!W21*'IESS Residential'!U21)-('IESS Residential'!AB34+'IESS Residential'!W20*'IESS Residential'!U20)</f>
        <v>-0.70720000000000005</v>
      </c>
      <c r="R9">
        <f>('IESS Residential'!AC56+'IESS Residential'!X21*'IESS Residential'!V21)-('IESS Residential'!AC34+'IESS Residential'!X20*'IESS Residential'!V20)</f>
        <v>-0.6826000000000001</v>
      </c>
      <c r="S9">
        <f>('IESS Residential'!AD56+'IESS Residential'!Y21*'IESS Residential'!W21)-('IESS Residential'!AD34+'IESS Residential'!Y20*'IESS Residential'!W20)</f>
        <v>-0.64399999999999991</v>
      </c>
      <c r="T9">
        <f>('IESS Residential'!AE56+'IESS Residential'!Z21*'IESS Residential'!X21)-('IESS Residential'!AE34+'IESS Residential'!Z20*'IESS Residential'!X20)</f>
        <v>-0.60719999999999996</v>
      </c>
      <c r="U9">
        <f>('IESS Residential'!AF56+'IESS Residential'!AA21*'IESS Residential'!Y21)-('IESS Residential'!AF34+'IESS Residential'!AA20*'IESS Residential'!Y20)</f>
        <v>-0.53904000000000007</v>
      </c>
      <c r="V9">
        <f>('IESS Residential'!AG56+'IESS Residential'!AB21*'IESS Residential'!Z21)-('IESS Residential'!AG34+'IESS Residential'!AB20*'IESS Residential'!Z20)</f>
        <v>-0.43497600000000003</v>
      </c>
      <c r="W9">
        <f>('IESS Residential'!AH56+'IESS Residential'!AC21*'IESS Residential'!AA21)-('IESS Residential'!AH34+'IESS Residential'!AC20*'IESS Residential'!AA20)</f>
        <v>-0.31291500000000005</v>
      </c>
      <c r="X9">
        <f>('IESS Residential'!AI56+'IESS Residential'!AD21*'IESS Residential'!AB21)-('IESS Residential'!AI34+'IESS Residential'!AD20*'IESS Residential'!AB20)</f>
        <v>-0.45999999999999985</v>
      </c>
      <c r="Y9">
        <f>('IESS Residential'!AJ56+'IESS Residential'!AE21*'IESS Residential'!AC21)-('IESS Residential'!AJ34+'IESS Residential'!AE20*'IESS Residential'!AC20)</f>
        <v>-0.35240000000000005</v>
      </c>
      <c r="Z9">
        <f>('IESS Residential'!AK56+'IESS Residential'!AF21*'IESS Residential'!AD21)-('IESS Residential'!AK34+'IESS Residential'!AF20*'IESS Residential'!AD20)</f>
        <v>-0.24480000000000002</v>
      </c>
      <c r="AA9">
        <f>('IESS Residential'!AL56+'IESS Residential'!AG21*'IESS Residential'!AE21)-('IESS Residential'!AL34+'IESS Residential'!AG20*'IESS Residential'!AE20)</f>
        <v>-0.13719999999999999</v>
      </c>
      <c r="AB9">
        <f>('IESS Residential'!AM56+'IESS Residential'!AH21*'IESS Residential'!AF21)-('IESS Residential'!AM34+'IESS Residential'!AH20*'IESS Residential'!AF20)</f>
        <v>-2.9600000000000071E-2</v>
      </c>
      <c r="AC9">
        <f>('IESS Residential'!AN56+'IESS Residential'!AI21*'IESS Residential'!AG21)-('IESS Residential'!AN34+'IESS Residential'!AI20*'IESS Residential'!AG20)</f>
        <v>7.7999999999999958E-2</v>
      </c>
      <c r="AD9">
        <f>('IESS Residential'!AO56+'IESS Residential'!AJ21*'IESS Residential'!AH21)-('IESS Residential'!AO34+'IESS Residential'!AJ20*'IESS Residential'!AH20)</f>
        <v>0.19333400000000001</v>
      </c>
      <c r="AE9">
        <f t="shared" si="0"/>
        <v>0.19333400000000001</v>
      </c>
      <c r="AF9">
        <f t="shared" si="0"/>
        <v>0.19333400000000001</v>
      </c>
      <c r="AG9">
        <f t="shared" si="0"/>
        <v>0.19333400000000001</v>
      </c>
    </row>
    <row r="11" spans="1:33">
      <c r="A11" s="11" t="s">
        <v>651</v>
      </c>
      <c r="B11">
        <v>2019</v>
      </c>
      <c r="C11">
        <v>2020</v>
      </c>
      <c r="D11">
        <v>2021</v>
      </c>
      <c r="E11">
        <v>2022</v>
      </c>
      <c r="F11">
        <v>2023</v>
      </c>
      <c r="G11">
        <v>2024</v>
      </c>
      <c r="H11">
        <v>2025</v>
      </c>
      <c r="I11">
        <v>2026</v>
      </c>
      <c r="J11">
        <v>2027</v>
      </c>
      <c r="K11">
        <v>2028</v>
      </c>
      <c r="L11">
        <v>2029</v>
      </c>
      <c r="M11">
        <v>2030</v>
      </c>
      <c r="N11">
        <v>2031</v>
      </c>
      <c r="O11">
        <v>2032</v>
      </c>
      <c r="P11">
        <v>2033</v>
      </c>
      <c r="Q11">
        <v>2034</v>
      </c>
      <c r="R11">
        <v>2035</v>
      </c>
      <c r="S11">
        <v>2036</v>
      </c>
      <c r="T11">
        <v>2037</v>
      </c>
      <c r="U11">
        <v>2038</v>
      </c>
      <c r="V11">
        <v>2039</v>
      </c>
      <c r="W11">
        <v>2040</v>
      </c>
      <c r="X11">
        <v>2041</v>
      </c>
      <c r="Y11">
        <v>2042</v>
      </c>
      <c r="Z11">
        <v>2043</v>
      </c>
      <c r="AA11">
        <v>2044</v>
      </c>
      <c r="AB11">
        <v>2045</v>
      </c>
      <c r="AC11">
        <v>2046</v>
      </c>
      <c r="AD11">
        <v>2047</v>
      </c>
      <c r="AE11">
        <v>2048</v>
      </c>
      <c r="AF11">
        <v>2049</v>
      </c>
      <c r="AG11">
        <v>2050</v>
      </c>
    </row>
    <row r="12" spans="1:33">
      <c r="A12" t="s">
        <v>654</v>
      </c>
      <c r="B12">
        <f>B8*1000000000000/About!$B$58</f>
        <v>128.42374408151775</v>
      </c>
      <c r="C12">
        <f>C8*1000000000000/About!$B$58</f>
        <v>1.6199561803907248E-9</v>
      </c>
      <c r="D12">
        <f>D8*1000000000000/About!$B$58</f>
        <v>0</v>
      </c>
      <c r="E12">
        <f>E8*1000000000000/About!$B$58</f>
        <v>2483111192.2585359</v>
      </c>
      <c r="F12">
        <f>F8*1000000000000/About!$B$58</f>
        <v>2592660215.4464121</v>
      </c>
      <c r="G12">
        <f>G8*1000000000000/About!$B$58</f>
        <v>2893920029.2130728</v>
      </c>
      <c r="H12">
        <f>H8*1000000000000/About!$B$58</f>
        <v>3195179842.9797335</v>
      </c>
      <c r="I12">
        <f>I8*1000000000000/About!$B$58</f>
        <v>3496439656.7463932</v>
      </c>
      <c r="J12">
        <f>J8*1000000000000/About!$B$58</f>
        <v>4181121051.6706219</v>
      </c>
      <c r="K12">
        <f>K8*1000000000000/About!$B$58</f>
        <v>4834763556.6916199</v>
      </c>
      <c r="L12">
        <f>L8*1000000000000/About!$B$58</f>
        <v>5488406061.712616</v>
      </c>
      <c r="M12">
        <f>M8*1000000000000/About!$B$58</f>
        <v>6142048566.733613</v>
      </c>
      <c r="N12">
        <f>N8*1000000000000/About!$B$58</f>
        <v>6795691071.754611</v>
      </c>
      <c r="O12">
        <f>O8*1000000000000/About!$B$58</f>
        <v>7230235530.3998528</v>
      </c>
      <c r="P12">
        <f>P8*1000000000000/About!$B$58</f>
        <v>7693993061.8951979</v>
      </c>
      <c r="Q12">
        <f>Q8*1000000000000/About!$B$58</f>
        <v>8157750593.390542</v>
      </c>
      <c r="R12">
        <f>R8*1000000000000/About!$B$58</f>
        <v>8621508124.8858852</v>
      </c>
      <c r="S12">
        <f>S8*1000000000000/About!$B$58</f>
        <v>9085265656.3812313</v>
      </c>
      <c r="T12">
        <f>T8*1000000000000/About!$B$58</f>
        <v>9600146065.3642483</v>
      </c>
      <c r="U12">
        <f>U8*1000000000000/About!$B$58</f>
        <v>10125981376.666058</v>
      </c>
      <c r="V12">
        <f>V8*1000000000000/About!$B$58</f>
        <v>10651816687.967865</v>
      </c>
      <c r="W12">
        <f>W8*1000000000000/About!$B$58</f>
        <v>11177651999.269672</v>
      </c>
      <c r="X12">
        <f>X8*1000000000000/About!$B$58</f>
        <v>11703487310.57148</v>
      </c>
      <c r="Y12">
        <f>Y8*1000000000000/About!$B$58</f>
        <v>12455723936.461565</v>
      </c>
      <c r="Z12">
        <f>Z8*1000000000000/About!$B$58</f>
        <v>13207960562.35165</v>
      </c>
      <c r="AA12">
        <f>AA8*1000000000000/About!$B$58</f>
        <v>13960197188.241737</v>
      </c>
      <c r="AB12">
        <f>AB8*1000000000000/About!$B$58</f>
        <v>14712433814.131823</v>
      </c>
      <c r="AC12">
        <f>AC8*1000000000000/About!$B$58</f>
        <v>15464670440.02191</v>
      </c>
      <c r="AD12">
        <f>AD8*1000000000000/About!$B$58</f>
        <v>13431933540.259266</v>
      </c>
      <c r="AE12">
        <f>AE8*1000000000000/About!$B$58</f>
        <v>13431933540.259266</v>
      </c>
      <c r="AF12">
        <f>AF8*1000000000000/About!$B$58</f>
        <v>13431933540.259266</v>
      </c>
      <c r="AG12">
        <f>AG8*1000000000000/About!$B$58</f>
        <v>13431933540.259266</v>
      </c>
    </row>
    <row r="13" spans="1:33">
      <c r="A13" t="s">
        <v>655</v>
      </c>
      <c r="B13">
        <f>B9*1000000000000/About!$B$58</f>
        <v>40.167975168888084</v>
      </c>
      <c r="C13">
        <f>C9*1000000000000/About!$B$58</f>
        <v>1.3955997809019535E-9</v>
      </c>
      <c r="D13">
        <f>D9*1000000000000/About!$B$58</f>
        <v>0</v>
      </c>
      <c r="E13">
        <f>E9*1000000000000/About!$B$58</f>
        <v>6828555778.7109728</v>
      </c>
      <c r="F13">
        <f>F9*1000000000000/About!$B$58</f>
        <v>775972247.58079219</v>
      </c>
      <c r="G13">
        <f>G9*1000000000000/About!$B$58</f>
        <v>-5276611283.5493889</v>
      </c>
      <c r="H13">
        <f>H9*1000000000000/About!$B$58</f>
        <v>-11329194814.679569</v>
      </c>
      <c r="I13">
        <f>I9*1000000000000/About!$B$58</f>
        <v>-17381778345.80975</v>
      </c>
      <c r="J13">
        <f>J9*1000000000000/About!$B$58</f>
        <v>-16757348913.638853</v>
      </c>
      <c r="K13">
        <f>K9*1000000000000/About!$B$58</f>
        <v>-16132919481.467957</v>
      </c>
      <c r="L13">
        <f>L9*1000000000000/About!$B$58</f>
        <v>-15508490049.297058</v>
      </c>
      <c r="M13">
        <f>M9*1000000000000/About!$B$58</f>
        <v>-14884060617.126163</v>
      </c>
      <c r="N13">
        <f>N9*1000000000000/About!$B$58</f>
        <v>-14259631184.955267</v>
      </c>
      <c r="O13">
        <f>O9*1000000000000/About!$B$58</f>
        <v>-13810480189.884974</v>
      </c>
      <c r="P13">
        <f>P9*1000000000000/About!$B$58</f>
        <v>-13361329194.814678</v>
      </c>
      <c r="Q13">
        <f>Q9*1000000000000/About!$B$58</f>
        <v>-12912178199.744385</v>
      </c>
      <c r="R13">
        <f>R9*1000000000000/About!$B$58</f>
        <v>-12463027204.674093</v>
      </c>
      <c r="S13">
        <f>S9*1000000000000/About!$B$58</f>
        <v>-11758261822.165417</v>
      </c>
      <c r="T13">
        <f>T9*1000000000000/About!$B$58</f>
        <v>-11086361146.61311</v>
      </c>
      <c r="U13">
        <f>U9*1000000000000/About!$B$58</f>
        <v>-9841884243.1988316</v>
      </c>
      <c r="V13">
        <f>V9*1000000000000/About!$B$58</f>
        <v>-7941865985.0282993</v>
      </c>
      <c r="W13">
        <f>W9*1000000000000/About!$B$58</f>
        <v>-5713255431.8057337</v>
      </c>
      <c r="X13">
        <f>X9*1000000000000/About!$B$58</f>
        <v>-8398758444.4038677</v>
      </c>
      <c r="Y13">
        <f>Y9*1000000000000/About!$B$58</f>
        <v>-6434179295.2346182</v>
      </c>
      <c r="Z13">
        <f>Z9*1000000000000/About!$B$58</f>
        <v>-4469600146.0653648</v>
      </c>
      <c r="AA13">
        <f>AA9*1000000000000/About!$B$58</f>
        <v>-2505020996.8961105</v>
      </c>
      <c r="AB13">
        <f>AB9*1000000000000/About!$B$58</f>
        <v>-540441847.72685909</v>
      </c>
      <c r="AC13">
        <f>AC9*1000000000000/About!$B$58</f>
        <v>1424137301.4423945</v>
      </c>
      <c r="AD13">
        <f>AD9*1000000000000/About!$B$58</f>
        <v>3529925141.5008216</v>
      </c>
      <c r="AE13">
        <f>AE9*1000000000000/About!$B$58</f>
        <v>3529925141.5008216</v>
      </c>
      <c r="AF13">
        <f>AF9*1000000000000/About!$B$58</f>
        <v>3529925141.5008216</v>
      </c>
      <c r="AG13">
        <f>AG9*1000000000000/About!$B$58</f>
        <v>3529925141.5008216</v>
      </c>
    </row>
    <row r="15" spans="1:33">
      <c r="A15" s="11" t="s">
        <v>656</v>
      </c>
      <c r="B15">
        <v>2019</v>
      </c>
      <c r="C15">
        <v>2020</v>
      </c>
      <c r="D15">
        <v>2021</v>
      </c>
      <c r="E15">
        <v>2022</v>
      </c>
      <c r="F15">
        <v>2023</v>
      </c>
      <c r="G15">
        <v>2024</v>
      </c>
      <c r="H15">
        <v>2025</v>
      </c>
      <c r="I15">
        <v>2026</v>
      </c>
      <c r="J15">
        <v>2027</v>
      </c>
      <c r="K15">
        <v>2028</v>
      </c>
      <c r="L15">
        <v>2029</v>
      </c>
      <c r="M15">
        <v>2030</v>
      </c>
      <c r="N15">
        <v>2031</v>
      </c>
      <c r="O15">
        <v>2032</v>
      </c>
      <c r="P15">
        <v>2033</v>
      </c>
      <c r="Q15">
        <v>2034</v>
      </c>
      <c r="R15">
        <v>2035</v>
      </c>
      <c r="S15">
        <v>2036</v>
      </c>
      <c r="T15">
        <v>2037</v>
      </c>
      <c r="U15">
        <v>2038</v>
      </c>
      <c r="V15">
        <v>2039</v>
      </c>
      <c r="W15">
        <v>2040</v>
      </c>
      <c r="X15">
        <v>2041</v>
      </c>
      <c r="Y15">
        <v>2042</v>
      </c>
      <c r="Z15">
        <v>2043</v>
      </c>
      <c r="AA15">
        <v>2044</v>
      </c>
      <c r="AB15">
        <v>2045</v>
      </c>
      <c r="AC15">
        <v>2046</v>
      </c>
      <c r="AD15">
        <v>2047</v>
      </c>
      <c r="AE15">
        <v>2048</v>
      </c>
      <c r="AF15">
        <v>2049</v>
      </c>
      <c r="AG15">
        <v>2050</v>
      </c>
    </row>
    <row r="16" spans="1:33">
      <c r="A16" t="s">
        <v>649</v>
      </c>
      <c r="B16" s="41">
        <f t="shared" ref="B16:AG16" si="1">B12/B4</f>
        <v>3.0262389104141518E-5</v>
      </c>
      <c r="C16" s="41">
        <f t="shared" si="1"/>
        <v>3.8173427050627694E-16</v>
      </c>
      <c r="D16" s="41">
        <f t="shared" si="1"/>
        <v>0</v>
      </c>
      <c r="E16" s="41">
        <f t="shared" si="1"/>
        <v>585.13227150018224</v>
      </c>
      <c r="F16" s="41">
        <f t="shared" si="1"/>
        <v>610.94693053695494</v>
      </c>
      <c r="G16" s="41">
        <f t="shared" si="1"/>
        <v>681.93724288807994</v>
      </c>
      <c r="H16" s="41">
        <f t="shared" si="1"/>
        <v>752.92755523920505</v>
      </c>
      <c r="I16" s="41">
        <f t="shared" si="1"/>
        <v>823.91786759032993</v>
      </c>
      <c r="J16" s="41">
        <f t="shared" si="1"/>
        <v>985.25948657015954</v>
      </c>
      <c r="K16" s="41">
        <f t="shared" si="1"/>
        <v>1139.2869521562372</v>
      </c>
      <c r="L16" s="41">
        <f t="shared" si="1"/>
        <v>1293.3144177423144</v>
      </c>
      <c r="M16" s="41">
        <f t="shared" si="1"/>
        <v>1447.3418833283918</v>
      </c>
      <c r="N16" s="41">
        <f t="shared" si="1"/>
        <v>1601.3693489144694</v>
      </c>
      <c r="O16" s="41">
        <f t="shared" si="1"/>
        <v>1703.7674964270009</v>
      </c>
      <c r="P16" s="41">
        <f t="shared" si="1"/>
        <v>1813.0495530160056</v>
      </c>
      <c r="Q16" s="41">
        <f t="shared" si="1"/>
        <v>1922.3316096050103</v>
      </c>
      <c r="R16" s="41">
        <f t="shared" si="1"/>
        <v>2031.6136661940147</v>
      </c>
      <c r="S16" s="41">
        <f t="shared" si="1"/>
        <v>2140.8957227830197</v>
      </c>
      <c r="T16" s="41">
        <f t="shared" si="1"/>
        <v>2262.2246202558508</v>
      </c>
      <c r="U16" s="41">
        <f t="shared" si="1"/>
        <v>2386.1349836323607</v>
      </c>
      <c r="V16" s="41">
        <f t="shared" si="1"/>
        <v>2510.0453470088696</v>
      </c>
      <c r="W16" s="41">
        <f t="shared" si="1"/>
        <v>2633.955710385379</v>
      </c>
      <c r="X16" s="41">
        <f t="shared" si="1"/>
        <v>2757.8660737618879</v>
      </c>
      <c r="Y16" s="41">
        <f t="shared" si="1"/>
        <v>2935.1267324810606</v>
      </c>
      <c r="Z16" s="41">
        <f t="shared" si="1"/>
        <v>3112.3873912002332</v>
      </c>
      <c r="AA16" s="41">
        <f t="shared" si="1"/>
        <v>3289.6480499194063</v>
      </c>
      <c r="AB16" s="41">
        <f t="shared" si="1"/>
        <v>3466.9087086385794</v>
      </c>
      <c r="AC16" s="41">
        <f t="shared" si="1"/>
        <v>3644.1693673577524</v>
      </c>
      <c r="AD16" s="41">
        <f t="shared" si="1"/>
        <v>3165.1654616009155</v>
      </c>
      <c r="AE16" s="41">
        <f t="shared" si="1"/>
        <v>3165.1654616009155</v>
      </c>
      <c r="AF16" s="41">
        <f t="shared" si="1"/>
        <v>3165.1654616009155</v>
      </c>
      <c r="AG16" s="41">
        <f t="shared" si="1"/>
        <v>3165.1654616009155</v>
      </c>
    </row>
    <row r="17" spans="1:33">
      <c r="A17" t="s">
        <v>650</v>
      </c>
      <c r="B17" s="41">
        <f t="shared" ref="B17:AG17" si="2">B13/B5</f>
        <v>8.3485110752726618E-6</v>
      </c>
      <c r="C17" s="41">
        <f t="shared" si="2"/>
        <v>2.9006142775482555E-16</v>
      </c>
      <c r="D17" s="41">
        <f t="shared" si="2"/>
        <v>0</v>
      </c>
      <c r="E17" s="41">
        <f t="shared" si="2"/>
        <v>1419.2468827963521</v>
      </c>
      <c r="F17" s="41">
        <f t="shared" si="2"/>
        <v>161.2780548632218</v>
      </c>
      <c r="G17" s="41">
        <f t="shared" si="2"/>
        <v>-1096.6907730699086</v>
      </c>
      <c r="H17" s="41">
        <f t="shared" si="2"/>
        <v>-2354.6596010030389</v>
      </c>
      <c r="I17" s="41">
        <f t="shared" si="2"/>
        <v>-3612.6284289361693</v>
      </c>
      <c r="J17" s="41">
        <f t="shared" si="2"/>
        <v>-3482.8470294932945</v>
      </c>
      <c r="K17" s="41">
        <f t="shared" si="2"/>
        <v>-3353.0656300504193</v>
      </c>
      <c r="L17" s="41">
        <f t="shared" si="2"/>
        <v>-3223.284230607544</v>
      </c>
      <c r="M17" s="41">
        <f t="shared" si="2"/>
        <v>-3093.5028311646693</v>
      </c>
      <c r="N17" s="41">
        <f t="shared" si="2"/>
        <v>-2963.7214317217945</v>
      </c>
      <c r="O17" s="41">
        <f t="shared" si="2"/>
        <v>-2870.3698987892003</v>
      </c>
      <c r="P17" s="41">
        <f t="shared" si="2"/>
        <v>-2777.0183658566057</v>
      </c>
      <c r="Q17" s="41">
        <f t="shared" si="2"/>
        <v>-2683.6668329240115</v>
      </c>
      <c r="R17" s="41">
        <f t="shared" si="2"/>
        <v>-2590.3152999914178</v>
      </c>
      <c r="S17" s="41">
        <f t="shared" si="2"/>
        <v>-2443.8368783979963</v>
      </c>
      <c r="T17" s="41">
        <f t="shared" si="2"/>
        <v>-2304.1890567752544</v>
      </c>
      <c r="U17" s="41">
        <f t="shared" si="2"/>
        <v>-2045.5370045522614</v>
      </c>
      <c r="V17" s="41">
        <f t="shared" si="2"/>
        <v>-1650.6372515808184</v>
      </c>
      <c r="W17" s="41">
        <f t="shared" si="2"/>
        <v>-1187.442883235884</v>
      </c>
      <c r="X17" s="41">
        <f t="shared" si="2"/>
        <v>-1745.5977702842829</v>
      </c>
      <c r="Y17" s="41">
        <f t="shared" si="2"/>
        <v>-1337.2796831482208</v>
      </c>
      <c r="Z17" s="41">
        <f t="shared" si="2"/>
        <v>-928.961596012158</v>
      </c>
      <c r="AA17" s="41">
        <f t="shared" si="2"/>
        <v>-520.64350887609487</v>
      </c>
      <c r="AB17" s="41">
        <f t="shared" si="2"/>
        <v>-112.32542174003243</v>
      </c>
      <c r="AC17" s="41">
        <f t="shared" si="2"/>
        <v>295.99266539603047</v>
      </c>
      <c r="AD17" s="41">
        <f t="shared" si="2"/>
        <v>733.65956373943845</v>
      </c>
      <c r="AE17" s="41">
        <f t="shared" si="2"/>
        <v>733.65956373943845</v>
      </c>
      <c r="AF17" s="41">
        <f t="shared" si="2"/>
        <v>733.65956373943845</v>
      </c>
      <c r="AG17" s="41">
        <f t="shared" si="2"/>
        <v>733.65956373943845</v>
      </c>
    </row>
    <row r="19" spans="1:33">
      <c r="A19" s="10" t="s">
        <v>657</v>
      </c>
      <c r="B19" s="1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r="20" spans="1:33">
      <c r="A20" s="54" t="s">
        <v>658</v>
      </c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</row>
    <row r="21" spans="1:33">
      <c r="A21" s="11" t="s">
        <v>659</v>
      </c>
    </row>
    <row r="22" spans="1:33">
      <c r="A22" t="s">
        <v>660</v>
      </c>
      <c r="B22" s="100">
        <v>0.08</v>
      </c>
    </row>
    <row r="23" spans="1:33">
      <c r="A23" t="s">
        <v>661</v>
      </c>
      <c r="B23" s="100">
        <v>0.25</v>
      </c>
    </row>
    <row r="26" spans="1:33">
      <c r="A26" s="11" t="s">
        <v>662</v>
      </c>
      <c r="B26">
        <v>2015</v>
      </c>
      <c r="C26">
        <v>2017</v>
      </c>
      <c r="D26">
        <v>2020</v>
      </c>
      <c r="E26">
        <v>2030</v>
      </c>
      <c r="F26">
        <v>2040</v>
      </c>
      <c r="G26">
        <v>2050</v>
      </c>
    </row>
    <row r="27" spans="1:33">
      <c r="A27" t="s">
        <v>663</v>
      </c>
      <c r="C27">
        <f>AVERAGE('EIA Costs'!D134:D135)/'EIA Costs'!D131</f>
        <v>19.472361809045225</v>
      </c>
      <c r="D27">
        <f>AVERAGE('EIA Costs'!G134:G135)/'EIA Costs'!G131</f>
        <v>19.472361809045225</v>
      </c>
      <c r="E27">
        <f>AVERAGE('EIA Costs'!I134:I135)/'EIA Costs'!I131</f>
        <v>19.472361809045225</v>
      </c>
      <c r="F27">
        <f>AVERAGE('EIA Costs'!K134:K135)/'EIA Costs'!K131</f>
        <v>19.472361809045225</v>
      </c>
      <c r="G27">
        <f>AVERAGE('EIA Costs'!M134:M135)/'EIA Costs'!M131</f>
        <v>19.472361809045225</v>
      </c>
      <c r="K27" s="41"/>
    </row>
    <row r="28" spans="1:33">
      <c r="A28" t="s">
        <v>664</v>
      </c>
      <c r="C28">
        <f>'EIA Costs'!D148/'EIA Costs'!D144</f>
        <v>17.333333333333332</v>
      </c>
      <c r="D28">
        <f>'EIA Costs'!F148/'EIA Costs'!F144</f>
        <v>17.333333333333332</v>
      </c>
      <c r="E28">
        <f>'EIA Costs'!H148/'EIA Costs'!H144</f>
        <v>17.333333333333332</v>
      </c>
      <c r="F28">
        <f>'EIA Costs'!J148/'EIA Costs'!J144</f>
        <v>17.333333333333332</v>
      </c>
      <c r="G28">
        <f>'EIA Costs'!L148/'EIA Costs'!L144</f>
        <v>17.333333333333332</v>
      </c>
    </row>
    <row r="29" spans="1:33">
      <c r="A29" t="s">
        <v>665</v>
      </c>
      <c r="B29" s="40">
        <f>'NREL EF Table 23'!D5</f>
        <v>310</v>
      </c>
      <c r="C29" s="101"/>
      <c r="D29" s="88">
        <f>'NREL EF Table 23'!D8</f>
        <v>287.51781145613165</v>
      </c>
      <c r="E29" s="88">
        <f>'NREL EF Table 23'!D11</f>
        <v>247.326626775699</v>
      </c>
      <c r="F29" s="88">
        <f>'NREL EF Table 23'!D14</f>
        <v>212.75363777446901</v>
      </c>
      <c r="G29" s="88">
        <f>'NREL EF Table 23'!D17</f>
        <v>184.45</v>
      </c>
    </row>
    <row r="31" spans="1:33">
      <c r="A31" s="11" t="s">
        <v>666</v>
      </c>
      <c r="B31">
        <v>2019</v>
      </c>
      <c r="C31">
        <v>2020</v>
      </c>
      <c r="D31">
        <v>2021</v>
      </c>
      <c r="E31">
        <v>2022</v>
      </c>
      <c r="F31">
        <v>2023</v>
      </c>
      <c r="G31">
        <v>2024</v>
      </c>
      <c r="H31">
        <v>2025</v>
      </c>
      <c r="I31">
        <v>2026</v>
      </c>
      <c r="J31">
        <v>2027</v>
      </c>
      <c r="K31">
        <v>2028</v>
      </c>
      <c r="L31">
        <v>2029</v>
      </c>
      <c r="M31">
        <v>2030</v>
      </c>
      <c r="N31">
        <v>2031</v>
      </c>
      <c r="O31">
        <v>2032</v>
      </c>
      <c r="P31">
        <v>2033</v>
      </c>
      <c r="Q31">
        <v>2034</v>
      </c>
      <c r="R31">
        <v>2035</v>
      </c>
      <c r="S31">
        <v>2036</v>
      </c>
      <c r="T31">
        <v>2037</v>
      </c>
      <c r="U31">
        <v>2038</v>
      </c>
      <c r="V31">
        <v>2039</v>
      </c>
      <c r="W31">
        <v>2040</v>
      </c>
      <c r="X31">
        <v>2041</v>
      </c>
      <c r="Y31">
        <v>2042</v>
      </c>
      <c r="Z31">
        <v>2043</v>
      </c>
      <c r="AA31">
        <v>2044</v>
      </c>
      <c r="AB31">
        <v>2045</v>
      </c>
      <c r="AC31">
        <v>2046</v>
      </c>
      <c r="AD31">
        <v>2047</v>
      </c>
      <c r="AE31">
        <v>2048</v>
      </c>
      <c r="AF31">
        <v>2049</v>
      </c>
      <c r="AG31">
        <v>2050</v>
      </c>
    </row>
    <row r="32" spans="1:33">
      <c r="A32" t="s">
        <v>667</v>
      </c>
      <c r="B32">
        <f>(TREND($C$27:$D$27,$C$26:$D$26,B$11))*(About!$A$60)</f>
        <v>18.238974531600562</v>
      </c>
      <c r="C32">
        <f>(TREND($C$27:$D$27,$C$26:$D$26,C$11))*(About!$A$60)</f>
        <v>18.238974531600562</v>
      </c>
      <c r="D32">
        <f>(TREND($D$27:$E$27,$D$26:$E$26,D$11))*(About!$A$60)</f>
        <v>18.238974531600562</v>
      </c>
      <c r="E32">
        <f>(TREND($D$27:$E$27,$D$26:$E$26,E$11))*(About!$A$60)</f>
        <v>18.238974531600562</v>
      </c>
      <c r="F32">
        <f>(TREND($D$27:$E$27,$D$26:$E$26,F$11))*(About!$A$60)</f>
        <v>18.238974531600562</v>
      </c>
      <c r="G32">
        <f>(TREND($D$27:$E$27,$D$26:$E$26,G$11))*(About!$A$60)</f>
        <v>18.238974531600562</v>
      </c>
      <c r="H32">
        <f>(TREND($D$27:$E$27,$D$26:$E$26,H$11))*(About!$A$60)</f>
        <v>18.238974531600562</v>
      </c>
      <c r="I32">
        <f>(TREND($D$27:$E$27,$D$26:$E$26,I$11))*(About!$A$60)</f>
        <v>18.238974531600562</v>
      </c>
      <c r="J32">
        <f>(TREND($D$27:$E$27,$D$26:$E$26,J$11))*(About!$A$60)</f>
        <v>18.238974531600562</v>
      </c>
      <c r="K32">
        <f>(TREND($D$27:$E$27,$D$26:$E$26,K$11))*(About!$A$60)</f>
        <v>18.238974531600562</v>
      </c>
      <c r="L32">
        <f>(TREND($D$27:$E$27,$D$26:$E$26,L$11))*(About!$A$60)</f>
        <v>18.238974531600562</v>
      </c>
      <c r="M32">
        <f>(TREND($D$27:$E$27,$D$26:$E$26,M$11))*(About!$A$60)</f>
        <v>18.238974531600562</v>
      </c>
      <c r="N32">
        <f>(TREND($E$27:$G$27,$E$26:$G$26,N$11))*(About!$A$60)</f>
        <v>18.238974531600562</v>
      </c>
      <c r="O32">
        <f>(TREND($E$27:$G$27,$E$26:$G$26,O$11))*(About!$A$60)</f>
        <v>18.238974531600562</v>
      </c>
      <c r="P32">
        <f>(TREND($E$27:$G$27,$E$26:$G$26,P$11))*(About!$A$60)</f>
        <v>18.238974531600562</v>
      </c>
      <c r="Q32">
        <f>(TREND($E$27:$G$27,$E$26:$G$26,Q$11))*(About!$A$60)</f>
        <v>18.238974531600562</v>
      </c>
      <c r="R32">
        <f>(TREND($E$27:$G$27,$E$26:$G$26,R$11))*(About!$A$60)</f>
        <v>18.238974531600562</v>
      </c>
      <c r="S32">
        <f>(TREND($E$27:$G$27,$E$26:$G$26,S$11))*(About!$A$60)</f>
        <v>18.238974531600562</v>
      </c>
      <c r="T32">
        <f>(TREND($E$27:$G$27,$E$26:$G$26,T$11))*(About!$A$60)</f>
        <v>18.238974531600562</v>
      </c>
      <c r="U32">
        <f>(TREND($E$27:$G$27,$E$26:$G$26,U$11))*(About!$A$60)</f>
        <v>18.238974531600562</v>
      </c>
      <c r="V32">
        <f>(TREND($E$27:$G$27,$E$26:$G$26,V$11))*(About!$A$60)</f>
        <v>18.238974531600562</v>
      </c>
      <c r="W32">
        <f>(TREND($E$27:$G$27,$E$26:$G$26,W$11))*(About!$A$60)</f>
        <v>18.238974531600562</v>
      </c>
      <c r="X32">
        <f>(TREND($E$27:$G$27,$E$26:$G$26,X$11))*(About!$A$60)</f>
        <v>18.238974531600562</v>
      </c>
      <c r="Y32">
        <f>(TREND($E$27:$G$27,$E$26:$G$26,Y$11))*(About!$A$60)</f>
        <v>18.238974531600562</v>
      </c>
      <c r="Z32">
        <f>(TREND($E$27:$G$27,$E$26:$G$26,Z$11))*(About!$A$60)</f>
        <v>18.238974531600562</v>
      </c>
      <c r="AA32">
        <f>(TREND($E$27:$G$27,$E$26:$G$26,AA$11))*(About!$A$60)</f>
        <v>18.238974531600562</v>
      </c>
      <c r="AB32">
        <f>(TREND($E$27:$G$27,$E$26:$G$26,AB$11))*(About!$A$60)</f>
        <v>18.238974531600562</v>
      </c>
      <c r="AC32">
        <f>(TREND($E$27:$G$27,$E$26:$G$26,AC$11))*(About!$A$60)</f>
        <v>18.238974531600562</v>
      </c>
      <c r="AD32">
        <f>(TREND($E$27:$G$27,$E$26:$G$26,AD$11))*(About!$A$60)</f>
        <v>18.238974531600562</v>
      </c>
      <c r="AE32">
        <f>(TREND($E$27:$G$27,$E$26:$G$26,AE$11))*(About!$A$60)</f>
        <v>18.238974531600562</v>
      </c>
      <c r="AF32">
        <f>(TREND($E$27:$G$27,$E$26:$G$26,AF$11))*(About!$A$60)</f>
        <v>18.238974531600562</v>
      </c>
      <c r="AG32">
        <f>(TREND($E$27:$G$27,$E$26:$G$26,AG$11))*(About!$A$60)</f>
        <v>18.238974531600562</v>
      </c>
    </row>
    <row r="33" spans="1:33">
      <c r="A33" t="s">
        <v>668</v>
      </c>
      <c r="B33">
        <f>(TREND($C$28:$D$28,$C$26:$D$26,B$11))*(About!$A$60)</f>
        <v>16.235432985204525</v>
      </c>
      <c r="C33">
        <f>(TREND($C$28:$D$28,$C$26:$D$26,C$11))*(About!$A$60)</f>
        <v>16.235432985204525</v>
      </c>
      <c r="D33">
        <f>(TREND($D$28:$E$28,$D$26:$E$26,D$11))*(About!$A$60)</f>
        <v>16.235432985204525</v>
      </c>
      <c r="E33">
        <f>(TREND($D$28:$E$28,$D$26:$E$26,E$11))*(About!$A$60)</f>
        <v>16.235432985204525</v>
      </c>
      <c r="F33">
        <f>(TREND($D$28:$E$28,$D$26:$E$26,F$11))*(About!$A$60)</f>
        <v>16.235432985204525</v>
      </c>
      <c r="G33">
        <f>(TREND($D$28:$E$28,$D$26:$E$26,G$11))*(About!$A$60)</f>
        <v>16.235432985204525</v>
      </c>
      <c r="H33">
        <f>(TREND($D$28:$E$28,$D$26:$E$26,H$11))*(About!$A$60)</f>
        <v>16.235432985204525</v>
      </c>
      <c r="I33">
        <f>(TREND($D$28:$E$28,$D$26:$E$26,I$11))*(About!$A$60)</f>
        <v>16.235432985204525</v>
      </c>
      <c r="J33">
        <f>(TREND($D$28:$E$28,$D$26:$E$26,J$11))*(About!$A$60)</f>
        <v>16.235432985204525</v>
      </c>
      <c r="K33">
        <f>(TREND($D$28:$E$28,$D$26:$E$26,K$11))*(About!$A$60)</f>
        <v>16.235432985204525</v>
      </c>
      <c r="L33">
        <f>(TREND($D$28:$E$28,$D$26:$E$26,L$11))*(About!$A$60)</f>
        <v>16.235432985204525</v>
      </c>
      <c r="M33">
        <f>(TREND($D$28:$E$28,$D$26:$E$26,M$11))*(About!$A$60)</f>
        <v>16.235432985204525</v>
      </c>
      <c r="N33">
        <f>(TREND($E$28:$G$28,$E$26:$G$26,N$11))*(About!$A$60)</f>
        <v>16.235432985204525</v>
      </c>
      <c r="O33">
        <f>(TREND($E$28:$G$28,$E$26:$G$26,O$11))*(About!$A$60)</f>
        <v>16.235432985204525</v>
      </c>
      <c r="P33">
        <f>(TREND($E$28:$G$28,$E$26:$G$26,P$11))*(About!$A$60)</f>
        <v>16.235432985204525</v>
      </c>
      <c r="Q33">
        <f>(TREND($E$28:$G$28,$E$26:$G$26,Q$11))*(About!$A$60)</f>
        <v>16.235432985204525</v>
      </c>
      <c r="R33">
        <f>(TREND($E$28:$G$28,$E$26:$G$26,R$11))*(About!$A$60)</f>
        <v>16.235432985204525</v>
      </c>
      <c r="S33">
        <f>(TREND($E$28:$G$28,$E$26:$G$26,S$11))*(About!$A$60)</f>
        <v>16.235432985204525</v>
      </c>
      <c r="T33">
        <f>(TREND($E$28:$G$28,$E$26:$G$26,T$11))*(About!$A$60)</f>
        <v>16.235432985204525</v>
      </c>
      <c r="U33">
        <f>(TREND($E$28:$G$28,$E$26:$G$26,U$11))*(About!$A$60)</f>
        <v>16.235432985204525</v>
      </c>
      <c r="V33">
        <f>(TREND($E$28:$G$28,$E$26:$G$26,V$11))*(About!$A$60)</f>
        <v>16.235432985204525</v>
      </c>
      <c r="W33">
        <f>(TREND($E$28:$G$28,$E$26:$G$26,W$11))*(About!$A$60)</f>
        <v>16.235432985204525</v>
      </c>
      <c r="X33">
        <f>(TREND($E$28:$G$28,$E$26:$G$26,X$11))*(About!$A$60)</f>
        <v>16.235432985204525</v>
      </c>
      <c r="Y33">
        <f>(TREND($E$28:$G$28,$E$26:$G$26,Y$11))*(About!$A$60)</f>
        <v>16.235432985204525</v>
      </c>
      <c r="Z33">
        <f>(TREND($E$28:$G$28,$E$26:$G$26,Z$11))*(About!$A$60)</f>
        <v>16.235432985204525</v>
      </c>
      <c r="AA33">
        <f>(TREND($E$28:$G$28,$E$26:$G$26,AA$11))*(About!$A$60)</f>
        <v>16.235432985204525</v>
      </c>
      <c r="AB33">
        <f>(TREND($E$28:$G$28,$E$26:$G$26,AB$11))*(About!$A$60)</f>
        <v>16.235432985204525</v>
      </c>
      <c r="AC33">
        <f>(TREND($E$28:$G$28,$E$26:$G$26,AC$11))*(About!$A$60)</f>
        <v>16.235432985204525</v>
      </c>
      <c r="AD33">
        <f>(TREND($E$28:$G$28,$E$26:$G$26,AD$11))*(About!$A$60)</f>
        <v>16.235432985204525</v>
      </c>
      <c r="AE33">
        <f>(TREND($E$28:$G$28,$E$26:$G$26,AE$11))*(About!$A$60)</f>
        <v>16.235432985204525</v>
      </c>
      <c r="AF33">
        <f>(TREND($E$28:$G$28,$E$26:$G$26,AF$11))*(About!$A$60)</f>
        <v>16.235432985204525</v>
      </c>
      <c r="AG33">
        <f>(TREND($E$28:$G$28,$E$26:$G$26,AG$11))*(About!$A$60)</f>
        <v>16.235432985204525</v>
      </c>
    </row>
    <row r="34" spans="1:33">
      <c r="A34" t="s">
        <v>669</v>
      </c>
      <c r="B34">
        <f>((B29-D29)/(B26-D26)*(B31-C31))*(About!$A$62)+C34</f>
        <v>279.34485045339261</v>
      </c>
      <c r="C34">
        <f>(TREND($D$29:$E$29,$D$26:$E$26,C$11))*(About!$A$62)</f>
        <v>275.04349624577293</v>
      </c>
      <c r="D34">
        <f>(TREND($D$29:$E$29,$D$26:$E$26,D$11))*(About!$A$62)</f>
        <v>271.19875219434124</v>
      </c>
      <c r="E34">
        <f>(TREND($D$29:$E$29,$D$26:$E$26,E$11))*(About!$A$62)</f>
        <v>267.35400814291046</v>
      </c>
      <c r="F34">
        <f>(TREND($D$29:$E$29,$D$26:$E$26,F$11))*(About!$A$62)</f>
        <v>263.50926409147877</v>
      </c>
      <c r="G34">
        <f>(TREND($D$29:$E$29,$D$26:$E$26,G$11))*(About!$A$62)</f>
        <v>259.66452004004708</v>
      </c>
      <c r="H34">
        <f>(TREND($D$29:$E$29,$D$26:$E$26,H$11))*(About!$A$62)</f>
        <v>255.81977598861545</v>
      </c>
      <c r="I34">
        <f>(TREND($D$29:$E$29,$D$26:$E$26,I$11))*(About!$A$62)</f>
        <v>251.97503193718379</v>
      </c>
      <c r="J34">
        <f>(TREND($D$29:$E$29,$D$26:$E$26,J$11))*(About!$A$62)</f>
        <v>248.1302878857521</v>
      </c>
      <c r="K34">
        <f>(TREND($D$29:$E$29,$D$26:$E$26,K$11))*(About!$A$62)</f>
        <v>244.28554383432132</v>
      </c>
      <c r="L34">
        <f>(TREND($D$29:$E$29,$D$26:$E$26,L$11))*(About!$A$62)</f>
        <v>240.44079978288966</v>
      </c>
      <c r="M34">
        <f>(TREND($D$29:$E$29,$D$26:$E$26,M$11))*(About!$A$62)</f>
        <v>236.59605573145797</v>
      </c>
      <c r="N34">
        <f>(TREND($E$29:$G$29,$E$26:$G$26,N$11))*(About!$A$62)</f>
        <v>232.58906544927183</v>
      </c>
      <c r="O34">
        <f>(TREND($E$29:$G$29,$E$26:$G$26,O$11))*(About!$A$62)</f>
        <v>229.58163311439381</v>
      </c>
      <c r="P34">
        <f>(TREND($E$29:$G$29,$E$26:$G$26,P$11))*(About!$A$62)</f>
        <v>226.57420077951667</v>
      </c>
      <c r="Q34">
        <f>(TREND($E$29:$G$29,$E$26:$G$26,Q$11))*(About!$A$62)</f>
        <v>223.56676844463868</v>
      </c>
      <c r="R34">
        <f>(TREND($E$29:$G$29,$E$26:$G$26,R$11))*(About!$A$62)</f>
        <v>220.55933610976066</v>
      </c>
      <c r="S34">
        <f>(TREND($E$29:$G$29,$E$26:$G$26,S$11))*(About!$A$62)</f>
        <v>217.55190377488353</v>
      </c>
      <c r="T34">
        <f>(TREND($E$29:$G$29,$E$26:$G$26,T$11))*(About!$A$62)</f>
        <v>214.54447144000551</v>
      </c>
      <c r="U34">
        <f>(TREND($E$29:$G$29,$E$26:$G$26,U$11))*(About!$A$62)</f>
        <v>211.53703910512749</v>
      </c>
      <c r="V34">
        <f>(TREND($E$29:$G$29,$E$26:$G$26,V$11))*(About!$A$62)</f>
        <v>208.52960677025035</v>
      </c>
      <c r="W34">
        <f>(TREND($E$29:$G$29,$E$26:$G$26,W$11))*(About!$A$62)</f>
        <v>205.52217443537236</v>
      </c>
      <c r="X34">
        <f>(TREND($E$29:$G$29,$E$26:$G$26,X$11))*(About!$A$62)</f>
        <v>202.51474210049435</v>
      </c>
      <c r="Y34">
        <f>(TREND($E$29:$G$29,$E$26:$G$26,Y$11))*(About!$A$62)</f>
        <v>199.50730976561721</v>
      </c>
      <c r="Z34">
        <f>(TREND($E$29:$G$29,$E$26:$G$26,Z$11))*(About!$A$62)</f>
        <v>196.49987743073919</v>
      </c>
      <c r="AA34">
        <f>(TREND($E$29:$G$29,$E$26:$G$26,AA$11))*(About!$A$62)</f>
        <v>193.49244509586205</v>
      </c>
      <c r="AB34">
        <f>(TREND($E$29:$G$29,$E$26:$G$26,AB$11))*(About!$A$62)</f>
        <v>190.48501276098403</v>
      </c>
      <c r="AC34">
        <f>(TREND($E$29:$G$29,$E$26:$G$26,AC$11))*(About!$A$62)</f>
        <v>187.47758042610604</v>
      </c>
      <c r="AD34">
        <f>(TREND($E$29:$G$29,$E$26:$G$26,AD$11))*(About!$A$62)</f>
        <v>184.47014809122888</v>
      </c>
      <c r="AE34">
        <f>(TREND($E$29:$G$29,$E$26:$G$26,AE$11))*(About!$A$62)</f>
        <v>181.46271575635089</v>
      </c>
      <c r="AF34">
        <f>(TREND($E$29:$G$29,$E$26:$G$26,AF$11))*(About!$A$62)</f>
        <v>178.45528342147287</v>
      </c>
      <c r="AG34">
        <f>(TREND($E$29:$G$29,$E$26:$G$26,AG$11))*(About!$A$62)</f>
        <v>175.44785108659573</v>
      </c>
    </row>
    <row r="36" spans="1:33">
      <c r="A36" s="11" t="s">
        <v>670</v>
      </c>
      <c r="B36">
        <v>2019</v>
      </c>
      <c r="C36">
        <v>2020</v>
      </c>
      <c r="D36">
        <v>2021</v>
      </c>
      <c r="E36">
        <v>2022</v>
      </c>
      <c r="F36">
        <v>2023</v>
      </c>
      <c r="G36">
        <v>2024</v>
      </c>
      <c r="H36">
        <v>2025</v>
      </c>
      <c r="I36">
        <v>2026</v>
      </c>
      <c r="J36">
        <v>2027</v>
      </c>
      <c r="K36">
        <v>2028</v>
      </c>
      <c r="L36">
        <v>2029</v>
      </c>
      <c r="M36">
        <v>2030</v>
      </c>
      <c r="N36">
        <v>2031</v>
      </c>
      <c r="O36">
        <v>2032</v>
      </c>
      <c r="P36">
        <v>2033</v>
      </c>
      <c r="Q36">
        <v>2034</v>
      </c>
      <c r="R36">
        <v>2035</v>
      </c>
      <c r="S36">
        <v>2036</v>
      </c>
      <c r="T36">
        <v>2037</v>
      </c>
      <c r="U36">
        <v>2038</v>
      </c>
      <c r="V36">
        <v>2039</v>
      </c>
      <c r="W36">
        <v>2040</v>
      </c>
      <c r="X36">
        <v>2041</v>
      </c>
      <c r="Y36">
        <v>2042</v>
      </c>
      <c r="Z36">
        <v>2043</v>
      </c>
      <c r="AA36">
        <v>2044</v>
      </c>
      <c r="AB36">
        <v>2045</v>
      </c>
      <c r="AC36">
        <v>2046</v>
      </c>
      <c r="AD36">
        <v>2047</v>
      </c>
      <c r="AE36">
        <v>2048</v>
      </c>
      <c r="AF36">
        <v>2049</v>
      </c>
      <c r="AG36">
        <v>2050</v>
      </c>
    </row>
    <row r="37" spans="1:33">
      <c r="A37" t="s">
        <v>671</v>
      </c>
      <c r="B37" s="41">
        <f>(B34-B32)/(8760*10^3*$B$23)</f>
        <v>1.1922642736154889E-4</v>
      </c>
      <c r="C37" s="41">
        <f t="shared" ref="C37:AG37" si="3">(C34-C32)/(8760*10^3*$B$23)</f>
        <v>1.1726233868227049E-4</v>
      </c>
      <c r="D37" s="41">
        <f t="shared" si="3"/>
        <v>1.1550674779120579E-4</v>
      </c>
      <c r="E37" s="41">
        <f t="shared" si="3"/>
        <v>1.1375115690014151E-4</v>
      </c>
      <c r="F37" s="41">
        <f t="shared" si="3"/>
        <v>1.1199556600907681E-4</v>
      </c>
      <c r="G37" s="41">
        <f t="shared" si="3"/>
        <v>1.1023997511801212E-4</v>
      </c>
      <c r="H37" s="41">
        <f t="shared" si="3"/>
        <v>1.0848438422694745E-4</v>
      </c>
      <c r="I37" s="41">
        <f t="shared" si="3"/>
        <v>1.0672879333588274E-4</v>
      </c>
      <c r="J37" s="41">
        <f t="shared" si="3"/>
        <v>1.0497320244481804E-4</v>
      </c>
      <c r="K37" s="41">
        <f t="shared" si="3"/>
        <v>1.0321761155375376E-4</v>
      </c>
      <c r="L37" s="41">
        <f t="shared" si="3"/>
        <v>1.0146202066268909E-4</v>
      </c>
      <c r="M37" s="41">
        <f t="shared" si="3"/>
        <v>9.9706429771624386E-5</v>
      </c>
      <c r="N37" s="41">
        <f t="shared" si="3"/>
        <v>9.787675384368551E-5</v>
      </c>
      <c r="O37" s="41">
        <f t="shared" si="3"/>
        <v>9.6503497069768613E-5</v>
      </c>
      <c r="P37" s="41">
        <f t="shared" si="3"/>
        <v>9.513024029585211E-5</v>
      </c>
      <c r="Q37" s="41">
        <f t="shared" si="3"/>
        <v>9.3756983521935228E-5</v>
      </c>
      <c r="R37" s="41">
        <f t="shared" si="3"/>
        <v>9.2383726748018305E-5</v>
      </c>
      <c r="S37" s="41">
        <f t="shared" si="3"/>
        <v>9.1010469974101802E-5</v>
      </c>
      <c r="T37" s="41">
        <f t="shared" si="3"/>
        <v>8.9637213200184919E-5</v>
      </c>
      <c r="U37" s="41">
        <f t="shared" si="3"/>
        <v>8.8263956426267996E-5</v>
      </c>
      <c r="V37" s="41">
        <f t="shared" si="3"/>
        <v>8.6890699652351493E-5</v>
      </c>
      <c r="W37" s="41">
        <f t="shared" si="3"/>
        <v>8.551744287843461E-5</v>
      </c>
      <c r="X37" s="41">
        <f t="shared" si="3"/>
        <v>8.4144186104517714E-5</v>
      </c>
      <c r="Y37" s="41">
        <f t="shared" si="3"/>
        <v>8.2770929330601211E-5</v>
      </c>
      <c r="Z37" s="41">
        <f t="shared" si="3"/>
        <v>8.1397672556684302E-5</v>
      </c>
      <c r="AA37" s="41">
        <f t="shared" si="3"/>
        <v>8.0024415782767799E-5</v>
      </c>
      <c r="AB37" s="41">
        <f t="shared" si="3"/>
        <v>7.8651159008850903E-5</v>
      </c>
      <c r="AC37" s="41">
        <f t="shared" si="3"/>
        <v>7.727790223493402E-5</v>
      </c>
      <c r="AD37" s="41">
        <f t="shared" si="3"/>
        <v>7.590464546101749E-5</v>
      </c>
      <c r="AE37" s="41">
        <f t="shared" si="3"/>
        <v>7.4531388687100594E-5</v>
      </c>
      <c r="AF37" s="41">
        <f t="shared" si="3"/>
        <v>7.3158131913183711E-5</v>
      </c>
      <c r="AG37" s="41">
        <f t="shared" si="3"/>
        <v>7.1784875139267208E-5</v>
      </c>
    </row>
    <row r="38" spans="1:33">
      <c r="A38" t="s">
        <v>672</v>
      </c>
      <c r="B38" s="41">
        <f>(B34-B33)/(8760*10^3*$B$23)</f>
        <v>1.2014128651515439E-4</v>
      </c>
      <c r="C38" s="41">
        <f t="shared" ref="C38:AG38" si="4">(C34-C33)/(8760*10^3*$B$23)</f>
        <v>1.1817719783587599E-4</v>
      </c>
      <c r="D38" s="41">
        <f t="shared" si="4"/>
        <v>1.1642160694481129E-4</v>
      </c>
      <c r="E38" s="41">
        <f t="shared" si="4"/>
        <v>1.1466601605374701E-4</v>
      </c>
      <c r="F38" s="41">
        <f t="shared" si="4"/>
        <v>1.1291042516268231E-4</v>
      </c>
      <c r="G38" s="41">
        <f t="shared" si="4"/>
        <v>1.1115483427161761E-4</v>
      </c>
      <c r="H38" s="41">
        <f t="shared" si="4"/>
        <v>1.0939924338055294E-4</v>
      </c>
      <c r="I38" s="41">
        <f t="shared" si="4"/>
        <v>1.0764365248948823E-4</v>
      </c>
      <c r="J38" s="41">
        <f t="shared" si="4"/>
        <v>1.0588806159842355E-4</v>
      </c>
      <c r="K38" s="41">
        <f t="shared" si="4"/>
        <v>1.0413247070735926E-4</v>
      </c>
      <c r="L38" s="41">
        <f t="shared" si="4"/>
        <v>1.0237687981629459E-4</v>
      </c>
      <c r="M38" s="41">
        <f t="shared" si="4"/>
        <v>1.0062128892522989E-4</v>
      </c>
      <c r="N38" s="41">
        <f t="shared" si="4"/>
        <v>9.8791612997290999E-5</v>
      </c>
      <c r="O38" s="41">
        <f t="shared" si="4"/>
        <v>9.7418356223374103E-5</v>
      </c>
      <c r="P38" s="41">
        <f t="shared" si="4"/>
        <v>9.6045099449457613E-5</v>
      </c>
      <c r="Q38" s="41">
        <f t="shared" si="4"/>
        <v>9.4671842675540717E-5</v>
      </c>
      <c r="R38" s="41">
        <f t="shared" si="4"/>
        <v>9.3298585901623808E-5</v>
      </c>
      <c r="S38" s="41">
        <f t="shared" si="4"/>
        <v>9.1925329127707305E-5</v>
      </c>
      <c r="T38" s="41">
        <f t="shared" si="4"/>
        <v>9.0552072353790409E-5</v>
      </c>
      <c r="U38" s="41">
        <f t="shared" si="4"/>
        <v>8.9178815579873499E-5</v>
      </c>
      <c r="V38" s="41">
        <f t="shared" si="4"/>
        <v>8.7805558805956996E-5</v>
      </c>
      <c r="W38" s="41">
        <f t="shared" si="4"/>
        <v>8.64323020320401E-5</v>
      </c>
      <c r="X38" s="41">
        <f t="shared" si="4"/>
        <v>8.5059045258123217E-5</v>
      </c>
      <c r="Y38" s="41">
        <f t="shared" si="4"/>
        <v>8.3685788484206714E-5</v>
      </c>
      <c r="Z38" s="41">
        <f t="shared" si="4"/>
        <v>8.2312531710289791E-5</v>
      </c>
      <c r="AA38" s="41">
        <f t="shared" si="4"/>
        <v>8.0939274936373288E-5</v>
      </c>
      <c r="AB38" s="41">
        <f t="shared" si="4"/>
        <v>7.9566018162456406E-5</v>
      </c>
      <c r="AC38" s="41">
        <f t="shared" si="4"/>
        <v>7.819276138853951E-5</v>
      </c>
      <c r="AD38" s="41">
        <f t="shared" si="4"/>
        <v>7.681950461462298E-5</v>
      </c>
      <c r="AE38" s="41">
        <f t="shared" si="4"/>
        <v>7.5446247840706097E-5</v>
      </c>
      <c r="AF38" s="41">
        <f t="shared" si="4"/>
        <v>7.4072991066789201E-5</v>
      </c>
      <c r="AG38" s="41">
        <f t="shared" si="4"/>
        <v>7.2699734292872698E-5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93"/>
  <sheetViews>
    <sheetView topLeftCell="A70" workbookViewId="0">
      <selection activeCell="N76" sqref="N76:BL76"/>
    </sheetView>
  </sheetViews>
  <sheetFormatPr defaultRowHeight="15"/>
  <cols>
    <col min="6" max="6" width="16.140625" bestFit="1" customWidth="1"/>
  </cols>
  <sheetData>
    <row r="1" spans="1:4">
      <c r="A1" t="s">
        <v>673</v>
      </c>
    </row>
    <row r="3" spans="1:4">
      <c r="A3" t="s">
        <v>674</v>
      </c>
      <c r="B3" t="s">
        <v>675</v>
      </c>
      <c r="C3" t="s">
        <v>676</v>
      </c>
      <c r="D3" t="s">
        <v>677</v>
      </c>
    </row>
    <row r="4" spans="1:4">
      <c r="A4" t="s">
        <v>650</v>
      </c>
      <c r="B4">
        <v>1.4101388888888888E-6</v>
      </c>
      <c r="C4" t="s">
        <v>678</v>
      </c>
      <c r="D4" s="124">
        <v>15</v>
      </c>
    </row>
    <row r="5" spans="1:4">
      <c r="A5" t="s">
        <v>679</v>
      </c>
      <c r="B5">
        <v>1.0220000000000001E-6</v>
      </c>
      <c r="C5" t="s">
        <v>678</v>
      </c>
      <c r="D5" s="124">
        <v>10</v>
      </c>
    </row>
    <row r="6" spans="1:4">
      <c r="A6" t="s">
        <v>680</v>
      </c>
      <c r="B6">
        <v>1.6027222222222223E-6</v>
      </c>
      <c r="C6" t="s">
        <v>678</v>
      </c>
      <c r="D6" s="124">
        <v>15</v>
      </c>
    </row>
    <row r="7" spans="1:4">
      <c r="A7" t="s">
        <v>681</v>
      </c>
      <c r="B7">
        <v>1.7506666666666666E-6</v>
      </c>
      <c r="C7" t="s">
        <v>678</v>
      </c>
      <c r="D7" s="124">
        <v>3</v>
      </c>
    </row>
    <row r="8" spans="1:4">
      <c r="A8" t="s">
        <v>682</v>
      </c>
      <c r="B8">
        <v>2.1152444444444445E-6</v>
      </c>
      <c r="C8" t="s">
        <v>678</v>
      </c>
      <c r="D8" s="124">
        <v>3</v>
      </c>
    </row>
    <row r="9" spans="1:4">
      <c r="A9" t="s">
        <v>379</v>
      </c>
      <c r="B9">
        <v>8.2244513031550069E-7</v>
      </c>
      <c r="C9" t="s">
        <v>678</v>
      </c>
      <c r="D9" s="124">
        <v>5</v>
      </c>
    </row>
    <row r="10" spans="1:4">
      <c r="A10" t="s">
        <v>683</v>
      </c>
      <c r="B10">
        <v>1.24375E-6</v>
      </c>
      <c r="C10" t="s">
        <v>678</v>
      </c>
      <c r="D10" s="124">
        <v>15</v>
      </c>
    </row>
    <row r="11" spans="1:4">
      <c r="A11" t="s">
        <v>684</v>
      </c>
      <c r="B11">
        <v>4.0415555555555556E-6</v>
      </c>
      <c r="C11" t="s">
        <v>678</v>
      </c>
      <c r="D11" s="124">
        <v>1</v>
      </c>
    </row>
    <row r="12" spans="1:4">
      <c r="A12" t="s">
        <v>685</v>
      </c>
      <c r="D12">
        <v>0.13</v>
      </c>
    </row>
    <row r="14" spans="1:4">
      <c r="A14" t="s">
        <v>686</v>
      </c>
      <c r="B14" s="41">
        <v>3412000000000</v>
      </c>
    </row>
    <row r="17" spans="1:63">
      <c r="A17" t="s">
        <v>687</v>
      </c>
    </row>
    <row r="18" spans="1:63">
      <c r="A18" t="s">
        <v>688</v>
      </c>
      <c r="B18" t="s">
        <v>689</v>
      </c>
      <c r="E18" t="s">
        <v>690</v>
      </c>
      <c r="F18" t="s">
        <v>691</v>
      </c>
      <c r="G18" t="s">
        <v>692</v>
      </c>
    </row>
    <row r="19" spans="1:63">
      <c r="B19" t="s">
        <v>693</v>
      </c>
      <c r="C19" t="s">
        <v>694</v>
      </c>
      <c r="D19" t="s">
        <v>695</v>
      </c>
      <c r="G19" t="s">
        <v>693</v>
      </c>
      <c r="H19" t="s">
        <v>694</v>
      </c>
      <c r="I19" t="s">
        <v>695</v>
      </c>
    </row>
    <row r="20" spans="1:63">
      <c r="A20" t="s">
        <v>650</v>
      </c>
      <c r="B20" s="121">
        <v>1.6000000000000001E-9</v>
      </c>
      <c r="C20" s="121">
        <v>1.3999999999999999E-9</v>
      </c>
      <c r="D20" s="121">
        <v>1.2E-9</v>
      </c>
      <c r="E20" s="100">
        <v>0.06</v>
      </c>
      <c r="F20" s="122">
        <v>50</v>
      </c>
      <c r="G20">
        <v>1.28E-10</v>
      </c>
      <c r="H20">
        <v>1.1199999999999999E-10</v>
      </c>
      <c r="I20">
        <v>9.6000000000000005E-11</v>
      </c>
    </row>
    <row r="21" spans="1:63">
      <c r="A21" t="s">
        <v>679</v>
      </c>
      <c r="B21" s="121">
        <v>3.4999999999999999E-9</v>
      </c>
      <c r="C21" s="121">
        <v>3E-9</v>
      </c>
      <c r="D21" s="121">
        <v>1.5E-9</v>
      </c>
      <c r="E21" s="100">
        <v>0.08</v>
      </c>
      <c r="F21" s="122">
        <v>20</v>
      </c>
      <c r="G21">
        <v>4.5499999999999998E-10</v>
      </c>
      <c r="H21">
        <v>3.9E-10</v>
      </c>
      <c r="I21">
        <v>1.95E-10</v>
      </c>
    </row>
    <row r="22" spans="1:63">
      <c r="A22" t="s">
        <v>680</v>
      </c>
      <c r="B22" s="121">
        <v>6E-9</v>
      </c>
      <c r="C22" s="121">
        <v>4.4999999999999998E-9</v>
      </c>
      <c r="D22" s="121">
        <v>3E-9</v>
      </c>
      <c r="E22" s="100">
        <v>0.1</v>
      </c>
      <c r="F22" s="122">
        <v>15</v>
      </c>
      <c r="G22">
        <v>1.0000000000000001E-9</v>
      </c>
      <c r="H22">
        <v>7.5E-10</v>
      </c>
      <c r="I22">
        <v>5.0000000000000003E-10</v>
      </c>
    </row>
    <row r="23" spans="1:63">
      <c r="A23" t="s">
        <v>696</v>
      </c>
      <c r="B23" s="121">
        <v>0</v>
      </c>
      <c r="C23" s="121">
        <v>0</v>
      </c>
      <c r="D23" s="121">
        <v>0</v>
      </c>
      <c r="E23">
        <v>0</v>
      </c>
      <c r="F23" t="s">
        <v>697</v>
      </c>
      <c r="G23">
        <v>0</v>
      </c>
      <c r="H23">
        <v>0</v>
      </c>
      <c r="I23">
        <v>0</v>
      </c>
    </row>
    <row r="24" spans="1:63">
      <c r="A24" t="s">
        <v>684</v>
      </c>
      <c r="B24" s="121">
        <v>0</v>
      </c>
      <c r="C24" s="121">
        <v>0</v>
      </c>
      <c r="D24" s="121">
        <v>0</v>
      </c>
      <c r="E24">
        <v>0</v>
      </c>
      <c r="F24" t="s">
        <v>697</v>
      </c>
      <c r="G24">
        <v>0</v>
      </c>
      <c r="H24">
        <v>0</v>
      </c>
      <c r="I24">
        <v>0</v>
      </c>
    </row>
    <row r="25" spans="1:63">
      <c r="A25" t="s">
        <v>682</v>
      </c>
      <c r="B25" s="121">
        <v>0</v>
      </c>
      <c r="C25" s="121">
        <v>0</v>
      </c>
      <c r="D25" s="121">
        <v>0</v>
      </c>
      <c r="E25" s="100">
        <v>0</v>
      </c>
      <c r="F25" t="s">
        <v>697</v>
      </c>
      <c r="G25">
        <v>0</v>
      </c>
      <c r="H25">
        <v>0</v>
      </c>
      <c r="I25">
        <v>0</v>
      </c>
    </row>
    <row r="26" spans="1:63">
      <c r="A26" t="s">
        <v>379</v>
      </c>
      <c r="B26" s="121">
        <v>0</v>
      </c>
      <c r="C26" s="121">
        <v>0</v>
      </c>
      <c r="D26" s="121">
        <v>0</v>
      </c>
      <c r="E26" s="100">
        <v>0</v>
      </c>
      <c r="F26" t="s">
        <v>697</v>
      </c>
      <c r="G26">
        <v>0</v>
      </c>
      <c r="H26">
        <v>0</v>
      </c>
      <c r="I26">
        <v>0</v>
      </c>
    </row>
    <row r="27" spans="1:63">
      <c r="A27" t="s">
        <v>683</v>
      </c>
      <c r="B27" s="121">
        <v>2.4999999999999999E-8</v>
      </c>
      <c r="C27" s="121">
        <v>2.1999999999999998E-8</v>
      </c>
      <c r="D27" s="121">
        <v>1.7E-8</v>
      </c>
      <c r="E27" s="100">
        <v>0.12</v>
      </c>
      <c r="F27">
        <v>10</v>
      </c>
      <c r="G27">
        <v>5.4999999999999996E-9</v>
      </c>
      <c r="H27">
        <v>4.839999999999999E-9</v>
      </c>
      <c r="I27">
        <v>3.7399999999999999E-9</v>
      </c>
    </row>
    <row r="29" spans="1:63">
      <c r="A29">
        <v>1</v>
      </c>
      <c r="B29" t="s">
        <v>650</v>
      </c>
    </row>
    <row r="30" spans="1:63">
      <c r="B30" t="s">
        <v>698</v>
      </c>
      <c r="E30" s="121"/>
      <c r="F30" s="121"/>
      <c r="N30" t="s">
        <v>699</v>
      </c>
      <c r="T30" s="121"/>
      <c r="U30" s="121"/>
      <c r="V30" s="121"/>
    </row>
    <row r="31" spans="1:63">
      <c r="E31" s="121"/>
      <c r="F31" s="121"/>
      <c r="T31" s="121"/>
      <c r="U31" s="121"/>
      <c r="V31" s="121"/>
    </row>
    <row r="32" spans="1:63">
      <c r="D32" t="s">
        <v>700</v>
      </c>
      <c r="F32" s="124">
        <v>2012</v>
      </c>
      <c r="G32" s="124">
        <v>2013</v>
      </c>
      <c r="H32" s="124">
        <v>2014</v>
      </c>
      <c r="I32" s="124">
        <v>2015</v>
      </c>
      <c r="J32" s="124">
        <v>2016</v>
      </c>
      <c r="K32" s="124">
        <v>2017</v>
      </c>
      <c r="L32" s="124">
        <v>2018</v>
      </c>
      <c r="M32" s="200">
        <v>2020</v>
      </c>
      <c r="N32" s="200">
        <v>2021</v>
      </c>
      <c r="O32" s="200">
        <v>2022</v>
      </c>
      <c r="P32" s="200">
        <v>2023</v>
      </c>
      <c r="Q32" s="200">
        <v>2024</v>
      </c>
      <c r="R32" s="200">
        <v>2025</v>
      </c>
      <c r="S32" s="200">
        <v>2026</v>
      </c>
      <c r="T32" s="200">
        <v>2027</v>
      </c>
      <c r="U32" s="200">
        <v>2028</v>
      </c>
      <c r="V32" s="200">
        <v>2029</v>
      </c>
      <c r="W32" s="200">
        <v>2030</v>
      </c>
      <c r="X32" s="200">
        <v>2031</v>
      </c>
      <c r="Y32" s="200">
        <v>2032</v>
      </c>
      <c r="Z32" s="200">
        <v>2033</v>
      </c>
      <c r="AA32" s="200">
        <v>2034</v>
      </c>
      <c r="AB32" s="200">
        <v>2035</v>
      </c>
      <c r="AC32" s="200">
        <v>2036</v>
      </c>
      <c r="AD32" s="200">
        <v>2037</v>
      </c>
      <c r="AE32" s="200">
        <v>2038</v>
      </c>
      <c r="AF32" s="200">
        <v>2039</v>
      </c>
      <c r="AG32" s="200">
        <v>2040</v>
      </c>
      <c r="AH32" s="200">
        <v>2041</v>
      </c>
      <c r="AI32" s="200">
        <v>2042</v>
      </c>
      <c r="AJ32" s="200">
        <v>2043</v>
      </c>
      <c r="AK32" s="200">
        <v>2044</v>
      </c>
      <c r="AL32" s="200">
        <v>2045</v>
      </c>
      <c r="AM32" s="200">
        <v>2046</v>
      </c>
      <c r="AN32" s="200">
        <v>2047</v>
      </c>
      <c r="AO32" s="200">
        <v>2048</v>
      </c>
      <c r="AP32" s="200">
        <v>2049</v>
      </c>
      <c r="AQ32" s="200">
        <v>2050</v>
      </c>
      <c r="AR32" s="200">
        <v>2051</v>
      </c>
      <c r="AS32" s="200">
        <v>2052</v>
      </c>
      <c r="AT32" s="200">
        <v>2053</v>
      </c>
      <c r="AU32" s="200">
        <v>2054</v>
      </c>
      <c r="AV32" s="200">
        <v>2055</v>
      </c>
      <c r="AW32" s="200">
        <v>2056</v>
      </c>
      <c r="AX32" s="200">
        <v>2057</v>
      </c>
      <c r="AY32" s="200">
        <v>2058</v>
      </c>
      <c r="AZ32" s="200">
        <v>2059</v>
      </c>
      <c r="BA32" s="200">
        <v>2060</v>
      </c>
      <c r="BB32" s="200">
        <v>2061</v>
      </c>
      <c r="BC32" s="200">
        <v>2062</v>
      </c>
      <c r="BD32" s="200">
        <v>2063</v>
      </c>
      <c r="BE32" s="200">
        <v>2064</v>
      </c>
      <c r="BF32" s="200">
        <v>2065</v>
      </c>
      <c r="BG32" s="200">
        <v>2066</v>
      </c>
      <c r="BH32" s="200">
        <v>2067</v>
      </c>
      <c r="BI32" s="200">
        <v>2068</v>
      </c>
      <c r="BJ32" s="200">
        <v>2069</v>
      </c>
      <c r="BK32" s="200">
        <v>2070</v>
      </c>
    </row>
    <row r="33" spans="2:63">
      <c r="B33" t="s">
        <v>701</v>
      </c>
      <c r="D33" s="125"/>
      <c r="E33" s="126"/>
      <c r="F33" s="121">
        <v>2.7499999999999998E-9</v>
      </c>
      <c r="G33" s="121">
        <v>2.7920400317607074E-9</v>
      </c>
      <c r="H33" s="121">
        <v>2.834080063521415E-9</v>
      </c>
      <c r="I33" s="121">
        <v>2.8761200952821231E-9</v>
      </c>
      <c r="J33" s="121">
        <v>2.9181601270428307E-9</v>
      </c>
      <c r="K33" s="121">
        <v>2.9602001588035383E-9</v>
      </c>
      <c r="L33" s="121">
        <v>3.0022401905642463E-9</v>
      </c>
      <c r="M33" s="121">
        <v>3.044280222324954E-9</v>
      </c>
      <c r="N33" s="121">
        <v>3.0863202540856616E-9</v>
      </c>
      <c r="O33" s="121">
        <v>3.1283602858463692E-9</v>
      </c>
      <c r="P33" s="121">
        <v>3.1704003176070772E-9</v>
      </c>
      <c r="Q33" s="121">
        <v>3.2124403493677849E-9</v>
      </c>
      <c r="R33" s="121">
        <v>3.2544803811284925E-9</v>
      </c>
      <c r="S33" s="121">
        <v>3.2965204128892001E-9</v>
      </c>
      <c r="T33" s="121">
        <v>3.3385604446499081E-9</v>
      </c>
      <c r="U33" s="121">
        <v>3.3806004764106157E-9</v>
      </c>
      <c r="V33" s="121">
        <v>3.4226405081713234E-9</v>
      </c>
      <c r="W33" s="121">
        <v>3.464680539932031E-9</v>
      </c>
      <c r="X33" s="121">
        <v>3.506720571692739E-9</v>
      </c>
      <c r="Y33" s="121">
        <v>3.5487606034534466E-9</v>
      </c>
      <c r="Z33" s="121">
        <v>3.5908006352141543E-9</v>
      </c>
      <c r="AA33" s="121">
        <v>3.6328406669748619E-9</v>
      </c>
      <c r="AB33" s="121">
        <v>3.6748806987355699E-9</v>
      </c>
      <c r="AC33" s="121">
        <v>3.7169207304962775E-9</v>
      </c>
      <c r="AD33" s="121">
        <v>3.7589607622569851E-9</v>
      </c>
      <c r="AE33" s="121">
        <v>3.8010007940176932E-9</v>
      </c>
      <c r="AF33" s="121">
        <v>3.8430408257784004E-9</v>
      </c>
      <c r="AG33" s="121">
        <v>3.8850808575391084E-9</v>
      </c>
      <c r="AH33" s="121">
        <v>3.9271208892998164E-9</v>
      </c>
      <c r="AI33" s="121">
        <v>3.9691609210605236E-9</v>
      </c>
      <c r="AJ33" s="121">
        <v>4.0112009528212317E-9</v>
      </c>
      <c r="AK33" s="121">
        <v>4.0532409845819397E-9</v>
      </c>
      <c r="AL33" s="121">
        <v>4.0952810163426469E-9</v>
      </c>
      <c r="AM33" s="121">
        <v>4.1373210481033549E-9</v>
      </c>
      <c r="AN33" s="121">
        <v>4.1793610798640622E-9</v>
      </c>
      <c r="AO33" s="121">
        <v>4.2214011116247702E-9</v>
      </c>
    </row>
    <row r="34" spans="2:63">
      <c r="B34" t="s">
        <v>702</v>
      </c>
      <c r="D34" s="125"/>
      <c r="E34" s="121"/>
      <c r="F34" s="121">
        <v>2.7499999999999998E-9</v>
      </c>
      <c r="G34" s="121">
        <v>2.7543489504069147E-9</v>
      </c>
      <c r="H34" s="121">
        <v>2.7586979008138301E-9</v>
      </c>
      <c r="I34" s="121">
        <v>2.7630468512207454E-9</v>
      </c>
      <c r="J34" s="121">
        <v>2.7673958016276603E-9</v>
      </c>
      <c r="K34" s="121">
        <v>2.7717447520345753E-9</v>
      </c>
      <c r="L34" s="121">
        <v>2.776093702441491E-9</v>
      </c>
      <c r="M34" s="201">
        <v>0</v>
      </c>
      <c r="N34" s="201">
        <v>0</v>
      </c>
      <c r="O34" s="201">
        <v>0</v>
      </c>
      <c r="P34" s="201">
        <v>-0.23799999999999999</v>
      </c>
      <c r="Q34" s="201">
        <v>0.1105</v>
      </c>
      <c r="R34" s="201">
        <v>0.45900000000000002</v>
      </c>
      <c r="S34" s="201">
        <v>0.8075</v>
      </c>
      <c r="T34" s="201">
        <v>1.1559999999999999</v>
      </c>
      <c r="U34" s="201">
        <v>1.1597999999999999</v>
      </c>
      <c r="V34" s="201">
        <v>1.1636</v>
      </c>
      <c r="W34" s="201">
        <v>1.1674</v>
      </c>
      <c r="X34" s="201">
        <v>1.1712</v>
      </c>
      <c r="Y34" s="201">
        <v>1.175</v>
      </c>
      <c r="Z34" s="201">
        <v>1.1763999999999999</v>
      </c>
      <c r="AA34" s="201">
        <v>1.1778</v>
      </c>
      <c r="AB34" s="201">
        <v>1.1792</v>
      </c>
      <c r="AC34" s="201">
        <v>1.1806000000000001</v>
      </c>
      <c r="AD34" s="201">
        <v>1.1679999999999999</v>
      </c>
      <c r="AE34" s="201">
        <v>1.1599999999999999</v>
      </c>
      <c r="AF34" s="201">
        <v>1.1206400000000001</v>
      </c>
      <c r="AG34" s="201">
        <v>1.0453760000000001</v>
      </c>
      <c r="AH34" s="201">
        <v>0.95211500000000004</v>
      </c>
      <c r="AI34" s="201">
        <v>1.1279999999999999</v>
      </c>
      <c r="AJ34" s="201">
        <v>1.0616000000000001</v>
      </c>
      <c r="AK34" s="201">
        <v>0.99519999999999997</v>
      </c>
      <c r="AL34" s="201">
        <v>0.92879999999999996</v>
      </c>
      <c r="AM34" s="201">
        <v>0.86240000000000006</v>
      </c>
      <c r="AN34" s="201">
        <v>0.79600000000000004</v>
      </c>
      <c r="AO34" s="201">
        <v>0.56933299999999998</v>
      </c>
      <c r="AP34" s="201">
        <v>0.342667</v>
      </c>
      <c r="AQ34" s="201">
        <v>0.11600000000000001</v>
      </c>
      <c r="AR34" s="201">
        <v>0.10920000000000001</v>
      </c>
      <c r="AS34" s="201">
        <v>0.1024</v>
      </c>
      <c r="AT34" s="201">
        <v>9.5600000000000004E-2</v>
      </c>
      <c r="AU34" s="201">
        <v>8.8800000000000004E-2</v>
      </c>
      <c r="AV34" s="202">
        <v>8.2000000000000003E-2</v>
      </c>
      <c r="AW34" s="202">
        <v>5.1400000000000001E-2</v>
      </c>
      <c r="AX34" s="202">
        <v>2.0799999999999999E-2</v>
      </c>
      <c r="AY34" s="202">
        <v>-9.7999999999999997E-3</v>
      </c>
      <c r="AZ34" s="202">
        <v>-4.0399999999999998E-2</v>
      </c>
      <c r="BA34" s="202">
        <v>-7.0999999999999994E-2</v>
      </c>
      <c r="BB34" s="202">
        <v>-0.10199999999999999</v>
      </c>
      <c r="BC34" s="202">
        <v>-0.13300000000000001</v>
      </c>
      <c r="BD34" s="202">
        <v>-0.16400000000000001</v>
      </c>
      <c r="BE34" s="202">
        <v>-0.19500000000000001</v>
      </c>
      <c r="BF34" s="202">
        <v>-0.22600000000000001</v>
      </c>
      <c r="BG34" s="202">
        <v>-0.25700000000000001</v>
      </c>
      <c r="BH34" s="202">
        <v>-0.28799999999999998</v>
      </c>
      <c r="BI34" s="202">
        <v>-0.31900000000000001</v>
      </c>
      <c r="BJ34" s="202">
        <v>-0.35</v>
      </c>
      <c r="BK34" s="202">
        <v>-0.38100000000000001</v>
      </c>
    </row>
    <row r="35" spans="2:63">
      <c r="B35" t="s">
        <v>703</v>
      </c>
      <c r="D35" s="125"/>
      <c r="E35" s="126"/>
      <c r="F35" s="121">
        <v>2.7499999999999998E-9</v>
      </c>
      <c r="G35" s="121">
        <v>2.7166578690531225E-9</v>
      </c>
      <c r="H35" s="121">
        <v>2.6833157381062451E-9</v>
      </c>
      <c r="I35" s="121">
        <v>2.6499736071593677E-9</v>
      </c>
      <c r="J35" s="121">
        <v>2.61663147621249E-9</v>
      </c>
      <c r="K35" s="121">
        <v>2.5832893452656126E-9</v>
      </c>
      <c r="L35" s="121">
        <v>2.5499472143187353E-9</v>
      </c>
      <c r="M35" s="121">
        <v>2.5166050833718579E-9</v>
      </c>
      <c r="N35" s="121">
        <v>2.4832629524249805E-9</v>
      </c>
      <c r="O35" s="121">
        <v>2.4499208214781032E-9</v>
      </c>
      <c r="P35" s="121">
        <v>2.4165786905312254E-9</v>
      </c>
      <c r="Q35" s="121">
        <v>2.3832365595843481E-9</v>
      </c>
      <c r="R35" s="121">
        <v>2.3498944286374707E-9</v>
      </c>
      <c r="S35" s="121">
        <v>2.3165522976905933E-9</v>
      </c>
      <c r="T35" s="121">
        <v>2.283210166743716E-9</v>
      </c>
      <c r="U35" s="121">
        <v>2.2498680357968386E-9</v>
      </c>
      <c r="V35" s="121">
        <v>2.2165259048499613E-9</v>
      </c>
      <c r="W35" s="121">
        <v>2.1831837739030835E-9</v>
      </c>
      <c r="X35" s="121">
        <v>2.1498416429562062E-9</v>
      </c>
      <c r="Y35" s="121">
        <v>2.1164995120093288E-9</v>
      </c>
      <c r="Z35" s="121">
        <v>2.0831573810624514E-9</v>
      </c>
      <c r="AA35" s="121">
        <v>2.0498152501155741E-9</v>
      </c>
      <c r="AB35" s="121">
        <v>2.0164731191686963E-9</v>
      </c>
      <c r="AC35" s="121">
        <v>1.983130988221819E-9</v>
      </c>
      <c r="AD35" s="121">
        <v>1.9497888572749416E-9</v>
      </c>
      <c r="AE35" s="121">
        <v>1.9164467263280642E-9</v>
      </c>
      <c r="AF35" s="121">
        <v>1.8831045953811869E-9</v>
      </c>
      <c r="AG35" s="121">
        <v>1.8497624644343095E-9</v>
      </c>
      <c r="AH35" s="121">
        <v>1.816420333487432E-9</v>
      </c>
      <c r="AI35" s="121">
        <v>1.7830782025405546E-9</v>
      </c>
      <c r="AJ35" s="121">
        <v>1.7497360715936773E-9</v>
      </c>
      <c r="AK35" s="121">
        <v>1.7163939406467997E-9</v>
      </c>
      <c r="AL35" s="121">
        <v>1.6830518096999223E-9</v>
      </c>
      <c r="AM35" s="121">
        <v>1.6497096787530448E-9</v>
      </c>
      <c r="AN35" s="121">
        <v>1.6163675478061674E-9</v>
      </c>
      <c r="AO35" s="121">
        <v>1.5830254168592901E-9</v>
      </c>
    </row>
    <row r="36" spans="2:63">
      <c r="E36" s="121"/>
      <c r="F36" s="121"/>
      <c r="T36" s="121"/>
      <c r="U36" s="121"/>
      <c r="V36" s="121"/>
    </row>
    <row r="37" spans="2:63">
      <c r="B37" t="s">
        <v>704</v>
      </c>
      <c r="E37" s="121"/>
      <c r="F37" s="121"/>
      <c r="N37" t="s">
        <v>699</v>
      </c>
      <c r="T37" s="121"/>
      <c r="U37" s="121"/>
      <c r="V37" s="121"/>
    </row>
    <row r="38" spans="2:63">
      <c r="E38" s="121"/>
      <c r="F38" s="121"/>
      <c r="T38" s="121"/>
      <c r="U38" s="121"/>
      <c r="V38" s="121"/>
    </row>
    <row r="39" spans="2:63">
      <c r="D39" t="s">
        <v>700</v>
      </c>
      <c r="F39" s="124">
        <v>2012</v>
      </c>
      <c r="G39" s="124">
        <v>2013</v>
      </c>
      <c r="H39" s="124">
        <v>2014</v>
      </c>
      <c r="I39" s="124">
        <v>2015</v>
      </c>
      <c r="J39" s="124">
        <v>2016</v>
      </c>
      <c r="K39" s="124">
        <v>2017</v>
      </c>
      <c r="L39" s="124">
        <v>2018</v>
      </c>
      <c r="M39" s="124">
        <v>2019</v>
      </c>
      <c r="N39" s="124">
        <v>2020</v>
      </c>
      <c r="O39" s="124">
        <v>2021</v>
      </c>
      <c r="P39" s="124">
        <v>2022</v>
      </c>
      <c r="Q39" s="124">
        <v>2023</v>
      </c>
      <c r="R39" s="124">
        <v>2024</v>
      </c>
      <c r="S39" s="124">
        <v>2025</v>
      </c>
      <c r="T39" s="124">
        <v>2026</v>
      </c>
      <c r="U39" s="124">
        <v>2027</v>
      </c>
      <c r="V39" s="124">
        <v>2028</v>
      </c>
      <c r="W39" s="124">
        <v>2029</v>
      </c>
      <c r="X39" s="124">
        <v>2030</v>
      </c>
      <c r="Y39" s="124">
        <v>2031</v>
      </c>
      <c r="Z39" s="124">
        <v>2032</v>
      </c>
      <c r="AA39" s="124">
        <v>2033</v>
      </c>
      <c r="AB39" s="124">
        <v>2034</v>
      </c>
      <c r="AC39" s="124">
        <v>2035</v>
      </c>
      <c r="AD39" s="124">
        <v>2036</v>
      </c>
      <c r="AE39" s="124">
        <v>2037</v>
      </c>
      <c r="AF39" s="124">
        <v>2038</v>
      </c>
      <c r="AG39" s="124">
        <v>2039</v>
      </c>
      <c r="AH39" s="124">
        <v>2040</v>
      </c>
      <c r="AI39" s="124">
        <v>2041</v>
      </c>
      <c r="AJ39" s="124">
        <v>2042</v>
      </c>
      <c r="AK39" s="124">
        <v>2043</v>
      </c>
      <c r="AL39" s="124">
        <v>2044</v>
      </c>
      <c r="AM39" s="124">
        <v>2045</v>
      </c>
      <c r="AN39" s="124">
        <v>2046</v>
      </c>
      <c r="AO39" s="124">
        <v>2047</v>
      </c>
    </row>
    <row r="40" spans="2:63">
      <c r="B40" t="s">
        <v>701</v>
      </c>
      <c r="D40" s="125"/>
      <c r="E40" s="121"/>
      <c r="F40" s="123">
        <v>2.7499999999999999E-11</v>
      </c>
      <c r="G40" s="121">
        <v>2.7920400317607076E-11</v>
      </c>
      <c r="H40" s="121">
        <v>2.8340800635214151E-11</v>
      </c>
      <c r="I40" s="121">
        <v>2.8761200952821232E-11</v>
      </c>
      <c r="J40" s="121">
        <v>2.9181601270428306E-11</v>
      </c>
      <c r="K40" s="121">
        <v>2.9602001588035387E-11</v>
      </c>
      <c r="L40" s="121">
        <v>3.0022401905642461E-11</v>
      </c>
      <c r="M40" s="121">
        <v>3.0442802223249542E-11</v>
      </c>
      <c r="N40" s="121">
        <v>3.0863202540856616E-11</v>
      </c>
      <c r="O40" s="121">
        <v>3.1283602858463691E-11</v>
      </c>
      <c r="P40" s="121">
        <v>3.1704003176070772E-11</v>
      </c>
      <c r="Q40" s="121">
        <v>3.2124403493677852E-11</v>
      </c>
      <c r="R40" s="121">
        <v>3.2544803811284927E-11</v>
      </c>
      <c r="S40" s="121">
        <v>3.2965204128892001E-11</v>
      </c>
      <c r="T40" s="121">
        <v>3.3385604446499082E-11</v>
      </c>
      <c r="U40" s="121">
        <v>3.3806004764106156E-11</v>
      </c>
      <c r="V40" s="121">
        <v>3.4226405081713237E-11</v>
      </c>
      <c r="W40" s="121">
        <v>3.4646805399320312E-11</v>
      </c>
      <c r="X40" s="121">
        <v>3.5067205716927392E-11</v>
      </c>
      <c r="Y40" s="121">
        <v>3.5487606034534467E-11</v>
      </c>
      <c r="Z40" s="121">
        <v>3.5908006352141541E-11</v>
      </c>
      <c r="AA40" s="121">
        <v>3.6328406669748622E-11</v>
      </c>
      <c r="AB40" s="121">
        <v>3.6748806987355703E-11</v>
      </c>
      <c r="AC40" s="121">
        <v>3.7169207304962777E-11</v>
      </c>
      <c r="AD40" s="121">
        <v>3.7589607622569852E-11</v>
      </c>
      <c r="AE40" s="121">
        <v>3.8010007940176932E-11</v>
      </c>
      <c r="AF40" s="121">
        <v>3.8430408257784007E-11</v>
      </c>
      <c r="AG40" s="121">
        <v>3.8850808575391088E-11</v>
      </c>
      <c r="AH40" s="121">
        <v>3.9271208892998162E-11</v>
      </c>
      <c r="AI40" s="121">
        <v>3.9691609210605236E-11</v>
      </c>
      <c r="AJ40" s="121">
        <v>4.0112009528212317E-11</v>
      </c>
      <c r="AK40" s="121">
        <v>4.0532409845819398E-11</v>
      </c>
      <c r="AL40" s="121">
        <v>4.0952810163426473E-11</v>
      </c>
      <c r="AM40" s="121">
        <v>4.1373210481033553E-11</v>
      </c>
      <c r="AN40" s="121">
        <v>4.1793610798640621E-11</v>
      </c>
      <c r="AO40" s="121">
        <v>4.2214011116247702E-11</v>
      </c>
    </row>
    <row r="41" spans="2:63">
      <c r="B41" t="s">
        <v>702</v>
      </c>
      <c r="D41" s="125"/>
      <c r="E41" s="121"/>
      <c r="F41" s="121">
        <v>2.7499999999999999E-11</v>
      </c>
      <c r="G41" s="121">
        <v>2.7543489504069148E-11</v>
      </c>
      <c r="H41" s="121">
        <v>2.75869790081383E-11</v>
      </c>
      <c r="I41" s="121">
        <v>2.7630468512207455E-11</v>
      </c>
      <c r="J41" s="121">
        <v>2.7673958016276604E-11</v>
      </c>
      <c r="K41" s="121">
        <v>2.7717447520345753E-11</v>
      </c>
      <c r="L41" s="121">
        <v>2.7760937024414912E-11</v>
      </c>
      <c r="M41" s="121">
        <v>2.7804426528484061E-11</v>
      </c>
      <c r="N41" s="121">
        <v>2.784791603255321E-11</v>
      </c>
      <c r="O41" s="121">
        <v>2.7891405536622362E-11</v>
      </c>
      <c r="P41" s="121">
        <v>2.7934895040691514E-11</v>
      </c>
      <c r="Q41" s="121">
        <v>2.7978384544760667E-11</v>
      </c>
      <c r="R41" s="121">
        <v>2.8021874048829816E-11</v>
      </c>
      <c r="S41" s="121">
        <v>2.8065363552898968E-11</v>
      </c>
      <c r="T41" s="121">
        <v>2.810885305696812E-11</v>
      </c>
      <c r="U41" s="121">
        <v>2.8152342561037269E-11</v>
      </c>
      <c r="V41" s="121">
        <v>2.8195832065106425E-11</v>
      </c>
      <c r="W41" s="121">
        <v>2.8239321569175573E-11</v>
      </c>
      <c r="X41" s="121">
        <v>2.8282811073244726E-11</v>
      </c>
      <c r="Y41" s="121">
        <v>2.8326300577313875E-11</v>
      </c>
      <c r="Z41" s="121">
        <v>2.836979008138303E-11</v>
      </c>
      <c r="AA41" s="121">
        <v>2.8413279585452182E-11</v>
      </c>
      <c r="AB41" s="121">
        <v>2.8456769089521331E-11</v>
      </c>
      <c r="AC41" s="121">
        <v>2.850025859359048E-11</v>
      </c>
      <c r="AD41" s="121">
        <v>2.8543748097659636E-11</v>
      </c>
      <c r="AE41" s="121">
        <v>2.8587237601728788E-11</v>
      </c>
      <c r="AF41" s="121">
        <v>2.8630727105797937E-11</v>
      </c>
      <c r="AG41" s="121">
        <v>2.8674216609867089E-11</v>
      </c>
      <c r="AH41" s="121">
        <v>2.8717706113936245E-11</v>
      </c>
      <c r="AI41" s="121">
        <v>2.8761195618005394E-11</v>
      </c>
      <c r="AJ41" s="121">
        <v>2.8804685122074546E-11</v>
      </c>
      <c r="AK41" s="121">
        <v>2.8848174626143701E-11</v>
      </c>
      <c r="AL41" s="121">
        <v>2.889166413021285E-11</v>
      </c>
      <c r="AM41" s="121">
        <v>2.8935153634281999E-11</v>
      </c>
      <c r="AN41" s="121">
        <v>2.8978643138351148E-11</v>
      </c>
      <c r="AO41" s="121">
        <v>2.90221326424203E-11</v>
      </c>
    </row>
    <row r="42" spans="2:63">
      <c r="B42" t="s">
        <v>703</v>
      </c>
      <c r="D42" s="125"/>
      <c r="E42" s="121"/>
      <c r="F42" s="121">
        <v>2.7499999999999999E-11</v>
      </c>
      <c r="G42" s="121">
        <v>2.7166578690531226E-11</v>
      </c>
      <c r="H42" s="121">
        <v>2.6833157381062452E-11</v>
      </c>
      <c r="I42" s="121">
        <v>2.6499736071593679E-11</v>
      </c>
      <c r="J42" s="121">
        <v>2.61663147621249E-11</v>
      </c>
      <c r="K42" s="121">
        <v>2.5832893452656126E-11</v>
      </c>
      <c r="L42" s="121">
        <v>2.5499472143187353E-11</v>
      </c>
      <c r="M42" s="121">
        <v>2.516605083371858E-11</v>
      </c>
      <c r="N42" s="121">
        <v>2.4832629524249807E-11</v>
      </c>
      <c r="O42" s="121">
        <v>2.4499208214781034E-11</v>
      </c>
      <c r="P42" s="121">
        <v>2.4165786905312254E-11</v>
      </c>
      <c r="Q42" s="121">
        <v>2.3832365595843481E-11</v>
      </c>
      <c r="R42" s="121">
        <v>2.3498944286374708E-11</v>
      </c>
      <c r="S42" s="121">
        <v>2.3165522976905935E-11</v>
      </c>
      <c r="T42" s="121">
        <v>2.2832101667437161E-11</v>
      </c>
      <c r="U42" s="121">
        <v>2.2498680357968388E-11</v>
      </c>
      <c r="V42" s="121">
        <v>2.2165259048499612E-11</v>
      </c>
      <c r="W42" s="121">
        <v>2.1831837739030835E-11</v>
      </c>
      <c r="X42" s="121">
        <v>2.1498416429562062E-11</v>
      </c>
      <c r="Y42" s="121">
        <v>2.1164995120093289E-11</v>
      </c>
      <c r="Z42" s="121">
        <v>2.0831573810624516E-11</v>
      </c>
      <c r="AA42" s="121">
        <v>2.0498152501155743E-11</v>
      </c>
      <c r="AB42" s="121">
        <v>2.0164731191686963E-11</v>
      </c>
      <c r="AC42" s="121">
        <v>1.983130988221819E-11</v>
      </c>
      <c r="AD42" s="121">
        <v>1.9497888572749417E-11</v>
      </c>
      <c r="AE42" s="121">
        <v>1.9164467263280643E-11</v>
      </c>
      <c r="AF42" s="121">
        <v>1.883104595381187E-11</v>
      </c>
      <c r="AG42" s="121">
        <v>1.8497624644343097E-11</v>
      </c>
      <c r="AH42" s="121">
        <v>1.8164203334874321E-11</v>
      </c>
      <c r="AI42" s="121">
        <v>1.7830782025405548E-11</v>
      </c>
      <c r="AJ42" s="121">
        <v>1.7497360715936774E-11</v>
      </c>
      <c r="AK42" s="121">
        <v>1.7163939406467998E-11</v>
      </c>
      <c r="AL42" s="121">
        <v>1.6830518096999225E-11</v>
      </c>
      <c r="AM42" s="121">
        <v>1.6497096787530448E-11</v>
      </c>
      <c r="AN42" s="121">
        <v>1.6163675478061675E-11</v>
      </c>
      <c r="AO42" s="121">
        <v>1.5830254168592902E-11</v>
      </c>
    </row>
    <row r="43" spans="2:63">
      <c r="D43" s="121"/>
      <c r="E43" s="121"/>
      <c r="F43" s="121"/>
      <c r="T43" s="121"/>
      <c r="U43" s="121"/>
      <c r="V43" s="121"/>
    </row>
    <row r="44" spans="2:63">
      <c r="B44" t="s">
        <v>705</v>
      </c>
      <c r="E44" s="121"/>
      <c r="F44" s="121"/>
      <c r="N44" t="s">
        <v>699</v>
      </c>
      <c r="T44" s="121"/>
      <c r="U44" s="121"/>
      <c r="V44" s="121"/>
    </row>
    <row r="45" spans="2:63">
      <c r="E45" s="121"/>
      <c r="F45" s="121"/>
      <c r="T45" s="121"/>
      <c r="U45" s="121"/>
      <c r="V45" s="121"/>
    </row>
    <row r="46" spans="2:63">
      <c r="D46" t="s">
        <v>700</v>
      </c>
      <c r="F46" s="124">
        <v>2012</v>
      </c>
      <c r="G46" s="124">
        <v>2013</v>
      </c>
      <c r="H46" s="124">
        <v>2014</v>
      </c>
      <c r="I46" s="124">
        <v>2015</v>
      </c>
      <c r="J46" s="124">
        <v>2016</v>
      </c>
      <c r="K46" s="124">
        <v>2017</v>
      </c>
      <c r="L46" s="124">
        <v>2018</v>
      </c>
      <c r="M46" s="124">
        <v>2019</v>
      </c>
      <c r="N46" s="124">
        <v>2020</v>
      </c>
      <c r="O46" s="124">
        <v>2021</v>
      </c>
      <c r="P46" s="124">
        <v>2022</v>
      </c>
      <c r="Q46" s="124">
        <v>2023</v>
      </c>
      <c r="R46" s="124">
        <v>2024</v>
      </c>
      <c r="S46" s="124">
        <v>2025</v>
      </c>
      <c r="T46" s="124">
        <v>2026</v>
      </c>
      <c r="U46" s="124">
        <v>2027</v>
      </c>
      <c r="V46" s="124">
        <v>2028</v>
      </c>
      <c r="W46" s="124">
        <v>2029</v>
      </c>
      <c r="X46" s="124">
        <v>2030</v>
      </c>
      <c r="Y46" s="124">
        <v>2031</v>
      </c>
      <c r="Z46" s="124">
        <v>2032</v>
      </c>
      <c r="AA46" s="124">
        <v>2033</v>
      </c>
      <c r="AB46" s="124">
        <v>2034</v>
      </c>
      <c r="AC46" s="124">
        <v>2035</v>
      </c>
      <c r="AD46" s="124">
        <v>2036</v>
      </c>
      <c r="AE46" s="124">
        <v>2037</v>
      </c>
      <c r="AF46" s="124">
        <v>2038</v>
      </c>
      <c r="AG46" s="124">
        <v>2039</v>
      </c>
      <c r="AH46" s="124">
        <v>2040</v>
      </c>
      <c r="AI46" s="124">
        <v>2041</v>
      </c>
      <c r="AJ46" s="124">
        <v>2042</v>
      </c>
      <c r="AK46" s="124">
        <v>2043</v>
      </c>
      <c r="AL46" s="124">
        <v>2044</v>
      </c>
      <c r="AM46" s="124">
        <v>2045</v>
      </c>
      <c r="AN46" s="124">
        <v>2046</v>
      </c>
      <c r="AO46" s="124">
        <v>2047</v>
      </c>
    </row>
    <row r="47" spans="2:63">
      <c r="B47" t="s">
        <v>701</v>
      </c>
      <c r="D47" s="125"/>
      <c r="E47" s="121"/>
      <c r="F47" s="121">
        <v>1.28E-10</v>
      </c>
      <c r="G47" s="121">
        <v>1.28E-10</v>
      </c>
      <c r="H47" s="121">
        <v>1.28E-10</v>
      </c>
      <c r="I47" s="121">
        <v>1.28E-10</v>
      </c>
      <c r="J47" s="121">
        <v>1.28E-10</v>
      </c>
      <c r="K47" s="121">
        <v>1.28E-10</v>
      </c>
      <c r="L47" s="121">
        <v>1.28E-10</v>
      </c>
      <c r="M47" s="121">
        <v>1.28E-10</v>
      </c>
      <c r="N47" s="121">
        <v>1.28E-10</v>
      </c>
      <c r="O47" s="121">
        <v>1.28E-10</v>
      </c>
      <c r="P47" s="121">
        <v>1.28E-10</v>
      </c>
      <c r="Q47" s="121">
        <v>1.28E-10</v>
      </c>
      <c r="R47" s="121">
        <v>1.28E-10</v>
      </c>
      <c r="S47" s="121">
        <v>1.28E-10</v>
      </c>
      <c r="T47" s="121">
        <v>1.28E-10</v>
      </c>
      <c r="U47" s="121">
        <v>1.28E-10</v>
      </c>
      <c r="V47" s="121">
        <v>1.28E-10</v>
      </c>
      <c r="W47" s="121">
        <v>1.28E-10</v>
      </c>
      <c r="X47" s="121">
        <v>1.28E-10</v>
      </c>
      <c r="Y47" s="121">
        <v>1.28E-10</v>
      </c>
      <c r="Z47" s="121">
        <v>1.28E-10</v>
      </c>
      <c r="AA47" s="121">
        <v>1.28E-10</v>
      </c>
      <c r="AB47" s="121">
        <v>1.28E-10</v>
      </c>
      <c r="AC47" s="121">
        <v>1.28E-10</v>
      </c>
      <c r="AD47" s="121">
        <v>1.28E-10</v>
      </c>
      <c r="AE47" s="121">
        <v>1.28E-10</v>
      </c>
      <c r="AF47" s="121">
        <v>1.28E-10</v>
      </c>
      <c r="AG47" s="121">
        <v>1.28E-10</v>
      </c>
      <c r="AH47" s="121">
        <v>1.28E-10</v>
      </c>
      <c r="AI47" s="121">
        <v>1.28E-10</v>
      </c>
      <c r="AJ47" s="121">
        <v>1.28E-10</v>
      </c>
      <c r="AK47" s="121">
        <v>1.28E-10</v>
      </c>
      <c r="AL47" s="121">
        <v>1.28E-10</v>
      </c>
      <c r="AM47" s="121">
        <v>1.28E-10</v>
      </c>
      <c r="AN47" s="121">
        <v>1.28E-10</v>
      </c>
      <c r="AO47" s="121">
        <v>1.28E-10</v>
      </c>
    </row>
    <row r="48" spans="2:63">
      <c r="B48" t="s">
        <v>702</v>
      </c>
      <c r="D48" s="125"/>
      <c r="E48" s="121"/>
      <c r="F48" s="121">
        <v>1.1199999999999999E-10</v>
      </c>
      <c r="G48" s="121">
        <v>1.1199999999999999E-10</v>
      </c>
      <c r="H48" s="121">
        <v>1.1199999999999999E-10</v>
      </c>
      <c r="I48" s="121">
        <v>1.1199999999999999E-10</v>
      </c>
      <c r="J48" s="121">
        <v>1.1199999999999999E-10</v>
      </c>
      <c r="K48" s="121">
        <v>1.1199999999999999E-10</v>
      </c>
      <c r="L48" s="121">
        <v>1.1199999999999999E-10</v>
      </c>
      <c r="M48" s="121">
        <v>1.1199999999999999E-10</v>
      </c>
      <c r="N48" s="121">
        <v>1.1199999999999999E-10</v>
      </c>
      <c r="O48" s="121">
        <v>1.1199999999999999E-10</v>
      </c>
      <c r="P48" s="121">
        <v>1.1199999999999999E-10</v>
      </c>
      <c r="Q48" s="121">
        <v>1.1199999999999999E-10</v>
      </c>
      <c r="R48" s="121">
        <v>1.1199999999999999E-10</v>
      </c>
      <c r="S48" s="121">
        <v>1.1199999999999999E-10</v>
      </c>
      <c r="T48" s="121">
        <v>1.1199999999999999E-10</v>
      </c>
      <c r="U48" s="121">
        <v>1.1199999999999999E-10</v>
      </c>
      <c r="V48" s="121">
        <v>1.1199999999999999E-10</v>
      </c>
      <c r="W48" s="121">
        <v>1.1199999999999999E-10</v>
      </c>
      <c r="X48" s="121">
        <v>1.1199999999999999E-10</v>
      </c>
      <c r="Y48" s="121">
        <v>1.1199999999999999E-10</v>
      </c>
      <c r="Z48" s="121">
        <v>1.1199999999999999E-10</v>
      </c>
      <c r="AA48" s="121">
        <v>1.1199999999999999E-10</v>
      </c>
      <c r="AB48" s="121">
        <v>1.1199999999999999E-10</v>
      </c>
      <c r="AC48" s="121">
        <v>1.1199999999999999E-10</v>
      </c>
      <c r="AD48" s="121">
        <v>1.1199999999999999E-10</v>
      </c>
      <c r="AE48" s="121">
        <v>1.1199999999999999E-10</v>
      </c>
      <c r="AF48" s="121">
        <v>1.1199999999999999E-10</v>
      </c>
      <c r="AG48" s="121">
        <v>1.1199999999999999E-10</v>
      </c>
      <c r="AH48" s="121">
        <v>1.1199999999999999E-10</v>
      </c>
      <c r="AI48" s="121">
        <v>1.1199999999999999E-10</v>
      </c>
      <c r="AJ48" s="121">
        <v>1.1199999999999999E-10</v>
      </c>
      <c r="AK48" s="121">
        <v>1.1199999999999999E-10</v>
      </c>
      <c r="AL48" s="121">
        <v>1.1199999999999999E-10</v>
      </c>
      <c r="AM48" s="121">
        <v>1.1199999999999999E-10</v>
      </c>
      <c r="AN48" s="121">
        <v>1.1199999999999999E-10</v>
      </c>
      <c r="AO48" s="121">
        <v>1.1199999999999999E-10</v>
      </c>
    </row>
    <row r="49" spans="1:63">
      <c r="B49" t="s">
        <v>703</v>
      </c>
      <c r="D49" s="125"/>
      <c r="E49" s="121"/>
      <c r="F49" s="121">
        <v>9.6000000000000005E-11</v>
      </c>
      <c r="G49" s="121">
        <v>9.6000000000000005E-11</v>
      </c>
      <c r="H49" s="121">
        <v>9.6000000000000005E-11</v>
      </c>
      <c r="I49" s="121">
        <v>9.6000000000000005E-11</v>
      </c>
      <c r="J49" s="121">
        <v>9.6000000000000005E-11</v>
      </c>
      <c r="K49" s="121">
        <v>9.6000000000000005E-11</v>
      </c>
      <c r="L49" s="121">
        <v>9.6000000000000005E-11</v>
      </c>
      <c r="M49" s="121">
        <v>9.6000000000000005E-11</v>
      </c>
      <c r="N49" s="121">
        <v>9.6000000000000005E-11</v>
      </c>
      <c r="O49" s="121">
        <v>9.6000000000000005E-11</v>
      </c>
      <c r="P49" s="121">
        <v>9.6000000000000005E-11</v>
      </c>
      <c r="Q49" s="121">
        <v>9.6000000000000005E-11</v>
      </c>
      <c r="R49" s="121">
        <v>9.6000000000000005E-11</v>
      </c>
      <c r="S49" s="121">
        <v>9.6000000000000005E-11</v>
      </c>
      <c r="T49" s="121">
        <v>9.6000000000000005E-11</v>
      </c>
      <c r="U49" s="121">
        <v>9.6000000000000005E-11</v>
      </c>
      <c r="V49" s="121">
        <v>9.6000000000000005E-11</v>
      </c>
      <c r="W49" s="121">
        <v>9.6000000000000005E-11</v>
      </c>
      <c r="X49" s="121">
        <v>9.6000000000000005E-11</v>
      </c>
      <c r="Y49" s="121">
        <v>9.6000000000000005E-11</v>
      </c>
      <c r="Z49" s="121">
        <v>9.6000000000000005E-11</v>
      </c>
      <c r="AA49" s="121">
        <v>9.6000000000000005E-11</v>
      </c>
      <c r="AB49" s="121">
        <v>9.6000000000000005E-11</v>
      </c>
      <c r="AC49" s="121">
        <v>9.6000000000000005E-11</v>
      </c>
      <c r="AD49" s="121">
        <v>9.6000000000000005E-11</v>
      </c>
      <c r="AE49" s="121">
        <v>9.6000000000000005E-11</v>
      </c>
      <c r="AF49" s="121">
        <v>9.6000000000000005E-11</v>
      </c>
      <c r="AG49" s="121">
        <v>9.6000000000000005E-11</v>
      </c>
      <c r="AH49" s="121">
        <v>9.6000000000000005E-11</v>
      </c>
      <c r="AI49" s="121">
        <v>9.6000000000000005E-11</v>
      </c>
      <c r="AJ49" s="121">
        <v>9.6000000000000005E-11</v>
      </c>
      <c r="AK49" s="121">
        <v>9.6000000000000005E-11</v>
      </c>
      <c r="AL49" s="121">
        <v>9.6000000000000005E-11</v>
      </c>
      <c r="AM49" s="121">
        <v>9.6000000000000005E-11</v>
      </c>
      <c r="AN49" s="121">
        <v>9.6000000000000005E-11</v>
      </c>
      <c r="AO49" s="121">
        <v>9.6000000000000005E-11</v>
      </c>
    </row>
    <row r="51" spans="1:63">
      <c r="A51">
        <v>3</v>
      </c>
      <c r="B51" t="s">
        <v>417</v>
      </c>
      <c r="F51">
        <v>1.0040160642570281E-12</v>
      </c>
    </row>
    <row r="52" spans="1:63">
      <c r="B52" t="s">
        <v>698</v>
      </c>
      <c r="E52" s="121"/>
      <c r="F52" s="121"/>
      <c r="N52" t="s">
        <v>699</v>
      </c>
      <c r="T52" s="121"/>
      <c r="U52" s="121"/>
      <c r="V52" s="121"/>
    </row>
    <row r="53" spans="1:63">
      <c r="E53" s="121"/>
      <c r="F53" s="121"/>
      <c r="T53" s="121"/>
      <c r="U53" s="121"/>
      <c r="V53" s="121"/>
    </row>
    <row r="54" spans="1:63">
      <c r="D54" t="s">
        <v>700</v>
      </c>
      <c r="F54" s="124">
        <v>2012</v>
      </c>
      <c r="G54" s="124">
        <v>2013</v>
      </c>
      <c r="H54" s="124">
        <v>2014</v>
      </c>
      <c r="I54" s="124">
        <v>2015</v>
      </c>
      <c r="J54" s="124">
        <v>2016</v>
      </c>
      <c r="K54" s="124">
        <v>2017</v>
      </c>
      <c r="L54" s="124">
        <v>2018</v>
      </c>
      <c r="M54" s="200">
        <v>2020</v>
      </c>
      <c r="N54" s="200">
        <v>2021</v>
      </c>
      <c r="O54" s="200">
        <v>2022</v>
      </c>
      <c r="P54" s="200">
        <v>2023</v>
      </c>
      <c r="Q54" s="200">
        <v>2024</v>
      </c>
      <c r="R54" s="200">
        <v>2025</v>
      </c>
      <c r="S54" s="200">
        <v>2026</v>
      </c>
      <c r="T54" s="200">
        <v>2027</v>
      </c>
      <c r="U54" s="200">
        <v>2028</v>
      </c>
      <c r="V54" s="200">
        <v>2029</v>
      </c>
      <c r="W54" s="200">
        <v>2030</v>
      </c>
      <c r="X54" s="200">
        <v>2031</v>
      </c>
      <c r="Y54" s="200">
        <v>2032</v>
      </c>
      <c r="Z54" s="200">
        <v>2033</v>
      </c>
      <c r="AA54" s="200">
        <v>2034</v>
      </c>
      <c r="AB54" s="200">
        <v>2035</v>
      </c>
      <c r="AC54" s="200">
        <v>2036</v>
      </c>
      <c r="AD54" s="200">
        <v>2037</v>
      </c>
      <c r="AE54" s="200">
        <v>2038</v>
      </c>
      <c r="AF54" s="200">
        <v>2039</v>
      </c>
      <c r="AG54" s="200">
        <v>2040</v>
      </c>
      <c r="AH54" s="200">
        <v>2041</v>
      </c>
      <c r="AI54" s="200">
        <v>2042</v>
      </c>
      <c r="AJ54" s="200">
        <v>2043</v>
      </c>
      <c r="AK54" s="200">
        <v>2044</v>
      </c>
      <c r="AL54" s="200">
        <v>2045</v>
      </c>
      <c r="AM54" s="200">
        <v>2046</v>
      </c>
      <c r="AN54" s="200">
        <v>2047</v>
      </c>
      <c r="AO54" s="200">
        <v>2048</v>
      </c>
      <c r="AP54" s="200">
        <v>2049</v>
      </c>
      <c r="AQ54" s="200">
        <v>2050</v>
      </c>
      <c r="AR54" s="200">
        <v>2051</v>
      </c>
      <c r="AS54" s="200">
        <v>2052</v>
      </c>
      <c r="AT54" s="200">
        <v>2053</v>
      </c>
      <c r="AU54" s="200">
        <v>2054</v>
      </c>
      <c r="AV54" s="200">
        <v>2055</v>
      </c>
      <c r="AW54" s="200">
        <v>2056</v>
      </c>
      <c r="AX54" s="200">
        <v>2057</v>
      </c>
      <c r="AY54" s="200">
        <v>2058</v>
      </c>
      <c r="AZ54" s="200">
        <v>2059</v>
      </c>
      <c r="BA54" s="200">
        <v>2060</v>
      </c>
      <c r="BB54" s="200">
        <v>2061</v>
      </c>
      <c r="BC54" s="200">
        <v>2062</v>
      </c>
      <c r="BD54" s="200">
        <v>2063</v>
      </c>
      <c r="BE54" s="200">
        <v>2064</v>
      </c>
      <c r="BF54" s="200">
        <v>2065</v>
      </c>
      <c r="BG54" s="200">
        <v>2066</v>
      </c>
      <c r="BH54" s="200">
        <v>2067</v>
      </c>
      <c r="BI54" s="200">
        <v>2068</v>
      </c>
      <c r="BJ54" s="200">
        <v>2069</v>
      </c>
      <c r="BK54" s="200">
        <v>2070</v>
      </c>
    </row>
    <row r="55" spans="1:63">
      <c r="B55" t="s">
        <v>703</v>
      </c>
      <c r="D55" s="125"/>
      <c r="E55" s="121"/>
      <c r="F55" s="121">
        <v>2.9499999999999999E-9</v>
      </c>
      <c r="G55" s="121">
        <v>2.9230047293720505E-9</v>
      </c>
      <c r="H55" s="121">
        <v>2.8960094587441011E-9</v>
      </c>
      <c r="I55" s="121">
        <v>2.8690141881161516E-9</v>
      </c>
      <c r="J55" s="121">
        <v>2.8420189174882022E-9</v>
      </c>
      <c r="K55" s="121">
        <v>2.8150236468602528E-9</v>
      </c>
      <c r="L55" s="121">
        <v>2.7880283762323033E-9</v>
      </c>
      <c r="M55" s="121">
        <v>2.7610331056043539E-9</v>
      </c>
      <c r="N55" s="124">
        <v>2.7340378349763999E-9</v>
      </c>
      <c r="O55" s="121">
        <v>2.707042564348455E-9</v>
      </c>
      <c r="P55" s="121">
        <v>2.6800472937205056E-9</v>
      </c>
      <c r="Q55" s="121">
        <v>2.6530520230925561E-9</v>
      </c>
      <c r="R55" s="121">
        <v>2.6260567524646067E-9</v>
      </c>
      <c r="S55" s="121">
        <v>2.5990614818366572E-9</v>
      </c>
      <c r="T55" s="121">
        <v>2.5720662112087078E-9</v>
      </c>
      <c r="U55" s="121">
        <v>2.5450709405807584E-9</v>
      </c>
      <c r="V55" s="121">
        <v>2.5180756699528089E-9</v>
      </c>
      <c r="W55" s="121">
        <v>2.4910803993248599E-9</v>
      </c>
      <c r="X55" s="121">
        <v>2.4640851286969105E-9</v>
      </c>
      <c r="Y55" s="121">
        <v>2.437089858068961E-9</v>
      </c>
      <c r="Z55" s="121">
        <v>2.4100945874410112E-9</v>
      </c>
      <c r="AA55" s="121">
        <v>2.3830993168130622E-9</v>
      </c>
      <c r="AB55" s="121">
        <v>2.3561040461851123E-9</v>
      </c>
      <c r="AC55" s="121">
        <v>2.3291087755571633E-9</v>
      </c>
      <c r="AD55" s="121">
        <v>2.3021135049292138E-9</v>
      </c>
      <c r="AE55" s="121">
        <v>2.2751182343012644E-9</v>
      </c>
      <c r="AF55" s="121">
        <v>2.248122963673315E-9</v>
      </c>
      <c r="AG55" s="121">
        <v>2.2211276930453655E-9</v>
      </c>
      <c r="AH55" s="121">
        <v>2.1941324224174161E-9</v>
      </c>
      <c r="AI55" s="121">
        <v>2.1671371517894666E-9</v>
      </c>
      <c r="AJ55" s="121">
        <v>2.1401418811615172E-9</v>
      </c>
      <c r="AK55" s="121">
        <v>2.1131466105335678E-9</v>
      </c>
      <c r="AL55" s="121">
        <v>2.0861513399056183E-9</v>
      </c>
      <c r="AM55" s="121">
        <v>2.0591560692776689E-9</v>
      </c>
      <c r="AN55" s="121">
        <v>2.0321607986497195E-9</v>
      </c>
      <c r="AO55" s="121">
        <v>2.00516552802177E-9</v>
      </c>
    </row>
    <row r="56" spans="1:63">
      <c r="B56" t="s">
        <v>702</v>
      </c>
      <c r="D56" s="125"/>
      <c r="E56" s="121"/>
      <c r="F56" s="121">
        <v>2.9499999999999999E-9</v>
      </c>
      <c r="G56" s="121">
        <v>2.9546652377092362E-9</v>
      </c>
      <c r="H56" s="121">
        <v>2.95933047541847E-9</v>
      </c>
      <c r="I56" s="121">
        <v>2.9639957131277091E-9</v>
      </c>
      <c r="J56" s="121">
        <v>2.9686609508369449E-9</v>
      </c>
      <c r="K56" s="121">
        <v>2.9733261885461816E-9</v>
      </c>
      <c r="L56" s="121">
        <v>2.9779914262554174E-9</v>
      </c>
      <c r="M56" s="199">
        <v>0</v>
      </c>
      <c r="N56" s="199">
        <v>0</v>
      </c>
      <c r="O56" s="199">
        <v>0</v>
      </c>
      <c r="P56" s="199">
        <v>0.13600000000000001</v>
      </c>
      <c r="Q56" s="199">
        <v>0.153</v>
      </c>
      <c r="R56" s="199">
        <v>0.17</v>
      </c>
      <c r="S56" s="199">
        <v>0.187</v>
      </c>
      <c r="T56" s="199">
        <v>0.20399999999999999</v>
      </c>
      <c r="U56" s="199">
        <v>0.24199999999999999</v>
      </c>
      <c r="V56" s="199">
        <v>0.28000000000000003</v>
      </c>
      <c r="W56" s="199">
        <v>0.318</v>
      </c>
      <c r="X56" s="199">
        <v>0.35599999999999998</v>
      </c>
      <c r="Y56" s="199">
        <v>0.39400000000000002</v>
      </c>
      <c r="Z56" s="199">
        <v>0.42</v>
      </c>
      <c r="AA56" s="199">
        <v>0.44600000000000001</v>
      </c>
      <c r="AB56" s="199">
        <v>0.47199999999999998</v>
      </c>
      <c r="AC56" s="199">
        <v>0.498</v>
      </c>
      <c r="AD56" s="199">
        <v>0.52400000000000002</v>
      </c>
      <c r="AE56" s="199">
        <v>0.55279999999999996</v>
      </c>
      <c r="AF56" s="199">
        <v>0.58160000000000001</v>
      </c>
      <c r="AG56" s="199">
        <v>0.61040000000000005</v>
      </c>
      <c r="AH56" s="199">
        <v>0.63919999999999999</v>
      </c>
      <c r="AI56" s="199">
        <v>0.66800000000000004</v>
      </c>
      <c r="AJ56" s="199">
        <v>0.70920000000000005</v>
      </c>
      <c r="AK56" s="199">
        <v>0.75039999999999996</v>
      </c>
      <c r="AL56" s="199">
        <v>0.79159999999999997</v>
      </c>
      <c r="AM56" s="199">
        <v>0.83279999999999998</v>
      </c>
      <c r="AN56" s="199">
        <v>0.874</v>
      </c>
      <c r="AO56" s="199">
        <v>0.76266699999999998</v>
      </c>
      <c r="AP56" s="199">
        <v>0.65133300000000005</v>
      </c>
      <c r="AQ56" s="199">
        <v>0.54</v>
      </c>
      <c r="AR56" s="199">
        <v>0.62919999999999998</v>
      </c>
      <c r="AS56" s="199">
        <v>0.71840000000000004</v>
      </c>
      <c r="AT56" s="199">
        <v>0.80759999999999998</v>
      </c>
      <c r="AU56" s="199">
        <v>0.89680000000000004</v>
      </c>
      <c r="AV56" s="199">
        <v>0.98599999999999999</v>
      </c>
      <c r="AW56" s="199">
        <v>1.0125999999999999</v>
      </c>
      <c r="AX56" s="199">
        <v>1.0391999999999999</v>
      </c>
      <c r="AY56" s="199">
        <v>1.0658000000000001</v>
      </c>
      <c r="AZ56" s="199">
        <v>1.0924</v>
      </c>
      <c r="BA56" s="199">
        <v>1.119</v>
      </c>
      <c r="BB56" s="199">
        <v>1.1459999999999999</v>
      </c>
      <c r="BC56" s="199">
        <v>1.173</v>
      </c>
      <c r="BD56" s="199">
        <v>1.2</v>
      </c>
      <c r="BE56" s="199">
        <v>1.2270000000000001</v>
      </c>
      <c r="BF56" s="199">
        <v>1.254</v>
      </c>
      <c r="BG56" s="199">
        <v>1.9538</v>
      </c>
      <c r="BH56" s="199">
        <v>2.6536</v>
      </c>
      <c r="BI56" s="199">
        <v>3.3534000000000002</v>
      </c>
      <c r="BJ56" s="199">
        <v>4.0532000000000004</v>
      </c>
      <c r="BK56" s="199">
        <v>4.7530000000000001</v>
      </c>
    </row>
    <row r="57" spans="1:63">
      <c r="B57" t="s">
        <v>701</v>
      </c>
      <c r="D57" s="125"/>
      <c r="E57" s="121"/>
      <c r="F57" s="121">
        <v>2.9499999999999999E-9</v>
      </c>
      <c r="G57" s="121">
        <v>2.9863257460464219E-9</v>
      </c>
      <c r="H57" s="121">
        <v>3.0226514920928438E-9</v>
      </c>
      <c r="I57" s="121">
        <v>3.0589772381392661E-9</v>
      </c>
      <c r="J57" s="121">
        <v>3.0953029841856881E-9</v>
      </c>
      <c r="K57" s="121">
        <v>3.13162873023211E-9</v>
      </c>
      <c r="L57" s="121">
        <v>3.1679544762785319E-9</v>
      </c>
      <c r="M57" s="121">
        <v>3.2042802223249538E-9</v>
      </c>
      <c r="N57" s="121">
        <v>3.2406059683713762E-9</v>
      </c>
      <c r="O57" s="121">
        <v>3.2769317144177981E-9</v>
      </c>
      <c r="P57" s="121">
        <v>3.31325746046422E-9</v>
      </c>
      <c r="Q57" s="121">
        <v>3.3495832065106419E-9</v>
      </c>
      <c r="R57" s="121">
        <v>3.3859089525570639E-9</v>
      </c>
      <c r="S57" s="121">
        <v>3.4222346986034862E-9</v>
      </c>
      <c r="T57" s="121">
        <v>3.4585604446499081E-9</v>
      </c>
      <c r="U57" s="121">
        <v>3.49488619069633E-9</v>
      </c>
      <c r="V57" s="121">
        <v>3.531211936742752E-9</v>
      </c>
      <c r="W57" s="121">
        <v>3.5675376827891739E-9</v>
      </c>
      <c r="X57" s="121">
        <v>3.6038634288355962E-9</v>
      </c>
      <c r="Y57" s="121">
        <v>3.6401891748820182E-9</v>
      </c>
      <c r="Z57" s="121">
        <v>3.6765149209284401E-9</v>
      </c>
      <c r="AA57" s="121">
        <v>3.712840666974862E-9</v>
      </c>
      <c r="AB57" s="121">
        <v>3.7491664130212839E-9</v>
      </c>
      <c r="AC57" s="121">
        <v>3.7854921590677063E-9</v>
      </c>
      <c r="AD57" s="121">
        <v>3.8218179051141278E-9</v>
      </c>
      <c r="AE57" s="121">
        <v>3.8581436511605501E-9</v>
      </c>
      <c r="AF57" s="121">
        <v>3.8944693972069725E-9</v>
      </c>
      <c r="AG57" s="121">
        <v>3.930795143253394E-9</v>
      </c>
      <c r="AH57" s="121">
        <v>3.9671208892998163E-9</v>
      </c>
      <c r="AI57" s="121">
        <v>4.0034466353462378E-9</v>
      </c>
      <c r="AJ57" s="121">
        <v>4.0397723813926602E-9</v>
      </c>
      <c r="AK57" s="121">
        <v>4.0760981274390825E-9</v>
      </c>
      <c r="AL57" s="121">
        <v>4.112423873485504E-9</v>
      </c>
      <c r="AM57" s="121">
        <v>4.1487496195319263E-9</v>
      </c>
      <c r="AN57" s="121">
        <v>4.1850753655783478E-9</v>
      </c>
      <c r="AO57" s="121">
        <v>4.2214011116247702E-9</v>
      </c>
    </row>
    <row r="58" spans="1:63">
      <c r="E58" s="121"/>
      <c r="F58" s="121"/>
      <c r="T58" s="121"/>
      <c r="U58" s="121"/>
      <c r="V58" s="121"/>
    </row>
    <row r="59" spans="1:63">
      <c r="B59" t="s">
        <v>704</v>
      </c>
      <c r="E59" s="121"/>
      <c r="F59" s="121"/>
      <c r="N59" t="s">
        <v>699</v>
      </c>
      <c r="T59" s="121"/>
      <c r="U59" s="121"/>
      <c r="V59" s="121"/>
    </row>
    <row r="60" spans="1:63">
      <c r="E60" s="121"/>
      <c r="F60" s="121"/>
      <c r="T60" s="121"/>
      <c r="U60" s="121"/>
      <c r="V60" s="121"/>
    </row>
    <row r="61" spans="1:63">
      <c r="D61" t="s">
        <v>700</v>
      </c>
      <c r="F61" s="124">
        <v>2012</v>
      </c>
      <c r="G61" s="124">
        <v>2013</v>
      </c>
      <c r="H61" s="124">
        <v>2014</v>
      </c>
      <c r="I61" s="124">
        <v>2015</v>
      </c>
      <c r="J61" s="124">
        <v>2016</v>
      </c>
      <c r="K61" s="124">
        <v>2017</v>
      </c>
      <c r="L61" s="124">
        <v>2018</v>
      </c>
      <c r="M61" s="124">
        <v>2019</v>
      </c>
      <c r="N61" s="124">
        <v>2020</v>
      </c>
      <c r="O61" s="124">
        <v>2021</v>
      </c>
      <c r="P61" s="124">
        <v>2022</v>
      </c>
      <c r="Q61" s="124">
        <v>2023</v>
      </c>
      <c r="R61" s="124">
        <v>2024</v>
      </c>
      <c r="S61" s="124">
        <v>2025</v>
      </c>
      <c r="T61" s="124">
        <v>2026</v>
      </c>
      <c r="U61" s="124">
        <v>2027</v>
      </c>
      <c r="V61" s="124">
        <v>2028</v>
      </c>
      <c r="W61" s="124">
        <v>2029</v>
      </c>
      <c r="X61" s="124">
        <v>2030</v>
      </c>
      <c r="Y61" s="124">
        <v>2031</v>
      </c>
      <c r="Z61" s="124">
        <v>2032</v>
      </c>
      <c r="AA61" s="124">
        <v>2033</v>
      </c>
      <c r="AB61" s="124">
        <v>2034</v>
      </c>
      <c r="AC61" s="124">
        <v>2035</v>
      </c>
      <c r="AD61" s="124">
        <v>2036</v>
      </c>
      <c r="AE61" s="124">
        <v>2037</v>
      </c>
      <c r="AF61" s="124">
        <v>2038</v>
      </c>
      <c r="AG61" s="124">
        <v>2039</v>
      </c>
      <c r="AH61" s="124">
        <v>2040</v>
      </c>
      <c r="AI61" s="124">
        <v>2041</v>
      </c>
      <c r="AJ61" s="124">
        <v>2042</v>
      </c>
      <c r="AK61" s="124">
        <v>2043</v>
      </c>
      <c r="AL61" s="124">
        <v>2044</v>
      </c>
      <c r="AM61" s="124">
        <v>2045</v>
      </c>
      <c r="AN61" s="124">
        <v>2046</v>
      </c>
      <c r="AO61" s="124">
        <v>2047</v>
      </c>
    </row>
    <row r="62" spans="1:63">
      <c r="B62" t="s">
        <v>703</v>
      </c>
      <c r="D62" s="125"/>
      <c r="E62" s="121"/>
      <c r="F62" s="121">
        <v>1.4750000000000001E-11</v>
      </c>
      <c r="G62" s="121">
        <v>1.4615023646860254E-11</v>
      </c>
      <c r="H62" s="121">
        <v>1.4480047293720506E-11</v>
      </c>
      <c r="I62" s="121">
        <v>1.4345070940580759E-11</v>
      </c>
      <c r="J62" s="121">
        <v>1.4210094587441012E-11</v>
      </c>
      <c r="K62" s="121">
        <v>1.4075118234301265E-11</v>
      </c>
      <c r="L62" s="121">
        <v>1.3940141881161518E-11</v>
      </c>
      <c r="M62" s="121">
        <v>1.380516552802177E-11</v>
      </c>
      <c r="N62" s="121">
        <v>1.3670189174882023E-11</v>
      </c>
      <c r="O62" s="121">
        <v>1.3535212821742276E-11</v>
      </c>
      <c r="P62" s="121">
        <v>1.3400236468602529E-11</v>
      </c>
      <c r="Q62" s="121">
        <v>1.3265260115462782E-11</v>
      </c>
      <c r="R62" s="121">
        <v>1.3130283762323034E-11</v>
      </c>
      <c r="S62" s="121">
        <v>1.2995307409183287E-11</v>
      </c>
      <c r="T62" s="121">
        <v>1.286033105604354E-11</v>
      </c>
      <c r="U62" s="121">
        <v>1.2725354702903793E-11</v>
      </c>
      <c r="V62" s="121">
        <v>1.2590378349764046E-11</v>
      </c>
      <c r="W62" s="121">
        <v>1.24554019966243E-11</v>
      </c>
      <c r="X62" s="121">
        <v>1.2320425643484553E-11</v>
      </c>
      <c r="Y62" s="121">
        <v>1.2185449290344806E-11</v>
      </c>
      <c r="Z62" s="121">
        <v>1.2050472937205057E-11</v>
      </c>
      <c r="AA62" s="121">
        <v>1.1915496584065311E-11</v>
      </c>
      <c r="AB62" s="121">
        <v>1.1780520230925563E-11</v>
      </c>
      <c r="AC62" s="121">
        <v>1.1645543877785817E-11</v>
      </c>
      <c r="AD62" s="121">
        <v>1.151056752464607E-11</v>
      </c>
      <c r="AE62" s="121">
        <v>1.1375591171506323E-11</v>
      </c>
      <c r="AF62" s="121">
        <v>1.1240614818366575E-11</v>
      </c>
      <c r="AG62" s="121">
        <v>1.1105638465226828E-11</v>
      </c>
      <c r="AH62" s="121">
        <v>1.0970662112087081E-11</v>
      </c>
      <c r="AI62" s="121">
        <v>1.0835685758947334E-11</v>
      </c>
      <c r="AJ62" s="121">
        <v>1.0700709405807587E-11</v>
      </c>
      <c r="AK62" s="121">
        <v>1.0565733052667839E-11</v>
      </c>
      <c r="AL62" s="121">
        <v>1.0430756699528092E-11</v>
      </c>
      <c r="AM62" s="121">
        <v>1.0295780346388345E-11</v>
      </c>
      <c r="AN62" s="121">
        <v>1.0160803993248598E-11</v>
      </c>
      <c r="AO62" s="121">
        <v>1.0025827640108851E-11</v>
      </c>
    </row>
    <row r="63" spans="1:63">
      <c r="B63" t="s">
        <v>702</v>
      </c>
      <c r="D63" s="125"/>
      <c r="E63" s="121"/>
      <c r="F63" s="121">
        <v>1.4750000000000001E-11</v>
      </c>
      <c r="G63" s="121">
        <v>1.4773326188546181E-11</v>
      </c>
      <c r="H63" s="121">
        <v>1.4796652377092364E-11</v>
      </c>
      <c r="I63" s="121">
        <v>1.4819978565638547E-11</v>
      </c>
      <c r="J63" s="121">
        <v>1.4843304754184726E-11</v>
      </c>
      <c r="K63" s="121">
        <v>1.4866630942730909E-11</v>
      </c>
      <c r="L63" s="121">
        <v>1.4889957131277086E-11</v>
      </c>
      <c r="M63" s="121">
        <v>1.4913283319823269E-11</v>
      </c>
      <c r="N63" s="121">
        <v>1.4936609508369452E-11</v>
      </c>
      <c r="O63" s="121">
        <v>1.4959935696915632E-11</v>
      </c>
      <c r="P63" s="121">
        <v>1.4983261885461815E-11</v>
      </c>
      <c r="Q63" s="121">
        <v>1.5006588074007995E-11</v>
      </c>
      <c r="R63" s="121">
        <v>1.5029914262554178E-11</v>
      </c>
      <c r="S63" s="121">
        <v>1.5053240451100357E-11</v>
      </c>
      <c r="T63" s="121">
        <v>1.507656663964654E-11</v>
      </c>
      <c r="U63" s="121">
        <v>1.509989282819272E-11</v>
      </c>
      <c r="V63" s="121">
        <v>1.5123219016738903E-11</v>
      </c>
      <c r="W63" s="121">
        <v>1.5146545205285086E-11</v>
      </c>
      <c r="X63" s="121">
        <v>1.5169871393831266E-11</v>
      </c>
      <c r="Y63" s="121">
        <v>1.5193197582377449E-11</v>
      </c>
      <c r="Z63" s="121">
        <v>1.5216523770923629E-11</v>
      </c>
      <c r="AA63" s="121">
        <v>1.5239849959469812E-11</v>
      </c>
      <c r="AB63" s="121">
        <v>1.5263176148015992E-11</v>
      </c>
      <c r="AC63" s="121">
        <v>1.5286502336562175E-11</v>
      </c>
      <c r="AD63" s="121">
        <v>1.5309828525108355E-11</v>
      </c>
      <c r="AE63" s="121">
        <v>1.5333154713654538E-11</v>
      </c>
      <c r="AF63" s="121">
        <v>1.5356480902200721E-11</v>
      </c>
      <c r="AG63" s="121">
        <v>1.53798070907469E-11</v>
      </c>
      <c r="AH63" s="121">
        <v>1.5403133279293083E-11</v>
      </c>
      <c r="AI63" s="121">
        <v>1.542645946783926E-11</v>
      </c>
      <c r="AJ63" s="121">
        <v>1.5449785656385446E-11</v>
      </c>
      <c r="AK63" s="121">
        <v>1.5473111844931626E-11</v>
      </c>
      <c r="AL63" s="121">
        <v>1.5496438033477806E-11</v>
      </c>
      <c r="AM63" s="121">
        <v>1.5519764222023989E-11</v>
      </c>
      <c r="AN63" s="121">
        <v>1.5543090410570169E-11</v>
      </c>
      <c r="AO63" s="121">
        <v>1.5566416599116352E-11</v>
      </c>
    </row>
    <row r="64" spans="1:63">
      <c r="B64" t="s">
        <v>701</v>
      </c>
      <c r="D64" s="125"/>
      <c r="E64" s="121"/>
      <c r="F64" s="121">
        <v>1.4750000000000001E-11</v>
      </c>
      <c r="G64" s="121">
        <v>1.4931628730232111E-11</v>
      </c>
      <c r="H64" s="121">
        <v>1.5113257460464221E-11</v>
      </c>
      <c r="I64" s="121">
        <v>1.5294886190696331E-11</v>
      </c>
      <c r="J64" s="121">
        <v>1.5476514920928441E-11</v>
      </c>
      <c r="K64" s="121">
        <v>1.5658143651160551E-11</v>
      </c>
      <c r="L64" s="121">
        <v>1.5839772381392661E-11</v>
      </c>
      <c r="M64" s="121">
        <v>1.6021401111624771E-11</v>
      </c>
      <c r="N64" s="121">
        <v>1.6203029841856881E-11</v>
      </c>
      <c r="O64" s="121">
        <v>1.6384658572088991E-11</v>
      </c>
      <c r="P64" s="121">
        <v>1.6566287302321101E-11</v>
      </c>
      <c r="Q64" s="121">
        <v>1.6747916032553211E-11</v>
      </c>
      <c r="R64" s="121">
        <v>1.6929544762785321E-11</v>
      </c>
      <c r="S64" s="121">
        <v>1.7111173493017431E-11</v>
      </c>
      <c r="T64" s="121">
        <v>1.7292802223249541E-11</v>
      </c>
      <c r="U64" s="121">
        <v>1.7474430953481651E-11</v>
      </c>
      <c r="V64" s="121">
        <v>1.7656059683713761E-11</v>
      </c>
      <c r="W64" s="121">
        <v>1.7837688413945871E-11</v>
      </c>
      <c r="X64" s="121">
        <v>1.8019317144177981E-11</v>
      </c>
      <c r="Y64" s="121">
        <v>1.8200945874410091E-11</v>
      </c>
      <c r="Z64" s="121">
        <v>1.8382574604642201E-11</v>
      </c>
      <c r="AA64" s="121">
        <v>1.8564203334874311E-11</v>
      </c>
      <c r="AB64" s="121">
        <v>1.8745832065106421E-11</v>
      </c>
      <c r="AC64" s="121">
        <v>1.8927460795338531E-11</v>
      </c>
      <c r="AD64" s="121">
        <v>1.9109089525570638E-11</v>
      </c>
      <c r="AE64" s="121">
        <v>1.9290718255802751E-11</v>
      </c>
      <c r="AF64" s="121">
        <v>1.9472346986034864E-11</v>
      </c>
      <c r="AG64" s="121">
        <v>1.9653975716266971E-11</v>
      </c>
      <c r="AH64" s="121">
        <v>1.9835604446499081E-11</v>
      </c>
      <c r="AI64" s="121">
        <v>2.0017233176731191E-11</v>
      </c>
      <c r="AJ64" s="121">
        <v>2.0198861906963301E-11</v>
      </c>
      <c r="AK64" s="121">
        <v>2.0380490637195414E-11</v>
      </c>
      <c r="AL64" s="121">
        <v>2.0562119367427521E-11</v>
      </c>
      <c r="AM64" s="121">
        <v>2.0743748097659631E-11</v>
      </c>
      <c r="AN64" s="121">
        <v>2.0925376827891741E-11</v>
      </c>
      <c r="AO64" s="121">
        <v>2.1107005558123851E-11</v>
      </c>
    </row>
    <row r="65" spans="1:64">
      <c r="D65" s="121"/>
      <c r="E65" s="121"/>
      <c r="F65" s="121"/>
      <c r="T65" s="121"/>
      <c r="U65" s="121"/>
      <c r="V65" s="121"/>
    </row>
    <row r="66" spans="1:64">
      <c r="B66" t="s">
        <v>705</v>
      </c>
      <c r="E66" s="121"/>
      <c r="F66" s="121"/>
      <c r="N66" t="s">
        <v>699</v>
      </c>
      <c r="T66" s="121"/>
      <c r="U66" s="121"/>
      <c r="V66" s="121"/>
    </row>
    <row r="67" spans="1:64">
      <c r="E67" s="121"/>
      <c r="F67" s="121"/>
      <c r="T67" s="121"/>
      <c r="U67" s="121"/>
      <c r="V67" s="121"/>
    </row>
    <row r="68" spans="1:64">
      <c r="D68" t="s">
        <v>700</v>
      </c>
      <c r="F68" s="124">
        <v>2012</v>
      </c>
      <c r="G68" s="124">
        <v>2013</v>
      </c>
      <c r="H68" s="124">
        <v>2014</v>
      </c>
      <c r="I68" s="124">
        <v>2015</v>
      </c>
      <c r="J68" s="124">
        <v>2016</v>
      </c>
      <c r="K68" s="124">
        <v>2017</v>
      </c>
      <c r="L68" s="124">
        <v>2018</v>
      </c>
      <c r="M68" s="124">
        <v>2019</v>
      </c>
      <c r="N68" s="124">
        <v>2020</v>
      </c>
      <c r="O68" s="124">
        <v>2021</v>
      </c>
      <c r="P68" s="124">
        <v>2022</v>
      </c>
      <c r="Q68" s="124">
        <v>2023</v>
      </c>
      <c r="R68" s="124">
        <v>2024</v>
      </c>
      <c r="S68" s="124">
        <v>2025</v>
      </c>
      <c r="T68" s="124">
        <v>2026</v>
      </c>
      <c r="U68" s="124">
        <v>2027</v>
      </c>
      <c r="V68" s="124">
        <v>2028</v>
      </c>
      <c r="W68" s="124">
        <v>2029</v>
      </c>
      <c r="X68" s="124">
        <v>2030</v>
      </c>
      <c r="Y68" s="124">
        <v>2031</v>
      </c>
      <c r="Z68" s="124">
        <v>2032</v>
      </c>
      <c r="AA68" s="124">
        <v>2033</v>
      </c>
      <c r="AB68" s="124">
        <v>2034</v>
      </c>
      <c r="AC68" s="124">
        <v>2035</v>
      </c>
      <c r="AD68" s="124">
        <v>2036</v>
      </c>
      <c r="AE68" s="124">
        <v>2037</v>
      </c>
      <c r="AF68" s="124">
        <v>2038</v>
      </c>
      <c r="AG68" s="124">
        <v>2039</v>
      </c>
      <c r="AH68" s="124">
        <v>2040</v>
      </c>
      <c r="AI68" s="124">
        <v>2041</v>
      </c>
      <c r="AJ68" s="124">
        <v>2042</v>
      </c>
      <c r="AK68" s="124">
        <v>2043</v>
      </c>
      <c r="AL68" s="124">
        <v>2044</v>
      </c>
      <c r="AM68" s="124">
        <v>2045</v>
      </c>
      <c r="AN68" s="124">
        <v>2046</v>
      </c>
      <c r="AO68" s="124">
        <v>2047</v>
      </c>
    </row>
    <row r="69" spans="1:64">
      <c r="B69" t="s">
        <v>701</v>
      </c>
      <c r="D69" s="125"/>
      <c r="E69" s="121"/>
      <c r="F69" s="121">
        <v>4.5499999999999998E-10</v>
      </c>
      <c r="G69" s="121">
        <v>4.5499999999999998E-10</v>
      </c>
      <c r="H69" s="121">
        <v>4.5499999999999998E-10</v>
      </c>
      <c r="I69" s="121">
        <v>4.5499999999999998E-10</v>
      </c>
      <c r="J69" s="121">
        <v>4.5499999999999998E-10</v>
      </c>
      <c r="K69" s="121">
        <v>4.5499999999999998E-10</v>
      </c>
      <c r="L69" s="121">
        <v>4.5499999999999998E-10</v>
      </c>
      <c r="M69" s="121">
        <v>4.5499999999999998E-10</v>
      </c>
      <c r="N69" s="121">
        <v>4.5499999999999998E-10</v>
      </c>
      <c r="O69" s="121">
        <v>4.5499999999999998E-10</v>
      </c>
      <c r="P69" s="121">
        <v>4.5499999999999998E-10</v>
      </c>
      <c r="Q69" s="121">
        <v>4.5499999999999998E-10</v>
      </c>
      <c r="R69" s="121">
        <v>4.5499999999999998E-10</v>
      </c>
      <c r="S69" s="121">
        <v>4.5499999999999998E-10</v>
      </c>
      <c r="T69" s="121">
        <v>4.5499999999999998E-10</v>
      </c>
      <c r="U69" s="121">
        <v>4.5499999999999998E-10</v>
      </c>
      <c r="V69" s="121">
        <v>4.5499999999999998E-10</v>
      </c>
      <c r="W69" s="121">
        <v>4.5499999999999998E-10</v>
      </c>
      <c r="X69" s="121">
        <v>4.5499999999999998E-10</v>
      </c>
      <c r="Y69" s="121">
        <v>4.5499999999999998E-10</v>
      </c>
      <c r="Z69" s="121">
        <v>4.5499999999999998E-10</v>
      </c>
      <c r="AA69" s="121">
        <v>4.5499999999999998E-10</v>
      </c>
      <c r="AB69" s="121">
        <v>4.5499999999999998E-10</v>
      </c>
      <c r="AC69" s="121">
        <v>4.5499999999999998E-10</v>
      </c>
      <c r="AD69" s="121">
        <v>4.5499999999999998E-10</v>
      </c>
      <c r="AE69" s="121">
        <v>4.5499999999999998E-10</v>
      </c>
      <c r="AF69" s="121">
        <v>4.5499999999999998E-10</v>
      </c>
      <c r="AG69" s="121">
        <v>4.5499999999999998E-10</v>
      </c>
      <c r="AH69" s="121">
        <v>4.5499999999999998E-10</v>
      </c>
      <c r="AI69" s="121">
        <v>4.5499999999999998E-10</v>
      </c>
      <c r="AJ69" s="121">
        <v>4.5499999999999998E-10</v>
      </c>
      <c r="AK69" s="121">
        <v>4.5499999999999998E-10</v>
      </c>
      <c r="AL69" s="121">
        <v>4.5499999999999998E-10</v>
      </c>
      <c r="AM69" s="121">
        <v>4.5499999999999998E-10</v>
      </c>
      <c r="AN69" s="121">
        <v>4.5499999999999998E-10</v>
      </c>
      <c r="AO69" s="121">
        <v>4.5499999999999998E-10</v>
      </c>
    </row>
    <row r="70" spans="1:64">
      <c r="B70" t="s">
        <v>702</v>
      </c>
      <c r="D70" s="125"/>
      <c r="E70" s="121"/>
      <c r="F70" s="121">
        <v>3.9E-10</v>
      </c>
      <c r="G70" s="121">
        <v>3.9E-10</v>
      </c>
      <c r="H70" s="121">
        <v>3.9E-10</v>
      </c>
      <c r="I70" s="121">
        <v>3.9E-10</v>
      </c>
      <c r="J70" s="121">
        <v>3.9E-10</v>
      </c>
      <c r="K70" s="121">
        <v>3.9E-10</v>
      </c>
      <c r="L70" s="121">
        <v>3.9E-10</v>
      </c>
      <c r="M70" s="121">
        <v>3.9E-10</v>
      </c>
      <c r="N70" s="121">
        <v>3.9E-10</v>
      </c>
      <c r="O70" s="121">
        <v>3.9E-10</v>
      </c>
      <c r="P70" s="121">
        <v>3.9E-10</v>
      </c>
      <c r="Q70" s="121">
        <v>3.9E-10</v>
      </c>
      <c r="R70" s="121">
        <v>3.9E-10</v>
      </c>
      <c r="S70" s="121">
        <v>3.9E-10</v>
      </c>
      <c r="T70" s="121">
        <v>3.9E-10</v>
      </c>
      <c r="U70" s="121">
        <v>3.9E-10</v>
      </c>
      <c r="V70" s="121">
        <v>3.9E-10</v>
      </c>
      <c r="W70" s="121">
        <v>3.9E-10</v>
      </c>
      <c r="X70" s="121">
        <v>3.9E-10</v>
      </c>
      <c r="Y70" s="121">
        <v>3.9E-10</v>
      </c>
      <c r="Z70" s="121">
        <v>3.9E-10</v>
      </c>
      <c r="AA70" s="121">
        <v>3.9E-10</v>
      </c>
      <c r="AB70" s="121">
        <v>3.9E-10</v>
      </c>
      <c r="AC70" s="121">
        <v>3.9E-10</v>
      </c>
      <c r="AD70" s="121">
        <v>3.9E-10</v>
      </c>
      <c r="AE70" s="121">
        <v>3.9E-10</v>
      </c>
      <c r="AF70" s="121">
        <v>3.9E-10</v>
      </c>
      <c r="AG70" s="121">
        <v>3.9E-10</v>
      </c>
      <c r="AH70" s="121">
        <v>3.9E-10</v>
      </c>
      <c r="AI70" s="121">
        <v>3.9E-10</v>
      </c>
      <c r="AJ70" s="121">
        <v>3.9E-10</v>
      </c>
      <c r="AK70" s="121">
        <v>3.9E-10</v>
      </c>
      <c r="AL70" s="121">
        <v>3.9E-10</v>
      </c>
      <c r="AM70" s="121">
        <v>3.9E-10</v>
      </c>
      <c r="AN70" s="121">
        <v>3.9E-10</v>
      </c>
      <c r="AO70" s="121">
        <v>3.9E-10</v>
      </c>
    </row>
    <row r="71" spans="1:64">
      <c r="B71" t="s">
        <v>703</v>
      </c>
      <c r="D71" s="125"/>
      <c r="E71" s="121"/>
      <c r="F71" s="121">
        <v>1.95E-10</v>
      </c>
      <c r="G71" s="121">
        <v>1.95E-10</v>
      </c>
      <c r="H71" s="121">
        <v>1.95E-10</v>
      </c>
      <c r="I71" s="121">
        <v>1.95E-10</v>
      </c>
      <c r="J71" s="121">
        <v>1.95E-10</v>
      </c>
      <c r="K71" s="121">
        <v>1.95E-10</v>
      </c>
      <c r="L71" s="121">
        <v>1.95E-10</v>
      </c>
      <c r="M71" s="121">
        <v>1.95E-10</v>
      </c>
      <c r="N71" s="121">
        <v>1.95E-10</v>
      </c>
      <c r="O71" s="121">
        <v>1.95E-10</v>
      </c>
      <c r="P71" s="121">
        <v>1.95E-10</v>
      </c>
      <c r="Q71" s="121">
        <v>1.95E-10</v>
      </c>
      <c r="R71" s="121">
        <v>1.95E-10</v>
      </c>
      <c r="S71" s="121">
        <v>1.95E-10</v>
      </c>
      <c r="T71" s="121">
        <v>1.95E-10</v>
      </c>
      <c r="U71" s="121">
        <v>1.95E-10</v>
      </c>
      <c r="V71" s="121">
        <v>1.95E-10</v>
      </c>
      <c r="W71" s="121">
        <v>1.95E-10</v>
      </c>
      <c r="X71" s="121">
        <v>1.95E-10</v>
      </c>
      <c r="Y71" s="121">
        <v>1.95E-10</v>
      </c>
      <c r="Z71" s="121">
        <v>1.95E-10</v>
      </c>
      <c r="AA71" s="121">
        <v>1.95E-10</v>
      </c>
      <c r="AB71" s="121">
        <v>1.95E-10</v>
      </c>
      <c r="AC71" s="121">
        <v>1.95E-10</v>
      </c>
      <c r="AD71" s="121">
        <v>1.95E-10</v>
      </c>
      <c r="AE71" s="121">
        <v>1.95E-10</v>
      </c>
      <c r="AF71" s="121">
        <v>1.95E-10</v>
      </c>
      <c r="AG71" s="121">
        <v>1.95E-10</v>
      </c>
      <c r="AH71" s="121">
        <v>1.95E-10</v>
      </c>
      <c r="AI71" s="121">
        <v>1.95E-10</v>
      </c>
      <c r="AJ71" s="121">
        <v>1.95E-10</v>
      </c>
      <c r="AK71" s="121">
        <v>1.95E-10</v>
      </c>
      <c r="AL71" s="121">
        <v>1.95E-10</v>
      </c>
      <c r="AM71" s="121">
        <v>1.95E-10</v>
      </c>
      <c r="AN71" s="121">
        <v>1.95E-10</v>
      </c>
      <c r="AO71" s="121">
        <v>1.95E-10</v>
      </c>
    </row>
    <row r="73" spans="1:64">
      <c r="A73">
        <v>8</v>
      </c>
      <c r="B73" t="s">
        <v>706</v>
      </c>
      <c r="F73">
        <v>1.0040160642570281E-12</v>
      </c>
    </row>
    <row r="74" spans="1:64">
      <c r="B74" t="s">
        <v>698</v>
      </c>
      <c r="E74" s="121"/>
      <c r="F74" s="121"/>
      <c r="N74" t="s">
        <v>699</v>
      </c>
      <c r="T74" s="121"/>
      <c r="U74" s="121"/>
      <c r="V74" s="121"/>
    </row>
    <row r="75" spans="1:64">
      <c r="E75" s="121"/>
      <c r="F75" s="121"/>
      <c r="T75" s="121"/>
      <c r="U75" s="121"/>
      <c r="V75" s="121"/>
    </row>
    <row r="76" spans="1:64">
      <c r="D76" t="s">
        <v>700</v>
      </c>
      <c r="F76" s="124">
        <v>2012</v>
      </c>
      <c r="G76" s="124">
        <v>2013</v>
      </c>
      <c r="H76" s="124">
        <v>2014</v>
      </c>
      <c r="I76" s="124">
        <v>2015</v>
      </c>
      <c r="J76" s="124">
        <v>2016</v>
      </c>
      <c r="K76" s="124">
        <v>2017</v>
      </c>
      <c r="L76" s="124">
        <v>2018</v>
      </c>
      <c r="M76" s="124">
        <v>2019</v>
      </c>
      <c r="N76" s="200">
        <v>2020</v>
      </c>
      <c r="O76" s="200">
        <v>2021</v>
      </c>
      <c r="P76" s="200">
        <v>2022</v>
      </c>
      <c r="Q76" s="200">
        <v>2023</v>
      </c>
      <c r="R76" s="200">
        <v>2024</v>
      </c>
      <c r="S76" s="200">
        <v>2025</v>
      </c>
      <c r="T76" s="200">
        <v>2026</v>
      </c>
      <c r="U76" s="200">
        <v>2027</v>
      </c>
      <c r="V76" s="200">
        <v>2028</v>
      </c>
      <c r="W76" s="200">
        <v>2029</v>
      </c>
      <c r="X76" s="200">
        <v>2030</v>
      </c>
      <c r="Y76" s="200">
        <v>2031</v>
      </c>
      <c r="Z76" s="200">
        <v>2032</v>
      </c>
      <c r="AA76" s="200">
        <v>2033</v>
      </c>
      <c r="AB76" s="200">
        <v>2034</v>
      </c>
      <c r="AC76" s="200">
        <v>2035</v>
      </c>
      <c r="AD76" s="200">
        <v>2036</v>
      </c>
      <c r="AE76" s="200">
        <v>2037</v>
      </c>
      <c r="AF76" s="200">
        <v>2038</v>
      </c>
      <c r="AG76" s="200">
        <v>2039</v>
      </c>
      <c r="AH76" s="200">
        <v>2040</v>
      </c>
      <c r="AI76" s="200">
        <v>2041</v>
      </c>
      <c r="AJ76" s="200">
        <v>2042</v>
      </c>
      <c r="AK76" s="200">
        <v>2043</v>
      </c>
      <c r="AL76" s="200">
        <v>2044</v>
      </c>
      <c r="AM76" s="200">
        <v>2045</v>
      </c>
      <c r="AN76" s="200">
        <v>2046</v>
      </c>
      <c r="AO76" s="200">
        <v>2047</v>
      </c>
      <c r="AP76" s="200">
        <v>2048</v>
      </c>
      <c r="AQ76" s="200">
        <v>2049</v>
      </c>
      <c r="AR76" s="200">
        <v>2050</v>
      </c>
      <c r="AS76" s="200">
        <v>2051</v>
      </c>
      <c r="AT76" s="200">
        <v>2052</v>
      </c>
      <c r="AU76" s="200">
        <v>2053</v>
      </c>
      <c r="AV76" s="200">
        <v>2054</v>
      </c>
      <c r="AW76" s="200">
        <v>2055</v>
      </c>
      <c r="AX76" s="200">
        <v>2056</v>
      </c>
      <c r="AY76" s="200">
        <v>2057</v>
      </c>
      <c r="AZ76" s="200">
        <v>2058</v>
      </c>
      <c r="BA76" s="200">
        <v>2059</v>
      </c>
      <c r="BB76" s="200">
        <v>2060</v>
      </c>
      <c r="BC76" s="200">
        <v>2061</v>
      </c>
      <c r="BD76" s="200">
        <v>2062</v>
      </c>
      <c r="BE76" s="200">
        <v>2063</v>
      </c>
      <c r="BF76" s="200">
        <v>2064</v>
      </c>
      <c r="BG76" s="200">
        <v>2065</v>
      </c>
      <c r="BH76" s="200">
        <v>2066</v>
      </c>
      <c r="BI76" s="200">
        <v>2067</v>
      </c>
      <c r="BJ76" s="200">
        <v>2068</v>
      </c>
      <c r="BK76" s="200">
        <v>2069</v>
      </c>
      <c r="BL76" s="200">
        <v>2070</v>
      </c>
    </row>
    <row r="77" spans="1:64">
      <c r="B77" t="s">
        <v>701</v>
      </c>
      <c r="D77" s="125"/>
      <c r="E77" s="121"/>
      <c r="F77" s="121">
        <v>6.5000000000000003E-10</v>
      </c>
      <c r="G77" s="121">
        <v>6.9430884867689142E-10</v>
      </c>
      <c r="H77" s="121">
        <v>7.3861769735378291E-10</v>
      </c>
      <c r="I77" s="121">
        <v>7.829265460306743E-10</v>
      </c>
      <c r="J77" s="121">
        <v>8.2723539470756569E-10</v>
      </c>
      <c r="K77" s="121">
        <v>8.7154424338445718E-10</v>
      </c>
      <c r="L77" s="121">
        <v>9.1585309206134857E-10</v>
      </c>
      <c r="M77" s="121">
        <v>9.6016194073823996E-10</v>
      </c>
      <c r="N77" s="121">
        <v>1.0044707894151313E-9</v>
      </c>
      <c r="O77" s="121">
        <v>1.0487796380920229E-9</v>
      </c>
      <c r="P77" s="121">
        <v>1.0930884867689143E-9</v>
      </c>
      <c r="Q77" s="121">
        <v>1.1373973354458057E-9</v>
      </c>
      <c r="R77" s="121">
        <v>1.1817061841226971E-9</v>
      </c>
      <c r="S77" s="121">
        <v>1.2260150327995885E-9</v>
      </c>
      <c r="T77" s="121">
        <v>1.2703238814764799E-9</v>
      </c>
      <c r="U77" s="121">
        <v>1.3146327301533713E-9</v>
      </c>
      <c r="V77" s="121">
        <v>1.3589415788302627E-9</v>
      </c>
      <c r="W77" s="121">
        <v>1.4032504275071543E-9</v>
      </c>
      <c r="X77" s="121">
        <v>1.4475592761840457E-9</v>
      </c>
      <c r="Y77" s="121">
        <v>1.4918681248609372E-9</v>
      </c>
      <c r="Z77" s="121">
        <v>1.5361769735378286E-9</v>
      </c>
      <c r="AA77" s="121">
        <v>1.5804858222147198E-9</v>
      </c>
      <c r="AB77" s="121">
        <v>1.6247946708916114E-9</v>
      </c>
      <c r="AC77" s="121">
        <v>1.6691035195685028E-9</v>
      </c>
      <c r="AD77" s="121">
        <v>1.7134123682453942E-9</v>
      </c>
      <c r="AE77" s="121">
        <v>1.7577212169222856E-9</v>
      </c>
      <c r="AF77" s="121">
        <v>1.802030065599177E-9</v>
      </c>
      <c r="AG77" s="121">
        <v>1.8463389142760686E-9</v>
      </c>
      <c r="AH77" s="121">
        <v>1.8906477629529598E-9</v>
      </c>
      <c r="AI77" s="121">
        <v>1.9349566116298516E-9</v>
      </c>
      <c r="AJ77" s="121">
        <v>1.9792654603067425E-9</v>
      </c>
      <c r="AK77" s="121">
        <v>2.0235743089836343E-9</v>
      </c>
      <c r="AL77" s="121">
        <v>2.0678831576605253E-9</v>
      </c>
      <c r="AM77" s="121">
        <v>2.1121920063374171E-9</v>
      </c>
      <c r="AN77" s="121">
        <v>2.1565008550143085E-9</v>
      </c>
      <c r="AO77" s="121">
        <v>2.2008097036911999E-9</v>
      </c>
    </row>
    <row r="78" spans="1:64">
      <c r="B78" t="s">
        <v>702</v>
      </c>
      <c r="D78" s="125"/>
      <c r="E78" s="121"/>
      <c r="F78" s="121">
        <v>6.5000000000000003E-10</v>
      </c>
      <c r="G78" s="121">
        <v>6.6660450523646743E-10</v>
      </c>
      <c r="H78" s="121">
        <v>6.8320901047293493E-10</v>
      </c>
      <c r="I78" s="121">
        <v>6.9981351570940243E-10</v>
      </c>
      <c r="J78" s="121">
        <v>7.1641802094586983E-10</v>
      </c>
      <c r="K78" s="121">
        <v>7.3302252618233722E-10</v>
      </c>
      <c r="L78" s="121">
        <v>7.4962703141880462E-10</v>
      </c>
      <c r="M78" s="121">
        <v>7.6623153665527202E-10</v>
      </c>
      <c r="N78" s="199">
        <v>0</v>
      </c>
      <c r="O78" s="199">
        <v>0</v>
      </c>
      <c r="P78" s="199">
        <v>0</v>
      </c>
      <c r="Q78" s="199">
        <v>1.0999999999999999E-2</v>
      </c>
      <c r="R78" s="199">
        <v>1.15E-2</v>
      </c>
      <c r="S78" s="199">
        <v>1.2E-2</v>
      </c>
      <c r="T78" s="199">
        <v>1.2500000000000001E-2</v>
      </c>
      <c r="U78" s="199">
        <v>1.2999999999999999E-2</v>
      </c>
      <c r="V78" s="199">
        <v>1.52E-2</v>
      </c>
      <c r="W78" s="199">
        <v>1.7399999999999999E-2</v>
      </c>
      <c r="X78" s="199">
        <v>1.9599999999999999E-2</v>
      </c>
      <c r="Y78" s="199">
        <v>2.18E-2</v>
      </c>
      <c r="Z78" s="199">
        <v>2.4E-2</v>
      </c>
      <c r="AA78" s="199">
        <v>2.46E-2</v>
      </c>
      <c r="AB78" s="199">
        <v>2.52E-2</v>
      </c>
      <c r="AC78" s="199">
        <v>2.58E-2</v>
      </c>
      <c r="AD78" s="199">
        <v>2.64E-2</v>
      </c>
      <c r="AE78" s="199">
        <v>2.7E-2</v>
      </c>
      <c r="AF78" s="199">
        <v>2.7E-2</v>
      </c>
      <c r="AG78" s="199">
        <v>2.7E-2</v>
      </c>
      <c r="AH78" s="199">
        <v>2.7E-2</v>
      </c>
      <c r="AI78" s="199">
        <v>2.7E-2</v>
      </c>
      <c r="AJ78" s="199">
        <v>2.7E-2</v>
      </c>
      <c r="AK78" s="199">
        <v>2.7E-2</v>
      </c>
      <c r="AL78" s="199">
        <v>2.7E-2</v>
      </c>
      <c r="AM78" s="199">
        <v>2.7E-2</v>
      </c>
      <c r="AN78" s="199">
        <v>2.7E-2</v>
      </c>
      <c r="AO78" s="199">
        <v>2.7E-2</v>
      </c>
      <c r="AP78" s="199">
        <v>2.1999999999999999E-2</v>
      </c>
      <c r="AQ78" s="199">
        <v>1.7000000000000001E-2</v>
      </c>
      <c r="AR78" s="199">
        <v>1.2E-2</v>
      </c>
      <c r="AS78" s="199">
        <v>1.2200000000000001E-2</v>
      </c>
      <c r="AT78" s="199">
        <v>1.24E-2</v>
      </c>
      <c r="AU78" s="199">
        <v>1.26E-2</v>
      </c>
      <c r="AV78" s="199">
        <v>1.2800000000000001E-2</v>
      </c>
      <c r="AW78" s="203">
        <v>1.2999999999999999E-2</v>
      </c>
      <c r="AX78" s="203">
        <v>1.14E-2</v>
      </c>
      <c r="AY78" s="203">
        <v>9.7999999999999997E-3</v>
      </c>
      <c r="AZ78" s="203">
        <v>8.2000000000000007E-3</v>
      </c>
      <c r="BA78" s="203">
        <v>6.6E-3</v>
      </c>
      <c r="BB78" s="203">
        <v>5.0000000000000001E-3</v>
      </c>
      <c r="BC78" s="203">
        <v>3.3999999999999998E-3</v>
      </c>
      <c r="BD78" s="203">
        <v>1.8E-3</v>
      </c>
      <c r="BE78" s="203">
        <v>2.0000000000000001E-4</v>
      </c>
      <c r="BF78" s="203">
        <v>-1.4E-3</v>
      </c>
      <c r="BG78" s="203">
        <v>-3.0000000000000001E-3</v>
      </c>
      <c r="BH78" s="203">
        <v>-4.7999999999999996E-3</v>
      </c>
      <c r="BI78" s="203">
        <v>-6.6E-3</v>
      </c>
      <c r="BJ78" s="203">
        <v>-8.3999999999999995E-3</v>
      </c>
      <c r="BK78" s="203">
        <v>-1.0200000000000001E-2</v>
      </c>
      <c r="BL78" s="203">
        <v>-1.2E-2</v>
      </c>
    </row>
    <row r="79" spans="1:64">
      <c r="B79" t="s">
        <v>703</v>
      </c>
      <c r="D79" s="125"/>
      <c r="E79" s="121"/>
      <c r="F79" s="121">
        <v>6.5000000000000003E-10</v>
      </c>
      <c r="G79" s="121">
        <v>6.3890016179604344E-10</v>
      </c>
      <c r="H79" s="121">
        <v>6.2780032359208694E-10</v>
      </c>
      <c r="I79" s="121">
        <v>6.1670048538813045E-10</v>
      </c>
      <c r="J79" s="121">
        <v>6.0560064718417386E-10</v>
      </c>
      <c r="K79" s="121">
        <v>5.9450080898021726E-10</v>
      </c>
      <c r="L79" s="121">
        <v>5.8340097077626077E-10</v>
      </c>
      <c r="M79" s="121">
        <v>5.7230113257230418E-10</v>
      </c>
      <c r="N79" s="121">
        <v>5.6120129436834768E-10</v>
      </c>
      <c r="O79" s="121">
        <v>5.5010145616439109E-10</v>
      </c>
      <c r="P79" s="121">
        <v>5.390016179604346E-10</v>
      </c>
      <c r="Q79" s="121">
        <v>5.27901779756478E-10</v>
      </c>
      <c r="R79" s="121">
        <v>5.1680194155252151E-10</v>
      </c>
      <c r="S79" s="121">
        <v>5.0570210334856492E-10</v>
      </c>
      <c r="T79" s="121">
        <v>4.9460226514460842E-10</v>
      </c>
      <c r="U79" s="121">
        <v>4.8350242694065183E-10</v>
      </c>
      <c r="V79" s="121">
        <v>4.7240258873669534E-10</v>
      </c>
      <c r="W79" s="121">
        <v>4.6130275053273874E-10</v>
      </c>
      <c r="X79" s="121">
        <v>4.5020291232878225E-10</v>
      </c>
      <c r="Y79" s="121">
        <v>4.3910307412482566E-10</v>
      </c>
      <c r="Z79" s="121">
        <v>4.2800323592086911E-10</v>
      </c>
      <c r="AA79" s="121">
        <v>4.1690339771691257E-10</v>
      </c>
      <c r="AB79" s="121">
        <v>4.0580355951295603E-10</v>
      </c>
      <c r="AC79" s="121">
        <v>3.9470372130899948E-10</v>
      </c>
      <c r="AD79" s="121">
        <v>3.8360388310504299E-10</v>
      </c>
      <c r="AE79" s="121">
        <v>3.7250404490108645E-10</v>
      </c>
      <c r="AF79" s="121">
        <v>3.6140420669712991E-10</v>
      </c>
      <c r="AG79" s="121">
        <v>3.5030436849317336E-10</v>
      </c>
      <c r="AH79" s="121">
        <v>3.3920453028921677E-10</v>
      </c>
      <c r="AI79" s="121">
        <v>3.2810469208526022E-10</v>
      </c>
      <c r="AJ79" s="121">
        <v>3.1700485388130368E-10</v>
      </c>
      <c r="AK79" s="121">
        <v>3.0590501567734714E-10</v>
      </c>
      <c r="AL79" s="121">
        <v>2.9480517747339059E-10</v>
      </c>
      <c r="AM79" s="121">
        <v>2.8370533926943405E-10</v>
      </c>
      <c r="AN79" s="121">
        <v>2.7260550106547751E-10</v>
      </c>
      <c r="AO79" s="121">
        <v>2.6150566286152096E-10</v>
      </c>
    </row>
    <row r="80" spans="1:64">
      <c r="E80" s="121"/>
      <c r="F80" s="121"/>
      <c r="T80" s="121"/>
      <c r="U80" s="121"/>
      <c r="V80" s="121"/>
    </row>
    <row r="81" spans="2:41">
      <c r="B81" t="s">
        <v>704</v>
      </c>
      <c r="E81" s="121"/>
      <c r="F81" s="121"/>
      <c r="N81" t="s">
        <v>699</v>
      </c>
      <c r="T81" s="121"/>
      <c r="U81" s="121"/>
      <c r="V81" s="121"/>
    </row>
    <row r="82" spans="2:41">
      <c r="E82" s="121"/>
      <c r="F82" s="121"/>
      <c r="T82" s="121"/>
      <c r="U82" s="121"/>
      <c r="V82" s="121"/>
    </row>
    <row r="83" spans="2:41">
      <c r="D83" t="s">
        <v>700</v>
      </c>
      <c r="F83" s="124">
        <v>2012</v>
      </c>
      <c r="G83" s="124">
        <v>2013</v>
      </c>
      <c r="H83" s="124">
        <v>2014</v>
      </c>
      <c r="I83" s="124">
        <v>2015</v>
      </c>
      <c r="J83" s="124">
        <v>2016</v>
      </c>
      <c r="K83" s="124">
        <v>2017</v>
      </c>
      <c r="L83" s="124">
        <v>2018</v>
      </c>
      <c r="M83" s="124">
        <v>2019</v>
      </c>
      <c r="N83" s="124">
        <v>2020</v>
      </c>
      <c r="O83" s="124">
        <v>2021</v>
      </c>
      <c r="P83" s="124">
        <v>2022</v>
      </c>
      <c r="Q83" s="124">
        <v>2023</v>
      </c>
      <c r="R83" s="124">
        <v>2024</v>
      </c>
      <c r="S83" s="124">
        <v>2025</v>
      </c>
      <c r="T83" s="124">
        <v>2026</v>
      </c>
      <c r="U83" s="124">
        <v>2027</v>
      </c>
      <c r="V83" s="124">
        <v>2028</v>
      </c>
      <c r="W83" s="124">
        <v>2029</v>
      </c>
      <c r="X83" s="124">
        <v>2030</v>
      </c>
      <c r="Y83" s="124">
        <v>2031</v>
      </c>
      <c r="Z83" s="124">
        <v>2032</v>
      </c>
      <c r="AA83" s="124">
        <v>2033</v>
      </c>
      <c r="AB83" s="124">
        <v>2034</v>
      </c>
      <c r="AC83" s="124">
        <v>2035</v>
      </c>
      <c r="AD83" s="124">
        <v>2036</v>
      </c>
      <c r="AE83" s="124">
        <v>2037</v>
      </c>
      <c r="AF83" s="124">
        <v>2038</v>
      </c>
      <c r="AG83" s="124">
        <v>2039</v>
      </c>
      <c r="AH83" s="124">
        <v>2040</v>
      </c>
      <c r="AI83" s="124">
        <v>2041</v>
      </c>
      <c r="AJ83" s="124">
        <v>2042</v>
      </c>
      <c r="AK83" s="124">
        <v>2043</v>
      </c>
      <c r="AL83" s="124">
        <v>2044</v>
      </c>
      <c r="AM83" s="124">
        <v>2045</v>
      </c>
      <c r="AN83" s="124">
        <v>2046</v>
      </c>
      <c r="AO83" s="124">
        <v>2047</v>
      </c>
    </row>
    <row r="84" spans="2:41">
      <c r="B84" t="s">
        <v>701</v>
      </c>
      <c r="D84" s="125"/>
      <c r="E84" s="121"/>
      <c r="F84" s="121">
        <v>6.5000000000000002E-12</v>
      </c>
      <c r="G84" s="121">
        <v>6.9430884867689141E-12</v>
      </c>
      <c r="H84" s="121">
        <v>7.3861769735378296E-12</v>
      </c>
      <c r="I84" s="121">
        <v>7.8292654603067427E-12</v>
      </c>
      <c r="J84" s="121">
        <v>8.2723539470756575E-12</v>
      </c>
      <c r="K84" s="121">
        <v>8.7154424338445722E-12</v>
      </c>
      <c r="L84" s="121">
        <v>9.1585309206134853E-12</v>
      </c>
      <c r="M84" s="121">
        <v>9.6016194073824001E-12</v>
      </c>
      <c r="N84" s="121">
        <v>1.0044707894151313E-11</v>
      </c>
      <c r="O84" s="121">
        <v>1.048779638092023E-11</v>
      </c>
      <c r="P84" s="121">
        <v>1.0930884867689144E-11</v>
      </c>
      <c r="Q84" s="121">
        <v>1.1373973354458057E-11</v>
      </c>
      <c r="R84" s="121">
        <v>1.1817061841226972E-11</v>
      </c>
      <c r="S84" s="121">
        <v>1.2260150327995885E-11</v>
      </c>
      <c r="T84" s="121">
        <v>1.27032388147648E-11</v>
      </c>
      <c r="U84" s="121">
        <v>1.3146327301533713E-11</v>
      </c>
      <c r="V84" s="121">
        <v>1.3589415788302626E-11</v>
      </c>
      <c r="W84" s="121">
        <v>1.4032504275071543E-11</v>
      </c>
      <c r="X84" s="121">
        <v>1.4475592761840457E-11</v>
      </c>
      <c r="Y84" s="121">
        <v>1.4918681248609372E-11</v>
      </c>
      <c r="Z84" s="121">
        <v>1.5361769735378285E-11</v>
      </c>
      <c r="AA84" s="121">
        <v>1.5804858222147198E-11</v>
      </c>
      <c r="AB84" s="121">
        <v>1.6247946708916115E-11</v>
      </c>
      <c r="AC84" s="121">
        <v>1.6691035195685028E-11</v>
      </c>
      <c r="AD84" s="121">
        <v>1.7134123682453941E-11</v>
      </c>
      <c r="AE84" s="121">
        <v>1.7577212169222857E-11</v>
      </c>
      <c r="AF84" s="121">
        <v>1.802030065599177E-11</v>
      </c>
      <c r="AG84" s="121">
        <v>1.8463389142760687E-11</v>
      </c>
      <c r="AH84" s="121">
        <v>1.8906477629529596E-11</v>
      </c>
      <c r="AI84" s="121">
        <v>1.9349566116298516E-11</v>
      </c>
      <c r="AJ84" s="121">
        <v>1.9792654603067426E-11</v>
      </c>
      <c r="AK84" s="121">
        <v>2.0235743089836342E-11</v>
      </c>
      <c r="AL84" s="121">
        <v>2.0678831576605252E-11</v>
      </c>
      <c r="AM84" s="121">
        <v>2.1121920063374172E-11</v>
      </c>
      <c r="AN84" s="121">
        <v>2.1565008550143085E-11</v>
      </c>
      <c r="AO84" s="121">
        <v>2.2008097036911998E-11</v>
      </c>
    </row>
    <row r="85" spans="2:41">
      <c r="B85" t="s">
        <v>702</v>
      </c>
      <c r="D85" s="125"/>
      <c r="E85" s="121"/>
      <c r="F85" s="121">
        <v>6.5000000000000002E-12</v>
      </c>
      <c r="G85" s="121">
        <v>6.6660450523646745E-12</v>
      </c>
      <c r="H85" s="121">
        <v>6.8320901047293497E-12</v>
      </c>
      <c r="I85" s="121">
        <v>6.9981351570940241E-12</v>
      </c>
      <c r="J85" s="121">
        <v>7.1641802094586984E-12</v>
      </c>
      <c r="K85" s="121">
        <v>7.330225261823372E-12</v>
      </c>
      <c r="L85" s="121">
        <v>7.4962703141880463E-12</v>
      </c>
      <c r="M85" s="121">
        <v>7.6623153665527207E-12</v>
      </c>
      <c r="N85" s="121">
        <v>7.828360418917395E-12</v>
      </c>
      <c r="O85" s="121">
        <v>7.994405471282071E-12</v>
      </c>
      <c r="P85" s="121">
        <v>8.1604505236467438E-12</v>
      </c>
      <c r="Q85" s="121">
        <v>8.3264955760114181E-12</v>
      </c>
      <c r="R85" s="121">
        <v>8.4925406283760941E-12</v>
      </c>
      <c r="S85" s="121">
        <v>8.6585856807407668E-12</v>
      </c>
      <c r="T85" s="121">
        <v>8.8246307331054428E-12</v>
      </c>
      <c r="U85" s="121">
        <v>8.9906757854701155E-12</v>
      </c>
      <c r="V85" s="121">
        <v>9.1567208378347899E-12</v>
      </c>
      <c r="W85" s="121">
        <v>9.3227658901994643E-12</v>
      </c>
      <c r="X85" s="121">
        <v>9.4888109425641402E-12</v>
      </c>
      <c r="Y85" s="121">
        <v>9.6548559949288146E-12</v>
      </c>
      <c r="Z85" s="121">
        <v>9.820901047293489E-12</v>
      </c>
      <c r="AA85" s="121">
        <v>9.9869460996581617E-12</v>
      </c>
      <c r="AB85" s="121">
        <v>1.0152991152022838E-11</v>
      </c>
      <c r="AC85" s="121">
        <v>1.0319036204387512E-11</v>
      </c>
      <c r="AD85" s="121">
        <v>1.0485081256752186E-11</v>
      </c>
      <c r="AE85" s="121">
        <v>1.0651126309116861E-11</v>
      </c>
      <c r="AF85" s="121">
        <v>1.0817171361481533E-11</v>
      </c>
      <c r="AG85" s="121">
        <v>1.0983216413846209E-11</v>
      </c>
      <c r="AH85" s="121">
        <v>1.1149261466210882E-11</v>
      </c>
      <c r="AI85" s="121">
        <v>1.131530651857556E-11</v>
      </c>
      <c r="AJ85" s="121">
        <v>1.1481351570940233E-11</v>
      </c>
      <c r="AK85" s="121">
        <v>1.1647396623304909E-11</v>
      </c>
      <c r="AL85" s="121">
        <v>1.181344167566958E-11</v>
      </c>
      <c r="AM85" s="121">
        <v>1.1979486728034256E-11</v>
      </c>
      <c r="AN85" s="121">
        <v>1.214553178039893E-11</v>
      </c>
      <c r="AO85" s="121">
        <v>1.2311576832763604E-11</v>
      </c>
    </row>
    <row r="86" spans="2:41">
      <c r="B86" t="s">
        <v>703</v>
      </c>
      <c r="D86" s="125"/>
      <c r="E86" s="121"/>
      <c r="F86" s="121">
        <v>6.5000000000000002E-12</v>
      </c>
      <c r="G86" s="121">
        <v>6.3890016179604342E-12</v>
      </c>
      <c r="H86" s="121">
        <v>6.2780032359208698E-12</v>
      </c>
      <c r="I86" s="121">
        <v>6.1670048538813046E-12</v>
      </c>
      <c r="J86" s="121">
        <v>6.0560064718417385E-12</v>
      </c>
      <c r="K86" s="121">
        <v>5.9450080898021725E-12</v>
      </c>
      <c r="L86" s="121">
        <v>5.8340097077626081E-12</v>
      </c>
      <c r="M86" s="121">
        <v>5.7230113257230421E-12</v>
      </c>
      <c r="N86" s="121">
        <v>5.6120129436834769E-12</v>
      </c>
      <c r="O86" s="121">
        <v>5.5010145616439109E-12</v>
      </c>
      <c r="P86" s="121">
        <v>5.3900161796043457E-12</v>
      </c>
      <c r="Q86" s="121">
        <v>5.2790177975647805E-12</v>
      </c>
      <c r="R86" s="121">
        <v>5.1680194155252153E-12</v>
      </c>
      <c r="S86" s="121">
        <v>5.0570210334856493E-12</v>
      </c>
      <c r="T86" s="121">
        <v>4.9460226514460841E-12</v>
      </c>
      <c r="U86" s="121">
        <v>4.835024269406518E-12</v>
      </c>
      <c r="V86" s="121">
        <v>4.7240258873669536E-12</v>
      </c>
      <c r="W86" s="121">
        <v>4.6130275053273876E-12</v>
      </c>
      <c r="X86" s="121">
        <v>4.5020291232878224E-12</v>
      </c>
      <c r="Y86" s="121">
        <v>4.3910307412482564E-12</v>
      </c>
      <c r="Z86" s="121">
        <v>4.2800323592086912E-12</v>
      </c>
      <c r="AA86" s="121">
        <v>4.169033977169126E-12</v>
      </c>
      <c r="AB86" s="121">
        <v>4.05803559512956E-12</v>
      </c>
      <c r="AC86" s="121">
        <v>3.9470372130899948E-12</v>
      </c>
      <c r="AD86" s="121">
        <v>3.8360388310504304E-12</v>
      </c>
      <c r="AE86" s="121">
        <v>3.7250404490108644E-12</v>
      </c>
      <c r="AF86" s="121">
        <v>3.6140420669712991E-12</v>
      </c>
      <c r="AG86" s="121">
        <v>3.5030436849317335E-12</v>
      </c>
      <c r="AH86" s="121">
        <v>3.3920453028921679E-12</v>
      </c>
      <c r="AI86" s="121">
        <v>3.2810469208526023E-12</v>
      </c>
      <c r="AJ86" s="121">
        <v>3.1700485388130367E-12</v>
      </c>
      <c r="AK86" s="121">
        <v>3.0590501567734715E-12</v>
      </c>
      <c r="AL86" s="121">
        <v>2.9480517747339059E-12</v>
      </c>
      <c r="AM86" s="121">
        <v>2.8370533926943407E-12</v>
      </c>
      <c r="AN86" s="121">
        <v>2.7260550106547751E-12</v>
      </c>
      <c r="AO86" s="121">
        <v>2.6150566286152099E-12</v>
      </c>
    </row>
    <row r="87" spans="2:41">
      <c r="D87" s="121"/>
      <c r="E87" s="121"/>
      <c r="F87" s="121"/>
      <c r="T87" s="121"/>
      <c r="U87" s="121"/>
      <c r="V87" s="121"/>
    </row>
    <row r="88" spans="2:41">
      <c r="B88" t="s">
        <v>705</v>
      </c>
      <c r="E88" s="121"/>
      <c r="F88" s="121"/>
      <c r="N88" t="s">
        <v>699</v>
      </c>
      <c r="T88" s="121"/>
      <c r="U88" s="121"/>
      <c r="V88" s="121"/>
    </row>
    <row r="89" spans="2:41">
      <c r="E89" s="121"/>
      <c r="F89" s="121"/>
      <c r="T89" s="121"/>
      <c r="U89" s="121"/>
      <c r="V89" s="121"/>
    </row>
    <row r="90" spans="2:41">
      <c r="D90" t="s">
        <v>700</v>
      </c>
      <c r="F90" s="124">
        <v>2012</v>
      </c>
      <c r="G90" s="124">
        <v>2013</v>
      </c>
      <c r="H90" s="124">
        <v>2014</v>
      </c>
      <c r="I90" s="124">
        <v>2015</v>
      </c>
      <c r="J90" s="124">
        <v>2016</v>
      </c>
      <c r="K90" s="124">
        <v>2017</v>
      </c>
      <c r="L90" s="124">
        <v>2018</v>
      </c>
      <c r="M90" s="124">
        <v>2019</v>
      </c>
      <c r="N90" s="124">
        <v>2020</v>
      </c>
      <c r="O90" s="124">
        <v>2021</v>
      </c>
      <c r="P90" s="124">
        <v>2022</v>
      </c>
      <c r="Q90" s="124">
        <v>2023</v>
      </c>
      <c r="R90" s="124">
        <v>2024</v>
      </c>
      <c r="S90" s="124">
        <v>2025</v>
      </c>
      <c r="T90" s="124">
        <v>2026</v>
      </c>
      <c r="U90" s="124">
        <v>2027</v>
      </c>
      <c r="V90" s="124">
        <v>2028</v>
      </c>
      <c r="W90" s="124">
        <v>2029</v>
      </c>
      <c r="X90" s="124">
        <v>2030</v>
      </c>
      <c r="Y90" s="124">
        <v>2031</v>
      </c>
      <c r="Z90" s="124">
        <v>2032</v>
      </c>
      <c r="AA90" s="124">
        <v>2033</v>
      </c>
      <c r="AB90" s="124">
        <v>2034</v>
      </c>
      <c r="AC90" s="124">
        <v>2035</v>
      </c>
      <c r="AD90" s="124">
        <v>2036</v>
      </c>
      <c r="AE90" s="124">
        <v>2037</v>
      </c>
      <c r="AF90" s="124">
        <v>2038</v>
      </c>
      <c r="AG90" s="124">
        <v>2039</v>
      </c>
      <c r="AH90" s="124">
        <v>2040</v>
      </c>
      <c r="AI90" s="124">
        <v>2041</v>
      </c>
      <c r="AJ90" s="124">
        <v>2042</v>
      </c>
      <c r="AK90" s="124">
        <v>2043</v>
      </c>
      <c r="AL90" s="124">
        <v>2044</v>
      </c>
      <c r="AM90" s="124">
        <v>2045</v>
      </c>
      <c r="AN90" s="124">
        <v>2046</v>
      </c>
      <c r="AO90" s="124">
        <v>2047</v>
      </c>
    </row>
    <row r="91" spans="2:41">
      <c r="B91" t="s">
        <v>701</v>
      </c>
      <c r="D91" s="125"/>
      <c r="E91" s="121"/>
      <c r="F91" s="121">
        <v>0</v>
      </c>
      <c r="G91" s="121">
        <v>0</v>
      </c>
      <c r="H91" s="121">
        <v>0</v>
      </c>
      <c r="I91" s="121">
        <v>0</v>
      </c>
      <c r="J91" s="121">
        <v>0</v>
      </c>
      <c r="K91" s="121">
        <v>0</v>
      </c>
      <c r="L91" s="121">
        <v>0</v>
      </c>
      <c r="M91" s="121">
        <v>0</v>
      </c>
      <c r="N91" s="121">
        <v>0</v>
      </c>
      <c r="O91" s="121">
        <v>0</v>
      </c>
      <c r="P91" s="121">
        <v>0</v>
      </c>
      <c r="Q91" s="121">
        <v>0</v>
      </c>
      <c r="R91" s="121">
        <v>0</v>
      </c>
      <c r="S91" s="121">
        <v>0</v>
      </c>
      <c r="T91" s="121">
        <v>0</v>
      </c>
      <c r="U91" s="121">
        <v>0</v>
      </c>
      <c r="V91" s="121">
        <v>0</v>
      </c>
      <c r="W91" s="121">
        <v>0</v>
      </c>
      <c r="X91" s="121">
        <v>0</v>
      </c>
      <c r="Y91" s="121">
        <v>0</v>
      </c>
      <c r="Z91" s="121">
        <v>0</v>
      </c>
      <c r="AA91" s="121">
        <v>0</v>
      </c>
      <c r="AB91" s="121">
        <v>0</v>
      </c>
      <c r="AC91" s="121">
        <v>0</v>
      </c>
      <c r="AD91" s="121">
        <v>0</v>
      </c>
      <c r="AE91" s="121">
        <v>0</v>
      </c>
      <c r="AF91" s="121">
        <v>0</v>
      </c>
      <c r="AG91" s="121">
        <v>0</v>
      </c>
      <c r="AH91" s="121">
        <v>0</v>
      </c>
      <c r="AI91" s="121">
        <v>0</v>
      </c>
      <c r="AJ91" s="121">
        <v>0</v>
      </c>
      <c r="AK91" s="121">
        <v>0</v>
      </c>
      <c r="AL91" s="121">
        <v>0</v>
      </c>
      <c r="AM91" s="121">
        <v>0</v>
      </c>
      <c r="AN91" s="121">
        <v>0</v>
      </c>
      <c r="AO91" s="121">
        <v>0</v>
      </c>
    </row>
    <row r="92" spans="2:41">
      <c r="B92" t="s">
        <v>702</v>
      </c>
      <c r="D92" s="125"/>
      <c r="E92" s="121"/>
      <c r="F92" s="121">
        <v>0</v>
      </c>
      <c r="G92" s="121">
        <v>0</v>
      </c>
      <c r="H92" s="121">
        <v>0</v>
      </c>
      <c r="I92" s="121">
        <v>0</v>
      </c>
      <c r="J92" s="121">
        <v>0</v>
      </c>
      <c r="K92" s="121">
        <v>0</v>
      </c>
      <c r="L92" s="121">
        <v>0</v>
      </c>
      <c r="M92" s="121">
        <v>0</v>
      </c>
      <c r="N92" s="121">
        <v>0</v>
      </c>
      <c r="O92" s="121">
        <v>0</v>
      </c>
      <c r="P92" s="121">
        <v>0</v>
      </c>
      <c r="Q92" s="121">
        <v>0</v>
      </c>
      <c r="R92" s="121">
        <v>0</v>
      </c>
      <c r="S92" s="121">
        <v>0</v>
      </c>
      <c r="T92" s="121">
        <v>0</v>
      </c>
      <c r="U92" s="121">
        <v>0</v>
      </c>
      <c r="V92" s="121">
        <v>0</v>
      </c>
      <c r="W92" s="121">
        <v>0</v>
      </c>
      <c r="X92" s="121">
        <v>0</v>
      </c>
      <c r="Y92" s="121">
        <v>0</v>
      </c>
      <c r="Z92" s="121">
        <v>0</v>
      </c>
      <c r="AA92" s="121">
        <v>0</v>
      </c>
      <c r="AB92" s="121">
        <v>0</v>
      </c>
      <c r="AC92" s="121">
        <v>0</v>
      </c>
      <c r="AD92" s="121">
        <v>0</v>
      </c>
      <c r="AE92" s="121">
        <v>0</v>
      </c>
      <c r="AF92" s="121">
        <v>0</v>
      </c>
      <c r="AG92" s="121">
        <v>0</v>
      </c>
      <c r="AH92" s="121">
        <v>0</v>
      </c>
      <c r="AI92" s="121">
        <v>0</v>
      </c>
      <c r="AJ92" s="121">
        <v>0</v>
      </c>
      <c r="AK92" s="121">
        <v>0</v>
      </c>
      <c r="AL92" s="121">
        <v>0</v>
      </c>
      <c r="AM92" s="121">
        <v>0</v>
      </c>
      <c r="AN92" s="121">
        <v>0</v>
      </c>
      <c r="AO92" s="121">
        <v>0</v>
      </c>
    </row>
    <row r="93" spans="2:41">
      <c r="B93" t="s">
        <v>703</v>
      </c>
      <c r="D93" s="125"/>
      <c r="E93" s="121"/>
      <c r="F93" s="121">
        <v>0</v>
      </c>
      <c r="G93" s="121">
        <v>0</v>
      </c>
      <c r="H93" s="121">
        <v>0</v>
      </c>
      <c r="I93" s="121">
        <v>0</v>
      </c>
      <c r="J93" s="121">
        <v>0</v>
      </c>
      <c r="K93" s="121">
        <v>0</v>
      </c>
      <c r="L93" s="121">
        <v>0</v>
      </c>
      <c r="M93" s="121">
        <v>0</v>
      </c>
      <c r="N93" s="121">
        <v>0</v>
      </c>
      <c r="O93" s="121">
        <v>0</v>
      </c>
      <c r="P93" s="121">
        <v>0</v>
      </c>
      <c r="Q93" s="121">
        <v>0</v>
      </c>
      <c r="R93" s="121">
        <v>0</v>
      </c>
      <c r="S93" s="121">
        <v>0</v>
      </c>
      <c r="T93" s="121">
        <v>0</v>
      </c>
      <c r="U93" s="121">
        <v>0</v>
      </c>
      <c r="V93" s="121">
        <v>0</v>
      </c>
      <c r="W93" s="121">
        <v>0</v>
      </c>
      <c r="X93" s="121">
        <v>0</v>
      </c>
      <c r="Y93" s="121">
        <v>0</v>
      </c>
      <c r="Z93" s="121">
        <v>0</v>
      </c>
      <c r="AA93" s="121">
        <v>0</v>
      </c>
      <c r="AB93" s="121">
        <v>0</v>
      </c>
      <c r="AC93" s="121">
        <v>0</v>
      </c>
      <c r="AD93" s="121">
        <v>0</v>
      </c>
      <c r="AE93" s="121">
        <v>0</v>
      </c>
      <c r="AF93" s="121">
        <v>0</v>
      </c>
      <c r="AG93" s="121">
        <v>0</v>
      </c>
      <c r="AH93" s="121">
        <v>0</v>
      </c>
      <c r="AI93" s="121">
        <v>0</v>
      </c>
      <c r="AJ93" s="121">
        <v>0</v>
      </c>
      <c r="AK93" s="121">
        <v>0</v>
      </c>
      <c r="AL93" s="121">
        <v>0</v>
      </c>
      <c r="AM93" s="121">
        <v>0</v>
      </c>
      <c r="AN93" s="121">
        <v>0</v>
      </c>
      <c r="AO93" s="1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BL268"/>
  <sheetViews>
    <sheetView workbookViewId="0">
      <selection activeCell="BL254" sqref="BL254"/>
    </sheetView>
  </sheetViews>
  <sheetFormatPr defaultRowHeight="15"/>
  <cols>
    <col min="1" max="1" width="21.28515625" customWidth="1"/>
    <col min="5" max="63" width="0" hidden="1" customWidth="1"/>
    <col min="64" max="64" width="16.42578125" customWidth="1"/>
  </cols>
  <sheetData>
    <row r="1" spans="1:64">
      <c r="A1" s="117" t="s">
        <v>707</v>
      </c>
      <c r="B1" s="117" t="s">
        <v>708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</row>
    <row r="2" spans="1:64">
      <c r="A2" s="117" t="s">
        <v>709</v>
      </c>
      <c r="B2" s="118">
        <v>44013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</row>
    <row r="4" spans="1:64">
      <c r="A4" s="117" t="s">
        <v>710</v>
      </c>
      <c r="B4" s="117" t="s">
        <v>711</v>
      </c>
      <c r="C4" s="117" t="s">
        <v>712</v>
      </c>
      <c r="D4" s="117" t="s">
        <v>713</v>
      </c>
      <c r="E4" s="117" t="s">
        <v>714</v>
      </c>
      <c r="F4" s="117" t="s">
        <v>715</v>
      </c>
      <c r="G4" s="117" t="s">
        <v>716</v>
      </c>
      <c r="H4" s="117" t="s">
        <v>717</v>
      </c>
      <c r="I4" s="117" t="s">
        <v>718</v>
      </c>
      <c r="J4" s="117" t="s">
        <v>719</v>
      </c>
      <c r="K4" s="117" t="s">
        <v>720</v>
      </c>
      <c r="L4" s="117" t="s">
        <v>721</v>
      </c>
      <c r="M4" s="117" t="s">
        <v>722</v>
      </c>
      <c r="N4" s="117" t="s">
        <v>723</v>
      </c>
      <c r="O4" s="117" t="s">
        <v>724</v>
      </c>
      <c r="P4" s="117" t="s">
        <v>725</v>
      </c>
      <c r="Q4" s="117" t="s">
        <v>726</v>
      </c>
      <c r="R4" s="117" t="s">
        <v>727</v>
      </c>
      <c r="S4" s="117" t="s">
        <v>728</v>
      </c>
      <c r="T4" s="117" t="s">
        <v>729</v>
      </c>
      <c r="U4" s="117" t="s">
        <v>730</v>
      </c>
      <c r="V4" s="117" t="s">
        <v>731</v>
      </c>
      <c r="W4" s="117" t="s">
        <v>732</v>
      </c>
      <c r="X4" s="117" t="s">
        <v>733</v>
      </c>
      <c r="Y4" s="117" t="s">
        <v>734</v>
      </c>
      <c r="Z4" s="117" t="s">
        <v>735</v>
      </c>
      <c r="AA4" s="117" t="s">
        <v>736</v>
      </c>
      <c r="AB4" s="117" t="s">
        <v>737</v>
      </c>
      <c r="AC4" s="117" t="s">
        <v>738</v>
      </c>
      <c r="AD4" s="117" t="s">
        <v>739</v>
      </c>
      <c r="AE4" s="117" t="s">
        <v>740</v>
      </c>
      <c r="AF4" s="117" t="s">
        <v>741</v>
      </c>
      <c r="AG4" s="117" t="s">
        <v>742</v>
      </c>
      <c r="AH4" s="117" t="s">
        <v>743</v>
      </c>
      <c r="AI4" s="117" t="s">
        <v>744</v>
      </c>
      <c r="AJ4" s="117" t="s">
        <v>745</v>
      </c>
      <c r="AK4" s="117" t="s">
        <v>746</v>
      </c>
      <c r="AL4" s="117" t="s">
        <v>747</v>
      </c>
      <c r="AM4" s="117" t="s">
        <v>748</v>
      </c>
      <c r="AN4" s="117" t="s">
        <v>749</v>
      </c>
      <c r="AO4" s="117" t="s">
        <v>750</v>
      </c>
      <c r="AP4" s="117" t="s">
        <v>751</v>
      </c>
      <c r="AQ4" s="117" t="s">
        <v>752</v>
      </c>
      <c r="AR4" s="117" t="s">
        <v>753</v>
      </c>
      <c r="AS4" s="117" t="s">
        <v>754</v>
      </c>
      <c r="AT4" s="117" t="s">
        <v>755</v>
      </c>
      <c r="AU4" s="117" t="s">
        <v>756</v>
      </c>
      <c r="AV4" s="117" t="s">
        <v>757</v>
      </c>
      <c r="AW4" s="117" t="s">
        <v>758</v>
      </c>
      <c r="AX4" s="117" t="s">
        <v>759</v>
      </c>
      <c r="AY4" s="117" t="s">
        <v>760</v>
      </c>
      <c r="AZ4" s="117" t="s">
        <v>761</v>
      </c>
      <c r="BA4" s="117" t="s">
        <v>762</v>
      </c>
      <c r="BB4" s="117" t="s">
        <v>763</v>
      </c>
      <c r="BC4" s="117" t="s">
        <v>764</v>
      </c>
      <c r="BD4" s="117" t="s">
        <v>765</v>
      </c>
      <c r="BE4" s="117" t="s">
        <v>766</v>
      </c>
      <c r="BF4" s="117" t="s">
        <v>767</v>
      </c>
      <c r="BG4" s="117" t="s">
        <v>768</v>
      </c>
      <c r="BH4" s="117" t="s">
        <v>769</v>
      </c>
      <c r="BI4" s="117" t="s">
        <v>770</v>
      </c>
      <c r="BJ4" s="117" t="s">
        <v>771</v>
      </c>
      <c r="BK4" s="117" t="s">
        <v>772</v>
      </c>
      <c r="BL4" s="117">
        <v>2021</v>
      </c>
    </row>
    <row r="5" spans="1:64" hidden="1">
      <c r="A5" s="117" t="s">
        <v>773</v>
      </c>
      <c r="B5" s="117" t="s">
        <v>774</v>
      </c>
      <c r="C5" s="117" t="s">
        <v>775</v>
      </c>
      <c r="D5" s="117" t="s">
        <v>776</v>
      </c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>
        <v>6472.502029204069</v>
      </c>
      <c r="AF5" s="117">
        <v>7885.7965446673497</v>
      </c>
      <c r="AG5" s="117">
        <v>9764.7899787932856</v>
      </c>
      <c r="AH5" s="117">
        <v>11392.455810576428</v>
      </c>
      <c r="AI5" s="117">
        <v>12307.311737831438</v>
      </c>
      <c r="AJ5" s="117">
        <v>13496.003142641808</v>
      </c>
      <c r="AK5" s="117">
        <v>14046.503764307789</v>
      </c>
      <c r="AL5" s="117">
        <v>14936.82721877953</v>
      </c>
      <c r="AM5" s="117">
        <v>16241.046520944257</v>
      </c>
      <c r="AN5" s="117">
        <v>16439.356360928185</v>
      </c>
      <c r="AO5" s="117">
        <v>16586.068435754187</v>
      </c>
      <c r="AP5" s="117">
        <v>17927.749635208627</v>
      </c>
      <c r="AQ5" s="117">
        <v>19078.34319075149</v>
      </c>
      <c r="AR5" s="117">
        <v>19356.203389490074</v>
      </c>
      <c r="AS5" s="117">
        <v>20620.700625917478</v>
      </c>
      <c r="AT5" s="117">
        <v>20669.031968864514</v>
      </c>
      <c r="AU5" s="117">
        <v>20436.887128630886</v>
      </c>
      <c r="AV5" s="117">
        <v>20833.761611669393</v>
      </c>
      <c r="AW5" s="117">
        <v>22569.974985180146</v>
      </c>
      <c r="AX5" s="117">
        <v>23300.039557569555</v>
      </c>
      <c r="AY5" s="117">
        <v>24045.272483354744</v>
      </c>
      <c r="AZ5" s="117">
        <v>25835.132667628393</v>
      </c>
      <c r="BA5" s="117">
        <v>27084.703690365284</v>
      </c>
      <c r="BB5" s="117">
        <v>24630.45371410227</v>
      </c>
      <c r="BC5" s="117">
        <v>23512.602595639666</v>
      </c>
      <c r="BD5" s="117">
        <v>24985.993281373707</v>
      </c>
      <c r="BE5" s="117">
        <v>24713.698045128509</v>
      </c>
      <c r="BF5" s="117">
        <v>26189.435508812912</v>
      </c>
      <c r="BG5" s="117">
        <v>26647.938100985026</v>
      </c>
      <c r="BH5" s="117">
        <v>27980.880695275089</v>
      </c>
      <c r="BI5" s="117">
        <v>28281.350481629957</v>
      </c>
      <c r="BJ5" s="117">
        <v>29007.693003488665</v>
      </c>
      <c r="BK5" s="117"/>
      <c r="BL5" s="117"/>
    </row>
    <row r="6" spans="1:64" hidden="1">
      <c r="A6" s="117" t="s">
        <v>777</v>
      </c>
      <c r="B6" s="117" t="s">
        <v>778</v>
      </c>
      <c r="C6" s="117" t="s">
        <v>775</v>
      </c>
      <c r="D6" s="117" t="s">
        <v>776</v>
      </c>
      <c r="E6" s="117">
        <v>59.773193840985314</v>
      </c>
      <c r="F6" s="117">
        <v>59.860873879077886</v>
      </c>
      <c r="G6" s="117">
        <v>58.458014949543902</v>
      </c>
      <c r="H6" s="117">
        <v>78.70638754078017</v>
      </c>
      <c r="I6" s="117">
        <v>82.095230713183227</v>
      </c>
      <c r="J6" s="117">
        <v>101.10830485337733</v>
      </c>
      <c r="K6" s="117">
        <v>137.5943520531109</v>
      </c>
      <c r="L6" s="117">
        <v>160.8985888724379</v>
      </c>
      <c r="M6" s="117">
        <v>129.10832310259579</v>
      </c>
      <c r="N6" s="117">
        <v>129.32971287662076</v>
      </c>
      <c r="O6" s="117">
        <v>156.51893944298158</v>
      </c>
      <c r="P6" s="117">
        <v>159.56757852188835</v>
      </c>
      <c r="Q6" s="117">
        <v>135.31730831433026</v>
      </c>
      <c r="R6" s="117">
        <v>143.14464950008059</v>
      </c>
      <c r="S6" s="117">
        <v>173.6537646391694</v>
      </c>
      <c r="T6" s="117">
        <v>186.51089714020122</v>
      </c>
      <c r="U6" s="117">
        <v>197.44550755114457</v>
      </c>
      <c r="V6" s="117">
        <v>224.22479728113353</v>
      </c>
      <c r="W6" s="117">
        <v>247.35410634703786</v>
      </c>
      <c r="X6" s="117">
        <v>275.7381976192616</v>
      </c>
      <c r="Y6" s="117">
        <v>272.65528565023186</v>
      </c>
      <c r="Z6" s="117">
        <v>264.11131745306079</v>
      </c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>
        <v>179.42661096722873</v>
      </c>
      <c r="AV6" s="117">
        <v>190.68381429508835</v>
      </c>
      <c r="AW6" s="117">
        <v>211.38211694265547</v>
      </c>
      <c r="AX6" s="117">
        <v>242.03128487198506</v>
      </c>
      <c r="AY6" s="117">
        <v>263.73369166304371</v>
      </c>
      <c r="AZ6" s="117">
        <v>359.69323750139512</v>
      </c>
      <c r="BA6" s="117">
        <v>364.66074479849954</v>
      </c>
      <c r="BB6" s="117">
        <v>438.07603440694083</v>
      </c>
      <c r="BC6" s="117">
        <v>543.30304186393096</v>
      </c>
      <c r="BD6" s="117">
        <v>591.16275903592566</v>
      </c>
      <c r="BE6" s="117">
        <v>641.8714791575386</v>
      </c>
      <c r="BF6" s="117">
        <v>637.16552318702418</v>
      </c>
      <c r="BG6" s="117">
        <v>613.85668916762302</v>
      </c>
      <c r="BH6" s="117">
        <v>578.46635294170835</v>
      </c>
      <c r="BI6" s="117">
        <v>547.22811015036302</v>
      </c>
      <c r="BJ6" s="117">
        <v>556.30200240405964</v>
      </c>
      <c r="BK6" s="117">
        <v>524.16288092540447</v>
      </c>
      <c r="BL6" s="117">
        <v>502.11548691306729</v>
      </c>
    </row>
    <row r="7" spans="1:64" hidden="1">
      <c r="A7" s="117" t="s">
        <v>779</v>
      </c>
      <c r="B7" s="117" t="s">
        <v>780</v>
      </c>
      <c r="C7" s="117" t="s">
        <v>775</v>
      </c>
      <c r="D7" s="117" t="s">
        <v>776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>
        <v>710.98164814002678</v>
      </c>
      <c r="Z7" s="117">
        <v>642.38385795225724</v>
      </c>
      <c r="AA7" s="117">
        <v>619.9613575311098</v>
      </c>
      <c r="AB7" s="117">
        <v>623.44058483156391</v>
      </c>
      <c r="AC7" s="117">
        <v>637.71523070047544</v>
      </c>
      <c r="AD7" s="117">
        <v>758.23757617115098</v>
      </c>
      <c r="AE7" s="117">
        <v>685.27008531670447</v>
      </c>
      <c r="AF7" s="117">
        <v>756.2618530274118</v>
      </c>
      <c r="AG7" s="117">
        <v>792.30312021864415</v>
      </c>
      <c r="AH7" s="117">
        <v>890.55413645900819</v>
      </c>
      <c r="AI7" s="117">
        <v>947.70418208537126</v>
      </c>
      <c r="AJ7" s="117">
        <v>865.69272959239038</v>
      </c>
      <c r="AK7" s="117">
        <v>656.36175596000612</v>
      </c>
      <c r="AL7" s="117">
        <v>441.20067325282486</v>
      </c>
      <c r="AM7" s="117">
        <v>328.673294707808</v>
      </c>
      <c r="AN7" s="117">
        <v>397.1794507694716</v>
      </c>
      <c r="AO7" s="117">
        <v>522.64380726525644</v>
      </c>
      <c r="AP7" s="117">
        <v>514.29522322342382</v>
      </c>
      <c r="AQ7" s="117">
        <v>423.59366023208048</v>
      </c>
      <c r="AR7" s="117">
        <v>387.78431604750222</v>
      </c>
      <c r="AS7" s="117">
        <v>556.83631808655309</v>
      </c>
      <c r="AT7" s="117">
        <v>527.33352853669066</v>
      </c>
      <c r="AU7" s="117">
        <v>872.49449159284086</v>
      </c>
      <c r="AV7" s="117">
        <v>982.96089929111224</v>
      </c>
      <c r="AW7" s="117">
        <v>1255.5640447149135</v>
      </c>
      <c r="AX7" s="117">
        <v>1902.4223455462497</v>
      </c>
      <c r="AY7" s="117">
        <v>2599.5664639760766</v>
      </c>
      <c r="AZ7" s="117">
        <v>3121.9956372623601</v>
      </c>
      <c r="BA7" s="117">
        <v>4080.9414099234577</v>
      </c>
      <c r="BB7" s="117">
        <v>3122.7807664938537</v>
      </c>
      <c r="BC7" s="117">
        <v>3587.8837982439641</v>
      </c>
      <c r="BD7" s="117">
        <v>4615.4680280790562</v>
      </c>
      <c r="BE7" s="117">
        <v>5100.0958080976707</v>
      </c>
      <c r="BF7" s="117">
        <v>5254.8823379961577</v>
      </c>
      <c r="BG7" s="117">
        <v>5408.4104955543235</v>
      </c>
      <c r="BH7" s="117">
        <v>4166.9796838650054</v>
      </c>
      <c r="BI7" s="117">
        <v>3506.0728850696551</v>
      </c>
      <c r="BJ7" s="117">
        <v>4095.8129415585663</v>
      </c>
      <c r="BK7" s="117">
        <v>3289.6466640863291</v>
      </c>
      <c r="BL7" s="117">
        <v>2973.5911597986783</v>
      </c>
    </row>
    <row r="8" spans="1:64" hidden="1">
      <c r="A8" s="117" t="s">
        <v>781</v>
      </c>
      <c r="B8" s="117" t="s">
        <v>782</v>
      </c>
      <c r="C8" s="117" t="s">
        <v>775</v>
      </c>
      <c r="D8" s="117" t="s">
        <v>776</v>
      </c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>
        <v>639.48473584821045</v>
      </c>
      <c r="AD8" s="117">
        <v>639.86590944573436</v>
      </c>
      <c r="AE8" s="117">
        <v>693.87347463388733</v>
      </c>
      <c r="AF8" s="117">
        <v>674.7933830694916</v>
      </c>
      <c r="AG8" s="117">
        <v>652.77432139656605</v>
      </c>
      <c r="AH8" s="117">
        <v>697.99559657651946</v>
      </c>
      <c r="AI8" s="117">
        <v>617.23043551550541</v>
      </c>
      <c r="AJ8" s="117">
        <v>336.58699450462922</v>
      </c>
      <c r="AK8" s="117">
        <v>200.852219772323</v>
      </c>
      <c r="AL8" s="117">
        <v>367.27922507758115</v>
      </c>
      <c r="AM8" s="117">
        <v>586.41633964426148</v>
      </c>
      <c r="AN8" s="117">
        <v>750.6044491788258</v>
      </c>
      <c r="AO8" s="117">
        <v>1009.9776675210585</v>
      </c>
      <c r="AP8" s="117">
        <v>717.38056739173419</v>
      </c>
      <c r="AQ8" s="117">
        <v>813.79026355559904</v>
      </c>
      <c r="AR8" s="117">
        <v>1033.2416930931995</v>
      </c>
      <c r="AS8" s="117">
        <v>1126.683317627406</v>
      </c>
      <c r="AT8" s="117">
        <v>1281.6593934307414</v>
      </c>
      <c r="AU8" s="117">
        <v>1425.1248488836832</v>
      </c>
      <c r="AV8" s="117">
        <v>1846.1188133191222</v>
      </c>
      <c r="AW8" s="117">
        <v>2373.5798437199414</v>
      </c>
      <c r="AX8" s="117">
        <v>2673.787282531126</v>
      </c>
      <c r="AY8" s="117">
        <v>2972.743264621764</v>
      </c>
      <c r="AZ8" s="117">
        <v>3595.0371632151382</v>
      </c>
      <c r="BA8" s="117">
        <v>4370.5401269901404</v>
      </c>
      <c r="BB8" s="117">
        <v>4114.1401140492244</v>
      </c>
      <c r="BC8" s="117">
        <v>4094.3503344202031</v>
      </c>
      <c r="BD8" s="117">
        <v>4437.142885150769</v>
      </c>
      <c r="BE8" s="117">
        <v>4247.6299837425213</v>
      </c>
      <c r="BF8" s="117">
        <v>4413.0608612067617</v>
      </c>
      <c r="BG8" s="117">
        <v>4578.631993982498</v>
      </c>
      <c r="BH8" s="117">
        <v>3952.801215244654</v>
      </c>
      <c r="BI8" s="117">
        <v>4124.0557259535226</v>
      </c>
      <c r="BJ8" s="117">
        <v>4531.0208055598578</v>
      </c>
      <c r="BK8" s="117">
        <v>5284.3801843815581</v>
      </c>
      <c r="BL8" s="117">
        <v>5352.8574110367144</v>
      </c>
    </row>
    <row r="9" spans="1:64" hidden="1">
      <c r="A9" s="117" t="s">
        <v>783</v>
      </c>
      <c r="B9" s="117" t="s">
        <v>784</v>
      </c>
      <c r="C9" s="117" t="s">
        <v>775</v>
      </c>
      <c r="D9" s="117" t="s">
        <v>776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>
        <v>3238.5568497732852</v>
      </c>
      <c r="P9" s="117">
        <v>3498.1736515231987</v>
      </c>
      <c r="Q9" s="117">
        <v>4217.1735811425297</v>
      </c>
      <c r="R9" s="117">
        <v>5342.1685604420836</v>
      </c>
      <c r="S9" s="117">
        <v>6319.739033848371</v>
      </c>
      <c r="T9" s="117">
        <v>7169.1010055955585</v>
      </c>
      <c r="U9" s="117">
        <v>7152.3751336105079</v>
      </c>
      <c r="V9" s="117">
        <v>7751.3702157589105</v>
      </c>
      <c r="W9" s="117">
        <v>9129.7061851807957</v>
      </c>
      <c r="X9" s="117">
        <v>11820.849392832532</v>
      </c>
      <c r="Y9" s="117">
        <v>12377.411645687676</v>
      </c>
      <c r="Z9" s="117">
        <v>10372.232834745</v>
      </c>
      <c r="AA9" s="117">
        <v>9610.2663083157458</v>
      </c>
      <c r="AB9" s="117">
        <v>8022.6547812816143</v>
      </c>
      <c r="AC9" s="117">
        <v>7728.9066945694276</v>
      </c>
      <c r="AD9" s="117">
        <v>7774.3938290347769</v>
      </c>
      <c r="AE9" s="117">
        <v>10361.815982025491</v>
      </c>
      <c r="AF9" s="117">
        <v>12616.167565928967</v>
      </c>
      <c r="AG9" s="117">
        <v>14304.356964578456</v>
      </c>
      <c r="AH9" s="117">
        <v>15166.437850753999</v>
      </c>
      <c r="AI9" s="117">
        <v>18878.505969298818</v>
      </c>
      <c r="AJ9" s="117">
        <v>19532.540150452489</v>
      </c>
      <c r="AK9" s="117">
        <v>20547.711789789653</v>
      </c>
      <c r="AL9" s="117">
        <v>16516.471027220377</v>
      </c>
      <c r="AM9" s="117">
        <v>16234.809010201207</v>
      </c>
      <c r="AN9" s="117">
        <v>18461.064858151207</v>
      </c>
      <c r="AO9" s="117">
        <v>19017.174590224091</v>
      </c>
      <c r="AP9" s="117">
        <v>18353.059721847323</v>
      </c>
      <c r="AQ9" s="117">
        <v>18894.521496322672</v>
      </c>
      <c r="AR9" s="117">
        <v>19261.710503888582</v>
      </c>
      <c r="AS9" s="117">
        <v>21854.246803061382</v>
      </c>
      <c r="AT9" s="117">
        <v>22971.535535508003</v>
      </c>
      <c r="AU9" s="117">
        <v>25066.882210980722</v>
      </c>
      <c r="AV9" s="117">
        <v>32271.963902359632</v>
      </c>
      <c r="AW9" s="117">
        <v>37969.174990799409</v>
      </c>
      <c r="AX9" s="117">
        <v>40066.256918514569</v>
      </c>
      <c r="AY9" s="117">
        <v>42675.81275692967</v>
      </c>
      <c r="AZ9" s="117">
        <v>47803.693607526606</v>
      </c>
      <c r="BA9" s="117">
        <v>48718.49686919128</v>
      </c>
      <c r="BB9" s="117">
        <v>43503.185515676858</v>
      </c>
      <c r="BC9" s="117">
        <v>40852.666777443432</v>
      </c>
      <c r="BD9" s="117">
        <v>43335.328861828319</v>
      </c>
      <c r="BE9" s="117">
        <v>38686.46126350751</v>
      </c>
      <c r="BF9" s="117">
        <v>39538.766722042601</v>
      </c>
      <c r="BG9" s="117">
        <v>41303.929371446415</v>
      </c>
      <c r="BH9" s="117">
        <v>35762.523073757991</v>
      </c>
      <c r="BI9" s="117">
        <v>37474.665405724452</v>
      </c>
      <c r="BJ9" s="117">
        <v>38962.880353670327</v>
      </c>
      <c r="BK9" s="117">
        <v>41793.0552583729</v>
      </c>
      <c r="BL9" s="117">
        <v>40886.391164843146</v>
      </c>
    </row>
    <row r="10" spans="1:64" hidden="1">
      <c r="A10" s="117" t="s">
        <v>785</v>
      </c>
      <c r="B10" s="117" t="s">
        <v>786</v>
      </c>
      <c r="C10" s="117" t="s">
        <v>775</v>
      </c>
      <c r="D10" s="117" t="s">
        <v>776</v>
      </c>
      <c r="E10" s="117"/>
      <c r="F10" s="117"/>
      <c r="G10" s="117"/>
      <c r="H10" s="117"/>
      <c r="I10" s="117"/>
      <c r="J10" s="117"/>
      <c r="K10" s="117"/>
      <c r="L10" s="117"/>
      <c r="M10" s="117">
        <v>224.87867946504193</v>
      </c>
      <c r="N10" s="117">
        <v>240.03623981563541</v>
      </c>
      <c r="O10" s="117">
        <v>262.86741845617689</v>
      </c>
      <c r="P10" s="117">
        <v>295.97172851952229</v>
      </c>
      <c r="Q10" s="117">
        <v>343.56730599147187</v>
      </c>
      <c r="R10" s="117">
        <v>423.13549229968891</v>
      </c>
      <c r="S10" s="117">
        <v>777.562566867844</v>
      </c>
      <c r="T10" s="117">
        <v>836.21080980387649</v>
      </c>
      <c r="U10" s="117">
        <v>1007.1432862212754</v>
      </c>
      <c r="V10" s="117">
        <v>1123.1455823124616</v>
      </c>
      <c r="W10" s="117">
        <v>1193.7481332882153</v>
      </c>
      <c r="X10" s="117">
        <v>1563.707331212692</v>
      </c>
      <c r="Y10" s="117">
        <v>2052.9615355198284</v>
      </c>
      <c r="Z10" s="117">
        <v>2050.7747367076117</v>
      </c>
      <c r="AA10" s="117">
        <v>1864.8757010280033</v>
      </c>
      <c r="AB10" s="117">
        <v>1699.2197229632397</v>
      </c>
      <c r="AC10" s="117">
        <v>1672.2829158097036</v>
      </c>
      <c r="AD10" s="117">
        <v>1606.7598086428902</v>
      </c>
      <c r="AE10" s="117">
        <v>1489.8437443014654</v>
      </c>
      <c r="AF10" s="117">
        <v>1543.5169229715307</v>
      </c>
      <c r="AG10" s="117">
        <v>1476.0447068314804</v>
      </c>
      <c r="AH10" s="117">
        <v>1505.5091989680332</v>
      </c>
      <c r="AI10" s="117">
        <v>2009.4203494128906</v>
      </c>
      <c r="AJ10" s="117">
        <v>1929.6184367956091</v>
      </c>
      <c r="AK10" s="117">
        <v>2028.1917425706433</v>
      </c>
      <c r="AL10" s="117">
        <v>1997.278333767093</v>
      </c>
      <c r="AM10" s="117">
        <v>1989.8406191696772</v>
      </c>
      <c r="AN10" s="117">
        <v>2073.1420758490503</v>
      </c>
      <c r="AO10" s="117">
        <v>2236.3286847416271</v>
      </c>
      <c r="AP10" s="117">
        <v>2319.4103488297619</v>
      </c>
      <c r="AQ10" s="117">
        <v>2189.6811234008433</v>
      </c>
      <c r="AR10" s="117">
        <v>2332.7981041241032</v>
      </c>
      <c r="AS10" s="117">
        <v>2606.0765820889073</v>
      </c>
      <c r="AT10" s="117">
        <v>2510.2619470650852</v>
      </c>
      <c r="AU10" s="117">
        <v>2476.6960286212297</v>
      </c>
      <c r="AV10" s="117">
        <v>2736.482119226755</v>
      </c>
      <c r="AW10" s="117">
        <v>3134.673533674038</v>
      </c>
      <c r="AX10" s="117">
        <v>3765.8204956019445</v>
      </c>
      <c r="AY10" s="117">
        <v>4359.8079626290009</v>
      </c>
      <c r="AZ10" s="117">
        <v>4963.5415207565902</v>
      </c>
      <c r="BA10" s="117">
        <v>6146.3917274384876</v>
      </c>
      <c r="BB10" s="117">
        <v>5176.5283242955729</v>
      </c>
      <c r="BC10" s="117">
        <v>5934.2906837413966</v>
      </c>
      <c r="BD10" s="117">
        <v>6867.6920465640469</v>
      </c>
      <c r="BE10" s="117">
        <v>7465.1516509455842</v>
      </c>
      <c r="BF10" s="117">
        <v>7519.8082598406327</v>
      </c>
      <c r="BG10" s="117">
        <v>7457.4611093292469</v>
      </c>
      <c r="BH10" s="117">
        <v>6387.6606149382478</v>
      </c>
      <c r="BI10" s="117">
        <v>6097.2390253807371</v>
      </c>
      <c r="BJ10" s="117">
        <v>6102.2110667985771</v>
      </c>
      <c r="BK10" s="117">
        <v>6603.3511901370821</v>
      </c>
      <c r="BL10" s="117">
        <v>6580.056256729993</v>
      </c>
    </row>
    <row r="11" spans="1:64" hidden="1">
      <c r="A11" s="117" t="s">
        <v>787</v>
      </c>
      <c r="B11" s="117" t="s">
        <v>788</v>
      </c>
      <c r="C11" s="117" t="s">
        <v>775</v>
      </c>
      <c r="D11" s="117" t="s">
        <v>776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>
        <v>26847.794380277239</v>
      </c>
      <c r="U11" s="117">
        <v>30118.137783385104</v>
      </c>
      <c r="V11" s="117">
        <v>33823.319649856814</v>
      </c>
      <c r="W11" s="117">
        <v>28456.737438093143</v>
      </c>
      <c r="X11" s="117">
        <v>33512.741325998963</v>
      </c>
      <c r="Y11" s="117">
        <v>42764.456663990066</v>
      </c>
      <c r="Z11" s="117">
        <v>44987.209796657931</v>
      </c>
      <c r="AA11" s="117">
        <v>40026.166250246541</v>
      </c>
      <c r="AB11" s="117">
        <v>34843.102899761056</v>
      </c>
      <c r="AC11" s="117">
        <v>32309.807743684381</v>
      </c>
      <c r="AD11" s="117">
        <v>29720.919473463317</v>
      </c>
      <c r="AE11" s="117">
        <v>23467.976669199696</v>
      </c>
      <c r="AF11" s="117">
        <v>23726.152333046884</v>
      </c>
      <c r="AG11" s="117">
        <v>22295.14611159866</v>
      </c>
      <c r="AH11" s="117">
        <v>24028.192878011589</v>
      </c>
      <c r="AI11" s="117">
        <v>27729.466421664831</v>
      </c>
      <c r="AJ11" s="117">
        <v>26612.335536969051</v>
      </c>
      <c r="AK11" s="117">
        <v>26420.872753482286</v>
      </c>
      <c r="AL11" s="117">
        <v>25596.692274786365</v>
      </c>
      <c r="AM11" s="117">
        <v>25847.926123925154</v>
      </c>
      <c r="AN11" s="117">
        <v>27222.035856164737</v>
      </c>
      <c r="AO11" s="117">
        <v>28975.022900079133</v>
      </c>
      <c r="AP11" s="117">
        <v>29512.66374402478</v>
      </c>
      <c r="AQ11" s="117">
        <v>26899.601766231022</v>
      </c>
      <c r="AR11" s="117">
        <v>28470.83786327461</v>
      </c>
      <c r="AS11" s="117">
        <v>33291.419366353031</v>
      </c>
      <c r="AT11" s="117">
        <v>31280.784278595173</v>
      </c>
      <c r="AU11" s="117">
        <v>31567.473712059564</v>
      </c>
      <c r="AV11" s="117">
        <v>33499.093751370456</v>
      </c>
      <c r="AW11" s="117">
        <v>36333.249844526596</v>
      </c>
      <c r="AX11" s="117">
        <v>39365.433901912344</v>
      </c>
      <c r="AY11" s="117">
        <v>41907.405655967981</v>
      </c>
      <c r="AZ11" s="117">
        <v>41809.516382841961</v>
      </c>
      <c r="BA11" s="117">
        <v>44498.934230163301</v>
      </c>
      <c r="BB11" s="117">
        <v>32024.181603118719</v>
      </c>
      <c r="BC11" s="117">
        <v>33893.303514039013</v>
      </c>
      <c r="BD11" s="117">
        <v>39194.676620845574</v>
      </c>
      <c r="BE11" s="117">
        <v>40976.499711245466</v>
      </c>
      <c r="BF11" s="117">
        <v>42412.630278036369</v>
      </c>
      <c r="BG11" s="117">
        <v>43751.838886072117</v>
      </c>
      <c r="BH11" s="117">
        <v>38663.383806636317</v>
      </c>
      <c r="BI11" s="117">
        <v>38141.846758549153</v>
      </c>
      <c r="BJ11" s="117">
        <v>40644.804043392025</v>
      </c>
      <c r="BK11" s="117">
        <v>43839.356349141286</v>
      </c>
      <c r="BL11" s="117">
        <v>43103.323058316506</v>
      </c>
    </row>
    <row r="12" spans="1:64" hidden="1">
      <c r="A12" s="117" t="s">
        <v>789</v>
      </c>
      <c r="B12" s="117" t="s">
        <v>790</v>
      </c>
      <c r="C12" s="117" t="s">
        <v>775</v>
      </c>
      <c r="D12" s="117" t="s">
        <v>776</v>
      </c>
      <c r="E12" s="117"/>
      <c r="F12" s="117"/>
      <c r="G12" s="117">
        <v>1155.8901702509934</v>
      </c>
      <c r="H12" s="117">
        <v>850.30473690205997</v>
      </c>
      <c r="I12" s="117">
        <v>1173.2382127712281</v>
      </c>
      <c r="J12" s="117">
        <v>1279.1134321453139</v>
      </c>
      <c r="K12" s="117">
        <v>1272.8029776739593</v>
      </c>
      <c r="L12" s="117">
        <v>1062.5435519060063</v>
      </c>
      <c r="M12" s="117">
        <v>1141.080480792896</v>
      </c>
      <c r="N12" s="117">
        <v>1329.058659215661</v>
      </c>
      <c r="O12" s="117">
        <v>1322.5908036894382</v>
      </c>
      <c r="P12" s="117">
        <v>1372.3743432739</v>
      </c>
      <c r="Q12" s="117">
        <v>1408.8652084888138</v>
      </c>
      <c r="R12" s="117">
        <v>2097.0225790274167</v>
      </c>
      <c r="S12" s="117">
        <v>2844.8636475388366</v>
      </c>
      <c r="T12" s="117">
        <v>2027.3371238474576</v>
      </c>
      <c r="U12" s="117">
        <v>1948.2246858727208</v>
      </c>
      <c r="V12" s="117">
        <v>2129.7082808990294</v>
      </c>
      <c r="W12" s="117">
        <v>2146.3644830986559</v>
      </c>
      <c r="X12" s="117">
        <v>2520.9216337301173</v>
      </c>
      <c r="Y12" s="117">
        <v>2758.8352121076805</v>
      </c>
      <c r="Z12" s="117">
        <v>2776.3219902814712</v>
      </c>
      <c r="AA12" s="117">
        <v>2927.8975602160531</v>
      </c>
      <c r="AB12" s="117">
        <v>3553.3777516627947</v>
      </c>
      <c r="AC12" s="117">
        <v>2659.7086002331175</v>
      </c>
      <c r="AD12" s="117">
        <v>2926.1269695140022</v>
      </c>
      <c r="AE12" s="117">
        <v>3613.6217092763636</v>
      </c>
      <c r="AF12" s="117">
        <v>3562.8756017452129</v>
      </c>
      <c r="AG12" s="117">
        <v>3985.1912103584859</v>
      </c>
      <c r="AH12" s="117">
        <v>2383.8676931131117</v>
      </c>
      <c r="AI12" s="117">
        <v>4333.4829731214613</v>
      </c>
      <c r="AJ12" s="117">
        <v>5735.3603273522331</v>
      </c>
      <c r="AK12" s="117">
        <v>6823.5376160467977</v>
      </c>
      <c r="AL12" s="117">
        <v>6969.1180878100458</v>
      </c>
      <c r="AM12" s="117">
        <v>7483.1396817084442</v>
      </c>
      <c r="AN12" s="117">
        <v>7408.7082381876507</v>
      </c>
      <c r="AO12" s="117">
        <v>7721.3545427396302</v>
      </c>
      <c r="AP12" s="117">
        <v>8213.1271999447854</v>
      </c>
      <c r="AQ12" s="117">
        <v>8289.5057293311766</v>
      </c>
      <c r="AR12" s="117">
        <v>7774.7362028000052</v>
      </c>
      <c r="AS12" s="117">
        <v>7708.1009960541387</v>
      </c>
      <c r="AT12" s="117">
        <v>7208.3715665121026</v>
      </c>
      <c r="AU12" s="117">
        <v>2593.4041504246579</v>
      </c>
      <c r="AV12" s="117">
        <v>3349.8061244114961</v>
      </c>
      <c r="AW12" s="117">
        <v>4277.7213506438857</v>
      </c>
      <c r="AX12" s="117">
        <v>5109.8513252262128</v>
      </c>
      <c r="AY12" s="117">
        <v>5919.0120370775321</v>
      </c>
      <c r="AZ12" s="117">
        <v>7245.4483172894461</v>
      </c>
      <c r="BA12" s="117">
        <v>9020.8730980719447</v>
      </c>
      <c r="BB12" s="117">
        <v>8225.1371762641174</v>
      </c>
      <c r="BC12" s="117">
        <v>10385.964431955525</v>
      </c>
      <c r="BD12" s="117">
        <v>12848.86419697053</v>
      </c>
      <c r="BE12" s="117">
        <v>13082.664325571988</v>
      </c>
      <c r="BF12" s="117">
        <v>13080.254732336658</v>
      </c>
      <c r="BG12" s="117">
        <v>12334.798245389289</v>
      </c>
      <c r="BH12" s="117">
        <v>13789.060424772022</v>
      </c>
      <c r="BI12" s="117">
        <v>12790.242473244707</v>
      </c>
      <c r="BJ12" s="117">
        <v>14591.863381054129</v>
      </c>
      <c r="BK12" s="117">
        <v>11683.949621636286</v>
      </c>
      <c r="BL12" s="117">
        <v>10006.14897360816</v>
      </c>
    </row>
    <row r="13" spans="1:64" hidden="1">
      <c r="A13" s="117" t="s">
        <v>791</v>
      </c>
      <c r="B13" s="117" t="s">
        <v>792</v>
      </c>
      <c r="C13" s="117" t="s">
        <v>775</v>
      </c>
      <c r="D13" s="117" t="s">
        <v>776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>
        <v>637.85465949134175</v>
      </c>
      <c r="AJ13" s="117">
        <v>590.12104726755911</v>
      </c>
      <c r="AK13" s="117">
        <v>369.63261658319772</v>
      </c>
      <c r="AL13" s="117">
        <v>357.20327774567909</v>
      </c>
      <c r="AM13" s="117">
        <v>400.515238080735</v>
      </c>
      <c r="AN13" s="117">
        <v>456.37504866380942</v>
      </c>
      <c r="AO13" s="117">
        <v>504.05855944991566</v>
      </c>
      <c r="AP13" s="117">
        <v>523.28306804074839</v>
      </c>
      <c r="AQ13" s="117">
        <v>609.17243751610192</v>
      </c>
      <c r="AR13" s="117">
        <v>597.43251470789403</v>
      </c>
      <c r="AS13" s="117">
        <v>622.74213906349758</v>
      </c>
      <c r="AT13" s="117">
        <v>694.42322774467982</v>
      </c>
      <c r="AU13" s="117">
        <v>783.24069864704211</v>
      </c>
      <c r="AV13" s="117">
        <v>930.12732185179937</v>
      </c>
      <c r="AW13" s="117">
        <v>1191.9190195740218</v>
      </c>
      <c r="AX13" s="117">
        <v>1643.7530293610992</v>
      </c>
      <c r="AY13" s="117">
        <v>2158.143697101787</v>
      </c>
      <c r="AZ13" s="117">
        <v>3139.2774989433315</v>
      </c>
      <c r="BA13" s="117">
        <v>4010.857242552257</v>
      </c>
      <c r="BB13" s="117">
        <v>2994.3425444850923</v>
      </c>
      <c r="BC13" s="117">
        <v>3218.3727066056335</v>
      </c>
      <c r="BD13" s="117">
        <v>3525.8047467115348</v>
      </c>
      <c r="BE13" s="117">
        <v>3681.8574560431011</v>
      </c>
      <c r="BF13" s="117">
        <v>3838.1858014838167</v>
      </c>
      <c r="BG13" s="117">
        <v>3986.2316237671262</v>
      </c>
      <c r="BH13" s="117">
        <v>3607.2966967227057</v>
      </c>
      <c r="BI13" s="117">
        <v>3591.8292755302314</v>
      </c>
      <c r="BJ13" s="117">
        <v>3914.5012684127969</v>
      </c>
      <c r="BK13" s="117">
        <v>4220.4902767124877</v>
      </c>
      <c r="BL13" s="117">
        <v>4622.7334932867088</v>
      </c>
    </row>
    <row r="14" spans="1:64" hidden="1">
      <c r="A14" s="117" t="s">
        <v>793</v>
      </c>
      <c r="B14" s="117" t="s">
        <v>794</v>
      </c>
      <c r="C14" s="117" t="s">
        <v>775</v>
      </c>
      <c r="D14" s="117" t="s">
        <v>776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>
        <v>8700.0677048070411</v>
      </c>
      <c r="AV14" s="117">
        <v>8856.5474589943533</v>
      </c>
      <c r="AW14" s="117">
        <v>8578.944722776092</v>
      </c>
      <c r="AX14" s="117">
        <v>8444.9816997414455</v>
      </c>
      <c r="AY14" s="117">
        <v>8391.5610672170806</v>
      </c>
      <c r="AZ14" s="117">
        <v>8909.4491561723644</v>
      </c>
      <c r="BA14" s="117">
        <v>9792.6668058164614</v>
      </c>
      <c r="BB14" s="117">
        <v>11961.258225570276</v>
      </c>
      <c r="BC14" s="117">
        <v>10271.224522548548</v>
      </c>
      <c r="BD14" s="117">
        <v>10294.302265105185</v>
      </c>
      <c r="BE14" s="117">
        <v>11568.793001239514</v>
      </c>
      <c r="BF14" s="117">
        <v>11505.393714213918</v>
      </c>
      <c r="BG14" s="117">
        <v>11507.232349303651</v>
      </c>
      <c r="BH14" s="117">
        <v>11843.33118325808</v>
      </c>
      <c r="BI14" s="117">
        <v>11696.955562332932</v>
      </c>
      <c r="BJ14" s="117">
        <v>10823.444804027329</v>
      </c>
      <c r="BK14" s="117">
        <v>11466.690705850537</v>
      </c>
      <c r="BL14" s="117"/>
    </row>
    <row r="15" spans="1:64" hidden="1">
      <c r="A15" s="117" t="s">
        <v>795</v>
      </c>
      <c r="B15" s="117" t="s">
        <v>796</v>
      </c>
      <c r="C15" s="117" t="s">
        <v>775</v>
      </c>
      <c r="D15" s="117" t="s">
        <v>776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>
        <v>1246.750329054581</v>
      </c>
      <c r="W15" s="117">
        <v>1416.5861996499045</v>
      </c>
      <c r="X15" s="117">
        <v>1760.7176344410009</v>
      </c>
      <c r="Y15" s="117">
        <v>2124.4811552035344</v>
      </c>
      <c r="Z15" s="117">
        <v>2392.2610751528227</v>
      </c>
      <c r="AA15" s="117">
        <v>2660.6011571713507</v>
      </c>
      <c r="AB15" s="117">
        <v>2947.9355360021195</v>
      </c>
      <c r="AC15" s="117">
        <v>3372.4928996260687</v>
      </c>
      <c r="AD15" s="117">
        <v>3899.3287284306284</v>
      </c>
      <c r="AE15" s="117">
        <v>4703.1794011843886</v>
      </c>
      <c r="AF15" s="117">
        <v>5463.2412763396114</v>
      </c>
      <c r="AG15" s="117">
        <v>6453.4770001744791</v>
      </c>
      <c r="AH15" s="117">
        <v>7076.4222119487567</v>
      </c>
      <c r="AI15" s="117">
        <v>7348.2129428238359</v>
      </c>
      <c r="AJ15" s="117">
        <v>7601.8484910652751</v>
      </c>
      <c r="AK15" s="117">
        <v>7744.2749166004578</v>
      </c>
      <c r="AL15" s="117">
        <v>8136.168839834254</v>
      </c>
      <c r="AM15" s="117">
        <v>8770.7516307450842</v>
      </c>
      <c r="AN15" s="117">
        <v>8406.5929917102185</v>
      </c>
      <c r="AO15" s="117">
        <v>9030.9752986138483</v>
      </c>
      <c r="AP15" s="117">
        <v>9492.0382560402631</v>
      </c>
      <c r="AQ15" s="117">
        <v>9940.1916392520561</v>
      </c>
      <c r="AR15" s="117">
        <v>10260.585021907567</v>
      </c>
      <c r="AS15" s="117">
        <v>10920.842688089057</v>
      </c>
      <c r="AT15" s="117">
        <v>10370.671129607565</v>
      </c>
      <c r="AU15" s="117">
        <v>10404.436213466162</v>
      </c>
      <c r="AV15" s="117">
        <v>10789.950959787024</v>
      </c>
      <c r="AW15" s="117">
        <v>11446.638470276688</v>
      </c>
      <c r="AX15" s="117">
        <v>12547.613039910342</v>
      </c>
      <c r="AY15" s="117">
        <v>13989.715666043292</v>
      </c>
      <c r="AZ15" s="117">
        <v>15607.089869008802</v>
      </c>
      <c r="BA15" s="117">
        <v>16024.345551214177</v>
      </c>
      <c r="BB15" s="117">
        <v>14113.07726004657</v>
      </c>
      <c r="BC15" s="117">
        <v>13049.257054573545</v>
      </c>
      <c r="BD15" s="117">
        <v>12746.20502433573</v>
      </c>
      <c r="BE15" s="117">
        <v>13272.441329382566</v>
      </c>
      <c r="BF15" s="117">
        <v>12909.744177500634</v>
      </c>
      <c r="BG15" s="117">
        <v>13501.58092233674</v>
      </c>
      <c r="BH15" s="117">
        <v>14286.093159829348</v>
      </c>
      <c r="BI15" s="117">
        <v>15197.617455173497</v>
      </c>
      <c r="BJ15" s="117">
        <v>15383.415188499755</v>
      </c>
      <c r="BK15" s="117">
        <v>16726.980807947926</v>
      </c>
      <c r="BL15" s="117">
        <v>17790.309306815001</v>
      </c>
    </row>
    <row r="16" spans="1:64" hidden="1">
      <c r="A16" s="117" t="s">
        <v>797</v>
      </c>
      <c r="B16" s="117" t="s">
        <v>798</v>
      </c>
      <c r="C16" s="117" t="s">
        <v>775</v>
      </c>
      <c r="D16" s="117" t="s">
        <v>776</v>
      </c>
      <c r="E16" s="117">
        <v>1807.7857102120645</v>
      </c>
      <c r="F16" s="117">
        <v>1874.7321057712572</v>
      </c>
      <c r="G16" s="117">
        <v>1851.8418507458839</v>
      </c>
      <c r="H16" s="117">
        <v>1964.1504696359048</v>
      </c>
      <c r="I16" s="117">
        <v>2128.0683550920189</v>
      </c>
      <c r="J16" s="117">
        <v>2277.5583976043613</v>
      </c>
      <c r="K16" s="117">
        <v>2340.438684606172</v>
      </c>
      <c r="L16" s="117">
        <v>2576.2845085275048</v>
      </c>
      <c r="M16" s="117">
        <v>2720.0826094879876</v>
      </c>
      <c r="N16" s="117">
        <v>2986.9495074478618</v>
      </c>
      <c r="O16" s="117">
        <v>3299.8432066305832</v>
      </c>
      <c r="P16" s="117">
        <v>3489.9522936835801</v>
      </c>
      <c r="Q16" s="117">
        <v>3943.7876390397023</v>
      </c>
      <c r="R16" s="117">
        <v>4763.6283896815976</v>
      </c>
      <c r="S16" s="117">
        <v>6473.165152973259</v>
      </c>
      <c r="T16" s="117">
        <v>6994.2099268890888</v>
      </c>
      <c r="U16" s="117">
        <v>7476.7487477451914</v>
      </c>
      <c r="V16" s="117">
        <v>7765.0705443492743</v>
      </c>
      <c r="W16" s="117">
        <v>8241.9972758729618</v>
      </c>
      <c r="X16" s="117">
        <v>9281.5233560545821</v>
      </c>
      <c r="Y16" s="117">
        <v>10194.318701478152</v>
      </c>
      <c r="Z16" s="117">
        <v>11833.743211505795</v>
      </c>
      <c r="AA16" s="117">
        <v>12766.522252171724</v>
      </c>
      <c r="AB16" s="117">
        <v>11518.668519206798</v>
      </c>
      <c r="AC16" s="117">
        <v>12431.945848830783</v>
      </c>
      <c r="AD16" s="117">
        <v>11437.664460965816</v>
      </c>
      <c r="AE16" s="117">
        <v>11364.239462614636</v>
      </c>
      <c r="AF16" s="117">
        <v>11624.539587135452</v>
      </c>
      <c r="AG16" s="117">
        <v>14254.557574938352</v>
      </c>
      <c r="AH16" s="117">
        <v>17798.314237832397</v>
      </c>
      <c r="AI16" s="117">
        <v>18211.274590155626</v>
      </c>
      <c r="AJ16" s="117">
        <v>18821.477389206178</v>
      </c>
      <c r="AK16" s="117">
        <v>18569.812752556471</v>
      </c>
      <c r="AL16" s="117">
        <v>17634.256351967397</v>
      </c>
      <c r="AM16" s="117">
        <v>18046.020243978914</v>
      </c>
      <c r="AN16" s="117">
        <v>20319.630628395571</v>
      </c>
      <c r="AO16" s="117">
        <v>21861.325509869977</v>
      </c>
      <c r="AP16" s="117">
        <v>23468.596830637402</v>
      </c>
      <c r="AQ16" s="117">
        <v>21318.964169431812</v>
      </c>
      <c r="AR16" s="117">
        <v>20533.035061906994</v>
      </c>
      <c r="AS16" s="117">
        <v>21679.24784241465</v>
      </c>
      <c r="AT16" s="117">
        <v>19490.861109730293</v>
      </c>
      <c r="AU16" s="117">
        <v>20082.483267274925</v>
      </c>
      <c r="AV16" s="117">
        <v>23447.031000671657</v>
      </c>
      <c r="AW16" s="117">
        <v>30430.676437444316</v>
      </c>
      <c r="AX16" s="117">
        <v>33999.242857583544</v>
      </c>
      <c r="AY16" s="117">
        <v>36044.922810848482</v>
      </c>
      <c r="AZ16" s="117">
        <v>40960.054494819851</v>
      </c>
      <c r="BA16" s="117">
        <v>49601.656708217793</v>
      </c>
      <c r="BB16" s="117">
        <v>42772.359166449794</v>
      </c>
      <c r="BC16" s="117">
        <v>52022.125596187558</v>
      </c>
      <c r="BD16" s="117">
        <v>62517.833747150289</v>
      </c>
      <c r="BE16" s="117">
        <v>68012.147900593409</v>
      </c>
      <c r="BF16" s="117">
        <v>68150.107041321491</v>
      </c>
      <c r="BG16" s="117">
        <v>62510.791170564138</v>
      </c>
      <c r="BH16" s="117">
        <v>56755.7217124249</v>
      </c>
      <c r="BI16" s="117">
        <v>49971.131456129013</v>
      </c>
      <c r="BJ16" s="117">
        <v>54066.471268611698</v>
      </c>
      <c r="BK16" s="117">
        <v>57395.919466316685</v>
      </c>
      <c r="BL16" s="117">
        <v>54907.101910142366</v>
      </c>
    </row>
    <row r="17" spans="1:64" hidden="1">
      <c r="A17" s="117" t="s">
        <v>799</v>
      </c>
      <c r="B17" s="117" t="s">
        <v>800</v>
      </c>
      <c r="C17" s="117" t="s">
        <v>775</v>
      </c>
      <c r="D17" s="117" t="s">
        <v>776</v>
      </c>
      <c r="E17" s="117">
        <v>935.46042685041539</v>
      </c>
      <c r="F17" s="117">
        <v>1031.8150043290987</v>
      </c>
      <c r="G17" s="117">
        <v>1087.8342434189017</v>
      </c>
      <c r="H17" s="117">
        <v>1167.0005324458452</v>
      </c>
      <c r="I17" s="117">
        <v>1269.4125828925592</v>
      </c>
      <c r="J17" s="117">
        <v>1374.5321398607475</v>
      </c>
      <c r="K17" s="117">
        <v>1486.9686060056572</v>
      </c>
      <c r="L17" s="117">
        <v>1569.6671828996664</v>
      </c>
      <c r="M17" s="117">
        <v>1677.6735280427151</v>
      </c>
      <c r="N17" s="117">
        <v>1825.3861255212357</v>
      </c>
      <c r="O17" s="117">
        <v>2058.769079226071</v>
      </c>
      <c r="P17" s="117">
        <v>2380.9784433324617</v>
      </c>
      <c r="Q17" s="117">
        <v>2924.048871100571</v>
      </c>
      <c r="R17" s="117">
        <v>3890.7224564763401</v>
      </c>
      <c r="S17" s="117">
        <v>4630.757207067104</v>
      </c>
      <c r="T17" s="117">
        <v>5285.620724141213</v>
      </c>
      <c r="U17" s="117">
        <v>5678.3866378227331</v>
      </c>
      <c r="V17" s="117">
        <v>6810.6277286985996</v>
      </c>
      <c r="W17" s="117">
        <v>8205.4689270282252</v>
      </c>
      <c r="X17" s="117">
        <v>9793.7653072462799</v>
      </c>
      <c r="Y17" s="117">
        <v>10869.546423609941</v>
      </c>
      <c r="Z17" s="117">
        <v>9385.2490183214613</v>
      </c>
      <c r="AA17" s="117">
        <v>9410.347224579853</v>
      </c>
      <c r="AB17" s="117">
        <v>9537.407430564137</v>
      </c>
      <c r="AC17" s="117">
        <v>8991.0650760101653</v>
      </c>
      <c r="AD17" s="117">
        <v>9172.0967688097589</v>
      </c>
      <c r="AE17" s="117">
        <v>13083.072697824256</v>
      </c>
      <c r="AF17" s="117">
        <v>16392.769566581264</v>
      </c>
      <c r="AG17" s="117">
        <v>17578.618939739667</v>
      </c>
      <c r="AH17" s="117">
        <v>17468.946191855408</v>
      </c>
      <c r="AI17" s="117">
        <v>21680.989686362642</v>
      </c>
      <c r="AJ17" s="117">
        <v>22410.911736270409</v>
      </c>
      <c r="AK17" s="117">
        <v>24880.164070124996</v>
      </c>
      <c r="AL17" s="117">
        <v>24081.527807764585</v>
      </c>
      <c r="AM17" s="117">
        <v>25646.700659168418</v>
      </c>
      <c r="AN17" s="117">
        <v>30325.849581839615</v>
      </c>
      <c r="AO17" s="117">
        <v>29809.076773082146</v>
      </c>
      <c r="AP17" s="117">
        <v>26705.478599389131</v>
      </c>
      <c r="AQ17" s="117">
        <v>27361.875110643698</v>
      </c>
      <c r="AR17" s="117">
        <v>27174.29715597754</v>
      </c>
      <c r="AS17" s="117">
        <v>24564.458294840359</v>
      </c>
      <c r="AT17" s="117">
        <v>24537.51426298829</v>
      </c>
      <c r="AU17" s="117">
        <v>26401.74545643567</v>
      </c>
      <c r="AV17" s="117">
        <v>32222.897241165541</v>
      </c>
      <c r="AW17" s="117">
        <v>36821.521468009327</v>
      </c>
      <c r="AX17" s="117">
        <v>38403.133877071479</v>
      </c>
      <c r="AY17" s="117">
        <v>40635.281815972434</v>
      </c>
      <c r="AZ17" s="117">
        <v>46855.771745209517</v>
      </c>
      <c r="BA17" s="117">
        <v>51708.765754175831</v>
      </c>
      <c r="BB17" s="117">
        <v>47963.179402321686</v>
      </c>
      <c r="BC17" s="117">
        <v>46858.043273371695</v>
      </c>
      <c r="BD17" s="117">
        <v>51374.958406693382</v>
      </c>
      <c r="BE17" s="117">
        <v>48567.695286420021</v>
      </c>
      <c r="BF17" s="117">
        <v>50716.708706286357</v>
      </c>
      <c r="BG17" s="117">
        <v>51717.495940551496</v>
      </c>
      <c r="BH17" s="117">
        <v>44178.047377743205</v>
      </c>
      <c r="BI17" s="117">
        <v>45237.805092154333</v>
      </c>
      <c r="BJ17" s="117">
        <v>47549.079040234887</v>
      </c>
      <c r="BK17" s="117">
        <v>51525.04643427908</v>
      </c>
      <c r="BL17" s="117">
        <v>50277.275087421316</v>
      </c>
    </row>
    <row r="18" spans="1:64" hidden="1">
      <c r="A18" s="117" t="s">
        <v>801</v>
      </c>
      <c r="B18" s="117" t="s">
        <v>802</v>
      </c>
      <c r="C18" s="117" t="s">
        <v>775</v>
      </c>
      <c r="D18" s="117" t="s">
        <v>776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>
        <v>1237.3244916770022</v>
      </c>
      <c r="AJ18" s="117">
        <v>1209.2374928495947</v>
      </c>
      <c r="AK18" s="117">
        <v>676.15151145251991</v>
      </c>
      <c r="AL18" s="117">
        <v>529.81366184328692</v>
      </c>
      <c r="AM18" s="117">
        <v>436.21686896693416</v>
      </c>
      <c r="AN18" s="117">
        <v>397.19811611724703</v>
      </c>
      <c r="AO18" s="117">
        <v>409.21075515961809</v>
      </c>
      <c r="AP18" s="117">
        <v>505.56377472197937</v>
      </c>
      <c r="AQ18" s="117">
        <v>561.90703540379502</v>
      </c>
      <c r="AR18" s="117">
        <v>573.89329658584586</v>
      </c>
      <c r="AS18" s="117">
        <v>655.09743260258597</v>
      </c>
      <c r="AT18" s="117">
        <v>703.68384343272248</v>
      </c>
      <c r="AU18" s="117">
        <v>763.08063798535807</v>
      </c>
      <c r="AV18" s="117">
        <v>883.64399654716965</v>
      </c>
      <c r="AW18" s="117">
        <v>1045.0093791680526</v>
      </c>
      <c r="AX18" s="117">
        <v>1578.4023902960269</v>
      </c>
      <c r="AY18" s="117">
        <v>2473.0818186353627</v>
      </c>
      <c r="AZ18" s="117">
        <v>3851.4378687117223</v>
      </c>
      <c r="BA18" s="117">
        <v>5574.6038021861259</v>
      </c>
      <c r="BB18" s="117">
        <v>4950.2947914237511</v>
      </c>
      <c r="BC18" s="117">
        <v>5842.8057835857626</v>
      </c>
      <c r="BD18" s="117">
        <v>7189.6912292076549</v>
      </c>
      <c r="BE18" s="117">
        <v>7496.294647682631</v>
      </c>
      <c r="BF18" s="117">
        <v>7875.756952542878</v>
      </c>
      <c r="BG18" s="117">
        <v>7891.313147499859</v>
      </c>
      <c r="BH18" s="117">
        <v>5500.3103824440796</v>
      </c>
      <c r="BI18" s="117">
        <v>3880.7387308955604</v>
      </c>
      <c r="BJ18" s="117">
        <v>4147.0897156917072</v>
      </c>
      <c r="BK18" s="117">
        <v>4739.8417102839285</v>
      </c>
      <c r="BL18" s="117">
        <v>4793.5870196698861</v>
      </c>
    </row>
    <row r="19" spans="1:64" hidden="1">
      <c r="A19" s="117" t="s">
        <v>803</v>
      </c>
      <c r="B19" s="117" t="s">
        <v>804</v>
      </c>
      <c r="C19" s="117" t="s">
        <v>775</v>
      </c>
      <c r="D19" s="117" t="s">
        <v>776</v>
      </c>
      <c r="E19" s="117">
        <v>70.051734638297148</v>
      </c>
      <c r="F19" s="117">
        <v>71.167188208823461</v>
      </c>
      <c r="G19" s="117">
        <v>73.435305561374193</v>
      </c>
      <c r="H19" s="117">
        <v>78.514329413407722</v>
      </c>
      <c r="I19" s="117">
        <v>86.161606455428938</v>
      </c>
      <c r="J19" s="117">
        <v>51.38186465296041</v>
      </c>
      <c r="K19" s="117">
        <v>52.182650451056915</v>
      </c>
      <c r="L19" s="117">
        <v>54.806392580252187</v>
      </c>
      <c r="M19" s="117">
        <v>54.90081143519172</v>
      </c>
      <c r="N19" s="117">
        <v>55.715015502988457</v>
      </c>
      <c r="O19" s="117">
        <v>69.769303966679473</v>
      </c>
      <c r="P19" s="117">
        <v>71.626770706684937</v>
      </c>
      <c r="Q19" s="117">
        <v>69.139401677515892</v>
      </c>
      <c r="R19" s="117">
        <v>84.418641554316139</v>
      </c>
      <c r="S19" s="117">
        <v>94.685321637374201</v>
      </c>
      <c r="T19" s="117">
        <v>113.75312538279184</v>
      </c>
      <c r="U19" s="117">
        <v>118.91490152359717</v>
      </c>
      <c r="V19" s="117">
        <v>142.0530207476188</v>
      </c>
      <c r="W19" s="117">
        <v>154.51619504879022</v>
      </c>
      <c r="X19" s="117">
        <v>193.15020230050069</v>
      </c>
      <c r="Y19" s="117">
        <v>221.23183535716385</v>
      </c>
      <c r="Z19" s="117">
        <v>227.12812002912599</v>
      </c>
      <c r="AA19" s="117">
        <v>231.34385231174892</v>
      </c>
      <c r="AB19" s="117">
        <v>240.78229208429732</v>
      </c>
      <c r="AC19" s="117">
        <v>213.61651778092522</v>
      </c>
      <c r="AD19" s="117">
        <v>242.05824905663343</v>
      </c>
      <c r="AE19" s="117">
        <v>245.91542814217547</v>
      </c>
      <c r="AF19" s="117">
        <v>225.07169964520705</v>
      </c>
      <c r="AG19" s="117">
        <v>209.4150634236849</v>
      </c>
      <c r="AH19" s="117">
        <v>209.89441260543069</v>
      </c>
      <c r="AI19" s="117">
        <v>208.14675543825308</v>
      </c>
      <c r="AJ19" s="117">
        <v>209.77789791740332</v>
      </c>
      <c r="AK19" s="117">
        <v>190.48901395109198</v>
      </c>
      <c r="AL19" s="117">
        <v>161.88755294688735</v>
      </c>
      <c r="AM19" s="117">
        <v>156.81230123065325</v>
      </c>
      <c r="AN19" s="117">
        <v>167.09891575612218</v>
      </c>
      <c r="AO19" s="117">
        <v>143.40230010920482</v>
      </c>
      <c r="AP19" s="117">
        <v>158.91466988048685</v>
      </c>
      <c r="AQ19" s="117">
        <v>144.49306402193389</v>
      </c>
      <c r="AR19" s="117">
        <v>128.93908328058393</v>
      </c>
      <c r="AS19" s="117">
        <v>136.46397080034018</v>
      </c>
      <c r="AT19" s="117">
        <v>134.36344750799904</v>
      </c>
      <c r="AU19" s="117">
        <v>123.11762796347713</v>
      </c>
      <c r="AV19" s="117">
        <v>113.56736636938129</v>
      </c>
      <c r="AW19" s="117">
        <v>128.33661283458213</v>
      </c>
      <c r="AX19" s="117">
        <v>151.68146336648527</v>
      </c>
      <c r="AY19" s="117">
        <v>167.37648450549204</v>
      </c>
      <c r="AZ19" s="117">
        <v>172.49585992683714</v>
      </c>
      <c r="BA19" s="117">
        <v>198.35290055506294</v>
      </c>
      <c r="BB19" s="117">
        <v>212.1368803900248</v>
      </c>
      <c r="BC19" s="117">
        <v>234.23564687499908</v>
      </c>
      <c r="BD19" s="117">
        <v>249.57797936680134</v>
      </c>
      <c r="BE19" s="117">
        <v>252.35897985834407</v>
      </c>
      <c r="BF19" s="117">
        <v>256.97600279675419</v>
      </c>
      <c r="BG19" s="117">
        <v>274.85794791384581</v>
      </c>
      <c r="BH19" s="117">
        <v>305.54977279744105</v>
      </c>
      <c r="BI19" s="117">
        <v>282.19313040481427</v>
      </c>
      <c r="BJ19" s="117">
        <v>292.99763068441473</v>
      </c>
      <c r="BK19" s="117">
        <v>271.7520443766482</v>
      </c>
      <c r="BL19" s="117">
        <v>261.24747251574212</v>
      </c>
    </row>
    <row r="20" spans="1:64" hidden="1">
      <c r="A20" s="117" t="s">
        <v>805</v>
      </c>
      <c r="B20" s="117" t="s">
        <v>806</v>
      </c>
      <c r="C20" s="117" t="s">
        <v>775</v>
      </c>
      <c r="D20" s="117" t="s">
        <v>776</v>
      </c>
      <c r="E20" s="117">
        <v>1273.6916591028862</v>
      </c>
      <c r="F20" s="117">
        <v>1350.1976733312283</v>
      </c>
      <c r="G20" s="117">
        <v>1438.523233068398</v>
      </c>
      <c r="H20" s="117">
        <v>1535.0237290104324</v>
      </c>
      <c r="I20" s="117">
        <v>1701.8462755431949</v>
      </c>
      <c r="J20" s="117">
        <v>1835.5947655319421</v>
      </c>
      <c r="K20" s="117">
        <v>1957.6260804276205</v>
      </c>
      <c r="L20" s="117">
        <v>2086.636005446544</v>
      </c>
      <c r="M20" s="117">
        <v>2222.3615105191348</v>
      </c>
      <c r="N20" s="117">
        <v>2458.081820037733</v>
      </c>
      <c r="O20" s="117">
        <v>2765.891005003522</v>
      </c>
      <c r="P20" s="117">
        <v>3082.927954787865</v>
      </c>
      <c r="Q20" s="117">
        <v>3831.6318811189212</v>
      </c>
      <c r="R20" s="117">
        <v>4900.9622007586613</v>
      </c>
      <c r="S20" s="117">
        <v>5733.7981711310777</v>
      </c>
      <c r="T20" s="117">
        <v>6701.3773157580545</v>
      </c>
      <c r="U20" s="117">
        <v>7243.0473624813849</v>
      </c>
      <c r="V20" s="117">
        <v>8426.9469480245698</v>
      </c>
      <c r="W20" s="117">
        <v>10289.768352240057</v>
      </c>
      <c r="X20" s="117">
        <v>11810.61587547254</v>
      </c>
      <c r="Y20" s="117">
        <v>12864.002538155708</v>
      </c>
      <c r="Z20" s="117">
        <v>10622.802461038422</v>
      </c>
      <c r="AA20" s="117">
        <v>9343.8611443860063</v>
      </c>
      <c r="AB20" s="117">
        <v>8846.2342584437065</v>
      </c>
      <c r="AC20" s="117">
        <v>8457.2687748287753</v>
      </c>
      <c r="AD20" s="117">
        <v>8750.8185469632954</v>
      </c>
      <c r="AE20" s="117">
        <v>12170.040687113471</v>
      </c>
      <c r="AF20" s="117">
        <v>15135.852267908736</v>
      </c>
      <c r="AG20" s="117">
        <v>16391.093816711142</v>
      </c>
      <c r="AH20" s="117">
        <v>16525.061784491609</v>
      </c>
      <c r="AI20" s="117">
        <v>20600.375254760755</v>
      </c>
      <c r="AJ20" s="117">
        <v>21041.66064015673</v>
      </c>
      <c r="AK20" s="117">
        <v>23372.619133543096</v>
      </c>
      <c r="AL20" s="117">
        <v>22283.936009792353</v>
      </c>
      <c r="AM20" s="117">
        <v>24208.554840821136</v>
      </c>
      <c r="AN20" s="117">
        <v>28413.826438736807</v>
      </c>
      <c r="AO20" s="117">
        <v>27489.555177048835</v>
      </c>
      <c r="AP20" s="117">
        <v>24820.93805038961</v>
      </c>
      <c r="AQ20" s="117">
        <v>25338.443293490422</v>
      </c>
      <c r="AR20" s="117">
        <v>25244.275047481318</v>
      </c>
      <c r="AS20" s="117">
        <v>23041.534729042807</v>
      </c>
      <c r="AT20" s="117">
        <v>22995.157524728835</v>
      </c>
      <c r="AU20" s="117">
        <v>24887.561334183294</v>
      </c>
      <c r="AV20" s="117">
        <v>30587.668409379563</v>
      </c>
      <c r="AW20" s="117">
        <v>35364.375331436844</v>
      </c>
      <c r="AX20" s="117">
        <v>36795.976881963943</v>
      </c>
      <c r="AY20" s="117">
        <v>38672.705942976747</v>
      </c>
      <c r="AZ20" s="117">
        <v>44262.896000995432</v>
      </c>
      <c r="BA20" s="117">
        <v>48106.892915787968</v>
      </c>
      <c r="BB20" s="117">
        <v>44583.544807081358</v>
      </c>
      <c r="BC20" s="117">
        <v>44141.878141573383</v>
      </c>
      <c r="BD20" s="117">
        <v>47348.525020201632</v>
      </c>
      <c r="BE20" s="117">
        <v>44673.115875590134</v>
      </c>
      <c r="BF20" s="117">
        <v>46744.662544151564</v>
      </c>
      <c r="BG20" s="117">
        <v>47700.54036011784</v>
      </c>
      <c r="BH20" s="117">
        <v>40991.808138143228</v>
      </c>
      <c r="BI20" s="117">
        <v>41998.335750238963</v>
      </c>
      <c r="BJ20" s="117">
        <v>44288.508040312445</v>
      </c>
      <c r="BK20" s="117">
        <v>47491.323259469274</v>
      </c>
      <c r="BL20" s="117">
        <v>46116.699233679952</v>
      </c>
    </row>
    <row r="21" spans="1:64" hidden="1">
      <c r="A21" s="117" t="s">
        <v>807</v>
      </c>
      <c r="B21" s="117" t="s">
        <v>808</v>
      </c>
      <c r="C21" s="117" t="s">
        <v>775</v>
      </c>
      <c r="D21" s="117" t="s">
        <v>776</v>
      </c>
      <c r="E21" s="117">
        <v>93.022508990710747</v>
      </c>
      <c r="F21" s="117">
        <v>95.572154714744769</v>
      </c>
      <c r="G21" s="117">
        <v>94.464534984382055</v>
      </c>
      <c r="H21" s="117">
        <v>99.859113885555331</v>
      </c>
      <c r="I21" s="117">
        <v>104.33976803988557</v>
      </c>
      <c r="J21" s="117">
        <v>110.13279383511291</v>
      </c>
      <c r="K21" s="117">
        <v>112.94083638351198</v>
      </c>
      <c r="L21" s="117">
        <v>111.95160192523753</v>
      </c>
      <c r="M21" s="117">
        <v>116.89506602185995</v>
      </c>
      <c r="N21" s="117">
        <v>116.02509434118495</v>
      </c>
      <c r="O21" s="117">
        <v>114.55659646698741</v>
      </c>
      <c r="P21" s="117">
        <v>112.57008908763697</v>
      </c>
      <c r="Q21" s="117">
        <v>134.81940793500877</v>
      </c>
      <c r="R21" s="117">
        <v>161.98737367143355</v>
      </c>
      <c r="S21" s="117">
        <v>174.01414908556131</v>
      </c>
      <c r="T21" s="117">
        <v>207.3004397454734</v>
      </c>
      <c r="U21" s="117">
        <v>208.65615383051411</v>
      </c>
      <c r="V21" s="117">
        <v>218.45436576920039</v>
      </c>
      <c r="W21" s="117">
        <v>263.58105755094596</v>
      </c>
      <c r="X21" s="117">
        <v>327.82167799379243</v>
      </c>
      <c r="Y21" s="117">
        <v>378.04389830390221</v>
      </c>
      <c r="Z21" s="117">
        <v>337.97819473918685</v>
      </c>
      <c r="AA21" s="117">
        <v>322.77769945337025</v>
      </c>
      <c r="AB21" s="117">
        <v>271.12924022522429</v>
      </c>
      <c r="AC21" s="117">
        <v>252.8697850447877</v>
      </c>
      <c r="AD21" s="117">
        <v>244.41099885846882</v>
      </c>
      <c r="AE21" s="117">
        <v>303.34889785829569</v>
      </c>
      <c r="AF21" s="117">
        <v>344.50307079178941</v>
      </c>
      <c r="AG21" s="117">
        <v>346.73603768142237</v>
      </c>
      <c r="AH21" s="117">
        <v>311.67830386082153</v>
      </c>
      <c r="AI21" s="117">
        <v>393.68621442353071</v>
      </c>
      <c r="AJ21" s="117">
        <v>385.75361601263779</v>
      </c>
      <c r="AK21" s="117">
        <v>317.96285528611594</v>
      </c>
      <c r="AL21" s="117">
        <v>411.92603052228264</v>
      </c>
      <c r="AM21" s="117">
        <v>279.66650432680558</v>
      </c>
      <c r="AN21" s="117">
        <v>367.38734103259856</v>
      </c>
      <c r="AO21" s="117">
        <v>387.43292463625096</v>
      </c>
      <c r="AP21" s="117">
        <v>361.10026979444058</v>
      </c>
      <c r="AQ21" s="117">
        <v>379.44235395447737</v>
      </c>
      <c r="AR21" s="117">
        <v>551.61938687271663</v>
      </c>
      <c r="AS21" s="117">
        <v>511.40022696310956</v>
      </c>
      <c r="AT21" s="117">
        <v>517.61422956271633</v>
      </c>
      <c r="AU21" s="117">
        <v>572.2287953679903</v>
      </c>
      <c r="AV21" s="117">
        <v>709.6905331557864</v>
      </c>
      <c r="AW21" s="117">
        <v>797.31268001466094</v>
      </c>
      <c r="AX21" s="117">
        <v>822.45783093062471</v>
      </c>
      <c r="AY21" s="117">
        <v>855.29403923849122</v>
      </c>
      <c r="AZ21" s="117">
        <v>964.92694401556832</v>
      </c>
      <c r="BA21" s="117">
        <v>1120.8882732457457</v>
      </c>
      <c r="BB21" s="117">
        <v>1084.3939002200591</v>
      </c>
      <c r="BC21" s="117">
        <v>1036.5339516446868</v>
      </c>
      <c r="BD21" s="117">
        <v>1130.2731318114279</v>
      </c>
      <c r="BE21" s="117">
        <v>1145.140810999467</v>
      </c>
      <c r="BF21" s="117">
        <v>1251.2105178353715</v>
      </c>
      <c r="BG21" s="117">
        <v>1291.4098081857746</v>
      </c>
      <c r="BH21" s="117">
        <v>1076.7977160116616</v>
      </c>
      <c r="BI21" s="117">
        <v>1087.2878315225569</v>
      </c>
      <c r="BJ21" s="117">
        <v>1136.5928470468107</v>
      </c>
      <c r="BK21" s="117">
        <v>1240.8294644195398</v>
      </c>
      <c r="BL21" s="117">
        <v>1219.4326718587492</v>
      </c>
    </row>
    <row r="22" spans="1:64" hidden="1">
      <c r="A22" s="117" t="s">
        <v>809</v>
      </c>
      <c r="B22" s="117" t="s">
        <v>810</v>
      </c>
      <c r="C22" s="117" t="s">
        <v>775</v>
      </c>
      <c r="D22" s="117" t="s">
        <v>776</v>
      </c>
      <c r="E22" s="117">
        <v>68.424748569325047</v>
      </c>
      <c r="F22" s="117">
        <v>71.558180092437041</v>
      </c>
      <c r="G22" s="117">
        <v>76.52061139870608</v>
      </c>
      <c r="H22" s="117">
        <v>78.372071942432001</v>
      </c>
      <c r="I22" s="117">
        <v>80.472766745518896</v>
      </c>
      <c r="J22" s="117">
        <v>81.725115495501925</v>
      </c>
      <c r="K22" s="117">
        <v>82.545636894694269</v>
      </c>
      <c r="L22" s="117">
        <v>84.363164940354466</v>
      </c>
      <c r="M22" s="117">
        <v>84.733049346876228</v>
      </c>
      <c r="N22" s="117">
        <v>86.520211112323508</v>
      </c>
      <c r="O22" s="117">
        <v>81.49989868170114</v>
      </c>
      <c r="P22" s="117">
        <v>84.287815013964433</v>
      </c>
      <c r="Q22" s="117">
        <v>99.326764024986602</v>
      </c>
      <c r="R22" s="117">
        <v>113.78058433881618</v>
      </c>
      <c r="S22" s="117">
        <v>124.35903045152521</v>
      </c>
      <c r="T22" s="117">
        <v>152.72822011424412</v>
      </c>
      <c r="U22" s="117">
        <v>155.64899796029636</v>
      </c>
      <c r="V22" s="117">
        <v>176.78336766629528</v>
      </c>
      <c r="W22" s="117">
        <v>225.94165253723293</v>
      </c>
      <c r="X22" s="117">
        <v>262.07600964215874</v>
      </c>
      <c r="Y22" s="117">
        <v>282.6857352995948</v>
      </c>
      <c r="Z22" s="117">
        <v>254.23078067511108</v>
      </c>
      <c r="AA22" s="117">
        <v>245.09470243902962</v>
      </c>
      <c r="AB22" s="117">
        <v>217.99475084283111</v>
      </c>
      <c r="AC22" s="117">
        <v>193.84324028470937</v>
      </c>
      <c r="AD22" s="117">
        <v>200.89442251179955</v>
      </c>
      <c r="AE22" s="117">
        <v>256.76231880859575</v>
      </c>
      <c r="AF22" s="117">
        <v>291.13196388090472</v>
      </c>
      <c r="AG22" s="117">
        <v>313.06189109572097</v>
      </c>
      <c r="AH22" s="117">
        <v>304.85343878146278</v>
      </c>
      <c r="AI22" s="117">
        <v>351.97932285253586</v>
      </c>
      <c r="AJ22" s="117">
        <v>346.4106724424438</v>
      </c>
      <c r="AK22" s="117">
        <v>240.96348098040318</v>
      </c>
      <c r="AL22" s="117">
        <v>244.12707349941633</v>
      </c>
      <c r="AM22" s="117">
        <v>193.07023629883304</v>
      </c>
      <c r="AN22" s="117">
        <v>235.83219729976943</v>
      </c>
      <c r="AO22" s="117">
        <v>249.36029441564796</v>
      </c>
      <c r="AP22" s="117">
        <v>229.49311773538665</v>
      </c>
      <c r="AQ22" s="117">
        <v>255.71823338169978</v>
      </c>
      <c r="AR22" s="117">
        <v>298.22817396409806</v>
      </c>
      <c r="AS22" s="117">
        <v>254.71752910271033</v>
      </c>
      <c r="AT22" s="117">
        <v>266.86415570080248</v>
      </c>
      <c r="AU22" s="117">
        <v>293.2807466941635</v>
      </c>
      <c r="AV22" s="117">
        <v>373.78762942446605</v>
      </c>
      <c r="AW22" s="117">
        <v>417.62706365888181</v>
      </c>
      <c r="AX22" s="117">
        <v>457.75154546144643</v>
      </c>
      <c r="AY22" s="117">
        <v>473.02918489006908</v>
      </c>
      <c r="AZ22" s="117">
        <v>534.35588639628202</v>
      </c>
      <c r="BA22" s="117">
        <v>640.81087744464298</v>
      </c>
      <c r="BB22" s="117">
        <v>621.6731033842816</v>
      </c>
      <c r="BC22" s="117">
        <v>647.83584645344911</v>
      </c>
      <c r="BD22" s="117">
        <v>751.17295724769906</v>
      </c>
      <c r="BE22" s="117">
        <v>758.00070142385709</v>
      </c>
      <c r="BF22" s="117">
        <v>787.47017629754976</v>
      </c>
      <c r="BG22" s="117">
        <v>792.84677843207373</v>
      </c>
      <c r="BH22" s="117">
        <v>653.32697954542982</v>
      </c>
      <c r="BI22" s="117">
        <v>687.67017497420522</v>
      </c>
      <c r="BJ22" s="117">
        <v>738.27415894008095</v>
      </c>
      <c r="BK22" s="117">
        <v>820.16079381054703</v>
      </c>
      <c r="BL22" s="117">
        <v>774.83969023459986</v>
      </c>
    </row>
    <row r="23" spans="1:64" hidden="1">
      <c r="A23" s="117" t="s">
        <v>811</v>
      </c>
      <c r="B23" s="117" t="s">
        <v>812</v>
      </c>
      <c r="C23" s="117" t="s">
        <v>775</v>
      </c>
      <c r="D23" s="117" t="s">
        <v>776</v>
      </c>
      <c r="E23" s="117">
        <v>89.035241283272342</v>
      </c>
      <c r="F23" s="117">
        <v>97.595273910814939</v>
      </c>
      <c r="G23" s="117">
        <v>100.12211579078992</v>
      </c>
      <c r="H23" s="117">
        <v>101.90141446405217</v>
      </c>
      <c r="I23" s="117">
        <v>100.22111350798461</v>
      </c>
      <c r="J23" s="117">
        <v>106.64664823645964</v>
      </c>
      <c r="K23" s="117">
        <v>112.66535883931215</v>
      </c>
      <c r="L23" s="117">
        <v>122.8706305609392</v>
      </c>
      <c r="M23" s="117">
        <v>122.84759349790373</v>
      </c>
      <c r="N23" s="117">
        <v>135.14738131124116</v>
      </c>
      <c r="O23" s="117">
        <v>140.00271403794304</v>
      </c>
      <c r="P23" s="117">
        <v>133.5514230172866</v>
      </c>
      <c r="Q23" s="117">
        <v>94.381678462789509</v>
      </c>
      <c r="R23" s="117">
        <v>119.55974337532285</v>
      </c>
      <c r="S23" s="117">
        <v>182.01998936678072</v>
      </c>
      <c r="T23" s="117">
        <v>277.57064089135395</v>
      </c>
      <c r="U23" s="117">
        <v>141.19716877703385</v>
      </c>
      <c r="V23" s="117">
        <v>131.37324340008507</v>
      </c>
      <c r="W23" s="117">
        <v>176.03394976501988</v>
      </c>
      <c r="X23" s="117">
        <v>200.76966409098435</v>
      </c>
      <c r="Y23" s="117">
        <v>227.75194652621821</v>
      </c>
      <c r="Z23" s="117">
        <v>247.64961980864868</v>
      </c>
      <c r="AA23" s="117">
        <v>220.71881011185152</v>
      </c>
      <c r="AB23" s="117">
        <v>204.41767819180097</v>
      </c>
      <c r="AC23" s="117">
        <v>213.99665793228846</v>
      </c>
      <c r="AD23" s="117">
        <v>245.45390417851365</v>
      </c>
      <c r="AE23" s="117">
        <v>233.65804712600379</v>
      </c>
      <c r="AF23" s="117">
        <v>253.9744631103159</v>
      </c>
      <c r="AG23" s="117">
        <v>270.69960091548984</v>
      </c>
      <c r="AH23" s="117">
        <v>285.82921402931458</v>
      </c>
      <c r="AI23" s="117">
        <v>306.26870380899823</v>
      </c>
      <c r="AJ23" s="117">
        <v>293.16041551725925</v>
      </c>
      <c r="AK23" s="117">
        <v>293.64499845425252</v>
      </c>
      <c r="AL23" s="117">
        <v>300.55575317501717</v>
      </c>
      <c r="AM23" s="117">
        <v>299.53303974495395</v>
      </c>
      <c r="AN23" s="117">
        <v>329.42408464307232</v>
      </c>
      <c r="AO23" s="117">
        <v>394.71747512424793</v>
      </c>
      <c r="AP23" s="117">
        <v>401.49869081414653</v>
      </c>
      <c r="AQ23" s="117">
        <v>407.42918616079714</v>
      </c>
      <c r="AR23" s="117">
        <v>409.54319685360781</v>
      </c>
      <c r="AS23" s="117">
        <v>418.06896831137806</v>
      </c>
      <c r="AT23" s="117">
        <v>415.03442662014669</v>
      </c>
      <c r="AU23" s="117">
        <v>413.08025457516186</v>
      </c>
      <c r="AV23" s="117">
        <v>446.31065919036229</v>
      </c>
      <c r="AW23" s="117">
        <v>475.29191978693535</v>
      </c>
      <c r="AX23" s="117">
        <v>499.46194023915615</v>
      </c>
      <c r="AY23" s="117">
        <v>509.64014287321595</v>
      </c>
      <c r="AZ23" s="117">
        <v>558.05186026670765</v>
      </c>
      <c r="BA23" s="117">
        <v>634.9870564674942</v>
      </c>
      <c r="BB23" s="117">
        <v>702.26441001929572</v>
      </c>
      <c r="BC23" s="117">
        <v>781.15359355704686</v>
      </c>
      <c r="BD23" s="117">
        <v>861.75844434905105</v>
      </c>
      <c r="BE23" s="117">
        <v>883.1050005413133</v>
      </c>
      <c r="BF23" s="117">
        <v>981.83987915039881</v>
      </c>
      <c r="BG23" s="117">
        <v>1118.8536634926954</v>
      </c>
      <c r="BH23" s="117">
        <v>1248.4533977837125</v>
      </c>
      <c r="BI23" s="117">
        <v>1401.6204664458842</v>
      </c>
      <c r="BJ23" s="117">
        <v>1563.9138569305126</v>
      </c>
      <c r="BK23" s="117">
        <v>1698.3503942812195</v>
      </c>
      <c r="BL23" s="117">
        <v>1855.7398240804648</v>
      </c>
    </row>
    <row r="24" spans="1:64" hidden="1">
      <c r="A24" s="117" t="s">
        <v>813</v>
      </c>
      <c r="B24" s="117" t="s">
        <v>814</v>
      </c>
      <c r="C24" s="117" t="s">
        <v>775</v>
      </c>
      <c r="D24" s="117" t="s">
        <v>776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>
        <v>2238.8029578657388</v>
      </c>
      <c r="Z24" s="117">
        <v>2234.8148157312517</v>
      </c>
      <c r="AA24" s="117">
        <v>2169.0040108968287</v>
      </c>
      <c r="AB24" s="117">
        <v>1852.8134344280188</v>
      </c>
      <c r="AC24" s="117">
        <v>1963.5726761827364</v>
      </c>
      <c r="AD24" s="117">
        <v>1914.5506465879346</v>
      </c>
      <c r="AE24" s="117">
        <v>2260.427281154497</v>
      </c>
      <c r="AF24" s="117">
        <v>3132.3013603624599</v>
      </c>
      <c r="AG24" s="117">
        <v>2511.393062594886</v>
      </c>
      <c r="AH24" s="117">
        <v>2477.0208179595979</v>
      </c>
      <c r="AI24" s="117">
        <v>2366.5298212861385</v>
      </c>
      <c r="AJ24" s="117">
        <v>1267.7343754148515</v>
      </c>
      <c r="AK24" s="117">
        <v>1211.9808781093111</v>
      </c>
      <c r="AL24" s="117">
        <v>1278.2471734610767</v>
      </c>
      <c r="AM24" s="117">
        <v>1148.4943993817017</v>
      </c>
      <c r="AN24" s="117">
        <v>2258.2860178759665</v>
      </c>
      <c r="AO24" s="117">
        <v>1470.1037033100406</v>
      </c>
      <c r="AP24" s="117">
        <v>1361.3923860059047</v>
      </c>
      <c r="AQ24" s="117">
        <v>1820.405094248963</v>
      </c>
      <c r="AR24" s="117">
        <v>1659.7183459552475</v>
      </c>
      <c r="AS24" s="117">
        <v>1621.2429608024684</v>
      </c>
      <c r="AT24" s="117">
        <v>1770.9135339474644</v>
      </c>
      <c r="AU24" s="117">
        <v>2092.9576938761129</v>
      </c>
      <c r="AV24" s="117">
        <v>2719.4976560705868</v>
      </c>
      <c r="AW24" s="117">
        <v>3389.7070488310151</v>
      </c>
      <c r="AX24" s="117">
        <v>3899.9076377401716</v>
      </c>
      <c r="AY24" s="117">
        <v>4523.0508329805989</v>
      </c>
      <c r="AZ24" s="117">
        <v>5885.1043478183656</v>
      </c>
      <c r="BA24" s="117">
        <v>7265.7354968299733</v>
      </c>
      <c r="BB24" s="117">
        <v>6984.9659755686398</v>
      </c>
      <c r="BC24" s="117">
        <v>6809.8989841435396</v>
      </c>
      <c r="BD24" s="117">
        <v>7806.3486524249893</v>
      </c>
      <c r="BE24" s="117">
        <v>7393.1891769154017</v>
      </c>
      <c r="BF24" s="117">
        <v>7651.8178806676024</v>
      </c>
      <c r="BG24" s="117">
        <v>7874.2609042564554</v>
      </c>
      <c r="BH24" s="117">
        <v>7053.6037063870872</v>
      </c>
      <c r="BI24" s="117">
        <v>7545.7903324979943</v>
      </c>
      <c r="BJ24" s="117">
        <v>8331.0580246025966</v>
      </c>
      <c r="BK24" s="117">
        <v>9423.5586115665956</v>
      </c>
      <c r="BL24" s="117">
        <v>9737.6013508334745</v>
      </c>
    </row>
    <row r="25" spans="1:64" hidden="1">
      <c r="A25" s="117" t="s">
        <v>815</v>
      </c>
      <c r="B25" s="117" t="s">
        <v>816</v>
      </c>
      <c r="C25" s="117" t="s">
        <v>775</v>
      </c>
      <c r="D25" s="117" t="s">
        <v>776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>
        <v>8537.929379332154</v>
      </c>
      <c r="Z25" s="117">
        <v>9269.2696165299112</v>
      </c>
      <c r="AA25" s="117">
        <v>9446.1580019460125</v>
      </c>
      <c r="AB25" s="117">
        <v>9421.2856547764022</v>
      </c>
      <c r="AC25" s="117">
        <v>9590.7302016894319</v>
      </c>
      <c r="AD25" s="117">
        <v>8706.766601485022</v>
      </c>
      <c r="AE25" s="117">
        <v>7041.6019586169523</v>
      </c>
      <c r="AF25" s="117">
        <v>7555.1004644805535</v>
      </c>
      <c r="AG25" s="117">
        <v>7958.7479245853947</v>
      </c>
      <c r="AH25" s="117">
        <v>8030.904659213892</v>
      </c>
      <c r="AI25" s="117">
        <v>8528.9833344609488</v>
      </c>
      <c r="AJ25" s="117">
        <v>9055.6799361568574</v>
      </c>
      <c r="AK25" s="117">
        <v>9082.7585326069402</v>
      </c>
      <c r="AL25" s="117">
        <v>9698.1890629544559</v>
      </c>
      <c r="AM25" s="117">
        <v>10130.505232961732</v>
      </c>
      <c r="AN25" s="117">
        <v>10376.971704921149</v>
      </c>
      <c r="AO25" s="117">
        <v>10544.703570229136</v>
      </c>
      <c r="AP25" s="117">
        <v>10672.16600516198</v>
      </c>
      <c r="AQ25" s="117">
        <v>10076.220622037934</v>
      </c>
      <c r="AR25" s="117">
        <v>10401.545811409516</v>
      </c>
      <c r="AS25" s="117">
        <v>13636.396232036803</v>
      </c>
      <c r="AT25" s="117">
        <v>12868.269156127044</v>
      </c>
      <c r="AU25" s="117">
        <v>13049.803220445834</v>
      </c>
      <c r="AV25" s="117">
        <v>14222.036796574883</v>
      </c>
      <c r="AW25" s="117">
        <v>15846.54413898044</v>
      </c>
      <c r="AX25" s="117">
        <v>17959.255440228484</v>
      </c>
      <c r="AY25" s="117">
        <v>19307.609663317959</v>
      </c>
      <c r="AZ25" s="117">
        <v>20976.543532843785</v>
      </c>
      <c r="BA25" s="117">
        <v>23066.533758689253</v>
      </c>
      <c r="BB25" s="117">
        <v>19355.904672026423</v>
      </c>
      <c r="BC25" s="117">
        <v>20722.137289134749</v>
      </c>
      <c r="BD25" s="117">
        <v>22514.237945814581</v>
      </c>
      <c r="BE25" s="117">
        <v>23654.351391282769</v>
      </c>
      <c r="BF25" s="117">
        <v>24744.296958551015</v>
      </c>
      <c r="BG25" s="117">
        <v>24989.400120470367</v>
      </c>
      <c r="BH25" s="117">
        <v>22688.944399814402</v>
      </c>
      <c r="BI25" s="117">
        <v>22619.116671884873</v>
      </c>
      <c r="BJ25" s="117">
        <v>23709.430467983031</v>
      </c>
      <c r="BK25" s="117">
        <v>23991.056676939977</v>
      </c>
      <c r="BL25" s="117">
        <v>23503.977126672995</v>
      </c>
    </row>
    <row r="26" spans="1:64" hidden="1">
      <c r="A26" s="117" t="s">
        <v>817</v>
      </c>
      <c r="B26" s="117" t="s">
        <v>818</v>
      </c>
      <c r="C26" s="117" t="s">
        <v>775</v>
      </c>
      <c r="D26" s="117" t="s">
        <v>776</v>
      </c>
      <c r="E26" s="117">
        <v>1550.2393920483814</v>
      </c>
      <c r="F26" s="117">
        <v>1651.2889847698184</v>
      </c>
      <c r="G26" s="117">
        <v>1752.8544810166266</v>
      </c>
      <c r="H26" s="117">
        <v>1867.0250122838697</v>
      </c>
      <c r="I26" s="117">
        <v>1994.3808320058235</v>
      </c>
      <c r="J26" s="117">
        <v>2144.7544025214024</v>
      </c>
      <c r="K26" s="117">
        <v>2322.6899482176768</v>
      </c>
      <c r="L26" s="117">
        <v>2556.6510184207345</v>
      </c>
      <c r="M26" s="117">
        <v>2804.3338761554746</v>
      </c>
      <c r="N26" s="117">
        <v>3215.0951792312617</v>
      </c>
      <c r="O26" s="117">
        <v>3178.8445520502478</v>
      </c>
      <c r="P26" s="117">
        <v>3297.5058801879359</v>
      </c>
      <c r="Q26" s="117">
        <v>3322.1638761764475</v>
      </c>
      <c r="R26" s="117">
        <v>3696.0725441694158</v>
      </c>
      <c r="S26" s="117">
        <v>3416.1624891961965</v>
      </c>
      <c r="T26" s="117">
        <v>3156.2341182449609</v>
      </c>
      <c r="U26" s="117">
        <v>3328.5124074045275</v>
      </c>
      <c r="V26" s="117">
        <v>3617.4347162114855</v>
      </c>
      <c r="W26" s="117">
        <v>4131.4684481680379</v>
      </c>
      <c r="X26" s="117">
        <v>5533.4399759204598</v>
      </c>
      <c r="Y26" s="117">
        <v>6340.7268116871091</v>
      </c>
      <c r="Z26" s="117">
        <v>6624.8386167950002</v>
      </c>
      <c r="AA26" s="117">
        <v>7168.0957744431944</v>
      </c>
      <c r="AB26" s="117">
        <v>7698.4592418830307</v>
      </c>
      <c r="AC26" s="117">
        <v>8877.3197983672799</v>
      </c>
      <c r="AD26" s="117">
        <v>9893.084176691762</v>
      </c>
      <c r="AE26" s="117">
        <v>10344.452486643209</v>
      </c>
      <c r="AF26" s="117">
        <v>11156.282088699434</v>
      </c>
      <c r="AG26" s="117">
        <v>11387.709081798013</v>
      </c>
      <c r="AH26" s="117">
        <v>12163.681360806888</v>
      </c>
      <c r="AI26" s="117">
        <v>12356.42389637152</v>
      </c>
      <c r="AJ26" s="117">
        <v>11919.787899221479</v>
      </c>
      <c r="AK26" s="117">
        <v>11686.695811358912</v>
      </c>
      <c r="AL26" s="117">
        <v>11406.689809605672</v>
      </c>
      <c r="AM26" s="117">
        <v>11814.563198306301</v>
      </c>
      <c r="AN26" s="117">
        <v>12238.386203352084</v>
      </c>
      <c r="AO26" s="117">
        <v>12708.73095803196</v>
      </c>
      <c r="AP26" s="117">
        <v>22036.484106932814</v>
      </c>
      <c r="AQ26" s="117">
        <v>23514.42031404316</v>
      </c>
      <c r="AR26" s="117">
        <v>26130.101815263446</v>
      </c>
      <c r="AS26" s="117">
        <v>27097.610811572515</v>
      </c>
      <c r="AT26" s="117">
        <v>27486.236773754372</v>
      </c>
      <c r="AU26" s="117">
        <v>28866.801014106481</v>
      </c>
      <c r="AV26" s="117">
        <v>28327.270869194486</v>
      </c>
      <c r="AW26" s="117">
        <v>28395.9246646221</v>
      </c>
      <c r="AX26" s="117">
        <v>30278.366922264737</v>
      </c>
      <c r="AY26" s="117">
        <v>30713.705280138234</v>
      </c>
      <c r="AZ26" s="117">
        <v>31472.098971809988</v>
      </c>
      <c r="BA26" s="117">
        <v>30627.238631172513</v>
      </c>
      <c r="BB26" s="117">
        <v>28552.190478369812</v>
      </c>
      <c r="BC26" s="117">
        <v>28443.407655335239</v>
      </c>
      <c r="BD26" s="117">
        <v>28006.37971839133</v>
      </c>
      <c r="BE26" s="117">
        <v>29485.620929413835</v>
      </c>
      <c r="BF26" s="117">
        <v>28768.029893672658</v>
      </c>
      <c r="BG26" s="117">
        <v>29445.030528851985</v>
      </c>
      <c r="BH26" s="117">
        <v>31405.963560178083</v>
      </c>
      <c r="BI26" s="117">
        <v>31588.834998981296</v>
      </c>
      <c r="BJ26" s="117">
        <v>31827.242698966107</v>
      </c>
      <c r="BK26" s="117">
        <v>32217.871590084011</v>
      </c>
      <c r="BL26" s="117">
        <v>32933.486014758062</v>
      </c>
    </row>
    <row r="27" spans="1:64" hidden="1">
      <c r="A27" s="117" t="s">
        <v>819</v>
      </c>
      <c r="B27" s="117" t="s">
        <v>820</v>
      </c>
      <c r="C27" s="117" t="s">
        <v>775</v>
      </c>
      <c r="D27" s="117" t="s">
        <v>776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>
        <v>319.01303513856442</v>
      </c>
      <c r="AN27" s="117">
        <v>487.47677719973751</v>
      </c>
      <c r="AO27" s="117">
        <v>740.09850684697574</v>
      </c>
      <c r="AP27" s="117">
        <v>982.80184906559816</v>
      </c>
      <c r="AQ27" s="117">
        <v>1102.3909833001421</v>
      </c>
      <c r="AR27" s="117">
        <v>1251.7472607368711</v>
      </c>
      <c r="AS27" s="117">
        <v>1467.776477160477</v>
      </c>
      <c r="AT27" s="117">
        <v>1530.8148160411165</v>
      </c>
      <c r="AU27" s="117">
        <v>1769.1998279224099</v>
      </c>
      <c r="AV27" s="117">
        <v>2224.7458643849041</v>
      </c>
      <c r="AW27" s="117">
        <v>2814.999894874099</v>
      </c>
      <c r="AX27" s="117">
        <v>2980.60210893151</v>
      </c>
      <c r="AY27" s="117">
        <v>3416.510595758115</v>
      </c>
      <c r="AZ27" s="117">
        <v>4193.3736517833031</v>
      </c>
      <c r="BA27" s="117">
        <v>5090.9323446468688</v>
      </c>
      <c r="BB27" s="117">
        <v>4714.7024950516034</v>
      </c>
      <c r="BC27" s="117">
        <v>4635.5177793178336</v>
      </c>
      <c r="BD27" s="117">
        <v>5092.5519432889514</v>
      </c>
      <c r="BE27" s="117">
        <v>4778.6360884550641</v>
      </c>
      <c r="BF27" s="117">
        <v>5131.3945064293239</v>
      </c>
      <c r="BG27" s="117">
        <v>5329.6350448876628</v>
      </c>
      <c r="BH27" s="117">
        <v>4727.2775462220743</v>
      </c>
      <c r="BI27" s="117">
        <v>4994.6831404509076</v>
      </c>
      <c r="BJ27" s="117">
        <v>5394.5912201767696</v>
      </c>
      <c r="BK27" s="117">
        <v>6072.1809916063921</v>
      </c>
      <c r="BL27" s="117">
        <v>6073.2652028320754</v>
      </c>
    </row>
    <row r="28" spans="1:64" hidden="1">
      <c r="A28" s="117" t="s">
        <v>821</v>
      </c>
      <c r="B28" s="117" t="s">
        <v>822</v>
      </c>
      <c r="C28" s="117" t="s">
        <v>775</v>
      </c>
      <c r="D28" s="117" t="s">
        <v>776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>
        <v>2124.8405142801062</v>
      </c>
      <c r="AJ28" s="117">
        <v>1765.7445556209534</v>
      </c>
      <c r="AK28" s="117">
        <v>1667.6817773137273</v>
      </c>
      <c r="AL28" s="117">
        <v>1590.0958819745281</v>
      </c>
      <c r="AM28" s="117">
        <v>1460.0590758955989</v>
      </c>
      <c r="AN28" s="117">
        <v>1370.6765588501064</v>
      </c>
      <c r="AO28" s="117">
        <v>1452.445487583283</v>
      </c>
      <c r="AP28" s="117">
        <v>1396.5017856782013</v>
      </c>
      <c r="AQ28" s="117">
        <v>1511.7700526788331</v>
      </c>
      <c r="AR28" s="117">
        <v>1210.6117195862003</v>
      </c>
      <c r="AS28" s="117">
        <v>1276.2880340999961</v>
      </c>
      <c r="AT28" s="117">
        <v>1244.3731852343067</v>
      </c>
      <c r="AU28" s="117">
        <v>1479.3145827167673</v>
      </c>
      <c r="AV28" s="117">
        <v>1819.7660592617692</v>
      </c>
      <c r="AW28" s="117">
        <v>2378.6232860074101</v>
      </c>
      <c r="AX28" s="117">
        <v>3125.8105350285305</v>
      </c>
      <c r="AY28" s="117">
        <v>3847.434123821527</v>
      </c>
      <c r="AZ28" s="117">
        <v>4735.6576079399938</v>
      </c>
      <c r="BA28" s="117">
        <v>6377.369732012321</v>
      </c>
      <c r="BB28" s="117">
        <v>5351.3553824327764</v>
      </c>
      <c r="BC28" s="117">
        <v>6029.3967998292983</v>
      </c>
      <c r="BD28" s="117">
        <v>6519.2301949889243</v>
      </c>
      <c r="BE28" s="117">
        <v>6940.1592535973505</v>
      </c>
      <c r="BF28" s="117">
        <v>7978.8726147107627</v>
      </c>
      <c r="BG28" s="117">
        <v>8318.5126899267489</v>
      </c>
      <c r="BH28" s="117">
        <v>5949.1063069974798</v>
      </c>
      <c r="BI28" s="117">
        <v>5022.6266433049095</v>
      </c>
      <c r="BJ28" s="117">
        <v>5761.7471202300667</v>
      </c>
      <c r="BK28" s="117">
        <v>6330.075246418698</v>
      </c>
      <c r="BL28" s="117">
        <v>6663.2952928258246</v>
      </c>
    </row>
    <row r="29" spans="1:64" hidden="1">
      <c r="A29" s="117" t="s">
        <v>823</v>
      </c>
      <c r="B29" s="117" t="s">
        <v>824</v>
      </c>
      <c r="C29" s="117" t="s">
        <v>775</v>
      </c>
      <c r="D29" s="117" t="s">
        <v>776</v>
      </c>
      <c r="E29" s="117">
        <v>304.91710725396194</v>
      </c>
      <c r="F29" s="117">
        <v>316.4036061432663</v>
      </c>
      <c r="G29" s="117">
        <v>327.12686746840109</v>
      </c>
      <c r="H29" s="117">
        <v>336.94146611456972</v>
      </c>
      <c r="I29" s="117">
        <v>351.16112626956237</v>
      </c>
      <c r="J29" s="117">
        <v>377.59430516618204</v>
      </c>
      <c r="K29" s="117">
        <v>406.0979670735768</v>
      </c>
      <c r="L29" s="117">
        <v>420.43188819816476</v>
      </c>
      <c r="M29" s="117">
        <v>386.95323701086983</v>
      </c>
      <c r="N29" s="117">
        <v>396.65430628249709</v>
      </c>
      <c r="O29" s="117">
        <v>435.69046941555831</v>
      </c>
      <c r="P29" s="117">
        <v>474.44421620740536</v>
      </c>
      <c r="Q29" s="117">
        <v>519.56350766810851</v>
      </c>
      <c r="R29" s="117">
        <v>605.9334407026513</v>
      </c>
      <c r="S29" s="117">
        <v>786.0690920438808</v>
      </c>
      <c r="T29" s="117">
        <v>885.98452906004366</v>
      </c>
      <c r="U29" s="117">
        <v>717.04018288539555</v>
      </c>
      <c r="V29" s="117">
        <v>858.82808108680274</v>
      </c>
      <c r="W29" s="117">
        <v>980.82250926492281</v>
      </c>
      <c r="X29" s="117">
        <v>1074.2719648986235</v>
      </c>
      <c r="Y29" s="117">
        <v>1373.0930070360585</v>
      </c>
      <c r="Z29" s="117">
        <v>1328.8281491423973</v>
      </c>
      <c r="AA29" s="117">
        <v>1202.6820263083102</v>
      </c>
      <c r="AB29" s="117">
        <v>1232.837378260589</v>
      </c>
      <c r="AC29" s="117">
        <v>1336.9875895363211</v>
      </c>
      <c r="AD29" s="117">
        <v>1289.3672889729355</v>
      </c>
      <c r="AE29" s="117">
        <v>1366.049729521882</v>
      </c>
      <c r="AF29" s="117">
        <v>1612.4515751829967</v>
      </c>
      <c r="AG29" s="117">
        <v>1787.9513834285697</v>
      </c>
      <c r="AH29" s="117">
        <v>2011.9687288029313</v>
      </c>
      <c r="AI29" s="117">
        <v>2197.1850233118098</v>
      </c>
      <c r="AJ29" s="117">
        <v>2326.8215541417271</v>
      </c>
      <c r="AK29" s="117">
        <v>2666.881599802392</v>
      </c>
      <c r="AL29" s="117">
        <v>2832.9753266336743</v>
      </c>
      <c r="AM29" s="117">
        <v>2880.1254462514876</v>
      </c>
      <c r="AN29" s="117">
        <v>2996.3829283495115</v>
      </c>
      <c r="AO29" s="117">
        <v>3001.8337202336375</v>
      </c>
      <c r="AP29" s="117">
        <v>2952.9485964437222</v>
      </c>
      <c r="AQ29" s="117">
        <v>2992.4447542606972</v>
      </c>
      <c r="AR29" s="117">
        <v>3065.9796726195459</v>
      </c>
      <c r="AS29" s="117">
        <v>3364.3329357297371</v>
      </c>
      <c r="AT29" s="117">
        <v>3404.4530174897968</v>
      </c>
      <c r="AU29" s="117">
        <v>3525.6385825031061</v>
      </c>
      <c r="AV29" s="117">
        <v>3650.366521295351</v>
      </c>
      <c r="AW29" s="117">
        <v>3802.2958076555851</v>
      </c>
      <c r="AX29" s="117">
        <v>3883.1923890063426</v>
      </c>
      <c r="AY29" s="117">
        <v>4153.8947375647476</v>
      </c>
      <c r="AZ29" s="117">
        <v>4252.487250229914</v>
      </c>
      <c r="BA29" s="117">
        <v>4404.3308356935431</v>
      </c>
      <c r="BB29" s="117">
        <v>4186.4899651999804</v>
      </c>
      <c r="BC29" s="117">
        <v>4270.8643445469879</v>
      </c>
      <c r="BD29" s="117">
        <v>4423.4897967217485</v>
      </c>
      <c r="BE29" s="117">
        <v>4505.6213017751479</v>
      </c>
      <c r="BF29" s="117">
        <v>4568.5029576385177</v>
      </c>
      <c r="BG29" s="117">
        <v>4705.6026895626628</v>
      </c>
      <c r="BH29" s="117">
        <v>4775.9556482782127</v>
      </c>
      <c r="BI29" s="117">
        <v>4818.4039087947876</v>
      </c>
      <c r="BJ29" s="117">
        <v>4887.5772083381016</v>
      </c>
      <c r="BK29" s="117">
        <v>4884.7341615522973</v>
      </c>
      <c r="BL29" s="117">
        <v>4815.163710795101</v>
      </c>
    </row>
    <row r="30" spans="1:64" hidden="1">
      <c r="A30" s="117" t="s">
        <v>825</v>
      </c>
      <c r="B30" s="117" t="s">
        <v>826</v>
      </c>
      <c r="C30" s="117" t="s">
        <v>775</v>
      </c>
      <c r="D30" s="117" t="s">
        <v>776</v>
      </c>
      <c r="E30" s="117">
        <v>1902.4021189223961</v>
      </c>
      <c r="F30" s="117">
        <v>1961.5381692464971</v>
      </c>
      <c r="G30" s="117">
        <v>2020.3859650334512</v>
      </c>
      <c r="H30" s="117">
        <v>2020.2652475244545</v>
      </c>
      <c r="I30" s="117">
        <v>2199.7270069117926</v>
      </c>
      <c r="J30" s="117">
        <v>2282.2165461623936</v>
      </c>
      <c r="K30" s="117">
        <v>2630.850466329458</v>
      </c>
      <c r="L30" s="117">
        <v>2982.7497042610776</v>
      </c>
      <c r="M30" s="117">
        <v>2830.1886792452829</v>
      </c>
      <c r="N30" s="117">
        <v>3053.7037037037039</v>
      </c>
      <c r="O30" s="117">
        <v>3387.2727272727275</v>
      </c>
      <c r="P30" s="117">
        <v>3866.3003663003665</v>
      </c>
      <c r="Q30" s="117">
        <v>4343.1734317343171</v>
      </c>
      <c r="R30" s="117">
        <v>5009.2936802973982</v>
      </c>
      <c r="S30" s="117">
        <v>5853.9325842696626</v>
      </c>
      <c r="T30" s="117">
        <v>6509.433962264151</v>
      </c>
      <c r="U30" s="117">
        <v>7261.2781954887214</v>
      </c>
      <c r="V30" s="117">
        <v>8370.786516853932</v>
      </c>
      <c r="W30" s="117">
        <v>8876.8656716417918</v>
      </c>
      <c r="X30" s="117">
        <v>9613.3828996282537</v>
      </c>
      <c r="Y30" s="117">
        <v>11218.217815986831</v>
      </c>
      <c r="Z30" s="117">
        <v>13425.976966394188</v>
      </c>
      <c r="AA30" s="117">
        <v>14166.171292539089</v>
      </c>
      <c r="AB30" s="117">
        <v>15902.020382621133</v>
      </c>
      <c r="AC30" s="117">
        <v>17469.825567587686</v>
      </c>
      <c r="AD30" s="117">
        <v>18269.535519701923</v>
      </c>
      <c r="AE30" s="117">
        <v>20450.664528946359</v>
      </c>
      <c r="AF30" s="117">
        <v>22411.795674946843</v>
      </c>
      <c r="AG30" s="117">
        <v>24253.175518878434</v>
      </c>
      <c r="AH30" s="117">
        <v>25517.921721248789</v>
      </c>
      <c r="AI30" s="117">
        <v>26841.519738394632</v>
      </c>
      <c r="AJ30" s="117">
        <v>27700.309516951595</v>
      </c>
      <c r="AK30" s="117">
        <v>28669.682259578462</v>
      </c>
      <c r="AL30" s="117">
        <v>30900.694890510949</v>
      </c>
      <c r="AM30" s="117">
        <v>31476.06311530681</v>
      </c>
      <c r="AN30" s="117">
        <v>33989.722357982122</v>
      </c>
      <c r="AO30" s="117">
        <v>44826.789070165811</v>
      </c>
      <c r="AP30" s="117">
        <v>48478.883250409111</v>
      </c>
      <c r="AQ30" s="117">
        <v>51371.740806983573</v>
      </c>
      <c r="AR30" s="117">
        <v>54245.459737292978</v>
      </c>
      <c r="AS30" s="117">
        <v>56284.16864780942</v>
      </c>
      <c r="AT30" s="117">
        <v>58883.959426596695</v>
      </c>
      <c r="AU30" s="117">
        <v>62583.100203458802</v>
      </c>
      <c r="AV30" s="117">
        <v>66111.725227003553</v>
      </c>
      <c r="AW30" s="117">
        <v>70359.319108879819</v>
      </c>
      <c r="AX30" s="117">
        <v>75882.033856033915</v>
      </c>
      <c r="AY30" s="117">
        <v>83912.697797684552</v>
      </c>
      <c r="AZ30" s="117">
        <v>90849.586980643566</v>
      </c>
      <c r="BA30" s="117">
        <v>93605.748165397643</v>
      </c>
      <c r="BB30" s="117">
        <v>88463.312816137492</v>
      </c>
      <c r="BC30" s="117">
        <v>88207.327559732206</v>
      </c>
      <c r="BD30" s="117">
        <v>85973.158416454986</v>
      </c>
      <c r="BE30" s="117">
        <v>85458.455507886043</v>
      </c>
      <c r="BF30" s="117">
        <v>85748.065414378245</v>
      </c>
      <c r="BG30" s="117"/>
      <c r="BH30" s="117"/>
      <c r="BI30" s="117"/>
      <c r="BJ30" s="117"/>
      <c r="BK30" s="117"/>
      <c r="BL30" s="117"/>
    </row>
    <row r="31" spans="1:64" hidden="1">
      <c r="A31" s="117" t="s">
        <v>827</v>
      </c>
      <c r="B31" s="117" t="s">
        <v>828</v>
      </c>
      <c r="C31" s="117" t="s">
        <v>775</v>
      </c>
      <c r="D31" s="117" t="s">
        <v>776</v>
      </c>
      <c r="E31" s="117">
        <v>102.23789015598648</v>
      </c>
      <c r="F31" s="117">
        <v>109.06101150863729</v>
      </c>
      <c r="G31" s="117">
        <v>116.92515268173247</v>
      </c>
      <c r="H31" s="117">
        <v>123.4293095271662</v>
      </c>
      <c r="I31" s="117">
        <v>136.31243083396873</v>
      </c>
      <c r="J31" s="117">
        <v>149.64007385653827</v>
      </c>
      <c r="K31" s="117">
        <v>162.32605449338823</v>
      </c>
      <c r="L31" s="117">
        <v>179.58333708940313</v>
      </c>
      <c r="M31" s="117">
        <v>199.62979969886285</v>
      </c>
      <c r="N31" s="117">
        <v>211.79711267712713</v>
      </c>
      <c r="O31" s="117">
        <v>226.80697140398783</v>
      </c>
      <c r="P31" s="117">
        <v>239.12812504046403</v>
      </c>
      <c r="Q31" s="117">
        <v>268.58413010862307</v>
      </c>
      <c r="R31" s="117">
        <v>263.89236010318785</v>
      </c>
      <c r="S31" s="117">
        <v>429.2976473531877</v>
      </c>
      <c r="T31" s="117">
        <v>480.80307832125499</v>
      </c>
      <c r="U31" s="117">
        <v>534.2734948723529</v>
      </c>
      <c r="V31" s="117">
        <v>617.30694730458106</v>
      </c>
      <c r="W31" s="117">
        <v>703.13634815200373</v>
      </c>
      <c r="X31" s="117">
        <v>809.41128942714806</v>
      </c>
      <c r="Y31" s="117">
        <v>811.28486310505662</v>
      </c>
      <c r="Z31" s="117">
        <v>1030.8334163784186</v>
      </c>
      <c r="AA31" s="117">
        <v>960.98361291129129</v>
      </c>
      <c r="AB31" s="117">
        <v>913.97515879976913</v>
      </c>
      <c r="AC31" s="117">
        <v>1019.0577624498573</v>
      </c>
      <c r="AD31" s="117">
        <v>870.18564837645613</v>
      </c>
      <c r="AE31" s="117">
        <v>627.39852930964753</v>
      </c>
      <c r="AF31" s="117">
        <v>671.07512554065147</v>
      </c>
      <c r="AG31" s="117">
        <v>698.69263990308366</v>
      </c>
      <c r="AH31" s="117">
        <v>701.6661473901479</v>
      </c>
      <c r="AI31" s="117">
        <v>709.05967248875982</v>
      </c>
      <c r="AJ31" s="117">
        <v>762.07803312207807</v>
      </c>
      <c r="AK31" s="117">
        <v>788.15198982907145</v>
      </c>
      <c r="AL31" s="117">
        <v>784.19173932525814</v>
      </c>
      <c r="AM31" s="117">
        <v>801.04602965650724</v>
      </c>
      <c r="AN31" s="117">
        <v>880.99222404617092</v>
      </c>
      <c r="AO31" s="117">
        <v>950.85650839218385</v>
      </c>
      <c r="AP31" s="117">
        <v>998.51532422769117</v>
      </c>
      <c r="AQ31" s="117">
        <v>1049.4993736487368</v>
      </c>
      <c r="AR31" s="117">
        <v>1003.3922306389547</v>
      </c>
      <c r="AS31" s="117">
        <v>997.5824598868353</v>
      </c>
      <c r="AT31" s="117">
        <v>948.87120662903521</v>
      </c>
      <c r="AU31" s="117">
        <v>904.2266272825342</v>
      </c>
      <c r="AV31" s="117">
        <v>907.53711009005747</v>
      </c>
      <c r="AW31" s="117">
        <v>967.40699195485774</v>
      </c>
      <c r="AX31" s="117">
        <v>1034.3112402368924</v>
      </c>
      <c r="AY31" s="117">
        <v>1218.8744594680413</v>
      </c>
      <c r="AZ31" s="117">
        <v>1372.6282248299012</v>
      </c>
      <c r="BA31" s="117">
        <v>1715.2089218585329</v>
      </c>
      <c r="BB31" s="117">
        <v>1754.2110609473457</v>
      </c>
      <c r="BC31" s="117">
        <v>1955.4615573609776</v>
      </c>
      <c r="BD31" s="117">
        <v>2346.3371702258082</v>
      </c>
      <c r="BE31" s="117">
        <v>2609.8808191542494</v>
      </c>
      <c r="BF31" s="117">
        <v>2908.2000854807752</v>
      </c>
      <c r="BG31" s="117">
        <v>3081.8788344650625</v>
      </c>
      <c r="BH31" s="117">
        <v>3035.9722148927704</v>
      </c>
      <c r="BI31" s="117">
        <v>3076.6589493424021</v>
      </c>
      <c r="BJ31" s="117">
        <v>3351.1240397560696</v>
      </c>
      <c r="BK31" s="117">
        <v>3548.5901525403183</v>
      </c>
      <c r="BL31" s="117">
        <v>3552.0687621415987</v>
      </c>
    </row>
    <row r="32" spans="1:64" hidden="1">
      <c r="A32" s="117" t="s">
        <v>829</v>
      </c>
      <c r="B32" s="117" t="s">
        <v>830</v>
      </c>
      <c r="C32" s="117" t="s">
        <v>775</v>
      </c>
      <c r="D32" s="117" t="s">
        <v>776</v>
      </c>
      <c r="E32" s="117">
        <v>210.10989938462251</v>
      </c>
      <c r="F32" s="117">
        <v>205.04076826426049</v>
      </c>
      <c r="G32" s="117">
        <v>260.4256530752819</v>
      </c>
      <c r="H32" s="117">
        <v>292.25213632452784</v>
      </c>
      <c r="I32" s="117">
        <v>261.66661956417954</v>
      </c>
      <c r="J32" s="117">
        <v>261.35435451983437</v>
      </c>
      <c r="K32" s="117">
        <v>315.79720290706217</v>
      </c>
      <c r="L32" s="117">
        <v>347.49305610970208</v>
      </c>
      <c r="M32" s="117">
        <v>374.78677540146168</v>
      </c>
      <c r="N32" s="117">
        <v>403.88426734221207</v>
      </c>
      <c r="O32" s="117">
        <v>445.02310059739028</v>
      </c>
      <c r="P32" s="117">
        <v>504.74951612499524</v>
      </c>
      <c r="Q32" s="117">
        <v>586.21440497352535</v>
      </c>
      <c r="R32" s="117">
        <v>775.27330034518945</v>
      </c>
      <c r="S32" s="117">
        <v>1004.104910090992</v>
      </c>
      <c r="T32" s="117">
        <v>1153.8309583694954</v>
      </c>
      <c r="U32" s="117">
        <v>1390.6249753766454</v>
      </c>
      <c r="V32" s="117">
        <v>1567.0061823023145</v>
      </c>
      <c r="W32" s="117">
        <v>1744.2571294448712</v>
      </c>
      <c r="X32" s="117">
        <v>1908.487626586525</v>
      </c>
      <c r="Y32" s="117">
        <v>1947.27643012721</v>
      </c>
      <c r="Z32" s="117">
        <v>2132.8833173447001</v>
      </c>
      <c r="AA32" s="117">
        <v>2226.7672607955906</v>
      </c>
      <c r="AB32" s="117">
        <v>1570.5397473791966</v>
      </c>
      <c r="AC32" s="117">
        <v>1578.9264170371871</v>
      </c>
      <c r="AD32" s="117">
        <v>1648.082104386142</v>
      </c>
      <c r="AE32" s="117">
        <v>1941.4911090583505</v>
      </c>
      <c r="AF32" s="117">
        <v>2087.3076054075977</v>
      </c>
      <c r="AG32" s="117">
        <v>2300.3768435526545</v>
      </c>
      <c r="AH32" s="117">
        <v>2908.496158063856</v>
      </c>
      <c r="AI32" s="117">
        <v>3100.2804684298671</v>
      </c>
      <c r="AJ32" s="117">
        <v>3975.3900893563318</v>
      </c>
      <c r="AK32" s="117">
        <v>2596.919876120337</v>
      </c>
      <c r="AL32" s="117">
        <v>2791.2091242241895</v>
      </c>
      <c r="AM32" s="117">
        <v>3500.6114899106574</v>
      </c>
      <c r="AN32" s="117">
        <v>4748.2155289301536</v>
      </c>
      <c r="AO32" s="117">
        <v>5166.1637447063176</v>
      </c>
      <c r="AP32" s="117">
        <v>5282.0088275411144</v>
      </c>
      <c r="AQ32" s="117">
        <v>5087.1522210139974</v>
      </c>
      <c r="AR32" s="117">
        <v>3478.3727299764382</v>
      </c>
      <c r="AS32" s="117">
        <v>3749.753249961675</v>
      </c>
      <c r="AT32" s="117">
        <v>3156.7987178877347</v>
      </c>
      <c r="AU32" s="117">
        <v>2829.2831921707725</v>
      </c>
      <c r="AV32" s="117">
        <v>3070.9104906137682</v>
      </c>
      <c r="AW32" s="117">
        <v>3637.4623892573331</v>
      </c>
      <c r="AX32" s="117">
        <v>4790.4370877736601</v>
      </c>
      <c r="AY32" s="117">
        <v>5886.4635883772817</v>
      </c>
      <c r="AZ32" s="117">
        <v>7348.0307935554811</v>
      </c>
      <c r="BA32" s="117">
        <v>8831.0231169756571</v>
      </c>
      <c r="BB32" s="117">
        <v>8597.9153515162343</v>
      </c>
      <c r="BC32" s="117">
        <v>11286.243016245748</v>
      </c>
      <c r="BD32" s="117">
        <v>13245.612499544754</v>
      </c>
      <c r="BE32" s="117">
        <v>12370.024200714892</v>
      </c>
      <c r="BF32" s="117">
        <v>12300.32488227575</v>
      </c>
      <c r="BG32" s="117">
        <v>12112.588205969725</v>
      </c>
      <c r="BH32" s="117">
        <v>8814.0009868126126</v>
      </c>
      <c r="BI32" s="117">
        <v>8710.096689541213</v>
      </c>
      <c r="BJ32" s="117">
        <v>9925.3862377004116</v>
      </c>
      <c r="BK32" s="117">
        <v>9001.2342486349862</v>
      </c>
      <c r="BL32" s="117">
        <v>8717.1862781081854</v>
      </c>
    </row>
    <row r="33" spans="1:64" hidden="1">
      <c r="A33" s="117" t="s">
        <v>831</v>
      </c>
      <c r="B33" s="117" t="s">
        <v>832</v>
      </c>
      <c r="C33" s="117" t="s">
        <v>775</v>
      </c>
      <c r="D33" s="117" t="s">
        <v>776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>
        <v>1274.5431626132447</v>
      </c>
      <c r="T33" s="117">
        <v>1633.8495617359602</v>
      </c>
      <c r="U33" s="117">
        <v>1760.6672048956495</v>
      </c>
      <c r="V33" s="117">
        <v>1988.8472502241177</v>
      </c>
      <c r="W33" s="117">
        <v>2209.7405189191913</v>
      </c>
      <c r="X33" s="117">
        <v>2667.037139877616</v>
      </c>
      <c r="Y33" s="117">
        <v>4010.715843197213</v>
      </c>
      <c r="Z33" s="117">
        <v>4398.7901333643176</v>
      </c>
      <c r="AA33" s="117">
        <v>4580.8984121601479</v>
      </c>
      <c r="AB33" s="117">
        <v>4851.156674321147</v>
      </c>
      <c r="AC33" s="117">
        <v>5271.6473034841692</v>
      </c>
      <c r="AD33" s="117">
        <v>5500.3497224211851</v>
      </c>
      <c r="AE33" s="117">
        <v>6019.8873745749297</v>
      </c>
      <c r="AF33" s="117">
        <v>6605.6000052753852</v>
      </c>
      <c r="AG33" s="117">
        <v>6999.6869133731179</v>
      </c>
      <c r="AH33" s="117">
        <v>7717.2961943996024</v>
      </c>
      <c r="AI33" s="117">
        <v>7711.2067988565959</v>
      </c>
      <c r="AJ33" s="117">
        <v>7714.9489398187507</v>
      </c>
      <c r="AK33" s="117">
        <v>7444.2914419177896</v>
      </c>
      <c r="AL33" s="117">
        <v>7819.4218340523557</v>
      </c>
      <c r="AM33" s="117">
        <v>8121.5619186147314</v>
      </c>
      <c r="AN33" s="117">
        <v>8335.8992925705152</v>
      </c>
      <c r="AO33" s="117">
        <v>8850.9801701949546</v>
      </c>
      <c r="AP33" s="117">
        <v>9315.8286183423479</v>
      </c>
      <c r="AQ33" s="117">
        <v>10459.364802133163</v>
      </c>
      <c r="AR33" s="117">
        <v>10914.443668332988</v>
      </c>
      <c r="AS33" s="117">
        <v>11268.254055945345</v>
      </c>
      <c r="AT33" s="117">
        <v>11209.174311926605</v>
      </c>
      <c r="AU33" s="117">
        <v>11361.433665538996</v>
      </c>
      <c r="AV33" s="117">
        <v>11699.45576297074</v>
      </c>
      <c r="AW33" s="117">
        <v>12512.532511878642</v>
      </c>
      <c r="AX33" s="117">
        <v>13822.591677131473</v>
      </c>
      <c r="AY33" s="117">
        <v>15199.457973093266</v>
      </c>
      <c r="AZ33" s="117">
        <v>16770.721205597416</v>
      </c>
      <c r="BA33" s="117">
        <v>17092.582140841449</v>
      </c>
      <c r="BB33" s="117">
        <v>15885.579714269452</v>
      </c>
      <c r="BC33" s="117">
        <v>16056.370976603068</v>
      </c>
      <c r="BD33" s="117">
        <v>16458.353210571509</v>
      </c>
      <c r="BE33" s="117">
        <v>16249.559393725767</v>
      </c>
      <c r="BF33" s="117">
        <v>16451.163575991221</v>
      </c>
      <c r="BG33" s="117">
        <v>16489.072237338718</v>
      </c>
      <c r="BH33" s="117">
        <v>16525.07325005958</v>
      </c>
      <c r="BI33" s="117">
        <v>16900.166552366023</v>
      </c>
      <c r="BJ33" s="117">
        <v>17391.425866339661</v>
      </c>
      <c r="BK33" s="117">
        <v>17745.193464996282</v>
      </c>
      <c r="BL33" s="117">
        <v>18148.244926400141</v>
      </c>
    </row>
    <row r="34" spans="1:64" hidden="1">
      <c r="A34" s="117" t="s">
        <v>833</v>
      </c>
      <c r="B34" s="117" t="s">
        <v>834</v>
      </c>
      <c r="C34" s="117" t="s">
        <v>775</v>
      </c>
      <c r="D34" s="117" t="s">
        <v>776</v>
      </c>
      <c r="E34" s="117"/>
      <c r="F34" s="117"/>
      <c r="G34" s="117"/>
      <c r="H34" s="117"/>
      <c r="I34" s="117"/>
      <c r="J34" s="117">
        <v>1113.8265549518351</v>
      </c>
      <c r="K34" s="117">
        <v>1237.5635792502985</v>
      </c>
      <c r="L34" s="117">
        <v>1236.3976733859024</v>
      </c>
      <c r="M34" s="117">
        <v>1364.0544076599472</v>
      </c>
      <c r="N34" s="117">
        <v>1304.2984602776501</v>
      </c>
      <c r="O34" s="117">
        <v>1382.5483042983512</v>
      </c>
      <c r="P34" s="117">
        <v>1455.8983072423966</v>
      </c>
      <c r="Q34" s="117">
        <v>1906.8774966098285</v>
      </c>
      <c r="R34" s="117">
        <v>2916.2088153096906</v>
      </c>
      <c r="S34" s="117">
        <v>6923.0878923441596</v>
      </c>
      <c r="T34" s="117">
        <v>7228.4428597820024</v>
      </c>
      <c r="U34" s="117">
        <v>8461.4870683705103</v>
      </c>
      <c r="V34" s="117">
        <v>9917.471759224878</v>
      </c>
      <c r="W34" s="117">
        <v>10714.940004999755</v>
      </c>
      <c r="X34" s="117">
        <v>14945.203756413808</v>
      </c>
      <c r="Y34" s="117">
        <v>25422.170312243692</v>
      </c>
      <c r="Z34" s="117">
        <v>21828.777226273101</v>
      </c>
      <c r="AA34" s="117">
        <v>20693.724487169573</v>
      </c>
      <c r="AB34" s="117">
        <v>18128.987450024946</v>
      </c>
      <c r="AC34" s="117">
        <v>17337.105940015124</v>
      </c>
      <c r="AD34" s="117">
        <v>15698.945252887361</v>
      </c>
      <c r="AE34" s="117">
        <v>10214.116956981305</v>
      </c>
      <c r="AF34" s="117">
        <v>11594.665153229971</v>
      </c>
      <c r="AG34" s="117">
        <v>11009.302430331205</v>
      </c>
      <c r="AH34" s="117">
        <v>11872.630734696204</v>
      </c>
      <c r="AI34" s="117">
        <v>13607.522095763123</v>
      </c>
      <c r="AJ34" s="117">
        <v>13905.063868969846</v>
      </c>
      <c r="AK34" s="117">
        <v>15274.44463172729</v>
      </c>
      <c r="AL34" s="117">
        <v>14575.72982115036</v>
      </c>
      <c r="AM34" s="117">
        <v>14120.854988813111</v>
      </c>
      <c r="AN34" s="117">
        <v>15933.345573372142</v>
      </c>
      <c r="AO34" s="117">
        <v>16793.28097405779</v>
      </c>
      <c r="AP34" s="117">
        <v>16660.361247789548</v>
      </c>
      <c r="AQ34" s="117">
        <v>12693.790976905284</v>
      </c>
      <c r="AR34" s="117">
        <v>14101.345758866984</v>
      </c>
      <c r="AS34" s="117">
        <v>18012.556259704659</v>
      </c>
      <c r="AT34" s="117">
        <v>16472.148621494383</v>
      </c>
      <c r="AU34" s="117">
        <v>16850.151125380529</v>
      </c>
      <c r="AV34" s="117">
        <v>18560.608573070145</v>
      </c>
      <c r="AW34" s="117">
        <v>21902.088052583211</v>
      </c>
      <c r="AX34" s="117">
        <v>26105.279030311372</v>
      </c>
      <c r="AY34" s="117">
        <v>30979.879172579782</v>
      </c>
      <c r="AZ34" s="117">
        <v>32663.566592161344</v>
      </c>
      <c r="BA34" s="117">
        <v>37934.37650679837</v>
      </c>
      <c r="BB34" s="117">
        <v>27955.713862935889</v>
      </c>
      <c r="BC34" s="117">
        <v>35269.553107644766</v>
      </c>
      <c r="BD34" s="117">
        <v>47055.841117180804</v>
      </c>
      <c r="BE34" s="117">
        <v>47740.514901585608</v>
      </c>
      <c r="BF34" s="117">
        <v>44740.085018516977</v>
      </c>
      <c r="BG34" s="117">
        <v>41726.783972034158</v>
      </c>
      <c r="BH34" s="117">
        <v>31164.562029114139</v>
      </c>
      <c r="BI34" s="117">
        <v>27157.823410478362</v>
      </c>
      <c r="BJ34" s="117">
        <v>28572.146777650949</v>
      </c>
      <c r="BK34" s="117">
        <v>31628.328791434924</v>
      </c>
      <c r="BL34" s="117">
        <v>31086.751079293947</v>
      </c>
    </row>
    <row r="35" spans="1:64" hidden="1">
      <c r="A35" s="117" t="s">
        <v>835</v>
      </c>
      <c r="B35" s="117" t="s">
        <v>836</v>
      </c>
      <c r="C35" s="117" t="s">
        <v>775</v>
      </c>
      <c r="D35" s="117" t="s">
        <v>776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>
        <v>333.40287598253616</v>
      </c>
      <c r="Z35" s="117">
        <v>350.12625767526742</v>
      </c>
      <c r="AA35" s="117">
        <v>347.21969822409727</v>
      </c>
      <c r="AB35" s="117">
        <v>376.48398805439336</v>
      </c>
      <c r="AC35" s="117">
        <v>374.91470465137263</v>
      </c>
      <c r="AD35" s="117">
        <v>370.9457552804181</v>
      </c>
      <c r="AE35" s="117">
        <v>420.67911227802347</v>
      </c>
      <c r="AF35" s="117">
        <v>512.1915990380644</v>
      </c>
      <c r="AG35" s="117">
        <v>557.08253195692839</v>
      </c>
      <c r="AH35" s="117">
        <v>528.4584196114165</v>
      </c>
      <c r="AI35" s="117">
        <v>564.7796095025202</v>
      </c>
      <c r="AJ35" s="117">
        <v>467.69710741152687</v>
      </c>
      <c r="AK35" s="117">
        <v>469.19897546172842</v>
      </c>
      <c r="AL35" s="117">
        <v>441.68482367673573</v>
      </c>
      <c r="AM35" s="117">
        <v>509.12406949028031</v>
      </c>
      <c r="AN35" s="117">
        <v>566.85769863276073</v>
      </c>
      <c r="AO35" s="117">
        <v>584.37915812173458</v>
      </c>
      <c r="AP35" s="117">
        <v>663.3288565850894</v>
      </c>
      <c r="AQ35" s="117">
        <v>667.91362378618442</v>
      </c>
      <c r="AR35" s="117">
        <v>725.12474107468654</v>
      </c>
      <c r="AS35" s="117">
        <v>718.18783071606811</v>
      </c>
      <c r="AT35" s="117">
        <v>764.4366073622524</v>
      </c>
      <c r="AU35" s="117">
        <v>845.51027978501679</v>
      </c>
      <c r="AV35" s="117">
        <v>962.09690369960265</v>
      </c>
      <c r="AW35" s="117">
        <v>1068.4217762838532</v>
      </c>
      <c r="AX35" s="117">
        <v>1228.4418235706592</v>
      </c>
      <c r="AY35" s="117">
        <v>1330.9652965441981</v>
      </c>
      <c r="AZ35" s="117">
        <v>1757.1825673253504</v>
      </c>
      <c r="BA35" s="117">
        <v>1828.1492327773567</v>
      </c>
      <c r="BB35" s="117">
        <v>1819.213401024904</v>
      </c>
      <c r="BC35" s="117">
        <v>2258.1831411559488</v>
      </c>
      <c r="BD35" s="117">
        <v>2563.2575266012</v>
      </c>
      <c r="BE35" s="117">
        <v>2538.9459003127567</v>
      </c>
      <c r="BF35" s="117">
        <v>2472.7143085743496</v>
      </c>
      <c r="BG35" s="117">
        <v>2652.2145889319677</v>
      </c>
      <c r="BH35" s="117">
        <v>2752.664207902656</v>
      </c>
      <c r="BI35" s="117">
        <v>2930.5629889183788</v>
      </c>
      <c r="BJ35" s="117">
        <v>3286.5747028748824</v>
      </c>
      <c r="BK35" s="117">
        <v>3243.2311259349685</v>
      </c>
      <c r="BL35" s="117"/>
    </row>
    <row r="36" spans="1:64" hidden="1">
      <c r="A36" s="117" t="s">
        <v>837</v>
      </c>
      <c r="B36" s="117" t="s">
        <v>838</v>
      </c>
      <c r="C36" s="117" t="s">
        <v>775</v>
      </c>
      <c r="D36" s="117" t="s">
        <v>776</v>
      </c>
      <c r="E36" s="117">
        <v>60.49251407055511</v>
      </c>
      <c r="F36" s="117">
        <v>64.176515101370327</v>
      </c>
      <c r="G36" s="117">
        <v>68.050219036547162</v>
      </c>
      <c r="H36" s="117">
        <v>71.107368259697395</v>
      </c>
      <c r="I36" s="117">
        <v>75.955502553705756</v>
      </c>
      <c r="J36" s="117">
        <v>81.7702863732693</v>
      </c>
      <c r="K36" s="117">
        <v>89.978451697036036</v>
      </c>
      <c r="L36" s="117">
        <v>100.40617490848079</v>
      </c>
      <c r="M36" s="117">
        <v>110.97845642046222</v>
      </c>
      <c r="N36" s="117">
        <v>126.54492733325552</v>
      </c>
      <c r="O36" s="117">
        <v>153.32613441003457</v>
      </c>
      <c r="P36" s="117">
        <v>196.42312009982072</v>
      </c>
      <c r="Q36" s="117">
        <v>247.7290896547386</v>
      </c>
      <c r="R36" s="117">
        <v>353.85540188844624</v>
      </c>
      <c r="S36" s="117">
        <v>428.19184289329735</v>
      </c>
      <c r="T36" s="117">
        <v>479.08547698889652</v>
      </c>
      <c r="U36" s="117">
        <v>483.14320208111661</v>
      </c>
      <c r="V36" s="117">
        <v>564.13112506314815</v>
      </c>
      <c r="W36" s="117">
        <v>709.18933795440432</v>
      </c>
      <c r="X36" s="117">
        <v>947.75285450798731</v>
      </c>
      <c r="Y36" s="117">
        <v>1181.6033416161517</v>
      </c>
      <c r="Z36" s="117">
        <v>1154.183540059282</v>
      </c>
      <c r="AA36" s="117">
        <v>1054.0384313022535</v>
      </c>
      <c r="AB36" s="117">
        <v>1176.8124463169413</v>
      </c>
      <c r="AC36" s="117">
        <v>1202.9760022227426</v>
      </c>
      <c r="AD36" s="117">
        <v>1042.2426771842768</v>
      </c>
      <c r="AE36" s="117">
        <v>1253.5609585417997</v>
      </c>
      <c r="AF36" s="117">
        <v>1701.6751860008105</v>
      </c>
      <c r="AG36" s="117">
        <v>2203.6576325425463</v>
      </c>
      <c r="AH36" s="117">
        <v>2477.9753575759223</v>
      </c>
      <c r="AI36" s="117">
        <v>2945.8320395380147</v>
      </c>
      <c r="AJ36" s="117">
        <v>2972.7267114294641</v>
      </c>
      <c r="AK36" s="117">
        <v>3040.9604037171898</v>
      </c>
      <c r="AL36" s="117">
        <v>2973.3804012170563</v>
      </c>
      <c r="AM36" s="117">
        <v>2970.1225675035075</v>
      </c>
      <c r="AN36" s="117">
        <v>3219.9120505961723</v>
      </c>
      <c r="AO36" s="117">
        <v>3221.6762095453955</v>
      </c>
      <c r="AP36" s="117">
        <v>3258.9803122207272</v>
      </c>
      <c r="AQ36" s="117">
        <v>3039.9707309767969</v>
      </c>
      <c r="AR36" s="117">
        <v>3405.8125979208662</v>
      </c>
      <c r="AS36" s="117">
        <v>3522.308678063956</v>
      </c>
      <c r="AT36" s="117">
        <v>3278.0082497438029</v>
      </c>
      <c r="AU36" s="117">
        <v>3190.6154528254956</v>
      </c>
      <c r="AV36" s="117">
        <v>4330.9449004076569</v>
      </c>
      <c r="AW36" s="117">
        <v>5073.5376499681988</v>
      </c>
      <c r="AX36" s="117">
        <v>5520.1247197250268</v>
      </c>
      <c r="AY36" s="117">
        <v>5516.0392096513251</v>
      </c>
      <c r="AZ36" s="117">
        <v>5832.7339416530012</v>
      </c>
      <c r="BA36" s="117">
        <v>5713.5349833284108</v>
      </c>
      <c r="BB36" s="117">
        <v>5255.7684613618057</v>
      </c>
      <c r="BC36" s="117">
        <v>6434.8156568846462</v>
      </c>
      <c r="BD36" s="117">
        <v>7617.3250942164823</v>
      </c>
      <c r="BE36" s="117">
        <v>7070.3765503016339</v>
      </c>
      <c r="BF36" s="117">
        <v>7224.9651715078571</v>
      </c>
      <c r="BG36" s="117">
        <v>7780.6383846039416</v>
      </c>
      <c r="BH36" s="117">
        <v>6799.8752335276758</v>
      </c>
      <c r="BI36" s="117">
        <v>7243.8529972684155</v>
      </c>
      <c r="BJ36" s="117">
        <v>7893.2101077111574</v>
      </c>
      <c r="BK36" s="117">
        <v>8279.6013647339842</v>
      </c>
      <c r="BL36" s="117">
        <v>7961.3381401404768</v>
      </c>
    </row>
    <row r="37" spans="1:64" hidden="1">
      <c r="A37" s="117" t="s">
        <v>839</v>
      </c>
      <c r="B37" s="117" t="s">
        <v>840</v>
      </c>
      <c r="C37" s="117" t="s">
        <v>775</v>
      </c>
      <c r="D37" s="117" t="s">
        <v>776</v>
      </c>
      <c r="E37" s="117">
        <v>74.687346969883606</v>
      </c>
      <c r="F37" s="117">
        <v>80.687587868200509</v>
      </c>
      <c r="G37" s="117">
        <v>80.212608294242173</v>
      </c>
      <c r="H37" s="117">
        <v>81.918168566553518</v>
      </c>
      <c r="I37" s="117">
        <v>88.290225548966376</v>
      </c>
      <c r="J37" s="117">
        <v>91.83037465299536</v>
      </c>
      <c r="K37" s="117">
        <v>94.398235690021011</v>
      </c>
      <c r="L37" s="117">
        <v>95.896708467207333</v>
      </c>
      <c r="M37" s="117">
        <v>109.94616250077939</v>
      </c>
      <c r="N37" s="117">
        <v>105.70763613548687</v>
      </c>
      <c r="O37" s="117">
        <v>104.4127659210295</v>
      </c>
      <c r="P37" s="117">
        <v>109.45329975993313</v>
      </c>
      <c r="Q37" s="117">
        <v>123.31091532022656</v>
      </c>
      <c r="R37" s="117">
        <v>143.11561971278786</v>
      </c>
      <c r="S37" s="117">
        <v>146.22761530450899</v>
      </c>
      <c r="T37" s="117">
        <v>193.35498211823239</v>
      </c>
      <c r="U37" s="117">
        <v>225.91351386841106</v>
      </c>
      <c r="V37" s="117">
        <v>248.68542362865861</v>
      </c>
      <c r="W37" s="117">
        <v>292.46986882517808</v>
      </c>
      <c r="X37" s="117">
        <v>327.34137778238045</v>
      </c>
      <c r="Y37" s="117">
        <v>362.40064308517879</v>
      </c>
      <c r="Z37" s="117">
        <v>306.83210376876792</v>
      </c>
      <c r="AA37" s="117">
        <v>320.43065538266171</v>
      </c>
      <c r="AB37" s="117">
        <v>273.50194966359027</v>
      </c>
      <c r="AC37" s="117">
        <v>257.35363663478614</v>
      </c>
      <c r="AD37" s="117">
        <v>340.20152281758789</v>
      </c>
      <c r="AE37" s="117">
        <v>432.01242392304152</v>
      </c>
      <c r="AF37" s="117">
        <v>453.74553276887792</v>
      </c>
      <c r="AG37" s="117">
        <v>469.52934131175562</v>
      </c>
      <c r="AH37" s="117">
        <v>449.3990594315465</v>
      </c>
      <c r="AI37" s="117">
        <v>513.30528495777855</v>
      </c>
      <c r="AJ37" s="117">
        <v>478.50294389533167</v>
      </c>
      <c r="AK37" s="117">
        <v>477.12232429537698</v>
      </c>
      <c r="AL37" s="117">
        <v>419.80256603399124</v>
      </c>
      <c r="AM37" s="117">
        <v>271.50567083392241</v>
      </c>
      <c r="AN37" s="117">
        <v>346.10884059334501</v>
      </c>
      <c r="AO37" s="117">
        <v>304.63125970905367</v>
      </c>
      <c r="AP37" s="117">
        <v>276.42127015209002</v>
      </c>
      <c r="AQ37" s="117">
        <v>278.33134090319123</v>
      </c>
      <c r="AR37" s="117">
        <v>280.9088189890856</v>
      </c>
      <c r="AS37" s="117">
        <v>251.20687740669825</v>
      </c>
      <c r="AT37" s="117">
        <v>250.35701137201823</v>
      </c>
      <c r="AU37" s="117">
        <v>260.74552727436594</v>
      </c>
      <c r="AV37" s="117">
        <v>293.66185167943536</v>
      </c>
      <c r="AW37" s="117">
        <v>320.73746031192354</v>
      </c>
      <c r="AX37" s="117">
        <v>331.16292419891084</v>
      </c>
      <c r="AY37" s="117">
        <v>354.67138006786649</v>
      </c>
      <c r="AZ37" s="117">
        <v>404.37396496274056</v>
      </c>
      <c r="BA37" s="117">
        <v>464.56142211668373</v>
      </c>
      <c r="BB37" s="117">
        <v>474.70540866492348</v>
      </c>
      <c r="BC37" s="117">
        <v>488.42140178156905</v>
      </c>
      <c r="BD37" s="117">
        <v>551.75009655258259</v>
      </c>
      <c r="BE37" s="117">
        <v>565.80069697121701</v>
      </c>
      <c r="BF37" s="117">
        <v>380.29816764301768</v>
      </c>
      <c r="BG37" s="117">
        <v>424.44875134363059</v>
      </c>
      <c r="BH37" s="117">
        <v>377.42300167944683</v>
      </c>
      <c r="BI37" s="117">
        <v>402.19129059600425</v>
      </c>
      <c r="BJ37" s="117">
        <v>450.90024497905756</v>
      </c>
      <c r="BK37" s="117">
        <v>475.95360987194459</v>
      </c>
      <c r="BL37" s="117">
        <v>467.9074406363352</v>
      </c>
    </row>
    <row r="38" spans="1:64" hidden="1">
      <c r="A38" s="117" t="s">
        <v>841</v>
      </c>
      <c r="B38" s="117" t="s">
        <v>842</v>
      </c>
      <c r="C38" s="117" t="s">
        <v>775</v>
      </c>
      <c r="D38" s="117" t="s">
        <v>776</v>
      </c>
      <c r="E38" s="117">
        <v>2259.2942854988105</v>
      </c>
      <c r="F38" s="117">
        <v>2240.4330394585322</v>
      </c>
      <c r="G38" s="117">
        <v>2268.585346079075</v>
      </c>
      <c r="H38" s="117">
        <v>2374.4984476488321</v>
      </c>
      <c r="I38" s="117">
        <v>2555.1111460130937</v>
      </c>
      <c r="J38" s="117">
        <v>2770.3618040814526</v>
      </c>
      <c r="K38" s="117">
        <v>3047.1061470795817</v>
      </c>
      <c r="L38" s="117">
        <v>3217.1592936079483</v>
      </c>
      <c r="M38" s="117">
        <v>3462.6788719579413</v>
      </c>
      <c r="N38" s="117">
        <v>3763.9533793841656</v>
      </c>
      <c r="O38" s="117">
        <v>4121.9328092488931</v>
      </c>
      <c r="P38" s="117">
        <v>4520.1628645983346</v>
      </c>
      <c r="Q38" s="117">
        <v>5089.5879247821686</v>
      </c>
      <c r="R38" s="117">
        <v>5838.6609121226211</v>
      </c>
      <c r="S38" s="117">
        <v>7033.0110343565339</v>
      </c>
      <c r="T38" s="117">
        <v>7511.2113470393615</v>
      </c>
      <c r="U38" s="117">
        <v>8809.2646388244502</v>
      </c>
      <c r="V38" s="117">
        <v>8919.0574570795961</v>
      </c>
      <c r="W38" s="117">
        <v>9123.6913299867101</v>
      </c>
      <c r="X38" s="117">
        <v>10043.660941030008</v>
      </c>
      <c r="Y38" s="117">
        <v>11170.56396536182</v>
      </c>
      <c r="Z38" s="117">
        <v>12337.46624938037</v>
      </c>
      <c r="AA38" s="117">
        <v>12481.874787429784</v>
      </c>
      <c r="AB38" s="117">
        <v>13425.1224888294</v>
      </c>
      <c r="AC38" s="117">
        <v>13877.917076346948</v>
      </c>
      <c r="AD38" s="117">
        <v>14114.807759966354</v>
      </c>
      <c r="AE38" s="117">
        <v>14461.06923887871</v>
      </c>
      <c r="AF38" s="117">
        <v>16308.966966357904</v>
      </c>
      <c r="AG38" s="117">
        <v>18936.9641024997</v>
      </c>
      <c r="AH38" s="117">
        <v>20715.631483174035</v>
      </c>
      <c r="AI38" s="117">
        <v>21448.36196000567</v>
      </c>
      <c r="AJ38" s="117">
        <v>21768.343294182832</v>
      </c>
      <c r="AK38" s="117">
        <v>20879.848330089073</v>
      </c>
      <c r="AL38" s="117">
        <v>20121.161253285456</v>
      </c>
      <c r="AM38" s="117">
        <v>19935.381457920801</v>
      </c>
      <c r="AN38" s="117">
        <v>20613.787882921635</v>
      </c>
      <c r="AO38" s="117">
        <v>21227.347531589621</v>
      </c>
      <c r="AP38" s="117">
        <v>21829.233444322876</v>
      </c>
      <c r="AQ38" s="117">
        <v>20952.069464393662</v>
      </c>
      <c r="AR38" s="117">
        <v>22238.664535694315</v>
      </c>
      <c r="AS38" s="117">
        <v>24190.24961500449</v>
      </c>
      <c r="AT38" s="117">
        <v>23738.18072384104</v>
      </c>
      <c r="AU38" s="117">
        <v>24169.284734471825</v>
      </c>
      <c r="AV38" s="117">
        <v>28200.65807733815</v>
      </c>
      <c r="AW38" s="117">
        <v>32034.307740842076</v>
      </c>
      <c r="AX38" s="117">
        <v>36266.187123585274</v>
      </c>
      <c r="AY38" s="117">
        <v>40385.869955476977</v>
      </c>
      <c r="AZ38" s="117">
        <v>44543.041035900387</v>
      </c>
      <c r="BA38" s="117">
        <v>46594.450953528918</v>
      </c>
      <c r="BB38" s="117">
        <v>40773.06152897502</v>
      </c>
      <c r="BC38" s="117">
        <v>47448.0132198383</v>
      </c>
      <c r="BD38" s="117">
        <v>52087.446383568044</v>
      </c>
      <c r="BE38" s="117">
        <v>52678.390123477169</v>
      </c>
      <c r="BF38" s="117">
        <v>52652.593682827799</v>
      </c>
      <c r="BG38" s="117">
        <v>50893.446713754733</v>
      </c>
      <c r="BH38" s="117">
        <v>43585.51198177506</v>
      </c>
      <c r="BI38" s="117">
        <v>42322.484780303843</v>
      </c>
      <c r="BJ38" s="117">
        <v>45148.552706165479</v>
      </c>
      <c r="BK38" s="117">
        <v>46313.171371296092</v>
      </c>
      <c r="BL38" s="117">
        <v>46194.725225516726</v>
      </c>
    </row>
    <row r="39" spans="1:64" hidden="1">
      <c r="A39" s="117" t="s">
        <v>843</v>
      </c>
      <c r="B39" s="117" t="s">
        <v>844</v>
      </c>
      <c r="C39" s="117" t="s">
        <v>775</v>
      </c>
      <c r="D39" s="117" t="s">
        <v>776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>
        <v>2370.2223088499209</v>
      </c>
      <c r="AJ39" s="117">
        <v>2202.7517555490704</v>
      </c>
      <c r="AK39" s="117">
        <v>2355.456725338433</v>
      </c>
      <c r="AL39" s="117">
        <v>2479.3118556542054</v>
      </c>
      <c r="AM39" s="117">
        <v>2808.6703478446098</v>
      </c>
      <c r="AN39" s="117">
        <v>3572.6474664821585</v>
      </c>
      <c r="AO39" s="117">
        <v>3786.3072995685761</v>
      </c>
      <c r="AP39" s="117">
        <v>3739.6334758015155</v>
      </c>
      <c r="AQ39" s="117">
        <v>4099.5827418547815</v>
      </c>
      <c r="AR39" s="117">
        <v>3979.9473027323975</v>
      </c>
      <c r="AS39" s="117">
        <v>3942.4381797683623</v>
      </c>
      <c r="AT39" s="117">
        <v>4347.2763159577307</v>
      </c>
      <c r="AU39" s="117">
        <v>4929.7604686252844</v>
      </c>
      <c r="AV39" s="117">
        <v>5936.2096095013312</v>
      </c>
      <c r="AW39" s="117">
        <v>7164.8032827305342</v>
      </c>
      <c r="AX39" s="117">
        <v>8347.8228399378368</v>
      </c>
      <c r="AY39" s="117">
        <v>9468.4259511729906</v>
      </c>
      <c r="AZ39" s="117">
        <v>12004.031786520824</v>
      </c>
      <c r="BA39" s="117">
        <v>14576.991411054269</v>
      </c>
      <c r="BB39" s="117">
        <v>12293.391978479602</v>
      </c>
      <c r="BC39" s="117">
        <v>12576.041840369127</v>
      </c>
      <c r="BD39" s="117">
        <v>13889.385777463933</v>
      </c>
      <c r="BE39" s="117">
        <v>13015.828716284101</v>
      </c>
      <c r="BF39" s="117">
        <v>13718.097749455323</v>
      </c>
      <c r="BG39" s="117">
        <v>14161.907302779955</v>
      </c>
      <c r="BH39" s="117">
        <v>12493.713821819078</v>
      </c>
      <c r="BI39" s="117">
        <v>12792.514115259091</v>
      </c>
      <c r="BJ39" s="117">
        <v>14198.129857176991</v>
      </c>
      <c r="BK39" s="117">
        <v>15966.668336784505</v>
      </c>
      <c r="BL39" s="117">
        <v>16184.332008628991</v>
      </c>
    </row>
    <row r="40" spans="1:64" hidden="1">
      <c r="A40" s="117" t="s">
        <v>845</v>
      </c>
      <c r="B40" s="117" t="s">
        <v>846</v>
      </c>
      <c r="C40" s="117" t="s">
        <v>775</v>
      </c>
      <c r="D40" s="117" t="s">
        <v>776</v>
      </c>
      <c r="E40" s="117">
        <v>1787.3603477020074</v>
      </c>
      <c r="F40" s="117">
        <v>1971.3163227922828</v>
      </c>
      <c r="G40" s="117">
        <v>2131.3916515998317</v>
      </c>
      <c r="H40" s="117">
        <v>2294.1828473173787</v>
      </c>
      <c r="I40" s="117">
        <v>2501.2931899637747</v>
      </c>
      <c r="J40" s="117">
        <v>2620.4755473530031</v>
      </c>
      <c r="K40" s="117">
        <v>2784.7335477164634</v>
      </c>
      <c r="L40" s="117">
        <v>2960.7225858838383</v>
      </c>
      <c r="M40" s="117">
        <v>3121.8890308772043</v>
      </c>
      <c r="N40" s="117">
        <v>3344.7836025463948</v>
      </c>
      <c r="O40" s="117">
        <v>3927.2865332406545</v>
      </c>
      <c r="P40" s="117">
        <v>4694.7171625156143</v>
      </c>
      <c r="Q40" s="117">
        <v>5714.3408974975891</v>
      </c>
      <c r="R40" s="117">
        <v>7628.3964663326879</v>
      </c>
      <c r="S40" s="117">
        <v>8743.9927231114689</v>
      </c>
      <c r="T40" s="117">
        <v>10028.987188008223</v>
      </c>
      <c r="U40" s="117">
        <v>10550.300891545841</v>
      </c>
      <c r="V40" s="117">
        <v>11306.42447918238</v>
      </c>
      <c r="W40" s="117">
        <v>15810.629851172516</v>
      </c>
      <c r="X40" s="117">
        <v>17736.553411123699</v>
      </c>
      <c r="Y40" s="117">
        <v>18832.196719444786</v>
      </c>
      <c r="Z40" s="117">
        <v>17153.401316312702</v>
      </c>
      <c r="AA40" s="117">
        <v>17478.655792633141</v>
      </c>
      <c r="AB40" s="117">
        <v>17341.994875672961</v>
      </c>
      <c r="AC40" s="117">
        <v>16499.146930549272</v>
      </c>
      <c r="AD40" s="117">
        <v>16655.337391947545</v>
      </c>
      <c r="AE40" s="117">
        <v>23751.449517099791</v>
      </c>
      <c r="AF40" s="117">
        <v>29558.895477676495</v>
      </c>
      <c r="AG40" s="117">
        <v>31743.652912268175</v>
      </c>
      <c r="AH40" s="117">
        <v>30401.892481051276</v>
      </c>
      <c r="AI40" s="117">
        <v>38428.385502316713</v>
      </c>
      <c r="AJ40" s="117">
        <v>38399.210611852533</v>
      </c>
      <c r="AK40" s="117">
        <v>39534.541997216882</v>
      </c>
      <c r="AL40" s="117">
        <v>38100.736729034958</v>
      </c>
      <c r="AM40" s="117">
        <v>41843.756883561276</v>
      </c>
      <c r="AN40" s="117">
        <v>48662.439773788275</v>
      </c>
      <c r="AO40" s="117">
        <v>46676.850944168014</v>
      </c>
      <c r="AP40" s="117">
        <v>40417.962281760862</v>
      </c>
      <c r="AQ40" s="117">
        <v>41497.202605311642</v>
      </c>
      <c r="AR40" s="117">
        <v>40581.307051557225</v>
      </c>
      <c r="AS40" s="117">
        <v>37868.323059579823</v>
      </c>
      <c r="AT40" s="117">
        <v>38538.990053094429</v>
      </c>
      <c r="AU40" s="117">
        <v>41376.393985395916</v>
      </c>
      <c r="AV40" s="117">
        <v>48087.58313931436</v>
      </c>
      <c r="AW40" s="117">
        <v>53340.147655777975</v>
      </c>
      <c r="AX40" s="117">
        <v>54952.673718149781</v>
      </c>
      <c r="AY40" s="117">
        <v>57579.501953809246</v>
      </c>
      <c r="AZ40" s="117">
        <v>63555.237499550429</v>
      </c>
      <c r="BA40" s="117">
        <v>72487.845929684889</v>
      </c>
      <c r="BB40" s="117">
        <v>69927.468770117121</v>
      </c>
      <c r="BC40" s="117">
        <v>74605.721020705125</v>
      </c>
      <c r="BD40" s="117">
        <v>88415.628060952658</v>
      </c>
      <c r="BE40" s="117">
        <v>83538.23007838575</v>
      </c>
      <c r="BF40" s="117">
        <v>85112.464398414129</v>
      </c>
      <c r="BG40" s="117">
        <v>86605.563376242091</v>
      </c>
      <c r="BH40" s="117">
        <v>82081.597123979212</v>
      </c>
      <c r="BI40" s="117">
        <v>80172.232074795145</v>
      </c>
      <c r="BJ40" s="117">
        <v>80449.994560836625</v>
      </c>
      <c r="BK40" s="117">
        <v>82818.108161747063</v>
      </c>
      <c r="BL40" s="117">
        <v>81993.727149420156</v>
      </c>
    </row>
    <row r="41" spans="1:64" hidden="1">
      <c r="A41" s="117" t="s">
        <v>847</v>
      </c>
      <c r="B41" s="117" t="s">
        <v>848</v>
      </c>
      <c r="C41" s="117" t="s">
        <v>775</v>
      </c>
      <c r="D41" s="117" t="s">
        <v>776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>
        <v>40585.38257597218</v>
      </c>
      <c r="AR41" s="117">
        <v>42443.432325923503</v>
      </c>
      <c r="AS41" s="117">
        <v>43381.65783977852</v>
      </c>
      <c r="AT41" s="117">
        <v>41804.37091614923</v>
      </c>
      <c r="AU41" s="117">
        <v>44544.433439050517</v>
      </c>
      <c r="AV41" s="117">
        <v>48859.483020758475</v>
      </c>
      <c r="AW41" s="117">
        <v>56753.386197104177</v>
      </c>
      <c r="AX41" s="117">
        <v>58197.449381404855</v>
      </c>
      <c r="AY41" s="117">
        <v>63239.653829093098</v>
      </c>
      <c r="AZ41" s="117">
        <v>74462.646746792045</v>
      </c>
      <c r="BA41" s="117"/>
      <c r="BB41" s="117"/>
      <c r="BC41" s="117"/>
      <c r="BD41" s="117"/>
      <c r="BE41" s="117"/>
      <c r="BF41" s="117"/>
      <c r="BG41" s="117"/>
      <c r="BH41" s="117"/>
      <c r="BI41" s="117"/>
      <c r="BJ41" s="117"/>
      <c r="BK41" s="117"/>
      <c r="BL41" s="117"/>
    </row>
    <row r="42" spans="1:64" hidden="1">
      <c r="A42" s="117" t="s">
        <v>849</v>
      </c>
      <c r="B42" s="117" t="s">
        <v>850</v>
      </c>
      <c r="C42" s="117" t="s">
        <v>775</v>
      </c>
      <c r="D42" s="117" t="s">
        <v>776</v>
      </c>
      <c r="E42" s="117">
        <v>505.34920121628079</v>
      </c>
      <c r="F42" s="117">
        <v>555.13393461475368</v>
      </c>
      <c r="G42" s="117">
        <v>638.94520922841548</v>
      </c>
      <c r="H42" s="117">
        <v>655.25247598749047</v>
      </c>
      <c r="I42" s="117">
        <v>678.12787579294024</v>
      </c>
      <c r="J42" s="117">
        <v>670.39464177633295</v>
      </c>
      <c r="K42" s="117">
        <v>772.72605385178917</v>
      </c>
      <c r="L42" s="117">
        <v>753.1276343756557</v>
      </c>
      <c r="M42" s="117">
        <v>756.91248051074217</v>
      </c>
      <c r="N42" s="117">
        <v>870.31911518876643</v>
      </c>
      <c r="O42" s="117">
        <v>932.86156915700803</v>
      </c>
      <c r="P42" s="117">
        <v>1094.6810421424987</v>
      </c>
      <c r="Q42" s="117">
        <v>1173.2185052380262</v>
      </c>
      <c r="R42" s="117">
        <v>1640.0293803047332</v>
      </c>
      <c r="S42" s="117">
        <v>1554.3885482809967</v>
      </c>
      <c r="T42" s="117">
        <v>719.59936134235522</v>
      </c>
      <c r="U42" s="117">
        <v>961.42442528790855</v>
      </c>
      <c r="V42" s="117">
        <v>1278.3279256626283</v>
      </c>
      <c r="W42" s="117">
        <v>1441.9420856438771</v>
      </c>
      <c r="X42" s="117">
        <v>1937.2665721033554</v>
      </c>
      <c r="Y42" s="117">
        <v>2542.7642516713636</v>
      </c>
      <c r="Z42" s="117">
        <v>2979.6094222982069</v>
      </c>
      <c r="AA42" s="117">
        <v>2156.5126988493907</v>
      </c>
      <c r="AB42" s="117">
        <v>1709.4413516011846</v>
      </c>
      <c r="AC42" s="117">
        <v>1624.6322366566781</v>
      </c>
      <c r="AD42" s="117">
        <v>1444.2803739366595</v>
      </c>
      <c r="AE42" s="117">
        <v>1517.8625647128799</v>
      </c>
      <c r="AF42" s="117">
        <v>1760.3054233893899</v>
      </c>
      <c r="AG42" s="117">
        <v>2026.838545293034</v>
      </c>
      <c r="AH42" s="117">
        <v>2288.5549408994839</v>
      </c>
      <c r="AI42" s="117">
        <v>2494.5256688625441</v>
      </c>
      <c r="AJ42" s="117">
        <v>2803.5620904997345</v>
      </c>
      <c r="AK42" s="117">
        <v>3350.2138445764886</v>
      </c>
      <c r="AL42" s="117">
        <v>3535.1735995737017</v>
      </c>
      <c r="AM42" s="117">
        <v>4024.2169322369505</v>
      </c>
      <c r="AN42" s="117">
        <v>5107.2768023360613</v>
      </c>
      <c r="AO42" s="117">
        <v>5349.8041265562169</v>
      </c>
      <c r="AP42" s="117">
        <v>5745.3737954979624</v>
      </c>
      <c r="AQ42" s="117">
        <v>5446.5806127941632</v>
      </c>
      <c r="AR42" s="117">
        <v>4957.7778838362383</v>
      </c>
      <c r="AS42" s="117">
        <v>5074.9016237500928</v>
      </c>
      <c r="AT42" s="117">
        <v>4574.5944206757331</v>
      </c>
      <c r="AU42" s="117">
        <v>4446.2505048869343</v>
      </c>
      <c r="AV42" s="117">
        <v>4772.5628196506041</v>
      </c>
      <c r="AW42" s="117">
        <v>6194.8531069841838</v>
      </c>
      <c r="AX42" s="117">
        <v>7598.5251210888882</v>
      </c>
      <c r="AY42" s="117">
        <v>9464.5502429060707</v>
      </c>
      <c r="AZ42" s="117">
        <v>10502.354520273666</v>
      </c>
      <c r="BA42" s="117">
        <v>10751.47967421702</v>
      </c>
      <c r="BB42" s="117">
        <v>10208.906762286078</v>
      </c>
      <c r="BC42" s="117">
        <v>12808.034586422002</v>
      </c>
      <c r="BD42" s="117">
        <v>14637.240235540303</v>
      </c>
      <c r="BE42" s="117">
        <v>15351.551325769664</v>
      </c>
      <c r="BF42" s="117">
        <v>15842.940805212489</v>
      </c>
      <c r="BG42" s="117">
        <v>14670.996760602029</v>
      </c>
      <c r="BH42" s="117">
        <v>13574.171830724023</v>
      </c>
      <c r="BI42" s="117">
        <v>13753.594437459813</v>
      </c>
      <c r="BJ42" s="117">
        <v>14999.370088551153</v>
      </c>
      <c r="BK42" s="117">
        <v>15924.794239306435</v>
      </c>
      <c r="BL42" s="117">
        <v>14896.453866578866</v>
      </c>
    </row>
    <row r="43" spans="1:64" hidden="1">
      <c r="A43" s="117" t="s">
        <v>851</v>
      </c>
      <c r="B43" s="117" t="s">
        <v>852</v>
      </c>
      <c r="C43" s="117" t="s">
        <v>775</v>
      </c>
      <c r="D43" s="117" t="s">
        <v>776</v>
      </c>
      <c r="E43" s="117">
        <v>89.520541510358441</v>
      </c>
      <c r="F43" s="117">
        <v>75.805837925996457</v>
      </c>
      <c r="G43" s="117">
        <v>70.909411667100713</v>
      </c>
      <c r="H43" s="117">
        <v>74.313643448614457</v>
      </c>
      <c r="I43" s="117">
        <v>85.498555159631337</v>
      </c>
      <c r="J43" s="117">
        <v>98.486777752220632</v>
      </c>
      <c r="K43" s="117">
        <v>104.3245661811473</v>
      </c>
      <c r="L43" s="117">
        <v>96.589531941781914</v>
      </c>
      <c r="M43" s="117">
        <v>91.472718306607177</v>
      </c>
      <c r="N43" s="117">
        <v>100.12990326618034</v>
      </c>
      <c r="O43" s="117">
        <v>113.16299155468569</v>
      </c>
      <c r="P43" s="117">
        <v>118.65457778534622</v>
      </c>
      <c r="Q43" s="117">
        <v>131.88356124386769</v>
      </c>
      <c r="R43" s="117">
        <v>157.09037429865688</v>
      </c>
      <c r="S43" s="117">
        <v>160.14009372768567</v>
      </c>
      <c r="T43" s="117">
        <v>178.34181960809613</v>
      </c>
      <c r="U43" s="117">
        <v>165.40554037242046</v>
      </c>
      <c r="V43" s="117">
        <v>185.42283291367269</v>
      </c>
      <c r="W43" s="117">
        <v>156.39638852004444</v>
      </c>
      <c r="X43" s="117">
        <v>183.98315221597773</v>
      </c>
      <c r="Y43" s="117">
        <v>194.80472218683599</v>
      </c>
      <c r="Z43" s="117">
        <v>197.07147449910167</v>
      </c>
      <c r="AA43" s="117">
        <v>203.33491950346371</v>
      </c>
      <c r="AB43" s="117">
        <v>225.43192889081189</v>
      </c>
      <c r="AC43" s="117">
        <v>250.71396904698756</v>
      </c>
      <c r="AD43" s="117">
        <v>294.45884850495992</v>
      </c>
      <c r="AE43" s="117">
        <v>281.92812091156304</v>
      </c>
      <c r="AF43" s="117">
        <v>251.81195696132875</v>
      </c>
      <c r="AG43" s="117">
        <v>283.53769524052444</v>
      </c>
      <c r="AH43" s="117">
        <v>310.88191240489954</v>
      </c>
      <c r="AI43" s="117">
        <v>317.88467304092774</v>
      </c>
      <c r="AJ43" s="117">
        <v>333.14214540018395</v>
      </c>
      <c r="AK43" s="117">
        <v>366.46069230207303</v>
      </c>
      <c r="AL43" s="117">
        <v>377.38983947995837</v>
      </c>
      <c r="AM43" s="117">
        <v>473.4922787180418</v>
      </c>
      <c r="AN43" s="117">
        <v>609.65667920248359</v>
      </c>
      <c r="AO43" s="117">
        <v>709.41375508503859</v>
      </c>
      <c r="AP43" s="117">
        <v>781.74416434105262</v>
      </c>
      <c r="AQ43" s="117">
        <v>828.58047929568147</v>
      </c>
      <c r="AR43" s="117">
        <v>873.28706172579041</v>
      </c>
      <c r="AS43" s="117">
        <v>959.37248363969127</v>
      </c>
      <c r="AT43" s="117">
        <v>1053.108243004523</v>
      </c>
      <c r="AU43" s="117">
        <v>1148.508290441699</v>
      </c>
      <c r="AV43" s="117">
        <v>1288.6432518338095</v>
      </c>
      <c r="AW43" s="117">
        <v>1508.6680978826616</v>
      </c>
      <c r="AX43" s="117">
        <v>1753.417829258233</v>
      </c>
      <c r="AY43" s="117">
        <v>2099.2294346044728</v>
      </c>
      <c r="AZ43" s="117">
        <v>2693.9698268348543</v>
      </c>
      <c r="BA43" s="117">
        <v>3468.3044632474707</v>
      </c>
      <c r="BB43" s="117">
        <v>3832.2359515672742</v>
      </c>
      <c r="BC43" s="117">
        <v>4550.4535958385723</v>
      </c>
      <c r="BD43" s="117">
        <v>5618.1324913496246</v>
      </c>
      <c r="BE43" s="117">
        <v>6316.9188633568319</v>
      </c>
      <c r="BF43" s="117">
        <v>7050.6459198896337</v>
      </c>
      <c r="BG43" s="117">
        <v>7678.599431661004</v>
      </c>
      <c r="BH43" s="117">
        <v>8066.9424235674496</v>
      </c>
      <c r="BI43" s="117">
        <v>8147.9381477822044</v>
      </c>
      <c r="BJ43" s="117">
        <v>8879.4381488850631</v>
      </c>
      <c r="BK43" s="117">
        <v>9976.6768218077286</v>
      </c>
      <c r="BL43" s="117">
        <v>10261.679128374431</v>
      </c>
    </row>
    <row r="44" spans="1:64" hidden="1">
      <c r="A44" s="117" t="s">
        <v>853</v>
      </c>
      <c r="B44" s="117" t="s">
        <v>854</v>
      </c>
      <c r="C44" s="117" t="s">
        <v>775</v>
      </c>
      <c r="D44" s="117" t="s">
        <v>776</v>
      </c>
      <c r="E44" s="117">
        <v>155.8998997794493</v>
      </c>
      <c r="F44" s="117">
        <v>170.24276920132561</v>
      </c>
      <c r="G44" s="117">
        <v>171.12818580737121</v>
      </c>
      <c r="H44" s="117">
        <v>194.21262896871087</v>
      </c>
      <c r="I44" s="117">
        <v>226.2270417910452</v>
      </c>
      <c r="J44" s="117">
        <v>217.60238996899261</v>
      </c>
      <c r="K44" s="117">
        <v>233.61463902230815</v>
      </c>
      <c r="L44" s="117">
        <v>238.3106974466636</v>
      </c>
      <c r="M44" s="117">
        <v>271.85328781592796</v>
      </c>
      <c r="N44" s="117">
        <v>277.97201439232038</v>
      </c>
      <c r="O44" s="117">
        <v>285.27336980512717</v>
      </c>
      <c r="P44" s="117">
        <v>297.2798584599538</v>
      </c>
      <c r="Q44" s="117">
        <v>331.66929633111897</v>
      </c>
      <c r="R44" s="117">
        <v>429.41344832235126</v>
      </c>
      <c r="S44" s="117">
        <v>501.55349751952974</v>
      </c>
      <c r="T44" s="117">
        <v>607.23556992098929</v>
      </c>
      <c r="U44" s="117">
        <v>694.38314371961314</v>
      </c>
      <c r="V44" s="117">
        <v>891.6347291545236</v>
      </c>
      <c r="W44" s="117">
        <v>1074.8618619267597</v>
      </c>
      <c r="X44" s="117">
        <v>1189.5697895746043</v>
      </c>
      <c r="Y44" s="117">
        <v>1266.6241922180641</v>
      </c>
      <c r="Z44" s="117">
        <v>1004.634133404795</v>
      </c>
      <c r="AA44" s="117">
        <v>863.33362958142811</v>
      </c>
      <c r="AB44" s="117">
        <v>747.75691785278877</v>
      </c>
      <c r="AC44" s="117">
        <v>717.89736616235257</v>
      </c>
      <c r="AD44" s="117">
        <v>703.52008261742151</v>
      </c>
      <c r="AE44" s="117">
        <v>888.5274598958124</v>
      </c>
      <c r="AF44" s="117">
        <v>942.93047867038922</v>
      </c>
      <c r="AG44" s="117">
        <v>924.32657866460715</v>
      </c>
      <c r="AH44" s="117">
        <v>848.28983932736412</v>
      </c>
      <c r="AI44" s="117">
        <v>905.32171585121591</v>
      </c>
      <c r="AJ44" s="117">
        <v>848.75290997074228</v>
      </c>
      <c r="AK44" s="117">
        <v>870.4811772945967</v>
      </c>
      <c r="AL44" s="117">
        <v>832.28274516886609</v>
      </c>
      <c r="AM44" s="117">
        <v>605.2635872674806</v>
      </c>
      <c r="AN44" s="117">
        <v>774.67121205954243</v>
      </c>
      <c r="AO44" s="117">
        <v>827.7620056605258</v>
      </c>
      <c r="AP44" s="117">
        <v>774.7276313092043</v>
      </c>
      <c r="AQ44" s="117">
        <v>809.01268828046841</v>
      </c>
      <c r="AR44" s="117">
        <v>771.96840600236112</v>
      </c>
      <c r="AS44" s="117">
        <v>651.3059067910641</v>
      </c>
      <c r="AT44" s="117">
        <v>664.12766628949885</v>
      </c>
      <c r="AU44" s="117">
        <v>716.53026558660497</v>
      </c>
      <c r="AV44" s="117">
        <v>869.71259932767396</v>
      </c>
      <c r="AW44" s="117">
        <v>921.20126728397952</v>
      </c>
      <c r="AX44" s="117">
        <v>930.82981807393651</v>
      </c>
      <c r="AY44" s="117">
        <v>949.13183276847144</v>
      </c>
      <c r="AZ44" s="117">
        <v>1061.1540256696728</v>
      </c>
      <c r="BA44" s="117">
        <v>1235.6133657548191</v>
      </c>
      <c r="BB44" s="117">
        <v>1210.2954259252647</v>
      </c>
      <c r="BC44" s="117">
        <v>1213.1126450644258</v>
      </c>
      <c r="BD44" s="117">
        <v>1208.5830264978154</v>
      </c>
      <c r="BE44" s="117">
        <v>1243.2734867584011</v>
      </c>
      <c r="BF44" s="117">
        <v>1415.871757706338</v>
      </c>
      <c r="BG44" s="117">
        <v>1561.463654614344</v>
      </c>
      <c r="BH44" s="117">
        <v>1972.5461076974559</v>
      </c>
      <c r="BI44" s="117">
        <v>2013.3824617989121</v>
      </c>
      <c r="BJ44" s="117">
        <v>2111.0270755754132</v>
      </c>
      <c r="BK44" s="117">
        <v>2302.6129509115299</v>
      </c>
      <c r="BL44" s="117">
        <v>2286.1627768550015</v>
      </c>
    </row>
    <row r="45" spans="1:64" hidden="1">
      <c r="A45" s="117" t="s">
        <v>855</v>
      </c>
      <c r="B45" s="117" t="s">
        <v>856</v>
      </c>
      <c r="C45" s="117" t="s">
        <v>775</v>
      </c>
      <c r="D45" s="117" t="s">
        <v>776</v>
      </c>
      <c r="E45" s="117">
        <v>119.51917878772761</v>
      </c>
      <c r="F45" s="117">
        <v>124.42672989682944</v>
      </c>
      <c r="G45" s="117">
        <v>129.54413922557293</v>
      </c>
      <c r="H45" s="117">
        <v>131.13641303029766</v>
      </c>
      <c r="I45" s="117">
        <v>138.64602809793328</v>
      </c>
      <c r="J45" s="117">
        <v>141.01217497755854</v>
      </c>
      <c r="K45" s="117">
        <v>144.38000134301851</v>
      </c>
      <c r="L45" s="117">
        <v>154.33149886263232</v>
      </c>
      <c r="M45" s="117">
        <v>169.81245325529017</v>
      </c>
      <c r="N45" s="117">
        <v>181.28076718508407</v>
      </c>
      <c r="O45" s="117">
        <v>177.92095186101793</v>
      </c>
      <c r="P45" s="117">
        <v>184.46239512792451</v>
      </c>
      <c r="Q45" s="117">
        <v>208.3754537672304</v>
      </c>
      <c r="R45" s="117">
        <v>249.36410735392607</v>
      </c>
      <c r="S45" s="117">
        <v>311.21949434233574</v>
      </c>
      <c r="T45" s="117">
        <v>369.44720087736425</v>
      </c>
      <c r="U45" s="117">
        <v>401.41302943398864</v>
      </c>
      <c r="V45" s="117">
        <v>426.7946823348492</v>
      </c>
      <c r="W45" s="117">
        <v>543.02118333491001</v>
      </c>
      <c r="X45" s="117">
        <v>694.68628494129837</v>
      </c>
      <c r="Y45" s="117">
        <v>781.86279232362506</v>
      </c>
      <c r="Z45" s="117">
        <v>859.12310941489045</v>
      </c>
      <c r="AA45" s="117">
        <v>798.85039365422847</v>
      </c>
      <c r="AB45" s="117">
        <v>780.6122170559496</v>
      </c>
      <c r="AC45" s="117">
        <v>799.54764841773454</v>
      </c>
      <c r="AD45" s="117">
        <v>809.09349297206052</v>
      </c>
      <c r="AE45" s="117">
        <v>1021.7092940892869</v>
      </c>
      <c r="AF45" s="117">
        <v>1146.4353795142613</v>
      </c>
      <c r="AG45" s="117">
        <v>1128.0190282351421</v>
      </c>
      <c r="AH45" s="117">
        <v>974.99127974848238</v>
      </c>
      <c r="AI45" s="117">
        <v>946.64641306037402</v>
      </c>
      <c r="AJ45" s="117">
        <v>1024.4241353009118</v>
      </c>
      <c r="AK45" s="117">
        <v>911.74142181376317</v>
      </c>
      <c r="AL45" s="117">
        <v>1204.7629729769035</v>
      </c>
      <c r="AM45" s="117">
        <v>801.16170375848299</v>
      </c>
      <c r="AN45" s="117">
        <v>709.11482971701844</v>
      </c>
      <c r="AO45" s="117">
        <v>752.52509940684104</v>
      </c>
      <c r="AP45" s="117">
        <v>755.23970683797734</v>
      </c>
      <c r="AQ45" s="117">
        <v>720.79697461614126</v>
      </c>
      <c r="AR45" s="117">
        <v>740.99656428704668</v>
      </c>
      <c r="AS45" s="117">
        <v>649.9918454050478</v>
      </c>
      <c r="AT45" s="117">
        <v>651.10090749805295</v>
      </c>
      <c r="AU45" s="117">
        <v>707.88756739290511</v>
      </c>
      <c r="AV45" s="117">
        <v>865.95813754425569</v>
      </c>
      <c r="AW45" s="117">
        <v>1009.9431204365826</v>
      </c>
      <c r="AX45" s="117">
        <v>1011.8800727829617</v>
      </c>
      <c r="AY45" s="117">
        <v>1062.1374333133647</v>
      </c>
      <c r="AZ45" s="117">
        <v>1194.0698503984099</v>
      </c>
      <c r="BA45" s="117">
        <v>1371.7467084914044</v>
      </c>
      <c r="BB45" s="117">
        <v>1314.7060153122693</v>
      </c>
      <c r="BC45" s="117">
        <v>1286.5155716176719</v>
      </c>
      <c r="BD45" s="117">
        <v>1405.0943923190653</v>
      </c>
      <c r="BE45" s="117">
        <v>1354.5456127470684</v>
      </c>
      <c r="BF45" s="117">
        <v>1465.6388431676946</v>
      </c>
      <c r="BG45" s="117">
        <v>1542.6202662153103</v>
      </c>
      <c r="BH45" s="117">
        <v>1327.5030171149249</v>
      </c>
      <c r="BI45" s="117">
        <v>1364.3301104199722</v>
      </c>
      <c r="BJ45" s="117">
        <v>1425.107818053335</v>
      </c>
      <c r="BK45" s="117">
        <v>1534.4912744505173</v>
      </c>
      <c r="BL45" s="117">
        <v>1497.9091756029638</v>
      </c>
    </row>
    <row r="46" spans="1:64" hidden="1">
      <c r="A46" s="117" t="s">
        <v>857</v>
      </c>
      <c r="B46" s="117" t="s">
        <v>858</v>
      </c>
      <c r="C46" s="117" t="s">
        <v>775</v>
      </c>
      <c r="D46" s="117" t="s">
        <v>776</v>
      </c>
      <c r="E46" s="117">
        <v>220.31406209453525</v>
      </c>
      <c r="F46" s="117">
        <v>197.39137178320524</v>
      </c>
      <c r="G46" s="117">
        <v>235.63348034475177</v>
      </c>
      <c r="H46" s="117">
        <v>377.42983268410973</v>
      </c>
      <c r="I46" s="117">
        <v>170.46699489170669</v>
      </c>
      <c r="J46" s="117">
        <v>232.81111439736344</v>
      </c>
      <c r="K46" s="117">
        <v>253.75925135006526</v>
      </c>
      <c r="L46" s="117">
        <v>184.1303890665333</v>
      </c>
      <c r="M46" s="117">
        <v>206.71490737764915</v>
      </c>
      <c r="N46" s="117">
        <v>258.60650327114502</v>
      </c>
      <c r="O46" s="117">
        <v>243.74974440002217</v>
      </c>
      <c r="P46" s="117">
        <v>272.0653633000436</v>
      </c>
      <c r="Q46" s="117">
        <v>292.29708396997188</v>
      </c>
      <c r="R46" s="117">
        <v>362.84364782581179</v>
      </c>
      <c r="S46" s="117">
        <v>430.70198385113173</v>
      </c>
      <c r="T46" s="117">
        <v>446.97565737221157</v>
      </c>
      <c r="U46" s="117">
        <v>409.52432961388718</v>
      </c>
      <c r="V46" s="117">
        <v>509.06670728280477</v>
      </c>
      <c r="W46" s="117">
        <v>615.9789569840475</v>
      </c>
      <c r="X46" s="117">
        <v>587.15172203354359</v>
      </c>
      <c r="Y46" s="117">
        <v>546.11243739174245</v>
      </c>
      <c r="Z46" s="117">
        <v>463.67129201420835</v>
      </c>
      <c r="AA46" s="117">
        <v>492.53252675983543</v>
      </c>
      <c r="AB46" s="117">
        <v>387.50775908689786</v>
      </c>
      <c r="AC46" s="117">
        <v>269.8426315846138</v>
      </c>
      <c r="AD46" s="117">
        <v>240.78804175046147</v>
      </c>
      <c r="AE46" s="117">
        <v>263.83136912159574</v>
      </c>
      <c r="AF46" s="117">
        <v>243.00473944498617</v>
      </c>
      <c r="AG46" s="117">
        <v>273.12784464737865</v>
      </c>
      <c r="AH46" s="117">
        <v>269.59289196442239</v>
      </c>
      <c r="AI46" s="117">
        <v>270.1305433770795</v>
      </c>
      <c r="AJ46" s="117">
        <v>268.05646281424248</v>
      </c>
      <c r="AK46" s="117">
        <v>220.37185566096255</v>
      </c>
      <c r="AL46" s="117">
        <v>275.82197349521158</v>
      </c>
      <c r="AM46" s="117">
        <v>144.59508268101962</v>
      </c>
      <c r="AN46" s="117">
        <v>135.73714675804726</v>
      </c>
      <c r="AO46" s="117">
        <v>134.98192434025833</v>
      </c>
      <c r="AP46" s="117">
        <v>138.9740464293582</v>
      </c>
      <c r="AQ46" s="117">
        <v>138.58630642688024</v>
      </c>
      <c r="AR46" s="117">
        <v>102.59797762826805</v>
      </c>
      <c r="AS46" s="117">
        <v>405.21625299165959</v>
      </c>
      <c r="AT46" s="117">
        <v>153.5910091937169</v>
      </c>
      <c r="AU46" s="117">
        <v>175.00996507997817</v>
      </c>
      <c r="AV46" s="117">
        <v>173.79613530615586</v>
      </c>
      <c r="AW46" s="117">
        <v>194.0399624266239</v>
      </c>
      <c r="AX46" s="117">
        <v>218.38619084019163</v>
      </c>
      <c r="AY46" s="117">
        <v>255.43308382953438</v>
      </c>
      <c r="AZ46" s="117">
        <v>286.3304920646317</v>
      </c>
      <c r="BA46" s="117">
        <v>327.56372182166319</v>
      </c>
      <c r="BB46" s="117">
        <v>298.61968205109213</v>
      </c>
      <c r="BC46" s="117">
        <v>334.0215725731523</v>
      </c>
      <c r="BD46" s="117">
        <v>387.08246536148761</v>
      </c>
      <c r="BE46" s="117">
        <v>424.60038611851814</v>
      </c>
      <c r="BF46" s="117">
        <v>457.96372825635012</v>
      </c>
      <c r="BG46" s="117">
        <v>486.78708192155244</v>
      </c>
      <c r="BH46" s="117">
        <v>497.31696080547579</v>
      </c>
      <c r="BI46" s="117">
        <v>471.31884040957186</v>
      </c>
      <c r="BJ46" s="117">
        <v>467.07423746488979</v>
      </c>
      <c r="BK46" s="117">
        <v>557.06441832427606</v>
      </c>
      <c r="BL46" s="117">
        <v>545.21621231134236</v>
      </c>
    </row>
    <row r="47" spans="1:64" hidden="1">
      <c r="A47" s="117" t="s">
        <v>859</v>
      </c>
      <c r="B47" s="117" t="s">
        <v>860</v>
      </c>
      <c r="C47" s="117" t="s">
        <v>775</v>
      </c>
      <c r="D47" s="117" t="s">
        <v>776</v>
      </c>
      <c r="E47" s="117">
        <v>129.37046349873296</v>
      </c>
      <c r="F47" s="117">
        <v>145.40639694971847</v>
      </c>
      <c r="G47" s="117">
        <v>155.73823588696854</v>
      </c>
      <c r="H47" s="117">
        <v>157.05586608478268</v>
      </c>
      <c r="I47" s="117">
        <v>165.00945912511219</v>
      </c>
      <c r="J47" s="117">
        <v>171.64569588576083</v>
      </c>
      <c r="K47" s="117">
        <v>185.89178526006484</v>
      </c>
      <c r="L47" s="117">
        <v>194.66129333610829</v>
      </c>
      <c r="M47" s="117">
        <v>200.39517771514434</v>
      </c>
      <c r="N47" s="117">
        <v>205.53355123770848</v>
      </c>
      <c r="O47" s="117">
        <v>207.22270570440904</v>
      </c>
      <c r="P47" s="117">
        <v>235.83589952375601</v>
      </c>
      <c r="Q47" s="117">
        <v>291.9750013849831</v>
      </c>
      <c r="R47" s="117">
        <v>374.12641157243888</v>
      </c>
      <c r="S47" s="117">
        <v>392.3210842460926</v>
      </c>
      <c r="T47" s="117">
        <v>499.20325526676135</v>
      </c>
      <c r="U47" s="117">
        <v>476.85138290326995</v>
      </c>
      <c r="V47" s="117">
        <v>469.69052505631703</v>
      </c>
      <c r="W47" s="117">
        <v>523.91045499095151</v>
      </c>
      <c r="X47" s="117">
        <v>694.17642477791117</v>
      </c>
      <c r="Y47" s="117">
        <v>959.42641827345244</v>
      </c>
      <c r="Z47" s="117">
        <v>1088.974914632247</v>
      </c>
      <c r="AA47" s="117">
        <v>1146.3044321451196</v>
      </c>
      <c r="AB47" s="117">
        <v>1080.8224150955582</v>
      </c>
      <c r="AC47" s="117">
        <v>1098.4410909427697</v>
      </c>
      <c r="AD47" s="117">
        <v>1051.8716443358658</v>
      </c>
      <c r="AE47" s="117">
        <v>875.45084134852254</v>
      </c>
      <c r="AF47" s="117">
        <v>1058.2284467748543</v>
      </c>
      <c r="AG47" s="117">
        <v>991.51737236961333</v>
      </c>
      <c r="AH47" s="117">
        <v>1042.0497347111716</v>
      </c>
      <c r="AI47" s="117">
        <v>1187.5512840772153</v>
      </c>
      <c r="AJ47" s="117">
        <v>1124.9011139116744</v>
      </c>
      <c r="AK47" s="117">
        <v>1178.0237988985562</v>
      </c>
      <c r="AL47" s="117">
        <v>749.63485782640566</v>
      </c>
      <c r="AM47" s="117">
        <v>672.16319480939251</v>
      </c>
      <c r="AN47" s="117">
        <v>781.52356845918916</v>
      </c>
      <c r="AO47" s="117">
        <v>912.01398805266012</v>
      </c>
      <c r="AP47" s="117">
        <v>810.07749200098192</v>
      </c>
      <c r="AQ47" s="117">
        <v>660.472372410258</v>
      </c>
      <c r="AR47" s="117">
        <v>774.71168985500663</v>
      </c>
      <c r="AS47" s="117">
        <v>1029.5770368503918</v>
      </c>
      <c r="AT47" s="117">
        <v>868.33995085695392</v>
      </c>
      <c r="AU47" s="117">
        <v>912.278153211367</v>
      </c>
      <c r="AV47" s="117">
        <v>1026.1076737451579</v>
      </c>
      <c r="AW47" s="117">
        <v>1324.2191415417219</v>
      </c>
      <c r="AX47" s="117">
        <v>1680.2045879515681</v>
      </c>
      <c r="AY47" s="117">
        <v>2064.344522925363</v>
      </c>
      <c r="AZ47" s="117">
        <v>2165.7457585957086</v>
      </c>
      <c r="BA47" s="117">
        <v>2956.2644070040656</v>
      </c>
      <c r="BB47" s="117">
        <v>2314.2660247852677</v>
      </c>
      <c r="BC47" s="117">
        <v>2812.4359744210788</v>
      </c>
      <c r="BD47" s="117">
        <v>3286.6945346803545</v>
      </c>
      <c r="BE47" s="117">
        <v>3032.4938834918548</v>
      </c>
      <c r="BF47" s="117">
        <v>3047.9307732100729</v>
      </c>
      <c r="BG47" s="117">
        <v>2996.9180257884514</v>
      </c>
      <c r="BH47" s="117">
        <v>1762.0320177379724</v>
      </c>
      <c r="BI47" s="117">
        <v>1815.295842940385</v>
      </c>
      <c r="BJ47" s="117">
        <v>1767.89452055028</v>
      </c>
      <c r="BK47" s="117">
        <v>2223.8544791958657</v>
      </c>
      <c r="BL47" s="117">
        <v>2011.0723988766251</v>
      </c>
    </row>
    <row r="48" spans="1:64" hidden="1">
      <c r="A48" s="117" t="s">
        <v>861</v>
      </c>
      <c r="B48" s="117" t="s">
        <v>862</v>
      </c>
      <c r="C48" s="117" t="s">
        <v>775</v>
      </c>
      <c r="D48" s="117" t="s">
        <v>776</v>
      </c>
      <c r="E48" s="117">
        <v>251.0413665497698</v>
      </c>
      <c r="F48" s="117">
        <v>274.05236341687078</v>
      </c>
      <c r="G48" s="117">
        <v>289.91796271231681</v>
      </c>
      <c r="H48" s="117">
        <v>274.31494198981562</v>
      </c>
      <c r="I48" s="117">
        <v>328.65506825194177</v>
      </c>
      <c r="J48" s="117">
        <v>307.64681074997441</v>
      </c>
      <c r="K48" s="117">
        <v>281.5659608749142</v>
      </c>
      <c r="L48" s="117">
        <v>293.64423450760921</v>
      </c>
      <c r="M48" s="117">
        <v>292.25756784630778</v>
      </c>
      <c r="N48" s="117">
        <v>307.99516607551794</v>
      </c>
      <c r="O48" s="117">
        <v>335.11818796632468</v>
      </c>
      <c r="P48" s="117">
        <v>355.40756583748669</v>
      </c>
      <c r="Q48" s="117">
        <v>385.11258926249866</v>
      </c>
      <c r="R48" s="117">
        <v>448.03371989689896</v>
      </c>
      <c r="S48" s="117">
        <v>525.52581912973551</v>
      </c>
      <c r="T48" s="117">
        <v>544.29079353563054</v>
      </c>
      <c r="U48" s="117">
        <v>623.42869038637014</v>
      </c>
      <c r="V48" s="117">
        <v>773.74578475906139</v>
      </c>
      <c r="W48" s="117">
        <v>904.01055294558626</v>
      </c>
      <c r="X48" s="117">
        <v>1061.8484255449312</v>
      </c>
      <c r="Y48" s="117">
        <v>1241.6396793446233</v>
      </c>
      <c r="Z48" s="117">
        <v>1323.3761400186404</v>
      </c>
      <c r="AA48" s="117">
        <v>1386.6732157711226</v>
      </c>
      <c r="AB48" s="117">
        <v>1348.804294378484</v>
      </c>
      <c r="AC48" s="117">
        <v>1304.1768212431784</v>
      </c>
      <c r="AD48" s="117">
        <v>1165.0421414481179</v>
      </c>
      <c r="AE48" s="117">
        <v>1142.9394007241165</v>
      </c>
      <c r="AF48" s="117">
        <v>1165.9825463791342</v>
      </c>
      <c r="AG48" s="117">
        <v>1232.2262312755597</v>
      </c>
      <c r="AH48" s="117">
        <v>1218.2109348719014</v>
      </c>
      <c r="AI48" s="117">
        <v>1445.328368261105</v>
      </c>
      <c r="AJ48" s="117">
        <v>1456.6939689909927</v>
      </c>
      <c r="AK48" s="117">
        <v>1697.1128867028244</v>
      </c>
      <c r="AL48" s="117">
        <v>1893.5420500558814</v>
      </c>
      <c r="AM48" s="117">
        <v>2284.8387490603795</v>
      </c>
      <c r="AN48" s="117">
        <v>2539.9128772191457</v>
      </c>
      <c r="AO48" s="117">
        <v>2620.53876171399</v>
      </c>
      <c r="AP48" s="117">
        <v>2827.3797515429242</v>
      </c>
      <c r="AQ48" s="117">
        <v>2566.024060049313</v>
      </c>
      <c r="AR48" s="117">
        <v>2209.9314804749147</v>
      </c>
      <c r="AS48" s="117">
        <v>2520.4808979590171</v>
      </c>
      <c r="AT48" s="117">
        <v>2439.6818360318293</v>
      </c>
      <c r="AU48" s="117">
        <v>2396.6272737077379</v>
      </c>
      <c r="AV48" s="117">
        <v>2281.401960448145</v>
      </c>
      <c r="AW48" s="117">
        <v>2782.6230501084128</v>
      </c>
      <c r="AX48" s="117">
        <v>3414.4658331722344</v>
      </c>
      <c r="AY48" s="117">
        <v>3741.0931711196927</v>
      </c>
      <c r="AZ48" s="117">
        <v>4714.0725410120249</v>
      </c>
      <c r="BA48" s="117">
        <v>5472.5361334523996</v>
      </c>
      <c r="BB48" s="117">
        <v>5193.2414507554613</v>
      </c>
      <c r="BC48" s="117">
        <v>6336.7092136798838</v>
      </c>
      <c r="BD48" s="117">
        <v>7335.1105096364809</v>
      </c>
      <c r="BE48" s="117">
        <v>8050.0584142075631</v>
      </c>
      <c r="BF48" s="117">
        <v>8218.0339956156477</v>
      </c>
      <c r="BG48" s="117">
        <v>8114.0840691054473</v>
      </c>
      <c r="BH48" s="117">
        <v>6175.8761315127922</v>
      </c>
      <c r="BI48" s="117">
        <v>5871.2235753588975</v>
      </c>
      <c r="BJ48" s="117">
        <v>6377.8513630366469</v>
      </c>
      <c r="BK48" s="117">
        <v>6718.5853239131366</v>
      </c>
      <c r="BL48" s="117">
        <v>6432.387583395509</v>
      </c>
    </row>
    <row r="49" spans="1:64" hidden="1">
      <c r="A49" s="117" t="s">
        <v>863</v>
      </c>
      <c r="B49" s="117" t="s">
        <v>864</v>
      </c>
      <c r="C49" s="117" t="s">
        <v>775</v>
      </c>
      <c r="D49" s="117" t="s">
        <v>776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>
        <v>689.40296862819071</v>
      </c>
      <c r="Z49" s="117">
        <v>618.21869760019217</v>
      </c>
      <c r="AA49" s="117">
        <v>562.81158247443329</v>
      </c>
      <c r="AB49" s="117">
        <v>570.14055024565869</v>
      </c>
      <c r="AC49" s="117">
        <v>534.63209113896573</v>
      </c>
      <c r="AD49" s="117">
        <v>553.63240265430352</v>
      </c>
      <c r="AE49" s="117">
        <v>763.33578525437247</v>
      </c>
      <c r="AF49" s="117">
        <v>896.11651706066698</v>
      </c>
      <c r="AG49" s="117">
        <v>918.90212904754537</v>
      </c>
      <c r="AH49" s="117">
        <v>854.47802989817501</v>
      </c>
      <c r="AI49" s="117">
        <v>1043.8008030813037</v>
      </c>
      <c r="AJ49" s="117">
        <v>1000.5586511092401</v>
      </c>
      <c r="AK49" s="117">
        <v>1047.9795506547025</v>
      </c>
      <c r="AL49" s="117">
        <v>1008.029494438054</v>
      </c>
      <c r="AM49" s="117">
        <v>690.47173091701086</v>
      </c>
      <c r="AN49" s="117">
        <v>838.17168403195262</v>
      </c>
      <c r="AO49" s="117">
        <v>810.54423442282393</v>
      </c>
      <c r="AP49" s="117">
        <v>726.05520776320623</v>
      </c>
      <c r="AQ49" s="117">
        <v>718.11708925042205</v>
      </c>
      <c r="AR49" s="117">
        <v>723.18509277771864</v>
      </c>
      <c r="AS49" s="117">
        <v>645.81869080205593</v>
      </c>
      <c r="AT49" s="117">
        <v>680.31854142518239</v>
      </c>
      <c r="AU49" s="117">
        <v>744.47517243363393</v>
      </c>
      <c r="AV49" s="117">
        <v>935.61151803478845</v>
      </c>
      <c r="AW49" s="117">
        <v>1059.1768842180757</v>
      </c>
      <c r="AX49" s="117">
        <v>1068.6003213487515</v>
      </c>
      <c r="AY49" s="117">
        <v>1113.9577571960619</v>
      </c>
      <c r="AZ49" s="117">
        <v>1238.4615138051827</v>
      </c>
      <c r="BA49" s="117">
        <v>1387.594626399379</v>
      </c>
      <c r="BB49" s="117">
        <v>1339.3371906595805</v>
      </c>
      <c r="BC49" s="117">
        <v>1316.4988481055195</v>
      </c>
      <c r="BD49" s="117">
        <v>1447.9635871347614</v>
      </c>
      <c r="BE49" s="117">
        <v>1403.3486198370642</v>
      </c>
      <c r="BF49" s="117">
        <v>1505.3494731361372</v>
      </c>
      <c r="BG49" s="117">
        <v>1513.8303792438003</v>
      </c>
      <c r="BH49" s="117">
        <v>1242.6031895578974</v>
      </c>
      <c r="BI49" s="117">
        <v>1273.0589526545946</v>
      </c>
      <c r="BJ49" s="117">
        <v>1323.8115899650081</v>
      </c>
      <c r="BK49" s="117">
        <v>1415.9553126353474</v>
      </c>
      <c r="BL49" s="117">
        <v>1393.5223715646077</v>
      </c>
    </row>
    <row r="50" spans="1:64" hidden="1">
      <c r="A50" s="117" t="s">
        <v>865</v>
      </c>
      <c r="B50" s="117" t="s">
        <v>866</v>
      </c>
      <c r="C50" s="117" t="s">
        <v>775</v>
      </c>
      <c r="D50" s="117" t="s">
        <v>776</v>
      </c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>
        <v>501.1392600123155</v>
      </c>
      <c r="Z50" s="117">
        <v>483.12859909082067</v>
      </c>
      <c r="AA50" s="117">
        <v>477.92301411331215</v>
      </c>
      <c r="AB50" s="117">
        <v>461.23385193615667</v>
      </c>
      <c r="AC50" s="117">
        <v>431.24318941064951</v>
      </c>
      <c r="AD50" s="117">
        <v>441.89245058252783</v>
      </c>
      <c r="AE50" s="117">
        <v>602.15279076076661</v>
      </c>
      <c r="AF50" s="117">
        <v>732.56783546191343</v>
      </c>
      <c r="AG50" s="117">
        <v>811.39335643461277</v>
      </c>
      <c r="AH50" s="117">
        <v>807.56483082613192</v>
      </c>
      <c r="AI50" s="117">
        <v>908.09618956069994</v>
      </c>
      <c r="AJ50" s="117">
        <v>923.74161278015993</v>
      </c>
      <c r="AK50" s="117">
        <v>1003.9464728098486</v>
      </c>
      <c r="AL50" s="117">
        <v>1339.744216500259</v>
      </c>
      <c r="AM50" s="117">
        <v>1080.1623039171345</v>
      </c>
      <c r="AN50" s="117">
        <v>1261.1161568511993</v>
      </c>
      <c r="AO50" s="117">
        <v>1269.1205772329572</v>
      </c>
      <c r="AP50" s="117">
        <v>1213.5998405106036</v>
      </c>
      <c r="AQ50" s="117">
        <v>1265.194782540394</v>
      </c>
      <c r="AR50" s="117">
        <v>1408.9996077052269</v>
      </c>
      <c r="AS50" s="117">
        <v>1259.3236560258831</v>
      </c>
      <c r="AT50" s="117">
        <v>1292.2027851080106</v>
      </c>
      <c r="AU50" s="117">
        <v>1401.9037325354329</v>
      </c>
      <c r="AV50" s="117">
        <v>1809.089925497781</v>
      </c>
      <c r="AW50" s="117">
        <v>2024.2752476578839</v>
      </c>
      <c r="AX50" s="117">
        <v>2099.1574840549115</v>
      </c>
      <c r="AY50" s="117">
        <v>2361.3851342554512</v>
      </c>
      <c r="AZ50" s="117">
        <v>3186.8268918115264</v>
      </c>
      <c r="BA50" s="117">
        <v>3721.2509487105999</v>
      </c>
      <c r="BB50" s="117">
        <v>3517.4012454608674</v>
      </c>
      <c r="BC50" s="117">
        <v>3378.2548595003545</v>
      </c>
      <c r="BD50" s="117">
        <v>3740.3890985062922</v>
      </c>
      <c r="BE50" s="117">
        <v>3447.5240412173002</v>
      </c>
      <c r="BF50" s="117">
        <v>3615.9790413109863</v>
      </c>
      <c r="BG50" s="117">
        <v>3588.6740539537982</v>
      </c>
      <c r="BH50" s="117">
        <v>3043.0139843009792</v>
      </c>
      <c r="BI50" s="117">
        <v>3130.9633846141246</v>
      </c>
      <c r="BJ50" s="117">
        <v>3292.6457550859018</v>
      </c>
      <c r="BK50" s="117">
        <v>3617.3274882917312</v>
      </c>
      <c r="BL50" s="117">
        <v>3603.7817936777005</v>
      </c>
    </row>
    <row r="51" spans="1:64" hidden="1">
      <c r="A51" s="117" t="s">
        <v>867</v>
      </c>
      <c r="B51" s="117" t="s">
        <v>868</v>
      </c>
      <c r="C51" s="117" t="s">
        <v>775</v>
      </c>
      <c r="D51" s="117" t="s">
        <v>776</v>
      </c>
      <c r="E51" s="117">
        <v>381.36511464301049</v>
      </c>
      <c r="F51" s="117">
        <v>355.00377691752266</v>
      </c>
      <c r="G51" s="117">
        <v>334.31181429917359</v>
      </c>
      <c r="H51" s="117">
        <v>344.35512007306352</v>
      </c>
      <c r="I51" s="117">
        <v>352.33711372227754</v>
      </c>
      <c r="J51" s="117">
        <v>372.27894200623348</v>
      </c>
      <c r="K51" s="117">
        <v>393.47900998835877</v>
      </c>
      <c r="L51" s="117">
        <v>412.23753596202852</v>
      </c>
      <c r="M51" s="117">
        <v>442.77859530308086</v>
      </c>
      <c r="N51" s="117">
        <v>474.79477575894953</v>
      </c>
      <c r="O51" s="117">
        <v>533.09156492365241</v>
      </c>
      <c r="P51" s="117">
        <v>568.09554796089196</v>
      </c>
      <c r="Q51" s="117">
        <v>636.90537990981284</v>
      </c>
      <c r="R51" s="117">
        <v>767.33020959049315</v>
      </c>
      <c r="S51" s="117">
        <v>816.03726205592818</v>
      </c>
      <c r="T51" s="117">
        <v>936.33592856877999</v>
      </c>
      <c r="U51" s="117">
        <v>1122.8097224032822</v>
      </c>
      <c r="V51" s="117">
        <v>1393.0024110442992</v>
      </c>
      <c r="W51" s="117">
        <v>1555.5376639450271</v>
      </c>
      <c r="X51" s="117">
        <v>1734.6149879046213</v>
      </c>
      <c r="Y51" s="117">
        <v>2021.5453961133771</v>
      </c>
      <c r="Z51" s="117">
        <v>1068.5046002402676</v>
      </c>
      <c r="AA51" s="117">
        <v>1032.9986418932153</v>
      </c>
      <c r="AB51" s="117">
        <v>1213.5541198333488</v>
      </c>
      <c r="AC51" s="117">
        <v>1373.9377142498188</v>
      </c>
      <c r="AD51" s="117">
        <v>1432.0849107966201</v>
      </c>
      <c r="AE51" s="117">
        <v>1572.456703361398</v>
      </c>
      <c r="AF51" s="117">
        <v>1571.2950329692189</v>
      </c>
      <c r="AG51" s="117">
        <v>1558.5074476299444</v>
      </c>
      <c r="AH51" s="117">
        <v>1727.8720977752537</v>
      </c>
      <c r="AI51" s="117">
        <v>1831.0019118089363</v>
      </c>
      <c r="AJ51" s="117">
        <v>2238.8536438025594</v>
      </c>
      <c r="AK51" s="117">
        <v>2595.0225224648666</v>
      </c>
      <c r="AL51" s="117">
        <v>2828.130172097849</v>
      </c>
      <c r="AM51" s="117">
        <v>3016.2243476906806</v>
      </c>
      <c r="AN51" s="117">
        <v>3247.3169868703035</v>
      </c>
      <c r="AO51" s="117">
        <v>3198.5486722036435</v>
      </c>
      <c r="AP51" s="117">
        <v>3375.1663408027825</v>
      </c>
      <c r="AQ51" s="117">
        <v>3579.8658838317388</v>
      </c>
      <c r="AR51" s="117">
        <v>3653.5527194933761</v>
      </c>
      <c r="AS51" s="117">
        <v>3772.8700115314855</v>
      </c>
      <c r="AT51" s="117">
        <v>3944.7376127877728</v>
      </c>
      <c r="AU51" s="117">
        <v>4024.6518999485234</v>
      </c>
      <c r="AV51" s="117">
        <v>4129.6327907251052</v>
      </c>
      <c r="AW51" s="117">
        <v>4385.3907193054984</v>
      </c>
      <c r="AX51" s="117">
        <v>4654.8248220098012</v>
      </c>
      <c r="AY51" s="117">
        <v>5201.5140947006112</v>
      </c>
      <c r="AZ51" s="117">
        <v>6071.7891645155205</v>
      </c>
      <c r="BA51" s="117">
        <v>6859.0790217833301</v>
      </c>
      <c r="BB51" s="117">
        <v>6760.4775154135505</v>
      </c>
      <c r="BC51" s="117">
        <v>8141.9131267546099</v>
      </c>
      <c r="BD51" s="117">
        <v>9121.9325176318744</v>
      </c>
      <c r="BE51" s="117">
        <v>9913.2099585236556</v>
      </c>
      <c r="BF51" s="117">
        <v>10490.081331293304</v>
      </c>
      <c r="BG51" s="117">
        <v>10547.151859355563</v>
      </c>
      <c r="BH51" s="117">
        <v>11299.135542301106</v>
      </c>
      <c r="BI51" s="117">
        <v>11666.455910775921</v>
      </c>
      <c r="BJ51" s="117">
        <v>11814.626568766509</v>
      </c>
      <c r="BK51" s="117">
        <v>12112.134420645232</v>
      </c>
      <c r="BL51" s="117">
        <v>12238.374964398379</v>
      </c>
    </row>
    <row r="52" spans="1:64" hidden="1">
      <c r="A52" s="117" t="s">
        <v>869</v>
      </c>
      <c r="B52" s="117" t="s">
        <v>870</v>
      </c>
      <c r="C52" s="117" t="s">
        <v>775</v>
      </c>
      <c r="D52" s="117" t="s">
        <v>776</v>
      </c>
      <c r="E52" s="117">
        <v>448.25652385239232</v>
      </c>
      <c r="F52" s="117">
        <v>476.9005907587117</v>
      </c>
      <c r="G52" s="117">
        <v>494.7358031770068</v>
      </c>
      <c r="H52" s="117">
        <v>516.74220499565922</v>
      </c>
      <c r="I52" s="117">
        <v>547.94943282399925</v>
      </c>
      <c r="J52" s="117">
        <v>580.94515003794788</v>
      </c>
      <c r="K52" s="117">
        <v>621.43285481480996</v>
      </c>
      <c r="L52" s="117">
        <v>658.35508876195161</v>
      </c>
      <c r="M52" s="117">
        <v>645.92668295896124</v>
      </c>
      <c r="N52" s="117">
        <v>695.03854967490906</v>
      </c>
      <c r="O52" s="117">
        <v>755.14301541472719</v>
      </c>
      <c r="P52" s="117">
        <v>811.13190995923071</v>
      </c>
      <c r="Q52" s="117">
        <v>925.52531785895837</v>
      </c>
      <c r="R52" s="117">
        <v>1000.8540736949354</v>
      </c>
      <c r="S52" s="117">
        <v>1285.4842822058304</v>
      </c>
      <c r="T52" s="117">
        <v>1485.1673379686015</v>
      </c>
      <c r="U52" s="117">
        <v>1511.8703259224023</v>
      </c>
      <c r="V52" s="117">
        <v>1736.7433440015034</v>
      </c>
      <c r="W52" s="117">
        <v>1759.8254633225399</v>
      </c>
      <c r="X52" s="117">
        <v>1999.1984314841425</v>
      </c>
      <c r="Y52" s="117">
        <v>2461.6491398974545</v>
      </c>
      <c r="Z52" s="117">
        <v>2683.6598143193528</v>
      </c>
      <c r="AA52" s="117">
        <v>2940.2216124353595</v>
      </c>
      <c r="AB52" s="117">
        <v>2942.7302989879258</v>
      </c>
      <c r="AC52" s="117">
        <v>2778.8764750708033</v>
      </c>
      <c r="AD52" s="117">
        <v>2722.8411998924712</v>
      </c>
      <c r="AE52" s="117">
        <v>2466.2998379593137</v>
      </c>
      <c r="AF52" s="117">
        <v>2633.1134238548116</v>
      </c>
      <c r="AG52" s="117">
        <v>2775.6099822123774</v>
      </c>
      <c r="AH52" s="117">
        <v>2827.6931616478914</v>
      </c>
      <c r="AI52" s="117">
        <v>2997.3243895576238</v>
      </c>
      <c r="AJ52" s="117">
        <v>2945.2980805169746</v>
      </c>
      <c r="AK52" s="117">
        <v>2874.3747972299229</v>
      </c>
      <c r="AL52" s="117">
        <v>3078.9240991849879</v>
      </c>
      <c r="AM52" s="117">
        <v>3208.6171266039846</v>
      </c>
      <c r="AN52" s="117">
        <v>3507.9047656864591</v>
      </c>
      <c r="AO52" s="117">
        <v>3799.4903369082349</v>
      </c>
      <c r="AP52" s="117">
        <v>4417.5513322823053</v>
      </c>
      <c r="AQ52" s="117">
        <v>4686.4663430938472</v>
      </c>
      <c r="AR52" s="117">
        <v>4933.0274598947135</v>
      </c>
      <c r="AS52" s="117">
        <v>5252.8097346921395</v>
      </c>
      <c r="AT52" s="117">
        <v>5374.137197590745</v>
      </c>
      <c r="AU52" s="117">
        <v>5599.1544585191614</v>
      </c>
      <c r="AV52" s="117">
        <v>5943.6106446259128</v>
      </c>
      <c r="AW52" s="117">
        <v>6459.3685022497548</v>
      </c>
      <c r="AX52" s="117">
        <v>7253.537344045224</v>
      </c>
      <c r="AY52" s="117">
        <v>8061.2309955272058</v>
      </c>
      <c r="AZ52" s="117">
        <v>8913.79195054712</v>
      </c>
      <c r="BA52" s="117">
        <v>10059.83315180417</v>
      </c>
      <c r="BB52" s="117">
        <v>8411.0076730793498</v>
      </c>
      <c r="BC52" s="117">
        <v>9086.8947933619438</v>
      </c>
      <c r="BD52" s="117">
        <v>9762.0534629369013</v>
      </c>
      <c r="BE52" s="117">
        <v>10017.383588666373</v>
      </c>
      <c r="BF52" s="117">
        <v>10140.165942338788</v>
      </c>
      <c r="BG52" s="117">
        <v>10202.274765800168</v>
      </c>
      <c r="BH52" s="117">
        <v>9939.8012060274068</v>
      </c>
      <c r="BI52" s="117">
        <v>9384.9145235979286</v>
      </c>
      <c r="BJ52" s="117">
        <v>9557.5174931769361</v>
      </c>
      <c r="BK52" s="117">
        <v>9982.2680891715481</v>
      </c>
      <c r="BL52" s="117">
        <v>10307.586280788049</v>
      </c>
    </row>
    <row r="53" spans="1:64" hidden="1">
      <c r="A53" s="117" t="s">
        <v>871</v>
      </c>
      <c r="B53" s="117" t="s">
        <v>872</v>
      </c>
      <c r="C53" s="117" t="s">
        <v>775</v>
      </c>
      <c r="D53" s="117" t="s">
        <v>776</v>
      </c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>
        <v>653.42650324400199</v>
      </c>
      <c r="P53" s="117">
        <v>779.72414105731752</v>
      </c>
      <c r="Q53" s="117">
        <v>901.36730417731974</v>
      </c>
      <c r="R53" s="117">
        <v>1088.1275654410902</v>
      </c>
      <c r="S53" s="117">
        <v>1223.6910868021614</v>
      </c>
      <c r="T53" s="117">
        <v>1379.0816948754291</v>
      </c>
      <c r="U53" s="117">
        <v>1443.3021312285102</v>
      </c>
      <c r="V53" s="117">
        <v>1472.7295819094095</v>
      </c>
      <c r="W53" s="117">
        <v>1835.1115363808847</v>
      </c>
      <c r="X53" s="117">
        <v>2000.2799846173978</v>
      </c>
      <c r="Y53" s="117">
        <v>2021.7242247631175</v>
      </c>
      <c r="Z53" s="117">
        <v>2035.6076420682705</v>
      </c>
      <c r="AA53" s="117">
        <v>2107.9317928486703</v>
      </c>
      <c r="AB53" s="117">
        <v>2224.6532629627868</v>
      </c>
      <c r="AC53" s="117">
        <v>2396.3541396258433</v>
      </c>
      <c r="AD53" s="117">
        <v>2269.8249939123025</v>
      </c>
      <c r="AE53" s="117">
        <v>2378.9095545850637</v>
      </c>
      <c r="AF53" s="117">
        <v>2451.1334759145334</v>
      </c>
      <c r="AG53" s="117">
        <v>2640.9204541640315</v>
      </c>
      <c r="AH53" s="117">
        <v>2572.6904704142139</v>
      </c>
      <c r="AI53" s="117">
        <v>2703.1680390991269</v>
      </c>
      <c r="AJ53" s="117">
        <v>2278.2086795234914</v>
      </c>
      <c r="AK53" s="117">
        <v>2057.1034038958583</v>
      </c>
      <c r="AL53" s="117">
        <v>2073.0948649398638</v>
      </c>
      <c r="AM53" s="117">
        <v>2624.7567926848619</v>
      </c>
      <c r="AN53" s="117">
        <v>2794.7372683162735</v>
      </c>
      <c r="AO53" s="117">
        <v>2286.9273818701081</v>
      </c>
      <c r="AP53" s="117">
        <v>2308.1461950118528</v>
      </c>
      <c r="AQ53" s="117">
        <v>2331.465648285141</v>
      </c>
      <c r="AR53" s="117">
        <v>2558.9047937376577</v>
      </c>
      <c r="AS53" s="117">
        <v>2747.0985751943795</v>
      </c>
      <c r="AT53" s="117">
        <v>2837.7380176229171</v>
      </c>
      <c r="AU53" s="117">
        <v>2999.2452443384173</v>
      </c>
      <c r="AV53" s="117">
        <v>3197.1337540763207</v>
      </c>
      <c r="AW53" s="117">
        <v>3395.7120502312591</v>
      </c>
      <c r="AX53" s="117">
        <v>3786.6647954079631</v>
      </c>
      <c r="AY53" s="117">
        <v>4683.5661553675045</v>
      </c>
      <c r="AZ53" s="117">
        <v>5208.7160729392144</v>
      </c>
      <c r="BA53" s="117">
        <v>5411.2714182496329</v>
      </c>
      <c r="BB53" s="117">
        <v>5529.6703602097459</v>
      </c>
      <c r="BC53" s="117">
        <v>5730.3547745948808</v>
      </c>
      <c r="BD53" s="117">
        <v>6139.719329659054</v>
      </c>
      <c r="BE53" s="117">
        <v>6497.3211131356111</v>
      </c>
      <c r="BF53" s="117">
        <v>6837.7128919267698</v>
      </c>
      <c r="BG53" s="117">
        <v>7133.3420949434249</v>
      </c>
      <c r="BH53" s="117">
        <v>7694.011919524095</v>
      </c>
      <c r="BI53" s="117">
        <v>8060.7958864797856</v>
      </c>
      <c r="BJ53" s="117">
        <v>8541.2106734664048</v>
      </c>
      <c r="BK53" s="117">
        <v>8821.8188912500445</v>
      </c>
      <c r="BL53" s="117"/>
    </row>
    <row r="54" spans="1:64" hidden="1">
      <c r="A54" s="117" t="s">
        <v>873</v>
      </c>
      <c r="B54" s="117" t="s">
        <v>874</v>
      </c>
      <c r="C54" s="117" t="s">
        <v>775</v>
      </c>
      <c r="D54" s="117" t="s">
        <v>776</v>
      </c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>
        <v>20146.386412200063</v>
      </c>
      <c r="BE54" s="117">
        <v>20587.397358012957</v>
      </c>
      <c r="BF54" s="117">
        <v>20462.717953981344</v>
      </c>
      <c r="BG54" s="117">
        <v>20258.009694883254</v>
      </c>
      <c r="BH54" s="117">
        <v>19951.327903044086</v>
      </c>
      <c r="BI54" s="117">
        <v>19555.365849289094</v>
      </c>
      <c r="BJ54" s="117">
        <v>19457.531523220499</v>
      </c>
      <c r="BK54" s="117">
        <v>19573.892645136031</v>
      </c>
      <c r="BL54" s="117"/>
    </row>
    <row r="55" spans="1:64" hidden="1">
      <c r="A55" s="117" t="s">
        <v>875</v>
      </c>
      <c r="B55" s="117" t="s">
        <v>876</v>
      </c>
      <c r="C55" s="117" t="s">
        <v>775</v>
      </c>
      <c r="D55" s="117" t="s">
        <v>776</v>
      </c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>
        <v>83322.783443462293</v>
      </c>
      <c r="AZ55" s="117">
        <v>85434.268174093449</v>
      </c>
      <c r="BA55" s="117">
        <v>85187.840235208336</v>
      </c>
      <c r="BB55" s="117">
        <v>77398.015843991554</v>
      </c>
      <c r="BC55" s="117">
        <v>73350.784821906709</v>
      </c>
      <c r="BD55" s="117">
        <v>72328.411640906008</v>
      </c>
      <c r="BE55" s="117">
        <v>72783.320437603965</v>
      </c>
      <c r="BF55" s="117">
        <v>73515.895317785602</v>
      </c>
      <c r="BG55" s="117">
        <v>74990.433222377527</v>
      </c>
      <c r="BH55" s="117">
        <v>76280.486252824485</v>
      </c>
      <c r="BI55" s="117">
        <v>78296.099927233197</v>
      </c>
      <c r="BJ55" s="117">
        <v>81124.513479482091</v>
      </c>
      <c r="BK55" s="117">
        <v>85477.287013068693</v>
      </c>
      <c r="BL55" s="117"/>
    </row>
    <row r="56" spans="1:64" hidden="1">
      <c r="A56" s="117" t="s">
        <v>877</v>
      </c>
      <c r="B56" s="117" t="s">
        <v>878</v>
      </c>
      <c r="C56" s="117" t="s">
        <v>775</v>
      </c>
      <c r="D56" s="117" t="s">
        <v>776</v>
      </c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>
        <v>976.33424476933999</v>
      </c>
      <c r="U56" s="117">
        <v>1157.41164807939</v>
      </c>
      <c r="V56" s="117">
        <v>1476.2715427396699</v>
      </c>
      <c r="W56" s="117">
        <v>1929.4036069205199</v>
      </c>
      <c r="X56" s="117">
        <v>2559.2596754658698</v>
      </c>
      <c r="Y56" s="117">
        <v>4232.0229387065901</v>
      </c>
      <c r="Z56" s="117">
        <v>4033.2404777290199</v>
      </c>
      <c r="AA56" s="117">
        <v>4122.7844989430096</v>
      </c>
      <c r="AB56" s="117">
        <v>4091.0484976266598</v>
      </c>
      <c r="AC56" s="117">
        <v>4258.7435894791397</v>
      </c>
      <c r="AD56" s="117">
        <v>4488.2870025945303</v>
      </c>
      <c r="AE56" s="117">
        <v>5642.63147635102</v>
      </c>
      <c r="AF56" s="117">
        <v>6690.57797489323</v>
      </c>
      <c r="AG56" s="117">
        <v>7645.6297671171096</v>
      </c>
      <c r="AH56" s="117">
        <v>8038.9142422416699</v>
      </c>
      <c r="AI56" s="117">
        <v>9641.5752730129298</v>
      </c>
      <c r="AJ56" s="117">
        <v>9696.0995933236209</v>
      </c>
      <c r="AK56" s="117">
        <v>11310.0719239521</v>
      </c>
      <c r="AL56" s="117">
        <v>10526.141769674699</v>
      </c>
      <c r="AM56" s="117">
        <v>11617.6927784249</v>
      </c>
      <c r="AN56" s="117">
        <v>15261.410562372699</v>
      </c>
      <c r="AO56" s="117">
        <v>15139.22613332</v>
      </c>
      <c r="AP56" s="117">
        <v>14234.2443841858</v>
      </c>
      <c r="AQ56" s="117">
        <v>15092.826254543301</v>
      </c>
      <c r="AR56" s="117">
        <v>15287.919127343999</v>
      </c>
      <c r="AS56" s="117">
        <v>14388.348060991701</v>
      </c>
      <c r="AT56" s="117">
        <v>14821.4468167502</v>
      </c>
      <c r="AU56" s="117">
        <v>16093.214611298001</v>
      </c>
      <c r="AV56" s="117">
        <v>20252.2389846021</v>
      </c>
      <c r="AW56" s="117">
        <v>23792.621363224302</v>
      </c>
      <c r="AX56" s="117">
        <v>24959.2591697881</v>
      </c>
      <c r="AY56" s="117">
        <v>26729.323404580198</v>
      </c>
      <c r="AZ56" s="117">
        <v>31244.926223972201</v>
      </c>
      <c r="BA56" s="117">
        <v>35397.363683790099</v>
      </c>
      <c r="BB56" s="117">
        <v>32109.242514857899</v>
      </c>
      <c r="BC56" s="117">
        <v>31023.638330979102</v>
      </c>
      <c r="BD56" s="117">
        <v>32396.385743712101</v>
      </c>
      <c r="BE56" s="117">
        <v>28912.156939040298</v>
      </c>
      <c r="BF56" s="117">
        <v>27729.192699073501</v>
      </c>
      <c r="BG56" s="117">
        <v>27129.626121129801</v>
      </c>
      <c r="BH56" s="117">
        <v>23333.714911212901</v>
      </c>
      <c r="BI56" s="117">
        <v>24532.5190588269</v>
      </c>
      <c r="BJ56" s="117">
        <v>26338.694344313601</v>
      </c>
      <c r="BK56" s="117">
        <v>28689.706722579202</v>
      </c>
      <c r="BL56" s="117">
        <v>27858.370995832702</v>
      </c>
    </row>
    <row r="57" spans="1:64" hidden="1">
      <c r="A57" s="117" t="s">
        <v>879</v>
      </c>
      <c r="B57" s="117" t="s">
        <v>880</v>
      </c>
      <c r="C57" s="117" t="s">
        <v>775</v>
      </c>
      <c r="D57" s="117" t="s">
        <v>776</v>
      </c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>
        <v>3917.1598401020415</v>
      </c>
      <c r="AJ57" s="117">
        <v>2878.7192830636873</v>
      </c>
      <c r="AK57" s="117">
        <v>3352.0341614465078</v>
      </c>
      <c r="AL57" s="117">
        <v>3931.7444627475675</v>
      </c>
      <c r="AM57" s="117">
        <v>4601.9523124867264</v>
      </c>
      <c r="AN57" s="117">
        <v>5788.150736797088</v>
      </c>
      <c r="AO57" s="117">
        <v>6493.8633464010845</v>
      </c>
      <c r="AP57" s="117">
        <v>5996.8338104398235</v>
      </c>
      <c r="AQ57" s="117">
        <v>6458.9045010440368</v>
      </c>
      <c r="AR57" s="117">
        <v>6307.6980037779058</v>
      </c>
      <c r="AS57" s="117">
        <v>6011.6152203570136</v>
      </c>
      <c r="AT57" s="117">
        <v>6609.205529860541</v>
      </c>
      <c r="AU57" s="117">
        <v>8032.8966124576737</v>
      </c>
      <c r="AV57" s="117">
        <v>9773.117502512805</v>
      </c>
      <c r="AW57" s="117">
        <v>11685.887240723441</v>
      </c>
      <c r="AX57" s="117">
        <v>13346.176389885748</v>
      </c>
      <c r="AY57" s="117">
        <v>15183.636054137549</v>
      </c>
      <c r="AZ57" s="117">
        <v>18373.648997691322</v>
      </c>
      <c r="BA57" s="117">
        <v>22698.853957260453</v>
      </c>
      <c r="BB57" s="117">
        <v>19741.597627982617</v>
      </c>
      <c r="BC57" s="117">
        <v>19808.071091251848</v>
      </c>
      <c r="BD57" s="117">
        <v>21717.457939220199</v>
      </c>
      <c r="BE57" s="117">
        <v>19729.870511176348</v>
      </c>
      <c r="BF57" s="117">
        <v>19916.019387372155</v>
      </c>
      <c r="BG57" s="117">
        <v>19744.558609215899</v>
      </c>
      <c r="BH57" s="117">
        <v>17715.616852300889</v>
      </c>
      <c r="BI57" s="117">
        <v>18463.386575656423</v>
      </c>
      <c r="BJ57" s="117">
        <v>20379.896039641699</v>
      </c>
      <c r="BK57" s="117">
        <v>23046.94912614016</v>
      </c>
      <c r="BL57" s="117">
        <v>23101.777704985361</v>
      </c>
    </row>
    <row r="58" spans="1:64" hidden="1">
      <c r="A58" s="117" t="s">
        <v>881</v>
      </c>
      <c r="B58" s="117" t="s">
        <v>882</v>
      </c>
      <c r="C58" s="117" t="s">
        <v>775</v>
      </c>
      <c r="D58" s="117" t="s">
        <v>776</v>
      </c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>
        <v>2761.1668363115368</v>
      </c>
      <c r="P58" s="117">
        <v>3192.1336177735961</v>
      </c>
      <c r="Q58" s="117">
        <v>3809.981447233085</v>
      </c>
      <c r="R58" s="117">
        <v>5046.7551067664226</v>
      </c>
      <c r="S58" s="117">
        <v>5639.077618425481</v>
      </c>
      <c r="T58" s="117">
        <v>6236.3588853404963</v>
      </c>
      <c r="U58" s="117">
        <v>6634.8568990930917</v>
      </c>
      <c r="V58" s="117">
        <v>7682.9537760064213</v>
      </c>
      <c r="W58" s="117">
        <v>9482.0428459065224</v>
      </c>
      <c r="X58" s="117">
        <v>11281.023321776353</v>
      </c>
      <c r="Y58" s="117">
        <v>12138.308104801061</v>
      </c>
      <c r="Z58" s="117">
        <v>10209.073113177132</v>
      </c>
      <c r="AA58" s="117">
        <v>9913.7376436518152</v>
      </c>
      <c r="AB58" s="117">
        <v>9864.3449403866034</v>
      </c>
      <c r="AC58" s="117">
        <v>9313.169414196529</v>
      </c>
      <c r="AD58" s="117">
        <v>9429.5692126061203</v>
      </c>
      <c r="AE58" s="117">
        <v>13461.831005732396</v>
      </c>
      <c r="AF58" s="117">
        <v>16677.510786762065</v>
      </c>
      <c r="AG58" s="117">
        <v>17931.282325737971</v>
      </c>
      <c r="AH58" s="117">
        <v>17764.376439228279</v>
      </c>
      <c r="AI58" s="117">
        <v>22303.961332758488</v>
      </c>
      <c r="AJ58" s="117">
        <v>23357.757725073017</v>
      </c>
      <c r="AK58" s="117">
        <v>26438.230388841715</v>
      </c>
      <c r="AL58" s="117">
        <v>25522.629573361766</v>
      </c>
      <c r="AM58" s="117">
        <v>27076.606750140018</v>
      </c>
      <c r="AN58" s="117">
        <v>31658.349378913532</v>
      </c>
      <c r="AO58" s="117">
        <v>30485.866548227867</v>
      </c>
      <c r="AP58" s="117">
        <v>26964.049467267312</v>
      </c>
      <c r="AQ58" s="117">
        <v>27289.059360319126</v>
      </c>
      <c r="AR58" s="117">
        <v>26725.915218257298</v>
      </c>
      <c r="AS58" s="117">
        <v>23635.929220397713</v>
      </c>
      <c r="AT58" s="117">
        <v>23607.882855392225</v>
      </c>
      <c r="AU58" s="117">
        <v>25077.729075960167</v>
      </c>
      <c r="AV58" s="117">
        <v>30243.576529697923</v>
      </c>
      <c r="AW58" s="117">
        <v>34044.053634124837</v>
      </c>
      <c r="AX58" s="117">
        <v>34507.368814233232</v>
      </c>
      <c r="AY58" s="117">
        <v>36323.447742182201</v>
      </c>
      <c r="AZ58" s="117">
        <v>41587.212898426355</v>
      </c>
      <c r="BA58" s="117">
        <v>45427.151677488953</v>
      </c>
      <c r="BB58" s="117">
        <v>41485.901649513944</v>
      </c>
      <c r="BC58" s="117">
        <v>41531.934197868861</v>
      </c>
      <c r="BD58" s="117">
        <v>46644.776027967957</v>
      </c>
      <c r="BE58" s="117">
        <v>43858.363055107635</v>
      </c>
      <c r="BF58" s="117">
        <v>46285.764068840683</v>
      </c>
      <c r="BG58" s="117">
        <v>47959.993273759865</v>
      </c>
      <c r="BH58" s="117">
        <v>41139.544568553334</v>
      </c>
      <c r="BI58" s="117">
        <v>42098.920445354459</v>
      </c>
      <c r="BJ58" s="117">
        <v>44349.589655275668</v>
      </c>
      <c r="BK58" s="117">
        <v>47639.003440712237</v>
      </c>
      <c r="BL58" s="117">
        <v>46258.878289705164</v>
      </c>
    </row>
    <row r="59" spans="1:64" hidden="1">
      <c r="A59" s="117" t="s">
        <v>883</v>
      </c>
      <c r="B59" s="117" t="s">
        <v>884</v>
      </c>
      <c r="C59" s="117" t="s">
        <v>775</v>
      </c>
      <c r="D59" s="117" t="s">
        <v>776</v>
      </c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>
        <v>801.17272726160809</v>
      </c>
      <c r="AE59" s="117"/>
      <c r="AF59" s="117">
        <v>761.47031241493528</v>
      </c>
      <c r="AG59" s="117">
        <v>748.19524919853382</v>
      </c>
      <c r="AH59" s="117">
        <v>725.74253206946787</v>
      </c>
      <c r="AI59" s="117">
        <v>766.14095454740016</v>
      </c>
      <c r="AJ59" s="117">
        <v>762.0113217330636</v>
      </c>
      <c r="AK59" s="117">
        <v>777.26232960214577</v>
      </c>
      <c r="AL59" s="117">
        <v>753.52018889378303</v>
      </c>
      <c r="AM59" s="117">
        <v>790.03226517013366</v>
      </c>
      <c r="AN59" s="117">
        <v>789.55176905320752</v>
      </c>
      <c r="AO59" s="117">
        <v>767.50031497414784</v>
      </c>
      <c r="AP59" s="117">
        <v>760.63502117871121</v>
      </c>
      <c r="AQ59" s="117">
        <v>755.76169358327763</v>
      </c>
      <c r="AR59" s="117">
        <v>765.85613500096224</v>
      </c>
      <c r="AS59" s="117">
        <v>768.17607674712019</v>
      </c>
      <c r="AT59" s="117">
        <v>780.90822264232236</v>
      </c>
      <c r="AU59" s="117">
        <v>791.38947816751181</v>
      </c>
      <c r="AV59" s="117">
        <v>818.86662978308027</v>
      </c>
      <c r="AW59" s="117">
        <v>863.23161234145687</v>
      </c>
      <c r="AX59" s="117">
        <v>904.72974887656596</v>
      </c>
      <c r="AY59" s="117">
        <v>967.66862291956454</v>
      </c>
      <c r="AZ59" s="117">
        <v>1052.725651973843</v>
      </c>
      <c r="BA59" s="117">
        <v>1223.856860920979</v>
      </c>
      <c r="BB59" s="117">
        <v>1267.3128008341566</v>
      </c>
      <c r="BC59" s="117">
        <v>1343.2687299443739</v>
      </c>
      <c r="BD59" s="117">
        <v>1451.5429798438918</v>
      </c>
      <c r="BE59" s="117">
        <v>1559.2406506822642</v>
      </c>
      <c r="BF59" s="117">
        <v>2312.7288033035325</v>
      </c>
      <c r="BG59" s="117">
        <v>2464.3278411936058</v>
      </c>
      <c r="BH59" s="117">
        <v>2658.9787526018076</v>
      </c>
      <c r="BI59" s="117">
        <v>2802.1970511570653</v>
      </c>
      <c r="BJ59" s="117">
        <v>2914.3838563125055</v>
      </c>
      <c r="BK59" s="117">
        <v>3141.8892187389256</v>
      </c>
      <c r="BL59" s="117">
        <v>3408.846254408375</v>
      </c>
    </row>
    <row r="60" spans="1:64" hidden="1">
      <c r="A60" s="117" t="s">
        <v>885</v>
      </c>
      <c r="B60" s="117" t="s">
        <v>886</v>
      </c>
      <c r="C60" s="117" t="s">
        <v>775</v>
      </c>
      <c r="D60" s="117" t="s">
        <v>776</v>
      </c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>
        <v>624.63163681110314</v>
      </c>
      <c r="W60" s="117">
        <v>769.07834197883199</v>
      </c>
      <c r="X60" s="117">
        <v>734.01052483341857</v>
      </c>
      <c r="Y60" s="117">
        <v>966.68153773977383</v>
      </c>
      <c r="Z60" s="117">
        <v>1090.2732888646922</v>
      </c>
      <c r="AA60" s="117">
        <v>1193.6532760911784</v>
      </c>
      <c r="AB60" s="117">
        <v>1324.667259394512</v>
      </c>
      <c r="AC60" s="117">
        <v>1478.0716678276628</v>
      </c>
      <c r="AD60" s="117">
        <v>1632.3811554891731</v>
      </c>
      <c r="AE60" s="117">
        <v>1863.4546829514636</v>
      </c>
      <c r="AF60" s="117">
        <v>2113.9271518672149</v>
      </c>
      <c r="AG60" s="117">
        <v>2402.90675309058</v>
      </c>
      <c r="AH60" s="117">
        <v>2617.7798306486284</v>
      </c>
      <c r="AI60" s="117">
        <v>2860.431559664295</v>
      </c>
      <c r="AJ60" s="117">
        <v>3122.7899824114324</v>
      </c>
      <c r="AK60" s="117">
        <v>3317.9045596969167</v>
      </c>
      <c r="AL60" s="117">
        <v>3466.3860822604865</v>
      </c>
      <c r="AM60" s="117">
        <v>3721.3471653317943</v>
      </c>
      <c r="AN60" s="117">
        <v>3861.1796133245398</v>
      </c>
      <c r="AO60" s="117">
        <v>4120.4184053231083</v>
      </c>
      <c r="AP60" s="117">
        <v>4291.6923070466319</v>
      </c>
      <c r="AQ60" s="117">
        <v>4593.7144952889057</v>
      </c>
      <c r="AR60" s="117">
        <v>4750.6121572277507</v>
      </c>
      <c r="AS60" s="117">
        <v>4787.780170694743</v>
      </c>
      <c r="AT60" s="117">
        <v>4883.7236627966022</v>
      </c>
      <c r="AU60" s="117">
        <v>4771.0409265172493</v>
      </c>
      <c r="AV60" s="117">
        <v>4897.4417498811217</v>
      </c>
      <c r="AW60" s="117">
        <v>5217.2304156049995</v>
      </c>
      <c r="AX60" s="117">
        <v>5160.2243136193183</v>
      </c>
      <c r="AY60" s="117">
        <v>5518.3991084044819</v>
      </c>
      <c r="AZ60" s="117">
        <v>5952.056668576196</v>
      </c>
      <c r="BA60" s="117">
        <v>6469.1457379980111</v>
      </c>
      <c r="BB60" s="117">
        <v>6902.8571697411935</v>
      </c>
      <c r="BC60" s="117">
        <v>6967.2666543345722</v>
      </c>
      <c r="BD60" s="117">
        <v>7065.0618467754239</v>
      </c>
      <c r="BE60" s="117">
        <v>6848.3942266792956</v>
      </c>
      <c r="BF60" s="117">
        <v>7016.6764714472265</v>
      </c>
      <c r="BG60" s="117">
        <v>7318.1037828994495</v>
      </c>
      <c r="BH60" s="117">
        <v>7596.435062262577</v>
      </c>
      <c r="BI60" s="117">
        <v>8080.9686234118599</v>
      </c>
      <c r="BJ60" s="117">
        <v>7274.7213333291847</v>
      </c>
      <c r="BK60" s="117">
        <v>7691.3450972787796</v>
      </c>
      <c r="BL60" s="117">
        <v>8300.3750742721313</v>
      </c>
    </row>
    <row r="61" spans="1:64" hidden="1">
      <c r="A61" s="117" t="s">
        <v>887</v>
      </c>
      <c r="B61" s="117" t="s">
        <v>888</v>
      </c>
      <c r="C61" s="117" t="s">
        <v>775</v>
      </c>
      <c r="D61" s="117" t="s">
        <v>776</v>
      </c>
      <c r="E61" s="117"/>
      <c r="F61" s="117"/>
      <c r="G61" s="117"/>
      <c r="H61" s="117"/>
      <c r="I61" s="117"/>
      <c r="J61" s="117"/>
      <c r="K61" s="117">
        <v>2487.1361809088389</v>
      </c>
      <c r="L61" s="117">
        <v>2700.7462896467719</v>
      </c>
      <c r="M61" s="117">
        <v>2776.1353904434427</v>
      </c>
      <c r="N61" s="117">
        <v>3151.1331613469451</v>
      </c>
      <c r="O61" s="117">
        <v>3464.4551557319623</v>
      </c>
      <c r="P61" s="117">
        <v>3845.5060887917516</v>
      </c>
      <c r="Q61" s="117">
        <v>4654.2989360392157</v>
      </c>
      <c r="R61" s="117">
        <v>6119.370222186677</v>
      </c>
      <c r="S61" s="117">
        <v>6770.750026828925</v>
      </c>
      <c r="T61" s="117">
        <v>7999.1126667648377</v>
      </c>
      <c r="U61" s="117">
        <v>8787.5897219329672</v>
      </c>
      <c r="V61" s="117">
        <v>9783.852021513223</v>
      </c>
      <c r="W61" s="117">
        <v>11826.01861305033</v>
      </c>
      <c r="X61" s="117">
        <v>13751.998948016029</v>
      </c>
      <c r="Y61" s="117">
        <v>13883.887143273194</v>
      </c>
      <c r="Z61" s="117">
        <v>12081.801049607682</v>
      </c>
      <c r="AA61" s="117">
        <v>11804.432888013429</v>
      </c>
      <c r="AB61" s="117">
        <v>11857.892135723148</v>
      </c>
      <c r="AC61" s="117">
        <v>11562.919077848665</v>
      </c>
      <c r="AD61" s="117">
        <v>12253.100214178539</v>
      </c>
      <c r="AE61" s="117">
        <v>17201.088812967369</v>
      </c>
      <c r="AF61" s="117">
        <v>21340.727862552438</v>
      </c>
      <c r="AG61" s="117">
        <v>22527.046726563101</v>
      </c>
      <c r="AH61" s="117">
        <v>21901.054745943984</v>
      </c>
      <c r="AI61" s="117">
        <v>26891.446448957078</v>
      </c>
      <c r="AJ61" s="117">
        <v>27011.37745900514</v>
      </c>
      <c r="AK61" s="117">
        <v>29569.660356711156</v>
      </c>
      <c r="AL61" s="117">
        <v>27597.975228635663</v>
      </c>
      <c r="AM61" s="117">
        <v>29995.579623547947</v>
      </c>
      <c r="AN61" s="117">
        <v>35351.365460681853</v>
      </c>
      <c r="AO61" s="117">
        <v>35650.714086099404</v>
      </c>
      <c r="AP61" s="117">
        <v>32835.939939883254</v>
      </c>
      <c r="AQ61" s="117">
        <v>33368.142415091963</v>
      </c>
      <c r="AR61" s="117">
        <v>33440.794805420432</v>
      </c>
      <c r="AS61" s="117">
        <v>30743.547681635428</v>
      </c>
      <c r="AT61" s="117">
        <v>30751.654348268032</v>
      </c>
      <c r="AU61" s="117">
        <v>33228.693544881928</v>
      </c>
      <c r="AV61" s="117">
        <v>40458.777398660881</v>
      </c>
      <c r="AW61" s="117">
        <v>46511.598332430505</v>
      </c>
      <c r="AX61" s="117">
        <v>48799.825601127486</v>
      </c>
      <c r="AY61" s="117">
        <v>52026.999514272291</v>
      </c>
      <c r="AZ61" s="117">
        <v>58487.054967769582</v>
      </c>
      <c r="BA61" s="117">
        <v>64322.063502084209</v>
      </c>
      <c r="BB61" s="117">
        <v>58163.276876281459</v>
      </c>
      <c r="BC61" s="117">
        <v>58041.398436338481</v>
      </c>
      <c r="BD61" s="117">
        <v>61753.647131976963</v>
      </c>
      <c r="BE61" s="117">
        <v>58507.508051785189</v>
      </c>
      <c r="BF61" s="117">
        <v>61191.193704202844</v>
      </c>
      <c r="BG61" s="117">
        <v>62548.984733290752</v>
      </c>
      <c r="BH61" s="117">
        <v>53254.856003963112</v>
      </c>
      <c r="BI61" s="117">
        <v>54663.998371919501</v>
      </c>
      <c r="BJ61" s="117">
        <v>57141.059835041378</v>
      </c>
      <c r="BK61" s="117">
        <v>61390.69300970091</v>
      </c>
      <c r="BL61" s="117">
        <v>59822.092960896844</v>
      </c>
    </row>
    <row r="62" spans="1:64" hidden="1">
      <c r="A62" s="117" t="s">
        <v>889</v>
      </c>
      <c r="B62" s="117" t="s">
        <v>890</v>
      </c>
      <c r="C62" s="117" t="s">
        <v>775</v>
      </c>
      <c r="D62" s="117" t="s">
        <v>776</v>
      </c>
      <c r="E62" s="117">
        <v>204.11474750958044</v>
      </c>
      <c r="F62" s="117">
        <v>192.02772526040138</v>
      </c>
      <c r="G62" s="117">
        <v>234.05162938672851</v>
      </c>
      <c r="H62" s="117">
        <v>258.59585295547771</v>
      </c>
      <c r="I62" s="117">
        <v>272.97414623707652</v>
      </c>
      <c r="J62" s="117">
        <v>229.02367729865014</v>
      </c>
      <c r="K62" s="117">
        <v>245.9875453648136</v>
      </c>
      <c r="L62" s="117">
        <v>250.97669418970034</v>
      </c>
      <c r="M62" s="117">
        <v>254.05185756145056</v>
      </c>
      <c r="N62" s="117">
        <v>281.37779765677806</v>
      </c>
      <c r="O62" s="117">
        <v>330.13165263616401</v>
      </c>
      <c r="P62" s="117">
        <v>360.15222996146707</v>
      </c>
      <c r="Q62" s="117">
        <v>417.9197002855035</v>
      </c>
      <c r="R62" s="117">
        <v>480.0529679733342</v>
      </c>
      <c r="S62" s="117">
        <v>583.48418856967692</v>
      </c>
      <c r="T62" s="117">
        <v>699.60232374023656</v>
      </c>
      <c r="U62" s="117">
        <v>748.99019479620983</v>
      </c>
      <c r="V62" s="117">
        <v>848.2847896440129</v>
      </c>
      <c r="W62" s="117">
        <v>854.64808767435841</v>
      </c>
      <c r="X62" s="117">
        <v>969.49873205969823</v>
      </c>
      <c r="Y62" s="117">
        <v>1164.9526260409548</v>
      </c>
      <c r="Z62" s="117">
        <v>1273.8234363094177</v>
      </c>
      <c r="AA62" s="117">
        <v>1362.5104445290444</v>
      </c>
      <c r="AB62" s="117">
        <v>1487.2748687387907</v>
      </c>
      <c r="AC62" s="117">
        <v>1831.0853026107732</v>
      </c>
      <c r="AD62" s="117">
        <v>780.3858657861573</v>
      </c>
      <c r="AE62" s="117">
        <v>928.03295214204991</v>
      </c>
      <c r="AF62" s="117">
        <v>865.83136852313521</v>
      </c>
      <c r="AG62" s="117">
        <v>783.0350590068972</v>
      </c>
      <c r="AH62" s="117">
        <v>955.51587278003149</v>
      </c>
      <c r="AI62" s="117">
        <v>991.61442412490499</v>
      </c>
      <c r="AJ62" s="117">
        <v>1338.8960447786201</v>
      </c>
      <c r="AK62" s="117">
        <v>1532.903223956733</v>
      </c>
      <c r="AL62" s="117">
        <v>1733.4004552861386</v>
      </c>
      <c r="AM62" s="117">
        <v>1908.4847543856979</v>
      </c>
      <c r="AN62" s="117">
        <v>2122.797665692076</v>
      </c>
      <c r="AO62" s="117">
        <v>2293.7552467431051</v>
      </c>
      <c r="AP62" s="117">
        <v>2476.113440271552</v>
      </c>
      <c r="AQ62" s="117">
        <v>2638.3494796577306</v>
      </c>
      <c r="AR62" s="117">
        <v>2653.3440117164414</v>
      </c>
      <c r="AS62" s="117">
        <v>2869.1058607252726</v>
      </c>
      <c r="AT62" s="117">
        <v>2977.1484279110937</v>
      </c>
      <c r="AU62" s="117">
        <v>3136.1551869777427</v>
      </c>
      <c r="AV62" s="117">
        <v>2445.4358930222215</v>
      </c>
      <c r="AW62" s="117">
        <v>2528.5771991386546</v>
      </c>
      <c r="AX62" s="117">
        <v>3970.3228404099632</v>
      </c>
      <c r="AY62" s="117">
        <v>4134.6837853340703</v>
      </c>
      <c r="AZ62" s="117">
        <v>4707.7925319169735</v>
      </c>
      <c r="BA62" s="117">
        <v>5087.9853645893199</v>
      </c>
      <c r="BB62" s="117">
        <v>5039.4025959168903</v>
      </c>
      <c r="BC62" s="117">
        <v>5555.3897219019882</v>
      </c>
      <c r="BD62" s="117">
        <v>5913.4320722423645</v>
      </c>
      <c r="BE62" s="117">
        <v>6110.3696524719253</v>
      </c>
      <c r="BF62" s="117">
        <v>6238.1336082224116</v>
      </c>
      <c r="BG62" s="117">
        <v>6608.8281018750777</v>
      </c>
      <c r="BH62" s="117">
        <v>6921.5172283794973</v>
      </c>
      <c r="BI62" s="117">
        <v>7280.880109227618</v>
      </c>
      <c r="BJ62" s="117">
        <v>7609.3387994371451</v>
      </c>
      <c r="BK62" s="117">
        <v>8050.630440274489</v>
      </c>
      <c r="BL62" s="117">
        <v>8282.1162218644986</v>
      </c>
    </row>
    <row r="63" spans="1:64" hidden="1">
      <c r="A63" s="117" t="s">
        <v>891</v>
      </c>
      <c r="B63" s="117" t="s">
        <v>892</v>
      </c>
      <c r="C63" s="117" t="s">
        <v>775</v>
      </c>
      <c r="D63" s="117" t="s">
        <v>776</v>
      </c>
      <c r="E63" s="117">
        <v>246.30876252962042</v>
      </c>
      <c r="F63" s="117">
        <v>214.77627351619222</v>
      </c>
      <c r="G63" s="117">
        <v>172.24599776635603</v>
      </c>
      <c r="H63" s="117">
        <v>226.89998880434246</v>
      </c>
      <c r="I63" s="117">
        <v>238.04853202090473</v>
      </c>
      <c r="J63" s="117">
        <v>249.88348605881541</v>
      </c>
      <c r="K63" s="117">
        <v>235.59811182242677</v>
      </c>
      <c r="L63" s="117">
        <v>253.92365075347897</v>
      </c>
      <c r="M63" s="117">
        <v>281.92574502438913</v>
      </c>
      <c r="N63" s="117">
        <v>302.75230673410363</v>
      </c>
      <c r="O63" s="117">
        <v>336.22485558454662</v>
      </c>
      <c r="P63" s="117">
        <v>341.38898734049781</v>
      </c>
      <c r="Q63" s="117">
        <v>442.35187819350438</v>
      </c>
      <c r="R63" s="117">
        <v>554.75512492920882</v>
      </c>
      <c r="S63" s="117">
        <v>817.98830847818078</v>
      </c>
      <c r="T63" s="117">
        <v>936.79002576914934</v>
      </c>
      <c r="U63" s="117">
        <v>1037.6070384405155</v>
      </c>
      <c r="V63" s="117">
        <v>1192.7438876576334</v>
      </c>
      <c r="W63" s="117">
        <v>1456.4193959721474</v>
      </c>
      <c r="X63" s="117">
        <v>1782.6979813791118</v>
      </c>
      <c r="Y63" s="117">
        <v>2202.9973647974589</v>
      </c>
      <c r="Z63" s="117">
        <v>2237.0863249035383</v>
      </c>
      <c r="AA63" s="117">
        <v>2210.3019276016807</v>
      </c>
      <c r="AB63" s="117">
        <v>2312.6556194825112</v>
      </c>
      <c r="AC63" s="117">
        <v>2467.3464219903121</v>
      </c>
      <c r="AD63" s="117">
        <v>2582.8795891685595</v>
      </c>
      <c r="AE63" s="117">
        <v>2757.1305241553837</v>
      </c>
      <c r="AF63" s="117">
        <v>2807.3302974422222</v>
      </c>
      <c r="AG63" s="117">
        <v>2417.3766834056046</v>
      </c>
      <c r="AH63" s="117">
        <v>2215.8475579747783</v>
      </c>
      <c r="AI63" s="117">
        <v>2408.6888148224757</v>
      </c>
      <c r="AJ63" s="117">
        <v>1731.6112744431682</v>
      </c>
      <c r="AK63" s="117">
        <v>1776.0366743807142</v>
      </c>
      <c r="AL63" s="117">
        <v>1807.3285484625833</v>
      </c>
      <c r="AM63" s="117">
        <v>1507.8653180362742</v>
      </c>
      <c r="AN63" s="117">
        <v>1452.2694448783652</v>
      </c>
      <c r="AO63" s="117">
        <v>1603.9379206243425</v>
      </c>
      <c r="AP63" s="117">
        <v>1619.8062239142055</v>
      </c>
      <c r="AQ63" s="117">
        <v>1596.0037142984384</v>
      </c>
      <c r="AR63" s="117">
        <v>1588.3475028389544</v>
      </c>
      <c r="AS63" s="117">
        <v>1764.9738298278521</v>
      </c>
      <c r="AT63" s="117">
        <v>1740.6424230944713</v>
      </c>
      <c r="AU63" s="117">
        <v>1781.8373648737584</v>
      </c>
      <c r="AV63" s="117">
        <v>2103.4130583502283</v>
      </c>
      <c r="AW63" s="117">
        <v>2609.9456077743725</v>
      </c>
      <c r="AX63" s="117">
        <v>3113.1010943281358</v>
      </c>
      <c r="AY63" s="117">
        <v>3478.6548707523266</v>
      </c>
      <c r="AZ63" s="117">
        <v>3950.51936900172</v>
      </c>
      <c r="BA63" s="117">
        <v>4923.6292650204123</v>
      </c>
      <c r="BB63" s="117">
        <v>3883.2612710190515</v>
      </c>
      <c r="BC63" s="117">
        <v>4480.799271301591</v>
      </c>
      <c r="BD63" s="117">
        <v>5455.8535287495279</v>
      </c>
      <c r="BE63" s="117">
        <v>5592.2570991635621</v>
      </c>
      <c r="BF63" s="117">
        <v>5499.5814870457207</v>
      </c>
      <c r="BG63" s="117">
        <v>5493.0255899626309</v>
      </c>
      <c r="BH63" s="117">
        <v>4177.8925154688886</v>
      </c>
      <c r="BI63" s="117">
        <v>3946.4439768983543</v>
      </c>
      <c r="BJ63" s="117">
        <v>4044.2766003987558</v>
      </c>
      <c r="BK63" s="117">
        <v>4114.7150613689573</v>
      </c>
      <c r="BL63" s="117">
        <v>3948.3432789257145</v>
      </c>
    </row>
    <row r="64" spans="1:64" hidden="1">
      <c r="A64" s="117" t="s">
        <v>893</v>
      </c>
      <c r="B64" s="117" t="s">
        <v>894</v>
      </c>
      <c r="C64" s="117" t="s">
        <v>775</v>
      </c>
      <c r="D64" s="117" t="s">
        <v>776</v>
      </c>
      <c r="E64" s="117">
        <v>89.677434908751692</v>
      </c>
      <c r="F64" s="117">
        <v>78.756112539851756</v>
      </c>
      <c r="G64" s="117">
        <v>71.218568313868445</v>
      </c>
      <c r="H64" s="117">
        <v>75.193491392355781</v>
      </c>
      <c r="I64" s="117">
        <v>85.08692605838138</v>
      </c>
      <c r="J64" s="117">
        <v>96.870830026488832</v>
      </c>
      <c r="K64" s="117">
        <v>103.14812447937285</v>
      </c>
      <c r="L64" s="117">
        <v>97.372646519370676</v>
      </c>
      <c r="M64" s="117">
        <v>95.725457410293401</v>
      </c>
      <c r="N64" s="117">
        <v>104.60168747636065</v>
      </c>
      <c r="O64" s="117">
        <v>113.46076477699648</v>
      </c>
      <c r="P64" s="117">
        <v>118.74820100649059</v>
      </c>
      <c r="Q64" s="117">
        <v>131.39517714732301</v>
      </c>
      <c r="R64" s="117">
        <v>161.5825979327991</v>
      </c>
      <c r="S64" s="117">
        <v>178.3690647114089</v>
      </c>
      <c r="T64" s="117">
        <v>196.67803142157001</v>
      </c>
      <c r="U64" s="117">
        <v>196.15828936666719</v>
      </c>
      <c r="V64" s="117">
        <v>223.07699124614453</v>
      </c>
      <c r="W64" s="117">
        <v>212.5922257672425</v>
      </c>
      <c r="X64" s="117">
        <v>242.41024918283941</v>
      </c>
      <c r="Y64" s="117">
        <v>275.47709111653569</v>
      </c>
      <c r="Z64" s="117">
        <v>289.43207743121599</v>
      </c>
      <c r="AA64" s="117">
        <v>298.64555412910403</v>
      </c>
      <c r="AB64" s="117">
        <v>308.16075809066155</v>
      </c>
      <c r="AC64" s="117">
        <v>329.29224116950502</v>
      </c>
      <c r="AD64" s="117">
        <v>355.1397259533677</v>
      </c>
      <c r="AE64" s="117">
        <v>348.24108806389182</v>
      </c>
      <c r="AF64" s="117">
        <v>337.98309777014964</v>
      </c>
      <c r="AG64" s="117">
        <v>368.40595540298057</v>
      </c>
      <c r="AH64" s="117">
        <v>391.58219105502371</v>
      </c>
      <c r="AI64" s="117">
        <v>413.01358589809399</v>
      </c>
      <c r="AJ64" s="117">
        <v>441.50912987529762</v>
      </c>
      <c r="AK64" s="117">
        <v>487.90230892638505</v>
      </c>
      <c r="AL64" s="117">
        <v>528.58504234708516</v>
      </c>
      <c r="AM64" s="117">
        <v>627.64630769878909</v>
      </c>
      <c r="AN64" s="117">
        <v>765.00598876656522</v>
      </c>
      <c r="AO64" s="117">
        <v>868.05500633164604</v>
      </c>
      <c r="AP64" s="117">
        <v>888.5037316810359</v>
      </c>
      <c r="AQ64" s="117">
        <v>805.17508024819222</v>
      </c>
      <c r="AR64" s="117">
        <v>876.41746400123031</v>
      </c>
      <c r="AS64" s="117">
        <v>956.67209808771975</v>
      </c>
      <c r="AT64" s="117">
        <v>1008.3682633840629</v>
      </c>
      <c r="AU64" s="117">
        <v>1106.2798130706788</v>
      </c>
      <c r="AV64" s="117">
        <v>1241.6325275698709</v>
      </c>
      <c r="AW64" s="117">
        <v>1428.0577277091334</v>
      </c>
      <c r="AX64" s="117">
        <v>1640.9600559105729</v>
      </c>
      <c r="AY64" s="117">
        <v>1961.1329649269435</v>
      </c>
      <c r="AZ64" s="117">
        <v>2461.0941865598807</v>
      </c>
      <c r="BA64" s="117">
        <v>3091.0732825669829</v>
      </c>
      <c r="BB64" s="117">
        <v>3327.8515344477223</v>
      </c>
      <c r="BC64" s="117">
        <v>4005.488963302043</v>
      </c>
      <c r="BD64" s="117">
        <v>4858.5818744547851</v>
      </c>
      <c r="BE64" s="117">
        <v>5378.8423895411761</v>
      </c>
      <c r="BF64" s="117">
        <v>5891.4577657772816</v>
      </c>
      <c r="BG64" s="117">
        <v>6306.3284141427785</v>
      </c>
      <c r="BH64" s="117">
        <v>6522.6743637441568</v>
      </c>
      <c r="BI64" s="117">
        <v>6612.2484711517936</v>
      </c>
      <c r="BJ64" s="117">
        <v>7173.3983075962142</v>
      </c>
      <c r="BK64" s="117">
        <v>7971.1375145214879</v>
      </c>
      <c r="BL64" s="117">
        <v>8222.0777299191723</v>
      </c>
    </row>
    <row r="65" spans="1:64" hidden="1">
      <c r="A65" s="117" t="s">
        <v>895</v>
      </c>
      <c r="B65" s="117" t="s">
        <v>896</v>
      </c>
      <c r="C65" s="117" t="s">
        <v>775</v>
      </c>
      <c r="D65" s="117" t="s">
        <v>776</v>
      </c>
      <c r="E65" s="117">
        <v>155.88606225768558</v>
      </c>
      <c r="F65" s="117">
        <v>153.0064023653749</v>
      </c>
      <c r="G65" s="117">
        <v>154.41996444443345</v>
      </c>
      <c r="H65" s="117">
        <v>159.87562970514571</v>
      </c>
      <c r="I65" s="117">
        <v>179.16344654204354</v>
      </c>
      <c r="J65" s="117">
        <v>189.67107580950426</v>
      </c>
      <c r="K65" s="117">
        <v>182.54377638946852</v>
      </c>
      <c r="L65" s="117">
        <v>187.19854819795088</v>
      </c>
      <c r="M65" s="117">
        <v>197.75900855419991</v>
      </c>
      <c r="N65" s="117">
        <v>215.57468401011394</v>
      </c>
      <c r="O65" s="117">
        <v>223.74193300327283</v>
      </c>
      <c r="P65" s="117">
        <v>235.71428305323903</v>
      </c>
      <c r="Q65" s="117">
        <v>252.866632869272</v>
      </c>
      <c r="R65" s="117">
        <v>315.47426503039475</v>
      </c>
      <c r="S65" s="117">
        <v>431.59220922250086</v>
      </c>
      <c r="T65" s="117">
        <v>451.45716561975439</v>
      </c>
      <c r="U65" s="117">
        <v>480.58584114803796</v>
      </c>
      <c r="V65" s="117">
        <v>524.48232841711092</v>
      </c>
      <c r="W65" s="117">
        <v>567.16790422954318</v>
      </c>
      <c r="X65" s="117">
        <v>673.26395944924286</v>
      </c>
      <c r="Y65" s="117">
        <v>815.86469704480385</v>
      </c>
      <c r="Z65" s="117">
        <v>887.15248433026306</v>
      </c>
      <c r="AA65" s="117">
        <v>824.59349239626818</v>
      </c>
      <c r="AB65" s="117">
        <v>811.1742207631047</v>
      </c>
      <c r="AC65" s="117">
        <v>784.48523134081745</v>
      </c>
      <c r="AD65" s="117">
        <v>784.70142381570167</v>
      </c>
      <c r="AE65" s="117">
        <v>771.5355212360912</v>
      </c>
      <c r="AF65" s="117">
        <v>756.41543241939678</v>
      </c>
      <c r="AG65" s="117">
        <v>787.31990751867488</v>
      </c>
      <c r="AH65" s="117">
        <v>782.02806120021853</v>
      </c>
      <c r="AI65" s="117">
        <v>896.59676667396127</v>
      </c>
      <c r="AJ65" s="117">
        <v>929.4271800924738</v>
      </c>
      <c r="AK65" s="117">
        <v>998.74717217157627</v>
      </c>
      <c r="AL65" s="117">
        <v>1071.5342450912838</v>
      </c>
      <c r="AM65" s="117">
        <v>1101.2337658339079</v>
      </c>
      <c r="AN65" s="117">
        <v>1108.571265186913</v>
      </c>
      <c r="AO65" s="117">
        <v>1183.894198111507</v>
      </c>
      <c r="AP65" s="117">
        <v>1241.8994125994334</v>
      </c>
      <c r="AQ65" s="117">
        <v>1204.3508954823214</v>
      </c>
      <c r="AR65" s="117">
        <v>1251.1198977859772</v>
      </c>
      <c r="AS65" s="117">
        <v>1336.9993037722568</v>
      </c>
      <c r="AT65" s="117">
        <v>1300.5623793461607</v>
      </c>
      <c r="AU65" s="117">
        <v>1241.8956955774843</v>
      </c>
      <c r="AV65" s="117">
        <v>1358.4967919120593</v>
      </c>
      <c r="AW65" s="117">
        <v>1552.3363057565816</v>
      </c>
      <c r="AX65" s="117">
        <v>1780.271725026621</v>
      </c>
      <c r="AY65" s="117">
        <v>2003.7371764050738</v>
      </c>
      <c r="AZ65" s="117">
        <v>2338.7244971631103</v>
      </c>
      <c r="BA65" s="117">
        <v>2595.7736010896429</v>
      </c>
      <c r="BB65" s="117">
        <v>2460.7365690061447</v>
      </c>
      <c r="BC65" s="117">
        <v>2944.9257947165584</v>
      </c>
      <c r="BD65" s="117">
        <v>3252.8883056719028</v>
      </c>
      <c r="BE65" s="117">
        <v>3362.3827907218051</v>
      </c>
      <c r="BF65" s="117">
        <v>3373.3066804457617</v>
      </c>
      <c r="BG65" s="117">
        <v>3444.0879508516678</v>
      </c>
      <c r="BH65" s="117">
        <v>3297.4052563405512</v>
      </c>
      <c r="BI65" s="117">
        <v>3328.5240551742945</v>
      </c>
      <c r="BJ65" s="117">
        <v>3548.2880506688225</v>
      </c>
      <c r="BK65" s="117">
        <v>3582.0022270208765</v>
      </c>
      <c r="BL65" s="117">
        <v>3641.494280941034</v>
      </c>
    </row>
    <row r="66" spans="1:64" hidden="1">
      <c r="A66" s="117" t="s">
        <v>897</v>
      </c>
      <c r="B66" s="117" t="s">
        <v>898</v>
      </c>
      <c r="C66" s="117" t="s">
        <v>775</v>
      </c>
      <c r="D66" s="117" t="s">
        <v>776</v>
      </c>
      <c r="E66" s="117">
        <v>147.22785444875069</v>
      </c>
      <c r="F66" s="117">
        <v>147.15100695145662</v>
      </c>
      <c r="G66" s="117">
        <v>148.50344612782209</v>
      </c>
      <c r="H66" s="117">
        <v>161.77691402986875</v>
      </c>
      <c r="I66" s="117">
        <v>181.61445218248369</v>
      </c>
      <c r="J66" s="117">
        <v>197.56945316052062</v>
      </c>
      <c r="K66" s="117">
        <v>215.22394951789008</v>
      </c>
      <c r="L66" s="117">
        <v>227.60911557156336</v>
      </c>
      <c r="M66" s="117">
        <v>244.79388281407299</v>
      </c>
      <c r="N66" s="117">
        <v>274.5977628888686</v>
      </c>
      <c r="O66" s="117">
        <v>315.66544481086686</v>
      </c>
      <c r="P66" s="117">
        <v>341.96024224373201</v>
      </c>
      <c r="Q66" s="117">
        <v>414.51726456322177</v>
      </c>
      <c r="R66" s="117">
        <v>534.46546969230997</v>
      </c>
      <c r="S66" s="117">
        <v>602.27255709646624</v>
      </c>
      <c r="T66" s="117">
        <v>647.04668401879564</v>
      </c>
      <c r="U66" s="117">
        <v>699.62347007773656</v>
      </c>
      <c r="V66" s="117">
        <v>821.21047957001724</v>
      </c>
      <c r="W66" s="117">
        <v>1020.9317747030364</v>
      </c>
      <c r="X66" s="117">
        <v>1091.8753750803021</v>
      </c>
      <c r="Y66" s="117">
        <v>1162.7678155697606</v>
      </c>
      <c r="Z66" s="117">
        <v>1262.7252273227689</v>
      </c>
      <c r="AA66" s="117">
        <v>1217.4856801578912</v>
      </c>
      <c r="AB66" s="117">
        <v>1275.4356986330831</v>
      </c>
      <c r="AC66" s="117">
        <v>1346.1130246499497</v>
      </c>
      <c r="AD66" s="117">
        <v>1399.4760204340009</v>
      </c>
      <c r="AE66" s="117">
        <v>1800.7581718871641</v>
      </c>
      <c r="AF66" s="117">
        <v>2080.6954244679268</v>
      </c>
      <c r="AG66" s="117">
        <v>2463.5608303123608</v>
      </c>
      <c r="AH66" s="117">
        <v>2526.0259231125779</v>
      </c>
      <c r="AI66" s="117">
        <v>2599.1186535622246</v>
      </c>
      <c r="AJ66" s="117">
        <v>2893.4565114089296</v>
      </c>
      <c r="AK66" s="117">
        <v>3120.4281933287739</v>
      </c>
      <c r="AL66" s="117">
        <v>3446.9847018518062</v>
      </c>
      <c r="AM66" s="117">
        <v>3808.0165647004164</v>
      </c>
      <c r="AN66" s="117">
        <v>4276.2243547977032</v>
      </c>
      <c r="AO66" s="117">
        <v>4073.0612541018636</v>
      </c>
      <c r="AP66" s="117">
        <v>3854.1023109328921</v>
      </c>
      <c r="AQ66" s="117">
        <v>3417.9186543155542</v>
      </c>
      <c r="AR66" s="117">
        <v>3779.7013458964807</v>
      </c>
      <c r="AS66" s="117">
        <v>4052.3433785908769</v>
      </c>
      <c r="AT66" s="117">
        <v>3736.2279000555982</v>
      </c>
      <c r="AU66" s="117">
        <v>3765.7844194574072</v>
      </c>
      <c r="AV66" s="117">
        <v>4108.7131196465625</v>
      </c>
      <c r="AW66" s="117">
        <v>4574.6332683117971</v>
      </c>
      <c r="AX66" s="117">
        <v>4848.2345382426747</v>
      </c>
      <c r="AY66" s="117">
        <v>5105.5573884509822</v>
      </c>
      <c r="AZ66" s="117">
        <v>5672.5425977389232</v>
      </c>
      <c r="BA66" s="117">
        <v>6498.4876449517424</v>
      </c>
      <c r="BB66" s="117">
        <v>6647.7431137279846</v>
      </c>
      <c r="BC66" s="117">
        <v>7697.9928046449559</v>
      </c>
      <c r="BD66" s="117">
        <v>8861.4584655037979</v>
      </c>
      <c r="BE66" s="117">
        <v>9420.4978816536786</v>
      </c>
      <c r="BF66" s="117">
        <v>9466.2354516709511</v>
      </c>
      <c r="BG66" s="117">
        <v>9703.2840257088883</v>
      </c>
      <c r="BH66" s="117">
        <v>9598.2785549731361</v>
      </c>
      <c r="BI66" s="117">
        <v>9857.9808648934486</v>
      </c>
      <c r="BJ66" s="117">
        <v>10467.702191610713</v>
      </c>
      <c r="BK66" s="117">
        <v>11316.760450184291</v>
      </c>
      <c r="BL66" s="117">
        <v>11526.736486240305</v>
      </c>
    </row>
    <row r="67" spans="1:64" hidden="1">
      <c r="A67" s="117" t="s">
        <v>899</v>
      </c>
      <c r="B67" s="117" t="s">
        <v>900</v>
      </c>
      <c r="C67" s="117" t="s">
        <v>775</v>
      </c>
      <c r="D67" s="117" t="s">
        <v>776</v>
      </c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>
        <v>2425.7430716606768</v>
      </c>
      <c r="AH67" s="117">
        <v>2326.4675973167996</v>
      </c>
      <c r="AI67" s="117">
        <v>2475.4800521444254</v>
      </c>
      <c r="AJ67" s="117">
        <v>2400.1595880849122</v>
      </c>
      <c r="AK67" s="117">
        <v>2200.7383443686358</v>
      </c>
      <c r="AL67" s="117">
        <v>2149.4617371054128</v>
      </c>
      <c r="AM67" s="117">
        <v>1842.1950908099222</v>
      </c>
      <c r="AN67" s="117">
        <v>1965.6327855382804</v>
      </c>
      <c r="AO67" s="117">
        <v>1982.5315827903596</v>
      </c>
      <c r="AP67" s="117">
        <v>2067.2146025552815</v>
      </c>
      <c r="AQ67" s="117">
        <v>1913.4840428844668</v>
      </c>
      <c r="AR67" s="117">
        <v>1604.121089234764</v>
      </c>
      <c r="AS67" s="117">
        <v>1790.954857818456</v>
      </c>
      <c r="AT67" s="117">
        <v>1770.4544643357731</v>
      </c>
      <c r="AU67" s="117">
        <v>2026.5460644112607</v>
      </c>
      <c r="AV67" s="117">
        <v>2553.0749911317698</v>
      </c>
      <c r="AW67" s="117">
        <v>3381.5302032559307</v>
      </c>
      <c r="AX67" s="117">
        <v>4269.8850407942846</v>
      </c>
      <c r="AY67" s="117">
        <v>5229.6638588210126</v>
      </c>
      <c r="AZ67" s="117">
        <v>6709.6363659096323</v>
      </c>
      <c r="BA67" s="117">
        <v>8284.8042988349589</v>
      </c>
      <c r="BB67" s="117">
        <v>6466.5899684083297</v>
      </c>
      <c r="BC67" s="117">
        <v>7780.7666544315171</v>
      </c>
      <c r="BD67" s="117">
        <v>9611.5368041561615</v>
      </c>
      <c r="BE67" s="117">
        <v>10189.223975158495</v>
      </c>
      <c r="BF67" s="117">
        <v>10729.407739762621</v>
      </c>
      <c r="BG67" s="117">
        <v>9897.8279420749677</v>
      </c>
      <c r="BH67" s="117">
        <v>7461.2117015552367</v>
      </c>
      <c r="BI67" s="117">
        <v>7043.4813467380372</v>
      </c>
      <c r="BJ67" s="117">
        <v>7863.6790493155995</v>
      </c>
      <c r="BK67" s="117">
        <v>8013.8607082104827</v>
      </c>
      <c r="BL67" s="117">
        <v>8110.7214482190629</v>
      </c>
    </row>
    <row r="68" spans="1:64" hidden="1">
      <c r="A68" s="117" t="s">
        <v>901</v>
      </c>
      <c r="B68" s="117" t="s">
        <v>902</v>
      </c>
      <c r="C68" s="117" t="s">
        <v>775</v>
      </c>
      <c r="D68" s="117" t="s">
        <v>776</v>
      </c>
      <c r="E68" s="117"/>
      <c r="F68" s="117"/>
      <c r="G68" s="117"/>
      <c r="H68" s="117"/>
      <c r="I68" s="117"/>
      <c r="J68" s="117"/>
      <c r="K68" s="117">
        <v>1031.5321237818191</v>
      </c>
      <c r="L68" s="117">
        <v>1100.7411522833145</v>
      </c>
      <c r="M68" s="117">
        <v>1141.4186064687894</v>
      </c>
      <c r="N68" s="117">
        <v>1251.8265428206648</v>
      </c>
      <c r="O68" s="117">
        <v>1377.5703305956029</v>
      </c>
      <c r="P68" s="117">
        <v>1544.6324134723025</v>
      </c>
      <c r="Q68" s="117">
        <v>1836.9158891913003</v>
      </c>
      <c r="R68" s="117">
        <v>2318.7953120725679</v>
      </c>
      <c r="S68" s="117">
        <v>2601.9263702896901</v>
      </c>
      <c r="T68" s="117">
        <v>3015.5723394136262</v>
      </c>
      <c r="U68" s="117">
        <v>3112.9539442142204</v>
      </c>
      <c r="V68" s="117">
        <v>3497.4291523266056</v>
      </c>
      <c r="W68" s="117">
        <v>4258.7402059967681</v>
      </c>
      <c r="X68" s="117">
        <v>5160.543829091579</v>
      </c>
      <c r="Y68" s="117">
        <v>5794.5716148354995</v>
      </c>
      <c r="Z68" s="117">
        <v>5123.1552753021278</v>
      </c>
      <c r="AA68" s="117">
        <v>4907.3341039769193</v>
      </c>
      <c r="AB68" s="117">
        <v>4733.639292469933</v>
      </c>
      <c r="AC68" s="117">
        <v>4523.0710140156607</v>
      </c>
      <c r="AD68" s="117">
        <v>4653.1374468609538</v>
      </c>
      <c r="AE68" s="117">
        <v>6312.4586050441694</v>
      </c>
      <c r="AF68" s="117">
        <v>7752.6645254323485</v>
      </c>
      <c r="AG68" s="117">
        <v>8577.6131265405911</v>
      </c>
      <c r="AH68" s="117">
        <v>8641.6976511096327</v>
      </c>
      <c r="AI68" s="117">
        <v>10520.672190743</v>
      </c>
      <c r="AJ68" s="117">
        <v>10799.289351825582</v>
      </c>
      <c r="AK68" s="117">
        <v>11533.639487735372</v>
      </c>
      <c r="AL68" s="117">
        <v>10555.380646734211</v>
      </c>
      <c r="AM68" s="117">
        <v>11009.432203978597</v>
      </c>
      <c r="AN68" s="117">
        <v>12690.017454317976</v>
      </c>
      <c r="AO68" s="117">
        <v>12929.514473297588</v>
      </c>
      <c r="AP68" s="117">
        <v>12247.41033989298</v>
      </c>
      <c r="AQ68" s="117">
        <v>12545.595679107668</v>
      </c>
      <c r="AR68" s="117">
        <v>12388.707757940208</v>
      </c>
      <c r="AS68" s="117">
        <v>11645.97473225129</v>
      </c>
      <c r="AT68" s="117">
        <v>11759.678813214592</v>
      </c>
      <c r="AU68" s="117">
        <v>12832.263960379678</v>
      </c>
      <c r="AV68" s="117">
        <v>15581.577694392885</v>
      </c>
      <c r="AW68" s="117">
        <v>18109.433364704026</v>
      </c>
      <c r="AX68" s="117">
        <v>19222.37399739687</v>
      </c>
      <c r="AY68" s="117">
        <v>20752.63466906219</v>
      </c>
      <c r="AZ68" s="117">
        <v>24159.816460462833</v>
      </c>
      <c r="BA68" s="117">
        <v>26415.008534316901</v>
      </c>
      <c r="BB68" s="117">
        <v>23138.560586477379</v>
      </c>
      <c r="BC68" s="117">
        <v>23604.681193742068</v>
      </c>
      <c r="BD68" s="117">
        <v>26109.259013774867</v>
      </c>
      <c r="BE68" s="117">
        <v>25068.328120214606</v>
      </c>
      <c r="BF68" s="117">
        <v>26071.852058212633</v>
      </c>
      <c r="BG68" s="117">
        <v>26301.082990834529</v>
      </c>
      <c r="BH68" s="117">
        <v>22551.600891079644</v>
      </c>
      <c r="BI68" s="117">
        <v>22371.682387291366</v>
      </c>
      <c r="BJ68" s="117">
        <v>23597.424005449997</v>
      </c>
      <c r="BK68" s="117">
        <v>25171.425966277002</v>
      </c>
      <c r="BL68" s="117">
        <v>24696.339607580379</v>
      </c>
    </row>
    <row r="69" spans="1:64" hidden="1">
      <c r="A69" s="117" t="s">
        <v>903</v>
      </c>
      <c r="B69" s="117" t="s">
        <v>904</v>
      </c>
      <c r="C69" s="117" t="s">
        <v>775</v>
      </c>
      <c r="D69" s="117" t="s">
        <v>776</v>
      </c>
      <c r="E69" s="117">
        <v>455.46158683732824</v>
      </c>
      <c r="F69" s="117">
        <v>375.22162571429953</v>
      </c>
      <c r="G69" s="117">
        <v>315.68824451931192</v>
      </c>
      <c r="H69" s="117">
        <v>368.62995613074804</v>
      </c>
      <c r="I69" s="117">
        <v>440.55971527687063</v>
      </c>
      <c r="J69" s="117">
        <v>455.19807875811307</v>
      </c>
      <c r="K69" s="117">
        <v>449.92029032154539</v>
      </c>
      <c r="L69" s="117">
        <v>459.27888138057534</v>
      </c>
      <c r="M69" s="117">
        <v>450.99978782233904</v>
      </c>
      <c r="N69" s="117">
        <v>527.90044255097291</v>
      </c>
      <c r="O69" s="117">
        <v>471.63071953343001</v>
      </c>
      <c r="P69" s="117">
        <v>440.85736908035989</v>
      </c>
      <c r="Q69" s="117">
        <v>495.53576400471854</v>
      </c>
      <c r="R69" s="117">
        <v>588.33679830970709</v>
      </c>
      <c r="S69" s="117">
        <v>970.01143874661159</v>
      </c>
      <c r="T69" s="117">
        <v>1105.4200809983945</v>
      </c>
      <c r="U69" s="117">
        <v>1264.9128730212465</v>
      </c>
      <c r="V69" s="117">
        <v>1493.3313582009762</v>
      </c>
      <c r="W69" s="117">
        <v>1572.4013601899724</v>
      </c>
      <c r="X69" s="117">
        <v>1821.0476480147397</v>
      </c>
      <c r="Y69" s="117">
        <v>2238.2148422728401</v>
      </c>
      <c r="Z69" s="117">
        <v>2660.6115030705728</v>
      </c>
      <c r="AA69" s="117">
        <v>2369.950375111262</v>
      </c>
      <c r="AB69" s="117">
        <v>1988.787323131226</v>
      </c>
      <c r="AC69" s="117">
        <v>1912.4314870441301</v>
      </c>
      <c r="AD69" s="117">
        <v>1891.5606011335904</v>
      </c>
      <c r="AE69" s="117">
        <v>1648.0158016112953</v>
      </c>
      <c r="AF69" s="117">
        <v>1464.4932435055032</v>
      </c>
      <c r="AG69" s="117">
        <v>1337.8894837854039</v>
      </c>
      <c r="AH69" s="117">
        <v>1390.2131140266338</v>
      </c>
      <c r="AI69" s="117">
        <v>1489.5295092657414</v>
      </c>
      <c r="AJ69" s="117">
        <v>1622.2082428111614</v>
      </c>
      <c r="AK69" s="117">
        <v>1688.5050673670992</v>
      </c>
      <c r="AL69" s="117">
        <v>1727.7540575940609</v>
      </c>
      <c r="AM69" s="117">
        <v>2026.1127150745549</v>
      </c>
      <c r="AN69" s="117">
        <v>2132.9069689392791</v>
      </c>
      <c r="AO69" s="117">
        <v>2155.5172294796516</v>
      </c>
      <c r="AP69" s="117">
        <v>2356.3708431840128</v>
      </c>
      <c r="AQ69" s="117">
        <v>2293.8897353650641</v>
      </c>
      <c r="AR69" s="117">
        <v>1578.9335363254686</v>
      </c>
      <c r="AS69" s="117">
        <v>1445.2793244290131</v>
      </c>
      <c r="AT69" s="117">
        <v>1894.6151689393153</v>
      </c>
      <c r="AU69" s="117">
        <v>2172.1018772446992</v>
      </c>
      <c r="AV69" s="117">
        <v>2425.8518417571458</v>
      </c>
      <c r="AW69" s="117">
        <v>2691.278080619647</v>
      </c>
      <c r="AX69" s="117">
        <v>3002.1368672747499</v>
      </c>
      <c r="AY69" s="117">
        <v>3328.8829723976528</v>
      </c>
      <c r="AZ69" s="117">
        <v>3567.8364378220581</v>
      </c>
      <c r="BA69" s="117">
        <v>4249.0192621097567</v>
      </c>
      <c r="BB69" s="117">
        <v>4231.6157976784743</v>
      </c>
      <c r="BC69" s="117">
        <v>4633.5903583990448</v>
      </c>
      <c r="BD69" s="117">
        <v>5200.5557901487437</v>
      </c>
      <c r="BE69" s="117">
        <v>5682.0450065535306</v>
      </c>
      <c r="BF69" s="117">
        <v>6056.3308269681047</v>
      </c>
      <c r="BG69" s="117">
        <v>6377.0915301421701</v>
      </c>
      <c r="BH69" s="117">
        <v>6124.491642620721</v>
      </c>
      <c r="BI69" s="117">
        <v>6060.0933290441544</v>
      </c>
      <c r="BJ69" s="117">
        <v>6213.5012764992061</v>
      </c>
      <c r="BK69" s="117">
        <v>6295.9353986807928</v>
      </c>
      <c r="BL69" s="117">
        <v>6183.8238248217322</v>
      </c>
    </row>
    <row r="70" spans="1:64" hidden="1">
      <c r="A70" s="117" t="s">
        <v>905</v>
      </c>
      <c r="B70" s="117" t="s">
        <v>906</v>
      </c>
      <c r="C70" s="117" t="s">
        <v>775</v>
      </c>
      <c r="D70" s="117" t="s">
        <v>776</v>
      </c>
      <c r="E70" s="117"/>
      <c r="F70" s="117"/>
      <c r="G70" s="117"/>
      <c r="H70" s="117"/>
      <c r="I70" s="117"/>
      <c r="J70" s="117">
        <v>162.60848299622231</v>
      </c>
      <c r="K70" s="117">
        <v>168.96322418862289</v>
      </c>
      <c r="L70" s="117">
        <v>174.86258794181745</v>
      </c>
      <c r="M70" s="117">
        <v>180.41087564951354</v>
      </c>
      <c r="N70" s="117">
        <v>193.58598039818006</v>
      </c>
      <c r="O70" s="117">
        <v>233.01371629498595</v>
      </c>
      <c r="P70" s="117">
        <v>243.80678774060027</v>
      </c>
      <c r="Q70" s="117">
        <v>257.58872929118081</v>
      </c>
      <c r="R70" s="117">
        <v>273.69858479036094</v>
      </c>
      <c r="S70" s="117">
        <v>244.74720196002315</v>
      </c>
      <c r="T70" s="117">
        <v>301.7493584920033</v>
      </c>
      <c r="U70" s="117">
        <v>337.77437745727116</v>
      </c>
      <c r="V70" s="117">
        <v>357.0779478061794</v>
      </c>
      <c r="W70" s="117">
        <v>358.84772746556297</v>
      </c>
      <c r="X70" s="117">
        <v>426.34646338419708</v>
      </c>
      <c r="Y70" s="117">
        <v>500.35504524922163</v>
      </c>
      <c r="Z70" s="117">
        <v>498.55911585362588</v>
      </c>
      <c r="AA70" s="117">
        <v>607.28150944171603</v>
      </c>
      <c r="AB70" s="117">
        <v>662.68725999787159</v>
      </c>
      <c r="AC70" s="117">
        <v>708.19576238190575</v>
      </c>
      <c r="AD70" s="117">
        <v>792.82394542907014</v>
      </c>
      <c r="AE70" s="117">
        <v>815.24879161464321</v>
      </c>
      <c r="AF70" s="117">
        <v>778.11682737002718</v>
      </c>
      <c r="AG70" s="117">
        <v>655.06776872874968</v>
      </c>
      <c r="AH70" s="117">
        <v>725.62973632200419</v>
      </c>
      <c r="AI70" s="117">
        <v>765.64204637792341</v>
      </c>
      <c r="AJ70" s="117">
        <v>651.07758165464077</v>
      </c>
      <c r="AK70" s="117">
        <v>713.45252393326598</v>
      </c>
      <c r="AL70" s="117">
        <v>777.85770912171722</v>
      </c>
      <c r="AM70" s="117">
        <v>849.45249910526286</v>
      </c>
      <c r="AN70" s="117">
        <v>965.11073004603156</v>
      </c>
      <c r="AO70" s="117">
        <v>1063.3330945207722</v>
      </c>
      <c r="AP70" s="117">
        <v>1208.7199010158135</v>
      </c>
      <c r="AQ70" s="117">
        <v>1281.3967199450549</v>
      </c>
      <c r="AR70" s="117">
        <v>1343.5519627879974</v>
      </c>
      <c r="AS70" s="117">
        <v>1450.4762424329779</v>
      </c>
      <c r="AT70" s="117">
        <v>1391.7078456917411</v>
      </c>
      <c r="AU70" s="117">
        <v>1228.9379748805516</v>
      </c>
      <c r="AV70" s="117">
        <v>1138.6646732233653</v>
      </c>
      <c r="AW70" s="117">
        <v>1063.003663029567</v>
      </c>
      <c r="AX70" s="117">
        <v>1187.5196897838828</v>
      </c>
      <c r="AY70" s="117">
        <v>1398.1906244141626</v>
      </c>
      <c r="AZ70" s="117">
        <v>1667.8437205259961</v>
      </c>
      <c r="BA70" s="117">
        <v>2044.5278554985339</v>
      </c>
      <c r="BB70" s="117">
        <v>2329.239479967709</v>
      </c>
      <c r="BC70" s="117">
        <v>2644.817039097506</v>
      </c>
      <c r="BD70" s="117">
        <v>2791.9549618624928</v>
      </c>
      <c r="BE70" s="117">
        <v>3232.6488917879433</v>
      </c>
      <c r="BF70" s="117">
        <v>3264.3787871527666</v>
      </c>
      <c r="BG70" s="117">
        <v>3378.8313578555458</v>
      </c>
      <c r="BH70" s="117">
        <v>3598.9709482020994</v>
      </c>
      <c r="BI70" s="117">
        <v>3525.0201645005777</v>
      </c>
      <c r="BJ70" s="117">
        <v>2440.5101731110713</v>
      </c>
      <c r="BK70" s="117">
        <v>2549.1322517860917</v>
      </c>
      <c r="BL70" s="117">
        <v>3020.0313497154293</v>
      </c>
    </row>
    <row r="71" spans="1:64" hidden="1">
      <c r="A71" s="117" t="s">
        <v>907</v>
      </c>
      <c r="B71" s="117" t="s">
        <v>908</v>
      </c>
      <c r="C71" s="117" t="s">
        <v>775</v>
      </c>
      <c r="D71" s="117" t="s">
        <v>776</v>
      </c>
      <c r="E71" s="117">
        <v>923.42424735747977</v>
      </c>
      <c r="F71" s="117">
        <v>1005.280058334024</v>
      </c>
      <c r="G71" s="117">
        <v>1106.5699688214927</v>
      </c>
      <c r="H71" s="117">
        <v>1230.2259916827375</v>
      </c>
      <c r="I71" s="117">
        <v>1355.9935588651381</v>
      </c>
      <c r="J71" s="117">
        <v>1468.912979195655</v>
      </c>
      <c r="K71" s="117">
        <v>1589.4500337745826</v>
      </c>
      <c r="L71" s="117">
        <v>1714.842577311493</v>
      </c>
      <c r="M71" s="117">
        <v>1828.7641927411948</v>
      </c>
      <c r="N71" s="117">
        <v>2027.7282347421135</v>
      </c>
      <c r="O71" s="117">
        <v>2237.3213199522029</v>
      </c>
      <c r="P71" s="117">
        <v>2521.8817966333363</v>
      </c>
      <c r="Q71" s="117">
        <v>3026.071379275354</v>
      </c>
      <c r="R71" s="117">
        <v>3903.5640895356623</v>
      </c>
      <c r="S71" s="117">
        <v>4401.7903724203707</v>
      </c>
      <c r="T71" s="117">
        <v>5077.5773070158684</v>
      </c>
      <c r="U71" s="117">
        <v>5275.3374680629413</v>
      </c>
      <c r="V71" s="117">
        <v>5976.5909893728749</v>
      </c>
      <c r="W71" s="117">
        <v>7289.0635614726953</v>
      </c>
      <c r="X71" s="117">
        <v>8793.5170828502651</v>
      </c>
      <c r="Y71" s="117">
        <v>9806.3209733658023</v>
      </c>
      <c r="Z71" s="117">
        <v>8489.9134861741732</v>
      </c>
      <c r="AA71" s="117">
        <v>8197.3979721959495</v>
      </c>
      <c r="AB71" s="117">
        <v>7981.0721813460723</v>
      </c>
      <c r="AC71" s="117">
        <v>7642.633296969957</v>
      </c>
      <c r="AD71" s="117">
        <v>7836.7805209872031</v>
      </c>
      <c r="AE71" s="117">
        <v>10971.131853339302</v>
      </c>
      <c r="AF71" s="117">
        <v>13532.295776001489</v>
      </c>
      <c r="AG71" s="117">
        <v>14833.187882819517</v>
      </c>
      <c r="AH71" s="117">
        <v>15086.949616636053</v>
      </c>
      <c r="AI71" s="117">
        <v>18900.36666387078</v>
      </c>
      <c r="AJ71" s="117">
        <v>19541.702825901215</v>
      </c>
      <c r="AK71" s="117">
        <v>21455.425368972683</v>
      </c>
      <c r="AL71" s="117">
        <v>19556.585635405576</v>
      </c>
      <c r="AM71" s="117">
        <v>20586.997889706246</v>
      </c>
      <c r="AN71" s="117">
        <v>23696.93832020383</v>
      </c>
      <c r="AO71" s="117">
        <v>23915.77216283658</v>
      </c>
      <c r="AP71" s="117">
        <v>21810.287514157142</v>
      </c>
      <c r="AQ71" s="117">
        <v>22380.506789727166</v>
      </c>
      <c r="AR71" s="117">
        <v>22213.181283923288</v>
      </c>
      <c r="AS71" s="117">
        <v>20165.780530134289</v>
      </c>
      <c r="AT71" s="117">
        <v>20432.387646416275</v>
      </c>
      <c r="AU71" s="117">
        <v>22109.18430515064</v>
      </c>
      <c r="AV71" s="117">
        <v>27134.787301878754</v>
      </c>
      <c r="AW71" s="117">
        <v>30948.718757034854</v>
      </c>
      <c r="AX71" s="117">
        <v>31936.045373498331</v>
      </c>
      <c r="AY71" s="117">
        <v>33767.092516637167</v>
      </c>
      <c r="AZ71" s="117">
        <v>38666.73429236879</v>
      </c>
      <c r="BA71" s="117">
        <v>42177.820921053251</v>
      </c>
      <c r="BB71" s="117">
        <v>38423.213762271662</v>
      </c>
      <c r="BC71" s="117">
        <v>37567.130563980681</v>
      </c>
      <c r="BD71" s="117">
        <v>40613.874275070491</v>
      </c>
      <c r="BE71" s="117">
        <v>37598.042260576345</v>
      </c>
      <c r="BF71" s="117">
        <v>39102.913088974761</v>
      </c>
      <c r="BG71" s="117">
        <v>39857.291763559871</v>
      </c>
      <c r="BH71" s="117">
        <v>34381.554791241593</v>
      </c>
      <c r="BI71" s="117">
        <v>35142.315471907103</v>
      </c>
      <c r="BJ71" s="117">
        <v>37095.120270331303</v>
      </c>
      <c r="BK71" s="117">
        <v>39965.8403338731</v>
      </c>
      <c r="BL71" s="117">
        <v>38925.665107707915</v>
      </c>
    </row>
    <row r="72" spans="1:64" hidden="1">
      <c r="A72" s="117" t="s">
        <v>909</v>
      </c>
      <c r="B72" s="117" t="s">
        <v>910</v>
      </c>
      <c r="C72" s="117" t="s">
        <v>775</v>
      </c>
      <c r="D72" s="117" t="s">
        <v>776</v>
      </c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>
        <v>211.33172261484142</v>
      </c>
      <c r="AL72" s="117">
        <v>208.99994673322081</v>
      </c>
      <c r="AM72" s="117">
        <v>239.66873495594257</v>
      </c>
      <c r="AN72" s="117">
        <v>262.23112962305976</v>
      </c>
      <c r="AO72" s="117">
        <v>315.75111369458693</v>
      </c>
      <c r="AP72" s="117">
        <v>312.7262469894896</v>
      </c>
      <c r="AQ72" s="117">
        <v>337.8876643072752</v>
      </c>
      <c r="AR72" s="117">
        <v>307.9108725117012</v>
      </c>
      <c r="AS72" s="117">
        <v>308.13378356476989</v>
      </c>
      <c r="AT72" s="117">
        <v>316.82382001456261</v>
      </c>
      <c r="AU72" s="117">
        <v>293.95579089721423</v>
      </c>
      <c r="AV72" s="117">
        <v>334.58544290262074</v>
      </c>
      <c r="AW72" s="117">
        <v>407.7699765165749</v>
      </c>
      <c r="AX72" s="117">
        <v>388.5951226310479</v>
      </c>
      <c r="AY72" s="117">
        <v>415.03659944205316</v>
      </c>
      <c r="AZ72" s="117">
        <v>439.83269049893295</v>
      </c>
      <c r="BA72" s="117">
        <v>450.63284030614028</v>
      </c>
      <c r="BB72" s="117">
        <v>595.10998718541248</v>
      </c>
      <c r="BC72" s="117">
        <v>501.35563326624634</v>
      </c>
      <c r="BD72" s="117">
        <v>642.5076590636944</v>
      </c>
      <c r="BE72" s="117"/>
      <c r="BF72" s="117"/>
      <c r="BG72" s="117"/>
      <c r="BH72" s="117"/>
      <c r="BI72" s="117"/>
      <c r="BJ72" s="117"/>
      <c r="BK72" s="117"/>
      <c r="BL72" s="117"/>
    </row>
    <row r="73" spans="1:64" hidden="1">
      <c r="A73" s="117" t="s">
        <v>911</v>
      </c>
      <c r="B73" s="117" t="s">
        <v>912</v>
      </c>
      <c r="C73" s="117" t="s">
        <v>775</v>
      </c>
      <c r="D73" s="117" t="s">
        <v>776</v>
      </c>
      <c r="E73" s="117">
        <v>396.39225333761419</v>
      </c>
      <c r="F73" s="117">
        <v>450.05328924696846</v>
      </c>
      <c r="G73" s="117">
        <v>520.2061313800051</v>
      </c>
      <c r="H73" s="117">
        <v>609.48738405651261</v>
      </c>
      <c r="I73" s="117">
        <v>675.24163914120777</v>
      </c>
      <c r="J73" s="117">
        <v>774.76160933009623</v>
      </c>
      <c r="K73" s="117">
        <v>889.65987201152882</v>
      </c>
      <c r="L73" s="117">
        <v>968.30678176598303</v>
      </c>
      <c r="M73" s="117">
        <v>950.54574059373374</v>
      </c>
      <c r="N73" s="117">
        <v>1077.6786999459102</v>
      </c>
      <c r="O73" s="117">
        <v>1212.2893545119925</v>
      </c>
      <c r="P73" s="117">
        <v>1362.1655171416867</v>
      </c>
      <c r="Q73" s="117">
        <v>1708.8086437350883</v>
      </c>
      <c r="R73" s="117">
        <v>2247.5534095769099</v>
      </c>
      <c r="S73" s="117">
        <v>2749.9246308500024</v>
      </c>
      <c r="T73" s="117">
        <v>3209.8374207446855</v>
      </c>
      <c r="U73" s="117">
        <v>3279.312643087746</v>
      </c>
      <c r="V73" s="117">
        <v>3627.5906332425698</v>
      </c>
      <c r="W73" s="117">
        <v>4356.4392026517571</v>
      </c>
      <c r="X73" s="117">
        <v>5770.2146271953116</v>
      </c>
      <c r="Y73" s="117">
        <v>6208.5780190813957</v>
      </c>
      <c r="Z73" s="117">
        <v>5371.16642209158</v>
      </c>
      <c r="AA73" s="117">
        <v>5159.7086330407319</v>
      </c>
      <c r="AB73" s="117">
        <v>4478.5002886538714</v>
      </c>
      <c r="AC73" s="117">
        <v>4489.9889520489533</v>
      </c>
      <c r="AD73" s="117">
        <v>4699.6557738467518</v>
      </c>
      <c r="AE73" s="117">
        <v>6513.5032796309752</v>
      </c>
      <c r="AF73" s="117">
        <v>8239.6138155812969</v>
      </c>
      <c r="AG73" s="117">
        <v>9703.1238417940003</v>
      </c>
      <c r="AH73" s="117">
        <v>10681.971202925715</v>
      </c>
      <c r="AI73" s="117">
        <v>13804.87680379324</v>
      </c>
      <c r="AJ73" s="117">
        <v>14811.902811269272</v>
      </c>
      <c r="AK73" s="117">
        <v>16112.188927666943</v>
      </c>
      <c r="AL73" s="117">
        <v>13339.908566996397</v>
      </c>
      <c r="AM73" s="117">
        <v>13415.287013607989</v>
      </c>
      <c r="AN73" s="117">
        <v>15471.962716535027</v>
      </c>
      <c r="AO73" s="117">
        <v>16109.084398528403</v>
      </c>
      <c r="AP73" s="117">
        <v>14730.797175204621</v>
      </c>
      <c r="AQ73" s="117">
        <v>15394.351462824874</v>
      </c>
      <c r="AR73" s="117">
        <v>15715.332271327503</v>
      </c>
      <c r="AS73" s="117">
        <v>14713.065711151856</v>
      </c>
      <c r="AT73" s="117">
        <v>15355.703166343943</v>
      </c>
      <c r="AU73" s="117">
        <v>17025.531982869154</v>
      </c>
      <c r="AV73" s="117">
        <v>21463.442657744916</v>
      </c>
      <c r="AW73" s="117">
        <v>24861.28279644129</v>
      </c>
      <c r="AX73" s="117">
        <v>26419.296863822081</v>
      </c>
      <c r="AY73" s="117">
        <v>28365.313489634627</v>
      </c>
      <c r="AZ73" s="117">
        <v>32549.970978551264</v>
      </c>
      <c r="BA73" s="117">
        <v>35366.259601198326</v>
      </c>
      <c r="BB73" s="117">
        <v>32042.474078661719</v>
      </c>
      <c r="BC73" s="117">
        <v>30502.719708077631</v>
      </c>
      <c r="BD73" s="117">
        <v>31636.446314255838</v>
      </c>
      <c r="BE73" s="117">
        <v>28324.429336391786</v>
      </c>
      <c r="BF73" s="117">
        <v>29059.54795223214</v>
      </c>
      <c r="BG73" s="117">
        <v>29461.55033373892</v>
      </c>
      <c r="BH73" s="117">
        <v>25732.018364745443</v>
      </c>
      <c r="BI73" s="117">
        <v>26505.343215520417</v>
      </c>
      <c r="BJ73" s="117">
        <v>28170.4345659807</v>
      </c>
      <c r="BK73" s="117">
        <v>30337.679133163205</v>
      </c>
      <c r="BL73" s="117">
        <v>29613.671137978301</v>
      </c>
    </row>
    <row r="74" spans="1:64" hidden="1">
      <c r="A74" s="117" t="s">
        <v>913</v>
      </c>
      <c r="B74" s="117" t="s">
        <v>914</v>
      </c>
      <c r="C74" s="117" t="s">
        <v>775</v>
      </c>
      <c r="D74" s="117" t="s">
        <v>776</v>
      </c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>
        <v>2681.8201218785712</v>
      </c>
      <c r="AM74" s="117">
        <v>2814.8347344420886</v>
      </c>
      <c r="AN74" s="117">
        <v>3130.8070936471408</v>
      </c>
      <c r="AO74" s="117">
        <v>3376.7943725650193</v>
      </c>
      <c r="AP74" s="117">
        <v>3678.1582642306394</v>
      </c>
      <c r="AQ74" s="117">
        <v>4087.5033056688103</v>
      </c>
      <c r="AR74" s="117">
        <v>4144.6308173707175</v>
      </c>
      <c r="AS74" s="117">
        <v>4075.9706385107061</v>
      </c>
      <c r="AT74" s="117">
        <v>4509.1784599903012</v>
      </c>
      <c r="AU74" s="117">
        <v>5344.8777984536018</v>
      </c>
      <c r="AV74" s="117">
        <v>7206.1664801091219</v>
      </c>
      <c r="AW74" s="117">
        <v>8912.9921951693159</v>
      </c>
      <c r="AX74" s="117">
        <v>10406.39687591755</v>
      </c>
      <c r="AY74" s="117">
        <v>12631.567772361481</v>
      </c>
      <c r="AZ74" s="117">
        <v>16741.939124566808</v>
      </c>
      <c r="BA74" s="117">
        <v>18227.120078193897</v>
      </c>
      <c r="BB74" s="117">
        <v>14794.970792644883</v>
      </c>
      <c r="BC74" s="117">
        <v>14790.821222059361</v>
      </c>
      <c r="BD74" s="117">
        <v>17621.547439279482</v>
      </c>
      <c r="BE74" s="117">
        <v>17534.421544192308</v>
      </c>
      <c r="BF74" s="117">
        <v>19174.100729108035</v>
      </c>
      <c r="BG74" s="117">
        <v>20367.10265667989</v>
      </c>
      <c r="BH74" s="117">
        <v>17522.230186252022</v>
      </c>
      <c r="BI74" s="117">
        <v>18237.295843268254</v>
      </c>
      <c r="BJ74" s="117">
        <v>20388.209553033837</v>
      </c>
      <c r="BK74" s="117">
        <v>23258.467581430275</v>
      </c>
      <c r="BL74" s="117">
        <v>23659.872290033865</v>
      </c>
    </row>
    <row r="75" spans="1:64" hidden="1">
      <c r="A75" s="117" t="s">
        <v>915</v>
      </c>
      <c r="B75" s="117" t="s">
        <v>916</v>
      </c>
      <c r="C75" s="117" t="s">
        <v>775</v>
      </c>
      <c r="D75" s="117" t="s">
        <v>776</v>
      </c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>
        <v>203.55701729381576</v>
      </c>
      <c r="AA75" s="117">
        <v>208.34238006253324</v>
      </c>
      <c r="AB75" s="117">
        <v>224.62742966725509</v>
      </c>
      <c r="AC75" s="117">
        <v>205.62378244713435</v>
      </c>
      <c r="AD75" s="117">
        <v>233.21872476757835</v>
      </c>
      <c r="AE75" s="117">
        <v>234.6821931325004</v>
      </c>
      <c r="AF75" s="117">
        <v>242.96158515582695</v>
      </c>
      <c r="AG75" s="117">
        <v>243.7358685883984</v>
      </c>
      <c r="AH75" s="117">
        <v>248.02279392314293</v>
      </c>
      <c r="AI75" s="117">
        <v>254.24325689368328</v>
      </c>
      <c r="AJ75" s="117">
        <v>271.39441182654082</v>
      </c>
      <c r="AK75" s="117">
        <v>204.05020532133798</v>
      </c>
      <c r="AL75" s="117">
        <v>165.6931969520281</v>
      </c>
      <c r="AM75" s="117">
        <v>125.54956988194682</v>
      </c>
      <c r="AN75" s="117">
        <v>134.34295553662082</v>
      </c>
      <c r="AO75" s="117">
        <v>145.16690372713293</v>
      </c>
      <c r="AP75" s="117">
        <v>141.50861990176625</v>
      </c>
      <c r="AQ75" s="117">
        <v>125.07614107899231</v>
      </c>
      <c r="AR75" s="117">
        <v>119.68406704868094</v>
      </c>
      <c r="AS75" s="117">
        <v>124.46080027176242</v>
      </c>
      <c r="AT75" s="117">
        <v>120.76578195908348</v>
      </c>
      <c r="AU75" s="117">
        <v>111.92722352927898</v>
      </c>
      <c r="AV75" s="117">
        <v>119.4903909886719</v>
      </c>
      <c r="AW75" s="117">
        <v>136.46625555278254</v>
      </c>
      <c r="AX75" s="117">
        <v>162.43272650035217</v>
      </c>
      <c r="AY75" s="117">
        <v>194.68743045511766</v>
      </c>
      <c r="AZ75" s="117">
        <v>244.28603715272217</v>
      </c>
      <c r="BA75" s="117">
        <v>326.4368266989311</v>
      </c>
      <c r="BB75" s="117">
        <v>380.56904786288544</v>
      </c>
      <c r="BC75" s="117">
        <v>341.5541149051794</v>
      </c>
      <c r="BD75" s="117">
        <v>354.47957584134747</v>
      </c>
      <c r="BE75" s="117">
        <v>467.07792724171787</v>
      </c>
      <c r="BF75" s="117">
        <v>499.53157205990686</v>
      </c>
      <c r="BG75" s="117">
        <v>566.92646646198386</v>
      </c>
      <c r="BH75" s="117">
        <v>640.54189131368173</v>
      </c>
      <c r="BI75" s="117">
        <v>717.12459293328538</v>
      </c>
      <c r="BJ75" s="117">
        <v>768.52230757938594</v>
      </c>
      <c r="BK75" s="117">
        <v>771.52381386447553</v>
      </c>
      <c r="BL75" s="117">
        <v>857.50135104292212</v>
      </c>
    </row>
    <row r="76" spans="1:64" hidden="1">
      <c r="A76" s="117" t="s">
        <v>917</v>
      </c>
      <c r="B76" s="117" t="s">
        <v>918</v>
      </c>
      <c r="C76" s="117" t="s">
        <v>775</v>
      </c>
      <c r="D76" s="117" t="s">
        <v>776</v>
      </c>
      <c r="E76" s="117"/>
      <c r="F76" s="117"/>
      <c r="G76" s="117"/>
      <c r="H76" s="117"/>
      <c r="I76" s="117"/>
      <c r="J76" s="117"/>
      <c r="K76" s="117">
        <v>1339.5558766169506</v>
      </c>
      <c r="L76" s="117">
        <v>1444.7789096929721</v>
      </c>
      <c r="M76" s="117">
        <v>1536.6674607900095</v>
      </c>
      <c r="N76" s="117">
        <v>1701.2859469778559</v>
      </c>
      <c r="O76" s="117">
        <v>1879.612459461641</v>
      </c>
      <c r="P76" s="117">
        <v>2113.9509644255072</v>
      </c>
      <c r="Q76" s="117">
        <v>2533.8106794200849</v>
      </c>
      <c r="R76" s="117">
        <v>3258.7168283352125</v>
      </c>
      <c r="S76" s="117">
        <v>3667.5679263640827</v>
      </c>
      <c r="T76" s="117">
        <v>4246.2316441020748</v>
      </c>
      <c r="U76" s="117">
        <v>4421.1432981035996</v>
      </c>
      <c r="V76" s="117">
        <v>4983.4323666186629</v>
      </c>
      <c r="W76" s="117">
        <v>6043.9129021873305</v>
      </c>
      <c r="X76" s="117">
        <v>7274.1014879297345</v>
      </c>
      <c r="Y76" s="117">
        <v>8100.748758726525</v>
      </c>
      <c r="Z76" s="117">
        <v>7033.9785565482098</v>
      </c>
      <c r="AA76" s="117">
        <v>6761.1717085620212</v>
      </c>
      <c r="AB76" s="117">
        <v>6560.624390089898</v>
      </c>
      <c r="AC76" s="117">
        <v>6306.4034391123123</v>
      </c>
      <c r="AD76" s="117">
        <v>6470.7419052471487</v>
      </c>
      <c r="AE76" s="117">
        <v>9022.6347116745819</v>
      </c>
      <c r="AF76" s="117">
        <v>11127.833107736889</v>
      </c>
      <c r="AG76" s="117">
        <v>12176.882373589617</v>
      </c>
      <c r="AH76" s="117">
        <v>12396.736003020929</v>
      </c>
      <c r="AI76" s="117">
        <v>15459.358780454149</v>
      </c>
      <c r="AJ76" s="117">
        <v>15963.680013905641</v>
      </c>
      <c r="AK76" s="117">
        <v>17497.458186997999</v>
      </c>
      <c r="AL76" s="117">
        <v>15924.474755043086</v>
      </c>
      <c r="AM76" s="117">
        <v>16828.504833904884</v>
      </c>
      <c r="AN76" s="117">
        <v>19464.222489252006</v>
      </c>
      <c r="AO76" s="117">
        <v>19749.952377298236</v>
      </c>
      <c r="AP76" s="117">
        <v>18087.096482111578</v>
      </c>
      <c r="AQ76" s="117">
        <v>18613.616016201409</v>
      </c>
      <c r="AR76" s="117">
        <v>18475.651085545676</v>
      </c>
      <c r="AS76" s="117">
        <v>16908.723189058299</v>
      </c>
      <c r="AT76" s="117">
        <v>17183.62083995033</v>
      </c>
      <c r="AU76" s="117">
        <v>18680.559924774818</v>
      </c>
      <c r="AV76" s="117">
        <v>22920.893647508685</v>
      </c>
      <c r="AW76" s="117">
        <v>26262.067853835157</v>
      </c>
      <c r="AX76" s="117">
        <v>27330.993654149024</v>
      </c>
      <c r="AY76" s="117">
        <v>29068.604340590286</v>
      </c>
      <c r="AZ76" s="117">
        <v>33549.523441590703</v>
      </c>
      <c r="BA76" s="117">
        <v>36912.064939724347</v>
      </c>
      <c r="BB76" s="117">
        <v>33359.788990618472</v>
      </c>
      <c r="BC76" s="117">
        <v>32931.638122266719</v>
      </c>
      <c r="BD76" s="117">
        <v>35716.273662883992</v>
      </c>
      <c r="BE76" s="117">
        <v>33158.79140885191</v>
      </c>
      <c r="BF76" s="117">
        <v>34564.112505274228</v>
      </c>
      <c r="BG76" s="117">
        <v>35243.207371289638</v>
      </c>
      <c r="BH76" s="117">
        <v>30473.740256369925</v>
      </c>
      <c r="BI76" s="117">
        <v>31162.696393093651</v>
      </c>
      <c r="BJ76" s="117">
        <v>33029.987950352202</v>
      </c>
      <c r="BK76" s="117">
        <v>35659.757146910022</v>
      </c>
      <c r="BL76" s="117">
        <v>34843.297471632024</v>
      </c>
    </row>
    <row r="77" spans="1:64" hidden="1">
      <c r="A77" s="117" t="s">
        <v>919</v>
      </c>
      <c r="B77" s="117" t="s">
        <v>920</v>
      </c>
      <c r="C77" s="117" t="s">
        <v>775</v>
      </c>
      <c r="D77" s="117" t="s">
        <v>776</v>
      </c>
      <c r="E77" s="117">
        <v>96.733796223618441</v>
      </c>
      <c r="F77" s="117">
        <v>98.546780976079305</v>
      </c>
      <c r="G77" s="117">
        <v>106.23229940116005</v>
      </c>
      <c r="H77" s="117">
        <v>119.34436703101066</v>
      </c>
      <c r="I77" s="117">
        <v>102.64221047320596</v>
      </c>
      <c r="J77" s="117">
        <v>110.1013459614684</v>
      </c>
      <c r="K77" s="117">
        <v>114.56057191037421</v>
      </c>
      <c r="L77" s="117">
        <v>108.39836546043897</v>
      </c>
      <c r="M77" s="117">
        <v>111.69726009490122</v>
      </c>
      <c r="N77" s="117">
        <v>122.51674338339588</v>
      </c>
      <c r="O77" s="117">
        <v>145.36332598406912</v>
      </c>
      <c r="P77" s="117">
        <v>144.37790171302998</v>
      </c>
      <c r="Q77" s="117">
        <v>161.07857869469063</v>
      </c>
      <c r="R77" s="117">
        <v>192.30995826594639</v>
      </c>
      <c r="S77" s="117">
        <v>279.11449052222582</v>
      </c>
      <c r="T77" s="117">
        <v>305.11527289163064</v>
      </c>
      <c r="U77" s="117">
        <v>349.81785863710297</v>
      </c>
      <c r="V77" s="117">
        <v>372.91271082046916</v>
      </c>
      <c r="W77" s="117">
        <v>399.35677499942085</v>
      </c>
      <c r="X77" s="117">
        <v>488.49921662363249</v>
      </c>
      <c r="Y77" s="117">
        <v>594.00245983242064</v>
      </c>
      <c r="Z77" s="117">
        <v>809.23797598026908</v>
      </c>
      <c r="AA77" s="117">
        <v>754.5992228740954</v>
      </c>
      <c r="AB77" s="117">
        <v>620.31034021396238</v>
      </c>
      <c r="AC77" s="117">
        <v>543.61127008115898</v>
      </c>
      <c r="AD77" s="117">
        <v>541.97707892792164</v>
      </c>
      <c r="AE77" s="117">
        <v>496.43118586929489</v>
      </c>
      <c r="AF77" s="117">
        <v>486.98286883016334</v>
      </c>
      <c r="AG77" s="117">
        <v>503.21256374157991</v>
      </c>
      <c r="AH77" s="117">
        <v>449.58562770580062</v>
      </c>
      <c r="AI77" s="117">
        <v>686.39778621356265</v>
      </c>
      <c r="AJ77" s="117">
        <v>691.00306250461961</v>
      </c>
      <c r="AK77" s="117">
        <v>671.20341304017461</v>
      </c>
      <c r="AL77" s="117">
        <v>605.24650712324751</v>
      </c>
      <c r="AM77" s="117">
        <v>567.00216565132871</v>
      </c>
      <c r="AN77" s="117">
        <v>640.43408040658312</v>
      </c>
      <c r="AO77" s="117">
        <v>644.84539262141743</v>
      </c>
      <c r="AP77" s="117">
        <v>702.59324928528713</v>
      </c>
      <c r="AQ77" s="117">
        <v>689.9195914484178</v>
      </c>
      <c r="AR77" s="117">
        <v>729.57260092998035</v>
      </c>
      <c r="AS77" s="117">
        <v>834.24493298254697</v>
      </c>
      <c r="AT77" s="117">
        <v>805.52486550685478</v>
      </c>
      <c r="AU77" s="117">
        <v>753.13152624890927</v>
      </c>
      <c r="AV77" s="117">
        <v>782.18672035678503</v>
      </c>
      <c r="AW77" s="117">
        <v>949.61648035574228</v>
      </c>
      <c r="AX77" s="117">
        <v>1160.3262061890239</v>
      </c>
      <c r="AY77" s="117">
        <v>1410.0571928716804</v>
      </c>
      <c r="AZ77" s="117">
        <v>1675.5356237086926</v>
      </c>
      <c r="BA77" s="117">
        <v>2110.2325085426583</v>
      </c>
      <c r="BB77" s="117">
        <v>1939.755470028128</v>
      </c>
      <c r="BC77" s="117">
        <v>2282.1067276227955</v>
      </c>
      <c r="BD77" s="117">
        <v>2255.7335833596612</v>
      </c>
      <c r="BE77" s="117">
        <v>2534.4581435301093</v>
      </c>
      <c r="BF77" s="117">
        <v>2601.116603018706</v>
      </c>
      <c r="BG77" s="117">
        <v>2796.1989582329102</v>
      </c>
      <c r="BH77" s="117">
        <v>2409.6640167812379</v>
      </c>
      <c r="BI77" s="117">
        <v>2107.9388664668691</v>
      </c>
      <c r="BJ77" s="117">
        <v>2084.6721110740709</v>
      </c>
      <c r="BK77" s="117">
        <v>2206.3982652343948</v>
      </c>
      <c r="BL77" s="117"/>
    </row>
    <row r="78" spans="1:64" hidden="1">
      <c r="A78" s="117" t="s">
        <v>921</v>
      </c>
      <c r="B78" s="117" t="s">
        <v>922</v>
      </c>
      <c r="C78" s="117" t="s">
        <v>775</v>
      </c>
      <c r="D78" s="117" t="s">
        <v>776</v>
      </c>
      <c r="E78" s="117">
        <v>1179.3530109999399</v>
      </c>
      <c r="F78" s="117">
        <v>1327.427224365998</v>
      </c>
      <c r="G78" s="117">
        <v>1411.7023981804352</v>
      </c>
      <c r="H78" s="117">
        <v>1522.3192420995049</v>
      </c>
      <c r="I78" s="117">
        <v>1707.5039382470122</v>
      </c>
      <c r="J78" s="117">
        <v>1882.0868576484877</v>
      </c>
      <c r="K78" s="117">
        <v>2010.2134561972505</v>
      </c>
      <c r="L78" s="117">
        <v>2034.189049654778</v>
      </c>
      <c r="M78" s="117">
        <v>1907.0772721766712</v>
      </c>
      <c r="N78" s="117">
        <v>2178.0352504498242</v>
      </c>
      <c r="O78" s="117">
        <v>2465.6448800890121</v>
      </c>
      <c r="P78" s="117">
        <v>2716.1899998075401</v>
      </c>
      <c r="Q78" s="117">
        <v>3177.6455464111141</v>
      </c>
      <c r="R78" s="117">
        <v>4173.1729808029468</v>
      </c>
      <c r="S78" s="117">
        <v>5297.6077838049641</v>
      </c>
      <c r="T78" s="117">
        <v>6255.5447436813101</v>
      </c>
      <c r="U78" s="117">
        <v>6739.6908102139541</v>
      </c>
      <c r="V78" s="117">
        <v>7069.1057071185833</v>
      </c>
      <c r="W78" s="117">
        <v>7628.8158054032847</v>
      </c>
      <c r="X78" s="117">
        <v>9332.2451997628141</v>
      </c>
      <c r="Y78" s="117">
        <v>11223.93756352801</v>
      </c>
      <c r="Z78" s="117">
        <v>10926.817966565997</v>
      </c>
      <c r="AA78" s="117">
        <v>10938.122061410968</v>
      </c>
      <c r="AB78" s="117">
        <v>10497.479996566035</v>
      </c>
      <c r="AC78" s="117">
        <v>10833.866288693498</v>
      </c>
      <c r="AD78" s="117">
        <v>11398.105953150869</v>
      </c>
      <c r="AE78" s="117">
        <v>14951.046785288747</v>
      </c>
      <c r="AF78" s="117">
        <v>18571.059925357884</v>
      </c>
      <c r="AG78" s="117">
        <v>22047.793322259458</v>
      </c>
      <c r="AH78" s="117">
        <v>23973.239484004072</v>
      </c>
      <c r="AI78" s="117">
        <v>28364.645076592249</v>
      </c>
      <c r="AJ78" s="117">
        <v>25484.739293574614</v>
      </c>
      <c r="AK78" s="117">
        <v>22319.059460245957</v>
      </c>
      <c r="AL78" s="117">
        <v>17608.812390226405</v>
      </c>
      <c r="AM78" s="117">
        <v>20301.333085865972</v>
      </c>
      <c r="AN78" s="117">
        <v>26271.599814169102</v>
      </c>
      <c r="AO78" s="117">
        <v>25783.450487861108</v>
      </c>
      <c r="AP78" s="117">
        <v>24691.872813369799</v>
      </c>
      <c r="AQ78" s="117">
        <v>26009.269488618163</v>
      </c>
      <c r="AR78" s="117">
        <v>26177.347983644057</v>
      </c>
      <c r="AS78" s="117">
        <v>24285.466820516212</v>
      </c>
      <c r="AT78" s="117">
        <v>24946.18918914043</v>
      </c>
      <c r="AU78" s="117">
        <v>26869.674903629257</v>
      </c>
      <c r="AV78" s="117">
        <v>32855.132628780295</v>
      </c>
      <c r="AW78" s="117">
        <v>37702.845376264115</v>
      </c>
      <c r="AX78" s="117">
        <v>39040.288882505207</v>
      </c>
      <c r="AY78" s="117">
        <v>41188.093699730169</v>
      </c>
      <c r="AZ78" s="117">
        <v>48414.845092972217</v>
      </c>
      <c r="BA78" s="117">
        <v>53554.038922467298</v>
      </c>
      <c r="BB78" s="117">
        <v>47293.992833504235</v>
      </c>
      <c r="BC78" s="117">
        <v>46459.973254854252</v>
      </c>
      <c r="BD78" s="117">
        <v>51081.997670312718</v>
      </c>
      <c r="BE78" s="117">
        <v>47710.790216941481</v>
      </c>
      <c r="BF78" s="117">
        <v>49878.043244453642</v>
      </c>
      <c r="BG78" s="117">
        <v>50260.299858895785</v>
      </c>
      <c r="BH78" s="117">
        <v>42784.69836164319</v>
      </c>
      <c r="BI78" s="117">
        <v>43784.283962209796</v>
      </c>
      <c r="BJ78" s="117">
        <v>46316.745458832629</v>
      </c>
      <c r="BK78" s="117">
        <v>50021.291056770155</v>
      </c>
      <c r="BL78" s="117">
        <v>48685.853986694499</v>
      </c>
    </row>
    <row r="79" spans="1:64" hidden="1">
      <c r="A79" s="117" t="s">
        <v>923</v>
      </c>
      <c r="B79" s="117" t="s">
        <v>924</v>
      </c>
      <c r="C79" s="117" t="s">
        <v>775</v>
      </c>
      <c r="D79" s="117" t="s">
        <v>776</v>
      </c>
      <c r="E79" s="117">
        <v>285.47356063719462</v>
      </c>
      <c r="F79" s="117">
        <v>287.26352898039977</v>
      </c>
      <c r="G79" s="117">
        <v>291.47886345277379</v>
      </c>
      <c r="H79" s="117">
        <v>296.715117188676</v>
      </c>
      <c r="I79" s="117">
        <v>310.80951713342802</v>
      </c>
      <c r="J79" s="117">
        <v>317.01485885121861</v>
      </c>
      <c r="K79" s="117">
        <v>316.12649246407051</v>
      </c>
      <c r="L79" s="117">
        <v>333.26274150732053</v>
      </c>
      <c r="M79" s="117">
        <v>334.61525861828108</v>
      </c>
      <c r="N79" s="117">
        <v>357.42718853210522</v>
      </c>
      <c r="O79" s="117">
        <v>422.38673236533629</v>
      </c>
      <c r="P79" s="117">
        <v>466.0139526578713</v>
      </c>
      <c r="Q79" s="117">
        <v>583.31769157902261</v>
      </c>
      <c r="R79" s="117">
        <v>768.69545015019025</v>
      </c>
      <c r="S79" s="117">
        <v>987.92899180897973</v>
      </c>
      <c r="T79" s="117">
        <v>1186.6760791444558</v>
      </c>
      <c r="U79" s="117">
        <v>1182.1021819480272</v>
      </c>
      <c r="V79" s="117">
        <v>1202.6373853855989</v>
      </c>
      <c r="W79" s="117">
        <v>1360.7854007153451</v>
      </c>
      <c r="X79" s="117">
        <v>1640.5542721375512</v>
      </c>
      <c r="Y79" s="117">
        <v>1892.8917191424039</v>
      </c>
      <c r="Z79" s="117">
        <v>1898.4024112596508</v>
      </c>
      <c r="AA79" s="117">
        <v>1786.6993535874844</v>
      </c>
      <c r="AB79" s="117">
        <v>1638.3839408529166</v>
      </c>
      <c r="AC79" s="117">
        <v>1681.6930798232713</v>
      </c>
      <c r="AD79" s="117">
        <v>1603.3298792829612</v>
      </c>
      <c r="AE79" s="117">
        <v>1795.3779530808649</v>
      </c>
      <c r="AF79" s="117">
        <v>1631.9422762476354</v>
      </c>
      <c r="AG79" s="117">
        <v>1535.3864522391104</v>
      </c>
      <c r="AH79" s="117">
        <v>1632.2058659421061</v>
      </c>
      <c r="AI79" s="117">
        <v>1835.1280959176693</v>
      </c>
      <c r="AJ79" s="117">
        <v>1881.754117990994</v>
      </c>
      <c r="AK79" s="117">
        <v>2057.5780328604355</v>
      </c>
      <c r="AL79" s="117">
        <v>2166.2334780751921</v>
      </c>
      <c r="AM79" s="117">
        <v>2384.0957435422192</v>
      </c>
      <c r="AN79" s="117">
        <v>2540.9907095720682</v>
      </c>
      <c r="AO79" s="117">
        <v>2714.5649315845176</v>
      </c>
      <c r="AP79" s="117">
        <v>2641.4778655384489</v>
      </c>
      <c r="AQ79" s="117">
        <v>2070.5746241612542</v>
      </c>
      <c r="AR79" s="117">
        <v>2408.735920848183</v>
      </c>
      <c r="AS79" s="117">
        <v>2076.5687843164856</v>
      </c>
      <c r="AT79" s="117">
        <v>2039.6256972117728</v>
      </c>
      <c r="AU79" s="117">
        <v>2260.2583983847508</v>
      </c>
      <c r="AV79" s="117">
        <v>2837.8922462081123</v>
      </c>
      <c r="AW79" s="117">
        <v>3334.9316666979225</v>
      </c>
      <c r="AX79" s="117">
        <v>3659.579328708418</v>
      </c>
      <c r="AY79" s="117">
        <v>3747.8607160745478</v>
      </c>
      <c r="AZ79" s="117">
        <v>4072.101569843293</v>
      </c>
      <c r="BA79" s="117">
        <v>4167.6702847165425</v>
      </c>
      <c r="BB79" s="117">
        <v>3362.8165551403222</v>
      </c>
      <c r="BC79" s="117">
        <v>3652.5274371419264</v>
      </c>
      <c r="BD79" s="117">
        <v>4371.4575101241144</v>
      </c>
      <c r="BE79" s="117">
        <v>4591.5557840295587</v>
      </c>
      <c r="BF79" s="117">
        <v>4840.6937161580181</v>
      </c>
      <c r="BG79" s="117">
        <v>5605.5703308084703</v>
      </c>
      <c r="BH79" s="117">
        <v>5390.7452371174477</v>
      </c>
      <c r="BI79" s="117">
        <v>5651.3180663006642</v>
      </c>
      <c r="BJ79" s="117">
        <v>6101.0308425594567</v>
      </c>
      <c r="BK79" s="117">
        <v>6266.9679588141898</v>
      </c>
      <c r="BL79" s="117">
        <v>6220.0464208924695</v>
      </c>
    </row>
    <row r="80" spans="1:64" hidden="1">
      <c r="A80" s="117" t="s">
        <v>925</v>
      </c>
      <c r="B80" s="117" t="s">
        <v>926</v>
      </c>
      <c r="C80" s="117" t="s">
        <v>775</v>
      </c>
      <c r="D80" s="117" t="s">
        <v>776</v>
      </c>
      <c r="E80" s="117">
        <v>1334.6900558382463</v>
      </c>
      <c r="F80" s="117">
        <v>1428.0454867344599</v>
      </c>
      <c r="G80" s="117">
        <v>1578.2846036725819</v>
      </c>
      <c r="H80" s="117">
        <v>1744.6405897342422</v>
      </c>
      <c r="I80" s="117">
        <v>1909.5412323854259</v>
      </c>
      <c r="J80" s="117">
        <v>2038.1627339489798</v>
      </c>
      <c r="K80" s="117">
        <v>2186.4748524044608</v>
      </c>
      <c r="L80" s="117">
        <v>2343.1042257302092</v>
      </c>
      <c r="M80" s="117">
        <v>2536.0850645088994</v>
      </c>
      <c r="N80" s="117">
        <v>2752.0949541112032</v>
      </c>
      <c r="O80" s="117">
        <v>2857.2521764867311</v>
      </c>
      <c r="P80" s="117">
        <v>3169.0349918167512</v>
      </c>
      <c r="Q80" s="117">
        <v>3854.5567843395352</v>
      </c>
      <c r="R80" s="117">
        <v>4969.7639116187474</v>
      </c>
      <c r="S80" s="117">
        <v>5328.2417465000226</v>
      </c>
      <c r="T80" s="117">
        <v>6690.5782702439365</v>
      </c>
      <c r="U80" s="117">
        <v>6866.8182855784753</v>
      </c>
      <c r="V80" s="117">
        <v>7532.5279280869036</v>
      </c>
      <c r="W80" s="117">
        <v>9264.7778338533353</v>
      </c>
      <c r="X80" s="117">
        <v>11179.631273040761</v>
      </c>
      <c r="Y80" s="117">
        <v>12713.36124805647</v>
      </c>
      <c r="Z80" s="117">
        <v>11104.977732323518</v>
      </c>
      <c r="AA80" s="117">
        <v>10496.92987316562</v>
      </c>
      <c r="AB80" s="117">
        <v>9993.4220740896308</v>
      </c>
      <c r="AC80" s="117">
        <v>9419.6976482739865</v>
      </c>
      <c r="AD80" s="117">
        <v>9763.3286103425726</v>
      </c>
      <c r="AE80" s="117">
        <v>13540.247082415695</v>
      </c>
      <c r="AF80" s="117">
        <v>16302.441401124948</v>
      </c>
      <c r="AG80" s="117">
        <v>17679.996995809041</v>
      </c>
      <c r="AH80" s="117">
        <v>17694.305354173208</v>
      </c>
      <c r="AI80" s="117">
        <v>21793.842647983161</v>
      </c>
      <c r="AJ80" s="117">
        <v>21675.064248549337</v>
      </c>
      <c r="AK80" s="117">
        <v>23813.71184171506</v>
      </c>
      <c r="AL80" s="117">
        <v>22380.103961935467</v>
      </c>
      <c r="AM80" s="117">
        <v>23496.523322266625</v>
      </c>
      <c r="AN80" s="117">
        <v>26890.219880453453</v>
      </c>
      <c r="AO80" s="117">
        <v>26871.829018905424</v>
      </c>
      <c r="AP80" s="117">
        <v>24228.942350896392</v>
      </c>
      <c r="AQ80" s="117">
        <v>24974.272199000538</v>
      </c>
      <c r="AR80" s="117">
        <v>24673.198969174438</v>
      </c>
      <c r="AS80" s="117">
        <v>22364.029394340596</v>
      </c>
      <c r="AT80" s="117">
        <v>22433.555714194477</v>
      </c>
      <c r="AU80" s="117">
        <v>24177.335167464156</v>
      </c>
      <c r="AV80" s="117">
        <v>29568.385949667954</v>
      </c>
      <c r="AW80" s="117">
        <v>33741.26514691746</v>
      </c>
      <c r="AX80" s="117">
        <v>34760.187766386567</v>
      </c>
      <c r="AY80" s="117">
        <v>36443.623441441137</v>
      </c>
      <c r="AZ80" s="117">
        <v>41508.433985041571</v>
      </c>
      <c r="BA80" s="117">
        <v>45334.114435824602</v>
      </c>
      <c r="BB80" s="117">
        <v>41575.418748373733</v>
      </c>
      <c r="BC80" s="117">
        <v>40638.33400426001</v>
      </c>
      <c r="BD80" s="117">
        <v>43790.732048201884</v>
      </c>
      <c r="BE80" s="117">
        <v>40874.703505345686</v>
      </c>
      <c r="BF80" s="117">
        <v>42592.934094334167</v>
      </c>
      <c r="BG80" s="117">
        <v>43011.263102841702</v>
      </c>
      <c r="BH80" s="117">
        <v>36638.184929157011</v>
      </c>
      <c r="BI80" s="117">
        <v>37037.374186121946</v>
      </c>
      <c r="BJ80" s="117">
        <v>38812.161034168152</v>
      </c>
      <c r="BK80" s="117">
        <v>41631.090738904422</v>
      </c>
      <c r="BL80" s="117">
        <v>40493.928572045559</v>
      </c>
    </row>
    <row r="81" spans="1:64" hidden="1">
      <c r="A81" s="117" t="s">
        <v>927</v>
      </c>
      <c r="B81" s="117" t="s">
        <v>928</v>
      </c>
      <c r="C81" s="117" t="s">
        <v>775</v>
      </c>
      <c r="D81" s="117" t="s">
        <v>776</v>
      </c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>
        <v>24034.246808371681</v>
      </c>
      <c r="AR81" s="117">
        <v>24125.255876255185</v>
      </c>
      <c r="AS81" s="117">
        <v>22653.316046635224</v>
      </c>
      <c r="AT81" s="117">
        <v>24419.742440139165</v>
      </c>
      <c r="AU81" s="117">
        <v>26732.79047402236</v>
      </c>
      <c r="AV81" s="117">
        <v>31497.966921303094</v>
      </c>
      <c r="AW81" s="117">
        <v>35467.175469944283</v>
      </c>
      <c r="AX81" s="117">
        <v>36205.370539611227</v>
      </c>
      <c r="AY81" s="117">
        <v>41522.543857174052</v>
      </c>
      <c r="AZ81" s="117">
        <v>47885.698878682881</v>
      </c>
      <c r="BA81" s="117">
        <v>50866.081098221366</v>
      </c>
      <c r="BB81" s="117">
        <v>47447.870036607725</v>
      </c>
      <c r="BC81" s="117">
        <v>48530.2338492813</v>
      </c>
      <c r="BD81" s="117">
        <v>52083.889144836372</v>
      </c>
      <c r="BE81" s="117">
        <v>49459.717233837175</v>
      </c>
      <c r="BF81" s="117">
        <v>54853.625596787613</v>
      </c>
      <c r="BG81" s="117">
        <v>59440.030760600421</v>
      </c>
      <c r="BH81" s="117">
        <v>52404.659333137948</v>
      </c>
      <c r="BI81" s="117">
        <v>55822.914720343775</v>
      </c>
      <c r="BJ81" s="117">
        <v>58622.840815805976</v>
      </c>
      <c r="BK81" s="117"/>
      <c r="BL81" s="117"/>
    </row>
    <row r="82" spans="1:64" hidden="1">
      <c r="A82" s="117" t="s">
        <v>929</v>
      </c>
      <c r="B82" s="117" t="s">
        <v>930</v>
      </c>
      <c r="C82" s="117" t="s">
        <v>775</v>
      </c>
      <c r="D82" s="117" t="s">
        <v>776</v>
      </c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>
        <v>1320.8647012861377</v>
      </c>
      <c r="AC82" s="117"/>
      <c r="AD82" s="117"/>
      <c r="AE82" s="117">
        <v>1276.4916671406631</v>
      </c>
      <c r="AF82" s="117">
        <v>1296.9692928349948</v>
      </c>
      <c r="AG82" s="117">
        <v>1355.6558134478448</v>
      </c>
      <c r="AH82" s="117">
        <v>1437.4262415343887</v>
      </c>
      <c r="AI82" s="117">
        <v>1528.5407212801529</v>
      </c>
      <c r="AJ82" s="117">
        <v>1682.6971752556444</v>
      </c>
      <c r="AK82" s="117">
        <v>1756.6008146840386</v>
      </c>
      <c r="AL82" s="117">
        <v>1909.2527546552471</v>
      </c>
      <c r="AM82" s="117">
        <v>1909.8368386305763</v>
      </c>
      <c r="AN82" s="117">
        <v>2060.6096959889892</v>
      </c>
      <c r="AO82" s="117">
        <v>2017.4730661644558</v>
      </c>
      <c r="AP82" s="117">
        <v>1904.7409660766962</v>
      </c>
      <c r="AQ82" s="117">
        <v>2022.7071935531569</v>
      </c>
      <c r="AR82" s="117">
        <v>2042.479657824663</v>
      </c>
      <c r="AS82" s="117">
        <v>2171.9502430122343</v>
      </c>
      <c r="AT82" s="117">
        <v>2248.4291752586937</v>
      </c>
      <c r="AU82" s="117">
        <v>2265.8805942259178</v>
      </c>
      <c r="AV82" s="117">
        <v>2295.8896549143601</v>
      </c>
      <c r="AW82" s="117">
        <v>2253.0926143024617</v>
      </c>
      <c r="AX82" s="117">
        <v>2358.2800177142913</v>
      </c>
      <c r="AY82" s="117">
        <v>2406.1829156029648</v>
      </c>
      <c r="AZ82" s="117">
        <v>2458.6113132396304</v>
      </c>
      <c r="BA82" s="117">
        <v>2541.4088832658895</v>
      </c>
      <c r="BB82" s="117">
        <v>2721.8703568827386</v>
      </c>
      <c r="BC82" s="117">
        <v>2885.4456763611274</v>
      </c>
      <c r="BD82" s="117">
        <v>3009.1986466892217</v>
      </c>
      <c r="BE82" s="117">
        <v>3131.3867146383941</v>
      </c>
      <c r="BF82" s="117">
        <v>2994.6793044200667</v>
      </c>
      <c r="BG82" s="117">
        <v>2971.4572901736688</v>
      </c>
      <c r="BH82" s="117">
        <v>2906.3767849763535</v>
      </c>
      <c r="BI82" s="117">
        <v>3014.7003583904188</v>
      </c>
      <c r="BJ82" s="117">
        <v>3289.7011457127733</v>
      </c>
      <c r="BK82" s="117">
        <v>3568.291015625</v>
      </c>
      <c r="BL82" s="117"/>
    </row>
    <row r="83" spans="1:64" hidden="1">
      <c r="A83" s="117" t="s">
        <v>931</v>
      </c>
      <c r="B83" s="117" t="s">
        <v>932</v>
      </c>
      <c r="C83" s="117" t="s">
        <v>775</v>
      </c>
      <c r="D83" s="117" t="s">
        <v>776</v>
      </c>
      <c r="E83" s="117">
        <v>282.41379513624082</v>
      </c>
      <c r="F83" s="117">
        <v>331.43186795880513</v>
      </c>
      <c r="G83" s="117">
        <v>357.52236317355408</v>
      </c>
      <c r="H83" s="117">
        <v>298.46640953442562</v>
      </c>
      <c r="I83" s="117">
        <v>410.90095213814823</v>
      </c>
      <c r="J83" s="117">
        <v>424.61725845555941</v>
      </c>
      <c r="K83" s="117">
        <v>452.66866082123488</v>
      </c>
      <c r="L83" s="117">
        <v>490.0988527923281</v>
      </c>
      <c r="M83" s="117">
        <v>520.47766131989306</v>
      </c>
      <c r="N83" s="117">
        <v>550.72605202666159</v>
      </c>
      <c r="O83" s="117">
        <v>549.45661477757085</v>
      </c>
      <c r="P83" s="117">
        <v>635.49585683060877</v>
      </c>
      <c r="Q83" s="117">
        <v>703.78542190994335</v>
      </c>
      <c r="R83" s="117">
        <v>1160.3106355925936</v>
      </c>
      <c r="S83" s="117">
        <v>2432.8246814993304</v>
      </c>
      <c r="T83" s="117">
        <v>3332.00460917588</v>
      </c>
      <c r="U83" s="117">
        <v>4550.0466749490142</v>
      </c>
      <c r="V83" s="117">
        <v>4154.2747546075198</v>
      </c>
      <c r="W83" s="117">
        <v>3452.6205453848634</v>
      </c>
      <c r="X83" s="117">
        <v>4275.2573637810738</v>
      </c>
      <c r="Y83" s="117">
        <v>5892.1560697802606</v>
      </c>
      <c r="Z83" s="117">
        <v>5186.3701791426374</v>
      </c>
      <c r="AA83" s="117">
        <v>4736.0462927874078</v>
      </c>
      <c r="AB83" s="117">
        <v>4325.2702676431882</v>
      </c>
      <c r="AC83" s="117">
        <v>4423.5314982775844</v>
      </c>
      <c r="AD83" s="117">
        <v>4038.0636620281089</v>
      </c>
      <c r="AE83" s="117">
        <v>4004.0541164487804</v>
      </c>
      <c r="AF83" s="117">
        <v>3755.4880075179167</v>
      </c>
      <c r="AG83" s="117">
        <v>4267.8193441899175</v>
      </c>
      <c r="AH83" s="117">
        <v>4532.1658586472849</v>
      </c>
      <c r="AI83" s="117">
        <v>6268.9510197545251</v>
      </c>
      <c r="AJ83" s="117">
        <v>5537.0097213604968</v>
      </c>
      <c r="AK83" s="117">
        <v>5578.0051731848325</v>
      </c>
      <c r="AL83" s="117">
        <v>4252.0281857038026</v>
      </c>
      <c r="AM83" s="117">
        <v>3963.8680488903642</v>
      </c>
      <c r="AN83" s="117">
        <v>4570.5923671295086</v>
      </c>
      <c r="AO83" s="117">
        <v>5116.1460587586289</v>
      </c>
      <c r="AP83" s="117">
        <v>4667.168585463608</v>
      </c>
      <c r="AQ83" s="117">
        <v>3831.7806677081621</v>
      </c>
      <c r="AR83" s="117">
        <v>3888.898926991737</v>
      </c>
      <c r="AS83" s="117">
        <v>4125.7166635171261</v>
      </c>
      <c r="AT83" s="117">
        <v>3989.5566061345176</v>
      </c>
      <c r="AU83" s="117">
        <v>4121.9586447099664</v>
      </c>
      <c r="AV83" s="117">
        <v>4922.3765255980643</v>
      </c>
      <c r="AW83" s="117">
        <v>5729.2969577969834</v>
      </c>
      <c r="AX83" s="117">
        <v>6888.6271472703083</v>
      </c>
      <c r="AY83" s="117">
        <v>7214.9145435853861</v>
      </c>
      <c r="AZ83" s="117">
        <v>8447.0785912062001</v>
      </c>
      <c r="BA83" s="117">
        <v>10212.819432054217</v>
      </c>
      <c r="BB83" s="117">
        <v>7690.0522348723371</v>
      </c>
      <c r="BC83" s="117">
        <v>8849.3552997150673</v>
      </c>
      <c r="BD83" s="117">
        <v>10809.646450590924</v>
      </c>
      <c r="BE83" s="117">
        <v>9813.4777028243971</v>
      </c>
      <c r="BF83" s="117">
        <v>9683.5762902867355</v>
      </c>
      <c r="BG83" s="117">
        <v>9663.4292397764129</v>
      </c>
      <c r="BH83" s="117">
        <v>7384.7158700318269</v>
      </c>
      <c r="BI83" s="117">
        <v>6984.4510187339456</v>
      </c>
      <c r="BJ83" s="117">
        <v>7230.3963926842562</v>
      </c>
      <c r="BK83" s="117">
        <v>7956.6278155868604</v>
      </c>
      <c r="BL83" s="117">
        <v>7667.366861269139</v>
      </c>
    </row>
    <row r="84" spans="1:64" hidden="1">
      <c r="A84" s="117" t="s">
        <v>933</v>
      </c>
      <c r="B84" s="117" t="s">
        <v>934</v>
      </c>
      <c r="C84" s="117" t="s">
        <v>775</v>
      </c>
      <c r="D84" s="117" t="s">
        <v>776</v>
      </c>
      <c r="E84" s="117">
        <v>1397.5948032844049</v>
      </c>
      <c r="F84" s="117">
        <v>1472.3857140786822</v>
      </c>
      <c r="G84" s="117">
        <v>1525.775852710321</v>
      </c>
      <c r="H84" s="117">
        <v>1613.4568837339225</v>
      </c>
      <c r="I84" s="117">
        <v>1748.2881176141029</v>
      </c>
      <c r="J84" s="117">
        <v>1873.5677743542051</v>
      </c>
      <c r="K84" s="117">
        <v>1986.7471586968479</v>
      </c>
      <c r="L84" s="117">
        <v>2058.7818819805584</v>
      </c>
      <c r="M84" s="117">
        <v>1951.7585958753211</v>
      </c>
      <c r="N84" s="117">
        <v>2100.6678685867173</v>
      </c>
      <c r="O84" s="117">
        <v>2347.5443177374741</v>
      </c>
      <c r="P84" s="117">
        <v>2649.8015138722335</v>
      </c>
      <c r="Q84" s="117">
        <v>3030.4325141197723</v>
      </c>
      <c r="R84" s="117">
        <v>3426.2762205037789</v>
      </c>
      <c r="S84" s="117">
        <v>3665.8627976419029</v>
      </c>
      <c r="T84" s="117">
        <v>4299.7456179928358</v>
      </c>
      <c r="U84" s="117">
        <v>4138.1677876153472</v>
      </c>
      <c r="V84" s="117">
        <v>4681.4399317303796</v>
      </c>
      <c r="W84" s="117">
        <v>5976.9381689999063</v>
      </c>
      <c r="X84" s="117">
        <v>7804.7620805115466</v>
      </c>
      <c r="Y84" s="117">
        <v>10032.062080014974</v>
      </c>
      <c r="Z84" s="117">
        <v>9599.3062222196477</v>
      </c>
      <c r="AA84" s="117">
        <v>9146.0773570185174</v>
      </c>
      <c r="AB84" s="117">
        <v>8691.5188130651404</v>
      </c>
      <c r="AC84" s="117">
        <v>8179.1944406499106</v>
      </c>
      <c r="AD84" s="117">
        <v>8652.2165424759296</v>
      </c>
      <c r="AE84" s="117">
        <v>10611.112210095978</v>
      </c>
      <c r="AF84" s="117">
        <v>13118.586534629034</v>
      </c>
      <c r="AG84" s="117">
        <v>15987.168077568824</v>
      </c>
      <c r="AH84" s="117">
        <v>16239.282196094424</v>
      </c>
      <c r="AI84" s="117">
        <v>19095.466998460779</v>
      </c>
      <c r="AJ84" s="117">
        <v>19900.726650506862</v>
      </c>
      <c r="AK84" s="117">
        <v>20487.170785287846</v>
      </c>
      <c r="AL84" s="117">
        <v>18389.019567509866</v>
      </c>
      <c r="AM84" s="117">
        <v>19709.238098365302</v>
      </c>
      <c r="AN84" s="117">
        <v>23123.177790200942</v>
      </c>
      <c r="AO84" s="117">
        <v>24332.697766559428</v>
      </c>
      <c r="AP84" s="117">
        <v>26734.562611453708</v>
      </c>
      <c r="AQ84" s="117">
        <v>28214.274355868962</v>
      </c>
      <c r="AR84" s="117">
        <v>28669.539690800957</v>
      </c>
      <c r="AS84" s="117">
        <v>28149.870010789131</v>
      </c>
      <c r="AT84" s="117">
        <v>27744.506459246055</v>
      </c>
      <c r="AU84" s="117">
        <v>30056.586217930115</v>
      </c>
      <c r="AV84" s="117">
        <v>34419.147914595153</v>
      </c>
      <c r="AW84" s="117">
        <v>40290.313971011637</v>
      </c>
      <c r="AX84" s="117">
        <v>42030.286613813638</v>
      </c>
      <c r="AY84" s="117">
        <v>44599.697568569725</v>
      </c>
      <c r="AZ84" s="117">
        <v>50566.826595682833</v>
      </c>
      <c r="BA84" s="117">
        <v>47286.99849283669</v>
      </c>
      <c r="BB84" s="117">
        <v>38713.137428335336</v>
      </c>
      <c r="BC84" s="117">
        <v>39435.839901850508</v>
      </c>
      <c r="BD84" s="117">
        <v>42038.572250192992</v>
      </c>
      <c r="BE84" s="117">
        <v>42462.77156814497</v>
      </c>
      <c r="BF84" s="117">
        <v>43444.533001953991</v>
      </c>
      <c r="BG84" s="117">
        <v>47425.607680519439</v>
      </c>
      <c r="BH84" s="117">
        <v>44974.831877178156</v>
      </c>
      <c r="BI84" s="117">
        <v>41064.133431622271</v>
      </c>
      <c r="BJ84" s="117">
        <v>40361.417383215885</v>
      </c>
      <c r="BK84" s="117">
        <v>43043.227816455066</v>
      </c>
      <c r="BL84" s="117">
        <v>42300.267125825027</v>
      </c>
    </row>
    <row r="85" spans="1:64" hidden="1">
      <c r="A85" s="117" t="s">
        <v>935</v>
      </c>
      <c r="B85" s="117" t="s">
        <v>936</v>
      </c>
      <c r="C85" s="117" t="s">
        <v>775</v>
      </c>
      <c r="D85" s="117" t="s">
        <v>776</v>
      </c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>
        <v>1614.6401223991975</v>
      </c>
      <c r="AJ85" s="117">
        <v>1314.670670204044</v>
      </c>
      <c r="AK85" s="117">
        <v>757.22354850535771</v>
      </c>
      <c r="AL85" s="117">
        <v>550.01554260922444</v>
      </c>
      <c r="AM85" s="117">
        <v>519.81618707676205</v>
      </c>
      <c r="AN85" s="117">
        <v>578.33676332987761</v>
      </c>
      <c r="AO85" s="117">
        <v>689.03441365259732</v>
      </c>
      <c r="AP85" s="117">
        <v>807.03228575235244</v>
      </c>
      <c r="AQ85" s="117">
        <v>851.51574463587383</v>
      </c>
      <c r="AR85" s="117">
        <v>673.53789267519221</v>
      </c>
      <c r="AS85" s="117">
        <v>749.90852361159057</v>
      </c>
      <c r="AT85" s="117">
        <v>801.99041388837327</v>
      </c>
      <c r="AU85" s="117">
        <v>853.51645371331836</v>
      </c>
      <c r="AV85" s="117">
        <v>1010.0079801312991</v>
      </c>
      <c r="AW85" s="117">
        <v>1305.0474855720777</v>
      </c>
      <c r="AX85" s="117">
        <v>1642.7609375639529</v>
      </c>
      <c r="AY85" s="117">
        <v>1996.0571292766367</v>
      </c>
      <c r="AZ85" s="117">
        <v>2635.3538820296317</v>
      </c>
      <c r="BA85" s="117">
        <v>3324.7358790541143</v>
      </c>
      <c r="BB85" s="117">
        <v>2822.6674302335173</v>
      </c>
      <c r="BC85" s="117">
        <v>3233.2959434742097</v>
      </c>
      <c r="BD85" s="117">
        <v>4021.743306172858</v>
      </c>
      <c r="BE85" s="117">
        <v>4421.8182422801301</v>
      </c>
      <c r="BF85" s="117">
        <v>4623.7457247341945</v>
      </c>
      <c r="BG85" s="117">
        <v>4739.1883384642069</v>
      </c>
      <c r="BH85" s="117">
        <v>4014.1859441932947</v>
      </c>
      <c r="BI85" s="117">
        <v>4062.1698875737929</v>
      </c>
      <c r="BJ85" s="117">
        <v>4357.0009355462771</v>
      </c>
      <c r="BK85" s="117">
        <v>4722.7877832176646</v>
      </c>
      <c r="BL85" s="117">
        <v>4769.1865432635086</v>
      </c>
    </row>
    <row r="86" spans="1:64" hidden="1">
      <c r="A86" s="117" t="s">
        <v>937</v>
      </c>
      <c r="B86" s="117" t="s">
        <v>938</v>
      </c>
      <c r="C86" s="117" t="s">
        <v>775</v>
      </c>
      <c r="D86" s="117" t="s">
        <v>776</v>
      </c>
      <c r="E86" s="117">
        <v>183.44956215049177</v>
      </c>
      <c r="F86" s="117">
        <v>190.21877185476816</v>
      </c>
      <c r="G86" s="117">
        <v>195.49225952275825</v>
      </c>
      <c r="H86" s="117">
        <v>211.06479907917804</v>
      </c>
      <c r="I86" s="117">
        <v>230.08871836736554</v>
      </c>
      <c r="J86" s="117">
        <v>265.32334596719255</v>
      </c>
      <c r="K86" s="117">
        <v>267.74842725407973</v>
      </c>
      <c r="L86" s="117">
        <v>214.83214817906781</v>
      </c>
      <c r="M86" s="117">
        <v>200.30716617846892</v>
      </c>
      <c r="N86" s="117">
        <v>230.28730809292506</v>
      </c>
      <c r="O86" s="117">
        <v>253.56656381584523</v>
      </c>
      <c r="P86" s="117">
        <v>269.36832524036635</v>
      </c>
      <c r="Q86" s="117">
        <v>228.85995600922905</v>
      </c>
      <c r="R86" s="117">
        <v>259.70173428654954</v>
      </c>
      <c r="S86" s="117">
        <v>296.88984114726833</v>
      </c>
      <c r="T86" s="117">
        <v>281.40612646801048</v>
      </c>
      <c r="U86" s="117">
        <v>271.12555167880265</v>
      </c>
      <c r="V86" s="117">
        <v>306.80999454651624</v>
      </c>
      <c r="W86" s="117">
        <v>345.83455355739335</v>
      </c>
      <c r="X86" s="117">
        <v>372.06025851982832</v>
      </c>
      <c r="Y86" s="117">
        <v>402.06056229580389</v>
      </c>
      <c r="Z86" s="117">
        <v>372.07737791788037</v>
      </c>
      <c r="AA86" s="117">
        <v>345.64148122816488</v>
      </c>
      <c r="AB86" s="117">
        <v>337.1628998721522</v>
      </c>
      <c r="AC86" s="117">
        <v>355.66667500513694</v>
      </c>
      <c r="AD86" s="117">
        <v>352.35282462279713</v>
      </c>
      <c r="AE86" s="117">
        <v>435.0682537668124</v>
      </c>
      <c r="AF86" s="117">
        <v>374.47034150646516</v>
      </c>
      <c r="AG86" s="117">
        <v>372.68411317139254</v>
      </c>
      <c r="AH86" s="117">
        <v>365.88965718028123</v>
      </c>
      <c r="AI86" s="117">
        <v>398.63700013795187</v>
      </c>
      <c r="AJ86" s="117">
        <v>433.77306509747376</v>
      </c>
      <c r="AK86" s="117">
        <v>409.74662537306193</v>
      </c>
      <c r="AL86" s="117">
        <v>370.41924794458629</v>
      </c>
      <c r="AM86" s="117">
        <v>328.74458641415521</v>
      </c>
      <c r="AN86" s="117">
        <v>379.98800725064569</v>
      </c>
      <c r="AO86" s="117">
        <v>397.13593689470969</v>
      </c>
      <c r="AP86" s="117">
        <v>384.79615644046828</v>
      </c>
      <c r="AQ86" s="117">
        <v>407.52330361693754</v>
      </c>
      <c r="AR86" s="117">
        <v>410.33422967899332</v>
      </c>
      <c r="AS86" s="117">
        <v>258.47095948785989</v>
      </c>
      <c r="AT86" s="117">
        <v>269.01499838081696</v>
      </c>
      <c r="AU86" s="117">
        <v>304.564560762479</v>
      </c>
      <c r="AV86" s="117">
        <v>367.82152164833991</v>
      </c>
      <c r="AW86" s="117">
        <v>417.50816486176473</v>
      </c>
      <c r="AX86" s="117">
        <v>491.94637788410125</v>
      </c>
      <c r="AY86" s="117">
        <v>911.99867561652513</v>
      </c>
      <c r="AZ86" s="117">
        <v>1078.1605094223546</v>
      </c>
      <c r="BA86" s="117">
        <v>1210.6222572308395</v>
      </c>
      <c r="BB86" s="117">
        <v>1074.755380375864</v>
      </c>
      <c r="BC86" s="117">
        <v>1299.3449494603933</v>
      </c>
      <c r="BD86" s="117">
        <v>1549.462901929455</v>
      </c>
      <c r="BE86" s="117">
        <v>1587.5612371999687</v>
      </c>
      <c r="BF86" s="117">
        <v>2345.3929057488522</v>
      </c>
      <c r="BG86" s="117">
        <v>1971.0333467541088</v>
      </c>
      <c r="BH86" s="117">
        <v>1743.850996408702</v>
      </c>
      <c r="BI86" s="117">
        <v>1931.3894703694295</v>
      </c>
      <c r="BJ86" s="117">
        <v>2025.9324238675056</v>
      </c>
      <c r="BK86" s="117">
        <v>2202.3121644250382</v>
      </c>
      <c r="BL86" s="117">
        <v>2202.1155673806516</v>
      </c>
    </row>
    <row r="87" spans="1:64" hidden="1">
      <c r="A87" s="117" t="s">
        <v>939</v>
      </c>
      <c r="B87" s="117" t="s">
        <v>940</v>
      </c>
      <c r="C87" s="117" t="s">
        <v>775</v>
      </c>
      <c r="D87" s="117" t="s">
        <v>776</v>
      </c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</row>
    <row r="88" spans="1:64" hidden="1">
      <c r="A88" s="117" t="s">
        <v>941</v>
      </c>
      <c r="B88" s="117" t="s">
        <v>942</v>
      </c>
      <c r="C88" s="117" t="s">
        <v>775</v>
      </c>
      <c r="D88" s="117" t="s">
        <v>776</v>
      </c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>
        <v>341.52747217995363</v>
      </c>
      <c r="AF88" s="117">
        <v>351.90886652963206</v>
      </c>
      <c r="AG88" s="117">
        <v>398.54598301195915</v>
      </c>
      <c r="AH88" s="117">
        <v>394.33145338033211</v>
      </c>
      <c r="AI88" s="117">
        <v>419.78862983845113</v>
      </c>
      <c r="AJ88" s="117">
        <v>461.34945850925112</v>
      </c>
      <c r="AK88" s="117">
        <v>489.07187201172212</v>
      </c>
      <c r="AL88" s="117">
        <v>475.4218352341739</v>
      </c>
      <c r="AM88" s="117">
        <v>477.78046889690336</v>
      </c>
      <c r="AN88" s="117">
        <v>508.10782936670262</v>
      </c>
      <c r="AO88" s="117">
        <v>518.37423318584797</v>
      </c>
      <c r="AP88" s="117">
        <v>493.83340036242078</v>
      </c>
      <c r="AQ88" s="117">
        <v>456.49103530747908</v>
      </c>
      <c r="AR88" s="117">
        <v>429.71976804799823</v>
      </c>
      <c r="AS88" s="117">
        <v>363.48247899906767</v>
      </c>
      <c r="AT88" s="117">
        <v>336.63009188534483</v>
      </c>
      <c r="AU88" s="117">
        <v>343.53734186826665</v>
      </c>
      <c r="AV88" s="117">
        <v>393.73992929108476</v>
      </c>
      <c r="AW88" s="117">
        <v>410.76121611684437</v>
      </c>
      <c r="AX88" s="117">
        <v>322.41568160552674</v>
      </c>
      <c r="AY88" s="117">
        <v>453.40351845416319</v>
      </c>
      <c r="AZ88" s="117">
        <v>659.99272295454648</v>
      </c>
      <c r="BA88" s="117">
        <v>715.0968204110095</v>
      </c>
      <c r="BB88" s="117">
        <v>674.08555024505722</v>
      </c>
      <c r="BC88" s="117">
        <v>672.42440256244265</v>
      </c>
      <c r="BD88" s="117">
        <v>651.13536353304721</v>
      </c>
      <c r="BE88" s="117">
        <v>717.05073788558445</v>
      </c>
      <c r="BF88" s="117">
        <v>769.003943268326</v>
      </c>
      <c r="BG88" s="117">
        <v>787.23807021997027</v>
      </c>
      <c r="BH88" s="117">
        <v>769.25601374601581</v>
      </c>
      <c r="BI88" s="117">
        <v>732.96657072192022</v>
      </c>
      <c r="BJ88" s="117">
        <v>856.56526975046779</v>
      </c>
      <c r="BK88" s="117">
        <v>983.30949223934579</v>
      </c>
      <c r="BL88" s="117">
        <v>1064.1312373665644</v>
      </c>
    </row>
    <row r="89" spans="1:64" hidden="1">
      <c r="A89" s="117" t="s">
        <v>943</v>
      </c>
      <c r="B89" s="117" t="s">
        <v>944</v>
      </c>
      <c r="C89" s="117" t="s">
        <v>775</v>
      </c>
      <c r="D89" s="117" t="s">
        <v>776</v>
      </c>
      <c r="E89" s="117"/>
      <c r="F89" s="117"/>
      <c r="G89" s="117"/>
      <c r="H89" s="117"/>
      <c r="I89" s="117"/>
      <c r="J89" s="117"/>
      <c r="K89" s="117">
        <v>106.4132245241134</v>
      </c>
      <c r="L89" s="117">
        <v>109.4519199489189</v>
      </c>
      <c r="M89" s="117">
        <v>93.844908882376842</v>
      </c>
      <c r="N89" s="117">
        <v>100.10177271703704</v>
      </c>
      <c r="O89" s="117">
        <v>112.60919607542472</v>
      </c>
      <c r="P89" s="117">
        <v>116.55876183809569</v>
      </c>
      <c r="Q89" s="117">
        <v>120.14301640399323</v>
      </c>
      <c r="R89" s="117">
        <v>148.17348910752975</v>
      </c>
      <c r="S89" s="117">
        <v>183.08141496513264</v>
      </c>
      <c r="T89" s="117">
        <v>213.30926225629847</v>
      </c>
      <c r="U89" s="117">
        <v>201.12668133456305</v>
      </c>
      <c r="V89" s="117">
        <v>239.43227971108118</v>
      </c>
      <c r="W89" s="117">
        <v>288.05770884354757</v>
      </c>
      <c r="X89" s="117">
        <v>335.80597979478625</v>
      </c>
      <c r="Y89" s="117">
        <v>378.31655104964193</v>
      </c>
      <c r="Z89" s="117">
        <v>332.6816181543864</v>
      </c>
      <c r="AA89" s="117">
        <v>318.60692238582152</v>
      </c>
      <c r="AB89" s="117">
        <v>304.83700001151163</v>
      </c>
      <c r="AC89" s="117">
        <v>244.37132170136414</v>
      </c>
      <c r="AD89" s="117">
        <v>298.66199298361397</v>
      </c>
      <c r="AE89" s="117">
        <v>234.65450717285356</v>
      </c>
      <c r="AF89" s="117">
        <v>265.48781950055604</v>
      </c>
      <c r="AG89" s="117">
        <v>305.31221947806779</v>
      </c>
      <c r="AH89" s="117">
        <v>310.29798172233455</v>
      </c>
      <c r="AI89" s="117">
        <v>331.81843475680438</v>
      </c>
      <c r="AJ89" s="117">
        <v>695.40958742203986</v>
      </c>
      <c r="AK89" s="117">
        <v>695.1560480823274</v>
      </c>
      <c r="AL89" s="117">
        <v>711.72551006240565</v>
      </c>
      <c r="AM89" s="117">
        <v>682.21852125900364</v>
      </c>
      <c r="AN89" s="117">
        <v>696.45081850312829</v>
      </c>
      <c r="AO89" s="117">
        <v>728.66907188667358</v>
      </c>
      <c r="AP89" s="117">
        <v>669.39886560929131</v>
      </c>
      <c r="AQ89" s="117">
        <v>678.67563019206091</v>
      </c>
      <c r="AR89" s="117">
        <v>637.93157023091578</v>
      </c>
      <c r="AS89" s="117">
        <v>594.15164298866705</v>
      </c>
      <c r="AT89" s="117">
        <v>505.42014966136162</v>
      </c>
      <c r="AU89" s="117">
        <v>411.77248040377015</v>
      </c>
      <c r="AV89" s="117">
        <v>335.90621695050373</v>
      </c>
      <c r="AW89" s="117">
        <v>642.75492984272978</v>
      </c>
      <c r="AX89" s="117">
        <v>665.72194065367205</v>
      </c>
      <c r="AY89" s="117">
        <v>662.3624609769555</v>
      </c>
      <c r="AZ89" s="117">
        <v>780.38009914809663</v>
      </c>
      <c r="BA89" s="117">
        <v>924.51151643002675</v>
      </c>
      <c r="BB89" s="117">
        <v>833.28040272409578</v>
      </c>
      <c r="BC89" s="117">
        <v>860.63787368812541</v>
      </c>
      <c r="BD89" s="117">
        <v>762.76105413115909</v>
      </c>
      <c r="BE89" s="117">
        <v>742.78113779662669</v>
      </c>
      <c r="BF89" s="117">
        <v>700.51497196066816</v>
      </c>
      <c r="BG89" s="117">
        <v>607.4284041150039</v>
      </c>
      <c r="BH89" s="117">
        <v>649.51082941779339</v>
      </c>
      <c r="BI89" s="117">
        <v>683.9976538986889</v>
      </c>
      <c r="BJ89" s="117">
        <v>676.65592455212493</v>
      </c>
      <c r="BK89" s="117">
        <v>712.51237107925601</v>
      </c>
      <c r="BL89" s="117">
        <v>751.29468838874197</v>
      </c>
    </row>
    <row r="90" spans="1:64" hidden="1">
      <c r="A90" s="117" t="s">
        <v>945</v>
      </c>
      <c r="B90" s="117" t="s">
        <v>946</v>
      </c>
      <c r="C90" s="117" t="s">
        <v>775</v>
      </c>
      <c r="D90" s="117" t="s">
        <v>776</v>
      </c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>
        <v>111.68852176030153</v>
      </c>
      <c r="P90" s="117">
        <v>109.33183892462198</v>
      </c>
      <c r="Q90" s="117">
        <v>119.72706463164172</v>
      </c>
      <c r="R90" s="117">
        <v>119.77683096029421</v>
      </c>
      <c r="S90" s="117">
        <v>130.36652827913909</v>
      </c>
      <c r="T90" s="117">
        <v>142.28107734632482</v>
      </c>
      <c r="U90" s="117">
        <v>145.8767206575061</v>
      </c>
      <c r="V90" s="117">
        <v>148.97718679470381</v>
      </c>
      <c r="W90" s="117">
        <v>158.86567339896726</v>
      </c>
      <c r="X90" s="117">
        <v>153.00619203827364</v>
      </c>
      <c r="Y90" s="117">
        <v>141.5595325469522</v>
      </c>
      <c r="Z90" s="117">
        <v>194.92416244897328</v>
      </c>
      <c r="AA90" s="117">
        <v>204.24804203295588</v>
      </c>
      <c r="AB90" s="117">
        <v>197.03223211357411</v>
      </c>
      <c r="AC90" s="117">
        <v>162.67215407060564</v>
      </c>
      <c r="AD90" s="117">
        <v>164.94193531168801</v>
      </c>
      <c r="AE90" s="117">
        <v>145.90678857344804</v>
      </c>
      <c r="AF90" s="117">
        <v>190.45258855143584</v>
      </c>
      <c r="AG90" s="117">
        <v>176.25958052845874</v>
      </c>
      <c r="AH90" s="117">
        <v>223.46954407502315</v>
      </c>
      <c r="AI90" s="117">
        <v>250.15046793605487</v>
      </c>
      <c r="AJ90" s="117">
        <v>257.78917564696468</v>
      </c>
      <c r="AK90" s="117">
        <v>221.79981746369972</v>
      </c>
      <c r="AL90" s="117">
        <v>227.02281017036015</v>
      </c>
      <c r="AM90" s="117">
        <v>220.96021694733906</v>
      </c>
      <c r="AN90" s="117">
        <v>233.24240189979332</v>
      </c>
      <c r="AO90" s="117">
        <v>243.43873419146482</v>
      </c>
      <c r="AP90" s="117">
        <v>237.12903040078885</v>
      </c>
      <c r="AQ90" s="117">
        <v>178.84851966802961</v>
      </c>
      <c r="AR90" s="117">
        <v>190.67263014953139</v>
      </c>
      <c r="AS90" s="117">
        <v>308.14411929370885</v>
      </c>
      <c r="AT90" s="117">
        <v>319.67749175694416</v>
      </c>
      <c r="AU90" s="117">
        <v>331.49387182994576</v>
      </c>
      <c r="AV90" s="117">
        <v>371.21982742935808</v>
      </c>
      <c r="AW90" s="117">
        <v>404.34913662623165</v>
      </c>
      <c r="AX90" s="117">
        <v>436.30201974541467</v>
      </c>
      <c r="AY90" s="117">
        <v>429.62226588858255</v>
      </c>
      <c r="AZ90" s="117">
        <v>493.07049687939269</v>
      </c>
      <c r="BA90" s="117">
        <v>597.57639265810531</v>
      </c>
      <c r="BB90" s="117">
        <v>557.17161477348384</v>
      </c>
      <c r="BC90" s="117">
        <v>557.63213262612589</v>
      </c>
      <c r="BD90" s="117">
        <v>702.74288043638569</v>
      </c>
      <c r="BE90" s="117">
        <v>616.41168624954844</v>
      </c>
      <c r="BF90" s="117">
        <v>634.4824459930602</v>
      </c>
      <c r="BG90" s="117">
        <v>622.48171672521676</v>
      </c>
      <c r="BH90" s="117">
        <v>603.1585129424044</v>
      </c>
      <c r="BI90" s="117">
        <v>661.00765490618062</v>
      </c>
      <c r="BJ90" s="117">
        <v>736.72556623178343</v>
      </c>
      <c r="BK90" s="117">
        <v>777.96992178671076</v>
      </c>
      <c r="BL90" s="117">
        <v>697.78440288571539</v>
      </c>
    </row>
    <row r="91" spans="1:64" hidden="1">
      <c r="A91" s="117" t="s">
        <v>947</v>
      </c>
      <c r="B91" s="117" t="s">
        <v>948</v>
      </c>
      <c r="C91" s="117" t="s">
        <v>775</v>
      </c>
      <c r="D91" s="117" t="s">
        <v>776</v>
      </c>
      <c r="E91" s="117"/>
      <c r="F91" s="117"/>
      <c r="G91" s="117">
        <v>34.790581358267147</v>
      </c>
      <c r="H91" s="117">
        <v>40.752237324680188</v>
      </c>
      <c r="I91" s="117">
        <v>46.975705222938224</v>
      </c>
      <c r="J91" s="117">
        <v>234.34069248401497</v>
      </c>
      <c r="K91" s="117">
        <v>243.76909130670961</v>
      </c>
      <c r="L91" s="117">
        <v>247.84073111730791</v>
      </c>
      <c r="M91" s="117">
        <v>225.48882551621244</v>
      </c>
      <c r="N91" s="117">
        <v>221.13721804511277</v>
      </c>
      <c r="O91" s="117">
        <v>218.20840895654538</v>
      </c>
      <c r="P91" s="117">
        <v>217.32582921236354</v>
      </c>
      <c r="Q91" s="117">
        <v>226.00681254540731</v>
      </c>
      <c r="R91" s="117">
        <v>292.4703648308801</v>
      </c>
      <c r="S91" s="117">
        <v>354.28945485914221</v>
      </c>
      <c r="T91" s="117">
        <v>407.72339088521096</v>
      </c>
      <c r="U91" s="117">
        <v>418.01989796004983</v>
      </c>
      <c r="V91" s="117">
        <v>429.42367761206572</v>
      </c>
      <c r="W91" s="117"/>
      <c r="X91" s="117"/>
      <c r="Y91" s="117">
        <v>202.6290697508106</v>
      </c>
      <c r="Z91" s="117">
        <v>138.93734953396094</v>
      </c>
      <c r="AA91" s="117">
        <v>155.62185199549933</v>
      </c>
      <c r="AB91" s="117">
        <v>144.19724777467007</v>
      </c>
      <c r="AC91" s="117">
        <v>151.77382252729223</v>
      </c>
      <c r="AD91" s="117">
        <v>176.41405679216194</v>
      </c>
      <c r="AE91" s="117">
        <v>207.05321011236805</v>
      </c>
      <c r="AF91" s="117">
        <v>243.73493130738146</v>
      </c>
      <c r="AG91" s="117">
        <v>254.5432670439024</v>
      </c>
      <c r="AH91" s="117">
        <v>217.07238843234555</v>
      </c>
      <c r="AI91" s="117">
        <v>267.46807291318191</v>
      </c>
      <c r="AJ91" s="117">
        <v>256.22100822929514</v>
      </c>
      <c r="AK91" s="117">
        <v>301.1791290988831</v>
      </c>
      <c r="AL91" s="117">
        <v>294.07050485753979</v>
      </c>
      <c r="AM91" s="117">
        <v>210.40998253786404</v>
      </c>
      <c r="AN91" s="117">
        <v>285.55254818509849</v>
      </c>
      <c r="AO91" s="117">
        <v>450.63814000453442</v>
      </c>
      <c r="AP91" s="117">
        <v>824.54954605073465</v>
      </c>
      <c r="AQ91" s="117">
        <v>663.72950501945536</v>
      </c>
      <c r="AR91" s="117">
        <v>1067.6347794979163</v>
      </c>
      <c r="AS91" s="117">
        <v>1725.5547376752418</v>
      </c>
      <c r="AT91" s="117">
        <v>2313.1512888607881</v>
      </c>
      <c r="AU91" s="117">
        <v>2744.2081555340228</v>
      </c>
      <c r="AV91" s="117">
        <v>3618.576094120689</v>
      </c>
      <c r="AW91" s="117">
        <v>6152.1312376017331</v>
      </c>
      <c r="AX91" s="117">
        <v>10963.289362941343</v>
      </c>
      <c r="AY91" s="117">
        <v>12857.336046149923</v>
      </c>
      <c r="AZ91" s="117">
        <v>15908.391831363164</v>
      </c>
      <c r="BA91" s="117">
        <v>22942.583449096652</v>
      </c>
      <c r="BB91" s="117">
        <v>16667.936824706667</v>
      </c>
      <c r="BC91" s="117">
        <v>17288.859599219304</v>
      </c>
      <c r="BD91" s="117">
        <v>21641.870519212713</v>
      </c>
      <c r="BE91" s="117">
        <v>21711.153229854204</v>
      </c>
      <c r="BF91" s="117">
        <v>20390.719315302264</v>
      </c>
      <c r="BG91" s="117">
        <v>19394.029992997232</v>
      </c>
      <c r="BH91" s="117">
        <v>11283.465606119971</v>
      </c>
      <c r="BI91" s="117">
        <v>9250.3319530822555</v>
      </c>
      <c r="BJ91" s="117">
        <v>9667.9122517304622</v>
      </c>
      <c r="BK91" s="117">
        <v>10144.195810845564</v>
      </c>
      <c r="BL91" s="117">
        <v>8131.9238881091151</v>
      </c>
    </row>
    <row r="92" spans="1:64" hidden="1">
      <c r="A92" s="117" t="s">
        <v>949</v>
      </c>
      <c r="B92" s="117" t="s">
        <v>950</v>
      </c>
      <c r="C92" s="117" t="s">
        <v>775</v>
      </c>
      <c r="D92" s="117" t="s">
        <v>776</v>
      </c>
      <c r="E92" s="117">
        <v>520.32274431038252</v>
      </c>
      <c r="F92" s="117">
        <v>590.78005481239313</v>
      </c>
      <c r="G92" s="117">
        <v>617.05775769051877</v>
      </c>
      <c r="H92" s="117">
        <v>695.22862438987818</v>
      </c>
      <c r="I92" s="117">
        <v>783.70588099827853</v>
      </c>
      <c r="J92" s="117">
        <v>899.2812389129947</v>
      </c>
      <c r="K92" s="117">
        <v>997.43046747555593</v>
      </c>
      <c r="L92" s="117">
        <v>1068.1145562270262</v>
      </c>
      <c r="M92" s="117">
        <v>1154.4385305561284</v>
      </c>
      <c r="N92" s="117">
        <v>1324.0589888476102</v>
      </c>
      <c r="O92" s="117">
        <v>1494.3878552534879</v>
      </c>
      <c r="P92" s="117">
        <v>1652.3265992594959</v>
      </c>
      <c r="Q92" s="117">
        <v>1899.675272514703</v>
      </c>
      <c r="R92" s="117">
        <v>2502.81435849334</v>
      </c>
      <c r="S92" s="117">
        <v>2828.7484321973529</v>
      </c>
      <c r="T92" s="117">
        <v>3153.2353057471651</v>
      </c>
      <c r="U92" s="117">
        <v>3390.5454835929568</v>
      </c>
      <c r="V92" s="117">
        <v>3886.3742527091495</v>
      </c>
      <c r="W92" s="117">
        <v>4694.6336833478144</v>
      </c>
      <c r="X92" s="117">
        <v>5705.9492741993145</v>
      </c>
      <c r="Y92" s="117">
        <v>5893.6618097916071</v>
      </c>
      <c r="Z92" s="117">
        <v>5380.2676828435406</v>
      </c>
      <c r="AA92" s="117">
        <v>5579.234771589824</v>
      </c>
      <c r="AB92" s="117">
        <v>5019.8786526613194</v>
      </c>
      <c r="AC92" s="117">
        <v>4852.565728473297</v>
      </c>
      <c r="AD92" s="117">
        <v>4813.7111799106851</v>
      </c>
      <c r="AE92" s="117">
        <v>5656.5053560680972</v>
      </c>
      <c r="AF92" s="117">
        <v>6564.884502608129</v>
      </c>
      <c r="AG92" s="117">
        <v>7598.0280533499363</v>
      </c>
      <c r="AH92" s="117">
        <v>7846.67816401445</v>
      </c>
      <c r="AI92" s="117">
        <v>9600.1851296596851</v>
      </c>
      <c r="AJ92" s="117">
        <v>10188.36978012384</v>
      </c>
      <c r="AK92" s="117">
        <v>11176.458436251656</v>
      </c>
      <c r="AL92" s="117">
        <v>10401.982986191446</v>
      </c>
      <c r="AM92" s="117">
        <v>11091.283860637564</v>
      </c>
      <c r="AN92" s="117">
        <v>12959.324318661924</v>
      </c>
      <c r="AO92" s="117">
        <v>13749.115152099628</v>
      </c>
      <c r="AP92" s="117">
        <v>13427.832493794536</v>
      </c>
      <c r="AQ92" s="117">
        <v>13472.137641527637</v>
      </c>
      <c r="AR92" s="117">
        <v>13245.189463412054</v>
      </c>
      <c r="AS92" s="117">
        <v>12042.953731099451</v>
      </c>
      <c r="AT92" s="117">
        <v>12538.178827836149</v>
      </c>
      <c r="AU92" s="117">
        <v>14110.313391107757</v>
      </c>
      <c r="AV92" s="117">
        <v>18477.578411926999</v>
      </c>
      <c r="AW92" s="117">
        <v>21955.104091159461</v>
      </c>
      <c r="AX92" s="117">
        <v>22551.735744099024</v>
      </c>
      <c r="AY92" s="117">
        <v>24801.15780650351</v>
      </c>
      <c r="AZ92" s="117">
        <v>28827.326355522353</v>
      </c>
      <c r="BA92" s="117">
        <v>31997.282010881332</v>
      </c>
      <c r="BB92" s="117">
        <v>29710.970295028441</v>
      </c>
      <c r="BC92" s="117">
        <v>26917.758978725371</v>
      </c>
      <c r="BD92" s="117">
        <v>25916.293528935083</v>
      </c>
      <c r="BE92" s="117">
        <v>22242.681934770993</v>
      </c>
      <c r="BF92" s="117">
        <v>21874.819504166666</v>
      </c>
      <c r="BG92" s="117">
        <v>21760.979799491834</v>
      </c>
      <c r="BH92" s="117">
        <v>18167.773716916243</v>
      </c>
      <c r="BI92" s="117">
        <v>18116.45962233355</v>
      </c>
      <c r="BJ92" s="117">
        <v>18930.218585643317</v>
      </c>
      <c r="BK92" s="117">
        <v>20324.305013787533</v>
      </c>
      <c r="BL92" s="117">
        <v>19582.536010832937</v>
      </c>
    </row>
    <row r="93" spans="1:64" hidden="1">
      <c r="A93" s="117" t="s">
        <v>951</v>
      </c>
      <c r="B93" s="117" t="s">
        <v>952</v>
      </c>
      <c r="C93" s="117" t="s">
        <v>775</v>
      </c>
      <c r="D93" s="117" t="s">
        <v>776</v>
      </c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>
        <v>792.38470951250929</v>
      </c>
      <c r="W93" s="117">
        <v>991.26144820255979</v>
      </c>
      <c r="X93" s="117">
        <v>1153.9995736142462</v>
      </c>
      <c r="Y93" s="117">
        <v>1245.6246859223315</v>
      </c>
      <c r="Z93" s="117">
        <v>1276.4126269370895</v>
      </c>
      <c r="AA93" s="117">
        <v>1347.0027490818495</v>
      </c>
      <c r="AB93" s="117">
        <v>1372.6819923371645</v>
      </c>
      <c r="AC93" s="117">
        <v>1477.8406200507804</v>
      </c>
      <c r="AD93" s="117">
        <v>1678.1907748702815</v>
      </c>
      <c r="AE93" s="117">
        <v>1872.3190964517032</v>
      </c>
      <c r="AF93" s="117">
        <v>2162.2910176357618</v>
      </c>
      <c r="AG93" s="117">
        <v>2408.8618396219294</v>
      </c>
      <c r="AH93" s="117">
        <v>2758.1160726158869</v>
      </c>
      <c r="AI93" s="117">
        <v>2886.9082949721578</v>
      </c>
      <c r="AJ93" s="117">
        <v>3117.954477388439</v>
      </c>
      <c r="AK93" s="117">
        <v>3192.1004934332777</v>
      </c>
      <c r="AL93" s="117">
        <v>3153.946708593965</v>
      </c>
      <c r="AM93" s="117">
        <v>3272.3227998914454</v>
      </c>
      <c r="AN93" s="117">
        <v>3411.8989163062233</v>
      </c>
      <c r="AO93" s="117">
        <v>3632.7506108300349</v>
      </c>
      <c r="AP93" s="117">
        <v>3861.397822054334</v>
      </c>
      <c r="AQ93" s="117">
        <v>4370.7039981238422</v>
      </c>
      <c r="AR93" s="117">
        <v>4705.652241197773</v>
      </c>
      <c r="AS93" s="117">
        <v>5057.1739652676697</v>
      </c>
      <c r="AT93" s="117">
        <v>5040.6704683356265</v>
      </c>
      <c r="AU93" s="117">
        <v>5213.8962688492757</v>
      </c>
      <c r="AV93" s="117">
        <v>5682.5961002587128</v>
      </c>
      <c r="AW93" s="117">
        <v>5741.5986333348592</v>
      </c>
      <c r="AX93" s="117">
        <v>6644.0249595961841</v>
      </c>
      <c r="AY93" s="117">
        <v>6658.5408466990048</v>
      </c>
      <c r="AZ93" s="117">
        <v>7212.5068218708302</v>
      </c>
      <c r="BA93" s="117">
        <v>7832.4233522704917</v>
      </c>
      <c r="BB93" s="117">
        <v>7290.6971004126653</v>
      </c>
      <c r="BC93" s="117">
        <v>7257.756622323187</v>
      </c>
      <c r="BD93" s="117">
        <v>7291.0588966433752</v>
      </c>
      <c r="BE93" s="117">
        <v>7444.5047675972974</v>
      </c>
      <c r="BF93" s="117">
        <v>7789.7763807997717</v>
      </c>
      <c r="BG93" s="117">
        <v>8369.8867551322055</v>
      </c>
      <c r="BH93" s="117">
        <v>9096.8706459541227</v>
      </c>
      <c r="BI93" s="117">
        <v>9628.3474866201304</v>
      </c>
      <c r="BJ93" s="117">
        <v>10152.832811887234</v>
      </c>
      <c r="BK93" s="117">
        <v>10485.907157179608</v>
      </c>
      <c r="BL93" s="117">
        <v>10965.5131592044</v>
      </c>
    </row>
    <row r="94" spans="1:64" hidden="1">
      <c r="A94" s="117" t="s">
        <v>953</v>
      </c>
      <c r="B94" s="117" t="s">
        <v>954</v>
      </c>
      <c r="C94" s="117" t="s">
        <v>775</v>
      </c>
      <c r="D94" s="117" t="s">
        <v>776</v>
      </c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>
        <v>1498.2764367816094</v>
      </c>
      <c r="P94" s="117">
        <v>1876.5032387468736</v>
      </c>
      <c r="Q94" s="117">
        <v>2196.7117113453401</v>
      </c>
      <c r="R94" s="117">
        <v>2860.2805764011528</v>
      </c>
      <c r="S94" s="117">
        <v>3432.7060329127626</v>
      </c>
      <c r="T94" s="117">
        <v>4257.9497117540031</v>
      </c>
      <c r="U94" s="117">
        <v>4844.6763292742389</v>
      </c>
      <c r="V94" s="117">
        <v>5713.954919049921</v>
      </c>
      <c r="W94" s="117">
        <v>7235.5497409832105</v>
      </c>
      <c r="X94" s="117">
        <v>8480.6948268144788</v>
      </c>
      <c r="Y94" s="117">
        <v>9483.1730760734281</v>
      </c>
      <c r="Z94" s="117">
        <v>8544.0583286126293</v>
      </c>
      <c r="AA94" s="117">
        <v>7813.6906673353242</v>
      </c>
      <c r="AB94" s="117">
        <v>7988.1709586119987</v>
      </c>
      <c r="AC94" s="117">
        <v>7198.7022474938385</v>
      </c>
      <c r="AD94" s="117">
        <v>7760.8284044829525</v>
      </c>
      <c r="AE94" s="117">
        <v>11271.321429025213</v>
      </c>
      <c r="AF94" s="117">
        <v>14554.387538482586</v>
      </c>
      <c r="AG94" s="117">
        <v>16398.011093936289</v>
      </c>
      <c r="AH94" s="117">
        <v>16813.683949148217</v>
      </c>
      <c r="AI94" s="117">
        <v>18326.805123460934</v>
      </c>
      <c r="AJ94" s="117">
        <v>18315.196303158471</v>
      </c>
      <c r="AK94" s="117">
        <v>18768.930143719674</v>
      </c>
      <c r="AL94" s="117">
        <v>16797.45885628416</v>
      </c>
      <c r="AM94" s="117">
        <v>18123.963034820499</v>
      </c>
      <c r="AN94" s="117">
        <v>21665.701898367162</v>
      </c>
      <c r="AO94" s="117">
        <v>21422.35754340472</v>
      </c>
      <c r="AP94" s="117">
        <v>19145.496036252338</v>
      </c>
      <c r="AQ94" s="117">
        <v>20496.661371850987</v>
      </c>
      <c r="AR94" s="117">
        <v>20170.438416002748</v>
      </c>
      <c r="AS94" s="117">
        <v>19004.107291030436</v>
      </c>
      <c r="AT94" s="117">
        <v>19275.473337606632</v>
      </c>
      <c r="AU94" s="117">
        <v>20652.878328787829</v>
      </c>
      <c r="AV94" s="117">
        <v>27459.762783948434</v>
      </c>
      <c r="AW94" s="117">
        <v>32023.452207623697</v>
      </c>
      <c r="AX94" s="117">
        <v>32489.781908527802</v>
      </c>
      <c r="AY94" s="117">
        <v>35458.123121048244</v>
      </c>
      <c r="AZ94" s="117">
        <v>39780.951444575345</v>
      </c>
      <c r="BA94" s="117">
        <v>44367.055649787311</v>
      </c>
      <c r="BB94" s="117">
        <v>44918.564877075565</v>
      </c>
      <c r="BC94" s="117">
        <v>43988.332493194612</v>
      </c>
      <c r="BD94" s="117">
        <v>47186.981468004778</v>
      </c>
      <c r="BE94" s="117">
        <v>45936.765951698857</v>
      </c>
      <c r="BF94" s="117">
        <v>47535.589945368476</v>
      </c>
      <c r="BG94" s="117">
        <v>50484.927573902278</v>
      </c>
      <c r="BH94" s="117">
        <v>44536.401308099936</v>
      </c>
      <c r="BI94" s="117">
        <v>48181.874188063957</v>
      </c>
      <c r="BJ94" s="117">
        <v>50321.368754344228</v>
      </c>
      <c r="BK94" s="117">
        <v>54470.956386425481</v>
      </c>
      <c r="BL94" s="117"/>
    </row>
    <row r="95" spans="1:64" hidden="1">
      <c r="A95" s="117" t="s">
        <v>955</v>
      </c>
      <c r="B95" s="117" t="s">
        <v>956</v>
      </c>
      <c r="C95" s="117" t="s">
        <v>775</v>
      </c>
      <c r="D95" s="117" t="s">
        <v>776</v>
      </c>
      <c r="E95" s="117">
        <v>252.75617116506169</v>
      </c>
      <c r="F95" s="117">
        <v>253.22729003499839</v>
      </c>
      <c r="G95" s="117">
        <v>261.17913380611719</v>
      </c>
      <c r="H95" s="117">
        <v>280.09663644485767</v>
      </c>
      <c r="I95" s="117">
        <v>279.93046450015561</v>
      </c>
      <c r="J95" s="117">
        <v>278.82813848172054</v>
      </c>
      <c r="K95" s="117">
        <v>283.19272459217353</v>
      </c>
      <c r="L95" s="117">
        <v>287.96804713681303</v>
      </c>
      <c r="M95" s="117">
        <v>310.66174520335755</v>
      </c>
      <c r="N95" s="117">
        <v>322.43752936974863</v>
      </c>
      <c r="O95" s="117">
        <v>349.02497563332724</v>
      </c>
      <c r="P95" s="117">
        <v>355.09037110772346</v>
      </c>
      <c r="Q95" s="117">
        <v>367.1188811408727</v>
      </c>
      <c r="R95" s="117">
        <v>438.54485116069634</v>
      </c>
      <c r="S95" s="117">
        <v>527.41769681197138</v>
      </c>
      <c r="T95" s="117">
        <v>594.65180355205734</v>
      </c>
      <c r="U95" s="117">
        <v>696.22201527500135</v>
      </c>
      <c r="V95" s="117">
        <v>854.6366433809834</v>
      </c>
      <c r="W95" s="117">
        <v>925.12574446590986</v>
      </c>
      <c r="X95" s="117">
        <v>1027.0836960251359</v>
      </c>
      <c r="Y95" s="117">
        <v>1143.4404019769108</v>
      </c>
      <c r="Z95" s="117">
        <v>1217.2640204910463</v>
      </c>
      <c r="AA95" s="117">
        <v>1200.2492338204552</v>
      </c>
      <c r="AB95" s="117">
        <v>1212.7165586723636</v>
      </c>
      <c r="AC95" s="117">
        <v>1234.7026407120961</v>
      </c>
      <c r="AD95" s="117">
        <v>1233.0809439630173</v>
      </c>
      <c r="AE95" s="117">
        <v>892.2929064924549</v>
      </c>
      <c r="AF95" s="117">
        <v>850.21851206716497</v>
      </c>
      <c r="AG95" s="117">
        <v>915.39806533596254</v>
      </c>
      <c r="AH95" s="117">
        <v>955.1134608633613</v>
      </c>
      <c r="AI95" s="117">
        <v>845.30696210518147</v>
      </c>
      <c r="AJ95" s="117">
        <v>1011.7549662810478</v>
      </c>
      <c r="AK95" s="117">
        <v>1093.9629083570144</v>
      </c>
      <c r="AL95" s="117">
        <v>1164.3740250810042</v>
      </c>
      <c r="AM95" s="117">
        <v>1293.4701979461902</v>
      </c>
      <c r="AN95" s="117">
        <v>1424.6825425625764</v>
      </c>
      <c r="AO95" s="117">
        <v>1487.6076583997421</v>
      </c>
      <c r="AP95" s="117">
        <v>1649.0016020609862</v>
      </c>
      <c r="AQ95" s="117">
        <v>1755.8495822319112</v>
      </c>
      <c r="AR95" s="117">
        <v>1619.510735525314</v>
      </c>
      <c r="AS95" s="117">
        <v>1664.2989582704549</v>
      </c>
      <c r="AT95" s="117">
        <v>1575.4285574039923</v>
      </c>
      <c r="AU95" s="117">
        <v>1710.3414684477607</v>
      </c>
      <c r="AV95" s="117">
        <v>1765.3516767453696</v>
      </c>
      <c r="AW95" s="117">
        <v>1889.6918236601421</v>
      </c>
      <c r="AX95" s="117">
        <v>2101.5418178224827</v>
      </c>
      <c r="AY95" s="117">
        <v>2287.9357153063042</v>
      </c>
      <c r="AZ95" s="117">
        <v>2531.2060801227003</v>
      </c>
      <c r="BA95" s="117">
        <v>2848.5031597140883</v>
      </c>
      <c r="BB95" s="117">
        <v>2695.2212644719898</v>
      </c>
      <c r="BC95" s="117">
        <v>2898.9422147044825</v>
      </c>
      <c r="BD95" s="117">
        <v>3281.6675017603334</v>
      </c>
      <c r="BE95" s="117">
        <v>3408.784916402356</v>
      </c>
      <c r="BF95" s="117">
        <v>3522.7736977543414</v>
      </c>
      <c r="BG95" s="117">
        <v>3779.6423276808414</v>
      </c>
      <c r="BH95" s="117">
        <v>3994.636912884745</v>
      </c>
      <c r="BI95" s="117">
        <v>4173.3016661947395</v>
      </c>
      <c r="BJ95" s="117">
        <v>4451.4509899019668</v>
      </c>
      <c r="BK95" s="117">
        <v>4472.8923626901333</v>
      </c>
      <c r="BL95" s="117">
        <v>4619.9870970849315</v>
      </c>
    </row>
    <row r="96" spans="1:64" hidden="1">
      <c r="A96" s="117" t="s">
        <v>957</v>
      </c>
      <c r="B96" s="117" t="s">
        <v>958</v>
      </c>
      <c r="C96" s="117" t="s">
        <v>775</v>
      </c>
      <c r="D96" s="117" t="s">
        <v>776</v>
      </c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>
        <v>21536.366875349926</v>
      </c>
      <c r="AV96" s="117">
        <v>22572.075299428725</v>
      </c>
      <c r="AW96" s="117">
        <v>24395.797623038437</v>
      </c>
      <c r="AX96" s="117">
        <v>26495.877577303316</v>
      </c>
      <c r="AY96" s="117">
        <v>26555.645201956533</v>
      </c>
      <c r="AZ96" s="117">
        <v>27542.226167318237</v>
      </c>
      <c r="BA96" s="117">
        <v>29056.314293619056</v>
      </c>
      <c r="BB96" s="117">
        <v>30026.503209274866</v>
      </c>
      <c r="BC96" s="117">
        <v>30700.434008178421</v>
      </c>
      <c r="BD96" s="117">
        <v>30859.404353380258</v>
      </c>
      <c r="BE96" s="117">
        <v>32494.5623640591</v>
      </c>
      <c r="BF96" s="117">
        <v>33265.381186606566</v>
      </c>
      <c r="BG96" s="117">
        <v>34394.097480995675</v>
      </c>
      <c r="BH96" s="117">
        <v>35278.925938969311</v>
      </c>
      <c r="BI96" s="117">
        <v>35562.837908328271</v>
      </c>
      <c r="BJ96" s="117">
        <v>35615.804627437137</v>
      </c>
      <c r="BK96" s="117">
        <v>35712.562135032094</v>
      </c>
      <c r="BL96" s="117"/>
    </row>
    <row r="97" spans="1:64" hidden="1">
      <c r="A97" s="117" t="s">
        <v>959</v>
      </c>
      <c r="B97" s="117" t="s">
        <v>960</v>
      </c>
      <c r="C97" s="117" t="s">
        <v>775</v>
      </c>
      <c r="D97" s="117" t="s">
        <v>776</v>
      </c>
      <c r="E97" s="117">
        <v>297.67329907936767</v>
      </c>
      <c r="F97" s="117">
        <v>315.38545950255087</v>
      </c>
      <c r="G97" s="117">
        <v>321.54576713955441</v>
      </c>
      <c r="H97" s="117">
        <v>282.30633850180448</v>
      </c>
      <c r="I97" s="117">
        <v>305.36161118849554</v>
      </c>
      <c r="J97" s="117">
        <v>327.1142226917828</v>
      </c>
      <c r="K97" s="117">
        <v>344.16652348524906</v>
      </c>
      <c r="L97" s="117">
        <v>370.15417230245902</v>
      </c>
      <c r="M97" s="117">
        <v>334.8412728486357</v>
      </c>
      <c r="N97" s="117">
        <v>358.32093655002916</v>
      </c>
      <c r="O97" s="117">
        <v>379.89372054688806</v>
      </c>
      <c r="P97" s="117">
        <v>395.20291893891414</v>
      </c>
      <c r="Q97" s="117">
        <v>395.29294683405504</v>
      </c>
      <c r="R97" s="117">
        <v>420.66158167188968</v>
      </c>
      <c r="S97" s="117">
        <v>588.13621991353955</v>
      </c>
      <c r="T97" s="117">
        <v>663.40100191148872</v>
      </c>
      <c r="U97" s="117">
        <v>602.62484733477334</v>
      </c>
      <c r="V97" s="117">
        <v>590.06537045003824</v>
      </c>
      <c r="W97" s="117">
        <v>658.43856516799201</v>
      </c>
      <c r="X97" s="117">
        <v>683.33303274443654</v>
      </c>
      <c r="Y97" s="117">
        <v>773.1816707748352</v>
      </c>
      <c r="Z97" s="117">
        <v>729.60695883353526</v>
      </c>
      <c r="AA97" s="117">
        <v>616.96315885137335</v>
      </c>
      <c r="AB97" s="117">
        <v>628.19768884872076</v>
      </c>
      <c r="AC97" s="117">
        <v>564.52641803562335</v>
      </c>
      <c r="AD97" s="117">
        <v>588.61340942847005</v>
      </c>
      <c r="AE97" s="117">
        <v>660.15276361559052</v>
      </c>
      <c r="AF97" s="117">
        <v>468.14018512000229</v>
      </c>
      <c r="AG97" s="117">
        <v>551.26364337584369</v>
      </c>
      <c r="AH97" s="117">
        <v>509.3710169945511</v>
      </c>
      <c r="AI97" s="117">
        <v>533.5362053885251</v>
      </c>
      <c r="AJ97" s="117">
        <v>468.16019741745799</v>
      </c>
      <c r="AK97" s="117">
        <v>499.02770963317039</v>
      </c>
      <c r="AL97" s="117">
        <v>602.1414776070344</v>
      </c>
      <c r="AM97" s="117">
        <v>712.71285420006461</v>
      </c>
      <c r="AN97" s="117">
        <v>816.54293288045312</v>
      </c>
      <c r="AO97" s="117">
        <v>927.19589564140324</v>
      </c>
      <c r="AP97" s="117">
        <v>988.34783641112369</v>
      </c>
      <c r="AQ97" s="117">
        <v>951.91247710806977</v>
      </c>
      <c r="AR97" s="117">
        <v>926.74280855184395</v>
      </c>
      <c r="AS97" s="117">
        <v>954.4041524912609</v>
      </c>
      <c r="AT97" s="117">
        <v>955.66538061190681</v>
      </c>
      <c r="AU97" s="117">
        <v>974.94919328204162</v>
      </c>
      <c r="AV97" s="117">
        <v>997.21003457667371</v>
      </c>
      <c r="AW97" s="117">
        <v>1056.4238856109368</v>
      </c>
      <c r="AX97" s="117">
        <v>1105.4964536488205</v>
      </c>
      <c r="AY97" s="117">
        <v>1954.1333077780853</v>
      </c>
      <c r="AZ97" s="117">
        <v>2331.2003422186258</v>
      </c>
      <c r="BA97" s="117">
        <v>2566.8870846972959</v>
      </c>
      <c r="BB97" s="117">
        <v>2756.8198891637708</v>
      </c>
      <c r="BC97" s="117">
        <v>3033.2477249053559</v>
      </c>
      <c r="BD97" s="117">
        <v>3425.4364406356153</v>
      </c>
      <c r="BE97" s="117">
        <v>3788.1467487817836</v>
      </c>
      <c r="BF97" s="117">
        <v>3934.8652617190382</v>
      </c>
      <c r="BG97" s="117">
        <v>4031.600662456744</v>
      </c>
      <c r="BH97" s="117">
        <v>4166.1285155988426</v>
      </c>
      <c r="BI97" s="117">
        <v>4542.6220666649315</v>
      </c>
      <c r="BJ97" s="117">
        <v>4586.0545717131181</v>
      </c>
      <c r="BK97" s="117">
        <v>4979.0021883988584</v>
      </c>
      <c r="BL97" s="117">
        <v>5468.3566290359222</v>
      </c>
    </row>
    <row r="98" spans="1:64" hidden="1">
      <c r="A98" s="117" t="s">
        <v>961</v>
      </c>
      <c r="B98" s="117" t="s">
        <v>962</v>
      </c>
      <c r="C98" s="117" t="s">
        <v>775</v>
      </c>
      <c r="D98" s="117" t="s">
        <v>776</v>
      </c>
      <c r="E98" s="117">
        <v>1363.903020282879</v>
      </c>
      <c r="F98" s="117">
        <v>1422.7145249426412</v>
      </c>
      <c r="G98" s="117">
        <v>1516.3185702741125</v>
      </c>
      <c r="H98" s="117">
        <v>1613.1413547778161</v>
      </c>
      <c r="I98" s="117">
        <v>1739.3515247767691</v>
      </c>
      <c r="J98" s="117">
        <v>1867.0050746474424</v>
      </c>
      <c r="K98" s="117">
        <v>2025.9774471829203</v>
      </c>
      <c r="L98" s="117">
        <v>2151.7830193792047</v>
      </c>
      <c r="M98" s="117">
        <v>2312.4006150443129</v>
      </c>
      <c r="N98" s="117">
        <v>2516.0935928942463</v>
      </c>
      <c r="O98" s="117">
        <v>2726.1655317794871</v>
      </c>
      <c r="P98" s="117">
        <v>2996.6711334589263</v>
      </c>
      <c r="Q98" s="117">
        <v>3444.3469785720304</v>
      </c>
      <c r="R98" s="117">
        <v>4136.304113529889</v>
      </c>
      <c r="S98" s="117">
        <v>4621.7635762232067</v>
      </c>
      <c r="T98" s="117">
        <v>5106.4959657526988</v>
      </c>
      <c r="U98" s="117">
        <v>5514.9264476582302</v>
      </c>
      <c r="V98" s="117">
        <v>6189.6361848153974</v>
      </c>
      <c r="W98" s="117">
        <v>7367.1330256247429</v>
      </c>
      <c r="X98" s="117">
        <v>8444.6861237974445</v>
      </c>
      <c r="Y98" s="117">
        <v>9349.1723464534334</v>
      </c>
      <c r="Z98" s="117">
        <v>9415.4711689283431</v>
      </c>
      <c r="AA98" s="117">
        <v>9259.527671445363</v>
      </c>
      <c r="AB98" s="117">
        <v>9495.6820139930678</v>
      </c>
      <c r="AC98" s="117">
        <v>9836.156567359867</v>
      </c>
      <c r="AD98" s="117">
        <v>10256.427340271845</v>
      </c>
      <c r="AE98" s="117">
        <v>12368.026844611963</v>
      </c>
      <c r="AF98" s="117">
        <v>14237.867751597596</v>
      </c>
      <c r="AG98" s="117">
        <v>15923.596760140437</v>
      </c>
      <c r="AH98" s="117">
        <v>16538.261424815308</v>
      </c>
      <c r="AI98" s="117">
        <v>18440.171274584995</v>
      </c>
      <c r="AJ98" s="117">
        <v>19344.990298488668</v>
      </c>
      <c r="AK98" s="117">
        <v>20689.372626015211</v>
      </c>
      <c r="AL98" s="117">
        <v>20691.486676475604</v>
      </c>
      <c r="AM98" s="117">
        <v>22031.075759118885</v>
      </c>
      <c r="AN98" s="117">
        <v>24272.330217307423</v>
      </c>
      <c r="AO98" s="117">
        <v>24324.201372203737</v>
      </c>
      <c r="AP98" s="117">
        <v>23768.179659401867</v>
      </c>
      <c r="AQ98" s="117">
        <v>23717.136783517319</v>
      </c>
      <c r="AR98" s="117">
        <v>24753.419112114236</v>
      </c>
      <c r="AS98" s="117">
        <v>25102.876957526256</v>
      </c>
      <c r="AT98" s="117">
        <v>24717.116642854086</v>
      </c>
      <c r="AU98" s="117">
        <v>25605.896584254559</v>
      </c>
      <c r="AV98" s="117">
        <v>28529.976212868263</v>
      </c>
      <c r="AW98" s="117">
        <v>31558.432655805038</v>
      </c>
      <c r="AX98" s="117">
        <v>33172.200552125607</v>
      </c>
      <c r="AY98" s="117">
        <v>34797.806782752996</v>
      </c>
      <c r="AZ98" s="117">
        <v>37807.871056336589</v>
      </c>
      <c r="BA98" s="117">
        <v>39888.609522749815</v>
      </c>
      <c r="BB98" s="117">
        <v>37123.945913674565</v>
      </c>
      <c r="BC98" s="117">
        <v>38650.144994460396</v>
      </c>
      <c r="BD98" s="117">
        <v>41536.182707696295</v>
      </c>
      <c r="BE98" s="117">
        <v>41343.838833113019</v>
      </c>
      <c r="BF98" s="117">
        <v>41628.480554548303</v>
      </c>
      <c r="BG98" s="117">
        <v>42293.544511927968</v>
      </c>
      <c r="BH98" s="117">
        <v>39730.919553097592</v>
      </c>
      <c r="BI98" s="117">
        <v>40332.263387100713</v>
      </c>
      <c r="BJ98" s="117">
        <v>41971.237345086447</v>
      </c>
      <c r="BK98" s="117">
        <v>44392.675663854643</v>
      </c>
      <c r="BL98" s="117">
        <v>44583.558755382161</v>
      </c>
    </row>
    <row r="99" spans="1:64" hidden="1">
      <c r="A99" s="117" t="s">
        <v>963</v>
      </c>
      <c r="B99" s="117" t="s">
        <v>964</v>
      </c>
      <c r="C99" s="117" t="s">
        <v>775</v>
      </c>
      <c r="D99" s="117" t="s">
        <v>776</v>
      </c>
      <c r="E99" s="117">
        <v>429.44287439205266</v>
      </c>
      <c r="F99" s="117">
        <v>436.75441152039252</v>
      </c>
      <c r="G99" s="117">
        <v>487.8211340508127</v>
      </c>
      <c r="H99" s="117">
        <v>565.7278103580461</v>
      </c>
      <c r="I99" s="117">
        <v>629.59152578449391</v>
      </c>
      <c r="J99" s="117">
        <v>676.80550711009573</v>
      </c>
      <c r="K99" s="117">
        <v>685.92661413508438</v>
      </c>
      <c r="L99" s="117">
        <v>723.23922561666143</v>
      </c>
      <c r="M99" s="117">
        <v>714.48296958060951</v>
      </c>
      <c r="N99" s="117">
        <v>825.5234491420116</v>
      </c>
      <c r="O99" s="117">
        <v>960.03196151070404</v>
      </c>
      <c r="P99" s="117">
        <v>1106.4697169591536</v>
      </c>
      <c r="Q99" s="117">
        <v>1384.7384373227123</v>
      </c>
      <c r="R99" s="117">
        <v>1893.1812418946447</v>
      </c>
      <c r="S99" s="117">
        <v>2144.6077129514379</v>
      </c>
      <c r="T99" s="117">
        <v>2252.1118813685871</v>
      </c>
      <c r="U99" s="117">
        <v>2850.0146101832001</v>
      </c>
      <c r="V99" s="117">
        <v>3429.4202760725439</v>
      </c>
      <c r="W99" s="117">
        <v>3923.9437313275516</v>
      </c>
      <c r="X99" s="117">
        <v>4569.4537072422418</v>
      </c>
      <c r="Y99" s="117">
        <v>5700.412634358222</v>
      </c>
      <c r="Z99" s="117">
        <v>5991.3202614197162</v>
      </c>
      <c r="AA99" s="117">
        <v>6133.7840786051529</v>
      </c>
      <c r="AB99" s="117">
        <v>5595.2351386384571</v>
      </c>
      <c r="AC99" s="117">
        <v>6208.2261593719941</v>
      </c>
      <c r="AD99" s="117">
        <v>6542.9315367431254</v>
      </c>
      <c r="AE99" s="117">
        <v>7435.0306975942249</v>
      </c>
      <c r="AF99" s="117">
        <v>9071.3326021171797</v>
      </c>
      <c r="AG99" s="117">
        <v>10609.745639454548</v>
      </c>
      <c r="AH99" s="117">
        <v>12097.775158681765</v>
      </c>
      <c r="AI99" s="117">
        <v>13485.544892956465</v>
      </c>
      <c r="AJ99" s="117">
        <v>15465.858855334902</v>
      </c>
      <c r="AK99" s="117">
        <v>17976.429382765476</v>
      </c>
      <c r="AL99" s="117">
        <v>20395.517366677559</v>
      </c>
      <c r="AM99" s="117">
        <v>22502.579740969206</v>
      </c>
      <c r="AN99" s="117">
        <v>23497.492313819341</v>
      </c>
      <c r="AO99" s="117">
        <v>24818.154552351698</v>
      </c>
      <c r="AP99" s="117">
        <v>27330.033350280693</v>
      </c>
      <c r="AQ99" s="117">
        <v>25808.970952452983</v>
      </c>
      <c r="AR99" s="117">
        <v>25091.666599796648</v>
      </c>
      <c r="AS99" s="117">
        <v>25756.663778327784</v>
      </c>
      <c r="AT99" s="117">
        <v>25230.216332951622</v>
      </c>
      <c r="AU99" s="117">
        <v>24665.889998277908</v>
      </c>
      <c r="AV99" s="117">
        <v>23977.019451669821</v>
      </c>
      <c r="AW99" s="117">
        <v>24928.100372255118</v>
      </c>
      <c r="AX99" s="117">
        <v>26649.75080170697</v>
      </c>
      <c r="AY99" s="117">
        <v>28224.215060938866</v>
      </c>
      <c r="AZ99" s="117">
        <v>30594.017841023058</v>
      </c>
      <c r="BA99" s="117">
        <v>31515.662771301828</v>
      </c>
      <c r="BB99" s="117">
        <v>30697.340383517017</v>
      </c>
      <c r="BC99" s="117">
        <v>32549.998231120971</v>
      </c>
      <c r="BD99" s="117">
        <v>35142.487934454257</v>
      </c>
      <c r="BE99" s="117">
        <v>36730.876700112778</v>
      </c>
      <c r="BF99" s="117">
        <v>38403.777714547701</v>
      </c>
      <c r="BG99" s="117">
        <v>40315.285564055164</v>
      </c>
      <c r="BH99" s="117">
        <v>42431.88828172769</v>
      </c>
      <c r="BI99" s="117">
        <v>43731.106824529867</v>
      </c>
      <c r="BJ99" s="117">
        <v>46165.856511595332</v>
      </c>
      <c r="BK99" s="117">
        <v>48542.887332961014</v>
      </c>
      <c r="BL99" s="117">
        <v>48755.835079128723</v>
      </c>
    </row>
    <row r="100" spans="1:64" hidden="1">
      <c r="A100" s="117" t="s">
        <v>965</v>
      </c>
      <c r="B100" s="117" t="s">
        <v>966</v>
      </c>
      <c r="C100" s="117" t="s">
        <v>775</v>
      </c>
      <c r="D100" s="117" t="s">
        <v>776</v>
      </c>
      <c r="E100" s="117">
        <v>164.64472253942836</v>
      </c>
      <c r="F100" s="117">
        <v>169.90959302311711</v>
      </c>
      <c r="G100" s="117">
        <v>179.87638977995934</v>
      </c>
      <c r="H100" s="117">
        <v>185.04951495553757</v>
      </c>
      <c r="I100" s="117">
        <v>200.43437682013712</v>
      </c>
      <c r="J100" s="117">
        <v>216.81447049571295</v>
      </c>
      <c r="K100" s="117">
        <v>227.74114492983486</v>
      </c>
      <c r="L100" s="117">
        <v>240.54713312138159</v>
      </c>
      <c r="M100" s="117">
        <v>252.58451994296931</v>
      </c>
      <c r="N100" s="117">
        <v>253.26891279777578</v>
      </c>
      <c r="O100" s="117">
        <v>266.13621020564267</v>
      </c>
      <c r="P100" s="117">
        <v>261.24655706700526</v>
      </c>
      <c r="Q100" s="117">
        <v>278.61501266605438</v>
      </c>
      <c r="R100" s="117">
        <v>307.34366142818311</v>
      </c>
      <c r="S100" s="117">
        <v>338.15599238895686</v>
      </c>
      <c r="T100" s="117">
        <v>356.45728395406269</v>
      </c>
      <c r="U100" s="117">
        <v>414.62314046282148</v>
      </c>
      <c r="V100" s="117">
        <v>497.93829084428802</v>
      </c>
      <c r="W100" s="117">
        <v>895.64979944865877</v>
      </c>
      <c r="X100" s="117">
        <v>993.72744771205168</v>
      </c>
      <c r="Y100" s="117">
        <v>1078.8088793663653</v>
      </c>
      <c r="Z100" s="117">
        <v>1066.1695856357728</v>
      </c>
      <c r="AA100" s="117">
        <v>1090.9987944711122</v>
      </c>
      <c r="AB100" s="117">
        <v>1110.4778664235221</v>
      </c>
      <c r="AC100" s="117">
        <v>1183.0270686589367</v>
      </c>
      <c r="AD100" s="117">
        <v>1232.8713432047755</v>
      </c>
      <c r="AE100" s="117">
        <v>1287.4110306890691</v>
      </c>
      <c r="AF100" s="117">
        <v>1362.8863020247286</v>
      </c>
      <c r="AG100" s="117">
        <v>1262.0668808942326</v>
      </c>
      <c r="AH100" s="117">
        <v>1128.2826853620861</v>
      </c>
      <c r="AI100" s="117">
        <v>993.48305270446906</v>
      </c>
      <c r="AJ100" s="117">
        <v>911.75551805734813</v>
      </c>
      <c r="AK100" s="117">
        <v>942.61276499218513</v>
      </c>
      <c r="AL100" s="117">
        <v>913.30230856499122</v>
      </c>
      <c r="AM100" s="117">
        <v>836.60373874429047</v>
      </c>
      <c r="AN100" s="117">
        <v>936.66699805146106</v>
      </c>
      <c r="AO100" s="117">
        <v>887.69336781612583</v>
      </c>
      <c r="AP100" s="117">
        <v>948.95555504667266</v>
      </c>
      <c r="AQ100" s="117">
        <v>1023.4605692745582</v>
      </c>
      <c r="AR100" s="117">
        <v>1002.7151976898349</v>
      </c>
      <c r="AS100" s="117">
        <v>1080.4621286624504</v>
      </c>
      <c r="AT100" s="117">
        <v>1120.552212134523</v>
      </c>
      <c r="AU100" s="117">
        <v>1122.0639422691795</v>
      </c>
      <c r="AV100" s="117">
        <v>1145.49756077097</v>
      </c>
      <c r="AW100" s="117">
        <v>1204.4766188688745</v>
      </c>
      <c r="AX100" s="117">
        <v>1296.6959592220564</v>
      </c>
      <c r="AY100" s="117">
        <v>1420.1361209369661</v>
      </c>
      <c r="AZ100" s="117">
        <v>1572.0655038891034</v>
      </c>
      <c r="BA100" s="117">
        <v>1727.8277013843594</v>
      </c>
      <c r="BB100" s="117">
        <v>1789.7066511075463</v>
      </c>
      <c r="BC100" s="117">
        <v>1904.3464649688144</v>
      </c>
      <c r="BD100" s="117">
        <v>2088.315300286954</v>
      </c>
      <c r="BE100" s="117">
        <v>2144.3426111781982</v>
      </c>
      <c r="BF100" s="117">
        <v>2102.5931662649368</v>
      </c>
      <c r="BG100" s="117">
        <v>2206.0519341277336</v>
      </c>
      <c r="BH100" s="117">
        <v>2302.2013793620436</v>
      </c>
      <c r="BI100" s="117">
        <v>2342.5846511956793</v>
      </c>
      <c r="BJ100" s="117">
        <v>2453.7278959745722</v>
      </c>
      <c r="BK100" s="117">
        <v>2505.776751895597</v>
      </c>
      <c r="BL100" s="117">
        <v>2574.9121906744267</v>
      </c>
    </row>
    <row r="101" spans="1:64" hidden="1">
      <c r="A101" s="117" t="s">
        <v>967</v>
      </c>
      <c r="B101" s="117" t="s">
        <v>968</v>
      </c>
      <c r="C101" s="117" t="s">
        <v>775</v>
      </c>
      <c r="D101" s="117" t="s">
        <v>776</v>
      </c>
      <c r="E101" s="117">
        <v>107.39975309267723</v>
      </c>
      <c r="F101" s="117">
        <v>107.62852724423617</v>
      </c>
      <c r="G101" s="117">
        <v>114.37578652278508</v>
      </c>
      <c r="H101" s="117">
        <v>134.68871354764562</v>
      </c>
      <c r="I101" s="117">
        <v>117.4082480216438</v>
      </c>
      <c r="J101" s="117">
        <v>133.70056448387913</v>
      </c>
      <c r="K101" s="117">
        <v>141.96961608943369</v>
      </c>
      <c r="L101" s="117">
        <v>135.52622914316836</v>
      </c>
      <c r="M101" s="117">
        <v>139.80372930858348</v>
      </c>
      <c r="N101" s="117">
        <v>151.60444058465691</v>
      </c>
      <c r="O101" s="117">
        <v>154.52990338808237</v>
      </c>
      <c r="P101" s="117">
        <v>162.17866534008121</v>
      </c>
      <c r="Q101" s="117">
        <v>171.46822483794182</v>
      </c>
      <c r="R101" s="117">
        <v>201.63314188147618</v>
      </c>
      <c r="S101" s="117">
        <v>240.71625875725653</v>
      </c>
      <c r="T101" s="117">
        <v>266.72316284779106</v>
      </c>
      <c r="U101" s="117">
        <v>277.14372549520698</v>
      </c>
      <c r="V101" s="117">
        <v>316.15573830786951</v>
      </c>
      <c r="W101" s="117">
        <v>354.66108073659939</v>
      </c>
      <c r="X101" s="117">
        <v>386.95213572699919</v>
      </c>
      <c r="Y101" s="117">
        <v>401.98662496263597</v>
      </c>
      <c r="Z101" s="117">
        <v>391.33781636843656</v>
      </c>
      <c r="AA101" s="117">
        <v>381.44448050733911</v>
      </c>
      <c r="AB101" s="117">
        <v>352.30675204208433</v>
      </c>
      <c r="AC101" s="117">
        <v>342.76387462509621</v>
      </c>
      <c r="AD101" s="117">
        <v>347.21024192514636</v>
      </c>
      <c r="AE101" s="117">
        <v>388.10058780198449</v>
      </c>
      <c r="AF101" s="117">
        <v>424.05639099418448</v>
      </c>
      <c r="AG101" s="117">
        <v>413.70018899708839</v>
      </c>
      <c r="AH101" s="117">
        <v>387.92431705274169</v>
      </c>
      <c r="AI101" s="117">
        <v>389.36793804956119</v>
      </c>
      <c r="AJ101" s="117">
        <v>387.53480702100899</v>
      </c>
      <c r="AK101" s="117">
        <v>344.28106453969696</v>
      </c>
      <c r="AL101" s="117">
        <v>343.0221159313989</v>
      </c>
      <c r="AM101" s="117">
        <v>294.01026807844818</v>
      </c>
      <c r="AN101" s="117">
        <v>325.31161971074994</v>
      </c>
      <c r="AO101" s="117">
        <v>330.99054568869172</v>
      </c>
      <c r="AP101" s="117">
        <v>336.65072645216975</v>
      </c>
      <c r="AQ101" s="117">
        <v>344.25770738531963</v>
      </c>
      <c r="AR101" s="117">
        <v>336.92595422259035</v>
      </c>
      <c r="AS101" s="117">
        <v>351.60440660718768</v>
      </c>
      <c r="AT101" s="117">
        <v>326.63735884291464</v>
      </c>
      <c r="AU101" s="117">
        <v>341.69897375366463</v>
      </c>
      <c r="AV101" s="117">
        <v>378.26889134525925</v>
      </c>
      <c r="AW101" s="117">
        <v>422.80043343480384</v>
      </c>
      <c r="AX101" s="117">
        <v>467.81168550280245</v>
      </c>
      <c r="AY101" s="117">
        <v>541.27819463144226</v>
      </c>
      <c r="AZ101" s="117">
        <v>629.227663272271</v>
      </c>
      <c r="BA101" s="117">
        <v>739.08284235703934</v>
      </c>
      <c r="BB101" s="117">
        <v>728.30289700429626</v>
      </c>
      <c r="BC101" s="117">
        <v>779.14475544760626</v>
      </c>
      <c r="BD101" s="117">
        <v>840.10374686218029</v>
      </c>
      <c r="BE101" s="117">
        <v>862.61791630070843</v>
      </c>
      <c r="BF101" s="117">
        <v>937.58076078969816</v>
      </c>
      <c r="BG101" s="117">
        <v>962.92922046664307</v>
      </c>
      <c r="BH101" s="117">
        <v>927.48459546321385</v>
      </c>
      <c r="BI101" s="117">
        <v>897.49325535509524</v>
      </c>
      <c r="BJ101" s="117">
        <v>929.41071134235096</v>
      </c>
      <c r="BK101" s="117">
        <v>955.51890733290452</v>
      </c>
      <c r="BL101" s="117">
        <v>947.06123358692491</v>
      </c>
    </row>
    <row r="102" spans="1:64" hidden="1">
      <c r="A102" s="117" t="s">
        <v>969</v>
      </c>
      <c r="B102" s="117" t="s">
        <v>970</v>
      </c>
      <c r="C102" s="117" t="s">
        <v>775</v>
      </c>
      <c r="D102" s="117" t="s">
        <v>776</v>
      </c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>
        <v>4852.2222259414266</v>
      </c>
      <c r="AO102" s="117">
        <v>5202.918817408251</v>
      </c>
      <c r="AP102" s="117">
        <v>5260.2514125450907</v>
      </c>
      <c r="AQ102" s="117">
        <v>5619.2003731017567</v>
      </c>
      <c r="AR102" s="117">
        <v>5185.5844372995352</v>
      </c>
      <c r="AS102" s="117">
        <v>4849.534223254821</v>
      </c>
      <c r="AT102" s="117">
        <v>5391.0915912174032</v>
      </c>
      <c r="AU102" s="117">
        <v>6233.053682144603</v>
      </c>
      <c r="AV102" s="117">
        <v>8060.2571618370839</v>
      </c>
      <c r="AW102" s="117">
        <v>9662.77596755999</v>
      </c>
      <c r="AX102" s="117">
        <v>10530.219909630792</v>
      </c>
      <c r="AY102" s="117">
        <v>11703.337890827863</v>
      </c>
      <c r="AZ102" s="117">
        <v>13962.847567804562</v>
      </c>
      <c r="BA102" s="117">
        <v>16309.439014886948</v>
      </c>
      <c r="BB102" s="117">
        <v>14555.996448113545</v>
      </c>
      <c r="BC102" s="117">
        <v>13923.628583705535</v>
      </c>
      <c r="BD102" s="117">
        <v>14566.638468995325</v>
      </c>
      <c r="BE102" s="117">
        <v>13238.101933283102</v>
      </c>
      <c r="BF102" s="117">
        <v>13642.193664362123</v>
      </c>
      <c r="BG102" s="117">
        <v>13600.194390748018</v>
      </c>
      <c r="BH102" s="117">
        <v>11782.899079982895</v>
      </c>
      <c r="BI102" s="117">
        <v>12360.483816491915</v>
      </c>
      <c r="BJ102" s="117">
        <v>13412.338290229669</v>
      </c>
      <c r="BK102" s="117">
        <v>14920.191383192403</v>
      </c>
      <c r="BL102" s="117">
        <v>14853.239837463454</v>
      </c>
    </row>
    <row r="103" spans="1:64" hidden="1">
      <c r="A103" s="117" t="s">
        <v>971</v>
      </c>
      <c r="B103" s="117" t="s">
        <v>972</v>
      </c>
      <c r="C103" s="117" t="s">
        <v>775</v>
      </c>
      <c r="D103" s="117" t="s">
        <v>776</v>
      </c>
      <c r="E103" s="117">
        <v>70.661139389249129</v>
      </c>
      <c r="F103" s="117">
        <v>68.764548659240219</v>
      </c>
      <c r="G103" s="117">
        <v>70.138010978875499</v>
      </c>
      <c r="H103" s="117">
        <v>71.96218417157688</v>
      </c>
      <c r="I103" s="117">
        <v>77.862485419388989</v>
      </c>
      <c r="J103" s="117">
        <v>82.947647327890081</v>
      </c>
      <c r="K103" s="117">
        <v>84.985389229722387</v>
      </c>
      <c r="L103" s="117">
        <v>83.412186690945248</v>
      </c>
      <c r="M103" s="117">
        <v>81.592917489040019</v>
      </c>
      <c r="N103" s="117">
        <v>85.295740724897684</v>
      </c>
      <c r="O103" s="117">
        <v>70.826285276814872</v>
      </c>
      <c r="P103" s="117">
        <v>76.263636749655575</v>
      </c>
      <c r="Q103" s="117">
        <v>76.901895507688948</v>
      </c>
      <c r="R103" s="117">
        <v>94.904571907799436</v>
      </c>
      <c r="S103" s="117">
        <v>112.99615685161611</v>
      </c>
      <c r="T103" s="117">
        <v>133.75006403868269</v>
      </c>
      <c r="U103" s="117">
        <v>169.31092188352332</v>
      </c>
      <c r="V103" s="117">
        <v>178.86083965626233</v>
      </c>
      <c r="W103" s="117">
        <v>180.27323738128973</v>
      </c>
      <c r="X103" s="117">
        <v>195.75423803577669</v>
      </c>
      <c r="Y103" s="117">
        <v>245.2166538222379</v>
      </c>
      <c r="Z103" s="117">
        <v>256.24566327511542</v>
      </c>
      <c r="AA103" s="117">
        <v>249.4320438115152</v>
      </c>
      <c r="AB103" s="117">
        <v>268.29170757856321</v>
      </c>
      <c r="AC103" s="117">
        <v>293.18672597985983</v>
      </c>
      <c r="AD103" s="117">
        <v>317.07644597289715</v>
      </c>
      <c r="AE103" s="117">
        <v>357.79660883523002</v>
      </c>
      <c r="AF103" s="117">
        <v>309.30339653565693</v>
      </c>
      <c r="AG103" s="117">
        <v>386.77723419307119</v>
      </c>
      <c r="AH103" s="117">
        <v>396.6861391858655</v>
      </c>
      <c r="AI103" s="117">
        <v>439.94406299477538</v>
      </c>
      <c r="AJ103" s="117">
        <v>483.87390503778875</v>
      </c>
      <c r="AK103" s="117">
        <v>308.37131317613353</v>
      </c>
      <c r="AL103" s="117">
        <v>251.75271895792608</v>
      </c>
      <c r="AM103" s="117">
        <v>285.11877883780221</v>
      </c>
      <c r="AN103" s="117">
        <v>363.26582594271315</v>
      </c>
      <c r="AO103" s="117">
        <v>368.6322376980815</v>
      </c>
      <c r="AP103" s="117">
        <v>415.77048326856556</v>
      </c>
      <c r="AQ103" s="117">
        <v>455.54189605804839</v>
      </c>
      <c r="AR103" s="117">
        <v>499.30374890353875</v>
      </c>
      <c r="AS103" s="117">
        <v>467.14755875321447</v>
      </c>
      <c r="AT103" s="117">
        <v>417.76264602167259</v>
      </c>
      <c r="AU103" s="117">
        <v>396.63382080760192</v>
      </c>
      <c r="AV103" s="117">
        <v>332.61477853916847</v>
      </c>
      <c r="AW103" s="117">
        <v>391.03461565540789</v>
      </c>
      <c r="AX103" s="117">
        <v>468.75726955251167</v>
      </c>
      <c r="AY103" s="117">
        <v>508.96880662516656</v>
      </c>
      <c r="AZ103" s="117">
        <v>619.812774237648</v>
      </c>
      <c r="BA103" s="117">
        <v>678.84478979627124</v>
      </c>
      <c r="BB103" s="117">
        <v>672.03699791606175</v>
      </c>
      <c r="BC103" s="117">
        <v>665.62741949339625</v>
      </c>
      <c r="BD103" s="117">
        <v>744.2174267996229</v>
      </c>
      <c r="BE103" s="117">
        <v>769.74938095924881</v>
      </c>
      <c r="BF103" s="117">
        <v>815.82001522978578</v>
      </c>
      <c r="BG103" s="117">
        <v>831.87394889991674</v>
      </c>
      <c r="BH103" s="117">
        <v>815.7282844103172</v>
      </c>
      <c r="BI103" s="117">
        <v>735.301770321704</v>
      </c>
      <c r="BJ103" s="117">
        <v>765.72729432427445</v>
      </c>
      <c r="BK103" s="117">
        <v>868.3420247627871</v>
      </c>
      <c r="BL103" s="117">
        <v>754.5879177484203</v>
      </c>
    </row>
    <row r="104" spans="1:64" hidden="1">
      <c r="A104" s="117" t="s">
        <v>973</v>
      </c>
      <c r="B104" s="117" t="s">
        <v>974</v>
      </c>
      <c r="C104" s="117" t="s">
        <v>775</v>
      </c>
      <c r="D104" s="117" t="s">
        <v>776</v>
      </c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>
        <v>3350.2583232343154</v>
      </c>
      <c r="AK104" s="117">
        <v>3735.1058202206727</v>
      </c>
      <c r="AL104" s="117">
        <v>3873.9877232177428</v>
      </c>
      <c r="AM104" s="117">
        <v>4173.3730236865322</v>
      </c>
      <c r="AN104" s="117">
        <v>4494.7076240594788</v>
      </c>
      <c r="AO104" s="117">
        <v>4525.039103122409</v>
      </c>
      <c r="AP104" s="117">
        <v>4596.182622351952</v>
      </c>
      <c r="AQ104" s="117">
        <v>4744.2122642963877</v>
      </c>
      <c r="AR104" s="117">
        <v>4793.4785220376316</v>
      </c>
      <c r="AS104" s="117">
        <v>4624.2816567029531</v>
      </c>
      <c r="AT104" s="117">
        <v>5276.0331890549551</v>
      </c>
      <c r="AU104" s="117">
        <v>6655.3330086531887</v>
      </c>
      <c r="AV104" s="117">
        <v>8421.1033131615277</v>
      </c>
      <c r="AW104" s="117">
        <v>10285.793627009829</v>
      </c>
      <c r="AX104" s="117">
        <v>11200.576949626378</v>
      </c>
      <c r="AY104" s="117">
        <v>11475.822705709257</v>
      </c>
      <c r="AZ104" s="117">
        <v>13918.960191013704</v>
      </c>
      <c r="BA104" s="117">
        <v>15753.473284019525</v>
      </c>
      <c r="BB104" s="117">
        <v>13046.481008184797</v>
      </c>
      <c r="BC104" s="117">
        <v>13113.525961727726</v>
      </c>
      <c r="BD104" s="117">
        <v>14150.96672636776</v>
      </c>
      <c r="BE104" s="117">
        <v>12918.2475205388</v>
      </c>
      <c r="BF104" s="117">
        <v>13687.246101281042</v>
      </c>
      <c r="BG104" s="117">
        <v>14246.109801447035</v>
      </c>
      <c r="BH104" s="117">
        <v>12651.56834230037</v>
      </c>
      <c r="BI104" s="117">
        <v>12992.375667514954</v>
      </c>
      <c r="BJ104" s="117">
        <v>14457.608763613976</v>
      </c>
      <c r="BK104" s="117">
        <v>16150.772761372531</v>
      </c>
      <c r="BL104" s="117">
        <v>16475.741838940248</v>
      </c>
    </row>
    <row r="105" spans="1:64" hidden="1">
      <c r="A105" s="117" t="s">
        <v>975</v>
      </c>
      <c r="B105" s="117" t="s">
        <v>976</v>
      </c>
      <c r="C105" s="117" t="s">
        <v>775</v>
      </c>
      <c r="D105" s="117" t="s">
        <v>776</v>
      </c>
      <c r="E105" s="117">
        <v>158.60800762524869</v>
      </c>
      <c r="F105" s="117">
        <v>149.75839859163281</v>
      </c>
      <c r="G105" s="117">
        <v>153.32285376663049</v>
      </c>
      <c r="H105" s="117">
        <v>160.04118943694567</v>
      </c>
      <c r="I105" s="117">
        <v>177.50461072910451</v>
      </c>
      <c r="J105" s="117">
        <v>189.89991014671318</v>
      </c>
      <c r="K105" s="117">
        <v>191.11566358686002</v>
      </c>
      <c r="L105" s="117">
        <v>192.18755316448929</v>
      </c>
      <c r="M105" s="117">
        <v>198.52374740690516</v>
      </c>
      <c r="N105" s="117">
        <v>216.72667879487767</v>
      </c>
      <c r="O105" s="117">
        <v>230.25159229689106</v>
      </c>
      <c r="P105" s="117">
        <v>245.72047651589185</v>
      </c>
      <c r="Q105" s="117">
        <v>270.40515205654407</v>
      </c>
      <c r="R105" s="117">
        <v>340.30457812205049</v>
      </c>
      <c r="S105" s="117">
        <v>420.34169026567133</v>
      </c>
      <c r="T105" s="117">
        <v>444.8696683726111</v>
      </c>
      <c r="U105" s="117">
        <v>475.59673394879627</v>
      </c>
      <c r="V105" s="117">
        <v>529.27454811527946</v>
      </c>
      <c r="W105" s="117">
        <v>560.43495519765827</v>
      </c>
      <c r="X105" s="117">
        <v>659.42689550173793</v>
      </c>
      <c r="Y105" s="117">
        <v>763.85255561469774</v>
      </c>
      <c r="Z105" s="117">
        <v>812.26601706124734</v>
      </c>
      <c r="AA105" s="117">
        <v>791.01054859311557</v>
      </c>
      <c r="AB105" s="117">
        <v>765.33526985542267</v>
      </c>
      <c r="AC105" s="117">
        <v>768.38421537468992</v>
      </c>
      <c r="AD105" s="117">
        <v>796.88755641412774</v>
      </c>
      <c r="AE105" s="117">
        <v>814.0645164457261</v>
      </c>
      <c r="AF105" s="117">
        <v>816.80734892586611</v>
      </c>
      <c r="AG105" s="117">
        <v>867.52690076366537</v>
      </c>
      <c r="AH105" s="117">
        <v>884.982196904641</v>
      </c>
      <c r="AI105" s="117">
        <v>995.73767236644619</v>
      </c>
      <c r="AJ105" s="117">
        <v>1055.5664026469879</v>
      </c>
      <c r="AK105" s="117">
        <v>1036.6139213781344</v>
      </c>
      <c r="AL105" s="117">
        <v>1094.5453663644066</v>
      </c>
      <c r="AM105" s="117">
        <v>1179.6533729114549</v>
      </c>
      <c r="AN105" s="117">
        <v>1307.9472465991839</v>
      </c>
      <c r="AO105" s="117">
        <v>1410.3756771511034</v>
      </c>
      <c r="AP105" s="117">
        <v>1473.571462181962</v>
      </c>
      <c r="AQ105" s="117">
        <v>1414.8082113695348</v>
      </c>
      <c r="AR105" s="117">
        <v>1356.3869373811015</v>
      </c>
      <c r="AS105" s="117">
        <v>1457.2425396649714</v>
      </c>
      <c r="AT105" s="117">
        <v>1462.1159649412091</v>
      </c>
      <c r="AU105" s="117">
        <v>1469.080452212813</v>
      </c>
      <c r="AV105" s="117">
        <v>1636.0929677476413</v>
      </c>
      <c r="AW105" s="117">
        <v>1926.0810694382546</v>
      </c>
      <c r="AX105" s="117">
        <v>2279.1365113415127</v>
      </c>
      <c r="AY105" s="117">
        <v>2675.4244851769308</v>
      </c>
      <c r="AZ105" s="117">
        <v>3292.3317900849752</v>
      </c>
      <c r="BA105" s="117">
        <v>3914.321956924307</v>
      </c>
      <c r="BB105" s="117">
        <v>3759.6624810464355</v>
      </c>
      <c r="BC105" s="117">
        <v>4520.5866563759782</v>
      </c>
      <c r="BD105" s="117">
        <v>5287.1131083839728</v>
      </c>
      <c r="BE105" s="117">
        <v>5566.7959815895047</v>
      </c>
      <c r="BF105" s="117">
        <v>5823.5320830282808</v>
      </c>
      <c r="BG105" s="117">
        <v>5965.9131453473947</v>
      </c>
      <c r="BH105" s="117">
        <v>5581.2055138428914</v>
      </c>
      <c r="BI105" s="117">
        <v>5571.6010266591529</v>
      </c>
      <c r="BJ105" s="117">
        <v>6091.7097767078258</v>
      </c>
      <c r="BK105" s="117">
        <v>6451.6856820170724</v>
      </c>
      <c r="BL105" s="117">
        <v>6564.9201473127132</v>
      </c>
    </row>
    <row r="106" spans="1:64" hidden="1">
      <c r="A106" s="117" t="s">
        <v>977</v>
      </c>
      <c r="B106" s="117" t="s">
        <v>978</v>
      </c>
      <c r="C106" s="117" t="s">
        <v>775</v>
      </c>
      <c r="D106" s="117" t="s">
        <v>776</v>
      </c>
      <c r="E106" s="117">
        <v>148.26823183461121</v>
      </c>
      <c r="F106" s="117">
        <v>141.68793397619422</v>
      </c>
      <c r="G106" s="117">
        <v>145.63781901519587</v>
      </c>
      <c r="H106" s="117">
        <v>153.07880021235886</v>
      </c>
      <c r="I106" s="117">
        <v>166.4104280221828</v>
      </c>
      <c r="J106" s="117">
        <v>178.70386733757732</v>
      </c>
      <c r="K106" s="117">
        <v>180.99338383520958</v>
      </c>
      <c r="L106" s="117">
        <v>181.45794558509249</v>
      </c>
      <c r="M106" s="117">
        <v>187.20165711472407</v>
      </c>
      <c r="N106" s="117">
        <v>204.54639602908222</v>
      </c>
      <c r="O106" s="117">
        <v>219.06894445074585</v>
      </c>
      <c r="P106" s="117">
        <v>231.15909106873025</v>
      </c>
      <c r="Q106" s="117">
        <v>251.91731775126544</v>
      </c>
      <c r="R106" s="117">
        <v>312.77757911190889</v>
      </c>
      <c r="S106" s="117">
        <v>389.10456382170048</v>
      </c>
      <c r="T106" s="117">
        <v>416.53412693312265</v>
      </c>
      <c r="U106" s="117">
        <v>442.32114170711554</v>
      </c>
      <c r="V106" s="117">
        <v>489.19213987302908</v>
      </c>
      <c r="W106" s="117">
        <v>520.37744864389242</v>
      </c>
      <c r="X106" s="117">
        <v>609.07406842642888</v>
      </c>
      <c r="Y106" s="117">
        <v>704.73586357790123</v>
      </c>
      <c r="Z106" s="117">
        <v>780.3569098732911</v>
      </c>
      <c r="AA106" s="117">
        <v>752.81551896600024</v>
      </c>
      <c r="AB106" s="117">
        <v>710.63748438531798</v>
      </c>
      <c r="AC106" s="117">
        <v>703.00873993751225</v>
      </c>
      <c r="AD106" s="117">
        <v>725.44494952814125</v>
      </c>
      <c r="AE106" s="117">
        <v>735.1532394780271</v>
      </c>
      <c r="AF106" s="117">
        <v>739.21508578310454</v>
      </c>
      <c r="AG106" s="117">
        <v>779.11213614818257</v>
      </c>
      <c r="AH106" s="117">
        <v>789.22698207634528</v>
      </c>
      <c r="AI106" s="117">
        <v>881.76626840177039</v>
      </c>
      <c r="AJ106" s="117">
        <v>928.08754675853322</v>
      </c>
      <c r="AK106" s="117">
        <v>906.99409846111143</v>
      </c>
      <c r="AL106" s="117">
        <v>946.94378253471007</v>
      </c>
      <c r="AM106" s="117">
        <v>1009.7203388384294</v>
      </c>
      <c r="AN106" s="117">
        <v>1118.0928132000035</v>
      </c>
      <c r="AO106" s="117">
        <v>1203.1933145989501</v>
      </c>
      <c r="AP106" s="117">
        <v>1252.3111776398234</v>
      </c>
      <c r="AQ106" s="117">
        <v>1202.6779473605179</v>
      </c>
      <c r="AR106" s="117">
        <v>1154.7770764237873</v>
      </c>
      <c r="AS106" s="117">
        <v>1239.2485353678831</v>
      </c>
      <c r="AT106" s="117">
        <v>1237.6978664533526</v>
      </c>
      <c r="AU106" s="117">
        <v>1245.4479889668658</v>
      </c>
      <c r="AV106" s="117">
        <v>1382.9791868568632</v>
      </c>
      <c r="AW106" s="117">
        <v>1621.5662745241507</v>
      </c>
      <c r="AX106" s="117">
        <v>1909.0494401123665</v>
      </c>
      <c r="AY106" s="117">
        <v>2236.8217616729703</v>
      </c>
      <c r="AZ106" s="117">
        <v>2732.6097695309977</v>
      </c>
      <c r="BA106" s="117">
        <v>3238.5026224595622</v>
      </c>
      <c r="BB106" s="117">
        <v>3103.9446740765466</v>
      </c>
      <c r="BC106" s="117">
        <v>3707.5090502208946</v>
      </c>
      <c r="BD106" s="117">
        <v>4311.5381901322244</v>
      </c>
      <c r="BE106" s="117">
        <v>4528.972273894411</v>
      </c>
      <c r="BF106" s="117">
        <v>4736.5284972461041</v>
      </c>
      <c r="BG106" s="117">
        <v>4851.4246179078928</v>
      </c>
      <c r="BH106" s="117">
        <v>4537.9769282452417</v>
      </c>
      <c r="BI106" s="117">
        <v>4503.145177583885</v>
      </c>
      <c r="BJ106" s="117">
        <v>4885.47424281036</v>
      </c>
      <c r="BK106" s="117">
        <v>5153.2021055570913</v>
      </c>
      <c r="BL106" s="117">
        <v>5227.7590592273536</v>
      </c>
    </row>
    <row r="107" spans="1:64" hidden="1">
      <c r="A107" s="117" t="s">
        <v>979</v>
      </c>
      <c r="B107" s="117" t="s">
        <v>980</v>
      </c>
      <c r="C107" s="117" t="s">
        <v>775</v>
      </c>
      <c r="D107" s="117" t="s">
        <v>776</v>
      </c>
      <c r="E107" s="117">
        <v>99.467030381641976</v>
      </c>
      <c r="F107" s="117">
        <v>102.5480460293502</v>
      </c>
      <c r="G107" s="117">
        <v>107.90859878943445</v>
      </c>
      <c r="H107" s="117">
        <v>118.39959930462703</v>
      </c>
      <c r="I107" s="117">
        <v>113.23144078437822</v>
      </c>
      <c r="J107" s="117">
        <v>124.84290636183685</v>
      </c>
      <c r="K107" s="117">
        <v>131.97647403805075</v>
      </c>
      <c r="L107" s="117">
        <v>129.85492302747494</v>
      </c>
      <c r="M107" s="117">
        <v>132.97404637191036</v>
      </c>
      <c r="N107" s="117">
        <v>146.28742510667189</v>
      </c>
      <c r="O107" s="117">
        <v>165.16413224002736</v>
      </c>
      <c r="P107" s="117">
        <v>161.98355850390936</v>
      </c>
      <c r="Q107" s="117">
        <v>164.97957535722009</v>
      </c>
      <c r="R107" s="117">
        <v>184.73959351484208</v>
      </c>
      <c r="S107" s="117">
        <v>243.71275229761315</v>
      </c>
      <c r="T107" s="117">
        <v>284.26925880770347</v>
      </c>
      <c r="U107" s="117">
        <v>288.64739687881581</v>
      </c>
      <c r="V107" s="117">
        <v>306.05812816536343</v>
      </c>
      <c r="W107" s="117">
        <v>338.15067719380102</v>
      </c>
      <c r="X107" s="117">
        <v>382.47068119527717</v>
      </c>
      <c r="Y107" s="117">
        <v>440.88701952791621</v>
      </c>
      <c r="Z107" s="117">
        <v>633.63351434264121</v>
      </c>
      <c r="AA107" s="117">
        <v>581.02740578702617</v>
      </c>
      <c r="AB107" s="117">
        <v>472.07959511564565</v>
      </c>
      <c r="AC107" s="117">
        <v>422.41831373095732</v>
      </c>
      <c r="AD107" s="117">
        <v>421.99925392179642</v>
      </c>
      <c r="AE107" s="117">
        <v>403.69870074763048</v>
      </c>
      <c r="AF107" s="117">
        <v>415.45059139642319</v>
      </c>
      <c r="AG107" s="117">
        <v>413.40764078382</v>
      </c>
      <c r="AH107" s="117">
        <v>392.92175487316456</v>
      </c>
      <c r="AI107" s="117">
        <v>410.89670867261157</v>
      </c>
      <c r="AJ107" s="117">
        <v>405.88732292866115</v>
      </c>
      <c r="AK107" s="117">
        <v>381.73090774855876</v>
      </c>
      <c r="AL107" s="117">
        <v>354.38691427912426</v>
      </c>
      <c r="AM107" s="117">
        <v>333.92110742457368</v>
      </c>
      <c r="AN107" s="117">
        <v>372.44056883747146</v>
      </c>
      <c r="AO107" s="117">
        <v>399.4025802141295</v>
      </c>
      <c r="AP107" s="117">
        <v>403.7335449833061</v>
      </c>
      <c r="AQ107" s="117">
        <v>399.44715614025341</v>
      </c>
      <c r="AR107" s="117">
        <v>401.50573421853085</v>
      </c>
      <c r="AS107" s="117">
        <v>435.33095733992781</v>
      </c>
      <c r="AT107" s="117">
        <v>420.33508579948938</v>
      </c>
      <c r="AU107" s="117">
        <v>442.00520779196034</v>
      </c>
      <c r="AV107" s="117">
        <v>485.3231202932073</v>
      </c>
      <c r="AW107" s="117">
        <v>555.4695746176227</v>
      </c>
      <c r="AX107" s="117">
        <v>629.81957751689242</v>
      </c>
      <c r="AY107" s="117">
        <v>740.90075996476514</v>
      </c>
      <c r="AZ107" s="117">
        <v>847.91225452838626</v>
      </c>
      <c r="BA107" s="117">
        <v>992.94101164156814</v>
      </c>
      <c r="BB107" s="117">
        <v>954.14648392745028</v>
      </c>
      <c r="BC107" s="117">
        <v>1074.3401292154015</v>
      </c>
      <c r="BD107" s="117">
        <v>1190.5070128910329</v>
      </c>
      <c r="BE107" s="117">
        <v>1250.4982311576459</v>
      </c>
      <c r="BF107" s="117">
        <v>1347.4339301665764</v>
      </c>
      <c r="BG107" s="117">
        <v>1422.5255153568514</v>
      </c>
      <c r="BH107" s="117">
        <v>1370.7352500827596</v>
      </c>
      <c r="BI107" s="117">
        <v>1299.2676739132692</v>
      </c>
      <c r="BJ107" s="117">
        <v>1312.7258884829307</v>
      </c>
      <c r="BK107" s="117">
        <v>1359.6962330761869</v>
      </c>
      <c r="BL107" s="117">
        <v>1377.4908204732676</v>
      </c>
    </row>
    <row r="108" spans="1:64" hidden="1">
      <c r="A108" s="117" t="s">
        <v>981</v>
      </c>
      <c r="B108" s="117" t="s">
        <v>982</v>
      </c>
      <c r="C108" s="117" t="s">
        <v>775</v>
      </c>
      <c r="D108" s="117" t="s">
        <v>776</v>
      </c>
      <c r="E108" s="117">
        <v>100.32635975039865</v>
      </c>
      <c r="F108" s="117">
        <v>104.85838491504867</v>
      </c>
      <c r="G108" s="117">
        <v>109.45421477278217</v>
      </c>
      <c r="H108" s="117">
        <v>113.01923827977096</v>
      </c>
      <c r="I108" s="117">
        <v>120.28332870228</v>
      </c>
      <c r="J108" s="117">
        <v>127.28783512762783</v>
      </c>
      <c r="K108" s="117">
        <v>134.96714358345628</v>
      </c>
      <c r="L108" s="117">
        <v>132.14989099103713</v>
      </c>
      <c r="M108" s="117">
        <v>135.95331785407706</v>
      </c>
      <c r="N108" s="117">
        <v>151.81089792162976</v>
      </c>
      <c r="O108" s="117">
        <v>202.7753143580274</v>
      </c>
      <c r="P108" s="117">
        <v>183.30998118537323</v>
      </c>
      <c r="Q108" s="117">
        <v>199.97210256547177</v>
      </c>
      <c r="R108" s="117">
        <v>207.11904165220361</v>
      </c>
      <c r="S108" s="117">
        <v>292.41992287382806</v>
      </c>
      <c r="T108" s="117">
        <v>325.49415680262251</v>
      </c>
      <c r="U108" s="117">
        <v>383.21923444232891</v>
      </c>
      <c r="V108" s="117">
        <v>390.72391111989003</v>
      </c>
      <c r="W108" s="117">
        <v>410.68384090144195</v>
      </c>
      <c r="X108" s="117">
        <v>489.95284859764087</v>
      </c>
      <c r="Y108" s="117">
        <v>610.59437233993594</v>
      </c>
      <c r="Z108" s="117">
        <v>1144.5922472271718</v>
      </c>
      <c r="AA108" s="117">
        <v>1013.6853158638834</v>
      </c>
      <c r="AB108" s="117">
        <v>746.18680473597146</v>
      </c>
      <c r="AC108" s="117">
        <v>621.62543076299369</v>
      </c>
      <c r="AD108" s="117">
        <v>601.99879432550176</v>
      </c>
      <c r="AE108" s="117">
        <v>522.95963149128704</v>
      </c>
      <c r="AF108" s="117">
        <v>521.71666194343584</v>
      </c>
      <c r="AG108" s="117">
        <v>524.58220911654848</v>
      </c>
      <c r="AH108" s="117">
        <v>490.89268287414234</v>
      </c>
      <c r="AI108" s="117">
        <v>521.13681784800599</v>
      </c>
      <c r="AJ108" s="117">
        <v>515.53397529316646</v>
      </c>
      <c r="AK108" s="117">
        <v>499.99403928468649</v>
      </c>
      <c r="AL108" s="117">
        <v>435.07855714252986</v>
      </c>
      <c r="AM108" s="117">
        <v>436.09661952145387</v>
      </c>
      <c r="AN108" s="117">
        <v>488.1103209633423</v>
      </c>
      <c r="AO108" s="117">
        <v>527.35633915397887</v>
      </c>
      <c r="AP108" s="117">
        <v>526.67859894316337</v>
      </c>
      <c r="AQ108" s="117">
        <v>504.8063069038115</v>
      </c>
      <c r="AR108" s="117">
        <v>515.45231174752757</v>
      </c>
      <c r="AS108" s="117">
        <v>572.55846731626752</v>
      </c>
      <c r="AT108" s="117">
        <v>558.02200509848092</v>
      </c>
      <c r="AU108" s="117">
        <v>601.92991397810545</v>
      </c>
      <c r="AV108" s="117">
        <v>660.20576487595702</v>
      </c>
      <c r="AW108" s="117">
        <v>786.02339613170875</v>
      </c>
      <c r="AX108" s="117">
        <v>917.10183398684319</v>
      </c>
      <c r="AY108" s="117">
        <v>1122.6622980151292</v>
      </c>
      <c r="AZ108" s="117">
        <v>1264.8509169481545</v>
      </c>
      <c r="BA108" s="117">
        <v>1464.5249633847852</v>
      </c>
      <c r="BB108" s="117">
        <v>1339.9745925867933</v>
      </c>
      <c r="BC108" s="117">
        <v>1536.6888615753403</v>
      </c>
      <c r="BD108" s="117">
        <v>1730.3267109630699</v>
      </c>
      <c r="BE108" s="117">
        <v>1859.4382790254367</v>
      </c>
      <c r="BF108" s="117">
        <v>1977.5102018006096</v>
      </c>
      <c r="BG108" s="117">
        <v>2105.0417780193829</v>
      </c>
      <c r="BH108" s="117">
        <v>1957.8634415184706</v>
      </c>
      <c r="BI108" s="117">
        <v>1771.739128150278</v>
      </c>
      <c r="BJ108" s="117">
        <v>1714.469865727363</v>
      </c>
      <c r="BK108" s="117">
        <v>1753.0913017905091</v>
      </c>
      <c r="BL108" s="117">
        <v>1762.411154372953</v>
      </c>
    </row>
    <row r="109" spans="1:64" hidden="1">
      <c r="A109" s="117" t="s">
        <v>983</v>
      </c>
      <c r="B109" s="117" t="s">
        <v>984</v>
      </c>
      <c r="C109" s="117" t="s">
        <v>775</v>
      </c>
      <c r="D109" s="117" t="s">
        <v>776</v>
      </c>
      <c r="E109" s="117"/>
      <c r="F109" s="117"/>
      <c r="G109" s="117"/>
      <c r="H109" s="117"/>
      <c r="I109" s="117"/>
      <c r="J109" s="117"/>
      <c r="K109" s="117"/>
      <c r="L109" s="117">
        <v>53.537298210302858</v>
      </c>
      <c r="M109" s="117">
        <v>65.053045039204747</v>
      </c>
      <c r="N109" s="117">
        <v>74.602098390290109</v>
      </c>
      <c r="O109" s="117">
        <v>79.714536098189143</v>
      </c>
      <c r="P109" s="117">
        <v>79.178189329307841</v>
      </c>
      <c r="Q109" s="117">
        <v>90.876172986666873</v>
      </c>
      <c r="R109" s="117">
        <v>131.02491161711376</v>
      </c>
      <c r="S109" s="117">
        <v>202.49538472185364</v>
      </c>
      <c r="T109" s="117">
        <v>233.11666625245167</v>
      </c>
      <c r="U109" s="117">
        <v>278.1966681355068</v>
      </c>
      <c r="V109" s="117">
        <v>333.6943742506221</v>
      </c>
      <c r="W109" s="117">
        <v>365.91584458479036</v>
      </c>
      <c r="X109" s="117">
        <v>356.92133672738356</v>
      </c>
      <c r="Y109" s="117">
        <v>491.57952626954346</v>
      </c>
      <c r="Z109" s="117">
        <v>566.57768093357572</v>
      </c>
      <c r="AA109" s="117">
        <v>583.6698581378746</v>
      </c>
      <c r="AB109" s="117">
        <v>512.95911762409082</v>
      </c>
      <c r="AC109" s="117">
        <v>525.33396298462549</v>
      </c>
      <c r="AD109" s="117">
        <v>516.96099332602648</v>
      </c>
      <c r="AE109" s="117">
        <v>474.85916047177267</v>
      </c>
      <c r="AF109" s="117">
        <v>442.21546730076551</v>
      </c>
      <c r="AG109" s="117">
        <v>481.78148225556629</v>
      </c>
      <c r="AH109" s="117">
        <v>530.00324561528146</v>
      </c>
      <c r="AI109" s="117">
        <v>585.07654995100359</v>
      </c>
      <c r="AJ109" s="117">
        <v>631.78283728476117</v>
      </c>
      <c r="AK109" s="117">
        <v>681.9383856119008</v>
      </c>
      <c r="AL109" s="117">
        <v>827.90530528058423</v>
      </c>
      <c r="AM109" s="117">
        <v>912.20327507950412</v>
      </c>
      <c r="AN109" s="117">
        <v>1026.393420439467</v>
      </c>
      <c r="AO109" s="117">
        <v>1137.4101182358584</v>
      </c>
      <c r="AP109" s="117">
        <v>1063.7123652486373</v>
      </c>
      <c r="AQ109" s="117">
        <v>463.94816946685222</v>
      </c>
      <c r="AR109" s="117">
        <v>671.09861611003873</v>
      </c>
      <c r="AS109" s="117">
        <v>780.1902009865787</v>
      </c>
      <c r="AT109" s="117">
        <v>748.25761569896895</v>
      </c>
      <c r="AU109" s="117">
        <v>900.1775757135307</v>
      </c>
      <c r="AV109" s="117">
        <v>1065.6485392546081</v>
      </c>
      <c r="AW109" s="117">
        <v>1150.2613149956467</v>
      </c>
      <c r="AX109" s="117">
        <v>1263.2873205457474</v>
      </c>
      <c r="AY109" s="117">
        <v>1589.801488661421</v>
      </c>
      <c r="AZ109" s="117">
        <v>1860.0027631068176</v>
      </c>
      <c r="BA109" s="117">
        <v>2166.8541670002546</v>
      </c>
      <c r="BB109" s="117">
        <v>2261.247223745765</v>
      </c>
      <c r="BC109" s="117">
        <v>3122.3628152164947</v>
      </c>
      <c r="BD109" s="117">
        <v>3643.0439361610156</v>
      </c>
      <c r="BE109" s="117">
        <v>3694.3489460323703</v>
      </c>
      <c r="BF109" s="117">
        <v>3623.9115823513421</v>
      </c>
      <c r="BG109" s="117">
        <v>3491.6247908576693</v>
      </c>
      <c r="BH109" s="117">
        <v>3331.6951275862816</v>
      </c>
      <c r="BI109" s="117">
        <v>3562.8457564197097</v>
      </c>
      <c r="BJ109" s="117">
        <v>3837.6517312111655</v>
      </c>
      <c r="BK109" s="117">
        <v>3893.8464247557094</v>
      </c>
      <c r="BL109" s="117">
        <v>4135.5692628155366</v>
      </c>
    </row>
    <row r="110" spans="1:64" hidden="1">
      <c r="A110" s="117" t="s">
        <v>985</v>
      </c>
      <c r="B110" s="117" t="s">
        <v>986</v>
      </c>
      <c r="C110" s="117" t="s">
        <v>775</v>
      </c>
      <c r="D110" s="117" t="s">
        <v>776</v>
      </c>
      <c r="E110" s="117">
        <v>103.06184187037694</v>
      </c>
      <c r="F110" s="117">
        <v>105.44525546497724</v>
      </c>
      <c r="G110" s="117">
        <v>111.45916332999541</v>
      </c>
      <c r="H110" s="117">
        <v>126.29698335989704</v>
      </c>
      <c r="I110" s="117">
        <v>113.88725305082146</v>
      </c>
      <c r="J110" s="117">
        <v>128.58124477651992</v>
      </c>
      <c r="K110" s="117">
        <v>135.7018347726279</v>
      </c>
      <c r="L110" s="117">
        <v>133.88885087160415</v>
      </c>
      <c r="M110" s="117">
        <v>136.75430734182078</v>
      </c>
      <c r="N110" s="117">
        <v>149.18663403439103</v>
      </c>
      <c r="O110" s="117">
        <v>150.85170070548693</v>
      </c>
      <c r="P110" s="117">
        <v>156.59853739839411</v>
      </c>
      <c r="Q110" s="117">
        <v>152.00039283622121</v>
      </c>
      <c r="R110" s="117">
        <v>179.55249369497005</v>
      </c>
      <c r="S110" s="117">
        <v>225.92359497643619</v>
      </c>
      <c r="T110" s="117">
        <v>272.22986254761088</v>
      </c>
      <c r="U110" s="117">
        <v>245.90570895424415</v>
      </c>
      <c r="V110" s="117">
        <v>269.3643349729906</v>
      </c>
      <c r="W110" s="117">
        <v>309.4400858932342</v>
      </c>
      <c r="X110" s="117">
        <v>334.70958345558614</v>
      </c>
      <c r="Y110" s="117">
        <v>358.36438786842973</v>
      </c>
      <c r="Z110" s="117">
        <v>356.34884792768821</v>
      </c>
      <c r="AA110" s="117">
        <v>345.96352959790585</v>
      </c>
      <c r="AB110" s="117">
        <v>324.72913983461331</v>
      </c>
      <c r="AC110" s="117">
        <v>316.56810034278777</v>
      </c>
      <c r="AD110" s="117">
        <v>326.63676038930714</v>
      </c>
      <c r="AE110" s="117">
        <v>342.46939355348286</v>
      </c>
      <c r="AF110" s="117">
        <v>361.5170178503036</v>
      </c>
      <c r="AG110" s="117">
        <v>356.46197209010933</v>
      </c>
      <c r="AH110" s="117">
        <v>342.90404236835178</v>
      </c>
      <c r="AI110" s="117">
        <v>354.21065605681929</v>
      </c>
      <c r="AJ110" s="117">
        <v>349.47029732192135</v>
      </c>
      <c r="AK110" s="117">
        <v>320.25012845813382</v>
      </c>
      <c r="AL110" s="117">
        <v>313.57584423042005</v>
      </c>
      <c r="AM110" s="117">
        <v>281.17795875837635</v>
      </c>
      <c r="AN110" s="117">
        <v>312.71311090335701</v>
      </c>
      <c r="AO110" s="117">
        <v>333.19035570661072</v>
      </c>
      <c r="AP110" s="117">
        <v>340.25202505847056</v>
      </c>
      <c r="AQ110" s="117">
        <v>345.50468505316593</v>
      </c>
      <c r="AR110" s="117">
        <v>342.83686261021387</v>
      </c>
      <c r="AS110" s="117">
        <v>364.20786865724801</v>
      </c>
      <c r="AT110" s="117">
        <v>348.9971805154895</v>
      </c>
      <c r="AU110" s="117">
        <v>359.15483794371215</v>
      </c>
      <c r="AV110" s="117">
        <v>394.84016605879469</v>
      </c>
      <c r="AW110" s="117">
        <v>436.39105198346653</v>
      </c>
      <c r="AX110" s="117">
        <v>481.58763102964667</v>
      </c>
      <c r="AY110" s="117">
        <v>544.0263959497895</v>
      </c>
      <c r="AZ110" s="117">
        <v>632.76797203307353</v>
      </c>
      <c r="BA110" s="117">
        <v>750.03227751855832</v>
      </c>
      <c r="BB110" s="117">
        <v>757.09002578985314</v>
      </c>
      <c r="BC110" s="117">
        <v>836.66728244254148</v>
      </c>
      <c r="BD110" s="117">
        <v>911.41681897846445</v>
      </c>
      <c r="BE110" s="117">
        <v>933.7731071655212</v>
      </c>
      <c r="BF110" s="117">
        <v>1019.8662497666295</v>
      </c>
      <c r="BG110" s="117">
        <v>1066.5482404664217</v>
      </c>
      <c r="BH110" s="117">
        <v>1066.1569440534047</v>
      </c>
      <c r="BI110" s="117">
        <v>1057.2558236752941</v>
      </c>
      <c r="BJ110" s="117">
        <v>1110.3557968909242</v>
      </c>
      <c r="BK110" s="117">
        <v>1162.7502664200615</v>
      </c>
      <c r="BL110" s="117">
        <v>1185.8418587396466</v>
      </c>
    </row>
    <row r="111" spans="1:64" hidden="1">
      <c r="A111" s="117" t="s">
        <v>987</v>
      </c>
      <c r="B111" s="117" t="s">
        <v>988</v>
      </c>
      <c r="C111" s="117" t="s">
        <v>775</v>
      </c>
      <c r="D111" s="117" t="s">
        <v>776</v>
      </c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>
        <v>12681.469557378492</v>
      </c>
      <c r="AO111" s="117">
        <v>14038.350649409753</v>
      </c>
      <c r="AP111" s="117">
        <v>15990.788346752042</v>
      </c>
      <c r="AQ111" s="117">
        <v>18447.997141601361</v>
      </c>
      <c r="AR111" s="117">
        <v>20624.27674439154</v>
      </c>
      <c r="AS111" s="117">
        <v>20322.946148552561</v>
      </c>
      <c r="AT111" s="117">
        <v>21352.216050067196</v>
      </c>
      <c r="AU111" s="117">
        <v>24864.436294940922</v>
      </c>
      <c r="AV111" s="117">
        <v>29520.03229866768</v>
      </c>
      <c r="AW111" s="117">
        <v>35492.435527789639</v>
      </c>
      <c r="AX111" s="117">
        <v>37761.036050059141</v>
      </c>
      <c r="AY111" s="117">
        <v>42106.801180373281</v>
      </c>
      <c r="AZ111" s="117">
        <v>54194.986411223064</v>
      </c>
      <c r="BA111" s="117">
        <v>70994.408954126266</v>
      </c>
      <c r="BB111" s="117">
        <v>65031.331870326125</v>
      </c>
      <c r="BC111" s="117">
        <v>69766.521188638842</v>
      </c>
      <c r="BD111" s="117">
        <v>77351.958882143153</v>
      </c>
      <c r="BE111" s="117">
        <v>76104.681367226978</v>
      </c>
      <c r="BF111" s="117">
        <v>80431.672796513798</v>
      </c>
      <c r="BG111" s="117">
        <v>88974.228649792843</v>
      </c>
      <c r="BH111" s="117">
        <v>81606.280033393385</v>
      </c>
      <c r="BI111" s="117">
        <v>79155.541672095962</v>
      </c>
      <c r="BJ111" s="117">
        <v>80989.172211450234</v>
      </c>
      <c r="BK111" s="117"/>
      <c r="BL111" s="117"/>
    </row>
    <row r="112" spans="1:64">
      <c r="A112" s="117" t="s">
        <v>989</v>
      </c>
      <c r="B112" s="117" t="s">
        <v>990</v>
      </c>
      <c r="C112" s="117" t="s">
        <v>775</v>
      </c>
      <c r="D112" s="117" t="s">
        <v>776</v>
      </c>
      <c r="E112" s="117">
        <v>82.188602009105622</v>
      </c>
      <c r="F112" s="117">
        <v>85.354301174903284</v>
      </c>
      <c r="G112" s="117">
        <v>89.881756686359793</v>
      </c>
      <c r="H112" s="117">
        <v>101.12642818122053</v>
      </c>
      <c r="I112" s="117">
        <v>115.5374970200636</v>
      </c>
      <c r="J112" s="117">
        <v>119.31891721171941</v>
      </c>
      <c r="K112" s="117">
        <v>89.997305963053691</v>
      </c>
      <c r="L112" s="117">
        <v>96.3391366489315</v>
      </c>
      <c r="M112" s="117">
        <v>99.875964601106347</v>
      </c>
      <c r="N112" s="117">
        <v>107.62231782882677</v>
      </c>
      <c r="O112" s="117">
        <v>112.4344934903222</v>
      </c>
      <c r="P112" s="117">
        <v>118.60324210211836</v>
      </c>
      <c r="Q112" s="117">
        <v>122.98186389826186</v>
      </c>
      <c r="R112" s="117">
        <v>143.77868809653793</v>
      </c>
      <c r="S112" s="117">
        <v>163.47811115750099</v>
      </c>
      <c r="T112" s="117">
        <v>158.03617176428241</v>
      </c>
      <c r="U112" s="117">
        <v>161.09209173169705</v>
      </c>
      <c r="V112" s="117">
        <v>186.21350132527712</v>
      </c>
      <c r="W112" s="117">
        <v>205.69338608622425</v>
      </c>
      <c r="X112" s="117">
        <v>224.00101683980768</v>
      </c>
      <c r="Y112" s="117">
        <v>266.57784811839741</v>
      </c>
      <c r="Z112" s="117">
        <v>270.4706024383986</v>
      </c>
      <c r="AA112" s="117">
        <v>274.11133142158133</v>
      </c>
      <c r="AB112" s="117">
        <v>291.23811013731711</v>
      </c>
      <c r="AC112" s="117">
        <v>276.66795864314275</v>
      </c>
      <c r="AD112" s="117">
        <v>296.43515155102199</v>
      </c>
      <c r="AE112" s="117">
        <v>310.46593508589615</v>
      </c>
      <c r="AF112" s="117">
        <v>340.41683161231049</v>
      </c>
      <c r="AG112" s="117">
        <v>354.14925161708317</v>
      </c>
      <c r="AH112" s="117">
        <v>346.11288727162491</v>
      </c>
      <c r="AI112" s="117">
        <v>367.55660931120275</v>
      </c>
      <c r="AJ112" s="117">
        <v>303.05560534270069</v>
      </c>
      <c r="AK112" s="117">
        <v>316.95392789531104</v>
      </c>
      <c r="AL112" s="117">
        <v>301.15900422057695</v>
      </c>
      <c r="AM112" s="117">
        <v>346.10295032260632</v>
      </c>
      <c r="AN112" s="117">
        <v>373.76648000782899</v>
      </c>
      <c r="AO112" s="117">
        <v>399.95007676393436</v>
      </c>
      <c r="AP112" s="117">
        <v>415.49379698177682</v>
      </c>
      <c r="AQ112" s="117">
        <v>413.29893424222098</v>
      </c>
      <c r="AR112" s="117">
        <v>441.99875959339516</v>
      </c>
      <c r="AS112" s="117">
        <v>443.31419339174005</v>
      </c>
      <c r="AT112" s="117">
        <v>451.5730010743564</v>
      </c>
      <c r="AU112" s="117">
        <v>470.98678594916004</v>
      </c>
      <c r="AV112" s="117">
        <v>546.72661447872815</v>
      </c>
      <c r="AW112" s="117">
        <v>627.77424728391929</v>
      </c>
      <c r="AX112" s="117">
        <v>714.86101349566104</v>
      </c>
      <c r="AY112" s="117">
        <v>806.75328062879919</v>
      </c>
      <c r="AZ112" s="117">
        <v>1028.3347710766652</v>
      </c>
      <c r="BA112" s="117">
        <v>998.52233901926786</v>
      </c>
      <c r="BB112" s="117">
        <v>1101.9608400223901</v>
      </c>
      <c r="BC112" s="117">
        <v>1357.5637191326218</v>
      </c>
      <c r="BD112" s="117">
        <v>1458.1035268617675</v>
      </c>
      <c r="BE112" s="117">
        <v>1443.8795293904227</v>
      </c>
      <c r="BF112" s="117">
        <v>1449.6059123386981</v>
      </c>
      <c r="BG112" s="117">
        <v>1573.8814921105177</v>
      </c>
      <c r="BH112" s="117">
        <v>1605.6054335548802</v>
      </c>
      <c r="BI112" s="117">
        <v>1732.5642617842798</v>
      </c>
      <c r="BJ112" s="117">
        <v>1981.6510498992011</v>
      </c>
      <c r="BK112" s="117">
        <v>2005.8630045240309</v>
      </c>
      <c r="BL112" s="170">
        <v>2238.1271400000001</v>
      </c>
    </row>
    <row r="113" spans="1:64" hidden="1">
      <c r="A113" s="117" t="s">
        <v>991</v>
      </c>
      <c r="B113" s="117" t="s">
        <v>992</v>
      </c>
      <c r="C113" s="117" t="s">
        <v>775</v>
      </c>
      <c r="D113" s="117" t="s">
        <v>776</v>
      </c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</row>
    <row r="114" spans="1:64" hidden="1">
      <c r="A114" s="117" t="s">
        <v>993</v>
      </c>
      <c r="B114" s="117" t="s">
        <v>994</v>
      </c>
      <c r="C114" s="117" t="s">
        <v>775</v>
      </c>
      <c r="D114" s="117" t="s">
        <v>776</v>
      </c>
      <c r="E114" s="117">
        <v>685.61471237976036</v>
      </c>
      <c r="F114" s="117">
        <v>739.27640644266637</v>
      </c>
      <c r="G114" s="117">
        <v>797.00628835395923</v>
      </c>
      <c r="H114" s="117">
        <v>852.13530171788807</v>
      </c>
      <c r="I114" s="117">
        <v>965.13542267674484</v>
      </c>
      <c r="J114" s="117">
        <v>1023.773726409361</v>
      </c>
      <c r="K114" s="117">
        <v>1074.5065055495788</v>
      </c>
      <c r="L114" s="117">
        <v>1152.0049521499373</v>
      </c>
      <c r="M114" s="117">
        <v>1124.5166360824637</v>
      </c>
      <c r="N114" s="117">
        <v>1291.3499202863707</v>
      </c>
      <c r="O114" s="117">
        <v>1488.2946985407038</v>
      </c>
      <c r="P114" s="117">
        <v>1705.972596897557</v>
      </c>
      <c r="Q114" s="117">
        <v>2082.9568331310211</v>
      </c>
      <c r="R114" s="117">
        <v>2427.1722988961283</v>
      </c>
      <c r="S114" s="117">
        <v>2519.9416951967492</v>
      </c>
      <c r="T114" s="117">
        <v>2976.9609674275484</v>
      </c>
      <c r="U114" s="117">
        <v>2923.079668497217</v>
      </c>
      <c r="V114" s="117">
        <v>3431.1775107132003</v>
      </c>
      <c r="W114" s="117">
        <v>4405.2560917269793</v>
      </c>
      <c r="X114" s="117">
        <v>5436.4648749960888</v>
      </c>
      <c r="Y114" s="117">
        <v>6380.0694786350059</v>
      </c>
      <c r="Z114" s="117">
        <v>5993.3229363970113</v>
      </c>
      <c r="AA114" s="117">
        <v>6168.0163474263318</v>
      </c>
      <c r="AB114" s="117">
        <v>5922.3258693182979</v>
      </c>
      <c r="AC114" s="117">
        <v>5698.8441612152337</v>
      </c>
      <c r="AD114" s="117">
        <v>6018.9350614118121</v>
      </c>
      <c r="AE114" s="117">
        <v>8121.8862732955404</v>
      </c>
      <c r="AF114" s="117">
        <v>9593.3882945296609</v>
      </c>
      <c r="AG114" s="117">
        <v>10728.703675809587</v>
      </c>
      <c r="AH114" s="117">
        <v>11189.200589182592</v>
      </c>
      <c r="AI114" s="117">
        <v>14048.106204857146</v>
      </c>
      <c r="AJ114" s="117">
        <v>14104.078291074129</v>
      </c>
      <c r="AK114" s="117">
        <v>15733.203976132441</v>
      </c>
      <c r="AL114" s="117">
        <v>14674.614569088226</v>
      </c>
      <c r="AM114" s="117">
        <v>15921.974843724409</v>
      </c>
      <c r="AN114" s="117">
        <v>19181.400446483196</v>
      </c>
      <c r="AO114" s="117">
        <v>20860.596992539027</v>
      </c>
      <c r="AP114" s="117">
        <v>22542.810771472919</v>
      </c>
      <c r="AQ114" s="117">
        <v>24263.244801969402</v>
      </c>
      <c r="AR114" s="117">
        <v>26284.341975013594</v>
      </c>
      <c r="AS114" s="117">
        <v>26241.364614697337</v>
      </c>
      <c r="AT114" s="117">
        <v>28227.727527662268</v>
      </c>
      <c r="AU114" s="117">
        <v>32541.098601666603</v>
      </c>
      <c r="AV114" s="117">
        <v>41106.925265179416</v>
      </c>
      <c r="AW114" s="117">
        <v>47631.010657122279</v>
      </c>
      <c r="AX114" s="117">
        <v>50878.223611636437</v>
      </c>
      <c r="AY114" s="117">
        <v>54306.429316689653</v>
      </c>
      <c r="AZ114" s="117">
        <v>61359.741381250227</v>
      </c>
      <c r="BA114" s="117">
        <v>61262.100561030653</v>
      </c>
      <c r="BB114" s="117">
        <v>52105.15248377392</v>
      </c>
      <c r="BC114" s="117">
        <v>48715.176855393256</v>
      </c>
      <c r="BD114" s="117">
        <v>51848.9097301621</v>
      </c>
      <c r="BE114" s="117">
        <v>48917.897557176628</v>
      </c>
      <c r="BF114" s="117">
        <v>51590.188445362925</v>
      </c>
      <c r="BG114" s="117">
        <v>55492.982676213003</v>
      </c>
      <c r="BH114" s="117">
        <v>61995.422778992826</v>
      </c>
      <c r="BI114" s="117">
        <v>63197.082374419551</v>
      </c>
      <c r="BJ114" s="117">
        <v>69822.347178909549</v>
      </c>
      <c r="BK114" s="117">
        <v>78621.227955271577</v>
      </c>
      <c r="BL114" s="117">
        <v>78660.956462960268</v>
      </c>
    </row>
    <row r="115" spans="1:64" hidden="1">
      <c r="A115" s="117" t="s">
        <v>995</v>
      </c>
      <c r="B115" s="117" t="s">
        <v>996</v>
      </c>
      <c r="C115" s="117" t="s">
        <v>775</v>
      </c>
      <c r="D115" s="117" t="s">
        <v>776</v>
      </c>
      <c r="E115" s="117">
        <v>191.68078124221512</v>
      </c>
      <c r="F115" s="117">
        <v>196.92508178923299</v>
      </c>
      <c r="G115" s="117">
        <v>203.43731670425322</v>
      </c>
      <c r="H115" s="117">
        <v>208.13236149664789</v>
      </c>
      <c r="I115" s="117">
        <v>221.32123713557195</v>
      </c>
      <c r="J115" s="117">
        <v>248.34107269112573</v>
      </c>
      <c r="K115" s="117">
        <v>264.97970011641115</v>
      </c>
      <c r="L115" s="117">
        <v>287.08283254550514</v>
      </c>
      <c r="M115" s="117">
        <v>318.99196565422602</v>
      </c>
      <c r="N115" s="117">
        <v>350.91360617848397</v>
      </c>
      <c r="O115" s="117">
        <v>384.9441234817773</v>
      </c>
      <c r="P115" s="117">
        <v>468.95681196711672</v>
      </c>
      <c r="Q115" s="117">
        <v>570.35058585332365</v>
      </c>
      <c r="R115" s="117">
        <v>876.26852377654086</v>
      </c>
      <c r="S115" s="117">
        <v>1453.73458011719</v>
      </c>
      <c r="T115" s="117">
        <v>1581.9304317087558</v>
      </c>
      <c r="U115" s="117">
        <v>2017.4119214809741</v>
      </c>
      <c r="V115" s="117">
        <v>2315.892839303709</v>
      </c>
      <c r="W115" s="117">
        <v>2168.8701524236803</v>
      </c>
      <c r="X115" s="117">
        <v>2427.4658206130739</v>
      </c>
      <c r="Y115" s="117">
        <v>2441.440491215355</v>
      </c>
      <c r="Z115" s="117">
        <v>2499.9887499419542</v>
      </c>
      <c r="AA115" s="117">
        <v>3008.1455615685827</v>
      </c>
      <c r="AB115" s="117">
        <v>3583.3293008566566</v>
      </c>
      <c r="AC115" s="117">
        <v>3568.6555641316113</v>
      </c>
      <c r="AD115" s="117">
        <v>3805.5826506498743</v>
      </c>
      <c r="AE115" s="117">
        <v>4244.6910157857919</v>
      </c>
      <c r="AF115" s="117">
        <v>2617.7006403350301</v>
      </c>
      <c r="AG115" s="117">
        <v>2318.4644131085265</v>
      </c>
      <c r="AH115" s="117">
        <v>2197.9562278351027</v>
      </c>
      <c r="AI115" s="117">
        <v>2214.3274920551385</v>
      </c>
      <c r="AJ115" s="117"/>
      <c r="AK115" s="117"/>
      <c r="AL115" s="117">
        <v>1067.30753326284</v>
      </c>
      <c r="AM115" s="117">
        <v>1185.6863040296139</v>
      </c>
      <c r="AN115" s="117">
        <v>1569.2552937422247</v>
      </c>
      <c r="AO115" s="117">
        <v>1932.8049845066143</v>
      </c>
      <c r="AP115" s="117">
        <v>1804.3366774593821</v>
      </c>
      <c r="AQ115" s="117">
        <v>1723.835366590682</v>
      </c>
      <c r="AR115" s="117">
        <v>1756.8966669642589</v>
      </c>
      <c r="AS115" s="117">
        <v>1670.0094699784852</v>
      </c>
      <c r="AT115" s="117">
        <v>1909.4122777135306</v>
      </c>
      <c r="AU115" s="117">
        <v>1911.6787915017164</v>
      </c>
      <c r="AV115" s="117">
        <v>2253.9361322823465</v>
      </c>
      <c r="AW115" s="117">
        <v>2756.1987421936565</v>
      </c>
      <c r="AX115" s="117">
        <v>3246.0510293832594</v>
      </c>
      <c r="AY115" s="117">
        <v>3774.3578414999138</v>
      </c>
      <c r="AZ115" s="117">
        <v>4904.6662518516705</v>
      </c>
      <c r="BA115" s="117">
        <v>5717.3144646271876</v>
      </c>
      <c r="BB115" s="117">
        <v>5709.9479801286498</v>
      </c>
      <c r="BC115" s="117">
        <v>6599.6609379100364</v>
      </c>
      <c r="BD115" s="117">
        <v>7781.4061137443305</v>
      </c>
      <c r="BE115" s="117">
        <v>7927.8469017172238</v>
      </c>
      <c r="BF115" s="117">
        <v>6018.3244733247111</v>
      </c>
      <c r="BG115" s="117">
        <v>5585.5267575830339</v>
      </c>
      <c r="BH115" s="117">
        <v>4904.3268774797607</v>
      </c>
      <c r="BI115" s="117">
        <v>5253.4248425999112</v>
      </c>
      <c r="BJ115" s="117">
        <v>5520.3107893238239</v>
      </c>
      <c r="BK115" s="117"/>
      <c r="BL115" s="117"/>
    </row>
    <row r="116" spans="1:64" hidden="1">
      <c r="A116" s="117" t="s">
        <v>997</v>
      </c>
      <c r="B116" s="117" t="s">
        <v>998</v>
      </c>
      <c r="C116" s="117" t="s">
        <v>775</v>
      </c>
      <c r="D116" s="117" t="s">
        <v>776</v>
      </c>
      <c r="E116" s="117">
        <v>231.02564893551369</v>
      </c>
      <c r="F116" s="117">
        <v>245.03205388960856</v>
      </c>
      <c r="G116" s="117">
        <v>254.70143365453967</v>
      </c>
      <c r="H116" s="117">
        <v>250.7871100268317</v>
      </c>
      <c r="I116" s="117">
        <v>288.16355261231718</v>
      </c>
      <c r="J116" s="117"/>
      <c r="K116" s="117"/>
      <c r="L116" s="117"/>
      <c r="M116" s="117">
        <v>312.82227742147353</v>
      </c>
      <c r="N116" s="117">
        <v>313.81744555746491</v>
      </c>
      <c r="O116" s="117">
        <v>330.88520172465303</v>
      </c>
      <c r="P116" s="117">
        <v>376.89187484737647</v>
      </c>
      <c r="Q116" s="117">
        <v>388.11102408142636</v>
      </c>
      <c r="R116" s="117">
        <v>468.85401240014522</v>
      </c>
      <c r="S116" s="117">
        <v>1018.0957825629449</v>
      </c>
      <c r="T116" s="117">
        <v>1151.8176301106237</v>
      </c>
      <c r="U116" s="117">
        <v>1471.1494120053969</v>
      </c>
      <c r="V116" s="117">
        <v>1591.8808604451426</v>
      </c>
      <c r="W116" s="117">
        <v>1847.6686809623939</v>
      </c>
      <c r="X116" s="117">
        <v>2852.1106833832155</v>
      </c>
      <c r="Y116" s="117">
        <v>3911.5435760105984</v>
      </c>
      <c r="Z116" s="117">
        <v>2736.020465653568</v>
      </c>
      <c r="AA116" s="117">
        <v>2951.3531492151637</v>
      </c>
      <c r="AB116" s="117">
        <v>2740.0100703465714</v>
      </c>
      <c r="AC116" s="117">
        <v>3081.0597754309497</v>
      </c>
      <c r="AD116" s="117">
        <v>3103.9855933449862</v>
      </c>
      <c r="AE116" s="117">
        <v>2962.1872277043585</v>
      </c>
      <c r="AF116" s="117">
        <v>3482.1675980390332</v>
      </c>
      <c r="AG116" s="117">
        <v>3762.4514890153168</v>
      </c>
      <c r="AH116" s="117">
        <v>3862.4045088320804</v>
      </c>
      <c r="AI116" s="117">
        <v>10326.921662125882</v>
      </c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>
        <v>1391.9634894029145</v>
      </c>
      <c r="AX116" s="117">
        <v>1855.5220037520171</v>
      </c>
      <c r="AY116" s="117">
        <v>2373.2147846439143</v>
      </c>
      <c r="AZ116" s="117">
        <v>3182.9479820141232</v>
      </c>
      <c r="BA116" s="117">
        <v>4636.6109775827126</v>
      </c>
      <c r="BB116" s="117">
        <v>3853.9409348118461</v>
      </c>
      <c r="BC116" s="117">
        <v>4657.2804258053557</v>
      </c>
      <c r="BD116" s="117">
        <v>6045.4955507169807</v>
      </c>
      <c r="BE116" s="117">
        <v>6836.0273134630988</v>
      </c>
      <c r="BF116" s="117">
        <v>7076.5546077566714</v>
      </c>
      <c r="BG116" s="117">
        <v>6818.8046210291041</v>
      </c>
      <c r="BH116" s="117">
        <v>4989.8030747307121</v>
      </c>
      <c r="BI116" s="117">
        <v>4776.7264993933059</v>
      </c>
      <c r="BJ116" s="117">
        <v>5205.2882548199796</v>
      </c>
      <c r="BK116" s="117">
        <v>5834.1662107613856</v>
      </c>
      <c r="BL116" s="117">
        <v>5955.1090103681581</v>
      </c>
    </row>
    <row r="117" spans="1:64" hidden="1">
      <c r="A117" s="117" t="s">
        <v>999</v>
      </c>
      <c r="B117" s="117" t="s">
        <v>1000</v>
      </c>
      <c r="C117" s="117" t="s">
        <v>775</v>
      </c>
      <c r="D117" s="117" t="s">
        <v>776</v>
      </c>
      <c r="E117" s="117">
        <v>1414.9822694062102</v>
      </c>
      <c r="F117" s="117">
        <v>1418.1258697152584</v>
      </c>
      <c r="G117" s="117">
        <v>1562.2307304583746</v>
      </c>
      <c r="H117" s="117">
        <v>1831.7056558197173</v>
      </c>
      <c r="I117" s="117">
        <v>2297.9206432037981</v>
      </c>
      <c r="J117" s="117">
        <v>2723.520949890732</v>
      </c>
      <c r="K117" s="117">
        <v>3215.6941780432885</v>
      </c>
      <c r="L117" s="117">
        <v>3125.6494918501435</v>
      </c>
      <c r="M117" s="117">
        <v>2354.4800267130499</v>
      </c>
      <c r="N117" s="117">
        <v>2039.1962951726166</v>
      </c>
      <c r="O117" s="117">
        <v>2580.2277018415898</v>
      </c>
      <c r="P117" s="117">
        <v>3256.9881803802073</v>
      </c>
      <c r="Q117" s="117">
        <v>4020.8784542443159</v>
      </c>
      <c r="R117" s="117">
        <v>5445.5155462952116</v>
      </c>
      <c r="S117" s="117">
        <v>7051.1351006088653</v>
      </c>
      <c r="T117" s="117">
        <v>6463.878861531799</v>
      </c>
      <c r="U117" s="117">
        <v>7594.6739970318913</v>
      </c>
      <c r="V117" s="117">
        <v>9972.2225247103634</v>
      </c>
      <c r="W117" s="117">
        <v>11253.625790664728</v>
      </c>
      <c r="X117" s="117">
        <v>12659.641704119476</v>
      </c>
      <c r="Y117" s="117">
        <v>14844.094002864404</v>
      </c>
      <c r="Z117" s="117">
        <v>15160.007073483272</v>
      </c>
      <c r="AA117" s="117">
        <v>13732.346813973661</v>
      </c>
      <c r="AB117" s="117">
        <v>11689.353492606533</v>
      </c>
      <c r="AC117" s="117">
        <v>11977.516835968621</v>
      </c>
      <c r="AD117" s="117">
        <v>12379.76763628906</v>
      </c>
      <c r="AE117" s="117">
        <v>16430.708501376215</v>
      </c>
      <c r="AF117" s="117">
        <v>22486.93840737981</v>
      </c>
      <c r="AG117" s="117">
        <v>24488.728015826186</v>
      </c>
      <c r="AH117" s="117">
        <v>22468.068657539279</v>
      </c>
      <c r="AI117" s="117">
        <v>25423.072005848215</v>
      </c>
      <c r="AJ117" s="117">
        <v>26843.278095719117</v>
      </c>
      <c r="AK117" s="117">
        <v>27165.046020651978</v>
      </c>
      <c r="AL117" s="117">
        <v>23615.239001733902</v>
      </c>
      <c r="AM117" s="117">
        <v>24054.734668646655</v>
      </c>
      <c r="AN117" s="117">
        <v>26673.625324993041</v>
      </c>
      <c r="AO117" s="117">
        <v>27659.876119742006</v>
      </c>
      <c r="AP117" s="117">
        <v>27960.922435534023</v>
      </c>
      <c r="AQ117" s="117">
        <v>30995.029682494835</v>
      </c>
      <c r="AR117" s="117">
        <v>32343.991587217122</v>
      </c>
      <c r="AS117" s="117">
        <v>32018.063681433108</v>
      </c>
      <c r="AT117" s="117">
        <v>28793.960752355779</v>
      </c>
      <c r="AU117" s="117">
        <v>32326.638238457359</v>
      </c>
      <c r="AV117" s="117">
        <v>39423.928014338591</v>
      </c>
      <c r="AW117" s="117">
        <v>47367.278167648408</v>
      </c>
      <c r="AX117" s="117">
        <v>56658.592667962272</v>
      </c>
      <c r="AY117" s="117">
        <v>56673.602444534707</v>
      </c>
      <c r="AZ117" s="117">
        <v>69054.270791474657</v>
      </c>
      <c r="BA117" s="117">
        <v>56409.773098687787</v>
      </c>
      <c r="BB117" s="117">
        <v>41333.418526258036</v>
      </c>
      <c r="BC117" s="117">
        <v>43024.923485349886</v>
      </c>
      <c r="BD117" s="117">
        <v>47516.874685899289</v>
      </c>
      <c r="BE117" s="117">
        <v>45910.020554989926</v>
      </c>
      <c r="BF117" s="117">
        <v>49522.236587390944</v>
      </c>
      <c r="BG117" s="117">
        <v>54241.934655019344</v>
      </c>
      <c r="BH117" s="117">
        <v>52564.42918633017</v>
      </c>
      <c r="BI117" s="117">
        <v>61466.803966627616</v>
      </c>
      <c r="BJ117" s="117">
        <v>71310.939253508608</v>
      </c>
      <c r="BK117" s="117">
        <v>72968.704230667761</v>
      </c>
      <c r="BL117" s="117">
        <v>66944.82550803489</v>
      </c>
    </row>
    <row r="118" spans="1:64" hidden="1">
      <c r="A118" s="117" t="s">
        <v>1001</v>
      </c>
      <c r="B118" s="117" t="s">
        <v>1002</v>
      </c>
      <c r="C118" s="117" t="s">
        <v>775</v>
      </c>
      <c r="D118" s="117" t="s">
        <v>776</v>
      </c>
      <c r="E118" s="117">
        <v>1229.1747476372032</v>
      </c>
      <c r="F118" s="117">
        <v>1436.3844393592678</v>
      </c>
      <c r="G118" s="117">
        <v>1094.6358482337548</v>
      </c>
      <c r="H118" s="117">
        <v>1257.8114053523891</v>
      </c>
      <c r="I118" s="117">
        <v>1375.8922558922559</v>
      </c>
      <c r="J118" s="117">
        <v>1429.3146052802706</v>
      </c>
      <c r="K118" s="117">
        <v>1513.8836059338153</v>
      </c>
      <c r="L118" s="117">
        <v>1468.1238615664847</v>
      </c>
      <c r="M118" s="117">
        <v>1647.8772743489119</v>
      </c>
      <c r="N118" s="117">
        <v>1852.3925385239256</v>
      </c>
      <c r="O118" s="117">
        <v>2370.0963909437346</v>
      </c>
      <c r="P118" s="117">
        <v>2186.950146627566</v>
      </c>
      <c r="Q118" s="117">
        <v>2787.5635324015248</v>
      </c>
      <c r="R118" s="117">
        <v>3455.2318486882245</v>
      </c>
      <c r="S118" s="117">
        <v>4838.9102753923598</v>
      </c>
      <c r="T118" s="117">
        <v>4445.7790641582251</v>
      </c>
      <c r="U118" s="117">
        <v>4297.5162751202943</v>
      </c>
      <c r="V118" s="117">
        <v>4808.41406033767</v>
      </c>
      <c r="W118" s="117">
        <v>4564.5464689941018</v>
      </c>
      <c r="X118" s="117">
        <v>5682.5356576862123</v>
      </c>
      <c r="Y118" s="117">
        <v>6231.1783919343907</v>
      </c>
      <c r="Z118" s="117">
        <v>6465.9322725418197</v>
      </c>
      <c r="AA118" s="117">
        <v>6905.8571788801401</v>
      </c>
      <c r="AB118" s="117">
        <v>7574.2337484449563</v>
      </c>
      <c r="AC118" s="117">
        <v>7011.4110919070617</v>
      </c>
      <c r="AD118" s="117">
        <v>6497.7337060015243</v>
      </c>
      <c r="AE118" s="117">
        <v>7931.5095646029904</v>
      </c>
      <c r="AF118" s="117">
        <v>9375.8929520572074</v>
      </c>
      <c r="AG118" s="117">
        <v>11278.563332417107</v>
      </c>
      <c r="AH118" s="117">
        <v>11045.144579963038</v>
      </c>
      <c r="AI118" s="117">
        <v>12663.363653547893</v>
      </c>
      <c r="AJ118" s="117">
        <v>13650.841177527342</v>
      </c>
      <c r="AK118" s="117">
        <v>14758.346085190096</v>
      </c>
      <c r="AL118" s="117">
        <v>14443.242971977439</v>
      </c>
      <c r="AM118" s="117">
        <v>15992.342397462291</v>
      </c>
      <c r="AN118" s="117">
        <v>18103.662516513916</v>
      </c>
      <c r="AO118" s="117">
        <v>19324.639358529439</v>
      </c>
      <c r="AP118" s="117">
        <v>19652.607437603856</v>
      </c>
      <c r="AQ118" s="117">
        <v>19415.985068855403</v>
      </c>
      <c r="AR118" s="117">
        <v>19120.250646182089</v>
      </c>
      <c r="AS118" s="117">
        <v>21043.574932243271</v>
      </c>
      <c r="AT118" s="117">
        <v>20306.932238845511</v>
      </c>
      <c r="AU118" s="117">
        <v>18435.89476275941</v>
      </c>
      <c r="AV118" s="117">
        <v>18979.323446779708</v>
      </c>
      <c r="AW118" s="117">
        <v>19896.817740438426</v>
      </c>
      <c r="AX118" s="117">
        <v>20566.645489864164</v>
      </c>
      <c r="AY118" s="117">
        <v>21837.37848837857</v>
      </c>
      <c r="AZ118" s="117">
        <v>24924.330949664782</v>
      </c>
      <c r="BA118" s="117">
        <v>29567.803875677975</v>
      </c>
      <c r="BB118" s="117">
        <v>27715.636808319046</v>
      </c>
      <c r="BC118" s="117">
        <v>30693.593078687107</v>
      </c>
      <c r="BD118" s="117">
        <v>33669.246469288395</v>
      </c>
      <c r="BE118" s="117">
        <v>32511.237852492526</v>
      </c>
      <c r="BF118" s="117">
        <v>36309.4688256886</v>
      </c>
      <c r="BG118" s="117">
        <v>37678.889774318246</v>
      </c>
      <c r="BH118" s="117">
        <v>35776.795171017198</v>
      </c>
      <c r="BI118" s="117">
        <v>37321.624036684516</v>
      </c>
      <c r="BJ118" s="117">
        <v>40541.862090708441</v>
      </c>
      <c r="BK118" s="117">
        <v>41719.725441705676</v>
      </c>
      <c r="BL118" s="117">
        <v>43641.397735810759</v>
      </c>
    </row>
    <row r="119" spans="1:64" hidden="1">
      <c r="A119" s="117" t="s">
        <v>1003</v>
      </c>
      <c r="B119" s="117" t="s">
        <v>1004</v>
      </c>
      <c r="C119" s="117" t="s">
        <v>775</v>
      </c>
      <c r="D119" s="117" t="s">
        <v>776</v>
      </c>
      <c r="E119" s="117">
        <v>804.49262334617833</v>
      </c>
      <c r="F119" s="117">
        <v>887.33674460447548</v>
      </c>
      <c r="G119" s="117">
        <v>990.26015216342</v>
      </c>
      <c r="H119" s="117">
        <v>1126.0193369982469</v>
      </c>
      <c r="I119" s="117">
        <v>1222.5445404628979</v>
      </c>
      <c r="J119" s="117">
        <v>1304.4538166196512</v>
      </c>
      <c r="K119" s="117">
        <v>1402.4423544103229</v>
      </c>
      <c r="L119" s="117">
        <v>1533.6928774854725</v>
      </c>
      <c r="M119" s="117">
        <v>1651.9393767975566</v>
      </c>
      <c r="N119" s="117">
        <v>1813.3881257570581</v>
      </c>
      <c r="O119" s="117">
        <v>2106.8639534936233</v>
      </c>
      <c r="P119" s="117">
        <v>2305.6097736838974</v>
      </c>
      <c r="Q119" s="117">
        <v>2671.1373083661711</v>
      </c>
      <c r="R119" s="117">
        <v>3205.2520646479675</v>
      </c>
      <c r="S119" s="117">
        <v>3621.1458386846916</v>
      </c>
      <c r="T119" s="117">
        <v>4106.9938570158183</v>
      </c>
      <c r="U119" s="117">
        <v>4033.0993669702266</v>
      </c>
      <c r="V119" s="117">
        <v>4603.5996934267905</v>
      </c>
      <c r="W119" s="117">
        <v>5610.4981074075686</v>
      </c>
      <c r="X119" s="117">
        <v>6990.2857943004419</v>
      </c>
      <c r="Y119" s="117">
        <v>8456.9189824508649</v>
      </c>
      <c r="Z119" s="117">
        <v>7622.8333284458349</v>
      </c>
      <c r="AA119" s="117">
        <v>7556.5234293362628</v>
      </c>
      <c r="AB119" s="117">
        <v>7832.5753890423312</v>
      </c>
      <c r="AC119" s="117">
        <v>7739.7152797221806</v>
      </c>
      <c r="AD119" s="117">
        <v>7990.6865619280024</v>
      </c>
      <c r="AE119" s="117">
        <v>11315.015165317367</v>
      </c>
      <c r="AF119" s="117">
        <v>14234.728648604492</v>
      </c>
      <c r="AG119" s="117">
        <v>15744.661271423793</v>
      </c>
      <c r="AH119" s="117">
        <v>16386.662217066962</v>
      </c>
      <c r="AI119" s="117">
        <v>20825.784208584813</v>
      </c>
      <c r="AJ119" s="117">
        <v>21956.529759733712</v>
      </c>
      <c r="AK119" s="117">
        <v>23243.474541551306</v>
      </c>
      <c r="AL119" s="117">
        <v>18738.763903408508</v>
      </c>
      <c r="AM119" s="117">
        <v>19337.63090597554</v>
      </c>
      <c r="AN119" s="117">
        <v>20664.552270172368</v>
      </c>
      <c r="AO119" s="117">
        <v>23081.604675770181</v>
      </c>
      <c r="AP119" s="117">
        <v>21829.345822622159</v>
      </c>
      <c r="AQ119" s="117">
        <v>22318.137300710863</v>
      </c>
      <c r="AR119" s="117">
        <v>21997.624315531288</v>
      </c>
      <c r="AS119" s="117">
        <v>20087.591985879448</v>
      </c>
      <c r="AT119" s="117">
        <v>20483.215994997408</v>
      </c>
      <c r="AU119" s="117">
        <v>22270.144123428239</v>
      </c>
      <c r="AV119" s="117">
        <v>27465.675298722446</v>
      </c>
      <c r="AW119" s="117">
        <v>31259.716495430945</v>
      </c>
      <c r="AX119" s="117">
        <v>32043.140368411867</v>
      </c>
      <c r="AY119" s="117">
        <v>33501.658167304398</v>
      </c>
      <c r="AZ119" s="117">
        <v>37822.665237742724</v>
      </c>
      <c r="BA119" s="117">
        <v>40778.342736720944</v>
      </c>
      <c r="BB119" s="117">
        <v>37079.758670454583</v>
      </c>
      <c r="BC119" s="117">
        <v>36000.520117925444</v>
      </c>
      <c r="BD119" s="117">
        <v>38599.06220703217</v>
      </c>
      <c r="BE119" s="117">
        <v>35053.526244257242</v>
      </c>
      <c r="BF119" s="117">
        <v>35549.974697295402</v>
      </c>
      <c r="BG119" s="117">
        <v>35518.415291674879</v>
      </c>
      <c r="BH119" s="117">
        <v>30230.226302129598</v>
      </c>
      <c r="BI119" s="117">
        <v>30939.714246229771</v>
      </c>
      <c r="BJ119" s="117">
        <v>32406.72031501343</v>
      </c>
      <c r="BK119" s="117">
        <v>34520.085162402967</v>
      </c>
      <c r="BL119" s="117">
        <v>33189.565798854157</v>
      </c>
    </row>
    <row r="120" spans="1:64" hidden="1">
      <c r="A120" s="117" t="s">
        <v>1005</v>
      </c>
      <c r="B120" s="117" t="s">
        <v>1006</v>
      </c>
      <c r="C120" s="117" t="s">
        <v>775</v>
      </c>
      <c r="D120" s="117" t="s">
        <v>776</v>
      </c>
      <c r="E120" s="117">
        <v>429.25520041904321</v>
      </c>
      <c r="F120" s="117">
        <v>453.05618795971554</v>
      </c>
      <c r="G120" s="117">
        <v>463.89023671986172</v>
      </c>
      <c r="H120" s="117">
        <v>485.24637158119594</v>
      </c>
      <c r="I120" s="117">
        <v>518.81417139507676</v>
      </c>
      <c r="J120" s="117">
        <v>553.44974053043575</v>
      </c>
      <c r="K120" s="117">
        <v>615.96572752350448</v>
      </c>
      <c r="L120" s="117">
        <v>636.61804003952557</v>
      </c>
      <c r="M120" s="117">
        <v>593.62277310501599</v>
      </c>
      <c r="N120" s="117">
        <v>644.0569420283598</v>
      </c>
      <c r="O120" s="117">
        <v>748.95746152135723</v>
      </c>
      <c r="P120" s="117">
        <v>808.63567777408025</v>
      </c>
      <c r="Q120" s="117">
        <v>968.96742283853735</v>
      </c>
      <c r="R120" s="117">
        <v>968.95919986308388</v>
      </c>
      <c r="S120" s="117">
        <v>1188.5530461192486</v>
      </c>
      <c r="T120" s="117">
        <v>1410.4480861527429</v>
      </c>
      <c r="U120" s="117">
        <v>1443.0576709721636</v>
      </c>
      <c r="V120" s="117">
        <v>1561.7305744801331</v>
      </c>
      <c r="W120" s="117">
        <v>1255.7293519102288</v>
      </c>
      <c r="X120" s="117">
        <v>1137.0269381052301</v>
      </c>
      <c r="Y120" s="117">
        <v>1238.8350595645854</v>
      </c>
      <c r="Z120" s="117">
        <v>1356.0166307173952</v>
      </c>
      <c r="AA120" s="117">
        <v>1474.2387004560915</v>
      </c>
      <c r="AB120" s="117">
        <v>1593.1842963669371</v>
      </c>
      <c r="AC120" s="117">
        <v>1029.1371610109313</v>
      </c>
      <c r="AD120" s="117">
        <v>899.25675750219716</v>
      </c>
      <c r="AE120" s="117">
        <v>1168.0992842312821</v>
      </c>
      <c r="AF120" s="117">
        <v>1383.7657817952513</v>
      </c>
      <c r="AG120" s="117">
        <v>1602.1985062335254</v>
      </c>
      <c r="AH120" s="117">
        <v>1832.7589091568939</v>
      </c>
      <c r="AI120" s="117">
        <v>1897.686962787785</v>
      </c>
      <c r="AJ120" s="117">
        <v>1668.9880098567915</v>
      </c>
      <c r="AK120" s="117">
        <v>1434.7104624984361</v>
      </c>
      <c r="AL120" s="117">
        <v>2175.456373001713</v>
      </c>
      <c r="AM120" s="117">
        <v>2159.84137192465</v>
      </c>
      <c r="AN120" s="117">
        <v>2580.736386166875</v>
      </c>
      <c r="AO120" s="117">
        <v>2879.6581930144839</v>
      </c>
      <c r="AP120" s="117">
        <v>3241.2344066037017</v>
      </c>
      <c r="AQ120" s="117">
        <v>3359.0058409486837</v>
      </c>
      <c r="AR120" s="117">
        <v>3362.200663831677</v>
      </c>
      <c r="AS120" s="117">
        <v>3384.6948609054566</v>
      </c>
      <c r="AT120" s="117">
        <v>3431.4164692199561</v>
      </c>
      <c r="AU120" s="117">
        <v>3599.9731722031997</v>
      </c>
      <c r="AV120" s="117">
        <v>3469.1515651345635</v>
      </c>
      <c r="AW120" s="117">
        <v>3725.1090928117528</v>
      </c>
      <c r="AX120" s="117">
        <v>4089.1984424834573</v>
      </c>
      <c r="AY120" s="117">
        <v>4321.0433272426308</v>
      </c>
      <c r="AZ120" s="117">
        <v>4633.9443857882834</v>
      </c>
      <c r="BA120" s="117">
        <v>4917.7183983030409</v>
      </c>
      <c r="BB120" s="117">
        <v>4316.2310526584206</v>
      </c>
      <c r="BC120" s="117">
        <v>4704.0544546816591</v>
      </c>
      <c r="BD120" s="117">
        <v>5111.4714134279993</v>
      </c>
      <c r="BE120" s="117">
        <v>5209.851931300127</v>
      </c>
      <c r="BF120" s="117">
        <v>4989.1713909115424</v>
      </c>
      <c r="BG120" s="117">
        <v>4833.7903182140517</v>
      </c>
      <c r="BH120" s="117">
        <v>4907.5037197431566</v>
      </c>
      <c r="BI120" s="117">
        <v>4843.3384741086447</v>
      </c>
      <c r="BJ120" s="117">
        <v>5069.1838381072585</v>
      </c>
      <c r="BK120" s="117">
        <v>5354.2368587703022</v>
      </c>
      <c r="BL120" s="117">
        <v>5582.263777552108</v>
      </c>
    </row>
    <row r="121" spans="1:64" hidden="1">
      <c r="A121" s="117" t="s">
        <v>1007</v>
      </c>
      <c r="B121" s="117" t="s">
        <v>1008</v>
      </c>
      <c r="C121" s="117" t="s">
        <v>775</v>
      </c>
      <c r="D121" s="117" t="s">
        <v>776</v>
      </c>
      <c r="E121" s="117"/>
      <c r="F121" s="117"/>
      <c r="G121" s="117"/>
      <c r="H121" s="117"/>
      <c r="I121" s="117"/>
      <c r="J121" s="117">
        <v>511.10166430435817</v>
      </c>
      <c r="K121" s="117">
        <v>519.37392919710101</v>
      </c>
      <c r="L121" s="117">
        <v>458.12670554800195</v>
      </c>
      <c r="M121" s="117">
        <v>374.08424449949626</v>
      </c>
      <c r="N121" s="117">
        <v>432.14527983012528</v>
      </c>
      <c r="O121" s="117">
        <v>371.57276792919936</v>
      </c>
      <c r="P121" s="117">
        <v>374.88842414233392</v>
      </c>
      <c r="Q121" s="117">
        <v>418.57846950955042</v>
      </c>
      <c r="R121" s="117">
        <v>484.33597088260984</v>
      </c>
      <c r="S121" s="117">
        <v>596.42044730409373</v>
      </c>
      <c r="T121" s="117">
        <v>659.77579870244551</v>
      </c>
      <c r="U121" s="117">
        <v>804.79984728522106</v>
      </c>
      <c r="V121" s="117">
        <v>962.00976092140263</v>
      </c>
      <c r="W121" s="117">
        <v>1163.0093756183587</v>
      </c>
      <c r="X121" s="117">
        <v>1420.5622940201481</v>
      </c>
      <c r="Y121" s="117">
        <v>1644.2578412245043</v>
      </c>
      <c r="Z121" s="117">
        <v>1778.8729493413696</v>
      </c>
      <c r="AA121" s="117">
        <v>1825.8261352829829</v>
      </c>
      <c r="AB121" s="117">
        <v>1841.8745440004175</v>
      </c>
      <c r="AC121" s="117">
        <v>1783.722754801878</v>
      </c>
      <c r="AD121" s="117">
        <v>1721.9809713975969</v>
      </c>
      <c r="AE121" s="117">
        <v>2122.9669097492488</v>
      </c>
      <c r="AF121" s="117">
        <v>2157.1006265213555</v>
      </c>
      <c r="AG121" s="117">
        <v>1927.5558535153975</v>
      </c>
      <c r="AH121" s="117">
        <v>1241.6991010643344</v>
      </c>
      <c r="AI121" s="117">
        <v>1166.6102760972929</v>
      </c>
      <c r="AJ121" s="117">
        <v>1155.2333141725921</v>
      </c>
      <c r="AK121" s="117">
        <v>1355.2370426158359</v>
      </c>
      <c r="AL121" s="117">
        <v>1353.2571594257515</v>
      </c>
      <c r="AM121" s="117">
        <v>1434.4456982312286</v>
      </c>
      <c r="AN121" s="117">
        <v>1486.646885772981</v>
      </c>
      <c r="AO121" s="117">
        <v>1484.1368660351488</v>
      </c>
      <c r="AP121" s="117">
        <v>1515.4195969374844</v>
      </c>
      <c r="AQ121" s="117">
        <v>1622.855463593686</v>
      </c>
      <c r="AR121" s="117">
        <v>1642.3513305110237</v>
      </c>
      <c r="AS121" s="117">
        <v>1674.8252612565548</v>
      </c>
      <c r="AT121" s="117">
        <v>1744.4636017984292</v>
      </c>
      <c r="AU121" s="117">
        <v>1827.3357527640017</v>
      </c>
      <c r="AV121" s="117">
        <v>1902.5899022434569</v>
      </c>
      <c r="AW121" s="117">
        <v>2073.6413213486535</v>
      </c>
      <c r="AX121" s="117">
        <v>2214.0178172519613</v>
      </c>
      <c r="AY121" s="117">
        <v>2548.2686582439492</v>
      </c>
      <c r="AZ121" s="117">
        <v>2773.7402421277948</v>
      </c>
      <c r="BA121" s="117">
        <v>3398.151721543029</v>
      </c>
      <c r="BB121" s="117">
        <v>3504.0024603743368</v>
      </c>
      <c r="BC121" s="117">
        <v>3690.1132677867195</v>
      </c>
      <c r="BD121" s="117">
        <v>3816.2792580896703</v>
      </c>
      <c r="BE121" s="117">
        <v>3877.3393446377809</v>
      </c>
      <c r="BF121" s="117">
        <v>3998.0274727579886</v>
      </c>
      <c r="BG121" s="117">
        <v>4072.7654753503939</v>
      </c>
      <c r="BH121" s="117">
        <v>4105.4489608323838</v>
      </c>
      <c r="BI121" s="117">
        <v>4103.7335999106763</v>
      </c>
      <c r="BJ121" s="117">
        <v>4162.8206865725588</v>
      </c>
      <c r="BK121" s="117">
        <v>4241.7887821385384</v>
      </c>
      <c r="BL121" s="117">
        <v>4330.3293459325723</v>
      </c>
    </row>
    <row r="122" spans="1:64" hidden="1">
      <c r="A122" s="117" t="s">
        <v>1009</v>
      </c>
      <c r="B122" s="117" t="s">
        <v>1010</v>
      </c>
      <c r="C122" s="117" t="s">
        <v>775</v>
      </c>
      <c r="D122" s="117" t="s">
        <v>776</v>
      </c>
      <c r="E122" s="117">
        <v>478.99534016286947</v>
      </c>
      <c r="F122" s="117">
        <v>563.58675983882722</v>
      </c>
      <c r="G122" s="117">
        <v>633.64031517377634</v>
      </c>
      <c r="H122" s="117">
        <v>717.86691523089416</v>
      </c>
      <c r="I122" s="117">
        <v>835.65725248411582</v>
      </c>
      <c r="J122" s="117">
        <v>919.77668818480197</v>
      </c>
      <c r="K122" s="117">
        <v>1058.5035609090201</v>
      </c>
      <c r="L122" s="117">
        <v>1228.9092104005958</v>
      </c>
      <c r="M122" s="117">
        <v>1450.6196523437441</v>
      </c>
      <c r="N122" s="117">
        <v>1669.0981999078131</v>
      </c>
      <c r="O122" s="117">
        <v>2037.5599014886516</v>
      </c>
      <c r="P122" s="117">
        <v>2272.0778022077766</v>
      </c>
      <c r="Q122" s="117">
        <v>2967.0419962372794</v>
      </c>
      <c r="R122" s="117">
        <v>3997.8411203942173</v>
      </c>
      <c r="S122" s="117">
        <v>4353.8243551748783</v>
      </c>
      <c r="T122" s="117">
        <v>4659.1201149893095</v>
      </c>
      <c r="U122" s="117">
        <v>5197.8066967661898</v>
      </c>
      <c r="V122" s="117">
        <v>6335.7876266845842</v>
      </c>
      <c r="W122" s="117">
        <v>8821.8434917909108</v>
      </c>
      <c r="X122" s="117">
        <v>9105.1360967304354</v>
      </c>
      <c r="Y122" s="117">
        <v>9465.3797140301995</v>
      </c>
      <c r="Z122" s="117">
        <v>10361.323058018892</v>
      </c>
      <c r="AA122" s="117">
        <v>9578.1138032787112</v>
      </c>
      <c r="AB122" s="117">
        <v>10425.406820942933</v>
      </c>
      <c r="AC122" s="117">
        <v>10984.865828490372</v>
      </c>
      <c r="AD122" s="117">
        <v>11584.649326901748</v>
      </c>
      <c r="AE122" s="117">
        <v>17111.853732538362</v>
      </c>
      <c r="AF122" s="117">
        <v>20745.25209193987</v>
      </c>
      <c r="AG122" s="117">
        <v>25051.854315438919</v>
      </c>
      <c r="AH122" s="117">
        <v>24813.29937833572</v>
      </c>
      <c r="AI122" s="117">
        <v>25359.347020310041</v>
      </c>
      <c r="AJ122" s="117">
        <v>28925.041575688072</v>
      </c>
      <c r="AK122" s="117">
        <v>31464.549046227989</v>
      </c>
      <c r="AL122" s="117">
        <v>35765.914088674806</v>
      </c>
      <c r="AM122" s="117">
        <v>39268.56686862043</v>
      </c>
      <c r="AN122" s="117">
        <v>43440.367867896719</v>
      </c>
      <c r="AO122" s="117">
        <v>38436.926311911833</v>
      </c>
      <c r="AP122" s="117">
        <v>35021.719091715902</v>
      </c>
      <c r="AQ122" s="117">
        <v>31902.767095513733</v>
      </c>
      <c r="AR122" s="117">
        <v>36026.556075016808</v>
      </c>
      <c r="AS122" s="117">
        <v>38532.04087529354</v>
      </c>
      <c r="AT122" s="117">
        <v>33846.465641434232</v>
      </c>
      <c r="AU122" s="117">
        <v>32289.350536072558</v>
      </c>
      <c r="AV122" s="117">
        <v>34808.390917661287</v>
      </c>
      <c r="AW122" s="117">
        <v>37688.722335940642</v>
      </c>
      <c r="AX122" s="117">
        <v>37217.648727916981</v>
      </c>
      <c r="AY122" s="117">
        <v>35433.988963743017</v>
      </c>
      <c r="AZ122" s="117">
        <v>35275.228431266696</v>
      </c>
      <c r="BA122" s="117">
        <v>39339.297573182572</v>
      </c>
      <c r="BB122" s="117">
        <v>40855.175635459636</v>
      </c>
      <c r="BC122" s="117">
        <v>44507.676385917155</v>
      </c>
      <c r="BD122" s="117">
        <v>48167.997268496532</v>
      </c>
      <c r="BE122" s="117">
        <v>48603.476649774908</v>
      </c>
      <c r="BF122" s="117">
        <v>40454.447457890281</v>
      </c>
      <c r="BG122" s="117">
        <v>38109.412112557286</v>
      </c>
      <c r="BH122" s="117">
        <v>34524.469860933721</v>
      </c>
      <c r="BI122" s="117">
        <v>38761.818150192456</v>
      </c>
      <c r="BJ122" s="117">
        <v>38386.511145705685</v>
      </c>
      <c r="BK122" s="117">
        <v>39159.423563395205</v>
      </c>
      <c r="BL122" s="117">
        <v>40246.880128416407</v>
      </c>
    </row>
    <row r="123" spans="1:64" hidden="1">
      <c r="A123" s="117" t="s">
        <v>1011</v>
      </c>
      <c r="B123" s="117" t="s">
        <v>1012</v>
      </c>
      <c r="C123" s="117" t="s">
        <v>775</v>
      </c>
      <c r="D123" s="117" t="s">
        <v>776</v>
      </c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>
        <v>1647.4632309037563</v>
      </c>
      <c r="AJ123" s="117">
        <v>1512.4850664963958</v>
      </c>
      <c r="AK123" s="117">
        <v>1515.104058958832</v>
      </c>
      <c r="AL123" s="117">
        <v>1433.4615343113892</v>
      </c>
      <c r="AM123" s="117">
        <v>1320.3216224968733</v>
      </c>
      <c r="AN123" s="117">
        <v>1288.2390521320488</v>
      </c>
      <c r="AO123" s="117">
        <v>1350.3338662339031</v>
      </c>
      <c r="AP123" s="117">
        <v>1445.5694141829947</v>
      </c>
      <c r="AQ123" s="117">
        <v>1468.7017983339974</v>
      </c>
      <c r="AR123" s="117">
        <v>1130.1135923356335</v>
      </c>
      <c r="AS123" s="117">
        <v>1229.0009584450054</v>
      </c>
      <c r="AT123" s="117">
        <v>1490.9270898716604</v>
      </c>
      <c r="AU123" s="117">
        <v>1658.0307854463636</v>
      </c>
      <c r="AV123" s="117">
        <v>2068.1241180847328</v>
      </c>
      <c r="AW123" s="117">
        <v>2874.2882912764935</v>
      </c>
      <c r="AX123" s="117">
        <v>3771.2789573384493</v>
      </c>
      <c r="AY123" s="117">
        <v>5291.575650186518</v>
      </c>
      <c r="AZ123" s="117">
        <v>6771.4147968188545</v>
      </c>
      <c r="BA123" s="117">
        <v>8513.5646450681379</v>
      </c>
      <c r="BB123" s="117">
        <v>7165.2231748370332</v>
      </c>
      <c r="BC123" s="117">
        <v>9070.4882528574744</v>
      </c>
      <c r="BD123" s="117">
        <v>11634.001904765415</v>
      </c>
      <c r="BE123" s="117">
        <v>12386.700002947178</v>
      </c>
      <c r="BF123" s="117">
        <v>13890.631771683453</v>
      </c>
      <c r="BG123" s="117">
        <v>12807.260686615242</v>
      </c>
      <c r="BH123" s="117">
        <v>10510.771888414849</v>
      </c>
      <c r="BI123" s="117">
        <v>7714.8418437602413</v>
      </c>
      <c r="BJ123" s="117">
        <v>9247.5813312962564</v>
      </c>
      <c r="BK123" s="117">
        <v>9812.6014049892801</v>
      </c>
      <c r="BL123" s="117">
        <v>9731.1452068872895</v>
      </c>
    </row>
    <row r="124" spans="1:64" hidden="1">
      <c r="A124" s="117" t="s">
        <v>1013</v>
      </c>
      <c r="B124" s="117" t="s">
        <v>1014</v>
      </c>
      <c r="C124" s="117" t="s">
        <v>775</v>
      </c>
      <c r="D124" s="117" t="s">
        <v>776</v>
      </c>
      <c r="E124" s="117">
        <v>97.445525021683991</v>
      </c>
      <c r="F124" s="117">
        <v>94.651258787502414</v>
      </c>
      <c r="G124" s="117">
        <v>100.3943906182232</v>
      </c>
      <c r="H124" s="117">
        <v>103.77870941447608</v>
      </c>
      <c r="I124" s="117">
        <v>108.2936883984986</v>
      </c>
      <c r="J124" s="117">
        <v>104.71156399574791</v>
      </c>
      <c r="K124" s="117">
        <v>118.20801835727137</v>
      </c>
      <c r="L124" s="117">
        <v>120.98769743832496</v>
      </c>
      <c r="M124" s="117">
        <v>128.39744474907457</v>
      </c>
      <c r="N124" s="117">
        <v>133.6653704195916</v>
      </c>
      <c r="O124" s="117">
        <v>141.88049343750984</v>
      </c>
      <c r="P124" s="117">
        <v>151.82993266921034</v>
      </c>
      <c r="Q124" s="117">
        <v>173.49476039351634</v>
      </c>
      <c r="R124" s="117">
        <v>198.5701733116766</v>
      </c>
      <c r="S124" s="117">
        <v>227.36344277058106</v>
      </c>
      <c r="T124" s="117">
        <v>240.08303355115504</v>
      </c>
      <c r="U124" s="117">
        <v>246.48677397918331</v>
      </c>
      <c r="V124" s="117">
        <v>307.0163690915831</v>
      </c>
      <c r="W124" s="117">
        <v>348.80660498942444</v>
      </c>
      <c r="X124" s="117">
        <v>394.63725623599868</v>
      </c>
      <c r="Y124" s="117">
        <v>442.54298292349949</v>
      </c>
      <c r="Z124" s="117">
        <v>401.69604220647631</v>
      </c>
      <c r="AA124" s="117">
        <v>362.62185061960201</v>
      </c>
      <c r="AB124" s="117">
        <v>324.3964840814856</v>
      </c>
      <c r="AC124" s="117">
        <v>323.3734315820123</v>
      </c>
      <c r="AD124" s="117">
        <v>308.64862506758703</v>
      </c>
      <c r="AE124" s="117">
        <v>351.02948988545512</v>
      </c>
      <c r="AF124" s="117">
        <v>372.77985124906184</v>
      </c>
      <c r="AG124" s="117">
        <v>377.15550589119152</v>
      </c>
      <c r="AH124" s="117">
        <v>361.15462926277996</v>
      </c>
      <c r="AI124" s="117">
        <v>361.32818891565182</v>
      </c>
      <c r="AJ124" s="117">
        <v>332.41895981748638</v>
      </c>
      <c r="AK124" s="117">
        <v>324.13740381501174</v>
      </c>
      <c r="AL124" s="117">
        <v>220.06972681330871</v>
      </c>
      <c r="AM124" s="117">
        <v>265.23225646151712</v>
      </c>
      <c r="AN124" s="117">
        <v>325.77894084637262</v>
      </c>
      <c r="AO124" s="117">
        <v>421.33927077648087</v>
      </c>
      <c r="AP124" s="117">
        <v>445.8772702514114</v>
      </c>
      <c r="AQ124" s="117">
        <v>465.90980098348763</v>
      </c>
      <c r="AR124" s="117">
        <v>414.67938981395389</v>
      </c>
      <c r="AS124" s="117">
        <v>397.48265877751913</v>
      </c>
      <c r="AT124" s="117">
        <v>395.32953178343053</v>
      </c>
      <c r="AU124" s="117">
        <v>389.54271099110065</v>
      </c>
      <c r="AV124" s="117">
        <v>429.78784373716178</v>
      </c>
      <c r="AW124" s="117">
        <v>451.66871591453878</v>
      </c>
      <c r="AX124" s="117">
        <v>511.61642223942999</v>
      </c>
      <c r="AY124" s="117">
        <v>685.95453224008247</v>
      </c>
      <c r="AZ124" s="117">
        <v>825.66659762231291</v>
      </c>
      <c r="BA124" s="117">
        <v>902.07002581373581</v>
      </c>
      <c r="BB124" s="117">
        <v>905.13178612848537</v>
      </c>
      <c r="BC124" s="117">
        <v>951.68796111687857</v>
      </c>
      <c r="BD124" s="117">
        <v>971.63332904823039</v>
      </c>
      <c r="BE124" s="117">
        <v>1136.8714057177626</v>
      </c>
      <c r="BF124" s="117">
        <v>1210.3880140819497</v>
      </c>
      <c r="BG124" s="117">
        <v>1315.8045353723835</v>
      </c>
      <c r="BH124" s="117">
        <v>1336.8833488560344</v>
      </c>
      <c r="BI124" s="117">
        <v>1410.5275680901054</v>
      </c>
      <c r="BJ124" s="117">
        <v>1572.3354959378089</v>
      </c>
      <c r="BK124" s="117">
        <v>1707.9868052900342</v>
      </c>
      <c r="BL124" s="117">
        <v>1816.5469164388999</v>
      </c>
    </row>
    <row r="125" spans="1:64" hidden="1">
      <c r="A125" s="117" t="s">
        <v>1015</v>
      </c>
      <c r="B125" s="117" t="s">
        <v>1016</v>
      </c>
      <c r="C125" s="117" t="s">
        <v>775</v>
      </c>
      <c r="D125" s="117" t="s">
        <v>776</v>
      </c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>
        <v>609.17289123701948</v>
      </c>
      <c r="AJ125" s="117">
        <v>575.64397447003421</v>
      </c>
      <c r="AK125" s="117">
        <v>513.0359436594764</v>
      </c>
      <c r="AL125" s="117">
        <v>449.0657901887339</v>
      </c>
      <c r="AM125" s="117">
        <v>372.3078100168309</v>
      </c>
      <c r="AN125" s="117">
        <v>364.22649735078465</v>
      </c>
      <c r="AO125" s="117">
        <v>394.86012146051439</v>
      </c>
      <c r="AP125" s="117">
        <v>376.42961326109986</v>
      </c>
      <c r="AQ125" s="117">
        <v>345.13813164845078</v>
      </c>
      <c r="AR125" s="117">
        <v>258.04922878575479</v>
      </c>
      <c r="AS125" s="117">
        <v>279.61956926093882</v>
      </c>
      <c r="AT125" s="117">
        <v>308.4096115911492</v>
      </c>
      <c r="AU125" s="117">
        <v>321.72703322784616</v>
      </c>
      <c r="AV125" s="117">
        <v>380.50643239474402</v>
      </c>
      <c r="AW125" s="117">
        <v>433.23497659086701</v>
      </c>
      <c r="AX125" s="117">
        <v>476.55212996897524</v>
      </c>
      <c r="AY125" s="117">
        <v>543.11070240307208</v>
      </c>
      <c r="AZ125" s="117">
        <v>721.76869083885708</v>
      </c>
      <c r="BA125" s="117">
        <v>966.39362718537234</v>
      </c>
      <c r="BB125" s="117">
        <v>871.22438933785406</v>
      </c>
      <c r="BC125" s="117">
        <v>880.03777511910869</v>
      </c>
      <c r="BD125" s="117">
        <v>1123.8831680626986</v>
      </c>
      <c r="BE125" s="117">
        <v>1177.9747348784833</v>
      </c>
      <c r="BF125" s="117">
        <v>1282.4371620246661</v>
      </c>
      <c r="BG125" s="117">
        <v>1279.7697826598551</v>
      </c>
      <c r="BH125" s="117">
        <v>1121.0828351073899</v>
      </c>
      <c r="BI125" s="117">
        <v>1120.6665130084834</v>
      </c>
      <c r="BJ125" s="117">
        <v>1242.7696428202323</v>
      </c>
      <c r="BK125" s="117">
        <v>1308.1401654961901</v>
      </c>
      <c r="BL125" s="117">
        <v>1309.3929916551213</v>
      </c>
    </row>
    <row r="126" spans="1:64" hidden="1">
      <c r="A126" s="117" t="s">
        <v>1017</v>
      </c>
      <c r="B126" s="117" t="s">
        <v>1018</v>
      </c>
      <c r="C126" s="117" t="s">
        <v>775</v>
      </c>
      <c r="D126" s="117" t="s">
        <v>776</v>
      </c>
      <c r="E126" s="117">
        <v>111.34247972680653</v>
      </c>
      <c r="F126" s="117">
        <v>109.46038752577731</v>
      </c>
      <c r="G126" s="117">
        <v>109.4812246455883</v>
      </c>
      <c r="H126" s="117">
        <v>117.82348831080118</v>
      </c>
      <c r="I126" s="117">
        <v>123.64580818252323</v>
      </c>
      <c r="J126" s="117">
        <v>134.30415504142343</v>
      </c>
      <c r="K126" s="117">
        <v>138.84295440885498</v>
      </c>
      <c r="L126" s="117">
        <v>144.01179999367545</v>
      </c>
      <c r="M126" s="117">
        <v>157.1899306823988</v>
      </c>
      <c r="N126" s="117">
        <v>142.26520365879168</v>
      </c>
      <c r="O126" s="117">
        <v>102.67896149833331</v>
      </c>
      <c r="P126" s="117">
        <v>135.84865209641046</v>
      </c>
      <c r="Q126" s="117">
        <v>69.233327372738742</v>
      </c>
      <c r="R126" s="117">
        <v>94.358531165474034</v>
      </c>
      <c r="S126" s="117">
        <v>78.111993635989847</v>
      </c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>
        <v>254.11648191177633</v>
      </c>
      <c r="AM126" s="117">
        <v>270.54299254785593</v>
      </c>
      <c r="AN126" s="117">
        <v>322.9317875684979</v>
      </c>
      <c r="AO126" s="117">
        <v>319.28637169638887</v>
      </c>
      <c r="AP126" s="117">
        <v>304.76460700360224</v>
      </c>
      <c r="AQ126" s="117">
        <v>268.99041857326722</v>
      </c>
      <c r="AR126" s="117">
        <v>295.90332773888605</v>
      </c>
      <c r="AS126" s="117">
        <v>302.57716356513305</v>
      </c>
      <c r="AT126" s="117">
        <v>321.15030130596631</v>
      </c>
      <c r="AU126" s="117">
        <v>338.98726270457155</v>
      </c>
      <c r="AV126" s="117">
        <v>362.33570765016918</v>
      </c>
      <c r="AW126" s="117">
        <v>408.51382634736592</v>
      </c>
      <c r="AX126" s="117">
        <v>474.11122779009889</v>
      </c>
      <c r="AY126" s="117">
        <v>539.75016871721607</v>
      </c>
      <c r="AZ126" s="117">
        <v>631.52484211438218</v>
      </c>
      <c r="BA126" s="117">
        <v>745.60918066092836</v>
      </c>
      <c r="BB126" s="117">
        <v>738.05478361750625</v>
      </c>
      <c r="BC126" s="117">
        <v>785.50228287411289</v>
      </c>
      <c r="BD126" s="117">
        <v>882.27549264007291</v>
      </c>
      <c r="BE126" s="117">
        <v>950.88034599369712</v>
      </c>
      <c r="BF126" s="117">
        <v>1013.420400615404</v>
      </c>
      <c r="BG126" s="117">
        <v>1093.4961905079645</v>
      </c>
      <c r="BH126" s="117">
        <v>1162.9049199715091</v>
      </c>
      <c r="BI126" s="117">
        <v>1269.5912573754169</v>
      </c>
      <c r="BJ126" s="117">
        <v>1385.2599796332995</v>
      </c>
      <c r="BK126" s="117">
        <v>1512.1267097284658</v>
      </c>
      <c r="BL126" s="117">
        <v>1643.1213887647521</v>
      </c>
    </row>
    <row r="127" spans="1:64" hidden="1">
      <c r="A127" s="117" t="s">
        <v>1019</v>
      </c>
      <c r="B127" s="117" t="s">
        <v>1020</v>
      </c>
      <c r="C127" s="117" t="s">
        <v>775</v>
      </c>
      <c r="D127" s="117" t="s">
        <v>776</v>
      </c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>
        <v>279.47214218086981</v>
      </c>
      <c r="P127" s="117">
        <v>293.93290647619239</v>
      </c>
      <c r="Q127" s="117">
        <v>358.7822460422089</v>
      </c>
      <c r="R127" s="117">
        <v>592.13597232239351</v>
      </c>
      <c r="S127" s="117">
        <v>1576.1539832553531</v>
      </c>
      <c r="T127" s="117">
        <v>999.4160647340575</v>
      </c>
      <c r="U127" s="117">
        <v>735.09794542047223</v>
      </c>
      <c r="V127" s="117">
        <v>682.61678945603171</v>
      </c>
      <c r="W127" s="117">
        <v>784.65108689689771</v>
      </c>
      <c r="X127" s="117">
        <v>729.0358604380159</v>
      </c>
      <c r="Y127" s="117">
        <v>652.86512104996871</v>
      </c>
      <c r="Z127" s="117">
        <v>688.30360784584127</v>
      </c>
      <c r="AA127" s="117">
        <v>666.35022471903346</v>
      </c>
      <c r="AB127" s="117">
        <v>612.92724860022736</v>
      </c>
      <c r="AC127" s="117">
        <v>657.37218852404953</v>
      </c>
      <c r="AD127" s="117">
        <v>502.06527059385127</v>
      </c>
      <c r="AE127" s="117">
        <v>489.81850999658349</v>
      </c>
      <c r="AF127" s="117">
        <v>499.77305305660701</v>
      </c>
      <c r="AG127" s="117">
        <v>621.98189575583183</v>
      </c>
      <c r="AH127" s="117">
        <v>580.35258423941082</v>
      </c>
      <c r="AI127" s="117">
        <v>549.85550659805051</v>
      </c>
      <c r="AJ127" s="117">
        <v>644.78083485072455</v>
      </c>
      <c r="AK127" s="117">
        <v>638.49818562783878</v>
      </c>
      <c r="AL127" s="117">
        <v>619.67912519154288</v>
      </c>
      <c r="AM127" s="117">
        <v>715.17644270588971</v>
      </c>
      <c r="AN127" s="117">
        <v>724.85658259478009</v>
      </c>
      <c r="AO127" s="117">
        <v>843.00187305991119</v>
      </c>
      <c r="AP127" s="117">
        <v>842.24973612084386</v>
      </c>
      <c r="AQ127" s="117">
        <v>801.10403968358821</v>
      </c>
      <c r="AR127" s="117">
        <v>831.99462547023222</v>
      </c>
      <c r="AS127" s="117">
        <v>796.88817475984092</v>
      </c>
      <c r="AT127" s="117">
        <v>735.02629465594566</v>
      </c>
      <c r="AU127" s="117">
        <v>826.94528007381598</v>
      </c>
      <c r="AV127" s="117">
        <v>1015.7241717797251</v>
      </c>
      <c r="AW127" s="117">
        <v>1131.1400045357514</v>
      </c>
      <c r="AX127" s="117">
        <v>1214.5566667049216</v>
      </c>
      <c r="AY127" s="117">
        <v>1168.4485309883737</v>
      </c>
      <c r="AZ127" s="117">
        <v>1374.4521527694915</v>
      </c>
      <c r="BA127" s="117">
        <v>1428.120516198552</v>
      </c>
      <c r="BB127" s="117">
        <v>1311.9990020125265</v>
      </c>
      <c r="BC127" s="117">
        <v>1516.8118690778729</v>
      </c>
      <c r="BD127" s="117">
        <v>1735.0183578283632</v>
      </c>
      <c r="BE127" s="117">
        <v>1788.5054206888658</v>
      </c>
      <c r="BF127" s="117">
        <v>1715.7653314161435</v>
      </c>
      <c r="BG127" s="117">
        <v>1642.762597496011</v>
      </c>
      <c r="BH127" s="117">
        <v>1542.5752495837996</v>
      </c>
      <c r="BI127" s="117">
        <v>1584.8074457896334</v>
      </c>
      <c r="BJ127" s="117">
        <v>1640.5001043601849</v>
      </c>
      <c r="BK127" s="117">
        <v>1698.2562862673888</v>
      </c>
      <c r="BL127" s="117">
        <v>1655.0788390598443</v>
      </c>
    </row>
    <row r="128" spans="1:64" hidden="1">
      <c r="A128" s="117" t="s">
        <v>1021</v>
      </c>
      <c r="B128" s="117" t="s">
        <v>1022</v>
      </c>
      <c r="C128" s="117" t="s">
        <v>775</v>
      </c>
      <c r="D128" s="117" t="s">
        <v>776</v>
      </c>
      <c r="E128" s="117">
        <v>241.55803519816195</v>
      </c>
      <c r="F128" s="117">
        <v>243.85117413702235</v>
      </c>
      <c r="G128" s="117">
        <v>246.09152039025801</v>
      </c>
      <c r="H128" s="117">
        <v>253.99755348401951</v>
      </c>
      <c r="I128" s="117">
        <v>268.70190587095823</v>
      </c>
      <c r="J128" s="117">
        <v>276.22083801466403</v>
      </c>
      <c r="K128" s="117">
        <v>299.207539180624</v>
      </c>
      <c r="L128" s="117">
        <v>353.35552757405668</v>
      </c>
      <c r="M128" s="117">
        <v>314.67551781365177</v>
      </c>
      <c r="N128" s="117">
        <v>348.09153599508062</v>
      </c>
      <c r="O128" s="117">
        <v>363.16645500523583</v>
      </c>
      <c r="P128" s="117">
        <v>441.10466285242211</v>
      </c>
      <c r="Q128" s="117">
        <v>517.70868942925722</v>
      </c>
      <c r="R128" s="117">
        <v>546.0499283862431</v>
      </c>
      <c r="S128" s="117">
        <v>710.94694793002577</v>
      </c>
      <c r="T128" s="117">
        <v>753.61527149302424</v>
      </c>
      <c r="U128" s="117">
        <v>681.77519186405698</v>
      </c>
      <c r="V128" s="117">
        <v>1012.624317914018</v>
      </c>
      <c r="W128" s="117">
        <v>1131.0044266834784</v>
      </c>
      <c r="X128" s="117">
        <v>1354.0596615485581</v>
      </c>
      <c r="Y128" s="117">
        <v>1584.5206359003373</v>
      </c>
      <c r="Z128" s="117">
        <v>1882.9191064901026</v>
      </c>
      <c r="AA128" s="117">
        <v>2013.2418675931124</v>
      </c>
      <c r="AB128" s="117">
        <v>2044.9972101473913</v>
      </c>
      <c r="AC128" s="117">
        <v>2336.64126673179</v>
      </c>
      <c r="AD128" s="117">
        <v>2651.5301729857692</v>
      </c>
      <c r="AE128" s="117">
        <v>3150.620304964672</v>
      </c>
      <c r="AF128" s="117">
        <v>3600.0285892968814</v>
      </c>
      <c r="AG128" s="117">
        <v>4249.2107587028977</v>
      </c>
      <c r="AH128" s="117">
        <v>4770.7122429462224</v>
      </c>
      <c r="AI128" s="117">
        <v>5396.5301616477745</v>
      </c>
      <c r="AJ128" s="117">
        <v>5461.7379954560165</v>
      </c>
      <c r="AK128" s="117">
        <v>5949.7114629433963</v>
      </c>
      <c r="AL128" s="117">
        <v>6411.9282038815281</v>
      </c>
      <c r="AM128" s="117">
        <v>7092.2379476335782</v>
      </c>
      <c r="AN128" s="117">
        <v>7450.7622372574588</v>
      </c>
      <c r="AO128" s="117">
        <v>7862.180367536459</v>
      </c>
      <c r="AP128" s="117">
        <v>8742.248260924076</v>
      </c>
      <c r="AQ128" s="117">
        <v>8867.3826620143864</v>
      </c>
      <c r="AR128" s="117">
        <v>9322.626713576612</v>
      </c>
      <c r="AS128" s="117">
        <v>9836.195567600158</v>
      </c>
      <c r="AT128" s="117">
        <v>10660.411734842071</v>
      </c>
      <c r="AU128" s="117">
        <v>11011.379576845296</v>
      </c>
      <c r="AV128" s="117">
        <v>10631.406993930494</v>
      </c>
      <c r="AW128" s="117">
        <v>11424.972896218902</v>
      </c>
      <c r="AX128" s="117">
        <v>12329.661009580765</v>
      </c>
      <c r="AY128" s="117">
        <v>13612.767798534291</v>
      </c>
      <c r="AZ128" s="117">
        <v>14426.832123261442</v>
      </c>
      <c r="BA128" s="117">
        <v>15590.528787581812</v>
      </c>
      <c r="BB128" s="117">
        <v>15388.367235113052</v>
      </c>
      <c r="BC128" s="117">
        <v>15508.768111999707</v>
      </c>
      <c r="BD128" s="117">
        <v>16538.17143533405</v>
      </c>
      <c r="BE128" s="117">
        <v>16044.705478826592</v>
      </c>
      <c r="BF128" s="117">
        <v>16684.953018425429</v>
      </c>
      <c r="BG128" s="117">
        <v>18052.035964747192</v>
      </c>
      <c r="BH128" s="117">
        <v>18029.325538651163</v>
      </c>
      <c r="BI128" s="117">
        <v>18811.873374585237</v>
      </c>
      <c r="BJ128" s="117">
        <v>19155.289404112536</v>
      </c>
      <c r="BK128" s="117">
        <v>19275.27726044154</v>
      </c>
      <c r="BL128" s="117">
        <v>19896.495704382418</v>
      </c>
    </row>
    <row r="129" spans="1:64" hidden="1">
      <c r="A129" s="117" t="s">
        <v>1023</v>
      </c>
      <c r="B129" s="117" t="s">
        <v>1024</v>
      </c>
      <c r="C129" s="117" t="s">
        <v>775</v>
      </c>
      <c r="D129" s="117" t="s">
        <v>776</v>
      </c>
      <c r="E129" s="117">
        <v>158.24930326982098</v>
      </c>
      <c r="F129" s="117">
        <v>93.828649046603886</v>
      </c>
      <c r="G129" s="117">
        <v>106.14850572000557</v>
      </c>
      <c r="H129" s="117">
        <v>146.31434193297864</v>
      </c>
      <c r="I129" s="117">
        <v>123.60349482533132</v>
      </c>
      <c r="J129" s="117">
        <v>108.72213122271772</v>
      </c>
      <c r="K129" s="117">
        <v>133.4748485303536</v>
      </c>
      <c r="L129" s="117">
        <v>161.15993101854579</v>
      </c>
      <c r="M129" s="117">
        <v>198.4312980083856</v>
      </c>
      <c r="N129" s="117">
        <v>243.42241292594809</v>
      </c>
      <c r="O129" s="117">
        <v>279.3049689428193</v>
      </c>
      <c r="P129" s="117">
        <v>301.17656771733317</v>
      </c>
      <c r="Q129" s="117">
        <v>324.19627680476452</v>
      </c>
      <c r="R129" s="117">
        <v>406.89883013484945</v>
      </c>
      <c r="S129" s="117">
        <v>563.35595781683287</v>
      </c>
      <c r="T129" s="117">
        <v>617.4560619335673</v>
      </c>
      <c r="U129" s="117">
        <v>834.134207951691</v>
      </c>
      <c r="V129" s="117">
        <v>1055.8800411598984</v>
      </c>
      <c r="W129" s="117">
        <v>1405.8223744455422</v>
      </c>
      <c r="X129" s="117">
        <v>1783.6223128784686</v>
      </c>
      <c r="Y129" s="117">
        <v>1715.4294599013631</v>
      </c>
      <c r="Z129" s="117">
        <v>1883.4512785111024</v>
      </c>
      <c r="AA129" s="117">
        <v>1992.5282247063658</v>
      </c>
      <c r="AB129" s="117">
        <v>2198.934471822417</v>
      </c>
      <c r="AC129" s="117">
        <v>2413.2639253976472</v>
      </c>
      <c r="AD129" s="117">
        <v>2482.3999557360607</v>
      </c>
      <c r="AE129" s="117">
        <v>2834.9038475692541</v>
      </c>
      <c r="AF129" s="117">
        <v>3554.5952055905655</v>
      </c>
      <c r="AG129" s="117">
        <v>4748.6296078067062</v>
      </c>
      <c r="AH129" s="117">
        <v>5817.0291813213644</v>
      </c>
      <c r="AI129" s="117">
        <v>6610.0365083066972</v>
      </c>
      <c r="AJ129" s="117">
        <v>7636.9824293701522</v>
      </c>
      <c r="AK129" s="117">
        <v>8126.6703899342174</v>
      </c>
      <c r="AL129" s="117">
        <v>8884.9283194545496</v>
      </c>
      <c r="AM129" s="117">
        <v>10385.336168121912</v>
      </c>
      <c r="AN129" s="117">
        <v>12564.778134458573</v>
      </c>
      <c r="AO129" s="117">
        <v>13403.049586225043</v>
      </c>
      <c r="AP129" s="117">
        <v>12398.480027670472</v>
      </c>
      <c r="AQ129" s="117">
        <v>8281.6999815768413</v>
      </c>
      <c r="AR129" s="117">
        <v>10672.417933437262</v>
      </c>
      <c r="AS129" s="117">
        <v>12256.993567950305</v>
      </c>
      <c r="AT129" s="117">
        <v>11561.248368907283</v>
      </c>
      <c r="AU129" s="117">
        <v>13165.06573605538</v>
      </c>
      <c r="AV129" s="117">
        <v>14672.857470350489</v>
      </c>
      <c r="AW129" s="117">
        <v>16496.120094250178</v>
      </c>
      <c r="AX129" s="117">
        <v>19402.502625954894</v>
      </c>
      <c r="AY129" s="117">
        <v>21743.47745142545</v>
      </c>
      <c r="AZ129" s="117">
        <v>24086.410439167747</v>
      </c>
      <c r="BA129" s="117">
        <v>21350.427979823005</v>
      </c>
      <c r="BB129" s="117">
        <v>19143.851605302556</v>
      </c>
      <c r="BC129" s="117">
        <v>23087.22564384756</v>
      </c>
      <c r="BD129" s="117">
        <v>25096.263883823878</v>
      </c>
      <c r="BE129" s="117">
        <v>25466.7605170594</v>
      </c>
      <c r="BF129" s="117">
        <v>27182.734310193548</v>
      </c>
      <c r="BG129" s="117">
        <v>29249.575220974195</v>
      </c>
      <c r="BH129" s="117">
        <v>28732.231076259857</v>
      </c>
      <c r="BI129" s="117">
        <v>29288.870438983326</v>
      </c>
      <c r="BJ129" s="117">
        <v>31616.843400468311</v>
      </c>
      <c r="BK129" s="117">
        <v>33340.265151682011</v>
      </c>
      <c r="BL129" s="117">
        <v>31761.977692344663</v>
      </c>
    </row>
    <row r="130" spans="1:64" hidden="1">
      <c r="A130" s="117" t="s">
        <v>1025</v>
      </c>
      <c r="B130" s="117" t="s">
        <v>1026</v>
      </c>
      <c r="C130" s="117" t="s">
        <v>775</v>
      </c>
      <c r="D130" s="117" t="s">
        <v>776</v>
      </c>
      <c r="E130" s="117"/>
      <c r="F130" s="117"/>
      <c r="G130" s="117"/>
      <c r="H130" s="117"/>
      <c r="I130" s="117"/>
      <c r="J130" s="117">
        <v>4443.4052716276574</v>
      </c>
      <c r="K130" s="117">
        <v>4571.1819545563221</v>
      </c>
      <c r="L130" s="117">
        <v>4230.8477783840644</v>
      </c>
      <c r="M130" s="117">
        <v>4207.8113164168726</v>
      </c>
      <c r="N130" s="117">
        <v>4019.7630753350481</v>
      </c>
      <c r="O130" s="117">
        <v>3860.5478919811703</v>
      </c>
      <c r="P130" s="117">
        <v>4858.7106633167195</v>
      </c>
      <c r="Q130" s="117">
        <v>5224.9294213749981</v>
      </c>
      <c r="R130" s="117">
        <v>5971.8252923654481</v>
      </c>
      <c r="S130" s="117">
        <v>13521.709511231005</v>
      </c>
      <c r="T130" s="117">
        <v>11768.525893456201</v>
      </c>
      <c r="U130" s="117">
        <v>12093.32405036043</v>
      </c>
      <c r="V130" s="117">
        <v>12253.760317442562</v>
      </c>
      <c r="W130" s="117">
        <v>12663.447965226367</v>
      </c>
      <c r="X130" s="117">
        <v>19092.957567392041</v>
      </c>
      <c r="Y130" s="117">
        <v>20924.257877822936</v>
      </c>
      <c r="Z130" s="117">
        <v>17408.554506522505</v>
      </c>
      <c r="AA130" s="117">
        <v>14312.373118379359</v>
      </c>
      <c r="AB130" s="117">
        <v>13233.898408412426</v>
      </c>
      <c r="AC130" s="117">
        <v>13132.765107490501</v>
      </c>
      <c r="AD130" s="117">
        <v>12356.907140227457</v>
      </c>
      <c r="AE130" s="117">
        <v>9771.0986094322816</v>
      </c>
      <c r="AF130" s="117">
        <v>11535.216186794401</v>
      </c>
      <c r="AG130" s="117">
        <v>10169.005861275082</v>
      </c>
      <c r="AH130" s="117">
        <v>11617.156422871887</v>
      </c>
      <c r="AI130" s="117">
        <v>8794.6312289427315</v>
      </c>
      <c r="AJ130" s="117">
        <v>5419.5908307909331</v>
      </c>
      <c r="AK130" s="117"/>
      <c r="AL130" s="117"/>
      <c r="AM130" s="117"/>
      <c r="AN130" s="117">
        <v>16932.148300175082</v>
      </c>
      <c r="AO130" s="117">
        <v>19358.382435137133</v>
      </c>
      <c r="AP130" s="117">
        <v>17748.859800152684</v>
      </c>
      <c r="AQ130" s="117">
        <v>14166.17960379487</v>
      </c>
      <c r="AR130" s="117">
        <v>15435.178587148974</v>
      </c>
      <c r="AS130" s="117">
        <v>18440.378521244565</v>
      </c>
      <c r="AT130" s="117">
        <v>16587.177671340251</v>
      </c>
      <c r="AU130" s="117">
        <v>17846.326057147686</v>
      </c>
      <c r="AV130" s="117">
        <v>22148.378150112043</v>
      </c>
      <c r="AW130" s="117">
        <v>27011.72765027584</v>
      </c>
      <c r="AX130" s="117">
        <v>35591.005778785075</v>
      </c>
      <c r="AY130" s="117">
        <v>42781.36649511486</v>
      </c>
      <c r="AZ130" s="117">
        <v>45782.276555769808</v>
      </c>
      <c r="BA130" s="117">
        <v>55494.950990645848</v>
      </c>
      <c r="BB130" s="117">
        <v>37561.672666429979</v>
      </c>
      <c r="BC130" s="117">
        <v>38577.498278821178</v>
      </c>
      <c r="BD130" s="117">
        <v>48631.691300678955</v>
      </c>
      <c r="BE130" s="117">
        <v>51979.105168063659</v>
      </c>
      <c r="BF130" s="117">
        <v>49388.137411938136</v>
      </c>
      <c r="BG130" s="117">
        <v>44062.31703752085</v>
      </c>
      <c r="BH130" s="117">
        <v>29869.529390824766</v>
      </c>
      <c r="BI130" s="117">
        <v>27653.066767764907</v>
      </c>
      <c r="BJ130" s="117">
        <v>29759.436486557504</v>
      </c>
      <c r="BK130" s="117">
        <v>33994.381917150706</v>
      </c>
      <c r="BL130" s="117">
        <v>32031.980102598776</v>
      </c>
    </row>
    <row r="131" spans="1:64" hidden="1">
      <c r="A131" s="117" t="s">
        <v>1027</v>
      </c>
      <c r="B131" s="117" t="s">
        <v>1028</v>
      </c>
      <c r="C131" s="117" t="s">
        <v>775</v>
      </c>
      <c r="D131" s="117" t="s">
        <v>776</v>
      </c>
      <c r="E131" s="117">
        <v>358.36431425152063</v>
      </c>
      <c r="F131" s="117">
        <v>364.57293677426441</v>
      </c>
      <c r="G131" s="117">
        <v>405.83520090931182</v>
      </c>
      <c r="H131" s="117">
        <v>396.52353953313093</v>
      </c>
      <c r="I131" s="117">
        <v>430.64248369974109</v>
      </c>
      <c r="J131" s="117">
        <v>448.56104844401693</v>
      </c>
      <c r="K131" s="117">
        <v>478.36368003315096</v>
      </c>
      <c r="L131" s="117">
        <v>478.45192670682627</v>
      </c>
      <c r="M131" s="117">
        <v>503.72377226478795</v>
      </c>
      <c r="N131" s="117">
        <v>547.54801691257501</v>
      </c>
      <c r="O131" s="117">
        <v>580.7851392547276</v>
      </c>
      <c r="P131" s="117">
        <v>628.93164946038939</v>
      </c>
      <c r="Q131" s="117">
        <v>694.19160025196652</v>
      </c>
      <c r="R131" s="117">
        <v>885.24300500861216</v>
      </c>
      <c r="S131" s="117">
        <v>1151.5496253194085</v>
      </c>
      <c r="T131" s="117">
        <v>1209.0245901519372</v>
      </c>
      <c r="U131" s="117">
        <v>1308.4233986241579</v>
      </c>
      <c r="V131" s="117">
        <v>1395.3970134092569</v>
      </c>
      <c r="W131" s="117">
        <v>1546.8309238137278</v>
      </c>
      <c r="X131" s="117">
        <v>1790.8303524333758</v>
      </c>
      <c r="Y131" s="117">
        <v>2095.9498182160128</v>
      </c>
      <c r="Z131" s="117">
        <v>2365.3889703974869</v>
      </c>
      <c r="AA131" s="117">
        <v>2166.9483348213025</v>
      </c>
      <c r="AB131" s="117">
        <v>1869.6598631748686</v>
      </c>
      <c r="AC131" s="117">
        <v>1844.72509647383</v>
      </c>
      <c r="AD131" s="117">
        <v>1866.7061526011532</v>
      </c>
      <c r="AE131" s="117">
        <v>1837.646305757044</v>
      </c>
      <c r="AF131" s="117">
        <v>1891.1925746012225</v>
      </c>
      <c r="AG131" s="117">
        <v>2097.7501831068275</v>
      </c>
      <c r="AH131" s="117">
        <v>2248.0646970634602</v>
      </c>
      <c r="AI131" s="117">
        <v>2596.731521496778</v>
      </c>
      <c r="AJ131" s="117">
        <v>3163.1231281645223</v>
      </c>
      <c r="AK131" s="117">
        <v>2892.9598621582982</v>
      </c>
      <c r="AL131" s="117">
        <v>3289.288254177492</v>
      </c>
      <c r="AM131" s="117">
        <v>3701.8186087107865</v>
      </c>
      <c r="AN131" s="117">
        <v>3852.5021714546019</v>
      </c>
      <c r="AO131" s="117">
        <v>4107.5167426245152</v>
      </c>
      <c r="AP131" s="117">
        <v>4428.7723499902831</v>
      </c>
      <c r="AQ131" s="117">
        <v>4389.5538012120423</v>
      </c>
      <c r="AR131" s="117">
        <v>3865.0813812295819</v>
      </c>
      <c r="AS131" s="117">
        <v>4224.6211131788577</v>
      </c>
      <c r="AT131" s="117">
        <v>4066.2262830200762</v>
      </c>
      <c r="AU131" s="117">
        <v>3567.8651997488309</v>
      </c>
      <c r="AV131" s="117">
        <v>3583.5149794450422</v>
      </c>
      <c r="AW131" s="117">
        <v>4069.5021386495068</v>
      </c>
      <c r="AX131" s="117">
        <v>4884.0919025603534</v>
      </c>
      <c r="AY131" s="117">
        <v>5662.5708819402207</v>
      </c>
      <c r="AZ131" s="117">
        <v>6635.7820738067348</v>
      </c>
      <c r="BA131" s="117">
        <v>7677.5811288935674</v>
      </c>
      <c r="BB131" s="117">
        <v>7110.0860511003702</v>
      </c>
      <c r="BC131" s="117">
        <v>8767.0588804905055</v>
      </c>
      <c r="BD131" s="117">
        <v>9870.7060963735403</v>
      </c>
      <c r="BE131" s="117">
        <v>9825.1434538787125</v>
      </c>
      <c r="BF131" s="117">
        <v>9936.3167666442732</v>
      </c>
      <c r="BG131" s="117">
        <v>10062.269226224616</v>
      </c>
      <c r="BH131" s="117">
        <v>8461.0773907744515</v>
      </c>
      <c r="BI131" s="117">
        <v>8142.7700240382592</v>
      </c>
      <c r="BJ131" s="117">
        <v>8990.5245041488852</v>
      </c>
      <c r="BK131" s="117">
        <v>8583.0680024904486</v>
      </c>
      <c r="BL131" s="117">
        <v>8368.446391409745</v>
      </c>
    </row>
    <row r="132" spans="1:64" hidden="1">
      <c r="A132" s="117" t="s">
        <v>1029</v>
      </c>
      <c r="B132" s="117" t="s">
        <v>1030</v>
      </c>
      <c r="C132" s="117" t="s">
        <v>775</v>
      </c>
      <c r="D132" s="117" t="s">
        <v>776</v>
      </c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>
        <v>489.95760711389784</v>
      </c>
      <c r="AD132" s="117">
        <v>641.73863147938357</v>
      </c>
      <c r="AE132" s="117">
        <v>468.30503865444859</v>
      </c>
      <c r="AF132" s="117">
        <v>278.39322798605713</v>
      </c>
      <c r="AG132" s="117">
        <v>148.96528817143573</v>
      </c>
      <c r="AH132" s="117">
        <v>172.52320903387223</v>
      </c>
      <c r="AI132" s="117">
        <v>203.25596978538303</v>
      </c>
      <c r="AJ132" s="117">
        <v>234.76423109210094</v>
      </c>
      <c r="AK132" s="117">
        <v>250.60421834099759</v>
      </c>
      <c r="AL132" s="117">
        <v>287.39496726793351</v>
      </c>
      <c r="AM132" s="117">
        <v>325.94106122916537</v>
      </c>
      <c r="AN132" s="117">
        <v>363.87960187617216</v>
      </c>
      <c r="AO132" s="117">
        <v>378.42814721422911</v>
      </c>
      <c r="AP132" s="117">
        <v>345.92136477250801</v>
      </c>
      <c r="AQ132" s="117">
        <v>248.83904308225468</v>
      </c>
      <c r="AR132" s="117">
        <v>277.80984150652762</v>
      </c>
      <c r="AS132" s="117">
        <v>325.18699822584625</v>
      </c>
      <c r="AT132" s="117">
        <v>326.9419075903599</v>
      </c>
      <c r="AU132" s="117">
        <v>320.06151792172761</v>
      </c>
      <c r="AV132" s="117">
        <v>362.82141348610583</v>
      </c>
      <c r="AW132" s="117">
        <v>417.92850419520124</v>
      </c>
      <c r="AX132" s="117">
        <v>475.6107135131133</v>
      </c>
      <c r="AY132" s="117">
        <v>590.63270735226047</v>
      </c>
      <c r="AZ132" s="117">
        <v>710.34481504944904</v>
      </c>
      <c r="BA132" s="117">
        <v>900.32367182127325</v>
      </c>
      <c r="BB132" s="117">
        <v>948.65393228517735</v>
      </c>
      <c r="BC132" s="117">
        <v>1140.5992047870307</v>
      </c>
      <c r="BD132" s="117">
        <v>1378.3613649433128</v>
      </c>
      <c r="BE132" s="117">
        <v>1581.3954034942537</v>
      </c>
      <c r="BF132" s="117">
        <v>1825.665113306763</v>
      </c>
      <c r="BG132" s="117">
        <v>1998.335214716989</v>
      </c>
      <c r="BH132" s="117">
        <v>2134.711795677963</v>
      </c>
      <c r="BI132" s="117">
        <v>2308.8004822007897</v>
      </c>
      <c r="BJ132" s="117">
        <v>2423.8462031921026</v>
      </c>
      <c r="BK132" s="117">
        <v>2542.4865281791972</v>
      </c>
      <c r="BL132" s="117">
        <v>2534.8982772428108</v>
      </c>
    </row>
    <row r="133" spans="1:64" hidden="1">
      <c r="A133" s="117" t="s">
        <v>1031</v>
      </c>
      <c r="B133" s="117" t="s">
        <v>1032</v>
      </c>
      <c r="C133" s="117" t="s">
        <v>775</v>
      </c>
      <c r="D133" s="117" t="s">
        <v>776</v>
      </c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>
        <v>1234.2425313799467</v>
      </c>
      <c r="AH133" s="117">
        <v>996.90390681988811</v>
      </c>
      <c r="AI133" s="117">
        <v>1012.6438807103515</v>
      </c>
      <c r="AJ133" s="117">
        <v>1605.3686074288901</v>
      </c>
      <c r="AK133" s="117">
        <v>1899.6516277263847</v>
      </c>
      <c r="AL133" s="117">
        <v>2446.5299535880927</v>
      </c>
      <c r="AM133" s="117">
        <v>2820.4878447772312</v>
      </c>
      <c r="AN133" s="117">
        <v>3321.2963253657181</v>
      </c>
      <c r="AO133" s="117">
        <v>3791.6055167869895</v>
      </c>
      <c r="AP133" s="117">
        <v>4305.6429461004582</v>
      </c>
      <c r="AQ133" s="117">
        <v>4669.577802617001</v>
      </c>
      <c r="AR133" s="117">
        <v>4640.3794605176854</v>
      </c>
      <c r="AS133" s="117">
        <v>4491.637258893018</v>
      </c>
      <c r="AT133" s="117">
        <v>4422.3870762701117</v>
      </c>
      <c r="AU133" s="117">
        <v>4579.4595927196651</v>
      </c>
      <c r="AV133" s="117">
        <v>4576.3907459219308</v>
      </c>
      <c r="AW133" s="117">
        <v>4630.789571806009</v>
      </c>
      <c r="AX133" s="117">
        <v>4575.1055115935415</v>
      </c>
      <c r="AY133" s="117">
        <v>4626.8598079653057</v>
      </c>
      <c r="AZ133" s="117">
        <v>5207.7960001753663</v>
      </c>
      <c r="BA133" s="117">
        <v>6111.3324114795123</v>
      </c>
      <c r="BB133" s="117">
        <v>7354.9536047849197</v>
      </c>
      <c r="BC133" s="117">
        <v>7761.6461905721972</v>
      </c>
      <c r="BD133" s="117">
        <v>7674.8353503784783</v>
      </c>
      <c r="BE133" s="117">
        <v>7950.6953782596274</v>
      </c>
      <c r="BF133" s="117">
        <v>7931.0804758452614</v>
      </c>
      <c r="BG133" s="117">
        <v>7686.2560299645475</v>
      </c>
      <c r="BH133" s="117">
        <v>7644.5486571821148</v>
      </c>
      <c r="BI133" s="117">
        <v>7629.8911171195177</v>
      </c>
      <c r="BJ133" s="117">
        <v>7801.1786580755479</v>
      </c>
      <c r="BK133" s="117">
        <v>8024.8032708138662</v>
      </c>
      <c r="BL133" s="117">
        <v>7784.316856929755</v>
      </c>
    </row>
    <row r="134" spans="1:64" hidden="1">
      <c r="A134" s="117" t="s">
        <v>1033</v>
      </c>
      <c r="B134" s="117" t="s">
        <v>1034</v>
      </c>
      <c r="C134" s="117" t="s">
        <v>775</v>
      </c>
      <c r="D134" s="117" t="s">
        <v>776</v>
      </c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>
        <v>306.83289473314665</v>
      </c>
      <c r="AT134" s="117">
        <v>306.71035540147068</v>
      </c>
      <c r="AU134" s="117">
        <v>306.47373698602422</v>
      </c>
      <c r="AV134" s="117">
        <v>243.08934053241765</v>
      </c>
      <c r="AW134" s="117">
        <v>286.06499894280324</v>
      </c>
      <c r="AX134" s="117">
        <v>294.89303679544179</v>
      </c>
      <c r="AY134" s="117">
        <v>336.11567425435038</v>
      </c>
      <c r="AZ134" s="117">
        <v>396.60176128155808</v>
      </c>
      <c r="BA134" s="117">
        <v>478.39993791333364</v>
      </c>
      <c r="BB134" s="117">
        <v>470.94761959685496</v>
      </c>
      <c r="BC134" s="117">
        <v>513.44569862022388</v>
      </c>
      <c r="BD134" s="117">
        <v>596.89708105379464</v>
      </c>
      <c r="BE134" s="117">
        <v>657.93625634995522</v>
      </c>
      <c r="BF134" s="117">
        <v>721.93005540524825</v>
      </c>
      <c r="BG134" s="117">
        <v>721.1827948356522</v>
      </c>
      <c r="BH134" s="117">
        <v>710.3838577175145</v>
      </c>
      <c r="BI134" s="117">
        <v>714.62339223003119</v>
      </c>
      <c r="BJ134" s="117">
        <v>698.70176435510996</v>
      </c>
      <c r="BK134" s="117">
        <v>677.32217854536361</v>
      </c>
      <c r="BL134" s="117">
        <v>621.89295362271514</v>
      </c>
    </row>
    <row r="135" spans="1:64" hidden="1">
      <c r="A135" s="117" t="s">
        <v>1035</v>
      </c>
      <c r="B135" s="117" t="s">
        <v>1036</v>
      </c>
      <c r="C135" s="117" t="s">
        <v>775</v>
      </c>
      <c r="D135" s="117" t="s">
        <v>776</v>
      </c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>
        <v>6514.3215039851111</v>
      </c>
      <c r="AJ135" s="117">
        <v>7040.7809418661973</v>
      </c>
      <c r="AK135" s="117">
        <v>7284.9343824787202</v>
      </c>
      <c r="AL135" s="117">
        <v>6447.1446378871578</v>
      </c>
      <c r="AM135" s="117">
        <v>5892.6176119503489</v>
      </c>
      <c r="AN135" s="117">
        <v>5161.6833418934157</v>
      </c>
      <c r="AO135" s="117">
        <v>5536.8682645238578</v>
      </c>
      <c r="AP135" s="117">
        <v>5998.1616103952774</v>
      </c>
      <c r="AQ135" s="117">
        <v>5243.5904814138194</v>
      </c>
      <c r="AR135" s="117">
        <v>6819.0331139795298</v>
      </c>
      <c r="AS135" s="117">
        <v>7142.7744518150885</v>
      </c>
      <c r="AT135" s="117">
        <v>6266.4909723306137</v>
      </c>
      <c r="AU135" s="117">
        <v>3703.0483081685225</v>
      </c>
      <c r="AV135" s="117">
        <v>4673.1439128611501</v>
      </c>
      <c r="AW135" s="117">
        <v>5800.5979685149805</v>
      </c>
      <c r="AX135" s="117">
        <v>8163.0107778197325</v>
      </c>
      <c r="AY135" s="117">
        <v>9336.3566699949606</v>
      </c>
      <c r="AZ135" s="117">
        <v>11300.191343677327</v>
      </c>
      <c r="BA135" s="117">
        <v>14382.576294843284</v>
      </c>
      <c r="BB135" s="117">
        <v>10275.266564443973</v>
      </c>
      <c r="BC135" s="117">
        <v>12064.780692421771</v>
      </c>
      <c r="BD135" s="117">
        <v>5554.1791642314965</v>
      </c>
      <c r="BE135" s="117">
        <v>13025.281393441324</v>
      </c>
      <c r="BF135" s="117">
        <v>10363.789489455128</v>
      </c>
      <c r="BG135" s="117">
        <v>6466.9102701438414</v>
      </c>
      <c r="BH135" s="117">
        <v>4337.9191391934755</v>
      </c>
      <c r="BI135" s="117">
        <v>4035.1943155047038</v>
      </c>
      <c r="BJ135" s="117">
        <v>5756.6984499656883</v>
      </c>
      <c r="BK135" s="117">
        <v>7877.1222506188406</v>
      </c>
      <c r="BL135" s="117">
        <v>7683.7506112295869</v>
      </c>
    </row>
    <row r="136" spans="1:64" hidden="1">
      <c r="A136" s="117" t="s">
        <v>1037</v>
      </c>
      <c r="B136" s="117" t="s">
        <v>1038</v>
      </c>
      <c r="C136" s="117" t="s">
        <v>775</v>
      </c>
      <c r="D136" s="117" t="s">
        <v>776</v>
      </c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>
        <v>1445.997949197691</v>
      </c>
      <c r="Z136" s="117">
        <v>1628.1038637230547</v>
      </c>
      <c r="AA136" s="117">
        <v>1515.3017930152851</v>
      </c>
      <c r="AB136" s="117">
        <v>1607.6257060559137</v>
      </c>
      <c r="AC136" s="117">
        <v>2023.3118903990721</v>
      </c>
      <c r="AD136" s="117">
        <v>2253.1323820890057</v>
      </c>
      <c r="AE136" s="117">
        <v>2646.9649432848837</v>
      </c>
      <c r="AF136" s="117">
        <v>2869.9911013293658</v>
      </c>
      <c r="AG136" s="117">
        <v>3221.4088164960567</v>
      </c>
      <c r="AH136" s="117">
        <v>3584.0182244871903</v>
      </c>
      <c r="AI136" s="117">
        <v>4199.6060689003743</v>
      </c>
      <c r="AJ136" s="117">
        <v>4383.7544462566784</v>
      </c>
      <c r="AK136" s="117">
        <v>4755.0372042471363</v>
      </c>
      <c r="AL136" s="117">
        <v>4775.2568863517272</v>
      </c>
      <c r="AM136" s="117">
        <v>4919.2786453526851</v>
      </c>
      <c r="AN136" s="117">
        <v>5194.8182948387202</v>
      </c>
      <c r="AO136" s="117">
        <v>5300.4615134236046</v>
      </c>
      <c r="AP136" s="117">
        <v>5340.3346691532597</v>
      </c>
      <c r="AQ136" s="117">
        <v>5733.9019311559032</v>
      </c>
      <c r="AR136" s="117">
        <v>5947.6231610816594</v>
      </c>
      <c r="AS136" s="117">
        <v>5950.3511959662374</v>
      </c>
      <c r="AT136" s="117">
        <v>5642.9272696918833</v>
      </c>
      <c r="AU136" s="117">
        <v>5646.4565348323631</v>
      </c>
      <c r="AV136" s="117">
        <v>6150.9213692606199</v>
      </c>
      <c r="AW136" s="117">
        <v>6591.8491784907956</v>
      </c>
      <c r="AX136" s="117">
        <v>6948.8214540442887</v>
      </c>
      <c r="AY136" s="117">
        <v>7669.0743506520412</v>
      </c>
      <c r="AZ136" s="117">
        <v>7970.035700611521</v>
      </c>
      <c r="BA136" s="117">
        <v>8456.6946321773939</v>
      </c>
      <c r="BB136" s="117">
        <v>8137.8454943873794</v>
      </c>
      <c r="BC136" s="117">
        <v>8540.4143782464707</v>
      </c>
      <c r="BD136" s="117">
        <v>8983.436673468801</v>
      </c>
      <c r="BE136" s="117">
        <v>9086.799462075438</v>
      </c>
      <c r="BF136" s="117">
        <v>9378.5623629860384</v>
      </c>
      <c r="BG136" s="117">
        <v>9843.9158187217599</v>
      </c>
      <c r="BH136" s="117">
        <v>10093.899762674815</v>
      </c>
      <c r="BI136" s="117">
        <v>10361.814103798506</v>
      </c>
      <c r="BJ136" s="117">
        <v>11047.444985810876</v>
      </c>
      <c r="BK136" s="117">
        <v>11357.889009638153</v>
      </c>
      <c r="BL136" s="117">
        <v>11611.415447396626</v>
      </c>
    </row>
    <row r="137" spans="1:64" hidden="1">
      <c r="A137" s="117" t="s">
        <v>1039</v>
      </c>
      <c r="B137" s="117" t="s">
        <v>1040</v>
      </c>
      <c r="C137" s="117" t="s">
        <v>775</v>
      </c>
      <c r="D137" s="117" t="s">
        <v>776</v>
      </c>
      <c r="E137" s="117">
        <v>371.44131655276936</v>
      </c>
      <c r="F137" s="117">
        <v>382.68100633948217</v>
      </c>
      <c r="G137" s="117">
        <v>425.91335834994288</v>
      </c>
      <c r="H137" s="117">
        <v>418.2600681260659</v>
      </c>
      <c r="I137" s="117">
        <v>453.67756950790312</v>
      </c>
      <c r="J137" s="117">
        <v>470.95052551937789</v>
      </c>
      <c r="K137" s="117">
        <v>503.18786163996782</v>
      </c>
      <c r="L137" s="117">
        <v>503.30583342899951</v>
      </c>
      <c r="M137" s="117">
        <v>528.49855822429151</v>
      </c>
      <c r="N137" s="117">
        <v>577.21773684510879</v>
      </c>
      <c r="O137" s="117">
        <v>613.08477157616107</v>
      </c>
      <c r="P137" s="117">
        <v>668.55006517107017</v>
      </c>
      <c r="Q137" s="117">
        <v>733.19284935389112</v>
      </c>
      <c r="R137" s="117">
        <v>937.7986755863493</v>
      </c>
      <c r="S137" s="117">
        <v>1190.5600440764508</v>
      </c>
      <c r="T137" s="117">
        <v>1218.1376995582366</v>
      </c>
      <c r="U137" s="117">
        <v>1322.6128608480112</v>
      </c>
      <c r="V137" s="117">
        <v>1421.084256814456</v>
      </c>
      <c r="W137" s="117">
        <v>1577.528691433323</v>
      </c>
      <c r="X137" s="117">
        <v>1839.2631903566401</v>
      </c>
      <c r="Y137" s="117">
        <v>2167.0389474434573</v>
      </c>
      <c r="Z137" s="117">
        <v>2444.549881867792</v>
      </c>
      <c r="AA137" s="117">
        <v>2231.3479108594288</v>
      </c>
      <c r="AB137" s="117">
        <v>1925.0007623140787</v>
      </c>
      <c r="AC137" s="117">
        <v>1903.1211744628138</v>
      </c>
      <c r="AD137" s="117">
        <v>1920.1392251287286</v>
      </c>
      <c r="AE137" s="117">
        <v>1895.4107684790567</v>
      </c>
      <c r="AF137" s="117">
        <v>1961.6613054707279</v>
      </c>
      <c r="AG137" s="117">
        <v>2169.3272095437878</v>
      </c>
      <c r="AH137" s="117">
        <v>2323.5812460255393</v>
      </c>
      <c r="AI137" s="117">
        <v>2669.4557532196154</v>
      </c>
      <c r="AJ137" s="117">
        <v>3224.2905589401926</v>
      </c>
      <c r="AK137" s="117">
        <v>2993.9241901127443</v>
      </c>
      <c r="AL137" s="117">
        <v>3383.4866071214478</v>
      </c>
      <c r="AM137" s="117">
        <v>3801.5257864592445</v>
      </c>
      <c r="AN137" s="117">
        <v>3986.6089301449483</v>
      </c>
      <c r="AO137" s="117">
        <v>4243.9749725044603</v>
      </c>
      <c r="AP137" s="117">
        <v>4578.934934275162</v>
      </c>
      <c r="AQ137" s="117">
        <v>4548.9220324629914</v>
      </c>
      <c r="AR137" s="117">
        <v>4042.8501365463972</v>
      </c>
      <c r="AS137" s="117">
        <v>4394.9336006838794</v>
      </c>
      <c r="AT137" s="117">
        <v>4239.8833400762096</v>
      </c>
      <c r="AU137" s="117">
        <v>3753.0974576819949</v>
      </c>
      <c r="AV137" s="117">
        <v>3784.2790627481854</v>
      </c>
      <c r="AW137" s="117">
        <v>4305.8290395263512</v>
      </c>
      <c r="AX137" s="117">
        <v>5141.9742354315322</v>
      </c>
      <c r="AY137" s="117">
        <v>5952.5771085496153</v>
      </c>
      <c r="AZ137" s="117">
        <v>6928.7013792015096</v>
      </c>
      <c r="BA137" s="117">
        <v>7958.46641566383</v>
      </c>
      <c r="BB137" s="117">
        <v>7393.212514401519</v>
      </c>
      <c r="BC137" s="117">
        <v>9065.8075461769222</v>
      </c>
      <c r="BD137" s="117">
        <v>10193.857244479752</v>
      </c>
      <c r="BE137" s="117">
        <v>10186.959462042341</v>
      </c>
      <c r="BF137" s="117">
        <v>10326.134358142554</v>
      </c>
      <c r="BG137" s="117">
        <v>10417.35373999926</v>
      </c>
      <c r="BH137" s="117">
        <v>8870.630680440061</v>
      </c>
      <c r="BI137" s="117">
        <v>8577.3587264841808</v>
      </c>
      <c r="BJ137" s="117">
        <v>9432.971185206241</v>
      </c>
      <c r="BK137" s="117">
        <v>9081.1945269695771</v>
      </c>
      <c r="BL137" s="117">
        <v>8847.4318703847566</v>
      </c>
    </row>
    <row r="138" spans="1:64" hidden="1">
      <c r="A138" s="117" t="s">
        <v>1041</v>
      </c>
      <c r="B138" s="117" t="s">
        <v>1042</v>
      </c>
      <c r="C138" s="117" t="s">
        <v>775</v>
      </c>
      <c r="D138" s="117" t="s">
        <v>776</v>
      </c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>
        <v>297.71991912327672</v>
      </c>
      <c r="Z138" s="117">
        <v>294.10735212194794</v>
      </c>
      <c r="AA138" s="117">
        <v>285.65436440964481</v>
      </c>
      <c r="AB138" s="117">
        <v>262.23969697757525</v>
      </c>
      <c r="AC138" s="117">
        <v>253.61057771323206</v>
      </c>
      <c r="AD138" s="117">
        <v>273.79322751300083</v>
      </c>
      <c r="AE138" s="117">
        <v>289.23797791435823</v>
      </c>
      <c r="AF138" s="117">
        <v>315.74225065371564</v>
      </c>
      <c r="AG138" s="117">
        <v>318.88261584182305</v>
      </c>
      <c r="AH138" s="117">
        <v>317.38806681247962</v>
      </c>
      <c r="AI138" s="117">
        <v>324.76540354757992</v>
      </c>
      <c r="AJ138" s="117">
        <v>317.4716474225134</v>
      </c>
      <c r="AK138" s="117">
        <v>280.94057547170411</v>
      </c>
      <c r="AL138" s="117">
        <v>271.40358596235535</v>
      </c>
      <c r="AM138" s="117">
        <v>245.18201596243253</v>
      </c>
      <c r="AN138" s="117">
        <v>272.46275496499931</v>
      </c>
      <c r="AO138" s="117">
        <v>292.64506180104394</v>
      </c>
      <c r="AP138" s="117">
        <v>300.94206698025721</v>
      </c>
      <c r="AQ138" s="117">
        <v>300.50710937568471</v>
      </c>
      <c r="AR138" s="117">
        <v>298.07269920350774</v>
      </c>
      <c r="AS138" s="117">
        <v>328.24989196696885</v>
      </c>
      <c r="AT138" s="117">
        <v>305.88795308031905</v>
      </c>
      <c r="AU138" s="117">
        <v>323.99359496509044</v>
      </c>
      <c r="AV138" s="117">
        <v>358.56409371604042</v>
      </c>
      <c r="AW138" s="117">
        <v>400.83289615514911</v>
      </c>
      <c r="AX138" s="117">
        <v>458.64731762701462</v>
      </c>
      <c r="AY138" s="117">
        <v>523.43650514030026</v>
      </c>
      <c r="AZ138" s="117">
        <v>612.87548773940716</v>
      </c>
      <c r="BA138" s="117">
        <v>741.85217944720432</v>
      </c>
      <c r="BB138" s="117">
        <v>729.48261734476216</v>
      </c>
      <c r="BC138" s="117">
        <v>813.26703082926747</v>
      </c>
      <c r="BD138" s="117">
        <v>903.50977199715476</v>
      </c>
      <c r="BE138" s="117">
        <v>935.48198091077154</v>
      </c>
      <c r="BF138" s="117">
        <v>997.20931559487838</v>
      </c>
      <c r="BG138" s="117">
        <v>1053.0286154984576</v>
      </c>
      <c r="BH138" s="117">
        <v>1014.3803729374596</v>
      </c>
      <c r="BI138" s="117">
        <v>978.74130753420138</v>
      </c>
      <c r="BJ138" s="117">
        <v>1041.228276297606</v>
      </c>
      <c r="BK138" s="117">
        <v>1056.7861865286332</v>
      </c>
      <c r="BL138" s="117">
        <v>1069.6816991511994</v>
      </c>
    </row>
    <row r="139" spans="1:64" hidden="1">
      <c r="A139" s="117" t="s">
        <v>1043</v>
      </c>
      <c r="B139" s="117" t="s">
        <v>1044</v>
      </c>
      <c r="C139" s="117" t="s">
        <v>775</v>
      </c>
      <c r="D139" s="117" t="s">
        <v>776</v>
      </c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>
        <v>142.25584178840998</v>
      </c>
      <c r="P139" s="117">
        <v>154.50451621735078</v>
      </c>
      <c r="Q139" s="117">
        <v>164.45438494105409</v>
      </c>
      <c r="R139" s="117">
        <v>191.46907878989956</v>
      </c>
      <c r="S139" s="117">
        <v>232.47483206822574</v>
      </c>
      <c r="T139" s="117">
        <v>267.53733301250998</v>
      </c>
      <c r="U139" s="117">
        <v>277.04369334236958</v>
      </c>
      <c r="V139" s="117">
        <v>313.69273945915273</v>
      </c>
      <c r="W139" s="117">
        <v>343.58191154390624</v>
      </c>
      <c r="X139" s="117">
        <v>363.2538597624299</v>
      </c>
      <c r="Y139" s="117">
        <v>376.53679574672447</v>
      </c>
      <c r="Z139" s="117">
        <v>379.11171046208739</v>
      </c>
      <c r="AA139" s="117">
        <v>381.73397915551965</v>
      </c>
      <c r="AB139" s="117">
        <v>361.25338216524221</v>
      </c>
      <c r="AC139" s="117">
        <v>342.51592586830338</v>
      </c>
      <c r="AD139" s="117">
        <v>349.80377498576701</v>
      </c>
      <c r="AE139" s="117">
        <v>364.78953138622529</v>
      </c>
      <c r="AF139" s="117">
        <v>381.74939624885712</v>
      </c>
      <c r="AG139" s="117">
        <v>366.44746629575019</v>
      </c>
      <c r="AH139" s="117">
        <v>351.51438058042658</v>
      </c>
      <c r="AI139" s="117">
        <v>360.09693108583053</v>
      </c>
      <c r="AJ139" s="117">
        <v>352.23209041299373</v>
      </c>
      <c r="AK139" s="117">
        <v>299.79077379090228</v>
      </c>
      <c r="AL139" s="117">
        <v>291.96329423808646</v>
      </c>
      <c r="AM139" s="117">
        <v>244.45202945270023</v>
      </c>
      <c r="AN139" s="117">
        <v>267.6740375451318</v>
      </c>
      <c r="AO139" s="117">
        <v>275.09225345131199</v>
      </c>
      <c r="AP139" s="117">
        <v>285.88162833222492</v>
      </c>
      <c r="AQ139" s="117">
        <v>281.43860158978902</v>
      </c>
      <c r="AR139" s="117">
        <v>273.71940093959734</v>
      </c>
      <c r="AS139" s="117">
        <v>323.88778668503295</v>
      </c>
      <c r="AT139" s="117">
        <v>294.87638409569848</v>
      </c>
      <c r="AU139" s="117">
        <v>308.6608547265422</v>
      </c>
      <c r="AV139" s="117">
        <v>329.4657697794654</v>
      </c>
      <c r="AW139" s="117">
        <v>372.60375196372752</v>
      </c>
      <c r="AX139" s="117">
        <v>423.56555396348807</v>
      </c>
      <c r="AY139" s="117">
        <v>483.99675832972923</v>
      </c>
      <c r="AZ139" s="117">
        <v>576.33582132149797</v>
      </c>
      <c r="BA139" s="117">
        <v>679.06707051536216</v>
      </c>
      <c r="BB139" s="117">
        <v>679.50288613173427</v>
      </c>
      <c r="BC139" s="117">
        <v>734.2035212189835</v>
      </c>
      <c r="BD139" s="117">
        <v>773.24218122105151</v>
      </c>
      <c r="BE139" s="117">
        <v>790.49639069270393</v>
      </c>
      <c r="BF139" s="117">
        <v>845.74051241953828</v>
      </c>
      <c r="BG139" s="117">
        <v>883.96999185653112</v>
      </c>
      <c r="BH139" s="117">
        <v>860.56862058536797</v>
      </c>
      <c r="BI139" s="117">
        <v>774.50727353108653</v>
      </c>
      <c r="BJ139" s="117">
        <v>779.60831785632399</v>
      </c>
      <c r="BK139" s="117">
        <v>781.53278191943718</v>
      </c>
      <c r="BL139" s="117">
        <v>779.81894116152739</v>
      </c>
    </row>
    <row r="140" spans="1:64" hidden="1">
      <c r="A140" s="117" t="s">
        <v>1045</v>
      </c>
      <c r="B140" s="117" t="s">
        <v>1046</v>
      </c>
      <c r="C140" s="117" t="s">
        <v>775</v>
      </c>
      <c r="D140" s="117" t="s">
        <v>776</v>
      </c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>
        <v>4236.7314335299097</v>
      </c>
      <c r="P140" s="117">
        <v>4827.3484983405833</v>
      </c>
      <c r="Q140" s="117">
        <v>5640.4643135963797</v>
      </c>
      <c r="R140" s="117">
        <v>7354.1023679926957</v>
      </c>
      <c r="S140" s="117">
        <v>8440.3132951254811</v>
      </c>
      <c r="T140" s="117">
        <v>10512.308182317551</v>
      </c>
      <c r="U140" s="117">
        <v>11386.64823954884</v>
      </c>
      <c r="V140" s="117">
        <v>12413.951090632443</v>
      </c>
      <c r="W140" s="117">
        <v>17494.221290641872</v>
      </c>
      <c r="X140" s="117">
        <v>19764.353273678742</v>
      </c>
      <c r="Y140" s="117">
        <v>20661.614267064182</v>
      </c>
      <c r="Z140" s="117">
        <v>19500.674234356378</v>
      </c>
      <c r="AA140" s="117">
        <v>19674.793920640135</v>
      </c>
      <c r="AB140" s="117">
        <v>19561.540552338844</v>
      </c>
      <c r="AC140" s="117">
        <v>18590.670047605905</v>
      </c>
      <c r="AD140" s="117">
        <v>19388.705495597922</v>
      </c>
      <c r="AE140" s="117">
        <v>28279.878355616092</v>
      </c>
      <c r="AF140" s="117">
        <v>37821.724598178138</v>
      </c>
      <c r="AG140" s="117">
        <v>41301.06548464443</v>
      </c>
      <c r="AH140" s="117">
        <v>39368.727087998253</v>
      </c>
      <c r="AI140" s="117">
        <v>49375.325282654419</v>
      </c>
      <c r="AJ140" s="117">
        <v>50898.591251936014</v>
      </c>
      <c r="AK140" s="117">
        <v>55195.67926298501</v>
      </c>
      <c r="AL140" s="117">
        <v>55816.663678855286</v>
      </c>
      <c r="AM140" s="117">
        <v>64028.075582774887</v>
      </c>
      <c r="AN140" s="117">
        <v>78641.884564405336</v>
      </c>
      <c r="AO140" s="117">
        <v>79878.564898149314</v>
      </c>
      <c r="AP140" s="117">
        <v>72208.934674339122</v>
      </c>
      <c r="AQ140" s="117">
        <v>76745.422329070701</v>
      </c>
      <c r="AR140" s="117">
        <v>81297.143491122028</v>
      </c>
      <c r="AS140" s="117">
        <v>74853.93872935402</v>
      </c>
      <c r="AT140" s="117">
        <v>74267.486492684766</v>
      </c>
      <c r="AU140" s="117">
        <v>79359.804673486316</v>
      </c>
      <c r="AV140" s="117">
        <v>89851.977162305615</v>
      </c>
      <c r="AW140" s="117">
        <v>100265.95512501535</v>
      </c>
      <c r="AX140" s="117">
        <v>105414.44202054849</v>
      </c>
      <c r="AY140" s="117">
        <v>114390.59973152021</v>
      </c>
      <c r="AZ140" s="117">
        <v>130655.63695973714</v>
      </c>
      <c r="BA140" s="117">
        <v>143255.98161919325</v>
      </c>
      <c r="BB140" s="117">
        <v>126082.49263096908</v>
      </c>
      <c r="BC140" s="117">
        <v>141200.38001027785</v>
      </c>
      <c r="BD140" s="117">
        <v>158156.59982579225</v>
      </c>
      <c r="BE140" s="117">
        <v>149010.22489866466</v>
      </c>
      <c r="BF140" s="117">
        <v>173058.31737260194</v>
      </c>
      <c r="BG140" s="117">
        <v>178845.63101789687</v>
      </c>
      <c r="BH140" s="117">
        <v>167290.93998390733</v>
      </c>
      <c r="BI140" s="117">
        <v>165629.19048292545</v>
      </c>
      <c r="BJ140" s="117">
        <v>173356.05128841646</v>
      </c>
      <c r="BK140" s="117"/>
      <c r="BL140" s="117"/>
    </row>
    <row r="141" spans="1:64" hidden="1">
      <c r="A141" s="117" t="s">
        <v>1047</v>
      </c>
      <c r="B141" s="117" t="s">
        <v>1048</v>
      </c>
      <c r="C141" s="117" t="s">
        <v>775</v>
      </c>
      <c r="D141" s="117" t="s">
        <v>776</v>
      </c>
      <c r="E141" s="117">
        <v>142.77962188371637</v>
      </c>
      <c r="F141" s="117">
        <v>142.83817062385023</v>
      </c>
      <c r="G141" s="117">
        <v>138.53666736257389</v>
      </c>
      <c r="H141" s="117">
        <v>117.07204351168524</v>
      </c>
      <c r="I141" s="117">
        <v>120.7143702321585</v>
      </c>
      <c r="J141" s="117">
        <v>152.85274423769735</v>
      </c>
      <c r="K141" s="117">
        <v>153.8987237337779</v>
      </c>
      <c r="L141" s="117">
        <v>159.50599139416019</v>
      </c>
      <c r="M141" s="117">
        <v>150.89670769795654</v>
      </c>
      <c r="N141" s="117">
        <v>160.91308216643554</v>
      </c>
      <c r="O141" s="117">
        <v>183.92747151833163</v>
      </c>
      <c r="P141" s="117">
        <v>185.85988933616721</v>
      </c>
      <c r="Q141" s="117">
        <v>196.42293298809338</v>
      </c>
      <c r="R141" s="117">
        <v>216.99495835960602</v>
      </c>
      <c r="S141" s="117">
        <v>264.74623571846655</v>
      </c>
      <c r="T141" s="117">
        <v>275.6276193292619</v>
      </c>
      <c r="U141" s="117">
        <v>256.28671535509693</v>
      </c>
      <c r="V141" s="117">
        <v>287.56163664635642</v>
      </c>
      <c r="W141" s="117">
        <v>188.05849419536554</v>
      </c>
      <c r="X141" s="117">
        <v>227.50982680354241</v>
      </c>
      <c r="Y141" s="117">
        <v>267.66868399694539</v>
      </c>
      <c r="Z141" s="117">
        <v>289.13068938195914</v>
      </c>
      <c r="AA141" s="117">
        <v>307.63830305722882</v>
      </c>
      <c r="AB141" s="117">
        <v>328.65042932701306</v>
      </c>
      <c r="AC141" s="117">
        <v>378.93718963857168</v>
      </c>
      <c r="AD141" s="117">
        <v>369.58194170833303</v>
      </c>
      <c r="AE141" s="117">
        <v>390.3507589335091</v>
      </c>
      <c r="AF141" s="117">
        <v>401.47719240990472</v>
      </c>
      <c r="AG141" s="117">
        <v>413.45499693502387</v>
      </c>
      <c r="AH141" s="117">
        <v>408.45084299589405</v>
      </c>
      <c r="AI141" s="117">
        <v>463.61863180593105</v>
      </c>
      <c r="AJ141" s="117">
        <v>513.25853527850802</v>
      </c>
      <c r="AK141" s="117">
        <v>547.05471943736973</v>
      </c>
      <c r="AL141" s="117">
        <v>576.78001259826044</v>
      </c>
      <c r="AM141" s="117">
        <v>647.5790490558162</v>
      </c>
      <c r="AN141" s="117">
        <v>714.23342726071417</v>
      </c>
      <c r="AO141" s="117">
        <v>756.65707290312957</v>
      </c>
      <c r="AP141" s="117">
        <v>817.06434898727741</v>
      </c>
      <c r="AQ141" s="117">
        <v>850.81142055200576</v>
      </c>
      <c r="AR141" s="117">
        <v>838.88386736062364</v>
      </c>
      <c r="AS141" s="117">
        <v>869.69651660915713</v>
      </c>
      <c r="AT141" s="117">
        <v>832.803440237058</v>
      </c>
      <c r="AU141" s="117">
        <v>867.491213740342</v>
      </c>
      <c r="AV141" s="117">
        <v>982.19564585810383</v>
      </c>
      <c r="AW141" s="117">
        <v>1065.7844368019662</v>
      </c>
      <c r="AX141" s="117">
        <v>1248.6981851703424</v>
      </c>
      <c r="AY141" s="117">
        <v>1435.8171774711996</v>
      </c>
      <c r="AZ141" s="117">
        <v>1630.3889060432284</v>
      </c>
      <c r="BA141" s="117">
        <v>2037.3221030266832</v>
      </c>
      <c r="BB141" s="117">
        <v>2090.4018261396004</v>
      </c>
      <c r="BC141" s="117">
        <v>2799.6488761997216</v>
      </c>
      <c r="BD141" s="117">
        <v>3200.8338291401569</v>
      </c>
      <c r="BE141" s="117">
        <v>3350.5218758928909</v>
      </c>
      <c r="BF141" s="117">
        <v>3610.2893630489784</v>
      </c>
      <c r="BG141" s="117">
        <v>3819.2535297226459</v>
      </c>
      <c r="BH141" s="117">
        <v>3843.780671844419</v>
      </c>
      <c r="BI141" s="117">
        <v>3886.2915016523889</v>
      </c>
      <c r="BJ141" s="117">
        <v>4077.0437212074712</v>
      </c>
      <c r="BK141" s="117">
        <v>4080.5671246955208</v>
      </c>
      <c r="BL141" s="117">
        <v>3853.08369288942</v>
      </c>
    </row>
    <row r="142" spans="1:64" hidden="1">
      <c r="A142" s="117" t="s">
        <v>1049</v>
      </c>
      <c r="B142" s="117" t="s">
        <v>1050</v>
      </c>
      <c r="C142" s="117" t="s">
        <v>775</v>
      </c>
      <c r="D142" s="117" t="s">
        <v>776</v>
      </c>
      <c r="E142" s="117">
        <v>102.38766204635401</v>
      </c>
      <c r="F142" s="117">
        <v>105.97298626482888</v>
      </c>
      <c r="G142" s="117">
        <v>105.47880517531911</v>
      </c>
      <c r="H142" s="117">
        <v>115.164362982725</v>
      </c>
      <c r="I142" s="117">
        <v>127.03864866968802</v>
      </c>
      <c r="J142" s="117">
        <v>133.72563716657467</v>
      </c>
      <c r="K142" s="117">
        <v>118.774528950058</v>
      </c>
      <c r="L142" s="117">
        <v>123.71116134246297</v>
      </c>
      <c r="M142" s="117">
        <v>128.54317999798596</v>
      </c>
      <c r="N142" s="117">
        <v>139.11232515032407</v>
      </c>
      <c r="O142" s="117">
        <v>150.72381351208057</v>
      </c>
      <c r="P142" s="117">
        <v>153.19467173502528</v>
      </c>
      <c r="Q142" s="117">
        <v>159.82181898823063</v>
      </c>
      <c r="R142" s="117">
        <v>183.36610860515557</v>
      </c>
      <c r="S142" s="117">
        <v>225.25970673778656</v>
      </c>
      <c r="T142" s="117">
        <v>241.97086277327892</v>
      </c>
      <c r="U142" s="117">
        <v>250.21756715950923</v>
      </c>
      <c r="V142" s="117">
        <v>276.25888496618569</v>
      </c>
      <c r="W142" s="117">
        <v>306.38507636918706</v>
      </c>
      <c r="X142" s="117">
        <v>350.26719424251633</v>
      </c>
      <c r="Y142" s="117">
        <v>419.77129309947361</v>
      </c>
      <c r="Z142" s="117">
        <v>506.00673567550848</v>
      </c>
      <c r="AA142" s="117">
        <v>488.34638383808482</v>
      </c>
      <c r="AB142" s="117">
        <v>452.30774743990747</v>
      </c>
      <c r="AC142" s="117">
        <v>426.19240976498293</v>
      </c>
      <c r="AD142" s="117">
        <v>440.94309100161257</v>
      </c>
      <c r="AE142" s="117">
        <v>452.37630123230224</v>
      </c>
      <c r="AF142" s="117">
        <v>483.53261038144274</v>
      </c>
      <c r="AG142" s="117">
        <v>485.85387603766338</v>
      </c>
      <c r="AH142" s="117">
        <v>469.81456272169822</v>
      </c>
      <c r="AI142" s="117">
        <v>493.68768651766902</v>
      </c>
      <c r="AJ142" s="117">
        <v>446.67700433084764</v>
      </c>
      <c r="AK142" s="117">
        <v>454.60468311366566</v>
      </c>
      <c r="AL142" s="117">
        <v>431.48865278153352</v>
      </c>
      <c r="AM142" s="117">
        <v>450.77931201316369</v>
      </c>
      <c r="AN142" s="117">
        <v>490.81557761039551</v>
      </c>
      <c r="AO142" s="117">
        <v>527.94002645471596</v>
      </c>
      <c r="AP142" s="117">
        <v>542.53292945750366</v>
      </c>
      <c r="AQ142" s="117">
        <v>533.74502520337717</v>
      </c>
      <c r="AR142" s="117">
        <v>551.13665270624676</v>
      </c>
      <c r="AS142" s="117">
        <v>565.86312164172011</v>
      </c>
      <c r="AT142" s="117">
        <v>565.01883536543107</v>
      </c>
      <c r="AU142" s="117">
        <v>587.15806949330999</v>
      </c>
      <c r="AV142" s="117">
        <v>657.95687028061047</v>
      </c>
      <c r="AW142" s="117">
        <v>749.64500249124251</v>
      </c>
      <c r="AX142" s="117">
        <v>859.90125703749902</v>
      </c>
      <c r="AY142" s="117">
        <v>994.5662632721868</v>
      </c>
      <c r="AZ142" s="117">
        <v>1198.9877154441424</v>
      </c>
      <c r="BA142" s="117">
        <v>1321.3815070453966</v>
      </c>
      <c r="BB142" s="117">
        <v>1311.8838150683523</v>
      </c>
      <c r="BC142" s="117">
        <v>1542.6524532753508</v>
      </c>
      <c r="BD142" s="117">
        <v>1709.8841659862892</v>
      </c>
      <c r="BE142" s="117">
        <v>1775.6242548889609</v>
      </c>
      <c r="BF142" s="117">
        <v>1843.3321432883206</v>
      </c>
      <c r="BG142" s="117">
        <v>1935.2398738514983</v>
      </c>
      <c r="BH142" s="117">
        <v>1886.7258935167051</v>
      </c>
      <c r="BI142" s="117">
        <v>1920.0476862671601</v>
      </c>
      <c r="BJ142" s="117">
        <v>2034.8935808923702</v>
      </c>
      <c r="BK142" s="117">
        <v>2090.1301091158771</v>
      </c>
      <c r="BL142" s="117">
        <v>2176.5582265324547</v>
      </c>
    </row>
    <row r="143" spans="1:64" hidden="1">
      <c r="A143" s="117" t="s">
        <v>1051</v>
      </c>
      <c r="B143" s="117" t="s">
        <v>1052</v>
      </c>
      <c r="C143" s="117" t="s">
        <v>775</v>
      </c>
      <c r="D143" s="117" t="s">
        <v>776</v>
      </c>
      <c r="E143" s="117">
        <v>144.83619134773278</v>
      </c>
      <c r="F143" s="117">
        <v>137.6675190361905</v>
      </c>
      <c r="G143" s="117">
        <v>141.02362880113512</v>
      </c>
      <c r="H143" s="117">
        <v>148.4255798376916</v>
      </c>
      <c r="I143" s="117">
        <v>161.37911138839942</v>
      </c>
      <c r="J143" s="117">
        <v>173.71267950200877</v>
      </c>
      <c r="K143" s="117">
        <v>175.52644992851972</v>
      </c>
      <c r="L143" s="117">
        <v>176.12627861502918</v>
      </c>
      <c r="M143" s="117">
        <v>181.81691314923825</v>
      </c>
      <c r="N143" s="117">
        <v>198.3633909529614</v>
      </c>
      <c r="O143" s="117">
        <v>212.42612439089544</v>
      </c>
      <c r="P143" s="117">
        <v>223.69186696273951</v>
      </c>
      <c r="Q143" s="117">
        <v>244.37577918966741</v>
      </c>
      <c r="R143" s="117">
        <v>302.05014948919813</v>
      </c>
      <c r="S143" s="117">
        <v>377.59313113838988</v>
      </c>
      <c r="T143" s="117">
        <v>408.68085981096175</v>
      </c>
      <c r="U143" s="117">
        <v>433.10358435081321</v>
      </c>
      <c r="V143" s="117">
        <v>477.44759607705168</v>
      </c>
      <c r="W143" s="117">
        <v>508.01098055023294</v>
      </c>
      <c r="X143" s="117">
        <v>592.27771413544542</v>
      </c>
      <c r="Y143" s="117">
        <v>681.92578289263747</v>
      </c>
      <c r="Z143" s="117">
        <v>753.75692193424993</v>
      </c>
      <c r="AA143" s="117">
        <v>730.3060116061589</v>
      </c>
      <c r="AB143" s="117">
        <v>692.41628364078269</v>
      </c>
      <c r="AC143" s="117">
        <v>685.74997537348338</v>
      </c>
      <c r="AD143" s="117">
        <v>708.03230692164618</v>
      </c>
      <c r="AE143" s="117">
        <v>717.76538873019751</v>
      </c>
      <c r="AF143" s="117">
        <v>720.3288565154055</v>
      </c>
      <c r="AG143" s="117">
        <v>759.13652950213213</v>
      </c>
      <c r="AH143" s="117">
        <v>767.93039130883517</v>
      </c>
      <c r="AI143" s="117">
        <v>859.23898971449808</v>
      </c>
      <c r="AJ143" s="117">
        <v>901.24940204267295</v>
      </c>
      <c r="AK143" s="117">
        <v>875.96613718631329</v>
      </c>
      <c r="AL143" s="117">
        <v>914.93842464528757</v>
      </c>
      <c r="AM143" s="117">
        <v>973.51139134266828</v>
      </c>
      <c r="AN143" s="117">
        <v>1071.1792268733943</v>
      </c>
      <c r="AO143" s="117">
        <v>1151.465312526409</v>
      </c>
      <c r="AP143" s="117">
        <v>1200.2377673105234</v>
      </c>
      <c r="AQ143" s="117">
        <v>1146.3178015548308</v>
      </c>
      <c r="AR143" s="117">
        <v>1103.0871470762604</v>
      </c>
      <c r="AS143" s="117">
        <v>1188.6111980609537</v>
      </c>
      <c r="AT143" s="117">
        <v>1184.7743234499676</v>
      </c>
      <c r="AU143" s="117">
        <v>1191.5954009766606</v>
      </c>
      <c r="AV143" s="117">
        <v>1322.8365517208956</v>
      </c>
      <c r="AW143" s="117">
        <v>1547.9471735259253</v>
      </c>
      <c r="AX143" s="117">
        <v>1819.7588406593577</v>
      </c>
      <c r="AY143" s="117">
        <v>2134.3210302478851</v>
      </c>
      <c r="AZ143" s="117">
        <v>2605.3302767298783</v>
      </c>
      <c r="BA143" s="117">
        <v>3086.1624776422336</v>
      </c>
      <c r="BB143" s="117">
        <v>2980.2044281614567</v>
      </c>
      <c r="BC143" s="117">
        <v>3576.0529196784855</v>
      </c>
      <c r="BD143" s="117">
        <v>4167.7108957868886</v>
      </c>
      <c r="BE143" s="117">
        <v>4393.632889888866</v>
      </c>
      <c r="BF143" s="117">
        <v>4593.9005886224359</v>
      </c>
      <c r="BG143" s="117">
        <v>4709.4835699671248</v>
      </c>
      <c r="BH143" s="117">
        <v>4415.5229111712561</v>
      </c>
      <c r="BI143" s="117">
        <v>4380.3280925594227</v>
      </c>
      <c r="BJ143" s="117">
        <v>4749.3564159800226</v>
      </c>
      <c r="BK143" s="117">
        <v>5001.9700259697402</v>
      </c>
      <c r="BL143" s="117">
        <v>5080.3654962736982</v>
      </c>
    </row>
    <row r="144" spans="1:64" hidden="1">
      <c r="A144" s="117" t="s">
        <v>1053</v>
      </c>
      <c r="B144" s="117" t="s">
        <v>1054</v>
      </c>
      <c r="C144" s="117" t="s">
        <v>775</v>
      </c>
      <c r="D144" s="117" t="s">
        <v>776</v>
      </c>
      <c r="E144" s="117">
        <v>41.300068572660813</v>
      </c>
      <c r="F144" s="117">
        <v>41.856846737890834</v>
      </c>
      <c r="G144" s="117">
        <v>48.161809908626111</v>
      </c>
      <c r="H144" s="117">
        <v>53.088073587608491</v>
      </c>
      <c r="I144" s="117">
        <v>57.469669836866061</v>
      </c>
      <c r="J144" s="117">
        <v>59.501838242352925</v>
      </c>
      <c r="K144" s="117">
        <v>60.203044426572632</v>
      </c>
      <c r="L144" s="117">
        <v>61.584201971482429</v>
      </c>
      <c r="M144" s="117">
        <v>62.463869129424467</v>
      </c>
      <c r="N144" s="117">
        <v>65.579173331172754</v>
      </c>
      <c r="O144" s="117">
        <v>66.806189393110358</v>
      </c>
      <c r="P144" s="117">
        <v>72.659211171690103</v>
      </c>
      <c r="Q144" s="117">
        <v>75.12413661193078</v>
      </c>
      <c r="R144" s="117">
        <v>109.87757140496538</v>
      </c>
      <c r="S144" s="117">
        <v>133.41724822675704</v>
      </c>
      <c r="T144" s="117">
        <v>128.84350845002092</v>
      </c>
      <c r="U144" s="117">
        <v>123.71302544006059</v>
      </c>
      <c r="V144" s="117">
        <v>157.34766234712828</v>
      </c>
      <c r="W144" s="117">
        <v>210.68520096118641</v>
      </c>
      <c r="X144" s="117">
        <v>222.7296137959485</v>
      </c>
      <c r="Y144" s="117">
        <v>321.99945269865117</v>
      </c>
      <c r="Z144" s="117">
        <v>315.13162238326061</v>
      </c>
      <c r="AA144" s="117">
        <v>246.40027824533627</v>
      </c>
      <c r="AB144" s="117">
        <v>266.18837721801253</v>
      </c>
      <c r="AC144" s="117">
        <v>223.64267236770593</v>
      </c>
      <c r="AD144" s="117">
        <v>176.01825305292729</v>
      </c>
      <c r="AE144" s="117">
        <v>204.17783301869119</v>
      </c>
      <c r="AF144" s="117">
        <v>252.30291059240975</v>
      </c>
      <c r="AG144" s="117">
        <v>288.40609031469677</v>
      </c>
      <c r="AH144" s="117">
        <v>297.26142251593478</v>
      </c>
      <c r="AI144" s="117">
        <v>350.06083916751959</v>
      </c>
      <c r="AJ144" s="117">
        <v>404.19708986227607</v>
      </c>
      <c r="AK144" s="117">
        <v>466.27444044805924</v>
      </c>
      <c r="AL144" s="117">
        <v>458.55355852745242</v>
      </c>
      <c r="AM144" s="117">
        <v>471.84179143592468</v>
      </c>
      <c r="AN144" s="117">
        <v>527.69983793856272</v>
      </c>
      <c r="AO144" s="117">
        <v>489.13181929819274</v>
      </c>
      <c r="AP144" s="117">
        <v>507.10046556166088</v>
      </c>
      <c r="AQ144" s="117">
        <v>464.80639251872429</v>
      </c>
      <c r="AR144" s="117">
        <v>451.92715792993226</v>
      </c>
      <c r="AS144" s="117">
        <v>436.48835198826589</v>
      </c>
      <c r="AT144" s="117">
        <v>405.60531366416592</v>
      </c>
      <c r="AU144" s="117">
        <v>382.19017349571067</v>
      </c>
      <c r="AV144" s="117">
        <v>573.65376761156699</v>
      </c>
      <c r="AW144" s="117">
        <v>753.38078682336743</v>
      </c>
      <c r="AX144" s="117">
        <v>842.81305318800435</v>
      </c>
      <c r="AY144" s="117">
        <v>904.60340221659328</v>
      </c>
      <c r="AZ144" s="117">
        <v>863.77963151143285</v>
      </c>
      <c r="BA144" s="117">
        <v>884.96267475135869</v>
      </c>
      <c r="BB144" s="117">
        <v>890.99638326858985</v>
      </c>
      <c r="BC144" s="117">
        <v>1137.2757018614377</v>
      </c>
      <c r="BD144" s="117">
        <v>1308.6900659327332</v>
      </c>
      <c r="BE144" s="117">
        <v>1253.6962021255538</v>
      </c>
      <c r="BF144" s="117">
        <v>1193.7132566594751</v>
      </c>
      <c r="BG144" s="117">
        <v>1223.3330316391484</v>
      </c>
      <c r="BH144" s="117">
        <v>1152.1398272487427</v>
      </c>
      <c r="BI144" s="117">
        <v>1043.5697918200453</v>
      </c>
      <c r="BJ144" s="117">
        <v>1150.079172520469</v>
      </c>
      <c r="BK144" s="117">
        <v>1221.8837631251592</v>
      </c>
      <c r="BL144" s="117">
        <v>1157.5351643314725</v>
      </c>
    </row>
    <row r="145" spans="1:64" hidden="1">
      <c r="A145" s="117" t="s">
        <v>1055</v>
      </c>
      <c r="B145" s="117" t="s">
        <v>1056</v>
      </c>
      <c r="C145" s="117" t="s">
        <v>775</v>
      </c>
      <c r="D145" s="117" t="s">
        <v>776</v>
      </c>
      <c r="E145" s="117">
        <v>166.96986550648913</v>
      </c>
      <c r="F145" s="117">
        <v>153.84846329935758</v>
      </c>
      <c r="G145" s="117">
        <v>159.28624720901607</v>
      </c>
      <c r="H145" s="117">
        <v>168.70597586543352</v>
      </c>
      <c r="I145" s="117">
        <v>182.0292456020118</v>
      </c>
      <c r="J145" s="117">
        <v>198.55693685685682</v>
      </c>
      <c r="K145" s="117">
        <v>215.22721793749224</v>
      </c>
      <c r="L145" s="117">
        <v>212.51699983117598</v>
      </c>
      <c r="M145" s="117">
        <v>212.0244640977669</v>
      </c>
      <c r="N145" s="117">
        <v>231.43005874437006</v>
      </c>
      <c r="O145" s="117">
        <v>256.80964273052484</v>
      </c>
      <c r="P145" s="117">
        <v>279.34360239885643</v>
      </c>
      <c r="Q145" s="117">
        <v>313.70480956026199</v>
      </c>
      <c r="R145" s="117">
        <v>390.48477112289362</v>
      </c>
      <c r="S145" s="117">
        <v>451.17065150557653</v>
      </c>
      <c r="T145" s="117">
        <v>487.32506028480481</v>
      </c>
      <c r="U145" s="117">
        <v>523.30916605148013</v>
      </c>
      <c r="V145" s="117">
        <v>598.6187120245304</v>
      </c>
      <c r="W145" s="117">
        <v>614.76120078336567</v>
      </c>
      <c r="X145" s="117">
        <v>724.09212703031324</v>
      </c>
      <c r="Y145" s="117">
        <v>809.47231482684776</v>
      </c>
      <c r="Z145" s="117">
        <v>846.08977359196797</v>
      </c>
      <c r="AA145" s="117">
        <v>852.63302718168177</v>
      </c>
      <c r="AB145" s="117">
        <v>776.17820077795579</v>
      </c>
      <c r="AC145" s="117">
        <v>805.73520517602435</v>
      </c>
      <c r="AD145" s="117">
        <v>849.02201987984415</v>
      </c>
      <c r="AE145" s="117">
        <v>889.51657381458426</v>
      </c>
      <c r="AF145" s="117">
        <v>923.0821129008375</v>
      </c>
      <c r="AG145" s="117">
        <v>1001.3291644401521</v>
      </c>
      <c r="AH145" s="117">
        <v>1045.5596863903561</v>
      </c>
      <c r="AI145" s="117">
        <v>1100.5811753556022</v>
      </c>
      <c r="AJ145" s="117">
        <v>1196.2519372693862</v>
      </c>
      <c r="AK145" s="117">
        <v>1104.6027383895537</v>
      </c>
      <c r="AL145" s="117">
        <v>1133.2884627180078</v>
      </c>
      <c r="AM145" s="117">
        <v>1276.9896249821761</v>
      </c>
      <c r="AN145" s="117">
        <v>1542.886976208516</v>
      </c>
      <c r="AO145" s="117">
        <v>1684.6862883502231</v>
      </c>
      <c r="AP145" s="117">
        <v>1747.0732082935183</v>
      </c>
      <c r="AQ145" s="117">
        <v>1666.4754888050152</v>
      </c>
      <c r="AR145" s="117">
        <v>1526.7255586073338</v>
      </c>
      <c r="AS145" s="117">
        <v>1663.811967418399</v>
      </c>
      <c r="AT145" s="117">
        <v>1707.4007547696201</v>
      </c>
      <c r="AU145" s="117">
        <v>1796.7161447808182</v>
      </c>
      <c r="AV145" s="117">
        <v>2034.4766391168541</v>
      </c>
      <c r="AW145" s="117">
        <v>2430.6241199959836</v>
      </c>
      <c r="AX145" s="117">
        <v>2915.1845041984179</v>
      </c>
      <c r="AY145" s="117">
        <v>3495.979210680518</v>
      </c>
      <c r="AZ145" s="117">
        <v>4377.5726497564192</v>
      </c>
      <c r="BA145" s="117">
        <v>5408.660898080404</v>
      </c>
      <c r="BB145" s="117">
        <v>5194.1402843472315</v>
      </c>
      <c r="BC145" s="117">
        <v>6192.3892086345822</v>
      </c>
      <c r="BD145" s="117">
        <v>7502.030597945939</v>
      </c>
      <c r="BE145" s="117">
        <v>7978.5853555033364</v>
      </c>
      <c r="BF145" s="117">
        <v>8548.1596287876455</v>
      </c>
      <c r="BG145" s="117">
        <v>8818.8697958762277</v>
      </c>
      <c r="BH145" s="117">
        <v>8218.3849723496623</v>
      </c>
      <c r="BI145" s="117">
        <v>8187.213159763287</v>
      </c>
      <c r="BJ145" s="117">
        <v>9031.3407688910065</v>
      </c>
      <c r="BK145" s="117">
        <v>9840.7819977060935</v>
      </c>
      <c r="BL145" s="117">
        <v>10000.482006439135</v>
      </c>
    </row>
    <row r="146" spans="1:64" hidden="1">
      <c r="A146" s="117" t="s">
        <v>1057</v>
      </c>
      <c r="B146" s="117" t="s">
        <v>1058</v>
      </c>
      <c r="C146" s="117" t="s">
        <v>775</v>
      </c>
      <c r="D146" s="117" t="s">
        <v>776</v>
      </c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>
        <v>2168.7960990120914</v>
      </c>
      <c r="AO146" s="117">
        <v>2328.1538078313383</v>
      </c>
      <c r="AP146" s="117">
        <v>2830.7375333808804</v>
      </c>
      <c r="AQ146" s="117">
        <v>3166.8956481411733</v>
      </c>
      <c r="AR146" s="117">
        <v>3113.5464279561875</v>
      </c>
      <c r="AS146" s="117">
        <v>3297.3547008410651</v>
      </c>
      <c r="AT146" s="117">
        <v>3530.1473373189142</v>
      </c>
      <c r="AU146" s="117">
        <v>4146.9879278393073</v>
      </c>
      <c r="AV146" s="117">
        <v>5505.5356688311003</v>
      </c>
      <c r="AW146" s="117">
        <v>6706.966998439284</v>
      </c>
      <c r="AX146" s="117">
        <v>7863.1620086516596</v>
      </c>
      <c r="AY146" s="117">
        <v>9240.6425479744066</v>
      </c>
      <c r="AZ146" s="117">
        <v>12297.915348039623</v>
      </c>
      <c r="BA146" s="117">
        <v>14961.568175918665</v>
      </c>
      <c r="BB146" s="117">
        <v>11837.391027108608</v>
      </c>
      <c r="BC146" s="117">
        <v>11957.084213606453</v>
      </c>
      <c r="BD146" s="117">
        <v>14354.188379295345</v>
      </c>
      <c r="BE146" s="117">
        <v>14339.287867289569</v>
      </c>
      <c r="BF146" s="117">
        <v>15702.143059565025</v>
      </c>
      <c r="BG146" s="117">
        <v>16548.406405238577</v>
      </c>
      <c r="BH146" s="117">
        <v>14249.114966602645</v>
      </c>
      <c r="BI146" s="117">
        <v>14999.479639132926</v>
      </c>
      <c r="BJ146" s="117">
        <v>16882.63947119948</v>
      </c>
      <c r="BK146" s="117">
        <v>19080.617371755281</v>
      </c>
      <c r="BL146" s="117">
        <v>19455.454126634071</v>
      </c>
    </row>
    <row r="147" spans="1:64" hidden="1">
      <c r="A147" s="117" t="s">
        <v>1059</v>
      </c>
      <c r="B147" s="117" t="s">
        <v>1060</v>
      </c>
      <c r="C147" s="117" t="s">
        <v>775</v>
      </c>
      <c r="D147" s="117" t="s">
        <v>776</v>
      </c>
      <c r="E147" s="117">
        <v>2242.0158166161027</v>
      </c>
      <c r="F147" s="117">
        <v>2222.3663663627735</v>
      </c>
      <c r="G147" s="117">
        <v>2311.7988489361937</v>
      </c>
      <c r="H147" s="117">
        <v>2441.0385553000779</v>
      </c>
      <c r="I147" s="117">
        <v>2755.6331165327915</v>
      </c>
      <c r="J147" s="117">
        <v>2780.0927188658402</v>
      </c>
      <c r="K147" s="117">
        <v>2900.4332184397813</v>
      </c>
      <c r="L147" s="117">
        <v>2909.6606293685777</v>
      </c>
      <c r="M147" s="117">
        <v>3175.36736882691</v>
      </c>
      <c r="N147" s="117">
        <v>3658.9006829688751</v>
      </c>
      <c r="O147" s="117">
        <v>4449.5403867819232</v>
      </c>
      <c r="P147" s="117">
        <v>4591.7475031336644</v>
      </c>
      <c r="Q147" s="117">
        <v>5680.1298953294827</v>
      </c>
      <c r="R147" s="117">
        <v>7709.7293868760689</v>
      </c>
      <c r="S147" s="117">
        <v>9282.8081088734252</v>
      </c>
      <c r="T147" s="117">
        <v>9008.027890446132</v>
      </c>
      <c r="U147" s="117">
        <v>9825.2382664045235</v>
      </c>
      <c r="V147" s="117">
        <v>10855.98185719627</v>
      </c>
      <c r="W147" s="117">
        <v>13493.852582520936</v>
      </c>
      <c r="X147" s="117">
        <v>15740.287497089832</v>
      </c>
      <c r="Y147" s="117">
        <v>17113.842251688988</v>
      </c>
      <c r="Z147" s="117">
        <v>14324.891971095671</v>
      </c>
      <c r="AA147" s="117">
        <v>13034.81166007838</v>
      </c>
      <c r="AB147" s="117">
        <v>12810.218833589754</v>
      </c>
      <c r="AC147" s="117">
        <v>12554.41718414879</v>
      </c>
      <c r="AD147" s="117">
        <v>12921.958421081719</v>
      </c>
      <c r="AE147" s="117">
        <v>18789.657075922827</v>
      </c>
      <c r="AF147" s="117">
        <v>23234.566578981019</v>
      </c>
      <c r="AG147" s="117">
        <v>26108.343963606898</v>
      </c>
      <c r="AH147" s="117">
        <v>27556.363588583157</v>
      </c>
      <c r="AI147" s="117">
        <v>34645.143244340128</v>
      </c>
      <c r="AJ147" s="117">
        <v>37007.438746869229</v>
      </c>
      <c r="AK147" s="117">
        <v>40965.74431801412</v>
      </c>
      <c r="AL147" s="117">
        <v>41479.087204395655</v>
      </c>
      <c r="AM147" s="117">
        <v>45481.89220197573</v>
      </c>
      <c r="AN147" s="117">
        <v>52831.252366067398</v>
      </c>
      <c r="AO147" s="117">
        <v>52571.934991820803</v>
      </c>
      <c r="AP147" s="117">
        <v>47042.34710778817</v>
      </c>
      <c r="AQ147" s="117">
        <v>47584.464391610876</v>
      </c>
      <c r="AR147" s="117">
        <v>51654.402795181864</v>
      </c>
      <c r="AS147" s="117">
        <v>48735.995492187038</v>
      </c>
      <c r="AT147" s="117">
        <v>48179.420852604744</v>
      </c>
      <c r="AU147" s="117">
        <v>52930.641152264077</v>
      </c>
      <c r="AV147" s="117">
        <v>65445.885030740668</v>
      </c>
      <c r="AW147" s="117">
        <v>75716.351078988358</v>
      </c>
      <c r="AX147" s="117">
        <v>80289.696409953962</v>
      </c>
      <c r="AY147" s="117">
        <v>89739.711696130122</v>
      </c>
      <c r="AZ147" s="117">
        <v>106018.49279067384</v>
      </c>
      <c r="BA147" s="117">
        <v>114293.8433208702</v>
      </c>
      <c r="BB147" s="117">
        <v>103198.66931262465</v>
      </c>
      <c r="BC147" s="117">
        <v>104965.30607826698</v>
      </c>
      <c r="BD147" s="117">
        <v>115761.50770509611</v>
      </c>
      <c r="BE147" s="117">
        <v>106749.01362298925</v>
      </c>
      <c r="BF147" s="117">
        <v>113625.13289955996</v>
      </c>
      <c r="BG147" s="117">
        <v>118823.64836857481</v>
      </c>
      <c r="BH147" s="117">
        <v>101376.4965743388</v>
      </c>
      <c r="BI147" s="117">
        <v>104278.39097190465</v>
      </c>
      <c r="BJ147" s="117">
        <v>107627.1510066948</v>
      </c>
      <c r="BK147" s="117">
        <v>116654.26106674012</v>
      </c>
      <c r="BL147" s="117">
        <v>114704.59417086263</v>
      </c>
    </row>
    <row r="148" spans="1:64" hidden="1">
      <c r="A148" s="117" t="s">
        <v>1061</v>
      </c>
      <c r="B148" s="117" t="s">
        <v>1062</v>
      </c>
      <c r="C148" s="117" t="s">
        <v>775</v>
      </c>
      <c r="D148" s="117" t="s">
        <v>776</v>
      </c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>
        <v>2322.0870104511514</v>
      </c>
      <c r="AO148" s="117">
        <v>2422.2505747285268</v>
      </c>
      <c r="AP148" s="117">
        <v>2675.2448276519685</v>
      </c>
      <c r="AQ148" s="117">
        <v>2965.0730068330413</v>
      </c>
      <c r="AR148" s="117">
        <v>3144.9911270270177</v>
      </c>
      <c r="AS148" s="117">
        <v>3351.2307056840104</v>
      </c>
      <c r="AT148" s="117">
        <v>3566.1711185420409</v>
      </c>
      <c r="AU148" s="117">
        <v>4125.2100342190779</v>
      </c>
      <c r="AV148" s="117">
        <v>5127.5935748389284</v>
      </c>
      <c r="AW148" s="117">
        <v>6343.1435257520261</v>
      </c>
      <c r="AX148" s="117">
        <v>7552.8738942033542</v>
      </c>
      <c r="AY148" s="117">
        <v>9663.3734513665859</v>
      </c>
      <c r="AZ148" s="117">
        <v>14042.462420021224</v>
      </c>
      <c r="BA148" s="117">
        <v>16376.998363393344</v>
      </c>
      <c r="BB148" s="117">
        <v>12257.216568305148</v>
      </c>
      <c r="BC148" s="117">
        <v>11348.406230467337</v>
      </c>
      <c r="BD148" s="117">
        <v>13832.391178053627</v>
      </c>
      <c r="BE148" s="117">
        <v>13850.642815343374</v>
      </c>
      <c r="BF148" s="117">
        <v>15041.174458498132</v>
      </c>
      <c r="BG148" s="117">
        <v>15740.326749071934</v>
      </c>
      <c r="BH148" s="117">
        <v>13698.937947647606</v>
      </c>
      <c r="BI148" s="117">
        <v>14153.41492269162</v>
      </c>
      <c r="BJ148" s="117">
        <v>15586.581893920038</v>
      </c>
      <c r="BK148" s="117">
        <v>17805.280314381685</v>
      </c>
      <c r="BL148" s="117">
        <v>17836.364886595758</v>
      </c>
    </row>
    <row r="149" spans="1:64" hidden="1">
      <c r="A149" s="117" t="s">
        <v>1063</v>
      </c>
      <c r="B149" s="117" t="s">
        <v>1064</v>
      </c>
      <c r="C149" s="117" t="s">
        <v>775</v>
      </c>
      <c r="D149" s="117" t="s">
        <v>776</v>
      </c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>
        <v>4500.9799807586805</v>
      </c>
      <c r="AB149" s="117">
        <v>4298.0196393878841</v>
      </c>
      <c r="AC149" s="117">
        <v>4752.4682208697304</v>
      </c>
      <c r="AD149" s="117">
        <v>4757.7179927500401</v>
      </c>
      <c r="AE149" s="117">
        <v>5133.7697405645567</v>
      </c>
      <c r="AF149" s="117">
        <v>6299.068636701727</v>
      </c>
      <c r="AG149" s="117">
        <v>7074.2663481048921</v>
      </c>
      <c r="AH149" s="117">
        <v>8063.0762634332668</v>
      </c>
      <c r="AI149" s="117">
        <v>9368.3686382441902</v>
      </c>
      <c r="AJ149" s="117">
        <v>10562.338104130504</v>
      </c>
      <c r="AK149" s="117">
        <v>13466.382753791935</v>
      </c>
      <c r="AL149" s="117">
        <v>15195.971383801045</v>
      </c>
      <c r="AM149" s="117">
        <v>16585.170519963183</v>
      </c>
      <c r="AN149" s="117">
        <v>18147.336242873575</v>
      </c>
      <c r="AO149" s="117">
        <v>18106.325717829437</v>
      </c>
      <c r="AP149" s="117">
        <v>17967.432029760101</v>
      </c>
      <c r="AQ149" s="117">
        <v>16460.214623633296</v>
      </c>
      <c r="AR149" s="117">
        <v>15513.469007703821</v>
      </c>
      <c r="AS149" s="117">
        <v>15710.086927070577</v>
      </c>
      <c r="AT149" s="117">
        <v>15552.950378414143</v>
      </c>
      <c r="AU149" s="117">
        <v>16315.36363071487</v>
      </c>
      <c r="AV149" s="117">
        <v>17808.90150732972</v>
      </c>
      <c r="AW149" s="117">
        <v>22446.336365429965</v>
      </c>
      <c r="AX149" s="117">
        <v>25043.018945356274</v>
      </c>
      <c r="AY149" s="117">
        <v>29950.773106432764</v>
      </c>
      <c r="AZ149" s="117">
        <v>36352.918455686893</v>
      </c>
      <c r="BA149" s="117">
        <v>40597.55748233229</v>
      </c>
      <c r="BB149" s="117">
        <v>40796.961833951711</v>
      </c>
      <c r="BC149" s="117">
        <v>52253.155311732487</v>
      </c>
      <c r="BD149" s="117">
        <v>66644.385344977258</v>
      </c>
      <c r="BE149" s="117">
        <v>76291.847490023079</v>
      </c>
      <c r="BF149" s="117">
        <v>89287.454018411489</v>
      </c>
      <c r="BG149" s="117">
        <v>93777.106795942469</v>
      </c>
      <c r="BH149" s="117">
        <v>75340.986981115188</v>
      </c>
      <c r="BI149" s="117">
        <v>74061.0860345658</v>
      </c>
      <c r="BJ149" s="117">
        <v>81516.674924807536</v>
      </c>
      <c r="BK149" s="117">
        <v>87208.535912643012</v>
      </c>
      <c r="BL149" s="117">
        <v>84096.396311206496</v>
      </c>
    </row>
    <row r="150" spans="1:64" hidden="1">
      <c r="A150" s="117" t="s">
        <v>1065</v>
      </c>
      <c r="B150" s="117" t="s">
        <v>1066</v>
      </c>
      <c r="C150" s="117" t="s">
        <v>775</v>
      </c>
      <c r="D150" s="117" t="s">
        <v>776</v>
      </c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17"/>
      <c r="BA150" s="117"/>
      <c r="BB150" s="117"/>
      <c r="BC150" s="117"/>
      <c r="BD150" s="117"/>
      <c r="BE150" s="117"/>
      <c r="BF150" s="117"/>
      <c r="BG150" s="117"/>
      <c r="BH150" s="117"/>
      <c r="BI150" s="117"/>
      <c r="BJ150" s="117"/>
      <c r="BK150" s="117"/>
      <c r="BL150" s="117"/>
    </row>
    <row r="151" spans="1:64" hidden="1">
      <c r="A151" s="117" t="s">
        <v>1067</v>
      </c>
      <c r="B151" s="117" t="s">
        <v>1068</v>
      </c>
      <c r="C151" s="117" t="s">
        <v>775</v>
      </c>
      <c r="D151" s="117" t="s">
        <v>776</v>
      </c>
      <c r="E151" s="117">
        <v>164.80077903924601</v>
      </c>
      <c r="F151" s="117">
        <v>158.923667416326</v>
      </c>
      <c r="G151" s="117">
        <v>181.18273742578299</v>
      </c>
      <c r="H151" s="117">
        <v>196.53133601572301</v>
      </c>
      <c r="I151" s="117">
        <v>201.26202643070499</v>
      </c>
      <c r="J151" s="117">
        <v>206.44897462280801</v>
      </c>
      <c r="K151" s="117">
        <v>196.314518470526</v>
      </c>
      <c r="L151" s="117">
        <v>202.85727167887899</v>
      </c>
      <c r="M151" s="117">
        <v>212.75081410233301</v>
      </c>
      <c r="N151" s="117">
        <v>232.12597230585899</v>
      </c>
      <c r="O151" s="117">
        <v>246.01576932432201</v>
      </c>
      <c r="P151" s="117">
        <v>265.20768039345</v>
      </c>
      <c r="Q151" s="117">
        <v>302.56432800163901</v>
      </c>
      <c r="R151" s="117">
        <v>364.63614930539302</v>
      </c>
      <c r="S151" s="117">
        <v>439.01230893623699</v>
      </c>
      <c r="T151" s="117">
        <v>502.75669281593503</v>
      </c>
      <c r="U151" s="117">
        <v>524.17855034196896</v>
      </c>
      <c r="V151" s="117">
        <v>590.23193567004103</v>
      </c>
      <c r="W151" s="117">
        <v>690.17076427815698</v>
      </c>
      <c r="X151" s="117">
        <v>809.62777173375696</v>
      </c>
      <c r="Y151" s="117">
        <v>1078.83867764614</v>
      </c>
      <c r="Z151" s="117">
        <v>861.79758264161296</v>
      </c>
      <c r="AA151" s="117">
        <v>836.43557663311105</v>
      </c>
      <c r="AB151" s="117">
        <v>750.02167664692297</v>
      </c>
      <c r="AC151" s="117">
        <v>668.385242237184</v>
      </c>
      <c r="AD151" s="117">
        <v>660.94670662843703</v>
      </c>
      <c r="AE151" s="117">
        <v>840.01136011351105</v>
      </c>
      <c r="AF151" s="117">
        <v>920.59156727624895</v>
      </c>
      <c r="AG151" s="117">
        <v>1066.3302534839099</v>
      </c>
      <c r="AH151" s="117">
        <v>1071.1773431737399</v>
      </c>
      <c r="AI151" s="117">
        <v>1206.0118379718299</v>
      </c>
      <c r="AJ151" s="117">
        <v>1266.84944101357</v>
      </c>
      <c r="AK151" s="117">
        <v>1299.4216785914</v>
      </c>
      <c r="AL151" s="117">
        <v>1199.3193765979599</v>
      </c>
      <c r="AM151" s="117">
        <v>1326.94130374274</v>
      </c>
      <c r="AN151" s="117">
        <v>1432.31015105914</v>
      </c>
      <c r="AO151" s="117">
        <v>1561.12944124979</v>
      </c>
      <c r="AP151" s="117">
        <v>1396.7699166392399</v>
      </c>
      <c r="AQ151" s="117">
        <v>1472.3856198282001</v>
      </c>
      <c r="AR151" s="117">
        <v>1447.9687393054301</v>
      </c>
      <c r="AS151" s="117">
        <v>1334.9430510438399</v>
      </c>
      <c r="AT151" s="117">
        <v>1339.29357716301</v>
      </c>
      <c r="AU151" s="117">
        <v>1416.4881582619901</v>
      </c>
      <c r="AV151" s="117">
        <v>1725.45803790064</v>
      </c>
      <c r="AW151" s="117">
        <v>1952.9018302260399</v>
      </c>
      <c r="AX151" s="117">
        <v>2018.0257430782899</v>
      </c>
      <c r="AY151" s="117">
        <v>2196.0121896701598</v>
      </c>
      <c r="AZ151" s="117">
        <v>2499.2599375718701</v>
      </c>
      <c r="BA151" s="117">
        <v>2890.3600832273901</v>
      </c>
      <c r="BB151" s="117">
        <v>2866.92419864666</v>
      </c>
      <c r="BC151" s="117">
        <v>2839.9251680593302</v>
      </c>
      <c r="BD151" s="117">
        <v>3046.9491364495698</v>
      </c>
      <c r="BE151" s="117">
        <v>2912.6582749402901</v>
      </c>
      <c r="BF151" s="117">
        <v>3121.6811755049798</v>
      </c>
      <c r="BG151" s="117">
        <v>3171.6991922737602</v>
      </c>
      <c r="BH151" s="117">
        <v>2875.2579851678101</v>
      </c>
      <c r="BI151" s="117">
        <v>2896.7200026811702</v>
      </c>
      <c r="BJ151" s="117">
        <v>3036.3252548730102</v>
      </c>
      <c r="BK151" s="117">
        <v>3222.20063433213</v>
      </c>
      <c r="BL151" s="117">
        <v>3204.0950031329799</v>
      </c>
    </row>
    <row r="152" spans="1:64" hidden="1">
      <c r="A152" s="117" t="s">
        <v>1069</v>
      </c>
      <c r="B152" s="117" t="s">
        <v>1070</v>
      </c>
      <c r="C152" s="117" t="s">
        <v>775</v>
      </c>
      <c r="D152" s="117" t="s">
        <v>776</v>
      </c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>
        <v>12479.725260740139</v>
      </c>
      <c r="P152" s="117">
        <v>13812.718180631371</v>
      </c>
      <c r="Q152" s="117">
        <v>16733.621605656201</v>
      </c>
      <c r="R152" s="117">
        <v>21422.841160404569</v>
      </c>
      <c r="S152" s="117">
        <v>22706.541742004323</v>
      </c>
      <c r="T152" s="117">
        <v>28253.154783139333</v>
      </c>
      <c r="U152" s="117">
        <v>28809.744238170551</v>
      </c>
      <c r="V152" s="117">
        <v>31432.869440466431</v>
      </c>
      <c r="W152" s="117">
        <v>38353.805933511358</v>
      </c>
      <c r="X152" s="117">
        <v>45839.898971876908</v>
      </c>
      <c r="Y152" s="117">
        <v>51528.547229729898</v>
      </c>
      <c r="Z152" s="117">
        <v>44369.561354683683</v>
      </c>
      <c r="AA152" s="117">
        <v>41380.861902466095</v>
      </c>
      <c r="AB152" s="117">
        <v>38884.997722705753</v>
      </c>
      <c r="AC152" s="117">
        <v>36384.249605430865</v>
      </c>
      <c r="AD152" s="117">
        <v>37557.265417646202</v>
      </c>
      <c r="AE152" s="117">
        <v>52174.842059081901</v>
      </c>
      <c r="AF152" s="117">
        <v>63051.823753995901</v>
      </c>
      <c r="AG152" s="117">
        <v>68448.276269547743</v>
      </c>
      <c r="AH152" s="117">
        <v>68592.965405317853</v>
      </c>
      <c r="AI152" s="117">
        <v>84289.559543894284</v>
      </c>
      <c r="AJ152" s="117">
        <v>83738.35455229033</v>
      </c>
      <c r="AK152" s="117">
        <v>91647.982647225217</v>
      </c>
      <c r="AL152" s="117">
        <v>85399.058680410031</v>
      </c>
      <c r="AM152" s="117">
        <v>89380.574775311921</v>
      </c>
      <c r="AN152" s="117">
        <v>101910.1085797586</v>
      </c>
      <c r="AO152" s="117">
        <v>101237.25765562395</v>
      </c>
      <c r="AP152" s="117">
        <v>90798.664353937755</v>
      </c>
      <c r="AQ152" s="117">
        <v>92995.906360419031</v>
      </c>
      <c r="AR152" s="117">
        <v>91257.672015610355</v>
      </c>
      <c r="AS152" s="117">
        <v>82367.991276935936</v>
      </c>
      <c r="AT152" s="117">
        <v>83734.779981857981</v>
      </c>
      <c r="AU152" s="117">
        <v>90501.341804266573</v>
      </c>
      <c r="AV152" s="117">
        <v>108627.30566020153</v>
      </c>
      <c r="AW152" s="117">
        <v>123519.80597014926</v>
      </c>
      <c r="AX152" s="117">
        <v>124193.60557599118</v>
      </c>
      <c r="AY152" s="117">
        <v>134044.70116133546</v>
      </c>
      <c r="AZ152" s="117">
        <v>169961.38394578334</v>
      </c>
      <c r="BA152" s="117">
        <v>185721.79415410379</v>
      </c>
      <c r="BB152" s="117">
        <v>154762.19942685179</v>
      </c>
      <c r="BC152" s="117">
        <v>150725.19412420719</v>
      </c>
      <c r="BD152" s="117">
        <v>169020.88783176965</v>
      </c>
      <c r="BE152" s="117">
        <v>157515.89906944465</v>
      </c>
      <c r="BF152" s="117">
        <v>177664.11561608943</v>
      </c>
      <c r="BG152" s="117">
        <v>189422.21876884036</v>
      </c>
      <c r="BH152" s="117">
        <v>166011.50913115955</v>
      </c>
      <c r="BI152" s="117">
        <v>170028.65571786446</v>
      </c>
      <c r="BJ152" s="117">
        <v>167517.05972785599</v>
      </c>
      <c r="BK152" s="117">
        <v>185829.01796040664</v>
      </c>
      <c r="BL152" s="117"/>
    </row>
    <row r="153" spans="1:64" hidden="1">
      <c r="A153" s="117" t="s">
        <v>1071</v>
      </c>
      <c r="B153" s="117" t="s">
        <v>1072</v>
      </c>
      <c r="C153" s="117" t="s">
        <v>775</v>
      </c>
      <c r="D153" s="117" t="s">
        <v>776</v>
      </c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>
        <v>593.76613828266841</v>
      </c>
      <c r="AO153" s="117">
        <v>575.31957595488313</v>
      </c>
      <c r="AP153" s="117">
        <v>657.49119027170923</v>
      </c>
      <c r="AQ153" s="117">
        <v>578.90976627291309</v>
      </c>
      <c r="AR153" s="117">
        <v>399.62077026571768</v>
      </c>
      <c r="AS153" s="117">
        <v>440.67203065326936</v>
      </c>
      <c r="AT153" s="117">
        <v>507.55765839084876</v>
      </c>
      <c r="AU153" s="117">
        <v>570.97264543275105</v>
      </c>
      <c r="AV153" s="117">
        <v>682.52550882337721</v>
      </c>
      <c r="AW153" s="117">
        <v>897.44995881032639</v>
      </c>
      <c r="AX153" s="117">
        <v>1034.7070581674316</v>
      </c>
      <c r="AY153" s="117">
        <v>1183.3792111718506</v>
      </c>
      <c r="AZ153" s="117">
        <v>1531.6854761821423</v>
      </c>
      <c r="BA153" s="117">
        <v>2111.2014950419734</v>
      </c>
      <c r="BB153" s="117">
        <v>1899.0101165837755</v>
      </c>
      <c r="BC153" s="117">
        <v>2437.5299784242252</v>
      </c>
      <c r="BD153" s="117">
        <v>2942.2559486152941</v>
      </c>
      <c r="BE153" s="117">
        <v>3045.7398742241653</v>
      </c>
      <c r="BF153" s="117">
        <v>3322.0384362614955</v>
      </c>
      <c r="BG153" s="117">
        <v>3328.8014489212505</v>
      </c>
      <c r="BH153" s="117">
        <v>2732.4571129373285</v>
      </c>
      <c r="BI153" s="117">
        <v>2880.439281292955</v>
      </c>
      <c r="BJ153" s="117">
        <v>3509.6934502581439</v>
      </c>
      <c r="BK153" s="117">
        <v>4233.999555881348</v>
      </c>
      <c r="BL153" s="117">
        <v>4498.5208502123296</v>
      </c>
    </row>
    <row r="154" spans="1:64" hidden="1">
      <c r="A154" s="117" t="s">
        <v>1073</v>
      </c>
      <c r="B154" s="117" t="s">
        <v>1074</v>
      </c>
      <c r="C154" s="117" t="s">
        <v>775</v>
      </c>
      <c r="D154" s="117" t="s">
        <v>776</v>
      </c>
      <c r="E154" s="117">
        <v>131.99303602155049</v>
      </c>
      <c r="F154" s="117">
        <v>133.84758154906817</v>
      </c>
      <c r="G154" s="117">
        <v>138.1198491344243</v>
      </c>
      <c r="H154" s="117">
        <v>138.40716571007459</v>
      </c>
      <c r="I154" s="117">
        <v>142.65933987421388</v>
      </c>
      <c r="J154" s="117">
        <v>144.48465496751064</v>
      </c>
      <c r="K154" s="117">
        <v>152.10782013099481</v>
      </c>
      <c r="L154" s="117">
        <v>157.47638705133514</v>
      </c>
      <c r="M154" s="117">
        <v>165.47845506569712</v>
      </c>
      <c r="N154" s="117">
        <v>165.01157301669318</v>
      </c>
      <c r="O154" s="117">
        <v>169.07056010502893</v>
      </c>
      <c r="P154" s="117">
        <v>177.49840999604746</v>
      </c>
      <c r="Q154" s="117">
        <v>193.12855483459708</v>
      </c>
      <c r="R154" s="117">
        <v>231.43618550465274</v>
      </c>
      <c r="S154" s="117">
        <v>261.03534138606028</v>
      </c>
      <c r="T154" s="117">
        <v>302.1494676285634</v>
      </c>
      <c r="U154" s="117">
        <v>280.67903885719244</v>
      </c>
      <c r="V154" s="117">
        <v>294.93398815390179</v>
      </c>
      <c r="W154" s="117">
        <v>324.38449570906766</v>
      </c>
      <c r="X154" s="117">
        <v>408.93742773331275</v>
      </c>
      <c r="Y154" s="117">
        <v>596.77470543720847</v>
      </c>
      <c r="Z154" s="117">
        <v>530.50395117470191</v>
      </c>
      <c r="AA154" s="117">
        <v>518.1839401388504</v>
      </c>
      <c r="AB154" s="117">
        <v>493.08906302935452</v>
      </c>
      <c r="AC154" s="117">
        <v>399.34460657736008</v>
      </c>
      <c r="AD154" s="117">
        <v>377.85658907826121</v>
      </c>
      <c r="AE154" s="117">
        <v>420.00960178536985</v>
      </c>
      <c r="AF154" s="117">
        <v>301.74443932588167</v>
      </c>
      <c r="AG154" s="117">
        <v>291.21091425936697</v>
      </c>
      <c r="AH154" s="117">
        <v>281.81158151577603</v>
      </c>
      <c r="AI154" s="117">
        <v>338.94812179587376</v>
      </c>
      <c r="AJ154" s="117">
        <v>272.52469086416761</v>
      </c>
      <c r="AK154" s="117">
        <v>301.99703570295293</v>
      </c>
      <c r="AL154" s="117">
        <v>320.564217731491</v>
      </c>
      <c r="AM154" s="117">
        <v>269.56073253335751</v>
      </c>
      <c r="AN154" s="117">
        <v>284.82279206645563</v>
      </c>
      <c r="AO154" s="117">
        <v>354.74156070240832</v>
      </c>
      <c r="AP154" s="117">
        <v>297.11518402568066</v>
      </c>
      <c r="AQ154" s="117">
        <v>297.25367177212075</v>
      </c>
      <c r="AR154" s="117">
        <v>279.92134153071379</v>
      </c>
      <c r="AS154" s="117">
        <v>293.60715740259405</v>
      </c>
      <c r="AT154" s="117">
        <v>334.44163828393908</v>
      </c>
      <c r="AU154" s="117">
        <v>319.2164739535076</v>
      </c>
      <c r="AV154" s="117">
        <v>368.79719424976787</v>
      </c>
      <c r="AW154" s="117">
        <v>284.48764641853006</v>
      </c>
      <c r="AX154" s="117">
        <v>319.53744022897587</v>
      </c>
      <c r="AY154" s="117">
        <v>338.75112649278554</v>
      </c>
      <c r="AZ154" s="117">
        <v>438.65529007034451</v>
      </c>
      <c r="BA154" s="117">
        <v>536.35145947985461</v>
      </c>
      <c r="BB154" s="117">
        <v>467.53975489114771</v>
      </c>
      <c r="BC154" s="117">
        <v>471.95919702982275</v>
      </c>
      <c r="BD154" s="117">
        <v>531.26557184038313</v>
      </c>
      <c r="BE154" s="117">
        <v>518.15295430212041</v>
      </c>
      <c r="BF154" s="117">
        <v>541.06619995512335</v>
      </c>
      <c r="BG154" s="117">
        <v>530.86134567874467</v>
      </c>
      <c r="BH154" s="117">
        <v>467.23539943280815</v>
      </c>
      <c r="BI154" s="117">
        <v>475.95541718306509</v>
      </c>
      <c r="BJ154" s="117">
        <v>515.29272487783999</v>
      </c>
      <c r="BK154" s="117">
        <v>527.50132614180302</v>
      </c>
      <c r="BL154" s="117">
        <v>522.21980923046965</v>
      </c>
    </row>
    <row r="155" spans="1:64" hidden="1">
      <c r="A155" s="117" t="s">
        <v>1075</v>
      </c>
      <c r="B155" s="117" t="s">
        <v>1076</v>
      </c>
      <c r="C155" s="117" t="s">
        <v>775</v>
      </c>
      <c r="D155" s="117" t="s">
        <v>776</v>
      </c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>
        <v>268.29493630547665</v>
      </c>
      <c r="Z155" s="117">
        <v>273.35101666204207</v>
      </c>
      <c r="AA155" s="117">
        <v>282.22291180849317</v>
      </c>
      <c r="AB155" s="117">
        <v>328.12343815416438</v>
      </c>
      <c r="AC155" s="117">
        <v>598.87091112546238</v>
      </c>
      <c r="AD155" s="117">
        <v>670.87127883982964</v>
      </c>
      <c r="AE155" s="117">
        <v>723.01643654515283</v>
      </c>
      <c r="AF155" s="117">
        <v>695.81033393041071</v>
      </c>
      <c r="AG155" s="117">
        <v>803.72990614156834</v>
      </c>
      <c r="AH155" s="117">
        <v>875.41175109735582</v>
      </c>
      <c r="AI155" s="117">
        <v>963.84178580020455</v>
      </c>
      <c r="AJ155" s="117">
        <v>1064.0575783475451</v>
      </c>
      <c r="AK155" s="117">
        <v>1205.6519525192807</v>
      </c>
      <c r="AL155" s="117">
        <v>1328.606757221683</v>
      </c>
      <c r="AM155" s="117">
        <v>1431.6233409853642</v>
      </c>
      <c r="AN155" s="117">
        <v>1569.9635041070571</v>
      </c>
      <c r="AO155" s="117">
        <v>1737.7001113206554</v>
      </c>
      <c r="AP155" s="117">
        <v>1926.2422297395012</v>
      </c>
      <c r="AQ155" s="117">
        <v>2011.8693919691216</v>
      </c>
      <c r="AR155" s="117">
        <v>2154.2288461865742</v>
      </c>
      <c r="AS155" s="117">
        <v>2234.579865584657</v>
      </c>
      <c r="AT155" s="117">
        <v>3039.3346229631634</v>
      </c>
      <c r="AU155" s="117">
        <v>3049.1976164739312</v>
      </c>
      <c r="AV155" s="117">
        <v>3475.9833049345357</v>
      </c>
      <c r="AW155" s="117">
        <v>3941.4311358488749</v>
      </c>
      <c r="AX155" s="117">
        <v>3639.9665762433974</v>
      </c>
      <c r="AY155" s="117">
        <v>4809.9631149480747</v>
      </c>
      <c r="AZ155" s="117">
        <v>5574.4518763295528</v>
      </c>
      <c r="BA155" s="117">
        <v>6614.1591474208917</v>
      </c>
      <c r="BB155" s="117">
        <v>6636.4124160295187</v>
      </c>
      <c r="BC155" s="117">
        <v>7076.6624232023823</v>
      </c>
      <c r="BD155" s="117">
        <v>7291.4276403970416</v>
      </c>
      <c r="BE155" s="117">
        <v>7265.613655566689</v>
      </c>
      <c r="BF155" s="117">
        <v>7928.4573651482406</v>
      </c>
      <c r="BG155" s="117">
        <v>8499.3657617266836</v>
      </c>
      <c r="BH155" s="117">
        <v>9033.3904129871989</v>
      </c>
      <c r="BI155" s="117">
        <v>9209.2886247710776</v>
      </c>
      <c r="BJ155" s="117">
        <v>9540.6343488832281</v>
      </c>
      <c r="BK155" s="117">
        <v>10330.615614093982</v>
      </c>
      <c r="BL155" s="117">
        <v>10790.500236819984</v>
      </c>
    </row>
    <row r="156" spans="1:64" hidden="1">
      <c r="A156" s="117" t="s">
        <v>1077</v>
      </c>
      <c r="B156" s="117" t="s">
        <v>1078</v>
      </c>
      <c r="C156" s="117" t="s">
        <v>775</v>
      </c>
      <c r="D156" s="117" t="s">
        <v>776</v>
      </c>
      <c r="E156" s="117"/>
      <c r="F156" s="117"/>
      <c r="G156" s="117"/>
      <c r="H156" s="117"/>
      <c r="I156" s="117"/>
      <c r="J156" s="117"/>
      <c r="K156" s="117"/>
      <c r="L156" s="117"/>
      <c r="M156" s="117">
        <v>247.60505483837019</v>
      </c>
      <c r="N156" s="117">
        <v>267.97273044267229</v>
      </c>
      <c r="O156" s="117">
        <v>299.87553031898176</v>
      </c>
      <c r="P156" s="117">
        <v>336.46382420589765</v>
      </c>
      <c r="Q156" s="117">
        <v>400.49467748689756</v>
      </c>
      <c r="R156" s="117">
        <v>523.55544476635998</v>
      </c>
      <c r="S156" s="117">
        <v>924.21098669333355</v>
      </c>
      <c r="T156" s="117">
        <v>981.08474158928107</v>
      </c>
      <c r="U156" s="117">
        <v>1184.0953399656137</v>
      </c>
      <c r="V156" s="117">
        <v>1333.3072867485828</v>
      </c>
      <c r="W156" s="117">
        <v>1374.9446975048727</v>
      </c>
      <c r="X156" s="117">
        <v>1742.0931327741839</v>
      </c>
      <c r="Y156" s="117">
        <v>2174.1355482881199</v>
      </c>
      <c r="Z156" s="117">
        <v>2175.3948500528873</v>
      </c>
      <c r="AA156" s="117">
        <v>2108.6512344316379</v>
      </c>
      <c r="AB156" s="117">
        <v>2074.537301216089</v>
      </c>
      <c r="AC156" s="117">
        <v>2035.9043387033055</v>
      </c>
      <c r="AD156" s="117">
        <v>2003.7232229201645</v>
      </c>
      <c r="AE156" s="117">
        <v>1989.5559421656703</v>
      </c>
      <c r="AF156" s="117">
        <v>1774.9436395904556</v>
      </c>
      <c r="AG156" s="117">
        <v>1712.2065095606583</v>
      </c>
      <c r="AH156" s="117">
        <v>1714.0818455478604</v>
      </c>
      <c r="AI156" s="117">
        <v>2166.4652021908946</v>
      </c>
      <c r="AJ156" s="117">
        <v>2124.9466996919059</v>
      </c>
      <c r="AK156" s="117">
        <v>2273.0585783753613</v>
      </c>
      <c r="AL156" s="117">
        <v>2234.7365223757665</v>
      </c>
      <c r="AM156" s="117">
        <v>2277.2301382359524</v>
      </c>
      <c r="AN156" s="117">
        <v>2477.7984263338203</v>
      </c>
      <c r="AO156" s="117">
        <v>2747.9773054213069</v>
      </c>
      <c r="AP156" s="117">
        <v>2795.6594672370366</v>
      </c>
      <c r="AQ156" s="117">
        <v>2665.9990321529222</v>
      </c>
      <c r="AR156" s="117">
        <v>2801.7824405811307</v>
      </c>
      <c r="AS156" s="117">
        <v>3066.3466696137848</v>
      </c>
      <c r="AT156" s="117">
        <v>3020.6522892419061</v>
      </c>
      <c r="AU156" s="117">
        <v>2953.1347910437544</v>
      </c>
      <c r="AV156" s="117">
        <v>3265.2257668866455</v>
      </c>
      <c r="AW156" s="117">
        <v>3738.4254174216153</v>
      </c>
      <c r="AX156" s="117">
        <v>4410.6012142895124</v>
      </c>
      <c r="AY156" s="117">
        <v>5056.2276043377115</v>
      </c>
      <c r="AZ156" s="117">
        <v>5868.7560170996667</v>
      </c>
      <c r="BA156" s="117">
        <v>7177.970224125921</v>
      </c>
      <c r="BB156" s="117">
        <v>6274.4023992659395</v>
      </c>
      <c r="BC156" s="117">
        <v>7169.3446529067442</v>
      </c>
      <c r="BD156" s="117">
        <v>8324.9844732525107</v>
      </c>
      <c r="BE156" s="117">
        <v>8894.8615787271228</v>
      </c>
      <c r="BF156" s="117">
        <v>8652.3475823771005</v>
      </c>
      <c r="BG156" s="117">
        <v>8537.2588240188034</v>
      </c>
      <c r="BH156" s="117">
        <v>7371.9983353782736</v>
      </c>
      <c r="BI156" s="117">
        <v>7265.2211457091498</v>
      </c>
      <c r="BJ156" s="117">
        <v>7411.4231294298388</v>
      </c>
      <c r="BK156" s="117">
        <v>8049.9795509830119</v>
      </c>
      <c r="BL156" s="117">
        <v>8104.5018877246848</v>
      </c>
    </row>
    <row r="157" spans="1:64" hidden="1">
      <c r="A157" s="117" t="s">
        <v>1079</v>
      </c>
      <c r="B157" s="117" t="s">
        <v>1080</v>
      </c>
      <c r="C157" s="117" t="s">
        <v>775</v>
      </c>
      <c r="D157" s="117" t="s">
        <v>776</v>
      </c>
      <c r="E157" s="117">
        <v>345.23055907838688</v>
      </c>
      <c r="F157" s="117">
        <v>363.39320561465092</v>
      </c>
      <c r="G157" s="117">
        <v>378.15348598178809</v>
      </c>
      <c r="H157" s="117">
        <v>409.04560952607409</v>
      </c>
      <c r="I157" s="117">
        <v>469.47611492335744</v>
      </c>
      <c r="J157" s="117">
        <v>494.97037350749946</v>
      </c>
      <c r="K157" s="117">
        <v>534.27373712638098</v>
      </c>
      <c r="L157" s="117">
        <v>565.63340889877645</v>
      </c>
      <c r="M157" s="117">
        <v>606.21112020794862</v>
      </c>
      <c r="N157" s="117">
        <v>650.31171414619587</v>
      </c>
      <c r="O157" s="117">
        <v>689.7949287449801</v>
      </c>
      <c r="P157" s="117">
        <v>738.55837888546</v>
      </c>
      <c r="Q157" s="117">
        <v>826.47736531742225</v>
      </c>
      <c r="R157" s="117">
        <v>981.45910478466112</v>
      </c>
      <c r="S157" s="117">
        <v>1242.0902142543514</v>
      </c>
      <c r="T157" s="117">
        <v>1476.3130684927228</v>
      </c>
      <c r="U157" s="117">
        <v>1453.6706480609857</v>
      </c>
      <c r="V157" s="117">
        <v>1301.3247259509117</v>
      </c>
      <c r="W157" s="117">
        <v>1589.2737141616647</v>
      </c>
      <c r="X157" s="117">
        <v>2034.9890072082703</v>
      </c>
      <c r="Y157" s="117">
        <v>3027.3750501468849</v>
      </c>
      <c r="Z157" s="117">
        <v>3803.0308707108866</v>
      </c>
      <c r="AA157" s="117">
        <v>2597.982756631141</v>
      </c>
      <c r="AB157" s="117">
        <v>2147.7197653152029</v>
      </c>
      <c r="AC157" s="117">
        <v>2478.2108359873255</v>
      </c>
      <c r="AD157" s="117">
        <v>2569.2397473145534</v>
      </c>
      <c r="AE157" s="117">
        <v>1733.9131498248089</v>
      </c>
      <c r="AF157" s="117">
        <v>1862.8862043943725</v>
      </c>
      <c r="AG157" s="117">
        <v>2247.981497018674</v>
      </c>
      <c r="AH157" s="117">
        <v>2687.9148123652262</v>
      </c>
      <c r="AI157" s="117">
        <v>3112.2687059847221</v>
      </c>
      <c r="AJ157" s="117">
        <v>3661.9478793614517</v>
      </c>
      <c r="AK157" s="117">
        <v>4170.6232867787076</v>
      </c>
      <c r="AL157" s="117">
        <v>5650.0262859664317</v>
      </c>
      <c r="AM157" s="117">
        <v>5854.4178574818616</v>
      </c>
      <c r="AN157" s="117">
        <v>3928.2239256846901</v>
      </c>
      <c r="AO157" s="117">
        <v>4412.1163448853631</v>
      </c>
      <c r="AP157" s="117">
        <v>5289.1679881920581</v>
      </c>
      <c r="AQ157" s="117">
        <v>5481.1814974496447</v>
      </c>
      <c r="AR157" s="117">
        <v>6157.1924752655586</v>
      </c>
      <c r="AS157" s="117">
        <v>7157.8144998573425</v>
      </c>
      <c r="AT157" s="117">
        <v>7544.5686481364273</v>
      </c>
      <c r="AU157" s="117">
        <v>7593.1377929362525</v>
      </c>
      <c r="AV157" s="117">
        <v>7075.3696429997417</v>
      </c>
      <c r="AW157" s="117">
        <v>7484.4865419302942</v>
      </c>
      <c r="AX157" s="117">
        <v>8277.6712514960345</v>
      </c>
      <c r="AY157" s="117">
        <v>9068.2943870123472</v>
      </c>
      <c r="AZ157" s="117">
        <v>9642.6806050491086</v>
      </c>
      <c r="BA157" s="117">
        <v>10016.571304388359</v>
      </c>
      <c r="BB157" s="117">
        <v>8002.9721064980668</v>
      </c>
      <c r="BC157" s="117">
        <v>9271.3982332463893</v>
      </c>
      <c r="BD157" s="117">
        <v>10203.420854311318</v>
      </c>
      <c r="BE157" s="117">
        <v>10241.727915374469</v>
      </c>
      <c r="BF157" s="117">
        <v>10725.183316603581</v>
      </c>
      <c r="BG157" s="117">
        <v>10922.376048864655</v>
      </c>
      <c r="BH157" s="117">
        <v>9605.9523510313884</v>
      </c>
      <c r="BI157" s="117">
        <v>8739.7560428092947</v>
      </c>
      <c r="BJ157" s="117">
        <v>9278.4181683376264</v>
      </c>
      <c r="BK157" s="117">
        <v>9673.4436736061925</v>
      </c>
      <c r="BL157" s="117">
        <v>9863.0726988756996</v>
      </c>
    </row>
    <row r="158" spans="1:64" hidden="1">
      <c r="A158" s="117" t="s">
        <v>1081</v>
      </c>
      <c r="B158" s="117" t="s">
        <v>1082</v>
      </c>
      <c r="C158" s="117" t="s">
        <v>775</v>
      </c>
      <c r="D158" s="117" t="s">
        <v>776</v>
      </c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>
        <v>972.62722227448035</v>
      </c>
      <c r="AA158" s="117">
        <v>1047.7076332213155</v>
      </c>
      <c r="AB158" s="117">
        <v>1196.6235776319184</v>
      </c>
      <c r="AC158" s="117">
        <v>1234.8934540580462</v>
      </c>
      <c r="AD158" s="117">
        <v>1144.6795189523386</v>
      </c>
      <c r="AE158" s="117">
        <v>1392.3801944741488</v>
      </c>
      <c r="AF158" s="117">
        <v>1493.4436724918787</v>
      </c>
      <c r="AG158" s="117">
        <v>1603.5206315359662</v>
      </c>
      <c r="AH158" s="117">
        <v>1588.7821911828896</v>
      </c>
      <c r="AI158" s="117">
        <v>1660.1298893613421</v>
      </c>
      <c r="AJ158" s="117">
        <v>1704.5492108090241</v>
      </c>
      <c r="AK158" s="117">
        <v>1849.1826581378821</v>
      </c>
      <c r="AL158" s="117">
        <v>1995.9663663181555</v>
      </c>
      <c r="AM158" s="117">
        <v>2152.1656875435629</v>
      </c>
      <c r="AN158" s="117">
        <v>2382.821015914541</v>
      </c>
      <c r="AO158" s="117">
        <v>2193.7743652662616</v>
      </c>
      <c r="AP158" s="117">
        <v>2194.3627353815659</v>
      </c>
      <c r="AQ158" s="117">
        <v>2229.7124473746921</v>
      </c>
      <c r="AR158" s="117">
        <v>2267.3442674969756</v>
      </c>
      <c r="AS158" s="117">
        <v>2272.7227947116426</v>
      </c>
      <c r="AT158" s="117">
        <v>2388.5496480105789</v>
      </c>
      <c r="AU158" s="117">
        <v>2515.5279740309338</v>
      </c>
      <c r="AV158" s="117">
        <v>2458.0683178689019</v>
      </c>
      <c r="AW158" s="117">
        <v>2456.2449519054262</v>
      </c>
      <c r="AX158" s="117">
        <v>2568.3611422780414</v>
      </c>
      <c r="AY158" s="117">
        <v>2608.6054476661825</v>
      </c>
      <c r="AZ158" s="117">
        <v>2745.4389752189968</v>
      </c>
      <c r="BA158" s="117">
        <v>2726.0974828212338</v>
      </c>
      <c r="BB158" s="117">
        <v>2698.1795555555555</v>
      </c>
      <c r="BC158" s="117">
        <v>2876.9949969839972</v>
      </c>
      <c r="BD158" s="117">
        <v>3083.8318798535315</v>
      </c>
      <c r="BE158" s="117">
        <v>3224.3383817902923</v>
      </c>
      <c r="BF158" s="117">
        <v>3296.6981629140469</v>
      </c>
      <c r="BG158" s="117">
        <v>3230.0232602878677</v>
      </c>
      <c r="BH158" s="117">
        <v>3213.8372882536255</v>
      </c>
      <c r="BI158" s="117">
        <v>3473.7750064951933</v>
      </c>
      <c r="BJ158" s="117">
        <v>3666.6953735919251</v>
      </c>
      <c r="BK158" s="117">
        <v>3788.163593720576</v>
      </c>
      <c r="BL158" s="117"/>
    </row>
    <row r="159" spans="1:64" hidden="1">
      <c r="A159" s="117" t="s">
        <v>1083</v>
      </c>
      <c r="B159" s="117" t="s">
        <v>1084</v>
      </c>
      <c r="C159" s="117" t="s">
        <v>775</v>
      </c>
      <c r="D159" s="117" t="s">
        <v>776</v>
      </c>
      <c r="E159" s="117">
        <v>148.55309503668244</v>
      </c>
      <c r="F159" s="117">
        <v>140.95955718494514</v>
      </c>
      <c r="G159" s="117">
        <v>143.91118479529283</v>
      </c>
      <c r="H159" s="117">
        <v>150.17185525179363</v>
      </c>
      <c r="I159" s="117">
        <v>165.84559709234642</v>
      </c>
      <c r="J159" s="117">
        <v>178.0137739193741</v>
      </c>
      <c r="K159" s="117">
        <v>179.55572576665656</v>
      </c>
      <c r="L159" s="117">
        <v>180.57634803766132</v>
      </c>
      <c r="M159" s="117">
        <v>186.49248792075372</v>
      </c>
      <c r="N159" s="117">
        <v>203.26498461278283</v>
      </c>
      <c r="O159" s="117">
        <v>218.20500316150111</v>
      </c>
      <c r="P159" s="117">
        <v>229.50175877561705</v>
      </c>
      <c r="Q159" s="117">
        <v>251.00148328094767</v>
      </c>
      <c r="R159" s="117">
        <v>310.9816055352897</v>
      </c>
      <c r="S159" s="117">
        <v>389.2189975304392</v>
      </c>
      <c r="T159" s="117">
        <v>420.3447992722912</v>
      </c>
      <c r="U159" s="117">
        <v>445.93133004754674</v>
      </c>
      <c r="V159" s="117">
        <v>491.16027972534033</v>
      </c>
      <c r="W159" s="117">
        <v>522.07706590291878</v>
      </c>
      <c r="X159" s="117">
        <v>611.11094580858446</v>
      </c>
      <c r="Y159" s="117">
        <v>706.35528025846622</v>
      </c>
      <c r="Z159" s="117">
        <v>783.20261908669966</v>
      </c>
      <c r="AA159" s="117">
        <v>757.98800491566146</v>
      </c>
      <c r="AB159" s="117">
        <v>718.81103943126766</v>
      </c>
      <c r="AC159" s="117">
        <v>713.03576182521499</v>
      </c>
      <c r="AD159" s="117">
        <v>736.61389158639236</v>
      </c>
      <c r="AE159" s="117">
        <v>746.22506122969287</v>
      </c>
      <c r="AF159" s="117">
        <v>747.97823261399594</v>
      </c>
      <c r="AG159" s="117">
        <v>790.91093010939039</v>
      </c>
      <c r="AH159" s="117">
        <v>801.4475289898387</v>
      </c>
      <c r="AI159" s="117">
        <v>899.00487780099377</v>
      </c>
      <c r="AJ159" s="117">
        <v>945.11633026025106</v>
      </c>
      <c r="AK159" s="117">
        <v>922.09021837434034</v>
      </c>
      <c r="AL159" s="117">
        <v>965.26257329699968</v>
      </c>
      <c r="AM159" s="117">
        <v>1032.4324680558864</v>
      </c>
      <c r="AN159" s="117">
        <v>1136.9784324511002</v>
      </c>
      <c r="AO159" s="117">
        <v>1224.0159555946823</v>
      </c>
      <c r="AP159" s="117">
        <v>1276.8747177470075</v>
      </c>
      <c r="AQ159" s="117">
        <v>1219.8291111392089</v>
      </c>
      <c r="AR159" s="117">
        <v>1174.566461795743</v>
      </c>
      <c r="AS159" s="117">
        <v>1264.5670262029219</v>
      </c>
      <c r="AT159" s="117">
        <v>1263.7927117986662</v>
      </c>
      <c r="AU159" s="117">
        <v>1271.4004586959304</v>
      </c>
      <c r="AV159" s="117">
        <v>1413.9618340926452</v>
      </c>
      <c r="AW159" s="117">
        <v>1657.425945807332</v>
      </c>
      <c r="AX159" s="117">
        <v>1951.8235246951874</v>
      </c>
      <c r="AY159" s="117">
        <v>2292.9053022310741</v>
      </c>
      <c r="AZ159" s="117">
        <v>2803.4271779587916</v>
      </c>
      <c r="BA159" s="117">
        <v>3325.1154493673112</v>
      </c>
      <c r="BB159" s="117">
        <v>3212.8487163144737</v>
      </c>
      <c r="BC159" s="117">
        <v>3866.1938450152579</v>
      </c>
      <c r="BD159" s="117">
        <v>4517.7146082064201</v>
      </c>
      <c r="BE159" s="117">
        <v>4770.005245102072</v>
      </c>
      <c r="BF159" s="117">
        <v>4991.3904812866313</v>
      </c>
      <c r="BG159" s="117">
        <v>5121.3307941983585</v>
      </c>
      <c r="BH159" s="117">
        <v>4804.4815780152403</v>
      </c>
      <c r="BI159" s="117">
        <v>4778.7628225434064</v>
      </c>
      <c r="BJ159" s="117">
        <v>5193.1639004449762</v>
      </c>
      <c r="BK159" s="117">
        <v>5480.3092148448059</v>
      </c>
      <c r="BL159" s="117">
        <v>5575.4409150891406</v>
      </c>
    </row>
    <row r="160" spans="1:64" hidden="1">
      <c r="A160" s="117" t="s">
        <v>1085</v>
      </c>
      <c r="B160" s="117" t="s">
        <v>1086</v>
      </c>
      <c r="C160" s="117" t="s">
        <v>775</v>
      </c>
      <c r="D160" s="117" t="s">
        <v>776</v>
      </c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>
        <v>2354.2634624449415</v>
      </c>
      <c r="AJ160" s="117">
        <v>2477.6855239216543</v>
      </c>
      <c r="AK160" s="117">
        <v>1225.3731494318715</v>
      </c>
      <c r="AL160" s="117">
        <v>1352.0257257214739</v>
      </c>
      <c r="AM160" s="117">
        <v>1794.7098965602754</v>
      </c>
      <c r="AN160" s="117">
        <v>2359.8003381100739</v>
      </c>
      <c r="AO160" s="117">
        <v>2338.0683106202155</v>
      </c>
      <c r="AP160" s="117">
        <v>1964.8828932687761</v>
      </c>
      <c r="AQ160" s="117">
        <v>1866.8500898378081</v>
      </c>
      <c r="AR160" s="117">
        <v>1908.5926007932912</v>
      </c>
      <c r="AS160" s="117">
        <v>1854.1459561010747</v>
      </c>
      <c r="AT160" s="117">
        <v>1815.9200907112056</v>
      </c>
      <c r="AU160" s="117">
        <v>1961.203735536064</v>
      </c>
      <c r="AV160" s="117">
        <v>2408.8001100553238</v>
      </c>
      <c r="AW160" s="117">
        <v>2762.5603583758375</v>
      </c>
      <c r="AX160" s="117">
        <v>3037.7531103044475</v>
      </c>
      <c r="AY160" s="117">
        <v>3325.6358088571037</v>
      </c>
      <c r="AZ160" s="117">
        <v>4036.2027698347556</v>
      </c>
      <c r="BA160" s="117">
        <v>4793.4436685820874</v>
      </c>
      <c r="BB160" s="117">
        <v>4544.0088348825766</v>
      </c>
      <c r="BC160" s="117">
        <v>4542.8997167831712</v>
      </c>
      <c r="BD160" s="117">
        <v>5063.7869860635792</v>
      </c>
      <c r="BE160" s="117">
        <v>4698.1412935059352</v>
      </c>
      <c r="BF160" s="117">
        <v>5210.6758302815415</v>
      </c>
      <c r="BG160" s="117">
        <v>5468.4808691421249</v>
      </c>
      <c r="BH160" s="117">
        <v>4840.2731228678294</v>
      </c>
      <c r="BI160" s="117">
        <v>5129.1589602370341</v>
      </c>
      <c r="BJ160" s="117">
        <v>5430.8742102979668</v>
      </c>
      <c r="BK160" s="117">
        <v>6062.9426042086379</v>
      </c>
      <c r="BL160" s="117">
        <v>6093.1476904967622</v>
      </c>
    </row>
    <row r="161" spans="1:64" hidden="1">
      <c r="A161" s="117" t="s">
        <v>1087</v>
      </c>
      <c r="B161" s="117" t="s">
        <v>1088</v>
      </c>
      <c r="C161" s="117" t="s">
        <v>775</v>
      </c>
      <c r="D161" s="117" t="s">
        <v>776</v>
      </c>
      <c r="E161" s="117"/>
      <c r="F161" s="117"/>
      <c r="G161" s="117"/>
      <c r="H161" s="117"/>
      <c r="I161" s="117"/>
      <c r="J161" s="117"/>
      <c r="K161" s="117"/>
      <c r="L161" s="117">
        <v>48.279865483485501</v>
      </c>
      <c r="M161" s="117">
        <v>59.46752755651513</v>
      </c>
      <c r="N161" s="117">
        <v>57.991800115099593</v>
      </c>
      <c r="O161" s="117">
        <v>60.475650001337449</v>
      </c>
      <c r="P161" s="117">
        <v>71.154703238997271</v>
      </c>
      <c r="Q161" s="117">
        <v>79.157487922228199</v>
      </c>
      <c r="R161" s="117">
        <v>90.100193666196319</v>
      </c>
      <c r="S161" s="117">
        <v>84.597648924549375</v>
      </c>
      <c r="T161" s="117">
        <v>128.15103196437332</v>
      </c>
      <c r="U161" s="117">
        <v>142.37785666833005</v>
      </c>
      <c r="V161" s="117">
        <v>156.40594936965203</v>
      </c>
      <c r="W161" s="117">
        <v>178.99094449995235</v>
      </c>
      <c r="X161" s="117">
        <v>229.34604493049591</v>
      </c>
      <c r="Y161" s="117">
        <v>248.18893368143094</v>
      </c>
      <c r="Z161" s="117">
        <v>212.72011306827315</v>
      </c>
      <c r="AA161" s="117">
        <v>180.51346118608774</v>
      </c>
      <c r="AB161" s="117">
        <v>171.99958867770218</v>
      </c>
      <c r="AC161" s="117">
        <v>160.22810152201575</v>
      </c>
      <c r="AD161" s="117">
        <v>177.75991632921688</v>
      </c>
      <c r="AE161" s="117">
        <v>232.8926084557749</v>
      </c>
      <c r="AF161" s="117">
        <v>259.31194905969579</v>
      </c>
      <c r="AG161" s="117">
        <v>265.43901387758058</v>
      </c>
      <c r="AH161" s="117">
        <v>262.96785039252887</v>
      </c>
      <c r="AI161" s="117">
        <v>317.38930690692831</v>
      </c>
      <c r="AJ161" s="117">
        <v>315.45631727740289</v>
      </c>
      <c r="AK161" s="117">
        <v>319.83802970874154</v>
      </c>
      <c r="AL161" s="117">
        <v>310.13825153998874</v>
      </c>
      <c r="AM161" s="117">
        <v>223.01802302201148</v>
      </c>
      <c r="AN161" s="117">
        <v>282.34125503689535</v>
      </c>
      <c r="AO161" s="117">
        <v>282.63300079561765</v>
      </c>
      <c r="AP161" s="117">
        <v>267.18915875462034</v>
      </c>
      <c r="AQ161" s="117">
        <v>281.87263090795386</v>
      </c>
      <c r="AR161" s="117">
        <v>323.16863883757361</v>
      </c>
      <c r="AS161" s="117">
        <v>269.87113769170253</v>
      </c>
      <c r="AT161" s="117">
        <v>307.43692053282871</v>
      </c>
      <c r="AU161" s="117">
        <v>334.83652063904788</v>
      </c>
      <c r="AV161" s="117">
        <v>392.52475895718362</v>
      </c>
      <c r="AW161" s="117">
        <v>440.16844180079096</v>
      </c>
      <c r="AX161" s="117">
        <v>489.02106899593076</v>
      </c>
      <c r="AY161" s="117">
        <v>523.03860310240771</v>
      </c>
      <c r="AZ161" s="117">
        <v>596.69018882396313</v>
      </c>
      <c r="BA161" s="117">
        <v>694.27765008509812</v>
      </c>
      <c r="BB161" s="117">
        <v>698.89892186143231</v>
      </c>
      <c r="BC161" s="117">
        <v>710.27420217583676</v>
      </c>
      <c r="BD161" s="117">
        <v>837.6034405973711</v>
      </c>
      <c r="BE161" s="117">
        <v>778.6192857737127</v>
      </c>
      <c r="BF161" s="117">
        <v>805.03283804392242</v>
      </c>
      <c r="BG161" s="117">
        <v>848.30275796668411</v>
      </c>
      <c r="BH161" s="117">
        <v>751.4786686445251</v>
      </c>
      <c r="BI161" s="117">
        <v>780.3878700045608</v>
      </c>
      <c r="BJ161" s="117">
        <v>830.55740881650502</v>
      </c>
      <c r="BK161" s="117">
        <v>900.11016450681484</v>
      </c>
      <c r="BL161" s="117">
        <v>890.73728550638225</v>
      </c>
    </row>
    <row r="162" spans="1:64" hidden="1">
      <c r="A162" s="117" t="s">
        <v>1089</v>
      </c>
      <c r="B162" s="117" t="s">
        <v>1090</v>
      </c>
      <c r="C162" s="117" t="s">
        <v>775</v>
      </c>
      <c r="D162" s="117" t="s">
        <v>776</v>
      </c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>
        <v>828.42168033595931</v>
      </c>
      <c r="P162" s="117">
        <v>874.06633559589761</v>
      </c>
      <c r="Q162" s="117">
        <v>975.75880087595453</v>
      </c>
      <c r="R162" s="117">
        <v>1143.6202030952775</v>
      </c>
      <c r="S162" s="117">
        <v>1245.3612249014268</v>
      </c>
      <c r="T162" s="117">
        <v>1560.1121535752195</v>
      </c>
      <c r="U162" s="117">
        <v>1726.5594484530254</v>
      </c>
      <c r="V162" s="117">
        <v>2037.8973369781227</v>
      </c>
      <c r="W162" s="117">
        <v>2558.7402553293828</v>
      </c>
      <c r="X162" s="117">
        <v>3195.5525857476914</v>
      </c>
      <c r="Y162" s="117">
        <v>3948.4031261497635</v>
      </c>
      <c r="Z162" s="117">
        <v>3898.2430374390519</v>
      </c>
      <c r="AA162" s="117">
        <v>3788.0506324064586</v>
      </c>
      <c r="AB162" s="117">
        <v>3527.0400001399421</v>
      </c>
      <c r="AC162" s="117">
        <v>3332.8853568225632</v>
      </c>
      <c r="AD162" s="117">
        <v>3322.4212829917033</v>
      </c>
      <c r="AE162" s="117">
        <v>4194.6539392483191</v>
      </c>
      <c r="AF162" s="117">
        <v>5083.669139206303</v>
      </c>
      <c r="AG162" s="117">
        <v>5814.3647713052324</v>
      </c>
      <c r="AH162" s="117">
        <v>6040.6098622594463</v>
      </c>
      <c r="AI162" s="117">
        <v>7191.9236025961745</v>
      </c>
      <c r="AJ162" s="117">
        <v>7558.2773825748545</v>
      </c>
      <c r="AK162" s="117">
        <v>8220.245517679401</v>
      </c>
      <c r="AL162" s="117">
        <v>7296.3101435538856</v>
      </c>
      <c r="AM162" s="117">
        <v>8000.5180045223206</v>
      </c>
      <c r="AN162" s="117">
        <v>9114.3580652134242</v>
      </c>
      <c r="AO162" s="117">
        <v>9397.8009183472368</v>
      </c>
      <c r="AP162" s="117">
        <v>9679.8828569777543</v>
      </c>
      <c r="AQ162" s="117">
        <v>10183.675989707735</v>
      </c>
      <c r="AR162" s="117">
        <v>10648.988896011528</v>
      </c>
      <c r="AS162" s="117">
        <v>10391.004315879005</v>
      </c>
      <c r="AT162" s="117">
        <v>10346.553365152704</v>
      </c>
      <c r="AU162" s="117">
        <v>11281.140307326701</v>
      </c>
      <c r="AV162" s="117">
        <v>13587.80926980661</v>
      </c>
      <c r="AW162" s="117">
        <v>15063.20517956583</v>
      </c>
      <c r="AX162" s="117">
        <v>15857.603157530617</v>
      </c>
      <c r="AY162" s="117">
        <v>16671.567199263762</v>
      </c>
      <c r="AZ162" s="117">
        <v>19375.569601362982</v>
      </c>
      <c r="BA162" s="117">
        <v>21928.700674056243</v>
      </c>
      <c r="BB162" s="117">
        <v>20675.582586206434</v>
      </c>
      <c r="BC162" s="117">
        <v>21107.364434963878</v>
      </c>
      <c r="BD162" s="117">
        <v>22858.586090717257</v>
      </c>
      <c r="BE162" s="117">
        <v>21916.411592396169</v>
      </c>
      <c r="BF162" s="117">
        <v>23837.279991255964</v>
      </c>
      <c r="BG162" s="117">
        <v>26008.827721580717</v>
      </c>
      <c r="BH162" s="117">
        <v>24002.523291238875</v>
      </c>
      <c r="BI162" s="117">
        <v>25133.045647179497</v>
      </c>
      <c r="BJ162" s="117">
        <v>27239.070104937549</v>
      </c>
      <c r="BK162" s="117">
        <v>30133.466174873134</v>
      </c>
      <c r="BL162" s="117">
        <v>29416.23060700842</v>
      </c>
    </row>
    <row r="163" spans="1:64" hidden="1">
      <c r="A163" s="117" t="s">
        <v>1091</v>
      </c>
      <c r="B163" s="117" t="s">
        <v>1092</v>
      </c>
      <c r="C163" s="117" t="s">
        <v>775</v>
      </c>
      <c r="D163" s="117" t="s">
        <v>776</v>
      </c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>
        <v>190.60623191031183</v>
      </c>
      <c r="AT163" s="117">
        <v>137.16832669199019</v>
      </c>
      <c r="AU163" s="117">
        <v>142.08226523019459</v>
      </c>
      <c r="AV163" s="117">
        <v>217.39041894811388</v>
      </c>
      <c r="AW163" s="117">
        <v>217.59428261206079</v>
      </c>
      <c r="AX163" s="117">
        <v>244.88234994012046</v>
      </c>
      <c r="AY163" s="117">
        <v>294.1631813081122</v>
      </c>
      <c r="AZ163" s="117">
        <v>406.72868915225183</v>
      </c>
      <c r="BA163" s="117">
        <v>638.14905986984252</v>
      </c>
      <c r="BB163" s="117">
        <v>734.44600674882008</v>
      </c>
      <c r="BC163" s="117">
        <v>979.05163000494179</v>
      </c>
      <c r="BD163" s="117">
        <v>1176.2424533610897</v>
      </c>
      <c r="BE163" s="117">
        <v>1165.7943289613102</v>
      </c>
      <c r="BF163" s="117">
        <v>1162.3314401189259</v>
      </c>
      <c r="BG163" s="117">
        <v>1251.8207645081402</v>
      </c>
      <c r="BH163" s="117">
        <v>1287.430486571187</v>
      </c>
      <c r="BI163" s="117">
        <v>1266.5463381486843</v>
      </c>
      <c r="BJ163" s="117">
        <v>1291.5424130130657</v>
      </c>
      <c r="BK163" s="117">
        <v>1418.177623471958</v>
      </c>
      <c r="BL163" s="117">
        <v>1407.8131434104339</v>
      </c>
    </row>
    <row r="164" spans="1:64" hidden="1">
      <c r="A164" s="117" t="s">
        <v>1093</v>
      </c>
      <c r="B164" s="117" t="s">
        <v>1094</v>
      </c>
      <c r="C164" s="117" t="s">
        <v>775</v>
      </c>
      <c r="D164" s="117" t="s">
        <v>776</v>
      </c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>
        <v>1199.7736457767239</v>
      </c>
      <c r="AM164" s="117">
        <v>1201.564254763806</v>
      </c>
      <c r="AN164" s="117">
        <v>1341.4261058761404</v>
      </c>
      <c r="AO164" s="117">
        <v>1524.2541753385383</v>
      </c>
      <c r="AP164" s="117">
        <v>1535.5728976576386</v>
      </c>
      <c r="AQ164" s="117">
        <v>1530.0578398238335</v>
      </c>
      <c r="AR164" s="117">
        <v>1589.1989744750294</v>
      </c>
      <c r="AS164" s="117">
        <v>1617.7119217871361</v>
      </c>
      <c r="AT164" s="117">
        <v>1644.6504157513025</v>
      </c>
      <c r="AU164" s="117">
        <v>1568.8582416119834</v>
      </c>
      <c r="AV164" s="117">
        <v>1739.2078306007986</v>
      </c>
      <c r="AW164" s="117">
        <v>1980.9393566285953</v>
      </c>
      <c r="AX164" s="117">
        <v>2293.0327871955724</v>
      </c>
      <c r="AY164" s="117">
        <v>2617.8152296632297</v>
      </c>
      <c r="AZ164" s="117">
        <v>3179.4149908327995</v>
      </c>
      <c r="BA164" s="117">
        <v>3867.5114310483668</v>
      </c>
      <c r="BB164" s="117">
        <v>3666.5978981356484</v>
      </c>
      <c r="BC164" s="117">
        <v>4157.8988138480736</v>
      </c>
      <c r="BD164" s="117">
        <v>4621.7895880416836</v>
      </c>
      <c r="BE164" s="117">
        <v>5011.2683058096636</v>
      </c>
      <c r="BF164" s="117">
        <v>4605.5506724247534</v>
      </c>
      <c r="BG164" s="117">
        <v>4466.5564852728367</v>
      </c>
      <c r="BH164" s="117">
        <v>3944.3492513892979</v>
      </c>
      <c r="BI164" s="117">
        <v>3928.7925876176382</v>
      </c>
      <c r="BJ164" s="117">
        <v>3793.9320183961681</v>
      </c>
      <c r="BK164" s="117"/>
      <c r="BL164" s="117"/>
    </row>
    <row r="165" spans="1:64" hidden="1">
      <c r="A165" s="117" t="s">
        <v>1095</v>
      </c>
      <c r="B165" s="117" t="s">
        <v>1096</v>
      </c>
      <c r="C165" s="117" t="s">
        <v>775</v>
      </c>
      <c r="D165" s="117" t="s">
        <v>776</v>
      </c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>
        <v>1627.0726330439436</v>
      </c>
      <c r="AT165" s="117">
        <v>1909.5987018617886</v>
      </c>
      <c r="AU165" s="117">
        <v>2106.6350684522995</v>
      </c>
      <c r="AV165" s="117">
        <v>2789.1590648350862</v>
      </c>
      <c r="AW165" s="117">
        <v>3380.1651213585901</v>
      </c>
      <c r="AX165" s="117">
        <v>3674.6179242796979</v>
      </c>
      <c r="AY165" s="117">
        <v>4425.6788730780308</v>
      </c>
      <c r="AZ165" s="117">
        <v>5976.3941445459586</v>
      </c>
      <c r="BA165" s="117">
        <v>7367.7519091088161</v>
      </c>
      <c r="BB165" s="117">
        <v>6727.1077667696864</v>
      </c>
      <c r="BC165" s="117">
        <v>6682.2811577457469</v>
      </c>
      <c r="BD165" s="117">
        <v>7318.7446902672382</v>
      </c>
      <c r="BE165" s="117">
        <v>6586.7212793222006</v>
      </c>
      <c r="BF165" s="117">
        <v>7189.2932865373696</v>
      </c>
      <c r="BG165" s="117">
        <v>7388.1477937312593</v>
      </c>
      <c r="BH165" s="117">
        <v>6517.1637516252786</v>
      </c>
      <c r="BI165" s="117">
        <v>7033.6048986863516</v>
      </c>
      <c r="BJ165" s="117">
        <v>7803.4111368226922</v>
      </c>
      <c r="BK165" s="117">
        <v>8850.0927329111637</v>
      </c>
      <c r="BL165" s="117">
        <v>8832.0368359862932</v>
      </c>
    </row>
    <row r="166" spans="1:64" hidden="1">
      <c r="A166" s="117" t="s">
        <v>1097</v>
      </c>
      <c r="B166" s="117" t="s">
        <v>1098</v>
      </c>
      <c r="C166" s="117" t="s">
        <v>775</v>
      </c>
      <c r="D166" s="117" t="s">
        <v>776</v>
      </c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>
        <v>1332.6405630309062</v>
      </c>
      <c r="AA166" s="117">
        <v>1435.7670965976968</v>
      </c>
      <c r="AB166" s="117">
        <v>1495.0157487282547</v>
      </c>
      <c r="AC166" s="117">
        <v>1121.664163669305</v>
      </c>
      <c r="AD166" s="117">
        <v>1137.6903538772692</v>
      </c>
      <c r="AE166" s="117">
        <v>1465.4476608764141</v>
      </c>
      <c r="AF166" s="117">
        <v>1485.5388955336628</v>
      </c>
      <c r="AG166" s="117">
        <v>1533.4443054036874</v>
      </c>
      <c r="AH166" s="117">
        <v>1670.6905289136769</v>
      </c>
      <c r="AI166" s="117">
        <v>1172.4430658220951</v>
      </c>
      <c r="AJ166" s="117">
        <v>1072.6363188143603</v>
      </c>
      <c r="AK166" s="117">
        <v>587.30323172093779</v>
      </c>
      <c r="AL166" s="117">
        <v>339.52208707307886</v>
      </c>
      <c r="AM166" s="117">
        <v>405.97483783778932</v>
      </c>
      <c r="AN166" s="117">
        <v>631.9200900072251</v>
      </c>
      <c r="AO166" s="117">
        <v>580.91084412753298</v>
      </c>
      <c r="AP166" s="117">
        <v>505.59447387331375</v>
      </c>
      <c r="AQ166" s="117">
        <v>477.33473406152115</v>
      </c>
      <c r="AR166" s="117">
        <v>444.99514510733917</v>
      </c>
      <c r="AS166" s="117">
        <v>474.21689651657755</v>
      </c>
      <c r="AT166" s="117">
        <v>524.05530789229579</v>
      </c>
      <c r="AU166" s="117">
        <v>571.5926395287654</v>
      </c>
      <c r="AV166" s="117">
        <v>646.19325628938225</v>
      </c>
      <c r="AW166" s="117">
        <v>797.97868526844445</v>
      </c>
      <c r="AX166" s="117">
        <v>998.83136481082818</v>
      </c>
      <c r="AY166" s="117">
        <v>1334.2116813583111</v>
      </c>
      <c r="AZ166" s="117">
        <v>1632.7269522589818</v>
      </c>
      <c r="BA166" s="117">
        <v>2136.5632136460131</v>
      </c>
      <c r="BB166" s="117">
        <v>1714.3605450414771</v>
      </c>
      <c r="BC166" s="117">
        <v>2643.2929141676286</v>
      </c>
      <c r="BD166" s="117">
        <v>3757.5586328813038</v>
      </c>
      <c r="BE166" s="117">
        <v>4351.8869200565041</v>
      </c>
      <c r="BF166" s="117">
        <v>4366.0759014502546</v>
      </c>
      <c r="BG166" s="117">
        <v>4158.5257147309085</v>
      </c>
      <c r="BH166" s="117">
        <v>3918.579173895535</v>
      </c>
      <c r="BI166" s="117">
        <v>3660.1507461606066</v>
      </c>
      <c r="BJ166" s="117">
        <v>3669.4175403988029</v>
      </c>
      <c r="BK166" s="117">
        <v>4134.987198235106</v>
      </c>
      <c r="BL166" s="117">
        <v>4295.2350248794428</v>
      </c>
    </row>
    <row r="167" spans="1:64" hidden="1">
      <c r="A167" s="117" t="s">
        <v>1099</v>
      </c>
      <c r="B167" s="117" t="s">
        <v>1100</v>
      </c>
      <c r="C167" s="117" t="s">
        <v>775</v>
      </c>
      <c r="D167" s="117" t="s">
        <v>776</v>
      </c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  <c r="AT167" s="117"/>
      <c r="AU167" s="117">
        <v>21978.774392331394</v>
      </c>
      <c r="AV167" s="117">
        <v>21381.6073308368</v>
      </c>
      <c r="AW167" s="117">
        <v>21136.84798937917</v>
      </c>
      <c r="AX167" s="117">
        <v>18764.811998160658</v>
      </c>
      <c r="AY167" s="117">
        <v>17715.90136358756</v>
      </c>
      <c r="AZ167" s="117">
        <v>16986.906680671509</v>
      </c>
      <c r="BA167" s="117">
        <v>17189.931350114417</v>
      </c>
      <c r="BB167" s="117">
        <v>14669.791301459598</v>
      </c>
      <c r="BC167" s="117">
        <v>14804.246725093106</v>
      </c>
      <c r="BD167" s="117">
        <v>13571.058283344442</v>
      </c>
      <c r="BE167" s="117">
        <v>13827.769696746516</v>
      </c>
      <c r="BF167" s="117">
        <v>14274.240654205607</v>
      </c>
      <c r="BG167" s="117">
        <v>15278.907874514058</v>
      </c>
      <c r="BH167" s="117">
        <v>16690.570096808893</v>
      </c>
      <c r="BI167" s="117">
        <v>22246.743076813553</v>
      </c>
      <c r="BJ167" s="117">
        <v>28305.222587602984</v>
      </c>
      <c r="BK167" s="117">
        <v>23258.675855279351</v>
      </c>
      <c r="BL167" s="117"/>
    </row>
    <row r="168" spans="1:64" hidden="1">
      <c r="A168" s="117" t="s">
        <v>1101</v>
      </c>
      <c r="B168" s="117" t="s">
        <v>1102</v>
      </c>
      <c r="C168" s="117" t="s">
        <v>775</v>
      </c>
      <c r="D168" s="117" t="s">
        <v>776</v>
      </c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>
        <v>277.93427976130266</v>
      </c>
      <c r="AK168" s="117">
        <v>191.58215340702782</v>
      </c>
      <c r="AL168" s="117">
        <v>190.55206098142796</v>
      </c>
      <c r="AM168" s="117">
        <v>186.84853038051293</v>
      </c>
      <c r="AN168" s="117">
        <v>187.35774101785518</v>
      </c>
      <c r="AO168" s="117">
        <v>260.85725499596697</v>
      </c>
      <c r="AP168" s="117">
        <v>303.51163377613881</v>
      </c>
      <c r="AQ168" s="117">
        <v>333.8426026853536</v>
      </c>
      <c r="AR168" s="117">
        <v>341.48091515390769</v>
      </c>
      <c r="AS168" s="117">
        <v>313.56803414109726</v>
      </c>
      <c r="AT168" s="117">
        <v>291.46773901755046</v>
      </c>
      <c r="AU168" s="117">
        <v>299.68305408959935</v>
      </c>
      <c r="AV168" s="117">
        <v>323.52258869530874</v>
      </c>
      <c r="AW168" s="117">
        <v>381.15659274003877</v>
      </c>
      <c r="AX168" s="117">
        <v>415.34829102805145</v>
      </c>
      <c r="AY168" s="117">
        <v>434.03402882320518</v>
      </c>
      <c r="AZ168" s="117">
        <v>480.93352006182704</v>
      </c>
      <c r="BA168" s="117">
        <v>564.4794876908569</v>
      </c>
      <c r="BB168" s="117">
        <v>519.76040471380361</v>
      </c>
      <c r="BC168" s="117">
        <v>471.18169264589295</v>
      </c>
      <c r="BD168" s="117">
        <v>594.58646666970412</v>
      </c>
      <c r="BE168" s="117">
        <v>657.64533781966804</v>
      </c>
      <c r="BF168" s="117">
        <v>664.07821182776661</v>
      </c>
      <c r="BG168" s="117">
        <v>673.96995550810595</v>
      </c>
      <c r="BH168" s="117">
        <v>589.85902814983115</v>
      </c>
      <c r="BI168" s="117">
        <v>428.9264879955241</v>
      </c>
      <c r="BJ168" s="117">
        <v>461.41509412058878</v>
      </c>
      <c r="BK168" s="117">
        <v>498.9572202086523</v>
      </c>
      <c r="BL168" s="117">
        <v>491.80472306373525</v>
      </c>
    </row>
    <row r="169" spans="1:64" hidden="1">
      <c r="A169" s="117" t="s">
        <v>1103</v>
      </c>
      <c r="B169" s="117" t="s">
        <v>1104</v>
      </c>
      <c r="C169" s="117" t="s">
        <v>775</v>
      </c>
      <c r="D169" s="117" t="s">
        <v>776</v>
      </c>
      <c r="E169" s="117"/>
      <c r="F169" s="117">
        <v>181.83750274799138</v>
      </c>
      <c r="G169" s="117">
        <v>182.18270089095941</v>
      </c>
      <c r="H169" s="117">
        <v>181.09203633253642</v>
      </c>
      <c r="I169" s="117">
        <v>234.63213200000786</v>
      </c>
      <c r="J169" s="117">
        <v>258.98969149851644</v>
      </c>
      <c r="K169" s="117">
        <v>262.31046074423409</v>
      </c>
      <c r="L169" s="117">
        <v>269.84005967941806</v>
      </c>
      <c r="M169" s="117">
        <v>288.44180173871717</v>
      </c>
      <c r="N169" s="117">
        <v>265.16599766149272</v>
      </c>
      <c r="O169" s="117">
        <v>269.80355086324795</v>
      </c>
      <c r="P169" s="117">
        <v>283.977720350818</v>
      </c>
      <c r="Q169" s="117">
        <v>321.71402202107527</v>
      </c>
      <c r="R169" s="117">
        <v>393.28213640950401</v>
      </c>
      <c r="S169" s="117">
        <v>474.51994081842759</v>
      </c>
      <c r="T169" s="117">
        <v>528.61845076426437</v>
      </c>
      <c r="U169" s="117">
        <v>565.57990187356461</v>
      </c>
      <c r="V169" s="117">
        <v>566.22990390134566</v>
      </c>
      <c r="W169" s="117">
        <v>553.75922675531092</v>
      </c>
      <c r="X169" s="117">
        <v>636.21874647873312</v>
      </c>
      <c r="Y169" s="117">
        <v>680.18787589429974</v>
      </c>
      <c r="Z169" s="117">
        <v>696.81704765256563</v>
      </c>
      <c r="AA169" s="117">
        <v>678.7100375451729</v>
      </c>
      <c r="AB169" s="117">
        <v>692.78569399504556</v>
      </c>
      <c r="AC169" s="117">
        <v>620.76047065061891</v>
      </c>
      <c r="AD169" s="117">
        <v>567.25073527835116</v>
      </c>
      <c r="AE169" s="117">
        <v>648.546205480406</v>
      </c>
      <c r="AF169" s="117">
        <v>715.33766261419805</v>
      </c>
      <c r="AG169" s="117">
        <v>732.9712318720417</v>
      </c>
      <c r="AH169" s="117">
        <v>731.94800502199712</v>
      </c>
      <c r="AI169" s="117">
        <v>740.73653538941153</v>
      </c>
      <c r="AJ169" s="117">
        <v>1021.9269192782849</v>
      </c>
      <c r="AK169" s="117">
        <v>1010.1030306771687</v>
      </c>
      <c r="AL169" s="117">
        <v>840.26550976951125</v>
      </c>
      <c r="AM169" s="117">
        <v>862.275751981844</v>
      </c>
      <c r="AN169" s="117">
        <v>904.09072353368083</v>
      </c>
      <c r="AO169" s="117">
        <v>898.51278326149225</v>
      </c>
      <c r="AP169" s="117">
        <v>851.42692702888814</v>
      </c>
      <c r="AQ169" s="117">
        <v>814.17066144518242</v>
      </c>
      <c r="AR169" s="117">
        <v>775.27171142651082</v>
      </c>
      <c r="AS169" s="117">
        <v>676.56765840132664</v>
      </c>
      <c r="AT169" s="117">
        <v>646.11631097975373</v>
      </c>
      <c r="AU169" s="117">
        <v>639.66712236969408</v>
      </c>
      <c r="AV169" s="117">
        <v>717.90037013723963</v>
      </c>
      <c r="AW169" s="117">
        <v>803.77764211122496</v>
      </c>
      <c r="AX169" s="117">
        <v>970.84364481987927</v>
      </c>
      <c r="AY169" s="117">
        <v>1288.1442973936837</v>
      </c>
      <c r="AZ169" s="117">
        <v>1351.4568419575114</v>
      </c>
      <c r="BA169" s="117">
        <v>1558.8897434487378</v>
      </c>
      <c r="BB169" s="117">
        <v>1392.4641437434273</v>
      </c>
      <c r="BC169" s="117">
        <v>1610.9239084761057</v>
      </c>
      <c r="BD169" s="117">
        <v>1879.771427156378</v>
      </c>
      <c r="BE169" s="117">
        <v>1815.219429211453</v>
      </c>
      <c r="BF169" s="117">
        <v>1892.0954871775793</v>
      </c>
      <c r="BG169" s="117">
        <v>1677.1081661318892</v>
      </c>
      <c r="BH169" s="117">
        <v>1524.0728825221152</v>
      </c>
      <c r="BI169" s="117">
        <v>1536.8541496433779</v>
      </c>
      <c r="BJ169" s="117">
        <v>1578.1141735594856</v>
      </c>
      <c r="BK169" s="117">
        <v>1600.8764686056111</v>
      </c>
      <c r="BL169" s="117">
        <v>1677.9192526863269</v>
      </c>
    </row>
    <row r="170" spans="1:64" hidden="1">
      <c r="A170" s="117" t="s">
        <v>1105</v>
      </c>
      <c r="B170" s="117" t="s">
        <v>1106</v>
      </c>
      <c r="C170" s="117" t="s">
        <v>775</v>
      </c>
      <c r="D170" s="117" t="s">
        <v>776</v>
      </c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>
        <v>776.64433413748793</v>
      </c>
      <c r="V170" s="117">
        <v>893.91495238118466</v>
      </c>
      <c r="W170" s="117">
        <v>1087.6981606788436</v>
      </c>
      <c r="X170" s="117">
        <v>1275.0358264506447</v>
      </c>
      <c r="Y170" s="117">
        <v>1171.5760869978944</v>
      </c>
      <c r="Z170" s="117">
        <v>1165.1584197282332</v>
      </c>
      <c r="AA170" s="117">
        <v>1086.5350250684908</v>
      </c>
      <c r="AB170" s="117">
        <v>1088.4364013041125</v>
      </c>
      <c r="AC170" s="117">
        <v>1027.9939749705229</v>
      </c>
      <c r="AD170" s="117">
        <v>1054.4748349701197</v>
      </c>
      <c r="AE170" s="117">
        <v>1422.5565516459246</v>
      </c>
      <c r="AF170" s="117">
        <v>1815.3514048377865</v>
      </c>
      <c r="AG170" s="117">
        <v>2046.0479982563409</v>
      </c>
      <c r="AH170" s="117">
        <v>2075.5381683151782</v>
      </c>
      <c r="AI170" s="117">
        <v>2506.1793122670806</v>
      </c>
      <c r="AJ170" s="117">
        <v>2669.3277004061142</v>
      </c>
      <c r="AK170" s="117">
        <v>2973.206977424386</v>
      </c>
      <c r="AL170" s="117">
        <v>2973.7978209964263</v>
      </c>
      <c r="AM170" s="117">
        <v>3197.3310236795746</v>
      </c>
      <c r="AN170" s="117">
        <v>3599.5552019296115</v>
      </c>
      <c r="AO170" s="117">
        <v>3899.4351924499647</v>
      </c>
      <c r="AP170" s="117">
        <v>3646.6306259900116</v>
      </c>
      <c r="AQ170" s="117">
        <v>3593.2340808954723</v>
      </c>
      <c r="AR170" s="117">
        <v>3695.9349090943433</v>
      </c>
      <c r="AS170" s="117">
        <v>3929.0754950336441</v>
      </c>
      <c r="AT170" s="117">
        <v>3856.6252268686412</v>
      </c>
      <c r="AU170" s="117">
        <v>4018.9488973186367</v>
      </c>
      <c r="AV170" s="117">
        <v>4793.718179001613</v>
      </c>
      <c r="AW170" s="117">
        <v>5388.0657836736482</v>
      </c>
      <c r="AX170" s="117">
        <v>5282.9060215563504</v>
      </c>
      <c r="AY170" s="117">
        <v>5695.9693270492844</v>
      </c>
      <c r="AZ170" s="117">
        <v>6574.6543381149295</v>
      </c>
      <c r="BA170" s="117">
        <v>8030.0630053730374</v>
      </c>
      <c r="BB170" s="117">
        <v>7318.126409724222</v>
      </c>
      <c r="BC170" s="117">
        <v>8000.3764318215426</v>
      </c>
      <c r="BD170" s="117">
        <v>9197.0269715206105</v>
      </c>
      <c r="BE170" s="117">
        <v>9291.2276186189902</v>
      </c>
      <c r="BF170" s="117">
        <v>9637.0026500095792</v>
      </c>
      <c r="BG170" s="117">
        <v>10153.938218486741</v>
      </c>
      <c r="BH170" s="117">
        <v>9260.4473025063544</v>
      </c>
      <c r="BI170" s="117">
        <v>9681.6185668967355</v>
      </c>
      <c r="BJ170" s="117">
        <v>10484.908362041104</v>
      </c>
      <c r="BK170" s="117">
        <v>11208.2273695738</v>
      </c>
      <c r="BL170" s="117">
        <v>11203.540584860741</v>
      </c>
    </row>
    <row r="171" spans="1:64" hidden="1">
      <c r="A171" s="117" t="s">
        <v>1107</v>
      </c>
      <c r="B171" s="117" t="s">
        <v>1108</v>
      </c>
      <c r="C171" s="117" t="s">
        <v>775</v>
      </c>
      <c r="D171" s="117" t="s">
        <v>776</v>
      </c>
      <c r="E171" s="117">
        <v>44.523894329915841</v>
      </c>
      <c r="F171" s="117">
        <v>46.58164731502599</v>
      </c>
      <c r="G171" s="117">
        <v>47.698433613076624</v>
      </c>
      <c r="H171" s="117">
        <v>48.505502334148751</v>
      </c>
      <c r="I171" s="117">
        <v>48.293201512929848</v>
      </c>
      <c r="J171" s="117">
        <v>55.498278104463978</v>
      </c>
      <c r="K171" s="117">
        <v>61.407652882328158</v>
      </c>
      <c r="L171" s="117">
        <v>62.019985105183892</v>
      </c>
      <c r="M171" s="117">
        <v>54.916347933937189</v>
      </c>
      <c r="N171" s="117">
        <v>58.009416534444163</v>
      </c>
      <c r="O171" s="117">
        <v>61.765537022092126</v>
      </c>
      <c r="P171" s="117">
        <v>75.663723358876837</v>
      </c>
      <c r="Q171" s="117">
        <v>81.891471527557158</v>
      </c>
      <c r="R171" s="117">
        <v>87.227575158803262</v>
      </c>
      <c r="S171" s="117">
        <v>104.79720485156815</v>
      </c>
      <c r="T171" s="117">
        <v>113.88003683128491</v>
      </c>
      <c r="U171" s="117">
        <v>120.87266836175877</v>
      </c>
      <c r="V171" s="117">
        <v>141.0104001597519</v>
      </c>
      <c r="W171" s="117">
        <v>160.93873894529159</v>
      </c>
      <c r="X171" s="117">
        <v>174.18647632516334</v>
      </c>
      <c r="Y171" s="117">
        <v>198.0109338142762</v>
      </c>
      <c r="Z171" s="117">
        <v>193.01490552450281</v>
      </c>
      <c r="AA171" s="117">
        <v>179.72995917769668</v>
      </c>
      <c r="AB171" s="117">
        <v>181.53764279817415</v>
      </c>
      <c r="AC171" s="117">
        <v>173.44969865854824</v>
      </c>
      <c r="AD171" s="117">
        <v>155.65578400828352</v>
      </c>
      <c r="AE171" s="117">
        <v>154.3953116649042</v>
      </c>
      <c r="AF171" s="117">
        <v>145.32279948885144</v>
      </c>
      <c r="AG171" s="117">
        <v>159.77466566626032</v>
      </c>
      <c r="AH171" s="117">
        <v>175.21932309424324</v>
      </c>
      <c r="AI171" s="117">
        <v>199.98634231535311</v>
      </c>
      <c r="AJ171" s="117">
        <v>229.52753899922715</v>
      </c>
      <c r="AK171" s="117">
        <v>185.78588661811486</v>
      </c>
      <c r="AL171" s="117">
        <v>213.24061307348276</v>
      </c>
      <c r="AM171" s="117">
        <v>121.26412763334152</v>
      </c>
      <c r="AN171" s="117">
        <v>141.95439061711309</v>
      </c>
      <c r="AO171" s="117">
        <v>227.58477020367562</v>
      </c>
      <c r="AP171" s="117">
        <v>259.45049412996735</v>
      </c>
      <c r="AQ171" s="117">
        <v>165.89539354098923</v>
      </c>
      <c r="AR171" s="117">
        <v>163.61424675860357</v>
      </c>
      <c r="AS171" s="117">
        <v>156.38571859991217</v>
      </c>
      <c r="AT171" s="117">
        <v>150.14895576411863</v>
      </c>
      <c r="AU171" s="117">
        <v>298.43338494515922</v>
      </c>
      <c r="AV171" s="117">
        <v>267.39905650178832</v>
      </c>
      <c r="AW171" s="117">
        <v>282.56708459948555</v>
      </c>
      <c r="AX171" s="117">
        <v>289.55516892051395</v>
      </c>
      <c r="AY171" s="117">
        <v>308.1634757114096</v>
      </c>
      <c r="AZ171" s="117">
        <v>332.25914436163799</v>
      </c>
      <c r="BA171" s="117">
        <v>387.60597530546829</v>
      </c>
      <c r="BB171" s="117">
        <v>438.21204291687792</v>
      </c>
      <c r="BC171" s="117">
        <v>478.66858970452455</v>
      </c>
      <c r="BD171" s="117">
        <v>534.95126472166271</v>
      </c>
      <c r="BE171" s="117">
        <v>391.56183236063566</v>
      </c>
      <c r="BF171" s="117">
        <v>348.43026964057208</v>
      </c>
      <c r="BG171" s="117">
        <v>371.26974962571342</v>
      </c>
      <c r="BH171" s="117">
        <v>380.5970331409377</v>
      </c>
      <c r="BI171" s="117">
        <v>315.77732637257452</v>
      </c>
      <c r="BJ171" s="117">
        <v>356.71757315336913</v>
      </c>
      <c r="BK171" s="117">
        <v>381.25898760108441</v>
      </c>
      <c r="BL171" s="117">
        <v>411.55234042360161</v>
      </c>
    </row>
    <row r="172" spans="1:64" hidden="1">
      <c r="A172" s="117" t="s">
        <v>1109</v>
      </c>
      <c r="B172" s="117" t="s">
        <v>1110</v>
      </c>
      <c r="C172" s="117" t="s">
        <v>775</v>
      </c>
      <c r="D172" s="117" t="s">
        <v>776</v>
      </c>
      <c r="E172" s="117">
        <v>234.93875341530216</v>
      </c>
      <c r="F172" s="117">
        <v>225.93351301734506</v>
      </c>
      <c r="G172" s="117">
        <v>230.26046129893373</v>
      </c>
      <c r="H172" s="117">
        <v>279.71763403377128</v>
      </c>
      <c r="I172" s="117">
        <v>289.00875933813916</v>
      </c>
      <c r="J172" s="117">
        <v>310.32792580375906</v>
      </c>
      <c r="K172" s="117">
        <v>321.09412765418426</v>
      </c>
      <c r="L172" s="117">
        <v>317.4240840868768</v>
      </c>
      <c r="M172" s="117">
        <v>323.40248666298487</v>
      </c>
      <c r="N172" s="117">
        <v>347.37296250473912</v>
      </c>
      <c r="O172" s="117">
        <v>357.65679936380883</v>
      </c>
      <c r="P172" s="117">
        <v>383.67150639637646</v>
      </c>
      <c r="Q172" s="117">
        <v>445.35015778316938</v>
      </c>
      <c r="R172" s="117">
        <v>661.02269101028014</v>
      </c>
      <c r="S172" s="117">
        <v>799.93184408789477</v>
      </c>
      <c r="T172" s="117">
        <v>764.5665043192497</v>
      </c>
      <c r="U172" s="117">
        <v>886.22997212792529</v>
      </c>
      <c r="V172" s="117">
        <v>1027.2929916932085</v>
      </c>
      <c r="W172" s="117">
        <v>1246.5577388571371</v>
      </c>
      <c r="X172" s="117">
        <v>1576.0492742696945</v>
      </c>
      <c r="Y172" s="117">
        <v>1774.7414544881137</v>
      </c>
      <c r="Z172" s="117">
        <v>1769.0996523345336</v>
      </c>
      <c r="AA172" s="117">
        <v>1852.256996013313</v>
      </c>
      <c r="AB172" s="117">
        <v>2047.7711169822433</v>
      </c>
      <c r="AC172" s="117">
        <v>2234.2574979571405</v>
      </c>
      <c r="AD172" s="117">
        <v>2000.1479009068412</v>
      </c>
      <c r="AE172" s="117">
        <v>1728.6853438534763</v>
      </c>
      <c r="AF172" s="117">
        <v>1947.8087100365192</v>
      </c>
      <c r="AG172" s="117">
        <v>2072.0782948002193</v>
      </c>
      <c r="AH172" s="117">
        <v>2216.2504458435105</v>
      </c>
      <c r="AI172" s="117">
        <v>2441.7419905489451</v>
      </c>
      <c r="AJ172" s="117">
        <v>2653.5267422490829</v>
      </c>
      <c r="AK172" s="117">
        <v>3113.6463325419345</v>
      </c>
      <c r="AL172" s="117">
        <v>3433.163316041911</v>
      </c>
      <c r="AM172" s="117">
        <v>3728.1119738596331</v>
      </c>
      <c r="AN172" s="117">
        <v>4329.7073641988209</v>
      </c>
      <c r="AO172" s="117">
        <v>4798.6131398692005</v>
      </c>
      <c r="AP172" s="117">
        <v>4637.8650159961517</v>
      </c>
      <c r="AQ172" s="117">
        <v>3263.3338500724362</v>
      </c>
      <c r="AR172" s="117">
        <v>3492.6693542722742</v>
      </c>
      <c r="AS172" s="117">
        <v>4043.6620514339074</v>
      </c>
      <c r="AT172" s="117">
        <v>3913.4287262390917</v>
      </c>
      <c r="AU172" s="117">
        <v>4165.726103638588</v>
      </c>
      <c r="AV172" s="117">
        <v>4461.8476867680456</v>
      </c>
      <c r="AW172" s="117">
        <v>4952.2129750436989</v>
      </c>
      <c r="AX172" s="117">
        <v>5587.0256496233942</v>
      </c>
      <c r="AY172" s="117">
        <v>6209.1245082563109</v>
      </c>
      <c r="AZ172" s="117">
        <v>7243.4559874470287</v>
      </c>
      <c r="BA172" s="117">
        <v>8474.5868287622779</v>
      </c>
      <c r="BB172" s="117">
        <v>7292.4944472790776</v>
      </c>
      <c r="BC172" s="117">
        <v>9040.5662511717237</v>
      </c>
      <c r="BD172" s="117">
        <v>10399.372753345</v>
      </c>
      <c r="BE172" s="117">
        <v>10817.442874285551</v>
      </c>
      <c r="BF172" s="117">
        <v>10970.123284901401</v>
      </c>
      <c r="BG172" s="117">
        <v>11319.079757275564</v>
      </c>
      <c r="BH172" s="117">
        <v>9955.2421265361081</v>
      </c>
      <c r="BI172" s="117">
        <v>9817.7408609621416</v>
      </c>
      <c r="BJ172" s="117">
        <v>10254.234024258763</v>
      </c>
      <c r="BK172" s="117">
        <v>11373.233002567642</v>
      </c>
      <c r="BL172" s="117">
        <v>11414.837661866755</v>
      </c>
    </row>
    <row r="173" spans="1:64" hidden="1">
      <c r="A173" s="117" t="s">
        <v>1111</v>
      </c>
      <c r="B173" s="117" t="s">
        <v>1112</v>
      </c>
      <c r="C173" s="117" t="s">
        <v>775</v>
      </c>
      <c r="D173" s="117" t="s">
        <v>776</v>
      </c>
      <c r="E173" s="117">
        <v>2939.4483351073304</v>
      </c>
      <c r="F173" s="117">
        <v>2991.5928965540788</v>
      </c>
      <c r="G173" s="117">
        <v>3155.097537789668</v>
      </c>
      <c r="H173" s="117">
        <v>3283.1414530138954</v>
      </c>
      <c r="I173" s="117">
        <v>3480.4269445668951</v>
      </c>
      <c r="J173" s="117">
        <v>3729.9697036069902</v>
      </c>
      <c r="K173" s="117">
        <v>4044.2472152573155</v>
      </c>
      <c r="L173" s="117">
        <v>4231.8673508310558</v>
      </c>
      <c r="M173" s="117">
        <v>4579.9822599237759</v>
      </c>
      <c r="N173" s="117">
        <v>4912.4875945177209</v>
      </c>
      <c r="O173" s="117">
        <v>5129.0918435391968</v>
      </c>
      <c r="P173" s="117">
        <v>5504.8158171428759</v>
      </c>
      <c r="Q173" s="117">
        <v>5997.4856339333783</v>
      </c>
      <c r="R173" s="117">
        <v>6640.8059895289616</v>
      </c>
      <c r="S173" s="117">
        <v>7206.8167979758955</v>
      </c>
      <c r="T173" s="117">
        <v>7773.0846898609916</v>
      </c>
      <c r="U173" s="117">
        <v>8613.0289871465029</v>
      </c>
      <c r="V173" s="117">
        <v>9400.4658370343677</v>
      </c>
      <c r="W173" s="117">
        <v>10424.529083632906</v>
      </c>
      <c r="X173" s="117">
        <v>11515.460033160196</v>
      </c>
      <c r="Y173" s="117">
        <v>12437.77650395889</v>
      </c>
      <c r="Z173" s="117">
        <v>13816.083318143386</v>
      </c>
      <c r="AA173" s="117">
        <v>14242.845458450385</v>
      </c>
      <c r="AB173" s="117">
        <v>15336.630230333903</v>
      </c>
      <c r="AC173" s="117">
        <v>16803.689880664653</v>
      </c>
      <c r="AD173" s="117">
        <v>17833.072741268705</v>
      </c>
      <c r="AE173" s="117">
        <v>18619.663293275036</v>
      </c>
      <c r="AF173" s="117">
        <v>19672.459436974557</v>
      </c>
      <c r="AG173" s="117">
        <v>21172.753394983712</v>
      </c>
      <c r="AH173" s="117">
        <v>22644.65650072186</v>
      </c>
      <c r="AI173" s="117">
        <v>23645.614314815884</v>
      </c>
      <c r="AJ173" s="117">
        <v>24086.216451683107</v>
      </c>
      <c r="AK173" s="117">
        <v>24967.706320299803</v>
      </c>
      <c r="AL173" s="117">
        <v>25765.54155350351</v>
      </c>
      <c r="AM173" s="117">
        <v>26925.46151162087</v>
      </c>
      <c r="AN173" s="117">
        <v>27891.387442755775</v>
      </c>
      <c r="AO173" s="117">
        <v>29105.320862510333</v>
      </c>
      <c r="AP173" s="117">
        <v>30510.891878406121</v>
      </c>
      <c r="AQ173" s="117">
        <v>31684.773296870342</v>
      </c>
      <c r="AR173" s="117">
        <v>33311.751183506967</v>
      </c>
      <c r="AS173" s="117">
        <v>35147.876594431058</v>
      </c>
      <c r="AT173" s="117">
        <v>35822.803614153549</v>
      </c>
      <c r="AU173" s="117">
        <v>36666.270323126279</v>
      </c>
      <c r="AV173" s="117">
        <v>38391.006749187531</v>
      </c>
      <c r="AW173" s="117">
        <v>40766.673246152372</v>
      </c>
      <c r="AX173" s="117">
        <v>43349.005595282324</v>
      </c>
      <c r="AY173" s="117">
        <v>45724.251361394912</v>
      </c>
      <c r="AZ173" s="117">
        <v>47646.438860610418</v>
      </c>
      <c r="BA173" s="117">
        <v>48215.111788771625</v>
      </c>
      <c r="BB173" s="117">
        <v>46483.025086219874</v>
      </c>
      <c r="BC173" s="117">
        <v>48374.094597123694</v>
      </c>
      <c r="BD173" s="117">
        <v>50111.982296419577</v>
      </c>
      <c r="BE173" s="117">
        <v>51723.225662249308</v>
      </c>
      <c r="BF173" s="117">
        <v>53077.242077692848</v>
      </c>
      <c r="BG173" s="117">
        <v>54637.832590531667</v>
      </c>
      <c r="BH173" s="117">
        <v>55502.691498793654</v>
      </c>
      <c r="BI173" s="117">
        <v>56364.855162766951</v>
      </c>
      <c r="BJ173" s="117">
        <v>58467.973813898832</v>
      </c>
      <c r="BK173" s="117">
        <v>61304.542021408277</v>
      </c>
      <c r="BL173" s="117">
        <v>63327.45884411611</v>
      </c>
    </row>
    <row r="174" spans="1:64" hidden="1">
      <c r="A174" s="117" t="s">
        <v>1113</v>
      </c>
      <c r="B174" s="117" t="s">
        <v>1114</v>
      </c>
      <c r="C174" s="117" t="s">
        <v>775</v>
      </c>
      <c r="D174" s="117" t="s">
        <v>776</v>
      </c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>
        <v>2289.9066343059967</v>
      </c>
      <c r="Z174" s="117">
        <v>2078.5199066951545</v>
      </c>
      <c r="AA174" s="117">
        <v>1914.8146905348167</v>
      </c>
      <c r="AB174" s="117">
        <v>2027.1528168796333</v>
      </c>
      <c r="AC174" s="117">
        <v>1675.9899184824744</v>
      </c>
      <c r="AD174" s="117">
        <v>1340.3283283921392</v>
      </c>
      <c r="AE174" s="117">
        <v>1456.7160845586509</v>
      </c>
      <c r="AF174" s="117">
        <v>1784.569621207924</v>
      </c>
      <c r="AG174" s="117">
        <v>1864.0817275284194</v>
      </c>
      <c r="AH174" s="117">
        <v>1826.4802933766377</v>
      </c>
      <c r="AI174" s="117">
        <v>1944.1376211391878</v>
      </c>
      <c r="AJ174" s="117">
        <v>2027.0081133794577</v>
      </c>
      <c r="AK174" s="117">
        <v>2257.6323934720713</v>
      </c>
      <c r="AL174" s="117">
        <v>2069.6249957272616</v>
      </c>
      <c r="AM174" s="117">
        <v>2284.5808107116695</v>
      </c>
      <c r="AN174" s="117">
        <v>2421.870490322659</v>
      </c>
      <c r="AO174" s="117">
        <v>2371.8846686714996</v>
      </c>
      <c r="AP174" s="117">
        <v>2416.1197902148228</v>
      </c>
      <c r="AQ174" s="117">
        <v>2209.7721468247742</v>
      </c>
      <c r="AR174" s="117">
        <v>2165.1132250314986</v>
      </c>
      <c r="AS174" s="117">
        <v>2136.4402428148892</v>
      </c>
      <c r="AT174" s="117">
        <v>1906.2926042733138</v>
      </c>
      <c r="AU174" s="117">
        <v>1769.1759103703005</v>
      </c>
      <c r="AV174" s="117">
        <v>2560.7740363578814</v>
      </c>
      <c r="AW174" s="117">
        <v>3396.9119322870897</v>
      </c>
      <c r="AX174" s="117">
        <v>3674.0022006966838</v>
      </c>
      <c r="AY174" s="117">
        <v>3974.5224253696415</v>
      </c>
      <c r="AZ174" s="117">
        <v>4356.2445117501347</v>
      </c>
      <c r="BA174" s="117">
        <v>4153.2479379467677</v>
      </c>
      <c r="BB174" s="117">
        <v>4265.2587454959566</v>
      </c>
      <c r="BC174" s="117">
        <v>5318.0069396719509</v>
      </c>
      <c r="BD174" s="117">
        <v>5723.3254902831586</v>
      </c>
      <c r="BE174" s="117">
        <v>5942.2737875111743</v>
      </c>
      <c r="BF174" s="117">
        <v>5377.7273269301113</v>
      </c>
      <c r="BG174" s="117">
        <v>5435.1719112516294</v>
      </c>
      <c r="BH174" s="117">
        <v>4869.3784062979203</v>
      </c>
      <c r="BI174" s="117">
        <v>4523.0912697799913</v>
      </c>
      <c r="BJ174" s="117">
        <v>5303.3091333322873</v>
      </c>
      <c r="BK174" s="117">
        <v>5495.4288358282383</v>
      </c>
      <c r="BL174" s="117">
        <v>4957.4580058496967</v>
      </c>
    </row>
    <row r="175" spans="1:64" hidden="1">
      <c r="A175" s="117" t="s">
        <v>1115</v>
      </c>
      <c r="B175" s="117" t="s">
        <v>1116</v>
      </c>
      <c r="C175" s="117" t="s">
        <v>775</v>
      </c>
      <c r="D175" s="117" t="s">
        <v>776</v>
      </c>
      <c r="E175" s="117"/>
      <c r="F175" s="117"/>
      <c r="G175" s="117"/>
      <c r="H175" s="117"/>
      <c r="I175" s="117"/>
      <c r="J175" s="117">
        <v>1763.4750668376582</v>
      </c>
      <c r="K175" s="117">
        <v>1756.2196530660387</v>
      </c>
      <c r="L175" s="117">
        <v>1865.66599868404</v>
      </c>
      <c r="M175" s="117">
        <v>2165.9011460729416</v>
      </c>
      <c r="N175" s="117">
        <v>2529.8926397758073</v>
      </c>
      <c r="O175" s="117">
        <v>3203.7114455644164</v>
      </c>
      <c r="P175" s="117">
        <v>3446.9527939174773</v>
      </c>
      <c r="Q175" s="117">
        <v>4031.0160387404571</v>
      </c>
      <c r="R175" s="117">
        <v>4220.1935004858333</v>
      </c>
      <c r="S175" s="117">
        <v>4865.6503748892319</v>
      </c>
      <c r="T175" s="117">
        <v>6163.3801194824873</v>
      </c>
      <c r="U175" s="117">
        <v>5957.5411167718921</v>
      </c>
      <c r="V175" s="117">
        <v>6158.9467392186516</v>
      </c>
      <c r="W175" s="117">
        <v>6152.7825288756057</v>
      </c>
      <c r="X175" s="117">
        <v>7561.192276125149</v>
      </c>
      <c r="Y175" s="117">
        <v>8443.1070518134911</v>
      </c>
      <c r="Z175" s="117">
        <v>6817.8325287790058</v>
      </c>
      <c r="AA175" s="117">
        <v>6208.7826341610726</v>
      </c>
      <c r="AB175" s="117">
        <v>5540.2349727673927</v>
      </c>
      <c r="AC175" s="117">
        <v>5249.0536002063955</v>
      </c>
      <c r="AD175" s="117">
        <v>5534.631412904997</v>
      </c>
      <c r="AE175" s="117">
        <v>7634.3344002315871</v>
      </c>
      <c r="AF175" s="117">
        <v>9271.7354036501038</v>
      </c>
      <c r="AG175" s="117">
        <v>12665.663228339674</v>
      </c>
      <c r="AH175" s="117">
        <v>13092.264726550593</v>
      </c>
      <c r="AI175" s="117">
        <v>14800.028694352122</v>
      </c>
      <c r="AJ175" s="117">
        <v>15133.16223845579</v>
      </c>
      <c r="AK175" s="117">
        <v>16261.296928220821</v>
      </c>
      <c r="AL175" s="117">
        <v>16640.802353679781</v>
      </c>
      <c r="AM175" s="117">
        <v>16037.025242709098</v>
      </c>
      <c r="AN175" s="117">
        <v>18721.05643842616</v>
      </c>
      <c r="AO175" s="117">
        <v>18257.215048930055</v>
      </c>
      <c r="AP175" s="117">
        <v>16341.587348555802</v>
      </c>
      <c r="AQ175" s="117">
        <v>15387.86958364505</v>
      </c>
      <c r="AR175" s="117">
        <v>14611.832803213259</v>
      </c>
      <c r="AS175" s="117">
        <v>12579.595105586448</v>
      </c>
      <c r="AT175" s="117"/>
      <c r="AU175" s="117"/>
      <c r="AV175" s="117"/>
      <c r="AW175" s="117"/>
      <c r="AX175" s="117"/>
      <c r="AY175" s="117"/>
      <c r="AZ175" s="117"/>
      <c r="BA175" s="117"/>
      <c r="BB175" s="117"/>
      <c r="BC175" s="117"/>
      <c r="BD175" s="117"/>
      <c r="BE175" s="117"/>
      <c r="BF175" s="117"/>
      <c r="BG175" s="117"/>
      <c r="BH175" s="117"/>
      <c r="BI175" s="117"/>
      <c r="BJ175" s="117"/>
      <c r="BK175" s="117"/>
      <c r="BL175" s="117"/>
    </row>
    <row r="176" spans="1:64" hidden="1">
      <c r="A176" s="117" t="s">
        <v>1117</v>
      </c>
      <c r="B176" s="117" t="s">
        <v>1118</v>
      </c>
      <c r="C176" s="117" t="s">
        <v>775</v>
      </c>
      <c r="D176" s="117" t="s">
        <v>776</v>
      </c>
      <c r="E176" s="117">
        <v>132.65216243018438</v>
      </c>
      <c r="F176" s="117">
        <v>139.34016352468919</v>
      </c>
      <c r="G176" s="117">
        <v>148.18915991658773</v>
      </c>
      <c r="H176" s="117">
        <v>158.71627932298398</v>
      </c>
      <c r="I176" s="117">
        <v>153.25967670351449</v>
      </c>
      <c r="J176" s="117">
        <v>172.03972294103195</v>
      </c>
      <c r="K176" s="117">
        <v>174.35517266701405</v>
      </c>
      <c r="L176" s="117">
        <v>160.59167587263173</v>
      </c>
      <c r="M176" s="117">
        <v>150.38114176649097</v>
      </c>
      <c r="N176" s="117">
        <v>142.69911986166517</v>
      </c>
      <c r="O176" s="117">
        <v>144.08512581405634</v>
      </c>
      <c r="P176" s="117">
        <v>149.54191242430443</v>
      </c>
      <c r="Q176" s="117">
        <v>155.77692513244702</v>
      </c>
      <c r="R176" s="117">
        <v>193.05505542606053</v>
      </c>
      <c r="S176" s="117">
        <v>203.5663747040376</v>
      </c>
      <c r="T176" s="117">
        <v>202.25706198205017</v>
      </c>
      <c r="U176" s="117">
        <v>199.53151159923814</v>
      </c>
      <c r="V176" s="117">
        <v>235.18885252790639</v>
      </c>
      <c r="W176" s="117">
        <v>313.89961299267276</v>
      </c>
      <c r="X176" s="117">
        <v>362.4959638309212</v>
      </c>
      <c r="Y176" s="117">
        <v>418.85498597655339</v>
      </c>
      <c r="Z176" s="117">
        <v>352.20586301591857</v>
      </c>
      <c r="AA176" s="117">
        <v>318.05858154903905</v>
      </c>
      <c r="AB176" s="117">
        <v>276.18301137136621</v>
      </c>
      <c r="AC176" s="117">
        <v>217.46926840663855</v>
      </c>
      <c r="AD176" s="117">
        <v>208.29701542039373</v>
      </c>
      <c r="AE176" s="117">
        <v>267.47131822412734</v>
      </c>
      <c r="AF176" s="117">
        <v>304.68320228242129</v>
      </c>
      <c r="AG176" s="117">
        <v>302.09665214338764</v>
      </c>
      <c r="AH176" s="117">
        <v>280.14119189069135</v>
      </c>
      <c r="AI176" s="117">
        <v>440.57747900042659</v>
      </c>
      <c r="AJ176" s="117">
        <v>399.23153725595199</v>
      </c>
      <c r="AK176" s="117">
        <v>398.18941246464487</v>
      </c>
      <c r="AL176" s="117">
        <v>251.151075306942</v>
      </c>
      <c r="AM176" s="117">
        <v>212.38988055275064</v>
      </c>
      <c r="AN176" s="117">
        <v>243.78142381397947</v>
      </c>
      <c r="AO176" s="117">
        <v>245.98000355591734</v>
      </c>
      <c r="AP176" s="117">
        <v>225.70079844938996</v>
      </c>
      <c r="AQ176" s="117">
        <v>248.92095537723554</v>
      </c>
      <c r="AR176" s="117">
        <v>230.63929690039285</v>
      </c>
      <c r="AS176" s="117">
        <v>197.52446294464281</v>
      </c>
      <c r="AT176" s="117">
        <v>208.06766223305132</v>
      </c>
      <c r="AU176" s="117">
        <v>227.13627874634531</v>
      </c>
      <c r="AV176" s="117">
        <v>267.85328811892197</v>
      </c>
      <c r="AW176" s="117">
        <v>285.09509073675127</v>
      </c>
      <c r="AX176" s="117">
        <v>321.08983616190352</v>
      </c>
      <c r="AY176" s="117">
        <v>335.34143785885601</v>
      </c>
      <c r="AZ176" s="117">
        <v>387.78089111468927</v>
      </c>
      <c r="BA176" s="117">
        <v>473.41467164633167</v>
      </c>
      <c r="BB176" s="117">
        <v>459.42417323970898</v>
      </c>
      <c r="BC176" s="117">
        <v>473.29987749172261</v>
      </c>
      <c r="BD176" s="117">
        <v>508.39656809858388</v>
      </c>
      <c r="BE176" s="117">
        <v>526.35096555995028</v>
      </c>
      <c r="BF176" s="117">
        <v>548.89295482314321</v>
      </c>
      <c r="BG176" s="117">
        <v>562.12184464564257</v>
      </c>
      <c r="BH176" s="117">
        <v>483.3392822026392</v>
      </c>
      <c r="BI176" s="117">
        <v>494.71871345811496</v>
      </c>
      <c r="BJ176" s="117">
        <v>516.88824718094861</v>
      </c>
      <c r="BK176" s="117">
        <v>571.52699222873298</v>
      </c>
      <c r="BL176" s="117">
        <v>554.6009686974254</v>
      </c>
    </row>
    <row r="177" spans="1:64" hidden="1">
      <c r="A177" s="117" t="s">
        <v>1119</v>
      </c>
      <c r="B177" s="117" t="s">
        <v>1120</v>
      </c>
      <c r="C177" s="117" t="s">
        <v>775</v>
      </c>
      <c r="D177" s="117" t="s">
        <v>776</v>
      </c>
      <c r="E177" s="117">
        <v>92.960469720849488</v>
      </c>
      <c r="F177" s="117">
        <v>96.979044716824873</v>
      </c>
      <c r="G177" s="117">
        <v>104.38701966469105</v>
      </c>
      <c r="H177" s="117">
        <v>107.54056810728646</v>
      </c>
      <c r="I177" s="117">
        <v>113.16872121881144</v>
      </c>
      <c r="J177" s="117">
        <v>117.18863248986068</v>
      </c>
      <c r="K177" s="117">
        <v>124.30778281965038</v>
      </c>
      <c r="L177" s="117">
        <v>99.406074962091395</v>
      </c>
      <c r="M177" s="117">
        <v>97.201751776193518</v>
      </c>
      <c r="N177" s="117">
        <v>121.24536410410795</v>
      </c>
      <c r="O177" s="117">
        <v>224.10447665274017</v>
      </c>
      <c r="P177" s="117">
        <v>160.24875012187684</v>
      </c>
      <c r="Q177" s="117">
        <v>209.22606261210197</v>
      </c>
      <c r="R177" s="117">
        <v>252.23265198990615</v>
      </c>
      <c r="S177" s="117">
        <v>402.84984700457687</v>
      </c>
      <c r="T177" s="117">
        <v>438.33123997203626</v>
      </c>
      <c r="U177" s="117">
        <v>556.70217898080853</v>
      </c>
      <c r="V177" s="117">
        <v>536.21622680006624</v>
      </c>
      <c r="W177" s="117">
        <v>527.3112653820923</v>
      </c>
      <c r="X177" s="117">
        <v>662.26405372237059</v>
      </c>
      <c r="Y177" s="117">
        <v>874.4022258147503</v>
      </c>
      <c r="Z177" s="117">
        <v>2180.1977075283789</v>
      </c>
      <c r="AA177" s="117">
        <v>1843.9091859294558</v>
      </c>
      <c r="AB177" s="117">
        <v>1222.6293195414712</v>
      </c>
      <c r="AC177" s="117">
        <v>902.21587206703998</v>
      </c>
      <c r="AD177" s="117">
        <v>882.51990591624667</v>
      </c>
      <c r="AE177" s="117">
        <v>639.01310093655184</v>
      </c>
      <c r="AF177" s="117">
        <v>598.26484174659481</v>
      </c>
      <c r="AG177" s="117">
        <v>549.23747548471079</v>
      </c>
      <c r="AH177" s="117">
        <v>474.23210225534478</v>
      </c>
      <c r="AI177" s="117">
        <v>567.5286728583452</v>
      </c>
      <c r="AJ177" s="117">
        <v>502.91413891893927</v>
      </c>
      <c r="AK177" s="117">
        <v>477.1776142275906</v>
      </c>
      <c r="AL177" s="117">
        <v>270.22396145516382</v>
      </c>
      <c r="AM177" s="117">
        <v>321.32067718921667</v>
      </c>
      <c r="AN177" s="117">
        <v>408.18105995030453</v>
      </c>
      <c r="AO177" s="117">
        <v>461.51957789022259</v>
      </c>
      <c r="AP177" s="117">
        <v>479.98375564542289</v>
      </c>
      <c r="AQ177" s="117">
        <v>469.43056482933247</v>
      </c>
      <c r="AR177" s="117">
        <v>497.84154051350453</v>
      </c>
      <c r="AS177" s="117">
        <v>567.93073600956518</v>
      </c>
      <c r="AT177" s="117">
        <v>590.38181503490671</v>
      </c>
      <c r="AU177" s="117">
        <v>741.74751118046322</v>
      </c>
      <c r="AV177" s="117">
        <v>795.3862467429866</v>
      </c>
      <c r="AW177" s="117">
        <v>1007.8743275160411</v>
      </c>
      <c r="AX177" s="117">
        <v>1268.3834433169327</v>
      </c>
      <c r="AY177" s="117">
        <v>1656.4247586805591</v>
      </c>
      <c r="AZ177" s="117">
        <v>1883.4613112493173</v>
      </c>
      <c r="BA177" s="117">
        <v>2242.871885536942</v>
      </c>
      <c r="BB177" s="117">
        <v>1891.3353704642059</v>
      </c>
      <c r="BC177" s="117">
        <v>2292.4451561908195</v>
      </c>
      <c r="BD177" s="117">
        <v>2520.4041657937805</v>
      </c>
      <c r="BE177" s="117">
        <v>2746.9917885838331</v>
      </c>
      <c r="BF177" s="117">
        <v>2998.0728426411752</v>
      </c>
      <c r="BG177" s="117">
        <v>3222.6935372558733</v>
      </c>
      <c r="BH177" s="117">
        <v>2730.4303237014983</v>
      </c>
      <c r="BI177" s="117">
        <v>2175.9996702185845</v>
      </c>
      <c r="BJ177" s="117">
        <v>1968.559588305438</v>
      </c>
      <c r="BK177" s="117">
        <v>2032.7297088257462</v>
      </c>
      <c r="BL177" s="117">
        <v>2229.8586962446329</v>
      </c>
    </row>
    <row r="178" spans="1:64" hidden="1">
      <c r="A178" s="117" t="s">
        <v>1121</v>
      </c>
      <c r="B178" s="117" t="s">
        <v>1122</v>
      </c>
      <c r="C178" s="117" t="s">
        <v>775</v>
      </c>
      <c r="D178" s="117" t="s">
        <v>776</v>
      </c>
      <c r="E178" s="117">
        <v>126.24838162743185</v>
      </c>
      <c r="F178" s="117">
        <v>131.4502215178953</v>
      </c>
      <c r="G178" s="117">
        <v>140.5574201182387</v>
      </c>
      <c r="H178" s="117">
        <v>150.5041229075523</v>
      </c>
      <c r="I178" s="117">
        <v>170.43458615214539</v>
      </c>
      <c r="J178" s="117">
        <v>273.90643810649141</v>
      </c>
      <c r="K178" s="117">
        <v>284.55828958674959</v>
      </c>
      <c r="L178" s="117">
        <v>299.08161601853084</v>
      </c>
      <c r="M178" s="117">
        <v>307.2917569187328</v>
      </c>
      <c r="N178" s="117">
        <v>320.42932724469898</v>
      </c>
      <c r="O178" s="117">
        <v>322.70163554962249</v>
      </c>
      <c r="P178" s="117">
        <v>333.11480100017349</v>
      </c>
      <c r="Q178" s="117">
        <v>344.25420499692564</v>
      </c>
      <c r="R178" s="117">
        <v>414.43584186752645</v>
      </c>
      <c r="S178" s="117">
        <v>558.86369596068846</v>
      </c>
      <c r="T178" s="117">
        <v>566.62256846104287</v>
      </c>
      <c r="U178" s="117">
        <v>638.30371130162428</v>
      </c>
      <c r="V178" s="117">
        <v>750.24796961952586</v>
      </c>
      <c r="W178" s="117">
        <v>695.97851361485982</v>
      </c>
      <c r="X178" s="117">
        <v>481.75846047925046</v>
      </c>
      <c r="Y178" s="117">
        <v>670.44392255145829</v>
      </c>
      <c r="Z178" s="117">
        <v>728.62741125369769</v>
      </c>
      <c r="AA178" s="117">
        <v>713.48116396888111</v>
      </c>
      <c r="AB178" s="117">
        <v>772.83523196207602</v>
      </c>
      <c r="AC178" s="117">
        <v>852.46707401141077</v>
      </c>
      <c r="AD178" s="117">
        <v>718.6853821840848</v>
      </c>
      <c r="AE178" s="117">
        <v>754.80316099133302</v>
      </c>
      <c r="AF178" s="117">
        <v>985.04803285968853</v>
      </c>
      <c r="AG178" s="117">
        <v>658.46140222905615</v>
      </c>
      <c r="AH178" s="117">
        <v>248.14968601370663</v>
      </c>
      <c r="AI178" s="117">
        <v>241.87647004144975</v>
      </c>
      <c r="AJ178" s="117">
        <v>348.86476881243379</v>
      </c>
      <c r="AK178" s="117">
        <v>410.76757264042351</v>
      </c>
      <c r="AL178" s="117">
        <v>393.60345751851776</v>
      </c>
      <c r="AM178" s="117">
        <v>847.37443184931522</v>
      </c>
      <c r="AN178" s="117">
        <v>890.00544905243453</v>
      </c>
      <c r="AO178" s="117">
        <v>908.63250647485097</v>
      </c>
      <c r="AP178" s="117">
        <v>909.33592705978708</v>
      </c>
      <c r="AQ178" s="117">
        <v>943.92189559582459</v>
      </c>
      <c r="AR178" s="117">
        <v>972.88698841974258</v>
      </c>
      <c r="AS178" s="117">
        <v>1007.5014286172336</v>
      </c>
      <c r="AT178" s="117">
        <v>1034.5515879148636</v>
      </c>
      <c r="AU178" s="117">
        <v>1000.9359476054885</v>
      </c>
      <c r="AV178" s="117">
        <v>1005.7324734345414</v>
      </c>
      <c r="AW178" s="117">
        <v>1080.2681122222959</v>
      </c>
      <c r="AX178" s="117">
        <v>1162.290112549591</v>
      </c>
      <c r="AY178" s="117">
        <v>1226.6429742834014</v>
      </c>
      <c r="AZ178" s="117">
        <v>1327.9596986927486</v>
      </c>
      <c r="BA178" s="117">
        <v>1499.2586780452787</v>
      </c>
      <c r="BB178" s="117">
        <v>1444.3725271719811</v>
      </c>
      <c r="BC178" s="117">
        <v>1503.8704232313571</v>
      </c>
      <c r="BD178" s="117">
        <v>1655.8018237314418</v>
      </c>
      <c r="BE178" s="117">
        <v>1760.4543865498642</v>
      </c>
      <c r="BF178" s="117">
        <v>1811.6391933352804</v>
      </c>
      <c r="BG178" s="117">
        <v>1934.0695083466364</v>
      </c>
      <c r="BH178" s="117">
        <v>2049.8496897614941</v>
      </c>
      <c r="BI178" s="117">
        <v>2107.5671799242773</v>
      </c>
      <c r="BJ178" s="117">
        <v>2159.1630793598388</v>
      </c>
      <c r="BK178" s="117">
        <v>2020.5470281862358</v>
      </c>
      <c r="BL178" s="117">
        <v>1912.9037453786932</v>
      </c>
    </row>
    <row r="179" spans="1:64" hidden="1">
      <c r="A179" s="117" t="s">
        <v>1123</v>
      </c>
      <c r="B179" s="117" t="s">
        <v>1124</v>
      </c>
      <c r="C179" s="117" t="s">
        <v>775</v>
      </c>
      <c r="D179" s="117" t="s">
        <v>776</v>
      </c>
      <c r="E179" s="117">
        <v>1068.7845872373507</v>
      </c>
      <c r="F179" s="117">
        <v>1159.3923571607356</v>
      </c>
      <c r="G179" s="117">
        <v>1240.6778943729407</v>
      </c>
      <c r="H179" s="117">
        <v>1328.0366487996835</v>
      </c>
      <c r="I179" s="117">
        <v>1541.9473651902895</v>
      </c>
      <c r="J179" s="117">
        <v>1708.096356488621</v>
      </c>
      <c r="K179" s="117">
        <v>1835.8014235103449</v>
      </c>
      <c r="L179" s="117">
        <v>1991.3606856504159</v>
      </c>
      <c r="M179" s="117">
        <v>2185.248658886575</v>
      </c>
      <c r="N179" s="117">
        <v>2642.9561183009346</v>
      </c>
      <c r="O179" s="117">
        <v>2927.0729581372952</v>
      </c>
      <c r="P179" s="117">
        <v>3378.6147877940525</v>
      </c>
      <c r="Q179" s="117">
        <v>4104.4510297889492</v>
      </c>
      <c r="R179" s="117">
        <v>5345.5754731028856</v>
      </c>
      <c r="S179" s="117">
        <v>6440.9784261146251</v>
      </c>
      <c r="T179" s="117">
        <v>7335.5089845820366</v>
      </c>
      <c r="U179" s="117">
        <v>7925.6880683165418</v>
      </c>
      <c r="V179" s="117">
        <v>9166.8082211638575</v>
      </c>
      <c r="W179" s="117">
        <v>11179.389583973581</v>
      </c>
      <c r="X179" s="117">
        <v>12798.5432066175</v>
      </c>
      <c r="Y179" s="117">
        <v>13791.862263945841</v>
      </c>
      <c r="Z179" s="117">
        <v>11520.447871630642</v>
      </c>
      <c r="AA179" s="117">
        <v>11072.658477621779</v>
      </c>
      <c r="AB179" s="117">
        <v>10680.359047766635</v>
      </c>
      <c r="AC179" s="117">
        <v>9977.1602120677744</v>
      </c>
      <c r="AD179" s="117">
        <v>9926.1299843017441</v>
      </c>
      <c r="AE179" s="117">
        <v>13783.850121480944</v>
      </c>
      <c r="AF179" s="117">
        <v>16709.55967738379</v>
      </c>
      <c r="AG179" s="117">
        <v>17744.501376914584</v>
      </c>
      <c r="AH179" s="117">
        <v>17397.691668562802</v>
      </c>
      <c r="AI179" s="117">
        <v>21290.860382704483</v>
      </c>
      <c r="AJ179" s="117">
        <v>21732.230801300015</v>
      </c>
      <c r="AK179" s="117">
        <v>23904.037390299291</v>
      </c>
      <c r="AL179" s="117">
        <v>23122.410790144258</v>
      </c>
      <c r="AM179" s="117">
        <v>24646.314301755818</v>
      </c>
      <c r="AN179" s="117">
        <v>29258.134348621083</v>
      </c>
      <c r="AO179" s="117">
        <v>29006.809445417097</v>
      </c>
      <c r="AP179" s="117">
        <v>26700.537133592628</v>
      </c>
      <c r="AQ179" s="117">
        <v>27885.808382346455</v>
      </c>
      <c r="AR179" s="117">
        <v>28263.096710680187</v>
      </c>
      <c r="AS179" s="117">
        <v>26149.411078290024</v>
      </c>
      <c r="AT179" s="117">
        <v>26873.275933511402</v>
      </c>
      <c r="AU179" s="117">
        <v>29204.039831025359</v>
      </c>
      <c r="AV179" s="117">
        <v>35672.206597845347</v>
      </c>
      <c r="AW179" s="117">
        <v>40362.394782268537</v>
      </c>
      <c r="AX179" s="117">
        <v>41979.055845788062</v>
      </c>
      <c r="AY179" s="117">
        <v>44863.350631428657</v>
      </c>
      <c r="AZ179" s="117">
        <v>51733.442131796495</v>
      </c>
      <c r="BA179" s="117">
        <v>57644.479974935253</v>
      </c>
      <c r="BB179" s="117">
        <v>52514.02711653227</v>
      </c>
      <c r="BC179" s="117">
        <v>50950.034343518055</v>
      </c>
      <c r="BD179" s="117">
        <v>54159.346612614172</v>
      </c>
      <c r="BE179" s="117">
        <v>50073.005655930843</v>
      </c>
      <c r="BF179" s="117">
        <v>52184.061850493061</v>
      </c>
      <c r="BG179" s="117">
        <v>52830.174232805475</v>
      </c>
      <c r="BH179" s="117">
        <v>45175.231893379838</v>
      </c>
      <c r="BI179" s="117">
        <v>46007.852920654703</v>
      </c>
      <c r="BJ179" s="117">
        <v>48675.222335021259</v>
      </c>
      <c r="BK179" s="117">
        <v>53048.09621043942</v>
      </c>
      <c r="BL179" s="117">
        <v>52447.831439191061</v>
      </c>
    </row>
    <row r="180" spans="1:64" hidden="1">
      <c r="A180" s="117" t="s">
        <v>1125</v>
      </c>
      <c r="B180" s="117" t="s">
        <v>1126</v>
      </c>
      <c r="C180" s="117" t="s">
        <v>775</v>
      </c>
      <c r="D180" s="117" t="s">
        <v>776</v>
      </c>
      <c r="E180" s="117">
        <v>1441.755660026327</v>
      </c>
      <c r="F180" s="117">
        <v>1560.3249311722964</v>
      </c>
      <c r="G180" s="117">
        <v>1667.2474297782023</v>
      </c>
      <c r="H180" s="117">
        <v>1775.5826554497855</v>
      </c>
      <c r="I180" s="117">
        <v>1937.8846138592774</v>
      </c>
      <c r="J180" s="117">
        <v>2164.4688233673587</v>
      </c>
      <c r="K180" s="117">
        <v>2317.1948838265644</v>
      </c>
      <c r="L180" s="117">
        <v>2514.0437721470475</v>
      </c>
      <c r="M180" s="117">
        <v>2662.1174915311713</v>
      </c>
      <c r="N180" s="117">
        <v>2875.2358439685754</v>
      </c>
      <c r="O180" s="117">
        <v>3306.2194760776933</v>
      </c>
      <c r="P180" s="117">
        <v>3736.3487374999136</v>
      </c>
      <c r="Q180" s="117">
        <v>4413.5756916852824</v>
      </c>
      <c r="R180" s="117">
        <v>5689.5888066967027</v>
      </c>
      <c r="S180" s="117">
        <v>6811.527336532321</v>
      </c>
      <c r="T180" s="117">
        <v>8204.4515115297854</v>
      </c>
      <c r="U180" s="117">
        <v>8927.201627344768</v>
      </c>
      <c r="V180" s="117">
        <v>10266.120671869805</v>
      </c>
      <c r="W180" s="117">
        <v>11462.64159121824</v>
      </c>
      <c r="X180" s="117">
        <v>13046.537221065335</v>
      </c>
      <c r="Y180" s="117">
        <v>15772.240907381391</v>
      </c>
      <c r="Z180" s="117">
        <v>15512.506704357456</v>
      </c>
      <c r="AA180" s="117">
        <v>15224.893910098159</v>
      </c>
      <c r="AB180" s="117">
        <v>14927.517476633935</v>
      </c>
      <c r="AC180" s="117">
        <v>14989.485766590566</v>
      </c>
      <c r="AD180" s="117">
        <v>15753.552765212879</v>
      </c>
      <c r="AE180" s="117">
        <v>18883.265802711976</v>
      </c>
      <c r="AF180" s="117">
        <v>22505.897711705205</v>
      </c>
      <c r="AG180" s="117">
        <v>24207.281468963014</v>
      </c>
      <c r="AH180" s="117">
        <v>24281.096140537698</v>
      </c>
      <c r="AI180" s="117">
        <v>28242.943738532995</v>
      </c>
      <c r="AJ180" s="117">
        <v>28596.933003644372</v>
      </c>
      <c r="AK180" s="117">
        <v>30523.985055897447</v>
      </c>
      <c r="AL180" s="117">
        <v>27963.665218827118</v>
      </c>
      <c r="AM180" s="117">
        <v>29315.841907019938</v>
      </c>
      <c r="AN180" s="117">
        <v>34875.704334753587</v>
      </c>
      <c r="AO180" s="117">
        <v>37321.974199347263</v>
      </c>
      <c r="AP180" s="117">
        <v>36629.03090366214</v>
      </c>
      <c r="AQ180" s="117">
        <v>34788.359851881905</v>
      </c>
      <c r="AR180" s="117">
        <v>36371.050953557555</v>
      </c>
      <c r="AS180" s="117">
        <v>38131.460611624214</v>
      </c>
      <c r="AT180" s="117">
        <v>38542.715099708999</v>
      </c>
      <c r="AU180" s="117">
        <v>43084.472465071667</v>
      </c>
      <c r="AV180" s="117">
        <v>50134.890773494713</v>
      </c>
      <c r="AW180" s="117">
        <v>57603.836021826028</v>
      </c>
      <c r="AX180" s="117">
        <v>66810.478520867997</v>
      </c>
      <c r="AY180" s="117">
        <v>74148.320075718701</v>
      </c>
      <c r="AZ180" s="117">
        <v>85139.960446954487</v>
      </c>
      <c r="BA180" s="117">
        <v>96944.095606487303</v>
      </c>
      <c r="BB180" s="117">
        <v>79977.697081749226</v>
      </c>
      <c r="BC180" s="117">
        <v>87693.790065809881</v>
      </c>
      <c r="BD180" s="117">
        <v>100600.5624075892</v>
      </c>
      <c r="BE180" s="117">
        <v>101524.14185198475</v>
      </c>
      <c r="BF180" s="117">
        <v>102913.45084367356</v>
      </c>
      <c r="BG180" s="117">
        <v>97019.182752746216</v>
      </c>
      <c r="BH180" s="117">
        <v>74355.515857564344</v>
      </c>
      <c r="BI180" s="117">
        <v>70459.182504102893</v>
      </c>
      <c r="BJ180" s="117">
        <v>75496.754058199775</v>
      </c>
      <c r="BK180" s="117">
        <v>81734.465573610156</v>
      </c>
      <c r="BL180" s="117">
        <v>75419.634868808891</v>
      </c>
    </row>
    <row r="181" spans="1:64" hidden="1">
      <c r="A181" s="117" t="s">
        <v>1127</v>
      </c>
      <c r="B181" s="117" t="s">
        <v>1128</v>
      </c>
      <c r="C181" s="117" t="s">
        <v>775</v>
      </c>
      <c r="D181" s="117" t="s">
        <v>776</v>
      </c>
      <c r="E181" s="117">
        <v>50.304987502791896</v>
      </c>
      <c r="F181" s="117">
        <v>51.811228543676307</v>
      </c>
      <c r="G181" s="117">
        <v>55.025699460170678</v>
      </c>
      <c r="H181" s="117">
        <v>46.861448838485877</v>
      </c>
      <c r="I181" s="117">
        <v>46.003365487732111</v>
      </c>
      <c r="J181" s="117">
        <v>67.007470969808594</v>
      </c>
      <c r="K181" s="117">
        <v>81.164429631343907</v>
      </c>
      <c r="L181" s="117">
        <v>73.967887762712408</v>
      </c>
      <c r="M181" s="117">
        <v>66.548899941935872</v>
      </c>
      <c r="N181" s="117">
        <v>66.638362678967951</v>
      </c>
      <c r="O181" s="117">
        <v>71.718603014451574</v>
      </c>
      <c r="P181" s="117">
        <v>71.629889722732329</v>
      </c>
      <c r="Q181" s="117">
        <v>81.386585934692903</v>
      </c>
      <c r="R181" s="117">
        <v>75.636954853926881</v>
      </c>
      <c r="S181" s="117">
        <v>92.752222328705443</v>
      </c>
      <c r="T181" s="117">
        <v>117.41772930903613</v>
      </c>
      <c r="U181" s="117">
        <v>105.89278472243181</v>
      </c>
      <c r="V181" s="117">
        <v>98.54200039120262</v>
      </c>
      <c r="W181" s="117">
        <v>111.80670728097067</v>
      </c>
      <c r="X181" s="117">
        <v>126.13333540915359</v>
      </c>
      <c r="Y181" s="117">
        <v>129.5860741696535</v>
      </c>
      <c r="Z181" s="117">
        <v>148.08025367399762</v>
      </c>
      <c r="AA181" s="117">
        <v>152.28966975542576</v>
      </c>
      <c r="AB181" s="117">
        <v>151.99261018244908</v>
      </c>
      <c r="AC181" s="117">
        <v>156.65068228587566</v>
      </c>
      <c r="AD181" s="117">
        <v>155.40786446064664</v>
      </c>
      <c r="AE181" s="117">
        <v>165.36186755845705</v>
      </c>
      <c r="AF181" s="117">
        <v>167.79998264513287</v>
      </c>
      <c r="AG181" s="117">
        <v>193.49966942870711</v>
      </c>
      <c r="AH181" s="117">
        <v>191.12078079651653</v>
      </c>
      <c r="AI181" s="117">
        <v>191.87890423401453</v>
      </c>
      <c r="AJ181" s="117">
        <v>202.08060995945888</v>
      </c>
      <c r="AK181" s="117">
        <v>170.58666834977871</v>
      </c>
      <c r="AL181" s="117">
        <v>178.62597034240727</v>
      </c>
      <c r="AM181" s="117">
        <v>193.27950501575796</v>
      </c>
      <c r="AN181" s="117">
        <v>203.98080900228234</v>
      </c>
      <c r="AO181" s="117">
        <v>204.68575518721431</v>
      </c>
      <c r="AP181" s="117">
        <v>217.78795301415033</v>
      </c>
      <c r="AQ181" s="117">
        <v>210.61148781050878</v>
      </c>
      <c r="AR181" s="117">
        <v>214.1067669906241</v>
      </c>
      <c r="AS181" s="117">
        <v>229.49028712140014</v>
      </c>
      <c r="AT181" s="117">
        <v>246.72562899988483</v>
      </c>
      <c r="AU181" s="117">
        <v>244.72082372932471</v>
      </c>
      <c r="AV181" s="117">
        <v>252.40243228148955</v>
      </c>
      <c r="AW181" s="117">
        <v>286.15759378841074</v>
      </c>
      <c r="AX181" s="117">
        <v>315.80562999736094</v>
      </c>
      <c r="AY181" s="117">
        <v>346.94525139372678</v>
      </c>
      <c r="AZ181" s="117">
        <v>391.38013135936052</v>
      </c>
      <c r="BA181" s="117">
        <v>470.4555472512061</v>
      </c>
      <c r="BB181" s="117">
        <v>478.17318161753769</v>
      </c>
      <c r="BC181" s="117">
        <v>592.40109745092934</v>
      </c>
      <c r="BD181" s="117">
        <v>699.42933767758132</v>
      </c>
      <c r="BE181" s="117">
        <v>698.46647941608592</v>
      </c>
      <c r="BF181" s="117">
        <v>715.92374304606051</v>
      </c>
      <c r="BG181" s="117">
        <v>743.41338129621886</v>
      </c>
      <c r="BH181" s="117">
        <v>792.55289059338145</v>
      </c>
      <c r="BI181" s="117">
        <v>777.14759551216548</v>
      </c>
      <c r="BJ181" s="117">
        <v>911.44426652125844</v>
      </c>
      <c r="BK181" s="117">
        <v>1038.6516470244283</v>
      </c>
      <c r="BL181" s="117">
        <v>1071.0507605655193</v>
      </c>
    </row>
    <row r="182" spans="1:64" hidden="1">
      <c r="A182" s="117" t="s">
        <v>1129</v>
      </c>
      <c r="B182" s="117" t="s">
        <v>1130</v>
      </c>
      <c r="C182" s="117" t="s">
        <v>775</v>
      </c>
      <c r="D182" s="117" t="s">
        <v>776</v>
      </c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7"/>
      <c r="BA182" s="117"/>
      <c r="BB182" s="117"/>
      <c r="BC182" s="117">
        <v>4754.0750016078018</v>
      </c>
      <c r="BD182" s="117">
        <v>6568.10258231227</v>
      </c>
      <c r="BE182" s="117">
        <v>9429.6333772587059</v>
      </c>
      <c r="BF182" s="117">
        <v>9101.9169803343684</v>
      </c>
      <c r="BG182" s="117">
        <v>8829.3567188604811</v>
      </c>
      <c r="BH182" s="117">
        <v>6956.2538005539318</v>
      </c>
      <c r="BI182" s="117">
        <v>7670.1164042525534</v>
      </c>
      <c r="BJ182" s="117">
        <v>8510.8684082445561</v>
      </c>
      <c r="BK182" s="117">
        <v>9762.3893018271065</v>
      </c>
      <c r="BL182" s="117">
        <v>9396.981966810723</v>
      </c>
    </row>
    <row r="183" spans="1:64" hidden="1">
      <c r="A183" s="117" t="s">
        <v>1131</v>
      </c>
      <c r="B183" s="117" t="s">
        <v>1132</v>
      </c>
      <c r="C183" s="117" t="s">
        <v>775</v>
      </c>
      <c r="D183" s="117" t="s">
        <v>776</v>
      </c>
      <c r="E183" s="117">
        <v>2312.9499923985854</v>
      </c>
      <c r="F183" s="117">
        <v>2343.2922131742489</v>
      </c>
      <c r="G183" s="117">
        <v>2448.6286332646832</v>
      </c>
      <c r="H183" s="117">
        <v>2622.2202714035971</v>
      </c>
      <c r="I183" s="117">
        <v>2813.5469756393927</v>
      </c>
      <c r="J183" s="117">
        <v>2151.2949269531509</v>
      </c>
      <c r="K183" s="117">
        <v>2191.3125419395928</v>
      </c>
      <c r="L183" s="117">
        <v>2188.3991386256102</v>
      </c>
      <c r="M183" s="117">
        <v>1885.1561517562504</v>
      </c>
      <c r="N183" s="117">
        <v>2077.8955430230139</v>
      </c>
      <c r="O183" s="117">
        <v>2311.0276051667156</v>
      </c>
      <c r="P183" s="117">
        <v>2772.9185969395958</v>
      </c>
      <c r="Q183" s="117">
        <v>3294.6489426830362</v>
      </c>
      <c r="R183" s="117">
        <v>4323.1965345865519</v>
      </c>
      <c r="S183" s="117">
        <v>4610.5704263401321</v>
      </c>
      <c r="T183" s="117">
        <v>4171.7697396747544</v>
      </c>
      <c r="U183" s="117">
        <v>4373.840997912308</v>
      </c>
      <c r="V183" s="117">
        <v>4950.5882053892747</v>
      </c>
      <c r="W183" s="117">
        <v>5936.9852603642285</v>
      </c>
      <c r="X183" s="117">
        <v>6668.1386662247023</v>
      </c>
      <c r="Y183" s="117">
        <v>7467.1680377380499</v>
      </c>
      <c r="Z183" s="117">
        <v>7813.8875433606745</v>
      </c>
      <c r="AA183" s="117">
        <v>7656.4757323896274</v>
      </c>
      <c r="AB183" s="117">
        <v>7598.3120387500639</v>
      </c>
      <c r="AC183" s="117">
        <v>6713.760131041543</v>
      </c>
      <c r="AD183" s="117">
        <v>7600.5652417293704</v>
      </c>
      <c r="AE183" s="117">
        <v>9427.5539403534785</v>
      </c>
      <c r="AF183" s="117">
        <v>12330.916830548311</v>
      </c>
      <c r="AG183" s="117">
        <v>13759.15562959216</v>
      </c>
      <c r="AH183" s="117">
        <v>13312.385585811266</v>
      </c>
      <c r="AI183" s="117">
        <v>13663.021618429788</v>
      </c>
      <c r="AJ183" s="117">
        <v>12230.073454883395</v>
      </c>
      <c r="AK183" s="117">
        <v>11793.139241621373</v>
      </c>
      <c r="AL183" s="117">
        <v>13094.345450263889</v>
      </c>
      <c r="AM183" s="117">
        <v>15280.312784292244</v>
      </c>
      <c r="AN183" s="117">
        <v>17400.420184817209</v>
      </c>
      <c r="AO183" s="117">
        <v>18794.436039393047</v>
      </c>
      <c r="AP183" s="117">
        <v>17474.187029723951</v>
      </c>
      <c r="AQ183" s="117">
        <v>14738.445570391819</v>
      </c>
      <c r="AR183" s="117">
        <v>15322.223834026689</v>
      </c>
      <c r="AS183" s="117">
        <v>13641.102718382228</v>
      </c>
      <c r="AT183" s="117">
        <v>13882.856826858602</v>
      </c>
      <c r="AU183" s="117">
        <v>16874.187491819564</v>
      </c>
      <c r="AV183" s="117">
        <v>21913.708171996081</v>
      </c>
      <c r="AW183" s="117">
        <v>25420.234882944005</v>
      </c>
      <c r="AX183" s="117">
        <v>27751.06547088586</v>
      </c>
      <c r="AY183" s="117">
        <v>26671.329417717949</v>
      </c>
      <c r="AZ183" s="117">
        <v>32511.126663932013</v>
      </c>
      <c r="BA183" s="117">
        <v>31290.253724534676</v>
      </c>
      <c r="BB183" s="117">
        <v>28205.73284358302</v>
      </c>
      <c r="BC183" s="117">
        <v>33700.126039245988</v>
      </c>
      <c r="BD183" s="117">
        <v>38437.543157275002</v>
      </c>
      <c r="BE183" s="117">
        <v>39982.754301378278</v>
      </c>
      <c r="BF183" s="117">
        <v>42962.988214980294</v>
      </c>
      <c r="BG183" s="117">
        <v>44553.28221083853</v>
      </c>
      <c r="BH183" s="117">
        <v>38615.995184909334</v>
      </c>
      <c r="BI183" s="117">
        <v>40105.613386713485</v>
      </c>
      <c r="BJ183" s="117">
        <v>42849.426324701002</v>
      </c>
      <c r="BK183" s="117">
        <v>42949.930584951238</v>
      </c>
      <c r="BL183" s="117">
        <v>42084.353374808779</v>
      </c>
    </row>
    <row r="184" spans="1:64" hidden="1">
      <c r="A184" s="117" t="s">
        <v>1133</v>
      </c>
      <c r="B184" s="117" t="s">
        <v>1134</v>
      </c>
      <c r="C184" s="117" t="s">
        <v>775</v>
      </c>
      <c r="D184" s="117" t="s">
        <v>776</v>
      </c>
      <c r="E184" s="117">
        <v>1329.4552277559699</v>
      </c>
      <c r="F184" s="117">
        <v>1376.1751994594395</v>
      </c>
      <c r="G184" s="117">
        <v>1465.0407707716993</v>
      </c>
      <c r="H184" s="117">
        <v>1557.6758232474267</v>
      </c>
      <c r="I184" s="117">
        <v>1679.6789061127013</v>
      </c>
      <c r="J184" s="117">
        <v>1799.6150063234775</v>
      </c>
      <c r="K184" s="117">
        <v>1951.2041331545502</v>
      </c>
      <c r="L184" s="117">
        <v>2070.3713883728092</v>
      </c>
      <c r="M184" s="117">
        <v>2222.4051189660336</v>
      </c>
      <c r="N184" s="117">
        <v>2414.8140224015524</v>
      </c>
      <c r="O184" s="117">
        <v>2607.0777097613759</v>
      </c>
      <c r="P184" s="117">
        <v>2855.1251694169432</v>
      </c>
      <c r="Q184" s="117">
        <v>3277.1736827419841</v>
      </c>
      <c r="R184" s="117">
        <v>3924.3495806240185</v>
      </c>
      <c r="S184" s="117">
        <v>4352.6732835393286</v>
      </c>
      <c r="T184" s="117">
        <v>4824.6344153371865</v>
      </c>
      <c r="U184" s="117">
        <v>5179.6909129057503</v>
      </c>
      <c r="V184" s="117">
        <v>5784.4412051882609</v>
      </c>
      <c r="W184" s="117">
        <v>6894.5981800025402</v>
      </c>
      <c r="X184" s="117">
        <v>7887.9401025506213</v>
      </c>
      <c r="Y184" s="117">
        <v>8680.3201798639493</v>
      </c>
      <c r="Z184" s="117">
        <v>8759.8165590532681</v>
      </c>
      <c r="AA184" s="117">
        <v>8556.8578579590649</v>
      </c>
      <c r="AB184" s="117">
        <v>8766.2432252322633</v>
      </c>
      <c r="AC184" s="117">
        <v>9093.0137420577466</v>
      </c>
      <c r="AD184" s="117">
        <v>9499.2102482734681</v>
      </c>
      <c r="AE184" s="117">
        <v>11413.811209049029</v>
      </c>
      <c r="AF184" s="117">
        <v>13115.596461617439</v>
      </c>
      <c r="AG184" s="117">
        <v>14670.441683298364</v>
      </c>
      <c r="AH184" s="117">
        <v>15222.820278651536</v>
      </c>
      <c r="AI184" s="117">
        <v>17001.671041044821</v>
      </c>
      <c r="AJ184" s="117">
        <v>17824.694315045301</v>
      </c>
      <c r="AK184" s="117">
        <v>18996.723566477245</v>
      </c>
      <c r="AL184" s="117">
        <v>19088.046360575954</v>
      </c>
      <c r="AM184" s="117">
        <v>20237.937286086297</v>
      </c>
      <c r="AN184" s="117">
        <v>22139.390243590409</v>
      </c>
      <c r="AO184" s="117">
        <v>22159.387948702515</v>
      </c>
      <c r="AP184" s="117">
        <v>21667.243147179535</v>
      </c>
      <c r="AQ184" s="117">
        <v>21736.94375972214</v>
      </c>
      <c r="AR184" s="117">
        <v>22658.461757787809</v>
      </c>
      <c r="AS184" s="117">
        <v>22976.916859840159</v>
      </c>
      <c r="AT184" s="117">
        <v>22603.747237117841</v>
      </c>
      <c r="AU184" s="117">
        <v>23405.56163272481</v>
      </c>
      <c r="AV184" s="117">
        <v>26000.138547035469</v>
      </c>
      <c r="AW184" s="117">
        <v>28737.008382164859</v>
      </c>
      <c r="AX184" s="117">
        <v>30183.463098060438</v>
      </c>
      <c r="AY184" s="117">
        <v>31617.099840640814</v>
      </c>
      <c r="AZ184" s="117">
        <v>34347.42893597675</v>
      </c>
      <c r="BA184" s="117">
        <v>36112.35518095288</v>
      </c>
      <c r="BB184" s="117">
        <v>33569.301285853922</v>
      </c>
      <c r="BC184" s="117">
        <v>34983.487392386196</v>
      </c>
      <c r="BD184" s="117">
        <v>37434.520022051402</v>
      </c>
      <c r="BE184" s="117">
        <v>37184.813499902506</v>
      </c>
      <c r="BF184" s="117">
        <v>37447.504564711402</v>
      </c>
      <c r="BG184" s="117">
        <v>37980.486112614606</v>
      </c>
      <c r="BH184" s="117">
        <v>35605.239193283567</v>
      </c>
      <c r="BI184" s="117">
        <v>36030.913192575776</v>
      </c>
      <c r="BJ184" s="117">
        <v>37370.048990871321</v>
      </c>
      <c r="BK184" s="117">
        <v>39299.242246094247</v>
      </c>
      <c r="BL184" s="117">
        <v>39438.227576021069</v>
      </c>
    </row>
    <row r="185" spans="1:64" hidden="1">
      <c r="A185" s="117" t="s">
        <v>1135</v>
      </c>
      <c r="B185" s="117" t="s">
        <v>1136</v>
      </c>
      <c r="C185" s="117" t="s">
        <v>775</v>
      </c>
      <c r="D185" s="117" t="s">
        <v>776</v>
      </c>
      <c r="E185" s="117"/>
      <c r="F185" s="117"/>
      <c r="G185" s="117"/>
      <c r="H185" s="117"/>
      <c r="I185" s="117"/>
      <c r="J185" s="117">
        <v>101.25869309296564</v>
      </c>
      <c r="K185" s="117">
        <v>105.55767386010474</v>
      </c>
      <c r="L185" s="117">
        <v>162.32456854880641</v>
      </c>
      <c r="M185" s="117">
        <v>277.90800522183844</v>
      </c>
      <c r="N185" s="117">
        <v>342.4730552551373</v>
      </c>
      <c r="O185" s="117">
        <v>354.07769836653779</v>
      </c>
      <c r="P185" s="117">
        <v>401.90046450981026</v>
      </c>
      <c r="Q185" s="117">
        <v>472.52342719469789</v>
      </c>
      <c r="R185" s="117">
        <v>598.56544244352256</v>
      </c>
      <c r="S185" s="117">
        <v>1954.8877920197458</v>
      </c>
      <c r="T185" s="117">
        <v>2377.0832952730252</v>
      </c>
      <c r="U185" s="117">
        <v>2760.5355353278583</v>
      </c>
      <c r="V185" s="117">
        <v>2803.3940829517046</v>
      </c>
      <c r="W185" s="117">
        <v>2653.2765714268794</v>
      </c>
      <c r="X185" s="117">
        <v>3419.2845134931476</v>
      </c>
      <c r="Y185" s="117">
        <v>5181.8082636249874</v>
      </c>
      <c r="Z185" s="117">
        <v>5947.2467305022483</v>
      </c>
      <c r="AA185" s="117">
        <v>5855.8677940917732</v>
      </c>
      <c r="AB185" s="117">
        <v>5828.0930541495754</v>
      </c>
      <c r="AC185" s="117">
        <v>6164.1754292645473</v>
      </c>
      <c r="AD185" s="117">
        <v>6677.3761253794301</v>
      </c>
      <c r="AE185" s="117">
        <v>4691.1943500026591</v>
      </c>
      <c r="AF185" s="117">
        <v>4822.1257568871433</v>
      </c>
      <c r="AG185" s="117">
        <v>4997.4172520034017</v>
      </c>
      <c r="AH185" s="117">
        <v>5382.729434637361</v>
      </c>
      <c r="AI185" s="117">
        <v>6448.1276849320211</v>
      </c>
      <c r="AJ185" s="117">
        <v>5988.8446973089731</v>
      </c>
      <c r="AK185" s="117">
        <v>6278.6429933845839</v>
      </c>
      <c r="AL185" s="117">
        <v>6029.1896219396867</v>
      </c>
      <c r="AM185" s="117">
        <v>6013.1918665292978</v>
      </c>
      <c r="AN185" s="117">
        <v>6261.7360614088293</v>
      </c>
      <c r="AO185" s="117">
        <v>6830.6333161046359</v>
      </c>
      <c r="AP185" s="117">
        <v>7039.6118502182062</v>
      </c>
      <c r="AQ185" s="117">
        <v>6254.9839652677019</v>
      </c>
      <c r="AR185" s="117">
        <v>6967.1029207777101</v>
      </c>
      <c r="AS185" s="117">
        <v>8601.254169986636</v>
      </c>
      <c r="AT185" s="117">
        <v>8475.9641356507873</v>
      </c>
      <c r="AU185" s="117">
        <v>8626.9840970416426</v>
      </c>
      <c r="AV185" s="117">
        <v>9066.3474976355028</v>
      </c>
      <c r="AW185" s="117">
        <v>10126.116104170616</v>
      </c>
      <c r="AX185" s="117">
        <v>12377.06807379</v>
      </c>
      <c r="AY185" s="117">
        <v>14420.517057169958</v>
      </c>
      <c r="AZ185" s="117">
        <v>15838.465605612277</v>
      </c>
      <c r="BA185" s="117">
        <v>22139.640409369316</v>
      </c>
      <c r="BB185" s="117">
        <v>16823.771650702245</v>
      </c>
      <c r="BC185" s="117">
        <v>18756.979252000965</v>
      </c>
      <c r="BD185" s="117">
        <v>20921.145982084094</v>
      </c>
      <c r="BE185" s="117">
        <v>21902.581356366063</v>
      </c>
      <c r="BF185" s="117">
        <v>20926.554049571114</v>
      </c>
      <c r="BG185" s="117">
        <v>20131.916722258225</v>
      </c>
      <c r="BH185" s="117">
        <v>16028.751364553209</v>
      </c>
      <c r="BI185" s="117">
        <v>14618.875376109761</v>
      </c>
      <c r="BJ185" s="117">
        <v>15130.94374439421</v>
      </c>
      <c r="BK185" s="117">
        <v>16414.888017369154</v>
      </c>
      <c r="BL185" s="117">
        <v>15474.032475363458</v>
      </c>
    </row>
    <row r="186" spans="1:64" hidden="1">
      <c r="A186" s="117" t="s">
        <v>1137</v>
      </c>
      <c r="B186" s="117" t="s">
        <v>1138</v>
      </c>
      <c r="C186" s="117" t="s">
        <v>775</v>
      </c>
      <c r="D186" s="117" t="s">
        <v>776</v>
      </c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>
        <v>285.92263362631491</v>
      </c>
      <c r="P186" s="117">
        <v>332.55408786291571</v>
      </c>
      <c r="Q186" s="117">
        <v>394.5277294079853</v>
      </c>
      <c r="R186" s="117">
        <v>559.89109255984897</v>
      </c>
      <c r="S186" s="117">
        <v>1011.1327578915925</v>
      </c>
      <c r="T186" s="117">
        <v>1105.430988522116</v>
      </c>
      <c r="U186" s="117">
        <v>1346.0486411017562</v>
      </c>
      <c r="V186" s="117">
        <v>1484.5385773264848</v>
      </c>
      <c r="W186" s="117">
        <v>1603.7949697898543</v>
      </c>
      <c r="X186" s="117">
        <v>2037.5668651232552</v>
      </c>
      <c r="Y186" s="117">
        <v>2766.0121034677377</v>
      </c>
      <c r="Z186" s="117">
        <v>2716.8274018981515</v>
      </c>
      <c r="AA186" s="117">
        <v>2509.1666956859408</v>
      </c>
      <c r="AB186" s="117">
        <v>2314.0481157819158</v>
      </c>
      <c r="AC186" s="117">
        <v>2274.3199728801569</v>
      </c>
      <c r="AD186" s="117">
        <v>2107.2727217398228</v>
      </c>
      <c r="AE186" s="117">
        <v>2078.8565396011309</v>
      </c>
      <c r="AF186" s="117">
        <v>2402.3105206147961</v>
      </c>
      <c r="AG186" s="117">
        <v>2629.1593084135748</v>
      </c>
      <c r="AH186" s="117">
        <v>2684.6700907408467</v>
      </c>
      <c r="AI186" s="117">
        <v>3139.304257815993</v>
      </c>
      <c r="AJ186" s="117">
        <v>3162.950537180071</v>
      </c>
      <c r="AK186" s="117">
        <v>3385.0683599662516</v>
      </c>
      <c r="AL186" s="117">
        <v>3166.0310201400416</v>
      </c>
      <c r="AM186" s="117">
        <v>3250.8327246541576</v>
      </c>
      <c r="AN186" s="117">
        <v>3656.3322242068621</v>
      </c>
      <c r="AO186" s="117">
        <v>3787.7368284523991</v>
      </c>
      <c r="AP186" s="117">
        <v>3873.8494463203619</v>
      </c>
      <c r="AQ186" s="117">
        <v>3727.1002189208289</v>
      </c>
      <c r="AR186" s="117">
        <v>3939.6493012498036</v>
      </c>
      <c r="AS186" s="117">
        <v>4363.7119764603149</v>
      </c>
      <c r="AT186" s="117">
        <v>4268.0649050868587</v>
      </c>
      <c r="AU186" s="117">
        <v>4528.3234007826532</v>
      </c>
      <c r="AV186" s="117">
        <v>5539.4306410793388</v>
      </c>
      <c r="AW186" s="117">
        <v>6745.478688397674</v>
      </c>
      <c r="AX186" s="117">
        <v>8000.6011086080771</v>
      </c>
      <c r="AY186" s="117">
        <v>9167.8120122076652</v>
      </c>
      <c r="AZ186" s="117">
        <v>10943.394393427041</v>
      </c>
      <c r="BA186" s="117">
        <v>13026.796405007166</v>
      </c>
      <c r="BB186" s="117">
        <v>10900.476307444666</v>
      </c>
      <c r="BC186" s="117">
        <v>12366.337257251935</v>
      </c>
      <c r="BD186" s="117">
        <v>14891.412112732936</v>
      </c>
      <c r="BE186" s="117">
        <v>15211.576977308447</v>
      </c>
      <c r="BF186" s="117">
        <v>15541.896481238109</v>
      </c>
      <c r="BG186" s="117">
        <v>15741.339788796824</v>
      </c>
      <c r="BH186" s="117">
        <v>12793.931051407335</v>
      </c>
      <c r="BI186" s="117">
        <v>12385.063691733019</v>
      </c>
      <c r="BJ186" s="117">
        <v>13404.409736132171</v>
      </c>
      <c r="BK186" s="117">
        <v>14632.398592823723</v>
      </c>
      <c r="BL186" s="117">
        <v>13981.583784302496</v>
      </c>
    </row>
    <row r="187" spans="1:64" hidden="1">
      <c r="A187" s="117" t="s">
        <v>1139</v>
      </c>
      <c r="B187" s="117" t="s">
        <v>1140</v>
      </c>
      <c r="C187" s="117" t="s">
        <v>775</v>
      </c>
      <c r="D187" s="117" t="s">
        <v>776</v>
      </c>
      <c r="E187" s="117">
        <v>83.33794593040399</v>
      </c>
      <c r="F187" s="117">
        <v>89.409030143525371</v>
      </c>
      <c r="G187" s="117">
        <v>91.319200357348876</v>
      </c>
      <c r="H187" s="117">
        <v>95.703361992691669</v>
      </c>
      <c r="I187" s="117">
        <v>104.88021763367516</v>
      </c>
      <c r="J187" s="117">
        <v>116.44672466592972</v>
      </c>
      <c r="K187" s="117">
        <v>125.54697760133328</v>
      </c>
      <c r="L187" s="117">
        <v>139.11845951581859</v>
      </c>
      <c r="M187" s="117">
        <v>145.94568859870418</v>
      </c>
      <c r="N187" s="117">
        <v>153.41698020474394</v>
      </c>
      <c r="O187" s="117">
        <v>172.46567200768266</v>
      </c>
      <c r="P187" s="117">
        <v>178.55510759466313</v>
      </c>
      <c r="Q187" s="117">
        <v>153.38402713431287</v>
      </c>
      <c r="R187" s="117">
        <v>101.16465264682388</v>
      </c>
      <c r="S187" s="117">
        <v>137.10892973546018</v>
      </c>
      <c r="T187" s="117">
        <v>168.08037976103043</v>
      </c>
      <c r="U187" s="117">
        <v>191.30107859385166</v>
      </c>
      <c r="V187" s="117">
        <v>213.16869952014412</v>
      </c>
      <c r="W187" s="117">
        <v>243.33582484080418</v>
      </c>
      <c r="X187" s="117">
        <v>260.56232321858494</v>
      </c>
      <c r="Y187" s="117">
        <v>303.05097109643782</v>
      </c>
      <c r="Z187" s="117">
        <v>348.29506932535003</v>
      </c>
      <c r="AA187" s="117">
        <v>368.27736400349772</v>
      </c>
      <c r="AB187" s="117">
        <v>332.52105066462491</v>
      </c>
      <c r="AC187" s="117">
        <v>349.18205805168293</v>
      </c>
      <c r="AD187" s="117">
        <v>337.82851419102667</v>
      </c>
      <c r="AE187" s="117">
        <v>335.02014827685349</v>
      </c>
      <c r="AF187" s="117">
        <v>339.33227937951807</v>
      </c>
      <c r="AG187" s="117">
        <v>379.45451673498235</v>
      </c>
      <c r="AH187" s="117">
        <v>384.36427973956182</v>
      </c>
      <c r="AI187" s="117">
        <v>371.67855727058236</v>
      </c>
      <c r="AJ187" s="117">
        <v>411.85946499102744</v>
      </c>
      <c r="AK187" s="117">
        <v>429.14690219221035</v>
      </c>
      <c r="AL187" s="117">
        <v>442.49223841497911</v>
      </c>
      <c r="AM187" s="117">
        <v>434.46541137255156</v>
      </c>
      <c r="AN187" s="117">
        <v>489.88181401706009</v>
      </c>
      <c r="AO187" s="117">
        <v>497.21614315338803</v>
      </c>
      <c r="AP187" s="117">
        <v>476.38123120309041</v>
      </c>
      <c r="AQ187" s="117">
        <v>461.21673613645709</v>
      </c>
      <c r="AR187" s="117">
        <v>454.27612544302184</v>
      </c>
      <c r="AS187" s="117">
        <v>576.19560059312357</v>
      </c>
      <c r="AT187" s="117">
        <v>544.49427378226073</v>
      </c>
      <c r="AU187" s="117">
        <v>534.30388282199976</v>
      </c>
      <c r="AV187" s="117">
        <v>599.37632271040036</v>
      </c>
      <c r="AW187" s="117">
        <v>687.83641705267621</v>
      </c>
      <c r="AX187" s="117">
        <v>748.92258459899347</v>
      </c>
      <c r="AY187" s="117">
        <v>836.86052111604965</v>
      </c>
      <c r="AZ187" s="117">
        <v>908.09509059122252</v>
      </c>
      <c r="BA187" s="117">
        <v>990.84659961990633</v>
      </c>
      <c r="BB187" s="117">
        <v>957.99568075010416</v>
      </c>
      <c r="BC187" s="117">
        <v>987.40972304392312</v>
      </c>
      <c r="BD187" s="117">
        <v>1164.9761291487243</v>
      </c>
      <c r="BE187" s="117">
        <v>1198.1090005275196</v>
      </c>
      <c r="BF187" s="117">
        <v>1208.904310296439</v>
      </c>
      <c r="BG187" s="117">
        <v>1251.1641042283445</v>
      </c>
      <c r="BH187" s="117">
        <v>1356.6677558264937</v>
      </c>
      <c r="BI187" s="117">
        <v>1368.4543262762857</v>
      </c>
      <c r="BJ187" s="117">
        <v>1464.9933054685491</v>
      </c>
      <c r="BK187" s="117">
        <v>1482.3056668433846</v>
      </c>
      <c r="BL187" s="117">
        <v>1284.7020409003858</v>
      </c>
    </row>
    <row r="188" spans="1:64" hidden="1">
      <c r="A188" s="117" t="s">
        <v>1141</v>
      </c>
      <c r="B188" s="117" t="s">
        <v>1142</v>
      </c>
      <c r="C188" s="117" t="s">
        <v>775</v>
      </c>
      <c r="D188" s="117" t="s">
        <v>776</v>
      </c>
      <c r="E188" s="117">
        <v>474.09401790119477</v>
      </c>
      <c r="F188" s="117">
        <v>513.25475767984767</v>
      </c>
      <c r="G188" s="117">
        <v>542.32728373511065</v>
      </c>
      <c r="H188" s="117">
        <v>583.4134454337717</v>
      </c>
      <c r="I188" s="117">
        <v>608.1004849055613</v>
      </c>
      <c r="J188" s="117">
        <v>648.43706857273685</v>
      </c>
      <c r="K188" s="117">
        <v>686.0719345388901</v>
      </c>
      <c r="L188" s="117">
        <v>742.11353649131001</v>
      </c>
      <c r="M188" s="117">
        <v>775.64309258790684</v>
      </c>
      <c r="N188" s="117">
        <v>827.17332630761905</v>
      </c>
      <c r="O188" s="117">
        <v>889.23829301283172</v>
      </c>
      <c r="P188" s="117">
        <v>974.93699990979439</v>
      </c>
      <c r="Q188" s="117">
        <v>1040.810961092079</v>
      </c>
      <c r="R188" s="117">
        <v>1157.6212851104394</v>
      </c>
      <c r="S188" s="117">
        <v>1287.9564746029262</v>
      </c>
      <c r="T188" s="117">
        <v>1395.4793832923242</v>
      </c>
      <c r="U188" s="117">
        <v>1444.7554399401581</v>
      </c>
      <c r="V188" s="117">
        <v>1489.9672978561323</v>
      </c>
      <c r="W188" s="117">
        <v>1721.7773706978896</v>
      </c>
      <c r="X188" s="117">
        <v>1918.1607867016276</v>
      </c>
      <c r="Y188" s="117">
        <v>2332.1287428221667</v>
      </c>
      <c r="Z188" s="117">
        <v>2577.7375391849146</v>
      </c>
      <c r="AA188" s="117">
        <v>2782.2777210637501</v>
      </c>
      <c r="AB188" s="117">
        <v>2791.7750935499985</v>
      </c>
      <c r="AC188" s="117">
        <v>2849.0604402566437</v>
      </c>
      <c r="AD188" s="117">
        <v>2947.6902272484558</v>
      </c>
      <c r="AE188" s="117">
        <v>2996.6207626184705</v>
      </c>
      <c r="AF188" s="117">
        <v>2945.1629753988327</v>
      </c>
      <c r="AG188" s="117">
        <v>2492.1495885036888</v>
      </c>
      <c r="AH188" s="117">
        <v>2446.2288989206531</v>
      </c>
      <c r="AI188" s="117">
        <v>2603.8466223678611</v>
      </c>
      <c r="AJ188" s="117">
        <v>2803.9415913167754</v>
      </c>
      <c r="AK188" s="117">
        <v>3122.0812561093871</v>
      </c>
      <c r="AL188" s="117">
        <v>3339.9194548178798</v>
      </c>
      <c r="AM188" s="117">
        <v>3489.1524062298349</v>
      </c>
      <c r="AN188" s="117">
        <v>3494.5160143491839</v>
      </c>
      <c r="AO188" s="117">
        <v>3529.852222104209</v>
      </c>
      <c r="AP188" s="117">
        <v>3741.2794643704974</v>
      </c>
      <c r="AQ188" s="117">
        <v>3974.6670347585909</v>
      </c>
      <c r="AR188" s="117">
        <v>4082.6159566719939</v>
      </c>
      <c r="AS188" s="117">
        <v>4060.3244929261778</v>
      </c>
      <c r="AT188" s="117">
        <v>4046.4199805285261</v>
      </c>
      <c r="AU188" s="117">
        <v>4126.241558141337</v>
      </c>
      <c r="AV188" s="117">
        <v>4267.3033248489892</v>
      </c>
      <c r="AW188" s="117">
        <v>4592.1526135422391</v>
      </c>
      <c r="AX188" s="117">
        <v>4916.9149938277287</v>
      </c>
      <c r="AY188" s="117">
        <v>5348.8952921661512</v>
      </c>
      <c r="AZ188" s="117">
        <v>6166.1807205368195</v>
      </c>
      <c r="BA188" s="117">
        <v>7154.2744960190021</v>
      </c>
      <c r="BB188" s="117">
        <v>7576.1404665548171</v>
      </c>
      <c r="BC188" s="117">
        <v>8082.0284586625203</v>
      </c>
      <c r="BD188" s="117">
        <v>9358.2514745110129</v>
      </c>
      <c r="BE188" s="117">
        <v>10722.283632629504</v>
      </c>
      <c r="BF188" s="117">
        <v>11889.127627438542</v>
      </c>
      <c r="BG188" s="117">
        <v>12796.070043049587</v>
      </c>
      <c r="BH188" s="117">
        <v>13630.307973794545</v>
      </c>
      <c r="BI188" s="117">
        <v>14343.963629139687</v>
      </c>
      <c r="BJ188" s="117">
        <v>15150.345612160991</v>
      </c>
      <c r="BK188" s="117">
        <v>15592.573678922006</v>
      </c>
      <c r="BL188" s="117">
        <v>15731.01603484708</v>
      </c>
    </row>
    <row r="189" spans="1:64" hidden="1">
      <c r="A189" s="117" t="s">
        <v>1143</v>
      </c>
      <c r="B189" s="117" t="s">
        <v>1144</v>
      </c>
      <c r="C189" s="117" t="s">
        <v>775</v>
      </c>
      <c r="D189" s="117" t="s">
        <v>776</v>
      </c>
      <c r="E189" s="117">
        <v>253.26482157603149</v>
      </c>
      <c r="F189" s="117">
        <v>277.56871029727046</v>
      </c>
      <c r="G189" s="117">
        <v>305.76153158462625</v>
      </c>
      <c r="H189" s="117">
        <v>325.51619203538013</v>
      </c>
      <c r="I189" s="117">
        <v>382.74366220232571</v>
      </c>
      <c r="J189" s="117">
        <v>441.18248867612351</v>
      </c>
      <c r="K189" s="117">
        <v>507.53078467656087</v>
      </c>
      <c r="L189" s="117">
        <v>500.87304143167614</v>
      </c>
      <c r="M189" s="117">
        <v>450.40164428941358</v>
      </c>
      <c r="N189" s="117">
        <v>490.41337896725958</v>
      </c>
      <c r="O189" s="117">
        <v>552.17956357821004</v>
      </c>
      <c r="P189" s="117">
        <v>599.11556866779347</v>
      </c>
      <c r="Q189" s="117">
        <v>646.142498141636</v>
      </c>
      <c r="R189" s="117">
        <v>752.22348723583536</v>
      </c>
      <c r="S189" s="117">
        <v>922.84680393190524</v>
      </c>
      <c r="T189" s="117">
        <v>1094.161678931488</v>
      </c>
      <c r="U189" s="117">
        <v>1006.8906072877472</v>
      </c>
      <c r="V189" s="117">
        <v>899.25562878567939</v>
      </c>
      <c r="W189" s="117">
        <v>748.99227246866701</v>
      </c>
      <c r="X189" s="117">
        <v>932.74689075107904</v>
      </c>
      <c r="Y189" s="117">
        <v>1033.4187493134007</v>
      </c>
      <c r="Z189" s="117">
        <v>1203.7066757621292</v>
      </c>
      <c r="AA189" s="117">
        <v>1182.7312485547448</v>
      </c>
      <c r="AB189" s="117">
        <v>919.16861257336268</v>
      </c>
      <c r="AC189" s="117">
        <v>910.96746583966694</v>
      </c>
      <c r="AD189" s="117">
        <v>836.94604497956595</v>
      </c>
      <c r="AE189" s="117">
        <v>753.53156706644575</v>
      </c>
      <c r="AF189" s="117">
        <v>1000.5323689677292</v>
      </c>
      <c r="AG189" s="117">
        <v>729.87630284147849</v>
      </c>
      <c r="AH189" s="117">
        <v>1040.9622550346576</v>
      </c>
      <c r="AI189" s="117">
        <v>1196.5868581963352</v>
      </c>
      <c r="AJ189" s="117">
        <v>1524.7708744698398</v>
      </c>
      <c r="AK189" s="117">
        <v>1566.0115521123978</v>
      </c>
      <c r="AL189" s="117">
        <v>1488.0332488251049</v>
      </c>
      <c r="AM189" s="117">
        <v>1881.7371187013896</v>
      </c>
      <c r="AN189" s="117">
        <v>2194.0179696493065</v>
      </c>
      <c r="AO189" s="117">
        <v>2232.0759059409133</v>
      </c>
      <c r="AP189" s="117">
        <v>2306.4388012656136</v>
      </c>
      <c r="AQ189" s="117">
        <v>2163.1200313328823</v>
      </c>
      <c r="AR189" s="117">
        <v>1924.4865669652149</v>
      </c>
      <c r="AS189" s="117">
        <v>1955.5880062789622</v>
      </c>
      <c r="AT189" s="117">
        <v>1941.4756317344095</v>
      </c>
      <c r="AU189" s="117">
        <v>2021.2397400373625</v>
      </c>
      <c r="AV189" s="117">
        <v>2145.6431830523061</v>
      </c>
      <c r="AW189" s="117">
        <v>2417.0355006156619</v>
      </c>
      <c r="AX189" s="117">
        <v>2729.4986823834461</v>
      </c>
      <c r="AY189" s="117">
        <v>3154.3312368941261</v>
      </c>
      <c r="AZ189" s="117">
        <v>3606.0704347747469</v>
      </c>
      <c r="BA189" s="117">
        <v>4220.6169693950751</v>
      </c>
      <c r="BB189" s="117">
        <v>4196.3127930188903</v>
      </c>
      <c r="BC189" s="117">
        <v>5082.3547566635116</v>
      </c>
      <c r="BD189" s="117">
        <v>5869.3230796147409</v>
      </c>
      <c r="BE189" s="117">
        <v>6528.9722178531229</v>
      </c>
      <c r="BF189" s="117">
        <v>6756.7527692655649</v>
      </c>
      <c r="BG189" s="117">
        <v>6672.880255485401</v>
      </c>
      <c r="BH189" s="117">
        <v>6229.1016961259556</v>
      </c>
      <c r="BI189" s="117">
        <v>6204.9972600392666</v>
      </c>
      <c r="BJ189" s="117">
        <v>6710.5080289603802</v>
      </c>
      <c r="BK189" s="117">
        <v>6941.235847630116</v>
      </c>
      <c r="BL189" s="117">
        <v>6977.6957835538224</v>
      </c>
    </row>
    <row r="190" spans="1:64" hidden="1">
      <c r="A190" s="117" t="s">
        <v>1145</v>
      </c>
      <c r="B190" s="117" t="s">
        <v>1146</v>
      </c>
      <c r="C190" s="117" t="s">
        <v>775</v>
      </c>
      <c r="D190" s="117" t="s">
        <v>776</v>
      </c>
      <c r="E190" s="117">
        <v>254.45894522833026</v>
      </c>
      <c r="F190" s="117">
        <v>267.18288754573996</v>
      </c>
      <c r="G190" s="117">
        <v>156.70387311158782</v>
      </c>
      <c r="H190" s="117">
        <v>168.04097755167518</v>
      </c>
      <c r="I190" s="117">
        <v>175.9557918012747</v>
      </c>
      <c r="J190" s="117">
        <v>187.13688847055184</v>
      </c>
      <c r="K190" s="117">
        <v>199.95678233353621</v>
      </c>
      <c r="L190" s="117">
        <v>207.44397007525058</v>
      </c>
      <c r="M190" s="117">
        <v>224.63558142128471</v>
      </c>
      <c r="N190" s="117">
        <v>241.71091753329222</v>
      </c>
      <c r="O190" s="117">
        <v>186.77468061917764</v>
      </c>
      <c r="P190" s="117">
        <v>201.04127745097054</v>
      </c>
      <c r="Q190" s="117">
        <v>211.41220285758152</v>
      </c>
      <c r="R190" s="117">
        <v>258.38469125130894</v>
      </c>
      <c r="S190" s="117">
        <v>343.29052495022154</v>
      </c>
      <c r="T190" s="117">
        <v>360.7533391953022</v>
      </c>
      <c r="U190" s="117">
        <v>402.80121191883472</v>
      </c>
      <c r="V190" s="117">
        <v>450.34084167826717</v>
      </c>
      <c r="W190" s="117">
        <v>506.39883323672626</v>
      </c>
      <c r="X190" s="117">
        <v>596.83720166097055</v>
      </c>
      <c r="Y190" s="117">
        <v>685.22146089321041</v>
      </c>
      <c r="Z190" s="117">
        <v>732.36775206209472</v>
      </c>
      <c r="AA190" s="117">
        <v>742.45339010390421</v>
      </c>
      <c r="AB190" s="117">
        <v>646.03936099962357</v>
      </c>
      <c r="AC190" s="117">
        <v>594.5533362590636</v>
      </c>
      <c r="AD190" s="117">
        <v>566.2619987402577</v>
      </c>
      <c r="AE190" s="117">
        <v>535.7035047275059</v>
      </c>
      <c r="AF190" s="117">
        <v>579.70153151459817</v>
      </c>
      <c r="AG190" s="117">
        <v>644.3649931851071</v>
      </c>
      <c r="AH190" s="117">
        <v>705.57909722229158</v>
      </c>
      <c r="AI190" s="117">
        <v>715.91371208644637</v>
      </c>
      <c r="AJ190" s="117">
        <v>715.74682014134828</v>
      </c>
      <c r="AK190" s="117">
        <v>814.76853915419645</v>
      </c>
      <c r="AL190" s="117">
        <v>816.41232436398252</v>
      </c>
      <c r="AM190" s="117">
        <v>939.91863793420907</v>
      </c>
      <c r="AN190" s="117">
        <v>1062.1330645533569</v>
      </c>
      <c r="AO190" s="117">
        <v>1160.3096811819919</v>
      </c>
      <c r="AP190" s="117">
        <v>1127.5265485033494</v>
      </c>
      <c r="AQ190" s="117">
        <v>966.98916903138252</v>
      </c>
      <c r="AR190" s="117">
        <v>1087.3781564806161</v>
      </c>
      <c r="AS190" s="117">
        <v>1072.8090643392882</v>
      </c>
      <c r="AT190" s="117">
        <v>990.5638961739262</v>
      </c>
      <c r="AU190" s="117">
        <v>1036.1593134492969</v>
      </c>
      <c r="AV190" s="117">
        <v>1048.0081919429622</v>
      </c>
      <c r="AW190" s="117">
        <v>1121.4896323005983</v>
      </c>
      <c r="AX190" s="117">
        <v>1244.3490409949243</v>
      </c>
      <c r="AY190" s="117">
        <v>1452.438655547327</v>
      </c>
      <c r="AZ190" s="117">
        <v>1744.6403126787352</v>
      </c>
      <c r="BA190" s="117">
        <v>1991.2315416658139</v>
      </c>
      <c r="BB190" s="117">
        <v>1905.8947105259706</v>
      </c>
      <c r="BC190" s="117">
        <v>2217.4740085661574</v>
      </c>
      <c r="BD190" s="117">
        <v>2450.7336561578918</v>
      </c>
      <c r="BE190" s="117">
        <v>2694.3054729789415</v>
      </c>
      <c r="BF190" s="117">
        <v>2871.4309017841501</v>
      </c>
      <c r="BG190" s="117">
        <v>2959.6484521205089</v>
      </c>
      <c r="BH190" s="117">
        <v>3001.0403710685655</v>
      </c>
      <c r="BI190" s="117">
        <v>3073.6536149695803</v>
      </c>
      <c r="BJ190" s="117">
        <v>3123.2342294495061</v>
      </c>
      <c r="BK190" s="117">
        <v>3252.092324126641</v>
      </c>
      <c r="BL190" s="117">
        <v>3485.0842183662135</v>
      </c>
    </row>
    <row r="191" spans="1:64" hidden="1">
      <c r="A191" s="117" t="s">
        <v>1147</v>
      </c>
      <c r="B191" s="117" t="s">
        <v>1148</v>
      </c>
      <c r="C191" s="117" t="s">
        <v>775</v>
      </c>
      <c r="D191" s="117" t="s">
        <v>776</v>
      </c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>
        <v>7647.9298612928551</v>
      </c>
      <c r="AT191" s="117">
        <v>8085.0665428659859</v>
      </c>
      <c r="AU191" s="117">
        <v>8302.0115088862858</v>
      </c>
      <c r="AV191" s="117">
        <v>7762.2242415063856</v>
      </c>
      <c r="AW191" s="117">
        <v>8299.496652740725</v>
      </c>
      <c r="AX191" s="117">
        <v>9325.5548253374454</v>
      </c>
      <c r="AY191" s="117">
        <v>9673.9457523029687</v>
      </c>
      <c r="AZ191" s="117">
        <v>10159.218081219335</v>
      </c>
      <c r="BA191" s="117">
        <v>10587.275449101797</v>
      </c>
      <c r="BB191" s="117">
        <v>10028.400328137817</v>
      </c>
      <c r="BC191" s="117">
        <v>10219.927596769701</v>
      </c>
      <c r="BD191" s="117">
        <v>10884.412510566357</v>
      </c>
      <c r="BE191" s="117">
        <v>11967.307256235828</v>
      </c>
      <c r="BF191" s="117">
        <v>12688.197205498125</v>
      </c>
      <c r="BG191" s="117">
        <v>13794.79178486327</v>
      </c>
      <c r="BH191" s="117">
        <v>15871.842626662892</v>
      </c>
      <c r="BI191" s="117">
        <v>16932.332863187588</v>
      </c>
      <c r="BJ191" s="117">
        <v>16078.26819407008</v>
      </c>
      <c r="BK191" s="117">
        <v>15859.434857876808</v>
      </c>
      <c r="BL191" s="117"/>
    </row>
    <row r="192" spans="1:64" hidden="1">
      <c r="A192" s="117" t="s">
        <v>1149</v>
      </c>
      <c r="B192" s="117" t="s">
        <v>680</v>
      </c>
      <c r="C192" s="117" t="s">
        <v>775</v>
      </c>
      <c r="D192" s="117" t="s">
        <v>776</v>
      </c>
      <c r="E192" s="117">
        <v>102.17661342362992</v>
      </c>
      <c r="F192" s="117">
        <v>106.58500066063876</v>
      </c>
      <c r="G192" s="117">
        <v>111.60032224738052</v>
      </c>
      <c r="H192" s="117">
        <v>115.66399218075968</v>
      </c>
      <c r="I192" s="117">
        <v>125.42484549956586</v>
      </c>
      <c r="J192" s="117">
        <v>138.47040997013539</v>
      </c>
      <c r="K192" s="117">
        <v>153.94622825008341</v>
      </c>
      <c r="L192" s="117">
        <v>170.09531275495286</v>
      </c>
      <c r="M192" s="117">
        <v>182.62244889694381</v>
      </c>
      <c r="N192" s="117">
        <v>202.74940649011742</v>
      </c>
      <c r="O192" s="117">
        <v>231.94720108034878</v>
      </c>
      <c r="P192" s="117">
        <v>251.87158119083523</v>
      </c>
      <c r="Q192" s="117">
        <v>294.29785076315545</v>
      </c>
      <c r="R192" s="117">
        <v>434.59934816477795</v>
      </c>
      <c r="S192" s="117">
        <v>479.04753074375549</v>
      </c>
      <c r="T192" s="117">
        <v>432.04297427362883</v>
      </c>
      <c r="U192" s="117">
        <v>469.54561383797852</v>
      </c>
      <c r="V192" s="117">
        <v>496.80458120772545</v>
      </c>
      <c r="W192" s="117">
        <v>574.85013782417343</v>
      </c>
      <c r="X192" s="117">
        <v>659.44680842022808</v>
      </c>
      <c r="Y192" s="117">
        <v>712.91987099587845</v>
      </c>
      <c r="Z192" s="117">
        <v>681.02440679671236</v>
      </c>
      <c r="AA192" s="117">
        <v>628.52478557892846</v>
      </c>
      <c r="AB192" s="117">
        <v>661.88759393474288</v>
      </c>
      <c r="AC192" s="117">
        <v>641.99057109180683</v>
      </c>
      <c r="AD192" s="117">
        <v>593.81408322741515</v>
      </c>
      <c r="AE192" s="117">
        <v>632.51747240331144</v>
      </c>
      <c r="AF192" s="117">
        <v>732.39422026281761</v>
      </c>
      <c r="AG192" s="117">
        <v>831.03215458931049</v>
      </c>
      <c r="AH192" s="117">
        <v>786.87980006863791</v>
      </c>
      <c r="AI192" s="117">
        <v>697.53957297822387</v>
      </c>
      <c r="AJ192" s="117">
        <v>801.47228627356651</v>
      </c>
      <c r="AK192" s="117">
        <v>905.24898077484568</v>
      </c>
      <c r="AL192" s="117">
        <v>1005.1523587414075</v>
      </c>
      <c r="AM192" s="117">
        <v>1086.2918125890662</v>
      </c>
      <c r="AN192" s="117">
        <v>893.77363601456011</v>
      </c>
      <c r="AO192" s="117">
        <v>970.09230231445429</v>
      </c>
      <c r="AP192" s="117">
        <v>906.35958911073237</v>
      </c>
      <c r="AQ192" s="117">
        <v>678.89727555861714</v>
      </c>
      <c r="AR192" s="117">
        <v>608.28206273709407</v>
      </c>
      <c r="AS192" s="117">
        <v>602.18690226600756</v>
      </c>
      <c r="AT192" s="117">
        <v>515.68460776882443</v>
      </c>
      <c r="AU192" s="117">
        <v>491.83430814894763</v>
      </c>
      <c r="AV192" s="117">
        <v>568.24643988236687</v>
      </c>
      <c r="AW192" s="117">
        <v>618.0368976903859</v>
      </c>
      <c r="AX192" s="117">
        <v>749.18639620575573</v>
      </c>
      <c r="AY192" s="117">
        <v>1256.9788911332269</v>
      </c>
      <c r="AZ192" s="117">
        <v>1401.9471817389381</v>
      </c>
      <c r="BA192" s="117">
        <v>1672.9507839320199</v>
      </c>
      <c r="BB192" s="117">
        <v>1626.3123992957878</v>
      </c>
      <c r="BC192" s="117">
        <v>1949.3525183856134</v>
      </c>
      <c r="BD192" s="117">
        <v>2406.9096787957942</v>
      </c>
      <c r="BE192" s="117">
        <v>2790.6766691473567</v>
      </c>
      <c r="BF192" s="117">
        <v>2729.891905782647</v>
      </c>
      <c r="BG192" s="117">
        <v>2920.7837208020237</v>
      </c>
      <c r="BH192" s="117">
        <v>2679.3455878142722</v>
      </c>
      <c r="BI192" s="117">
        <v>2509.631457283102</v>
      </c>
      <c r="BJ192" s="117">
        <v>2695.2518833116014</v>
      </c>
      <c r="BK192" s="117">
        <v>2720.3852453824002</v>
      </c>
      <c r="BL192" s="117">
        <v>2845.1801857484206</v>
      </c>
    </row>
    <row r="193" spans="1:64" hidden="1">
      <c r="A193" s="117" t="s">
        <v>1150</v>
      </c>
      <c r="B193" s="117" t="s">
        <v>1151</v>
      </c>
      <c r="C193" s="117" t="s">
        <v>775</v>
      </c>
      <c r="D193" s="117" t="s">
        <v>776</v>
      </c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>
        <v>1731.2095311238811</v>
      </c>
      <c r="AJ193" s="117">
        <v>2235.5410886252148</v>
      </c>
      <c r="AK193" s="117">
        <v>2459.0206846825326</v>
      </c>
      <c r="AL193" s="117">
        <v>2497.1952411668863</v>
      </c>
      <c r="AM193" s="117">
        <v>2874.8253108451954</v>
      </c>
      <c r="AN193" s="117">
        <v>3682.791215266519</v>
      </c>
      <c r="AO193" s="117">
        <v>4140.9835411414178</v>
      </c>
      <c r="AP193" s="117">
        <v>4116.9262428282063</v>
      </c>
      <c r="AQ193" s="117">
        <v>4510.4131170599867</v>
      </c>
      <c r="AR193" s="117">
        <v>4389.9764153420847</v>
      </c>
      <c r="AS193" s="117">
        <v>4492.7276035593777</v>
      </c>
      <c r="AT193" s="117">
        <v>4981.1986188017027</v>
      </c>
      <c r="AU193" s="117">
        <v>5196.9329210389405</v>
      </c>
      <c r="AV193" s="117">
        <v>5693.377763225968</v>
      </c>
      <c r="AW193" s="117">
        <v>6681.1788178119805</v>
      </c>
      <c r="AX193" s="117">
        <v>8020.9631643589746</v>
      </c>
      <c r="AY193" s="117">
        <v>9038.6548073081249</v>
      </c>
      <c r="AZ193" s="117">
        <v>11255.379833752999</v>
      </c>
      <c r="BA193" s="117">
        <v>14001.381559916532</v>
      </c>
      <c r="BB193" s="117">
        <v>11527.534422646384</v>
      </c>
      <c r="BC193" s="117">
        <v>12599.533581870695</v>
      </c>
      <c r="BD193" s="117">
        <v>13893.509259001032</v>
      </c>
      <c r="BE193" s="117">
        <v>13145.539262786528</v>
      </c>
      <c r="BF193" s="117">
        <v>13781.062605381298</v>
      </c>
      <c r="BG193" s="117">
        <v>14347.914575445613</v>
      </c>
      <c r="BH193" s="117">
        <v>12572.426604556118</v>
      </c>
      <c r="BI193" s="117">
        <v>12431.815891623126</v>
      </c>
      <c r="BJ193" s="117">
        <v>13861.309364823546</v>
      </c>
      <c r="BK193" s="117">
        <v>15460.644280546834</v>
      </c>
      <c r="BL193" s="117">
        <v>15595.227033425868</v>
      </c>
    </row>
    <row r="194" spans="1:64" hidden="1">
      <c r="A194" s="117" t="s">
        <v>1152</v>
      </c>
      <c r="B194" s="117" t="s">
        <v>1153</v>
      </c>
      <c r="C194" s="117" t="s">
        <v>775</v>
      </c>
      <c r="D194" s="117" t="s">
        <v>776</v>
      </c>
      <c r="E194" s="117">
        <v>59.856128324761272</v>
      </c>
      <c r="F194" s="117">
        <v>60.503833319814923</v>
      </c>
      <c r="G194" s="117">
        <v>64.572811103766014</v>
      </c>
      <c r="H194" s="117">
        <v>73.51106290955768</v>
      </c>
      <c r="I194" s="117">
        <v>66.872085945928859</v>
      </c>
      <c r="J194" s="117">
        <v>73.552498827601482</v>
      </c>
      <c r="K194" s="117">
        <v>78.837366770825923</v>
      </c>
      <c r="L194" s="117">
        <v>72.595081452524767</v>
      </c>
      <c r="M194" s="117">
        <v>74.635035866731727</v>
      </c>
      <c r="N194" s="117">
        <v>82.508019251470813</v>
      </c>
      <c r="O194" s="117">
        <v>98.210860146992502</v>
      </c>
      <c r="P194" s="117">
        <v>93.57620351789312</v>
      </c>
      <c r="Q194" s="117">
        <v>105.77384177459456</v>
      </c>
      <c r="R194" s="117">
        <v>126.33569602748356</v>
      </c>
      <c r="S194" s="117">
        <v>175.00053140033219</v>
      </c>
      <c r="T194" s="117">
        <v>193.84067487015014</v>
      </c>
      <c r="U194" s="117">
        <v>221.38543065082897</v>
      </c>
      <c r="V194" s="117">
        <v>237.24082114046624</v>
      </c>
      <c r="W194" s="117">
        <v>255.9381567601188</v>
      </c>
      <c r="X194" s="117">
        <v>314.04310334395603</v>
      </c>
      <c r="Y194" s="117">
        <v>375.17978138134288</v>
      </c>
      <c r="Z194" s="117">
        <v>511.83622541364213</v>
      </c>
      <c r="AA194" s="117">
        <v>466.96190947707902</v>
      </c>
      <c r="AB194" s="117">
        <v>362.25870942350548</v>
      </c>
      <c r="AC194" s="117">
        <v>322.0063840519955</v>
      </c>
      <c r="AD194" s="117">
        <v>323.12819162401803</v>
      </c>
      <c r="AE194" s="117">
        <v>304.16672408489319</v>
      </c>
      <c r="AF194" s="117">
        <v>328.2950343267151</v>
      </c>
      <c r="AG194" s="117">
        <v>325.72718406419659</v>
      </c>
      <c r="AH194" s="117">
        <v>310.47648028705925</v>
      </c>
      <c r="AI194" s="117">
        <v>477.10889114613707</v>
      </c>
      <c r="AJ194" s="117">
        <v>449.4710640756187</v>
      </c>
      <c r="AK194" s="117">
        <v>405.69411745114058</v>
      </c>
      <c r="AL194" s="117">
        <v>345.17139323526806</v>
      </c>
      <c r="AM194" s="117">
        <v>316.1617471226615</v>
      </c>
      <c r="AN194" s="117">
        <v>365.26743310570282</v>
      </c>
      <c r="AO194" s="117">
        <v>391.88039415732788</v>
      </c>
      <c r="AP194" s="117">
        <v>401.46868879589221</v>
      </c>
      <c r="AQ194" s="117">
        <v>402.64099527674779</v>
      </c>
      <c r="AR194" s="117">
        <v>400.31351219044211</v>
      </c>
      <c r="AS194" s="117">
        <v>442.73865186549597</v>
      </c>
      <c r="AT194" s="117">
        <v>425.78614314064936</v>
      </c>
      <c r="AU194" s="117">
        <v>491.46104392266875</v>
      </c>
      <c r="AV194" s="117">
        <v>544.03691485997683</v>
      </c>
      <c r="AW194" s="117">
        <v>644.67408710763254</v>
      </c>
      <c r="AX194" s="117">
        <v>780.25013039314035</v>
      </c>
      <c r="AY194" s="117">
        <v>960.27021566275812</v>
      </c>
      <c r="AZ194" s="117">
        <v>1129.4722899575397</v>
      </c>
      <c r="BA194" s="117">
        <v>1383.0650882539674</v>
      </c>
      <c r="BB194" s="117">
        <v>1220.217608817476</v>
      </c>
      <c r="BC194" s="117">
        <v>1396.887209242105</v>
      </c>
      <c r="BD194" s="117">
        <v>1575.2210656109664</v>
      </c>
      <c r="BE194" s="117">
        <v>1678.4324946971331</v>
      </c>
      <c r="BF194" s="117">
        <v>1791.2654899700362</v>
      </c>
      <c r="BG194" s="117">
        <v>1856.5260054853807</v>
      </c>
      <c r="BH194" s="117">
        <v>1589.4533924424925</v>
      </c>
      <c r="BI194" s="117">
        <v>1398.9694147308051</v>
      </c>
      <c r="BJ194" s="117">
        <v>1414.8008427903499</v>
      </c>
      <c r="BK194" s="117">
        <v>1449.0345107174685</v>
      </c>
      <c r="BL194" s="117">
        <v>1472.3854016451662</v>
      </c>
    </row>
    <row r="195" spans="1:64" hidden="1">
      <c r="A195" s="117" t="s">
        <v>1154</v>
      </c>
      <c r="B195" s="117" t="s">
        <v>1155</v>
      </c>
      <c r="C195" s="117" t="s">
        <v>775</v>
      </c>
      <c r="D195" s="117" t="s">
        <v>776</v>
      </c>
      <c r="E195" s="117">
        <v>717.51484308736212</v>
      </c>
      <c r="F195" s="117">
        <v>777.21502740734138</v>
      </c>
      <c r="G195" s="117">
        <v>854.7448049684898</v>
      </c>
      <c r="H195" s="117">
        <v>931.75166598124201</v>
      </c>
      <c r="I195" s="117">
        <v>1006.4344460949717</v>
      </c>
      <c r="J195" s="117">
        <v>1110.8326908249808</v>
      </c>
      <c r="K195" s="117">
        <v>1207.8118244034752</v>
      </c>
      <c r="L195" s="117">
        <v>1335.2741116252419</v>
      </c>
      <c r="M195" s="117">
        <v>1480.6931764225053</v>
      </c>
      <c r="N195" s="117">
        <v>1661.8668852336866</v>
      </c>
      <c r="O195" s="117">
        <v>1852.3546725533481</v>
      </c>
      <c r="P195" s="117">
        <v>2044.3199055821649</v>
      </c>
      <c r="Q195" s="117">
        <v>2246.4767135113034</v>
      </c>
      <c r="R195" s="117">
        <v>2432.4142190492798</v>
      </c>
      <c r="S195" s="117">
        <v>2614.5009405303781</v>
      </c>
      <c r="T195" s="117">
        <v>2738.2431529726114</v>
      </c>
      <c r="U195" s="117">
        <v>2946.4619525115199</v>
      </c>
      <c r="V195" s="117">
        <v>3208.7713561412766</v>
      </c>
      <c r="W195" s="117">
        <v>3567.7526290006999</v>
      </c>
      <c r="X195" s="117">
        <v>4024.5094201928732</v>
      </c>
      <c r="Y195" s="117">
        <v>4502.8384279475986</v>
      </c>
      <c r="Z195" s="117">
        <v>4920.7229367485861</v>
      </c>
      <c r="AA195" s="117">
        <v>5115.008514233461</v>
      </c>
      <c r="AB195" s="117">
        <v>5217.7227285603922</v>
      </c>
      <c r="AC195" s="117">
        <v>5730.1170089020061</v>
      </c>
      <c r="AD195" s="117">
        <v>6008.0544862303823</v>
      </c>
      <c r="AE195" s="117">
        <v>6455.1844610761409</v>
      </c>
      <c r="AF195" s="117">
        <v>6980.4901433821924</v>
      </c>
      <c r="AG195" s="117">
        <v>7595.4446561182858</v>
      </c>
      <c r="AH195" s="117">
        <v>8033.0894413304241</v>
      </c>
      <c r="AI195" s="117">
        <v>8652.5074922250496</v>
      </c>
      <c r="AJ195" s="117">
        <v>9064.0185171148569</v>
      </c>
      <c r="AK195" s="117">
        <v>9659.3388999591643</v>
      </c>
      <c r="AL195" s="117">
        <v>10212.276763056365</v>
      </c>
      <c r="AM195" s="117">
        <v>10876.418823989781</v>
      </c>
      <c r="AN195" s="117">
        <v>11579.184996998454</v>
      </c>
      <c r="AO195" s="117">
        <v>12173.16368898596</v>
      </c>
      <c r="AP195" s="117">
        <v>12817.644962135217</v>
      </c>
      <c r="AQ195" s="117">
        <v>14304.404986801463</v>
      </c>
      <c r="AR195" s="117">
        <v>15220.991342026657</v>
      </c>
      <c r="AS195" s="117">
        <v>16192.126971963769</v>
      </c>
      <c r="AT195" s="117">
        <v>18123.198701991791</v>
      </c>
      <c r="AU195" s="117">
        <v>18731.459389737847</v>
      </c>
      <c r="AV195" s="117">
        <v>19557.120249235839</v>
      </c>
      <c r="AW195" s="117">
        <v>20988.992332653404</v>
      </c>
      <c r="AX195" s="117">
        <v>21959.322696986048</v>
      </c>
      <c r="AY195" s="117">
        <v>22935.941158631289</v>
      </c>
      <c r="AZ195" s="117">
        <v>23664.882348509582</v>
      </c>
      <c r="BA195" s="117">
        <v>24898.334585704462</v>
      </c>
      <c r="BB195" s="117">
        <v>25768.725888338446</v>
      </c>
      <c r="BC195" s="117">
        <v>26435.748785780022</v>
      </c>
      <c r="BD195" s="117">
        <v>27278.883049920463</v>
      </c>
      <c r="BE195" s="117">
        <v>27944.733893742392</v>
      </c>
      <c r="BF195" s="117">
        <v>28513.165735106708</v>
      </c>
      <c r="BG195" s="117">
        <v>28981.457330586607</v>
      </c>
      <c r="BH195" s="117">
        <v>29763.488301386144</v>
      </c>
      <c r="BI195" s="117">
        <v>30627.163401701131</v>
      </c>
      <c r="BJ195" s="117">
        <v>31108.752750891203</v>
      </c>
      <c r="BK195" s="117">
        <v>31621.893470000508</v>
      </c>
      <c r="BL195" s="117">
        <v>32873.719273042436</v>
      </c>
    </row>
    <row r="196" spans="1:64" hidden="1">
      <c r="A196" s="117" t="s">
        <v>1156</v>
      </c>
      <c r="B196" s="117" t="s">
        <v>1157</v>
      </c>
      <c r="C196" s="117" t="s">
        <v>775</v>
      </c>
      <c r="D196" s="117" t="s">
        <v>776</v>
      </c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17"/>
      <c r="BA196" s="117"/>
      <c r="BB196" s="117"/>
      <c r="BC196" s="117"/>
      <c r="BD196" s="117"/>
      <c r="BE196" s="117"/>
      <c r="BF196" s="117"/>
      <c r="BG196" s="117"/>
      <c r="BH196" s="117"/>
      <c r="BI196" s="117"/>
      <c r="BJ196" s="117"/>
      <c r="BK196" s="117"/>
      <c r="BL196" s="117"/>
    </row>
    <row r="197" spans="1:64" hidden="1">
      <c r="A197" s="117" t="s">
        <v>1158</v>
      </c>
      <c r="B197" s="117" t="s">
        <v>1159</v>
      </c>
      <c r="C197" s="117" t="s">
        <v>775</v>
      </c>
      <c r="D197" s="117" t="s">
        <v>776</v>
      </c>
      <c r="E197" s="117">
        <v>360.49929850685811</v>
      </c>
      <c r="F197" s="117">
        <v>382.72994699436811</v>
      </c>
      <c r="G197" s="117">
        <v>407.85284361237183</v>
      </c>
      <c r="H197" s="117">
        <v>432.51172957507521</v>
      </c>
      <c r="I197" s="117">
        <v>468.78108163544283</v>
      </c>
      <c r="J197" s="117">
        <v>520.91065936788448</v>
      </c>
      <c r="K197" s="117">
        <v>575.00768066822127</v>
      </c>
      <c r="L197" s="117">
        <v>646.82272006083997</v>
      </c>
      <c r="M197" s="117">
        <v>719.08049185329003</v>
      </c>
      <c r="N197" s="117">
        <v>795.75937139109908</v>
      </c>
      <c r="O197" s="117">
        <v>934.08207576023585</v>
      </c>
      <c r="P197" s="117">
        <v>1064.5380396135442</v>
      </c>
      <c r="Q197" s="117">
        <v>1302.266181846722</v>
      </c>
      <c r="R197" s="117">
        <v>1747.9893247398134</v>
      </c>
      <c r="S197" s="117">
        <v>2000.4178851194183</v>
      </c>
      <c r="T197" s="117">
        <v>2127.6375935095161</v>
      </c>
      <c r="U197" s="117">
        <v>2173.2842177755465</v>
      </c>
      <c r="V197" s="117">
        <v>2267.3712247905851</v>
      </c>
      <c r="W197" s="117">
        <v>2457.3131209882699</v>
      </c>
      <c r="X197" s="117">
        <v>2755.6245328597256</v>
      </c>
      <c r="Y197" s="117">
        <v>3368.3668334281001</v>
      </c>
      <c r="Z197" s="117">
        <v>3245.9751144832026</v>
      </c>
      <c r="AA197" s="117">
        <v>3079.9495408911093</v>
      </c>
      <c r="AB197" s="117">
        <v>2735.491065800466</v>
      </c>
      <c r="AC197" s="117">
        <v>2522.7475310067421</v>
      </c>
      <c r="AD197" s="117">
        <v>2705.1929432813099</v>
      </c>
      <c r="AE197" s="117">
        <v>3861.9485001652979</v>
      </c>
      <c r="AF197" s="117">
        <v>4803.8660245283336</v>
      </c>
      <c r="AG197" s="117">
        <v>5623.6970415221876</v>
      </c>
      <c r="AH197" s="117">
        <v>6056.3810531708941</v>
      </c>
      <c r="AI197" s="117">
        <v>7884.6179453042396</v>
      </c>
      <c r="AJ197" s="117">
        <v>8958.9853887478766</v>
      </c>
      <c r="AK197" s="117">
        <v>10810.56656764615</v>
      </c>
      <c r="AL197" s="117">
        <v>9534.6563637307972</v>
      </c>
      <c r="AM197" s="117">
        <v>9977.319872795093</v>
      </c>
      <c r="AN197" s="117">
        <v>11781.361850222052</v>
      </c>
      <c r="AO197" s="117">
        <v>12185.091401062937</v>
      </c>
      <c r="AP197" s="117">
        <v>11575.507112435833</v>
      </c>
      <c r="AQ197" s="117">
        <v>12199.206385024034</v>
      </c>
      <c r="AR197" s="117">
        <v>12471.079364075355</v>
      </c>
      <c r="AS197" s="117">
        <v>11497.753460452463</v>
      </c>
      <c r="AT197" s="117">
        <v>11724.611495460229</v>
      </c>
      <c r="AU197" s="117">
        <v>12875.320792258501</v>
      </c>
      <c r="AV197" s="117">
        <v>15762.975789736684</v>
      </c>
      <c r="AW197" s="117">
        <v>18031.000421576784</v>
      </c>
      <c r="AX197" s="117">
        <v>18773.125361635433</v>
      </c>
      <c r="AY197" s="117">
        <v>19822.846028733555</v>
      </c>
      <c r="AZ197" s="117">
        <v>22782.09462246289</v>
      </c>
      <c r="BA197" s="117">
        <v>24847.545135091001</v>
      </c>
      <c r="BB197" s="117">
        <v>23059.797445729448</v>
      </c>
      <c r="BC197" s="117">
        <v>22498.690858655656</v>
      </c>
      <c r="BD197" s="117">
        <v>23186.913128327826</v>
      </c>
      <c r="BE197" s="117">
        <v>20564.889861796943</v>
      </c>
      <c r="BF197" s="117">
        <v>21647.041811886884</v>
      </c>
      <c r="BG197" s="117">
        <v>22074.300763421557</v>
      </c>
      <c r="BH197" s="117">
        <v>19242.366471098059</v>
      </c>
      <c r="BI197" s="117">
        <v>19978.401214968002</v>
      </c>
      <c r="BJ197" s="117">
        <v>21490.429863103967</v>
      </c>
      <c r="BK197" s="117">
        <v>23461.571862811528</v>
      </c>
      <c r="BL197" s="117">
        <v>23145.040817282777</v>
      </c>
    </row>
    <row r="198" spans="1:64" hidden="1">
      <c r="A198" s="117" t="s">
        <v>1160</v>
      </c>
      <c r="B198" s="117" t="s">
        <v>1161</v>
      </c>
      <c r="C198" s="117" t="s">
        <v>775</v>
      </c>
      <c r="D198" s="117" t="s">
        <v>776</v>
      </c>
      <c r="E198" s="117"/>
      <c r="F198" s="117"/>
      <c r="G198" s="117"/>
      <c r="H198" s="117"/>
      <c r="I198" s="117"/>
      <c r="J198" s="117">
        <v>204.20111236046009</v>
      </c>
      <c r="K198" s="117">
        <v>208.84938632001155</v>
      </c>
      <c r="L198" s="117">
        <v>215.06680343469969</v>
      </c>
      <c r="M198" s="117">
        <v>220.09664153865182</v>
      </c>
      <c r="N198" s="117">
        <v>230.50243341484395</v>
      </c>
      <c r="O198" s="117">
        <v>240.26992124543287</v>
      </c>
      <c r="P198" s="117">
        <v>262.06810379361605</v>
      </c>
      <c r="Q198" s="117">
        <v>296.1086183336385</v>
      </c>
      <c r="R198" s="117">
        <v>374.34153751201711</v>
      </c>
      <c r="S198" s="117">
        <v>489.56220063109953</v>
      </c>
      <c r="T198" s="117">
        <v>541.48697117899712</v>
      </c>
      <c r="U198" s="117">
        <v>593.65453302348328</v>
      </c>
      <c r="V198" s="117">
        <v>712.65802986080723</v>
      </c>
      <c r="W198" s="117">
        <v>849.52458576965012</v>
      </c>
      <c r="X198" s="117">
        <v>1103.915253656219</v>
      </c>
      <c r="Y198" s="117">
        <v>1398.0551767060233</v>
      </c>
      <c r="Z198" s="117">
        <v>1718.5050722463277</v>
      </c>
      <c r="AA198" s="117">
        <v>1608.7197815661316</v>
      </c>
      <c r="AB198" s="117">
        <v>1635.6325440510443</v>
      </c>
      <c r="AC198" s="117">
        <v>1260.7448570313877</v>
      </c>
      <c r="AD198" s="117">
        <v>892.88948016370443</v>
      </c>
      <c r="AE198" s="117">
        <v>984.38305534600761</v>
      </c>
      <c r="AF198" s="117">
        <v>1020.3792766416055</v>
      </c>
      <c r="AG198" s="117">
        <v>1063.4739571544258</v>
      </c>
      <c r="AH198" s="117">
        <v>1156.9274382236433</v>
      </c>
      <c r="AI198" s="117">
        <v>1376.164673144131</v>
      </c>
      <c r="AJ198" s="117">
        <v>1611.4009759037897</v>
      </c>
      <c r="AK198" s="117">
        <v>1610.2133335539072</v>
      </c>
      <c r="AL198" s="117">
        <v>1591.373109751034</v>
      </c>
      <c r="AM198" s="117">
        <v>1686.8460011348902</v>
      </c>
      <c r="AN198" s="117">
        <v>1897.0963615557762</v>
      </c>
      <c r="AO198" s="117">
        <v>2002.6859183596903</v>
      </c>
      <c r="AP198" s="117">
        <v>1993.8027806668395</v>
      </c>
      <c r="AQ198" s="117">
        <v>1812.9940220168683</v>
      </c>
      <c r="AR198" s="117">
        <v>1694.1102360135262</v>
      </c>
      <c r="AS198" s="117">
        <v>1663.6052517195133</v>
      </c>
      <c r="AT198" s="117">
        <v>1565.0537119264138</v>
      </c>
      <c r="AU198" s="117">
        <v>1300.8514261026303</v>
      </c>
      <c r="AV198" s="117">
        <v>1365.416418118059</v>
      </c>
      <c r="AW198" s="117">
        <v>1679.4971714390881</v>
      </c>
      <c r="AX198" s="117">
        <v>1843.6337910831674</v>
      </c>
      <c r="AY198" s="117">
        <v>2271.090037619329</v>
      </c>
      <c r="AZ198" s="117">
        <v>2976.825503278269</v>
      </c>
      <c r="BA198" s="117">
        <v>4041.5838764302498</v>
      </c>
      <c r="BB198" s="117">
        <v>3624.5710580716882</v>
      </c>
      <c r="BC198" s="117">
        <v>4355.9349386773447</v>
      </c>
      <c r="BD198" s="117">
        <v>5322.9637598767085</v>
      </c>
      <c r="BE198" s="117">
        <v>5183.0828769131522</v>
      </c>
      <c r="BF198" s="117">
        <v>5926.8328628434429</v>
      </c>
      <c r="BG198" s="117">
        <v>6102.9432327232598</v>
      </c>
      <c r="BH198" s="117">
        <v>5406.7038570833838</v>
      </c>
      <c r="BI198" s="117">
        <v>5319.4102178970252</v>
      </c>
      <c r="BJ198" s="117">
        <v>5680.5807682635259</v>
      </c>
      <c r="BK198" s="117">
        <v>5805.675616388693</v>
      </c>
      <c r="BL198" s="117">
        <v>5414.7991379325786</v>
      </c>
    </row>
    <row r="199" spans="1:64" hidden="1">
      <c r="A199" s="117" t="s">
        <v>1162</v>
      </c>
      <c r="B199" s="117" t="s">
        <v>1163</v>
      </c>
      <c r="C199" s="117" t="s">
        <v>775</v>
      </c>
      <c r="D199" s="117" t="s">
        <v>776</v>
      </c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>
        <v>1201.5815421388177</v>
      </c>
      <c r="AN199" s="117">
        <v>1326.5628573714594</v>
      </c>
      <c r="AO199" s="117">
        <v>1317.4667513138538</v>
      </c>
      <c r="AP199" s="117">
        <v>1389.1649713765066</v>
      </c>
      <c r="AQ199" s="117">
        <v>1465.0460568586832</v>
      </c>
      <c r="AR199" s="117">
        <v>1499.492176570189</v>
      </c>
      <c r="AS199" s="117">
        <v>1476.1718500023783</v>
      </c>
      <c r="AT199" s="117">
        <v>1335.5531952935903</v>
      </c>
      <c r="AU199" s="117">
        <v>1156.2174734576911</v>
      </c>
      <c r="AV199" s="117">
        <v>1257.6985700968853</v>
      </c>
      <c r="AW199" s="117">
        <v>1337.5657243067317</v>
      </c>
      <c r="AX199" s="117">
        <v>1455.187875181153</v>
      </c>
      <c r="AY199" s="117">
        <v>1441.4617004674233</v>
      </c>
      <c r="AZ199" s="117">
        <v>1575.5634002728864</v>
      </c>
      <c r="BA199" s="117">
        <v>1857.8905154459508</v>
      </c>
      <c r="BB199" s="117">
        <v>1970.1829633739837</v>
      </c>
      <c r="BC199" s="117">
        <v>2354.1259867184731</v>
      </c>
      <c r="BD199" s="117">
        <v>2695.1938533901489</v>
      </c>
      <c r="BE199" s="117">
        <v>2834.0215246339321</v>
      </c>
      <c r="BF199" s="117">
        <v>3060.3123893101983</v>
      </c>
      <c r="BG199" s="117">
        <v>3046.8217984481712</v>
      </c>
      <c r="BH199" s="117">
        <v>2967.8517465197469</v>
      </c>
      <c r="BI199" s="117">
        <v>3074.291152365146</v>
      </c>
      <c r="BJ199" s="117">
        <v>3254.4858865876286</v>
      </c>
      <c r="BK199" s="117">
        <v>3198.8666444740493</v>
      </c>
      <c r="BL199" s="117"/>
    </row>
    <row r="200" spans="1:64" hidden="1">
      <c r="A200" s="117" t="s">
        <v>1164</v>
      </c>
      <c r="B200" s="117" t="s">
        <v>1165</v>
      </c>
      <c r="C200" s="117" t="s">
        <v>775</v>
      </c>
      <c r="D200" s="117" t="s">
        <v>776</v>
      </c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>
        <v>888.0469116315578</v>
      </c>
      <c r="U200" s="117">
        <v>872.39944815000513</v>
      </c>
      <c r="V200" s="117">
        <v>891.85829008573569</v>
      </c>
      <c r="W200" s="117">
        <v>1013.3149085777143</v>
      </c>
      <c r="X200" s="117">
        <v>1215.5461515219361</v>
      </c>
      <c r="Y200" s="117">
        <v>1361.1458058544281</v>
      </c>
      <c r="Z200" s="117">
        <v>1371.5829017043638</v>
      </c>
      <c r="AA200" s="117">
        <v>1308.5712464912058</v>
      </c>
      <c r="AB200" s="117">
        <v>1224.5427652510864</v>
      </c>
      <c r="AC200" s="117">
        <v>1314.2252920295296</v>
      </c>
      <c r="AD200" s="117">
        <v>1221.2032211602348</v>
      </c>
      <c r="AE200" s="117">
        <v>1305.2262176695006</v>
      </c>
      <c r="AF200" s="117">
        <v>1265.4574008299171</v>
      </c>
      <c r="AG200" s="117">
        <v>1310.1216999947446</v>
      </c>
      <c r="AH200" s="117">
        <v>1351.2910537147907</v>
      </c>
      <c r="AI200" s="117">
        <v>1435.4628502861883</v>
      </c>
      <c r="AJ200" s="117">
        <v>1501.5857118588856</v>
      </c>
      <c r="AK200" s="117">
        <v>1624.1243431267101</v>
      </c>
      <c r="AL200" s="117">
        <v>1688.8071583625519</v>
      </c>
      <c r="AM200" s="117">
        <v>1915.5758564546609</v>
      </c>
      <c r="AN200" s="117">
        <v>2033.9255715708259</v>
      </c>
      <c r="AO200" s="117">
        <v>2149.6620460368472</v>
      </c>
      <c r="AP200" s="117">
        <v>2118.8343164822572</v>
      </c>
      <c r="AQ200" s="117">
        <v>1787.8756736526841</v>
      </c>
      <c r="AR200" s="117">
        <v>1933.5380687903792</v>
      </c>
      <c r="AS200" s="117">
        <v>1765.1140992991873</v>
      </c>
      <c r="AT200" s="117">
        <v>1710.6383697252513</v>
      </c>
      <c r="AU200" s="117">
        <v>1779.1384992163144</v>
      </c>
      <c r="AV200" s="117">
        <v>2058.5583073755683</v>
      </c>
      <c r="AW200" s="117">
        <v>2348.4814380939138</v>
      </c>
      <c r="AX200" s="117">
        <v>2551.1755561679611</v>
      </c>
      <c r="AY200" s="117">
        <v>2647.0440986690141</v>
      </c>
      <c r="AZ200" s="117">
        <v>2879.0269277610655</v>
      </c>
      <c r="BA200" s="117">
        <v>3032.3366413651588</v>
      </c>
      <c r="BB200" s="117">
        <v>2652.4796043549886</v>
      </c>
      <c r="BC200" s="117">
        <v>2905.0225202869892</v>
      </c>
      <c r="BD200" s="117">
        <v>3401.318609745816</v>
      </c>
      <c r="BE200" s="117">
        <v>3568.8029603692162</v>
      </c>
      <c r="BF200" s="117">
        <v>3654.8266031520379</v>
      </c>
      <c r="BG200" s="117">
        <v>3919.6730528349744</v>
      </c>
      <c r="BH200" s="117">
        <v>3776.199421452412</v>
      </c>
      <c r="BI200" s="117">
        <v>3899.5806267406456</v>
      </c>
      <c r="BJ200" s="117">
        <v>4132.185270072835</v>
      </c>
      <c r="BK200" s="117">
        <v>4223.9584161938137</v>
      </c>
      <c r="BL200" s="117">
        <v>4192.9737613624302</v>
      </c>
    </row>
    <row r="201" spans="1:64" hidden="1">
      <c r="A201" s="117" t="s">
        <v>1166</v>
      </c>
      <c r="B201" s="117" t="s">
        <v>1167</v>
      </c>
      <c r="C201" s="117" t="s">
        <v>775</v>
      </c>
      <c r="D201" s="117" t="s">
        <v>776</v>
      </c>
      <c r="E201" s="117">
        <v>1381.4419452700827</v>
      </c>
      <c r="F201" s="117">
        <v>1440.0052709441256</v>
      </c>
      <c r="G201" s="117">
        <v>1535.8864307826107</v>
      </c>
      <c r="H201" s="117">
        <v>1634.8070543270399</v>
      </c>
      <c r="I201" s="117">
        <v>1763.0631655369043</v>
      </c>
      <c r="J201" s="117">
        <v>1894.4095156462886</v>
      </c>
      <c r="K201" s="117">
        <v>2056.6990019560963</v>
      </c>
      <c r="L201" s="117">
        <v>2186.9784331161168</v>
      </c>
      <c r="M201" s="117">
        <v>2352.7311239315</v>
      </c>
      <c r="N201" s="117">
        <v>2560.69619541784</v>
      </c>
      <c r="O201" s="117">
        <v>2773.9660784431994</v>
      </c>
      <c r="P201" s="117">
        <v>3048.7076453531818</v>
      </c>
      <c r="Q201" s="117">
        <v>3506.2399595445213</v>
      </c>
      <c r="R201" s="117">
        <v>4205.2386704034434</v>
      </c>
      <c r="S201" s="117">
        <v>4655.5339155028068</v>
      </c>
      <c r="T201" s="117">
        <v>5174.5964128539345</v>
      </c>
      <c r="U201" s="117">
        <v>5574.8993826378783</v>
      </c>
      <c r="V201" s="117">
        <v>6254.9120960503415</v>
      </c>
      <c r="W201" s="117">
        <v>7480.2138639718105</v>
      </c>
      <c r="X201" s="117">
        <v>8536.6882645587575</v>
      </c>
      <c r="Y201" s="117">
        <v>9384.6023591983212</v>
      </c>
      <c r="Z201" s="117">
        <v>9427.8595017793123</v>
      </c>
      <c r="AA201" s="117">
        <v>9330.1306939598453</v>
      </c>
      <c r="AB201" s="117">
        <v>9629.6503636668476</v>
      </c>
      <c r="AC201" s="117">
        <v>10012.253809623697</v>
      </c>
      <c r="AD201" s="117">
        <v>10488.798006909938</v>
      </c>
      <c r="AE201" s="117">
        <v>12744.086697839768</v>
      </c>
      <c r="AF201" s="117">
        <v>14692.873498294057</v>
      </c>
      <c r="AG201" s="117">
        <v>16455.917277300403</v>
      </c>
      <c r="AH201" s="117">
        <v>17081.257835673568</v>
      </c>
      <c r="AI201" s="117">
        <v>19050.798664462502</v>
      </c>
      <c r="AJ201" s="117">
        <v>19956.876854133057</v>
      </c>
      <c r="AK201" s="117">
        <v>21270.264843470784</v>
      </c>
      <c r="AL201" s="117">
        <v>21271.97046356674</v>
      </c>
      <c r="AM201" s="117">
        <v>22644.467568814765</v>
      </c>
      <c r="AN201" s="117">
        <v>24982.440117362155</v>
      </c>
      <c r="AO201" s="117">
        <v>24972.902121172683</v>
      </c>
      <c r="AP201" s="117">
        <v>24371.218874800939</v>
      </c>
      <c r="AQ201" s="117">
        <v>24368.349550677631</v>
      </c>
      <c r="AR201" s="117">
        <v>25458.775470840184</v>
      </c>
      <c r="AS201" s="117">
        <v>25755.2405687832</v>
      </c>
      <c r="AT201" s="117">
        <v>25398.329771591772</v>
      </c>
      <c r="AU201" s="117">
        <v>26354.277171629463</v>
      </c>
      <c r="AV201" s="117">
        <v>29410.489399268736</v>
      </c>
      <c r="AW201" s="117">
        <v>32511.386061642912</v>
      </c>
      <c r="AX201" s="117">
        <v>34054.572978125645</v>
      </c>
      <c r="AY201" s="117">
        <v>35653.00623601683</v>
      </c>
      <c r="AZ201" s="117">
        <v>38685.960175870969</v>
      </c>
      <c r="BA201" s="117">
        <v>40642.367225744878</v>
      </c>
      <c r="BB201" s="117">
        <v>38101.47887822146</v>
      </c>
      <c r="BC201" s="117">
        <v>39558.908541930497</v>
      </c>
      <c r="BD201" s="117">
        <v>42364.225758538836</v>
      </c>
      <c r="BE201" s="117">
        <v>42149.353818075695</v>
      </c>
      <c r="BF201" s="117">
        <v>42388.857881015145</v>
      </c>
      <c r="BG201" s="117">
        <v>43064.320418725161</v>
      </c>
      <c r="BH201" s="117">
        <v>40584.260962768334</v>
      </c>
      <c r="BI201" s="117">
        <v>41289.581441408809</v>
      </c>
      <c r="BJ201" s="117">
        <v>42879.591169800959</v>
      </c>
      <c r="BK201" s="117">
        <v>45289.6591891274</v>
      </c>
      <c r="BL201" s="117">
        <v>45578.12636711169</v>
      </c>
    </row>
    <row r="202" spans="1:64" hidden="1">
      <c r="A202" s="117" t="s">
        <v>1168</v>
      </c>
      <c r="B202" s="117" t="s">
        <v>1169</v>
      </c>
      <c r="C202" s="117" t="s">
        <v>775</v>
      </c>
      <c r="D202" s="117" t="s">
        <v>776</v>
      </c>
      <c r="E202" s="117"/>
      <c r="F202" s="117"/>
      <c r="G202" s="117"/>
      <c r="H202" s="117"/>
      <c r="I202" s="117"/>
      <c r="J202" s="117">
        <v>1889.323290346417</v>
      </c>
      <c r="K202" s="117">
        <v>2229.8219014155029</v>
      </c>
      <c r="L202" s="117">
        <v>2209.9541890009514</v>
      </c>
      <c r="M202" s="117">
        <v>2511.9513488513949</v>
      </c>
      <c r="N202" s="117">
        <v>2274.3285607779362</v>
      </c>
      <c r="O202" s="117">
        <v>2299.0723491307008</v>
      </c>
      <c r="P202" s="117">
        <v>2593.1833406765845</v>
      </c>
      <c r="Q202" s="117">
        <v>2751.125081620421</v>
      </c>
      <c r="R202" s="117">
        <v>3516.3368724385136</v>
      </c>
      <c r="S202" s="117">
        <v>4375.3583694414865</v>
      </c>
      <c r="T202" s="117">
        <v>5260.2604140055655</v>
      </c>
      <c r="U202" s="117">
        <v>5402.3721557732642</v>
      </c>
      <c r="V202" s="117">
        <v>5670.0801868281014</v>
      </c>
      <c r="W202" s="117">
        <v>6969.7408055866817</v>
      </c>
      <c r="X202" s="117">
        <v>8168.7750873528694</v>
      </c>
      <c r="Y202" s="117">
        <v>8885.4705689456259</v>
      </c>
      <c r="Z202" s="117">
        <v>8103.5046272101044</v>
      </c>
      <c r="AA202" s="117">
        <v>7907.6905838705152</v>
      </c>
      <c r="AB202" s="117">
        <v>7977.8280595027627</v>
      </c>
      <c r="AC202" s="117">
        <v>8005.8020852301797</v>
      </c>
      <c r="AD202" s="117">
        <v>8514.129363877897</v>
      </c>
      <c r="AE202" s="117">
        <v>12658.413224825319</v>
      </c>
      <c r="AF202" s="117">
        <v>13630.317435521249</v>
      </c>
      <c r="AG202" s="117">
        <v>14050.970008416969</v>
      </c>
      <c r="AH202" s="117">
        <v>13470.165011828765</v>
      </c>
      <c r="AI202" s="117">
        <v>15913.590479555247</v>
      </c>
      <c r="AJ202" s="117">
        <v>16038.049193010618</v>
      </c>
      <c r="AK202" s="117">
        <v>17169.124033139939</v>
      </c>
      <c r="AL202" s="117">
        <v>17539.713826740386</v>
      </c>
      <c r="AM202" s="117">
        <v>16444.078681810035</v>
      </c>
      <c r="AN202" s="117">
        <v>18261.826863393508</v>
      </c>
      <c r="AO202" s="117">
        <v>17788.149052945359</v>
      </c>
      <c r="AP202" s="117">
        <v>15723.213314789024</v>
      </c>
      <c r="AQ202" s="117">
        <v>16302.460583794436</v>
      </c>
      <c r="AR202" s="117">
        <v>16073.998792219492</v>
      </c>
      <c r="AS202" s="117">
        <v>14323.820820245042</v>
      </c>
      <c r="AT202" s="117"/>
      <c r="AU202" s="117"/>
      <c r="AV202" s="117"/>
      <c r="AW202" s="117"/>
      <c r="AX202" s="117"/>
      <c r="AY202" s="117"/>
      <c r="AZ202" s="117"/>
      <c r="BA202" s="117"/>
      <c r="BB202" s="117"/>
      <c r="BC202" s="117"/>
      <c r="BD202" s="117"/>
      <c r="BE202" s="117"/>
      <c r="BF202" s="117"/>
      <c r="BG202" s="117"/>
      <c r="BH202" s="117"/>
      <c r="BI202" s="117"/>
      <c r="BJ202" s="117"/>
      <c r="BK202" s="117"/>
      <c r="BL202" s="117"/>
    </row>
    <row r="203" spans="1:64" hidden="1">
      <c r="A203" s="117" t="s">
        <v>1170</v>
      </c>
      <c r="B203" s="117" t="s">
        <v>1171</v>
      </c>
      <c r="C203" s="117" t="s">
        <v>775</v>
      </c>
      <c r="D203" s="117" t="s">
        <v>776</v>
      </c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>
        <v>2755.7326167549513</v>
      </c>
      <c r="P203" s="117">
        <v>3246.688698527797</v>
      </c>
      <c r="Q203" s="117">
        <v>3910.0378599270057</v>
      </c>
      <c r="R203" s="117">
        <v>5583.4214904451728</v>
      </c>
      <c r="S203" s="117">
        <v>15631.998408035664</v>
      </c>
      <c r="T203" s="117">
        <v>15292.015782487091</v>
      </c>
      <c r="U203" s="117">
        <v>18905.609179025763</v>
      </c>
      <c r="V203" s="117">
        <v>19842.144888384832</v>
      </c>
      <c r="W203" s="117">
        <v>21109.556150793007</v>
      </c>
      <c r="X203" s="117">
        <v>27455.148719965349</v>
      </c>
      <c r="Y203" s="117">
        <v>35008.829742929556</v>
      </c>
      <c r="Z203" s="117">
        <v>34926.140634773714</v>
      </c>
      <c r="AA203" s="117">
        <v>27402.564024607051</v>
      </c>
      <c r="AB203" s="117">
        <v>20909.980109316686</v>
      </c>
      <c r="AC203" s="117">
        <v>19645.314658617834</v>
      </c>
      <c r="AD203" s="117">
        <v>16590.623786146716</v>
      </c>
      <c r="AE203" s="117">
        <v>12704.33436553892</v>
      </c>
      <c r="AF203" s="117">
        <v>12901.704334306169</v>
      </c>
      <c r="AG203" s="117">
        <v>13611.629789941575</v>
      </c>
      <c r="AH203" s="117">
        <v>14052.528943473082</v>
      </c>
      <c r="AI203" s="117">
        <v>15454.082328129627</v>
      </c>
      <c r="AJ203" s="117">
        <v>14124.29282987174</v>
      </c>
      <c r="AK203" s="117">
        <v>15434.459337531633</v>
      </c>
      <c r="AL203" s="117">
        <v>14270.973767288666</v>
      </c>
      <c r="AM203" s="117">
        <v>14544.09163998724</v>
      </c>
      <c r="AN203" s="117">
        <v>15849.720081376236</v>
      </c>
      <c r="AO203" s="117">
        <v>17337.421865143668</v>
      </c>
      <c r="AP203" s="117">
        <v>21104.72429698184</v>
      </c>
      <c r="AQ203" s="117">
        <v>18593.548916481792</v>
      </c>
      <c r="AR203" s="117">
        <v>21723.69996289476</v>
      </c>
      <c r="AS203" s="117">
        <v>29976.117039047022</v>
      </c>
      <c r="AT203" s="117">
        <v>28517.267205292803</v>
      </c>
      <c r="AU203" s="117">
        <v>30214.859009556199</v>
      </c>
      <c r="AV203" s="117">
        <v>34517.755092185849</v>
      </c>
      <c r="AW203" s="117">
        <v>42124.829005548578</v>
      </c>
      <c r="AX203" s="117">
        <v>51455.594194577527</v>
      </c>
      <c r="AY203" s="117">
        <v>59530.153540093772</v>
      </c>
      <c r="AZ203" s="117">
        <v>65421.752767969301</v>
      </c>
      <c r="BA203" s="117">
        <v>80234.470071349235</v>
      </c>
      <c r="BB203" s="117">
        <v>59094.444936917505</v>
      </c>
      <c r="BC203" s="117">
        <v>67403.160297810595</v>
      </c>
      <c r="BD203" s="117">
        <v>82409.580334547092</v>
      </c>
      <c r="BE203" s="117">
        <v>85076.147927399754</v>
      </c>
      <c r="BF203" s="117">
        <v>85050.910971682155</v>
      </c>
      <c r="BG203" s="117">
        <v>83858.528379872339</v>
      </c>
      <c r="BH203" s="117">
        <v>63039.016554807509</v>
      </c>
      <c r="BI203" s="117">
        <v>57163.060991835686</v>
      </c>
      <c r="BJ203" s="117">
        <v>61264.396477797905</v>
      </c>
      <c r="BK203" s="117">
        <v>68793.784437261362</v>
      </c>
      <c r="BL203" s="117">
        <v>64781.733197416856</v>
      </c>
    </row>
    <row r="204" spans="1:64" hidden="1">
      <c r="A204" s="117" t="s">
        <v>1172</v>
      </c>
      <c r="B204" s="117" t="s">
        <v>1173</v>
      </c>
      <c r="C204" s="117" t="s">
        <v>775</v>
      </c>
      <c r="D204" s="117" t="s">
        <v>776</v>
      </c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>
        <v>1673.8383638999469</v>
      </c>
      <c r="AG204" s="117">
        <v>1769.8899311440948</v>
      </c>
      <c r="AH204" s="117">
        <v>1817.9021008908303</v>
      </c>
      <c r="AI204" s="117">
        <v>1680.7056228722661</v>
      </c>
      <c r="AJ204" s="117">
        <v>1260.7490454512531</v>
      </c>
      <c r="AK204" s="117">
        <v>1102.1037847324649</v>
      </c>
      <c r="AL204" s="117">
        <v>1158.1325159134408</v>
      </c>
      <c r="AM204" s="117">
        <v>1323.1043250493226</v>
      </c>
      <c r="AN204" s="117">
        <v>1650.2764808003708</v>
      </c>
      <c r="AO204" s="117">
        <v>1633.0106435411728</v>
      </c>
      <c r="AP204" s="117">
        <v>1577.3233570877323</v>
      </c>
      <c r="AQ204" s="117">
        <v>1852.4673090041247</v>
      </c>
      <c r="AR204" s="117">
        <v>1599.8895330467685</v>
      </c>
      <c r="AS204" s="117">
        <v>1659.9076395454754</v>
      </c>
      <c r="AT204" s="117">
        <v>1825.1798045597939</v>
      </c>
      <c r="AU204" s="117">
        <v>2119.8826732391799</v>
      </c>
      <c r="AV204" s="117">
        <v>2679.4119095120927</v>
      </c>
      <c r="AW204" s="117">
        <v>3494.9445171830384</v>
      </c>
      <c r="AX204" s="117">
        <v>4617.9290164325794</v>
      </c>
      <c r="AY204" s="117">
        <v>5757.4964285718988</v>
      </c>
      <c r="AZ204" s="117">
        <v>8360.1663213248539</v>
      </c>
      <c r="BA204" s="117">
        <v>10435.04398410373</v>
      </c>
      <c r="BB204" s="117">
        <v>8548.1186721863851</v>
      </c>
      <c r="BC204" s="117">
        <v>8209.9194562169032</v>
      </c>
      <c r="BD204" s="117">
        <v>9104.9956220301901</v>
      </c>
      <c r="BE204" s="117">
        <v>8535.0468756266964</v>
      </c>
      <c r="BF204" s="117">
        <v>9555.2442173314048</v>
      </c>
      <c r="BG204" s="117">
        <v>10026.973578179408</v>
      </c>
      <c r="BH204" s="117">
        <v>8977.4373822716716</v>
      </c>
      <c r="BI204" s="117">
        <v>9567.1293448474407</v>
      </c>
      <c r="BJ204" s="117">
        <v>10807.795390717916</v>
      </c>
      <c r="BK204" s="117">
        <v>12408.596489129315</v>
      </c>
      <c r="BL204" s="117">
        <v>12919.529644190819</v>
      </c>
    </row>
    <row r="205" spans="1:64" hidden="1">
      <c r="A205" s="117" t="s">
        <v>1174</v>
      </c>
      <c r="B205" s="117" t="s">
        <v>1175</v>
      </c>
      <c r="C205" s="117" t="s">
        <v>775</v>
      </c>
      <c r="D205" s="117" t="s">
        <v>776</v>
      </c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>
        <v>3777.2353728423</v>
      </c>
      <c r="AH205" s="117">
        <v>3428.7621527086098</v>
      </c>
      <c r="AI205" s="117">
        <v>3492.7103142473002</v>
      </c>
      <c r="AJ205" s="117">
        <v>3490.45250498822</v>
      </c>
      <c r="AK205" s="117">
        <v>3098.8026393017699</v>
      </c>
      <c r="AL205" s="117">
        <v>2930.6702011349398</v>
      </c>
      <c r="AM205" s="117">
        <v>2662.1040342408701</v>
      </c>
      <c r="AN205" s="117">
        <v>2665.7798669998201</v>
      </c>
      <c r="AO205" s="117">
        <v>2643.9291959883299</v>
      </c>
      <c r="AP205" s="117">
        <v>2737.5720239892898</v>
      </c>
      <c r="AQ205" s="117">
        <v>1834.86184283035</v>
      </c>
      <c r="AR205" s="117">
        <v>1330.75723561155</v>
      </c>
      <c r="AS205" s="117">
        <v>1771.59405905827</v>
      </c>
      <c r="AT205" s="117">
        <v>2100.3525117182899</v>
      </c>
      <c r="AU205" s="117">
        <v>2377.5295774824399</v>
      </c>
      <c r="AV205" s="117">
        <v>2975.12535330125</v>
      </c>
      <c r="AW205" s="117">
        <v>4102.3648329979196</v>
      </c>
      <c r="AX205" s="117">
        <v>5323.4630826338398</v>
      </c>
      <c r="AY205" s="117">
        <v>6920.1891248329102</v>
      </c>
      <c r="AZ205" s="117">
        <v>9101.2550490567191</v>
      </c>
      <c r="BA205" s="117">
        <v>11635.272933788799</v>
      </c>
      <c r="BB205" s="117">
        <v>8562.8132771651508</v>
      </c>
      <c r="BC205" s="117">
        <v>10674.995782567499</v>
      </c>
      <c r="BD205" s="117">
        <v>14311.0843159612</v>
      </c>
      <c r="BE205" s="117">
        <v>15420.874541327301</v>
      </c>
      <c r="BF205" s="117">
        <v>15974.644627051701</v>
      </c>
      <c r="BG205" s="117">
        <v>14095.648742953999</v>
      </c>
      <c r="BH205" s="117">
        <v>9313.0136248499603</v>
      </c>
      <c r="BI205" s="117">
        <v>8704.8984132959395</v>
      </c>
      <c r="BJ205" s="117">
        <v>10720.3325853448</v>
      </c>
      <c r="BK205" s="117">
        <v>11370.8134559314</v>
      </c>
      <c r="BL205" s="117">
        <v>11584.995382610399</v>
      </c>
    </row>
    <row r="206" spans="1:64" hidden="1">
      <c r="A206" s="117" t="s">
        <v>1176</v>
      </c>
      <c r="B206" s="117" t="s">
        <v>1177</v>
      </c>
      <c r="C206" s="117" t="s">
        <v>775</v>
      </c>
      <c r="D206" s="117" t="s">
        <v>776</v>
      </c>
      <c r="E206" s="117">
        <v>40.537114616454247</v>
      </c>
      <c r="F206" s="117">
        <v>40.689390242885608</v>
      </c>
      <c r="G206" s="117">
        <v>40.944195358173246</v>
      </c>
      <c r="H206" s="117">
        <v>41.218270384769333</v>
      </c>
      <c r="I206" s="117">
        <v>41.083814461692974</v>
      </c>
      <c r="J206" s="117">
        <v>45.989353834038369</v>
      </c>
      <c r="K206" s="117">
        <v>37.488782888756816</v>
      </c>
      <c r="L206" s="117">
        <v>46.642769801470081</v>
      </c>
      <c r="M206" s="117">
        <v>48.784044502829161</v>
      </c>
      <c r="N206" s="117">
        <v>51.794609299367565</v>
      </c>
      <c r="O206" s="117">
        <v>58.525167418169893</v>
      </c>
      <c r="P206" s="117">
        <v>57.589071711159804</v>
      </c>
      <c r="Q206" s="117">
        <v>61.81188675045118</v>
      </c>
      <c r="R206" s="117">
        <v>70.803054140985353</v>
      </c>
      <c r="S206" s="117">
        <v>72.894419808368028</v>
      </c>
      <c r="T206" s="117">
        <v>131.01988902348117</v>
      </c>
      <c r="U206" s="117">
        <v>141.53101092341404</v>
      </c>
      <c r="V206" s="117">
        <v>160.38434615469652</v>
      </c>
      <c r="W206" s="117">
        <v>188.18475689155864</v>
      </c>
      <c r="X206" s="117">
        <v>222.81321457061898</v>
      </c>
      <c r="Y206" s="117">
        <v>243.48716901516011</v>
      </c>
      <c r="Z206" s="117">
        <v>264.02628504565826</v>
      </c>
      <c r="AA206" s="117">
        <v>255.63724448987062</v>
      </c>
      <c r="AB206" s="117">
        <v>260.0058559132525</v>
      </c>
      <c r="AC206" s="117">
        <v>268.9234589540377</v>
      </c>
      <c r="AD206" s="117">
        <v>279.1046464269059</v>
      </c>
      <c r="AE206" s="117">
        <v>301.79798401720984</v>
      </c>
      <c r="AF206" s="117">
        <v>318.20640629403835</v>
      </c>
      <c r="AG206" s="117">
        <v>337.95560496516623</v>
      </c>
      <c r="AH206" s="117">
        <v>330.4970304185008</v>
      </c>
      <c r="AI206" s="117">
        <v>349.87335755301524</v>
      </c>
      <c r="AJ206" s="117">
        <v>269.85015669484761</v>
      </c>
      <c r="AK206" s="117">
        <v>302.7384117956716</v>
      </c>
      <c r="AL206" s="117">
        <v>314.75135431927657</v>
      </c>
      <c r="AM206" s="117">
        <v>126.95472292315743</v>
      </c>
      <c r="AN206" s="117">
        <v>221.62873624404281</v>
      </c>
      <c r="AO206" s="117">
        <v>229.88695850716144</v>
      </c>
      <c r="AP206" s="117">
        <v>288.40916732208126</v>
      </c>
      <c r="AQ206" s="117">
        <v>285.71019184782728</v>
      </c>
      <c r="AR206" s="117">
        <v>242.31406568098586</v>
      </c>
      <c r="AS206" s="117">
        <v>218.68016274055461</v>
      </c>
      <c r="AT206" s="117">
        <v>203.45687145223383</v>
      </c>
      <c r="AU206" s="117">
        <v>199.067329815645</v>
      </c>
      <c r="AV206" s="117">
        <v>215.74898153570871</v>
      </c>
      <c r="AW206" s="117">
        <v>240.64929362971463</v>
      </c>
      <c r="AX206" s="117">
        <v>291.99668624408275</v>
      </c>
      <c r="AY206" s="117">
        <v>368.24889286439367</v>
      </c>
      <c r="AZ206" s="117">
        <v>440.33018087707751</v>
      </c>
      <c r="BA206" s="117">
        <v>545.75510054848087</v>
      </c>
      <c r="BB206" s="117">
        <v>582.05727679735287</v>
      </c>
      <c r="BC206" s="117">
        <v>612.34369905126334</v>
      </c>
      <c r="BD206" s="117">
        <v>671.50993999477566</v>
      </c>
      <c r="BE206" s="117">
        <v>728.6972971253706</v>
      </c>
      <c r="BF206" s="117">
        <v>726.18015685982255</v>
      </c>
      <c r="BG206" s="117">
        <v>747.00051156427924</v>
      </c>
      <c r="BH206" s="117">
        <v>754.90678900764078</v>
      </c>
      <c r="BI206" s="117">
        <v>748.50441814873852</v>
      </c>
      <c r="BJ206" s="117">
        <v>772.31847177542829</v>
      </c>
      <c r="BK206" s="117">
        <v>782.61814090487871</v>
      </c>
      <c r="BL206" s="117">
        <v>801.65618697880655</v>
      </c>
    </row>
    <row r="207" spans="1:64" hidden="1">
      <c r="A207" s="117" t="s">
        <v>1178</v>
      </c>
      <c r="B207" s="117" t="s">
        <v>1179</v>
      </c>
      <c r="C207" s="117" t="s">
        <v>775</v>
      </c>
      <c r="D207" s="117" t="s">
        <v>776</v>
      </c>
      <c r="E207" s="117">
        <v>82.347833718347275</v>
      </c>
      <c r="F207" s="117">
        <v>86.048623734652537</v>
      </c>
      <c r="G207" s="117">
        <v>89.913985612742124</v>
      </c>
      <c r="H207" s="117">
        <v>98.981501970714845</v>
      </c>
      <c r="I207" s="117">
        <v>110.87792020497923</v>
      </c>
      <c r="J207" s="117">
        <v>116.48794135902281</v>
      </c>
      <c r="K207" s="117">
        <v>95.802378065322685</v>
      </c>
      <c r="L207" s="117">
        <v>103.06568335751034</v>
      </c>
      <c r="M207" s="117">
        <v>105.61752997427551</v>
      </c>
      <c r="N207" s="117">
        <v>113.51173566991295</v>
      </c>
      <c r="O207" s="117">
        <v>120.13234372229468</v>
      </c>
      <c r="P207" s="117">
        <v>124.91113689444227</v>
      </c>
      <c r="Q207" s="117">
        <v>122.74976687884767</v>
      </c>
      <c r="R207" s="117">
        <v>137.16178133065151</v>
      </c>
      <c r="S207" s="117">
        <v>162.38035224664432</v>
      </c>
      <c r="T207" s="117">
        <v>169.81857960336279</v>
      </c>
      <c r="U207" s="117">
        <v>161.91008555138123</v>
      </c>
      <c r="V207" s="117">
        <v>183.11960363245208</v>
      </c>
      <c r="W207" s="117">
        <v>203.49106690532307</v>
      </c>
      <c r="X207" s="117">
        <v>222.57478817167174</v>
      </c>
      <c r="Y207" s="117">
        <v>262.08500206200483</v>
      </c>
      <c r="Z207" s="117">
        <v>271.32259870703729</v>
      </c>
      <c r="AA207" s="117">
        <v>274.1423642841043</v>
      </c>
      <c r="AB207" s="117">
        <v>283.44161467078908</v>
      </c>
      <c r="AC207" s="117">
        <v>275.59756856293228</v>
      </c>
      <c r="AD207" s="117">
        <v>292.81824153662188</v>
      </c>
      <c r="AE207" s="117">
        <v>303.09417988954846</v>
      </c>
      <c r="AF207" s="117">
        <v>328.996027069148</v>
      </c>
      <c r="AG207" s="117">
        <v>345.66822794432579</v>
      </c>
      <c r="AH207" s="117">
        <v>341.15248514699874</v>
      </c>
      <c r="AI207" s="117">
        <v>359.24247379048035</v>
      </c>
      <c r="AJ207" s="117">
        <v>312.66614791277027</v>
      </c>
      <c r="AK207" s="117">
        <v>324.91631936334005</v>
      </c>
      <c r="AL207" s="117">
        <v>315.00614141044224</v>
      </c>
      <c r="AM207" s="117">
        <v>349.87308783257856</v>
      </c>
      <c r="AN207" s="117">
        <v>380.36374677031159</v>
      </c>
      <c r="AO207" s="117">
        <v>407.76170255403485</v>
      </c>
      <c r="AP207" s="117">
        <v>419.33028433146058</v>
      </c>
      <c r="AQ207" s="117">
        <v>416.99301712822711</v>
      </c>
      <c r="AR207" s="117">
        <v>438.32529682295433</v>
      </c>
      <c r="AS207" s="117">
        <v>453.23760442319218</v>
      </c>
      <c r="AT207" s="117">
        <v>455.85813649781727</v>
      </c>
      <c r="AU207" s="117">
        <v>469.71218146942624</v>
      </c>
      <c r="AV207" s="117">
        <v>538.71113635721713</v>
      </c>
      <c r="AW207" s="117">
        <v>613.94779740106037</v>
      </c>
      <c r="AX207" s="117">
        <v>691.69261443255391</v>
      </c>
      <c r="AY207" s="117">
        <v>774.86379359949126</v>
      </c>
      <c r="AZ207" s="117">
        <v>959.30513618790474</v>
      </c>
      <c r="BA207" s="117">
        <v>959.46119709762695</v>
      </c>
      <c r="BB207" s="117">
        <v>1041.9943939554837</v>
      </c>
      <c r="BC207" s="117">
        <v>1257.4994394643727</v>
      </c>
      <c r="BD207" s="117">
        <v>1367.3131379374881</v>
      </c>
      <c r="BE207" s="117">
        <v>1364.4164031999874</v>
      </c>
      <c r="BF207" s="117">
        <v>1381.8566265977395</v>
      </c>
      <c r="BG207" s="117">
        <v>1494.4207653703811</v>
      </c>
      <c r="BH207" s="117">
        <v>1541.8036858143826</v>
      </c>
      <c r="BI207" s="117">
        <v>1651.0894625625799</v>
      </c>
      <c r="BJ207" s="117">
        <v>1866.8860665660825</v>
      </c>
      <c r="BK207" s="117">
        <v>1899.6092332366661</v>
      </c>
      <c r="BL207" s="117">
        <v>1959.917165486987</v>
      </c>
    </row>
    <row r="208" spans="1:64" hidden="1">
      <c r="A208" s="117" t="s">
        <v>1180</v>
      </c>
      <c r="B208" s="117" t="s">
        <v>1181</v>
      </c>
      <c r="C208" s="117" t="s">
        <v>775</v>
      </c>
      <c r="D208" s="117" t="s">
        <v>776</v>
      </c>
      <c r="E208" s="117"/>
      <c r="F208" s="117"/>
      <c r="G208" s="117"/>
      <c r="H208" s="117"/>
      <c r="I208" s="117"/>
      <c r="J208" s="117"/>
      <c r="K208" s="117"/>
      <c r="L208" s="117"/>
      <c r="M208" s="117">
        <v>777.2664070031766</v>
      </c>
      <c r="N208" s="117">
        <v>801.04545443001246</v>
      </c>
      <c r="O208" s="117">
        <v>921.34594409888257</v>
      </c>
      <c r="P208" s="117">
        <v>1177.7239495745841</v>
      </c>
      <c r="Q208" s="117">
        <v>1511.6851007516698</v>
      </c>
      <c r="R208" s="117">
        <v>2226.9908549499783</v>
      </c>
      <c r="S208" s="117">
        <v>6437.4160818150467</v>
      </c>
      <c r="T208" s="117">
        <v>6304.1191905693186</v>
      </c>
      <c r="U208" s="117">
        <v>8202.7774865966439</v>
      </c>
      <c r="V208" s="117">
        <v>9038.8631523220211</v>
      </c>
      <c r="W208" s="117">
        <v>9282.6481201692932</v>
      </c>
      <c r="X208" s="117">
        <v>12241.252996172474</v>
      </c>
      <c r="Y208" s="117">
        <v>16977.985402712329</v>
      </c>
      <c r="Z208" s="117">
        <v>17871.976067056272</v>
      </c>
      <c r="AA208" s="117">
        <v>13944.951084543191</v>
      </c>
      <c r="AB208" s="117">
        <v>11039.246413776797</v>
      </c>
      <c r="AC208" s="117">
        <v>9632.535398715976</v>
      </c>
      <c r="AD208" s="117">
        <v>7919.6510352318901</v>
      </c>
      <c r="AE208" s="117">
        <v>6304.254209321507</v>
      </c>
      <c r="AF208" s="117">
        <v>5932.286644780821</v>
      </c>
      <c r="AG208" s="117">
        <v>5856.3765456853607</v>
      </c>
      <c r="AH208" s="117">
        <v>6085.9601524877698</v>
      </c>
      <c r="AI208" s="117">
        <v>7246.0163666331182</v>
      </c>
      <c r="AJ208" s="117">
        <v>7883.24573806222</v>
      </c>
      <c r="AK208" s="117">
        <v>7932.0909378184379</v>
      </c>
      <c r="AL208" s="117">
        <v>7485.5413344537883</v>
      </c>
      <c r="AM208" s="117">
        <v>7421.2912310186093</v>
      </c>
      <c r="AN208" s="117">
        <v>7690.5775221203539</v>
      </c>
      <c r="AO208" s="117">
        <v>8335.8038664806463</v>
      </c>
      <c r="AP208" s="117">
        <v>8551.6742964976402</v>
      </c>
      <c r="AQ208" s="117">
        <v>7419.1600189735746</v>
      </c>
      <c r="AR208" s="117">
        <v>8007.9597803900033</v>
      </c>
      <c r="AS208" s="117">
        <v>9171.3301448009133</v>
      </c>
      <c r="AT208" s="117">
        <v>8684.6474007028628</v>
      </c>
      <c r="AU208" s="117">
        <v>8695.400072450233</v>
      </c>
      <c r="AV208" s="117">
        <v>9609.9669747402368</v>
      </c>
      <c r="AW208" s="117">
        <v>11185.133368164286</v>
      </c>
      <c r="AX208" s="117">
        <v>13791.446293644574</v>
      </c>
      <c r="AY208" s="117">
        <v>15384.740151926742</v>
      </c>
      <c r="AZ208" s="117">
        <v>16516.623620108567</v>
      </c>
      <c r="BA208" s="117">
        <v>20078.257789807467</v>
      </c>
      <c r="BB208" s="117">
        <v>16113.142485335848</v>
      </c>
      <c r="BC208" s="117">
        <v>19262.547681175703</v>
      </c>
      <c r="BD208" s="117">
        <v>23745.801614340424</v>
      </c>
      <c r="BE208" s="117">
        <v>25243.358698402448</v>
      </c>
      <c r="BF208" s="117">
        <v>24844.744370948662</v>
      </c>
      <c r="BG208" s="117">
        <v>24463.903163850067</v>
      </c>
      <c r="BH208" s="117">
        <v>20627.932782067484</v>
      </c>
      <c r="BI208" s="117">
        <v>19879.297530417749</v>
      </c>
      <c r="BJ208" s="117">
        <v>20803.742565732384</v>
      </c>
      <c r="BK208" s="117">
        <v>23338.963458112656</v>
      </c>
      <c r="BL208" s="117">
        <v>23139.798656121398</v>
      </c>
    </row>
    <row r="209" spans="1:64" hidden="1">
      <c r="A209" s="117" t="s">
        <v>1182</v>
      </c>
      <c r="B209" s="117" t="s">
        <v>1183</v>
      </c>
      <c r="C209" s="117" t="s">
        <v>775</v>
      </c>
      <c r="D209" s="117" t="s">
        <v>776</v>
      </c>
      <c r="E209" s="117">
        <v>125.85985110863</v>
      </c>
      <c r="F209" s="117">
        <v>133.082208643336</v>
      </c>
      <c r="G209" s="117">
        <v>140.72511070274001</v>
      </c>
      <c r="H209" s="117">
        <v>139.30990285850899</v>
      </c>
      <c r="I209" s="117">
        <v>139.22330274366399</v>
      </c>
      <c r="J209" s="117">
        <v>141.081952960678</v>
      </c>
      <c r="K209" s="117">
        <v>140.68589558983601</v>
      </c>
      <c r="L209" s="117">
        <v>147.99757978872901</v>
      </c>
      <c r="M209" s="117">
        <v>150.022652341943</v>
      </c>
      <c r="N209" s="117">
        <v>160.384112095056</v>
      </c>
      <c r="O209" s="117">
        <v>176.954053794033</v>
      </c>
      <c r="P209" s="117">
        <v>187.07687591759901</v>
      </c>
      <c r="Q209" s="117">
        <v>196.910890374747</v>
      </c>
      <c r="R209" s="117">
        <v>236.61714202531601</v>
      </c>
      <c r="S209" s="117">
        <v>294.98502349159298</v>
      </c>
      <c r="T209" s="117">
        <v>348.00981962112701</v>
      </c>
      <c r="U209" s="117">
        <v>419.93081751091802</v>
      </c>
      <c r="V209" s="117">
        <v>506.65983514113202</v>
      </c>
      <c r="W209" s="117">
        <v>431.81232711744298</v>
      </c>
      <c r="X209" s="117">
        <v>491.57731812265098</v>
      </c>
      <c r="Y209" s="117">
        <v>392.41478587421102</v>
      </c>
      <c r="Z209" s="117">
        <v>509.13052258449898</v>
      </c>
      <c r="AA209" s="117">
        <v>453.79629329954503</v>
      </c>
      <c r="AB209" s="117">
        <v>390.78122287896502</v>
      </c>
      <c r="AC209" s="117">
        <v>445.948353389413</v>
      </c>
      <c r="AD209" s="117">
        <v>552.97444740077697</v>
      </c>
      <c r="AE209" s="117">
        <v>683.06758027874901</v>
      </c>
      <c r="AF209" s="117">
        <v>849.61211694132601</v>
      </c>
      <c r="AG209" s="117">
        <v>632.335505920282</v>
      </c>
      <c r="AH209" s="117">
        <v>611.94852073564198</v>
      </c>
      <c r="AI209" s="117">
        <v>483.95259200785898</v>
      </c>
      <c r="AJ209" s="117">
        <v>432.47909790636203</v>
      </c>
      <c r="AK209" s="117">
        <v>260.51024387410502</v>
      </c>
      <c r="AL209" s="117">
        <v>320.48551653377598</v>
      </c>
      <c r="AM209" s="117">
        <v>449.710693665473</v>
      </c>
      <c r="AN209" s="117">
        <v>473.41338989192798</v>
      </c>
      <c r="AO209" s="117">
        <v>300.56493033889097</v>
      </c>
      <c r="AP209" s="117">
        <v>378.95467559544699</v>
      </c>
      <c r="AQ209" s="117">
        <v>355.15243086379098</v>
      </c>
      <c r="AR209" s="117">
        <v>328.068592591845</v>
      </c>
      <c r="AS209" s="117">
        <v>366.17280759380702</v>
      </c>
      <c r="AT209" s="117">
        <v>383.015998737117</v>
      </c>
      <c r="AU209" s="117">
        <v>418.25184131599599</v>
      </c>
      <c r="AV209" s="117">
        <v>484.84473514811901</v>
      </c>
      <c r="AW209" s="117">
        <v>573.30692611793904</v>
      </c>
      <c r="AX209" s="117">
        <v>689.20955696657904</v>
      </c>
      <c r="AY209" s="117">
        <v>905.309744891891</v>
      </c>
      <c r="AZ209" s="117">
        <v>1128.4103496544201</v>
      </c>
      <c r="BA209" s="117">
        <v>1304.5330505516999</v>
      </c>
      <c r="BB209" s="117">
        <v>1163.79695168321</v>
      </c>
      <c r="BC209" s="117">
        <v>1401.4774741677099</v>
      </c>
      <c r="BD209" s="117">
        <v>1437.7732945887999</v>
      </c>
      <c r="BE209" s="117">
        <v>1457.89458202637</v>
      </c>
      <c r="BF209" s="117">
        <v>1557.22831003842</v>
      </c>
      <c r="BG209" s="117">
        <v>1709.9996054196399</v>
      </c>
      <c r="BH209" s="117">
        <v>1909.7387545020699</v>
      </c>
      <c r="BI209" s="117">
        <v>1299.26119456743</v>
      </c>
      <c r="BJ209" s="117">
        <v>1111.8684489385801</v>
      </c>
      <c r="BK209" s="117">
        <v>623.86725239407599</v>
      </c>
      <c r="BL209" s="117">
        <v>441.505603374484</v>
      </c>
    </row>
    <row r="210" spans="1:64" hidden="1">
      <c r="A210" s="117" t="s">
        <v>1184</v>
      </c>
      <c r="B210" s="117" t="s">
        <v>1185</v>
      </c>
      <c r="C210" s="117" t="s">
        <v>775</v>
      </c>
      <c r="D210" s="117" t="s">
        <v>776</v>
      </c>
      <c r="E210" s="117">
        <v>312.99374368180634</v>
      </c>
      <c r="F210" s="117">
        <v>321.36143463126029</v>
      </c>
      <c r="G210" s="117">
        <v>320.50125501419029</v>
      </c>
      <c r="H210" s="117">
        <v>322.30073328852501</v>
      </c>
      <c r="I210" s="117">
        <v>332.08134085842687</v>
      </c>
      <c r="J210" s="117">
        <v>328.56343685214966</v>
      </c>
      <c r="K210" s="117">
        <v>329.05313971769345</v>
      </c>
      <c r="L210" s="117">
        <v>319.63967954865905</v>
      </c>
      <c r="M210" s="117">
        <v>326.19612157204386</v>
      </c>
      <c r="N210" s="117">
        <v>301.26731159475514</v>
      </c>
      <c r="O210" s="117">
        <v>304.73430532895924</v>
      </c>
      <c r="P210" s="117">
        <v>305.30748977070374</v>
      </c>
      <c r="Q210" s="117">
        <v>358.36737176700376</v>
      </c>
      <c r="R210" s="117">
        <v>399.8087096591027</v>
      </c>
      <c r="S210" s="117">
        <v>437.61582565908896</v>
      </c>
      <c r="T210" s="117">
        <v>574.13322949204723</v>
      </c>
      <c r="U210" s="117">
        <v>567.44380436069537</v>
      </c>
      <c r="V210" s="117">
        <v>567.02467796650569</v>
      </c>
      <c r="W210" s="117">
        <v>618.1555551188045</v>
      </c>
      <c r="X210" s="117">
        <v>751.02575844017258</v>
      </c>
      <c r="Y210" s="117">
        <v>794.36133388008818</v>
      </c>
      <c r="Z210" s="117">
        <v>700.58992534271397</v>
      </c>
      <c r="AA210" s="117">
        <v>666.14763893691975</v>
      </c>
      <c r="AB210" s="117">
        <v>576.7323601782947</v>
      </c>
      <c r="AC210" s="117">
        <v>545.62625901438753</v>
      </c>
      <c r="AD210" s="117">
        <v>579.48801296746967</v>
      </c>
      <c r="AE210" s="117">
        <v>795.1590438131434</v>
      </c>
      <c r="AF210" s="117">
        <v>928.0997778251334</v>
      </c>
      <c r="AG210" s="117">
        <v>890.55835752162614</v>
      </c>
      <c r="AH210" s="117">
        <v>851.61621894749408</v>
      </c>
      <c r="AI210" s="117">
        <v>961.57394647095362</v>
      </c>
      <c r="AJ210" s="117">
        <v>916.93076314477435</v>
      </c>
      <c r="AK210" s="117">
        <v>951.42852782196314</v>
      </c>
      <c r="AL210" s="117">
        <v>873.88309046108225</v>
      </c>
      <c r="AM210" s="117">
        <v>580.11770721875791</v>
      </c>
      <c r="AN210" s="117">
        <v>710.72451016330683</v>
      </c>
      <c r="AO210" s="117">
        <v>719.54334743952336</v>
      </c>
      <c r="AP210" s="117">
        <v>647.8293660378705</v>
      </c>
      <c r="AQ210" s="117">
        <v>681.26007257972594</v>
      </c>
      <c r="AR210" s="117">
        <v>680.57235043480955</v>
      </c>
      <c r="AS210" s="117">
        <v>604.65406601321115</v>
      </c>
      <c r="AT210" s="117">
        <v>615.2684717237064</v>
      </c>
      <c r="AU210" s="117">
        <v>656.62270773944704</v>
      </c>
      <c r="AV210" s="117">
        <v>823.72114508538391</v>
      </c>
      <c r="AW210" s="117">
        <v>940.55169182969348</v>
      </c>
      <c r="AX210" s="117">
        <v>993.93204109563931</v>
      </c>
      <c r="AY210" s="117">
        <v>1040.9039942562131</v>
      </c>
      <c r="AZ210" s="117">
        <v>1222.3729182258</v>
      </c>
      <c r="BA210" s="117">
        <v>1411.9293320615354</v>
      </c>
      <c r="BB210" s="117">
        <v>1317.2356874274485</v>
      </c>
      <c r="BC210" s="117">
        <v>1280.2254697215515</v>
      </c>
      <c r="BD210" s="117">
        <v>1373.5207890206741</v>
      </c>
      <c r="BE210" s="117">
        <v>1329.9813788030301</v>
      </c>
      <c r="BF210" s="117">
        <v>1376.0698157719232</v>
      </c>
      <c r="BG210" s="117">
        <v>1396.6582253392482</v>
      </c>
      <c r="BH210" s="117">
        <v>1219.2486624303667</v>
      </c>
      <c r="BI210" s="117">
        <v>1269.9021081051576</v>
      </c>
      <c r="BJ210" s="117">
        <v>1361.6995877849672</v>
      </c>
      <c r="BK210" s="117">
        <v>1465.5910064019088</v>
      </c>
      <c r="BL210" s="117">
        <v>1446.8309649940763</v>
      </c>
    </row>
    <row r="211" spans="1:64" hidden="1">
      <c r="A211" s="117" t="s">
        <v>1186</v>
      </c>
      <c r="B211" s="117" t="s">
        <v>1187</v>
      </c>
      <c r="C211" s="117" t="s">
        <v>775</v>
      </c>
      <c r="D211" s="117" t="s">
        <v>776</v>
      </c>
      <c r="E211" s="117">
        <v>428.05898002739582</v>
      </c>
      <c r="F211" s="117">
        <v>449.15107127874569</v>
      </c>
      <c r="G211" s="117">
        <v>472.08582445256525</v>
      </c>
      <c r="H211" s="117">
        <v>511.20557525277292</v>
      </c>
      <c r="I211" s="117">
        <v>485.53385820657377</v>
      </c>
      <c r="J211" s="117">
        <v>516.53530333900983</v>
      </c>
      <c r="K211" s="117">
        <v>566.80767755488614</v>
      </c>
      <c r="L211" s="117">
        <v>626.03352768569732</v>
      </c>
      <c r="M211" s="117">
        <v>708.60606646284577</v>
      </c>
      <c r="N211" s="117">
        <v>812.68279685201162</v>
      </c>
      <c r="O211" s="117">
        <v>925.80391294264984</v>
      </c>
      <c r="P211" s="117">
        <v>1071.4115403553799</v>
      </c>
      <c r="Q211" s="117">
        <v>1264.3751072098653</v>
      </c>
      <c r="R211" s="117">
        <v>1685.4597963216295</v>
      </c>
      <c r="S211" s="117">
        <v>2341.7055142363338</v>
      </c>
      <c r="T211" s="117">
        <v>2489.9115751759145</v>
      </c>
      <c r="U211" s="117">
        <v>2758.9403802847551</v>
      </c>
      <c r="V211" s="117">
        <v>2846.3359883285393</v>
      </c>
      <c r="W211" s="117">
        <v>3193.9056572235531</v>
      </c>
      <c r="X211" s="117">
        <v>3900.5335531087276</v>
      </c>
      <c r="Y211" s="117">
        <v>4928.1391178575395</v>
      </c>
      <c r="Z211" s="117">
        <v>5596.585977230684</v>
      </c>
      <c r="AA211" s="117">
        <v>6077.6342407093252</v>
      </c>
      <c r="AB211" s="117">
        <v>6633.2366736649074</v>
      </c>
      <c r="AC211" s="117">
        <v>7228.3175841064749</v>
      </c>
      <c r="AD211" s="117">
        <v>7001.7667477117038</v>
      </c>
      <c r="AE211" s="117">
        <v>6799.9303633267054</v>
      </c>
      <c r="AF211" s="117">
        <v>7539.0293021244306</v>
      </c>
      <c r="AG211" s="117">
        <v>8914.4412257472886</v>
      </c>
      <c r="AH211" s="117">
        <v>10394.538996240593</v>
      </c>
      <c r="AI211" s="117">
        <v>11861.75615913661</v>
      </c>
      <c r="AJ211" s="117">
        <v>14502.379993860553</v>
      </c>
      <c r="AK211" s="117">
        <v>16135.913652598629</v>
      </c>
      <c r="AL211" s="117">
        <v>18290.028237228213</v>
      </c>
      <c r="AM211" s="117">
        <v>21553.03089962629</v>
      </c>
      <c r="AN211" s="117">
        <v>24914.411255677973</v>
      </c>
      <c r="AO211" s="117">
        <v>26233.628896479451</v>
      </c>
      <c r="AP211" s="117">
        <v>26375.971950318941</v>
      </c>
      <c r="AQ211" s="117">
        <v>21829.299869766553</v>
      </c>
      <c r="AR211" s="117">
        <v>21796.084436057197</v>
      </c>
      <c r="AS211" s="117">
        <v>23852.327028597538</v>
      </c>
      <c r="AT211" s="117">
        <v>21700.020045831468</v>
      </c>
      <c r="AU211" s="117">
        <v>22159.688863274063</v>
      </c>
      <c r="AV211" s="117">
        <v>23730.152449648936</v>
      </c>
      <c r="AW211" s="117">
        <v>27608.537371274353</v>
      </c>
      <c r="AX211" s="117">
        <v>29961.263277456856</v>
      </c>
      <c r="AY211" s="117">
        <v>33769.154163350082</v>
      </c>
      <c r="AZ211" s="117">
        <v>39432.938349376091</v>
      </c>
      <c r="BA211" s="117">
        <v>40007.469261213977</v>
      </c>
      <c r="BB211" s="117">
        <v>38927.206881771519</v>
      </c>
      <c r="BC211" s="117">
        <v>47236.960234542057</v>
      </c>
      <c r="BD211" s="117">
        <v>53890.428727050443</v>
      </c>
      <c r="BE211" s="117">
        <v>55546.488538692131</v>
      </c>
      <c r="BF211" s="117">
        <v>56967.425794038332</v>
      </c>
      <c r="BG211" s="117">
        <v>57562.530793767844</v>
      </c>
      <c r="BH211" s="117">
        <v>55646.618746950466</v>
      </c>
      <c r="BI211" s="117">
        <v>56828.295347160056</v>
      </c>
      <c r="BJ211" s="117">
        <v>60913.745333493964</v>
      </c>
      <c r="BK211" s="117">
        <v>66188.779396179845</v>
      </c>
      <c r="BL211" s="117">
        <v>65233.282439230243</v>
      </c>
    </row>
    <row r="212" spans="1:64" hidden="1">
      <c r="A212" s="117" t="s">
        <v>1188</v>
      </c>
      <c r="B212" s="117" t="s">
        <v>1189</v>
      </c>
      <c r="C212" s="117" t="s">
        <v>775</v>
      </c>
      <c r="D212" s="117" t="s">
        <v>776</v>
      </c>
      <c r="E212" s="117"/>
      <c r="F212" s="117"/>
      <c r="G212" s="117"/>
      <c r="H212" s="117"/>
      <c r="I212" s="117"/>
      <c r="J212" s="117"/>
      <c r="K212" s="117"/>
      <c r="L212" s="117">
        <v>173.43823525508952</v>
      </c>
      <c r="M212" s="117">
        <v>187.37700414512059</v>
      </c>
      <c r="N212" s="117">
        <v>184.76013303649782</v>
      </c>
      <c r="O212" s="117"/>
      <c r="P212" s="117">
        <v>301.25349250362865</v>
      </c>
      <c r="Q212" s="117">
        <v>235.33028913393619</v>
      </c>
      <c r="R212" s="117">
        <v>308.25748776407471</v>
      </c>
      <c r="S212" s="117">
        <v>453.7928139915831</v>
      </c>
      <c r="T212" s="117">
        <v>385.81346872626278</v>
      </c>
      <c r="U212" s="117">
        <v>414.25484626860401</v>
      </c>
      <c r="V212" s="117">
        <v>448.05925852529549</v>
      </c>
      <c r="W212" s="117">
        <v>515.67426072240221</v>
      </c>
      <c r="X212" s="117">
        <v>678.82879129507273</v>
      </c>
      <c r="Y212" s="117">
        <v>731.80776546603215</v>
      </c>
      <c r="Z212" s="117">
        <v>785.61442324229415</v>
      </c>
      <c r="AA212" s="117">
        <v>764.65159673499727</v>
      </c>
      <c r="AB212" s="117">
        <v>707.96710203695295</v>
      </c>
      <c r="AC212" s="117">
        <v>962.38787373179025</v>
      </c>
      <c r="AD212" s="117">
        <v>857.89200834649921</v>
      </c>
      <c r="AE212" s="117">
        <v>755.77441176242144</v>
      </c>
      <c r="AF212" s="117">
        <v>831.75758917157839</v>
      </c>
      <c r="AG212" s="117">
        <v>1053.2670006288186</v>
      </c>
      <c r="AH212" s="117">
        <v>1095.6724025237722</v>
      </c>
      <c r="AI212" s="117">
        <v>970.01605462033251</v>
      </c>
      <c r="AJ212" s="117">
        <v>998.67538691442724</v>
      </c>
      <c r="AK212" s="117">
        <v>1147.8296555943016</v>
      </c>
      <c r="AL212" s="117">
        <v>1210.3634601922272</v>
      </c>
      <c r="AM212" s="117">
        <v>1330.6095622507009</v>
      </c>
      <c r="AN212" s="117">
        <v>1445.4816611914484</v>
      </c>
      <c r="AO212" s="117">
        <v>1529.4413353452683</v>
      </c>
      <c r="AP212" s="117">
        <v>1494.5289403695342</v>
      </c>
      <c r="AQ212" s="117">
        <v>1206.0031995893135</v>
      </c>
      <c r="AR212" s="117">
        <v>1200.7741612231607</v>
      </c>
      <c r="AS212" s="117">
        <v>1054.3882457350751</v>
      </c>
      <c r="AT212" s="117">
        <v>944.61403408274737</v>
      </c>
      <c r="AU212" s="117">
        <v>784.64982718644035</v>
      </c>
      <c r="AV212" s="117">
        <v>744.35255463039448</v>
      </c>
      <c r="AW212" s="117">
        <v>818.05886725519213</v>
      </c>
      <c r="AX212" s="117">
        <v>880.81299137565566</v>
      </c>
      <c r="AY212" s="117">
        <v>949.3376001334035</v>
      </c>
      <c r="AZ212" s="117">
        <v>1048.6500145484324</v>
      </c>
      <c r="BA212" s="117">
        <v>1208.3386178008884</v>
      </c>
      <c r="BB212" s="117">
        <v>1160.3016476315929</v>
      </c>
      <c r="BC212" s="117">
        <v>1290.3987858591313</v>
      </c>
      <c r="BD212" s="117">
        <v>1722.4181210759109</v>
      </c>
      <c r="BE212" s="117">
        <v>1913.2320125637332</v>
      </c>
      <c r="BF212" s="117">
        <v>1977.4514045231897</v>
      </c>
      <c r="BG212" s="117">
        <v>1996.781184389954</v>
      </c>
      <c r="BH212" s="117">
        <v>1914.4679297570483</v>
      </c>
      <c r="BI212" s="117">
        <v>1986.4162362744162</v>
      </c>
      <c r="BJ212" s="117">
        <v>2059.0454237007648</v>
      </c>
      <c r="BK212" s="117">
        <v>2137.6907004620084</v>
      </c>
      <c r="BL212" s="117">
        <v>2127.538507602721</v>
      </c>
    </row>
    <row r="213" spans="1:64" hidden="1">
      <c r="A213" s="117" t="s">
        <v>1190</v>
      </c>
      <c r="B213" s="117" t="s">
        <v>1191</v>
      </c>
      <c r="C213" s="117" t="s">
        <v>775</v>
      </c>
      <c r="D213" s="117" t="s">
        <v>776</v>
      </c>
      <c r="E213" s="117">
        <v>138.9387598255465</v>
      </c>
      <c r="F213" s="117">
        <v>139.36398445184798</v>
      </c>
      <c r="G213" s="117">
        <v>143.4720476603791</v>
      </c>
      <c r="H213" s="117">
        <v>143.62072101255566</v>
      </c>
      <c r="I213" s="117">
        <v>150.74921533711506</v>
      </c>
      <c r="J213" s="117">
        <v>143.28089223790167</v>
      </c>
      <c r="K213" s="117">
        <v>147.15593636881181</v>
      </c>
      <c r="L213" s="117">
        <v>134.31709466070234</v>
      </c>
      <c r="M213" s="117">
        <v>124.75703358674926</v>
      </c>
      <c r="N213" s="117">
        <v>151.74057102018207</v>
      </c>
      <c r="O213" s="117">
        <v>158.26142960290576</v>
      </c>
      <c r="P213" s="117">
        <v>149.90739532625781</v>
      </c>
      <c r="Q213" s="117">
        <v>163.01294418262538</v>
      </c>
      <c r="R213" s="117">
        <v>197.44672595720189</v>
      </c>
      <c r="S213" s="117">
        <v>218.07934185888877</v>
      </c>
      <c r="T213" s="117">
        <v>223.67515809782802</v>
      </c>
      <c r="U213" s="117">
        <v>191.7415091426293</v>
      </c>
      <c r="V213" s="117">
        <v>218.19145650952953</v>
      </c>
      <c r="W213" s="117">
        <v>296.44432782265034</v>
      </c>
      <c r="X213" s="117">
        <v>334.80409925050196</v>
      </c>
      <c r="Y213" s="117">
        <v>324.83029926939315</v>
      </c>
      <c r="Z213" s="117">
        <v>321.82342916696751</v>
      </c>
      <c r="AA213" s="117">
        <v>365.90386504721289</v>
      </c>
      <c r="AB213" s="117">
        <v>274.90231088415459</v>
      </c>
      <c r="AC213" s="117">
        <v>293.315961923038</v>
      </c>
      <c r="AD213" s="117">
        <v>225.18277707809801</v>
      </c>
      <c r="AE213" s="117">
        <v>125.15212651117199</v>
      </c>
      <c r="AF213" s="117">
        <v>173.67077605068823</v>
      </c>
      <c r="AG213" s="117">
        <v>253.83133212531484</v>
      </c>
      <c r="AH213" s="117">
        <v>219.29408682242422</v>
      </c>
      <c r="AI213" s="117">
        <v>150.38903226623304</v>
      </c>
      <c r="AJ213" s="117">
        <v>179.36133404807202</v>
      </c>
      <c r="AK213" s="117">
        <v>156.40321179474975</v>
      </c>
      <c r="AL213" s="117">
        <v>177.59759101366959</v>
      </c>
      <c r="AM213" s="117">
        <v>211.59247772412334</v>
      </c>
      <c r="AN213" s="117">
        <v>202.31585478358164</v>
      </c>
      <c r="AO213" s="117">
        <v>218.3665864015193</v>
      </c>
      <c r="AP213" s="117">
        <v>196.11511025924312</v>
      </c>
      <c r="AQ213" s="117">
        <v>153.45852702090767</v>
      </c>
      <c r="AR213" s="117">
        <v>150.00629011541167</v>
      </c>
      <c r="AS213" s="117">
        <v>138.6986922437776</v>
      </c>
      <c r="AT213" s="117">
        <v>229.37551478137709</v>
      </c>
      <c r="AU213" s="117">
        <v>252.39621027916158</v>
      </c>
      <c r="AV213" s="117">
        <v>266.44711034309699</v>
      </c>
      <c r="AW213" s="117">
        <v>266.56956753911214</v>
      </c>
      <c r="AX213" s="117">
        <v>292.34932524708506</v>
      </c>
      <c r="AY213" s="117">
        <v>323.38918487149829</v>
      </c>
      <c r="AZ213" s="117">
        <v>360.3721418086825</v>
      </c>
      <c r="BA213" s="117">
        <v>408.48074207498991</v>
      </c>
      <c r="BB213" s="117">
        <v>391.20100531652844</v>
      </c>
      <c r="BC213" s="117">
        <v>401.83500136683682</v>
      </c>
      <c r="BD213" s="117">
        <v>448.33752552786126</v>
      </c>
      <c r="BE213" s="117">
        <v>566.37865693749347</v>
      </c>
      <c r="BF213" s="117">
        <v>716.83530473477401</v>
      </c>
      <c r="BG213" s="117">
        <v>714.70071238869559</v>
      </c>
      <c r="BH213" s="117">
        <v>588.22845270284938</v>
      </c>
      <c r="BI213" s="117">
        <v>501.41571285783152</v>
      </c>
      <c r="BJ213" s="117">
        <v>499.38070781975983</v>
      </c>
      <c r="BK213" s="117">
        <v>533.99118425893596</v>
      </c>
      <c r="BL213" s="117">
        <v>504.46254336648008</v>
      </c>
    </row>
    <row r="214" spans="1:64" hidden="1">
      <c r="A214" s="117" t="s">
        <v>1192</v>
      </c>
      <c r="B214" s="117" t="s">
        <v>1193</v>
      </c>
      <c r="C214" s="117" t="s">
        <v>775</v>
      </c>
      <c r="D214" s="117" t="s">
        <v>776</v>
      </c>
      <c r="E214" s="117"/>
      <c r="F214" s="117"/>
      <c r="G214" s="117"/>
      <c r="H214" s="117"/>
      <c r="I214" s="117"/>
      <c r="J214" s="117">
        <v>274.17500256925831</v>
      </c>
      <c r="K214" s="117">
        <v>282.18990440662157</v>
      </c>
      <c r="L214" s="117">
        <v>288.18707539123858</v>
      </c>
      <c r="M214" s="117">
        <v>290.02560299446463</v>
      </c>
      <c r="N214" s="117">
        <v>293.38762337013867</v>
      </c>
      <c r="O214" s="117">
        <v>308.43970217812466</v>
      </c>
      <c r="P214" s="117">
        <v>314.61576596016135</v>
      </c>
      <c r="Q214" s="117">
        <v>326.76985469741362</v>
      </c>
      <c r="R214" s="117">
        <v>363.82991067712339</v>
      </c>
      <c r="S214" s="117">
        <v>410.28899627117477</v>
      </c>
      <c r="T214" s="117">
        <v>453.49212408525108</v>
      </c>
      <c r="U214" s="117">
        <v>548.15279663199692</v>
      </c>
      <c r="V214" s="117">
        <v>678.03816471197831</v>
      </c>
      <c r="W214" s="117">
        <v>706.61613965335152</v>
      </c>
      <c r="X214" s="117">
        <v>767.7989035560721</v>
      </c>
      <c r="Y214" s="117">
        <v>778.44817859814157</v>
      </c>
      <c r="Z214" s="117">
        <v>736.59067316651681</v>
      </c>
      <c r="AA214" s="117">
        <v>717.54373891895671</v>
      </c>
      <c r="AB214" s="117">
        <v>729.73886223226748</v>
      </c>
      <c r="AC214" s="117">
        <v>751.72594736026326</v>
      </c>
      <c r="AD214" s="117">
        <v>769.8029515838881</v>
      </c>
      <c r="AE214" s="117">
        <v>753.98038036629282</v>
      </c>
      <c r="AF214" s="117">
        <v>781.05908254838596</v>
      </c>
      <c r="AG214" s="117">
        <v>816.21982383952229</v>
      </c>
      <c r="AH214" s="117">
        <v>840.71330588266517</v>
      </c>
      <c r="AI214" s="117">
        <v>914.13092745416725</v>
      </c>
      <c r="AJ214" s="117">
        <v>983.18003188949569</v>
      </c>
      <c r="AK214" s="117">
        <v>1073.3110451500031</v>
      </c>
      <c r="AL214" s="117">
        <v>1216.7010625852727</v>
      </c>
      <c r="AM214" s="117">
        <v>1380.7076298665982</v>
      </c>
      <c r="AN214" s="117">
        <v>1585.1094588352344</v>
      </c>
      <c r="AO214" s="117">
        <v>1684.7859853657455</v>
      </c>
      <c r="AP214" s="117">
        <v>1778.8375757272004</v>
      </c>
      <c r="AQ214" s="117">
        <v>1886.359640309671</v>
      </c>
      <c r="AR214" s="117">
        <v>1930.6234929029781</v>
      </c>
      <c r="AS214" s="117">
        <v>2001.5380092446658</v>
      </c>
      <c r="AT214" s="117">
        <v>2072.2998424499656</v>
      </c>
      <c r="AU214" s="117">
        <v>2124.1028886291761</v>
      </c>
      <c r="AV214" s="117">
        <v>2209.4965079694507</v>
      </c>
      <c r="AW214" s="117">
        <v>2278.4318429057289</v>
      </c>
      <c r="AX214" s="117">
        <v>2428.5695118886379</v>
      </c>
      <c r="AY214" s="117">
        <v>2631.82041514301</v>
      </c>
      <c r="AZ214" s="117">
        <v>2786.1579217171843</v>
      </c>
      <c r="BA214" s="117">
        <v>2933.3956753717202</v>
      </c>
      <c r="BB214" s="117">
        <v>2858.4796301727629</v>
      </c>
      <c r="BC214" s="117">
        <v>2983.2427078490427</v>
      </c>
      <c r="BD214" s="117">
        <v>3266.0458753531079</v>
      </c>
      <c r="BE214" s="117">
        <v>3428.3847363938285</v>
      </c>
      <c r="BF214" s="117">
        <v>3509.5314926261594</v>
      </c>
      <c r="BG214" s="117">
        <v>3589.0421926289664</v>
      </c>
      <c r="BH214" s="117">
        <v>3705.5779459817704</v>
      </c>
      <c r="BI214" s="117">
        <v>3805.9936662847263</v>
      </c>
      <c r="BJ214" s="117">
        <v>3910.2571929590576</v>
      </c>
      <c r="BK214" s="117">
        <v>4067.6594488115397</v>
      </c>
      <c r="BL214" s="117">
        <v>4187.2500311068961</v>
      </c>
    </row>
    <row r="215" spans="1:64" hidden="1">
      <c r="A215" s="117" t="s">
        <v>1194</v>
      </c>
      <c r="B215" s="117" t="s">
        <v>1195</v>
      </c>
      <c r="C215" s="117" t="s">
        <v>775</v>
      </c>
      <c r="D215" s="117" t="s">
        <v>776</v>
      </c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>
        <v>40858.303834043538</v>
      </c>
      <c r="AS215" s="117">
        <v>36601.827552398419</v>
      </c>
      <c r="AT215" s="117">
        <v>38739.158602503354</v>
      </c>
      <c r="AU215" s="117">
        <v>41464.746433690532</v>
      </c>
      <c r="AV215" s="117">
        <v>51268.334178818084</v>
      </c>
      <c r="AW215" s="117">
        <v>59562.888735314446</v>
      </c>
      <c r="AX215" s="117">
        <v>60900.543288827139</v>
      </c>
      <c r="AY215" s="117">
        <v>64248.050698935149</v>
      </c>
      <c r="AZ215" s="117">
        <v>72709.796879787231</v>
      </c>
      <c r="BA215" s="117">
        <v>78643.550647924189</v>
      </c>
      <c r="BB215" s="117">
        <v>66722.699307555435</v>
      </c>
      <c r="BC215" s="117">
        <v>60239.340707033349</v>
      </c>
      <c r="BD215" s="117">
        <v>57286.655000295796</v>
      </c>
      <c r="BE215" s="117">
        <v>49985.34957018101</v>
      </c>
      <c r="BF215" s="117">
        <v>51572.568170723905</v>
      </c>
      <c r="BG215" s="117">
        <v>50806.534378386648</v>
      </c>
      <c r="BH215" s="117">
        <v>42650.317258336494</v>
      </c>
      <c r="BI215" s="117">
        <v>43842.385520560238</v>
      </c>
      <c r="BJ215" s="117">
        <v>45394.201027370415</v>
      </c>
      <c r="BK215" s="117">
        <v>48481.013304210697</v>
      </c>
      <c r="BL215" s="117"/>
    </row>
    <row r="216" spans="1:64" hidden="1">
      <c r="A216" s="117" t="s">
        <v>1196</v>
      </c>
      <c r="B216" s="117" t="s">
        <v>1197</v>
      </c>
      <c r="C216" s="117" t="s">
        <v>775</v>
      </c>
      <c r="D216" s="117" t="s">
        <v>776</v>
      </c>
      <c r="E216" s="117">
        <v>65.479597316672766</v>
      </c>
      <c r="F216" s="117">
        <v>68.106566382800665</v>
      </c>
      <c r="G216" s="117">
        <v>70.812975058686916</v>
      </c>
      <c r="H216" s="117">
        <v>73.607229323310079</v>
      </c>
      <c r="I216" s="117">
        <v>76.480449435862738</v>
      </c>
      <c r="J216" s="117">
        <v>79.428968473361039</v>
      </c>
      <c r="K216" s="117">
        <v>81.871270496335939</v>
      </c>
      <c r="L216" s="117">
        <v>84.198808069483903</v>
      </c>
      <c r="M216" s="117">
        <v>86.550138734112664</v>
      </c>
      <c r="N216" s="117">
        <v>90.457922806969009</v>
      </c>
      <c r="O216" s="117">
        <v>93.65470768550864</v>
      </c>
      <c r="P216" s="117">
        <v>95.353613887419755</v>
      </c>
      <c r="Q216" s="117">
        <v>119.81827550738339</v>
      </c>
      <c r="R216" s="117">
        <v>144.34467582819505</v>
      </c>
      <c r="S216" s="117">
        <v>128.70319826033534</v>
      </c>
      <c r="T216" s="117">
        <v>183.19503442756144</v>
      </c>
      <c r="U216" s="117">
        <v>188.6611130140557</v>
      </c>
      <c r="V216" s="117">
        <v>103.81845785941694</v>
      </c>
      <c r="W216" s="117">
        <v>105.11335306818718</v>
      </c>
      <c r="X216" s="117">
        <v>100.19419696188119</v>
      </c>
      <c r="Y216" s="117">
        <v>96.096127995710503</v>
      </c>
      <c r="Z216" s="117">
        <v>107.37216000333034</v>
      </c>
      <c r="AA216" s="117">
        <v>117.19346446528898</v>
      </c>
      <c r="AB216" s="117">
        <v>110.88488450034271</v>
      </c>
      <c r="AC216" s="117">
        <v>119.17478129265361</v>
      </c>
      <c r="AD216" s="117">
        <v>131.81738389843508</v>
      </c>
      <c r="AE216" s="117">
        <v>138.09611185281111</v>
      </c>
      <c r="AF216" s="117">
        <v>147.15134830656214</v>
      </c>
      <c r="AG216" s="117">
        <v>148.21650276021418</v>
      </c>
      <c r="AH216" s="117">
        <v>153.14081772999103</v>
      </c>
      <c r="AI216" s="117">
        <v>126.92492054255901</v>
      </c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7"/>
      <c r="BA216" s="117"/>
      <c r="BB216" s="117"/>
      <c r="BC216" s="117"/>
      <c r="BD216" s="117"/>
      <c r="BE216" s="117"/>
      <c r="BF216" s="117"/>
      <c r="BG216" s="117"/>
      <c r="BH216" s="117"/>
      <c r="BI216" s="117"/>
      <c r="BJ216" s="117"/>
      <c r="BK216" s="117"/>
      <c r="BL216" s="117"/>
    </row>
    <row r="217" spans="1:64" hidden="1">
      <c r="A217" s="117" t="s">
        <v>1198</v>
      </c>
      <c r="B217" s="117" t="s">
        <v>1199</v>
      </c>
      <c r="C217" s="117" t="s">
        <v>775</v>
      </c>
      <c r="D217" s="117" t="s">
        <v>776</v>
      </c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>
        <v>2207.454302617447</v>
      </c>
      <c r="AO217" s="117">
        <v>2864.0871715306953</v>
      </c>
      <c r="AP217" s="117">
        <v>3380.0436429200031</v>
      </c>
      <c r="AQ217" s="117">
        <v>2571.1727104145293</v>
      </c>
      <c r="AR217" s="117">
        <v>2571.3051767707479</v>
      </c>
      <c r="AS217" s="117">
        <v>914.78550926055539</v>
      </c>
      <c r="AT217" s="117">
        <v>1727.2811956552564</v>
      </c>
      <c r="AU217" s="117">
        <v>2283.8466849494112</v>
      </c>
      <c r="AV217" s="117">
        <v>3005.4263522448409</v>
      </c>
      <c r="AW217" s="117">
        <v>3502.8031534063548</v>
      </c>
      <c r="AX217" s="117">
        <v>3720.4791546743099</v>
      </c>
      <c r="AY217" s="117">
        <v>4382.617278516921</v>
      </c>
      <c r="AZ217" s="117">
        <v>5848.4764054510451</v>
      </c>
      <c r="BA217" s="117">
        <v>7101.0401411686234</v>
      </c>
      <c r="BB217" s="117">
        <v>6169.1141947782262</v>
      </c>
      <c r="BC217" s="117">
        <v>5735.4228565984877</v>
      </c>
      <c r="BD217" s="117">
        <v>6809.1598040014596</v>
      </c>
      <c r="BE217" s="117">
        <v>6015.9452275696904</v>
      </c>
      <c r="BF217" s="117">
        <v>6755.0735107059418</v>
      </c>
      <c r="BG217" s="117">
        <v>6600.0566499115976</v>
      </c>
      <c r="BH217" s="117">
        <v>5585.1178082606011</v>
      </c>
      <c r="BI217" s="117">
        <v>5756.3811935104359</v>
      </c>
      <c r="BJ217" s="117">
        <v>6284.1928037652342</v>
      </c>
      <c r="BK217" s="117">
        <v>7246.1919860705439</v>
      </c>
      <c r="BL217" s="117">
        <v>7402.3545586204091</v>
      </c>
    </row>
    <row r="218" spans="1:64" hidden="1">
      <c r="A218" s="117" t="s">
        <v>1200</v>
      </c>
      <c r="B218" s="117" t="s">
        <v>1201</v>
      </c>
      <c r="C218" s="117" t="s">
        <v>775</v>
      </c>
      <c r="D218" s="117" t="s">
        <v>776</v>
      </c>
      <c r="E218" s="117">
        <v>131.45295081603254</v>
      </c>
      <c r="F218" s="117">
        <v>133.46253121625986</v>
      </c>
      <c r="G218" s="117">
        <v>141.22754034040233</v>
      </c>
      <c r="H218" s="117">
        <v>157.97321726828682</v>
      </c>
      <c r="I218" s="117">
        <v>150.586399155452</v>
      </c>
      <c r="J218" s="117">
        <v>163.64636923618909</v>
      </c>
      <c r="K218" s="117">
        <v>172.27827005441128</v>
      </c>
      <c r="L218" s="117">
        <v>166.10351994792708</v>
      </c>
      <c r="M218" s="117">
        <v>173.22981934317389</v>
      </c>
      <c r="N218" s="117">
        <v>193.26306575741131</v>
      </c>
      <c r="O218" s="117">
        <v>221.38196042085224</v>
      </c>
      <c r="P218" s="117">
        <v>219.37112667572731</v>
      </c>
      <c r="Q218" s="117">
        <v>240.92603891223575</v>
      </c>
      <c r="R218" s="117">
        <v>299.78198603907339</v>
      </c>
      <c r="S218" s="117">
        <v>381.38073116364086</v>
      </c>
      <c r="T218" s="117">
        <v>408.86568172066558</v>
      </c>
      <c r="U218" s="117">
        <v>431.80530751848573</v>
      </c>
      <c r="V218" s="117">
        <v>461.04603850372195</v>
      </c>
      <c r="W218" s="117">
        <v>494.91785499854973</v>
      </c>
      <c r="X218" s="117">
        <v>578.8906412021347</v>
      </c>
      <c r="Y218" s="117">
        <v>710.52321491153975</v>
      </c>
      <c r="Z218" s="117">
        <v>966.35987045328795</v>
      </c>
      <c r="AA218" s="117">
        <v>863.65018415322766</v>
      </c>
      <c r="AB218" s="117">
        <v>730.49204960757663</v>
      </c>
      <c r="AC218" s="117">
        <v>620.05948118103129</v>
      </c>
      <c r="AD218" s="117">
        <v>569.37519108485833</v>
      </c>
      <c r="AE218" s="117">
        <v>567.2799586075223</v>
      </c>
      <c r="AF218" s="117">
        <v>628.74845943521962</v>
      </c>
      <c r="AG218" s="117">
        <v>629.16970838474003</v>
      </c>
      <c r="AH218" s="117">
        <v>607.79155902213506</v>
      </c>
      <c r="AI218" s="117">
        <v>663.37735321370053</v>
      </c>
      <c r="AJ218" s="117">
        <v>654.20713581160271</v>
      </c>
      <c r="AK218" s="117">
        <v>627.27758620657869</v>
      </c>
      <c r="AL218" s="117">
        <v>568.19434715925445</v>
      </c>
      <c r="AM218" s="117">
        <v>543.71948785068344</v>
      </c>
      <c r="AN218" s="117">
        <v>607.2154013028138</v>
      </c>
      <c r="AO218" s="117">
        <v>610.89646098190042</v>
      </c>
      <c r="AP218" s="117">
        <v>618.80754750308267</v>
      </c>
      <c r="AQ218" s="117">
        <v>581.49725778193681</v>
      </c>
      <c r="AR218" s="117">
        <v>572.79789496450769</v>
      </c>
      <c r="AS218" s="117">
        <v>594.23029871984511</v>
      </c>
      <c r="AT218" s="117">
        <v>552.30534918074534</v>
      </c>
      <c r="AU218" s="117">
        <v>586.80336530380544</v>
      </c>
      <c r="AV218" s="117">
        <v>716.63159868971252</v>
      </c>
      <c r="AW218" s="117">
        <v>869.74125378518136</v>
      </c>
      <c r="AX218" s="117">
        <v>1006.8030153906518</v>
      </c>
      <c r="AY218" s="117">
        <v>1165.8603196461795</v>
      </c>
      <c r="AZ218" s="117">
        <v>1317.7302318507172</v>
      </c>
      <c r="BA218" s="117">
        <v>1470.0654480383523</v>
      </c>
      <c r="BB218" s="117">
        <v>1363.4938497925591</v>
      </c>
      <c r="BC218" s="117">
        <v>1578.6275204055946</v>
      </c>
      <c r="BD218" s="117">
        <v>1733.9557811055515</v>
      </c>
      <c r="BE218" s="117">
        <v>1770.1596372002002</v>
      </c>
      <c r="BF218" s="117">
        <v>1838.0557435365072</v>
      </c>
      <c r="BG218" s="117">
        <v>1873.4918169151388</v>
      </c>
      <c r="BH218" s="117">
        <v>1662.5880276186519</v>
      </c>
      <c r="BI218" s="117">
        <v>1492.8511189833853</v>
      </c>
      <c r="BJ218" s="117">
        <v>1548.8015400679005</v>
      </c>
      <c r="BK218" s="117">
        <v>1576.7766152218799</v>
      </c>
      <c r="BL218" s="117">
        <v>1573.013687891656</v>
      </c>
    </row>
    <row r="219" spans="1:64" hidden="1">
      <c r="A219" s="117" t="s">
        <v>1202</v>
      </c>
      <c r="B219" s="117" t="s">
        <v>1203</v>
      </c>
      <c r="C219" s="117" t="s">
        <v>775</v>
      </c>
      <c r="D219" s="117" t="s">
        <v>776</v>
      </c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7"/>
      <c r="AM219" s="117"/>
      <c r="AN219" s="117"/>
      <c r="AO219" s="117"/>
      <c r="AP219" s="117"/>
      <c r="AQ219" s="117"/>
      <c r="AR219" s="117"/>
      <c r="AS219" s="117"/>
      <c r="AT219" s="117"/>
      <c r="AU219" s="117"/>
      <c r="AV219" s="117"/>
      <c r="AW219" s="117"/>
      <c r="AX219" s="117"/>
      <c r="AY219" s="117"/>
      <c r="AZ219" s="117"/>
      <c r="BA219" s="117">
        <v>1669.4924141124445</v>
      </c>
      <c r="BB219" s="117">
        <v>1337.8820841836907</v>
      </c>
      <c r="BC219" s="117">
        <v>1535.7081839684079</v>
      </c>
      <c r="BD219" s="117">
        <v>1516.4039148342702</v>
      </c>
      <c r="BE219" s="117">
        <v>1179.7398277289612</v>
      </c>
      <c r="BF219" s="117">
        <v>1779.4693342397989</v>
      </c>
      <c r="BG219" s="117">
        <v>1322.8202385054981</v>
      </c>
      <c r="BH219" s="117">
        <v>1119.6513326782342</v>
      </c>
      <c r="BI219" s="117"/>
      <c r="BJ219" s="117"/>
      <c r="BK219" s="117"/>
      <c r="BL219" s="117"/>
    </row>
    <row r="220" spans="1:64" hidden="1">
      <c r="A220" s="117" t="s">
        <v>1204</v>
      </c>
      <c r="B220" s="117" t="s">
        <v>1205</v>
      </c>
      <c r="C220" s="117" t="s">
        <v>775</v>
      </c>
      <c r="D220" s="117" t="s">
        <v>776</v>
      </c>
      <c r="E220" s="117">
        <v>131.71099561607073</v>
      </c>
      <c r="F220" s="117">
        <v>133.71664291098969</v>
      </c>
      <c r="G220" s="117">
        <v>141.49476519918389</v>
      </c>
      <c r="H220" s="117">
        <v>158.26849345847603</v>
      </c>
      <c r="I220" s="117">
        <v>150.87600800699806</v>
      </c>
      <c r="J220" s="117">
        <v>163.95533574591295</v>
      </c>
      <c r="K220" s="117">
        <v>172.60380968395776</v>
      </c>
      <c r="L220" s="117">
        <v>166.42164082198141</v>
      </c>
      <c r="M220" s="117">
        <v>173.55814707015077</v>
      </c>
      <c r="N220" s="117">
        <v>193.6263233724988</v>
      </c>
      <c r="O220" s="117">
        <v>221.80063133107643</v>
      </c>
      <c r="P220" s="117">
        <v>219.80479287372361</v>
      </c>
      <c r="Q220" s="117">
        <v>241.43163451532715</v>
      </c>
      <c r="R220" s="117">
        <v>300.41379161844361</v>
      </c>
      <c r="S220" s="117">
        <v>382.18029166685517</v>
      </c>
      <c r="T220" s="117">
        <v>409.73728780501534</v>
      </c>
      <c r="U220" s="117">
        <v>432.73149585089629</v>
      </c>
      <c r="V220" s="117">
        <v>462.24200809197799</v>
      </c>
      <c r="W220" s="117">
        <v>496.59193594920174</v>
      </c>
      <c r="X220" s="117">
        <v>580.90735876217445</v>
      </c>
      <c r="Y220" s="117">
        <v>711.82937408714372</v>
      </c>
      <c r="Z220" s="117">
        <v>966.83094798371496</v>
      </c>
      <c r="AA220" s="117">
        <v>864.19549759319295</v>
      </c>
      <c r="AB220" s="117">
        <v>731.41838414287531</v>
      </c>
      <c r="AC220" s="117">
        <v>621.14742661237608</v>
      </c>
      <c r="AD220" s="117">
        <v>570.68566941231768</v>
      </c>
      <c r="AE220" s="117">
        <v>569.52605475631231</v>
      </c>
      <c r="AF220" s="117">
        <v>631.76685880184641</v>
      </c>
      <c r="AG220" s="117">
        <v>632.7098629944071</v>
      </c>
      <c r="AH220" s="117">
        <v>611.41318920587855</v>
      </c>
      <c r="AI220" s="117">
        <v>667.82609401740194</v>
      </c>
      <c r="AJ220" s="117">
        <v>658.94708456032663</v>
      </c>
      <c r="AK220" s="117">
        <v>632.73756017222695</v>
      </c>
      <c r="AL220" s="117">
        <v>573.76918233785238</v>
      </c>
      <c r="AM220" s="117">
        <v>549.73109600288308</v>
      </c>
      <c r="AN220" s="117">
        <v>613.7940275998269</v>
      </c>
      <c r="AO220" s="117">
        <v>617.91807393360796</v>
      </c>
      <c r="AP220" s="117">
        <v>625.32377303969645</v>
      </c>
      <c r="AQ220" s="117">
        <v>587.95241138085385</v>
      </c>
      <c r="AR220" s="117">
        <v>579.38301236378948</v>
      </c>
      <c r="AS220" s="117">
        <v>601.0638721418286</v>
      </c>
      <c r="AT220" s="117">
        <v>558.97317588659894</v>
      </c>
      <c r="AU220" s="117">
        <v>593.65894864007657</v>
      </c>
      <c r="AV220" s="117">
        <v>724.43636635184123</v>
      </c>
      <c r="AW220" s="117">
        <v>878.27311405359217</v>
      </c>
      <c r="AX220" s="117">
        <v>1014.8323921484055</v>
      </c>
      <c r="AY220" s="117">
        <v>1174.2045741219129</v>
      </c>
      <c r="AZ220" s="117">
        <v>1327.0104103725967</v>
      </c>
      <c r="BA220" s="117">
        <v>1481.0017915516937</v>
      </c>
      <c r="BB220" s="117">
        <v>1373.1374657089386</v>
      </c>
      <c r="BC220" s="117">
        <v>1588.8179774109483</v>
      </c>
      <c r="BD220" s="117">
        <v>1745.4430567376091</v>
      </c>
      <c r="BE220" s="117">
        <v>1781.4331360474714</v>
      </c>
      <c r="BF220" s="117">
        <v>1849.693609503609</v>
      </c>
      <c r="BG220" s="117">
        <v>1885.47256318323</v>
      </c>
      <c r="BH220" s="117">
        <v>1673.4492905282216</v>
      </c>
      <c r="BI220" s="117">
        <v>1504.2384087157238</v>
      </c>
      <c r="BJ220" s="117">
        <v>1560.8873467414946</v>
      </c>
      <c r="BK220" s="117">
        <v>1589.4251561708136</v>
      </c>
      <c r="BL220" s="117">
        <v>1585.4364677479764</v>
      </c>
    </row>
    <row r="221" spans="1:64" hidden="1">
      <c r="A221" s="117" t="s">
        <v>1206</v>
      </c>
      <c r="B221" s="117" t="s">
        <v>1207</v>
      </c>
      <c r="C221" s="117" t="s">
        <v>775</v>
      </c>
      <c r="D221" s="117" t="s">
        <v>776</v>
      </c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>
        <v>462.607009508852</v>
      </c>
      <c r="P221" s="117">
        <v>511.09849941253646</v>
      </c>
      <c r="Q221" s="117">
        <v>591.45971923791012</v>
      </c>
      <c r="R221" s="117">
        <v>723.86781356302924</v>
      </c>
      <c r="S221" s="117">
        <v>1104.3643723900798</v>
      </c>
      <c r="T221" s="117">
        <v>1234.5658318736316</v>
      </c>
      <c r="U221" s="117">
        <v>1384.1206647702177</v>
      </c>
      <c r="V221" s="117">
        <v>1543.7283214898591</v>
      </c>
      <c r="W221" s="117">
        <v>1629.8796987304104</v>
      </c>
      <c r="X221" s="117">
        <v>1984.905104164128</v>
      </c>
      <c r="Y221" s="117">
        <v>2588.7692941485789</v>
      </c>
      <c r="Z221" s="117">
        <v>2621.5333674780218</v>
      </c>
      <c r="AA221" s="117">
        <v>2555.3798168809931</v>
      </c>
      <c r="AB221" s="117">
        <v>2421.6727865864382</v>
      </c>
      <c r="AC221" s="117">
        <v>2353.4106953712403</v>
      </c>
      <c r="AD221" s="117">
        <v>2219.9089038896955</v>
      </c>
      <c r="AE221" s="117">
        <v>2133.8307736813076</v>
      </c>
      <c r="AF221" s="117">
        <v>2387.8607551545842</v>
      </c>
      <c r="AG221" s="117">
        <v>2578.820759099176</v>
      </c>
      <c r="AH221" s="117">
        <v>2631.6667526768415</v>
      </c>
      <c r="AI221" s="117">
        <v>2986.7650994989854</v>
      </c>
      <c r="AJ221" s="117">
        <v>2993.873814605075</v>
      </c>
      <c r="AK221" s="117">
        <v>3134.754571141124</v>
      </c>
      <c r="AL221" s="117">
        <v>3041.9041521214967</v>
      </c>
      <c r="AM221" s="117">
        <v>3146.3204393539031</v>
      </c>
      <c r="AN221" s="117">
        <v>3506.9046211141058</v>
      </c>
      <c r="AO221" s="117">
        <v>3674.610879551682</v>
      </c>
      <c r="AP221" s="117">
        <v>3876.3776148433822</v>
      </c>
      <c r="AQ221" s="117">
        <v>3812.798482460692</v>
      </c>
      <c r="AR221" s="117">
        <v>4026.6442266313979</v>
      </c>
      <c r="AS221" s="117">
        <v>4386.8757718577062</v>
      </c>
      <c r="AT221" s="117">
        <v>4340.8421157786124</v>
      </c>
      <c r="AU221" s="117">
        <v>4579.5014538483738</v>
      </c>
      <c r="AV221" s="117">
        <v>5396.7066172109899</v>
      </c>
      <c r="AW221" s="117">
        <v>6394.5982978251259</v>
      </c>
      <c r="AX221" s="117">
        <v>7485.4630215000288</v>
      </c>
      <c r="AY221" s="117">
        <v>8512.4167327662472</v>
      </c>
      <c r="AZ221" s="117">
        <v>10004.669339426326</v>
      </c>
      <c r="BA221" s="117">
        <v>11784.969842213293</v>
      </c>
      <c r="BB221" s="117">
        <v>9878.8921706270121</v>
      </c>
      <c r="BC221" s="117">
        <v>11122.803013580304</v>
      </c>
      <c r="BD221" s="117">
        <v>13171.135958386749</v>
      </c>
      <c r="BE221" s="117">
        <v>13484.666856008442</v>
      </c>
      <c r="BF221" s="117">
        <v>13774.492183126056</v>
      </c>
      <c r="BG221" s="117">
        <v>13965.961727280024</v>
      </c>
      <c r="BH221" s="117">
        <v>11707.51848185961</v>
      </c>
      <c r="BI221" s="117">
        <v>11311.732900456409</v>
      </c>
      <c r="BJ221" s="117">
        <v>12135.83778960165</v>
      </c>
      <c r="BK221" s="117">
        <v>13158.70220046883</v>
      </c>
      <c r="BL221" s="117">
        <v>12730.944488417015</v>
      </c>
    </row>
    <row r="222" spans="1:64" hidden="1">
      <c r="A222" s="117" t="s">
        <v>1208</v>
      </c>
      <c r="B222" s="117" t="s">
        <v>1209</v>
      </c>
      <c r="C222" s="117" t="s">
        <v>775</v>
      </c>
      <c r="D222" s="117" t="s">
        <v>776</v>
      </c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7"/>
      <c r="AM222" s="117"/>
      <c r="AN222" s="117"/>
      <c r="AO222" s="117"/>
      <c r="AP222" s="117"/>
      <c r="AQ222" s="117"/>
      <c r="AR222" s="117"/>
      <c r="AS222" s="117"/>
      <c r="AT222" s="117">
        <v>524.68799478597941</v>
      </c>
      <c r="AU222" s="117">
        <v>577.6401565677395</v>
      </c>
      <c r="AV222" s="117">
        <v>678.69283957899484</v>
      </c>
      <c r="AW222" s="117">
        <v>745.31545188924417</v>
      </c>
      <c r="AX222" s="117">
        <v>866.50499563880305</v>
      </c>
      <c r="AY222" s="117">
        <v>883.06973148308271</v>
      </c>
      <c r="AZ222" s="117">
        <v>896.85161204896042</v>
      </c>
      <c r="BA222" s="117">
        <v>1098.7680609680144</v>
      </c>
      <c r="BB222" s="117">
        <v>1067.9141245596807</v>
      </c>
      <c r="BC222" s="117">
        <v>1094.7107173228726</v>
      </c>
      <c r="BD222" s="117">
        <v>1263.8680222770395</v>
      </c>
      <c r="BE222" s="117">
        <v>1340.5277021067716</v>
      </c>
      <c r="BF222" s="117">
        <v>1577.0182783171181</v>
      </c>
      <c r="BG222" s="117">
        <v>1782.7980593625232</v>
      </c>
      <c r="BH222" s="117">
        <v>1595.8646322225109</v>
      </c>
      <c r="BI222" s="117">
        <v>1710.1308978390271</v>
      </c>
      <c r="BJ222" s="117">
        <v>1811.0128258880959</v>
      </c>
      <c r="BK222" s="117">
        <v>2001.1369778050953</v>
      </c>
      <c r="BL222" s="117">
        <v>1994.9064671908939</v>
      </c>
    </row>
    <row r="223" spans="1:64" hidden="1">
      <c r="A223" s="117" t="s">
        <v>1210</v>
      </c>
      <c r="B223" s="117" t="s">
        <v>1211</v>
      </c>
      <c r="C223" s="117" t="s">
        <v>775</v>
      </c>
      <c r="D223" s="117" t="s">
        <v>776</v>
      </c>
      <c r="E223" s="117">
        <v>346.16199617189642</v>
      </c>
      <c r="F223" s="117">
        <v>363.95463577501721</v>
      </c>
      <c r="G223" s="117">
        <v>382.20437980223431</v>
      </c>
      <c r="H223" s="117">
        <v>403.75448393477097</v>
      </c>
      <c r="I223" s="117">
        <v>419.6459237518344</v>
      </c>
      <c r="J223" s="117">
        <v>468.63219592869132</v>
      </c>
      <c r="K223" s="117">
        <v>562.90254851282532</v>
      </c>
      <c r="L223" s="117">
        <v>634.81562446067994</v>
      </c>
      <c r="M223" s="117">
        <v>676.90366007572572</v>
      </c>
      <c r="N223" s="117">
        <v>714.15801416489035</v>
      </c>
      <c r="O223" s="117">
        <v>747.15096037028684</v>
      </c>
      <c r="P223" s="117">
        <v>815.19678471221653</v>
      </c>
      <c r="Q223" s="117">
        <v>847.90449760401407</v>
      </c>
      <c r="R223" s="117">
        <v>930.21662578956739</v>
      </c>
      <c r="S223" s="117">
        <v>1133.2247620048277</v>
      </c>
      <c r="T223" s="117">
        <v>1295.8416150278654</v>
      </c>
      <c r="U223" s="117">
        <v>1412.1965732931417</v>
      </c>
      <c r="V223" s="117">
        <v>1793.6078778948661</v>
      </c>
      <c r="W223" s="117">
        <v>2053.9012954518166</v>
      </c>
      <c r="X223" s="117">
        <v>2180.7713102464204</v>
      </c>
      <c r="Y223" s="117">
        <v>2211.2878596124269</v>
      </c>
      <c r="Z223" s="117">
        <v>2468.463915722366</v>
      </c>
      <c r="AA223" s="117">
        <v>2535.1878532638812</v>
      </c>
      <c r="AB223" s="117">
        <v>2438.7483576058034</v>
      </c>
      <c r="AC223" s="117">
        <v>2368.8561221496275</v>
      </c>
      <c r="AD223" s="117">
        <v>2368.1769106820243</v>
      </c>
      <c r="AE223" s="117">
        <v>2381.4614850056128</v>
      </c>
      <c r="AF223" s="117">
        <v>2571.9287103352171</v>
      </c>
      <c r="AG223" s="117">
        <v>2985.489134208151</v>
      </c>
      <c r="AH223" s="117">
        <v>1366.4580631350973</v>
      </c>
      <c r="AI223" s="117">
        <v>958.61469810054098</v>
      </c>
      <c r="AJ223" s="117">
        <v>1084.9747581748404</v>
      </c>
      <c r="AK223" s="117">
        <v>961.83333135229577</v>
      </c>
      <c r="AL223" s="117">
        <v>1001.7164822146879</v>
      </c>
      <c r="AM223" s="117">
        <v>1391.6009637063069</v>
      </c>
      <c r="AN223" s="117">
        <v>1565.2120233688654</v>
      </c>
      <c r="AO223" s="117">
        <v>1921.8797119264627</v>
      </c>
      <c r="AP223" s="117">
        <v>2039.8548091976193</v>
      </c>
      <c r="AQ223" s="117">
        <v>2415.778840487048</v>
      </c>
      <c r="AR223" s="117">
        <v>1904.4247186188179</v>
      </c>
      <c r="AS223" s="117">
        <v>2012.2602865638735</v>
      </c>
      <c r="AT223" s="117">
        <v>1750.5583708014099</v>
      </c>
      <c r="AU223" s="117">
        <v>2267.7210656321226</v>
      </c>
      <c r="AV223" s="117">
        <v>2611.35608621247</v>
      </c>
      <c r="AW223" s="117">
        <v>3006.189322222066</v>
      </c>
      <c r="AX223" s="117">
        <v>3590.626616315184</v>
      </c>
      <c r="AY223" s="117">
        <v>5197.717046831599</v>
      </c>
      <c r="AZ223" s="117">
        <v>5744.7597267072206</v>
      </c>
      <c r="BA223" s="117">
        <v>6831.9704105374913</v>
      </c>
      <c r="BB223" s="117">
        <v>7408.3891106582996</v>
      </c>
      <c r="BC223" s="117">
        <v>8255.7968587048017</v>
      </c>
      <c r="BD223" s="117">
        <v>8263.1729230538294</v>
      </c>
      <c r="BE223" s="117">
        <v>9201.0087853005571</v>
      </c>
      <c r="BF223" s="117">
        <v>9402.2331369556159</v>
      </c>
      <c r="BG223" s="117">
        <v>9472.0075995142743</v>
      </c>
      <c r="BH223" s="117">
        <v>8561.9741785514161</v>
      </c>
      <c r="BI223" s="117">
        <v>5539.0688719009449</v>
      </c>
      <c r="BJ223" s="117">
        <v>5626.7958159031696</v>
      </c>
      <c r="BK223" s="117">
        <v>6003.7230655710018</v>
      </c>
      <c r="BL223" s="117">
        <v>6854.9065614840874</v>
      </c>
    </row>
    <row r="224" spans="1:64" hidden="1">
      <c r="A224" s="117" t="s">
        <v>1212</v>
      </c>
      <c r="B224" s="117" t="s">
        <v>1213</v>
      </c>
      <c r="C224" s="117" t="s">
        <v>775</v>
      </c>
      <c r="D224" s="117" t="s">
        <v>776</v>
      </c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>
        <v>2405.5351364479452</v>
      </c>
      <c r="AJ224" s="117">
        <v>2691.1956056407662</v>
      </c>
      <c r="AK224" s="117">
        <v>2920.9175667306349</v>
      </c>
      <c r="AL224" s="117">
        <v>3102.2967927958598</v>
      </c>
      <c r="AM224" s="117">
        <v>3771.359427020675</v>
      </c>
      <c r="AN224" s="117">
        <v>4819.1255547098681</v>
      </c>
      <c r="AO224" s="117">
        <v>5196.940379659316</v>
      </c>
      <c r="AP224" s="117">
        <v>5146.6710782708424</v>
      </c>
      <c r="AQ224" s="117">
        <v>5538.616464771836</v>
      </c>
      <c r="AR224" s="117">
        <v>5643.6751092567029</v>
      </c>
      <c r="AS224" s="117">
        <v>5413.1506206880686</v>
      </c>
      <c r="AT224" s="117">
        <v>5717.2170896901662</v>
      </c>
      <c r="AU224" s="117">
        <v>6533.5532130373222</v>
      </c>
      <c r="AV224" s="117">
        <v>8712.6987931205895</v>
      </c>
      <c r="AW224" s="117">
        <v>10671.821861063212</v>
      </c>
      <c r="AX224" s="117">
        <v>11685.754822439145</v>
      </c>
      <c r="AY224" s="117">
        <v>13159.759441396442</v>
      </c>
      <c r="AZ224" s="117">
        <v>16085.61152333805</v>
      </c>
      <c r="BA224" s="117">
        <v>18677.292710931772</v>
      </c>
      <c r="BB224" s="117">
        <v>16531.670514070618</v>
      </c>
      <c r="BC224" s="117">
        <v>16727.291326461906</v>
      </c>
      <c r="BD224" s="117">
        <v>18338.362228843682</v>
      </c>
      <c r="BE224" s="117">
        <v>17460.046809354935</v>
      </c>
      <c r="BF224" s="117">
        <v>18236.980788886707</v>
      </c>
      <c r="BG224" s="117">
        <v>18670.930171122654</v>
      </c>
      <c r="BH224" s="117">
        <v>16309.073235591984</v>
      </c>
      <c r="BI224" s="117">
        <v>16505.975046556068</v>
      </c>
      <c r="BJ224" s="117">
        <v>17554.308321044358</v>
      </c>
      <c r="BK224" s="117">
        <v>19428.11621357327</v>
      </c>
      <c r="BL224" s="117">
        <v>19329.096800790216</v>
      </c>
    </row>
    <row r="225" spans="1:64" hidden="1">
      <c r="A225" s="117" t="s">
        <v>1214</v>
      </c>
      <c r="B225" s="117" t="s">
        <v>1215</v>
      </c>
      <c r="C225" s="117" t="s">
        <v>775</v>
      </c>
      <c r="D225" s="117" t="s">
        <v>776</v>
      </c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>
        <v>9107.4770794118067</v>
      </c>
      <c r="AJ225" s="117">
        <v>6633.7382801050571</v>
      </c>
      <c r="AK225" s="117">
        <v>6562.0183960983604</v>
      </c>
      <c r="AL225" s="117">
        <v>6656.9333756816504</v>
      </c>
      <c r="AM225" s="117">
        <v>7564.7411840142377</v>
      </c>
      <c r="AN225" s="117">
        <v>10730.450912031549</v>
      </c>
      <c r="AO225" s="117">
        <v>10815.111223835158</v>
      </c>
      <c r="AP225" s="117">
        <v>10454.965563505059</v>
      </c>
      <c r="AQ225" s="117">
        <v>11175.771101424436</v>
      </c>
      <c r="AR225" s="117">
        <v>11452.782792092277</v>
      </c>
      <c r="AS225" s="117">
        <v>10201.303536672682</v>
      </c>
      <c r="AT225" s="117">
        <v>10479.759432706978</v>
      </c>
      <c r="AU225" s="117">
        <v>11777.155507845127</v>
      </c>
      <c r="AV225" s="117">
        <v>14849.036951633314</v>
      </c>
      <c r="AW225" s="117">
        <v>17233.138561127915</v>
      </c>
      <c r="AX225" s="117">
        <v>18098.908730500043</v>
      </c>
      <c r="AY225" s="117">
        <v>19672.96549290184</v>
      </c>
      <c r="AZ225" s="117">
        <v>23787.646692313552</v>
      </c>
      <c r="BA225" s="117">
        <v>27483.336952458081</v>
      </c>
      <c r="BB225" s="117">
        <v>24694.230555783462</v>
      </c>
      <c r="BC225" s="117">
        <v>23509.543394149317</v>
      </c>
      <c r="BD225" s="117">
        <v>25095.132628207117</v>
      </c>
      <c r="BE225" s="117">
        <v>22643.100251500691</v>
      </c>
      <c r="BF225" s="117">
        <v>23496.602305967263</v>
      </c>
      <c r="BG225" s="117">
        <v>24214.922071727338</v>
      </c>
      <c r="BH225" s="117">
        <v>20881.766768694673</v>
      </c>
      <c r="BI225" s="117">
        <v>21622.580683575976</v>
      </c>
      <c r="BJ225" s="117">
        <v>23500.752230870352</v>
      </c>
      <c r="BK225" s="117">
        <v>26054.542104978438</v>
      </c>
      <c r="BL225" s="117">
        <v>25739.247814324583</v>
      </c>
    </row>
    <row r="226" spans="1:64" hidden="1">
      <c r="A226" s="117" t="s">
        <v>1216</v>
      </c>
      <c r="B226" s="117" t="s">
        <v>1217</v>
      </c>
      <c r="C226" s="117" t="s">
        <v>775</v>
      </c>
      <c r="D226" s="117" t="s">
        <v>776</v>
      </c>
      <c r="E226" s="117">
        <v>2114.0029726919179</v>
      </c>
      <c r="F226" s="117">
        <v>2288.9217011191495</v>
      </c>
      <c r="G226" s="117">
        <v>2468.6945890300576</v>
      </c>
      <c r="H226" s="117">
        <v>2657.0225047820313</v>
      </c>
      <c r="I226" s="117">
        <v>2941.0488994520379</v>
      </c>
      <c r="J226" s="117">
        <v>3206.0991702033893</v>
      </c>
      <c r="K226" s="117">
        <v>3454.4297893867879</v>
      </c>
      <c r="L226" s="117">
        <v>3720.9268452772094</v>
      </c>
      <c r="M226" s="117">
        <v>3926.4090014696517</v>
      </c>
      <c r="N226" s="117">
        <v>4234.161348210183</v>
      </c>
      <c r="O226" s="117">
        <v>4736.2171489707798</v>
      </c>
      <c r="P226" s="117">
        <v>5132.7116074255173</v>
      </c>
      <c r="Q226" s="117">
        <v>6027.1285043437838</v>
      </c>
      <c r="R226" s="117">
        <v>7301.2154287002286</v>
      </c>
      <c r="S226" s="117">
        <v>8089.9145819063215</v>
      </c>
      <c r="T226" s="117">
        <v>10117.306681327533</v>
      </c>
      <c r="U226" s="117">
        <v>10868.27576575461</v>
      </c>
      <c r="V226" s="117">
        <v>11448.619383114088</v>
      </c>
      <c r="W226" s="117">
        <v>12620.51861415118</v>
      </c>
      <c r="X226" s="117">
        <v>14877.164277104988</v>
      </c>
      <c r="Y226" s="117">
        <v>17097.832645519607</v>
      </c>
      <c r="Z226" s="117">
        <v>15586.430070883873</v>
      </c>
      <c r="AA226" s="117">
        <v>13738.972294213623</v>
      </c>
      <c r="AB226" s="117">
        <v>12608.229149020584</v>
      </c>
      <c r="AC226" s="117">
        <v>13099.020837076825</v>
      </c>
      <c r="AD226" s="117">
        <v>13666.857738514258</v>
      </c>
      <c r="AE226" s="117">
        <v>17981.019418649328</v>
      </c>
      <c r="AF226" s="117">
        <v>21792.558904104077</v>
      </c>
      <c r="AG226" s="117">
        <v>24534.693816419072</v>
      </c>
      <c r="AH226" s="117">
        <v>25662.220596556053</v>
      </c>
      <c r="AI226" s="117">
        <v>30593.672448724101</v>
      </c>
      <c r="AJ226" s="117">
        <v>31822.803852074507</v>
      </c>
      <c r="AK226" s="117">
        <v>32800.982682792725</v>
      </c>
      <c r="AL226" s="117">
        <v>24425.284928111811</v>
      </c>
      <c r="AM226" s="117">
        <v>26083.614387483787</v>
      </c>
      <c r="AN226" s="117">
        <v>30282.963920006623</v>
      </c>
      <c r="AO226" s="117">
        <v>32998.968160843237</v>
      </c>
      <c r="AP226" s="117">
        <v>30312.48759931028</v>
      </c>
      <c r="AQ226" s="117">
        <v>30596.527204883238</v>
      </c>
      <c r="AR226" s="117">
        <v>30941.0793624668</v>
      </c>
      <c r="AS226" s="117">
        <v>29624.91267486176</v>
      </c>
      <c r="AT226" s="117">
        <v>27247.857734792986</v>
      </c>
      <c r="AU226" s="117">
        <v>29899.19524950812</v>
      </c>
      <c r="AV226" s="117">
        <v>37321.797904705898</v>
      </c>
      <c r="AW226" s="117">
        <v>42821.673142335829</v>
      </c>
      <c r="AX226" s="117">
        <v>43437.063116477562</v>
      </c>
      <c r="AY226" s="117">
        <v>46593.602164611097</v>
      </c>
      <c r="AZ226" s="117">
        <v>53700.005336306276</v>
      </c>
      <c r="BA226" s="117">
        <v>56152.552340314003</v>
      </c>
      <c r="BB226" s="117">
        <v>46946.960271995427</v>
      </c>
      <c r="BC226" s="117">
        <v>52869.044289158664</v>
      </c>
      <c r="BD226" s="117">
        <v>60755.759550846473</v>
      </c>
      <c r="BE226" s="117">
        <v>58037.821319217262</v>
      </c>
      <c r="BF226" s="117">
        <v>61126.943196397886</v>
      </c>
      <c r="BG226" s="117">
        <v>60020.360457657203</v>
      </c>
      <c r="BH226" s="117">
        <v>51545.483609532152</v>
      </c>
      <c r="BI226" s="117">
        <v>51965.157153198517</v>
      </c>
      <c r="BJ226" s="117">
        <v>53791.50872984028</v>
      </c>
      <c r="BK226" s="117">
        <v>54589.060386060613</v>
      </c>
      <c r="BL226" s="117">
        <v>51610.066055220166</v>
      </c>
    </row>
    <row r="227" spans="1:64" hidden="1">
      <c r="A227" s="117" t="s">
        <v>1218</v>
      </c>
      <c r="B227" s="117" t="s">
        <v>1219</v>
      </c>
      <c r="C227" s="117" t="s">
        <v>775</v>
      </c>
      <c r="D227" s="117" t="s">
        <v>776</v>
      </c>
      <c r="E227" s="117">
        <v>104.2125076929924</v>
      </c>
      <c r="F227" s="117">
        <v>125.31185686702902</v>
      </c>
      <c r="G227" s="117">
        <v>131.16171494639767</v>
      </c>
      <c r="H227" s="117">
        <v>151.4961920010841</v>
      </c>
      <c r="I227" s="117">
        <v>177.96594128645143</v>
      </c>
      <c r="J227" s="117">
        <v>187.95138633798078</v>
      </c>
      <c r="K227" s="117">
        <v>200.24298205630518</v>
      </c>
      <c r="L227" s="117">
        <v>189.37854130491263</v>
      </c>
      <c r="M227" s="117">
        <v>196.30313951557753</v>
      </c>
      <c r="N227" s="117">
        <v>251.74602240055964</v>
      </c>
      <c r="O227" s="117">
        <v>260.02777312819876</v>
      </c>
      <c r="P227" s="117">
        <v>307.37025653308046</v>
      </c>
      <c r="Q227" s="117">
        <v>321.06943053767804</v>
      </c>
      <c r="R227" s="117">
        <v>471.57108309705325</v>
      </c>
      <c r="S227" s="117">
        <v>545.25536744442718</v>
      </c>
      <c r="T227" s="117">
        <v>576.87925550679904</v>
      </c>
      <c r="U227" s="117">
        <v>528.58732937042657</v>
      </c>
      <c r="V227" s="117">
        <v>571.23931553465695</v>
      </c>
      <c r="W227" s="117">
        <v>619.53229078601191</v>
      </c>
      <c r="X227" s="117">
        <v>725.11394870976198</v>
      </c>
      <c r="Y227" s="117">
        <v>921.99223896023034</v>
      </c>
      <c r="Z227" s="117">
        <v>939.45013737765601</v>
      </c>
      <c r="AA227" s="117">
        <v>853.55127307020291</v>
      </c>
      <c r="AB227" s="117">
        <v>851.59235068643477</v>
      </c>
      <c r="AC227" s="117">
        <v>732.29730489153633</v>
      </c>
      <c r="AD227" s="117">
        <v>516.41427370030635</v>
      </c>
      <c r="AE227" s="117">
        <v>620.71546696024495</v>
      </c>
      <c r="AF227" s="117">
        <v>780.27062685193061</v>
      </c>
      <c r="AG227" s="117">
        <v>894.34651512744415</v>
      </c>
      <c r="AH227" s="117">
        <v>872.77310112880298</v>
      </c>
      <c r="AI227" s="117">
        <v>1355.3939448960432</v>
      </c>
      <c r="AJ227" s="117">
        <v>1367.7848136966566</v>
      </c>
      <c r="AK227" s="117">
        <v>1481.8645989317085</v>
      </c>
      <c r="AL227" s="117">
        <v>1528.8924438341562</v>
      </c>
      <c r="AM227" s="117">
        <v>1563.7529527732502</v>
      </c>
      <c r="AN227" s="117">
        <v>1833.0894271619341</v>
      </c>
      <c r="AO227" s="117">
        <v>1695.1311892458593</v>
      </c>
      <c r="AP227" s="117">
        <v>1781.8700275832753</v>
      </c>
      <c r="AQ227" s="117">
        <v>1609.2206617888467</v>
      </c>
      <c r="AR227" s="117">
        <v>1557.058631720146</v>
      </c>
      <c r="AS227" s="117">
        <v>1728.7053395301737</v>
      </c>
      <c r="AT227" s="117">
        <v>1521.7676198184324</v>
      </c>
      <c r="AU227" s="117">
        <v>1405.4418563616068</v>
      </c>
      <c r="AV227" s="117">
        <v>2148.6199354273822</v>
      </c>
      <c r="AW227" s="117">
        <v>2699.1334018643802</v>
      </c>
      <c r="AX227" s="117">
        <v>3083.8262324474795</v>
      </c>
      <c r="AY227" s="117">
        <v>3176.7003378024801</v>
      </c>
      <c r="AZ227" s="117">
        <v>3327.4418745642192</v>
      </c>
      <c r="BA227" s="117">
        <v>3137.3961151871486</v>
      </c>
      <c r="BB227" s="117">
        <v>3385.8429259111463</v>
      </c>
      <c r="BC227" s="117">
        <v>4168.505177067188</v>
      </c>
      <c r="BD227" s="117">
        <v>4496.6003788332273</v>
      </c>
      <c r="BE227" s="117">
        <v>4527.6689876416121</v>
      </c>
      <c r="BF227" s="117">
        <v>4230.3440556779033</v>
      </c>
      <c r="BG227" s="117">
        <v>4038.5572283991801</v>
      </c>
      <c r="BH227" s="117">
        <v>3689.5187056121599</v>
      </c>
      <c r="BI227" s="117">
        <v>3447.6956985050042</v>
      </c>
      <c r="BJ227" s="117">
        <v>3953.0889682413199</v>
      </c>
      <c r="BK227" s="117">
        <v>4145.9741100251431</v>
      </c>
      <c r="BL227" s="117">
        <v>3837.0269938447204</v>
      </c>
    </row>
    <row r="228" spans="1:64" hidden="1">
      <c r="A228" s="117" t="s">
        <v>1220</v>
      </c>
      <c r="B228" s="117" t="s">
        <v>1221</v>
      </c>
      <c r="C228" s="117" t="s">
        <v>775</v>
      </c>
      <c r="D228" s="117" t="s">
        <v>776</v>
      </c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7"/>
      <c r="AM228" s="117"/>
      <c r="AN228" s="117"/>
      <c r="AO228" s="117"/>
      <c r="AP228" s="117"/>
      <c r="AQ228" s="117"/>
      <c r="AR228" s="117"/>
      <c r="AS228" s="117"/>
      <c r="AT228" s="117"/>
      <c r="AU228" s="117"/>
      <c r="AV228" s="117"/>
      <c r="AW228" s="117"/>
      <c r="AX228" s="117"/>
      <c r="AY228" s="117"/>
      <c r="AZ228" s="117"/>
      <c r="BA228" s="117"/>
      <c r="BB228" s="117"/>
      <c r="BC228" s="117"/>
      <c r="BD228" s="117"/>
      <c r="BE228" s="117"/>
      <c r="BF228" s="117"/>
      <c r="BG228" s="117"/>
      <c r="BH228" s="117"/>
      <c r="BI228" s="117"/>
      <c r="BJ228" s="117"/>
      <c r="BK228" s="117"/>
      <c r="BL228" s="117"/>
    </row>
    <row r="229" spans="1:64" hidden="1">
      <c r="A229" s="117" t="s">
        <v>1222</v>
      </c>
      <c r="B229" s="117" t="s">
        <v>1223</v>
      </c>
      <c r="C229" s="117" t="s">
        <v>775</v>
      </c>
      <c r="D229" s="117" t="s">
        <v>776</v>
      </c>
      <c r="E229" s="117">
        <v>288.05815941936515</v>
      </c>
      <c r="F229" s="117">
        <v>270.27966063392131</v>
      </c>
      <c r="G229" s="117">
        <v>287.04478842687416</v>
      </c>
      <c r="H229" s="117">
        <v>308.19526439697006</v>
      </c>
      <c r="I229" s="117">
        <v>332.30500311197517</v>
      </c>
      <c r="J229" s="117">
        <v>328.48490095887456</v>
      </c>
      <c r="K229" s="117">
        <v>337.64624655785644</v>
      </c>
      <c r="L229" s="117">
        <v>333.23381246655663</v>
      </c>
      <c r="M229" s="117">
        <v>314.35106484147349</v>
      </c>
      <c r="N229" s="117">
        <v>314.17985281702829</v>
      </c>
      <c r="O229" s="117">
        <v>343.88118212119139</v>
      </c>
      <c r="P229" s="117">
        <v>401.60803951558324</v>
      </c>
      <c r="Q229" s="117">
        <v>546.95106128879445</v>
      </c>
      <c r="R229" s="117">
        <v>648.53192405897016</v>
      </c>
      <c r="S229" s="117">
        <v>744.50694190181855</v>
      </c>
      <c r="T229" s="117">
        <v>806.23264447193981</v>
      </c>
      <c r="U229" s="117">
        <v>814.47473798667443</v>
      </c>
      <c r="V229" s="117">
        <v>1044.3530679852413</v>
      </c>
      <c r="W229" s="117">
        <v>1376.5465794719873</v>
      </c>
      <c r="X229" s="117">
        <v>2030.1359034546733</v>
      </c>
      <c r="Y229" s="117">
        <v>2329.3533579899504</v>
      </c>
      <c r="Z229" s="117">
        <v>2419.0344190113265</v>
      </c>
      <c r="AA229" s="117">
        <v>2296.3077292743651</v>
      </c>
      <c r="AB229" s="117">
        <v>2280.451550621709</v>
      </c>
      <c r="AC229" s="117">
        <v>2338.0756521855492</v>
      </c>
      <c r="AD229" s="117">
        <v>2588.5528037952549</v>
      </c>
      <c r="AE229" s="117">
        <v>3165.9450380353064</v>
      </c>
      <c r="AF229" s="117">
        <v>3638.9880112508872</v>
      </c>
      <c r="AG229" s="117">
        <v>4128.1182318366009</v>
      </c>
      <c r="AH229" s="117">
        <v>4407.2009396568592</v>
      </c>
      <c r="AI229" s="117">
        <v>5302.8437271419743</v>
      </c>
      <c r="AJ229" s="117">
        <v>5314.6631281665859</v>
      </c>
      <c r="AK229" s="117">
        <v>6128.4455692211359</v>
      </c>
      <c r="AL229" s="117">
        <v>6559.1299939632418</v>
      </c>
      <c r="AM229" s="117">
        <v>6555.5044074811985</v>
      </c>
      <c r="AN229" s="117">
        <v>6748.9311088588693</v>
      </c>
      <c r="AO229" s="117">
        <v>6583.2010181328769</v>
      </c>
      <c r="AP229" s="117">
        <v>7280.9896211785617</v>
      </c>
      <c r="AQ229" s="117">
        <v>7715.9181470934154</v>
      </c>
      <c r="AR229" s="117">
        <v>7747.6121587207163</v>
      </c>
      <c r="AS229" s="117">
        <v>7578.8510529884561</v>
      </c>
      <c r="AT229" s="117">
        <v>7663.1370802644597</v>
      </c>
      <c r="AU229" s="117">
        <v>8331.2619970041978</v>
      </c>
      <c r="AV229" s="117">
        <v>8524.9612355777899</v>
      </c>
      <c r="AW229" s="117">
        <v>10176.658712006396</v>
      </c>
      <c r="AX229" s="117">
        <v>11092.510735782356</v>
      </c>
      <c r="AY229" s="117">
        <v>12014.399872950233</v>
      </c>
      <c r="AZ229" s="117">
        <v>12154.82993728078</v>
      </c>
      <c r="BA229" s="117">
        <v>11122.862067714215</v>
      </c>
      <c r="BB229" s="117">
        <v>9706.9560596395859</v>
      </c>
      <c r="BC229" s="117">
        <v>10804.684474754695</v>
      </c>
      <c r="BD229" s="117">
        <v>12189.095160135676</v>
      </c>
      <c r="BE229" s="117">
        <v>12006.682962370014</v>
      </c>
      <c r="BF229" s="117">
        <v>14765.67398004282</v>
      </c>
      <c r="BG229" s="117">
        <v>14700.334300683702</v>
      </c>
      <c r="BH229" s="117">
        <v>14745.341441560689</v>
      </c>
      <c r="BI229" s="117">
        <v>15068.620324642021</v>
      </c>
      <c r="BJ229" s="117">
        <v>15906.083920478664</v>
      </c>
      <c r="BK229" s="117">
        <v>16390.824875737977</v>
      </c>
      <c r="BL229" s="117">
        <v>17401.721513561213</v>
      </c>
    </row>
    <row r="230" spans="1:64" hidden="1">
      <c r="A230" s="117" t="s">
        <v>1224</v>
      </c>
      <c r="B230" s="117" t="s">
        <v>1225</v>
      </c>
      <c r="C230" s="117" t="s">
        <v>775</v>
      </c>
      <c r="D230" s="117" t="s">
        <v>776</v>
      </c>
      <c r="E230" s="117">
        <v>187.53737427309625</v>
      </c>
      <c r="F230" s="117">
        <v>200.18335689970846</v>
      </c>
      <c r="G230" s="117">
        <v>227.78866394280823</v>
      </c>
      <c r="H230" s="117">
        <v>238.4373060897689</v>
      </c>
      <c r="I230" s="117">
        <v>257.57841232264917</v>
      </c>
      <c r="J230" s="117">
        <v>273.96222182868553</v>
      </c>
      <c r="K230" s="117">
        <v>241.71224480169315</v>
      </c>
      <c r="L230" s="117">
        <v>275.26730928906244</v>
      </c>
      <c r="M230" s="117">
        <v>295.44941586568564</v>
      </c>
      <c r="N230" s="117">
        <v>365.69376424268438</v>
      </c>
      <c r="O230" s="117">
        <v>337.03958386319795</v>
      </c>
      <c r="P230" s="117">
        <v>394.1421481271866</v>
      </c>
      <c r="Q230" s="117">
        <v>449.94392940758974</v>
      </c>
      <c r="R230" s="117">
        <v>460.2950679974486</v>
      </c>
      <c r="S230" s="117">
        <v>708.4212255517233</v>
      </c>
      <c r="T230" s="117">
        <v>905.9500887115405</v>
      </c>
      <c r="U230" s="117">
        <v>979.32776567251665</v>
      </c>
      <c r="V230" s="117">
        <v>954.76324052090058</v>
      </c>
      <c r="W230" s="117">
        <v>1112.612528016165</v>
      </c>
      <c r="X230" s="117">
        <v>1151.1754055996889</v>
      </c>
      <c r="Y230" s="117">
        <v>1462.6303414389072</v>
      </c>
      <c r="Z230" s="117">
        <v>1677.1262443693583</v>
      </c>
      <c r="AA230" s="117">
        <v>1699.532805330897</v>
      </c>
      <c r="AB230" s="117">
        <v>1769.7409525163837</v>
      </c>
      <c r="AC230" s="117">
        <v>1700.4760185522464</v>
      </c>
      <c r="AD230" s="117">
        <v>1540.4367913668871</v>
      </c>
      <c r="AE230" s="117">
        <v>1208.0044250181732</v>
      </c>
      <c r="AF230" s="117">
        <v>999.5919067454272</v>
      </c>
      <c r="AG230" s="117">
        <v>902.54955830534459</v>
      </c>
      <c r="AH230" s="117">
        <v>815.64851636144272</v>
      </c>
      <c r="AI230" s="117">
        <v>988.94867216421028</v>
      </c>
      <c r="AJ230" s="117">
        <v>1012.9869001628068</v>
      </c>
      <c r="AK230" s="117">
        <v>1004.9973144563791</v>
      </c>
      <c r="AL230" s="117">
        <v>1009.649047141687</v>
      </c>
      <c r="AM230" s="117">
        <v>725.56807380622706</v>
      </c>
      <c r="AN230" s="117">
        <v>794.4451530018174</v>
      </c>
      <c r="AO230" s="117">
        <v>934.62302845150282</v>
      </c>
      <c r="AP230" s="117">
        <v>955.84394874357758</v>
      </c>
      <c r="AQ230" s="117">
        <v>974.43876178943015</v>
      </c>
      <c r="AR230" s="117">
        <v>991.25083288090059</v>
      </c>
      <c r="AS230" s="117">
        <v>1177.6292677334768</v>
      </c>
      <c r="AT230" s="117">
        <v>1258.4473216363815</v>
      </c>
      <c r="AU230" s="117">
        <v>1263.2551220101909</v>
      </c>
      <c r="AV230" s="117">
        <v>1253.3951455342105</v>
      </c>
      <c r="AW230" s="117">
        <v>1407.1784243489772</v>
      </c>
      <c r="AX230" s="117">
        <v>1571.7384070193204</v>
      </c>
      <c r="AY230" s="117">
        <v>1748.9056801046536</v>
      </c>
      <c r="AZ230" s="117">
        <v>2032.6234893270127</v>
      </c>
      <c r="BA230" s="117"/>
      <c r="BB230" s="117"/>
      <c r="BC230" s="117"/>
      <c r="BD230" s="117"/>
      <c r="BE230" s="117"/>
      <c r="BF230" s="117"/>
      <c r="BG230" s="117"/>
      <c r="BH230" s="117"/>
      <c r="BI230" s="117"/>
      <c r="BJ230" s="117"/>
      <c r="BK230" s="117"/>
      <c r="BL230" s="117"/>
    </row>
    <row r="231" spans="1:64" hidden="1">
      <c r="A231" s="117" t="s">
        <v>1226</v>
      </c>
      <c r="B231" s="117" t="s">
        <v>1227</v>
      </c>
      <c r="C231" s="117" t="s">
        <v>775</v>
      </c>
      <c r="D231" s="117" t="s">
        <v>776</v>
      </c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  <c r="AM231" s="117"/>
      <c r="AN231" s="117"/>
      <c r="AO231" s="117"/>
      <c r="AP231" s="117"/>
      <c r="AQ231" s="117"/>
      <c r="AR231" s="117"/>
      <c r="AS231" s="117"/>
      <c r="AT231" s="117">
        <v>16629.342233347241</v>
      </c>
      <c r="AU231" s="117">
        <v>15784.603564049587</v>
      </c>
      <c r="AV231" s="117">
        <v>16382.937107672624</v>
      </c>
      <c r="AW231" s="117">
        <v>18187.221348314608</v>
      </c>
      <c r="AX231" s="117">
        <v>20533.916252661464</v>
      </c>
      <c r="AY231" s="117">
        <v>24561.650505256712</v>
      </c>
      <c r="AZ231" s="117">
        <v>25456.302122757941</v>
      </c>
      <c r="BA231" s="117">
        <v>27648.344016409206</v>
      </c>
      <c r="BB231" s="117">
        <v>22019.657731571366</v>
      </c>
      <c r="BC231" s="117">
        <v>21028.40814451929</v>
      </c>
      <c r="BD231" s="117">
        <v>21835.083141085179</v>
      </c>
      <c r="BE231" s="117">
        <v>21009.885809898431</v>
      </c>
      <c r="BF231" s="117">
        <v>21328.979010106246</v>
      </c>
      <c r="BG231" s="117">
        <v>23296.336905199467</v>
      </c>
      <c r="BH231" s="117">
        <v>24832.59637030655</v>
      </c>
      <c r="BI231" s="117">
        <v>25995.172460953527</v>
      </c>
      <c r="BJ231" s="117">
        <v>25933.60743634649</v>
      </c>
      <c r="BK231" s="117">
        <v>27142.227797690164</v>
      </c>
      <c r="BL231" s="117"/>
    </row>
    <row r="232" spans="1:64" hidden="1">
      <c r="A232" s="117" t="s">
        <v>1228</v>
      </c>
      <c r="B232" s="117" t="s">
        <v>1229</v>
      </c>
      <c r="C232" s="117" t="s">
        <v>775</v>
      </c>
      <c r="D232" s="117" t="s">
        <v>776</v>
      </c>
      <c r="E232" s="117">
        <v>104.47154430775495</v>
      </c>
      <c r="F232" s="117">
        <v>109.1291428437826</v>
      </c>
      <c r="G232" s="117">
        <v>114.58143949285538</v>
      </c>
      <c r="H232" s="117">
        <v>116.77669066570451</v>
      </c>
      <c r="I232" s="117">
        <v>120.82080354952549</v>
      </c>
      <c r="J232" s="117">
        <v>125.97536458140344</v>
      </c>
      <c r="K232" s="117">
        <v>128.34242756258178</v>
      </c>
      <c r="L232" s="117">
        <v>130.96047775216272</v>
      </c>
      <c r="M232" s="117">
        <v>129.7322473795233</v>
      </c>
      <c r="N232" s="117">
        <v>132.1701281427776</v>
      </c>
      <c r="O232" s="117">
        <v>128.79191498449805</v>
      </c>
      <c r="P232" s="117">
        <v>134.68633252971364</v>
      </c>
      <c r="Q232" s="117">
        <v>153.44368292690729</v>
      </c>
      <c r="R232" s="117">
        <v>165.61357879613794</v>
      </c>
      <c r="S232" s="117">
        <v>163.13642096098965</v>
      </c>
      <c r="T232" s="117">
        <v>211.46840389514523</v>
      </c>
      <c r="U232" s="117">
        <v>207.52862321688738</v>
      </c>
      <c r="V232" s="117">
        <v>219.81338487237335</v>
      </c>
      <c r="W232" s="117">
        <v>256.82393056221429</v>
      </c>
      <c r="X232" s="117">
        <v>227.07990062995862</v>
      </c>
      <c r="Y232" s="117">
        <v>228.82233234881431</v>
      </c>
      <c r="Z232" s="117">
        <v>190.10757987634929</v>
      </c>
      <c r="AA232" s="117">
        <v>176.8421390421295</v>
      </c>
      <c r="AB232" s="117">
        <v>172.2600394212898</v>
      </c>
      <c r="AC232" s="117">
        <v>185.39444930809097</v>
      </c>
      <c r="AD232" s="117">
        <v>202.74551698582175</v>
      </c>
      <c r="AE232" s="117">
        <v>203.50117331879491</v>
      </c>
      <c r="AF232" s="117">
        <v>214.93806321334259</v>
      </c>
      <c r="AG232" s="117">
        <v>265.24087638192242</v>
      </c>
      <c r="AH232" s="117">
        <v>248.30380570503632</v>
      </c>
      <c r="AI232" s="117">
        <v>291.55325953931134</v>
      </c>
      <c r="AJ232" s="117">
        <v>304.87476961771637</v>
      </c>
      <c r="AK232" s="117">
        <v>296.03937057242433</v>
      </c>
      <c r="AL232" s="117">
        <v>222.92328510312552</v>
      </c>
      <c r="AM232" s="117">
        <v>173.99037505265406</v>
      </c>
      <c r="AN232" s="117">
        <v>206.26106448478905</v>
      </c>
      <c r="AO232" s="117">
        <v>221.67300949814091</v>
      </c>
      <c r="AP232" s="117">
        <v>205.86272324432306</v>
      </c>
      <c r="AQ232" s="117">
        <v>224.55388400123152</v>
      </c>
      <c r="AR232" s="117">
        <v>190.55897723046129</v>
      </c>
      <c r="AS232" s="117">
        <v>165.76298656783337</v>
      </c>
      <c r="AT232" s="117">
        <v>196.97369758817126</v>
      </c>
      <c r="AU232" s="117">
        <v>220.37597643997279</v>
      </c>
      <c r="AV232" s="117">
        <v>291.94485163184703</v>
      </c>
      <c r="AW232" s="117">
        <v>453.52181721416514</v>
      </c>
      <c r="AX232" s="117">
        <v>658.30495782758487</v>
      </c>
      <c r="AY232" s="117">
        <v>709.76519509459047</v>
      </c>
      <c r="AZ232" s="117">
        <v>798.54800125887118</v>
      </c>
      <c r="BA232" s="117">
        <v>925.63608427057193</v>
      </c>
      <c r="BB232" s="117">
        <v>800.46422493563489</v>
      </c>
      <c r="BC232" s="117">
        <v>892.56872033695333</v>
      </c>
      <c r="BD232" s="117">
        <v>984.7358914903291</v>
      </c>
      <c r="BE232" s="117">
        <v>967.35279748292942</v>
      </c>
      <c r="BF232" s="117">
        <v>979.81240963815605</v>
      </c>
      <c r="BG232" s="117">
        <v>1020.2882035058598</v>
      </c>
      <c r="BH232" s="117">
        <v>776.01953230803656</v>
      </c>
      <c r="BI232" s="117">
        <v>693.44938647577374</v>
      </c>
      <c r="BJ232" s="117">
        <v>665.94835269506041</v>
      </c>
      <c r="BK232" s="117">
        <v>726.14988110944671</v>
      </c>
      <c r="BL232" s="117">
        <v>709.54031013853307</v>
      </c>
    </row>
    <row r="233" spans="1:64" hidden="1">
      <c r="A233" s="117" t="s">
        <v>1230</v>
      </c>
      <c r="B233" s="117" t="s">
        <v>1231</v>
      </c>
      <c r="C233" s="117" t="s">
        <v>775</v>
      </c>
      <c r="D233" s="117" t="s">
        <v>776</v>
      </c>
      <c r="E233" s="117">
        <v>90.650994824161344</v>
      </c>
      <c r="F233" s="117">
        <v>79.633330327109419</v>
      </c>
      <c r="G233" s="117">
        <v>72.015892241692882</v>
      </c>
      <c r="H233" s="117">
        <v>76.026173437464038</v>
      </c>
      <c r="I233" s="117">
        <v>86.021881723327269</v>
      </c>
      <c r="J233" s="117">
        <v>97.930955320788016</v>
      </c>
      <c r="K233" s="117">
        <v>104.27326491397473</v>
      </c>
      <c r="L233" s="117">
        <v>98.436517415227982</v>
      </c>
      <c r="M233" s="117">
        <v>96.774533751613689</v>
      </c>
      <c r="N233" s="117">
        <v>105.7504877963637</v>
      </c>
      <c r="O233" s="117">
        <v>114.70812279170903</v>
      </c>
      <c r="P233" s="117">
        <v>120.05395793356629</v>
      </c>
      <c r="Q233" s="117">
        <v>132.84274739427968</v>
      </c>
      <c r="R233" s="117">
        <v>163.36590820878314</v>
      </c>
      <c r="S233" s="117">
        <v>180.33992654602937</v>
      </c>
      <c r="T233" s="117">
        <v>198.85291652315587</v>
      </c>
      <c r="U233" s="117">
        <v>198.3261991863165</v>
      </c>
      <c r="V233" s="117">
        <v>225.53800649307334</v>
      </c>
      <c r="W233" s="117">
        <v>214.92990283218032</v>
      </c>
      <c r="X233" s="117">
        <v>245.06666249910683</v>
      </c>
      <c r="Y233" s="117">
        <v>278.49016176473287</v>
      </c>
      <c r="Z233" s="117">
        <v>292.59482611672058</v>
      </c>
      <c r="AA233" s="117">
        <v>301.9034147247749</v>
      </c>
      <c r="AB233" s="117">
        <v>311.51922082254072</v>
      </c>
      <c r="AC233" s="117">
        <v>332.8814172540329</v>
      </c>
      <c r="AD233" s="117">
        <v>359.00762325872819</v>
      </c>
      <c r="AE233" s="117">
        <v>352.02455161898791</v>
      </c>
      <c r="AF233" s="117">
        <v>341.64108384127553</v>
      </c>
      <c r="AG233" s="117">
        <v>372.37775516326923</v>
      </c>
      <c r="AH233" s="117">
        <v>395.79237793192874</v>
      </c>
      <c r="AI233" s="117">
        <v>417.44808616157775</v>
      </c>
      <c r="AJ233" s="117">
        <v>446.2516429507578</v>
      </c>
      <c r="AK233" s="117">
        <v>493.15491402536952</v>
      </c>
      <c r="AL233" s="117">
        <v>534.29150694815394</v>
      </c>
      <c r="AM233" s="117">
        <v>634.43522582941102</v>
      </c>
      <c r="AN233" s="117">
        <v>773.28604276928627</v>
      </c>
      <c r="AO233" s="117">
        <v>877.44200200196849</v>
      </c>
      <c r="AP233" s="117">
        <v>898.08994806195597</v>
      </c>
      <c r="AQ233" s="117">
        <v>813.83793112249737</v>
      </c>
      <c r="AR233" s="117">
        <v>885.82504514705329</v>
      </c>
      <c r="AS233" s="117">
        <v>966.92642665218409</v>
      </c>
      <c r="AT233" s="117">
        <v>1019.171779570513</v>
      </c>
      <c r="AU233" s="117">
        <v>1118.1281251162688</v>
      </c>
      <c r="AV233" s="117">
        <v>1254.9483906902672</v>
      </c>
      <c r="AW233" s="117">
        <v>1443.4186265301871</v>
      </c>
      <c r="AX233" s="117">
        <v>1658.6393163477494</v>
      </c>
      <c r="AY233" s="117">
        <v>1982.2665117097276</v>
      </c>
      <c r="AZ233" s="117">
        <v>2487.5894285215822</v>
      </c>
      <c r="BA233" s="117">
        <v>3124.2846407412549</v>
      </c>
      <c r="BB233" s="117">
        <v>3363.4551749318848</v>
      </c>
      <c r="BC233" s="117">
        <v>4048.3355461903802</v>
      </c>
      <c r="BD233" s="117">
        <v>4910.4787749932857</v>
      </c>
      <c r="BE233" s="117">
        <v>5436.1603780580417</v>
      </c>
      <c r="BF233" s="117">
        <v>5954.1066787777836</v>
      </c>
      <c r="BG233" s="117">
        <v>6373.2385768517397</v>
      </c>
      <c r="BH233" s="117">
        <v>6591.704671440627</v>
      </c>
      <c r="BI233" s="117">
        <v>6682.0486985495472</v>
      </c>
      <c r="BJ233" s="117">
        <v>7248.9311311279789</v>
      </c>
      <c r="BK233" s="117">
        <v>8054.8897850016456</v>
      </c>
      <c r="BL233" s="117">
        <v>8308.334362974083</v>
      </c>
    </row>
    <row r="234" spans="1:64" hidden="1">
      <c r="A234" s="117" t="s">
        <v>1232</v>
      </c>
      <c r="B234" s="117" t="s">
        <v>1233</v>
      </c>
      <c r="C234" s="117" t="s">
        <v>775</v>
      </c>
      <c r="D234" s="117" t="s">
        <v>776</v>
      </c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>
        <v>2347.1491781304676</v>
      </c>
      <c r="AH234" s="117">
        <v>2260.5531228561563</v>
      </c>
      <c r="AI234" s="117">
        <v>2388.6831137049062</v>
      </c>
      <c r="AJ234" s="117">
        <v>2348.6553062782327</v>
      </c>
      <c r="AK234" s="117">
        <v>2190.2118195810062</v>
      </c>
      <c r="AL234" s="117">
        <v>2152.8222787239151</v>
      </c>
      <c r="AM234" s="117">
        <v>1931.9681392820412</v>
      </c>
      <c r="AN234" s="117">
        <v>2132.2939709960801</v>
      </c>
      <c r="AO234" s="117">
        <v>2189.917966468659</v>
      </c>
      <c r="AP234" s="117">
        <v>2257.100120912799</v>
      </c>
      <c r="AQ234" s="117">
        <v>2179.8888176237192</v>
      </c>
      <c r="AR234" s="117">
        <v>1889.0278397224811</v>
      </c>
      <c r="AS234" s="117">
        <v>2053.6491330583945</v>
      </c>
      <c r="AT234" s="117">
        <v>2092.1767810167212</v>
      </c>
      <c r="AU234" s="117">
        <v>2352.5366823870709</v>
      </c>
      <c r="AV234" s="117">
        <v>2890.6489563428204</v>
      </c>
      <c r="AW234" s="117">
        <v>3739.7124999472035</v>
      </c>
      <c r="AX234" s="117">
        <v>4678.6174006267374</v>
      </c>
      <c r="AY234" s="117">
        <v>5653.5504274782925</v>
      </c>
      <c r="AZ234" s="117">
        <v>7258.2859311035854</v>
      </c>
      <c r="BA234" s="117">
        <v>8964.1652499321772</v>
      </c>
      <c r="BB234" s="117">
        <v>7083.0224743099097</v>
      </c>
      <c r="BC234" s="117">
        <v>8276.6436514112193</v>
      </c>
      <c r="BD234" s="117">
        <v>10004.598193992852</v>
      </c>
      <c r="BE234" s="117">
        <v>10396.818359532981</v>
      </c>
      <c r="BF234" s="117">
        <v>10964.152409247239</v>
      </c>
      <c r="BG234" s="117">
        <v>10314.480774476138</v>
      </c>
      <c r="BH234" s="117">
        <v>7997.0676026012352</v>
      </c>
      <c r="BI234" s="117">
        <v>7651.5783133252598</v>
      </c>
      <c r="BJ234" s="117">
        <v>8538.3569428565788</v>
      </c>
      <c r="BK234" s="117">
        <v>8877.9655948403361</v>
      </c>
      <c r="BL234" s="117">
        <v>8988.9280496624051</v>
      </c>
    </row>
    <row r="235" spans="1:64" hidden="1">
      <c r="A235" s="117" t="s">
        <v>1234</v>
      </c>
      <c r="B235" s="117" t="s">
        <v>1235</v>
      </c>
      <c r="C235" s="117" t="s">
        <v>775</v>
      </c>
      <c r="D235" s="117" t="s">
        <v>776</v>
      </c>
      <c r="E235" s="117">
        <v>76.638454169008583</v>
      </c>
      <c r="F235" s="117">
        <v>79.120133072674832</v>
      </c>
      <c r="G235" s="117">
        <v>81.994749128579713</v>
      </c>
      <c r="H235" s="117">
        <v>87.791975132893683</v>
      </c>
      <c r="I235" s="117">
        <v>99.937889388758919</v>
      </c>
      <c r="J235" s="117">
        <v>109.62018480617148</v>
      </c>
      <c r="K235" s="117">
        <v>121.83355735024455</v>
      </c>
      <c r="L235" s="117">
        <v>124.87939556402958</v>
      </c>
      <c r="M235" s="117">
        <v>124.34957223226814</v>
      </c>
      <c r="N235" s="117">
        <v>131.56986848952445</v>
      </c>
      <c r="O235" s="117">
        <v>120.05388087036604</v>
      </c>
      <c r="P235" s="117">
        <v>131.09873575618315</v>
      </c>
      <c r="Q235" s="117">
        <v>149.35056291327169</v>
      </c>
      <c r="R235" s="117">
        <v>176.47373978264324</v>
      </c>
      <c r="S235" s="117">
        <v>237.81401624654788</v>
      </c>
      <c r="T235" s="117">
        <v>256.10267535173023</v>
      </c>
      <c r="U235" s="117">
        <v>251.3266327170742</v>
      </c>
      <c r="V235" s="117">
        <v>308.69497492942992</v>
      </c>
      <c r="W235" s="117">
        <v>319.94193264554792</v>
      </c>
      <c r="X235" s="117">
        <v>337.4492967147998</v>
      </c>
      <c r="Y235" s="117">
        <v>417.66852584696193</v>
      </c>
      <c r="Z235" s="117">
        <v>342.19130450259803</v>
      </c>
      <c r="AA235" s="117">
        <v>281.81035893725038</v>
      </c>
      <c r="AB235" s="117">
        <v>252.97437096956219</v>
      </c>
      <c r="AC235" s="117">
        <v>228.64825579187013</v>
      </c>
      <c r="AD235" s="117">
        <v>234.35632611108477</v>
      </c>
      <c r="AE235" s="117">
        <v>315.46193454040912</v>
      </c>
      <c r="AF235" s="117">
        <v>359.79062078767026</v>
      </c>
      <c r="AG235" s="117">
        <v>385.42552649286387</v>
      </c>
      <c r="AH235" s="117">
        <v>367.79258410998671</v>
      </c>
      <c r="AI235" s="117">
        <v>431.45015976920109</v>
      </c>
      <c r="AJ235" s="117">
        <v>414.78208158968567</v>
      </c>
      <c r="AK235" s="117">
        <v>429.042034762676</v>
      </c>
      <c r="AL235" s="117">
        <v>306.15056350336732</v>
      </c>
      <c r="AM235" s="117">
        <v>238.46539558791659</v>
      </c>
      <c r="AN235" s="117">
        <v>309.81844017136882</v>
      </c>
      <c r="AO235" s="117">
        <v>336.97723635373899</v>
      </c>
      <c r="AP235" s="117">
        <v>334.14339547795714</v>
      </c>
      <c r="AQ235" s="117">
        <v>342.65827404664833</v>
      </c>
      <c r="AR235" s="117">
        <v>329.6959963763814</v>
      </c>
      <c r="AS235" s="117">
        <v>302.20639429434345</v>
      </c>
      <c r="AT235" s="117">
        <v>292.56735762404469</v>
      </c>
      <c r="AU235" s="117">
        <v>326.85560012675541</v>
      </c>
      <c r="AV235" s="117">
        <v>396.03004405108555</v>
      </c>
      <c r="AW235" s="117">
        <v>412.5893919623075</v>
      </c>
      <c r="AX235" s="117">
        <v>406.40095053912478</v>
      </c>
      <c r="AY235" s="117">
        <v>407.69469789241737</v>
      </c>
      <c r="AZ235" s="117">
        <v>449.1442328244392</v>
      </c>
      <c r="BA235" s="117">
        <v>544.14752336514186</v>
      </c>
      <c r="BB235" s="117">
        <v>538.44195157639945</v>
      </c>
      <c r="BC235" s="117">
        <v>534.04436681019808</v>
      </c>
      <c r="BD235" s="117">
        <v>587.09713679246659</v>
      </c>
      <c r="BE235" s="117">
        <v>571.80672394416661</v>
      </c>
      <c r="BF235" s="117">
        <v>621.39885357468302</v>
      </c>
      <c r="BG235" s="117">
        <v>640.93421962882735</v>
      </c>
      <c r="BH235" s="117">
        <v>570.91027901343375</v>
      </c>
      <c r="BI235" s="117">
        <v>597.47108880410917</v>
      </c>
      <c r="BJ235" s="117">
        <v>626.09152789111022</v>
      </c>
      <c r="BK235" s="117">
        <v>678.95563806111988</v>
      </c>
      <c r="BL235" s="117">
        <v>675.54221334063357</v>
      </c>
    </row>
    <row r="236" spans="1:64" hidden="1">
      <c r="A236" s="117" t="s">
        <v>1236</v>
      </c>
      <c r="B236" s="117" t="s">
        <v>1237</v>
      </c>
      <c r="C236" s="117" t="s">
        <v>775</v>
      </c>
      <c r="D236" s="117" t="s">
        <v>776</v>
      </c>
      <c r="E236" s="117">
        <v>100.7674786662101</v>
      </c>
      <c r="F236" s="117">
        <v>107.49799716323831</v>
      </c>
      <c r="G236" s="117">
        <v>113.78287718693483</v>
      </c>
      <c r="H236" s="117">
        <v>118.14393853187674</v>
      </c>
      <c r="I236" s="117">
        <v>125.93868601305081</v>
      </c>
      <c r="J236" s="117">
        <v>137.91862933640562</v>
      </c>
      <c r="K236" s="117">
        <v>161.00551668518477</v>
      </c>
      <c r="L236" s="117">
        <v>166.92308812719162</v>
      </c>
      <c r="M236" s="117">
        <v>174.78479896817674</v>
      </c>
      <c r="N236" s="117">
        <v>186.87915188058503</v>
      </c>
      <c r="O236" s="117">
        <v>192.12762870325929</v>
      </c>
      <c r="P236" s="117">
        <v>194.2666811869739</v>
      </c>
      <c r="Q236" s="117">
        <v>209.3747324471542</v>
      </c>
      <c r="R236" s="117">
        <v>269.8879524629163</v>
      </c>
      <c r="S236" s="117">
        <v>332.17523769227518</v>
      </c>
      <c r="T236" s="117">
        <v>351.61929428278097</v>
      </c>
      <c r="U236" s="117">
        <v>391.56938079446712</v>
      </c>
      <c r="V236" s="117">
        <v>445.42084246328324</v>
      </c>
      <c r="W236" s="117">
        <v>528.62677841177231</v>
      </c>
      <c r="X236" s="117">
        <v>589.88500914669271</v>
      </c>
      <c r="Y236" s="117">
        <v>682.92984303625758</v>
      </c>
      <c r="Z236" s="117">
        <v>721.05927020914805</v>
      </c>
      <c r="AA236" s="117">
        <v>742.85106672298389</v>
      </c>
      <c r="AB236" s="117">
        <v>798.08041811188059</v>
      </c>
      <c r="AC236" s="117">
        <v>818.03896554625408</v>
      </c>
      <c r="AD236" s="117">
        <v>747.70343734579944</v>
      </c>
      <c r="AE236" s="117">
        <v>813.45167342401078</v>
      </c>
      <c r="AF236" s="117">
        <v>936.78030202916523</v>
      </c>
      <c r="AG236" s="117">
        <v>1123.4376427313866</v>
      </c>
      <c r="AH236" s="117">
        <v>1295.4647220250349</v>
      </c>
      <c r="AI236" s="117">
        <v>1508.9427367051373</v>
      </c>
      <c r="AJ236" s="117">
        <v>1716.4155994684857</v>
      </c>
      <c r="AK236" s="117">
        <v>1927.8827367270858</v>
      </c>
      <c r="AL236" s="117">
        <v>2209.3630304774715</v>
      </c>
      <c r="AM236" s="117">
        <v>2491.4280902217915</v>
      </c>
      <c r="AN236" s="117">
        <v>2846.5867383122436</v>
      </c>
      <c r="AO236" s="117">
        <v>3043.9805166809183</v>
      </c>
      <c r="AP236" s="117">
        <v>2468.1849732595447</v>
      </c>
      <c r="AQ236" s="117">
        <v>1845.8288696450202</v>
      </c>
      <c r="AR236" s="117">
        <v>2033.2579440179613</v>
      </c>
      <c r="AS236" s="117">
        <v>2007.7351750668306</v>
      </c>
      <c r="AT236" s="117">
        <v>1893.2640598789119</v>
      </c>
      <c r="AU236" s="117">
        <v>2096.1879986677777</v>
      </c>
      <c r="AV236" s="117">
        <v>2359.1168670908673</v>
      </c>
      <c r="AW236" s="117">
        <v>2660.126998293305</v>
      </c>
      <c r="AX236" s="117">
        <v>2894.06265596401</v>
      </c>
      <c r="AY236" s="117">
        <v>3369.5434028698787</v>
      </c>
      <c r="AZ236" s="117">
        <v>3973.0169914823705</v>
      </c>
      <c r="BA236" s="117">
        <v>4379.6585238796079</v>
      </c>
      <c r="BB236" s="117">
        <v>4213.0063387218279</v>
      </c>
      <c r="BC236" s="117">
        <v>5076.3401743870754</v>
      </c>
      <c r="BD236" s="117">
        <v>5492.1212559055793</v>
      </c>
      <c r="BE236" s="117">
        <v>5860.5825072559901</v>
      </c>
      <c r="BF236" s="117">
        <v>6168.262985012193</v>
      </c>
      <c r="BG236" s="117">
        <v>5951.8837023360447</v>
      </c>
      <c r="BH236" s="117">
        <v>5840.0465229432575</v>
      </c>
      <c r="BI236" s="117">
        <v>5994.2314754715599</v>
      </c>
      <c r="BJ236" s="117">
        <v>6592.9149016986394</v>
      </c>
      <c r="BK236" s="117">
        <v>7295.4756161209516</v>
      </c>
      <c r="BL236" s="117">
        <v>7808.1929162994948</v>
      </c>
    </row>
    <row r="237" spans="1:64" hidden="1">
      <c r="A237" s="117" t="s">
        <v>1238</v>
      </c>
      <c r="B237" s="117" t="s">
        <v>1239</v>
      </c>
      <c r="C237" s="117" t="s">
        <v>775</v>
      </c>
      <c r="D237" s="117" t="s">
        <v>776</v>
      </c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>
        <v>497.6320260838425</v>
      </c>
      <c r="AJ237" s="117">
        <v>469.33792545025284</v>
      </c>
      <c r="AK237" s="117">
        <v>346.97841393527676</v>
      </c>
      <c r="AL237" s="117">
        <v>294.40388072384354</v>
      </c>
      <c r="AM237" s="117">
        <v>268.00029576438931</v>
      </c>
      <c r="AN237" s="117">
        <v>213.63534016820736</v>
      </c>
      <c r="AO237" s="117">
        <v>178.36122100522451</v>
      </c>
      <c r="AP237" s="117">
        <v>155.18849161173927</v>
      </c>
      <c r="AQ237" s="117">
        <v>219.04049994214915</v>
      </c>
      <c r="AR237" s="117">
        <v>177.55971571136391</v>
      </c>
      <c r="AS237" s="117">
        <v>138.42887951268324</v>
      </c>
      <c r="AT237" s="117">
        <v>171.04798336258787</v>
      </c>
      <c r="AU237" s="117">
        <v>190.00250025609012</v>
      </c>
      <c r="AV237" s="117">
        <v>237.75744423261955</v>
      </c>
      <c r="AW237" s="117">
        <v>311.62732480273581</v>
      </c>
      <c r="AX237" s="117">
        <v>340.58303273889857</v>
      </c>
      <c r="AY237" s="117">
        <v>408.83859069925813</v>
      </c>
      <c r="AZ237" s="117">
        <v>526.64291543476838</v>
      </c>
      <c r="BA237" s="117">
        <v>715.86511053555989</v>
      </c>
      <c r="BB237" s="117">
        <v>676.12341925804981</v>
      </c>
      <c r="BC237" s="117">
        <v>749.55271101584162</v>
      </c>
      <c r="BD237" s="117">
        <v>847.38210181051829</v>
      </c>
      <c r="BE237" s="117">
        <v>969.29647314428928</v>
      </c>
      <c r="BF237" s="117">
        <v>1048.2272925611521</v>
      </c>
      <c r="BG237" s="117">
        <v>1104.1716894137594</v>
      </c>
      <c r="BH237" s="117">
        <v>929.09585722374607</v>
      </c>
      <c r="BI237" s="117">
        <v>802.51800405282381</v>
      </c>
      <c r="BJ237" s="117">
        <v>806.04157309804395</v>
      </c>
      <c r="BK237" s="117">
        <v>826.62153053870361</v>
      </c>
      <c r="BL237" s="117">
        <v>870.78758932322341</v>
      </c>
    </row>
    <row r="238" spans="1:64" hidden="1">
      <c r="A238" s="117" t="s">
        <v>1240</v>
      </c>
      <c r="B238" s="117" t="s">
        <v>1241</v>
      </c>
      <c r="C238" s="117" t="s">
        <v>775</v>
      </c>
      <c r="D238" s="117" t="s">
        <v>776</v>
      </c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>
        <v>684.22048282493586</v>
      </c>
      <c r="AG238" s="117">
        <v>861.78388710715467</v>
      </c>
      <c r="AH238" s="117">
        <v>838.56634336524576</v>
      </c>
      <c r="AI238" s="117">
        <v>865.78941703796613</v>
      </c>
      <c r="AJ238" s="117">
        <v>846.64615715901925</v>
      </c>
      <c r="AK238" s="117">
        <v>820.68427268997652</v>
      </c>
      <c r="AL238" s="117">
        <v>792.66846213578867</v>
      </c>
      <c r="AM238" s="117">
        <v>622.37062613640262</v>
      </c>
      <c r="AN238" s="117">
        <v>589.90547402196739</v>
      </c>
      <c r="AO238" s="117">
        <v>554.83275094780277</v>
      </c>
      <c r="AP238" s="117">
        <v>562.63705363401584</v>
      </c>
      <c r="AQ238" s="117">
        <v>590.39321702524944</v>
      </c>
      <c r="AR238" s="117">
        <v>548.69914760372262</v>
      </c>
      <c r="AS238" s="117">
        <v>643.17472599246503</v>
      </c>
      <c r="AT238" s="117">
        <v>774.48283073919276</v>
      </c>
      <c r="AU238" s="117">
        <v>967.89016473209153</v>
      </c>
      <c r="AV238" s="117">
        <v>1283.911263452499</v>
      </c>
      <c r="AW238" s="117">
        <v>1453.9162381576402</v>
      </c>
      <c r="AX238" s="117">
        <v>1704.4175310570408</v>
      </c>
      <c r="AY238" s="117">
        <v>2136.474322077956</v>
      </c>
      <c r="AZ238" s="117">
        <v>2600.3692918109546</v>
      </c>
      <c r="BA238" s="117">
        <v>3904.4637193789627</v>
      </c>
      <c r="BB238" s="117">
        <v>4036.4559987795978</v>
      </c>
      <c r="BC238" s="117">
        <v>4439.2003823580499</v>
      </c>
      <c r="BD238" s="117">
        <v>5649.9522781966925</v>
      </c>
      <c r="BE238" s="117">
        <v>6675.1856577223916</v>
      </c>
      <c r="BF238" s="117">
        <v>7304.2871323098225</v>
      </c>
      <c r="BG238" s="117">
        <v>7962.2390984067897</v>
      </c>
      <c r="BH238" s="117">
        <v>6432.6807019501939</v>
      </c>
      <c r="BI238" s="117">
        <v>6389.548408334882</v>
      </c>
      <c r="BJ238" s="117">
        <v>6587.0903162869754</v>
      </c>
      <c r="BK238" s="117">
        <v>6966.6354106307708</v>
      </c>
      <c r="BL238" s="117"/>
    </row>
    <row r="239" spans="1:64" hidden="1">
      <c r="A239" s="117" t="s">
        <v>1242</v>
      </c>
      <c r="B239" s="117" t="s">
        <v>1243</v>
      </c>
      <c r="C239" s="117" t="s">
        <v>775</v>
      </c>
      <c r="D239" s="117" t="s">
        <v>776</v>
      </c>
      <c r="E239" s="117">
        <v>365.69528497923631</v>
      </c>
      <c r="F239" s="117">
        <v>376.08953136250875</v>
      </c>
      <c r="G239" s="117">
        <v>418.73683709963092</v>
      </c>
      <c r="H239" s="117">
        <v>410.03756793526281</v>
      </c>
      <c r="I239" s="117">
        <v>444.76074809292817</v>
      </c>
      <c r="J239" s="117">
        <v>460.8816032846467</v>
      </c>
      <c r="K239" s="117">
        <v>492.15352232221244</v>
      </c>
      <c r="L239" s="117">
        <v>490.78571252865106</v>
      </c>
      <c r="M239" s="117">
        <v>514.49776023303002</v>
      </c>
      <c r="N239" s="117">
        <v>561.40039997775602</v>
      </c>
      <c r="O239" s="117">
        <v>595.54639127755115</v>
      </c>
      <c r="P239" s="117">
        <v>647.28478554991352</v>
      </c>
      <c r="Q239" s="117">
        <v>708.64095068700806</v>
      </c>
      <c r="R239" s="117">
        <v>913.16273349844391</v>
      </c>
      <c r="S239" s="117">
        <v>1169.6692743851261</v>
      </c>
      <c r="T239" s="117">
        <v>1192.2903616638514</v>
      </c>
      <c r="U239" s="117">
        <v>1296.6779071681235</v>
      </c>
      <c r="V239" s="117">
        <v>1395.2041075023519</v>
      </c>
      <c r="W239" s="117">
        <v>1542.9899654031587</v>
      </c>
      <c r="X239" s="117">
        <v>1804.137123674755</v>
      </c>
      <c r="Y239" s="117">
        <v>2137.2260796631408</v>
      </c>
      <c r="Z239" s="117">
        <v>2419.8201919253684</v>
      </c>
      <c r="AA239" s="117">
        <v>2195.2569258743711</v>
      </c>
      <c r="AB239" s="117">
        <v>1874.4095011614352</v>
      </c>
      <c r="AC239" s="117">
        <v>1842.2402919904871</v>
      </c>
      <c r="AD239" s="117">
        <v>1860.5260961523334</v>
      </c>
      <c r="AE239" s="117">
        <v>1828.269677479796</v>
      </c>
      <c r="AF239" s="117">
        <v>1889.8470027384437</v>
      </c>
      <c r="AG239" s="117">
        <v>2094.0471986032508</v>
      </c>
      <c r="AH239" s="117">
        <v>2250.6713778403787</v>
      </c>
      <c r="AI239" s="117">
        <v>2599.224336837392</v>
      </c>
      <c r="AJ239" s="117">
        <v>3178.7193578689144</v>
      </c>
      <c r="AK239" s="117">
        <v>2942.3990166409849</v>
      </c>
      <c r="AL239" s="117">
        <v>3338.6776638936531</v>
      </c>
      <c r="AM239" s="117">
        <v>3750.0037726303672</v>
      </c>
      <c r="AN239" s="117">
        <v>3930.5732342332694</v>
      </c>
      <c r="AO239" s="117">
        <v>4201.7531852561578</v>
      </c>
      <c r="AP239" s="117">
        <v>4534.5645233458235</v>
      </c>
      <c r="AQ239" s="117">
        <v>4490.3786717274907</v>
      </c>
      <c r="AR239" s="117">
        <v>3956.6113088504389</v>
      </c>
      <c r="AS239" s="117">
        <v>4306.5013107710774</v>
      </c>
      <c r="AT239" s="117">
        <v>4131.3394007543238</v>
      </c>
      <c r="AU239" s="117">
        <v>3623.6314847176436</v>
      </c>
      <c r="AV239" s="117">
        <v>3646.4139594104868</v>
      </c>
      <c r="AW239" s="117">
        <v>4167.8488476277216</v>
      </c>
      <c r="AX239" s="117">
        <v>5010.2372011495172</v>
      </c>
      <c r="AY239" s="117">
        <v>5817.82951062953</v>
      </c>
      <c r="AZ239" s="117">
        <v>6805.0087416129209</v>
      </c>
      <c r="BA239" s="117">
        <v>7853.4228512820491</v>
      </c>
      <c r="BB239" s="117">
        <v>7269.3921668457187</v>
      </c>
      <c r="BC239" s="117">
        <v>8980.7191550680636</v>
      </c>
      <c r="BD239" s="117">
        <v>10128.632241256557</v>
      </c>
      <c r="BE239" s="117">
        <v>10111.758071889661</v>
      </c>
      <c r="BF239" s="117">
        <v>10247.214018589078</v>
      </c>
      <c r="BG239" s="117">
        <v>10334.430667648521</v>
      </c>
      <c r="BH239" s="117">
        <v>8728.0701600656375</v>
      </c>
      <c r="BI239" s="117">
        <v>8417.0274672908399</v>
      </c>
      <c r="BJ239" s="117">
        <v>9288.1995771514557</v>
      </c>
      <c r="BK239" s="117">
        <v>8924.1333510683289</v>
      </c>
      <c r="BL239" s="117">
        <v>8681.1966859835429</v>
      </c>
    </row>
    <row r="240" spans="1:64" hidden="1">
      <c r="A240" s="117" t="s">
        <v>1244</v>
      </c>
      <c r="B240" s="117" t="s">
        <v>1245</v>
      </c>
      <c r="C240" s="117" t="s">
        <v>775</v>
      </c>
      <c r="D240" s="117" t="s">
        <v>776</v>
      </c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  <c r="AM240" s="117"/>
      <c r="AN240" s="117"/>
      <c r="AO240" s="117"/>
      <c r="AP240" s="117"/>
      <c r="AQ240" s="117"/>
      <c r="AR240" s="117"/>
      <c r="AS240" s="117">
        <v>415.08347866317445</v>
      </c>
      <c r="AT240" s="117">
        <v>529.79025224119141</v>
      </c>
      <c r="AU240" s="117">
        <v>508.79168806242802</v>
      </c>
      <c r="AV240" s="117">
        <v>517.78461461323843</v>
      </c>
      <c r="AW240" s="117">
        <v>453.47671747408816</v>
      </c>
      <c r="AX240" s="117">
        <v>464.51963751852463</v>
      </c>
      <c r="AY240" s="117">
        <v>446.45774972033246</v>
      </c>
      <c r="AZ240" s="117">
        <v>523.7336977397963</v>
      </c>
      <c r="BA240" s="117">
        <v>614.43239234290252</v>
      </c>
      <c r="BB240" s="117">
        <v>676.62275942176086</v>
      </c>
      <c r="BC240" s="117">
        <v>806.40786170985973</v>
      </c>
      <c r="BD240" s="117">
        <v>947.51373041992485</v>
      </c>
      <c r="BE240" s="117">
        <v>1013.050451220236</v>
      </c>
      <c r="BF240" s="117">
        <v>1210.0332962459302</v>
      </c>
      <c r="BG240" s="117">
        <v>1232.4568316403129</v>
      </c>
      <c r="BH240" s="117">
        <v>1334.6619555193001</v>
      </c>
      <c r="BI240" s="117">
        <v>1358.2016915012941</v>
      </c>
      <c r="BJ240" s="117">
        <v>1294.7155344890493</v>
      </c>
      <c r="BK240" s="117">
        <v>1237.1026820825382</v>
      </c>
      <c r="BL240" s="117">
        <v>1294.1889338877552</v>
      </c>
    </row>
    <row r="241" spans="1:64" hidden="1">
      <c r="A241" s="117" t="s">
        <v>1246</v>
      </c>
      <c r="B241" s="117" t="s">
        <v>1247</v>
      </c>
      <c r="C241" s="117" t="s">
        <v>775</v>
      </c>
      <c r="D241" s="117" t="s">
        <v>776</v>
      </c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>
        <v>1199.3898884250491</v>
      </c>
      <c r="AM241" s="117">
        <v>1201.4371695398627</v>
      </c>
      <c r="AN241" s="117">
        <v>1341.4192335212038</v>
      </c>
      <c r="AO241" s="117">
        <v>1526.2719942523033</v>
      </c>
      <c r="AP241" s="117">
        <v>1536.9513445598182</v>
      </c>
      <c r="AQ241" s="117">
        <v>1530.5341109799901</v>
      </c>
      <c r="AR241" s="117">
        <v>1589.9396422659745</v>
      </c>
      <c r="AS241" s="117">
        <v>1619.0328747360259</v>
      </c>
      <c r="AT241" s="117">
        <v>1647.880708460807</v>
      </c>
      <c r="AU241" s="117">
        <v>1573.3119461219942</v>
      </c>
      <c r="AV241" s="117">
        <v>1744.4568413550121</v>
      </c>
      <c r="AW241" s="117">
        <v>1988.0680548860571</v>
      </c>
      <c r="AX241" s="117">
        <v>2302.3805020933664</v>
      </c>
      <c r="AY241" s="117">
        <v>2631.0228653292211</v>
      </c>
      <c r="AZ241" s="117">
        <v>3197.5531594839272</v>
      </c>
      <c r="BA241" s="117">
        <v>3890.4797655162743</v>
      </c>
      <c r="BB241" s="117">
        <v>3686.0695398432081</v>
      </c>
      <c r="BC241" s="117">
        <v>4178.7083556328253</v>
      </c>
      <c r="BD241" s="117">
        <v>4644.1305042526456</v>
      </c>
      <c r="BE241" s="117">
        <v>5036.7208322130582</v>
      </c>
      <c r="BF241" s="117">
        <v>4623.4796797587423</v>
      </c>
      <c r="BG241" s="117">
        <v>4483.0610397423952</v>
      </c>
      <c r="BH241" s="117">
        <v>3955.5550598943696</v>
      </c>
      <c r="BI241" s="117">
        <v>3938.533310814043</v>
      </c>
      <c r="BJ241" s="117">
        <v>3799.7872907169353</v>
      </c>
      <c r="BK241" s="117"/>
      <c r="BL241" s="117"/>
    </row>
    <row r="242" spans="1:64" hidden="1">
      <c r="A242" s="117" t="s">
        <v>1248</v>
      </c>
      <c r="B242" s="117" t="s">
        <v>1249</v>
      </c>
      <c r="C242" s="117" t="s">
        <v>775</v>
      </c>
      <c r="D242" s="117" t="s">
        <v>776</v>
      </c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>
        <v>368.06474014493574</v>
      </c>
      <c r="U242" s="117">
        <v>336.60283033366625</v>
      </c>
      <c r="V242" s="117">
        <v>378.17938797741186</v>
      </c>
      <c r="W242" s="117">
        <v>455.10999805330584</v>
      </c>
      <c r="X242" s="117">
        <v>484.10068509204098</v>
      </c>
      <c r="Y242" s="117">
        <v>572.86764078163174</v>
      </c>
      <c r="Z242" s="117">
        <v>666.3385041084789</v>
      </c>
      <c r="AA242" s="117">
        <v>662.83103630997687</v>
      </c>
      <c r="AB242" s="117">
        <v>649.36107249585461</v>
      </c>
      <c r="AC242" s="117">
        <v>685.03811299383244</v>
      </c>
      <c r="AD242" s="117">
        <v>639.62962548433666</v>
      </c>
      <c r="AE242" s="117">
        <v>724.80928083255321</v>
      </c>
      <c r="AF242" s="117">
        <v>865.84253193560517</v>
      </c>
      <c r="AG242" s="117">
        <v>1127.5625309737893</v>
      </c>
      <c r="AH242" s="117">
        <v>1121.1780053567657</v>
      </c>
      <c r="AI242" s="117">
        <v>1194.541034168908</v>
      </c>
      <c r="AJ242" s="117">
        <v>1387.9967814591796</v>
      </c>
      <c r="AK242" s="117">
        <v>1436.7686301750598</v>
      </c>
      <c r="AL242" s="117">
        <v>1449.2908357636134</v>
      </c>
      <c r="AM242" s="117">
        <v>2024.0021625349491</v>
      </c>
      <c r="AN242" s="117">
        <v>2110.3923264893124</v>
      </c>
      <c r="AO242" s="117">
        <v>2280.8427087031173</v>
      </c>
      <c r="AP242" s="117">
        <v>2195.7909381564659</v>
      </c>
      <c r="AQ242" s="117">
        <v>1944.5852638205422</v>
      </c>
      <c r="AR242" s="117">
        <v>2017.6717206239916</v>
      </c>
      <c r="AS242" s="117">
        <v>2065.5026605323087</v>
      </c>
      <c r="AT242" s="117">
        <v>1840.2914950534512</v>
      </c>
      <c r="AU242" s="117">
        <v>1845.4185948114721</v>
      </c>
      <c r="AV242" s="117">
        <v>2033.7909006426339</v>
      </c>
      <c r="AW242" s="117">
        <v>2288.593015147007</v>
      </c>
      <c r="AX242" s="117">
        <v>2598.2472000934495</v>
      </c>
      <c r="AY242" s="117">
        <v>2892.0391822511779</v>
      </c>
      <c r="AZ242" s="117">
        <v>2925.9127603866327</v>
      </c>
      <c r="BA242" s="117">
        <v>3380.6133509651636</v>
      </c>
      <c r="BB242" s="117">
        <v>3062.5330906215863</v>
      </c>
      <c r="BC242" s="117">
        <v>3553.2206144863649</v>
      </c>
      <c r="BD242" s="117">
        <v>4084.624131743702</v>
      </c>
      <c r="BE242" s="117">
        <v>4597.7423053453085</v>
      </c>
      <c r="BF242" s="117">
        <v>4428.5664813498433</v>
      </c>
      <c r="BG242" s="117">
        <v>4393.9408110033037</v>
      </c>
      <c r="BH242" s="117">
        <v>4320.6379901138434</v>
      </c>
      <c r="BI242" s="117">
        <v>3966.1565202189922</v>
      </c>
      <c r="BJ242" s="117">
        <v>4217.4765067952703</v>
      </c>
      <c r="BK242" s="117">
        <v>4364.0155613494953</v>
      </c>
      <c r="BL242" s="117"/>
    </row>
    <row r="243" spans="1:64" hidden="1">
      <c r="A243" s="117" t="s">
        <v>1250</v>
      </c>
      <c r="B243" s="117" t="s">
        <v>1251</v>
      </c>
      <c r="C243" s="117" t="s">
        <v>775</v>
      </c>
      <c r="D243" s="117" t="s">
        <v>776</v>
      </c>
      <c r="E243" s="117">
        <v>82.347833718347232</v>
      </c>
      <c r="F243" s="117">
        <v>86.048623734652494</v>
      </c>
      <c r="G243" s="117">
        <v>89.913985612742096</v>
      </c>
      <c r="H243" s="117">
        <v>98.981501970714831</v>
      </c>
      <c r="I243" s="117">
        <v>110.87792020497919</v>
      </c>
      <c r="J243" s="117">
        <v>116.48794135902277</v>
      </c>
      <c r="K243" s="117">
        <v>95.802378065322628</v>
      </c>
      <c r="L243" s="117">
        <v>103.0656833575103</v>
      </c>
      <c r="M243" s="117">
        <v>105.61752997427544</v>
      </c>
      <c r="N243" s="117">
        <v>113.51173566991289</v>
      </c>
      <c r="O243" s="117">
        <v>120.13234372229464</v>
      </c>
      <c r="P243" s="117">
        <v>124.91113689444227</v>
      </c>
      <c r="Q243" s="117">
        <v>122.74976687884767</v>
      </c>
      <c r="R243" s="117">
        <v>137.16178133065148</v>
      </c>
      <c r="S243" s="117">
        <v>162.38035224664429</v>
      </c>
      <c r="T243" s="117">
        <v>169.81857960336276</v>
      </c>
      <c r="U243" s="117">
        <v>161.9100855513812</v>
      </c>
      <c r="V243" s="117">
        <v>183.11960363245203</v>
      </c>
      <c r="W243" s="117">
        <v>203.49106690532307</v>
      </c>
      <c r="X243" s="117">
        <v>222.57478817167171</v>
      </c>
      <c r="Y243" s="117">
        <v>262.08500206200483</v>
      </c>
      <c r="Z243" s="117">
        <v>271.32259870703734</v>
      </c>
      <c r="AA243" s="117">
        <v>274.14236428410442</v>
      </c>
      <c r="AB243" s="117">
        <v>283.44161467078914</v>
      </c>
      <c r="AC243" s="117">
        <v>275.59756856293234</v>
      </c>
      <c r="AD243" s="117">
        <v>292.818241536622</v>
      </c>
      <c r="AE243" s="117">
        <v>303.09417988954851</v>
      </c>
      <c r="AF243" s="117">
        <v>328.99602706914806</v>
      </c>
      <c r="AG243" s="117">
        <v>345.66822794432585</v>
      </c>
      <c r="AH243" s="117">
        <v>341.1524851469988</v>
      </c>
      <c r="AI243" s="117">
        <v>359.24247379048046</v>
      </c>
      <c r="AJ243" s="117">
        <v>312.66614791277038</v>
      </c>
      <c r="AK243" s="117">
        <v>324.91631936334016</v>
      </c>
      <c r="AL243" s="117">
        <v>315.00614141044235</v>
      </c>
      <c r="AM243" s="117">
        <v>349.87308783257862</v>
      </c>
      <c r="AN243" s="117">
        <v>380.36374677031171</v>
      </c>
      <c r="AO243" s="117">
        <v>407.76170255403497</v>
      </c>
      <c r="AP243" s="117">
        <v>419.33028433146069</v>
      </c>
      <c r="AQ243" s="117">
        <v>416.99301712822722</v>
      </c>
      <c r="AR243" s="117">
        <v>438.32529682295439</v>
      </c>
      <c r="AS243" s="117">
        <v>453.23760442319224</v>
      </c>
      <c r="AT243" s="117">
        <v>455.85813649781744</v>
      </c>
      <c r="AU243" s="117">
        <v>469.71218146942641</v>
      </c>
      <c r="AV243" s="117">
        <v>538.71113635721724</v>
      </c>
      <c r="AW243" s="117">
        <v>613.94779740106048</v>
      </c>
      <c r="AX243" s="117">
        <v>691.69261443255402</v>
      </c>
      <c r="AY243" s="117">
        <v>774.86379359949137</v>
      </c>
      <c r="AZ243" s="117">
        <v>959.30513618790508</v>
      </c>
      <c r="BA243" s="117">
        <v>959.46119709762729</v>
      </c>
      <c r="BB243" s="117">
        <v>1041.9943939554837</v>
      </c>
      <c r="BC243" s="117">
        <v>1257.4994394643729</v>
      </c>
      <c r="BD243" s="117">
        <v>1367.3131379374881</v>
      </c>
      <c r="BE243" s="117">
        <v>1364.4164031999874</v>
      </c>
      <c r="BF243" s="117">
        <v>1381.8566265977395</v>
      </c>
      <c r="BG243" s="117">
        <v>1494.4207653703811</v>
      </c>
      <c r="BH243" s="117">
        <v>1541.8036858143826</v>
      </c>
      <c r="BI243" s="117">
        <v>1651.0894625625804</v>
      </c>
      <c r="BJ243" s="117">
        <v>1866.8860665660834</v>
      </c>
      <c r="BK243" s="117">
        <v>1899.6092332366673</v>
      </c>
      <c r="BL243" s="117">
        <v>1959.9171654869888</v>
      </c>
    </row>
    <row r="244" spans="1:64" hidden="1">
      <c r="A244" s="117" t="s">
        <v>1252</v>
      </c>
      <c r="B244" s="117" t="s">
        <v>1253</v>
      </c>
      <c r="C244" s="117" t="s">
        <v>775</v>
      </c>
      <c r="D244" s="117" t="s">
        <v>776</v>
      </c>
      <c r="E244" s="117">
        <v>131.71099561607059</v>
      </c>
      <c r="F244" s="117">
        <v>133.71664291098958</v>
      </c>
      <c r="G244" s="117">
        <v>141.49476519918375</v>
      </c>
      <c r="H244" s="117">
        <v>158.26849345847589</v>
      </c>
      <c r="I244" s="117">
        <v>150.87600800699789</v>
      </c>
      <c r="J244" s="117">
        <v>163.95533574591281</v>
      </c>
      <c r="K244" s="117">
        <v>172.60380968395768</v>
      </c>
      <c r="L244" s="117">
        <v>166.42164082198127</v>
      </c>
      <c r="M244" s="117">
        <v>173.5581470701506</v>
      </c>
      <c r="N244" s="117">
        <v>193.62632337249858</v>
      </c>
      <c r="O244" s="117">
        <v>221.80063133107629</v>
      </c>
      <c r="P244" s="117">
        <v>219.80479287372344</v>
      </c>
      <c r="Q244" s="117">
        <v>241.43163451532709</v>
      </c>
      <c r="R244" s="117">
        <v>300.41379161844338</v>
      </c>
      <c r="S244" s="117">
        <v>382.180291666855</v>
      </c>
      <c r="T244" s="117">
        <v>409.73728780501506</v>
      </c>
      <c r="U244" s="117">
        <v>432.73149585089618</v>
      </c>
      <c r="V244" s="117">
        <v>462.24200809197794</v>
      </c>
      <c r="W244" s="117">
        <v>496.5919359492014</v>
      </c>
      <c r="X244" s="117">
        <v>580.90735876217411</v>
      </c>
      <c r="Y244" s="117">
        <v>711.82937408714349</v>
      </c>
      <c r="Z244" s="117">
        <v>966.83094798371417</v>
      </c>
      <c r="AA244" s="117">
        <v>864.19549759319193</v>
      </c>
      <c r="AB244" s="117">
        <v>731.41838414287474</v>
      </c>
      <c r="AC244" s="117">
        <v>621.14742661237597</v>
      </c>
      <c r="AD244" s="117">
        <v>570.68566941231711</v>
      </c>
      <c r="AE244" s="117">
        <v>569.52605475631196</v>
      </c>
      <c r="AF244" s="117">
        <v>631.76685880184607</v>
      </c>
      <c r="AG244" s="117">
        <v>632.70986299440676</v>
      </c>
      <c r="AH244" s="117">
        <v>611.4131892058781</v>
      </c>
      <c r="AI244" s="117">
        <v>667.82609401740137</v>
      </c>
      <c r="AJ244" s="117">
        <v>658.94708456032606</v>
      </c>
      <c r="AK244" s="117">
        <v>632.73756017222638</v>
      </c>
      <c r="AL244" s="117">
        <v>573.76918233785204</v>
      </c>
      <c r="AM244" s="117">
        <v>549.73109600288274</v>
      </c>
      <c r="AN244" s="117">
        <v>613.79402759982668</v>
      </c>
      <c r="AO244" s="117">
        <v>617.91807393360762</v>
      </c>
      <c r="AP244" s="117">
        <v>625.32377303969633</v>
      </c>
      <c r="AQ244" s="117">
        <v>587.95241138085385</v>
      </c>
      <c r="AR244" s="117">
        <v>579.38301236378925</v>
      </c>
      <c r="AS244" s="117">
        <v>601.06387214182826</v>
      </c>
      <c r="AT244" s="117">
        <v>558.9731758865986</v>
      </c>
      <c r="AU244" s="117">
        <v>593.65894864007623</v>
      </c>
      <c r="AV244" s="117">
        <v>724.436366351841</v>
      </c>
      <c r="AW244" s="117">
        <v>878.27311405359183</v>
      </c>
      <c r="AX244" s="117">
        <v>1014.8323921484052</v>
      </c>
      <c r="AY244" s="117">
        <v>1174.2045741219124</v>
      </c>
      <c r="AZ244" s="117">
        <v>1327.0104103725967</v>
      </c>
      <c r="BA244" s="117">
        <v>1481.0017915516935</v>
      </c>
      <c r="BB244" s="117">
        <v>1373.1374657089386</v>
      </c>
      <c r="BC244" s="117">
        <v>1588.8179774109483</v>
      </c>
      <c r="BD244" s="117">
        <v>1745.4430567376089</v>
      </c>
      <c r="BE244" s="117">
        <v>1781.4331360474721</v>
      </c>
      <c r="BF244" s="117">
        <v>1849.693609503609</v>
      </c>
      <c r="BG244" s="117">
        <v>1885.4725631832296</v>
      </c>
      <c r="BH244" s="117">
        <v>1673.4492905282216</v>
      </c>
      <c r="BI244" s="117">
        <v>1504.2384087157232</v>
      </c>
      <c r="BJ244" s="117">
        <v>1560.8873467414937</v>
      </c>
      <c r="BK244" s="117">
        <v>1589.4251561708129</v>
      </c>
      <c r="BL244" s="117">
        <v>1585.4364677479759</v>
      </c>
    </row>
    <row r="245" spans="1:64" hidden="1">
      <c r="A245" s="117" t="s">
        <v>1254</v>
      </c>
      <c r="B245" s="117" t="s">
        <v>1255</v>
      </c>
      <c r="C245" s="117" t="s">
        <v>775</v>
      </c>
      <c r="D245" s="117" t="s">
        <v>776</v>
      </c>
      <c r="E245" s="117">
        <v>631.70211496857291</v>
      </c>
      <c r="F245" s="117">
        <v>676.39804982851251</v>
      </c>
      <c r="G245" s="117">
        <v>704.21915437195014</v>
      </c>
      <c r="H245" s="117">
        <v>760.40129541603289</v>
      </c>
      <c r="I245" s="117">
        <v>788.70276359333434</v>
      </c>
      <c r="J245" s="117">
        <v>807.874268485485</v>
      </c>
      <c r="K245" s="117">
        <v>787.33926323857213</v>
      </c>
      <c r="L245" s="117">
        <v>823.55452833427057</v>
      </c>
      <c r="M245" s="117">
        <v>815.3244806858653</v>
      </c>
      <c r="N245" s="117">
        <v>831.42513865977526</v>
      </c>
      <c r="O245" s="117">
        <v>869.35135821274434</v>
      </c>
      <c r="P245" s="117">
        <v>938.28172765870875</v>
      </c>
      <c r="Q245" s="117">
        <v>1119.0380732507977</v>
      </c>
      <c r="R245" s="117">
        <v>1332.7761010201953</v>
      </c>
      <c r="S245" s="117">
        <v>2049.2185107393329</v>
      </c>
      <c r="T245" s="117">
        <v>2416.2435337629754</v>
      </c>
      <c r="U245" s="117">
        <v>2439.1703342107435</v>
      </c>
      <c r="V245" s="117">
        <v>3020.2371283883049</v>
      </c>
      <c r="W245" s="117">
        <v>3381.2409552519498</v>
      </c>
      <c r="X245" s="117">
        <v>4306.7980096197034</v>
      </c>
      <c r="Y245" s="117">
        <v>5748.6681957524852</v>
      </c>
      <c r="Z245" s="117">
        <v>6345.001087433594</v>
      </c>
      <c r="AA245" s="117">
        <v>7268.0993791777528</v>
      </c>
      <c r="AB245" s="117">
        <v>6821.8503063517128</v>
      </c>
      <c r="AC245" s="117">
        <v>6715.6591987468628</v>
      </c>
      <c r="AD245" s="117">
        <v>6302.6684673792606</v>
      </c>
      <c r="AE245" s="117">
        <v>4051.4799920266123</v>
      </c>
      <c r="AF245" s="117">
        <v>4016.4195099019435</v>
      </c>
      <c r="AG245" s="117">
        <v>3734.4524105067735</v>
      </c>
      <c r="AH245" s="117">
        <v>3564.359873859335</v>
      </c>
      <c r="AI245" s="117">
        <v>4150.3018550244205</v>
      </c>
      <c r="AJ245" s="117">
        <v>4318.5199957635296</v>
      </c>
      <c r="AK245" s="117">
        <v>4398.5022363665312</v>
      </c>
      <c r="AL245" s="117">
        <v>3754.7671599431096</v>
      </c>
      <c r="AM245" s="117">
        <v>3959.2850534721451</v>
      </c>
      <c r="AN245" s="117">
        <v>4249.0943734811153</v>
      </c>
      <c r="AO245" s="117">
        <v>4579.970821229238</v>
      </c>
      <c r="AP245" s="117">
        <v>4554.3203081941583</v>
      </c>
      <c r="AQ245" s="117">
        <v>4790.1389243962212</v>
      </c>
      <c r="AR245" s="117">
        <v>5387.1388125459125</v>
      </c>
      <c r="AS245" s="117">
        <v>6435.1646825282933</v>
      </c>
      <c r="AT245" s="117">
        <v>6939.8011840855334</v>
      </c>
      <c r="AU245" s="117">
        <v>7053.0708041132957</v>
      </c>
      <c r="AV245" s="117">
        <v>8807.900378610002</v>
      </c>
      <c r="AW245" s="117">
        <v>10293.805414704957</v>
      </c>
      <c r="AX245" s="117">
        <v>12327.233172319491</v>
      </c>
      <c r="AY245" s="117">
        <v>14102.495848093598</v>
      </c>
      <c r="AZ245" s="117">
        <v>16539.878107728306</v>
      </c>
      <c r="BA245" s="117">
        <v>21204.104970349625</v>
      </c>
      <c r="BB245" s="117">
        <v>14514.141722499686</v>
      </c>
      <c r="BC245" s="117">
        <v>16683.355378737608</v>
      </c>
      <c r="BD245" s="117">
        <v>19034.149196665167</v>
      </c>
      <c r="BE245" s="117">
        <v>19157.417036671239</v>
      </c>
      <c r="BF245" s="117">
        <v>20143.664448958178</v>
      </c>
      <c r="BG245" s="117">
        <v>20270.859371651833</v>
      </c>
      <c r="BH245" s="117">
        <v>18289.704340369015</v>
      </c>
      <c r="BI245" s="117">
        <v>16176.947370057282</v>
      </c>
      <c r="BJ245" s="117">
        <v>16238.193191667428</v>
      </c>
      <c r="BK245" s="117">
        <v>17129.913090257691</v>
      </c>
      <c r="BL245" s="117">
        <v>17276.46544682252</v>
      </c>
    </row>
    <row r="246" spans="1:64" hidden="1">
      <c r="A246" s="117" t="s">
        <v>1256</v>
      </c>
      <c r="B246" s="117" t="s">
        <v>1257</v>
      </c>
      <c r="C246" s="117" t="s">
        <v>775</v>
      </c>
      <c r="D246" s="117" t="s">
        <v>776</v>
      </c>
      <c r="E246" s="117"/>
      <c r="F246" s="117"/>
      <c r="G246" s="117"/>
      <c r="H246" s="117"/>
      <c r="I246" s="117"/>
      <c r="J246" s="117">
        <v>217.91127436517291</v>
      </c>
      <c r="K246" s="117">
        <v>224.29484614358563</v>
      </c>
      <c r="L246" s="117">
        <v>229.0289561007844</v>
      </c>
      <c r="M246" s="117">
        <v>250.69386268539492</v>
      </c>
      <c r="N246" s="117">
        <v>260.40848023369085</v>
      </c>
      <c r="O246" s="117">
        <v>284.22045445199359</v>
      </c>
      <c r="P246" s="117">
        <v>325.56433872316677</v>
      </c>
      <c r="Q246" s="117">
        <v>422.85645332763244</v>
      </c>
      <c r="R246" s="117">
        <v>504.82793867588634</v>
      </c>
      <c r="S246" s="117">
        <v>641.1046085777657</v>
      </c>
      <c r="T246" s="117">
        <v>765.18937528205583</v>
      </c>
      <c r="U246" s="117">
        <v>779.04540628645123</v>
      </c>
      <c r="V246" s="117">
        <v>863.06659065112865</v>
      </c>
      <c r="W246" s="117">
        <v>984.80123837090127</v>
      </c>
      <c r="X246" s="117">
        <v>1157.3779233830503</v>
      </c>
      <c r="Y246" s="117">
        <v>1371.8357158093199</v>
      </c>
      <c r="Z246" s="117">
        <v>1286.554171001794</v>
      </c>
      <c r="AA246" s="117">
        <v>1206.6413555378467</v>
      </c>
      <c r="AB246" s="117">
        <v>1203.658407326601</v>
      </c>
      <c r="AC246" s="117">
        <v>1156.9137347371118</v>
      </c>
      <c r="AD246" s="117">
        <v>1147.4285942664833</v>
      </c>
      <c r="AE246" s="117">
        <v>1199.5618991674401</v>
      </c>
      <c r="AF246" s="117">
        <v>1259.1356551180925</v>
      </c>
      <c r="AG246" s="117">
        <v>1281.2014572678345</v>
      </c>
      <c r="AH246" s="117">
        <v>1253.3265526971472</v>
      </c>
      <c r="AI246" s="117">
        <v>1491.1221287602907</v>
      </c>
      <c r="AJ246" s="117">
        <v>1551.3768931646148</v>
      </c>
      <c r="AK246" s="117">
        <v>1799.110328782152</v>
      </c>
      <c r="AL246" s="117">
        <v>1660.8753792643024</v>
      </c>
      <c r="AM246" s="117">
        <v>1743.1545327006152</v>
      </c>
      <c r="AN246" s="117">
        <v>1975.9002949070714</v>
      </c>
      <c r="AO246" s="117">
        <v>2113.5862918712965</v>
      </c>
      <c r="AP246" s="117">
        <v>2208.2053029448011</v>
      </c>
      <c r="AQ246" s="117">
        <v>2292.7129468529156</v>
      </c>
      <c r="AR246" s="117">
        <v>2386.589244213817</v>
      </c>
      <c r="AS246" s="117">
        <v>2211.826817285465</v>
      </c>
      <c r="AT246" s="117">
        <v>2253.0447097024385</v>
      </c>
      <c r="AU246" s="117">
        <v>2344.4135334253288</v>
      </c>
      <c r="AV246" s="117">
        <v>2760.4143135015579</v>
      </c>
      <c r="AW246" s="117">
        <v>3111.3827029012814</v>
      </c>
      <c r="AX246" s="117">
        <v>3193.206569493726</v>
      </c>
      <c r="AY246" s="117">
        <v>3370.0339258851072</v>
      </c>
      <c r="AZ246" s="117">
        <v>3775.7500101607743</v>
      </c>
      <c r="BA246" s="117">
        <v>4307.1558783897099</v>
      </c>
      <c r="BB246" s="117">
        <v>4128.4627826119058</v>
      </c>
      <c r="BC246" s="117">
        <v>4141.9763533645946</v>
      </c>
      <c r="BD246" s="117">
        <v>4264.6749460473739</v>
      </c>
      <c r="BE246" s="117">
        <v>4152.6785870758313</v>
      </c>
      <c r="BF246" s="117">
        <v>4222.7032454061073</v>
      </c>
      <c r="BG246" s="117">
        <v>4305.4741650483447</v>
      </c>
      <c r="BH246" s="117">
        <v>3861.688531134972</v>
      </c>
      <c r="BI246" s="117">
        <v>3697.9308312606408</v>
      </c>
      <c r="BJ246" s="117">
        <v>3481.2287387651627</v>
      </c>
      <c r="BK246" s="117">
        <v>3438.7890891462744</v>
      </c>
      <c r="BL246" s="117">
        <v>3317.5410134834469</v>
      </c>
    </row>
    <row r="247" spans="1:64" hidden="1">
      <c r="A247" s="117" t="s">
        <v>1258</v>
      </c>
      <c r="B247" s="117" t="s">
        <v>1259</v>
      </c>
      <c r="C247" s="117" t="s">
        <v>775</v>
      </c>
      <c r="D247" s="117" t="s">
        <v>776</v>
      </c>
      <c r="E247" s="117">
        <v>509.42385215056265</v>
      </c>
      <c r="F247" s="117">
        <v>283.82827418316572</v>
      </c>
      <c r="G247" s="117">
        <v>309.44666723877685</v>
      </c>
      <c r="H247" s="117">
        <v>350.66294956415175</v>
      </c>
      <c r="I247" s="117">
        <v>369.58343197004473</v>
      </c>
      <c r="J247" s="117">
        <v>386.35808558470859</v>
      </c>
      <c r="K247" s="117">
        <v>444.54944078675538</v>
      </c>
      <c r="L247" s="117">
        <v>481.69370952626764</v>
      </c>
      <c r="M247" s="117">
        <v>526.21349040595533</v>
      </c>
      <c r="N247" s="117">
        <v>571.61778698369528</v>
      </c>
      <c r="O247" s="117">
        <v>489.93026932181232</v>
      </c>
      <c r="P247" s="117">
        <v>455.10490918138555</v>
      </c>
      <c r="Q247" s="117">
        <v>558.42101452635177</v>
      </c>
      <c r="R247" s="117">
        <v>686.48993821579995</v>
      </c>
      <c r="S247" s="117">
        <v>927.79909484724999</v>
      </c>
      <c r="T247" s="117">
        <v>1136.3753356398799</v>
      </c>
      <c r="U247" s="117">
        <v>1275.9563832645651</v>
      </c>
      <c r="V247" s="117">
        <v>1427.3715519611058</v>
      </c>
      <c r="W247" s="117">
        <v>1549.6440267113264</v>
      </c>
      <c r="X247" s="117">
        <v>2079.2203658689305</v>
      </c>
      <c r="Y247" s="117">
        <v>1564.2472014033171</v>
      </c>
      <c r="Z247" s="117">
        <v>1579.0736730671065</v>
      </c>
      <c r="AA247" s="117">
        <v>1402.4064354527607</v>
      </c>
      <c r="AB247" s="117">
        <v>1310.2555960923964</v>
      </c>
      <c r="AC247" s="117">
        <v>1246.8245458709168</v>
      </c>
      <c r="AD247" s="117">
        <v>1368.401401756156</v>
      </c>
      <c r="AE247" s="117">
        <v>1510.6765218398798</v>
      </c>
      <c r="AF247" s="117">
        <v>1705.8945847697705</v>
      </c>
      <c r="AG247" s="117">
        <v>1745.3648934902546</v>
      </c>
      <c r="AH247" s="117">
        <v>2021.8592244424008</v>
      </c>
      <c r="AI247" s="117">
        <v>2794.3503901617828</v>
      </c>
      <c r="AJ247" s="117">
        <v>2735.7078640717277</v>
      </c>
      <c r="AK247" s="117">
        <v>2842.3698763747534</v>
      </c>
      <c r="AL247" s="117">
        <v>3180.1878010457399</v>
      </c>
      <c r="AM247" s="117">
        <v>2270.3375225565055</v>
      </c>
      <c r="AN247" s="117">
        <v>2897.8664914836854</v>
      </c>
      <c r="AO247" s="117">
        <v>3053.9470250491258</v>
      </c>
      <c r="AP247" s="117">
        <v>3144.3858593402451</v>
      </c>
      <c r="AQ247" s="117">
        <v>4496.4968204604629</v>
      </c>
      <c r="AR247" s="117">
        <v>4108.1231989967637</v>
      </c>
      <c r="AS247" s="117">
        <v>4316.5489067777362</v>
      </c>
      <c r="AT247" s="117">
        <v>3119.5657902325765</v>
      </c>
      <c r="AU247" s="117">
        <v>3659.9398684617845</v>
      </c>
      <c r="AV247" s="117">
        <v>4718.199807553432</v>
      </c>
      <c r="AW247" s="117">
        <v>6040.6076978806341</v>
      </c>
      <c r="AX247" s="117">
        <v>7384.2516279017154</v>
      </c>
      <c r="AY247" s="117">
        <v>8035.3773381232459</v>
      </c>
      <c r="AZ247" s="117">
        <v>9711.8735939755607</v>
      </c>
      <c r="BA247" s="117">
        <v>10854.172252915099</v>
      </c>
      <c r="BB247" s="117">
        <v>9038.5201501725987</v>
      </c>
      <c r="BC247" s="117">
        <v>10672.389245602999</v>
      </c>
      <c r="BD247" s="117">
        <v>11335.510509510132</v>
      </c>
      <c r="BE247" s="117">
        <v>11707.259712100089</v>
      </c>
      <c r="BF247" s="117">
        <v>12519.391425881915</v>
      </c>
      <c r="BG247" s="117">
        <v>12095.854571813541</v>
      </c>
      <c r="BH247" s="117">
        <v>10948.724606902664</v>
      </c>
      <c r="BI247" s="117">
        <v>10820.633842210817</v>
      </c>
      <c r="BJ247" s="117">
        <v>10513.648432437794</v>
      </c>
      <c r="BK247" s="117">
        <v>9370.1763549730967</v>
      </c>
      <c r="BL247" s="117">
        <v>9042.492982888818</v>
      </c>
    </row>
    <row r="248" spans="1:64" hidden="1">
      <c r="A248" s="117" t="s">
        <v>1260</v>
      </c>
      <c r="B248" s="117" t="s">
        <v>1261</v>
      </c>
      <c r="C248" s="117" t="s">
        <v>775</v>
      </c>
      <c r="D248" s="117" t="s">
        <v>776</v>
      </c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>
        <v>990.06481995099807</v>
      </c>
      <c r="AJ248" s="117">
        <v>1037.5765470522624</v>
      </c>
      <c r="AK248" s="117">
        <v>1069.2437962258934</v>
      </c>
      <c r="AL248" s="117">
        <v>1047.5052157816369</v>
      </c>
      <c r="AM248" s="117">
        <v>1176.6996929628506</v>
      </c>
      <c r="AN248" s="117">
        <v>1185.8405188805677</v>
      </c>
      <c r="AO248" s="117">
        <v>1323.0554791482932</v>
      </c>
      <c r="AP248" s="117">
        <v>1362.3195803420117</v>
      </c>
      <c r="AQ248" s="117">
        <v>1367.0845336959719</v>
      </c>
      <c r="AR248" s="117">
        <v>1464.4918795075753</v>
      </c>
      <c r="AS248" s="117">
        <v>1462.8546998182633</v>
      </c>
      <c r="AT248" s="117">
        <v>1391.4534950153916</v>
      </c>
      <c r="AU248" s="117">
        <v>1610.1494623810304</v>
      </c>
      <c r="AV248" s="117">
        <v>1874.4682849541739</v>
      </c>
      <c r="AW248" s="117">
        <v>2182.0783876369796</v>
      </c>
      <c r="AX248" s="117">
        <v>2183.9098892707134</v>
      </c>
      <c r="AY248" s="117">
        <v>2263.1286013619692</v>
      </c>
      <c r="AZ248" s="117">
        <v>2644.5919212677873</v>
      </c>
      <c r="BA248" s="117">
        <v>2936.8062596262307</v>
      </c>
      <c r="BB248" s="117">
        <v>2599.8730118142826</v>
      </c>
      <c r="BC248" s="117">
        <v>3022.176507163972</v>
      </c>
      <c r="BD248" s="117">
        <v>3640.7232400497696</v>
      </c>
      <c r="BE248" s="117">
        <v>3507.9406550473732</v>
      </c>
      <c r="BF248" s="117">
        <v>3454.8286921824897</v>
      </c>
      <c r="BG248" s="117">
        <v>3398.7064833763056</v>
      </c>
      <c r="BH248" s="117">
        <v>3197.7722519439353</v>
      </c>
      <c r="BI248" s="117">
        <v>3255.9286934258371</v>
      </c>
      <c r="BJ248" s="117">
        <v>3572.4935789483334</v>
      </c>
      <c r="BK248" s="117">
        <v>3700.7442625219164</v>
      </c>
      <c r="BL248" s="117">
        <v>4059.0299956944436</v>
      </c>
    </row>
    <row r="249" spans="1:64" hidden="1">
      <c r="A249" s="117" t="s">
        <v>1262</v>
      </c>
      <c r="B249" s="117" t="s">
        <v>1263</v>
      </c>
      <c r="C249" s="117" t="s">
        <v>775</v>
      </c>
      <c r="D249" s="117" t="s">
        <v>776</v>
      </c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>
        <v>221.58813451116501</v>
      </c>
      <c r="AH249" s="117">
        <v>186.21872497067201</v>
      </c>
      <c r="AI249" s="117">
        <v>173.79063918487401</v>
      </c>
      <c r="AJ249" s="117">
        <v>195.661537920119</v>
      </c>
      <c r="AK249" s="117">
        <v>175.558126784427</v>
      </c>
      <c r="AL249" s="117">
        <v>157.060818273959</v>
      </c>
      <c r="AM249" s="117">
        <v>161.17693554033801</v>
      </c>
      <c r="AN249" s="117">
        <v>182.36188369041801</v>
      </c>
      <c r="AO249" s="117">
        <v>219.55018881256299</v>
      </c>
      <c r="AP249" s="117">
        <v>253.475951266267</v>
      </c>
      <c r="AQ249" s="117">
        <v>395.532684558791</v>
      </c>
      <c r="AR249" s="117">
        <v>400.26368438231702</v>
      </c>
      <c r="AS249" s="117">
        <v>410.95232759310102</v>
      </c>
      <c r="AT249" s="117">
        <v>406.53866855832501</v>
      </c>
      <c r="AU249" s="117">
        <v>411.97234578502002</v>
      </c>
      <c r="AV249" s="117">
        <v>431.27969313490502</v>
      </c>
      <c r="AW249" s="117">
        <v>459.25928251386102</v>
      </c>
      <c r="AX249" s="117">
        <v>492.63137929182</v>
      </c>
      <c r="AY249" s="117">
        <v>485.49748740451503</v>
      </c>
      <c r="AZ249" s="117">
        <v>552.83952960034105</v>
      </c>
      <c r="BA249" s="117">
        <v>687.39044554034797</v>
      </c>
      <c r="BB249" s="117">
        <v>695.21677681204505</v>
      </c>
      <c r="BC249" s="117">
        <v>743.40378472600401</v>
      </c>
      <c r="BD249" s="117">
        <v>781.43701432427599</v>
      </c>
      <c r="BE249" s="117">
        <v>867.86768056322796</v>
      </c>
      <c r="BF249" s="117">
        <v>970.41693842504606</v>
      </c>
      <c r="BG249" s="117">
        <v>1030.0929174765299</v>
      </c>
      <c r="BH249" s="117">
        <v>947.93344648790298</v>
      </c>
      <c r="BI249" s="117">
        <v>966.47462235437899</v>
      </c>
      <c r="BJ249" s="117">
        <v>1004.84112066441</v>
      </c>
      <c r="BK249" s="117">
        <v>1060.9946148942099</v>
      </c>
      <c r="BL249" s="117">
        <v>1122.1218104751499</v>
      </c>
    </row>
    <row r="250" spans="1:64" hidden="1">
      <c r="A250" s="117" t="s">
        <v>1264</v>
      </c>
      <c r="B250" s="117" t="s">
        <v>1265</v>
      </c>
      <c r="C250" s="117" t="s">
        <v>775</v>
      </c>
      <c r="D250" s="117" t="s">
        <v>776</v>
      </c>
      <c r="E250" s="117">
        <v>62.509597655158501</v>
      </c>
      <c r="F250" s="117">
        <v>63.221021655300163</v>
      </c>
      <c r="G250" s="117">
        <v>62.226340464219362</v>
      </c>
      <c r="H250" s="117">
        <v>69.173561547261414</v>
      </c>
      <c r="I250" s="117">
        <v>76.311525764335471</v>
      </c>
      <c r="J250" s="117">
        <v>110.80223348765611</v>
      </c>
      <c r="K250" s="117">
        <v>112.03208592975021</v>
      </c>
      <c r="L250" s="117">
        <v>113.16923097710017</v>
      </c>
      <c r="M250" s="117">
        <v>117.38459068069741</v>
      </c>
      <c r="N250" s="117">
        <v>128.0747079021526</v>
      </c>
      <c r="O250" s="117">
        <v>133.97168002184287</v>
      </c>
      <c r="P250" s="117">
        <v>146.58887895874611</v>
      </c>
      <c r="Q250" s="117">
        <v>150.21664828957094</v>
      </c>
      <c r="R250" s="117">
        <v>167.13577082541093</v>
      </c>
      <c r="S250" s="117">
        <v>200.91219933042942</v>
      </c>
      <c r="T250" s="117">
        <v>219.75104739531113</v>
      </c>
      <c r="U250" s="117">
        <v>221.61602481360546</v>
      </c>
      <c r="V250" s="117">
        <v>258.29624701296456</v>
      </c>
      <c r="W250" s="117">
        <v>206.63860579782656</v>
      </c>
      <c r="X250" s="117">
        <v>177.20149994056072</v>
      </c>
      <c r="Y250" s="117">
        <v>100.03026763306627</v>
      </c>
      <c r="Z250" s="117">
        <v>104.27223779154005</v>
      </c>
      <c r="AA250" s="117">
        <v>164.68775390937719</v>
      </c>
      <c r="AB250" s="117">
        <v>164.26261811737248</v>
      </c>
      <c r="AC250" s="117">
        <v>256.74072070186924</v>
      </c>
      <c r="AD250" s="117">
        <v>241.74603466462224</v>
      </c>
      <c r="AE250" s="117">
        <v>260.32869959260535</v>
      </c>
      <c r="AF250" s="117">
        <v>401.56346629571863</v>
      </c>
      <c r="AG250" s="117">
        <v>402.27946656445073</v>
      </c>
      <c r="AH250" s="117">
        <v>314.7687028404132</v>
      </c>
      <c r="AI250" s="117">
        <v>248.02936719895919</v>
      </c>
      <c r="AJ250" s="117">
        <v>185.01814808029431</v>
      </c>
      <c r="AK250" s="117">
        <v>153.94397402146356</v>
      </c>
      <c r="AL250" s="117">
        <v>167.94123172112364</v>
      </c>
      <c r="AM250" s="117">
        <v>201.60265647830064</v>
      </c>
      <c r="AN250" s="117">
        <v>281.96620234940929</v>
      </c>
      <c r="AO250" s="117">
        <v>287.38823607817517</v>
      </c>
      <c r="AP250" s="117">
        <v>289.50441424217109</v>
      </c>
      <c r="AQ250" s="117">
        <v>295.40535802370033</v>
      </c>
      <c r="AR250" s="117">
        <v>261.34786098481987</v>
      </c>
      <c r="AS250" s="117">
        <v>261.86899770102616</v>
      </c>
      <c r="AT250" s="117">
        <v>239.47318593277319</v>
      </c>
      <c r="AU250" s="117">
        <v>245.50007936472923</v>
      </c>
      <c r="AV250" s="117">
        <v>243.90152637950632</v>
      </c>
      <c r="AW250" s="117">
        <v>296.04693610379712</v>
      </c>
      <c r="AX250" s="117">
        <v>325.59037361089077</v>
      </c>
      <c r="AY250" s="117">
        <v>347.99035681541307</v>
      </c>
      <c r="AZ250" s="117">
        <v>416.89861939562292</v>
      </c>
      <c r="BA250" s="117">
        <v>467.90057030065628</v>
      </c>
      <c r="BB250" s="117">
        <v>793.48328551098984</v>
      </c>
      <c r="BC250" s="117">
        <v>815.87367913148194</v>
      </c>
      <c r="BD250" s="117">
        <v>825.83843518625372</v>
      </c>
      <c r="BE250" s="117">
        <v>783.7179210182876</v>
      </c>
      <c r="BF250" s="117">
        <v>803.5093739186982</v>
      </c>
      <c r="BG250" s="117">
        <v>876.35430046158058</v>
      </c>
      <c r="BH250" s="117">
        <v>840.40157145576666</v>
      </c>
      <c r="BI250" s="117">
        <v>730.6250404962467</v>
      </c>
      <c r="BJ250" s="117">
        <v>747.19690737797896</v>
      </c>
      <c r="BK250" s="117">
        <v>767.09775957590318</v>
      </c>
      <c r="BL250" s="117">
        <v>776.76857588530822</v>
      </c>
    </row>
    <row r="251" spans="1:64" hidden="1">
      <c r="A251" s="117" t="s">
        <v>1266</v>
      </c>
      <c r="B251" s="117" t="s">
        <v>1267</v>
      </c>
      <c r="C251" s="117" t="s">
        <v>775</v>
      </c>
      <c r="D251" s="117" t="s">
        <v>776</v>
      </c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>
        <v>1249.4432776057799</v>
      </c>
      <c r="AG251" s="117">
        <v>1449.9624988386099</v>
      </c>
      <c r="AH251" s="117">
        <v>1597.53464352316</v>
      </c>
      <c r="AI251" s="117">
        <v>1569.75758369404</v>
      </c>
      <c r="AJ251" s="117">
        <v>1489.68877509851</v>
      </c>
      <c r="AK251" s="117">
        <v>1417.8651617329299</v>
      </c>
      <c r="AL251" s="117">
        <v>1258.1365736358</v>
      </c>
      <c r="AM251" s="117">
        <v>1012.09819360028</v>
      </c>
      <c r="AN251" s="117">
        <v>935.95898840845996</v>
      </c>
      <c r="AO251" s="117">
        <v>872.69874195783996</v>
      </c>
      <c r="AP251" s="117">
        <v>991.22040280280896</v>
      </c>
      <c r="AQ251" s="117">
        <v>835.25095417715795</v>
      </c>
      <c r="AR251" s="117">
        <v>635.75792256419902</v>
      </c>
      <c r="AS251" s="117">
        <v>635.70053507557498</v>
      </c>
      <c r="AT251" s="117">
        <v>780.32117887061895</v>
      </c>
      <c r="AU251" s="117">
        <v>878.61874894134496</v>
      </c>
      <c r="AV251" s="117">
        <v>1047.5027904773899</v>
      </c>
      <c r="AW251" s="117">
        <v>1366.0164764782301</v>
      </c>
      <c r="AX251" s="117">
        <v>1826.93139114817</v>
      </c>
      <c r="AY251" s="117">
        <v>2300.76970925872</v>
      </c>
      <c r="AZ251" s="117">
        <v>3065.6112939084201</v>
      </c>
      <c r="BA251" s="117">
        <v>3887.24233680525</v>
      </c>
      <c r="BB251" s="117">
        <v>2542.9954241752198</v>
      </c>
      <c r="BC251" s="117">
        <v>2965.13971520617</v>
      </c>
      <c r="BD251" s="117">
        <v>3569.7581208389802</v>
      </c>
      <c r="BE251" s="117">
        <v>3855.41772856732</v>
      </c>
      <c r="BF251" s="117">
        <v>4029.7112516254501</v>
      </c>
      <c r="BG251" s="117">
        <v>3104.6432060954098</v>
      </c>
      <c r="BH251" s="117">
        <v>2124.6623187837999</v>
      </c>
      <c r="BI251" s="117">
        <v>2187.73050991433</v>
      </c>
      <c r="BJ251" s="117">
        <v>2640.67567655839</v>
      </c>
      <c r="BK251" s="117">
        <v>3096.8174022135199</v>
      </c>
      <c r="BL251" s="117">
        <v>3659.0313122948701</v>
      </c>
    </row>
    <row r="252" spans="1:64" hidden="1">
      <c r="A252" s="117" t="s">
        <v>1268</v>
      </c>
      <c r="B252" s="117" t="s">
        <v>1269</v>
      </c>
      <c r="C252" s="117" t="s">
        <v>775</v>
      </c>
      <c r="D252" s="117" t="s">
        <v>776</v>
      </c>
      <c r="E252" s="117">
        <v>181.61412914467101</v>
      </c>
      <c r="F252" s="117">
        <v>164.64008112634505</v>
      </c>
      <c r="G252" s="117">
        <v>170.67874822849367</v>
      </c>
      <c r="H252" s="117">
        <v>174.10528381852896</v>
      </c>
      <c r="I252" s="117">
        <v>192.37758574396452</v>
      </c>
      <c r="J252" s="117">
        <v>208.54540833013897</v>
      </c>
      <c r="K252" s="117">
        <v>223.70032281774206</v>
      </c>
      <c r="L252" s="117">
        <v>221.39175231490597</v>
      </c>
      <c r="M252" s="117">
        <v>227.97226508689576</v>
      </c>
      <c r="N252" s="117">
        <v>249.20028948609402</v>
      </c>
      <c r="O252" s="117">
        <v>266.33624115716924</v>
      </c>
      <c r="P252" s="117">
        <v>284.22894035419733</v>
      </c>
      <c r="Q252" s="117">
        <v>316.91249818459909</v>
      </c>
      <c r="R252" s="117">
        <v>404.22025759923531</v>
      </c>
      <c r="S252" s="117">
        <v>509.52902442524214</v>
      </c>
      <c r="T252" s="117">
        <v>551.83990075646841</v>
      </c>
      <c r="U252" s="117">
        <v>591.30587780875032</v>
      </c>
      <c r="V252" s="117">
        <v>651.77743186929024</v>
      </c>
      <c r="W252" s="117">
        <v>683.72123748270883</v>
      </c>
      <c r="X252" s="117">
        <v>808.39724836554649</v>
      </c>
      <c r="Y252" s="117">
        <v>923.92270412884022</v>
      </c>
      <c r="Z252" s="117">
        <v>993.01752245760986</v>
      </c>
      <c r="AA252" s="117">
        <v>963.52068554767322</v>
      </c>
      <c r="AB252" s="117">
        <v>924.06404602675377</v>
      </c>
      <c r="AC252" s="117">
        <v>937.06002765638925</v>
      </c>
      <c r="AD252" s="117">
        <v>969.13462628775972</v>
      </c>
      <c r="AE252" s="117">
        <v>978.29313302965829</v>
      </c>
      <c r="AF252" s="117">
        <v>955.391557685002</v>
      </c>
      <c r="AG252" s="117">
        <v>1035.8972306717553</v>
      </c>
      <c r="AH252" s="117">
        <v>1068.1438743512949</v>
      </c>
      <c r="AI252" s="117">
        <v>1225.7023064085686</v>
      </c>
      <c r="AJ252" s="117">
        <v>1350.9318030871386</v>
      </c>
      <c r="AK252" s="117">
        <v>1305.52284349056</v>
      </c>
      <c r="AL252" s="117">
        <v>1407.3273275941694</v>
      </c>
      <c r="AM252" s="117">
        <v>1518.0846210852314</v>
      </c>
      <c r="AN252" s="117">
        <v>1680.9688551713039</v>
      </c>
      <c r="AO252" s="117">
        <v>1814.9014206047268</v>
      </c>
      <c r="AP252" s="117">
        <v>1905.3798891326308</v>
      </c>
      <c r="AQ252" s="117">
        <v>1811.9694296162943</v>
      </c>
      <c r="AR252" s="117">
        <v>1717.3062327846903</v>
      </c>
      <c r="AS252" s="117">
        <v>1878.1244761862429</v>
      </c>
      <c r="AT252" s="117">
        <v>1882.78892874036</v>
      </c>
      <c r="AU252" s="117">
        <v>1882.7739476855861</v>
      </c>
      <c r="AV252" s="117">
        <v>2095.3889107475084</v>
      </c>
      <c r="AW252" s="117">
        <v>2482.9562499889289</v>
      </c>
      <c r="AX252" s="117">
        <v>2953.4395820493755</v>
      </c>
      <c r="AY252" s="117">
        <v>3494.2525587433884</v>
      </c>
      <c r="AZ252" s="117">
        <v>4300.970142899615</v>
      </c>
      <c r="BA252" s="117">
        <v>5211.2740707401417</v>
      </c>
      <c r="BB252" s="117">
        <v>5016.9575302267767</v>
      </c>
      <c r="BC252" s="117">
        <v>6089.4233136209104</v>
      </c>
      <c r="BD252" s="117">
        <v>7225.1722291718215</v>
      </c>
      <c r="BE252" s="117">
        <v>7678.096345040396</v>
      </c>
      <c r="BF252" s="117">
        <v>8070.0629027200075</v>
      </c>
      <c r="BG252" s="117">
        <v>8258.4377506741221</v>
      </c>
      <c r="BH252" s="117">
        <v>7695.5039389323574</v>
      </c>
      <c r="BI252" s="117">
        <v>7629.4068556186612</v>
      </c>
      <c r="BJ252" s="117">
        <v>8364.7704248502978</v>
      </c>
      <c r="BK252" s="117">
        <v>8911.9115188368414</v>
      </c>
      <c r="BL252" s="117">
        <v>9040.0457816700327</v>
      </c>
    </row>
    <row r="253" spans="1:64" hidden="1">
      <c r="A253" s="117" t="s">
        <v>1270</v>
      </c>
      <c r="B253" s="117" t="s">
        <v>1271</v>
      </c>
      <c r="C253" s="117" t="s">
        <v>775</v>
      </c>
      <c r="D253" s="117" t="s">
        <v>776</v>
      </c>
      <c r="E253" s="117">
        <v>489.3516887584961</v>
      </c>
      <c r="F253" s="117">
        <v>601.70323668889523</v>
      </c>
      <c r="G253" s="117">
        <v>656.71347903931644</v>
      </c>
      <c r="H253" s="117">
        <v>584.29141178893735</v>
      </c>
      <c r="I253" s="117">
        <v>741.24360748459412</v>
      </c>
      <c r="J253" s="117">
        <v>701.70497857227019</v>
      </c>
      <c r="K253" s="117">
        <v>664.43886499625933</v>
      </c>
      <c r="L253" s="117">
        <v>580.97131508247674</v>
      </c>
      <c r="M253" s="117">
        <v>574.34729652725605</v>
      </c>
      <c r="N253" s="117">
        <v>717.13966511807962</v>
      </c>
      <c r="O253" s="117">
        <v>760.58868898653679</v>
      </c>
      <c r="P253" s="117">
        <v>996.08877344598682</v>
      </c>
      <c r="Q253" s="117">
        <v>775.98733471027333</v>
      </c>
      <c r="R253" s="117">
        <v>1404.7240679689908</v>
      </c>
      <c r="S253" s="117">
        <v>1448.3258112675815</v>
      </c>
      <c r="T253" s="117">
        <v>1250.1990413590036</v>
      </c>
      <c r="U253" s="117">
        <v>1290.6304565131647</v>
      </c>
      <c r="V253" s="117">
        <v>1440.2266545917601</v>
      </c>
      <c r="W253" s="117">
        <v>1707.4832122271421</v>
      </c>
      <c r="X253" s="117">
        <v>2479.9582268485105</v>
      </c>
      <c r="Y253" s="117">
        <v>3485.99110298295</v>
      </c>
      <c r="Z253" s="117">
        <v>3764.8356159716236</v>
      </c>
      <c r="AA253" s="117">
        <v>3107.400832086917</v>
      </c>
      <c r="AB253" s="117">
        <v>1716.1854938856645</v>
      </c>
      <c r="AC253" s="117">
        <v>1620.9367285231338</v>
      </c>
      <c r="AD253" s="117">
        <v>1571.3059998571105</v>
      </c>
      <c r="AE253" s="117">
        <v>1940.2157057480003</v>
      </c>
      <c r="AF253" s="117">
        <v>2415.9037193634595</v>
      </c>
      <c r="AG253" s="117">
        <v>2676.5412310767524</v>
      </c>
      <c r="AH253" s="117">
        <v>2732.2946116491289</v>
      </c>
      <c r="AI253" s="117">
        <v>2990.3642477704975</v>
      </c>
      <c r="AJ253" s="117">
        <v>3578.2847292732322</v>
      </c>
      <c r="AK253" s="117">
        <v>4082.5318916252863</v>
      </c>
      <c r="AL253" s="117">
        <v>4720.9913062516616</v>
      </c>
      <c r="AM253" s="117">
        <v>5458.8639499926358</v>
      </c>
      <c r="AN253" s="117">
        <v>5985.105856639243</v>
      </c>
      <c r="AO253" s="117">
        <v>6317.5657673716851</v>
      </c>
      <c r="AP253" s="117">
        <v>7329.8534906637469</v>
      </c>
      <c r="AQ253" s="117">
        <v>7713.6187713540985</v>
      </c>
      <c r="AR253" s="117">
        <v>7250.2594279042014</v>
      </c>
      <c r="AS253" s="117">
        <v>6875.0213275527594</v>
      </c>
      <c r="AT253" s="117">
        <v>6284.4559004492767</v>
      </c>
      <c r="AU253" s="117">
        <v>4090.8992674249471</v>
      </c>
      <c r="AV253" s="117">
        <v>3624.1980524334208</v>
      </c>
      <c r="AW253" s="117">
        <v>4120.5566110124164</v>
      </c>
      <c r="AX253" s="117">
        <v>5226.9378057201075</v>
      </c>
      <c r="AY253" s="117">
        <v>5887.8487033755682</v>
      </c>
      <c r="AZ253" s="117">
        <v>7026.5114912061772</v>
      </c>
      <c r="BA253" s="117">
        <v>9091.0790391691953</v>
      </c>
      <c r="BB253" s="117">
        <v>9451.9324486993428</v>
      </c>
      <c r="BC253" s="117">
        <v>11992.016626177407</v>
      </c>
      <c r="BD253" s="117">
        <v>14236.681188686012</v>
      </c>
      <c r="BE253" s="117">
        <v>15171.584663418806</v>
      </c>
      <c r="BF253" s="117">
        <v>16973.67421302171</v>
      </c>
      <c r="BG253" s="117">
        <v>16831.972944077828</v>
      </c>
      <c r="BH253" s="117">
        <v>15613.764272642899</v>
      </c>
      <c r="BI253" s="117">
        <v>15387.144029944648</v>
      </c>
      <c r="BJ253" s="117">
        <v>17322.147389116577</v>
      </c>
      <c r="BK253" s="117">
        <v>17277.970110185208</v>
      </c>
      <c r="BL253" s="117">
        <v>16190.126957282693</v>
      </c>
    </row>
    <row r="254" spans="1:64">
      <c r="A254" s="117" t="s">
        <v>1272</v>
      </c>
      <c r="B254" s="117" t="s">
        <v>1273</v>
      </c>
      <c r="C254" s="117" t="s">
        <v>775</v>
      </c>
      <c r="D254" s="117" t="s">
        <v>776</v>
      </c>
      <c r="E254" s="117">
        <v>3007.1234453786165</v>
      </c>
      <c r="F254" s="117">
        <v>3066.5628691661541</v>
      </c>
      <c r="G254" s="117">
        <v>3243.8430775498828</v>
      </c>
      <c r="H254" s="117">
        <v>3374.5151710508239</v>
      </c>
      <c r="I254" s="117">
        <v>3573.9411847474321</v>
      </c>
      <c r="J254" s="117">
        <v>3827.5271097203854</v>
      </c>
      <c r="K254" s="117">
        <v>4146.3166463166463</v>
      </c>
      <c r="L254" s="117">
        <v>4336.4265872217075</v>
      </c>
      <c r="M254" s="117">
        <v>4695.9233904317762</v>
      </c>
      <c r="N254" s="117">
        <v>5032.1447426200311</v>
      </c>
      <c r="O254" s="117">
        <v>5234.2966662114977</v>
      </c>
      <c r="P254" s="117">
        <v>5609.3825995251873</v>
      </c>
      <c r="Q254" s="117">
        <v>6094.0179898616461</v>
      </c>
      <c r="R254" s="117">
        <v>6726.3589559669481</v>
      </c>
      <c r="S254" s="117">
        <v>7225.6913595256574</v>
      </c>
      <c r="T254" s="117">
        <v>7801.4566635644269</v>
      </c>
      <c r="U254" s="117">
        <v>8592.2535372761249</v>
      </c>
      <c r="V254" s="117">
        <v>9452.5765191451101</v>
      </c>
      <c r="W254" s="117">
        <v>10564.94822202754</v>
      </c>
      <c r="X254" s="117">
        <v>11674.186310013109</v>
      </c>
      <c r="Y254" s="117">
        <v>12574.791506216305</v>
      </c>
      <c r="Z254" s="117">
        <v>13976.10975046412</v>
      </c>
      <c r="AA254" s="117">
        <v>14433.787727052973</v>
      </c>
      <c r="AB254" s="117">
        <v>15543.893717492472</v>
      </c>
      <c r="AC254" s="117">
        <v>17121.225484999472</v>
      </c>
      <c r="AD254" s="117">
        <v>18236.827726500898</v>
      </c>
      <c r="AE254" s="117">
        <v>19071.227194929477</v>
      </c>
      <c r="AF254" s="117">
        <v>20038.941099265754</v>
      </c>
      <c r="AG254" s="117">
        <v>21417.011930519144</v>
      </c>
      <c r="AH254" s="117">
        <v>22857.154433005562</v>
      </c>
      <c r="AI254" s="117">
        <v>23888.60000881329</v>
      </c>
      <c r="AJ254" s="117">
        <v>24342.25890481894</v>
      </c>
      <c r="AK254" s="117">
        <v>25418.990776331895</v>
      </c>
      <c r="AL254" s="117">
        <v>26387.293733817074</v>
      </c>
      <c r="AM254" s="117">
        <v>27694.853416234047</v>
      </c>
      <c r="AN254" s="117">
        <v>28690.875701334695</v>
      </c>
      <c r="AO254" s="117">
        <v>29967.712718174866</v>
      </c>
      <c r="AP254" s="117">
        <v>31459.139002482974</v>
      </c>
      <c r="AQ254" s="117">
        <v>32853.676984926809</v>
      </c>
      <c r="AR254" s="117">
        <v>34513.561503727062</v>
      </c>
      <c r="AS254" s="117">
        <v>36334.908777058896</v>
      </c>
      <c r="AT254" s="117">
        <v>37133.242808852636</v>
      </c>
      <c r="AU254" s="117">
        <v>38023.161114402101</v>
      </c>
      <c r="AV254" s="117">
        <v>39496.485875138067</v>
      </c>
      <c r="AW254" s="117">
        <v>41712.801067554457</v>
      </c>
      <c r="AX254" s="117">
        <v>44114.74777767052</v>
      </c>
      <c r="AY254" s="117">
        <v>46298.731444092657</v>
      </c>
      <c r="AZ254" s="117">
        <v>47975.967675885586</v>
      </c>
      <c r="BA254" s="117">
        <v>48382.558449055185</v>
      </c>
      <c r="BB254" s="117">
        <v>47099.980471134266</v>
      </c>
      <c r="BC254" s="117">
        <v>48467.515776925888</v>
      </c>
      <c r="BD254" s="117">
        <v>49886.818109492262</v>
      </c>
      <c r="BE254" s="117">
        <v>51610.605278337869</v>
      </c>
      <c r="BF254" s="117">
        <v>53117.66783083012</v>
      </c>
      <c r="BG254" s="117">
        <v>55047.725560454397</v>
      </c>
      <c r="BH254" s="117">
        <v>56822.518820245554</v>
      </c>
      <c r="BI254" s="117">
        <v>57927.516851506189</v>
      </c>
      <c r="BJ254" s="117">
        <v>59957.725851303185</v>
      </c>
      <c r="BK254" s="117">
        <v>62996.664815774508</v>
      </c>
      <c r="BL254" s="170">
        <v>70219.472500000003</v>
      </c>
    </row>
    <row r="255" spans="1:64" hidden="1">
      <c r="A255" s="117" t="s">
        <v>1274</v>
      </c>
      <c r="B255" s="117" t="s">
        <v>1275</v>
      </c>
      <c r="C255" s="117" t="s">
        <v>775</v>
      </c>
      <c r="D255" s="117" t="s">
        <v>776</v>
      </c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>
        <v>651.41920613736295</v>
      </c>
      <c r="AJ255" s="117">
        <v>652.8074752874295</v>
      </c>
      <c r="AK255" s="117">
        <v>603.35201529643791</v>
      </c>
      <c r="AL255" s="117">
        <v>596.98358561257623</v>
      </c>
      <c r="AM255" s="117">
        <v>576.44711045339204</v>
      </c>
      <c r="AN255" s="117">
        <v>585.93236416113461</v>
      </c>
      <c r="AO255" s="117">
        <v>600.59815782858402</v>
      </c>
      <c r="AP255" s="117">
        <v>623.00265236763869</v>
      </c>
      <c r="AQ255" s="117">
        <v>623.21613283598492</v>
      </c>
      <c r="AR255" s="117">
        <v>702.48074408887271</v>
      </c>
      <c r="AS255" s="117">
        <v>558.22680237700013</v>
      </c>
      <c r="AT255" s="117">
        <v>456.7062895115829</v>
      </c>
      <c r="AU255" s="117">
        <v>383.34306799074227</v>
      </c>
      <c r="AV255" s="117">
        <v>396.37797902663289</v>
      </c>
      <c r="AW255" s="117">
        <v>465.11988694402487</v>
      </c>
      <c r="AX255" s="117">
        <v>546.77685018555155</v>
      </c>
      <c r="AY255" s="117">
        <v>654.28383728328504</v>
      </c>
      <c r="AZ255" s="117">
        <v>830.40769420432196</v>
      </c>
      <c r="BA255" s="117">
        <v>1082.286025016987</v>
      </c>
      <c r="BB255" s="117">
        <v>1213.2653281638804</v>
      </c>
      <c r="BC255" s="117">
        <v>1634.31209539718</v>
      </c>
      <c r="BD255" s="117">
        <v>1926.2929967340065</v>
      </c>
      <c r="BE255" s="117">
        <v>2137.0251221180015</v>
      </c>
      <c r="BF255" s="117">
        <v>2281.4109729684096</v>
      </c>
      <c r="BG255" s="117">
        <v>2492.3366427746782</v>
      </c>
      <c r="BH255" s="117">
        <v>2615.0251344870044</v>
      </c>
      <c r="BI255" s="117">
        <v>2567.7992065688268</v>
      </c>
      <c r="BJ255" s="117">
        <v>1826.5669192421635</v>
      </c>
      <c r="BK255" s="117">
        <v>1529.0828635133516</v>
      </c>
      <c r="BL255" s="117">
        <v>1724.8411344137025</v>
      </c>
    </row>
    <row r="256" spans="1:64" hidden="1">
      <c r="A256" s="117" t="s">
        <v>1276</v>
      </c>
      <c r="B256" s="117" t="s">
        <v>1277</v>
      </c>
      <c r="C256" s="117" t="s">
        <v>775</v>
      </c>
      <c r="D256" s="117" t="s">
        <v>776</v>
      </c>
      <c r="E256" s="117">
        <v>161.36134678594141</v>
      </c>
      <c r="F256" s="117">
        <v>170.37913731827754</v>
      </c>
      <c r="G256" s="117">
        <v>174.50026982402065</v>
      </c>
      <c r="H256" s="117">
        <v>162.80931967712038</v>
      </c>
      <c r="I256" s="117">
        <v>173.3995646655203</v>
      </c>
      <c r="J256" s="117">
        <v>175.65436318150861</v>
      </c>
      <c r="K256" s="117">
        <v>185.26248615642012</v>
      </c>
      <c r="L256" s="117">
        <v>180.40235976295989</v>
      </c>
      <c r="M256" s="117">
        <v>173.12941282623896</v>
      </c>
      <c r="N256" s="117">
        <v>185.89228295819933</v>
      </c>
      <c r="O256" s="117">
        <v>203.8471312245191</v>
      </c>
      <c r="P256" s="117">
        <v>219.16525324587349</v>
      </c>
      <c r="Q256" s="117">
        <v>298.17959629272048</v>
      </c>
      <c r="R256" s="117">
        <v>322.37951525458197</v>
      </c>
      <c r="S256" s="117">
        <v>347.98460965790053</v>
      </c>
      <c r="T256" s="117">
        <v>347.44375735027484</v>
      </c>
      <c r="U256" s="117">
        <v>339.14368275514596</v>
      </c>
      <c r="V256" s="117">
        <v>505.14489976409499</v>
      </c>
      <c r="W256" s="117">
        <v>616.48045514535875</v>
      </c>
      <c r="X256" s="117">
        <v>713.46786851478316</v>
      </c>
      <c r="Y256" s="117">
        <v>818.76916283465209</v>
      </c>
      <c r="Z256" s="117">
        <v>1006.4033760783467</v>
      </c>
      <c r="AA256" s="117">
        <v>1112.4941649715747</v>
      </c>
      <c r="AB256" s="117">
        <v>1186.5764969099855</v>
      </c>
      <c r="AC256" s="117">
        <v>1301.0819893984117</v>
      </c>
      <c r="AD256" s="117">
        <v>1393.620511599192</v>
      </c>
      <c r="AE256" s="117">
        <v>1528.7135792378292</v>
      </c>
      <c r="AF256" s="117">
        <v>1657.8914075444961</v>
      </c>
      <c r="AG256" s="117">
        <v>1884.1917226053445</v>
      </c>
      <c r="AH256" s="117">
        <v>2005.6317977997983</v>
      </c>
      <c r="AI256" s="117">
        <v>2236.2887740742117</v>
      </c>
      <c r="AJ256" s="117">
        <v>2364.4376264625671</v>
      </c>
      <c r="AK256" s="117">
        <v>2574.8412330811589</v>
      </c>
      <c r="AL256" s="117">
        <v>2650.1885055012344</v>
      </c>
      <c r="AM256" s="117">
        <v>2678.6714064531429</v>
      </c>
      <c r="AN256" s="117">
        <v>2925.0565231775022</v>
      </c>
      <c r="AO256" s="117">
        <v>3070.0313375537498</v>
      </c>
      <c r="AP256" s="117">
        <v>3223.2262848139394</v>
      </c>
      <c r="AQ256" s="117">
        <v>3465.8291838837472</v>
      </c>
      <c r="AR256" s="117">
        <v>3625.8945799675957</v>
      </c>
      <c r="AS256" s="117">
        <v>3676.4396419725595</v>
      </c>
      <c r="AT256" s="117">
        <v>3985.6834015746294</v>
      </c>
      <c r="AU256" s="117">
        <v>4272.8608975683364</v>
      </c>
      <c r="AV256" s="117">
        <v>4447.7438130854662</v>
      </c>
      <c r="AW256" s="117">
        <v>4810.2985025721673</v>
      </c>
      <c r="AX256" s="117">
        <v>5070.5127024754329</v>
      </c>
      <c r="AY256" s="117">
        <v>5625.3513902658033</v>
      </c>
      <c r="AZ256" s="117">
        <v>6307.2140959035296</v>
      </c>
      <c r="BA256" s="117">
        <v>6415.8096173355443</v>
      </c>
      <c r="BB256" s="117">
        <v>6232.7193613405261</v>
      </c>
      <c r="BC256" s="117">
        <v>6292.7894870992177</v>
      </c>
      <c r="BD256" s="117">
        <v>6242.1953324497726</v>
      </c>
      <c r="BE256" s="117">
        <v>6390.3106315611494</v>
      </c>
      <c r="BF256" s="117">
        <v>6639.6071459502436</v>
      </c>
      <c r="BG256" s="117">
        <v>6684.8073673291156</v>
      </c>
      <c r="BH256" s="117">
        <v>6920.8780738080404</v>
      </c>
      <c r="BI256" s="117">
        <v>7075.0658203494422</v>
      </c>
      <c r="BJ256" s="117">
        <v>7212.9601808096158</v>
      </c>
      <c r="BK256" s="117">
        <v>7361.4009618001992</v>
      </c>
      <c r="BL256" s="117">
        <v>7463.5378309342259</v>
      </c>
    </row>
    <row r="257" spans="1:64" hidden="1">
      <c r="A257" s="117" t="s">
        <v>1278</v>
      </c>
      <c r="B257" s="117" t="s">
        <v>1279</v>
      </c>
      <c r="C257" s="117" t="s">
        <v>775</v>
      </c>
      <c r="D257" s="117" t="s">
        <v>776</v>
      </c>
      <c r="E257" s="117">
        <v>955.44618337436327</v>
      </c>
      <c r="F257" s="117">
        <v>970.35639839683938</v>
      </c>
      <c r="G257" s="117">
        <v>1023.3555879292927</v>
      </c>
      <c r="H257" s="117">
        <v>1077.4026936171992</v>
      </c>
      <c r="I257" s="117">
        <v>864.4716824139897</v>
      </c>
      <c r="J257" s="117">
        <v>869.53529168042633</v>
      </c>
      <c r="K257" s="117">
        <v>876.15392638284925</v>
      </c>
      <c r="L257" s="117">
        <v>892.87912009417221</v>
      </c>
      <c r="M257" s="117">
        <v>937.59779513044862</v>
      </c>
      <c r="N257" s="117">
        <v>930.92570678638072</v>
      </c>
      <c r="O257" s="117">
        <v>1014.4535302626991</v>
      </c>
      <c r="P257" s="117">
        <v>1105.6233371679255</v>
      </c>
      <c r="Q257" s="117">
        <v>1155.4042673527097</v>
      </c>
      <c r="R257" s="117">
        <v>1367.9112852361709</v>
      </c>
      <c r="S257" s="117">
        <v>2036.4376899628764</v>
      </c>
      <c r="T257" s="117">
        <v>2082.3103546000611</v>
      </c>
      <c r="U257" s="117">
        <v>2314.9906694416218</v>
      </c>
      <c r="V257" s="117">
        <v>2593.0761170560181</v>
      </c>
      <c r="W257" s="117">
        <v>2737.0014807637795</v>
      </c>
      <c r="X257" s="117">
        <v>3270.600764995655</v>
      </c>
      <c r="Y257" s="117">
        <v>3893.698628510404</v>
      </c>
      <c r="Z257" s="117">
        <v>4252.335339575191</v>
      </c>
      <c r="AA257" s="117">
        <v>4228.9018558583448</v>
      </c>
      <c r="AB257" s="117">
        <v>4108.4795069946786</v>
      </c>
      <c r="AC257" s="117">
        <v>3555.8062326679396</v>
      </c>
      <c r="AD257" s="117">
        <v>3577.7819862598199</v>
      </c>
      <c r="AE257" s="117">
        <v>3398.1319795262002</v>
      </c>
      <c r="AF257" s="117">
        <v>2634.2206835048082</v>
      </c>
      <c r="AG257" s="117">
        <v>3220.8624303468255</v>
      </c>
      <c r="AH257" s="117">
        <v>2270.9581540757022</v>
      </c>
      <c r="AI257" s="117">
        <v>2475.3804725457285</v>
      </c>
      <c r="AJ257" s="117">
        <v>2661.0334535918155</v>
      </c>
      <c r="AK257" s="117">
        <v>2938.1617687953471</v>
      </c>
      <c r="AL257" s="117">
        <v>2857.9385235347427</v>
      </c>
      <c r="AM257" s="117">
        <v>2720.3675693802311</v>
      </c>
      <c r="AN257" s="117">
        <v>3529.5896109988857</v>
      </c>
      <c r="AO257" s="117">
        <v>3151.2692782697382</v>
      </c>
      <c r="AP257" s="117">
        <v>3758.8449343974385</v>
      </c>
      <c r="AQ257" s="117">
        <v>3921.7189790303473</v>
      </c>
      <c r="AR257" s="117">
        <v>4127.1079383942442</v>
      </c>
      <c r="AS257" s="117">
        <v>4842.0372015881221</v>
      </c>
      <c r="AT257" s="117">
        <v>4986.675586043496</v>
      </c>
      <c r="AU257" s="117">
        <v>3700.8795926207622</v>
      </c>
      <c r="AV257" s="117">
        <v>3272.6150236911812</v>
      </c>
      <c r="AW257" s="117">
        <v>4325.6967558755796</v>
      </c>
      <c r="AX257" s="117">
        <v>5504.9768239296864</v>
      </c>
      <c r="AY257" s="117">
        <v>6833.3778938019532</v>
      </c>
      <c r="AZ257" s="117">
        <v>8454.4667431634189</v>
      </c>
      <c r="BA257" s="117">
        <v>11432.74385626161</v>
      </c>
      <c r="BB257" s="117">
        <v>11765.100176325137</v>
      </c>
      <c r="BC257" s="117">
        <v>13825.358088331166</v>
      </c>
      <c r="BD257" s="117">
        <v>10955.349912636595</v>
      </c>
      <c r="BE257" s="117">
        <v>12985.505325106482</v>
      </c>
      <c r="BF257" s="117">
        <v>12456.712453539109</v>
      </c>
      <c r="BG257" s="117">
        <v>16054.490513096169</v>
      </c>
      <c r="BH257" s="117"/>
      <c r="BI257" s="117"/>
      <c r="BJ257" s="117"/>
      <c r="BK257" s="117"/>
      <c r="BL257" s="117"/>
    </row>
    <row r="258" spans="1:64" hidden="1">
      <c r="A258" s="117" t="s">
        <v>1280</v>
      </c>
      <c r="B258" s="117" t="s">
        <v>1281</v>
      </c>
      <c r="C258" s="117" t="s">
        <v>775</v>
      </c>
      <c r="D258" s="117" t="s">
        <v>776</v>
      </c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7"/>
      <c r="AM258" s="117"/>
      <c r="AN258" s="117"/>
      <c r="AO258" s="117"/>
      <c r="AP258" s="117"/>
      <c r="AQ258" s="117"/>
      <c r="AR258" s="117"/>
      <c r="AS258" s="117"/>
      <c r="AT258" s="117"/>
      <c r="AU258" s="117"/>
      <c r="AV258" s="117"/>
      <c r="AW258" s="117"/>
      <c r="AX258" s="117"/>
      <c r="AY258" s="117"/>
      <c r="AZ258" s="117"/>
      <c r="BA258" s="117"/>
      <c r="BB258" s="117"/>
      <c r="BC258" s="117"/>
      <c r="BD258" s="117"/>
      <c r="BE258" s="117"/>
      <c r="BF258" s="117"/>
      <c r="BG258" s="117"/>
      <c r="BH258" s="117"/>
      <c r="BI258" s="117"/>
      <c r="BJ258" s="117"/>
      <c r="BK258" s="117"/>
      <c r="BL258" s="117"/>
    </row>
    <row r="259" spans="1:64" hidden="1">
      <c r="A259" s="117" t="s">
        <v>1282</v>
      </c>
      <c r="B259" s="117" t="s">
        <v>1283</v>
      </c>
      <c r="C259" s="117" t="s">
        <v>775</v>
      </c>
      <c r="D259" s="117" t="s">
        <v>776</v>
      </c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7"/>
      <c r="AM259" s="117"/>
      <c r="AN259" s="117"/>
      <c r="AO259" s="117"/>
      <c r="AP259" s="117"/>
      <c r="AQ259" s="117"/>
      <c r="AR259" s="117"/>
      <c r="AS259" s="117"/>
      <c r="AT259" s="117"/>
      <c r="AU259" s="117">
        <v>30126.255644641045</v>
      </c>
      <c r="AV259" s="117">
        <v>31823.1249884799</v>
      </c>
      <c r="AW259" s="117">
        <v>35024.477490849749</v>
      </c>
      <c r="AX259" s="117">
        <v>40929.795120511924</v>
      </c>
      <c r="AY259" s="117">
        <v>41560.93419826337</v>
      </c>
      <c r="AZ259" s="117">
        <v>44333.065655027276</v>
      </c>
      <c r="BA259" s="117">
        <v>39207.003754647187</v>
      </c>
      <c r="BB259" s="117">
        <v>38771.274387712743</v>
      </c>
      <c r="BC259" s="117">
        <v>40043.190165931446</v>
      </c>
      <c r="BD259" s="117">
        <v>39144.165774018395</v>
      </c>
      <c r="BE259" s="117">
        <v>37849.728720503554</v>
      </c>
      <c r="BF259" s="117">
        <v>34819.147754618491</v>
      </c>
      <c r="BG259" s="117">
        <v>33573.097030143486</v>
      </c>
      <c r="BH259" s="117">
        <v>34797.140469779966</v>
      </c>
      <c r="BI259" s="117">
        <v>35931.54125197656</v>
      </c>
      <c r="BJ259" s="117">
        <v>35938.024387515383</v>
      </c>
      <c r="BK259" s="117"/>
      <c r="BL259" s="117"/>
    </row>
    <row r="260" spans="1:64" hidden="1">
      <c r="A260" s="117" t="s">
        <v>1284</v>
      </c>
      <c r="B260" s="117" t="s">
        <v>1285</v>
      </c>
      <c r="C260" s="117" t="s">
        <v>775</v>
      </c>
      <c r="D260" s="117" t="s">
        <v>776</v>
      </c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>
        <v>231.45232763426603</v>
      </c>
      <c r="AE260" s="117">
        <v>422.78031802108507</v>
      </c>
      <c r="AF260" s="117">
        <v>575.46270075147515</v>
      </c>
      <c r="AG260" s="117">
        <v>390.41218147491463</v>
      </c>
      <c r="AH260" s="117">
        <v>94.564730975912539</v>
      </c>
      <c r="AI260" s="117">
        <v>95.188250180887579</v>
      </c>
      <c r="AJ260" s="117">
        <v>138.44745436873353</v>
      </c>
      <c r="AK260" s="117">
        <v>139.20013657957733</v>
      </c>
      <c r="AL260" s="117">
        <v>182.30840175911277</v>
      </c>
      <c r="AM260" s="117">
        <v>221.12918123530218</v>
      </c>
      <c r="AN260" s="117">
        <v>276.81266651062879</v>
      </c>
      <c r="AO260" s="117">
        <v>324.1472068856209</v>
      </c>
      <c r="AP260" s="117">
        <v>348.01739807637472</v>
      </c>
      <c r="AQ260" s="117">
        <v>348.32432618285389</v>
      </c>
      <c r="AR260" s="117">
        <v>362.91950280114224</v>
      </c>
      <c r="AS260" s="117">
        <v>390.0933260526329</v>
      </c>
      <c r="AT260" s="117">
        <v>404.80786624284838</v>
      </c>
      <c r="AU260" s="117">
        <v>430.05286713907736</v>
      </c>
      <c r="AV260" s="117">
        <v>480.57979922145705</v>
      </c>
      <c r="AW260" s="117">
        <v>546.90960584225081</v>
      </c>
      <c r="AX260" s="117">
        <v>687.47973559223055</v>
      </c>
      <c r="AY260" s="117">
        <v>784.3724222784499</v>
      </c>
      <c r="AZ260" s="117">
        <v>906.28419810913363</v>
      </c>
      <c r="BA260" s="117">
        <v>1149.4246418462985</v>
      </c>
      <c r="BB260" s="117">
        <v>1217.2685553041179</v>
      </c>
      <c r="BC260" s="117">
        <v>1317.8907061783561</v>
      </c>
      <c r="BD260" s="117">
        <v>1525.1159880010373</v>
      </c>
      <c r="BE260" s="117">
        <v>1735.1412764380527</v>
      </c>
      <c r="BF260" s="117">
        <v>1886.6718963367141</v>
      </c>
      <c r="BG260" s="117">
        <v>2030.2619547331824</v>
      </c>
      <c r="BH260" s="117">
        <v>2085.1014840987887</v>
      </c>
      <c r="BI260" s="117">
        <v>2192.2145386656634</v>
      </c>
      <c r="BJ260" s="117">
        <v>2365.6216656737411</v>
      </c>
      <c r="BK260" s="117">
        <v>2566.5969495851127</v>
      </c>
      <c r="BL260" s="117">
        <v>2715.2760364072114</v>
      </c>
    </row>
    <row r="261" spans="1:64" hidden="1">
      <c r="A261" s="117" t="s">
        <v>1286</v>
      </c>
      <c r="B261" s="117" t="s">
        <v>1287</v>
      </c>
      <c r="C261" s="117" t="s">
        <v>775</v>
      </c>
      <c r="D261" s="117" t="s">
        <v>776</v>
      </c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>
        <v>1059.6170142384615</v>
      </c>
      <c r="Y261" s="117">
        <v>981.19485227952487</v>
      </c>
      <c r="Z261" s="117">
        <v>833.01478300740337</v>
      </c>
      <c r="AA261" s="117">
        <v>808.47352771166413</v>
      </c>
      <c r="AB261" s="117">
        <v>886.60064739930897</v>
      </c>
      <c r="AC261" s="117">
        <v>1066.9408179731167</v>
      </c>
      <c r="AD261" s="117">
        <v>951.64409551454492</v>
      </c>
      <c r="AE261" s="117">
        <v>892.4500677838613</v>
      </c>
      <c r="AF261" s="117">
        <v>961.45727888700367</v>
      </c>
      <c r="AG261" s="117">
        <v>1066.2554744171173</v>
      </c>
      <c r="AH261" s="117">
        <v>1011.8224172493457</v>
      </c>
      <c r="AI261" s="117">
        <v>1080.6724501864289</v>
      </c>
      <c r="AJ261" s="117">
        <v>1253.1515278626848</v>
      </c>
      <c r="AK261" s="117">
        <v>1264.0496553123405</v>
      </c>
      <c r="AL261" s="117">
        <v>1177.3861578563537</v>
      </c>
      <c r="AM261" s="117">
        <v>1335.9024977343563</v>
      </c>
      <c r="AN261" s="117">
        <v>1390.9663225555737</v>
      </c>
      <c r="AO261" s="117">
        <v>1427.7590126421355</v>
      </c>
      <c r="AP261" s="117">
        <v>1462.8902293051917</v>
      </c>
      <c r="AQ261" s="117">
        <v>1473.7101741656847</v>
      </c>
      <c r="AR261" s="117">
        <v>1478.4940570801521</v>
      </c>
      <c r="AS261" s="117">
        <v>1470.5722652661264</v>
      </c>
      <c r="AT261" s="117">
        <v>1363.1130157142259</v>
      </c>
      <c r="AU261" s="117">
        <v>1354.1861685182516</v>
      </c>
      <c r="AV261" s="117">
        <v>1580.5424436300459</v>
      </c>
      <c r="AW261" s="117">
        <v>1788.0871669579135</v>
      </c>
      <c r="AX261" s="117">
        <v>1887.2265762755901</v>
      </c>
      <c r="AY261" s="117">
        <v>2049.6188556889551</v>
      </c>
      <c r="AZ261" s="117">
        <v>2398.6126245948844</v>
      </c>
      <c r="BA261" s="117">
        <v>2705.5976580008128</v>
      </c>
      <c r="BB261" s="117">
        <v>2649.6181435287253</v>
      </c>
      <c r="BC261" s="117">
        <v>2966.8571159867824</v>
      </c>
      <c r="BD261" s="117">
        <v>3264.5370165591044</v>
      </c>
      <c r="BE261" s="117">
        <v>3133.0902092034776</v>
      </c>
      <c r="BF261" s="117">
        <v>3124.2330775658838</v>
      </c>
      <c r="BG261" s="117">
        <v>3088.2583026550383</v>
      </c>
      <c r="BH261" s="117">
        <v>2801.9398477885811</v>
      </c>
      <c r="BI261" s="117">
        <v>2889.8530362340293</v>
      </c>
      <c r="BJ261" s="117">
        <v>3082.3563228904131</v>
      </c>
      <c r="BK261" s="117">
        <v>3095.7021558449342</v>
      </c>
      <c r="BL261" s="117">
        <v>3058.0656752207965</v>
      </c>
    </row>
    <row r="262" spans="1:64" hidden="1">
      <c r="A262" s="117" t="s">
        <v>1288</v>
      </c>
      <c r="B262" s="117" t="s">
        <v>1289</v>
      </c>
      <c r="C262" s="117" t="s">
        <v>775</v>
      </c>
      <c r="D262" s="117" t="s">
        <v>776</v>
      </c>
      <c r="E262" s="117">
        <v>452.1088592200191</v>
      </c>
      <c r="F262" s="117">
        <v>464.04900930439408</v>
      </c>
      <c r="G262" s="117">
        <v>489.54710051988081</v>
      </c>
      <c r="H262" s="117">
        <v>516.61510578707293</v>
      </c>
      <c r="I262" s="117">
        <v>554.55330128070739</v>
      </c>
      <c r="J262" s="117">
        <v>591.71811517858339</v>
      </c>
      <c r="K262" s="117">
        <v>628.73875929229973</v>
      </c>
      <c r="L262" s="117">
        <v>655.87352805731405</v>
      </c>
      <c r="M262" s="117">
        <v>693.90105710418356</v>
      </c>
      <c r="N262" s="117">
        <v>749.72514184591751</v>
      </c>
      <c r="O262" s="117">
        <v>803.94659671779925</v>
      </c>
      <c r="P262" s="117">
        <v>870.43731625243129</v>
      </c>
      <c r="Q262" s="117">
        <v>984.52936818052569</v>
      </c>
      <c r="R262" s="117">
        <v>1178.0888849374564</v>
      </c>
      <c r="S262" s="117">
        <v>1332.8027901591015</v>
      </c>
      <c r="T262" s="117">
        <v>1457.1544239790348</v>
      </c>
      <c r="U262" s="117">
        <v>1556.8153653363206</v>
      </c>
      <c r="V262" s="117">
        <v>1729.5262719980274</v>
      </c>
      <c r="W262" s="117">
        <v>2005.1086922474008</v>
      </c>
      <c r="X262" s="117">
        <v>2288.6660440867267</v>
      </c>
      <c r="Y262" s="117">
        <v>2532.7631875500338</v>
      </c>
      <c r="Z262" s="117">
        <v>2576.6880067518146</v>
      </c>
      <c r="AA262" s="117">
        <v>2507.3214333292331</v>
      </c>
      <c r="AB262" s="117">
        <v>2513.1281649544226</v>
      </c>
      <c r="AC262" s="117">
        <v>2560.9982900505393</v>
      </c>
      <c r="AD262" s="117">
        <v>2643.7584018858374</v>
      </c>
      <c r="AE262" s="117">
        <v>3069.9130932916637</v>
      </c>
      <c r="AF262" s="117">
        <v>3431.5806878793351</v>
      </c>
      <c r="AG262" s="117">
        <v>3772.4013589338315</v>
      </c>
      <c r="AH262" s="117">
        <v>3870.4130050848144</v>
      </c>
      <c r="AI262" s="117">
        <v>4285.2352705352178</v>
      </c>
      <c r="AJ262" s="117">
        <v>4464.6543115665745</v>
      </c>
      <c r="AK262" s="117">
        <v>4668.2404685242218</v>
      </c>
      <c r="AL262" s="117">
        <v>4669.5815970172853</v>
      </c>
      <c r="AM262" s="117">
        <v>4939.8349042400832</v>
      </c>
      <c r="AN262" s="117">
        <v>5412.3440587582354</v>
      </c>
      <c r="AO262" s="117">
        <v>5453.3128391282089</v>
      </c>
      <c r="AP262" s="117">
        <v>5357.069165270671</v>
      </c>
      <c r="AQ262" s="117">
        <v>5272.6333035735679</v>
      </c>
      <c r="AR262" s="117">
        <v>5395.9428354108304</v>
      </c>
      <c r="AS262" s="117">
        <v>5498.3297052515154</v>
      </c>
      <c r="AT262" s="117">
        <v>5396.8919385903664</v>
      </c>
      <c r="AU262" s="117">
        <v>5533.4252939929966</v>
      </c>
      <c r="AV262" s="117">
        <v>6131.2232250262614</v>
      </c>
      <c r="AW262" s="117">
        <v>6820.6151956808162</v>
      </c>
      <c r="AX262" s="117">
        <v>7297.1533986389641</v>
      </c>
      <c r="AY262" s="117">
        <v>7811.9362058598699</v>
      </c>
      <c r="AZ262" s="117">
        <v>8694.9002566216714</v>
      </c>
      <c r="BA262" s="117">
        <v>9423.7572524408824</v>
      </c>
      <c r="BB262" s="117">
        <v>8830.3069088783122</v>
      </c>
      <c r="BC262" s="117">
        <v>9551.3356528954664</v>
      </c>
      <c r="BD262" s="117">
        <v>10488.334015571529</v>
      </c>
      <c r="BE262" s="117">
        <v>10605.208321960352</v>
      </c>
      <c r="BF262" s="117">
        <v>10781.855305371908</v>
      </c>
      <c r="BG262" s="117">
        <v>10952.344418785266</v>
      </c>
      <c r="BH262" s="117">
        <v>10246.507362390916</v>
      </c>
      <c r="BI262" s="117">
        <v>10281.908799774703</v>
      </c>
      <c r="BJ262" s="117">
        <v>10817.481947495156</v>
      </c>
      <c r="BK262" s="117">
        <v>11381.68059669208</v>
      </c>
      <c r="BL262" s="117">
        <v>11435.609872684015</v>
      </c>
    </row>
    <row r="263" spans="1:64" hidden="1">
      <c r="A263" s="117" t="s">
        <v>1290</v>
      </c>
      <c r="B263" s="117" t="s">
        <v>1291</v>
      </c>
      <c r="C263" s="117" t="s">
        <v>775</v>
      </c>
      <c r="D263" s="117" t="s">
        <v>776</v>
      </c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>
        <v>770.28729138166773</v>
      </c>
      <c r="AB263" s="117">
        <v>706.41876057756781</v>
      </c>
      <c r="AC263" s="117">
        <v>685.72876474755412</v>
      </c>
      <c r="AD263" s="117">
        <v>597.36341636080806</v>
      </c>
      <c r="AE263" s="117">
        <v>628.78618101442828</v>
      </c>
      <c r="AF263" s="117">
        <v>694.02616805875755</v>
      </c>
      <c r="AG263" s="117">
        <v>824.26175773389707</v>
      </c>
      <c r="AH263" s="117">
        <v>758.85272147241494</v>
      </c>
      <c r="AI263" s="117">
        <v>772.50584912660281</v>
      </c>
      <c r="AJ263" s="117">
        <v>765.85062789145479</v>
      </c>
      <c r="AK263" s="117">
        <v>799.46245309402627</v>
      </c>
      <c r="AL263" s="117">
        <v>796.57547733209071</v>
      </c>
      <c r="AM263" s="117">
        <v>1310.6459418169925</v>
      </c>
      <c r="AN263" s="117">
        <v>1322.3195654433503</v>
      </c>
      <c r="AO263" s="117">
        <v>1460.0471513391794</v>
      </c>
      <c r="AP263" s="117">
        <v>1659.0858956721156</v>
      </c>
      <c r="AQ263" s="117">
        <v>1559.1476645922801</v>
      </c>
      <c r="AR263" s="117">
        <v>1490.9006248524984</v>
      </c>
      <c r="AS263" s="117">
        <v>1542.0667358011617</v>
      </c>
      <c r="AT263" s="117">
        <v>1557.0171795959907</v>
      </c>
      <c r="AU263" s="117">
        <v>1633.0354318879401</v>
      </c>
      <c r="AV263" s="117">
        <v>1909.1221708910928</v>
      </c>
      <c r="AW263" s="117">
        <v>2353.5482185981145</v>
      </c>
      <c r="AX263" s="117">
        <v>2590.4177908748111</v>
      </c>
      <c r="AY263" s="117">
        <v>2796.5702460413604</v>
      </c>
      <c r="AZ263" s="117">
        <v>3133.6541130671967</v>
      </c>
      <c r="BA263" s="117">
        <v>3379.0820928354642</v>
      </c>
      <c r="BB263" s="117">
        <v>3168.1767063322613</v>
      </c>
      <c r="BC263" s="117">
        <v>3566.3623781257575</v>
      </c>
      <c r="BD263" s="117">
        <v>3933.4593571069086</v>
      </c>
      <c r="BE263" s="117">
        <v>4022.1991196481417</v>
      </c>
      <c r="BF263" s="117">
        <v>4037.5093146798063</v>
      </c>
      <c r="BG263" s="117">
        <v>3937.7587117641788</v>
      </c>
      <c r="BH263" s="117">
        <v>4073.6660098064222</v>
      </c>
      <c r="BI263" s="117">
        <v>4109.1651349637232</v>
      </c>
      <c r="BJ263" s="117">
        <v>4258.4862696525852</v>
      </c>
      <c r="BK263" s="117">
        <v>4183.4080320790845</v>
      </c>
      <c r="BL263" s="117">
        <v>4315.9206746956479</v>
      </c>
    </row>
    <row r="264" spans="1:64" hidden="1">
      <c r="A264" s="117" t="s">
        <v>1292</v>
      </c>
      <c r="B264" s="117" t="s">
        <v>1293</v>
      </c>
      <c r="C264" s="117" t="s">
        <v>775</v>
      </c>
      <c r="D264" s="117" t="s">
        <v>776</v>
      </c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7"/>
      <c r="AM264" s="117"/>
      <c r="AN264" s="117"/>
      <c r="AO264" s="117"/>
      <c r="AP264" s="117"/>
      <c r="AQ264" s="117"/>
      <c r="AR264" s="117"/>
      <c r="AS264" s="117">
        <v>1087.7624012088665</v>
      </c>
      <c r="AT264" s="117">
        <v>1490.3610325022637</v>
      </c>
      <c r="AU264" s="117">
        <v>1413.5325870318795</v>
      </c>
      <c r="AV264" s="117">
        <v>1638.1047392165276</v>
      </c>
      <c r="AW264" s="117">
        <v>2086.5373254716242</v>
      </c>
      <c r="AX264" s="117">
        <v>2147.4642710537555</v>
      </c>
      <c r="AY264" s="117">
        <v>2237.1265978091778</v>
      </c>
      <c r="AZ264" s="117">
        <v>2685.9862218394942</v>
      </c>
      <c r="BA264" s="117">
        <v>3254.8202692610494</v>
      </c>
      <c r="BB264" s="117">
        <v>3209.6941085704671</v>
      </c>
      <c r="BC264" s="117">
        <v>3286.5574430990441</v>
      </c>
      <c r="BD264" s="117">
        <v>3741.875052073035</v>
      </c>
      <c r="BE264" s="117">
        <v>3596.8046546578094</v>
      </c>
      <c r="BF264" s="117">
        <v>3891.2663634386586</v>
      </c>
      <c r="BG264" s="117">
        <v>4080.3307172459486</v>
      </c>
      <c r="BH264" s="117">
        <v>3603.0255007313408</v>
      </c>
      <c r="BI264" s="117">
        <v>3780.0036886723333</v>
      </c>
      <c r="BJ264" s="117">
        <v>4045.6142088075735</v>
      </c>
      <c r="BK264" s="117">
        <v>4419.9143269844926</v>
      </c>
      <c r="BL264" s="117">
        <v>4417.509939754279</v>
      </c>
    </row>
    <row r="265" spans="1:64" hidden="1">
      <c r="A265" s="117" t="s">
        <v>1294</v>
      </c>
      <c r="B265" s="117" t="s">
        <v>1295</v>
      </c>
      <c r="C265" s="117" t="s">
        <v>775</v>
      </c>
      <c r="D265" s="117" t="s">
        <v>776</v>
      </c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>
        <v>482.24787401731447</v>
      </c>
      <c r="AJ265" s="117">
        <v>482.06068889976814</v>
      </c>
      <c r="AK265" s="117">
        <v>498.96345882973321</v>
      </c>
      <c r="AL265" s="117">
        <v>393.73923211567853</v>
      </c>
      <c r="AM265" s="117">
        <v>291.47215253005538</v>
      </c>
      <c r="AN265" s="117">
        <v>285.56955482063603</v>
      </c>
      <c r="AO265" s="117">
        <v>374.01143136172271</v>
      </c>
      <c r="AP265" s="117">
        <v>428.06081000203375</v>
      </c>
      <c r="AQ265" s="117">
        <v>384.49984686427723</v>
      </c>
      <c r="AR265" s="117">
        <v>451.57113876550727</v>
      </c>
      <c r="AS265" s="117">
        <v>554.44863342779274</v>
      </c>
      <c r="AT265" s="117">
        <v>550.36024167708126</v>
      </c>
      <c r="AU265" s="117">
        <v>579.85292052835837</v>
      </c>
      <c r="AV265" s="117">
        <v>620.38275867209563</v>
      </c>
      <c r="AW265" s="117">
        <v>709.96530613862478</v>
      </c>
      <c r="AX265" s="117">
        <v>832.84448862627926</v>
      </c>
      <c r="AY265" s="117">
        <v>921.41844394126588</v>
      </c>
      <c r="AZ265" s="117">
        <v>1017.292000697859</v>
      </c>
      <c r="BA265" s="117">
        <v>1229.2468432174494</v>
      </c>
      <c r="BB265" s="117">
        <v>1116.0845943035649</v>
      </c>
      <c r="BC265" s="117">
        <v>1334.7848446134083</v>
      </c>
      <c r="BD265" s="117">
        <v>1374.6212851275816</v>
      </c>
      <c r="BE265" s="117">
        <v>1446.5363535149579</v>
      </c>
      <c r="BF265" s="117">
        <v>1607.1523649890357</v>
      </c>
      <c r="BG265" s="117">
        <v>1673.1463536947806</v>
      </c>
      <c r="BH265" s="117">
        <v>1395.4396331747732</v>
      </c>
      <c r="BI265" s="117">
        <v>1033.7330434793387</v>
      </c>
      <c r="BJ265" s="117">
        <v>882.39575851096572</v>
      </c>
      <c r="BK265" s="117">
        <v>968.15904758299928</v>
      </c>
      <c r="BL265" s="117"/>
    </row>
    <row r="266" spans="1:64" hidden="1">
      <c r="A266" s="117" t="s">
        <v>1296</v>
      </c>
      <c r="B266" s="117" t="s">
        <v>1297</v>
      </c>
      <c r="C266" s="117" t="s">
        <v>775</v>
      </c>
      <c r="D266" s="117" t="s">
        <v>776</v>
      </c>
      <c r="E266" s="117">
        <v>443.00981604923595</v>
      </c>
      <c r="F266" s="117">
        <v>454.96201319547117</v>
      </c>
      <c r="G266" s="117">
        <v>473.01161540658973</v>
      </c>
      <c r="H266" s="117">
        <v>511.49725252962082</v>
      </c>
      <c r="I266" s="117">
        <v>548.995941617124</v>
      </c>
      <c r="J266" s="117">
        <v>584.70407215491559</v>
      </c>
      <c r="K266" s="117">
        <v>621.22082450411517</v>
      </c>
      <c r="L266" s="117">
        <v>675.1353120476108</v>
      </c>
      <c r="M266" s="117">
        <v>711.2258103513376</v>
      </c>
      <c r="N266" s="117">
        <v>780.6259186644462</v>
      </c>
      <c r="O266" s="117">
        <v>834.55276755007822</v>
      </c>
      <c r="P266" s="117">
        <v>897.12985630548894</v>
      </c>
      <c r="Q266" s="117">
        <v>917.3562094196958</v>
      </c>
      <c r="R266" s="117">
        <v>1225.0890072155109</v>
      </c>
      <c r="S266" s="117">
        <v>1499.1410680626554</v>
      </c>
      <c r="T266" s="117">
        <v>1512.7707848839163</v>
      </c>
      <c r="U266" s="117">
        <v>1416.7089305868028</v>
      </c>
      <c r="V266" s="117">
        <v>1535.1188973224225</v>
      </c>
      <c r="W266" s="117">
        <v>1722.2266935882412</v>
      </c>
      <c r="X266" s="117">
        <v>2071.5513033822167</v>
      </c>
      <c r="Y266" s="117">
        <v>2905.8078450858957</v>
      </c>
      <c r="Z266" s="117">
        <v>2913.2417563904296</v>
      </c>
      <c r="AA266" s="117">
        <v>2601.0578612657528</v>
      </c>
      <c r="AB266" s="117">
        <v>2820.4340815804853</v>
      </c>
      <c r="AC266" s="117">
        <v>2429.027118841233</v>
      </c>
      <c r="AD266" s="117">
        <v>1807.9765784795595</v>
      </c>
      <c r="AE266" s="117">
        <v>2015.8137477876032</v>
      </c>
      <c r="AF266" s="117">
        <v>2582.4946714900998</v>
      </c>
      <c r="AG266" s="117">
        <v>2711.5149914789017</v>
      </c>
      <c r="AH266" s="117">
        <v>2756.2126082416407</v>
      </c>
      <c r="AI266" s="117">
        <v>3139.9660541499743</v>
      </c>
      <c r="AJ266" s="117">
        <v>3285.9546502862995</v>
      </c>
      <c r="AK266" s="117">
        <v>3479.066283190632</v>
      </c>
      <c r="AL266" s="117">
        <v>3388.7293029755888</v>
      </c>
      <c r="AM266" s="117">
        <v>3445.2300680463441</v>
      </c>
      <c r="AN266" s="117">
        <v>3751.8543280994995</v>
      </c>
      <c r="AO266" s="117">
        <v>3494.3835665692386</v>
      </c>
      <c r="AP266" s="117">
        <v>3549.5798151042618</v>
      </c>
      <c r="AQ266" s="117">
        <v>3154.0207766052285</v>
      </c>
      <c r="AR266" s="117">
        <v>3081.5699267486752</v>
      </c>
      <c r="AS266" s="117">
        <v>3032.4271382046236</v>
      </c>
      <c r="AT266" s="117">
        <v>2666.4749099874821</v>
      </c>
      <c r="AU266" s="117">
        <v>2502.2770046533728</v>
      </c>
      <c r="AV266" s="117">
        <v>3751.2828130870967</v>
      </c>
      <c r="AW266" s="117">
        <v>4833.6275166071382</v>
      </c>
      <c r="AX266" s="117">
        <v>5383.6565425098424</v>
      </c>
      <c r="AY266" s="117">
        <v>5602.0110438045813</v>
      </c>
      <c r="AZ266" s="117">
        <v>6095.6224388702312</v>
      </c>
      <c r="BA266" s="117">
        <v>5760.8052872383159</v>
      </c>
      <c r="BB266" s="117">
        <v>5862.7973402116686</v>
      </c>
      <c r="BC266" s="117">
        <v>7328.6156289396577</v>
      </c>
      <c r="BD266" s="117">
        <v>8007.4128463444131</v>
      </c>
      <c r="BE266" s="117">
        <v>7501.4699839524983</v>
      </c>
      <c r="BF266" s="117">
        <v>6832.4568909670052</v>
      </c>
      <c r="BG266" s="117">
        <v>6433.1872766289416</v>
      </c>
      <c r="BH266" s="117">
        <v>5734.6336291533071</v>
      </c>
      <c r="BI266" s="117">
        <v>5272.9184247541862</v>
      </c>
      <c r="BJ266" s="117">
        <v>6132.4798409720988</v>
      </c>
      <c r="BK266" s="117">
        <v>6374.028195759437</v>
      </c>
      <c r="BL266" s="117">
        <v>6001.4008139488842</v>
      </c>
    </row>
    <row r="267" spans="1:64" hidden="1">
      <c r="A267" s="117" t="s">
        <v>1298</v>
      </c>
      <c r="B267" s="117" t="s">
        <v>1299</v>
      </c>
      <c r="C267" s="117" t="s">
        <v>775</v>
      </c>
      <c r="D267" s="117" t="s">
        <v>776</v>
      </c>
      <c r="E267" s="117">
        <v>232.18886691832944</v>
      </c>
      <c r="F267" s="117">
        <v>220.04213666964284</v>
      </c>
      <c r="G267" s="117">
        <v>212.57812311743277</v>
      </c>
      <c r="H267" s="117">
        <v>213.89644062037536</v>
      </c>
      <c r="I267" s="117">
        <v>242.38433253414431</v>
      </c>
      <c r="J267" s="117">
        <v>303.28191037835501</v>
      </c>
      <c r="K267" s="117">
        <v>343.37348345803099</v>
      </c>
      <c r="L267" s="117">
        <v>360.20161811624558</v>
      </c>
      <c r="M267" s="117">
        <v>409.77534934979832</v>
      </c>
      <c r="N267" s="117">
        <v>485.87261804126945</v>
      </c>
      <c r="O267" s="117">
        <v>436.76871279778823</v>
      </c>
      <c r="P267" s="117">
        <v>390.57941889561641</v>
      </c>
      <c r="Q267" s="117">
        <v>427.81904281254737</v>
      </c>
      <c r="R267" s="117">
        <v>491.11195899213601</v>
      </c>
      <c r="S267" s="117">
        <v>653.27759739489738</v>
      </c>
      <c r="T267" s="117">
        <v>529.7424134257875</v>
      </c>
      <c r="U267" s="117">
        <v>537.22068722392419</v>
      </c>
      <c r="V267" s="117">
        <v>469.59384576745214</v>
      </c>
      <c r="W267" s="117">
        <v>514.4916245783395</v>
      </c>
      <c r="X267" s="117">
        <v>587.94523967674763</v>
      </c>
      <c r="Y267" s="117">
        <v>654.4112306844446</v>
      </c>
      <c r="Z267" s="117">
        <v>639.54295523452527</v>
      </c>
      <c r="AA267" s="117">
        <v>637.54619917983814</v>
      </c>
      <c r="AB267" s="117">
        <v>496.19706461911755</v>
      </c>
      <c r="AC267" s="117">
        <v>408.77834713281504</v>
      </c>
      <c r="AD267" s="117">
        <v>329.51162318131958</v>
      </c>
      <c r="AE267" s="117">
        <v>232.53895713675522</v>
      </c>
      <c r="AF267" s="117">
        <v>307.87263258934183</v>
      </c>
      <c r="AG267" s="117">
        <v>488.74441341374524</v>
      </c>
      <c r="AH267" s="117">
        <v>511.32133763237925</v>
      </c>
      <c r="AI267" s="117">
        <v>408.7695347246771</v>
      </c>
      <c r="AJ267" s="117">
        <v>409.72757356935659</v>
      </c>
      <c r="AK267" s="117">
        <v>376.4987744213434</v>
      </c>
      <c r="AL267" s="117">
        <v>378.12547185507958</v>
      </c>
      <c r="AM267" s="117">
        <v>412.2609844537248</v>
      </c>
      <c r="AN267" s="117">
        <v>418.51507071382724</v>
      </c>
      <c r="AO267" s="117">
        <v>385.15244086743866</v>
      </c>
      <c r="AP267" s="117">
        <v>448.37020681855751</v>
      </c>
      <c r="AQ267" s="117">
        <v>358.55588621746068</v>
      </c>
      <c r="AR267" s="117">
        <v>335.71239071974554</v>
      </c>
      <c r="AS267" s="117">
        <v>345.68955437284848</v>
      </c>
      <c r="AT267" s="117">
        <v>382.94117849531011</v>
      </c>
      <c r="AU267" s="117">
        <v>382.24217237571855</v>
      </c>
      <c r="AV267" s="117">
        <v>435.4580833253201</v>
      </c>
      <c r="AW267" s="117">
        <v>538.59150640966232</v>
      </c>
      <c r="AX267" s="117">
        <v>702.74094063237476</v>
      </c>
      <c r="AY267" s="117">
        <v>1047.9191874491764</v>
      </c>
      <c r="AZ267" s="117">
        <v>1124.2905859769212</v>
      </c>
      <c r="BA267" s="117">
        <v>1394.0006084668671</v>
      </c>
      <c r="BB267" s="117">
        <v>1159.9077621474516</v>
      </c>
      <c r="BC267" s="117">
        <v>1489.4593058359342</v>
      </c>
      <c r="BD267" s="117">
        <v>1672.908251036522</v>
      </c>
      <c r="BE267" s="117">
        <v>1763.0727333719526</v>
      </c>
      <c r="BF267" s="117">
        <v>1878.9070013235144</v>
      </c>
      <c r="BG267" s="117">
        <v>1763.0572976543513</v>
      </c>
      <c r="BH267" s="117">
        <v>1337.7961101408707</v>
      </c>
      <c r="BI267" s="117">
        <v>1280.5788983473178</v>
      </c>
      <c r="BJ267" s="117">
        <v>1534.8653705224485</v>
      </c>
      <c r="BK267" s="117">
        <v>1556.3344815412818</v>
      </c>
      <c r="BL267" s="117">
        <v>1291.3433573736377</v>
      </c>
    </row>
    <row r="268" spans="1:64" hidden="1">
      <c r="A268" s="117" t="s">
        <v>1300</v>
      </c>
      <c r="B268" s="117" t="s">
        <v>1301</v>
      </c>
      <c r="C268" s="117" t="s">
        <v>775</v>
      </c>
      <c r="D268" s="117" t="s">
        <v>776</v>
      </c>
      <c r="E268" s="117">
        <v>278.81369911835287</v>
      </c>
      <c r="F268" s="117">
        <v>280.82895052898385</v>
      </c>
      <c r="G268" s="117">
        <v>276.68878077619809</v>
      </c>
      <c r="H268" s="117">
        <v>277.47971510934195</v>
      </c>
      <c r="I268" s="117">
        <v>281.55844011639516</v>
      </c>
      <c r="J268" s="117">
        <v>293.30885357479696</v>
      </c>
      <c r="K268" s="117">
        <v>277.23387214165649</v>
      </c>
      <c r="L268" s="117">
        <v>292.2704106236481</v>
      </c>
      <c r="M268" s="117">
        <v>299.39863283518542</v>
      </c>
      <c r="N268" s="117">
        <v>341.98465098270765</v>
      </c>
      <c r="O268" s="117">
        <v>356.22960151838538</v>
      </c>
      <c r="P268" s="117">
        <v>397.79504478926532</v>
      </c>
      <c r="Q268" s="117">
        <v>471.93715234518129</v>
      </c>
      <c r="R268" s="117">
        <v>563.03298248336171</v>
      </c>
      <c r="S268" s="117">
        <v>654.41462174494507</v>
      </c>
      <c r="T268" s="117">
        <v>694.53249389287203</v>
      </c>
      <c r="U268" s="117">
        <v>664.10244935501646</v>
      </c>
      <c r="V268" s="117">
        <v>650.15560508262763</v>
      </c>
      <c r="W268" s="117">
        <v>627.96702697273633</v>
      </c>
      <c r="X268" s="117">
        <v>723.10653192035841</v>
      </c>
      <c r="Y268" s="117">
        <v>901.49914478046128</v>
      </c>
      <c r="Z268" s="117">
        <v>1043.746833305735</v>
      </c>
      <c r="AA268" s="117">
        <v>1073.0638466465139</v>
      </c>
      <c r="AB268" s="117">
        <v>940.55783902280712</v>
      </c>
      <c r="AC268" s="117">
        <v>741.8758669597205</v>
      </c>
      <c r="AD268" s="117">
        <v>635.00605858255642</v>
      </c>
      <c r="AE268" s="117">
        <v>675.80684834560827</v>
      </c>
      <c r="AF268" s="117">
        <v>707.57546574792207</v>
      </c>
      <c r="AG268" s="117">
        <v>793.44958054649521</v>
      </c>
      <c r="AH268" s="117">
        <v>816.07676574368043</v>
      </c>
      <c r="AI268" s="117">
        <v>841.97298977869082</v>
      </c>
      <c r="AJ268" s="117">
        <v>809.05212482544937</v>
      </c>
      <c r="AK268" s="117">
        <v>619.3725940328253</v>
      </c>
      <c r="AL268" s="117">
        <v>591.72016249148317</v>
      </c>
      <c r="AM268" s="117">
        <v>611.86571103019207</v>
      </c>
      <c r="AN268" s="117">
        <v>623.20996740431838</v>
      </c>
      <c r="AO268" s="117">
        <v>741.09572673315131</v>
      </c>
      <c r="AP268" s="117">
        <v>731.94837968695754</v>
      </c>
      <c r="AQ268" s="117">
        <v>544.98416286203064</v>
      </c>
      <c r="AR268" s="117">
        <v>580.07071808101</v>
      </c>
      <c r="AS268" s="117">
        <v>563.05774105357432</v>
      </c>
      <c r="AT268" s="117">
        <v>568.38590919055594</v>
      </c>
      <c r="AU268" s="117">
        <v>530.53057939869291</v>
      </c>
      <c r="AV268" s="117">
        <v>478.00740496922776</v>
      </c>
      <c r="AW268" s="117">
        <v>482.99841130284483</v>
      </c>
      <c r="AX268" s="117">
        <v>476.55532360291494</v>
      </c>
      <c r="AY268" s="117">
        <v>447.85492416554791</v>
      </c>
      <c r="AZ268" s="117">
        <v>431.78718826702715</v>
      </c>
      <c r="BA268" s="117">
        <v>356.69334965272162</v>
      </c>
      <c r="BB268" s="117">
        <v>771.59878591531469</v>
      </c>
      <c r="BC268" s="117">
        <v>948.33185445926017</v>
      </c>
      <c r="BD268" s="117">
        <v>1093.654002275111</v>
      </c>
      <c r="BE268" s="117">
        <v>1304.9698016741122</v>
      </c>
      <c r="BF268" s="117">
        <v>1430.000817955716</v>
      </c>
      <c r="BG268" s="117">
        <v>1434.8993400227766</v>
      </c>
      <c r="BH268" s="117">
        <v>1445.071061987984</v>
      </c>
      <c r="BI268" s="117">
        <v>1464.5835290394639</v>
      </c>
      <c r="BJ268" s="117">
        <v>1548.1700557255188</v>
      </c>
      <c r="BK268" s="117">
        <v>1683.7405770946475</v>
      </c>
      <c r="BL268" s="117">
        <v>1463.9859101805419</v>
      </c>
    </row>
  </sheetData>
  <autoFilter ref="A4:BL268" xr:uid="{00000000-0009-0000-0000-000008000000}">
    <filterColumn colId="0">
      <filters>
        <filter val="India"/>
        <filter val="United State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AY11"/>
  <sheetViews>
    <sheetView topLeftCell="AQ7" zoomScaleNormal="100" workbookViewId="0">
      <selection activeCell="AE3" sqref="AE3:AY11"/>
    </sheetView>
  </sheetViews>
  <sheetFormatPr defaultRowHeight="15"/>
  <cols>
    <col min="1" max="1" width="29.85546875" customWidth="1"/>
    <col min="2" max="31" width="10" customWidth="1"/>
    <col min="32" max="32" width="10.7109375" customWidth="1"/>
  </cols>
  <sheetData>
    <row r="1" spans="1:51">
      <c r="A1" s="11" t="s">
        <v>1302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0</v>
      </c>
      <c r="AI2" s="119">
        <v>0</v>
      </c>
      <c r="AJ2" s="119">
        <v>0</v>
      </c>
      <c r="AK2" s="119">
        <v>0</v>
      </c>
      <c r="AL2" s="119">
        <v>0</v>
      </c>
      <c r="AM2" s="119">
        <v>0</v>
      </c>
      <c r="AN2" s="119">
        <v>0</v>
      </c>
      <c r="AO2" s="119">
        <v>0</v>
      </c>
      <c r="AP2" s="119">
        <v>0</v>
      </c>
      <c r="AQ2" s="119">
        <v>0</v>
      </c>
      <c r="AR2" s="119">
        <v>0</v>
      </c>
      <c r="AS2" s="119">
        <v>0</v>
      </c>
      <c r="AT2" s="119">
        <v>0</v>
      </c>
      <c r="AU2" s="119">
        <v>0</v>
      </c>
      <c r="AV2" s="119">
        <v>0</v>
      </c>
      <c r="AW2" s="119">
        <v>0</v>
      </c>
      <c r="AX2" s="119">
        <v>0</v>
      </c>
      <c r="AY2" s="119">
        <v>0</v>
      </c>
    </row>
    <row r="3" spans="1:51">
      <c r="A3" s="1" t="s">
        <v>1304</v>
      </c>
      <c r="B3" s="115">
        <v>0</v>
      </c>
      <c r="C3" s="115">
        <v>0</v>
      </c>
      <c r="D3" s="115">
        <v>0</v>
      </c>
      <c r="E3" s="115">
        <v>0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s="115">
        <v>0</v>
      </c>
      <c r="O3" s="115">
        <v>0</v>
      </c>
      <c r="P3" s="115">
        <v>0</v>
      </c>
      <c r="Q3" s="115">
        <v>0</v>
      </c>
      <c r="R3" s="115">
        <v>0</v>
      </c>
      <c r="S3" s="115">
        <v>0</v>
      </c>
      <c r="T3" s="115">
        <v>0</v>
      </c>
      <c r="U3" s="115">
        <v>0</v>
      </c>
      <c r="V3" s="115">
        <v>0</v>
      </c>
      <c r="W3" s="115">
        <v>0</v>
      </c>
      <c r="X3" s="115">
        <v>0</v>
      </c>
      <c r="Y3" s="115">
        <v>0</v>
      </c>
      <c r="Z3" s="115">
        <v>0</v>
      </c>
      <c r="AA3" s="115">
        <v>0</v>
      </c>
      <c r="AB3" s="115">
        <v>0</v>
      </c>
      <c r="AC3" s="115">
        <v>0</v>
      </c>
      <c r="AD3" s="115">
        <v>0</v>
      </c>
      <c r="AE3" s="115">
        <v>0</v>
      </c>
      <c r="AF3" s="115">
        <v>0</v>
      </c>
      <c r="AG3" s="115">
        <v>0</v>
      </c>
      <c r="AH3" s="115">
        <v>0</v>
      </c>
      <c r="AI3" s="115">
        <v>0</v>
      </c>
      <c r="AJ3" s="115">
        <v>0</v>
      </c>
      <c r="AK3" s="115">
        <v>0</v>
      </c>
      <c r="AL3" s="115">
        <v>0</v>
      </c>
      <c r="AM3" s="115">
        <v>0</v>
      </c>
      <c r="AN3" s="115">
        <v>0</v>
      </c>
      <c r="AO3" s="115">
        <v>0</v>
      </c>
      <c r="AP3" s="115">
        <v>0</v>
      </c>
      <c r="AQ3" s="115">
        <v>0</v>
      </c>
      <c r="AR3" s="115">
        <v>0</v>
      </c>
      <c r="AS3" s="115">
        <v>0</v>
      </c>
      <c r="AT3" s="115">
        <v>0</v>
      </c>
      <c r="AU3" s="115">
        <v>0</v>
      </c>
      <c r="AV3" s="115">
        <v>0</v>
      </c>
      <c r="AW3" s="115">
        <v>0</v>
      </c>
      <c r="AX3" s="115">
        <v>0</v>
      </c>
      <c r="AY3" s="115">
        <v>0</v>
      </c>
    </row>
    <row r="4" spans="1:51">
      <c r="A4" s="1" t="s">
        <v>671</v>
      </c>
      <c r="B4" s="115">
        <v>0</v>
      </c>
      <c r="C4" s="115">
        <v>0</v>
      </c>
      <c r="D4" s="115">
        <v>0</v>
      </c>
      <c r="E4" s="115">
        <v>0</v>
      </c>
      <c r="F4" s="115">
        <v>0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5">
        <v>0</v>
      </c>
      <c r="M4" s="115">
        <v>0</v>
      </c>
      <c r="N4" s="115">
        <v>0</v>
      </c>
      <c r="O4" s="115">
        <v>0</v>
      </c>
      <c r="P4" s="115">
        <v>0</v>
      </c>
      <c r="Q4" s="115">
        <v>0</v>
      </c>
      <c r="R4" s="115">
        <v>0</v>
      </c>
      <c r="S4" s="115">
        <v>0</v>
      </c>
      <c r="T4" s="115">
        <v>0</v>
      </c>
      <c r="U4" s="115">
        <v>0</v>
      </c>
      <c r="V4" s="115">
        <v>0</v>
      </c>
      <c r="W4" s="115">
        <v>0</v>
      </c>
      <c r="X4" s="115">
        <v>0</v>
      </c>
      <c r="Y4" s="115">
        <v>0</v>
      </c>
      <c r="Z4" s="115">
        <v>0</v>
      </c>
      <c r="AA4" s="115">
        <v>0</v>
      </c>
      <c r="AB4" s="115">
        <v>0</v>
      </c>
      <c r="AC4" s="115">
        <v>0</v>
      </c>
      <c r="AD4" s="115">
        <v>0</v>
      </c>
      <c r="AE4" s="115">
        <v>0</v>
      </c>
      <c r="AF4" s="115">
        <v>0</v>
      </c>
      <c r="AG4" s="115">
        <v>0</v>
      </c>
      <c r="AH4" s="115">
        <v>0</v>
      </c>
      <c r="AI4" s="115">
        <v>0</v>
      </c>
      <c r="AJ4" s="115">
        <v>0</v>
      </c>
      <c r="AK4" s="115">
        <v>0</v>
      </c>
      <c r="AL4" s="115">
        <v>0</v>
      </c>
      <c r="AM4" s="115">
        <v>0</v>
      </c>
      <c r="AN4" s="115">
        <v>0</v>
      </c>
      <c r="AO4" s="115">
        <v>0</v>
      </c>
      <c r="AP4" s="115">
        <v>0</v>
      </c>
      <c r="AQ4" s="115">
        <v>0</v>
      </c>
      <c r="AR4" s="115">
        <v>0</v>
      </c>
      <c r="AS4" s="115">
        <v>0</v>
      </c>
      <c r="AT4" s="115">
        <v>0</v>
      </c>
      <c r="AU4" s="115">
        <v>0</v>
      </c>
      <c r="AV4" s="115">
        <v>0</v>
      </c>
      <c r="AW4" s="115">
        <v>0</v>
      </c>
      <c r="AX4" s="115">
        <v>0</v>
      </c>
      <c r="AY4" s="115">
        <v>0</v>
      </c>
    </row>
    <row r="5" spans="1:51">
      <c r="A5" s="1" t="s">
        <v>1305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5">
        <v>0</v>
      </c>
      <c r="X5" s="115">
        <v>0</v>
      </c>
      <c r="Y5" s="115">
        <v>0</v>
      </c>
      <c r="Z5" s="115">
        <v>0</v>
      </c>
      <c r="AA5" s="115">
        <v>0</v>
      </c>
      <c r="AB5" s="115">
        <v>0</v>
      </c>
      <c r="AC5" s="115">
        <v>0</v>
      </c>
      <c r="AD5" s="115">
        <v>0</v>
      </c>
      <c r="AE5" s="115">
        <v>0</v>
      </c>
      <c r="AF5" s="115">
        <v>0</v>
      </c>
      <c r="AG5" s="115">
        <v>0</v>
      </c>
      <c r="AH5" s="115">
        <v>0</v>
      </c>
      <c r="AI5" s="115">
        <v>0</v>
      </c>
      <c r="AJ5" s="115">
        <v>0</v>
      </c>
      <c r="AK5" s="115">
        <v>0</v>
      </c>
      <c r="AL5" s="115">
        <v>0</v>
      </c>
      <c r="AM5" s="115">
        <v>0</v>
      </c>
      <c r="AN5" s="115">
        <v>0</v>
      </c>
      <c r="AO5" s="115">
        <v>0</v>
      </c>
      <c r="AP5" s="115">
        <v>0</v>
      </c>
      <c r="AQ5" s="115">
        <v>0</v>
      </c>
      <c r="AR5" s="115">
        <v>0</v>
      </c>
      <c r="AS5" s="115">
        <v>0</v>
      </c>
      <c r="AT5" s="115">
        <v>0</v>
      </c>
      <c r="AU5" s="115">
        <v>0</v>
      </c>
      <c r="AV5" s="115">
        <v>0</v>
      </c>
      <c r="AW5" s="115">
        <v>0</v>
      </c>
      <c r="AX5" s="115">
        <v>0</v>
      </c>
      <c r="AY5" s="115">
        <v>0</v>
      </c>
    </row>
    <row r="6" spans="1:51">
      <c r="A6" s="1" t="s">
        <v>1306</v>
      </c>
      <c r="B6" s="115">
        <v>0</v>
      </c>
      <c r="C6" s="115">
        <v>0</v>
      </c>
      <c r="D6" s="115">
        <v>0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115">
        <v>0</v>
      </c>
      <c r="N6" s="115">
        <v>0</v>
      </c>
      <c r="O6" s="115">
        <v>0</v>
      </c>
      <c r="P6" s="115">
        <v>0</v>
      </c>
      <c r="Q6" s="115">
        <v>0</v>
      </c>
      <c r="R6" s="115">
        <v>0</v>
      </c>
      <c r="S6" s="115">
        <v>0</v>
      </c>
      <c r="T6" s="115">
        <v>0</v>
      </c>
      <c r="U6" s="115">
        <v>0</v>
      </c>
      <c r="V6" s="115">
        <v>0</v>
      </c>
      <c r="W6" s="115">
        <v>0</v>
      </c>
      <c r="X6" s="115">
        <v>0</v>
      </c>
      <c r="Y6" s="115">
        <v>0</v>
      </c>
      <c r="Z6" s="115">
        <v>0</v>
      </c>
      <c r="AA6" s="115">
        <v>0</v>
      </c>
      <c r="AB6" s="115">
        <v>0</v>
      </c>
      <c r="AC6" s="115">
        <v>0</v>
      </c>
      <c r="AD6" s="115">
        <v>0</v>
      </c>
      <c r="AE6" s="115">
        <v>0</v>
      </c>
      <c r="AF6" s="115">
        <v>0</v>
      </c>
      <c r="AG6" s="115">
        <v>0</v>
      </c>
      <c r="AH6" s="115">
        <v>0</v>
      </c>
      <c r="AI6" s="115">
        <v>0</v>
      </c>
      <c r="AJ6" s="115">
        <v>0</v>
      </c>
      <c r="AK6" s="115">
        <v>0</v>
      </c>
      <c r="AL6" s="115">
        <v>0</v>
      </c>
      <c r="AM6" s="115">
        <v>0</v>
      </c>
      <c r="AN6" s="115">
        <v>0</v>
      </c>
      <c r="AO6" s="115">
        <v>0</v>
      </c>
      <c r="AP6" s="115">
        <v>0</v>
      </c>
      <c r="AQ6" s="115">
        <v>0</v>
      </c>
      <c r="AR6" s="115">
        <v>0</v>
      </c>
      <c r="AS6" s="115">
        <v>0</v>
      </c>
      <c r="AT6" s="115">
        <v>0</v>
      </c>
      <c r="AU6" s="115">
        <v>0</v>
      </c>
      <c r="AV6" s="115">
        <v>0</v>
      </c>
      <c r="AW6" s="115">
        <v>0</v>
      </c>
      <c r="AX6" s="115">
        <v>0</v>
      </c>
      <c r="AY6" s="115">
        <v>0</v>
      </c>
    </row>
    <row r="7" spans="1:51">
      <c r="A7" s="1" t="s">
        <v>1307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5">
        <v>0</v>
      </c>
      <c r="X7" s="115">
        <v>0</v>
      </c>
      <c r="Y7" s="115">
        <v>0</v>
      </c>
      <c r="Z7" s="115">
        <v>0</v>
      </c>
      <c r="AA7" s="115">
        <v>0</v>
      </c>
      <c r="AB7" s="115">
        <v>0</v>
      </c>
      <c r="AC7" s="115">
        <v>0</v>
      </c>
      <c r="AD7" s="115">
        <v>0</v>
      </c>
      <c r="AE7" s="115">
        <v>0</v>
      </c>
      <c r="AF7" s="115">
        <v>0</v>
      </c>
      <c r="AG7" s="115">
        <v>0</v>
      </c>
      <c r="AH7" s="115">
        <v>0</v>
      </c>
      <c r="AI7" s="115">
        <v>0</v>
      </c>
      <c r="AJ7" s="115">
        <v>0</v>
      </c>
      <c r="AK7" s="115">
        <v>0</v>
      </c>
      <c r="AL7" s="115">
        <v>0</v>
      </c>
      <c r="AM7" s="115">
        <v>0</v>
      </c>
      <c r="AN7" s="115">
        <v>0</v>
      </c>
      <c r="AO7" s="115">
        <v>0</v>
      </c>
      <c r="AP7" s="115">
        <v>0</v>
      </c>
      <c r="AQ7" s="115">
        <v>0</v>
      </c>
      <c r="AR7" s="115">
        <v>0</v>
      </c>
      <c r="AS7" s="115">
        <v>0</v>
      </c>
      <c r="AT7" s="115">
        <v>0</v>
      </c>
      <c r="AU7" s="115">
        <v>0</v>
      </c>
      <c r="AV7" s="115">
        <v>0</v>
      </c>
      <c r="AW7" s="115">
        <v>0</v>
      </c>
      <c r="AX7" s="115">
        <v>0</v>
      </c>
      <c r="AY7" s="115">
        <v>0</v>
      </c>
    </row>
    <row r="8" spans="1:51">
      <c r="A8" s="1" t="s">
        <v>1308</v>
      </c>
      <c r="B8" s="115">
        <v>0</v>
      </c>
      <c r="C8" s="115">
        <v>0</v>
      </c>
      <c r="D8" s="115">
        <v>0</v>
      </c>
      <c r="E8" s="115">
        <v>0</v>
      </c>
      <c r="F8" s="115">
        <v>0</v>
      </c>
      <c r="G8" s="115">
        <v>0</v>
      </c>
      <c r="H8" s="115">
        <v>0</v>
      </c>
      <c r="I8" s="115">
        <v>0</v>
      </c>
      <c r="J8" s="115">
        <v>0</v>
      </c>
      <c r="K8" s="115">
        <v>0</v>
      </c>
      <c r="L8" s="115">
        <v>0</v>
      </c>
      <c r="M8" s="115">
        <v>0</v>
      </c>
      <c r="N8" s="115">
        <v>0</v>
      </c>
      <c r="O8" s="115">
        <v>0</v>
      </c>
      <c r="P8" s="115">
        <v>0</v>
      </c>
      <c r="Q8" s="115">
        <v>0</v>
      </c>
      <c r="R8" s="115">
        <v>0</v>
      </c>
      <c r="S8" s="115">
        <v>0</v>
      </c>
      <c r="T8" s="115">
        <v>0</v>
      </c>
      <c r="U8" s="115">
        <v>0</v>
      </c>
      <c r="V8" s="115">
        <v>0</v>
      </c>
      <c r="W8" s="115">
        <v>0</v>
      </c>
      <c r="X8" s="115">
        <v>0</v>
      </c>
      <c r="Y8" s="115">
        <v>0</v>
      </c>
      <c r="Z8" s="115">
        <v>0</v>
      </c>
      <c r="AA8" s="115">
        <v>0</v>
      </c>
      <c r="AB8" s="115">
        <v>0</v>
      </c>
      <c r="AC8" s="115">
        <v>0</v>
      </c>
      <c r="AD8" s="115">
        <v>0</v>
      </c>
      <c r="AE8" s="115">
        <v>0</v>
      </c>
      <c r="AF8" s="115">
        <v>0</v>
      </c>
      <c r="AG8" s="115">
        <v>0</v>
      </c>
      <c r="AH8" s="115">
        <v>0</v>
      </c>
      <c r="AI8" s="115">
        <v>0</v>
      </c>
      <c r="AJ8" s="115">
        <v>0</v>
      </c>
      <c r="AK8" s="115">
        <v>0</v>
      </c>
      <c r="AL8" s="115">
        <v>0</v>
      </c>
      <c r="AM8" s="115">
        <v>0</v>
      </c>
      <c r="AN8" s="115">
        <v>0</v>
      </c>
      <c r="AO8" s="115">
        <v>0</v>
      </c>
      <c r="AP8" s="115">
        <v>0</v>
      </c>
      <c r="AQ8" s="115">
        <v>0</v>
      </c>
      <c r="AR8" s="115">
        <v>0</v>
      </c>
      <c r="AS8" s="115">
        <v>0</v>
      </c>
      <c r="AT8" s="115">
        <v>0</v>
      </c>
      <c r="AU8" s="115">
        <v>0</v>
      </c>
      <c r="AV8" s="115">
        <v>0</v>
      </c>
      <c r="AW8" s="115">
        <v>0</v>
      </c>
      <c r="AX8" s="115">
        <v>0</v>
      </c>
      <c r="AY8" s="115">
        <v>0</v>
      </c>
    </row>
    <row r="9" spans="1:51">
      <c r="A9" s="1" t="s">
        <v>1309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0</v>
      </c>
      <c r="AL9" s="115">
        <v>0</v>
      </c>
      <c r="AM9" s="115">
        <v>0</v>
      </c>
      <c r="AN9" s="115">
        <v>0</v>
      </c>
      <c r="AO9" s="115">
        <v>0</v>
      </c>
      <c r="AP9" s="115">
        <v>0</v>
      </c>
      <c r="AQ9" s="115">
        <v>0</v>
      </c>
      <c r="AR9" s="115">
        <v>0</v>
      </c>
      <c r="AS9" s="115">
        <v>0</v>
      </c>
      <c r="AT9" s="115">
        <v>0</v>
      </c>
      <c r="AU9" s="115">
        <v>0</v>
      </c>
      <c r="AV9" s="115">
        <v>0</v>
      </c>
      <c r="AW9" s="115">
        <v>0</v>
      </c>
      <c r="AX9" s="115">
        <v>0</v>
      </c>
      <c r="AY9" s="115">
        <v>0</v>
      </c>
    </row>
    <row r="10" spans="1:51">
      <c r="A10" s="1" t="s">
        <v>1310</v>
      </c>
      <c r="B10" s="115">
        <v>0</v>
      </c>
      <c r="C10" s="115">
        <v>0</v>
      </c>
      <c r="D10" s="115"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  <c r="AS10" s="115">
        <v>0</v>
      </c>
      <c r="AT10" s="115">
        <v>0</v>
      </c>
      <c r="AU10" s="115">
        <v>0</v>
      </c>
      <c r="AV10" s="115">
        <v>0</v>
      </c>
      <c r="AW10" s="115">
        <v>0</v>
      </c>
      <c r="AX10" s="115">
        <v>0</v>
      </c>
      <c r="AY10" s="115">
        <v>0</v>
      </c>
    </row>
    <row r="11" spans="1:51">
      <c r="A11" s="1" t="s">
        <v>1311</v>
      </c>
      <c r="B11" s="115">
        <v>0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  <c r="AX11" s="115">
        <v>0</v>
      </c>
      <c r="AY11" s="11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BB11"/>
  <sheetViews>
    <sheetView topLeftCell="AT1" zoomScaleNormal="100" workbookViewId="0">
      <selection activeCell="AG1" sqref="AG1:BB1"/>
    </sheetView>
  </sheetViews>
  <sheetFormatPr defaultRowHeight="15"/>
  <cols>
    <col min="1" max="1" width="29.85546875" customWidth="1"/>
    <col min="2" max="2" width="19.5703125" customWidth="1"/>
    <col min="3" max="3" width="15.7109375" customWidth="1"/>
    <col min="4" max="33" width="10" customWidth="1"/>
  </cols>
  <sheetData>
    <row r="1" spans="1:54">
      <c r="A1" s="116" t="s">
        <v>1302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2057</v>
      </c>
      <c r="AP1">
        <v>2058</v>
      </c>
      <c r="AQ1">
        <v>2059</v>
      </c>
      <c r="AR1">
        <v>2060</v>
      </c>
      <c r="AS1">
        <v>2061</v>
      </c>
      <c r="AT1">
        <v>2062</v>
      </c>
      <c r="AU1">
        <v>2063</v>
      </c>
      <c r="AV1">
        <v>2064</v>
      </c>
      <c r="AW1">
        <v>2065</v>
      </c>
      <c r="AX1">
        <v>2066</v>
      </c>
      <c r="AY1">
        <v>2067</v>
      </c>
      <c r="AZ1">
        <v>2068</v>
      </c>
      <c r="BA1">
        <v>2069</v>
      </c>
      <c r="BB1">
        <v>2070</v>
      </c>
    </row>
    <row r="2" spans="1:54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1</v>
      </c>
      <c r="AI2" s="119">
        <v>2</v>
      </c>
      <c r="AJ2" s="119">
        <v>3</v>
      </c>
      <c r="AK2" s="119">
        <v>4</v>
      </c>
      <c r="AL2" s="119">
        <v>5</v>
      </c>
      <c r="AM2" s="119">
        <v>6</v>
      </c>
      <c r="AN2" s="119">
        <v>7</v>
      </c>
      <c r="AO2" s="119">
        <v>8</v>
      </c>
      <c r="AP2" s="119">
        <v>9</v>
      </c>
      <c r="AQ2" s="119">
        <v>10</v>
      </c>
      <c r="AR2" s="119">
        <v>11</v>
      </c>
      <c r="AS2" s="119">
        <v>12</v>
      </c>
      <c r="AT2" s="119">
        <v>13</v>
      </c>
      <c r="AU2" s="119">
        <v>14</v>
      </c>
      <c r="AV2" s="119">
        <v>15</v>
      </c>
      <c r="AW2" s="119">
        <v>16</v>
      </c>
      <c r="AX2" s="119">
        <v>17</v>
      </c>
      <c r="AY2" s="119">
        <v>18</v>
      </c>
      <c r="AZ2" s="119">
        <v>19</v>
      </c>
      <c r="BA2" s="119">
        <v>20</v>
      </c>
      <c r="BB2" s="119">
        <v>21</v>
      </c>
    </row>
    <row r="3" spans="1:54">
      <c r="A3" s="1" t="s">
        <v>1304</v>
      </c>
      <c r="B3" s="119">
        <f>$B$10</f>
        <v>8.3485110752726618E-6</v>
      </c>
      <c r="C3" s="119">
        <f>$B$10</f>
        <v>8.3485110752726618E-6</v>
      </c>
      <c r="D3" s="119">
        <f t="shared" ref="D3:M6" si="0">$B$10</f>
        <v>8.3485110752726618E-6</v>
      </c>
      <c r="E3" s="119">
        <f t="shared" si="0"/>
        <v>8.3485110752726618E-6</v>
      </c>
      <c r="F3" s="119">
        <f t="shared" si="0"/>
        <v>8.3485110752726618E-6</v>
      </c>
      <c r="G3" s="119">
        <f t="shared" si="0"/>
        <v>8.3485110752726618E-6</v>
      </c>
      <c r="H3" s="119">
        <f t="shared" si="0"/>
        <v>8.3485110752726618E-6</v>
      </c>
      <c r="I3" s="119">
        <f t="shared" si="0"/>
        <v>8.3485110752726618E-6</v>
      </c>
      <c r="J3" s="119">
        <f t="shared" si="0"/>
        <v>8.3485110752726618E-6</v>
      </c>
      <c r="K3" s="119">
        <f t="shared" si="0"/>
        <v>8.3485110752726618E-6</v>
      </c>
      <c r="L3" s="119">
        <f t="shared" si="0"/>
        <v>8.3485110752726618E-6</v>
      </c>
      <c r="M3" s="119">
        <f t="shared" si="0"/>
        <v>8.3485110752726618E-6</v>
      </c>
      <c r="N3" s="119">
        <f t="shared" ref="N3:W6" si="1">$B$10</f>
        <v>8.3485110752726618E-6</v>
      </c>
      <c r="O3" s="119">
        <f t="shared" si="1"/>
        <v>8.3485110752726618E-6</v>
      </c>
      <c r="P3" s="119">
        <f t="shared" si="1"/>
        <v>8.3485110752726618E-6</v>
      </c>
      <c r="Q3" s="119">
        <f t="shared" si="1"/>
        <v>8.3485110752726618E-6</v>
      </c>
      <c r="R3" s="119">
        <f t="shared" si="1"/>
        <v>8.3485110752726618E-6</v>
      </c>
      <c r="S3" s="119">
        <f t="shared" si="1"/>
        <v>8.3485110752726618E-6</v>
      </c>
      <c r="T3" s="119">
        <f t="shared" si="1"/>
        <v>8.3485110752726618E-6</v>
      </c>
      <c r="U3" s="119">
        <f t="shared" si="1"/>
        <v>8.3485110752726618E-6</v>
      </c>
      <c r="V3" s="119">
        <f t="shared" si="1"/>
        <v>8.3485110752726618E-6</v>
      </c>
      <c r="W3" s="119">
        <f t="shared" si="1"/>
        <v>8.3485110752726618E-6</v>
      </c>
      <c r="X3" s="119">
        <f t="shared" ref="X3:AM6" si="2">$B$10</f>
        <v>8.3485110752726618E-6</v>
      </c>
      <c r="Y3" s="119">
        <f t="shared" si="2"/>
        <v>8.3485110752726618E-6</v>
      </c>
      <c r="Z3" s="119">
        <f t="shared" si="2"/>
        <v>8.3485110752726618E-6</v>
      </c>
      <c r="AA3" s="119">
        <f t="shared" si="2"/>
        <v>8.3485110752726618E-6</v>
      </c>
      <c r="AB3" s="119">
        <f t="shared" si="2"/>
        <v>8.3485110752726618E-6</v>
      </c>
      <c r="AC3" s="119">
        <f t="shared" si="2"/>
        <v>8.3485110752726618E-6</v>
      </c>
      <c r="AD3" s="119">
        <f t="shared" si="2"/>
        <v>8.3485110752726618E-6</v>
      </c>
      <c r="AE3" s="119">
        <f t="shared" si="2"/>
        <v>8.3485110752726618E-6</v>
      </c>
      <c r="AF3" s="119">
        <f t="shared" si="2"/>
        <v>8.3485110752726618E-6</v>
      </c>
      <c r="AG3" s="119">
        <f t="shared" si="2"/>
        <v>8.3485110752726618E-6</v>
      </c>
      <c r="AH3" s="119">
        <f t="shared" si="2"/>
        <v>8.3485110752726618E-6</v>
      </c>
      <c r="AI3" s="119">
        <f t="shared" si="2"/>
        <v>8.3485110752726618E-6</v>
      </c>
      <c r="AJ3" s="119">
        <f t="shared" si="2"/>
        <v>8.3485110752726618E-6</v>
      </c>
      <c r="AK3" s="119">
        <f t="shared" si="2"/>
        <v>8.3485110752726618E-6</v>
      </c>
      <c r="AL3" s="119">
        <f t="shared" si="2"/>
        <v>8.3485110752726618E-6</v>
      </c>
      <c r="AM3" s="119">
        <f t="shared" si="2"/>
        <v>8.3485110752726618E-6</v>
      </c>
      <c r="AN3" s="119">
        <f t="shared" ref="AH3:BB6" si="3">$B$10</f>
        <v>8.3485110752726618E-6</v>
      </c>
      <c r="AO3" s="119">
        <f t="shared" si="3"/>
        <v>8.3485110752726618E-6</v>
      </c>
      <c r="AP3" s="119">
        <f t="shared" si="3"/>
        <v>8.3485110752726618E-6</v>
      </c>
      <c r="AQ3" s="119">
        <f t="shared" si="3"/>
        <v>8.3485110752726618E-6</v>
      </c>
      <c r="AR3" s="119">
        <f t="shared" si="3"/>
        <v>8.3485110752726618E-6</v>
      </c>
      <c r="AS3" s="119">
        <f t="shared" si="3"/>
        <v>8.3485110752726618E-6</v>
      </c>
      <c r="AT3" s="119">
        <f t="shared" si="3"/>
        <v>8.3485110752726618E-6</v>
      </c>
      <c r="AU3" s="119">
        <f t="shared" si="3"/>
        <v>8.3485110752726618E-6</v>
      </c>
      <c r="AV3" s="119">
        <f t="shared" si="3"/>
        <v>8.3485110752726618E-6</v>
      </c>
      <c r="AW3" s="119">
        <f t="shared" si="3"/>
        <v>8.3485110752726618E-6</v>
      </c>
      <c r="AX3" s="119">
        <f t="shared" si="3"/>
        <v>8.3485110752726618E-6</v>
      </c>
      <c r="AY3" s="119">
        <f t="shared" si="3"/>
        <v>8.3485110752726618E-6</v>
      </c>
      <c r="AZ3" s="119">
        <f t="shared" si="3"/>
        <v>8.3485110752726618E-6</v>
      </c>
      <c r="BA3" s="119">
        <f t="shared" si="3"/>
        <v>8.3485110752726618E-6</v>
      </c>
      <c r="BB3" s="119">
        <f t="shared" si="3"/>
        <v>8.3485110752726618E-6</v>
      </c>
    </row>
    <row r="4" spans="1:54">
      <c r="A4" s="1" t="s">
        <v>671</v>
      </c>
      <c r="B4" s="119">
        <f t="shared" ref="B4:C9" si="4">$B$10</f>
        <v>8.3485110752726618E-6</v>
      </c>
      <c r="C4" s="119">
        <f t="shared" si="4"/>
        <v>8.3485110752726618E-6</v>
      </c>
      <c r="D4" s="119">
        <f t="shared" si="0"/>
        <v>8.3485110752726618E-6</v>
      </c>
      <c r="E4" s="119">
        <f t="shared" si="0"/>
        <v>8.3485110752726618E-6</v>
      </c>
      <c r="F4" s="119">
        <f t="shared" si="0"/>
        <v>8.3485110752726618E-6</v>
      </c>
      <c r="G4" s="119">
        <f t="shared" si="0"/>
        <v>8.3485110752726618E-6</v>
      </c>
      <c r="H4" s="119">
        <f t="shared" si="0"/>
        <v>8.3485110752726618E-6</v>
      </c>
      <c r="I4" s="119">
        <f t="shared" si="0"/>
        <v>8.3485110752726618E-6</v>
      </c>
      <c r="J4" s="119">
        <f t="shared" si="0"/>
        <v>8.3485110752726618E-6</v>
      </c>
      <c r="K4" s="119">
        <f t="shared" si="0"/>
        <v>8.3485110752726618E-6</v>
      </c>
      <c r="L4" s="119">
        <f t="shared" si="0"/>
        <v>8.3485110752726618E-6</v>
      </c>
      <c r="M4" s="119">
        <f t="shared" si="0"/>
        <v>8.3485110752726618E-6</v>
      </c>
      <c r="N4" s="119">
        <f t="shared" si="1"/>
        <v>8.3485110752726618E-6</v>
      </c>
      <c r="O4" s="119">
        <f t="shared" si="1"/>
        <v>8.3485110752726618E-6</v>
      </c>
      <c r="P4" s="119">
        <f t="shared" si="1"/>
        <v>8.3485110752726618E-6</v>
      </c>
      <c r="Q4" s="119">
        <f t="shared" si="1"/>
        <v>8.3485110752726618E-6</v>
      </c>
      <c r="R4" s="119">
        <f t="shared" si="1"/>
        <v>8.3485110752726618E-6</v>
      </c>
      <c r="S4" s="119">
        <f t="shared" si="1"/>
        <v>8.3485110752726618E-6</v>
      </c>
      <c r="T4" s="119">
        <f t="shared" si="1"/>
        <v>8.3485110752726618E-6</v>
      </c>
      <c r="U4" s="119">
        <f t="shared" si="1"/>
        <v>8.3485110752726618E-6</v>
      </c>
      <c r="V4" s="119">
        <f t="shared" si="1"/>
        <v>8.3485110752726618E-6</v>
      </c>
      <c r="W4" s="119">
        <f t="shared" si="1"/>
        <v>8.3485110752726618E-6</v>
      </c>
      <c r="X4" s="119">
        <f t="shared" si="2"/>
        <v>8.3485110752726618E-6</v>
      </c>
      <c r="Y4" s="119">
        <f t="shared" si="2"/>
        <v>8.3485110752726618E-6</v>
      </c>
      <c r="Z4" s="119">
        <f t="shared" si="2"/>
        <v>8.3485110752726618E-6</v>
      </c>
      <c r="AA4" s="119">
        <f t="shared" si="2"/>
        <v>8.3485110752726618E-6</v>
      </c>
      <c r="AB4" s="119">
        <f t="shared" si="2"/>
        <v>8.3485110752726618E-6</v>
      </c>
      <c r="AC4" s="119">
        <f t="shared" si="2"/>
        <v>8.3485110752726618E-6</v>
      </c>
      <c r="AD4" s="119">
        <f t="shared" si="2"/>
        <v>8.3485110752726618E-6</v>
      </c>
      <c r="AE4" s="119">
        <f t="shared" si="2"/>
        <v>8.3485110752726618E-6</v>
      </c>
      <c r="AF4" s="119">
        <f t="shared" si="2"/>
        <v>8.3485110752726618E-6</v>
      </c>
      <c r="AG4" s="119">
        <f t="shared" si="2"/>
        <v>8.3485110752726618E-6</v>
      </c>
      <c r="AH4" s="119">
        <f t="shared" si="3"/>
        <v>8.3485110752726618E-6</v>
      </c>
      <c r="AI4" s="119">
        <f t="shared" si="3"/>
        <v>8.3485110752726618E-6</v>
      </c>
      <c r="AJ4" s="119">
        <f t="shared" si="3"/>
        <v>8.3485110752726618E-6</v>
      </c>
      <c r="AK4" s="119">
        <f t="shared" si="3"/>
        <v>8.3485110752726618E-6</v>
      </c>
      <c r="AL4" s="119">
        <f t="shared" si="3"/>
        <v>8.3485110752726618E-6</v>
      </c>
      <c r="AM4" s="119">
        <f t="shared" si="3"/>
        <v>8.3485110752726618E-6</v>
      </c>
      <c r="AN4" s="119">
        <f t="shared" si="3"/>
        <v>8.3485110752726618E-6</v>
      </c>
      <c r="AO4" s="119">
        <f t="shared" si="3"/>
        <v>8.3485110752726618E-6</v>
      </c>
      <c r="AP4" s="119">
        <f t="shared" si="3"/>
        <v>8.3485110752726618E-6</v>
      </c>
      <c r="AQ4" s="119">
        <f t="shared" si="3"/>
        <v>8.3485110752726618E-6</v>
      </c>
      <c r="AR4" s="119">
        <f t="shared" si="3"/>
        <v>8.3485110752726618E-6</v>
      </c>
      <c r="AS4" s="119">
        <f t="shared" si="3"/>
        <v>8.3485110752726618E-6</v>
      </c>
      <c r="AT4" s="119">
        <f t="shared" si="3"/>
        <v>8.3485110752726618E-6</v>
      </c>
      <c r="AU4" s="119">
        <f t="shared" si="3"/>
        <v>8.3485110752726618E-6</v>
      </c>
      <c r="AV4" s="119">
        <f t="shared" si="3"/>
        <v>8.3485110752726618E-6</v>
      </c>
      <c r="AW4" s="119">
        <f t="shared" si="3"/>
        <v>8.3485110752726618E-6</v>
      </c>
      <c r="AX4" s="119">
        <f t="shared" si="3"/>
        <v>8.3485110752726618E-6</v>
      </c>
      <c r="AY4" s="119">
        <f t="shared" si="3"/>
        <v>8.3485110752726618E-6</v>
      </c>
      <c r="AZ4" s="119">
        <f t="shared" si="3"/>
        <v>8.3485110752726618E-6</v>
      </c>
      <c r="BA4" s="119">
        <f t="shared" si="3"/>
        <v>8.3485110752726618E-6</v>
      </c>
      <c r="BB4" s="119">
        <f t="shared" si="3"/>
        <v>8.3485110752726618E-6</v>
      </c>
    </row>
    <row r="5" spans="1:54">
      <c r="A5" s="1" t="s">
        <v>1305</v>
      </c>
      <c r="B5" s="119">
        <f t="shared" si="4"/>
        <v>8.3485110752726618E-6</v>
      </c>
      <c r="C5" s="119">
        <f t="shared" ref="C3:C9" si="5">$B$10</f>
        <v>8.3485110752726618E-6</v>
      </c>
      <c r="D5" s="119">
        <f t="shared" si="0"/>
        <v>8.3485110752726618E-6</v>
      </c>
      <c r="E5" s="119">
        <f t="shared" si="0"/>
        <v>8.3485110752726618E-6</v>
      </c>
      <c r="F5" s="119">
        <f t="shared" si="0"/>
        <v>8.3485110752726618E-6</v>
      </c>
      <c r="G5" s="119">
        <f t="shared" si="0"/>
        <v>8.3485110752726618E-6</v>
      </c>
      <c r="H5" s="119">
        <f t="shared" si="0"/>
        <v>8.3485110752726618E-6</v>
      </c>
      <c r="I5" s="119">
        <f t="shared" si="0"/>
        <v>8.3485110752726618E-6</v>
      </c>
      <c r="J5" s="119">
        <f t="shared" si="0"/>
        <v>8.3485110752726618E-6</v>
      </c>
      <c r="K5" s="119">
        <f t="shared" si="0"/>
        <v>8.3485110752726618E-6</v>
      </c>
      <c r="L5" s="119">
        <f t="shared" si="0"/>
        <v>8.3485110752726618E-6</v>
      </c>
      <c r="M5" s="119">
        <f t="shared" si="0"/>
        <v>8.3485110752726618E-6</v>
      </c>
      <c r="N5" s="119">
        <f t="shared" si="1"/>
        <v>8.3485110752726618E-6</v>
      </c>
      <c r="O5" s="119">
        <f t="shared" si="1"/>
        <v>8.3485110752726618E-6</v>
      </c>
      <c r="P5" s="119">
        <f t="shared" si="1"/>
        <v>8.3485110752726618E-6</v>
      </c>
      <c r="Q5" s="119">
        <f t="shared" si="1"/>
        <v>8.3485110752726618E-6</v>
      </c>
      <c r="R5" s="119">
        <f t="shared" si="1"/>
        <v>8.3485110752726618E-6</v>
      </c>
      <c r="S5" s="119">
        <f t="shared" si="1"/>
        <v>8.3485110752726618E-6</v>
      </c>
      <c r="T5" s="119">
        <f t="shared" si="1"/>
        <v>8.3485110752726618E-6</v>
      </c>
      <c r="U5" s="119">
        <f t="shared" si="1"/>
        <v>8.3485110752726618E-6</v>
      </c>
      <c r="V5" s="119">
        <f t="shared" si="1"/>
        <v>8.3485110752726618E-6</v>
      </c>
      <c r="W5" s="119">
        <f t="shared" si="1"/>
        <v>8.3485110752726618E-6</v>
      </c>
      <c r="X5" s="119">
        <f t="shared" si="2"/>
        <v>8.3485110752726618E-6</v>
      </c>
      <c r="Y5" s="119">
        <f t="shared" si="2"/>
        <v>8.3485110752726618E-6</v>
      </c>
      <c r="Z5" s="119">
        <f t="shared" si="2"/>
        <v>8.3485110752726618E-6</v>
      </c>
      <c r="AA5" s="119">
        <f t="shared" si="2"/>
        <v>8.3485110752726618E-6</v>
      </c>
      <c r="AB5" s="119">
        <f t="shared" si="2"/>
        <v>8.3485110752726618E-6</v>
      </c>
      <c r="AC5" s="119">
        <f t="shared" si="2"/>
        <v>8.3485110752726618E-6</v>
      </c>
      <c r="AD5" s="119">
        <f t="shared" si="2"/>
        <v>8.3485110752726618E-6</v>
      </c>
      <c r="AE5" s="119">
        <f t="shared" si="2"/>
        <v>8.3485110752726618E-6</v>
      </c>
      <c r="AF5" s="119">
        <f t="shared" si="2"/>
        <v>8.3485110752726618E-6</v>
      </c>
      <c r="AG5" s="119">
        <f t="shared" si="2"/>
        <v>8.3485110752726618E-6</v>
      </c>
      <c r="AH5" s="119">
        <f t="shared" si="3"/>
        <v>8.3485110752726618E-6</v>
      </c>
      <c r="AI5" s="119">
        <f t="shared" si="3"/>
        <v>8.3485110752726618E-6</v>
      </c>
      <c r="AJ5" s="119">
        <f t="shared" si="3"/>
        <v>8.3485110752726618E-6</v>
      </c>
      <c r="AK5" s="119">
        <f t="shared" si="3"/>
        <v>8.3485110752726618E-6</v>
      </c>
      <c r="AL5" s="119">
        <f t="shared" si="3"/>
        <v>8.3485110752726618E-6</v>
      </c>
      <c r="AM5" s="119">
        <f t="shared" si="3"/>
        <v>8.3485110752726618E-6</v>
      </c>
      <c r="AN5" s="119">
        <f t="shared" si="3"/>
        <v>8.3485110752726618E-6</v>
      </c>
      <c r="AO5" s="119">
        <f t="shared" si="3"/>
        <v>8.3485110752726618E-6</v>
      </c>
      <c r="AP5" s="119">
        <f t="shared" si="3"/>
        <v>8.3485110752726618E-6</v>
      </c>
      <c r="AQ5" s="119">
        <f t="shared" si="3"/>
        <v>8.3485110752726618E-6</v>
      </c>
      <c r="AR5" s="119">
        <f t="shared" si="3"/>
        <v>8.3485110752726618E-6</v>
      </c>
      <c r="AS5" s="119">
        <f t="shared" si="3"/>
        <v>8.3485110752726618E-6</v>
      </c>
      <c r="AT5" s="119">
        <f t="shared" si="3"/>
        <v>8.3485110752726618E-6</v>
      </c>
      <c r="AU5" s="119">
        <f t="shared" si="3"/>
        <v>8.3485110752726618E-6</v>
      </c>
      <c r="AV5" s="119">
        <f t="shared" si="3"/>
        <v>8.3485110752726618E-6</v>
      </c>
      <c r="AW5" s="119">
        <f t="shared" si="3"/>
        <v>8.3485110752726618E-6</v>
      </c>
      <c r="AX5" s="119">
        <f t="shared" si="3"/>
        <v>8.3485110752726618E-6</v>
      </c>
      <c r="AY5" s="119">
        <f t="shared" si="3"/>
        <v>8.3485110752726618E-6</v>
      </c>
      <c r="AZ5" s="119">
        <f t="shared" si="3"/>
        <v>8.3485110752726618E-6</v>
      </c>
      <c r="BA5" s="119">
        <f t="shared" si="3"/>
        <v>8.3485110752726618E-6</v>
      </c>
      <c r="BB5" s="119">
        <f t="shared" si="3"/>
        <v>8.3485110752726618E-6</v>
      </c>
    </row>
    <row r="6" spans="1:54">
      <c r="A6" s="1" t="s">
        <v>1306</v>
      </c>
      <c r="B6" s="119">
        <f t="shared" si="4"/>
        <v>8.3485110752726618E-6</v>
      </c>
      <c r="C6" s="119">
        <f t="shared" si="5"/>
        <v>8.3485110752726618E-6</v>
      </c>
      <c r="D6" s="119">
        <f t="shared" si="0"/>
        <v>8.3485110752726618E-6</v>
      </c>
      <c r="E6" s="119">
        <f t="shared" si="0"/>
        <v>8.3485110752726618E-6</v>
      </c>
      <c r="F6" s="119">
        <f t="shared" si="0"/>
        <v>8.3485110752726618E-6</v>
      </c>
      <c r="G6" s="119">
        <f t="shared" si="0"/>
        <v>8.3485110752726618E-6</v>
      </c>
      <c r="H6" s="119">
        <f t="shared" si="0"/>
        <v>8.3485110752726618E-6</v>
      </c>
      <c r="I6" s="119">
        <f t="shared" si="0"/>
        <v>8.3485110752726618E-6</v>
      </c>
      <c r="J6" s="119">
        <f t="shared" si="0"/>
        <v>8.3485110752726618E-6</v>
      </c>
      <c r="K6" s="119">
        <f t="shared" si="0"/>
        <v>8.3485110752726618E-6</v>
      </c>
      <c r="L6" s="119">
        <f t="shared" si="0"/>
        <v>8.3485110752726618E-6</v>
      </c>
      <c r="M6" s="119">
        <f t="shared" si="0"/>
        <v>8.3485110752726618E-6</v>
      </c>
      <c r="N6" s="119">
        <f t="shared" si="1"/>
        <v>8.3485110752726618E-6</v>
      </c>
      <c r="O6" s="119">
        <f t="shared" si="1"/>
        <v>8.3485110752726618E-6</v>
      </c>
      <c r="P6" s="119">
        <f t="shared" si="1"/>
        <v>8.3485110752726618E-6</v>
      </c>
      <c r="Q6" s="119">
        <f t="shared" si="1"/>
        <v>8.3485110752726618E-6</v>
      </c>
      <c r="R6" s="119">
        <f t="shared" si="1"/>
        <v>8.3485110752726618E-6</v>
      </c>
      <c r="S6" s="119">
        <f t="shared" si="1"/>
        <v>8.3485110752726618E-6</v>
      </c>
      <c r="T6" s="119">
        <f t="shared" si="1"/>
        <v>8.3485110752726618E-6</v>
      </c>
      <c r="U6" s="119">
        <f t="shared" si="1"/>
        <v>8.3485110752726618E-6</v>
      </c>
      <c r="V6" s="119">
        <f t="shared" si="1"/>
        <v>8.3485110752726618E-6</v>
      </c>
      <c r="W6" s="119">
        <f t="shared" si="1"/>
        <v>8.3485110752726618E-6</v>
      </c>
      <c r="X6" s="119">
        <f t="shared" si="2"/>
        <v>8.3485110752726618E-6</v>
      </c>
      <c r="Y6" s="119">
        <f t="shared" si="2"/>
        <v>8.3485110752726618E-6</v>
      </c>
      <c r="Z6" s="119">
        <f t="shared" si="2"/>
        <v>8.3485110752726618E-6</v>
      </c>
      <c r="AA6" s="119">
        <f t="shared" si="2"/>
        <v>8.3485110752726618E-6</v>
      </c>
      <c r="AB6" s="119">
        <f t="shared" si="2"/>
        <v>8.3485110752726618E-6</v>
      </c>
      <c r="AC6" s="119">
        <f t="shared" si="2"/>
        <v>8.3485110752726618E-6</v>
      </c>
      <c r="AD6" s="119">
        <f t="shared" si="2"/>
        <v>8.3485110752726618E-6</v>
      </c>
      <c r="AE6" s="119">
        <f t="shared" si="2"/>
        <v>8.3485110752726618E-6</v>
      </c>
      <c r="AF6" s="119">
        <f t="shared" si="2"/>
        <v>8.3485110752726618E-6</v>
      </c>
      <c r="AG6" s="119">
        <f t="shared" si="2"/>
        <v>8.3485110752726618E-6</v>
      </c>
      <c r="AH6" s="119">
        <f t="shared" si="3"/>
        <v>8.3485110752726618E-6</v>
      </c>
      <c r="AI6" s="119">
        <f t="shared" si="3"/>
        <v>8.3485110752726618E-6</v>
      </c>
      <c r="AJ6" s="119">
        <f t="shared" si="3"/>
        <v>8.3485110752726618E-6</v>
      </c>
      <c r="AK6" s="119">
        <f t="shared" si="3"/>
        <v>8.3485110752726618E-6</v>
      </c>
      <c r="AL6" s="119">
        <f t="shared" si="3"/>
        <v>8.3485110752726618E-6</v>
      </c>
      <c r="AM6" s="119">
        <f t="shared" si="3"/>
        <v>8.3485110752726618E-6</v>
      </c>
      <c r="AN6" s="119">
        <f t="shared" si="3"/>
        <v>8.3485110752726618E-6</v>
      </c>
      <c r="AO6" s="119">
        <f t="shared" si="3"/>
        <v>8.3485110752726618E-6</v>
      </c>
      <c r="AP6" s="119">
        <f t="shared" si="3"/>
        <v>8.3485110752726618E-6</v>
      </c>
      <c r="AQ6" s="119">
        <f t="shared" si="3"/>
        <v>8.3485110752726618E-6</v>
      </c>
      <c r="AR6" s="119">
        <f t="shared" si="3"/>
        <v>8.3485110752726618E-6</v>
      </c>
      <c r="AS6" s="119">
        <f t="shared" si="3"/>
        <v>8.3485110752726618E-6</v>
      </c>
      <c r="AT6" s="119">
        <f t="shared" si="3"/>
        <v>8.3485110752726618E-6</v>
      </c>
      <c r="AU6" s="119">
        <f t="shared" si="3"/>
        <v>8.3485110752726618E-6</v>
      </c>
      <c r="AV6" s="119">
        <f t="shared" si="3"/>
        <v>8.3485110752726618E-6</v>
      </c>
      <c r="AW6" s="119">
        <f t="shared" si="3"/>
        <v>8.3485110752726618E-6</v>
      </c>
      <c r="AX6" s="119">
        <f t="shared" si="3"/>
        <v>8.3485110752726618E-6</v>
      </c>
      <c r="AY6" s="119">
        <f t="shared" si="3"/>
        <v>8.3485110752726618E-6</v>
      </c>
      <c r="AZ6" s="119">
        <f t="shared" si="3"/>
        <v>8.3485110752726618E-6</v>
      </c>
      <c r="BA6" s="119">
        <f t="shared" si="3"/>
        <v>8.3485110752726618E-6</v>
      </c>
      <c r="BB6" s="119">
        <f t="shared" si="3"/>
        <v>8.3485110752726618E-6</v>
      </c>
    </row>
    <row r="7" spans="1:54">
      <c r="A7" s="1" t="s">
        <v>1307</v>
      </c>
      <c r="B7" s="119">
        <f>Calculations!B16</f>
        <v>3.0262389104141518E-5</v>
      </c>
      <c r="C7" s="119">
        <f>Calculations!C16</f>
        <v>3.8173427050627694E-16</v>
      </c>
      <c r="D7" s="119">
        <f>Calculations!D16</f>
        <v>0</v>
      </c>
      <c r="E7" s="119">
        <f>Calculations!E16</f>
        <v>585.13227150018224</v>
      </c>
      <c r="F7" s="119">
        <f>Calculations!F16</f>
        <v>610.94693053695494</v>
      </c>
      <c r="G7" s="119">
        <f>Calculations!G16</f>
        <v>681.93724288807994</v>
      </c>
      <c r="H7" s="119">
        <f>Calculations!H16</f>
        <v>752.92755523920505</v>
      </c>
      <c r="I7" s="119">
        <f>Calculations!I16</f>
        <v>823.91786759032993</v>
      </c>
      <c r="J7" s="119">
        <f>Calculations!J16</f>
        <v>985.25948657015954</v>
      </c>
      <c r="K7" s="119">
        <f>Calculations!K16</f>
        <v>1139.2869521562372</v>
      </c>
      <c r="L7" s="119">
        <f>Calculations!L16</f>
        <v>1293.3144177423144</v>
      </c>
      <c r="M7" s="119">
        <f>Calculations!M16</f>
        <v>1447.3418833283918</v>
      </c>
      <c r="N7" s="119">
        <f>Calculations!N16</f>
        <v>1601.3693489144694</v>
      </c>
      <c r="O7" s="119">
        <f>Calculations!O16</f>
        <v>1703.7674964270009</v>
      </c>
      <c r="P7" s="119">
        <f>Calculations!P16</f>
        <v>1813.0495530160056</v>
      </c>
      <c r="Q7" s="119">
        <f>Calculations!Q16</f>
        <v>1922.3316096050103</v>
      </c>
      <c r="R7" s="119">
        <f>Calculations!R16</f>
        <v>2031.6136661940147</v>
      </c>
      <c r="S7" s="119">
        <f>Calculations!S16</f>
        <v>2140.8957227830197</v>
      </c>
      <c r="T7" s="119">
        <f>Calculations!T16</f>
        <v>2262.2246202558508</v>
      </c>
      <c r="U7" s="119">
        <f>Calculations!U16</f>
        <v>2386.1349836323607</v>
      </c>
      <c r="V7" s="119">
        <f>Calculations!V16</f>
        <v>2510.0453470088696</v>
      </c>
      <c r="W7" s="119">
        <f>Calculations!W16</f>
        <v>2633.955710385379</v>
      </c>
      <c r="X7" s="119">
        <f>Calculations!X16</f>
        <v>2757.8660737618879</v>
      </c>
      <c r="Y7" s="119">
        <f>Calculations!Y16</f>
        <v>2935.1267324810606</v>
      </c>
      <c r="Z7" s="119">
        <f>Calculations!Z16</f>
        <v>3112.3873912002332</v>
      </c>
      <c r="AA7" s="119">
        <f>Calculations!AA16</f>
        <v>3289.6480499194063</v>
      </c>
      <c r="AB7" s="119">
        <f>Calculations!AB16</f>
        <v>3466.9087086385794</v>
      </c>
      <c r="AC7" s="119">
        <f>Calculations!AC16</f>
        <v>3644.1693673577524</v>
      </c>
      <c r="AD7" s="119">
        <f>Calculations!AD16</f>
        <v>3165.1654616009155</v>
      </c>
      <c r="AE7" s="119">
        <f>Calculations!AE16</f>
        <v>3165.1654616009155</v>
      </c>
      <c r="AF7" s="119">
        <f>Calculations!AF16</f>
        <v>3165.1654616009155</v>
      </c>
      <c r="AG7" s="119">
        <f>Calculations!AG16</f>
        <v>3165.1654616009155</v>
      </c>
      <c r="AH7" s="119">
        <f>Calculations!AH16</f>
        <v>0</v>
      </c>
      <c r="AI7" s="119">
        <f>Calculations!AI16</f>
        <v>0</v>
      </c>
      <c r="AJ7" s="119">
        <f>Calculations!AJ16</f>
        <v>0</v>
      </c>
      <c r="AK7" s="119">
        <f>Calculations!AK16</f>
        <v>0</v>
      </c>
      <c r="AL7" s="119">
        <f>Calculations!AL16</f>
        <v>0</v>
      </c>
      <c r="AM7" s="119">
        <f>Calculations!AM16</f>
        <v>0</v>
      </c>
      <c r="AN7" s="119">
        <f>Calculations!AN16</f>
        <v>0</v>
      </c>
      <c r="AO7" s="119">
        <f>Calculations!AO16</f>
        <v>0</v>
      </c>
      <c r="AP7" s="119">
        <f>Calculations!AP16</f>
        <v>0</v>
      </c>
      <c r="AQ7" s="119">
        <f>Calculations!AQ16</f>
        <v>0</v>
      </c>
      <c r="AR7" s="119">
        <f>Calculations!AR16</f>
        <v>0</v>
      </c>
      <c r="AS7" s="119">
        <f>Calculations!AS16</f>
        <v>0</v>
      </c>
      <c r="AT7" s="119">
        <f>Calculations!AT16</f>
        <v>0</v>
      </c>
      <c r="AU7" s="119">
        <f>Calculations!AU16</f>
        <v>0</v>
      </c>
      <c r="AV7" s="119">
        <f>Calculations!AV16</f>
        <v>0</v>
      </c>
      <c r="AW7" s="119">
        <f>Calculations!AW16</f>
        <v>0</v>
      </c>
      <c r="AX7" s="119">
        <f>Calculations!AX16</f>
        <v>0</v>
      </c>
      <c r="AY7" s="119">
        <f>Calculations!AY16</f>
        <v>0</v>
      </c>
      <c r="AZ7" s="119">
        <f>Calculations!AZ16</f>
        <v>0</v>
      </c>
      <c r="BA7" s="119">
        <f>Calculations!BA16</f>
        <v>0</v>
      </c>
      <c r="BB7" s="119">
        <f>Calculations!BB16</f>
        <v>0</v>
      </c>
    </row>
    <row r="8" spans="1:54">
      <c r="A8" s="1" t="s">
        <v>1308</v>
      </c>
      <c r="B8" s="119">
        <f t="shared" si="4"/>
        <v>8.3485110752726618E-6</v>
      </c>
      <c r="C8" s="119">
        <f t="shared" si="5"/>
        <v>8.3485110752726618E-6</v>
      </c>
      <c r="D8" s="119">
        <f t="shared" ref="D8:M9" si="6">$B$10</f>
        <v>8.3485110752726618E-6</v>
      </c>
      <c r="E8" s="119">
        <f t="shared" si="6"/>
        <v>8.3485110752726618E-6</v>
      </c>
      <c r="F8" s="119">
        <f t="shared" si="6"/>
        <v>8.3485110752726618E-6</v>
      </c>
      <c r="G8" s="119">
        <f t="shared" si="6"/>
        <v>8.3485110752726618E-6</v>
      </c>
      <c r="H8" s="119">
        <f t="shared" si="6"/>
        <v>8.3485110752726618E-6</v>
      </c>
      <c r="I8" s="119">
        <f t="shared" si="6"/>
        <v>8.3485110752726618E-6</v>
      </c>
      <c r="J8" s="119">
        <f t="shared" si="6"/>
        <v>8.3485110752726618E-6</v>
      </c>
      <c r="K8" s="119">
        <f t="shared" si="6"/>
        <v>8.3485110752726618E-6</v>
      </c>
      <c r="L8" s="119">
        <f t="shared" si="6"/>
        <v>8.3485110752726618E-6</v>
      </c>
      <c r="M8" s="119">
        <f t="shared" si="6"/>
        <v>8.3485110752726618E-6</v>
      </c>
      <c r="N8" s="119">
        <f t="shared" ref="N8:W9" si="7">$B$10</f>
        <v>8.3485110752726618E-6</v>
      </c>
      <c r="O8" s="119">
        <f t="shared" si="7"/>
        <v>8.3485110752726618E-6</v>
      </c>
      <c r="P8" s="119">
        <f t="shared" si="7"/>
        <v>8.3485110752726618E-6</v>
      </c>
      <c r="Q8" s="119">
        <f t="shared" si="7"/>
        <v>8.3485110752726618E-6</v>
      </c>
      <c r="R8" s="119">
        <f t="shared" si="7"/>
        <v>8.3485110752726618E-6</v>
      </c>
      <c r="S8" s="119">
        <f t="shared" si="7"/>
        <v>8.3485110752726618E-6</v>
      </c>
      <c r="T8" s="119">
        <f t="shared" si="7"/>
        <v>8.3485110752726618E-6</v>
      </c>
      <c r="U8" s="119">
        <f t="shared" si="7"/>
        <v>8.3485110752726618E-6</v>
      </c>
      <c r="V8" s="119">
        <f t="shared" si="7"/>
        <v>8.3485110752726618E-6</v>
      </c>
      <c r="W8" s="119">
        <f t="shared" si="7"/>
        <v>8.3485110752726618E-6</v>
      </c>
      <c r="X8" s="119">
        <f t="shared" ref="X8:AM9" si="8">$B$10</f>
        <v>8.3485110752726618E-6</v>
      </c>
      <c r="Y8" s="119">
        <f t="shared" si="8"/>
        <v>8.3485110752726618E-6</v>
      </c>
      <c r="Z8" s="119">
        <f t="shared" si="8"/>
        <v>8.3485110752726618E-6</v>
      </c>
      <c r="AA8" s="119">
        <f t="shared" si="8"/>
        <v>8.3485110752726618E-6</v>
      </c>
      <c r="AB8" s="119">
        <f t="shared" si="8"/>
        <v>8.3485110752726618E-6</v>
      </c>
      <c r="AC8" s="119">
        <f t="shared" si="8"/>
        <v>8.3485110752726618E-6</v>
      </c>
      <c r="AD8" s="119">
        <f t="shared" si="8"/>
        <v>8.3485110752726618E-6</v>
      </c>
      <c r="AE8" s="119">
        <f t="shared" si="8"/>
        <v>8.3485110752726618E-6</v>
      </c>
      <c r="AF8" s="119">
        <f t="shared" si="8"/>
        <v>8.3485110752726618E-6</v>
      </c>
      <c r="AG8" s="119">
        <f t="shared" si="8"/>
        <v>8.3485110752726618E-6</v>
      </c>
      <c r="AH8" s="119">
        <f t="shared" si="8"/>
        <v>8.3485110752726618E-6</v>
      </c>
      <c r="AI8" s="119">
        <f t="shared" si="8"/>
        <v>8.3485110752726618E-6</v>
      </c>
      <c r="AJ8" s="119">
        <f t="shared" si="8"/>
        <v>8.3485110752726618E-6</v>
      </c>
      <c r="AK8" s="119">
        <f t="shared" si="8"/>
        <v>8.3485110752726618E-6</v>
      </c>
      <c r="AL8" s="119">
        <f t="shared" si="8"/>
        <v>8.3485110752726618E-6</v>
      </c>
      <c r="AM8" s="119">
        <f t="shared" si="8"/>
        <v>8.3485110752726618E-6</v>
      </c>
      <c r="AN8" s="119">
        <f t="shared" ref="AH8:BB9" si="9">$B$10</f>
        <v>8.3485110752726618E-6</v>
      </c>
      <c r="AO8" s="119">
        <f t="shared" si="9"/>
        <v>8.3485110752726618E-6</v>
      </c>
      <c r="AP8" s="119">
        <f t="shared" si="9"/>
        <v>8.3485110752726618E-6</v>
      </c>
      <c r="AQ8" s="119">
        <f t="shared" si="9"/>
        <v>8.3485110752726618E-6</v>
      </c>
      <c r="AR8" s="119">
        <f t="shared" si="9"/>
        <v>8.3485110752726618E-6</v>
      </c>
      <c r="AS8" s="119">
        <f t="shared" si="9"/>
        <v>8.3485110752726618E-6</v>
      </c>
      <c r="AT8" s="119">
        <f t="shared" si="9"/>
        <v>8.3485110752726618E-6</v>
      </c>
      <c r="AU8" s="119">
        <f t="shared" si="9"/>
        <v>8.3485110752726618E-6</v>
      </c>
      <c r="AV8" s="119">
        <f t="shared" si="9"/>
        <v>8.3485110752726618E-6</v>
      </c>
      <c r="AW8" s="119">
        <f t="shared" si="9"/>
        <v>8.3485110752726618E-6</v>
      </c>
      <c r="AX8" s="119">
        <f t="shared" si="9"/>
        <v>8.3485110752726618E-6</v>
      </c>
      <c r="AY8" s="119">
        <f t="shared" si="9"/>
        <v>8.3485110752726618E-6</v>
      </c>
      <c r="AZ8" s="119">
        <f t="shared" si="9"/>
        <v>8.3485110752726618E-6</v>
      </c>
      <c r="BA8" s="119">
        <f t="shared" si="9"/>
        <v>8.3485110752726618E-6</v>
      </c>
      <c r="BB8" s="119">
        <f t="shared" si="9"/>
        <v>8.3485110752726618E-6</v>
      </c>
    </row>
    <row r="9" spans="1:54">
      <c r="A9" s="1" t="s">
        <v>1309</v>
      </c>
      <c r="B9" s="119">
        <f t="shared" si="4"/>
        <v>8.3485110752726618E-6</v>
      </c>
      <c r="C9" s="119">
        <f t="shared" si="5"/>
        <v>8.3485110752726618E-6</v>
      </c>
      <c r="D9" s="119">
        <f t="shared" si="6"/>
        <v>8.3485110752726618E-6</v>
      </c>
      <c r="E9" s="119">
        <f t="shared" si="6"/>
        <v>8.3485110752726618E-6</v>
      </c>
      <c r="F9" s="119">
        <f t="shared" si="6"/>
        <v>8.3485110752726618E-6</v>
      </c>
      <c r="G9" s="119">
        <f t="shared" si="6"/>
        <v>8.3485110752726618E-6</v>
      </c>
      <c r="H9" s="119">
        <f t="shared" si="6"/>
        <v>8.3485110752726618E-6</v>
      </c>
      <c r="I9" s="119">
        <f t="shared" si="6"/>
        <v>8.3485110752726618E-6</v>
      </c>
      <c r="J9" s="119">
        <f t="shared" si="6"/>
        <v>8.3485110752726618E-6</v>
      </c>
      <c r="K9" s="119">
        <f t="shared" si="6"/>
        <v>8.3485110752726618E-6</v>
      </c>
      <c r="L9" s="119">
        <f t="shared" si="6"/>
        <v>8.3485110752726618E-6</v>
      </c>
      <c r="M9" s="119">
        <f t="shared" si="6"/>
        <v>8.3485110752726618E-6</v>
      </c>
      <c r="N9" s="119">
        <f t="shared" si="7"/>
        <v>8.3485110752726618E-6</v>
      </c>
      <c r="O9" s="119">
        <f t="shared" si="7"/>
        <v>8.3485110752726618E-6</v>
      </c>
      <c r="P9" s="119">
        <f t="shared" si="7"/>
        <v>8.3485110752726618E-6</v>
      </c>
      <c r="Q9" s="119">
        <f t="shared" si="7"/>
        <v>8.3485110752726618E-6</v>
      </c>
      <c r="R9" s="119">
        <f t="shared" si="7"/>
        <v>8.3485110752726618E-6</v>
      </c>
      <c r="S9" s="119">
        <f t="shared" si="7"/>
        <v>8.3485110752726618E-6</v>
      </c>
      <c r="T9" s="119">
        <f t="shared" si="7"/>
        <v>8.3485110752726618E-6</v>
      </c>
      <c r="U9" s="119">
        <f t="shared" si="7"/>
        <v>8.3485110752726618E-6</v>
      </c>
      <c r="V9" s="119">
        <f t="shared" si="7"/>
        <v>8.3485110752726618E-6</v>
      </c>
      <c r="W9" s="119">
        <f t="shared" si="7"/>
        <v>8.3485110752726618E-6</v>
      </c>
      <c r="X9" s="119">
        <f t="shared" si="8"/>
        <v>8.3485110752726618E-6</v>
      </c>
      <c r="Y9" s="119">
        <f t="shared" si="8"/>
        <v>8.3485110752726618E-6</v>
      </c>
      <c r="Z9" s="119">
        <f t="shared" si="8"/>
        <v>8.3485110752726618E-6</v>
      </c>
      <c r="AA9" s="119">
        <f t="shared" si="8"/>
        <v>8.3485110752726618E-6</v>
      </c>
      <c r="AB9" s="119">
        <f t="shared" si="8"/>
        <v>8.3485110752726618E-6</v>
      </c>
      <c r="AC9" s="119">
        <f t="shared" si="8"/>
        <v>8.3485110752726618E-6</v>
      </c>
      <c r="AD9" s="119">
        <f t="shared" si="8"/>
        <v>8.3485110752726618E-6</v>
      </c>
      <c r="AE9" s="119">
        <f t="shared" si="8"/>
        <v>8.3485110752726618E-6</v>
      </c>
      <c r="AF9" s="119">
        <f t="shared" si="8"/>
        <v>8.3485110752726618E-6</v>
      </c>
      <c r="AG9" s="119">
        <f t="shared" si="8"/>
        <v>8.3485110752726618E-6</v>
      </c>
      <c r="AH9" s="119">
        <f t="shared" si="9"/>
        <v>8.3485110752726618E-6</v>
      </c>
      <c r="AI9" s="119">
        <f t="shared" si="9"/>
        <v>8.3485110752726618E-6</v>
      </c>
      <c r="AJ9" s="119">
        <f t="shared" si="9"/>
        <v>8.3485110752726618E-6</v>
      </c>
      <c r="AK9" s="119">
        <f t="shared" si="9"/>
        <v>8.3485110752726618E-6</v>
      </c>
      <c r="AL9" s="119">
        <f t="shared" si="9"/>
        <v>8.3485110752726618E-6</v>
      </c>
      <c r="AM9" s="119">
        <f t="shared" si="9"/>
        <v>8.3485110752726618E-6</v>
      </c>
      <c r="AN9" s="119">
        <f t="shared" si="9"/>
        <v>8.3485110752726618E-6</v>
      </c>
      <c r="AO9" s="119">
        <f t="shared" si="9"/>
        <v>8.3485110752726618E-6</v>
      </c>
      <c r="AP9" s="119">
        <f t="shared" si="9"/>
        <v>8.3485110752726618E-6</v>
      </c>
      <c r="AQ9" s="119">
        <f t="shared" si="9"/>
        <v>8.3485110752726618E-6</v>
      </c>
      <c r="AR9" s="119">
        <f t="shared" si="9"/>
        <v>8.3485110752726618E-6</v>
      </c>
      <c r="AS9" s="119">
        <f t="shared" si="9"/>
        <v>8.3485110752726618E-6</v>
      </c>
      <c r="AT9" s="119">
        <f t="shared" si="9"/>
        <v>8.3485110752726618E-6</v>
      </c>
      <c r="AU9" s="119">
        <f t="shared" si="9"/>
        <v>8.3485110752726618E-6</v>
      </c>
      <c r="AV9" s="119">
        <f t="shared" si="9"/>
        <v>8.3485110752726618E-6</v>
      </c>
      <c r="AW9" s="119">
        <f t="shared" si="9"/>
        <v>8.3485110752726618E-6</v>
      </c>
      <c r="AX9" s="119">
        <f t="shared" si="9"/>
        <v>8.3485110752726618E-6</v>
      </c>
      <c r="AY9" s="119">
        <f t="shared" si="9"/>
        <v>8.3485110752726618E-6</v>
      </c>
      <c r="AZ9" s="119">
        <f t="shared" si="9"/>
        <v>8.3485110752726618E-6</v>
      </c>
      <c r="BA9" s="119">
        <f t="shared" si="9"/>
        <v>8.3485110752726618E-6</v>
      </c>
      <c r="BB9" s="119">
        <f t="shared" si="9"/>
        <v>8.3485110752726618E-6</v>
      </c>
    </row>
    <row r="10" spans="1:54">
      <c r="A10" s="1" t="s">
        <v>1310</v>
      </c>
      <c r="B10" s="119">
        <f>Calculations!B17</f>
        <v>8.3485110752726618E-6</v>
      </c>
      <c r="C10" s="119">
        <f>Calculations!C17</f>
        <v>2.9006142775482555E-16</v>
      </c>
      <c r="D10" s="119">
        <f>Calculations!D17</f>
        <v>0</v>
      </c>
      <c r="E10" s="119">
        <f>Calculations!E17</f>
        <v>1419.2468827963521</v>
      </c>
      <c r="F10" s="119">
        <f>Calculations!F17</f>
        <v>161.2780548632218</v>
      </c>
      <c r="G10" s="119">
        <f>Calculations!G17</f>
        <v>-1096.6907730699086</v>
      </c>
      <c r="H10" s="119">
        <f>Calculations!H17</f>
        <v>-2354.6596010030389</v>
      </c>
      <c r="I10" s="119">
        <f>Calculations!I17</f>
        <v>-3612.6284289361693</v>
      </c>
      <c r="J10" s="119">
        <f>Calculations!J17</f>
        <v>-3482.8470294932945</v>
      </c>
      <c r="K10" s="119">
        <f>Calculations!K17</f>
        <v>-3353.0656300504193</v>
      </c>
      <c r="L10" s="119">
        <f>Calculations!L17</f>
        <v>-3223.284230607544</v>
      </c>
      <c r="M10" s="119">
        <f>Calculations!M17</f>
        <v>-3093.5028311646693</v>
      </c>
      <c r="N10" s="119">
        <f>Calculations!N17</f>
        <v>-2963.7214317217945</v>
      </c>
      <c r="O10" s="119">
        <f>Calculations!O17</f>
        <v>-2870.3698987892003</v>
      </c>
      <c r="P10" s="119">
        <f>Calculations!P17</f>
        <v>-2777.0183658566057</v>
      </c>
      <c r="Q10" s="119">
        <f>Calculations!Q17</f>
        <v>-2683.6668329240115</v>
      </c>
      <c r="R10" s="119">
        <f>Calculations!R17</f>
        <v>-2590.3152999914178</v>
      </c>
      <c r="S10" s="119">
        <f>Calculations!S17</f>
        <v>-2443.8368783979963</v>
      </c>
      <c r="T10" s="119">
        <f>Calculations!T17</f>
        <v>-2304.1890567752544</v>
      </c>
      <c r="U10" s="119">
        <f>Calculations!U17</f>
        <v>-2045.5370045522614</v>
      </c>
      <c r="V10" s="119">
        <f>Calculations!V17</f>
        <v>-1650.6372515808184</v>
      </c>
      <c r="W10" s="119">
        <f>Calculations!W17</f>
        <v>-1187.442883235884</v>
      </c>
      <c r="X10" s="119">
        <f>Calculations!X17</f>
        <v>-1745.5977702842829</v>
      </c>
      <c r="Y10" s="119">
        <f>Calculations!Y17</f>
        <v>-1337.2796831482208</v>
      </c>
      <c r="Z10" s="119">
        <f>Calculations!Z17</f>
        <v>-928.961596012158</v>
      </c>
      <c r="AA10" s="119">
        <f>Calculations!AA17</f>
        <v>-520.64350887609487</v>
      </c>
      <c r="AB10" s="119">
        <f>Calculations!AB17</f>
        <v>-112.32542174003243</v>
      </c>
      <c r="AC10" s="119">
        <f>Calculations!AC17</f>
        <v>295.99266539603047</v>
      </c>
      <c r="AD10" s="119">
        <f>Calculations!AD17</f>
        <v>733.65956373943845</v>
      </c>
      <c r="AE10" s="119">
        <f>Calculations!AE17</f>
        <v>733.65956373943845</v>
      </c>
      <c r="AF10" s="119">
        <f>Calculations!AF17</f>
        <v>733.65956373943845</v>
      </c>
      <c r="AG10" s="119">
        <f>Calculations!AG17</f>
        <v>733.65956373943845</v>
      </c>
      <c r="AH10" s="119">
        <f>Calculations!AH17</f>
        <v>0</v>
      </c>
      <c r="AI10" s="119">
        <f>Calculations!AI17</f>
        <v>0</v>
      </c>
      <c r="AJ10" s="119">
        <f>Calculations!AJ17</f>
        <v>0</v>
      </c>
      <c r="AK10" s="119">
        <f>Calculations!AK17</f>
        <v>0</v>
      </c>
      <c r="AL10" s="119">
        <f>Calculations!AL17</f>
        <v>0</v>
      </c>
      <c r="AM10" s="119">
        <f>Calculations!AM17</f>
        <v>0</v>
      </c>
      <c r="AN10" s="119">
        <f>Calculations!AN17</f>
        <v>0</v>
      </c>
      <c r="AO10" s="119">
        <f>Calculations!AO17</f>
        <v>0</v>
      </c>
      <c r="AP10" s="119">
        <f>Calculations!AP17</f>
        <v>0</v>
      </c>
      <c r="AQ10" s="119">
        <f>Calculations!AQ17</f>
        <v>0</v>
      </c>
      <c r="AR10" s="119">
        <f>Calculations!AR17</f>
        <v>0</v>
      </c>
      <c r="AS10" s="119">
        <f>Calculations!AS17</f>
        <v>0</v>
      </c>
      <c r="AT10" s="119">
        <f>Calculations!AT17</f>
        <v>0</v>
      </c>
      <c r="AU10" s="119">
        <f>Calculations!AU17</f>
        <v>0</v>
      </c>
      <c r="AV10" s="119">
        <f>Calculations!AV17</f>
        <v>0</v>
      </c>
      <c r="AW10" s="119">
        <f>Calculations!AW17</f>
        <v>0</v>
      </c>
      <c r="AX10" s="119">
        <f>Calculations!AX17</f>
        <v>0</v>
      </c>
      <c r="AY10" s="119">
        <f>Calculations!AY17</f>
        <v>0</v>
      </c>
      <c r="AZ10" s="119">
        <f>Calculations!AZ17</f>
        <v>0</v>
      </c>
      <c r="BA10" s="119">
        <f>Calculations!BA17</f>
        <v>0</v>
      </c>
      <c r="BB10" s="119">
        <f>Calculations!BB17</f>
        <v>0</v>
      </c>
    </row>
    <row r="11" spans="1:54">
      <c r="A11" s="1" t="s">
        <v>1311</v>
      </c>
      <c r="B11" s="119">
        <f>$B$10</f>
        <v>8.3485110752726618E-6</v>
      </c>
      <c r="C11" s="119">
        <f t="shared" ref="C11" si="10">$B$10</f>
        <v>8.3485110752726618E-6</v>
      </c>
      <c r="D11" s="119">
        <f t="shared" ref="D11:BB11" si="11">$B$10</f>
        <v>8.3485110752726618E-6</v>
      </c>
      <c r="E11" s="119">
        <f t="shared" si="11"/>
        <v>8.3485110752726618E-6</v>
      </c>
      <c r="F11" s="119">
        <f t="shared" si="11"/>
        <v>8.3485110752726618E-6</v>
      </c>
      <c r="G11" s="119">
        <f t="shared" si="11"/>
        <v>8.3485110752726618E-6</v>
      </c>
      <c r="H11" s="119">
        <f t="shared" si="11"/>
        <v>8.3485110752726618E-6</v>
      </c>
      <c r="I11" s="119">
        <f t="shared" si="11"/>
        <v>8.3485110752726618E-6</v>
      </c>
      <c r="J11" s="119">
        <f t="shared" si="11"/>
        <v>8.3485110752726618E-6</v>
      </c>
      <c r="K11" s="119">
        <f t="shared" si="11"/>
        <v>8.3485110752726618E-6</v>
      </c>
      <c r="L11" s="119">
        <f t="shared" si="11"/>
        <v>8.3485110752726618E-6</v>
      </c>
      <c r="M11" s="119">
        <f t="shared" si="11"/>
        <v>8.3485110752726618E-6</v>
      </c>
      <c r="N11" s="119">
        <f t="shared" si="11"/>
        <v>8.3485110752726618E-6</v>
      </c>
      <c r="O11" s="119">
        <f t="shared" si="11"/>
        <v>8.3485110752726618E-6</v>
      </c>
      <c r="P11" s="119">
        <f t="shared" si="11"/>
        <v>8.3485110752726618E-6</v>
      </c>
      <c r="Q11" s="119">
        <f t="shared" si="11"/>
        <v>8.3485110752726618E-6</v>
      </c>
      <c r="R11" s="119">
        <f t="shared" si="11"/>
        <v>8.3485110752726618E-6</v>
      </c>
      <c r="S11" s="119">
        <f t="shared" si="11"/>
        <v>8.3485110752726618E-6</v>
      </c>
      <c r="T11" s="119">
        <f t="shared" si="11"/>
        <v>8.3485110752726618E-6</v>
      </c>
      <c r="U11" s="119">
        <f t="shared" si="11"/>
        <v>8.3485110752726618E-6</v>
      </c>
      <c r="V11" s="119">
        <f t="shared" si="11"/>
        <v>8.3485110752726618E-6</v>
      </c>
      <c r="W11" s="119">
        <f t="shared" si="11"/>
        <v>8.3485110752726618E-6</v>
      </c>
      <c r="X11" s="119">
        <f t="shared" si="11"/>
        <v>8.3485110752726618E-6</v>
      </c>
      <c r="Y11" s="119">
        <f t="shared" si="11"/>
        <v>8.3485110752726618E-6</v>
      </c>
      <c r="Z11" s="119">
        <f t="shared" si="11"/>
        <v>8.3485110752726618E-6</v>
      </c>
      <c r="AA11" s="119">
        <f t="shared" si="11"/>
        <v>8.3485110752726618E-6</v>
      </c>
      <c r="AB11" s="119">
        <f t="shared" si="11"/>
        <v>8.3485110752726618E-6</v>
      </c>
      <c r="AC11" s="119">
        <f t="shared" si="11"/>
        <v>8.3485110752726618E-6</v>
      </c>
      <c r="AD11" s="119">
        <f t="shared" si="11"/>
        <v>8.3485110752726618E-6</v>
      </c>
      <c r="AE11" s="119">
        <f t="shared" si="11"/>
        <v>8.3485110752726618E-6</v>
      </c>
      <c r="AF11" s="119">
        <f t="shared" si="11"/>
        <v>8.3485110752726618E-6</v>
      </c>
      <c r="AG11" s="119">
        <f t="shared" si="11"/>
        <v>8.3485110752726618E-6</v>
      </c>
      <c r="AH11" s="119">
        <f t="shared" si="11"/>
        <v>8.3485110752726618E-6</v>
      </c>
      <c r="AI11" s="119">
        <f t="shared" si="11"/>
        <v>8.3485110752726618E-6</v>
      </c>
      <c r="AJ11" s="119">
        <f t="shared" si="11"/>
        <v>8.3485110752726618E-6</v>
      </c>
      <c r="AK11" s="119">
        <f t="shared" si="11"/>
        <v>8.3485110752726618E-6</v>
      </c>
      <c r="AL11" s="119">
        <f t="shared" si="11"/>
        <v>8.3485110752726618E-6</v>
      </c>
      <c r="AM11" s="119">
        <f t="shared" si="11"/>
        <v>8.3485110752726618E-6</v>
      </c>
      <c r="AN11" s="119">
        <f t="shared" si="11"/>
        <v>8.3485110752726618E-6</v>
      </c>
      <c r="AO11" s="119">
        <f t="shared" si="11"/>
        <v>8.3485110752726618E-6</v>
      </c>
      <c r="AP11" s="119">
        <f t="shared" si="11"/>
        <v>8.3485110752726618E-6</v>
      </c>
      <c r="AQ11" s="119">
        <f t="shared" si="11"/>
        <v>8.3485110752726618E-6</v>
      </c>
      <c r="AR11" s="119">
        <f t="shared" si="11"/>
        <v>8.3485110752726618E-6</v>
      </c>
      <c r="AS11" s="119">
        <f t="shared" si="11"/>
        <v>8.3485110752726618E-6</v>
      </c>
      <c r="AT11" s="119">
        <f t="shared" si="11"/>
        <v>8.3485110752726618E-6</v>
      </c>
      <c r="AU11" s="119">
        <f t="shared" si="11"/>
        <v>8.3485110752726618E-6</v>
      </c>
      <c r="AV11" s="119">
        <f t="shared" si="11"/>
        <v>8.3485110752726618E-6</v>
      </c>
      <c r="AW11" s="119">
        <f t="shared" si="11"/>
        <v>8.3485110752726618E-6</v>
      </c>
      <c r="AX11" s="119">
        <f t="shared" si="11"/>
        <v>8.3485110752726618E-6</v>
      </c>
      <c r="AY11" s="119">
        <f t="shared" si="11"/>
        <v>8.3485110752726618E-6</v>
      </c>
      <c r="AZ11" s="119">
        <f t="shared" si="11"/>
        <v>8.3485110752726618E-6</v>
      </c>
      <c r="BA11" s="119">
        <f t="shared" si="11"/>
        <v>8.3485110752726618E-6</v>
      </c>
      <c r="BB11" s="119">
        <f t="shared" si="11"/>
        <v>8.3485110752726618E-6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AY11"/>
  <sheetViews>
    <sheetView topLeftCell="P1" zoomScaleNormal="100" workbookViewId="0">
      <selection activeCell="B14" sqref="B14"/>
    </sheetView>
  </sheetViews>
  <sheetFormatPr defaultRowHeight="15"/>
  <cols>
    <col min="1" max="1" width="29.85546875" customWidth="1"/>
    <col min="2" max="31" width="10" customWidth="1"/>
    <col min="32" max="32" width="11.7109375" customWidth="1"/>
    <col min="33" max="33" width="12.85546875" customWidth="1"/>
  </cols>
  <sheetData>
    <row r="1" spans="1:51">
      <c r="A1" s="116" t="s">
        <v>1302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0</v>
      </c>
      <c r="AI2" s="119">
        <v>0</v>
      </c>
      <c r="AJ2" s="119">
        <v>0</v>
      </c>
      <c r="AK2" s="119">
        <v>0</v>
      </c>
      <c r="AL2" s="119">
        <v>0</v>
      </c>
      <c r="AM2" s="119">
        <v>0</v>
      </c>
      <c r="AN2" s="119">
        <v>0</v>
      </c>
      <c r="AO2" s="119">
        <v>0</v>
      </c>
      <c r="AP2" s="119">
        <v>0</v>
      </c>
      <c r="AQ2" s="119">
        <v>0</v>
      </c>
      <c r="AR2" s="119">
        <v>0</v>
      </c>
      <c r="AS2" s="119">
        <v>0</v>
      </c>
      <c r="AT2" s="119">
        <v>0</v>
      </c>
      <c r="AU2" s="119">
        <v>0</v>
      </c>
      <c r="AV2" s="119">
        <v>0</v>
      </c>
      <c r="AW2" s="119">
        <v>0</v>
      </c>
      <c r="AX2" s="119">
        <v>0</v>
      </c>
      <c r="AY2" s="119">
        <v>0</v>
      </c>
    </row>
    <row r="3" spans="1:51">
      <c r="A3" s="1" t="s">
        <v>1304</v>
      </c>
      <c r="B3" s="115">
        <v>0</v>
      </c>
      <c r="C3" s="115">
        <v>0</v>
      </c>
      <c r="D3" s="115">
        <v>0</v>
      </c>
      <c r="E3" s="115">
        <v>0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s="115">
        <v>0</v>
      </c>
      <c r="O3" s="115">
        <v>0</v>
      </c>
      <c r="P3" s="115">
        <v>0</v>
      </c>
      <c r="Q3" s="115">
        <v>0</v>
      </c>
      <c r="R3" s="115">
        <v>0</v>
      </c>
      <c r="S3" s="115">
        <v>0</v>
      </c>
      <c r="T3" s="115">
        <v>0</v>
      </c>
      <c r="U3" s="115">
        <v>0</v>
      </c>
      <c r="V3" s="115">
        <v>0</v>
      </c>
      <c r="W3" s="115">
        <v>0</v>
      </c>
      <c r="X3" s="115">
        <v>0</v>
      </c>
      <c r="Y3" s="115">
        <v>0</v>
      </c>
      <c r="Z3" s="115">
        <v>0</v>
      </c>
      <c r="AA3" s="115">
        <v>0</v>
      </c>
      <c r="AB3" s="115">
        <v>0</v>
      </c>
      <c r="AC3" s="115">
        <v>0</v>
      </c>
      <c r="AD3" s="115">
        <v>0</v>
      </c>
      <c r="AE3" s="115">
        <v>0</v>
      </c>
      <c r="AF3" s="115">
        <v>0</v>
      </c>
      <c r="AG3" s="115">
        <v>0</v>
      </c>
      <c r="AH3" s="115">
        <v>0</v>
      </c>
      <c r="AI3" s="115">
        <v>0</v>
      </c>
      <c r="AJ3" s="115">
        <v>0</v>
      </c>
      <c r="AK3" s="115">
        <v>0</v>
      </c>
      <c r="AL3" s="115">
        <v>0</v>
      </c>
      <c r="AM3" s="115">
        <v>0</v>
      </c>
      <c r="AN3" s="115">
        <v>0</v>
      </c>
      <c r="AO3" s="115">
        <v>0</v>
      </c>
      <c r="AP3" s="115">
        <v>0</v>
      </c>
      <c r="AQ3" s="115">
        <v>0</v>
      </c>
      <c r="AR3" s="115">
        <v>0</v>
      </c>
      <c r="AS3" s="115">
        <v>0</v>
      </c>
      <c r="AT3" s="115">
        <v>0</v>
      </c>
      <c r="AU3" s="115">
        <v>0</v>
      </c>
      <c r="AV3" s="115">
        <v>0</v>
      </c>
      <c r="AW3" s="115">
        <v>0</v>
      </c>
      <c r="AX3" s="115">
        <v>0</v>
      </c>
      <c r="AY3" s="115">
        <v>0</v>
      </c>
    </row>
    <row r="4" spans="1:51">
      <c r="A4" s="1" t="s">
        <v>671</v>
      </c>
      <c r="B4" s="115">
        <v>0</v>
      </c>
      <c r="C4" s="115">
        <v>0</v>
      </c>
      <c r="D4" s="115">
        <v>0</v>
      </c>
      <c r="E4" s="115">
        <v>0</v>
      </c>
      <c r="F4" s="115">
        <v>0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5">
        <v>0</v>
      </c>
      <c r="M4" s="115">
        <v>0</v>
      </c>
      <c r="N4" s="115">
        <v>0</v>
      </c>
      <c r="O4" s="115">
        <v>0</v>
      </c>
      <c r="P4" s="115">
        <v>0</v>
      </c>
      <c r="Q4" s="115">
        <v>0</v>
      </c>
      <c r="R4" s="115">
        <v>0</v>
      </c>
      <c r="S4" s="115">
        <v>0</v>
      </c>
      <c r="T4" s="115">
        <v>0</v>
      </c>
      <c r="U4" s="115">
        <v>0</v>
      </c>
      <c r="V4" s="115">
        <v>0</v>
      </c>
      <c r="W4" s="115">
        <v>0</v>
      </c>
      <c r="X4" s="115">
        <v>0</v>
      </c>
      <c r="Y4" s="115">
        <v>0</v>
      </c>
      <c r="Z4" s="115">
        <v>0</v>
      </c>
      <c r="AA4" s="115">
        <v>0</v>
      </c>
      <c r="AB4" s="115">
        <v>0</v>
      </c>
      <c r="AC4" s="115">
        <v>0</v>
      </c>
      <c r="AD4" s="115">
        <v>0</v>
      </c>
      <c r="AE4" s="115">
        <v>0</v>
      </c>
      <c r="AF4" s="115">
        <v>0</v>
      </c>
      <c r="AG4" s="115">
        <v>0</v>
      </c>
      <c r="AH4" s="115">
        <v>0</v>
      </c>
      <c r="AI4" s="115">
        <v>0</v>
      </c>
      <c r="AJ4" s="115">
        <v>0</v>
      </c>
      <c r="AK4" s="115">
        <v>0</v>
      </c>
      <c r="AL4" s="115">
        <v>0</v>
      </c>
      <c r="AM4" s="115">
        <v>0</v>
      </c>
      <c r="AN4" s="115">
        <v>0</v>
      </c>
      <c r="AO4" s="115">
        <v>0</v>
      </c>
      <c r="AP4" s="115">
        <v>0</v>
      </c>
      <c r="AQ4" s="115">
        <v>0</v>
      </c>
      <c r="AR4" s="115">
        <v>0</v>
      </c>
      <c r="AS4" s="115">
        <v>0</v>
      </c>
      <c r="AT4" s="115">
        <v>0</v>
      </c>
      <c r="AU4" s="115">
        <v>0</v>
      </c>
      <c r="AV4" s="115">
        <v>0</v>
      </c>
      <c r="AW4" s="115">
        <v>0</v>
      </c>
      <c r="AX4" s="115">
        <v>0</v>
      </c>
      <c r="AY4" s="115">
        <v>0</v>
      </c>
    </row>
    <row r="5" spans="1:51">
      <c r="A5" s="1" t="s">
        <v>1305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5">
        <v>0</v>
      </c>
      <c r="X5" s="115">
        <v>0</v>
      </c>
      <c r="Y5" s="115">
        <v>0</v>
      </c>
      <c r="Z5" s="115">
        <v>0</v>
      </c>
      <c r="AA5" s="115">
        <v>0</v>
      </c>
      <c r="AB5" s="115">
        <v>0</v>
      </c>
      <c r="AC5" s="115">
        <v>0</v>
      </c>
      <c r="AD5" s="115">
        <v>0</v>
      </c>
      <c r="AE5" s="115">
        <v>0</v>
      </c>
      <c r="AF5" s="115">
        <v>0</v>
      </c>
      <c r="AG5" s="115">
        <v>0</v>
      </c>
      <c r="AH5" s="115">
        <v>0</v>
      </c>
      <c r="AI5" s="115">
        <v>0</v>
      </c>
      <c r="AJ5" s="115">
        <v>0</v>
      </c>
      <c r="AK5" s="115">
        <v>0</v>
      </c>
      <c r="AL5" s="115">
        <v>0</v>
      </c>
      <c r="AM5" s="115">
        <v>0</v>
      </c>
      <c r="AN5" s="115">
        <v>0</v>
      </c>
      <c r="AO5" s="115">
        <v>0</v>
      </c>
      <c r="AP5" s="115">
        <v>0</v>
      </c>
      <c r="AQ5" s="115">
        <v>0</v>
      </c>
      <c r="AR5" s="115">
        <v>0</v>
      </c>
      <c r="AS5" s="115">
        <v>0</v>
      </c>
      <c r="AT5" s="115">
        <v>0</v>
      </c>
      <c r="AU5" s="115">
        <v>0</v>
      </c>
      <c r="AV5" s="115">
        <v>0</v>
      </c>
      <c r="AW5" s="115">
        <v>0</v>
      </c>
      <c r="AX5" s="115">
        <v>0</v>
      </c>
      <c r="AY5" s="115">
        <v>0</v>
      </c>
    </row>
    <row r="6" spans="1:51">
      <c r="A6" s="1" t="s">
        <v>1306</v>
      </c>
      <c r="B6" s="115">
        <v>0</v>
      </c>
      <c r="C6" s="115">
        <v>0</v>
      </c>
      <c r="D6" s="115">
        <v>0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115">
        <v>0</v>
      </c>
      <c r="N6" s="115">
        <v>0</v>
      </c>
      <c r="O6" s="115">
        <v>0</v>
      </c>
      <c r="P6" s="115">
        <v>0</v>
      </c>
      <c r="Q6" s="115">
        <v>0</v>
      </c>
      <c r="R6" s="115">
        <v>0</v>
      </c>
      <c r="S6" s="115">
        <v>0</v>
      </c>
      <c r="T6" s="115">
        <v>0</v>
      </c>
      <c r="U6" s="115">
        <v>0</v>
      </c>
      <c r="V6" s="115">
        <v>0</v>
      </c>
      <c r="W6" s="115">
        <v>0</v>
      </c>
      <c r="X6" s="115">
        <v>0</v>
      </c>
      <c r="Y6" s="115">
        <v>0</v>
      </c>
      <c r="Z6" s="115">
        <v>0</v>
      </c>
      <c r="AA6" s="115">
        <v>0</v>
      </c>
      <c r="AB6" s="115">
        <v>0</v>
      </c>
      <c r="AC6" s="115">
        <v>0</v>
      </c>
      <c r="AD6" s="115">
        <v>0</v>
      </c>
      <c r="AE6" s="115">
        <v>0</v>
      </c>
      <c r="AF6" s="115">
        <v>0</v>
      </c>
      <c r="AG6" s="115">
        <v>0</v>
      </c>
      <c r="AH6" s="115">
        <v>0</v>
      </c>
      <c r="AI6" s="115">
        <v>0</v>
      </c>
      <c r="AJ6" s="115">
        <v>0</v>
      </c>
      <c r="AK6" s="115">
        <v>0</v>
      </c>
      <c r="AL6" s="115">
        <v>0</v>
      </c>
      <c r="AM6" s="115">
        <v>0</v>
      </c>
      <c r="AN6" s="115">
        <v>0</v>
      </c>
      <c r="AO6" s="115">
        <v>0</v>
      </c>
      <c r="AP6" s="115">
        <v>0</v>
      </c>
      <c r="AQ6" s="115">
        <v>0</v>
      </c>
      <c r="AR6" s="115">
        <v>0</v>
      </c>
      <c r="AS6" s="115">
        <v>0</v>
      </c>
      <c r="AT6" s="115">
        <v>0</v>
      </c>
      <c r="AU6" s="115">
        <v>0</v>
      </c>
      <c r="AV6" s="115">
        <v>0</v>
      </c>
      <c r="AW6" s="115">
        <v>0</v>
      </c>
      <c r="AX6" s="115">
        <v>0</v>
      </c>
      <c r="AY6" s="115">
        <v>0</v>
      </c>
    </row>
    <row r="7" spans="1:51">
      <c r="A7" s="1" t="s">
        <v>1307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5">
        <v>0</v>
      </c>
      <c r="X7" s="115">
        <v>0</v>
      </c>
      <c r="Y7" s="115">
        <v>0</v>
      </c>
      <c r="Z7" s="115">
        <v>0</v>
      </c>
      <c r="AA7" s="115">
        <v>0</v>
      </c>
      <c r="AB7" s="115">
        <v>0</v>
      </c>
      <c r="AC7" s="115">
        <v>0</v>
      </c>
      <c r="AD7" s="115">
        <v>0</v>
      </c>
      <c r="AE7" s="115">
        <v>0</v>
      </c>
      <c r="AF7" s="115">
        <v>0</v>
      </c>
      <c r="AG7" s="115">
        <v>0</v>
      </c>
      <c r="AH7" s="115">
        <v>0</v>
      </c>
      <c r="AI7" s="115">
        <v>0</v>
      </c>
      <c r="AJ7" s="115">
        <v>0</v>
      </c>
      <c r="AK7" s="115">
        <v>0</v>
      </c>
      <c r="AL7" s="115">
        <v>0</v>
      </c>
      <c r="AM7" s="115">
        <v>0</v>
      </c>
      <c r="AN7" s="115">
        <v>0</v>
      </c>
      <c r="AO7" s="115">
        <v>0</v>
      </c>
      <c r="AP7" s="115">
        <v>0</v>
      </c>
      <c r="AQ7" s="115">
        <v>0</v>
      </c>
      <c r="AR7" s="115">
        <v>0</v>
      </c>
      <c r="AS7" s="115">
        <v>0</v>
      </c>
      <c r="AT7" s="115">
        <v>0</v>
      </c>
      <c r="AU7" s="115">
        <v>0</v>
      </c>
      <c r="AV7" s="115">
        <v>0</v>
      </c>
      <c r="AW7" s="115">
        <v>0</v>
      </c>
      <c r="AX7" s="115">
        <v>0</v>
      </c>
      <c r="AY7" s="115">
        <v>0</v>
      </c>
    </row>
    <row r="8" spans="1:51">
      <c r="A8" s="1" t="s">
        <v>1308</v>
      </c>
      <c r="B8" s="115">
        <v>0</v>
      </c>
      <c r="C8" s="115">
        <v>0</v>
      </c>
      <c r="D8" s="115">
        <v>0</v>
      </c>
      <c r="E8" s="115">
        <v>0</v>
      </c>
      <c r="F8" s="115">
        <v>0</v>
      </c>
      <c r="G8" s="115">
        <v>0</v>
      </c>
      <c r="H8" s="115">
        <v>0</v>
      </c>
      <c r="I8" s="115">
        <v>0</v>
      </c>
      <c r="J8" s="115">
        <v>0</v>
      </c>
      <c r="K8" s="115">
        <v>0</v>
      </c>
      <c r="L8" s="115">
        <v>0</v>
      </c>
      <c r="M8" s="115">
        <v>0</v>
      </c>
      <c r="N8" s="115">
        <v>0</v>
      </c>
      <c r="O8" s="115">
        <v>0</v>
      </c>
      <c r="P8" s="115">
        <v>0</v>
      </c>
      <c r="Q8" s="115">
        <v>0</v>
      </c>
      <c r="R8" s="115">
        <v>0</v>
      </c>
      <c r="S8" s="115">
        <v>0</v>
      </c>
      <c r="T8" s="115">
        <v>0</v>
      </c>
      <c r="U8" s="115">
        <v>0</v>
      </c>
      <c r="V8" s="115">
        <v>0</v>
      </c>
      <c r="W8" s="115">
        <v>0</v>
      </c>
      <c r="X8" s="115">
        <v>0</v>
      </c>
      <c r="Y8" s="115">
        <v>0</v>
      </c>
      <c r="Z8" s="115">
        <v>0</v>
      </c>
      <c r="AA8" s="115">
        <v>0</v>
      </c>
      <c r="AB8" s="115">
        <v>0</v>
      </c>
      <c r="AC8" s="115">
        <v>0</v>
      </c>
      <c r="AD8" s="115">
        <v>0</v>
      </c>
      <c r="AE8" s="115">
        <v>0</v>
      </c>
      <c r="AF8" s="115">
        <v>0</v>
      </c>
      <c r="AG8" s="115">
        <v>0</v>
      </c>
      <c r="AH8" s="115">
        <v>0</v>
      </c>
      <c r="AI8" s="115">
        <v>0</v>
      </c>
      <c r="AJ8" s="115">
        <v>0</v>
      </c>
      <c r="AK8" s="115">
        <v>0</v>
      </c>
      <c r="AL8" s="115">
        <v>0</v>
      </c>
      <c r="AM8" s="115">
        <v>0</v>
      </c>
      <c r="AN8" s="115">
        <v>0</v>
      </c>
      <c r="AO8" s="115">
        <v>0</v>
      </c>
      <c r="AP8" s="115">
        <v>0</v>
      </c>
      <c r="AQ8" s="115">
        <v>0</v>
      </c>
      <c r="AR8" s="115">
        <v>0</v>
      </c>
      <c r="AS8" s="115">
        <v>0</v>
      </c>
      <c r="AT8" s="115">
        <v>0</v>
      </c>
      <c r="AU8" s="115">
        <v>0</v>
      </c>
      <c r="AV8" s="115">
        <v>0</v>
      </c>
      <c r="AW8" s="115">
        <v>0</v>
      </c>
      <c r="AX8" s="115">
        <v>0</v>
      </c>
      <c r="AY8" s="115">
        <v>0</v>
      </c>
    </row>
    <row r="9" spans="1:51">
      <c r="A9" s="1" t="s">
        <v>1309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0</v>
      </c>
      <c r="AL9" s="115">
        <v>0</v>
      </c>
      <c r="AM9" s="115">
        <v>0</v>
      </c>
      <c r="AN9" s="115">
        <v>0</v>
      </c>
      <c r="AO9" s="115">
        <v>0</v>
      </c>
      <c r="AP9" s="115">
        <v>0</v>
      </c>
      <c r="AQ9" s="115">
        <v>0</v>
      </c>
      <c r="AR9" s="115">
        <v>0</v>
      </c>
      <c r="AS9" s="115">
        <v>0</v>
      </c>
      <c r="AT9" s="115">
        <v>0</v>
      </c>
      <c r="AU9" s="115">
        <v>0</v>
      </c>
      <c r="AV9" s="115">
        <v>0</v>
      </c>
      <c r="AW9" s="115">
        <v>0</v>
      </c>
      <c r="AX9" s="115">
        <v>0</v>
      </c>
      <c r="AY9" s="115">
        <v>0</v>
      </c>
    </row>
    <row r="10" spans="1:51">
      <c r="A10" s="1" t="s">
        <v>1310</v>
      </c>
      <c r="B10" s="115">
        <v>0</v>
      </c>
      <c r="C10" s="115">
        <v>0</v>
      </c>
      <c r="D10" s="115"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  <c r="AS10" s="115">
        <v>0</v>
      </c>
      <c r="AT10" s="115">
        <v>0</v>
      </c>
      <c r="AU10" s="115">
        <v>0</v>
      </c>
      <c r="AV10" s="115">
        <v>0</v>
      </c>
      <c r="AW10" s="115">
        <v>0</v>
      </c>
      <c r="AX10" s="115">
        <v>0</v>
      </c>
      <c r="AY10" s="115">
        <v>0</v>
      </c>
    </row>
    <row r="11" spans="1:51">
      <c r="A11" s="1" t="s">
        <v>1311</v>
      </c>
      <c r="B11" s="115">
        <v>0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  <c r="AX11" s="115">
        <v>0</v>
      </c>
      <c r="AY11" s="11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AY11"/>
  <sheetViews>
    <sheetView topLeftCell="BB1" zoomScaleNormal="100" workbookViewId="0">
      <selection activeCell="AE2" sqref="AE2"/>
    </sheetView>
  </sheetViews>
  <sheetFormatPr defaultRowHeight="15"/>
  <cols>
    <col min="1" max="1" width="29.85546875" customWidth="1"/>
    <col min="2" max="31" width="10" customWidth="1"/>
  </cols>
  <sheetData>
    <row r="1" spans="1:51">
      <c r="A1" s="116" t="s">
        <v>1302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0</v>
      </c>
      <c r="AI2" s="119">
        <v>0</v>
      </c>
      <c r="AJ2" s="119">
        <v>0</v>
      </c>
      <c r="AK2" s="119">
        <v>0</v>
      </c>
      <c r="AL2" s="119">
        <v>0</v>
      </c>
      <c r="AM2" s="119">
        <v>0</v>
      </c>
      <c r="AN2" s="119">
        <v>0</v>
      </c>
      <c r="AO2" s="119">
        <v>0</v>
      </c>
      <c r="AP2" s="119">
        <v>0</v>
      </c>
      <c r="AQ2" s="119">
        <v>0</v>
      </c>
      <c r="AR2" s="119">
        <v>0</v>
      </c>
      <c r="AS2" s="119">
        <v>0</v>
      </c>
      <c r="AT2" s="119">
        <v>0</v>
      </c>
      <c r="AU2" s="119">
        <v>0</v>
      </c>
      <c r="AV2" s="119">
        <v>0</v>
      </c>
      <c r="AW2" s="119">
        <v>0</v>
      </c>
      <c r="AX2" s="119">
        <v>0</v>
      </c>
      <c r="AY2" s="119">
        <v>0</v>
      </c>
    </row>
    <row r="3" spans="1:51">
      <c r="A3" s="1" t="s">
        <v>1304</v>
      </c>
      <c r="B3" s="115">
        <v>0</v>
      </c>
      <c r="C3" s="115">
        <v>0</v>
      </c>
      <c r="D3" s="115">
        <v>0</v>
      </c>
      <c r="E3" s="115">
        <v>0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s="115">
        <v>0</v>
      </c>
      <c r="O3" s="115">
        <v>0</v>
      </c>
      <c r="P3" s="115">
        <v>0</v>
      </c>
      <c r="Q3" s="115">
        <v>0</v>
      </c>
      <c r="R3" s="115">
        <v>0</v>
      </c>
      <c r="S3" s="115">
        <v>0</v>
      </c>
      <c r="T3" s="115">
        <v>0</v>
      </c>
      <c r="U3" s="115">
        <v>0</v>
      </c>
      <c r="V3" s="115">
        <v>0</v>
      </c>
      <c r="W3" s="115">
        <v>0</v>
      </c>
      <c r="X3" s="115">
        <v>0</v>
      </c>
      <c r="Y3" s="115">
        <v>0</v>
      </c>
      <c r="Z3" s="115">
        <v>0</v>
      </c>
      <c r="AA3" s="115">
        <v>0</v>
      </c>
      <c r="AB3" s="115">
        <v>0</v>
      </c>
      <c r="AC3" s="115">
        <v>0</v>
      </c>
      <c r="AD3" s="115">
        <v>0</v>
      </c>
      <c r="AE3" s="115">
        <v>0</v>
      </c>
      <c r="AF3" s="115">
        <v>0</v>
      </c>
      <c r="AG3" s="115">
        <v>0</v>
      </c>
      <c r="AH3" s="115">
        <v>0</v>
      </c>
      <c r="AI3" s="115">
        <v>0</v>
      </c>
      <c r="AJ3" s="115">
        <v>0</v>
      </c>
      <c r="AK3" s="115">
        <v>0</v>
      </c>
      <c r="AL3" s="115">
        <v>0</v>
      </c>
      <c r="AM3" s="115">
        <v>0</v>
      </c>
      <c r="AN3" s="115">
        <v>0</v>
      </c>
      <c r="AO3" s="115">
        <v>0</v>
      </c>
      <c r="AP3" s="115">
        <v>0</v>
      </c>
      <c r="AQ3" s="115">
        <v>0</v>
      </c>
      <c r="AR3" s="115">
        <v>0</v>
      </c>
      <c r="AS3" s="115">
        <v>0</v>
      </c>
      <c r="AT3" s="115">
        <v>0</v>
      </c>
      <c r="AU3" s="115">
        <v>0</v>
      </c>
      <c r="AV3" s="115">
        <v>0</v>
      </c>
      <c r="AW3" s="115">
        <v>0</v>
      </c>
      <c r="AX3" s="115">
        <v>0</v>
      </c>
      <c r="AY3" s="115">
        <v>0</v>
      </c>
    </row>
    <row r="4" spans="1:51">
      <c r="A4" s="1" t="s">
        <v>671</v>
      </c>
      <c r="B4" s="115">
        <v>0</v>
      </c>
      <c r="C4" s="115">
        <v>0</v>
      </c>
      <c r="D4" s="115">
        <v>0</v>
      </c>
      <c r="E4" s="115">
        <v>0</v>
      </c>
      <c r="F4" s="115">
        <v>0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5">
        <v>0</v>
      </c>
      <c r="M4" s="115">
        <v>0</v>
      </c>
      <c r="N4" s="115">
        <v>0</v>
      </c>
      <c r="O4" s="115">
        <v>0</v>
      </c>
      <c r="P4" s="115">
        <v>0</v>
      </c>
      <c r="Q4" s="115">
        <v>0</v>
      </c>
      <c r="R4" s="115">
        <v>0</v>
      </c>
      <c r="S4" s="115">
        <v>0</v>
      </c>
      <c r="T4" s="115">
        <v>0</v>
      </c>
      <c r="U4" s="115">
        <v>0</v>
      </c>
      <c r="V4" s="115">
        <v>0</v>
      </c>
      <c r="W4" s="115">
        <v>0</v>
      </c>
      <c r="X4" s="115">
        <v>0</v>
      </c>
      <c r="Y4" s="115">
        <v>0</v>
      </c>
      <c r="Z4" s="115">
        <v>0</v>
      </c>
      <c r="AA4" s="115">
        <v>0</v>
      </c>
      <c r="AB4" s="115">
        <v>0</v>
      </c>
      <c r="AC4" s="115">
        <v>0</v>
      </c>
      <c r="AD4" s="115">
        <v>0</v>
      </c>
      <c r="AE4" s="115">
        <v>0</v>
      </c>
      <c r="AF4" s="115">
        <v>0</v>
      </c>
      <c r="AG4" s="115">
        <v>0</v>
      </c>
      <c r="AH4" s="115">
        <v>0</v>
      </c>
      <c r="AI4" s="115">
        <v>0</v>
      </c>
      <c r="AJ4" s="115">
        <v>0</v>
      </c>
      <c r="AK4" s="115">
        <v>0</v>
      </c>
      <c r="AL4" s="115">
        <v>0</v>
      </c>
      <c r="AM4" s="115">
        <v>0</v>
      </c>
      <c r="AN4" s="115">
        <v>0</v>
      </c>
      <c r="AO4" s="115">
        <v>0</v>
      </c>
      <c r="AP4" s="115">
        <v>0</v>
      </c>
      <c r="AQ4" s="115">
        <v>0</v>
      </c>
      <c r="AR4" s="115">
        <v>0</v>
      </c>
      <c r="AS4" s="115">
        <v>0</v>
      </c>
      <c r="AT4" s="115">
        <v>0</v>
      </c>
      <c r="AU4" s="115">
        <v>0</v>
      </c>
      <c r="AV4" s="115">
        <v>0</v>
      </c>
      <c r="AW4" s="115">
        <v>0</v>
      </c>
      <c r="AX4" s="115">
        <v>0</v>
      </c>
      <c r="AY4" s="115">
        <v>0</v>
      </c>
    </row>
    <row r="5" spans="1:51">
      <c r="A5" s="1" t="s">
        <v>1305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5">
        <v>0</v>
      </c>
      <c r="X5" s="115">
        <v>0</v>
      </c>
      <c r="Y5" s="115">
        <v>0</v>
      </c>
      <c r="Z5" s="115">
        <v>0</v>
      </c>
      <c r="AA5" s="115">
        <v>0</v>
      </c>
      <c r="AB5" s="115">
        <v>0</v>
      </c>
      <c r="AC5" s="115">
        <v>0</v>
      </c>
      <c r="AD5" s="115">
        <v>0</v>
      </c>
      <c r="AE5" s="115">
        <v>0</v>
      </c>
      <c r="AF5" s="115">
        <v>0</v>
      </c>
      <c r="AG5" s="115">
        <v>0</v>
      </c>
      <c r="AH5" s="115">
        <v>0</v>
      </c>
      <c r="AI5" s="115">
        <v>0</v>
      </c>
      <c r="AJ5" s="115">
        <v>0</v>
      </c>
      <c r="AK5" s="115">
        <v>0</v>
      </c>
      <c r="AL5" s="115">
        <v>0</v>
      </c>
      <c r="AM5" s="115">
        <v>0</v>
      </c>
      <c r="AN5" s="115">
        <v>0</v>
      </c>
      <c r="AO5" s="115">
        <v>0</v>
      </c>
      <c r="AP5" s="115">
        <v>0</v>
      </c>
      <c r="AQ5" s="115">
        <v>0</v>
      </c>
      <c r="AR5" s="115">
        <v>0</v>
      </c>
      <c r="AS5" s="115">
        <v>0</v>
      </c>
      <c r="AT5" s="115">
        <v>0</v>
      </c>
      <c r="AU5" s="115">
        <v>0</v>
      </c>
      <c r="AV5" s="115">
        <v>0</v>
      </c>
      <c r="AW5" s="115">
        <v>0</v>
      </c>
      <c r="AX5" s="115">
        <v>0</v>
      </c>
      <c r="AY5" s="115">
        <v>0</v>
      </c>
    </row>
    <row r="6" spans="1:51">
      <c r="A6" s="1" t="s">
        <v>1306</v>
      </c>
      <c r="B6" s="115">
        <v>0</v>
      </c>
      <c r="C6" s="115">
        <v>0</v>
      </c>
      <c r="D6" s="115">
        <v>0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115">
        <v>0</v>
      </c>
      <c r="N6" s="115">
        <v>0</v>
      </c>
      <c r="O6" s="115">
        <v>0</v>
      </c>
      <c r="P6" s="115">
        <v>0</v>
      </c>
      <c r="Q6" s="115">
        <v>0</v>
      </c>
      <c r="R6" s="115">
        <v>0</v>
      </c>
      <c r="S6" s="115">
        <v>0</v>
      </c>
      <c r="T6" s="115">
        <v>0</v>
      </c>
      <c r="U6" s="115">
        <v>0</v>
      </c>
      <c r="V6" s="115">
        <v>0</v>
      </c>
      <c r="W6" s="115">
        <v>0</v>
      </c>
      <c r="X6" s="115">
        <v>0</v>
      </c>
      <c r="Y6" s="115">
        <v>0</v>
      </c>
      <c r="Z6" s="115">
        <v>0</v>
      </c>
      <c r="AA6" s="115">
        <v>0</v>
      </c>
      <c r="AB6" s="115">
        <v>0</v>
      </c>
      <c r="AC6" s="115">
        <v>0</v>
      </c>
      <c r="AD6" s="115">
        <v>0</v>
      </c>
      <c r="AE6" s="115">
        <v>0</v>
      </c>
      <c r="AF6" s="115">
        <v>0</v>
      </c>
      <c r="AG6" s="115">
        <v>0</v>
      </c>
      <c r="AH6" s="115">
        <v>0</v>
      </c>
      <c r="AI6" s="115">
        <v>0</v>
      </c>
      <c r="AJ6" s="115">
        <v>0</v>
      </c>
      <c r="AK6" s="115">
        <v>0</v>
      </c>
      <c r="AL6" s="115">
        <v>0</v>
      </c>
      <c r="AM6" s="115">
        <v>0</v>
      </c>
      <c r="AN6" s="115">
        <v>0</v>
      </c>
      <c r="AO6" s="115">
        <v>0</v>
      </c>
      <c r="AP6" s="115">
        <v>0</v>
      </c>
      <c r="AQ6" s="115">
        <v>0</v>
      </c>
      <c r="AR6" s="115">
        <v>0</v>
      </c>
      <c r="AS6" s="115">
        <v>0</v>
      </c>
      <c r="AT6" s="115">
        <v>0</v>
      </c>
      <c r="AU6" s="115">
        <v>0</v>
      </c>
      <c r="AV6" s="115">
        <v>0</v>
      </c>
      <c r="AW6" s="115">
        <v>0</v>
      </c>
      <c r="AX6" s="115">
        <v>0</v>
      </c>
      <c r="AY6" s="115">
        <v>0</v>
      </c>
    </row>
    <row r="7" spans="1:51">
      <c r="A7" s="1" t="s">
        <v>1307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5">
        <v>0</v>
      </c>
      <c r="X7" s="115">
        <v>0</v>
      </c>
      <c r="Y7" s="115">
        <v>0</v>
      </c>
      <c r="Z7" s="115">
        <v>0</v>
      </c>
      <c r="AA7" s="115">
        <v>0</v>
      </c>
      <c r="AB7" s="115">
        <v>0</v>
      </c>
      <c r="AC7" s="115">
        <v>0</v>
      </c>
      <c r="AD7" s="115">
        <v>0</v>
      </c>
      <c r="AE7" s="115">
        <v>0</v>
      </c>
      <c r="AF7" s="115">
        <v>0</v>
      </c>
      <c r="AG7" s="115">
        <v>0</v>
      </c>
      <c r="AH7" s="115">
        <v>0</v>
      </c>
      <c r="AI7" s="115">
        <v>0</v>
      </c>
      <c r="AJ7" s="115">
        <v>0</v>
      </c>
      <c r="AK7" s="115">
        <v>0</v>
      </c>
      <c r="AL7" s="115">
        <v>0</v>
      </c>
      <c r="AM7" s="115">
        <v>0</v>
      </c>
      <c r="AN7" s="115">
        <v>0</v>
      </c>
      <c r="AO7" s="115">
        <v>0</v>
      </c>
      <c r="AP7" s="115">
        <v>0</v>
      </c>
      <c r="AQ7" s="115">
        <v>0</v>
      </c>
      <c r="AR7" s="115">
        <v>0</v>
      </c>
      <c r="AS7" s="115">
        <v>0</v>
      </c>
      <c r="AT7" s="115">
        <v>0</v>
      </c>
      <c r="AU7" s="115">
        <v>0</v>
      </c>
      <c r="AV7" s="115">
        <v>0</v>
      </c>
      <c r="AW7" s="115">
        <v>0</v>
      </c>
      <c r="AX7" s="115">
        <v>0</v>
      </c>
      <c r="AY7" s="115">
        <v>0</v>
      </c>
    </row>
    <row r="8" spans="1:51">
      <c r="A8" s="1" t="s">
        <v>1308</v>
      </c>
      <c r="B8" s="115">
        <v>0</v>
      </c>
      <c r="C8" s="115">
        <v>0</v>
      </c>
      <c r="D8" s="115">
        <v>0</v>
      </c>
      <c r="E8" s="115">
        <v>0</v>
      </c>
      <c r="F8" s="115">
        <v>0</v>
      </c>
      <c r="G8" s="115">
        <v>0</v>
      </c>
      <c r="H8" s="115">
        <v>0</v>
      </c>
      <c r="I8" s="115">
        <v>0</v>
      </c>
      <c r="J8" s="115">
        <v>0</v>
      </c>
      <c r="K8" s="115">
        <v>0</v>
      </c>
      <c r="L8" s="115">
        <v>0</v>
      </c>
      <c r="M8" s="115">
        <v>0</v>
      </c>
      <c r="N8" s="115">
        <v>0</v>
      </c>
      <c r="O8" s="115">
        <v>0</v>
      </c>
      <c r="P8" s="115">
        <v>0</v>
      </c>
      <c r="Q8" s="115">
        <v>0</v>
      </c>
      <c r="R8" s="115">
        <v>0</v>
      </c>
      <c r="S8" s="115">
        <v>0</v>
      </c>
      <c r="T8" s="115">
        <v>0</v>
      </c>
      <c r="U8" s="115">
        <v>0</v>
      </c>
      <c r="V8" s="115">
        <v>0</v>
      </c>
      <c r="W8" s="115">
        <v>0</v>
      </c>
      <c r="X8" s="115">
        <v>0</v>
      </c>
      <c r="Y8" s="115">
        <v>0</v>
      </c>
      <c r="Z8" s="115">
        <v>0</v>
      </c>
      <c r="AA8" s="115">
        <v>0</v>
      </c>
      <c r="AB8" s="115">
        <v>0</v>
      </c>
      <c r="AC8" s="115">
        <v>0</v>
      </c>
      <c r="AD8" s="115">
        <v>0</v>
      </c>
      <c r="AE8" s="115">
        <v>0</v>
      </c>
      <c r="AF8" s="115">
        <v>0</v>
      </c>
      <c r="AG8" s="115">
        <v>0</v>
      </c>
      <c r="AH8" s="115">
        <v>0</v>
      </c>
      <c r="AI8" s="115">
        <v>0</v>
      </c>
      <c r="AJ8" s="115">
        <v>0</v>
      </c>
      <c r="AK8" s="115">
        <v>0</v>
      </c>
      <c r="AL8" s="115">
        <v>0</v>
      </c>
      <c r="AM8" s="115">
        <v>0</v>
      </c>
      <c r="AN8" s="115">
        <v>0</v>
      </c>
      <c r="AO8" s="115">
        <v>0</v>
      </c>
      <c r="AP8" s="115">
        <v>0</v>
      </c>
      <c r="AQ8" s="115">
        <v>0</v>
      </c>
      <c r="AR8" s="115">
        <v>0</v>
      </c>
      <c r="AS8" s="115">
        <v>0</v>
      </c>
      <c r="AT8" s="115">
        <v>0</v>
      </c>
      <c r="AU8" s="115">
        <v>0</v>
      </c>
      <c r="AV8" s="115">
        <v>0</v>
      </c>
      <c r="AW8" s="115">
        <v>0</v>
      </c>
      <c r="AX8" s="115">
        <v>0</v>
      </c>
      <c r="AY8" s="115">
        <v>0</v>
      </c>
    </row>
    <row r="9" spans="1:51">
      <c r="A9" s="1" t="s">
        <v>1309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0</v>
      </c>
      <c r="AL9" s="115">
        <v>0</v>
      </c>
      <c r="AM9" s="115">
        <v>0</v>
      </c>
      <c r="AN9" s="115">
        <v>0</v>
      </c>
      <c r="AO9" s="115">
        <v>0</v>
      </c>
      <c r="AP9" s="115">
        <v>0</v>
      </c>
      <c r="AQ9" s="115">
        <v>0</v>
      </c>
      <c r="AR9" s="115">
        <v>0</v>
      </c>
      <c r="AS9" s="115">
        <v>0</v>
      </c>
      <c r="AT9" s="115">
        <v>0</v>
      </c>
      <c r="AU9" s="115">
        <v>0</v>
      </c>
      <c r="AV9" s="115">
        <v>0</v>
      </c>
      <c r="AW9" s="115">
        <v>0</v>
      </c>
      <c r="AX9" s="115">
        <v>0</v>
      </c>
      <c r="AY9" s="115">
        <v>0</v>
      </c>
    </row>
    <row r="10" spans="1:51">
      <c r="A10" s="1" t="s">
        <v>1310</v>
      </c>
      <c r="B10" s="115">
        <v>0</v>
      </c>
      <c r="C10" s="115">
        <v>0</v>
      </c>
      <c r="D10" s="115"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  <c r="AS10" s="115">
        <v>0</v>
      </c>
      <c r="AT10" s="115">
        <v>0</v>
      </c>
      <c r="AU10" s="115">
        <v>0</v>
      </c>
      <c r="AV10" s="115">
        <v>0</v>
      </c>
      <c r="AW10" s="115">
        <v>0</v>
      </c>
      <c r="AX10" s="115">
        <v>0</v>
      </c>
      <c r="AY10" s="115">
        <v>0</v>
      </c>
    </row>
    <row r="11" spans="1:51">
      <c r="A11" s="1" t="s">
        <v>1311</v>
      </c>
      <c r="B11" s="115">
        <v>0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  <c r="AX11" s="115">
        <v>0</v>
      </c>
      <c r="AY11" s="11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BA11"/>
  <sheetViews>
    <sheetView tabSelected="1" topLeftCell="AU1" zoomScaleNormal="100" workbookViewId="0">
      <selection activeCell="AE2" sqref="AE2:BA11"/>
    </sheetView>
  </sheetViews>
  <sheetFormatPr defaultRowHeight="15"/>
  <cols>
    <col min="1" max="1" width="29.85546875" customWidth="1"/>
    <col min="2" max="31" width="10" customWidth="1"/>
  </cols>
  <sheetData>
    <row r="1" spans="1:53">
      <c r="A1" s="116" t="s">
        <v>1302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  <c r="BA1">
        <v>2070</v>
      </c>
    </row>
    <row r="2" spans="1:53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1</v>
      </c>
      <c r="AG2" s="119">
        <v>2</v>
      </c>
      <c r="AH2" s="119">
        <v>3</v>
      </c>
      <c r="AI2" s="119">
        <v>4</v>
      </c>
      <c r="AJ2" s="119">
        <v>5</v>
      </c>
      <c r="AK2" s="119">
        <v>6</v>
      </c>
      <c r="AL2" s="119">
        <v>7</v>
      </c>
      <c r="AM2" s="119">
        <v>8</v>
      </c>
      <c r="AN2" s="119">
        <v>9</v>
      </c>
      <c r="AO2" s="119">
        <v>10</v>
      </c>
      <c r="AP2" s="119">
        <v>11</v>
      </c>
      <c r="AQ2" s="119">
        <v>12</v>
      </c>
      <c r="AR2" s="119">
        <v>13</v>
      </c>
      <c r="AS2" s="119">
        <v>14</v>
      </c>
      <c r="AT2" s="119">
        <v>15</v>
      </c>
      <c r="AU2" s="119">
        <v>16</v>
      </c>
      <c r="AV2" s="119">
        <v>17</v>
      </c>
      <c r="AW2" s="119">
        <v>18</v>
      </c>
      <c r="AX2" s="119">
        <v>19</v>
      </c>
      <c r="AY2" s="119">
        <v>20</v>
      </c>
      <c r="AZ2" s="119">
        <v>21</v>
      </c>
      <c r="BA2" s="119">
        <v>22</v>
      </c>
    </row>
    <row r="3" spans="1:53">
      <c r="A3" s="1" t="s">
        <v>1304</v>
      </c>
      <c r="B3" s="119">
        <f>'ICpUEfEBE-urb-res-appl'!D3</f>
        <v>8.3485110752726618E-6</v>
      </c>
      <c r="C3" s="119">
        <f>'ICpUEfEBE-urb-res-appl'!E3</f>
        <v>8.3485110752726618E-6</v>
      </c>
      <c r="D3" s="119">
        <f>'ICpUEfEBE-urb-res-appl'!F3</f>
        <v>8.3485110752726618E-6</v>
      </c>
      <c r="E3" s="119">
        <f>'ICpUEfEBE-urb-res-appl'!G3</f>
        <v>8.3485110752726618E-6</v>
      </c>
      <c r="F3" s="119">
        <f>'ICpUEfEBE-urb-res-appl'!H3</f>
        <v>8.3485110752726618E-6</v>
      </c>
      <c r="G3" s="119">
        <f>'ICpUEfEBE-urb-res-appl'!I3</f>
        <v>8.3485110752726618E-6</v>
      </c>
      <c r="H3" s="119">
        <f>'ICpUEfEBE-urb-res-appl'!J3</f>
        <v>8.3485110752726618E-6</v>
      </c>
      <c r="I3" s="119">
        <f>'ICpUEfEBE-urb-res-appl'!K3</f>
        <v>8.3485110752726618E-6</v>
      </c>
      <c r="J3" s="119">
        <f>'ICpUEfEBE-urb-res-appl'!L3</f>
        <v>8.3485110752726618E-6</v>
      </c>
      <c r="K3" s="119">
        <f>'ICpUEfEBE-urb-res-appl'!M3</f>
        <v>8.3485110752726618E-6</v>
      </c>
      <c r="L3" s="119">
        <f>'ICpUEfEBE-urb-res-appl'!N3</f>
        <v>8.3485110752726618E-6</v>
      </c>
      <c r="M3" s="119">
        <f>'ICpUEfEBE-urb-res-appl'!O3</f>
        <v>8.3485110752726618E-6</v>
      </c>
      <c r="N3" s="119">
        <f>'ICpUEfEBE-urb-res-appl'!P3</f>
        <v>8.3485110752726618E-6</v>
      </c>
      <c r="O3" s="119">
        <f>'ICpUEfEBE-urb-res-appl'!Q3</f>
        <v>8.3485110752726618E-6</v>
      </c>
      <c r="P3" s="119">
        <f>'ICpUEfEBE-urb-res-appl'!R3</f>
        <v>8.3485110752726618E-6</v>
      </c>
      <c r="Q3" s="119">
        <f>'ICpUEfEBE-urb-res-appl'!S3</f>
        <v>8.3485110752726618E-6</v>
      </c>
      <c r="R3" s="119">
        <f>'ICpUEfEBE-urb-res-appl'!T3</f>
        <v>8.3485110752726618E-6</v>
      </c>
      <c r="S3" s="119">
        <f>'ICpUEfEBE-urb-res-appl'!U3</f>
        <v>8.3485110752726618E-6</v>
      </c>
      <c r="T3" s="119">
        <f>'ICpUEfEBE-urb-res-appl'!V3</f>
        <v>8.3485110752726618E-6</v>
      </c>
      <c r="U3" s="119">
        <f>'ICpUEfEBE-urb-res-appl'!W3</f>
        <v>8.3485110752726618E-6</v>
      </c>
      <c r="V3" s="119">
        <f>'ICpUEfEBE-urb-res-appl'!X3</f>
        <v>8.3485110752726618E-6</v>
      </c>
      <c r="W3" s="119">
        <f>'ICpUEfEBE-urb-res-appl'!Y3</f>
        <v>8.3485110752726618E-6</v>
      </c>
      <c r="X3" s="119">
        <f>'ICpUEfEBE-urb-res-appl'!Z3</f>
        <v>8.3485110752726618E-6</v>
      </c>
      <c r="Y3" s="119">
        <f>'ICpUEfEBE-urb-res-appl'!AA3</f>
        <v>8.3485110752726618E-6</v>
      </c>
      <c r="Z3" s="119">
        <f>'ICpUEfEBE-urb-res-appl'!AB3</f>
        <v>8.3485110752726618E-6</v>
      </c>
      <c r="AA3" s="119">
        <f>'ICpUEfEBE-urb-res-appl'!AC3</f>
        <v>8.3485110752726618E-6</v>
      </c>
      <c r="AB3" s="119">
        <f>'ICpUEfEBE-urb-res-appl'!AD3</f>
        <v>8.3485110752726618E-6</v>
      </c>
      <c r="AC3" s="119">
        <f>'ICpUEfEBE-urb-res-appl'!AE3</f>
        <v>8.3485110752726618E-6</v>
      </c>
      <c r="AD3" s="119">
        <f>'ICpUEfEBE-urb-res-appl'!AF3</f>
        <v>8.3485110752726618E-6</v>
      </c>
      <c r="AE3" s="119">
        <f>'ICpUEfEBE-urb-res-appl'!AG3</f>
        <v>8.3485110752726618E-6</v>
      </c>
      <c r="AF3" s="119">
        <f>'ICpUEfEBE-urb-res-appl'!AH3</f>
        <v>8.3485110752726618E-6</v>
      </c>
      <c r="AG3" s="119">
        <f>'ICpUEfEBE-urb-res-appl'!AI3</f>
        <v>8.3485110752726618E-6</v>
      </c>
      <c r="AH3" s="119">
        <f>'ICpUEfEBE-urb-res-appl'!AJ3</f>
        <v>8.3485110752726618E-6</v>
      </c>
      <c r="AI3" s="119">
        <f>'ICpUEfEBE-urb-res-appl'!AK3</f>
        <v>8.3485110752726618E-6</v>
      </c>
      <c r="AJ3" s="119">
        <f>'ICpUEfEBE-urb-res-appl'!AL3</f>
        <v>8.3485110752726618E-6</v>
      </c>
      <c r="AK3" s="119">
        <f>'ICpUEfEBE-urb-res-appl'!AM3</f>
        <v>8.3485110752726618E-6</v>
      </c>
      <c r="AL3" s="119">
        <f>'ICpUEfEBE-urb-res-appl'!AN3</f>
        <v>8.3485110752726618E-6</v>
      </c>
      <c r="AM3" s="119">
        <f>'ICpUEfEBE-urb-res-appl'!AO3</f>
        <v>8.3485110752726618E-6</v>
      </c>
      <c r="AN3" s="119">
        <f>'ICpUEfEBE-urb-res-appl'!AP3</f>
        <v>8.3485110752726618E-6</v>
      </c>
      <c r="AO3" s="119">
        <f>'ICpUEfEBE-urb-res-appl'!AQ3</f>
        <v>8.3485110752726618E-6</v>
      </c>
      <c r="AP3" s="119">
        <f>'ICpUEfEBE-urb-res-appl'!AR3</f>
        <v>8.3485110752726618E-6</v>
      </c>
      <c r="AQ3" s="119">
        <f>'ICpUEfEBE-urb-res-appl'!AS3</f>
        <v>8.3485110752726618E-6</v>
      </c>
      <c r="AR3" s="119">
        <f>'ICpUEfEBE-urb-res-appl'!AT3</f>
        <v>8.3485110752726618E-6</v>
      </c>
      <c r="AS3" s="119">
        <f>'ICpUEfEBE-urb-res-appl'!AU3</f>
        <v>8.3485110752726618E-6</v>
      </c>
      <c r="AT3" s="119">
        <f>'ICpUEfEBE-urb-res-appl'!AV3</f>
        <v>8.3485110752726618E-6</v>
      </c>
      <c r="AU3" s="119">
        <f>'ICpUEfEBE-urb-res-appl'!AW3</f>
        <v>8.3485110752726618E-6</v>
      </c>
      <c r="AV3" s="119">
        <f>'ICpUEfEBE-urb-res-appl'!AX3</f>
        <v>8.3485110752726618E-6</v>
      </c>
      <c r="AW3" s="119">
        <f>'ICpUEfEBE-urb-res-appl'!AY3</f>
        <v>8.3485110752726618E-6</v>
      </c>
      <c r="AX3" s="119">
        <f>'ICpUEfEBE-urb-res-appl'!AZ3</f>
        <v>8.3485110752726618E-6</v>
      </c>
      <c r="AY3" s="119">
        <f>'ICpUEfEBE-urb-res-appl'!BA3</f>
        <v>8.3485110752726618E-6</v>
      </c>
      <c r="AZ3" s="119">
        <f>'ICpUEfEBE-urb-res-appl'!BB3</f>
        <v>8.3485110752726618E-6</v>
      </c>
      <c r="BA3" s="119">
        <f>'ICpUEfEBE-urb-res-appl'!BC3</f>
        <v>0</v>
      </c>
    </row>
    <row r="4" spans="1:53">
      <c r="A4" s="1" t="s">
        <v>671</v>
      </c>
      <c r="B4" s="119">
        <f>'ICpUEfEBE-urb-res-appl'!D4</f>
        <v>8.3485110752726618E-6</v>
      </c>
      <c r="C4" s="119">
        <f>'ICpUEfEBE-urb-res-appl'!E4</f>
        <v>8.3485110752726618E-6</v>
      </c>
      <c r="D4" s="119">
        <f>'ICpUEfEBE-urb-res-appl'!F4</f>
        <v>8.3485110752726618E-6</v>
      </c>
      <c r="E4" s="119">
        <f>'ICpUEfEBE-urb-res-appl'!G4</f>
        <v>8.3485110752726618E-6</v>
      </c>
      <c r="F4" s="119">
        <f>'ICpUEfEBE-urb-res-appl'!H4</f>
        <v>8.3485110752726618E-6</v>
      </c>
      <c r="G4" s="119">
        <f>'ICpUEfEBE-urb-res-appl'!I4</f>
        <v>8.3485110752726618E-6</v>
      </c>
      <c r="H4" s="119">
        <f>'ICpUEfEBE-urb-res-appl'!J4</f>
        <v>8.3485110752726618E-6</v>
      </c>
      <c r="I4" s="119">
        <f>'ICpUEfEBE-urb-res-appl'!K4</f>
        <v>8.3485110752726618E-6</v>
      </c>
      <c r="J4" s="119">
        <f>'ICpUEfEBE-urb-res-appl'!L4</f>
        <v>8.3485110752726618E-6</v>
      </c>
      <c r="K4" s="119">
        <f>'ICpUEfEBE-urb-res-appl'!M4</f>
        <v>8.3485110752726618E-6</v>
      </c>
      <c r="L4" s="119">
        <f>'ICpUEfEBE-urb-res-appl'!N4</f>
        <v>8.3485110752726618E-6</v>
      </c>
      <c r="M4" s="119">
        <f>'ICpUEfEBE-urb-res-appl'!O4</f>
        <v>8.3485110752726618E-6</v>
      </c>
      <c r="N4" s="119">
        <f>'ICpUEfEBE-urb-res-appl'!P4</f>
        <v>8.3485110752726618E-6</v>
      </c>
      <c r="O4" s="119">
        <f>'ICpUEfEBE-urb-res-appl'!Q4</f>
        <v>8.3485110752726618E-6</v>
      </c>
      <c r="P4" s="119">
        <f>'ICpUEfEBE-urb-res-appl'!R4</f>
        <v>8.3485110752726618E-6</v>
      </c>
      <c r="Q4" s="119">
        <f>'ICpUEfEBE-urb-res-appl'!S4</f>
        <v>8.3485110752726618E-6</v>
      </c>
      <c r="R4" s="119">
        <f>'ICpUEfEBE-urb-res-appl'!T4</f>
        <v>8.3485110752726618E-6</v>
      </c>
      <c r="S4" s="119">
        <f>'ICpUEfEBE-urb-res-appl'!U4</f>
        <v>8.3485110752726618E-6</v>
      </c>
      <c r="T4" s="119">
        <f>'ICpUEfEBE-urb-res-appl'!V4</f>
        <v>8.3485110752726618E-6</v>
      </c>
      <c r="U4" s="119">
        <f>'ICpUEfEBE-urb-res-appl'!W4</f>
        <v>8.3485110752726618E-6</v>
      </c>
      <c r="V4" s="119">
        <f>'ICpUEfEBE-urb-res-appl'!X4</f>
        <v>8.3485110752726618E-6</v>
      </c>
      <c r="W4" s="119">
        <f>'ICpUEfEBE-urb-res-appl'!Y4</f>
        <v>8.3485110752726618E-6</v>
      </c>
      <c r="X4" s="119">
        <f>'ICpUEfEBE-urb-res-appl'!Z4</f>
        <v>8.3485110752726618E-6</v>
      </c>
      <c r="Y4" s="119">
        <f>'ICpUEfEBE-urb-res-appl'!AA4</f>
        <v>8.3485110752726618E-6</v>
      </c>
      <c r="Z4" s="119">
        <f>'ICpUEfEBE-urb-res-appl'!AB4</f>
        <v>8.3485110752726618E-6</v>
      </c>
      <c r="AA4" s="119">
        <f>'ICpUEfEBE-urb-res-appl'!AC4</f>
        <v>8.3485110752726618E-6</v>
      </c>
      <c r="AB4" s="119">
        <f>'ICpUEfEBE-urb-res-appl'!AD4</f>
        <v>8.3485110752726618E-6</v>
      </c>
      <c r="AC4" s="119">
        <f>'ICpUEfEBE-urb-res-appl'!AE4</f>
        <v>8.3485110752726618E-6</v>
      </c>
      <c r="AD4" s="119">
        <f>'ICpUEfEBE-urb-res-appl'!AF4</f>
        <v>8.3485110752726618E-6</v>
      </c>
      <c r="AE4" s="119">
        <f>'ICpUEfEBE-urb-res-appl'!AG4</f>
        <v>8.3485110752726618E-6</v>
      </c>
      <c r="AF4" s="119">
        <f>'ICpUEfEBE-urb-res-appl'!AH4</f>
        <v>8.3485110752726618E-6</v>
      </c>
      <c r="AG4" s="119">
        <f>'ICpUEfEBE-urb-res-appl'!AI4</f>
        <v>8.3485110752726618E-6</v>
      </c>
      <c r="AH4" s="119">
        <f>'ICpUEfEBE-urb-res-appl'!AJ4</f>
        <v>8.3485110752726618E-6</v>
      </c>
      <c r="AI4" s="119">
        <f>'ICpUEfEBE-urb-res-appl'!AK4</f>
        <v>8.3485110752726618E-6</v>
      </c>
      <c r="AJ4" s="119">
        <f>'ICpUEfEBE-urb-res-appl'!AL4</f>
        <v>8.3485110752726618E-6</v>
      </c>
      <c r="AK4" s="119">
        <f>'ICpUEfEBE-urb-res-appl'!AM4</f>
        <v>8.3485110752726618E-6</v>
      </c>
      <c r="AL4" s="119">
        <f>'ICpUEfEBE-urb-res-appl'!AN4</f>
        <v>8.3485110752726618E-6</v>
      </c>
      <c r="AM4" s="119">
        <f>'ICpUEfEBE-urb-res-appl'!AO4</f>
        <v>8.3485110752726618E-6</v>
      </c>
      <c r="AN4" s="119">
        <f>'ICpUEfEBE-urb-res-appl'!AP4</f>
        <v>8.3485110752726618E-6</v>
      </c>
      <c r="AO4" s="119">
        <f>'ICpUEfEBE-urb-res-appl'!AQ4</f>
        <v>8.3485110752726618E-6</v>
      </c>
      <c r="AP4" s="119">
        <f>'ICpUEfEBE-urb-res-appl'!AR4</f>
        <v>8.3485110752726618E-6</v>
      </c>
      <c r="AQ4" s="119">
        <f>'ICpUEfEBE-urb-res-appl'!AS4</f>
        <v>8.3485110752726618E-6</v>
      </c>
      <c r="AR4" s="119">
        <f>'ICpUEfEBE-urb-res-appl'!AT4</f>
        <v>8.3485110752726618E-6</v>
      </c>
      <c r="AS4" s="119">
        <f>'ICpUEfEBE-urb-res-appl'!AU4</f>
        <v>8.3485110752726618E-6</v>
      </c>
      <c r="AT4" s="119">
        <f>'ICpUEfEBE-urb-res-appl'!AV4</f>
        <v>8.3485110752726618E-6</v>
      </c>
      <c r="AU4" s="119">
        <f>'ICpUEfEBE-urb-res-appl'!AW4</f>
        <v>8.3485110752726618E-6</v>
      </c>
      <c r="AV4" s="119">
        <f>'ICpUEfEBE-urb-res-appl'!AX4</f>
        <v>8.3485110752726618E-6</v>
      </c>
      <c r="AW4" s="119">
        <f>'ICpUEfEBE-urb-res-appl'!AY4</f>
        <v>8.3485110752726618E-6</v>
      </c>
      <c r="AX4" s="119">
        <f>'ICpUEfEBE-urb-res-appl'!AZ4</f>
        <v>8.3485110752726618E-6</v>
      </c>
      <c r="AY4" s="119">
        <f>'ICpUEfEBE-urb-res-appl'!BA4</f>
        <v>8.3485110752726618E-6</v>
      </c>
      <c r="AZ4" s="119">
        <f>'ICpUEfEBE-urb-res-appl'!BB4</f>
        <v>8.3485110752726618E-6</v>
      </c>
      <c r="BA4" s="119">
        <f>'ICpUEfEBE-urb-res-appl'!BC4</f>
        <v>0</v>
      </c>
    </row>
    <row r="5" spans="1:53">
      <c r="A5" s="1" t="s">
        <v>1305</v>
      </c>
      <c r="B5" s="119">
        <f>'ICpUEfEBE-urb-res-appl'!D5</f>
        <v>8.3485110752726618E-6</v>
      </c>
      <c r="C5" s="119">
        <f>'ICpUEfEBE-urb-res-appl'!E5</f>
        <v>8.3485110752726618E-6</v>
      </c>
      <c r="D5" s="119">
        <f>'ICpUEfEBE-urb-res-appl'!F5</f>
        <v>8.3485110752726618E-6</v>
      </c>
      <c r="E5" s="119">
        <f>'ICpUEfEBE-urb-res-appl'!G5</f>
        <v>8.3485110752726618E-6</v>
      </c>
      <c r="F5" s="119">
        <f>'ICpUEfEBE-urb-res-appl'!H5</f>
        <v>8.3485110752726618E-6</v>
      </c>
      <c r="G5" s="119">
        <f>'ICpUEfEBE-urb-res-appl'!I5</f>
        <v>8.3485110752726618E-6</v>
      </c>
      <c r="H5" s="119">
        <f>'ICpUEfEBE-urb-res-appl'!J5</f>
        <v>8.3485110752726618E-6</v>
      </c>
      <c r="I5" s="119">
        <f>'ICpUEfEBE-urb-res-appl'!K5</f>
        <v>8.3485110752726618E-6</v>
      </c>
      <c r="J5" s="119">
        <f>'ICpUEfEBE-urb-res-appl'!L5</f>
        <v>8.3485110752726618E-6</v>
      </c>
      <c r="K5" s="119">
        <f>'ICpUEfEBE-urb-res-appl'!M5</f>
        <v>8.3485110752726618E-6</v>
      </c>
      <c r="L5" s="119">
        <f>'ICpUEfEBE-urb-res-appl'!N5</f>
        <v>8.3485110752726618E-6</v>
      </c>
      <c r="M5" s="119">
        <f>'ICpUEfEBE-urb-res-appl'!O5</f>
        <v>8.3485110752726618E-6</v>
      </c>
      <c r="N5" s="119">
        <f>'ICpUEfEBE-urb-res-appl'!P5</f>
        <v>8.3485110752726618E-6</v>
      </c>
      <c r="O5" s="119">
        <f>'ICpUEfEBE-urb-res-appl'!Q5</f>
        <v>8.3485110752726618E-6</v>
      </c>
      <c r="P5" s="119">
        <f>'ICpUEfEBE-urb-res-appl'!R5</f>
        <v>8.3485110752726618E-6</v>
      </c>
      <c r="Q5" s="119">
        <f>'ICpUEfEBE-urb-res-appl'!S5</f>
        <v>8.3485110752726618E-6</v>
      </c>
      <c r="R5" s="119">
        <f>'ICpUEfEBE-urb-res-appl'!T5</f>
        <v>8.3485110752726618E-6</v>
      </c>
      <c r="S5" s="119">
        <f>'ICpUEfEBE-urb-res-appl'!U5</f>
        <v>8.3485110752726618E-6</v>
      </c>
      <c r="T5" s="119">
        <f>'ICpUEfEBE-urb-res-appl'!V5</f>
        <v>8.3485110752726618E-6</v>
      </c>
      <c r="U5" s="119">
        <f>'ICpUEfEBE-urb-res-appl'!W5</f>
        <v>8.3485110752726618E-6</v>
      </c>
      <c r="V5" s="119">
        <f>'ICpUEfEBE-urb-res-appl'!X5</f>
        <v>8.3485110752726618E-6</v>
      </c>
      <c r="W5" s="119">
        <f>'ICpUEfEBE-urb-res-appl'!Y5</f>
        <v>8.3485110752726618E-6</v>
      </c>
      <c r="X5" s="119">
        <f>'ICpUEfEBE-urb-res-appl'!Z5</f>
        <v>8.3485110752726618E-6</v>
      </c>
      <c r="Y5" s="119">
        <f>'ICpUEfEBE-urb-res-appl'!AA5</f>
        <v>8.3485110752726618E-6</v>
      </c>
      <c r="Z5" s="119">
        <f>'ICpUEfEBE-urb-res-appl'!AB5</f>
        <v>8.3485110752726618E-6</v>
      </c>
      <c r="AA5" s="119">
        <f>'ICpUEfEBE-urb-res-appl'!AC5</f>
        <v>8.3485110752726618E-6</v>
      </c>
      <c r="AB5" s="119">
        <f>'ICpUEfEBE-urb-res-appl'!AD5</f>
        <v>8.3485110752726618E-6</v>
      </c>
      <c r="AC5" s="119">
        <f>'ICpUEfEBE-urb-res-appl'!AE5</f>
        <v>8.3485110752726618E-6</v>
      </c>
      <c r="AD5" s="119">
        <f>'ICpUEfEBE-urb-res-appl'!AF5</f>
        <v>8.3485110752726618E-6</v>
      </c>
      <c r="AE5" s="119">
        <f>'ICpUEfEBE-urb-res-appl'!AG5</f>
        <v>8.3485110752726618E-6</v>
      </c>
      <c r="AF5" s="119">
        <f>'ICpUEfEBE-urb-res-appl'!AH5</f>
        <v>8.3485110752726618E-6</v>
      </c>
      <c r="AG5" s="119">
        <f>'ICpUEfEBE-urb-res-appl'!AI5</f>
        <v>8.3485110752726618E-6</v>
      </c>
      <c r="AH5" s="119">
        <f>'ICpUEfEBE-urb-res-appl'!AJ5</f>
        <v>8.3485110752726618E-6</v>
      </c>
      <c r="AI5" s="119">
        <f>'ICpUEfEBE-urb-res-appl'!AK5</f>
        <v>8.3485110752726618E-6</v>
      </c>
      <c r="AJ5" s="119">
        <f>'ICpUEfEBE-urb-res-appl'!AL5</f>
        <v>8.3485110752726618E-6</v>
      </c>
      <c r="AK5" s="119">
        <f>'ICpUEfEBE-urb-res-appl'!AM5</f>
        <v>8.3485110752726618E-6</v>
      </c>
      <c r="AL5" s="119">
        <f>'ICpUEfEBE-urb-res-appl'!AN5</f>
        <v>8.3485110752726618E-6</v>
      </c>
      <c r="AM5" s="119">
        <f>'ICpUEfEBE-urb-res-appl'!AO5</f>
        <v>8.3485110752726618E-6</v>
      </c>
      <c r="AN5" s="119">
        <f>'ICpUEfEBE-urb-res-appl'!AP5</f>
        <v>8.3485110752726618E-6</v>
      </c>
      <c r="AO5" s="119">
        <f>'ICpUEfEBE-urb-res-appl'!AQ5</f>
        <v>8.3485110752726618E-6</v>
      </c>
      <c r="AP5" s="119">
        <f>'ICpUEfEBE-urb-res-appl'!AR5</f>
        <v>8.3485110752726618E-6</v>
      </c>
      <c r="AQ5" s="119">
        <f>'ICpUEfEBE-urb-res-appl'!AS5</f>
        <v>8.3485110752726618E-6</v>
      </c>
      <c r="AR5" s="119">
        <f>'ICpUEfEBE-urb-res-appl'!AT5</f>
        <v>8.3485110752726618E-6</v>
      </c>
      <c r="AS5" s="119">
        <f>'ICpUEfEBE-urb-res-appl'!AU5</f>
        <v>8.3485110752726618E-6</v>
      </c>
      <c r="AT5" s="119">
        <f>'ICpUEfEBE-urb-res-appl'!AV5</f>
        <v>8.3485110752726618E-6</v>
      </c>
      <c r="AU5" s="119">
        <f>'ICpUEfEBE-urb-res-appl'!AW5</f>
        <v>8.3485110752726618E-6</v>
      </c>
      <c r="AV5" s="119">
        <f>'ICpUEfEBE-urb-res-appl'!AX5</f>
        <v>8.3485110752726618E-6</v>
      </c>
      <c r="AW5" s="119">
        <f>'ICpUEfEBE-urb-res-appl'!AY5</f>
        <v>8.3485110752726618E-6</v>
      </c>
      <c r="AX5" s="119">
        <f>'ICpUEfEBE-urb-res-appl'!AZ5</f>
        <v>8.3485110752726618E-6</v>
      </c>
      <c r="AY5" s="119">
        <f>'ICpUEfEBE-urb-res-appl'!BA5</f>
        <v>8.3485110752726618E-6</v>
      </c>
      <c r="AZ5" s="119">
        <f>'ICpUEfEBE-urb-res-appl'!BB5</f>
        <v>8.3485110752726618E-6</v>
      </c>
      <c r="BA5" s="119">
        <f>'ICpUEfEBE-urb-res-appl'!BC5</f>
        <v>0</v>
      </c>
    </row>
    <row r="6" spans="1:53">
      <c r="A6" s="1" t="s">
        <v>1306</v>
      </c>
      <c r="B6" s="119">
        <f>'ICpUEfEBE-urb-res-appl'!D6</f>
        <v>8.3485110752726618E-6</v>
      </c>
      <c r="C6" s="119">
        <f>'ICpUEfEBE-urb-res-appl'!E6</f>
        <v>8.3485110752726618E-6</v>
      </c>
      <c r="D6" s="119">
        <f>'ICpUEfEBE-urb-res-appl'!F6</f>
        <v>8.3485110752726618E-6</v>
      </c>
      <c r="E6" s="119">
        <f>'ICpUEfEBE-urb-res-appl'!G6</f>
        <v>8.3485110752726618E-6</v>
      </c>
      <c r="F6" s="119">
        <f>'ICpUEfEBE-urb-res-appl'!H6</f>
        <v>8.3485110752726618E-6</v>
      </c>
      <c r="G6" s="119">
        <f>'ICpUEfEBE-urb-res-appl'!I6</f>
        <v>8.3485110752726618E-6</v>
      </c>
      <c r="H6" s="119">
        <f>'ICpUEfEBE-urb-res-appl'!J6</f>
        <v>8.3485110752726618E-6</v>
      </c>
      <c r="I6" s="119">
        <f>'ICpUEfEBE-urb-res-appl'!K6</f>
        <v>8.3485110752726618E-6</v>
      </c>
      <c r="J6" s="119">
        <f>'ICpUEfEBE-urb-res-appl'!L6</f>
        <v>8.3485110752726618E-6</v>
      </c>
      <c r="K6" s="119">
        <f>'ICpUEfEBE-urb-res-appl'!M6</f>
        <v>8.3485110752726618E-6</v>
      </c>
      <c r="L6" s="119">
        <f>'ICpUEfEBE-urb-res-appl'!N6</f>
        <v>8.3485110752726618E-6</v>
      </c>
      <c r="M6" s="119">
        <f>'ICpUEfEBE-urb-res-appl'!O6</f>
        <v>8.3485110752726618E-6</v>
      </c>
      <c r="N6" s="119">
        <f>'ICpUEfEBE-urb-res-appl'!P6</f>
        <v>8.3485110752726618E-6</v>
      </c>
      <c r="O6" s="119">
        <f>'ICpUEfEBE-urb-res-appl'!Q6</f>
        <v>8.3485110752726618E-6</v>
      </c>
      <c r="P6" s="119">
        <f>'ICpUEfEBE-urb-res-appl'!R6</f>
        <v>8.3485110752726618E-6</v>
      </c>
      <c r="Q6" s="119">
        <f>'ICpUEfEBE-urb-res-appl'!S6</f>
        <v>8.3485110752726618E-6</v>
      </c>
      <c r="R6" s="119">
        <f>'ICpUEfEBE-urb-res-appl'!T6</f>
        <v>8.3485110752726618E-6</v>
      </c>
      <c r="S6" s="119">
        <f>'ICpUEfEBE-urb-res-appl'!U6</f>
        <v>8.3485110752726618E-6</v>
      </c>
      <c r="T6" s="119">
        <f>'ICpUEfEBE-urb-res-appl'!V6</f>
        <v>8.3485110752726618E-6</v>
      </c>
      <c r="U6" s="119">
        <f>'ICpUEfEBE-urb-res-appl'!W6</f>
        <v>8.3485110752726618E-6</v>
      </c>
      <c r="V6" s="119">
        <f>'ICpUEfEBE-urb-res-appl'!X6</f>
        <v>8.3485110752726618E-6</v>
      </c>
      <c r="W6" s="119">
        <f>'ICpUEfEBE-urb-res-appl'!Y6</f>
        <v>8.3485110752726618E-6</v>
      </c>
      <c r="X6" s="119">
        <f>'ICpUEfEBE-urb-res-appl'!Z6</f>
        <v>8.3485110752726618E-6</v>
      </c>
      <c r="Y6" s="119">
        <f>'ICpUEfEBE-urb-res-appl'!AA6</f>
        <v>8.3485110752726618E-6</v>
      </c>
      <c r="Z6" s="119">
        <f>'ICpUEfEBE-urb-res-appl'!AB6</f>
        <v>8.3485110752726618E-6</v>
      </c>
      <c r="AA6" s="119">
        <f>'ICpUEfEBE-urb-res-appl'!AC6</f>
        <v>8.3485110752726618E-6</v>
      </c>
      <c r="AB6" s="119">
        <f>'ICpUEfEBE-urb-res-appl'!AD6</f>
        <v>8.3485110752726618E-6</v>
      </c>
      <c r="AC6" s="119">
        <f>'ICpUEfEBE-urb-res-appl'!AE6</f>
        <v>8.3485110752726618E-6</v>
      </c>
      <c r="AD6" s="119">
        <f>'ICpUEfEBE-urb-res-appl'!AF6</f>
        <v>8.3485110752726618E-6</v>
      </c>
      <c r="AE6" s="119">
        <f>'ICpUEfEBE-urb-res-appl'!AG6</f>
        <v>8.3485110752726618E-6</v>
      </c>
      <c r="AF6" s="119">
        <f>'ICpUEfEBE-urb-res-appl'!AH6</f>
        <v>8.3485110752726618E-6</v>
      </c>
      <c r="AG6" s="119">
        <f>'ICpUEfEBE-urb-res-appl'!AI6</f>
        <v>8.3485110752726618E-6</v>
      </c>
      <c r="AH6" s="119">
        <f>'ICpUEfEBE-urb-res-appl'!AJ6</f>
        <v>8.3485110752726618E-6</v>
      </c>
      <c r="AI6" s="119">
        <f>'ICpUEfEBE-urb-res-appl'!AK6</f>
        <v>8.3485110752726618E-6</v>
      </c>
      <c r="AJ6" s="119">
        <f>'ICpUEfEBE-urb-res-appl'!AL6</f>
        <v>8.3485110752726618E-6</v>
      </c>
      <c r="AK6" s="119">
        <f>'ICpUEfEBE-urb-res-appl'!AM6</f>
        <v>8.3485110752726618E-6</v>
      </c>
      <c r="AL6" s="119">
        <f>'ICpUEfEBE-urb-res-appl'!AN6</f>
        <v>8.3485110752726618E-6</v>
      </c>
      <c r="AM6" s="119">
        <f>'ICpUEfEBE-urb-res-appl'!AO6</f>
        <v>8.3485110752726618E-6</v>
      </c>
      <c r="AN6" s="119">
        <f>'ICpUEfEBE-urb-res-appl'!AP6</f>
        <v>8.3485110752726618E-6</v>
      </c>
      <c r="AO6" s="119">
        <f>'ICpUEfEBE-urb-res-appl'!AQ6</f>
        <v>8.3485110752726618E-6</v>
      </c>
      <c r="AP6" s="119">
        <f>'ICpUEfEBE-urb-res-appl'!AR6</f>
        <v>8.3485110752726618E-6</v>
      </c>
      <c r="AQ6" s="119">
        <f>'ICpUEfEBE-urb-res-appl'!AS6</f>
        <v>8.3485110752726618E-6</v>
      </c>
      <c r="AR6" s="119">
        <f>'ICpUEfEBE-urb-res-appl'!AT6</f>
        <v>8.3485110752726618E-6</v>
      </c>
      <c r="AS6" s="119">
        <f>'ICpUEfEBE-urb-res-appl'!AU6</f>
        <v>8.3485110752726618E-6</v>
      </c>
      <c r="AT6" s="119">
        <f>'ICpUEfEBE-urb-res-appl'!AV6</f>
        <v>8.3485110752726618E-6</v>
      </c>
      <c r="AU6" s="119">
        <f>'ICpUEfEBE-urb-res-appl'!AW6</f>
        <v>8.3485110752726618E-6</v>
      </c>
      <c r="AV6" s="119">
        <f>'ICpUEfEBE-urb-res-appl'!AX6</f>
        <v>8.3485110752726618E-6</v>
      </c>
      <c r="AW6" s="119">
        <f>'ICpUEfEBE-urb-res-appl'!AY6</f>
        <v>8.3485110752726618E-6</v>
      </c>
      <c r="AX6" s="119">
        <f>'ICpUEfEBE-urb-res-appl'!AZ6</f>
        <v>8.3485110752726618E-6</v>
      </c>
      <c r="AY6" s="119">
        <f>'ICpUEfEBE-urb-res-appl'!BA6</f>
        <v>8.3485110752726618E-6</v>
      </c>
      <c r="AZ6" s="119">
        <f>'ICpUEfEBE-urb-res-appl'!BB6</f>
        <v>8.3485110752726618E-6</v>
      </c>
      <c r="BA6" s="119">
        <f>'ICpUEfEBE-urb-res-appl'!BC6</f>
        <v>0</v>
      </c>
    </row>
    <row r="7" spans="1:53">
      <c r="A7" s="1" t="s">
        <v>1307</v>
      </c>
      <c r="B7" s="119">
        <f>'ICpUEfEBE-urb-res-appl'!D7</f>
        <v>0</v>
      </c>
      <c r="C7" s="119">
        <f>'ICpUEfEBE-urb-res-appl'!E7</f>
        <v>585.13227150018224</v>
      </c>
      <c r="D7" s="119">
        <f>'ICpUEfEBE-urb-res-appl'!F7</f>
        <v>610.94693053695494</v>
      </c>
      <c r="E7" s="119">
        <f>'ICpUEfEBE-urb-res-appl'!G7</f>
        <v>681.93724288807994</v>
      </c>
      <c r="F7" s="119">
        <f>'ICpUEfEBE-urb-res-appl'!H7</f>
        <v>752.92755523920505</v>
      </c>
      <c r="G7" s="119">
        <f>'ICpUEfEBE-urb-res-appl'!I7</f>
        <v>823.91786759032993</v>
      </c>
      <c r="H7" s="119">
        <f>'ICpUEfEBE-urb-res-appl'!J7</f>
        <v>985.25948657015954</v>
      </c>
      <c r="I7" s="119">
        <f>'ICpUEfEBE-urb-res-appl'!K7</f>
        <v>1139.2869521562372</v>
      </c>
      <c r="J7" s="119">
        <f>'ICpUEfEBE-urb-res-appl'!L7</f>
        <v>1293.3144177423144</v>
      </c>
      <c r="K7" s="119">
        <f>'ICpUEfEBE-urb-res-appl'!M7</f>
        <v>1447.3418833283918</v>
      </c>
      <c r="L7" s="119">
        <f>'ICpUEfEBE-urb-res-appl'!N7</f>
        <v>1601.3693489144694</v>
      </c>
      <c r="M7" s="119">
        <f>'ICpUEfEBE-urb-res-appl'!O7</f>
        <v>1703.7674964270009</v>
      </c>
      <c r="N7" s="119">
        <f>'ICpUEfEBE-urb-res-appl'!P7</f>
        <v>1813.0495530160056</v>
      </c>
      <c r="O7" s="119">
        <f>'ICpUEfEBE-urb-res-appl'!Q7</f>
        <v>1922.3316096050103</v>
      </c>
      <c r="P7" s="119">
        <f>'ICpUEfEBE-urb-res-appl'!R7</f>
        <v>2031.6136661940147</v>
      </c>
      <c r="Q7" s="119">
        <f>'ICpUEfEBE-urb-res-appl'!S7</f>
        <v>2140.8957227830197</v>
      </c>
      <c r="R7" s="119">
        <f>'ICpUEfEBE-urb-res-appl'!T7</f>
        <v>2262.2246202558508</v>
      </c>
      <c r="S7" s="119">
        <f>'ICpUEfEBE-urb-res-appl'!U7</f>
        <v>2386.1349836323607</v>
      </c>
      <c r="T7" s="119">
        <f>'ICpUEfEBE-urb-res-appl'!V7</f>
        <v>2510.0453470088696</v>
      </c>
      <c r="U7" s="119">
        <f>'ICpUEfEBE-urb-res-appl'!W7</f>
        <v>2633.955710385379</v>
      </c>
      <c r="V7" s="119">
        <f>'ICpUEfEBE-urb-res-appl'!X7</f>
        <v>2757.8660737618879</v>
      </c>
      <c r="W7" s="119">
        <f>'ICpUEfEBE-urb-res-appl'!Y7</f>
        <v>2935.1267324810606</v>
      </c>
      <c r="X7" s="119">
        <f>'ICpUEfEBE-urb-res-appl'!Z7</f>
        <v>3112.3873912002332</v>
      </c>
      <c r="Y7" s="119">
        <f>'ICpUEfEBE-urb-res-appl'!AA7</f>
        <v>3289.6480499194063</v>
      </c>
      <c r="Z7" s="119">
        <f>'ICpUEfEBE-urb-res-appl'!AB7</f>
        <v>3466.9087086385794</v>
      </c>
      <c r="AA7" s="119">
        <f>'ICpUEfEBE-urb-res-appl'!AC7</f>
        <v>3644.1693673577524</v>
      </c>
      <c r="AB7" s="119">
        <f>'ICpUEfEBE-urb-res-appl'!AD7</f>
        <v>3165.1654616009155</v>
      </c>
      <c r="AC7" s="119">
        <f>'ICpUEfEBE-urb-res-appl'!AE7</f>
        <v>3165.1654616009155</v>
      </c>
      <c r="AD7" s="119">
        <f>'ICpUEfEBE-urb-res-appl'!AF7</f>
        <v>3165.1654616009155</v>
      </c>
      <c r="AE7" s="119">
        <f>'ICpUEfEBE-urb-res-appl'!AG7</f>
        <v>3165.1654616009155</v>
      </c>
      <c r="AF7" s="119">
        <f>'ICpUEfEBE-urb-res-appl'!AH7</f>
        <v>0</v>
      </c>
      <c r="AG7" s="119">
        <f>'ICpUEfEBE-urb-res-appl'!AI7</f>
        <v>0</v>
      </c>
      <c r="AH7" s="119">
        <f>'ICpUEfEBE-urb-res-appl'!AJ7</f>
        <v>0</v>
      </c>
      <c r="AI7" s="119">
        <f>'ICpUEfEBE-urb-res-appl'!AK7</f>
        <v>0</v>
      </c>
      <c r="AJ7" s="119">
        <f>'ICpUEfEBE-urb-res-appl'!AL7</f>
        <v>0</v>
      </c>
      <c r="AK7" s="119">
        <f>'ICpUEfEBE-urb-res-appl'!AM7</f>
        <v>0</v>
      </c>
      <c r="AL7" s="119">
        <f>'ICpUEfEBE-urb-res-appl'!AN7</f>
        <v>0</v>
      </c>
      <c r="AM7" s="119">
        <f>'ICpUEfEBE-urb-res-appl'!AO7</f>
        <v>0</v>
      </c>
      <c r="AN7" s="119">
        <f>'ICpUEfEBE-urb-res-appl'!AP7</f>
        <v>0</v>
      </c>
      <c r="AO7" s="119">
        <f>'ICpUEfEBE-urb-res-appl'!AQ7</f>
        <v>0</v>
      </c>
      <c r="AP7" s="119">
        <f>'ICpUEfEBE-urb-res-appl'!AR7</f>
        <v>0</v>
      </c>
      <c r="AQ7" s="119">
        <f>'ICpUEfEBE-urb-res-appl'!AS7</f>
        <v>0</v>
      </c>
      <c r="AR7" s="119">
        <f>'ICpUEfEBE-urb-res-appl'!AT7</f>
        <v>0</v>
      </c>
      <c r="AS7" s="119">
        <f>'ICpUEfEBE-urb-res-appl'!AU7</f>
        <v>0</v>
      </c>
      <c r="AT7" s="119">
        <f>'ICpUEfEBE-urb-res-appl'!AV7</f>
        <v>0</v>
      </c>
      <c r="AU7" s="119">
        <f>'ICpUEfEBE-urb-res-appl'!AW7</f>
        <v>0</v>
      </c>
      <c r="AV7" s="119">
        <f>'ICpUEfEBE-urb-res-appl'!AX7</f>
        <v>0</v>
      </c>
      <c r="AW7" s="119">
        <f>'ICpUEfEBE-urb-res-appl'!AY7</f>
        <v>0</v>
      </c>
      <c r="AX7" s="119">
        <f>'ICpUEfEBE-urb-res-appl'!AZ7</f>
        <v>0</v>
      </c>
      <c r="AY7" s="119">
        <f>'ICpUEfEBE-urb-res-appl'!BA7</f>
        <v>0</v>
      </c>
      <c r="AZ7" s="119">
        <f>'ICpUEfEBE-urb-res-appl'!BB7</f>
        <v>0</v>
      </c>
      <c r="BA7" s="119">
        <f>'ICpUEfEBE-urb-res-appl'!BC7</f>
        <v>0</v>
      </c>
    </row>
    <row r="8" spans="1:53">
      <c r="A8" s="1" t="s">
        <v>1308</v>
      </c>
      <c r="B8" s="119">
        <f>'ICpUEfEBE-urb-res-appl'!D8</f>
        <v>8.3485110752726618E-6</v>
      </c>
      <c r="C8" s="119">
        <f>'ICpUEfEBE-urb-res-appl'!E8</f>
        <v>8.3485110752726618E-6</v>
      </c>
      <c r="D8" s="119">
        <f>'ICpUEfEBE-urb-res-appl'!F8</f>
        <v>8.3485110752726618E-6</v>
      </c>
      <c r="E8" s="119">
        <f>'ICpUEfEBE-urb-res-appl'!G8</f>
        <v>8.3485110752726618E-6</v>
      </c>
      <c r="F8" s="119">
        <f>'ICpUEfEBE-urb-res-appl'!H8</f>
        <v>8.3485110752726618E-6</v>
      </c>
      <c r="G8" s="119">
        <f>'ICpUEfEBE-urb-res-appl'!I8</f>
        <v>8.3485110752726618E-6</v>
      </c>
      <c r="H8" s="119">
        <f>'ICpUEfEBE-urb-res-appl'!J8</f>
        <v>8.3485110752726618E-6</v>
      </c>
      <c r="I8" s="119">
        <f>'ICpUEfEBE-urb-res-appl'!K8</f>
        <v>8.3485110752726618E-6</v>
      </c>
      <c r="J8" s="119">
        <f>'ICpUEfEBE-urb-res-appl'!L8</f>
        <v>8.3485110752726618E-6</v>
      </c>
      <c r="K8" s="119">
        <f>'ICpUEfEBE-urb-res-appl'!M8</f>
        <v>8.3485110752726618E-6</v>
      </c>
      <c r="L8" s="119">
        <f>'ICpUEfEBE-urb-res-appl'!N8</f>
        <v>8.3485110752726618E-6</v>
      </c>
      <c r="M8" s="119">
        <f>'ICpUEfEBE-urb-res-appl'!O8</f>
        <v>8.3485110752726618E-6</v>
      </c>
      <c r="N8" s="119">
        <f>'ICpUEfEBE-urb-res-appl'!P8</f>
        <v>8.3485110752726618E-6</v>
      </c>
      <c r="O8" s="119">
        <f>'ICpUEfEBE-urb-res-appl'!Q8</f>
        <v>8.3485110752726618E-6</v>
      </c>
      <c r="P8" s="119">
        <f>'ICpUEfEBE-urb-res-appl'!R8</f>
        <v>8.3485110752726618E-6</v>
      </c>
      <c r="Q8" s="119">
        <f>'ICpUEfEBE-urb-res-appl'!S8</f>
        <v>8.3485110752726618E-6</v>
      </c>
      <c r="R8" s="119">
        <f>'ICpUEfEBE-urb-res-appl'!T8</f>
        <v>8.3485110752726618E-6</v>
      </c>
      <c r="S8" s="119">
        <f>'ICpUEfEBE-urb-res-appl'!U8</f>
        <v>8.3485110752726618E-6</v>
      </c>
      <c r="T8" s="119">
        <f>'ICpUEfEBE-urb-res-appl'!V8</f>
        <v>8.3485110752726618E-6</v>
      </c>
      <c r="U8" s="119">
        <f>'ICpUEfEBE-urb-res-appl'!W8</f>
        <v>8.3485110752726618E-6</v>
      </c>
      <c r="V8" s="119">
        <f>'ICpUEfEBE-urb-res-appl'!X8</f>
        <v>8.3485110752726618E-6</v>
      </c>
      <c r="W8" s="119">
        <f>'ICpUEfEBE-urb-res-appl'!Y8</f>
        <v>8.3485110752726618E-6</v>
      </c>
      <c r="X8" s="119">
        <f>'ICpUEfEBE-urb-res-appl'!Z8</f>
        <v>8.3485110752726618E-6</v>
      </c>
      <c r="Y8" s="119">
        <f>'ICpUEfEBE-urb-res-appl'!AA8</f>
        <v>8.3485110752726618E-6</v>
      </c>
      <c r="Z8" s="119">
        <f>'ICpUEfEBE-urb-res-appl'!AB8</f>
        <v>8.3485110752726618E-6</v>
      </c>
      <c r="AA8" s="119">
        <f>'ICpUEfEBE-urb-res-appl'!AC8</f>
        <v>8.3485110752726618E-6</v>
      </c>
      <c r="AB8" s="119">
        <f>'ICpUEfEBE-urb-res-appl'!AD8</f>
        <v>8.3485110752726618E-6</v>
      </c>
      <c r="AC8" s="119">
        <f>'ICpUEfEBE-urb-res-appl'!AE8</f>
        <v>8.3485110752726618E-6</v>
      </c>
      <c r="AD8" s="119">
        <f>'ICpUEfEBE-urb-res-appl'!AF8</f>
        <v>8.3485110752726618E-6</v>
      </c>
      <c r="AE8" s="119">
        <f>'ICpUEfEBE-urb-res-appl'!AG8</f>
        <v>8.3485110752726618E-6</v>
      </c>
      <c r="AF8" s="119">
        <f>'ICpUEfEBE-urb-res-appl'!AH8</f>
        <v>8.3485110752726618E-6</v>
      </c>
      <c r="AG8" s="119">
        <f>'ICpUEfEBE-urb-res-appl'!AI8</f>
        <v>8.3485110752726618E-6</v>
      </c>
      <c r="AH8" s="119">
        <f>'ICpUEfEBE-urb-res-appl'!AJ8</f>
        <v>8.3485110752726618E-6</v>
      </c>
      <c r="AI8" s="119">
        <f>'ICpUEfEBE-urb-res-appl'!AK8</f>
        <v>8.3485110752726618E-6</v>
      </c>
      <c r="AJ8" s="119">
        <f>'ICpUEfEBE-urb-res-appl'!AL8</f>
        <v>8.3485110752726618E-6</v>
      </c>
      <c r="AK8" s="119">
        <f>'ICpUEfEBE-urb-res-appl'!AM8</f>
        <v>8.3485110752726618E-6</v>
      </c>
      <c r="AL8" s="119">
        <f>'ICpUEfEBE-urb-res-appl'!AN8</f>
        <v>8.3485110752726618E-6</v>
      </c>
      <c r="AM8" s="119">
        <f>'ICpUEfEBE-urb-res-appl'!AO8</f>
        <v>8.3485110752726618E-6</v>
      </c>
      <c r="AN8" s="119">
        <f>'ICpUEfEBE-urb-res-appl'!AP8</f>
        <v>8.3485110752726618E-6</v>
      </c>
      <c r="AO8" s="119">
        <f>'ICpUEfEBE-urb-res-appl'!AQ8</f>
        <v>8.3485110752726618E-6</v>
      </c>
      <c r="AP8" s="119">
        <f>'ICpUEfEBE-urb-res-appl'!AR8</f>
        <v>8.3485110752726618E-6</v>
      </c>
      <c r="AQ8" s="119">
        <f>'ICpUEfEBE-urb-res-appl'!AS8</f>
        <v>8.3485110752726618E-6</v>
      </c>
      <c r="AR8" s="119">
        <f>'ICpUEfEBE-urb-res-appl'!AT8</f>
        <v>8.3485110752726618E-6</v>
      </c>
      <c r="AS8" s="119">
        <f>'ICpUEfEBE-urb-res-appl'!AU8</f>
        <v>8.3485110752726618E-6</v>
      </c>
      <c r="AT8" s="119">
        <f>'ICpUEfEBE-urb-res-appl'!AV8</f>
        <v>8.3485110752726618E-6</v>
      </c>
      <c r="AU8" s="119">
        <f>'ICpUEfEBE-urb-res-appl'!AW8</f>
        <v>8.3485110752726618E-6</v>
      </c>
      <c r="AV8" s="119">
        <f>'ICpUEfEBE-urb-res-appl'!AX8</f>
        <v>8.3485110752726618E-6</v>
      </c>
      <c r="AW8" s="119">
        <f>'ICpUEfEBE-urb-res-appl'!AY8</f>
        <v>8.3485110752726618E-6</v>
      </c>
      <c r="AX8" s="119">
        <f>'ICpUEfEBE-urb-res-appl'!AZ8</f>
        <v>8.3485110752726618E-6</v>
      </c>
      <c r="AY8" s="119">
        <f>'ICpUEfEBE-urb-res-appl'!BA8</f>
        <v>8.3485110752726618E-6</v>
      </c>
      <c r="AZ8" s="119">
        <f>'ICpUEfEBE-urb-res-appl'!BB8</f>
        <v>8.3485110752726618E-6</v>
      </c>
      <c r="BA8" s="119">
        <f>'ICpUEfEBE-urb-res-appl'!BC8</f>
        <v>0</v>
      </c>
    </row>
    <row r="9" spans="1:53">
      <c r="A9" s="1" t="s">
        <v>1309</v>
      </c>
      <c r="B9" s="119">
        <f>'ICpUEfEBE-urb-res-appl'!D9</f>
        <v>8.3485110752726618E-6</v>
      </c>
      <c r="C9" s="119">
        <f>'ICpUEfEBE-urb-res-appl'!E9</f>
        <v>8.3485110752726618E-6</v>
      </c>
      <c r="D9" s="119">
        <f>'ICpUEfEBE-urb-res-appl'!F9</f>
        <v>8.3485110752726618E-6</v>
      </c>
      <c r="E9" s="119">
        <f>'ICpUEfEBE-urb-res-appl'!G9</f>
        <v>8.3485110752726618E-6</v>
      </c>
      <c r="F9" s="119">
        <f>'ICpUEfEBE-urb-res-appl'!H9</f>
        <v>8.3485110752726618E-6</v>
      </c>
      <c r="G9" s="119">
        <f>'ICpUEfEBE-urb-res-appl'!I9</f>
        <v>8.3485110752726618E-6</v>
      </c>
      <c r="H9" s="119">
        <f>'ICpUEfEBE-urb-res-appl'!J9</f>
        <v>8.3485110752726618E-6</v>
      </c>
      <c r="I9" s="119">
        <f>'ICpUEfEBE-urb-res-appl'!K9</f>
        <v>8.3485110752726618E-6</v>
      </c>
      <c r="J9" s="119">
        <f>'ICpUEfEBE-urb-res-appl'!L9</f>
        <v>8.3485110752726618E-6</v>
      </c>
      <c r="K9" s="119">
        <f>'ICpUEfEBE-urb-res-appl'!M9</f>
        <v>8.3485110752726618E-6</v>
      </c>
      <c r="L9" s="119">
        <f>'ICpUEfEBE-urb-res-appl'!N9</f>
        <v>8.3485110752726618E-6</v>
      </c>
      <c r="M9" s="119">
        <f>'ICpUEfEBE-urb-res-appl'!O9</f>
        <v>8.3485110752726618E-6</v>
      </c>
      <c r="N9" s="119">
        <f>'ICpUEfEBE-urb-res-appl'!P9</f>
        <v>8.3485110752726618E-6</v>
      </c>
      <c r="O9" s="119">
        <f>'ICpUEfEBE-urb-res-appl'!Q9</f>
        <v>8.3485110752726618E-6</v>
      </c>
      <c r="P9" s="119">
        <f>'ICpUEfEBE-urb-res-appl'!R9</f>
        <v>8.3485110752726618E-6</v>
      </c>
      <c r="Q9" s="119">
        <f>'ICpUEfEBE-urb-res-appl'!S9</f>
        <v>8.3485110752726618E-6</v>
      </c>
      <c r="R9" s="119">
        <f>'ICpUEfEBE-urb-res-appl'!T9</f>
        <v>8.3485110752726618E-6</v>
      </c>
      <c r="S9" s="119">
        <f>'ICpUEfEBE-urb-res-appl'!U9</f>
        <v>8.3485110752726618E-6</v>
      </c>
      <c r="T9" s="119">
        <f>'ICpUEfEBE-urb-res-appl'!V9</f>
        <v>8.3485110752726618E-6</v>
      </c>
      <c r="U9" s="119">
        <f>'ICpUEfEBE-urb-res-appl'!W9</f>
        <v>8.3485110752726618E-6</v>
      </c>
      <c r="V9" s="119">
        <f>'ICpUEfEBE-urb-res-appl'!X9</f>
        <v>8.3485110752726618E-6</v>
      </c>
      <c r="W9" s="119">
        <f>'ICpUEfEBE-urb-res-appl'!Y9</f>
        <v>8.3485110752726618E-6</v>
      </c>
      <c r="X9" s="119">
        <f>'ICpUEfEBE-urb-res-appl'!Z9</f>
        <v>8.3485110752726618E-6</v>
      </c>
      <c r="Y9" s="119">
        <f>'ICpUEfEBE-urb-res-appl'!AA9</f>
        <v>8.3485110752726618E-6</v>
      </c>
      <c r="Z9" s="119">
        <f>'ICpUEfEBE-urb-res-appl'!AB9</f>
        <v>8.3485110752726618E-6</v>
      </c>
      <c r="AA9" s="119">
        <f>'ICpUEfEBE-urb-res-appl'!AC9</f>
        <v>8.3485110752726618E-6</v>
      </c>
      <c r="AB9" s="119">
        <f>'ICpUEfEBE-urb-res-appl'!AD9</f>
        <v>8.3485110752726618E-6</v>
      </c>
      <c r="AC9" s="119">
        <f>'ICpUEfEBE-urb-res-appl'!AE9</f>
        <v>8.3485110752726618E-6</v>
      </c>
      <c r="AD9" s="119">
        <f>'ICpUEfEBE-urb-res-appl'!AF9</f>
        <v>8.3485110752726618E-6</v>
      </c>
      <c r="AE9" s="119">
        <f>'ICpUEfEBE-urb-res-appl'!AG9</f>
        <v>8.3485110752726618E-6</v>
      </c>
      <c r="AF9" s="119">
        <f>'ICpUEfEBE-urb-res-appl'!AH9</f>
        <v>8.3485110752726618E-6</v>
      </c>
      <c r="AG9" s="119">
        <f>'ICpUEfEBE-urb-res-appl'!AI9</f>
        <v>8.3485110752726618E-6</v>
      </c>
      <c r="AH9" s="119">
        <f>'ICpUEfEBE-urb-res-appl'!AJ9</f>
        <v>8.3485110752726618E-6</v>
      </c>
      <c r="AI9" s="119">
        <f>'ICpUEfEBE-urb-res-appl'!AK9</f>
        <v>8.3485110752726618E-6</v>
      </c>
      <c r="AJ9" s="119">
        <f>'ICpUEfEBE-urb-res-appl'!AL9</f>
        <v>8.3485110752726618E-6</v>
      </c>
      <c r="AK9" s="119">
        <f>'ICpUEfEBE-urb-res-appl'!AM9</f>
        <v>8.3485110752726618E-6</v>
      </c>
      <c r="AL9" s="119">
        <f>'ICpUEfEBE-urb-res-appl'!AN9</f>
        <v>8.3485110752726618E-6</v>
      </c>
      <c r="AM9" s="119">
        <f>'ICpUEfEBE-urb-res-appl'!AO9</f>
        <v>8.3485110752726618E-6</v>
      </c>
      <c r="AN9" s="119">
        <f>'ICpUEfEBE-urb-res-appl'!AP9</f>
        <v>8.3485110752726618E-6</v>
      </c>
      <c r="AO9" s="119">
        <f>'ICpUEfEBE-urb-res-appl'!AQ9</f>
        <v>8.3485110752726618E-6</v>
      </c>
      <c r="AP9" s="119">
        <f>'ICpUEfEBE-urb-res-appl'!AR9</f>
        <v>8.3485110752726618E-6</v>
      </c>
      <c r="AQ9" s="119">
        <f>'ICpUEfEBE-urb-res-appl'!AS9</f>
        <v>8.3485110752726618E-6</v>
      </c>
      <c r="AR9" s="119">
        <f>'ICpUEfEBE-urb-res-appl'!AT9</f>
        <v>8.3485110752726618E-6</v>
      </c>
      <c r="AS9" s="119">
        <f>'ICpUEfEBE-urb-res-appl'!AU9</f>
        <v>8.3485110752726618E-6</v>
      </c>
      <c r="AT9" s="119">
        <f>'ICpUEfEBE-urb-res-appl'!AV9</f>
        <v>8.3485110752726618E-6</v>
      </c>
      <c r="AU9" s="119">
        <f>'ICpUEfEBE-urb-res-appl'!AW9</f>
        <v>8.3485110752726618E-6</v>
      </c>
      <c r="AV9" s="119">
        <f>'ICpUEfEBE-urb-res-appl'!AX9</f>
        <v>8.3485110752726618E-6</v>
      </c>
      <c r="AW9" s="119">
        <f>'ICpUEfEBE-urb-res-appl'!AY9</f>
        <v>8.3485110752726618E-6</v>
      </c>
      <c r="AX9" s="119">
        <f>'ICpUEfEBE-urb-res-appl'!AZ9</f>
        <v>8.3485110752726618E-6</v>
      </c>
      <c r="AY9" s="119">
        <f>'ICpUEfEBE-urb-res-appl'!BA9</f>
        <v>8.3485110752726618E-6</v>
      </c>
      <c r="AZ9" s="119">
        <f>'ICpUEfEBE-urb-res-appl'!BB9</f>
        <v>8.3485110752726618E-6</v>
      </c>
      <c r="BA9" s="119">
        <f>'ICpUEfEBE-urb-res-appl'!BC9</f>
        <v>0</v>
      </c>
    </row>
    <row r="10" spans="1:53">
      <c r="A10" s="1" t="s">
        <v>1310</v>
      </c>
      <c r="B10" s="119">
        <f>'ICpUEfEBE-urb-res-appl'!D10</f>
        <v>0</v>
      </c>
      <c r="C10" s="119">
        <f>'ICpUEfEBE-urb-res-appl'!E10</f>
        <v>1419.2468827963521</v>
      </c>
      <c r="D10" s="119">
        <f>'ICpUEfEBE-urb-res-appl'!F10</f>
        <v>161.2780548632218</v>
      </c>
      <c r="E10" s="119">
        <f>'ICpUEfEBE-urb-res-appl'!G10</f>
        <v>-1096.6907730699086</v>
      </c>
      <c r="F10" s="119">
        <f>'ICpUEfEBE-urb-res-appl'!H10</f>
        <v>-2354.6596010030389</v>
      </c>
      <c r="G10" s="119">
        <f>'ICpUEfEBE-urb-res-appl'!I10</f>
        <v>-3612.6284289361693</v>
      </c>
      <c r="H10" s="119">
        <f>'ICpUEfEBE-urb-res-appl'!J10</f>
        <v>-3482.8470294932945</v>
      </c>
      <c r="I10" s="119">
        <f>'ICpUEfEBE-urb-res-appl'!K10</f>
        <v>-3353.0656300504193</v>
      </c>
      <c r="J10" s="119">
        <f>'ICpUEfEBE-urb-res-appl'!L10</f>
        <v>-3223.284230607544</v>
      </c>
      <c r="K10" s="119">
        <f>'ICpUEfEBE-urb-res-appl'!M10</f>
        <v>-3093.5028311646693</v>
      </c>
      <c r="L10" s="119">
        <f>'ICpUEfEBE-urb-res-appl'!N10</f>
        <v>-2963.7214317217945</v>
      </c>
      <c r="M10" s="119">
        <f>'ICpUEfEBE-urb-res-appl'!O10</f>
        <v>-2870.3698987892003</v>
      </c>
      <c r="N10" s="119">
        <f>'ICpUEfEBE-urb-res-appl'!P10</f>
        <v>-2777.0183658566057</v>
      </c>
      <c r="O10" s="119">
        <f>'ICpUEfEBE-urb-res-appl'!Q10</f>
        <v>-2683.6668329240115</v>
      </c>
      <c r="P10" s="119">
        <f>'ICpUEfEBE-urb-res-appl'!R10</f>
        <v>-2590.3152999914178</v>
      </c>
      <c r="Q10" s="119">
        <f>'ICpUEfEBE-urb-res-appl'!S10</f>
        <v>-2443.8368783979963</v>
      </c>
      <c r="R10" s="119">
        <f>'ICpUEfEBE-urb-res-appl'!T10</f>
        <v>-2304.1890567752544</v>
      </c>
      <c r="S10" s="119">
        <f>'ICpUEfEBE-urb-res-appl'!U10</f>
        <v>-2045.5370045522614</v>
      </c>
      <c r="T10" s="119">
        <f>'ICpUEfEBE-urb-res-appl'!V10</f>
        <v>-1650.6372515808184</v>
      </c>
      <c r="U10" s="119">
        <f>'ICpUEfEBE-urb-res-appl'!W10</f>
        <v>-1187.442883235884</v>
      </c>
      <c r="V10" s="119">
        <f>'ICpUEfEBE-urb-res-appl'!X10</f>
        <v>-1745.5977702842829</v>
      </c>
      <c r="W10" s="119">
        <f>'ICpUEfEBE-urb-res-appl'!Y10</f>
        <v>-1337.2796831482208</v>
      </c>
      <c r="X10" s="119">
        <f>'ICpUEfEBE-urb-res-appl'!Z10</f>
        <v>-928.961596012158</v>
      </c>
      <c r="Y10" s="119">
        <f>'ICpUEfEBE-urb-res-appl'!AA10</f>
        <v>-520.64350887609487</v>
      </c>
      <c r="Z10" s="119">
        <f>'ICpUEfEBE-urb-res-appl'!AB10</f>
        <v>-112.32542174003243</v>
      </c>
      <c r="AA10" s="119">
        <f>'ICpUEfEBE-urb-res-appl'!AC10</f>
        <v>295.99266539603047</v>
      </c>
      <c r="AB10" s="119">
        <f>'ICpUEfEBE-urb-res-appl'!AD10</f>
        <v>733.65956373943845</v>
      </c>
      <c r="AC10" s="119">
        <f>'ICpUEfEBE-urb-res-appl'!AE10</f>
        <v>733.65956373943845</v>
      </c>
      <c r="AD10" s="119">
        <f>'ICpUEfEBE-urb-res-appl'!AF10</f>
        <v>733.65956373943845</v>
      </c>
      <c r="AE10" s="119">
        <f>'ICpUEfEBE-urb-res-appl'!AG10</f>
        <v>733.65956373943845</v>
      </c>
      <c r="AF10" s="119">
        <f>'ICpUEfEBE-urb-res-appl'!AH10</f>
        <v>0</v>
      </c>
      <c r="AG10" s="119">
        <f>'ICpUEfEBE-urb-res-appl'!AI10</f>
        <v>0</v>
      </c>
      <c r="AH10" s="119">
        <f>'ICpUEfEBE-urb-res-appl'!AJ10</f>
        <v>0</v>
      </c>
      <c r="AI10" s="119">
        <f>'ICpUEfEBE-urb-res-appl'!AK10</f>
        <v>0</v>
      </c>
      <c r="AJ10" s="119">
        <f>'ICpUEfEBE-urb-res-appl'!AL10</f>
        <v>0</v>
      </c>
      <c r="AK10" s="119">
        <f>'ICpUEfEBE-urb-res-appl'!AM10</f>
        <v>0</v>
      </c>
      <c r="AL10" s="119">
        <f>'ICpUEfEBE-urb-res-appl'!AN10</f>
        <v>0</v>
      </c>
      <c r="AM10" s="119">
        <f>'ICpUEfEBE-urb-res-appl'!AO10</f>
        <v>0</v>
      </c>
      <c r="AN10" s="119">
        <f>'ICpUEfEBE-urb-res-appl'!AP10</f>
        <v>0</v>
      </c>
      <c r="AO10" s="119">
        <f>'ICpUEfEBE-urb-res-appl'!AQ10</f>
        <v>0</v>
      </c>
      <c r="AP10" s="119">
        <f>'ICpUEfEBE-urb-res-appl'!AR10</f>
        <v>0</v>
      </c>
      <c r="AQ10" s="119">
        <f>'ICpUEfEBE-urb-res-appl'!AS10</f>
        <v>0</v>
      </c>
      <c r="AR10" s="119">
        <f>'ICpUEfEBE-urb-res-appl'!AT10</f>
        <v>0</v>
      </c>
      <c r="AS10" s="119">
        <f>'ICpUEfEBE-urb-res-appl'!AU10</f>
        <v>0</v>
      </c>
      <c r="AT10" s="119">
        <f>'ICpUEfEBE-urb-res-appl'!AV10</f>
        <v>0</v>
      </c>
      <c r="AU10" s="119">
        <f>'ICpUEfEBE-urb-res-appl'!AW10</f>
        <v>0</v>
      </c>
      <c r="AV10" s="119">
        <f>'ICpUEfEBE-urb-res-appl'!AX10</f>
        <v>0</v>
      </c>
      <c r="AW10" s="119">
        <f>'ICpUEfEBE-urb-res-appl'!AY10</f>
        <v>0</v>
      </c>
      <c r="AX10" s="119">
        <f>'ICpUEfEBE-urb-res-appl'!AZ10</f>
        <v>0</v>
      </c>
      <c r="AY10" s="119">
        <f>'ICpUEfEBE-urb-res-appl'!BA10</f>
        <v>0</v>
      </c>
      <c r="AZ10" s="119">
        <f>'ICpUEfEBE-urb-res-appl'!BB10</f>
        <v>0</v>
      </c>
      <c r="BA10" s="119">
        <f>'ICpUEfEBE-urb-res-appl'!BC10</f>
        <v>0</v>
      </c>
    </row>
    <row r="11" spans="1:53">
      <c r="A11" s="1" t="s">
        <v>1311</v>
      </c>
      <c r="B11" s="119">
        <f>'ICpUEfEBE-urb-res-appl'!D11</f>
        <v>8.3485110752726618E-6</v>
      </c>
      <c r="C11" s="119">
        <f>'ICpUEfEBE-urb-res-appl'!E11</f>
        <v>8.3485110752726618E-6</v>
      </c>
      <c r="D11" s="119">
        <f>'ICpUEfEBE-urb-res-appl'!F11</f>
        <v>8.3485110752726618E-6</v>
      </c>
      <c r="E11" s="119">
        <f>'ICpUEfEBE-urb-res-appl'!G11</f>
        <v>8.3485110752726618E-6</v>
      </c>
      <c r="F11" s="119">
        <f>'ICpUEfEBE-urb-res-appl'!H11</f>
        <v>8.3485110752726618E-6</v>
      </c>
      <c r="G11" s="119">
        <f>'ICpUEfEBE-urb-res-appl'!I11</f>
        <v>8.3485110752726618E-6</v>
      </c>
      <c r="H11" s="119">
        <f>'ICpUEfEBE-urb-res-appl'!J11</f>
        <v>8.3485110752726618E-6</v>
      </c>
      <c r="I11" s="119">
        <f>'ICpUEfEBE-urb-res-appl'!K11</f>
        <v>8.3485110752726618E-6</v>
      </c>
      <c r="J11" s="119">
        <f>'ICpUEfEBE-urb-res-appl'!L11</f>
        <v>8.3485110752726618E-6</v>
      </c>
      <c r="K11" s="119">
        <f>'ICpUEfEBE-urb-res-appl'!M11</f>
        <v>8.3485110752726618E-6</v>
      </c>
      <c r="L11" s="119">
        <f>'ICpUEfEBE-urb-res-appl'!N11</f>
        <v>8.3485110752726618E-6</v>
      </c>
      <c r="M11" s="119">
        <f>'ICpUEfEBE-urb-res-appl'!O11</f>
        <v>8.3485110752726618E-6</v>
      </c>
      <c r="N11" s="119">
        <f>'ICpUEfEBE-urb-res-appl'!P11</f>
        <v>8.3485110752726618E-6</v>
      </c>
      <c r="O11" s="119">
        <f>'ICpUEfEBE-urb-res-appl'!Q11</f>
        <v>8.3485110752726618E-6</v>
      </c>
      <c r="P11" s="119">
        <f>'ICpUEfEBE-urb-res-appl'!R11</f>
        <v>8.3485110752726618E-6</v>
      </c>
      <c r="Q11" s="119">
        <f>'ICpUEfEBE-urb-res-appl'!S11</f>
        <v>8.3485110752726618E-6</v>
      </c>
      <c r="R11" s="119">
        <f>'ICpUEfEBE-urb-res-appl'!T11</f>
        <v>8.3485110752726618E-6</v>
      </c>
      <c r="S11" s="119">
        <f>'ICpUEfEBE-urb-res-appl'!U11</f>
        <v>8.3485110752726618E-6</v>
      </c>
      <c r="T11" s="119">
        <f>'ICpUEfEBE-urb-res-appl'!V11</f>
        <v>8.3485110752726618E-6</v>
      </c>
      <c r="U11" s="119">
        <f>'ICpUEfEBE-urb-res-appl'!W11</f>
        <v>8.3485110752726618E-6</v>
      </c>
      <c r="V11" s="119">
        <f>'ICpUEfEBE-urb-res-appl'!X11</f>
        <v>8.3485110752726618E-6</v>
      </c>
      <c r="W11" s="119">
        <f>'ICpUEfEBE-urb-res-appl'!Y11</f>
        <v>8.3485110752726618E-6</v>
      </c>
      <c r="X11" s="119">
        <f>'ICpUEfEBE-urb-res-appl'!Z11</f>
        <v>8.3485110752726618E-6</v>
      </c>
      <c r="Y11" s="119">
        <f>'ICpUEfEBE-urb-res-appl'!AA11</f>
        <v>8.3485110752726618E-6</v>
      </c>
      <c r="Z11" s="119">
        <f>'ICpUEfEBE-urb-res-appl'!AB11</f>
        <v>8.3485110752726618E-6</v>
      </c>
      <c r="AA11" s="119">
        <f>'ICpUEfEBE-urb-res-appl'!AC11</f>
        <v>8.3485110752726618E-6</v>
      </c>
      <c r="AB11" s="119">
        <f>'ICpUEfEBE-urb-res-appl'!AD11</f>
        <v>8.3485110752726618E-6</v>
      </c>
      <c r="AC11" s="119">
        <f>'ICpUEfEBE-urb-res-appl'!AE11</f>
        <v>8.3485110752726618E-6</v>
      </c>
      <c r="AD11" s="119">
        <f>'ICpUEfEBE-urb-res-appl'!AF11</f>
        <v>8.3485110752726618E-6</v>
      </c>
      <c r="AE11" s="119">
        <f>'ICpUEfEBE-urb-res-appl'!AG11</f>
        <v>8.3485110752726618E-6</v>
      </c>
      <c r="AF11" s="119">
        <f>'ICpUEfEBE-urb-res-appl'!AH11</f>
        <v>8.3485110752726618E-6</v>
      </c>
      <c r="AG11" s="119">
        <f>'ICpUEfEBE-urb-res-appl'!AI11</f>
        <v>8.3485110752726618E-6</v>
      </c>
      <c r="AH11" s="119">
        <f>'ICpUEfEBE-urb-res-appl'!AJ11</f>
        <v>8.3485110752726618E-6</v>
      </c>
      <c r="AI11" s="119">
        <f>'ICpUEfEBE-urb-res-appl'!AK11</f>
        <v>8.3485110752726618E-6</v>
      </c>
      <c r="AJ11" s="119">
        <f>'ICpUEfEBE-urb-res-appl'!AL11</f>
        <v>8.3485110752726618E-6</v>
      </c>
      <c r="AK11" s="119">
        <f>'ICpUEfEBE-urb-res-appl'!AM11</f>
        <v>8.3485110752726618E-6</v>
      </c>
      <c r="AL11" s="119">
        <f>'ICpUEfEBE-urb-res-appl'!AN11</f>
        <v>8.3485110752726618E-6</v>
      </c>
      <c r="AM11" s="119">
        <f>'ICpUEfEBE-urb-res-appl'!AO11</f>
        <v>8.3485110752726618E-6</v>
      </c>
      <c r="AN11" s="119">
        <f>'ICpUEfEBE-urb-res-appl'!AP11</f>
        <v>8.3485110752726618E-6</v>
      </c>
      <c r="AO11" s="119">
        <f>'ICpUEfEBE-urb-res-appl'!AQ11</f>
        <v>8.3485110752726618E-6</v>
      </c>
      <c r="AP11" s="119">
        <f>'ICpUEfEBE-urb-res-appl'!AR11</f>
        <v>8.3485110752726618E-6</v>
      </c>
      <c r="AQ11" s="119">
        <f>'ICpUEfEBE-urb-res-appl'!AS11</f>
        <v>8.3485110752726618E-6</v>
      </c>
      <c r="AR11" s="119">
        <f>'ICpUEfEBE-urb-res-appl'!AT11</f>
        <v>8.3485110752726618E-6</v>
      </c>
      <c r="AS11" s="119">
        <f>'ICpUEfEBE-urb-res-appl'!AU11</f>
        <v>8.3485110752726618E-6</v>
      </c>
      <c r="AT11" s="119">
        <f>'ICpUEfEBE-urb-res-appl'!AV11</f>
        <v>8.3485110752726618E-6</v>
      </c>
      <c r="AU11" s="119">
        <f>'ICpUEfEBE-urb-res-appl'!AW11</f>
        <v>8.3485110752726618E-6</v>
      </c>
      <c r="AV11" s="119">
        <f>'ICpUEfEBE-urb-res-appl'!AX11</f>
        <v>8.3485110752726618E-6</v>
      </c>
      <c r="AW11" s="119">
        <f>'ICpUEfEBE-urb-res-appl'!AY11</f>
        <v>8.3485110752726618E-6</v>
      </c>
      <c r="AX11" s="119">
        <f>'ICpUEfEBE-urb-res-appl'!AZ11</f>
        <v>8.3485110752726618E-6</v>
      </c>
      <c r="AY11" s="119">
        <f>'ICpUEfEBE-urb-res-appl'!BA11</f>
        <v>8.3485110752726618E-6</v>
      </c>
      <c r="AZ11" s="119">
        <f>'ICpUEfEBE-urb-res-appl'!BB11</f>
        <v>8.3485110752726618E-6</v>
      </c>
      <c r="BA11" s="119">
        <f>'ICpUEfEBE-urb-res-appl'!BC11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Y11"/>
  <sheetViews>
    <sheetView topLeftCell="AN1" zoomScaleNormal="100" workbookViewId="0">
      <selection activeCell="AE2" sqref="AE2"/>
    </sheetView>
  </sheetViews>
  <sheetFormatPr defaultRowHeight="15"/>
  <cols>
    <col min="1" max="1" width="29.85546875" customWidth="1"/>
    <col min="2" max="31" width="10" customWidth="1"/>
    <col min="32" max="32" width="15.28515625" customWidth="1"/>
    <col min="33" max="33" width="11" customWidth="1"/>
  </cols>
  <sheetData>
    <row r="1" spans="1:51">
      <c r="A1" s="116" t="s">
        <v>1302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0</v>
      </c>
      <c r="AI2" s="119">
        <v>0</v>
      </c>
      <c r="AJ2" s="119">
        <v>0</v>
      </c>
      <c r="AK2" s="119">
        <v>0</v>
      </c>
      <c r="AL2" s="119">
        <v>0</v>
      </c>
      <c r="AM2" s="119">
        <v>0</v>
      </c>
      <c r="AN2" s="119">
        <v>0</v>
      </c>
      <c r="AO2" s="119">
        <v>0</v>
      </c>
      <c r="AP2" s="119">
        <v>0</v>
      </c>
      <c r="AQ2" s="119">
        <v>0</v>
      </c>
      <c r="AR2" s="119">
        <v>0</v>
      </c>
      <c r="AS2" s="119">
        <v>0</v>
      </c>
      <c r="AT2" s="119">
        <v>0</v>
      </c>
      <c r="AU2" s="119">
        <v>0</v>
      </c>
      <c r="AV2" s="119">
        <v>0</v>
      </c>
      <c r="AW2" s="119">
        <v>0</v>
      </c>
      <c r="AX2" s="119">
        <v>0</v>
      </c>
      <c r="AY2" s="119">
        <v>0</v>
      </c>
    </row>
    <row r="3" spans="1:51">
      <c r="A3" s="1" t="s">
        <v>1304</v>
      </c>
      <c r="B3" s="115">
        <v>0</v>
      </c>
      <c r="C3" s="115">
        <v>0</v>
      </c>
      <c r="D3" s="115">
        <v>0</v>
      </c>
      <c r="E3" s="115">
        <v>0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s="115">
        <v>0</v>
      </c>
      <c r="O3" s="115">
        <v>0</v>
      </c>
      <c r="P3" s="115">
        <v>0</v>
      </c>
      <c r="Q3" s="115">
        <v>0</v>
      </c>
      <c r="R3" s="115">
        <v>0</v>
      </c>
      <c r="S3" s="115">
        <v>0</v>
      </c>
      <c r="T3" s="115">
        <v>0</v>
      </c>
      <c r="U3" s="115">
        <v>0</v>
      </c>
      <c r="V3" s="115">
        <v>0</v>
      </c>
      <c r="W3" s="115">
        <v>0</v>
      </c>
      <c r="X3" s="115">
        <v>0</v>
      </c>
      <c r="Y3" s="115">
        <v>0</v>
      </c>
      <c r="Z3" s="115">
        <v>0</v>
      </c>
      <c r="AA3" s="115">
        <v>0</v>
      </c>
      <c r="AB3" s="115">
        <v>0</v>
      </c>
      <c r="AC3" s="115">
        <v>0</v>
      </c>
      <c r="AD3" s="115">
        <v>0</v>
      </c>
      <c r="AE3" s="115">
        <v>0</v>
      </c>
      <c r="AF3" s="115">
        <v>0</v>
      </c>
      <c r="AG3" s="115">
        <v>0</v>
      </c>
      <c r="AH3" s="115">
        <v>0</v>
      </c>
      <c r="AI3" s="115">
        <v>0</v>
      </c>
      <c r="AJ3" s="115">
        <v>0</v>
      </c>
      <c r="AK3" s="115">
        <v>0</v>
      </c>
      <c r="AL3" s="115">
        <v>0</v>
      </c>
      <c r="AM3" s="115">
        <v>0</v>
      </c>
      <c r="AN3" s="115">
        <v>0</v>
      </c>
      <c r="AO3" s="115">
        <v>0</v>
      </c>
      <c r="AP3" s="115">
        <v>0</v>
      </c>
      <c r="AQ3" s="115">
        <v>0</v>
      </c>
      <c r="AR3" s="115">
        <v>0</v>
      </c>
      <c r="AS3" s="115">
        <v>0</v>
      </c>
      <c r="AT3" s="115">
        <v>0</v>
      </c>
      <c r="AU3" s="115">
        <v>0</v>
      </c>
      <c r="AV3" s="115">
        <v>0</v>
      </c>
      <c r="AW3" s="115">
        <v>0</v>
      </c>
      <c r="AX3" s="115">
        <v>0</v>
      </c>
      <c r="AY3" s="115">
        <v>0</v>
      </c>
    </row>
    <row r="4" spans="1:51">
      <c r="A4" s="1" t="s">
        <v>671</v>
      </c>
      <c r="B4" s="115">
        <v>0</v>
      </c>
      <c r="C4" s="115">
        <v>0</v>
      </c>
      <c r="D4" s="115">
        <v>0</v>
      </c>
      <c r="E4" s="115">
        <v>0</v>
      </c>
      <c r="F4" s="115">
        <v>0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5">
        <v>0</v>
      </c>
      <c r="M4" s="115">
        <v>0</v>
      </c>
      <c r="N4" s="115">
        <v>0</v>
      </c>
      <c r="O4" s="115">
        <v>0</v>
      </c>
      <c r="P4" s="115">
        <v>0</v>
      </c>
      <c r="Q4" s="115">
        <v>0</v>
      </c>
      <c r="R4" s="115">
        <v>0</v>
      </c>
      <c r="S4" s="115">
        <v>0</v>
      </c>
      <c r="T4" s="115">
        <v>0</v>
      </c>
      <c r="U4" s="115">
        <v>0</v>
      </c>
      <c r="V4" s="115">
        <v>0</v>
      </c>
      <c r="W4" s="115">
        <v>0</v>
      </c>
      <c r="X4" s="115">
        <v>0</v>
      </c>
      <c r="Y4" s="115">
        <v>0</v>
      </c>
      <c r="Z4" s="115">
        <v>0</v>
      </c>
      <c r="AA4" s="115">
        <v>0</v>
      </c>
      <c r="AB4" s="115">
        <v>0</v>
      </c>
      <c r="AC4" s="115">
        <v>0</v>
      </c>
      <c r="AD4" s="115">
        <v>0</v>
      </c>
      <c r="AE4" s="115">
        <v>0</v>
      </c>
      <c r="AF4" s="115">
        <v>0</v>
      </c>
      <c r="AG4" s="115">
        <v>0</v>
      </c>
      <c r="AH4" s="115">
        <v>0</v>
      </c>
      <c r="AI4" s="115">
        <v>0</v>
      </c>
      <c r="AJ4" s="115">
        <v>0</v>
      </c>
      <c r="AK4" s="115">
        <v>0</v>
      </c>
      <c r="AL4" s="115">
        <v>0</v>
      </c>
      <c r="AM4" s="115">
        <v>0</v>
      </c>
      <c r="AN4" s="115">
        <v>0</v>
      </c>
      <c r="AO4" s="115">
        <v>0</v>
      </c>
      <c r="AP4" s="115">
        <v>0</v>
      </c>
      <c r="AQ4" s="115">
        <v>0</v>
      </c>
      <c r="AR4" s="115">
        <v>0</v>
      </c>
      <c r="AS4" s="115">
        <v>0</v>
      </c>
      <c r="AT4" s="115">
        <v>0</v>
      </c>
      <c r="AU4" s="115">
        <v>0</v>
      </c>
      <c r="AV4" s="115">
        <v>0</v>
      </c>
      <c r="AW4" s="115">
        <v>0</v>
      </c>
      <c r="AX4" s="115">
        <v>0</v>
      </c>
      <c r="AY4" s="115">
        <v>0</v>
      </c>
    </row>
    <row r="5" spans="1:51">
      <c r="A5" s="1" t="s">
        <v>1305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5">
        <v>0</v>
      </c>
      <c r="X5" s="115">
        <v>0</v>
      </c>
      <c r="Y5" s="115">
        <v>0</v>
      </c>
      <c r="Z5" s="115">
        <v>0</v>
      </c>
      <c r="AA5" s="115">
        <v>0</v>
      </c>
      <c r="AB5" s="115">
        <v>0</v>
      </c>
      <c r="AC5" s="115">
        <v>0</v>
      </c>
      <c r="AD5" s="115">
        <v>0</v>
      </c>
      <c r="AE5" s="115">
        <v>0</v>
      </c>
      <c r="AF5" s="115">
        <v>0</v>
      </c>
      <c r="AG5" s="115">
        <v>0</v>
      </c>
      <c r="AH5" s="115">
        <v>0</v>
      </c>
      <c r="AI5" s="115">
        <v>0</v>
      </c>
      <c r="AJ5" s="115">
        <v>0</v>
      </c>
      <c r="AK5" s="115">
        <v>0</v>
      </c>
      <c r="AL5" s="115">
        <v>0</v>
      </c>
      <c r="AM5" s="115">
        <v>0</v>
      </c>
      <c r="AN5" s="115">
        <v>0</v>
      </c>
      <c r="AO5" s="115">
        <v>0</v>
      </c>
      <c r="AP5" s="115">
        <v>0</v>
      </c>
      <c r="AQ5" s="115">
        <v>0</v>
      </c>
      <c r="AR5" s="115">
        <v>0</v>
      </c>
      <c r="AS5" s="115">
        <v>0</v>
      </c>
      <c r="AT5" s="115">
        <v>0</v>
      </c>
      <c r="AU5" s="115">
        <v>0</v>
      </c>
      <c r="AV5" s="115">
        <v>0</v>
      </c>
      <c r="AW5" s="115">
        <v>0</v>
      </c>
      <c r="AX5" s="115">
        <v>0</v>
      </c>
      <c r="AY5" s="115">
        <v>0</v>
      </c>
    </row>
    <row r="6" spans="1:51">
      <c r="A6" s="1" t="s">
        <v>1306</v>
      </c>
      <c r="B6" s="115">
        <v>0</v>
      </c>
      <c r="C6" s="115">
        <v>0</v>
      </c>
      <c r="D6" s="115">
        <v>0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115">
        <v>0</v>
      </c>
      <c r="N6" s="115">
        <v>0</v>
      </c>
      <c r="O6" s="115">
        <v>0</v>
      </c>
      <c r="P6" s="115">
        <v>0</v>
      </c>
      <c r="Q6" s="115">
        <v>0</v>
      </c>
      <c r="R6" s="115">
        <v>0</v>
      </c>
      <c r="S6" s="115">
        <v>0</v>
      </c>
      <c r="T6" s="115">
        <v>0</v>
      </c>
      <c r="U6" s="115">
        <v>0</v>
      </c>
      <c r="V6" s="115">
        <v>0</v>
      </c>
      <c r="W6" s="115">
        <v>0</v>
      </c>
      <c r="X6" s="115">
        <v>0</v>
      </c>
      <c r="Y6" s="115">
        <v>0</v>
      </c>
      <c r="Z6" s="115">
        <v>0</v>
      </c>
      <c r="AA6" s="115">
        <v>0</v>
      </c>
      <c r="AB6" s="115">
        <v>0</v>
      </c>
      <c r="AC6" s="115">
        <v>0</v>
      </c>
      <c r="AD6" s="115">
        <v>0</v>
      </c>
      <c r="AE6" s="115">
        <v>0</v>
      </c>
      <c r="AF6" s="115">
        <v>0</v>
      </c>
      <c r="AG6" s="115">
        <v>0</v>
      </c>
      <c r="AH6" s="115">
        <v>0</v>
      </c>
      <c r="AI6" s="115">
        <v>0</v>
      </c>
      <c r="AJ6" s="115">
        <v>0</v>
      </c>
      <c r="AK6" s="115">
        <v>0</v>
      </c>
      <c r="AL6" s="115">
        <v>0</v>
      </c>
      <c r="AM6" s="115">
        <v>0</v>
      </c>
      <c r="AN6" s="115">
        <v>0</v>
      </c>
      <c r="AO6" s="115">
        <v>0</v>
      </c>
      <c r="AP6" s="115">
        <v>0</v>
      </c>
      <c r="AQ6" s="115">
        <v>0</v>
      </c>
      <c r="AR6" s="115">
        <v>0</v>
      </c>
      <c r="AS6" s="115">
        <v>0</v>
      </c>
      <c r="AT6" s="115">
        <v>0</v>
      </c>
      <c r="AU6" s="115">
        <v>0</v>
      </c>
      <c r="AV6" s="115">
        <v>0</v>
      </c>
      <c r="AW6" s="115">
        <v>0</v>
      </c>
      <c r="AX6" s="115">
        <v>0</v>
      </c>
      <c r="AY6" s="115">
        <v>0</v>
      </c>
    </row>
    <row r="7" spans="1:51">
      <c r="A7" s="1" t="s">
        <v>1307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5">
        <v>0</v>
      </c>
      <c r="X7" s="115">
        <v>0</v>
      </c>
      <c r="Y7" s="115">
        <v>0</v>
      </c>
      <c r="Z7" s="115">
        <v>0</v>
      </c>
      <c r="AA7" s="115">
        <v>0</v>
      </c>
      <c r="AB7" s="115">
        <v>0</v>
      </c>
      <c r="AC7" s="115">
        <v>0</v>
      </c>
      <c r="AD7" s="115">
        <v>0</v>
      </c>
      <c r="AE7" s="115">
        <v>0</v>
      </c>
      <c r="AF7" s="115">
        <v>0</v>
      </c>
      <c r="AG7" s="115">
        <v>0</v>
      </c>
      <c r="AH7" s="115">
        <v>0</v>
      </c>
      <c r="AI7" s="115">
        <v>0</v>
      </c>
      <c r="AJ7" s="115">
        <v>0</v>
      </c>
      <c r="AK7" s="115">
        <v>0</v>
      </c>
      <c r="AL7" s="115">
        <v>0</v>
      </c>
      <c r="AM7" s="115">
        <v>0</v>
      </c>
      <c r="AN7" s="115">
        <v>0</v>
      </c>
      <c r="AO7" s="115">
        <v>0</v>
      </c>
      <c r="AP7" s="115">
        <v>0</v>
      </c>
      <c r="AQ7" s="115">
        <v>0</v>
      </c>
      <c r="AR7" s="115">
        <v>0</v>
      </c>
      <c r="AS7" s="115">
        <v>0</v>
      </c>
      <c r="AT7" s="115">
        <v>0</v>
      </c>
      <c r="AU7" s="115">
        <v>0</v>
      </c>
      <c r="AV7" s="115">
        <v>0</v>
      </c>
      <c r="AW7" s="115">
        <v>0</v>
      </c>
      <c r="AX7" s="115">
        <v>0</v>
      </c>
      <c r="AY7" s="115">
        <v>0</v>
      </c>
    </row>
    <row r="8" spans="1:51">
      <c r="A8" s="1" t="s">
        <v>1308</v>
      </c>
      <c r="B8" s="115">
        <v>0</v>
      </c>
      <c r="C8" s="115">
        <v>0</v>
      </c>
      <c r="D8" s="115">
        <v>0</v>
      </c>
      <c r="E8" s="115">
        <v>0</v>
      </c>
      <c r="F8" s="115">
        <v>0</v>
      </c>
      <c r="G8" s="115">
        <v>0</v>
      </c>
      <c r="H8" s="115">
        <v>0</v>
      </c>
      <c r="I8" s="115">
        <v>0</v>
      </c>
      <c r="J8" s="115">
        <v>0</v>
      </c>
      <c r="K8" s="115">
        <v>0</v>
      </c>
      <c r="L8" s="115">
        <v>0</v>
      </c>
      <c r="M8" s="115">
        <v>0</v>
      </c>
      <c r="N8" s="115">
        <v>0</v>
      </c>
      <c r="O8" s="115">
        <v>0</v>
      </c>
      <c r="P8" s="115">
        <v>0</v>
      </c>
      <c r="Q8" s="115">
        <v>0</v>
      </c>
      <c r="R8" s="115">
        <v>0</v>
      </c>
      <c r="S8" s="115">
        <v>0</v>
      </c>
      <c r="T8" s="115">
        <v>0</v>
      </c>
      <c r="U8" s="115">
        <v>0</v>
      </c>
      <c r="V8" s="115">
        <v>0</v>
      </c>
      <c r="W8" s="115">
        <v>0</v>
      </c>
      <c r="X8" s="115">
        <v>0</v>
      </c>
      <c r="Y8" s="115">
        <v>0</v>
      </c>
      <c r="Z8" s="115">
        <v>0</v>
      </c>
      <c r="AA8" s="115">
        <v>0</v>
      </c>
      <c r="AB8" s="115">
        <v>0</v>
      </c>
      <c r="AC8" s="115">
        <v>0</v>
      </c>
      <c r="AD8" s="115">
        <v>0</v>
      </c>
      <c r="AE8" s="115">
        <v>0</v>
      </c>
      <c r="AF8" s="115">
        <v>0</v>
      </c>
      <c r="AG8" s="115">
        <v>0</v>
      </c>
      <c r="AH8" s="115">
        <v>0</v>
      </c>
      <c r="AI8" s="115">
        <v>0</v>
      </c>
      <c r="AJ8" s="115">
        <v>0</v>
      </c>
      <c r="AK8" s="115">
        <v>0</v>
      </c>
      <c r="AL8" s="115">
        <v>0</v>
      </c>
      <c r="AM8" s="115">
        <v>0</v>
      </c>
      <c r="AN8" s="115">
        <v>0</v>
      </c>
      <c r="AO8" s="115">
        <v>0</v>
      </c>
      <c r="AP8" s="115">
        <v>0</v>
      </c>
      <c r="AQ8" s="115">
        <v>0</v>
      </c>
      <c r="AR8" s="115">
        <v>0</v>
      </c>
      <c r="AS8" s="115">
        <v>0</v>
      </c>
      <c r="AT8" s="115">
        <v>0</v>
      </c>
      <c r="AU8" s="115">
        <v>0</v>
      </c>
      <c r="AV8" s="115">
        <v>0</v>
      </c>
      <c r="AW8" s="115">
        <v>0</v>
      </c>
      <c r="AX8" s="115">
        <v>0</v>
      </c>
      <c r="AY8" s="115">
        <v>0</v>
      </c>
    </row>
    <row r="9" spans="1:51">
      <c r="A9" s="1" t="s">
        <v>1309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0</v>
      </c>
      <c r="AL9" s="115">
        <v>0</v>
      </c>
      <c r="AM9" s="115">
        <v>0</v>
      </c>
      <c r="AN9" s="115">
        <v>0</v>
      </c>
      <c r="AO9" s="115">
        <v>0</v>
      </c>
      <c r="AP9" s="115">
        <v>0</v>
      </c>
      <c r="AQ9" s="115">
        <v>0</v>
      </c>
      <c r="AR9" s="115">
        <v>0</v>
      </c>
      <c r="AS9" s="115">
        <v>0</v>
      </c>
      <c r="AT9" s="115">
        <v>0</v>
      </c>
      <c r="AU9" s="115">
        <v>0</v>
      </c>
      <c r="AV9" s="115">
        <v>0</v>
      </c>
      <c r="AW9" s="115">
        <v>0</v>
      </c>
      <c r="AX9" s="115">
        <v>0</v>
      </c>
      <c r="AY9" s="115">
        <v>0</v>
      </c>
    </row>
    <row r="10" spans="1:51">
      <c r="A10" s="1" t="s">
        <v>1310</v>
      </c>
      <c r="B10" s="115">
        <v>0</v>
      </c>
      <c r="C10" s="115">
        <v>0</v>
      </c>
      <c r="D10" s="115"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  <c r="AS10" s="115">
        <v>0</v>
      </c>
      <c r="AT10" s="115">
        <v>0</v>
      </c>
      <c r="AU10" s="115">
        <v>0</v>
      </c>
      <c r="AV10" s="115">
        <v>0</v>
      </c>
      <c r="AW10" s="115">
        <v>0</v>
      </c>
      <c r="AX10" s="115">
        <v>0</v>
      </c>
      <c r="AY10" s="115">
        <v>0</v>
      </c>
    </row>
    <row r="11" spans="1:51">
      <c r="A11" s="1" t="s">
        <v>1311</v>
      </c>
      <c r="B11" s="115">
        <v>0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  <c r="AX11" s="115">
        <v>0</v>
      </c>
      <c r="AY11" s="11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249977111117893"/>
  </sheetPr>
  <dimension ref="A1:AY11"/>
  <sheetViews>
    <sheetView topLeftCell="AJ1" zoomScaleNormal="100" workbookViewId="0">
      <selection activeCell="AB2" sqref="AB2"/>
    </sheetView>
  </sheetViews>
  <sheetFormatPr defaultRowHeight="15"/>
  <cols>
    <col min="1" max="1" width="29.85546875" customWidth="1"/>
    <col min="2" max="31" width="10" customWidth="1"/>
    <col min="32" max="32" width="13.42578125" customWidth="1"/>
    <col min="33" max="33" width="13" customWidth="1"/>
  </cols>
  <sheetData>
    <row r="1" spans="1:51">
      <c r="A1" s="116" t="s">
        <v>1302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0</v>
      </c>
      <c r="AI2" s="119">
        <v>0</v>
      </c>
      <c r="AJ2" s="119">
        <v>0</v>
      </c>
      <c r="AK2" s="119">
        <v>0</v>
      </c>
      <c r="AL2" s="119">
        <v>0</v>
      </c>
      <c r="AM2" s="119">
        <v>0</v>
      </c>
      <c r="AN2" s="119">
        <v>0</v>
      </c>
      <c r="AO2" s="119">
        <v>0</v>
      </c>
      <c r="AP2" s="119">
        <v>0</v>
      </c>
      <c r="AQ2" s="119">
        <v>0</v>
      </c>
      <c r="AR2" s="119">
        <v>0</v>
      </c>
      <c r="AS2" s="119">
        <v>0</v>
      </c>
      <c r="AT2" s="119">
        <v>0</v>
      </c>
      <c r="AU2" s="119">
        <v>0</v>
      </c>
      <c r="AV2" s="119">
        <v>0</v>
      </c>
      <c r="AW2" s="119">
        <v>0</v>
      </c>
      <c r="AX2" s="119">
        <v>0</v>
      </c>
      <c r="AY2" s="119">
        <v>0</v>
      </c>
    </row>
    <row r="3" spans="1:51">
      <c r="A3" s="1" t="s">
        <v>1304</v>
      </c>
      <c r="B3" s="115">
        <v>0</v>
      </c>
      <c r="C3" s="115">
        <v>0</v>
      </c>
      <c r="D3" s="115">
        <v>0</v>
      </c>
      <c r="E3" s="115">
        <v>0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s="115">
        <v>0</v>
      </c>
      <c r="O3" s="115">
        <v>0</v>
      </c>
      <c r="P3" s="115">
        <v>0</v>
      </c>
      <c r="Q3" s="115">
        <v>0</v>
      </c>
      <c r="R3" s="115">
        <v>0</v>
      </c>
      <c r="S3" s="115">
        <v>0</v>
      </c>
      <c r="T3" s="115">
        <v>0</v>
      </c>
      <c r="U3" s="115">
        <v>0</v>
      </c>
      <c r="V3" s="115">
        <v>0</v>
      </c>
      <c r="W3" s="115">
        <v>0</v>
      </c>
      <c r="X3" s="115">
        <v>0</v>
      </c>
      <c r="Y3" s="115">
        <v>0</v>
      </c>
      <c r="Z3" s="115">
        <v>0</v>
      </c>
      <c r="AA3" s="115">
        <v>0</v>
      </c>
      <c r="AB3" s="115">
        <v>0</v>
      </c>
      <c r="AC3" s="115">
        <v>0</v>
      </c>
      <c r="AD3" s="115">
        <v>0</v>
      </c>
      <c r="AE3" s="115">
        <v>0</v>
      </c>
      <c r="AF3" s="115">
        <v>0</v>
      </c>
      <c r="AG3" s="115">
        <v>0</v>
      </c>
      <c r="AH3" s="115">
        <v>0</v>
      </c>
      <c r="AI3" s="115">
        <v>0</v>
      </c>
      <c r="AJ3" s="115">
        <v>0</v>
      </c>
      <c r="AK3" s="115">
        <v>0</v>
      </c>
      <c r="AL3" s="115">
        <v>0</v>
      </c>
      <c r="AM3" s="115">
        <v>0</v>
      </c>
      <c r="AN3" s="115">
        <v>0</v>
      </c>
      <c r="AO3" s="115">
        <v>0</v>
      </c>
      <c r="AP3" s="115">
        <v>0</v>
      </c>
      <c r="AQ3" s="115">
        <v>0</v>
      </c>
      <c r="AR3" s="115">
        <v>0</v>
      </c>
      <c r="AS3" s="115">
        <v>0</v>
      </c>
      <c r="AT3" s="115">
        <v>0</v>
      </c>
      <c r="AU3" s="115">
        <v>0</v>
      </c>
      <c r="AV3" s="115">
        <v>0</v>
      </c>
      <c r="AW3" s="115">
        <v>0</v>
      </c>
      <c r="AX3" s="115">
        <v>0</v>
      </c>
      <c r="AY3" s="115">
        <v>0</v>
      </c>
    </row>
    <row r="4" spans="1:51">
      <c r="A4" s="1" t="s">
        <v>671</v>
      </c>
      <c r="B4" s="115">
        <v>0</v>
      </c>
      <c r="C4" s="115">
        <v>0</v>
      </c>
      <c r="D4" s="115">
        <v>0</v>
      </c>
      <c r="E4" s="115">
        <v>0</v>
      </c>
      <c r="F4" s="115">
        <v>0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5">
        <v>0</v>
      </c>
      <c r="M4" s="115">
        <v>0</v>
      </c>
      <c r="N4" s="115">
        <v>0</v>
      </c>
      <c r="O4" s="115">
        <v>0</v>
      </c>
      <c r="P4" s="115">
        <v>0</v>
      </c>
      <c r="Q4" s="115">
        <v>0</v>
      </c>
      <c r="R4" s="115">
        <v>0</v>
      </c>
      <c r="S4" s="115">
        <v>0</v>
      </c>
      <c r="T4" s="115">
        <v>0</v>
      </c>
      <c r="U4" s="115">
        <v>0</v>
      </c>
      <c r="V4" s="115">
        <v>0</v>
      </c>
      <c r="W4" s="115">
        <v>0</v>
      </c>
      <c r="X4" s="115">
        <v>0</v>
      </c>
      <c r="Y4" s="115">
        <v>0</v>
      </c>
      <c r="Z4" s="115">
        <v>0</v>
      </c>
      <c r="AA4" s="115">
        <v>0</v>
      </c>
      <c r="AB4" s="115">
        <v>0</v>
      </c>
      <c r="AC4" s="115">
        <v>0</v>
      </c>
      <c r="AD4" s="115">
        <v>0</v>
      </c>
      <c r="AE4" s="115">
        <v>0</v>
      </c>
      <c r="AF4" s="115">
        <v>0</v>
      </c>
      <c r="AG4" s="115">
        <v>0</v>
      </c>
      <c r="AH4" s="115">
        <v>0</v>
      </c>
      <c r="AI4" s="115">
        <v>0</v>
      </c>
      <c r="AJ4" s="115">
        <v>0</v>
      </c>
      <c r="AK4" s="115">
        <v>0</v>
      </c>
      <c r="AL4" s="115">
        <v>0</v>
      </c>
      <c r="AM4" s="115">
        <v>0</v>
      </c>
      <c r="AN4" s="115">
        <v>0</v>
      </c>
      <c r="AO4" s="115">
        <v>0</v>
      </c>
      <c r="AP4" s="115">
        <v>0</v>
      </c>
      <c r="AQ4" s="115">
        <v>0</v>
      </c>
      <c r="AR4" s="115">
        <v>0</v>
      </c>
      <c r="AS4" s="115">
        <v>0</v>
      </c>
      <c r="AT4" s="115">
        <v>0</v>
      </c>
      <c r="AU4" s="115">
        <v>0</v>
      </c>
      <c r="AV4" s="115">
        <v>0</v>
      </c>
      <c r="AW4" s="115">
        <v>0</v>
      </c>
      <c r="AX4" s="115">
        <v>0</v>
      </c>
      <c r="AY4" s="115">
        <v>0</v>
      </c>
    </row>
    <row r="5" spans="1:51">
      <c r="A5" s="1" t="s">
        <v>1305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5">
        <v>0</v>
      </c>
      <c r="X5" s="115">
        <v>0</v>
      </c>
      <c r="Y5" s="115">
        <v>0</v>
      </c>
      <c r="Z5" s="115">
        <v>0</v>
      </c>
      <c r="AA5" s="115">
        <v>0</v>
      </c>
      <c r="AB5" s="115">
        <v>0</v>
      </c>
      <c r="AC5" s="115">
        <v>0</v>
      </c>
      <c r="AD5" s="115">
        <v>0</v>
      </c>
      <c r="AE5" s="115">
        <v>0</v>
      </c>
      <c r="AF5" s="115">
        <v>0</v>
      </c>
      <c r="AG5" s="115">
        <v>0</v>
      </c>
      <c r="AH5" s="115">
        <v>0</v>
      </c>
      <c r="AI5" s="115">
        <v>0</v>
      </c>
      <c r="AJ5" s="115">
        <v>0</v>
      </c>
      <c r="AK5" s="115">
        <v>0</v>
      </c>
      <c r="AL5" s="115">
        <v>0</v>
      </c>
      <c r="AM5" s="115">
        <v>0</v>
      </c>
      <c r="AN5" s="115">
        <v>0</v>
      </c>
      <c r="AO5" s="115">
        <v>0</v>
      </c>
      <c r="AP5" s="115">
        <v>0</v>
      </c>
      <c r="AQ5" s="115">
        <v>0</v>
      </c>
      <c r="AR5" s="115">
        <v>0</v>
      </c>
      <c r="AS5" s="115">
        <v>0</v>
      </c>
      <c r="AT5" s="115">
        <v>0</v>
      </c>
      <c r="AU5" s="115">
        <v>0</v>
      </c>
      <c r="AV5" s="115">
        <v>0</v>
      </c>
      <c r="AW5" s="115">
        <v>0</v>
      </c>
      <c r="AX5" s="115">
        <v>0</v>
      </c>
      <c r="AY5" s="115">
        <v>0</v>
      </c>
    </row>
    <row r="6" spans="1:51">
      <c r="A6" s="1" t="s">
        <v>1306</v>
      </c>
      <c r="B6" s="115">
        <v>0</v>
      </c>
      <c r="C6" s="115">
        <v>0</v>
      </c>
      <c r="D6" s="115">
        <v>0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115">
        <v>0</v>
      </c>
      <c r="N6" s="115">
        <v>0</v>
      </c>
      <c r="O6" s="115">
        <v>0</v>
      </c>
      <c r="P6" s="115">
        <v>0</v>
      </c>
      <c r="Q6" s="115">
        <v>0</v>
      </c>
      <c r="R6" s="115">
        <v>0</v>
      </c>
      <c r="S6" s="115">
        <v>0</v>
      </c>
      <c r="T6" s="115">
        <v>0</v>
      </c>
      <c r="U6" s="115">
        <v>0</v>
      </c>
      <c r="V6" s="115">
        <v>0</v>
      </c>
      <c r="W6" s="115">
        <v>0</v>
      </c>
      <c r="X6" s="115">
        <v>0</v>
      </c>
      <c r="Y6" s="115">
        <v>0</v>
      </c>
      <c r="Z6" s="115">
        <v>0</v>
      </c>
      <c r="AA6" s="115">
        <v>0</v>
      </c>
      <c r="AB6" s="115">
        <v>0</v>
      </c>
      <c r="AC6" s="115">
        <v>0</v>
      </c>
      <c r="AD6" s="115">
        <v>0</v>
      </c>
      <c r="AE6" s="115">
        <v>0</v>
      </c>
      <c r="AF6" s="115">
        <v>0</v>
      </c>
      <c r="AG6" s="115">
        <v>0</v>
      </c>
      <c r="AH6" s="115">
        <v>0</v>
      </c>
      <c r="AI6" s="115">
        <v>0</v>
      </c>
      <c r="AJ6" s="115">
        <v>0</v>
      </c>
      <c r="AK6" s="115">
        <v>0</v>
      </c>
      <c r="AL6" s="115">
        <v>0</v>
      </c>
      <c r="AM6" s="115">
        <v>0</v>
      </c>
      <c r="AN6" s="115">
        <v>0</v>
      </c>
      <c r="AO6" s="115">
        <v>0</v>
      </c>
      <c r="AP6" s="115">
        <v>0</v>
      </c>
      <c r="AQ6" s="115">
        <v>0</v>
      </c>
      <c r="AR6" s="115">
        <v>0</v>
      </c>
      <c r="AS6" s="115">
        <v>0</v>
      </c>
      <c r="AT6" s="115">
        <v>0</v>
      </c>
      <c r="AU6" s="115">
        <v>0</v>
      </c>
      <c r="AV6" s="115">
        <v>0</v>
      </c>
      <c r="AW6" s="115">
        <v>0</v>
      </c>
      <c r="AX6" s="115">
        <v>0</v>
      </c>
      <c r="AY6" s="115">
        <v>0</v>
      </c>
    </row>
    <row r="7" spans="1:51">
      <c r="A7" s="1" t="s">
        <v>1307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5">
        <v>0</v>
      </c>
      <c r="X7" s="115">
        <v>0</v>
      </c>
      <c r="Y7" s="115">
        <v>0</v>
      </c>
      <c r="Z7" s="115">
        <v>0</v>
      </c>
      <c r="AA7" s="115">
        <v>0</v>
      </c>
      <c r="AB7" s="115">
        <v>0</v>
      </c>
      <c r="AC7" s="115">
        <v>0</v>
      </c>
      <c r="AD7" s="115">
        <v>0</v>
      </c>
      <c r="AE7" s="115">
        <v>0</v>
      </c>
      <c r="AF7" s="115">
        <v>0</v>
      </c>
      <c r="AG7" s="115">
        <v>0</v>
      </c>
      <c r="AH7" s="115">
        <v>0</v>
      </c>
      <c r="AI7" s="115">
        <v>0</v>
      </c>
      <c r="AJ7" s="115">
        <v>0</v>
      </c>
      <c r="AK7" s="115">
        <v>0</v>
      </c>
      <c r="AL7" s="115">
        <v>0</v>
      </c>
      <c r="AM7" s="115">
        <v>0</v>
      </c>
      <c r="AN7" s="115">
        <v>0</v>
      </c>
      <c r="AO7" s="115">
        <v>0</v>
      </c>
      <c r="AP7" s="115">
        <v>0</v>
      </c>
      <c r="AQ7" s="115">
        <v>0</v>
      </c>
      <c r="AR7" s="115">
        <v>0</v>
      </c>
      <c r="AS7" s="115">
        <v>0</v>
      </c>
      <c r="AT7" s="115">
        <v>0</v>
      </c>
      <c r="AU7" s="115">
        <v>0</v>
      </c>
      <c r="AV7" s="115">
        <v>0</v>
      </c>
      <c r="AW7" s="115">
        <v>0</v>
      </c>
      <c r="AX7" s="115">
        <v>0</v>
      </c>
      <c r="AY7" s="115">
        <v>0</v>
      </c>
    </row>
    <row r="8" spans="1:51">
      <c r="A8" s="1" t="s">
        <v>1308</v>
      </c>
      <c r="B8" s="115">
        <v>0</v>
      </c>
      <c r="C8" s="115">
        <v>0</v>
      </c>
      <c r="D8" s="115">
        <v>0</v>
      </c>
      <c r="E8" s="115">
        <v>0</v>
      </c>
      <c r="F8" s="115">
        <v>0</v>
      </c>
      <c r="G8" s="115">
        <v>0</v>
      </c>
      <c r="H8" s="115">
        <v>0</v>
      </c>
      <c r="I8" s="115">
        <v>0</v>
      </c>
      <c r="J8" s="115">
        <v>0</v>
      </c>
      <c r="K8" s="115">
        <v>0</v>
      </c>
      <c r="L8" s="115">
        <v>0</v>
      </c>
      <c r="M8" s="115">
        <v>0</v>
      </c>
      <c r="N8" s="115">
        <v>0</v>
      </c>
      <c r="O8" s="115">
        <v>0</v>
      </c>
      <c r="P8" s="115">
        <v>0</v>
      </c>
      <c r="Q8" s="115">
        <v>0</v>
      </c>
      <c r="R8" s="115">
        <v>0</v>
      </c>
      <c r="S8" s="115">
        <v>0</v>
      </c>
      <c r="T8" s="115">
        <v>0</v>
      </c>
      <c r="U8" s="115">
        <v>0</v>
      </c>
      <c r="V8" s="115">
        <v>0</v>
      </c>
      <c r="W8" s="115">
        <v>0</v>
      </c>
      <c r="X8" s="115">
        <v>0</v>
      </c>
      <c r="Y8" s="115">
        <v>0</v>
      </c>
      <c r="Z8" s="115">
        <v>0</v>
      </c>
      <c r="AA8" s="115">
        <v>0</v>
      </c>
      <c r="AB8" s="115">
        <v>0</v>
      </c>
      <c r="AC8" s="115">
        <v>0</v>
      </c>
      <c r="AD8" s="115">
        <v>0</v>
      </c>
      <c r="AE8" s="115">
        <v>0</v>
      </c>
      <c r="AF8" s="115">
        <v>0</v>
      </c>
      <c r="AG8" s="115">
        <v>0</v>
      </c>
      <c r="AH8" s="115">
        <v>0</v>
      </c>
      <c r="AI8" s="115">
        <v>0</v>
      </c>
      <c r="AJ8" s="115">
        <v>0</v>
      </c>
      <c r="AK8" s="115">
        <v>0</v>
      </c>
      <c r="AL8" s="115">
        <v>0</v>
      </c>
      <c r="AM8" s="115">
        <v>0</v>
      </c>
      <c r="AN8" s="115">
        <v>0</v>
      </c>
      <c r="AO8" s="115">
        <v>0</v>
      </c>
      <c r="AP8" s="115">
        <v>0</v>
      </c>
      <c r="AQ8" s="115">
        <v>0</v>
      </c>
      <c r="AR8" s="115">
        <v>0</v>
      </c>
      <c r="AS8" s="115">
        <v>0</v>
      </c>
      <c r="AT8" s="115">
        <v>0</v>
      </c>
      <c r="AU8" s="115">
        <v>0</v>
      </c>
      <c r="AV8" s="115">
        <v>0</v>
      </c>
      <c r="AW8" s="115">
        <v>0</v>
      </c>
      <c r="AX8" s="115">
        <v>0</v>
      </c>
      <c r="AY8" s="115">
        <v>0</v>
      </c>
    </row>
    <row r="9" spans="1:51">
      <c r="A9" s="1" t="s">
        <v>1309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5">
        <v>0</v>
      </c>
      <c r="AD9" s="115">
        <v>0</v>
      </c>
      <c r="AE9" s="115">
        <v>0</v>
      </c>
      <c r="AF9" s="115">
        <v>0</v>
      </c>
      <c r="AG9" s="115">
        <v>0</v>
      </c>
      <c r="AH9" s="115">
        <v>0</v>
      </c>
      <c r="AI9" s="115">
        <v>0</v>
      </c>
      <c r="AJ9" s="115">
        <v>0</v>
      </c>
      <c r="AK9" s="115">
        <v>0</v>
      </c>
      <c r="AL9" s="115">
        <v>0</v>
      </c>
      <c r="AM9" s="115">
        <v>0</v>
      </c>
      <c r="AN9" s="115">
        <v>0</v>
      </c>
      <c r="AO9" s="115">
        <v>0</v>
      </c>
      <c r="AP9" s="115">
        <v>0</v>
      </c>
      <c r="AQ9" s="115">
        <v>0</v>
      </c>
      <c r="AR9" s="115">
        <v>0</v>
      </c>
      <c r="AS9" s="115">
        <v>0</v>
      </c>
      <c r="AT9" s="115">
        <v>0</v>
      </c>
      <c r="AU9" s="115">
        <v>0</v>
      </c>
      <c r="AV9" s="115">
        <v>0</v>
      </c>
      <c r="AW9" s="115">
        <v>0</v>
      </c>
      <c r="AX9" s="115">
        <v>0</v>
      </c>
      <c r="AY9" s="115">
        <v>0</v>
      </c>
    </row>
    <row r="10" spans="1:51">
      <c r="A10" s="1" t="s">
        <v>1310</v>
      </c>
      <c r="B10" s="115">
        <v>0</v>
      </c>
      <c r="C10" s="115">
        <v>0</v>
      </c>
      <c r="D10" s="115"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5">
        <v>0</v>
      </c>
      <c r="AD10" s="115">
        <v>0</v>
      </c>
      <c r="AE10" s="115">
        <v>0</v>
      </c>
      <c r="AF10" s="115">
        <v>0</v>
      </c>
      <c r="AG10" s="115">
        <v>0</v>
      </c>
      <c r="AH10" s="115">
        <v>0</v>
      </c>
      <c r="AI10" s="115">
        <v>0</v>
      </c>
      <c r="AJ10" s="115">
        <v>0</v>
      </c>
      <c r="AK10" s="115">
        <v>0</v>
      </c>
      <c r="AL10" s="115">
        <v>0</v>
      </c>
      <c r="AM10" s="115">
        <v>0</v>
      </c>
      <c r="AN10" s="115">
        <v>0</v>
      </c>
      <c r="AO10" s="115">
        <v>0</v>
      </c>
      <c r="AP10" s="115">
        <v>0</v>
      </c>
      <c r="AQ10" s="115">
        <v>0</v>
      </c>
      <c r="AR10" s="115">
        <v>0</v>
      </c>
      <c r="AS10" s="115">
        <v>0</v>
      </c>
      <c r="AT10" s="115">
        <v>0</v>
      </c>
      <c r="AU10" s="115">
        <v>0</v>
      </c>
      <c r="AV10" s="115">
        <v>0</v>
      </c>
      <c r="AW10" s="115">
        <v>0</v>
      </c>
      <c r="AX10" s="115">
        <v>0</v>
      </c>
      <c r="AY10" s="115">
        <v>0</v>
      </c>
    </row>
    <row r="11" spans="1:51">
      <c r="A11" s="1" t="s">
        <v>1311</v>
      </c>
      <c r="B11" s="115">
        <v>0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5">
        <v>0</v>
      </c>
      <c r="AD11" s="115">
        <v>0</v>
      </c>
      <c r="AE11" s="115">
        <v>0</v>
      </c>
      <c r="AF11" s="115">
        <v>0</v>
      </c>
      <c r="AG11" s="115">
        <v>0</v>
      </c>
      <c r="AH11" s="115">
        <v>0</v>
      </c>
      <c r="AI11" s="115">
        <v>0</v>
      </c>
      <c r="AJ11" s="115">
        <v>0</v>
      </c>
      <c r="AK11" s="115">
        <v>0</v>
      </c>
      <c r="AL11" s="115">
        <v>0</v>
      </c>
      <c r="AM11" s="115">
        <v>0</v>
      </c>
      <c r="AN11" s="115">
        <v>0</v>
      </c>
      <c r="AO11" s="115">
        <v>0</v>
      </c>
      <c r="AP11" s="115">
        <v>0</v>
      </c>
      <c r="AQ11" s="115">
        <v>0</v>
      </c>
      <c r="AR11" s="115">
        <v>0</v>
      </c>
      <c r="AS11" s="115">
        <v>0</v>
      </c>
      <c r="AT11" s="115">
        <v>0</v>
      </c>
      <c r="AU11" s="115">
        <v>0</v>
      </c>
      <c r="AV11" s="115">
        <v>0</v>
      </c>
      <c r="AW11" s="115">
        <v>0</v>
      </c>
      <c r="AX11" s="115">
        <v>0</v>
      </c>
      <c r="AY11" s="11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-0.249977111117893"/>
  </sheetPr>
  <dimension ref="A1:BB11"/>
  <sheetViews>
    <sheetView topLeftCell="AQ1" zoomScaleNormal="100" workbookViewId="0">
      <selection activeCell="AK6" sqref="AK6"/>
    </sheetView>
  </sheetViews>
  <sheetFormatPr defaultRowHeight="15"/>
  <cols>
    <col min="1" max="1" width="29.85546875" customWidth="1"/>
    <col min="2" max="33" width="10" customWidth="1"/>
    <col min="34" max="35" width="11.28515625" customWidth="1"/>
    <col min="36" max="36" width="11.7109375" customWidth="1"/>
    <col min="37" max="37" width="12.28515625" customWidth="1"/>
  </cols>
  <sheetData>
    <row r="1" spans="1:54">
      <c r="A1" s="116" t="s">
        <v>1302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>
        <v>2051</v>
      </c>
      <c r="AI1" s="1">
        <v>2052</v>
      </c>
      <c r="AJ1" s="1">
        <v>2053</v>
      </c>
      <c r="AK1" s="1">
        <v>2054</v>
      </c>
      <c r="AL1" s="1">
        <v>2055</v>
      </c>
      <c r="AM1" s="1">
        <v>2056</v>
      </c>
      <c r="AN1" s="1">
        <v>2057</v>
      </c>
      <c r="AO1" s="1">
        <v>2058</v>
      </c>
      <c r="AP1" s="1">
        <v>2059</v>
      </c>
      <c r="AQ1" s="1">
        <v>2060</v>
      </c>
      <c r="AR1" s="1">
        <v>2061</v>
      </c>
      <c r="AS1" s="1">
        <v>2062</v>
      </c>
      <c r="AT1" s="1">
        <v>2063</v>
      </c>
      <c r="AU1" s="1">
        <v>2064</v>
      </c>
      <c r="AV1" s="1">
        <v>2065</v>
      </c>
      <c r="AW1" s="1">
        <v>2066</v>
      </c>
      <c r="AX1" s="1">
        <v>2067</v>
      </c>
      <c r="AY1" s="1">
        <v>2068</v>
      </c>
      <c r="AZ1" s="1">
        <v>2069</v>
      </c>
      <c r="BA1" s="1">
        <v>2070</v>
      </c>
    </row>
    <row r="2" spans="1:54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1</v>
      </c>
      <c r="AI2" s="119">
        <v>2</v>
      </c>
      <c r="AJ2" s="119">
        <v>3</v>
      </c>
      <c r="AK2" s="119">
        <v>4</v>
      </c>
      <c r="AL2" s="119">
        <v>5</v>
      </c>
      <c r="AM2" s="119">
        <v>6</v>
      </c>
      <c r="AN2" s="119">
        <v>7</v>
      </c>
      <c r="AO2" s="119">
        <v>8</v>
      </c>
      <c r="AP2" s="119">
        <v>9</v>
      </c>
      <c r="AQ2" s="119">
        <v>10</v>
      </c>
      <c r="AR2" s="119">
        <v>11</v>
      </c>
      <c r="AS2" s="119">
        <v>12</v>
      </c>
      <c r="AT2" s="119">
        <v>13</v>
      </c>
      <c r="AU2" s="119">
        <v>14</v>
      </c>
      <c r="AV2" s="119">
        <v>15</v>
      </c>
      <c r="AW2" s="119">
        <v>16</v>
      </c>
      <c r="AX2" s="119">
        <v>17</v>
      </c>
      <c r="AY2" s="119">
        <v>18</v>
      </c>
      <c r="AZ2" s="119">
        <v>19</v>
      </c>
      <c r="BA2" s="119">
        <v>20</v>
      </c>
      <c r="BB2" s="119"/>
    </row>
    <row r="3" spans="1:54">
      <c r="A3" s="1" t="s">
        <v>1304</v>
      </c>
      <c r="B3" s="119">
        <f>B4</f>
        <v>3.8001410916768301E-6</v>
      </c>
      <c r="C3" s="119">
        <f>B3</f>
        <v>3.8001410916768301E-6</v>
      </c>
      <c r="D3" s="119">
        <f>C3</f>
        <v>3.8001410916768301E-6</v>
      </c>
      <c r="E3" s="119">
        <f t="shared" ref="E3:AG11" si="0">D3</f>
        <v>3.8001410916768301E-6</v>
      </c>
      <c r="F3" s="119">
        <f t="shared" si="0"/>
        <v>3.8001410916768301E-6</v>
      </c>
      <c r="G3" s="119">
        <f t="shared" si="0"/>
        <v>3.8001410916768301E-6</v>
      </c>
      <c r="H3" s="119">
        <f t="shared" si="0"/>
        <v>3.8001410916768301E-6</v>
      </c>
      <c r="I3" s="119">
        <f t="shared" si="0"/>
        <v>3.8001410916768301E-6</v>
      </c>
      <c r="J3" s="119">
        <f t="shared" si="0"/>
        <v>3.8001410916768301E-6</v>
      </c>
      <c r="K3" s="119">
        <f t="shared" si="0"/>
        <v>3.8001410916768301E-6</v>
      </c>
      <c r="L3" s="119">
        <f t="shared" si="0"/>
        <v>3.8001410916768301E-6</v>
      </c>
      <c r="M3" s="119">
        <f t="shared" si="0"/>
        <v>3.8001410916768301E-6</v>
      </c>
      <c r="N3" s="119">
        <f t="shared" si="0"/>
        <v>3.8001410916768301E-6</v>
      </c>
      <c r="O3" s="119">
        <f t="shared" si="0"/>
        <v>3.8001410916768301E-6</v>
      </c>
      <c r="P3" s="119">
        <f t="shared" si="0"/>
        <v>3.8001410916768301E-6</v>
      </c>
      <c r="Q3" s="119">
        <f t="shared" si="0"/>
        <v>3.8001410916768301E-6</v>
      </c>
      <c r="R3" s="119">
        <f t="shared" si="0"/>
        <v>3.8001410916768301E-6</v>
      </c>
      <c r="S3" s="119">
        <f t="shared" si="0"/>
        <v>3.8001410916768301E-6</v>
      </c>
      <c r="T3" s="119">
        <f t="shared" si="0"/>
        <v>3.8001410916768301E-6</v>
      </c>
      <c r="U3" s="119">
        <f t="shared" si="0"/>
        <v>3.8001410916768301E-6</v>
      </c>
      <c r="V3" s="119">
        <f t="shared" si="0"/>
        <v>3.8001410916768301E-6</v>
      </c>
      <c r="W3" s="119">
        <f t="shared" si="0"/>
        <v>3.8001410916768301E-6</v>
      </c>
      <c r="X3" s="119">
        <f t="shared" si="0"/>
        <v>3.8001410916768301E-6</v>
      </c>
      <c r="Y3" s="119">
        <f t="shared" si="0"/>
        <v>3.8001410916768301E-6</v>
      </c>
      <c r="Z3" s="119">
        <f t="shared" si="0"/>
        <v>3.8001410916768301E-6</v>
      </c>
      <c r="AA3" s="119">
        <f t="shared" si="0"/>
        <v>3.8001410916768301E-6</v>
      </c>
      <c r="AB3" s="119">
        <f t="shared" si="0"/>
        <v>3.8001410916768301E-6</v>
      </c>
      <c r="AC3" s="119">
        <f t="shared" si="0"/>
        <v>3.8001410916768301E-6</v>
      </c>
      <c r="AD3" s="119">
        <f t="shared" si="0"/>
        <v>3.8001410916768301E-6</v>
      </c>
      <c r="AE3" s="119">
        <f t="shared" si="0"/>
        <v>3.8001410916768301E-6</v>
      </c>
      <c r="AF3" s="119">
        <f t="shared" si="0"/>
        <v>3.8001410916768301E-6</v>
      </c>
      <c r="AG3" s="119">
        <f t="shared" si="0"/>
        <v>3.8001410916768301E-6</v>
      </c>
      <c r="AH3" s="119">
        <f t="shared" ref="AH3:AH11" si="1">AG3</f>
        <v>3.8001410916768301E-6</v>
      </c>
      <c r="AI3" s="119">
        <f t="shared" ref="AI3:AI11" si="2">AH3</f>
        <v>3.8001410916768301E-6</v>
      </c>
      <c r="AJ3" s="119">
        <f t="shared" ref="AJ3:AJ11" si="3">AI3</f>
        <v>3.8001410916768301E-6</v>
      </c>
      <c r="AK3" s="119">
        <f t="shared" ref="AK3:AK11" si="4">AJ3</f>
        <v>3.8001410916768301E-6</v>
      </c>
      <c r="AL3" s="119">
        <f t="shared" ref="AL3:AL11" si="5">AK3</f>
        <v>3.8001410916768301E-6</v>
      </c>
      <c r="AM3" s="119">
        <f t="shared" ref="AM3:AM11" si="6">AL3</f>
        <v>3.8001410916768301E-6</v>
      </c>
      <c r="AN3" s="119">
        <f t="shared" ref="AN3:AN11" si="7">AM3</f>
        <v>3.8001410916768301E-6</v>
      </c>
      <c r="AO3" s="119">
        <f t="shared" ref="AO3:AO11" si="8">AN3</f>
        <v>3.8001410916768301E-6</v>
      </c>
      <c r="AP3" s="119">
        <f t="shared" ref="AP3:AP11" si="9">AO3</f>
        <v>3.8001410916768301E-6</v>
      </c>
      <c r="AQ3" s="119">
        <f t="shared" ref="AQ3:AQ11" si="10">AP3</f>
        <v>3.8001410916768301E-6</v>
      </c>
      <c r="AR3" s="119">
        <f t="shared" ref="AR3:AR11" si="11">AQ3</f>
        <v>3.8001410916768301E-6</v>
      </c>
      <c r="AS3" s="119">
        <f t="shared" ref="AS3:AS11" si="12">AR3</f>
        <v>3.8001410916768301E-6</v>
      </c>
      <c r="AT3" s="119">
        <f t="shared" ref="AT3:AT11" si="13">AS3</f>
        <v>3.8001410916768301E-6</v>
      </c>
      <c r="AU3" s="119">
        <f t="shared" ref="AU3:AU11" si="14">AT3</f>
        <v>3.8001410916768301E-6</v>
      </c>
      <c r="AV3" s="119">
        <f t="shared" ref="AV3:AV11" si="15">AU3</f>
        <v>3.8001410916768301E-6</v>
      </c>
      <c r="AW3" s="119">
        <f t="shared" ref="AW3:AW11" si="16">AV3</f>
        <v>3.8001410916768301E-6</v>
      </c>
      <c r="AX3" s="119">
        <f t="shared" ref="AX3:AX11" si="17">AW3</f>
        <v>3.8001410916768301E-6</v>
      </c>
      <c r="AY3" s="119">
        <f t="shared" ref="AY3:AY11" si="18">AX3</f>
        <v>3.8001410916768301E-6</v>
      </c>
      <c r="AZ3" s="119">
        <f t="shared" ref="AZ3:AZ11" si="19">AY3</f>
        <v>3.8001410916768301E-6</v>
      </c>
      <c r="BA3" s="119">
        <f t="shared" ref="BA3:BA11" si="20">AZ3</f>
        <v>3.8001410916768301E-6</v>
      </c>
      <c r="BB3" s="119"/>
    </row>
    <row r="4" spans="1:54">
      <c r="A4" s="1" t="s">
        <v>671</v>
      </c>
      <c r="B4" s="119">
        <f>Calculations!B37*'GDP per capita'!BL112/'GDP per capita'!BL254</f>
        <v>3.8001410916768301E-6</v>
      </c>
      <c r="C4" s="119">
        <f t="shared" ref="C4:R11" si="21">B4</f>
        <v>3.8001410916768301E-6</v>
      </c>
      <c r="D4" s="119">
        <f t="shared" ref="D4:D11" si="22">C4</f>
        <v>3.8001410916768301E-6</v>
      </c>
      <c r="E4" s="119">
        <f t="shared" si="21"/>
        <v>3.8001410916768301E-6</v>
      </c>
      <c r="F4" s="119">
        <f t="shared" si="21"/>
        <v>3.8001410916768301E-6</v>
      </c>
      <c r="G4" s="119">
        <f t="shared" si="21"/>
        <v>3.8001410916768301E-6</v>
      </c>
      <c r="H4" s="119">
        <f t="shared" si="21"/>
        <v>3.8001410916768301E-6</v>
      </c>
      <c r="I4" s="119">
        <f t="shared" si="21"/>
        <v>3.8001410916768301E-6</v>
      </c>
      <c r="J4" s="119">
        <f t="shared" si="21"/>
        <v>3.8001410916768301E-6</v>
      </c>
      <c r="K4" s="119">
        <f t="shared" si="21"/>
        <v>3.8001410916768301E-6</v>
      </c>
      <c r="L4" s="119">
        <f t="shared" si="21"/>
        <v>3.8001410916768301E-6</v>
      </c>
      <c r="M4" s="119">
        <f t="shared" si="21"/>
        <v>3.8001410916768301E-6</v>
      </c>
      <c r="N4" s="119">
        <f t="shared" si="21"/>
        <v>3.8001410916768301E-6</v>
      </c>
      <c r="O4" s="119">
        <f t="shared" si="21"/>
        <v>3.8001410916768301E-6</v>
      </c>
      <c r="P4" s="119">
        <f t="shared" si="21"/>
        <v>3.8001410916768301E-6</v>
      </c>
      <c r="Q4" s="119">
        <f t="shared" si="21"/>
        <v>3.8001410916768301E-6</v>
      </c>
      <c r="R4" s="119">
        <f t="shared" si="21"/>
        <v>3.8001410916768301E-6</v>
      </c>
      <c r="S4" s="119">
        <f t="shared" si="0"/>
        <v>3.8001410916768301E-6</v>
      </c>
      <c r="T4" s="119">
        <f t="shared" si="0"/>
        <v>3.8001410916768301E-6</v>
      </c>
      <c r="U4" s="119">
        <f t="shared" si="0"/>
        <v>3.8001410916768301E-6</v>
      </c>
      <c r="V4" s="119">
        <f t="shared" si="0"/>
        <v>3.8001410916768301E-6</v>
      </c>
      <c r="W4" s="119">
        <f t="shared" si="0"/>
        <v>3.8001410916768301E-6</v>
      </c>
      <c r="X4" s="119">
        <f t="shared" si="0"/>
        <v>3.8001410916768301E-6</v>
      </c>
      <c r="Y4" s="119">
        <f t="shared" si="0"/>
        <v>3.8001410916768301E-6</v>
      </c>
      <c r="Z4" s="119">
        <f t="shared" si="0"/>
        <v>3.8001410916768301E-6</v>
      </c>
      <c r="AA4" s="119">
        <f t="shared" si="0"/>
        <v>3.8001410916768301E-6</v>
      </c>
      <c r="AB4" s="119">
        <f t="shared" si="0"/>
        <v>3.8001410916768301E-6</v>
      </c>
      <c r="AC4" s="119">
        <f t="shared" si="0"/>
        <v>3.8001410916768301E-6</v>
      </c>
      <c r="AD4" s="119">
        <f t="shared" si="0"/>
        <v>3.8001410916768301E-6</v>
      </c>
      <c r="AE4" s="119">
        <f t="shared" si="0"/>
        <v>3.8001410916768301E-6</v>
      </c>
      <c r="AF4" s="119">
        <f t="shared" si="0"/>
        <v>3.8001410916768301E-6</v>
      </c>
      <c r="AG4" s="119">
        <f t="shared" si="0"/>
        <v>3.8001410916768301E-6</v>
      </c>
      <c r="AH4" s="119">
        <f t="shared" si="1"/>
        <v>3.8001410916768301E-6</v>
      </c>
      <c r="AI4" s="119">
        <f t="shared" si="2"/>
        <v>3.8001410916768301E-6</v>
      </c>
      <c r="AJ4" s="119">
        <f t="shared" si="3"/>
        <v>3.8001410916768301E-6</v>
      </c>
      <c r="AK4" s="119">
        <f t="shared" si="4"/>
        <v>3.8001410916768301E-6</v>
      </c>
      <c r="AL4" s="119">
        <f t="shared" si="5"/>
        <v>3.8001410916768301E-6</v>
      </c>
      <c r="AM4" s="119">
        <f t="shared" si="6"/>
        <v>3.8001410916768301E-6</v>
      </c>
      <c r="AN4" s="119">
        <f t="shared" si="7"/>
        <v>3.8001410916768301E-6</v>
      </c>
      <c r="AO4" s="119">
        <f t="shared" si="8"/>
        <v>3.8001410916768301E-6</v>
      </c>
      <c r="AP4" s="119">
        <f t="shared" si="9"/>
        <v>3.8001410916768301E-6</v>
      </c>
      <c r="AQ4" s="119">
        <f t="shared" si="10"/>
        <v>3.8001410916768301E-6</v>
      </c>
      <c r="AR4" s="119">
        <f t="shared" si="11"/>
        <v>3.8001410916768301E-6</v>
      </c>
      <c r="AS4" s="119">
        <f t="shared" si="12"/>
        <v>3.8001410916768301E-6</v>
      </c>
      <c r="AT4" s="119">
        <f t="shared" si="13"/>
        <v>3.8001410916768301E-6</v>
      </c>
      <c r="AU4" s="119">
        <f t="shared" si="14"/>
        <v>3.8001410916768301E-6</v>
      </c>
      <c r="AV4" s="119">
        <f t="shared" si="15"/>
        <v>3.8001410916768301E-6</v>
      </c>
      <c r="AW4" s="119">
        <f t="shared" si="16"/>
        <v>3.8001410916768301E-6</v>
      </c>
      <c r="AX4" s="119">
        <f t="shared" si="17"/>
        <v>3.8001410916768301E-6</v>
      </c>
      <c r="AY4" s="119">
        <f t="shared" si="18"/>
        <v>3.8001410916768301E-6</v>
      </c>
      <c r="AZ4" s="119">
        <f t="shared" si="19"/>
        <v>3.8001410916768301E-6</v>
      </c>
      <c r="BA4" s="119">
        <f t="shared" si="20"/>
        <v>3.8001410916768301E-6</v>
      </c>
      <c r="BB4" s="119"/>
    </row>
    <row r="5" spans="1:54">
      <c r="A5" s="1" t="s">
        <v>1305</v>
      </c>
      <c r="B5" s="119">
        <f>Calculations!B38*'GDP per capita'!BL112/'GDP per capita'!BL254</f>
        <v>3.8293006827142297E-6</v>
      </c>
      <c r="C5" s="119">
        <f t="shared" si="21"/>
        <v>3.8293006827142297E-6</v>
      </c>
      <c r="D5" s="119">
        <f t="shared" si="22"/>
        <v>3.8293006827142297E-6</v>
      </c>
      <c r="E5" s="119">
        <f t="shared" si="0"/>
        <v>3.8293006827142297E-6</v>
      </c>
      <c r="F5" s="119">
        <f t="shared" si="0"/>
        <v>3.8293006827142297E-6</v>
      </c>
      <c r="G5" s="119">
        <f t="shared" si="0"/>
        <v>3.8293006827142297E-6</v>
      </c>
      <c r="H5" s="119">
        <f t="shared" si="0"/>
        <v>3.8293006827142297E-6</v>
      </c>
      <c r="I5" s="119">
        <f t="shared" si="0"/>
        <v>3.8293006827142297E-6</v>
      </c>
      <c r="J5" s="119">
        <f t="shared" si="0"/>
        <v>3.8293006827142297E-6</v>
      </c>
      <c r="K5" s="119">
        <f t="shared" si="0"/>
        <v>3.8293006827142297E-6</v>
      </c>
      <c r="L5" s="119">
        <f t="shared" si="0"/>
        <v>3.8293006827142297E-6</v>
      </c>
      <c r="M5" s="119">
        <f t="shared" si="0"/>
        <v>3.8293006827142297E-6</v>
      </c>
      <c r="N5" s="119">
        <f t="shared" si="0"/>
        <v>3.8293006827142297E-6</v>
      </c>
      <c r="O5" s="119">
        <f t="shared" si="0"/>
        <v>3.8293006827142297E-6</v>
      </c>
      <c r="P5" s="119">
        <f t="shared" si="0"/>
        <v>3.8293006827142297E-6</v>
      </c>
      <c r="Q5" s="119">
        <f t="shared" si="0"/>
        <v>3.8293006827142297E-6</v>
      </c>
      <c r="R5" s="119">
        <f t="shared" si="0"/>
        <v>3.8293006827142297E-6</v>
      </c>
      <c r="S5" s="119">
        <f t="shared" si="0"/>
        <v>3.8293006827142297E-6</v>
      </c>
      <c r="T5" s="119">
        <f t="shared" si="0"/>
        <v>3.8293006827142297E-6</v>
      </c>
      <c r="U5" s="119">
        <f t="shared" si="0"/>
        <v>3.8293006827142297E-6</v>
      </c>
      <c r="V5" s="119">
        <f t="shared" si="0"/>
        <v>3.8293006827142297E-6</v>
      </c>
      <c r="W5" s="119">
        <f t="shared" si="0"/>
        <v>3.8293006827142297E-6</v>
      </c>
      <c r="X5" s="119">
        <f t="shared" si="0"/>
        <v>3.8293006827142297E-6</v>
      </c>
      <c r="Y5" s="119">
        <f t="shared" si="0"/>
        <v>3.8293006827142297E-6</v>
      </c>
      <c r="Z5" s="119">
        <f t="shared" si="0"/>
        <v>3.8293006827142297E-6</v>
      </c>
      <c r="AA5" s="119">
        <f t="shared" si="0"/>
        <v>3.8293006827142297E-6</v>
      </c>
      <c r="AB5" s="119">
        <f t="shared" si="0"/>
        <v>3.8293006827142297E-6</v>
      </c>
      <c r="AC5" s="119">
        <f t="shared" si="0"/>
        <v>3.8293006827142297E-6</v>
      </c>
      <c r="AD5" s="119">
        <f t="shared" si="0"/>
        <v>3.8293006827142297E-6</v>
      </c>
      <c r="AE5" s="119">
        <f t="shared" si="0"/>
        <v>3.8293006827142297E-6</v>
      </c>
      <c r="AF5" s="119">
        <f t="shared" si="0"/>
        <v>3.8293006827142297E-6</v>
      </c>
      <c r="AG5" s="119">
        <f t="shared" si="0"/>
        <v>3.8293006827142297E-6</v>
      </c>
      <c r="AH5" s="119">
        <f t="shared" si="1"/>
        <v>3.8293006827142297E-6</v>
      </c>
      <c r="AI5" s="119">
        <f t="shared" si="2"/>
        <v>3.8293006827142297E-6</v>
      </c>
      <c r="AJ5" s="119">
        <f t="shared" si="3"/>
        <v>3.8293006827142297E-6</v>
      </c>
      <c r="AK5" s="119">
        <f t="shared" si="4"/>
        <v>3.8293006827142297E-6</v>
      </c>
      <c r="AL5" s="119">
        <f t="shared" si="5"/>
        <v>3.8293006827142297E-6</v>
      </c>
      <c r="AM5" s="119">
        <f t="shared" si="6"/>
        <v>3.8293006827142297E-6</v>
      </c>
      <c r="AN5" s="119">
        <f t="shared" si="7"/>
        <v>3.8293006827142297E-6</v>
      </c>
      <c r="AO5" s="119">
        <f t="shared" si="8"/>
        <v>3.8293006827142297E-6</v>
      </c>
      <c r="AP5" s="119">
        <f t="shared" si="9"/>
        <v>3.8293006827142297E-6</v>
      </c>
      <c r="AQ5" s="119">
        <f t="shared" si="10"/>
        <v>3.8293006827142297E-6</v>
      </c>
      <c r="AR5" s="119">
        <f t="shared" si="11"/>
        <v>3.8293006827142297E-6</v>
      </c>
      <c r="AS5" s="119">
        <f t="shared" si="12"/>
        <v>3.8293006827142297E-6</v>
      </c>
      <c r="AT5" s="119">
        <f t="shared" si="13"/>
        <v>3.8293006827142297E-6</v>
      </c>
      <c r="AU5" s="119">
        <f t="shared" si="14"/>
        <v>3.8293006827142297E-6</v>
      </c>
      <c r="AV5" s="119">
        <f t="shared" si="15"/>
        <v>3.8293006827142297E-6</v>
      </c>
      <c r="AW5" s="119">
        <f t="shared" si="16"/>
        <v>3.8293006827142297E-6</v>
      </c>
      <c r="AX5" s="119">
        <f t="shared" si="17"/>
        <v>3.8293006827142297E-6</v>
      </c>
      <c r="AY5" s="119">
        <f t="shared" si="18"/>
        <v>3.8293006827142297E-6</v>
      </c>
      <c r="AZ5" s="119">
        <f t="shared" si="19"/>
        <v>3.8293006827142297E-6</v>
      </c>
      <c r="BA5" s="119">
        <f t="shared" si="20"/>
        <v>3.8293006827142297E-6</v>
      </c>
      <c r="BB5" s="119"/>
    </row>
    <row r="6" spans="1:54">
      <c r="A6" s="1" t="s">
        <v>1306</v>
      </c>
      <c r="B6" s="119">
        <f>B4</f>
        <v>3.8001410916768301E-6</v>
      </c>
      <c r="C6" s="119">
        <f t="shared" si="21"/>
        <v>3.8001410916768301E-6</v>
      </c>
      <c r="D6" s="119">
        <f t="shared" si="22"/>
        <v>3.8001410916768301E-6</v>
      </c>
      <c r="E6" s="119">
        <f t="shared" si="0"/>
        <v>3.8001410916768301E-6</v>
      </c>
      <c r="F6" s="119">
        <f t="shared" si="0"/>
        <v>3.8001410916768301E-6</v>
      </c>
      <c r="G6" s="119">
        <f t="shared" si="0"/>
        <v>3.8001410916768301E-6</v>
      </c>
      <c r="H6" s="119">
        <f t="shared" si="0"/>
        <v>3.8001410916768301E-6</v>
      </c>
      <c r="I6" s="119">
        <f t="shared" si="0"/>
        <v>3.8001410916768301E-6</v>
      </c>
      <c r="J6" s="119">
        <f t="shared" si="0"/>
        <v>3.8001410916768301E-6</v>
      </c>
      <c r="K6" s="119">
        <f t="shared" si="0"/>
        <v>3.8001410916768301E-6</v>
      </c>
      <c r="L6" s="119">
        <f t="shared" si="0"/>
        <v>3.8001410916768301E-6</v>
      </c>
      <c r="M6" s="119">
        <f t="shared" si="0"/>
        <v>3.8001410916768301E-6</v>
      </c>
      <c r="N6" s="119">
        <f t="shared" si="0"/>
        <v>3.8001410916768301E-6</v>
      </c>
      <c r="O6" s="119">
        <f t="shared" si="0"/>
        <v>3.8001410916768301E-6</v>
      </c>
      <c r="P6" s="119">
        <f t="shared" si="0"/>
        <v>3.8001410916768301E-6</v>
      </c>
      <c r="Q6" s="119">
        <f t="shared" si="0"/>
        <v>3.8001410916768301E-6</v>
      </c>
      <c r="R6" s="119">
        <f t="shared" si="0"/>
        <v>3.8001410916768301E-6</v>
      </c>
      <c r="S6" s="119">
        <f t="shared" si="0"/>
        <v>3.8001410916768301E-6</v>
      </c>
      <c r="T6" s="119">
        <f t="shared" si="0"/>
        <v>3.8001410916768301E-6</v>
      </c>
      <c r="U6" s="119">
        <f t="shared" si="0"/>
        <v>3.8001410916768301E-6</v>
      </c>
      <c r="V6" s="119">
        <f t="shared" si="0"/>
        <v>3.8001410916768301E-6</v>
      </c>
      <c r="W6" s="119">
        <f t="shared" si="0"/>
        <v>3.8001410916768301E-6</v>
      </c>
      <c r="X6" s="119">
        <f t="shared" si="0"/>
        <v>3.8001410916768301E-6</v>
      </c>
      <c r="Y6" s="119">
        <f t="shared" si="0"/>
        <v>3.8001410916768301E-6</v>
      </c>
      <c r="Z6" s="119">
        <f t="shared" si="0"/>
        <v>3.8001410916768301E-6</v>
      </c>
      <c r="AA6" s="119">
        <f t="shared" si="0"/>
        <v>3.8001410916768301E-6</v>
      </c>
      <c r="AB6" s="119">
        <f t="shared" si="0"/>
        <v>3.8001410916768301E-6</v>
      </c>
      <c r="AC6" s="119">
        <f t="shared" si="0"/>
        <v>3.8001410916768301E-6</v>
      </c>
      <c r="AD6" s="119">
        <f t="shared" si="0"/>
        <v>3.8001410916768301E-6</v>
      </c>
      <c r="AE6" s="119">
        <f t="shared" si="0"/>
        <v>3.8001410916768301E-6</v>
      </c>
      <c r="AF6" s="119">
        <f t="shared" si="0"/>
        <v>3.8001410916768301E-6</v>
      </c>
      <c r="AG6" s="119">
        <f t="shared" si="0"/>
        <v>3.8001410916768301E-6</v>
      </c>
      <c r="AH6" s="119">
        <f t="shared" si="1"/>
        <v>3.8001410916768301E-6</v>
      </c>
      <c r="AI6" s="119">
        <f t="shared" si="2"/>
        <v>3.8001410916768301E-6</v>
      </c>
      <c r="AJ6" s="119">
        <f t="shared" si="3"/>
        <v>3.8001410916768301E-6</v>
      </c>
      <c r="AK6" s="119">
        <f t="shared" si="4"/>
        <v>3.8001410916768301E-6</v>
      </c>
      <c r="AL6" s="119">
        <f t="shared" si="5"/>
        <v>3.8001410916768301E-6</v>
      </c>
      <c r="AM6" s="119">
        <f t="shared" si="6"/>
        <v>3.8001410916768301E-6</v>
      </c>
      <c r="AN6" s="119">
        <f t="shared" si="7"/>
        <v>3.8001410916768301E-6</v>
      </c>
      <c r="AO6" s="119">
        <f t="shared" si="8"/>
        <v>3.8001410916768301E-6</v>
      </c>
      <c r="AP6" s="119">
        <f t="shared" si="9"/>
        <v>3.8001410916768301E-6</v>
      </c>
      <c r="AQ6" s="119">
        <f t="shared" si="10"/>
        <v>3.8001410916768301E-6</v>
      </c>
      <c r="AR6" s="119">
        <f t="shared" si="11"/>
        <v>3.8001410916768301E-6</v>
      </c>
      <c r="AS6" s="119">
        <f t="shared" si="12"/>
        <v>3.8001410916768301E-6</v>
      </c>
      <c r="AT6" s="119">
        <f t="shared" si="13"/>
        <v>3.8001410916768301E-6</v>
      </c>
      <c r="AU6" s="119">
        <f t="shared" si="14"/>
        <v>3.8001410916768301E-6</v>
      </c>
      <c r="AV6" s="119">
        <f t="shared" si="15"/>
        <v>3.8001410916768301E-6</v>
      </c>
      <c r="AW6" s="119">
        <f t="shared" si="16"/>
        <v>3.8001410916768301E-6</v>
      </c>
      <c r="AX6" s="119">
        <f t="shared" si="17"/>
        <v>3.8001410916768301E-6</v>
      </c>
      <c r="AY6" s="119">
        <f t="shared" si="18"/>
        <v>3.8001410916768301E-6</v>
      </c>
      <c r="AZ6" s="119">
        <f t="shared" si="19"/>
        <v>3.8001410916768301E-6</v>
      </c>
      <c r="BA6" s="119">
        <f t="shared" si="20"/>
        <v>3.8001410916768301E-6</v>
      </c>
      <c r="BB6" s="119"/>
    </row>
    <row r="7" spans="1:54">
      <c r="A7" s="1" t="s">
        <v>1307</v>
      </c>
      <c r="B7" s="119">
        <f>B5</f>
        <v>3.8293006827142297E-6</v>
      </c>
      <c r="C7" s="119">
        <f t="shared" si="21"/>
        <v>3.8293006827142297E-6</v>
      </c>
      <c r="D7" s="119">
        <f t="shared" si="22"/>
        <v>3.8293006827142297E-6</v>
      </c>
      <c r="E7" s="119">
        <f t="shared" si="0"/>
        <v>3.8293006827142297E-6</v>
      </c>
      <c r="F7" s="119">
        <f t="shared" si="0"/>
        <v>3.8293006827142297E-6</v>
      </c>
      <c r="G7" s="119">
        <f t="shared" si="0"/>
        <v>3.8293006827142297E-6</v>
      </c>
      <c r="H7" s="119">
        <f t="shared" si="0"/>
        <v>3.8293006827142297E-6</v>
      </c>
      <c r="I7" s="119">
        <f t="shared" si="0"/>
        <v>3.8293006827142297E-6</v>
      </c>
      <c r="J7" s="119">
        <f t="shared" si="0"/>
        <v>3.8293006827142297E-6</v>
      </c>
      <c r="K7" s="119">
        <f t="shared" si="0"/>
        <v>3.8293006827142297E-6</v>
      </c>
      <c r="L7" s="119">
        <f t="shared" si="0"/>
        <v>3.8293006827142297E-6</v>
      </c>
      <c r="M7" s="119">
        <f t="shared" si="0"/>
        <v>3.8293006827142297E-6</v>
      </c>
      <c r="N7" s="119">
        <f t="shared" si="0"/>
        <v>3.8293006827142297E-6</v>
      </c>
      <c r="O7" s="119">
        <f t="shared" si="0"/>
        <v>3.8293006827142297E-6</v>
      </c>
      <c r="P7" s="119">
        <f t="shared" si="0"/>
        <v>3.8293006827142297E-6</v>
      </c>
      <c r="Q7" s="119">
        <f t="shared" si="0"/>
        <v>3.8293006827142297E-6</v>
      </c>
      <c r="R7" s="119">
        <f t="shared" si="0"/>
        <v>3.8293006827142297E-6</v>
      </c>
      <c r="S7" s="119">
        <f t="shared" si="0"/>
        <v>3.8293006827142297E-6</v>
      </c>
      <c r="T7" s="119">
        <f t="shared" si="0"/>
        <v>3.8293006827142297E-6</v>
      </c>
      <c r="U7" s="119">
        <f t="shared" si="0"/>
        <v>3.8293006827142297E-6</v>
      </c>
      <c r="V7" s="119">
        <f t="shared" si="0"/>
        <v>3.8293006827142297E-6</v>
      </c>
      <c r="W7" s="119">
        <f t="shared" si="0"/>
        <v>3.8293006827142297E-6</v>
      </c>
      <c r="X7" s="119">
        <f t="shared" si="0"/>
        <v>3.8293006827142297E-6</v>
      </c>
      <c r="Y7" s="119">
        <f t="shared" si="0"/>
        <v>3.8293006827142297E-6</v>
      </c>
      <c r="Z7" s="119">
        <f t="shared" si="0"/>
        <v>3.8293006827142297E-6</v>
      </c>
      <c r="AA7" s="119">
        <f t="shared" si="0"/>
        <v>3.8293006827142297E-6</v>
      </c>
      <c r="AB7" s="119">
        <f t="shared" si="0"/>
        <v>3.8293006827142297E-6</v>
      </c>
      <c r="AC7" s="119">
        <f t="shared" si="0"/>
        <v>3.8293006827142297E-6</v>
      </c>
      <c r="AD7" s="119">
        <f t="shared" si="0"/>
        <v>3.8293006827142297E-6</v>
      </c>
      <c r="AE7" s="119">
        <f t="shared" si="0"/>
        <v>3.8293006827142297E-6</v>
      </c>
      <c r="AF7" s="119">
        <f t="shared" si="0"/>
        <v>3.8293006827142297E-6</v>
      </c>
      <c r="AG7" s="119">
        <f t="shared" si="0"/>
        <v>3.8293006827142297E-6</v>
      </c>
      <c r="AH7" s="119">
        <f t="shared" si="1"/>
        <v>3.8293006827142297E-6</v>
      </c>
      <c r="AI7" s="119">
        <f t="shared" si="2"/>
        <v>3.8293006827142297E-6</v>
      </c>
      <c r="AJ7" s="119">
        <f t="shared" si="3"/>
        <v>3.8293006827142297E-6</v>
      </c>
      <c r="AK7" s="119">
        <f t="shared" si="4"/>
        <v>3.8293006827142297E-6</v>
      </c>
      <c r="AL7" s="119">
        <f t="shared" si="5"/>
        <v>3.8293006827142297E-6</v>
      </c>
      <c r="AM7" s="119">
        <f t="shared" si="6"/>
        <v>3.8293006827142297E-6</v>
      </c>
      <c r="AN7" s="119">
        <f t="shared" si="7"/>
        <v>3.8293006827142297E-6</v>
      </c>
      <c r="AO7" s="119">
        <f t="shared" si="8"/>
        <v>3.8293006827142297E-6</v>
      </c>
      <c r="AP7" s="119">
        <f t="shared" si="9"/>
        <v>3.8293006827142297E-6</v>
      </c>
      <c r="AQ7" s="119">
        <f t="shared" si="10"/>
        <v>3.8293006827142297E-6</v>
      </c>
      <c r="AR7" s="119">
        <f t="shared" si="11"/>
        <v>3.8293006827142297E-6</v>
      </c>
      <c r="AS7" s="119">
        <f t="shared" si="12"/>
        <v>3.8293006827142297E-6</v>
      </c>
      <c r="AT7" s="119">
        <f t="shared" si="13"/>
        <v>3.8293006827142297E-6</v>
      </c>
      <c r="AU7" s="119">
        <f t="shared" si="14"/>
        <v>3.8293006827142297E-6</v>
      </c>
      <c r="AV7" s="119">
        <f t="shared" si="15"/>
        <v>3.8293006827142297E-6</v>
      </c>
      <c r="AW7" s="119">
        <f t="shared" si="16"/>
        <v>3.8293006827142297E-6</v>
      </c>
      <c r="AX7" s="119">
        <f t="shared" si="17"/>
        <v>3.8293006827142297E-6</v>
      </c>
      <c r="AY7" s="119">
        <f t="shared" si="18"/>
        <v>3.8293006827142297E-6</v>
      </c>
      <c r="AZ7" s="119">
        <f t="shared" si="19"/>
        <v>3.8293006827142297E-6</v>
      </c>
      <c r="BA7" s="119">
        <f t="shared" si="20"/>
        <v>3.8293006827142297E-6</v>
      </c>
      <c r="BB7" s="119"/>
    </row>
    <row r="8" spans="1:54">
      <c r="A8" s="1" t="s">
        <v>1308</v>
      </c>
      <c r="B8" s="119">
        <f>B5</f>
        <v>3.8293006827142297E-6</v>
      </c>
      <c r="C8" s="119">
        <f t="shared" si="21"/>
        <v>3.8293006827142297E-6</v>
      </c>
      <c r="D8" s="119">
        <f t="shared" si="22"/>
        <v>3.8293006827142297E-6</v>
      </c>
      <c r="E8" s="119">
        <f t="shared" si="0"/>
        <v>3.8293006827142297E-6</v>
      </c>
      <c r="F8" s="119">
        <f t="shared" si="0"/>
        <v>3.8293006827142297E-6</v>
      </c>
      <c r="G8" s="119">
        <f t="shared" si="0"/>
        <v>3.8293006827142297E-6</v>
      </c>
      <c r="H8" s="119">
        <f t="shared" si="0"/>
        <v>3.8293006827142297E-6</v>
      </c>
      <c r="I8" s="119">
        <f t="shared" si="0"/>
        <v>3.8293006827142297E-6</v>
      </c>
      <c r="J8" s="119">
        <f t="shared" si="0"/>
        <v>3.8293006827142297E-6</v>
      </c>
      <c r="K8" s="119">
        <f t="shared" si="0"/>
        <v>3.8293006827142297E-6</v>
      </c>
      <c r="L8" s="119">
        <f t="shared" si="0"/>
        <v>3.8293006827142297E-6</v>
      </c>
      <c r="M8" s="119">
        <f t="shared" si="0"/>
        <v>3.8293006827142297E-6</v>
      </c>
      <c r="N8" s="119">
        <f t="shared" si="0"/>
        <v>3.8293006827142297E-6</v>
      </c>
      <c r="O8" s="119">
        <f t="shared" si="0"/>
        <v>3.8293006827142297E-6</v>
      </c>
      <c r="P8" s="119">
        <f t="shared" si="0"/>
        <v>3.8293006827142297E-6</v>
      </c>
      <c r="Q8" s="119">
        <f t="shared" si="0"/>
        <v>3.8293006827142297E-6</v>
      </c>
      <c r="R8" s="119">
        <f t="shared" si="0"/>
        <v>3.8293006827142297E-6</v>
      </c>
      <c r="S8" s="119">
        <f t="shared" si="0"/>
        <v>3.8293006827142297E-6</v>
      </c>
      <c r="T8" s="119">
        <f t="shared" si="0"/>
        <v>3.8293006827142297E-6</v>
      </c>
      <c r="U8" s="119">
        <f t="shared" si="0"/>
        <v>3.8293006827142297E-6</v>
      </c>
      <c r="V8" s="119">
        <f t="shared" si="0"/>
        <v>3.8293006827142297E-6</v>
      </c>
      <c r="W8" s="119">
        <f t="shared" si="0"/>
        <v>3.8293006827142297E-6</v>
      </c>
      <c r="X8" s="119">
        <f t="shared" si="0"/>
        <v>3.8293006827142297E-6</v>
      </c>
      <c r="Y8" s="119">
        <f t="shared" si="0"/>
        <v>3.8293006827142297E-6</v>
      </c>
      <c r="Z8" s="119">
        <f t="shared" si="0"/>
        <v>3.8293006827142297E-6</v>
      </c>
      <c r="AA8" s="119">
        <f t="shared" si="0"/>
        <v>3.8293006827142297E-6</v>
      </c>
      <c r="AB8" s="119">
        <f t="shared" si="0"/>
        <v>3.8293006827142297E-6</v>
      </c>
      <c r="AC8" s="119">
        <f t="shared" si="0"/>
        <v>3.8293006827142297E-6</v>
      </c>
      <c r="AD8" s="119">
        <f t="shared" si="0"/>
        <v>3.8293006827142297E-6</v>
      </c>
      <c r="AE8" s="119">
        <f t="shared" si="0"/>
        <v>3.8293006827142297E-6</v>
      </c>
      <c r="AF8" s="119">
        <f t="shared" si="0"/>
        <v>3.8293006827142297E-6</v>
      </c>
      <c r="AG8" s="119">
        <f t="shared" si="0"/>
        <v>3.8293006827142297E-6</v>
      </c>
      <c r="AH8" s="119">
        <f t="shared" si="1"/>
        <v>3.8293006827142297E-6</v>
      </c>
      <c r="AI8" s="119">
        <f t="shared" si="2"/>
        <v>3.8293006827142297E-6</v>
      </c>
      <c r="AJ8" s="119">
        <f t="shared" si="3"/>
        <v>3.8293006827142297E-6</v>
      </c>
      <c r="AK8" s="119">
        <f t="shared" si="4"/>
        <v>3.8293006827142297E-6</v>
      </c>
      <c r="AL8" s="119">
        <f t="shared" si="5"/>
        <v>3.8293006827142297E-6</v>
      </c>
      <c r="AM8" s="119">
        <f t="shared" si="6"/>
        <v>3.8293006827142297E-6</v>
      </c>
      <c r="AN8" s="119">
        <f t="shared" si="7"/>
        <v>3.8293006827142297E-6</v>
      </c>
      <c r="AO8" s="119">
        <f t="shared" si="8"/>
        <v>3.8293006827142297E-6</v>
      </c>
      <c r="AP8" s="119">
        <f t="shared" si="9"/>
        <v>3.8293006827142297E-6</v>
      </c>
      <c r="AQ8" s="119">
        <f t="shared" si="10"/>
        <v>3.8293006827142297E-6</v>
      </c>
      <c r="AR8" s="119">
        <f t="shared" si="11"/>
        <v>3.8293006827142297E-6</v>
      </c>
      <c r="AS8" s="119">
        <f t="shared" si="12"/>
        <v>3.8293006827142297E-6</v>
      </c>
      <c r="AT8" s="119">
        <f t="shared" si="13"/>
        <v>3.8293006827142297E-6</v>
      </c>
      <c r="AU8" s="119">
        <f t="shared" si="14"/>
        <v>3.8293006827142297E-6</v>
      </c>
      <c r="AV8" s="119">
        <f t="shared" si="15"/>
        <v>3.8293006827142297E-6</v>
      </c>
      <c r="AW8" s="119">
        <f t="shared" si="16"/>
        <v>3.8293006827142297E-6</v>
      </c>
      <c r="AX8" s="119">
        <f t="shared" si="17"/>
        <v>3.8293006827142297E-6</v>
      </c>
      <c r="AY8" s="119">
        <f t="shared" si="18"/>
        <v>3.8293006827142297E-6</v>
      </c>
      <c r="AZ8" s="119">
        <f t="shared" si="19"/>
        <v>3.8293006827142297E-6</v>
      </c>
      <c r="BA8" s="119">
        <f t="shared" si="20"/>
        <v>3.8293006827142297E-6</v>
      </c>
      <c r="BB8" s="119"/>
    </row>
    <row r="9" spans="1:54">
      <c r="A9" s="1" t="s">
        <v>1309</v>
      </c>
      <c r="B9" s="119">
        <f>B5</f>
        <v>3.8293006827142297E-6</v>
      </c>
      <c r="C9" s="119">
        <f t="shared" si="21"/>
        <v>3.8293006827142297E-6</v>
      </c>
      <c r="D9" s="119">
        <f t="shared" si="22"/>
        <v>3.8293006827142297E-6</v>
      </c>
      <c r="E9" s="119">
        <f t="shared" si="0"/>
        <v>3.8293006827142297E-6</v>
      </c>
      <c r="F9" s="119">
        <f t="shared" si="0"/>
        <v>3.8293006827142297E-6</v>
      </c>
      <c r="G9" s="119">
        <f t="shared" si="0"/>
        <v>3.8293006827142297E-6</v>
      </c>
      <c r="H9" s="119">
        <f t="shared" si="0"/>
        <v>3.8293006827142297E-6</v>
      </c>
      <c r="I9" s="119">
        <f t="shared" si="0"/>
        <v>3.8293006827142297E-6</v>
      </c>
      <c r="J9" s="119">
        <f t="shared" si="0"/>
        <v>3.8293006827142297E-6</v>
      </c>
      <c r="K9" s="119">
        <f t="shared" si="0"/>
        <v>3.8293006827142297E-6</v>
      </c>
      <c r="L9" s="119">
        <f t="shared" si="0"/>
        <v>3.8293006827142297E-6</v>
      </c>
      <c r="M9" s="119">
        <f t="shared" si="0"/>
        <v>3.8293006827142297E-6</v>
      </c>
      <c r="N9" s="119">
        <f t="shared" si="0"/>
        <v>3.8293006827142297E-6</v>
      </c>
      <c r="O9" s="119">
        <f t="shared" si="0"/>
        <v>3.8293006827142297E-6</v>
      </c>
      <c r="P9" s="119">
        <f t="shared" si="0"/>
        <v>3.8293006827142297E-6</v>
      </c>
      <c r="Q9" s="119">
        <f t="shared" si="0"/>
        <v>3.8293006827142297E-6</v>
      </c>
      <c r="R9" s="119">
        <f t="shared" si="0"/>
        <v>3.8293006827142297E-6</v>
      </c>
      <c r="S9" s="119">
        <f t="shared" si="0"/>
        <v>3.8293006827142297E-6</v>
      </c>
      <c r="T9" s="119">
        <f t="shared" si="0"/>
        <v>3.8293006827142297E-6</v>
      </c>
      <c r="U9" s="119">
        <f t="shared" si="0"/>
        <v>3.8293006827142297E-6</v>
      </c>
      <c r="V9" s="119">
        <f t="shared" si="0"/>
        <v>3.8293006827142297E-6</v>
      </c>
      <c r="W9" s="119">
        <f t="shared" si="0"/>
        <v>3.8293006827142297E-6</v>
      </c>
      <c r="X9" s="119">
        <f t="shared" si="0"/>
        <v>3.8293006827142297E-6</v>
      </c>
      <c r="Y9" s="119">
        <f t="shared" si="0"/>
        <v>3.8293006827142297E-6</v>
      </c>
      <c r="Z9" s="119">
        <f t="shared" si="0"/>
        <v>3.8293006827142297E-6</v>
      </c>
      <c r="AA9" s="119">
        <f t="shared" si="0"/>
        <v>3.8293006827142297E-6</v>
      </c>
      <c r="AB9" s="119">
        <f t="shared" si="0"/>
        <v>3.8293006827142297E-6</v>
      </c>
      <c r="AC9" s="119">
        <f t="shared" si="0"/>
        <v>3.8293006827142297E-6</v>
      </c>
      <c r="AD9" s="119">
        <f t="shared" si="0"/>
        <v>3.8293006827142297E-6</v>
      </c>
      <c r="AE9" s="119">
        <f t="shared" si="0"/>
        <v>3.8293006827142297E-6</v>
      </c>
      <c r="AF9" s="119">
        <f t="shared" si="0"/>
        <v>3.8293006827142297E-6</v>
      </c>
      <c r="AG9" s="119">
        <f t="shared" si="0"/>
        <v>3.8293006827142297E-6</v>
      </c>
      <c r="AH9" s="119">
        <f t="shared" si="1"/>
        <v>3.8293006827142297E-6</v>
      </c>
      <c r="AI9" s="119">
        <f t="shared" si="2"/>
        <v>3.8293006827142297E-6</v>
      </c>
      <c r="AJ9" s="119">
        <f t="shared" si="3"/>
        <v>3.8293006827142297E-6</v>
      </c>
      <c r="AK9" s="119">
        <f t="shared" si="4"/>
        <v>3.8293006827142297E-6</v>
      </c>
      <c r="AL9" s="119">
        <f t="shared" si="5"/>
        <v>3.8293006827142297E-6</v>
      </c>
      <c r="AM9" s="119">
        <f t="shared" si="6"/>
        <v>3.8293006827142297E-6</v>
      </c>
      <c r="AN9" s="119">
        <f t="shared" si="7"/>
        <v>3.8293006827142297E-6</v>
      </c>
      <c r="AO9" s="119">
        <f t="shared" si="8"/>
        <v>3.8293006827142297E-6</v>
      </c>
      <c r="AP9" s="119">
        <f t="shared" si="9"/>
        <v>3.8293006827142297E-6</v>
      </c>
      <c r="AQ9" s="119">
        <f t="shared" si="10"/>
        <v>3.8293006827142297E-6</v>
      </c>
      <c r="AR9" s="119">
        <f t="shared" si="11"/>
        <v>3.8293006827142297E-6</v>
      </c>
      <c r="AS9" s="119">
        <f t="shared" si="12"/>
        <v>3.8293006827142297E-6</v>
      </c>
      <c r="AT9" s="119">
        <f t="shared" si="13"/>
        <v>3.8293006827142297E-6</v>
      </c>
      <c r="AU9" s="119">
        <f t="shared" si="14"/>
        <v>3.8293006827142297E-6</v>
      </c>
      <c r="AV9" s="119">
        <f t="shared" si="15"/>
        <v>3.8293006827142297E-6</v>
      </c>
      <c r="AW9" s="119">
        <f t="shared" si="16"/>
        <v>3.8293006827142297E-6</v>
      </c>
      <c r="AX9" s="119">
        <f t="shared" si="17"/>
        <v>3.8293006827142297E-6</v>
      </c>
      <c r="AY9" s="119">
        <f t="shared" si="18"/>
        <v>3.8293006827142297E-6</v>
      </c>
      <c r="AZ9" s="119">
        <f t="shared" si="19"/>
        <v>3.8293006827142297E-6</v>
      </c>
      <c r="BA9" s="119">
        <f t="shared" si="20"/>
        <v>3.8293006827142297E-6</v>
      </c>
      <c r="BB9" s="119"/>
    </row>
    <row r="10" spans="1:54">
      <c r="A10" s="1" t="s">
        <v>1310</v>
      </c>
      <c r="B10" s="119">
        <f>B4</f>
        <v>3.8001410916768301E-6</v>
      </c>
      <c r="C10" s="119">
        <f t="shared" si="21"/>
        <v>3.8001410916768301E-6</v>
      </c>
      <c r="D10" s="119">
        <f t="shared" si="22"/>
        <v>3.8001410916768301E-6</v>
      </c>
      <c r="E10" s="119">
        <f t="shared" si="0"/>
        <v>3.8001410916768301E-6</v>
      </c>
      <c r="F10" s="119">
        <f t="shared" si="0"/>
        <v>3.8001410916768301E-6</v>
      </c>
      <c r="G10" s="119">
        <f t="shared" si="0"/>
        <v>3.8001410916768301E-6</v>
      </c>
      <c r="H10" s="119">
        <f t="shared" si="0"/>
        <v>3.8001410916768301E-6</v>
      </c>
      <c r="I10" s="119">
        <f t="shared" si="0"/>
        <v>3.8001410916768301E-6</v>
      </c>
      <c r="J10" s="119">
        <f t="shared" si="0"/>
        <v>3.8001410916768301E-6</v>
      </c>
      <c r="K10" s="119">
        <f t="shared" si="0"/>
        <v>3.8001410916768301E-6</v>
      </c>
      <c r="L10" s="119">
        <f t="shared" si="0"/>
        <v>3.8001410916768301E-6</v>
      </c>
      <c r="M10" s="119">
        <f t="shared" si="0"/>
        <v>3.8001410916768301E-6</v>
      </c>
      <c r="N10" s="119">
        <f t="shared" si="0"/>
        <v>3.8001410916768301E-6</v>
      </c>
      <c r="O10" s="119">
        <f t="shared" si="0"/>
        <v>3.8001410916768301E-6</v>
      </c>
      <c r="P10" s="119">
        <f t="shared" si="0"/>
        <v>3.8001410916768301E-6</v>
      </c>
      <c r="Q10" s="119">
        <f t="shared" si="0"/>
        <v>3.8001410916768301E-6</v>
      </c>
      <c r="R10" s="119">
        <f t="shared" si="0"/>
        <v>3.8001410916768301E-6</v>
      </c>
      <c r="S10" s="119">
        <f t="shared" si="0"/>
        <v>3.8001410916768301E-6</v>
      </c>
      <c r="T10" s="119">
        <f t="shared" si="0"/>
        <v>3.8001410916768301E-6</v>
      </c>
      <c r="U10" s="119">
        <f t="shared" si="0"/>
        <v>3.8001410916768301E-6</v>
      </c>
      <c r="V10" s="119">
        <f t="shared" si="0"/>
        <v>3.8001410916768301E-6</v>
      </c>
      <c r="W10" s="119">
        <f t="shared" si="0"/>
        <v>3.8001410916768301E-6</v>
      </c>
      <c r="X10" s="119">
        <f t="shared" si="0"/>
        <v>3.8001410916768301E-6</v>
      </c>
      <c r="Y10" s="119">
        <f t="shared" si="0"/>
        <v>3.8001410916768301E-6</v>
      </c>
      <c r="Z10" s="119">
        <f t="shared" si="0"/>
        <v>3.8001410916768301E-6</v>
      </c>
      <c r="AA10" s="119">
        <f t="shared" si="0"/>
        <v>3.8001410916768301E-6</v>
      </c>
      <c r="AB10" s="119">
        <f t="shared" si="0"/>
        <v>3.8001410916768301E-6</v>
      </c>
      <c r="AC10" s="119">
        <f t="shared" si="0"/>
        <v>3.8001410916768301E-6</v>
      </c>
      <c r="AD10" s="119">
        <f t="shared" si="0"/>
        <v>3.8001410916768301E-6</v>
      </c>
      <c r="AE10" s="119">
        <f t="shared" si="0"/>
        <v>3.8001410916768301E-6</v>
      </c>
      <c r="AF10" s="119">
        <f t="shared" si="0"/>
        <v>3.8001410916768301E-6</v>
      </c>
      <c r="AG10" s="119">
        <f t="shared" si="0"/>
        <v>3.8001410916768301E-6</v>
      </c>
      <c r="AH10" s="119">
        <f t="shared" si="1"/>
        <v>3.8001410916768301E-6</v>
      </c>
      <c r="AI10" s="119">
        <f t="shared" si="2"/>
        <v>3.8001410916768301E-6</v>
      </c>
      <c r="AJ10" s="119">
        <f t="shared" si="3"/>
        <v>3.8001410916768301E-6</v>
      </c>
      <c r="AK10" s="119">
        <f t="shared" si="4"/>
        <v>3.8001410916768301E-6</v>
      </c>
      <c r="AL10" s="119">
        <f t="shared" si="5"/>
        <v>3.8001410916768301E-6</v>
      </c>
      <c r="AM10" s="119">
        <f t="shared" si="6"/>
        <v>3.8001410916768301E-6</v>
      </c>
      <c r="AN10" s="119">
        <f t="shared" si="7"/>
        <v>3.8001410916768301E-6</v>
      </c>
      <c r="AO10" s="119">
        <f t="shared" si="8"/>
        <v>3.8001410916768301E-6</v>
      </c>
      <c r="AP10" s="119">
        <f t="shared" si="9"/>
        <v>3.8001410916768301E-6</v>
      </c>
      <c r="AQ10" s="119">
        <f t="shared" si="10"/>
        <v>3.8001410916768301E-6</v>
      </c>
      <c r="AR10" s="119">
        <f t="shared" si="11"/>
        <v>3.8001410916768301E-6</v>
      </c>
      <c r="AS10" s="119">
        <f t="shared" si="12"/>
        <v>3.8001410916768301E-6</v>
      </c>
      <c r="AT10" s="119">
        <f t="shared" si="13"/>
        <v>3.8001410916768301E-6</v>
      </c>
      <c r="AU10" s="119">
        <f t="shared" si="14"/>
        <v>3.8001410916768301E-6</v>
      </c>
      <c r="AV10" s="119">
        <f t="shared" si="15"/>
        <v>3.8001410916768301E-6</v>
      </c>
      <c r="AW10" s="119">
        <f t="shared" si="16"/>
        <v>3.8001410916768301E-6</v>
      </c>
      <c r="AX10" s="119">
        <f t="shared" si="17"/>
        <v>3.8001410916768301E-6</v>
      </c>
      <c r="AY10" s="119">
        <f t="shared" si="18"/>
        <v>3.8001410916768301E-6</v>
      </c>
      <c r="AZ10" s="119">
        <f t="shared" si="19"/>
        <v>3.8001410916768301E-6</v>
      </c>
      <c r="BA10" s="119">
        <f t="shared" si="20"/>
        <v>3.8001410916768301E-6</v>
      </c>
      <c r="BB10" s="119"/>
    </row>
    <row r="11" spans="1:54">
      <c r="A11" s="1" t="s">
        <v>1311</v>
      </c>
      <c r="B11" s="119">
        <f>B4</f>
        <v>3.8001410916768301E-6</v>
      </c>
      <c r="C11" s="119">
        <f t="shared" si="21"/>
        <v>3.8001410916768301E-6</v>
      </c>
      <c r="D11" s="119">
        <f t="shared" si="22"/>
        <v>3.8001410916768301E-6</v>
      </c>
      <c r="E11" s="119">
        <f t="shared" si="0"/>
        <v>3.8001410916768301E-6</v>
      </c>
      <c r="F11" s="119">
        <f t="shared" si="0"/>
        <v>3.8001410916768301E-6</v>
      </c>
      <c r="G11" s="119">
        <f t="shared" si="0"/>
        <v>3.8001410916768301E-6</v>
      </c>
      <c r="H11" s="119">
        <f t="shared" si="0"/>
        <v>3.8001410916768301E-6</v>
      </c>
      <c r="I11" s="119">
        <f t="shared" si="0"/>
        <v>3.8001410916768301E-6</v>
      </c>
      <c r="J11" s="119">
        <f t="shared" si="0"/>
        <v>3.8001410916768301E-6</v>
      </c>
      <c r="K11" s="119">
        <f t="shared" si="0"/>
        <v>3.8001410916768301E-6</v>
      </c>
      <c r="L11" s="119">
        <f t="shared" si="0"/>
        <v>3.8001410916768301E-6</v>
      </c>
      <c r="M11" s="119">
        <f t="shared" si="0"/>
        <v>3.8001410916768301E-6</v>
      </c>
      <c r="N11" s="119">
        <f t="shared" si="0"/>
        <v>3.8001410916768301E-6</v>
      </c>
      <c r="O11" s="119">
        <f t="shared" si="0"/>
        <v>3.8001410916768301E-6</v>
      </c>
      <c r="P11" s="119">
        <f t="shared" si="0"/>
        <v>3.8001410916768301E-6</v>
      </c>
      <c r="Q11" s="119">
        <f t="shared" si="0"/>
        <v>3.8001410916768301E-6</v>
      </c>
      <c r="R11" s="119">
        <f t="shared" si="0"/>
        <v>3.8001410916768301E-6</v>
      </c>
      <c r="S11" s="119">
        <f t="shared" si="0"/>
        <v>3.8001410916768301E-6</v>
      </c>
      <c r="T11" s="119">
        <f t="shared" si="0"/>
        <v>3.8001410916768301E-6</v>
      </c>
      <c r="U11" s="119">
        <f t="shared" si="0"/>
        <v>3.8001410916768301E-6</v>
      </c>
      <c r="V11" s="119">
        <f t="shared" si="0"/>
        <v>3.8001410916768301E-6</v>
      </c>
      <c r="W11" s="119">
        <f t="shared" si="0"/>
        <v>3.8001410916768301E-6</v>
      </c>
      <c r="X11" s="119">
        <f t="shared" si="0"/>
        <v>3.8001410916768301E-6</v>
      </c>
      <c r="Y11" s="119">
        <f t="shared" si="0"/>
        <v>3.8001410916768301E-6</v>
      </c>
      <c r="Z11" s="119">
        <f t="shared" si="0"/>
        <v>3.8001410916768301E-6</v>
      </c>
      <c r="AA11" s="119">
        <f t="shared" si="0"/>
        <v>3.8001410916768301E-6</v>
      </c>
      <c r="AB11" s="119">
        <f t="shared" si="0"/>
        <v>3.8001410916768301E-6</v>
      </c>
      <c r="AC11" s="119">
        <f t="shared" si="0"/>
        <v>3.8001410916768301E-6</v>
      </c>
      <c r="AD11" s="119">
        <f t="shared" si="0"/>
        <v>3.8001410916768301E-6</v>
      </c>
      <c r="AE11" s="119">
        <f t="shared" si="0"/>
        <v>3.8001410916768301E-6</v>
      </c>
      <c r="AF11" s="119">
        <f t="shared" si="0"/>
        <v>3.8001410916768301E-6</v>
      </c>
      <c r="AG11" s="119">
        <f t="shared" si="0"/>
        <v>3.8001410916768301E-6</v>
      </c>
      <c r="AH11" s="119">
        <f t="shared" si="1"/>
        <v>3.8001410916768301E-6</v>
      </c>
      <c r="AI11" s="119">
        <f t="shared" si="2"/>
        <v>3.8001410916768301E-6</v>
      </c>
      <c r="AJ11" s="119">
        <f t="shared" si="3"/>
        <v>3.8001410916768301E-6</v>
      </c>
      <c r="AK11" s="119">
        <f t="shared" si="4"/>
        <v>3.8001410916768301E-6</v>
      </c>
      <c r="AL11" s="119">
        <f t="shared" si="5"/>
        <v>3.8001410916768301E-6</v>
      </c>
      <c r="AM11" s="119">
        <f t="shared" si="6"/>
        <v>3.8001410916768301E-6</v>
      </c>
      <c r="AN11" s="119">
        <f t="shared" si="7"/>
        <v>3.8001410916768301E-6</v>
      </c>
      <c r="AO11" s="119">
        <f t="shared" si="8"/>
        <v>3.8001410916768301E-6</v>
      </c>
      <c r="AP11" s="119">
        <f t="shared" si="9"/>
        <v>3.8001410916768301E-6</v>
      </c>
      <c r="AQ11" s="119">
        <f t="shared" si="10"/>
        <v>3.8001410916768301E-6</v>
      </c>
      <c r="AR11" s="119">
        <f t="shared" si="11"/>
        <v>3.8001410916768301E-6</v>
      </c>
      <c r="AS11" s="119">
        <f t="shared" si="12"/>
        <v>3.8001410916768301E-6</v>
      </c>
      <c r="AT11" s="119">
        <f t="shared" si="13"/>
        <v>3.8001410916768301E-6</v>
      </c>
      <c r="AU11" s="119">
        <f t="shared" si="14"/>
        <v>3.8001410916768301E-6</v>
      </c>
      <c r="AV11" s="119">
        <f t="shared" si="15"/>
        <v>3.8001410916768301E-6</v>
      </c>
      <c r="AW11" s="119">
        <f t="shared" si="16"/>
        <v>3.8001410916768301E-6</v>
      </c>
      <c r="AX11" s="119">
        <f t="shared" si="17"/>
        <v>3.8001410916768301E-6</v>
      </c>
      <c r="AY11" s="119">
        <f t="shared" si="18"/>
        <v>3.8001410916768301E-6</v>
      </c>
      <c r="AZ11" s="119">
        <f t="shared" si="19"/>
        <v>3.8001410916768301E-6</v>
      </c>
      <c r="BA11" s="119">
        <f t="shared" si="20"/>
        <v>3.8001410916768301E-6</v>
      </c>
      <c r="BB11" s="119"/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-0.249977111117893"/>
  </sheetPr>
  <dimension ref="A1:AY11"/>
  <sheetViews>
    <sheetView topLeftCell="E1" zoomScaleNormal="100" workbookViewId="0">
      <selection activeCell="AE2" sqref="AE2"/>
    </sheetView>
  </sheetViews>
  <sheetFormatPr defaultRowHeight="15"/>
  <cols>
    <col min="1" max="1" width="29.85546875" customWidth="1"/>
    <col min="2" max="31" width="10" customWidth="1"/>
  </cols>
  <sheetData>
    <row r="1" spans="1:51">
      <c r="A1" s="116" t="s">
        <v>1302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>
      <c r="A2" s="1" t="s">
        <v>1303</v>
      </c>
      <c r="B2" s="119">
        <v>0</v>
      </c>
      <c r="C2" s="119">
        <v>0</v>
      </c>
      <c r="D2" s="119">
        <v>0</v>
      </c>
      <c r="E2" s="119">
        <v>0</v>
      </c>
      <c r="F2" s="119">
        <v>0</v>
      </c>
      <c r="G2" s="119">
        <v>0</v>
      </c>
      <c r="H2" s="119">
        <v>0</v>
      </c>
      <c r="I2" s="119">
        <v>0</v>
      </c>
      <c r="J2" s="119">
        <v>0</v>
      </c>
      <c r="K2" s="119">
        <v>0</v>
      </c>
      <c r="L2" s="119">
        <v>0</v>
      </c>
      <c r="M2" s="119">
        <v>0</v>
      </c>
      <c r="N2" s="119">
        <v>0</v>
      </c>
      <c r="O2" s="119">
        <v>0</v>
      </c>
      <c r="P2" s="119">
        <v>0</v>
      </c>
      <c r="Q2" s="119">
        <v>0</v>
      </c>
      <c r="R2" s="119">
        <v>0</v>
      </c>
      <c r="S2" s="119">
        <v>0</v>
      </c>
      <c r="T2" s="119">
        <v>0</v>
      </c>
      <c r="U2" s="119">
        <v>0</v>
      </c>
      <c r="V2" s="119">
        <v>0</v>
      </c>
      <c r="W2" s="119">
        <v>0</v>
      </c>
      <c r="X2" s="119">
        <v>0</v>
      </c>
      <c r="Y2" s="119">
        <v>0</v>
      </c>
      <c r="Z2" s="119">
        <v>0</v>
      </c>
      <c r="AA2" s="119">
        <v>0</v>
      </c>
      <c r="AB2" s="119">
        <v>0</v>
      </c>
      <c r="AC2" s="119">
        <v>0</v>
      </c>
      <c r="AD2" s="119">
        <v>0</v>
      </c>
      <c r="AE2" s="119">
        <v>0</v>
      </c>
      <c r="AF2" s="119">
        <v>0</v>
      </c>
      <c r="AG2" s="119">
        <v>0</v>
      </c>
      <c r="AH2" s="119">
        <v>0</v>
      </c>
      <c r="AI2" s="119">
        <v>0</v>
      </c>
      <c r="AJ2" s="119">
        <v>0</v>
      </c>
      <c r="AK2" s="119">
        <v>0</v>
      </c>
      <c r="AL2" s="119">
        <v>0</v>
      </c>
      <c r="AM2" s="119">
        <v>0</v>
      </c>
      <c r="AN2" s="119">
        <v>0</v>
      </c>
      <c r="AO2" s="119">
        <v>0</v>
      </c>
      <c r="AP2" s="119">
        <v>0</v>
      </c>
      <c r="AQ2" s="119">
        <v>0</v>
      </c>
      <c r="AR2" s="119">
        <v>0</v>
      </c>
      <c r="AS2" s="119">
        <v>0</v>
      </c>
      <c r="AT2" s="119">
        <v>0</v>
      </c>
      <c r="AU2" s="119">
        <v>0</v>
      </c>
      <c r="AV2" s="119">
        <v>0</v>
      </c>
      <c r="AW2" s="119">
        <v>0</v>
      </c>
      <c r="AX2" s="119">
        <v>0</v>
      </c>
      <c r="AY2" s="119">
        <v>0</v>
      </c>
    </row>
    <row r="3" spans="1:51">
      <c r="A3" s="1" t="s">
        <v>1304</v>
      </c>
      <c r="B3" s="115">
        <v>0</v>
      </c>
      <c r="C3" s="115">
        <v>0</v>
      </c>
      <c r="D3" s="115">
        <v>0</v>
      </c>
      <c r="E3" s="115">
        <v>0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s="115">
        <v>0</v>
      </c>
      <c r="O3" s="115">
        <v>0</v>
      </c>
      <c r="P3" s="115">
        <v>0</v>
      </c>
      <c r="Q3" s="115">
        <v>0</v>
      </c>
      <c r="R3" s="115">
        <v>0</v>
      </c>
      <c r="S3" s="115">
        <v>0</v>
      </c>
      <c r="T3" s="115">
        <v>0</v>
      </c>
      <c r="U3" s="115">
        <v>0</v>
      </c>
      <c r="V3" s="115">
        <v>0</v>
      </c>
      <c r="W3" s="115">
        <v>0</v>
      </c>
      <c r="X3" s="115">
        <v>0</v>
      </c>
      <c r="Y3" s="115">
        <v>0</v>
      </c>
      <c r="Z3" s="115">
        <v>0</v>
      </c>
      <c r="AA3" s="115">
        <v>0</v>
      </c>
      <c r="AB3" s="115">
        <v>0</v>
      </c>
      <c r="AC3" s="119">
        <v>0</v>
      </c>
      <c r="AD3" s="119">
        <v>0</v>
      </c>
      <c r="AE3" s="119">
        <v>0</v>
      </c>
      <c r="AF3" s="119">
        <v>0</v>
      </c>
      <c r="AG3" s="119">
        <v>0</v>
      </c>
      <c r="AH3" s="119">
        <v>0</v>
      </c>
      <c r="AI3" s="119">
        <v>0</v>
      </c>
      <c r="AJ3" s="119">
        <v>0</v>
      </c>
      <c r="AK3" s="119">
        <v>0</v>
      </c>
      <c r="AL3" s="119">
        <v>0</v>
      </c>
      <c r="AM3" s="119">
        <v>0</v>
      </c>
      <c r="AN3" s="119">
        <v>0</v>
      </c>
      <c r="AO3" s="119">
        <v>0</v>
      </c>
      <c r="AP3" s="119">
        <v>0</v>
      </c>
      <c r="AQ3" s="119">
        <v>0</v>
      </c>
      <c r="AR3" s="119">
        <v>0</v>
      </c>
      <c r="AS3" s="119">
        <v>0</v>
      </c>
      <c r="AT3" s="119">
        <v>0</v>
      </c>
      <c r="AU3" s="119">
        <v>0</v>
      </c>
      <c r="AV3" s="119">
        <v>0</v>
      </c>
      <c r="AW3" s="119">
        <v>0</v>
      </c>
      <c r="AX3" s="119">
        <v>0</v>
      </c>
      <c r="AY3" s="119">
        <v>0</v>
      </c>
    </row>
    <row r="4" spans="1:51">
      <c r="A4" s="1" t="s">
        <v>671</v>
      </c>
      <c r="B4" s="115">
        <v>0</v>
      </c>
      <c r="C4" s="115">
        <v>0</v>
      </c>
      <c r="D4" s="115">
        <v>0</v>
      </c>
      <c r="E4" s="115">
        <v>0</v>
      </c>
      <c r="F4" s="115">
        <v>0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5">
        <v>0</v>
      </c>
      <c r="M4" s="115">
        <v>0</v>
      </c>
      <c r="N4" s="115">
        <v>0</v>
      </c>
      <c r="O4" s="115">
        <v>0</v>
      </c>
      <c r="P4" s="115">
        <v>0</v>
      </c>
      <c r="Q4" s="115">
        <v>0</v>
      </c>
      <c r="R4" s="115">
        <v>0</v>
      </c>
      <c r="S4" s="115">
        <v>0</v>
      </c>
      <c r="T4" s="115">
        <v>0</v>
      </c>
      <c r="U4" s="115">
        <v>0</v>
      </c>
      <c r="V4" s="115">
        <v>0</v>
      </c>
      <c r="W4" s="115">
        <v>0</v>
      </c>
      <c r="X4" s="115">
        <v>0</v>
      </c>
      <c r="Y4" s="115">
        <v>0</v>
      </c>
      <c r="Z4" s="115">
        <v>0</v>
      </c>
      <c r="AA4" s="115">
        <v>0</v>
      </c>
      <c r="AB4" s="115">
        <v>0</v>
      </c>
      <c r="AC4" s="119">
        <v>0</v>
      </c>
      <c r="AD4" s="119">
        <v>0</v>
      </c>
      <c r="AE4" s="119">
        <v>0</v>
      </c>
      <c r="AF4" s="119">
        <v>0</v>
      </c>
      <c r="AG4" s="119">
        <v>0</v>
      </c>
      <c r="AH4" s="119">
        <v>0</v>
      </c>
      <c r="AI4" s="119">
        <v>0</v>
      </c>
      <c r="AJ4" s="119">
        <v>0</v>
      </c>
      <c r="AK4" s="119">
        <v>0</v>
      </c>
      <c r="AL4" s="119">
        <v>0</v>
      </c>
      <c r="AM4" s="119">
        <v>0</v>
      </c>
      <c r="AN4" s="119">
        <v>0</v>
      </c>
      <c r="AO4" s="119">
        <v>0</v>
      </c>
      <c r="AP4" s="119">
        <v>0</v>
      </c>
      <c r="AQ4" s="119">
        <v>0</v>
      </c>
      <c r="AR4" s="119">
        <v>0</v>
      </c>
      <c r="AS4" s="119">
        <v>0</v>
      </c>
      <c r="AT4" s="119">
        <v>0</v>
      </c>
      <c r="AU4" s="119">
        <v>0</v>
      </c>
      <c r="AV4" s="119">
        <v>0</v>
      </c>
      <c r="AW4" s="119">
        <v>0</v>
      </c>
      <c r="AX4" s="119">
        <v>0</v>
      </c>
      <c r="AY4" s="119">
        <v>0</v>
      </c>
    </row>
    <row r="5" spans="1:51">
      <c r="A5" s="1" t="s">
        <v>1305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5">
        <v>0</v>
      </c>
      <c r="X5" s="115">
        <v>0</v>
      </c>
      <c r="Y5" s="115">
        <v>0</v>
      </c>
      <c r="Z5" s="115">
        <v>0</v>
      </c>
      <c r="AA5" s="115">
        <v>0</v>
      </c>
      <c r="AB5" s="115">
        <v>0</v>
      </c>
      <c r="AC5" s="119">
        <v>0</v>
      </c>
      <c r="AD5" s="119">
        <v>0</v>
      </c>
      <c r="AE5" s="119">
        <v>0</v>
      </c>
      <c r="AF5" s="119">
        <v>0</v>
      </c>
      <c r="AG5" s="119">
        <v>0</v>
      </c>
      <c r="AH5" s="119">
        <v>0</v>
      </c>
      <c r="AI5" s="119">
        <v>0</v>
      </c>
      <c r="AJ5" s="119">
        <v>0</v>
      </c>
      <c r="AK5" s="119">
        <v>0</v>
      </c>
      <c r="AL5" s="119">
        <v>0</v>
      </c>
      <c r="AM5" s="119">
        <v>0</v>
      </c>
      <c r="AN5" s="119">
        <v>0</v>
      </c>
      <c r="AO5" s="119">
        <v>0</v>
      </c>
      <c r="AP5" s="119">
        <v>0</v>
      </c>
      <c r="AQ5" s="119">
        <v>0</v>
      </c>
      <c r="AR5" s="119">
        <v>0</v>
      </c>
      <c r="AS5" s="119">
        <v>0</v>
      </c>
      <c r="AT5" s="119">
        <v>0</v>
      </c>
      <c r="AU5" s="119">
        <v>0</v>
      </c>
      <c r="AV5" s="119">
        <v>0</v>
      </c>
      <c r="AW5" s="119">
        <v>0</v>
      </c>
      <c r="AX5" s="119">
        <v>0</v>
      </c>
      <c r="AY5" s="119">
        <v>0</v>
      </c>
    </row>
    <row r="6" spans="1:51">
      <c r="A6" s="1" t="s">
        <v>1306</v>
      </c>
      <c r="B6" s="115">
        <v>0</v>
      </c>
      <c r="C6" s="115">
        <v>0</v>
      </c>
      <c r="D6" s="115">
        <v>0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115">
        <v>0</v>
      </c>
      <c r="N6" s="115">
        <v>0</v>
      </c>
      <c r="O6" s="115">
        <v>0</v>
      </c>
      <c r="P6" s="115">
        <v>0</v>
      </c>
      <c r="Q6" s="115">
        <v>0</v>
      </c>
      <c r="R6" s="115">
        <v>0</v>
      </c>
      <c r="S6" s="115">
        <v>0</v>
      </c>
      <c r="T6" s="115">
        <v>0</v>
      </c>
      <c r="U6" s="115">
        <v>0</v>
      </c>
      <c r="V6" s="115">
        <v>0</v>
      </c>
      <c r="W6" s="115">
        <v>0</v>
      </c>
      <c r="X6" s="115">
        <v>0</v>
      </c>
      <c r="Y6" s="115">
        <v>0</v>
      </c>
      <c r="Z6" s="115">
        <v>0</v>
      </c>
      <c r="AA6" s="115">
        <v>0</v>
      </c>
      <c r="AB6" s="115">
        <v>0</v>
      </c>
      <c r="AC6" s="119">
        <v>0</v>
      </c>
      <c r="AD6" s="119">
        <v>0</v>
      </c>
      <c r="AE6" s="119">
        <v>0</v>
      </c>
      <c r="AF6" s="119">
        <v>0</v>
      </c>
      <c r="AG6" s="119">
        <v>0</v>
      </c>
      <c r="AH6" s="119">
        <v>0</v>
      </c>
      <c r="AI6" s="119">
        <v>0</v>
      </c>
      <c r="AJ6" s="119">
        <v>0</v>
      </c>
      <c r="AK6" s="119">
        <v>0</v>
      </c>
      <c r="AL6" s="119">
        <v>0</v>
      </c>
      <c r="AM6" s="119">
        <v>0</v>
      </c>
      <c r="AN6" s="119">
        <v>0</v>
      </c>
      <c r="AO6" s="119">
        <v>0</v>
      </c>
      <c r="AP6" s="119">
        <v>0</v>
      </c>
      <c r="AQ6" s="119">
        <v>0</v>
      </c>
      <c r="AR6" s="119">
        <v>0</v>
      </c>
      <c r="AS6" s="119">
        <v>0</v>
      </c>
      <c r="AT6" s="119">
        <v>0</v>
      </c>
      <c r="AU6" s="119">
        <v>0</v>
      </c>
      <c r="AV6" s="119">
        <v>0</v>
      </c>
      <c r="AW6" s="119">
        <v>0</v>
      </c>
      <c r="AX6" s="119">
        <v>0</v>
      </c>
      <c r="AY6" s="119">
        <v>0</v>
      </c>
    </row>
    <row r="7" spans="1:51">
      <c r="A7" s="1" t="s">
        <v>1307</v>
      </c>
      <c r="B7" s="115">
        <v>0</v>
      </c>
      <c r="C7" s="115">
        <v>0</v>
      </c>
      <c r="D7" s="115">
        <v>0</v>
      </c>
      <c r="E7" s="115">
        <v>0</v>
      </c>
      <c r="F7" s="115">
        <v>0</v>
      </c>
      <c r="G7" s="115">
        <v>0</v>
      </c>
      <c r="H7" s="115">
        <v>0</v>
      </c>
      <c r="I7" s="115">
        <v>0</v>
      </c>
      <c r="J7" s="115">
        <v>0</v>
      </c>
      <c r="K7" s="115">
        <v>0</v>
      </c>
      <c r="L7" s="115">
        <v>0</v>
      </c>
      <c r="M7" s="115">
        <v>0</v>
      </c>
      <c r="N7" s="115">
        <v>0</v>
      </c>
      <c r="O7" s="115">
        <v>0</v>
      </c>
      <c r="P7" s="115">
        <v>0</v>
      </c>
      <c r="Q7" s="115">
        <v>0</v>
      </c>
      <c r="R7" s="115">
        <v>0</v>
      </c>
      <c r="S7" s="115">
        <v>0</v>
      </c>
      <c r="T7" s="115">
        <v>0</v>
      </c>
      <c r="U7" s="115">
        <v>0</v>
      </c>
      <c r="V7" s="115">
        <v>0</v>
      </c>
      <c r="W7" s="115">
        <v>0</v>
      </c>
      <c r="X7" s="115">
        <v>0</v>
      </c>
      <c r="Y7" s="115">
        <v>0</v>
      </c>
      <c r="Z7" s="115">
        <v>0</v>
      </c>
      <c r="AA7" s="115">
        <v>0</v>
      </c>
      <c r="AB7" s="115">
        <v>0</v>
      </c>
      <c r="AC7" s="119">
        <v>0</v>
      </c>
      <c r="AD7" s="119">
        <v>0</v>
      </c>
      <c r="AE7" s="119">
        <v>0</v>
      </c>
      <c r="AF7" s="119">
        <v>0</v>
      </c>
      <c r="AG7" s="119">
        <v>0</v>
      </c>
      <c r="AH7" s="119">
        <v>0</v>
      </c>
      <c r="AI7" s="119">
        <v>0</v>
      </c>
      <c r="AJ7" s="119">
        <v>0</v>
      </c>
      <c r="AK7" s="119">
        <v>0</v>
      </c>
      <c r="AL7" s="119">
        <v>0</v>
      </c>
      <c r="AM7" s="119">
        <v>0</v>
      </c>
      <c r="AN7" s="119">
        <v>0</v>
      </c>
      <c r="AO7" s="119">
        <v>0</v>
      </c>
      <c r="AP7" s="119">
        <v>0</v>
      </c>
      <c r="AQ7" s="119">
        <v>0</v>
      </c>
      <c r="AR7" s="119">
        <v>0</v>
      </c>
      <c r="AS7" s="119">
        <v>0</v>
      </c>
      <c r="AT7" s="119">
        <v>0</v>
      </c>
      <c r="AU7" s="119">
        <v>0</v>
      </c>
      <c r="AV7" s="119">
        <v>0</v>
      </c>
      <c r="AW7" s="119">
        <v>0</v>
      </c>
      <c r="AX7" s="119">
        <v>0</v>
      </c>
      <c r="AY7" s="119">
        <v>0</v>
      </c>
    </row>
    <row r="8" spans="1:51">
      <c r="A8" s="1" t="s">
        <v>1308</v>
      </c>
      <c r="B8" s="115">
        <v>0</v>
      </c>
      <c r="C8" s="115">
        <v>0</v>
      </c>
      <c r="D8" s="115">
        <v>0</v>
      </c>
      <c r="E8" s="115">
        <v>0</v>
      </c>
      <c r="F8" s="115">
        <v>0</v>
      </c>
      <c r="G8" s="115">
        <v>0</v>
      </c>
      <c r="H8" s="115">
        <v>0</v>
      </c>
      <c r="I8" s="115">
        <v>0</v>
      </c>
      <c r="J8" s="115">
        <v>0</v>
      </c>
      <c r="K8" s="115">
        <v>0</v>
      </c>
      <c r="L8" s="115">
        <v>0</v>
      </c>
      <c r="M8" s="115">
        <v>0</v>
      </c>
      <c r="N8" s="115">
        <v>0</v>
      </c>
      <c r="O8" s="115">
        <v>0</v>
      </c>
      <c r="P8" s="115">
        <v>0</v>
      </c>
      <c r="Q8" s="115">
        <v>0</v>
      </c>
      <c r="R8" s="115">
        <v>0</v>
      </c>
      <c r="S8" s="115">
        <v>0</v>
      </c>
      <c r="T8" s="115">
        <v>0</v>
      </c>
      <c r="U8" s="115">
        <v>0</v>
      </c>
      <c r="V8" s="115">
        <v>0</v>
      </c>
      <c r="W8" s="115">
        <v>0</v>
      </c>
      <c r="X8" s="115">
        <v>0</v>
      </c>
      <c r="Y8" s="115">
        <v>0</v>
      </c>
      <c r="Z8" s="115">
        <v>0</v>
      </c>
      <c r="AA8" s="115">
        <v>0</v>
      </c>
      <c r="AB8" s="115">
        <v>0</v>
      </c>
      <c r="AC8" s="119">
        <v>0</v>
      </c>
      <c r="AD8" s="119">
        <v>0</v>
      </c>
      <c r="AE8" s="119">
        <v>0</v>
      </c>
      <c r="AF8" s="119">
        <v>0</v>
      </c>
      <c r="AG8" s="119">
        <v>0</v>
      </c>
      <c r="AH8" s="119">
        <v>0</v>
      </c>
      <c r="AI8" s="119">
        <v>0</v>
      </c>
      <c r="AJ8" s="119">
        <v>0</v>
      </c>
      <c r="AK8" s="119">
        <v>0</v>
      </c>
      <c r="AL8" s="119">
        <v>0</v>
      </c>
      <c r="AM8" s="119">
        <v>0</v>
      </c>
      <c r="AN8" s="119">
        <v>0</v>
      </c>
      <c r="AO8" s="119">
        <v>0</v>
      </c>
      <c r="AP8" s="119">
        <v>0</v>
      </c>
      <c r="AQ8" s="119">
        <v>0</v>
      </c>
      <c r="AR8" s="119">
        <v>0</v>
      </c>
      <c r="AS8" s="119">
        <v>0</v>
      </c>
      <c r="AT8" s="119">
        <v>0</v>
      </c>
      <c r="AU8" s="119">
        <v>0</v>
      </c>
      <c r="AV8" s="119">
        <v>0</v>
      </c>
      <c r="AW8" s="119">
        <v>0</v>
      </c>
      <c r="AX8" s="119">
        <v>0</v>
      </c>
      <c r="AY8" s="119">
        <v>0</v>
      </c>
    </row>
    <row r="9" spans="1:51">
      <c r="A9" s="1" t="s">
        <v>1309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0</v>
      </c>
      <c r="T9" s="115">
        <v>0</v>
      </c>
      <c r="U9" s="115">
        <v>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0</v>
      </c>
      <c r="AB9" s="115">
        <v>0</v>
      </c>
      <c r="AC9" s="119">
        <v>0</v>
      </c>
      <c r="AD9" s="119">
        <v>0</v>
      </c>
      <c r="AE9" s="119">
        <v>0</v>
      </c>
      <c r="AF9" s="119">
        <v>0</v>
      </c>
      <c r="AG9" s="119">
        <v>0</v>
      </c>
      <c r="AH9" s="119">
        <v>0</v>
      </c>
      <c r="AI9" s="119">
        <v>0</v>
      </c>
      <c r="AJ9" s="119">
        <v>0</v>
      </c>
      <c r="AK9" s="119">
        <v>0</v>
      </c>
      <c r="AL9" s="119">
        <v>0</v>
      </c>
      <c r="AM9" s="119">
        <v>0</v>
      </c>
      <c r="AN9" s="119">
        <v>0</v>
      </c>
      <c r="AO9" s="119">
        <v>0</v>
      </c>
      <c r="AP9" s="119">
        <v>0</v>
      </c>
      <c r="AQ9" s="119">
        <v>0</v>
      </c>
      <c r="AR9" s="119">
        <v>0</v>
      </c>
      <c r="AS9" s="119">
        <v>0</v>
      </c>
      <c r="AT9" s="119">
        <v>0</v>
      </c>
      <c r="AU9" s="119">
        <v>0</v>
      </c>
      <c r="AV9" s="119">
        <v>0</v>
      </c>
      <c r="AW9" s="119">
        <v>0</v>
      </c>
      <c r="AX9" s="119">
        <v>0</v>
      </c>
      <c r="AY9" s="119">
        <v>0</v>
      </c>
    </row>
    <row r="10" spans="1:51">
      <c r="A10" s="1" t="s">
        <v>1310</v>
      </c>
      <c r="B10" s="115">
        <v>0</v>
      </c>
      <c r="C10" s="115">
        <v>0</v>
      </c>
      <c r="D10" s="115">
        <v>0</v>
      </c>
      <c r="E10" s="115">
        <v>0</v>
      </c>
      <c r="F10" s="115">
        <v>0</v>
      </c>
      <c r="G10" s="115">
        <v>0</v>
      </c>
      <c r="H10" s="115">
        <v>0</v>
      </c>
      <c r="I10" s="115">
        <v>0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  <c r="O10" s="115">
        <v>0</v>
      </c>
      <c r="P10" s="115">
        <v>0</v>
      </c>
      <c r="Q10" s="115">
        <v>0</v>
      </c>
      <c r="R10" s="115">
        <v>0</v>
      </c>
      <c r="S10" s="115">
        <v>0</v>
      </c>
      <c r="T10" s="115">
        <v>0</v>
      </c>
      <c r="U10" s="115">
        <v>0</v>
      </c>
      <c r="V10" s="115">
        <v>0</v>
      </c>
      <c r="W10" s="115">
        <v>0</v>
      </c>
      <c r="X10" s="115">
        <v>0</v>
      </c>
      <c r="Y10" s="115">
        <v>0</v>
      </c>
      <c r="Z10" s="115">
        <v>0</v>
      </c>
      <c r="AA10" s="115">
        <v>0</v>
      </c>
      <c r="AB10" s="115">
        <v>0</v>
      </c>
      <c r="AC10" s="119">
        <v>0</v>
      </c>
      <c r="AD10" s="119">
        <v>0</v>
      </c>
      <c r="AE10" s="119">
        <v>0</v>
      </c>
      <c r="AF10" s="119">
        <v>0</v>
      </c>
      <c r="AG10" s="119">
        <v>0</v>
      </c>
      <c r="AH10" s="119">
        <v>0</v>
      </c>
      <c r="AI10" s="119">
        <v>0</v>
      </c>
      <c r="AJ10" s="119">
        <v>0</v>
      </c>
      <c r="AK10" s="119">
        <v>0</v>
      </c>
      <c r="AL10" s="119">
        <v>0</v>
      </c>
      <c r="AM10" s="119">
        <v>0</v>
      </c>
      <c r="AN10" s="119">
        <v>0</v>
      </c>
      <c r="AO10" s="119">
        <v>0</v>
      </c>
      <c r="AP10" s="119">
        <v>0</v>
      </c>
      <c r="AQ10" s="119">
        <v>0</v>
      </c>
      <c r="AR10" s="119">
        <v>0</v>
      </c>
      <c r="AS10" s="119">
        <v>0</v>
      </c>
      <c r="AT10" s="119">
        <v>0</v>
      </c>
      <c r="AU10" s="119">
        <v>0</v>
      </c>
      <c r="AV10" s="119">
        <v>0</v>
      </c>
      <c r="AW10" s="119">
        <v>0</v>
      </c>
      <c r="AX10" s="119">
        <v>0</v>
      </c>
      <c r="AY10" s="119">
        <v>0</v>
      </c>
    </row>
    <row r="11" spans="1:51">
      <c r="A11" s="1" t="s">
        <v>1311</v>
      </c>
      <c r="B11" s="115">
        <v>0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115">
        <v>0</v>
      </c>
      <c r="N11" s="115">
        <v>0</v>
      </c>
      <c r="O11" s="115">
        <v>0</v>
      </c>
      <c r="P11" s="115">
        <v>0</v>
      </c>
      <c r="Q11" s="115">
        <v>0</v>
      </c>
      <c r="R11" s="115">
        <v>0</v>
      </c>
      <c r="S11" s="115">
        <v>0</v>
      </c>
      <c r="T11" s="115">
        <v>0</v>
      </c>
      <c r="U11" s="115">
        <v>0</v>
      </c>
      <c r="V11" s="115">
        <v>0</v>
      </c>
      <c r="W11" s="115">
        <v>0</v>
      </c>
      <c r="X11" s="115">
        <v>0</v>
      </c>
      <c r="Y11" s="115">
        <v>0</v>
      </c>
      <c r="Z11" s="115">
        <v>0</v>
      </c>
      <c r="AA11" s="115">
        <v>0</v>
      </c>
      <c r="AB11" s="115">
        <v>0</v>
      </c>
      <c r="AC11" s="119">
        <v>0</v>
      </c>
      <c r="AD11" s="119">
        <v>0</v>
      </c>
      <c r="AE11" s="119">
        <v>0</v>
      </c>
      <c r="AF11" s="119">
        <v>0</v>
      </c>
      <c r="AG11" s="119">
        <v>0</v>
      </c>
      <c r="AH11" s="119">
        <v>0</v>
      </c>
      <c r="AI11" s="119">
        <v>0</v>
      </c>
      <c r="AJ11" s="119">
        <v>0</v>
      </c>
      <c r="AK11" s="119">
        <v>0</v>
      </c>
      <c r="AL11" s="119">
        <v>0</v>
      </c>
      <c r="AM11" s="119">
        <v>0</v>
      </c>
      <c r="AN11" s="119">
        <v>0</v>
      </c>
      <c r="AO11" s="119">
        <v>0</v>
      </c>
      <c r="AP11" s="119">
        <v>0</v>
      </c>
      <c r="AQ11" s="119">
        <v>0</v>
      </c>
      <c r="AR11" s="119">
        <v>0</v>
      </c>
      <c r="AS11" s="119">
        <v>0</v>
      </c>
      <c r="AT11" s="119">
        <v>0</v>
      </c>
      <c r="AU11" s="119">
        <v>0</v>
      </c>
      <c r="AV11" s="119">
        <v>0</v>
      </c>
      <c r="AW11" s="119">
        <v>0</v>
      </c>
      <c r="AX11" s="119">
        <v>0</v>
      </c>
      <c r="AY11" s="119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D7848-FA8C-41E1-8D70-769D34E4B4F1}"/>
</file>

<file path=customXml/itemProps2.xml><?xml version="1.0" encoding="utf-8"?>
<ds:datastoreItem xmlns:ds="http://schemas.openxmlformats.org/officeDocument/2006/customXml" ds:itemID="{2DD2A505-038D-4C96-88E6-971A686599DA}"/>
</file>

<file path=customXml/itemProps3.xml><?xml version="1.0" encoding="utf-8"?>
<ds:datastoreItem xmlns:ds="http://schemas.openxmlformats.org/officeDocument/2006/customXml" ds:itemID="{377784FB-8F87-4CE9-8CB0-7CC6423D3D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Richa Richa</cp:lastModifiedBy>
  <cp:revision/>
  <dcterms:created xsi:type="dcterms:W3CDTF">2020-08-26T21:37:25Z</dcterms:created>
  <dcterms:modified xsi:type="dcterms:W3CDTF">2024-10-18T06:42:36Z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