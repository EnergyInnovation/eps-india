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16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shruti_dayal_wri_org/Documents/Desktop/"/>
    </mc:Choice>
  </mc:AlternateContent>
  <xr:revisionPtr revIDLastSave="64" documentId="8_{26021A0D-EC14-400D-8112-86A7253C55FE}" xr6:coauthVersionLast="47" xr6:coauthVersionMax="47" xr10:uidLastSave="{FF62B940-BBA6-40DC-BE7D-E0A7D435DD77}"/>
  <bookViews>
    <workbookView xWindow="-110" yWindow="-110" windowWidth="19420" windowHeight="10420" activeTab="2" xr2:uid="{00000000-000D-0000-FFFF-FFFF00000000}"/>
  </bookViews>
  <sheets>
    <sheet name="About" sheetId="1" r:id="rId1"/>
    <sheet name="FAOSTAT_data" sheetId="6" r:id="rId2"/>
    <sheet name="Data" sheetId="5" r:id="rId3"/>
    <sheet name="RoNEPtAPPpUL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5" i="5"/>
  <c r="D4" i="5"/>
  <c r="D3" i="5"/>
  <c r="D2" i="5"/>
  <c r="F2" i="5"/>
  <c r="B2" i="3" s="1"/>
  <c r="C5" i="5"/>
  <c r="C6" i="5"/>
  <c r="C4" i="5"/>
  <c r="C3" i="5" l="1"/>
  <c r="C2" i="5"/>
</calcChain>
</file>

<file path=xl/sharedStrings.xml><?xml version="1.0" encoding="utf-8"?>
<sst xmlns="http://schemas.openxmlformats.org/spreadsheetml/2006/main" count="87" uniqueCount="58">
  <si>
    <t>RoNEPtAPPpULA Ratio of Nutritionally Equivalent Plant to Animal Products Produced per Unit Land Area</t>
  </si>
  <si>
    <t>Source:</t>
  </si>
  <si>
    <t>Opportunity food loss</t>
  </si>
  <si>
    <t>Alan Shepon, Gidon Eshel, Elad Noor, and Ron Milo</t>
  </si>
  <si>
    <t>The opportunity cost of animal based diets exceeds all food losses</t>
  </si>
  <si>
    <t>https://www.pnas.org/content/115/15/3804</t>
  </si>
  <si>
    <t>Discussion, paragraph 2</t>
  </si>
  <si>
    <t>Quantity of animal products</t>
  </si>
  <si>
    <t>Food and Agriculture Organisation (FAO)</t>
  </si>
  <si>
    <t>Food Balances</t>
  </si>
  <si>
    <t>https://www.fao.org/faostat/en/#data/FBS</t>
  </si>
  <si>
    <t>Notes</t>
  </si>
  <si>
    <t>The variable uses a study that reported the opportunity food loss from production</t>
  </si>
  <si>
    <t>to final consumption for the five major animal product categories and their plant-</t>
  </si>
  <si>
    <t>based replacement diets, paired with historical data on animal product production</t>
  </si>
  <si>
    <t>in India</t>
  </si>
  <si>
    <t>Domain Code</t>
  </si>
  <si>
    <t>Domain</t>
  </si>
  <si>
    <t>Area Code (M49)</t>
  </si>
  <si>
    <t>Area</t>
  </si>
  <si>
    <t>Element Code</t>
  </si>
  <si>
    <t>Element</t>
  </si>
  <si>
    <t>Item Code (FBS)</t>
  </si>
  <si>
    <t>Item</t>
  </si>
  <si>
    <t>Year Code</t>
  </si>
  <si>
    <t>Year</t>
  </si>
  <si>
    <t>Unit</t>
  </si>
  <si>
    <t>Value</t>
  </si>
  <si>
    <t>Flag</t>
  </si>
  <si>
    <t>Flag Description</t>
  </si>
  <si>
    <t>FBS</t>
  </si>
  <si>
    <t>Food Balances (2010-)</t>
  </si>
  <si>
    <t>India</t>
  </si>
  <si>
    <t>Production</t>
  </si>
  <si>
    <t>S2731</t>
  </si>
  <si>
    <t>Bovine Meat</t>
  </si>
  <si>
    <t>1000 t</t>
  </si>
  <si>
    <t>I</t>
  </si>
  <si>
    <t>Imputed value</t>
  </si>
  <si>
    <t>S2733</t>
  </si>
  <si>
    <t>Pigmeat</t>
  </si>
  <si>
    <t>S2734</t>
  </si>
  <si>
    <t>Poultry Meat</t>
  </si>
  <si>
    <t>S2744</t>
  </si>
  <si>
    <t>Eggs</t>
  </si>
  <si>
    <t>S2848</t>
  </si>
  <si>
    <t>Milk - Excluding Butter</t>
  </si>
  <si>
    <t>Product</t>
  </si>
  <si>
    <t>Opportunity food loss (%)</t>
  </si>
  <si>
    <t>Calculated ratio of plant-based protein output to animal protein output per land area</t>
  </si>
  <si>
    <t xml:space="preserve">000 tonnes </t>
  </si>
  <si>
    <t>Weighted average ratio</t>
  </si>
  <si>
    <t>Poultry</t>
  </si>
  <si>
    <t>Milk</t>
  </si>
  <si>
    <t>Pork</t>
  </si>
  <si>
    <t>Beef</t>
  </si>
  <si>
    <t>Unit: dimensionless (ratio)</t>
  </si>
  <si>
    <t>Ratio of Nutritionally Equivalent Plant to Animal Products Produced per Unit Land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</si>
</sst>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vertical="top" wrapText="1"/>
    </xf>
    <xf numFmtId="0" fontId="0" fillId="0" borderId="0" xfId="0" quotePrefix="1" applyAlignment="1">
      <alignment wrapText="1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nas.org/content/115/15/380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opLeftCell="A8" workbookViewId="0">
      <selection activeCell="E22" sqref="E22"/>
    </sheetView>
  </sheetViews>
  <sheetFormatPr defaultRowHeight="14.45"/>
  <sheetData>
    <row r="1" spans="1:7">
      <c r="A1" s="1" t="s">
        <v>0</v>
      </c>
    </row>
    <row r="3" spans="1:7">
      <c r="A3" s="1" t="s">
        <v>1</v>
      </c>
      <c r="B3" s="9" t="s">
        <v>2</v>
      </c>
      <c r="C3" s="8"/>
      <c r="D3" s="8"/>
      <c r="E3" s="8"/>
      <c r="F3" s="8"/>
      <c r="G3" s="8"/>
    </row>
    <row r="4" spans="1:7">
      <c r="B4" t="s">
        <v>3</v>
      </c>
    </row>
    <row r="5" spans="1:7">
      <c r="B5" s="2">
        <v>2018</v>
      </c>
    </row>
    <row r="6" spans="1:7">
      <c r="B6" t="s">
        <v>4</v>
      </c>
    </row>
    <row r="7" spans="1:7">
      <c r="B7" s="3" t="s">
        <v>5</v>
      </c>
    </row>
    <row r="8" spans="1:7">
      <c r="B8" t="s">
        <v>6</v>
      </c>
    </row>
    <row r="10" spans="1:7">
      <c r="B10" s="9" t="s">
        <v>7</v>
      </c>
      <c r="C10" s="8"/>
      <c r="D10" s="8"/>
      <c r="E10" s="8"/>
      <c r="F10" s="8"/>
      <c r="G10" s="8"/>
    </row>
    <row r="11" spans="1:7">
      <c r="B11" t="s">
        <v>8</v>
      </c>
    </row>
    <row r="12" spans="1:7">
      <c r="B12" s="2">
        <v>2021</v>
      </c>
    </row>
    <row r="13" spans="1:7">
      <c r="B13" t="s">
        <v>9</v>
      </c>
    </row>
    <row r="14" spans="1:7">
      <c r="B14" s="3" t="s">
        <v>10</v>
      </c>
    </row>
    <row r="18" spans="1:1">
      <c r="A18" s="1" t="s">
        <v>11</v>
      </c>
    </row>
    <row r="19" spans="1:1">
      <c r="A19" t="s">
        <v>12</v>
      </c>
    </row>
    <row r="20" spans="1:1">
      <c r="A20" t="s">
        <v>13</v>
      </c>
    </row>
    <row r="21" spans="1:1">
      <c r="A21" t="s">
        <v>14</v>
      </c>
    </row>
    <row r="22" spans="1:1">
      <c r="A22" t="s">
        <v>15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4C1B-5DC7-46E3-974E-9DFB4EE1E2B4}">
  <dimension ref="A1:N6"/>
  <sheetViews>
    <sheetView workbookViewId="0">
      <selection activeCell="F17" sqref="F17"/>
    </sheetView>
  </sheetViews>
  <sheetFormatPr defaultRowHeight="14.45"/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 t="s">
        <v>31</v>
      </c>
      <c r="C2">
        <v>356</v>
      </c>
      <c r="D2" t="s">
        <v>32</v>
      </c>
      <c r="E2">
        <v>5511</v>
      </c>
      <c r="F2" t="s">
        <v>33</v>
      </c>
      <c r="G2" t="s">
        <v>34</v>
      </c>
      <c r="H2" t="s">
        <v>35</v>
      </c>
      <c r="I2">
        <v>2021</v>
      </c>
      <c r="J2">
        <v>2021</v>
      </c>
      <c r="K2" t="s">
        <v>36</v>
      </c>
      <c r="L2">
        <v>4195</v>
      </c>
      <c r="M2" t="s">
        <v>37</v>
      </c>
      <c r="N2" t="s">
        <v>38</v>
      </c>
    </row>
    <row r="3" spans="1:14">
      <c r="A3" t="s">
        <v>30</v>
      </c>
      <c r="B3" t="s">
        <v>31</v>
      </c>
      <c r="C3">
        <v>356</v>
      </c>
      <c r="D3" t="s">
        <v>32</v>
      </c>
      <c r="E3">
        <v>5511</v>
      </c>
      <c r="F3" t="s">
        <v>33</v>
      </c>
      <c r="G3" t="s">
        <v>39</v>
      </c>
      <c r="H3" t="s">
        <v>40</v>
      </c>
      <c r="I3">
        <v>2021</v>
      </c>
      <c r="J3">
        <v>2021</v>
      </c>
      <c r="K3" t="s">
        <v>36</v>
      </c>
      <c r="L3">
        <v>320</v>
      </c>
      <c r="M3" t="s">
        <v>37</v>
      </c>
      <c r="N3" t="s">
        <v>38</v>
      </c>
    </row>
    <row r="4" spans="1:14">
      <c r="A4" t="s">
        <v>30</v>
      </c>
      <c r="B4" t="s">
        <v>31</v>
      </c>
      <c r="C4">
        <v>356</v>
      </c>
      <c r="D4" t="s">
        <v>32</v>
      </c>
      <c r="E4">
        <v>5511</v>
      </c>
      <c r="F4" t="s">
        <v>33</v>
      </c>
      <c r="G4" t="s">
        <v>41</v>
      </c>
      <c r="H4" t="s">
        <v>42</v>
      </c>
      <c r="I4">
        <v>2021</v>
      </c>
      <c r="J4">
        <v>2021</v>
      </c>
      <c r="K4" t="s">
        <v>36</v>
      </c>
      <c r="L4">
        <v>3714</v>
      </c>
      <c r="M4" t="s">
        <v>37</v>
      </c>
      <c r="N4" t="s">
        <v>38</v>
      </c>
    </row>
    <row r="5" spans="1:14">
      <c r="A5" t="s">
        <v>30</v>
      </c>
      <c r="B5" t="s">
        <v>31</v>
      </c>
      <c r="C5">
        <v>356</v>
      </c>
      <c r="D5" t="s">
        <v>32</v>
      </c>
      <c r="E5">
        <v>5511</v>
      </c>
      <c r="F5" t="s">
        <v>33</v>
      </c>
      <c r="G5" t="s">
        <v>43</v>
      </c>
      <c r="H5" t="s">
        <v>44</v>
      </c>
      <c r="I5">
        <v>2021</v>
      </c>
      <c r="J5">
        <v>2021</v>
      </c>
      <c r="K5" t="s">
        <v>36</v>
      </c>
      <c r="L5">
        <v>6710</v>
      </c>
      <c r="M5" t="s">
        <v>37</v>
      </c>
      <c r="N5" t="s">
        <v>38</v>
      </c>
    </row>
    <row r="6" spans="1:14">
      <c r="A6" t="s">
        <v>30</v>
      </c>
      <c r="B6" t="s">
        <v>31</v>
      </c>
      <c r="C6">
        <v>356</v>
      </c>
      <c r="D6" t="s">
        <v>32</v>
      </c>
      <c r="E6">
        <v>5511</v>
      </c>
      <c r="F6" t="s">
        <v>33</v>
      </c>
      <c r="G6" t="s">
        <v>45</v>
      </c>
      <c r="H6" t="s">
        <v>46</v>
      </c>
      <c r="I6">
        <v>2021</v>
      </c>
      <c r="J6">
        <v>2021</v>
      </c>
      <c r="K6" t="s">
        <v>36</v>
      </c>
      <c r="L6">
        <v>208987</v>
      </c>
      <c r="M6" t="s">
        <v>37</v>
      </c>
      <c r="N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C9FD-CF91-4FA0-B211-B97643980368}">
  <dimension ref="A1:F10"/>
  <sheetViews>
    <sheetView tabSelected="1" workbookViewId="0">
      <selection activeCell="D7" sqref="D7"/>
    </sheetView>
  </sheetViews>
  <sheetFormatPr defaultRowHeight="14.45"/>
  <cols>
    <col min="2" max="2" width="12.42578125" customWidth="1"/>
    <col min="3" max="3" width="31.42578125" customWidth="1"/>
    <col min="7" max="7" width="11.85546875" bestFit="1" customWidth="1"/>
    <col min="12" max="12" width="11.85546875" customWidth="1"/>
  </cols>
  <sheetData>
    <row r="1" spans="1:6" ht="43.5">
      <c r="A1" s="7" t="s">
        <v>47</v>
      </c>
      <c r="B1" s="7" t="s">
        <v>48</v>
      </c>
      <c r="C1" s="13" t="s">
        <v>49</v>
      </c>
      <c r="D1" s="14" t="s">
        <v>50</v>
      </c>
      <c r="F1" t="s">
        <v>51</v>
      </c>
    </row>
    <row r="2" spans="1:6">
      <c r="A2" t="s">
        <v>44</v>
      </c>
      <c r="B2">
        <v>40</v>
      </c>
      <c r="C2" s="12">
        <f>100/(100-$B2)</f>
        <v>1.6666666666666667</v>
      </c>
      <c r="D2">
        <f>FAOSTAT_data!L5</f>
        <v>6710</v>
      </c>
      <c r="F2" s="5">
        <f>SUMPRODUCT(C2:C6,D2:D6)/SUM(D2:D6)</f>
        <v>4.2988948730086429</v>
      </c>
    </row>
    <row r="3" spans="1:6">
      <c r="A3" t="s">
        <v>52</v>
      </c>
      <c r="B3">
        <v>50</v>
      </c>
      <c r="C3">
        <f>100/(100-$B3)</f>
        <v>2</v>
      </c>
      <c r="D3" s="11">
        <f>FAOSTAT_data!L4</f>
        <v>3714</v>
      </c>
    </row>
    <row r="4" spans="1:6">
      <c r="A4" t="s">
        <v>53</v>
      </c>
      <c r="B4">
        <v>75</v>
      </c>
      <c r="C4">
        <f>100/(100-$B4)</f>
        <v>4</v>
      </c>
      <c r="D4" s="11">
        <f>FAOSTAT_data!L6</f>
        <v>208987</v>
      </c>
    </row>
    <row r="5" spans="1:6">
      <c r="A5" t="s">
        <v>54</v>
      </c>
      <c r="B5">
        <v>90</v>
      </c>
      <c r="C5">
        <f t="shared" ref="C5:C6" si="0">100/(100-$B5)</f>
        <v>10</v>
      </c>
      <c r="D5" s="6">
        <f>FAOSTAT_data!L3</f>
        <v>320</v>
      </c>
    </row>
    <row r="6" spans="1:6">
      <c r="A6" t="s">
        <v>55</v>
      </c>
      <c r="B6">
        <v>96</v>
      </c>
      <c r="C6">
        <f t="shared" si="0"/>
        <v>25</v>
      </c>
      <c r="D6" s="6">
        <f>FAOSTAT_data!L2</f>
        <v>4195</v>
      </c>
    </row>
    <row r="7" spans="1:6">
      <c r="D7" s="12"/>
    </row>
    <row r="9" spans="1:6">
      <c r="B9" s="12"/>
    </row>
    <row r="10" spans="1:6">
      <c r="B10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workbookViewId="0">
      <selection activeCell="B2" sqref="B2"/>
    </sheetView>
  </sheetViews>
  <sheetFormatPr defaultRowHeight="14.45"/>
  <cols>
    <col min="1" max="1" width="43.7109375" customWidth="1"/>
  </cols>
  <sheetData>
    <row r="1" spans="1:2">
      <c r="A1" s="10" t="s">
        <v>56</v>
      </c>
    </row>
    <row r="2" spans="1:2" ht="29.1">
      <c r="A2" s="7" t="s">
        <v>57</v>
      </c>
      <c r="B2" s="12">
        <f>Data!$F$2</f>
        <v>4.2988948730086429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B737B3-32EC-48E3-A3B9-248F75BE21F2}"/>
</file>

<file path=customXml/itemProps2.xml><?xml version="1.0" encoding="utf-8"?>
<ds:datastoreItem xmlns:ds="http://schemas.openxmlformats.org/officeDocument/2006/customXml" ds:itemID="{5A9C2A52-8075-474F-822D-4DF53C79570C}"/>
</file>

<file path=customXml/itemProps3.xml><?xml version="1.0" encoding="utf-8"?>
<ds:datastoreItem xmlns:ds="http://schemas.openxmlformats.org/officeDocument/2006/customXml" ds:itemID="{9C07AD96-4707-4569-889C-C3C2BE8C94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2019-05-24T01:40:35Z</dcterms:created>
  <dcterms:modified xsi:type="dcterms:W3CDTF">2024-07-22T09:48:13Z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