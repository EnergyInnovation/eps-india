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hidePivotFieldList="1"/>
  <mc:AlternateContent xmlns:mc="http://schemas.openxmlformats.org/markup-compatibility/2006">
    <mc:Choice Requires="x15">
      <x15ac:absPath xmlns:x15ac="http://schemas.microsoft.com/office/spreadsheetml/2010/11/ac" url="C:\Users\MeganMahajan\Documents\eps-india\InputData\elec\BHRaSYC\"/>
    </mc:Choice>
  </mc:AlternateContent>
  <xr:revisionPtr revIDLastSave="0" documentId="13_ncr:1_{1354C40F-89A6-4BB2-A87D-F9FC6C10F57E}" xr6:coauthVersionLast="47" xr6:coauthVersionMax="47" xr10:uidLastSave="{00000000-0000-0000-0000-000000000000}"/>
  <bookViews>
    <workbookView xWindow="28680" yWindow="-120" windowWidth="29040" windowHeight="17520" xr2:uid="{00000000-000D-0000-FFFF-FFFF00000000}"/>
  </bookViews>
  <sheets>
    <sheet name="About" sheetId="1" r:id="rId1"/>
    <sheet name="Start Year Capacities - 2026-21" sheetId="22" r:id="rId2"/>
    <sheet name="BAU Heat Rate - 2020" sheetId="23" r:id="rId3"/>
    <sheet name="BHRaSYC-HeatRates" sheetId="13" r:id="rId4"/>
    <sheet name="BHRaSYC-StartYearCapacities" sheetId="16" r:id="rId5"/>
  </sheets>
  <externalReferences>
    <externalReference r:id="rId6"/>
  </externalReferences>
  <definedNames>
    <definedName name="cpi_2016_to_2012">[1]About!$A$109</definedName>
    <definedName name="cpi_2019_to_2012">[1]About!$A$115</definedName>
    <definedName name="cpi_2020_to_2012">[1]About!$A$117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X14" i="16" l="1"/>
  <c r="DZ4" i="16"/>
  <c r="EA4" i="16"/>
  <c r="EB4" i="16"/>
  <c r="DY4" i="16"/>
  <c r="EB3" i="16"/>
  <c r="DZ3" i="16"/>
  <c r="EA3" i="16"/>
  <c r="DY3" i="16"/>
  <c r="DX3" i="16"/>
  <c r="DX18" i="16"/>
  <c r="EA18" i="16"/>
  <c r="DZ18" i="16"/>
  <c r="DX12" i="16"/>
  <c r="DX11" i="16"/>
  <c r="DX10" i="16"/>
  <c r="DX8" i="16"/>
  <c r="DX7" i="16"/>
  <c r="DX6" i="16"/>
  <c r="DX5" i="16"/>
  <c r="DX2" i="16"/>
  <c r="DY18" i="16"/>
  <c r="DY12" i="16"/>
  <c r="DY11" i="16"/>
  <c r="DY10" i="16"/>
  <c r="DY8" i="16"/>
  <c r="DY7" i="16"/>
  <c r="DY6" i="16"/>
  <c r="DY5" i="16"/>
  <c r="DY14" i="16"/>
  <c r="DY2" i="16"/>
  <c r="DZ14" i="16"/>
  <c r="DZ12" i="16"/>
  <c r="DZ11" i="16"/>
  <c r="DZ10" i="16"/>
  <c r="DZ8" i="16"/>
  <c r="DZ6" i="16"/>
  <c r="DZ7" i="16"/>
  <c r="DZ5" i="16"/>
  <c r="D73" i="23"/>
  <c r="D72" i="23"/>
  <c r="B22" i="13" s="1"/>
  <c r="D71" i="23"/>
  <c r="B21" i="13" s="1"/>
  <c r="D70" i="23"/>
  <c r="B20" i="13" s="1"/>
  <c r="D69" i="23"/>
  <c r="B19" i="13" s="1"/>
  <c r="C19" i="13"/>
  <c r="D19" i="13" s="1"/>
  <c r="E19" i="13" s="1"/>
  <c r="F19" i="13" s="1"/>
  <c r="G19" i="13" s="1"/>
  <c r="H19" i="13" s="1"/>
  <c r="I19" i="13" s="1"/>
  <c r="J19" i="13" s="1"/>
  <c r="K19" i="13" s="1"/>
  <c r="L19" i="13" s="1"/>
  <c r="M19" i="13" s="1"/>
  <c r="N19" i="13" s="1"/>
  <c r="O19" i="13" s="1"/>
  <c r="P19" i="13" s="1"/>
  <c r="Q19" i="13" s="1"/>
  <c r="R19" i="13" s="1"/>
  <c r="S19" i="13" s="1"/>
  <c r="T19" i="13" s="1"/>
  <c r="U19" i="13" s="1"/>
  <c r="V19" i="13" s="1"/>
  <c r="W19" i="13" s="1"/>
  <c r="X19" i="13" s="1"/>
  <c r="Y19" i="13" s="1"/>
  <c r="Z19" i="13" s="1"/>
  <c r="AA19" i="13" s="1"/>
  <c r="AB19" i="13" s="1"/>
  <c r="AC19" i="13" s="1"/>
  <c r="AD19" i="13" s="1"/>
  <c r="AE19" i="13" s="1"/>
  <c r="AF19" i="13" s="1"/>
  <c r="AG19" i="13" s="1"/>
  <c r="AH19" i="13" s="1"/>
  <c r="AI19" i="13" s="1"/>
  <c r="AJ19" i="13" s="1"/>
  <c r="AK19" i="13" s="1"/>
  <c r="AL19" i="13" s="1"/>
  <c r="AM19" i="13" s="1"/>
  <c r="AN19" i="13" s="1"/>
  <c r="AO19" i="13" s="1"/>
  <c r="AP19" i="13" s="1"/>
  <c r="AQ19" i="13" s="1"/>
  <c r="AR19" i="13" s="1"/>
  <c r="AS19" i="13" s="1"/>
  <c r="AT19" i="13" s="1"/>
  <c r="AU19" i="13" s="1"/>
  <c r="AV19" i="13" s="1"/>
  <c r="AW19" i="13" s="1"/>
  <c r="AX19" i="13" s="1"/>
  <c r="AY19" i="13" s="1"/>
  <c r="AZ19" i="13" s="1"/>
  <c r="BA19" i="13" s="1"/>
  <c r="BB19" i="13" s="1"/>
  <c r="BC19" i="13" s="1"/>
  <c r="BD19" i="13" s="1"/>
  <c r="BE19" i="13" s="1"/>
  <c r="BF19" i="13" s="1"/>
  <c r="BG19" i="13" s="1"/>
  <c r="BH19" i="13" s="1"/>
  <c r="BI19" i="13" s="1"/>
  <c r="BJ19" i="13" s="1"/>
  <c r="BK19" i="13" s="1"/>
  <c r="BL19" i="13" s="1"/>
  <c r="BM19" i="13" s="1"/>
  <c r="BN19" i="13" s="1"/>
  <c r="BO19" i="13" s="1"/>
  <c r="BP19" i="13" s="1"/>
  <c r="BQ19" i="13" s="1"/>
  <c r="BR19" i="13" s="1"/>
  <c r="BS19" i="13" s="1"/>
  <c r="BT19" i="13" s="1"/>
  <c r="BU19" i="13" s="1"/>
  <c r="BV19" i="13" s="1"/>
  <c r="BW19" i="13" s="1"/>
  <c r="BX19" i="13" s="1"/>
  <c r="BY19" i="13" s="1"/>
  <c r="BZ19" i="13" s="1"/>
  <c r="CA19" i="13" s="1"/>
  <c r="CB19" i="13" s="1"/>
  <c r="CC19" i="13" s="1"/>
  <c r="CD19" i="13" s="1"/>
  <c r="CE19" i="13" s="1"/>
  <c r="CF19" i="13" s="1"/>
  <c r="CG19" i="13" s="1"/>
  <c r="CH19" i="13" s="1"/>
  <c r="CI19" i="13" s="1"/>
  <c r="CJ19" i="13" s="1"/>
  <c r="CK19" i="13" s="1"/>
  <c r="CL19" i="13" s="1"/>
  <c r="CM19" i="13" s="1"/>
  <c r="CN19" i="13" s="1"/>
  <c r="CO19" i="13" s="1"/>
  <c r="CP19" i="13" s="1"/>
  <c r="CQ19" i="13" s="1"/>
  <c r="CR19" i="13" s="1"/>
  <c r="CS19" i="13" s="1"/>
  <c r="CT19" i="13" s="1"/>
  <c r="CU19" i="13" s="1"/>
  <c r="CV19" i="13" s="1"/>
  <c r="CW19" i="13" s="1"/>
  <c r="CX19" i="13" s="1"/>
  <c r="CY19" i="13" s="1"/>
  <c r="CZ19" i="13" s="1"/>
  <c r="DA19" i="13" s="1"/>
  <c r="DB19" i="13" s="1"/>
  <c r="DC19" i="13" s="1"/>
  <c r="DD19" i="13" s="1"/>
  <c r="DE19" i="13" s="1"/>
  <c r="DF19" i="13" s="1"/>
  <c r="DG19" i="13" s="1"/>
  <c r="DH19" i="13" s="1"/>
  <c r="DI19" i="13" s="1"/>
  <c r="DJ19" i="13" s="1"/>
  <c r="DK19" i="13" s="1"/>
  <c r="DL19" i="13" s="1"/>
  <c r="DM19" i="13" s="1"/>
  <c r="DN19" i="13" s="1"/>
  <c r="DO19" i="13" s="1"/>
  <c r="DP19" i="13" s="1"/>
  <c r="DQ19" i="13" s="1"/>
  <c r="DR19" i="13" s="1"/>
  <c r="DS19" i="13" s="1"/>
  <c r="DT19" i="13" s="1"/>
  <c r="DU19" i="13" s="1"/>
  <c r="DV19" i="13" s="1"/>
  <c r="DW19" i="13" s="1"/>
  <c r="DX19" i="13" s="1"/>
  <c r="DY19" i="13" s="1"/>
  <c r="DZ19" i="13" s="1"/>
  <c r="C20" i="13"/>
  <c r="D20" i="13" s="1"/>
  <c r="E20" i="13" s="1"/>
  <c r="F20" i="13" s="1"/>
  <c r="G20" i="13" s="1"/>
  <c r="H20" i="13" s="1"/>
  <c r="I20" i="13" s="1"/>
  <c r="J20" i="13" s="1"/>
  <c r="K20" i="13" s="1"/>
  <c r="L20" i="13" s="1"/>
  <c r="M20" i="13" s="1"/>
  <c r="N20" i="13" s="1"/>
  <c r="O20" i="13" s="1"/>
  <c r="P20" i="13" s="1"/>
  <c r="Q20" i="13" s="1"/>
  <c r="R20" i="13" s="1"/>
  <c r="S20" i="13" s="1"/>
  <c r="T20" i="13" s="1"/>
  <c r="U20" i="13" s="1"/>
  <c r="V20" i="13" s="1"/>
  <c r="W20" i="13" s="1"/>
  <c r="X20" i="13" s="1"/>
  <c r="Y20" i="13" s="1"/>
  <c r="Z20" i="13" s="1"/>
  <c r="AA20" i="13" s="1"/>
  <c r="AB20" i="13" s="1"/>
  <c r="AC20" i="13" s="1"/>
  <c r="AD20" i="13" s="1"/>
  <c r="AE20" i="13" s="1"/>
  <c r="AF20" i="13" s="1"/>
  <c r="AG20" i="13" s="1"/>
  <c r="AH20" i="13" s="1"/>
  <c r="AI20" i="13" s="1"/>
  <c r="AJ20" i="13" s="1"/>
  <c r="AK20" i="13" s="1"/>
  <c r="AL20" i="13" s="1"/>
  <c r="AM20" i="13" s="1"/>
  <c r="AN20" i="13" s="1"/>
  <c r="AO20" i="13" s="1"/>
  <c r="AP20" i="13" s="1"/>
  <c r="AQ20" i="13" s="1"/>
  <c r="AR20" i="13" s="1"/>
  <c r="AS20" i="13" s="1"/>
  <c r="AT20" i="13" s="1"/>
  <c r="AU20" i="13" s="1"/>
  <c r="AV20" i="13" s="1"/>
  <c r="AW20" i="13" s="1"/>
  <c r="AX20" i="13" s="1"/>
  <c r="AY20" i="13" s="1"/>
  <c r="AZ20" i="13" s="1"/>
  <c r="BA20" i="13" s="1"/>
  <c r="BB20" i="13" s="1"/>
  <c r="BC20" i="13" s="1"/>
  <c r="BD20" i="13" s="1"/>
  <c r="BE20" i="13" s="1"/>
  <c r="BF20" i="13" s="1"/>
  <c r="BG20" i="13" s="1"/>
  <c r="BH20" i="13" s="1"/>
  <c r="BI20" i="13" s="1"/>
  <c r="BJ20" i="13" s="1"/>
  <c r="BK20" i="13" s="1"/>
  <c r="BL20" i="13" s="1"/>
  <c r="BM20" i="13" s="1"/>
  <c r="BN20" i="13" s="1"/>
  <c r="BO20" i="13" s="1"/>
  <c r="BP20" i="13" s="1"/>
  <c r="BQ20" i="13" s="1"/>
  <c r="BR20" i="13" s="1"/>
  <c r="BS20" i="13" s="1"/>
  <c r="BT20" i="13" s="1"/>
  <c r="BU20" i="13" s="1"/>
  <c r="BV20" i="13" s="1"/>
  <c r="BW20" i="13" s="1"/>
  <c r="BX20" i="13" s="1"/>
  <c r="BY20" i="13" s="1"/>
  <c r="BZ20" i="13" s="1"/>
  <c r="CA20" i="13" s="1"/>
  <c r="CB20" i="13" s="1"/>
  <c r="CC20" i="13" s="1"/>
  <c r="CD20" i="13" s="1"/>
  <c r="CE20" i="13" s="1"/>
  <c r="CF20" i="13" s="1"/>
  <c r="CG20" i="13" s="1"/>
  <c r="CH20" i="13" s="1"/>
  <c r="CI20" i="13" s="1"/>
  <c r="CJ20" i="13" s="1"/>
  <c r="CK20" i="13" s="1"/>
  <c r="CL20" i="13" s="1"/>
  <c r="CM20" i="13" s="1"/>
  <c r="CN20" i="13" s="1"/>
  <c r="CO20" i="13" s="1"/>
  <c r="CP20" i="13" s="1"/>
  <c r="CQ20" i="13" s="1"/>
  <c r="CR20" i="13" s="1"/>
  <c r="CS20" i="13" s="1"/>
  <c r="CT20" i="13" s="1"/>
  <c r="CU20" i="13" s="1"/>
  <c r="CV20" i="13" s="1"/>
  <c r="CW20" i="13" s="1"/>
  <c r="CX20" i="13" s="1"/>
  <c r="CY20" i="13" s="1"/>
  <c r="CZ20" i="13" s="1"/>
  <c r="DA20" i="13" s="1"/>
  <c r="DB20" i="13" s="1"/>
  <c r="DC20" i="13" s="1"/>
  <c r="DD20" i="13" s="1"/>
  <c r="DE20" i="13" s="1"/>
  <c r="DF20" i="13" s="1"/>
  <c r="DG20" i="13" s="1"/>
  <c r="DH20" i="13" s="1"/>
  <c r="DI20" i="13" s="1"/>
  <c r="DJ20" i="13" s="1"/>
  <c r="DK20" i="13" s="1"/>
  <c r="DL20" i="13" s="1"/>
  <c r="DM20" i="13" s="1"/>
  <c r="DN20" i="13" s="1"/>
  <c r="DO20" i="13" s="1"/>
  <c r="DP20" i="13" s="1"/>
  <c r="DQ20" i="13" s="1"/>
  <c r="DR20" i="13" s="1"/>
  <c r="DS20" i="13" s="1"/>
  <c r="DT20" i="13" s="1"/>
  <c r="DU20" i="13" s="1"/>
  <c r="DV20" i="13" s="1"/>
  <c r="DW20" i="13" s="1"/>
  <c r="DX20" i="13" s="1"/>
  <c r="DY20" i="13" s="1"/>
  <c r="DZ20" i="13" s="1"/>
  <c r="C21" i="13"/>
  <c r="D21" i="13" s="1"/>
  <c r="E21" i="13" s="1"/>
  <c r="F21" i="13" s="1"/>
  <c r="G21" i="13" s="1"/>
  <c r="H21" i="13" s="1"/>
  <c r="I21" i="13" s="1"/>
  <c r="J21" i="13" s="1"/>
  <c r="K21" i="13" s="1"/>
  <c r="L21" i="13" s="1"/>
  <c r="M21" i="13" s="1"/>
  <c r="N21" i="13" s="1"/>
  <c r="O21" i="13" s="1"/>
  <c r="P21" i="13" s="1"/>
  <c r="Q21" i="13" s="1"/>
  <c r="R21" i="13" s="1"/>
  <c r="S21" i="13" s="1"/>
  <c r="T21" i="13" s="1"/>
  <c r="U21" i="13" s="1"/>
  <c r="V21" i="13" s="1"/>
  <c r="W21" i="13" s="1"/>
  <c r="X21" i="13" s="1"/>
  <c r="Y21" i="13" s="1"/>
  <c r="Z21" i="13" s="1"/>
  <c r="AA21" i="13" s="1"/>
  <c r="AB21" i="13" s="1"/>
  <c r="AC21" i="13" s="1"/>
  <c r="AD21" i="13" s="1"/>
  <c r="AE21" i="13" s="1"/>
  <c r="AF21" i="13" s="1"/>
  <c r="AG21" i="13" s="1"/>
  <c r="AH21" i="13" s="1"/>
  <c r="AI21" i="13" s="1"/>
  <c r="AJ21" i="13" s="1"/>
  <c r="AK21" i="13" s="1"/>
  <c r="AL21" i="13" s="1"/>
  <c r="AM21" i="13" s="1"/>
  <c r="AN21" i="13" s="1"/>
  <c r="AO21" i="13" s="1"/>
  <c r="AP21" i="13" s="1"/>
  <c r="AQ21" i="13" s="1"/>
  <c r="AR21" i="13" s="1"/>
  <c r="AS21" i="13" s="1"/>
  <c r="AT21" i="13" s="1"/>
  <c r="AU21" i="13" s="1"/>
  <c r="AV21" i="13" s="1"/>
  <c r="AW21" i="13" s="1"/>
  <c r="AX21" i="13" s="1"/>
  <c r="AY21" i="13" s="1"/>
  <c r="AZ21" i="13" s="1"/>
  <c r="BA21" i="13" s="1"/>
  <c r="BB21" i="13" s="1"/>
  <c r="BC21" i="13" s="1"/>
  <c r="BD21" i="13" s="1"/>
  <c r="BE21" i="13" s="1"/>
  <c r="BF21" i="13" s="1"/>
  <c r="BG21" i="13" s="1"/>
  <c r="BH21" i="13" s="1"/>
  <c r="BI21" i="13" s="1"/>
  <c r="BJ21" i="13" s="1"/>
  <c r="BK21" i="13" s="1"/>
  <c r="BL21" i="13" s="1"/>
  <c r="BM21" i="13" s="1"/>
  <c r="BN21" i="13" s="1"/>
  <c r="BO21" i="13" s="1"/>
  <c r="BP21" i="13" s="1"/>
  <c r="BQ21" i="13" s="1"/>
  <c r="BR21" i="13" s="1"/>
  <c r="BS21" i="13" s="1"/>
  <c r="BT21" i="13" s="1"/>
  <c r="BU21" i="13" s="1"/>
  <c r="BV21" i="13" s="1"/>
  <c r="BW21" i="13" s="1"/>
  <c r="BX21" i="13" s="1"/>
  <c r="BY21" i="13" s="1"/>
  <c r="BZ21" i="13" s="1"/>
  <c r="CA21" i="13" s="1"/>
  <c r="CB21" i="13" s="1"/>
  <c r="CC21" i="13" s="1"/>
  <c r="CD21" i="13" s="1"/>
  <c r="CE21" i="13" s="1"/>
  <c r="CF21" i="13" s="1"/>
  <c r="CG21" i="13" s="1"/>
  <c r="CH21" i="13" s="1"/>
  <c r="CI21" i="13" s="1"/>
  <c r="CJ21" i="13" s="1"/>
  <c r="CK21" i="13" s="1"/>
  <c r="CL21" i="13" s="1"/>
  <c r="CM21" i="13" s="1"/>
  <c r="CN21" i="13" s="1"/>
  <c r="CO21" i="13" s="1"/>
  <c r="CP21" i="13" s="1"/>
  <c r="CQ21" i="13" s="1"/>
  <c r="CR21" i="13" s="1"/>
  <c r="CS21" i="13" s="1"/>
  <c r="CT21" i="13" s="1"/>
  <c r="CU21" i="13" s="1"/>
  <c r="CV21" i="13" s="1"/>
  <c r="CW21" i="13" s="1"/>
  <c r="CX21" i="13" s="1"/>
  <c r="CY21" i="13" s="1"/>
  <c r="CZ21" i="13" s="1"/>
  <c r="DA21" i="13" s="1"/>
  <c r="DB21" i="13" s="1"/>
  <c r="DC21" i="13" s="1"/>
  <c r="DD21" i="13" s="1"/>
  <c r="DE21" i="13" s="1"/>
  <c r="DF21" i="13" s="1"/>
  <c r="DG21" i="13" s="1"/>
  <c r="DH21" i="13" s="1"/>
  <c r="DI21" i="13" s="1"/>
  <c r="DJ21" i="13" s="1"/>
  <c r="DK21" i="13" s="1"/>
  <c r="DL21" i="13" s="1"/>
  <c r="DM21" i="13" s="1"/>
  <c r="DN21" i="13" s="1"/>
  <c r="DO21" i="13" s="1"/>
  <c r="DP21" i="13" s="1"/>
  <c r="DQ21" i="13" s="1"/>
  <c r="DR21" i="13" s="1"/>
  <c r="DS21" i="13" s="1"/>
  <c r="DT21" i="13" s="1"/>
  <c r="DU21" i="13" s="1"/>
  <c r="DV21" i="13" s="1"/>
  <c r="DW21" i="13" s="1"/>
  <c r="DX21" i="13" s="1"/>
  <c r="DY21" i="13" s="1"/>
  <c r="DZ21" i="13" s="1"/>
  <c r="C22" i="13"/>
  <c r="D22" i="13" s="1"/>
  <c r="E22" i="13" s="1"/>
  <c r="F22" i="13" s="1"/>
  <c r="G22" i="13" s="1"/>
  <c r="H22" i="13" s="1"/>
  <c r="I22" i="13" s="1"/>
  <c r="J22" i="13" s="1"/>
  <c r="K22" i="13" s="1"/>
  <c r="L22" i="13" s="1"/>
  <c r="M22" i="13" s="1"/>
  <c r="N22" i="13" s="1"/>
  <c r="O22" i="13" s="1"/>
  <c r="P22" i="13" s="1"/>
  <c r="Q22" i="13" s="1"/>
  <c r="R22" i="13" s="1"/>
  <c r="S22" i="13" s="1"/>
  <c r="T22" i="13" s="1"/>
  <c r="U22" i="13" s="1"/>
  <c r="V22" i="13" s="1"/>
  <c r="W22" i="13" s="1"/>
  <c r="X22" i="13" s="1"/>
  <c r="Y22" i="13" s="1"/>
  <c r="Z22" i="13" s="1"/>
  <c r="AA22" i="13" s="1"/>
  <c r="AB22" i="13" s="1"/>
  <c r="AC22" i="13" s="1"/>
  <c r="AD22" i="13" s="1"/>
  <c r="AE22" i="13" s="1"/>
  <c r="AF22" i="13" s="1"/>
  <c r="AG22" i="13" s="1"/>
  <c r="AH22" i="13" s="1"/>
  <c r="AI22" i="13" s="1"/>
  <c r="AJ22" i="13" s="1"/>
  <c r="AK22" i="13" s="1"/>
  <c r="AL22" i="13" s="1"/>
  <c r="AM22" i="13" s="1"/>
  <c r="AN22" i="13" s="1"/>
  <c r="AO22" i="13" s="1"/>
  <c r="AP22" i="13" s="1"/>
  <c r="AQ22" i="13" s="1"/>
  <c r="AR22" i="13" s="1"/>
  <c r="AS22" i="13" s="1"/>
  <c r="AT22" i="13" s="1"/>
  <c r="AU22" i="13" s="1"/>
  <c r="AV22" i="13" s="1"/>
  <c r="AW22" i="13" s="1"/>
  <c r="AX22" i="13" s="1"/>
  <c r="AY22" i="13" s="1"/>
  <c r="AZ22" i="13" s="1"/>
  <c r="BA22" i="13" s="1"/>
  <c r="BB22" i="13" s="1"/>
  <c r="BC22" i="13" s="1"/>
  <c r="BD22" i="13" s="1"/>
  <c r="BE22" i="13" s="1"/>
  <c r="BF22" i="13" s="1"/>
  <c r="BG22" i="13" s="1"/>
  <c r="BH22" i="13" s="1"/>
  <c r="BI22" i="13" s="1"/>
  <c r="BJ22" i="13" s="1"/>
  <c r="BK22" i="13" s="1"/>
  <c r="BL22" i="13" s="1"/>
  <c r="BM22" i="13" s="1"/>
  <c r="BN22" i="13" s="1"/>
  <c r="BO22" i="13" s="1"/>
  <c r="BP22" i="13" s="1"/>
  <c r="BQ22" i="13" s="1"/>
  <c r="BR22" i="13" s="1"/>
  <c r="BS22" i="13" s="1"/>
  <c r="BT22" i="13" s="1"/>
  <c r="BU22" i="13" s="1"/>
  <c r="BV22" i="13" s="1"/>
  <c r="BW22" i="13" s="1"/>
  <c r="BX22" i="13" s="1"/>
  <c r="BY22" i="13" s="1"/>
  <c r="BZ22" i="13" s="1"/>
  <c r="CA22" i="13" s="1"/>
  <c r="CB22" i="13" s="1"/>
  <c r="CC22" i="13" s="1"/>
  <c r="CD22" i="13" s="1"/>
  <c r="CE22" i="13" s="1"/>
  <c r="CF22" i="13" s="1"/>
  <c r="CG22" i="13" s="1"/>
  <c r="CH22" i="13" s="1"/>
  <c r="CI22" i="13" s="1"/>
  <c r="CJ22" i="13" s="1"/>
  <c r="CK22" i="13" s="1"/>
  <c r="CL22" i="13" s="1"/>
  <c r="CM22" i="13" s="1"/>
  <c r="CN22" i="13" s="1"/>
  <c r="CO22" i="13" s="1"/>
  <c r="CP22" i="13" s="1"/>
  <c r="CQ22" i="13" s="1"/>
  <c r="CR22" i="13" s="1"/>
  <c r="CS22" i="13" s="1"/>
  <c r="CT22" i="13" s="1"/>
  <c r="CU22" i="13" s="1"/>
  <c r="CV22" i="13" s="1"/>
  <c r="CW22" i="13" s="1"/>
  <c r="CX22" i="13" s="1"/>
  <c r="CY22" i="13" s="1"/>
  <c r="CZ22" i="13" s="1"/>
  <c r="DA22" i="13" s="1"/>
  <c r="DB22" i="13" s="1"/>
  <c r="DC22" i="13" s="1"/>
  <c r="DD22" i="13" s="1"/>
  <c r="DE22" i="13" s="1"/>
  <c r="DF22" i="13" s="1"/>
  <c r="DG22" i="13" s="1"/>
  <c r="DH22" i="13" s="1"/>
  <c r="DI22" i="13" s="1"/>
  <c r="DJ22" i="13" s="1"/>
  <c r="DK22" i="13" s="1"/>
  <c r="DL22" i="13" s="1"/>
  <c r="DM22" i="13" s="1"/>
  <c r="DN22" i="13" s="1"/>
  <c r="DO22" i="13" s="1"/>
  <c r="DP22" i="13" s="1"/>
  <c r="DQ22" i="13" s="1"/>
  <c r="DR22" i="13" s="1"/>
  <c r="DS22" i="13" s="1"/>
  <c r="DT22" i="13" s="1"/>
  <c r="DU22" i="13" s="1"/>
  <c r="DV22" i="13" s="1"/>
  <c r="DW22" i="13" s="1"/>
  <c r="DX22" i="13" s="1"/>
  <c r="DY22" i="13" s="1"/>
  <c r="DZ22" i="13" s="1"/>
  <c r="C15" i="13"/>
  <c r="D15" i="13"/>
  <c r="E15" i="13"/>
  <c r="F15" i="13"/>
  <c r="G15" i="13"/>
  <c r="H15" i="13"/>
  <c r="I15" i="13"/>
  <c r="J15" i="13"/>
  <c r="K15" i="13"/>
  <c r="L15" i="13"/>
  <c r="M15" i="13"/>
  <c r="N15" i="13"/>
  <c r="O15" i="13"/>
  <c r="P15" i="13"/>
  <c r="Q15" i="13"/>
  <c r="R15" i="13"/>
  <c r="S15" i="13"/>
  <c r="T15" i="13"/>
  <c r="U15" i="13"/>
  <c r="V15" i="13"/>
  <c r="W15" i="13"/>
  <c r="X15" i="13"/>
  <c r="Y15" i="13"/>
  <c r="Z15" i="13"/>
  <c r="AA15" i="13"/>
  <c r="AB15" i="13"/>
  <c r="AC15" i="13"/>
  <c r="AD15" i="13"/>
  <c r="AE15" i="13"/>
  <c r="AF15" i="13"/>
  <c r="AG15" i="13"/>
  <c r="AH15" i="13"/>
  <c r="AI15" i="13"/>
  <c r="AJ15" i="13"/>
  <c r="AK15" i="13"/>
  <c r="AL15" i="13"/>
  <c r="AM15" i="13"/>
  <c r="AN15" i="13"/>
  <c r="AO15" i="13"/>
  <c r="AP15" i="13"/>
  <c r="AQ15" i="13"/>
  <c r="AR15" i="13"/>
  <c r="AS15" i="13"/>
  <c r="AT15" i="13"/>
  <c r="AU15" i="13"/>
  <c r="AV15" i="13"/>
  <c r="AW15" i="13"/>
  <c r="AX15" i="13"/>
  <c r="AY15" i="13"/>
  <c r="AZ15" i="13"/>
  <c r="BA15" i="13"/>
  <c r="BB15" i="13"/>
  <c r="BC15" i="13"/>
  <c r="BD15" i="13"/>
  <c r="BE15" i="13"/>
  <c r="BF15" i="13"/>
  <c r="BG15" i="13"/>
  <c r="BH15" i="13"/>
  <c r="BI15" i="13"/>
  <c r="BJ15" i="13"/>
  <c r="BK15" i="13"/>
  <c r="BL15" i="13"/>
  <c r="BM15" i="13"/>
  <c r="BN15" i="13"/>
  <c r="BO15" i="13"/>
  <c r="BP15" i="13"/>
  <c r="BQ15" i="13"/>
  <c r="BR15" i="13"/>
  <c r="BS15" i="13"/>
  <c r="BT15" i="13"/>
  <c r="BU15" i="13"/>
  <c r="BV15" i="13"/>
  <c r="BW15" i="13"/>
  <c r="BX15" i="13"/>
  <c r="BY15" i="13"/>
  <c r="BZ15" i="13"/>
  <c r="CA15" i="13"/>
  <c r="CB15" i="13"/>
  <c r="CC15" i="13"/>
  <c r="CD15" i="13"/>
  <c r="CE15" i="13"/>
  <c r="CF15" i="13"/>
  <c r="CG15" i="13"/>
  <c r="CH15" i="13"/>
  <c r="CI15" i="13"/>
  <c r="CJ15" i="13"/>
  <c r="CK15" i="13"/>
  <c r="CL15" i="13"/>
  <c r="CM15" i="13"/>
  <c r="CN15" i="13"/>
  <c r="CO15" i="13"/>
  <c r="CP15" i="13"/>
  <c r="CQ15" i="13"/>
  <c r="CR15" i="13"/>
  <c r="CS15" i="13"/>
  <c r="CT15" i="13"/>
  <c r="CU15" i="13"/>
  <c r="CV15" i="13"/>
  <c r="CW15" i="13"/>
  <c r="CX15" i="13"/>
  <c r="CY15" i="13"/>
  <c r="CZ15" i="13"/>
  <c r="DA15" i="13"/>
  <c r="DB15" i="13"/>
  <c r="DC15" i="13"/>
  <c r="DD15" i="13"/>
  <c r="DE15" i="13"/>
  <c r="DF15" i="13"/>
  <c r="DG15" i="13"/>
  <c r="DH15" i="13"/>
  <c r="DI15" i="13"/>
  <c r="DJ15" i="13"/>
  <c r="DK15" i="13"/>
  <c r="DL15" i="13"/>
  <c r="DM15" i="13"/>
  <c r="DN15" i="13"/>
  <c r="DO15" i="13"/>
  <c r="DP15" i="13"/>
  <c r="DQ15" i="13"/>
  <c r="DR15" i="13"/>
  <c r="DS15" i="13"/>
  <c r="DT15" i="13"/>
  <c r="DU15" i="13"/>
  <c r="DV15" i="13"/>
  <c r="DW15" i="13"/>
  <c r="DX15" i="13"/>
  <c r="DY15" i="13"/>
  <c r="DZ15" i="13"/>
  <c r="B15" i="13"/>
  <c r="B14" i="13"/>
  <c r="C14" i="13" s="1"/>
  <c r="D14" i="13" s="1"/>
  <c r="E14" i="13" s="1"/>
  <c r="F14" i="13" s="1"/>
  <c r="G14" i="13" s="1"/>
  <c r="H14" i="13" s="1"/>
  <c r="I14" i="13" s="1"/>
  <c r="J14" i="13" s="1"/>
  <c r="K14" i="13" s="1"/>
  <c r="L14" i="13" s="1"/>
  <c r="M14" i="13" s="1"/>
  <c r="N14" i="13" s="1"/>
  <c r="O14" i="13" s="1"/>
  <c r="P14" i="13" s="1"/>
  <c r="Q14" i="13" s="1"/>
  <c r="R14" i="13" s="1"/>
  <c r="S14" i="13" s="1"/>
  <c r="T14" i="13" s="1"/>
  <c r="U14" i="13" s="1"/>
  <c r="V14" i="13" s="1"/>
  <c r="W14" i="13" s="1"/>
  <c r="X14" i="13" s="1"/>
  <c r="Y14" i="13" s="1"/>
  <c r="Z14" i="13" s="1"/>
  <c r="AA14" i="13" s="1"/>
  <c r="AB14" i="13" s="1"/>
  <c r="AC14" i="13" s="1"/>
  <c r="AD14" i="13" s="1"/>
  <c r="AE14" i="13" s="1"/>
  <c r="AF14" i="13" s="1"/>
  <c r="AG14" i="13" s="1"/>
  <c r="AH14" i="13" s="1"/>
  <c r="AI14" i="13" s="1"/>
  <c r="AJ14" i="13" s="1"/>
  <c r="AK14" i="13" s="1"/>
  <c r="AL14" i="13" s="1"/>
  <c r="AM14" i="13" s="1"/>
  <c r="AN14" i="13" s="1"/>
  <c r="AO14" i="13" s="1"/>
  <c r="AP14" i="13" s="1"/>
  <c r="AQ14" i="13" s="1"/>
  <c r="AR14" i="13" s="1"/>
  <c r="AS14" i="13" s="1"/>
  <c r="AT14" i="13" s="1"/>
  <c r="AU14" i="13" s="1"/>
  <c r="AV14" i="13" s="1"/>
  <c r="AW14" i="13" s="1"/>
  <c r="AX14" i="13" s="1"/>
  <c r="AY14" i="13" s="1"/>
  <c r="AZ14" i="13" s="1"/>
  <c r="BA14" i="13" s="1"/>
  <c r="BB14" i="13" s="1"/>
  <c r="BC14" i="13" s="1"/>
  <c r="BD14" i="13" s="1"/>
  <c r="BE14" i="13" s="1"/>
  <c r="BF14" i="13" s="1"/>
  <c r="BG14" i="13" s="1"/>
  <c r="BH14" i="13" s="1"/>
  <c r="BI14" i="13" s="1"/>
  <c r="BJ14" i="13" s="1"/>
  <c r="BK14" i="13" s="1"/>
  <c r="BL14" i="13" s="1"/>
  <c r="BM14" i="13" s="1"/>
  <c r="BN14" i="13" s="1"/>
  <c r="BO14" i="13" s="1"/>
  <c r="BP14" i="13" s="1"/>
  <c r="BQ14" i="13" s="1"/>
  <c r="BR14" i="13" s="1"/>
  <c r="BS14" i="13" s="1"/>
  <c r="BT14" i="13" s="1"/>
  <c r="BU14" i="13" s="1"/>
  <c r="BV14" i="13" s="1"/>
  <c r="BW14" i="13" s="1"/>
  <c r="BX14" i="13" s="1"/>
  <c r="BY14" i="13" s="1"/>
  <c r="BZ14" i="13" s="1"/>
  <c r="CA14" i="13" s="1"/>
  <c r="CB14" i="13" s="1"/>
  <c r="CC14" i="13" s="1"/>
  <c r="CD14" i="13" s="1"/>
  <c r="CE14" i="13" s="1"/>
  <c r="CF14" i="13" s="1"/>
  <c r="CG14" i="13" s="1"/>
  <c r="CH14" i="13" s="1"/>
  <c r="CI14" i="13" s="1"/>
  <c r="CJ14" i="13" s="1"/>
  <c r="CK14" i="13" s="1"/>
  <c r="CL14" i="13" s="1"/>
  <c r="CM14" i="13" s="1"/>
  <c r="CN14" i="13" s="1"/>
  <c r="CO14" i="13" s="1"/>
  <c r="CP14" i="13" s="1"/>
  <c r="CQ14" i="13" s="1"/>
  <c r="CR14" i="13" s="1"/>
  <c r="CS14" i="13" s="1"/>
  <c r="CT14" i="13" s="1"/>
  <c r="CU14" i="13" s="1"/>
  <c r="CV14" i="13" s="1"/>
  <c r="CW14" i="13" s="1"/>
  <c r="CX14" i="13" s="1"/>
  <c r="CY14" i="13" s="1"/>
  <c r="CZ14" i="13" s="1"/>
  <c r="DA14" i="13" s="1"/>
  <c r="DB14" i="13" s="1"/>
  <c r="DC14" i="13" s="1"/>
  <c r="DD14" i="13" s="1"/>
  <c r="DE14" i="13" s="1"/>
  <c r="DF14" i="13" s="1"/>
  <c r="DG14" i="13" s="1"/>
  <c r="DH14" i="13" s="1"/>
  <c r="DI14" i="13" s="1"/>
  <c r="DJ14" i="13" s="1"/>
  <c r="DK14" i="13" s="1"/>
  <c r="DL14" i="13" s="1"/>
  <c r="DM14" i="13" s="1"/>
  <c r="DN14" i="13" s="1"/>
  <c r="DO14" i="13" s="1"/>
  <c r="DP14" i="13" s="1"/>
  <c r="DQ14" i="13" s="1"/>
  <c r="DR14" i="13" s="1"/>
  <c r="DS14" i="13" s="1"/>
  <c r="DT14" i="13" s="1"/>
  <c r="DU14" i="13" s="1"/>
  <c r="DV14" i="13" s="1"/>
  <c r="DW14" i="13" s="1"/>
  <c r="DX14" i="13" s="1"/>
  <c r="DY14" i="13" s="1"/>
  <c r="DZ14" i="13" s="1"/>
  <c r="C13" i="13"/>
  <c r="D13" i="13"/>
  <c r="E13" i="13"/>
  <c r="F13" i="13"/>
  <c r="G13" i="13"/>
  <c r="H13" i="13"/>
  <c r="I13" i="13"/>
  <c r="J13" i="13"/>
  <c r="K13" i="13"/>
  <c r="L13" i="13"/>
  <c r="M13" i="13"/>
  <c r="N13" i="13"/>
  <c r="O13" i="13"/>
  <c r="P13" i="13"/>
  <c r="Q13" i="13"/>
  <c r="R13" i="13"/>
  <c r="S13" i="13"/>
  <c r="T13" i="13"/>
  <c r="U13" i="13"/>
  <c r="V13" i="13"/>
  <c r="W13" i="13"/>
  <c r="X13" i="13"/>
  <c r="Y13" i="13"/>
  <c r="Z13" i="13"/>
  <c r="AA13" i="13"/>
  <c r="AB13" i="13"/>
  <c r="AC13" i="13"/>
  <c r="AD13" i="13"/>
  <c r="AE13" i="13"/>
  <c r="AF13" i="13"/>
  <c r="AG13" i="13"/>
  <c r="AH13" i="13"/>
  <c r="AI13" i="13"/>
  <c r="AJ13" i="13"/>
  <c r="AK13" i="13"/>
  <c r="AL13" i="13"/>
  <c r="AM13" i="13"/>
  <c r="AN13" i="13"/>
  <c r="AO13" i="13"/>
  <c r="AP13" i="13"/>
  <c r="AQ13" i="13"/>
  <c r="AR13" i="13"/>
  <c r="AS13" i="13"/>
  <c r="AT13" i="13"/>
  <c r="AU13" i="13"/>
  <c r="AV13" i="13"/>
  <c r="AW13" i="13"/>
  <c r="AX13" i="13"/>
  <c r="AY13" i="13"/>
  <c r="AZ13" i="13"/>
  <c r="BA13" i="13"/>
  <c r="BB13" i="13"/>
  <c r="BC13" i="13"/>
  <c r="BD13" i="13"/>
  <c r="BE13" i="13"/>
  <c r="BF13" i="13"/>
  <c r="BG13" i="13"/>
  <c r="BH13" i="13"/>
  <c r="BI13" i="13"/>
  <c r="BJ13" i="13"/>
  <c r="BK13" i="13"/>
  <c r="BL13" i="13"/>
  <c r="BM13" i="13"/>
  <c r="BN13" i="13"/>
  <c r="BO13" i="13"/>
  <c r="BP13" i="13"/>
  <c r="BQ13" i="13"/>
  <c r="BR13" i="13"/>
  <c r="BS13" i="13"/>
  <c r="BT13" i="13"/>
  <c r="BU13" i="13"/>
  <c r="BV13" i="13"/>
  <c r="BW13" i="13"/>
  <c r="BX13" i="13"/>
  <c r="BY13" i="13"/>
  <c r="BZ13" i="13"/>
  <c r="CA13" i="13"/>
  <c r="CB13" i="13"/>
  <c r="CC13" i="13"/>
  <c r="CD13" i="13"/>
  <c r="CE13" i="13"/>
  <c r="CF13" i="13"/>
  <c r="CG13" i="13"/>
  <c r="CH13" i="13"/>
  <c r="CI13" i="13"/>
  <c r="CJ13" i="13"/>
  <c r="CK13" i="13"/>
  <c r="CL13" i="13"/>
  <c r="CM13" i="13"/>
  <c r="CN13" i="13"/>
  <c r="CO13" i="13"/>
  <c r="CP13" i="13"/>
  <c r="CQ13" i="13"/>
  <c r="CR13" i="13"/>
  <c r="CS13" i="13"/>
  <c r="CT13" i="13"/>
  <c r="CU13" i="13"/>
  <c r="CV13" i="13"/>
  <c r="CW13" i="13"/>
  <c r="CX13" i="13"/>
  <c r="CY13" i="13"/>
  <c r="CZ13" i="13"/>
  <c r="DA13" i="13"/>
  <c r="DB13" i="13"/>
  <c r="DC13" i="13"/>
  <c r="DD13" i="13"/>
  <c r="DE13" i="13"/>
  <c r="DF13" i="13"/>
  <c r="DG13" i="13"/>
  <c r="DH13" i="13"/>
  <c r="DI13" i="13"/>
  <c r="DJ13" i="13"/>
  <c r="DK13" i="13"/>
  <c r="DL13" i="13"/>
  <c r="DM13" i="13"/>
  <c r="DN13" i="13"/>
  <c r="DO13" i="13"/>
  <c r="DP13" i="13"/>
  <c r="DQ13" i="13"/>
  <c r="DR13" i="13"/>
  <c r="DS13" i="13"/>
  <c r="DT13" i="13"/>
  <c r="DU13" i="13"/>
  <c r="DV13" i="13"/>
  <c r="DW13" i="13"/>
  <c r="DX13" i="13"/>
  <c r="DY13" i="13"/>
  <c r="B13" i="13"/>
  <c r="DZ13" i="13"/>
  <c r="C39" i="23"/>
  <c r="EU4" i="13"/>
  <c r="FE4" i="13"/>
  <c r="EU3" i="13"/>
  <c r="FE3" i="13"/>
  <c r="EU2" i="13"/>
  <c r="FE2" i="13"/>
  <c r="EB5" i="16"/>
  <c r="EB6" i="16"/>
  <c r="EB7" i="16"/>
  <c r="EB8" i="16"/>
  <c r="EB10" i="16"/>
  <c r="EB12" i="16"/>
  <c r="EB14" i="16"/>
  <c r="EB2" i="16"/>
  <c r="X34" i="23"/>
  <c r="X35" i="23"/>
  <c r="X36" i="23"/>
  <c r="Y36" i="23" s="1"/>
  <c r="Z36" i="23" s="1"/>
  <c r="AA36" i="23" s="1"/>
  <c r="AB36" i="23" s="1"/>
  <c r="AC36" i="23" s="1"/>
  <c r="AD36" i="23" s="1"/>
  <c r="AE36" i="23" s="1"/>
  <c r="AF36" i="23" s="1"/>
  <c r="X31" i="23"/>
  <c r="DZ2" i="16"/>
  <c r="J5" i="23"/>
  <c r="AG32" i="23" s="1"/>
  <c r="J6" i="23"/>
  <c r="AG33" i="23" s="1"/>
  <c r="J7" i="23"/>
  <c r="J8" i="23"/>
  <c r="J9" i="23"/>
  <c r="J4" i="23"/>
  <c r="H5" i="23"/>
  <c r="W32" i="23" s="1"/>
  <c r="X32" i="23" s="1"/>
  <c r="Y32" i="23" s="1"/>
  <c r="Z32" i="23" s="1"/>
  <c r="AA32" i="23" s="1"/>
  <c r="AB32" i="23" s="1"/>
  <c r="AC32" i="23" s="1"/>
  <c r="AD32" i="23" s="1"/>
  <c r="AE32" i="23" s="1"/>
  <c r="AF32" i="23" s="1"/>
  <c r="H6" i="23"/>
  <c r="W33" i="23" s="1"/>
  <c r="X33" i="23" s="1"/>
  <c r="Y33" i="23" s="1"/>
  <c r="Z33" i="23" s="1"/>
  <c r="AA33" i="23" s="1"/>
  <c r="AB33" i="23" s="1"/>
  <c r="AC33" i="23" s="1"/>
  <c r="AD33" i="23" s="1"/>
  <c r="AE33" i="23" s="1"/>
  <c r="AF33" i="23" s="1"/>
  <c r="H7" i="23"/>
  <c r="H8" i="23"/>
  <c r="H9" i="23"/>
  <c r="H4" i="23"/>
  <c r="F5" i="23"/>
  <c r="M32" i="23" s="1"/>
  <c r="F6" i="23"/>
  <c r="M33" i="23" s="1"/>
  <c r="N33" i="23" s="1"/>
  <c r="O33" i="23" s="1"/>
  <c r="P33" i="23" s="1"/>
  <c r="Q33" i="23" s="1"/>
  <c r="R33" i="23" s="1"/>
  <c r="S33" i="23" s="1"/>
  <c r="T33" i="23" s="1"/>
  <c r="U33" i="23" s="1"/>
  <c r="V33" i="23" s="1"/>
  <c r="F7" i="23"/>
  <c r="M34" i="23" s="1"/>
  <c r="F8" i="23"/>
  <c r="M35" i="23" s="1"/>
  <c r="F9" i="23"/>
  <c r="M36" i="23" s="1"/>
  <c r="F4" i="23"/>
  <c r="M31" i="23" s="1"/>
  <c r="EA11" i="16"/>
  <c r="D9" i="23"/>
  <c r="D10" i="23"/>
  <c r="EA10" i="13" s="1"/>
  <c r="D11" i="23"/>
  <c r="D12" i="23"/>
  <c r="D13" i="23"/>
  <c r="D14" i="23"/>
  <c r="D15" i="23"/>
  <c r="D16" i="23"/>
  <c r="D17" i="23"/>
  <c r="D18" i="23"/>
  <c r="D19" i="23"/>
  <c r="D20" i="23"/>
  <c r="D21" i="23"/>
  <c r="EA5" i="13" s="1"/>
  <c r="EA22" i="13" s="1"/>
  <c r="D22" i="23"/>
  <c r="D5" i="23"/>
  <c r="D6" i="23"/>
  <c r="C33" i="23" s="1"/>
  <c r="D33" i="23" s="1"/>
  <c r="E33" i="23" s="1"/>
  <c r="F33" i="23" s="1"/>
  <c r="G33" i="23" s="1"/>
  <c r="H33" i="23" s="1"/>
  <c r="I33" i="23" s="1"/>
  <c r="J33" i="23" s="1"/>
  <c r="K33" i="23" s="1"/>
  <c r="L33" i="23" s="1"/>
  <c r="D7" i="23"/>
  <c r="D8" i="23"/>
  <c r="D4" i="23"/>
  <c r="EA14" i="16"/>
  <c r="EA12" i="16"/>
  <c r="EA10" i="16"/>
  <c r="EA8" i="16"/>
  <c r="EA7" i="16"/>
  <c r="EA6" i="16"/>
  <c r="EA5" i="16"/>
  <c r="EA2" i="16"/>
  <c r="EB10" i="13" l="1"/>
  <c r="DZ10" i="13"/>
  <c r="EA18" i="13"/>
  <c r="B18" i="13" s="1"/>
  <c r="C18" i="13" s="1"/>
  <c r="D18" i="13" s="1"/>
  <c r="E18" i="13" s="1"/>
  <c r="F18" i="13" s="1"/>
  <c r="G18" i="13" s="1"/>
  <c r="H18" i="13" s="1"/>
  <c r="I18" i="13" s="1"/>
  <c r="J18" i="13" s="1"/>
  <c r="K18" i="13" s="1"/>
  <c r="L18" i="13" s="1"/>
  <c r="M18" i="13" s="1"/>
  <c r="N18" i="13" s="1"/>
  <c r="O18" i="13" s="1"/>
  <c r="P18" i="13" s="1"/>
  <c r="Q18" i="13" s="1"/>
  <c r="R18" i="13" s="1"/>
  <c r="S18" i="13" s="1"/>
  <c r="T18" i="13" s="1"/>
  <c r="U18" i="13" s="1"/>
  <c r="V18" i="13" s="1"/>
  <c r="W18" i="13" s="1"/>
  <c r="X18" i="13" s="1"/>
  <c r="Y18" i="13" s="1"/>
  <c r="Z18" i="13" s="1"/>
  <c r="AA18" i="13" s="1"/>
  <c r="AB18" i="13" s="1"/>
  <c r="AC18" i="13" s="1"/>
  <c r="AD18" i="13" s="1"/>
  <c r="AE18" i="13" s="1"/>
  <c r="AF18" i="13" s="1"/>
  <c r="AG18" i="13" s="1"/>
  <c r="AH18" i="13" s="1"/>
  <c r="AI18" i="13" s="1"/>
  <c r="AJ18" i="13" s="1"/>
  <c r="AK18" i="13" s="1"/>
  <c r="AL18" i="13" s="1"/>
  <c r="AM18" i="13" s="1"/>
  <c r="AN18" i="13" s="1"/>
  <c r="AO18" i="13" s="1"/>
  <c r="AP18" i="13" s="1"/>
  <c r="AQ18" i="13" s="1"/>
  <c r="AR18" i="13" s="1"/>
  <c r="AS18" i="13" s="1"/>
  <c r="AT18" i="13" s="1"/>
  <c r="AU18" i="13" s="1"/>
  <c r="AV18" i="13" s="1"/>
  <c r="AW18" i="13" s="1"/>
  <c r="AX18" i="13" s="1"/>
  <c r="AY18" i="13" s="1"/>
  <c r="AZ18" i="13" s="1"/>
  <c r="BA18" i="13" s="1"/>
  <c r="BB18" i="13" s="1"/>
  <c r="BC18" i="13" s="1"/>
  <c r="BD18" i="13" s="1"/>
  <c r="BE18" i="13" s="1"/>
  <c r="BF18" i="13" s="1"/>
  <c r="BG18" i="13" s="1"/>
  <c r="BH18" i="13" s="1"/>
  <c r="BI18" i="13" s="1"/>
  <c r="BJ18" i="13" s="1"/>
  <c r="BK18" i="13" s="1"/>
  <c r="BL18" i="13" s="1"/>
  <c r="BM18" i="13" s="1"/>
  <c r="BN18" i="13" s="1"/>
  <c r="BO18" i="13" s="1"/>
  <c r="BP18" i="13" s="1"/>
  <c r="BQ18" i="13" s="1"/>
  <c r="BR18" i="13" s="1"/>
  <c r="BS18" i="13" s="1"/>
  <c r="BT18" i="13" s="1"/>
  <c r="BU18" i="13" s="1"/>
  <c r="BV18" i="13" s="1"/>
  <c r="BW18" i="13" s="1"/>
  <c r="BX18" i="13" s="1"/>
  <c r="BY18" i="13" s="1"/>
  <c r="BZ18" i="13" s="1"/>
  <c r="CA18" i="13" s="1"/>
  <c r="CB18" i="13" s="1"/>
  <c r="CC18" i="13" s="1"/>
  <c r="CD18" i="13" s="1"/>
  <c r="CE18" i="13" s="1"/>
  <c r="CF18" i="13" s="1"/>
  <c r="CG18" i="13" s="1"/>
  <c r="CH18" i="13" s="1"/>
  <c r="CI18" i="13" s="1"/>
  <c r="CJ18" i="13" s="1"/>
  <c r="CK18" i="13" s="1"/>
  <c r="CL18" i="13" s="1"/>
  <c r="CM18" i="13" s="1"/>
  <c r="CN18" i="13" s="1"/>
  <c r="CO18" i="13" s="1"/>
  <c r="CP18" i="13" s="1"/>
  <c r="CQ18" i="13" s="1"/>
  <c r="CR18" i="13" s="1"/>
  <c r="CS18" i="13" s="1"/>
  <c r="CT18" i="13" s="1"/>
  <c r="CU18" i="13" s="1"/>
  <c r="CV18" i="13" s="1"/>
  <c r="CW18" i="13" s="1"/>
  <c r="CX18" i="13" s="1"/>
  <c r="CY18" i="13" s="1"/>
  <c r="CZ18" i="13" s="1"/>
  <c r="DA18" i="13" s="1"/>
  <c r="DB18" i="13" s="1"/>
  <c r="DC18" i="13" s="1"/>
  <c r="DD18" i="13" s="1"/>
  <c r="DE18" i="13" s="1"/>
  <c r="DF18" i="13" s="1"/>
  <c r="DG18" i="13" s="1"/>
  <c r="DH18" i="13" s="1"/>
  <c r="DI18" i="13" s="1"/>
  <c r="DJ18" i="13" s="1"/>
  <c r="DK18" i="13" s="1"/>
  <c r="DL18" i="13" s="1"/>
  <c r="DM18" i="13" s="1"/>
  <c r="DN18" i="13" s="1"/>
  <c r="DO18" i="13" s="1"/>
  <c r="DP18" i="13" s="1"/>
  <c r="DQ18" i="13" s="1"/>
  <c r="DR18" i="13" s="1"/>
  <c r="DS18" i="13" s="1"/>
  <c r="DT18" i="13" s="1"/>
  <c r="DU18" i="13" s="1"/>
  <c r="DV18" i="13" s="1"/>
  <c r="DW18" i="13" s="1"/>
  <c r="DX18" i="13" s="1"/>
  <c r="DY18" i="13" s="1"/>
  <c r="DZ18" i="13" s="1"/>
  <c r="FF2" i="13"/>
  <c r="FE19" i="13"/>
  <c r="FE14" i="13"/>
  <c r="EU19" i="13"/>
  <c r="EU14" i="13"/>
  <c r="FF3" i="13"/>
  <c r="FE24" i="13"/>
  <c r="FE20" i="13"/>
  <c r="EU24" i="13"/>
  <c r="EU20" i="13"/>
  <c r="FF4" i="13"/>
  <c r="FE25" i="13"/>
  <c r="FE21" i="13"/>
  <c r="FE13" i="13"/>
  <c r="EU25" i="13"/>
  <c r="EU21" i="13"/>
  <c r="EU13" i="13"/>
  <c r="C12" i="13"/>
  <c r="D12" i="13"/>
  <c r="E12" i="13"/>
  <c r="F12" i="13"/>
  <c r="G12" i="13"/>
  <c r="H12" i="13"/>
  <c r="I12" i="13"/>
  <c r="J12" i="13"/>
  <c r="K12" i="13"/>
  <c r="L12" i="13"/>
  <c r="M12" i="13"/>
  <c r="N12" i="13"/>
  <c r="O12" i="13"/>
  <c r="P12" i="13"/>
  <c r="Q12" i="13"/>
  <c r="R12" i="13"/>
  <c r="S12" i="13"/>
  <c r="T12" i="13"/>
  <c r="U12" i="13"/>
  <c r="V12" i="13"/>
  <c r="W12" i="13"/>
  <c r="X12" i="13"/>
  <c r="Y12" i="13"/>
  <c r="Z12" i="13"/>
  <c r="AA12" i="13"/>
  <c r="AB12" i="13"/>
  <c r="AC12" i="13"/>
  <c r="AD12" i="13"/>
  <c r="AE12" i="13"/>
  <c r="AF12" i="13"/>
  <c r="AG12" i="13"/>
  <c r="AH12" i="13"/>
  <c r="AI12" i="13"/>
  <c r="AJ12" i="13"/>
  <c r="AK12" i="13"/>
  <c r="AL12" i="13"/>
  <c r="AM12" i="13"/>
  <c r="AN12" i="13"/>
  <c r="AO12" i="13"/>
  <c r="AP12" i="13"/>
  <c r="AQ12" i="13"/>
  <c r="AR12" i="13"/>
  <c r="AS12" i="13"/>
  <c r="AT12" i="13"/>
  <c r="AU12" i="13"/>
  <c r="AV12" i="13"/>
  <c r="AW12" i="13"/>
  <c r="AX12" i="13"/>
  <c r="AY12" i="13"/>
  <c r="AZ12" i="13"/>
  <c r="BA12" i="13"/>
  <c r="BB12" i="13"/>
  <c r="BC12" i="13"/>
  <c r="BD12" i="13"/>
  <c r="BE12" i="13"/>
  <c r="BF12" i="13"/>
  <c r="BG12" i="13"/>
  <c r="BH12" i="13"/>
  <c r="BI12" i="13"/>
  <c r="BJ12" i="13"/>
  <c r="BK12" i="13"/>
  <c r="BL12" i="13"/>
  <c r="BM12" i="13"/>
  <c r="BN12" i="13"/>
  <c r="BO12" i="13"/>
  <c r="BP12" i="13"/>
  <c r="BQ12" i="13"/>
  <c r="BR12" i="13"/>
  <c r="BS12" i="13"/>
  <c r="BT12" i="13"/>
  <c r="BU12" i="13"/>
  <c r="BV12" i="13"/>
  <c r="BW12" i="13"/>
  <c r="BX12" i="13"/>
  <c r="BY12" i="13"/>
  <c r="BZ12" i="13"/>
  <c r="CA12" i="13"/>
  <c r="CB12" i="13"/>
  <c r="CC12" i="13"/>
  <c r="CD12" i="13"/>
  <c r="CE12" i="13"/>
  <c r="CF12" i="13"/>
  <c r="CG12" i="13"/>
  <c r="CH12" i="13"/>
  <c r="CI12" i="13"/>
  <c r="CJ12" i="13"/>
  <c r="CK12" i="13"/>
  <c r="CL12" i="13"/>
  <c r="CM12" i="13"/>
  <c r="CN12" i="13"/>
  <c r="CO12" i="13"/>
  <c r="CP12" i="13"/>
  <c r="CQ12" i="13"/>
  <c r="CR12" i="13"/>
  <c r="CS12" i="13"/>
  <c r="CT12" i="13"/>
  <c r="CU12" i="13"/>
  <c r="CV12" i="13"/>
  <c r="CW12" i="13"/>
  <c r="CX12" i="13"/>
  <c r="CY12" i="13"/>
  <c r="CZ12" i="13"/>
  <c r="DA12" i="13"/>
  <c r="DB12" i="13"/>
  <c r="DC12" i="13"/>
  <c r="DD12" i="13"/>
  <c r="DE12" i="13"/>
  <c r="DF12" i="13"/>
  <c r="DG12" i="13"/>
  <c r="DH12" i="13"/>
  <c r="DI12" i="13"/>
  <c r="DJ12" i="13"/>
  <c r="DK12" i="13"/>
  <c r="DL12" i="13"/>
  <c r="DM12" i="13"/>
  <c r="DN12" i="13"/>
  <c r="DO12" i="13"/>
  <c r="DP12" i="13"/>
  <c r="DQ12" i="13"/>
  <c r="DR12" i="13"/>
  <c r="DS12" i="13"/>
  <c r="DT12" i="13"/>
  <c r="DU12" i="13"/>
  <c r="DV12" i="13"/>
  <c r="DW12" i="13"/>
  <c r="DX12" i="13"/>
  <c r="DY12" i="13"/>
  <c r="DZ12" i="13"/>
  <c r="B12" i="13"/>
  <c r="EA12" i="13"/>
  <c r="EB12" i="13"/>
  <c r="EC12" i="13"/>
  <c r="ED12" i="13"/>
  <c r="EE12" i="13"/>
  <c r="EF12" i="13"/>
  <c r="EG12" i="13"/>
  <c r="EH12" i="13"/>
  <c r="EI12" i="13"/>
  <c r="EJ12" i="13"/>
  <c r="EK12" i="13"/>
  <c r="EL12" i="13"/>
  <c r="EM12" i="13"/>
  <c r="EN12" i="13"/>
  <c r="EO12" i="13"/>
  <c r="EP12" i="13"/>
  <c r="EQ12" i="13"/>
  <c r="ER12" i="13"/>
  <c r="ES12" i="13"/>
  <c r="ET12" i="13"/>
  <c r="EU12" i="13"/>
  <c r="EV12" i="13"/>
  <c r="EW12" i="13"/>
  <c r="EX12" i="13"/>
  <c r="EY12" i="13"/>
  <c r="EZ12" i="13"/>
  <c r="FA12" i="13"/>
  <c r="FB12" i="13"/>
  <c r="FC12" i="13"/>
  <c r="FD12" i="13"/>
  <c r="FE12" i="13"/>
  <c r="FF12" i="13"/>
  <c r="FG12" i="13"/>
  <c r="FH12" i="13"/>
  <c r="FI12" i="13"/>
  <c r="FJ12" i="13"/>
  <c r="FK12" i="13"/>
  <c r="FL12" i="13"/>
  <c r="FM12" i="13"/>
  <c r="FN12" i="13"/>
  <c r="FO12" i="13"/>
  <c r="FP12" i="13"/>
  <c r="FQ12" i="13"/>
  <c r="FR12" i="13"/>
  <c r="FS12" i="13"/>
  <c r="FT12" i="13"/>
  <c r="FU12" i="13"/>
  <c r="FV12" i="13"/>
  <c r="FW12" i="13"/>
  <c r="FX12" i="13"/>
  <c r="FY12" i="13"/>
  <c r="FZ12" i="13"/>
  <c r="GA12" i="13"/>
  <c r="GB12" i="13"/>
  <c r="GC12" i="13"/>
  <c r="GD12" i="13"/>
  <c r="GE12" i="13"/>
  <c r="GF12" i="13"/>
  <c r="GG12" i="13"/>
  <c r="GH12" i="13"/>
  <c r="GI12" i="13"/>
  <c r="GJ12" i="13"/>
  <c r="GK12" i="13"/>
  <c r="GL12" i="13"/>
  <c r="GM12" i="13"/>
  <c r="GN12" i="13"/>
  <c r="GO12" i="13"/>
  <c r="GP12" i="13"/>
  <c r="GQ12" i="13"/>
  <c r="GR12" i="13"/>
  <c r="GS12" i="13"/>
  <c r="GT12" i="13"/>
  <c r="GU12" i="13"/>
  <c r="GV12" i="13"/>
  <c r="GW12" i="13"/>
  <c r="GX12" i="13"/>
  <c r="GY12" i="13"/>
  <c r="GZ12" i="13"/>
  <c r="HA12" i="13"/>
  <c r="HB12" i="13"/>
  <c r="HC12" i="13"/>
  <c r="C31" i="23"/>
  <c r="D31" i="23" s="1"/>
  <c r="EA14" i="13"/>
  <c r="EA2" i="13"/>
  <c r="EA19" i="13" s="1"/>
  <c r="C35" i="23"/>
  <c r="D35" i="23" s="1"/>
  <c r="EA13" i="13"/>
  <c r="EA4" i="13"/>
  <c r="C34" i="23"/>
  <c r="D34" i="23" s="1"/>
  <c r="EA3" i="13"/>
  <c r="EB5" i="13"/>
  <c r="EA23" i="13"/>
  <c r="B23" i="13" s="1"/>
  <c r="C23" i="13" s="1"/>
  <c r="D23" i="13" s="1"/>
  <c r="E23" i="13" s="1"/>
  <c r="F23" i="13" s="1"/>
  <c r="G23" i="13" s="1"/>
  <c r="H23" i="13" s="1"/>
  <c r="I23" i="13" s="1"/>
  <c r="J23" i="13" s="1"/>
  <c r="K23" i="13" s="1"/>
  <c r="L23" i="13" s="1"/>
  <c r="M23" i="13" s="1"/>
  <c r="N23" i="13" s="1"/>
  <c r="O23" i="13" s="1"/>
  <c r="P23" i="13" s="1"/>
  <c r="Q23" i="13" s="1"/>
  <c r="R23" i="13" s="1"/>
  <c r="S23" i="13" s="1"/>
  <c r="T23" i="13" s="1"/>
  <c r="U23" i="13" s="1"/>
  <c r="V23" i="13" s="1"/>
  <c r="W23" i="13" s="1"/>
  <c r="X23" i="13" s="1"/>
  <c r="Y23" i="13" s="1"/>
  <c r="Z23" i="13" s="1"/>
  <c r="AA23" i="13" s="1"/>
  <c r="AB23" i="13" s="1"/>
  <c r="AC23" i="13" s="1"/>
  <c r="AD23" i="13" s="1"/>
  <c r="AE23" i="13" s="1"/>
  <c r="AF23" i="13" s="1"/>
  <c r="AG23" i="13" s="1"/>
  <c r="AH23" i="13" s="1"/>
  <c r="AI23" i="13" s="1"/>
  <c r="AJ23" i="13" s="1"/>
  <c r="AK23" i="13" s="1"/>
  <c r="AL23" i="13" s="1"/>
  <c r="AM23" i="13" s="1"/>
  <c r="AN23" i="13" s="1"/>
  <c r="AO23" i="13" s="1"/>
  <c r="AP23" i="13" s="1"/>
  <c r="AQ23" i="13" s="1"/>
  <c r="AR23" i="13" s="1"/>
  <c r="AS23" i="13" s="1"/>
  <c r="AT23" i="13" s="1"/>
  <c r="AU23" i="13" s="1"/>
  <c r="AV23" i="13" s="1"/>
  <c r="AW23" i="13" s="1"/>
  <c r="AX23" i="13" s="1"/>
  <c r="AY23" i="13" s="1"/>
  <c r="AZ23" i="13" s="1"/>
  <c r="BA23" i="13" s="1"/>
  <c r="BB23" i="13" s="1"/>
  <c r="BC23" i="13" s="1"/>
  <c r="BD23" i="13" s="1"/>
  <c r="BE23" i="13" s="1"/>
  <c r="BF23" i="13" s="1"/>
  <c r="BG23" i="13" s="1"/>
  <c r="BH23" i="13" s="1"/>
  <c r="BI23" i="13" s="1"/>
  <c r="BJ23" i="13" s="1"/>
  <c r="BK23" i="13" s="1"/>
  <c r="BL23" i="13" s="1"/>
  <c r="BM23" i="13" s="1"/>
  <c r="BN23" i="13" s="1"/>
  <c r="BO23" i="13" s="1"/>
  <c r="BP23" i="13" s="1"/>
  <c r="BQ23" i="13" s="1"/>
  <c r="BR23" i="13" s="1"/>
  <c r="BS23" i="13" s="1"/>
  <c r="BT23" i="13" s="1"/>
  <c r="BU23" i="13" s="1"/>
  <c r="BV23" i="13" s="1"/>
  <c r="BW23" i="13" s="1"/>
  <c r="BX23" i="13" s="1"/>
  <c r="BY23" i="13" s="1"/>
  <c r="BZ23" i="13" s="1"/>
  <c r="CA23" i="13" s="1"/>
  <c r="CB23" i="13" s="1"/>
  <c r="CC23" i="13" s="1"/>
  <c r="CD23" i="13" s="1"/>
  <c r="CE23" i="13" s="1"/>
  <c r="CF23" i="13" s="1"/>
  <c r="CG23" i="13" s="1"/>
  <c r="CH23" i="13" s="1"/>
  <c r="CI23" i="13" s="1"/>
  <c r="CJ23" i="13" s="1"/>
  <c r="CK23" i="13" s="1"/>
  <c r="CL23" i="13" s="1"/>
  <c r="CM23" i="13" s="1"/>
  <c r="CN23" i="13" s="1"/>
  <c r="CO23" i="13" s="1"/>
  <c r="CP23" i="13" s="1"/>
  <c r="CQ23" i="13" s="1"/>
  <c r="CR23" i="13" s="1"/>
  <c r="CS23" i="13" s="1"/>
  <c r="CT23" i="13" s="1"/>
  <c r="CU23" i="13" s="1"/>
  <c r="CV23" i="13" s="1"/>
  <c r="CW23" i="13" s="1"/>
  <c r="CX23" i="13" s="1"/>
  <c r="CY23" i="13" s="1"/>
  <c r="CZ23" i="13" s="1"/>
  <c r="DA23" i="13" s="1"/>
  <c r="DB23" i="13" s="1"/>
  <c r="DC23" i="13" s="1"/>
  <c r="DD23" i="13" s="1"/>
  <c r="DE23" i="13" s="1"/>
  <c r="DF23" i="13" s="1"/>
  <c r="DG23" i="13" s="1"/>
  <c r="DH23" i="13" s="1"/>
  <c r="DI23" i="13" s="1"/>
  <c r="DJ23" i="13" s="1"/>
  <c r="DK23" i="13" s="1"/>
  <c r="DL23" i="13" s="1"/>
  <c r="DM23" i="13" s="1"/>
  <c r="DN23" i="13" s="1"/>
  <c r="DO23" i="13" s="1"/>
  <c r="DP23" i="13" s="1"/>
  <c r="DQ23" i="13" s="1"/>
  <c r="DR23" i="13" s="1"/>
  <c r="DS23" i="13" s="1"/>
  <c r="DT23" i="13" s="1"/>
  <c r="DU23" i="13" s="1"/>
  <c r="DV23" i="13" s="1"/>
  <c r="DW23" i="13" s="1"/>
  <c r="DX23" i="13" s="1"/>
  <c r="DY23" i="13" s="1"/>
  <c r="DZ23" i="13" s="1"/>
  <c r="EK2" i="13"/>
  <c r="N31" i="23"/>
  <c r="N36" i="23"/>
  <c r="O36" i="23" s="1"/>
  <c r="P36" i="23" s="1"/>
  <c r="Q36" i="23" s="1"/>
  <c r="R36" i="23" s="1"/>
  <c r="S36" i="23" s="1"/>
  <c r="T36" i="23" s="1"/>
  <c r="U36" i="23" s="1"/>
  <c r="V36" i="23" s="1"/>
  <c r="D36" i="23"/>
  <c r="E36" i="23" s="1"/>
  <c r="F36" i="23" s="1"/>
  <c r="G36" i="23" s="1"/>
  <c r="H36" i="23" s="1"/>
  <c r="I36" i="23" s="1"/>
  <c r="J36" i="23" s="1"/>
  <c r="K36" i="23" s="1"/>
  <c r="L36" i="23" s="1"/>
  <c r="EK4" i="13"/>
  <c r="N35" i="23"/>
  <c r="EK3" i="13"/>
  <c r="N34" i="23"/>
  <c r="N32" i="23"/>
  <c r="O32" i="23" s="1"/>
  <c r="P32" i="23" s="1"/>
  <c r="Q32" i="23" s="1"/>
  <c r="R32" i="23" s="1"/>
  <c r="S32" i="23" s="1"/>
  <c r="T32" i="23" s="1"/>
  <c r="U32" i="23" s="1"/>
  <c r="V32" i="23" s="1"/>
  <c r="D32" i="23"/>
  <c r="E32" i="23" s="1"/>
  <c r="F32" i="23" s="1"/>
  <c r="G32" i="23" s="1"/>
  <c r="H32" i="23" s="1"/>
  <c r="I32" i="23" s="1"/>
  <c r="J32" i="23" s="1"/>
  <c r="K32" i="23" s="1"/>
  <c r="L32" i="23" s="1"/>
  <c r="EV2" i="13"/>
  <c r="Y31" i="23"/>
  <c r="EV4" i="13"/>
  <c r="Y35" i="23"/>
  <c r="EV3" i="13"/>
  <c r="Y34" i="23"/>
  <c r="EV24" i="13" l="1"/>
  <c r="EV20" i="13"/>
  <c r="EV25" i="13"/>
  <c r="EV21" i="13"/>
  <c r="EV13" i="13"/>
  <c r="EV19" i="13"/>
  <c r="EV14" i="13"/>
  <c r="EK24" i="13"/>
  <c r="EK20" i="13"/>
  <c r="EK25" i="13"/>
  <c r="EK21" i="13"/>
  <c r="EK13" i="13"/>
  <c r="EK19" i="13"/>
  <c r="EK14" i="13"/>
  <c r="EC5" i="13"/>
  <c r="EB23" i="13"/>
  <c r="EB22" i="13"/>
  <c r="EA24" i="13"/>
  <c r="B24" i="13" s="1"/>
  <c r="C24" i="13" s="1"/>
  <c r="D24" i="13" s="1"/>
  <c r="E24" i="13" s="1"/>
  <c r="F24" i="13" s="1"/>
  <c r="G24" i="13" s="1"/>
  <c r="H24" i="13" s="1"/>
  <c r="I24" i="13" s="1"/>
  <c r="J24" i="13" s="1"/>
  <c r="K24" i="13" s="1"/>
  <c r="L24" i="13" s="1"/>
  <c r="M24" i="13" s="1"/>
  <c r="N24" i="13" s="1"/>
  <c r="O24" i="13" s="1"/>
  <c r="P24" i="13" s="1"/>
  <c r="Q24" i="13" s="1"/>
  <c r="R24" i="13" s="1"/>
  <c r="S24" i="13" s="1"/>
  <c r="T24" i="13" s="1"/>
  <c r="U24" i="13" s="1"/>
  <c r="V24" i="13" s="1"/>
  <c r="W24" i="13" s="1"/>
  <c r="X24" i="13" s="1"/>
  <c r="Y24" i="13" s="1"/>
  <c r="Z24" i="13" s="1"/>
  <c r="AA24" i="13" s="1"/>
  <c r="AB24" i="13" s="1"/>
  <c r="AC24" i="13" s="1"/>
  <c r="AD24" i="13" s="1"/>
  <c r="AE24" i="13" s="1"/>
  <c r="AF24" i="13" s="1"/>
  <c r="AG24" i="13" s="1"/>
  <c r="AH24" i="13" s="1"/>
  <c r="AI24" i="13" s="1"/>
  <c r="AJ24" i="13" s="1"/>
  <c r="AK24" i="13" s="1"/>
  <c r="AL24" i="13" s="1"/>
  <c r="AM24" i="13" s="1"/>
  <c r="AN24" i="13" s="1"/>
  <c r="AO24" i="13" s="1"/>
  <c r="AP24" i="13" s="1"/>
  <c r="AQ24" i="13" s="1"/>
  <c r="AR24" i="13" s="1"/>
  <c r="AS24" i="13" s="1"/>
  <c r="AT24" i="13" s="1"/>
  <c r="AU24" i="13" s="1"/>
  <c r="AV24" i="13" s="1"/>
  <c r="AW24" i="13" s="1"/>
  <c r="AX24" i="13" s="1"/>
  <c r="AY24" i="13" s="1"/>
  <c r="AZ24" i="13" s="1"/>
  <c r="BA24" i="13" s="1"/>
  <c r="BB24" i="13" s="1"/>
  <c r="BC24" i="13" s="1"/>
  <c r="BD24" i="13" s="1"/>
  <c r="BE24" i="13" s="1"/>
  <c r="BF24" i="13" s="1"/>
  <c r="BG24" i="13" s="1"/>
  <c r="BH24" i="13" s="1"/>
  <c r="BI24" i="13" s="1"/>
  <c r="BJ24" i="13" s="1"/>
  <c r="BK24" i="13" s="1"/>
  <c r="BL24" i="13" s="1"/>
  <c r="BM24" i="13" s="1"/>
  <c r="BN24" i="13" s="1"/>
  <c r="BO24" i="13" s="1"/>
  <c r="BP24" i="13" s="1"/>
  <c r="BQ24" i="13" s="1"/>
  <c r="BR24" i="13" s="1"/>
  <c r="BS24" i="13" s="1"/>
  <c r="BT24" i="13" s="1"/>
  <c r="BU24" i="13" s="1"/>
  <c r="BV24" i="13" s="1"/>
  <c r="BW24" i="13" s="1"/>
  <c r="BX24" i="13" s="1"/>
  <c r="BY24" i="13" s="1"/>
  <c r="BZ24" i="13" s="1"/>
  <c r="CA24" i="13" s="1"/>
  <c r="CB24" i="13" s="1"/>
  <c r="CC24" i="13" s="1"/>
  <c r="CD24" i="13" s="1"/>
  <c r="CE24" i="13" s="1"/>
  <c r="CF24" i="13" s="1"/>
  <c r="CG24" i="13" s="1"/>
  <c r="CH24" i="13" s="1"/>
  <c r="CI24" i="13" s="1"/>
  <c r="CJ24" i="13" s="1"/>
  <c r="CK24" i="13" s="1"/>
  <c r="CL24" i="13" s="1"/>
  <c r="CM24" i="13" s="1"/>
  <c r="CN24" i="13" s="1"/>
  <c r="CO24" i="13" s="1"/>
  <c r="CP24" i="13" s="1"/>
  <c r="CQ24" i="13" s="1"/>
  <c r="CR24" i="13" s="1"/>
  <c r="CS24" i="13" s="1"/>
  <c r="CT24" i="13" s="1"/>
  <c r="CU24" i="13" s="1"/>
  <c r="CV24" i="13" s="1"/>
  <c r="CW24" i="13" s="1"/>
  <c r="CX24" i="13" s="1"/>
  <c r="CY24" i="13" s="1"/>
  <c r="CZ24" i="13" s="1"/>
  <c r="DA24" i="13" s="1"/>
  <c r="DB24" i="13" s="1"/>
  <c r="DC24" i="13" s="1"/>
  <c r="DD24" i="13" s="1"/>
  <c r="DE24" i="13" s="1"/>
  <c r="DF24" i="13" s="1"/>
  <c r="DG24" i="13" s="1"/>
  <c r="DH24" i="13" s="1"/>
  <c r="DI24" i="13" s="1"/>
  <c r="DJ24" i="13" s="1"/>
  <c r="DK24" i="13" s="1"/>
  <c r="DL24" i="13" s="1"/>
  <c r="DM24" i="13" s="1"/>
  <c r="DN24" i="13" s="1"/>
  <c r="DO24" i="13" s="1"/>
  <c r="DP24" i="13" s="1"/>
  <c r="DQ24" i="13" s="1"/>
  <c r="DR24" i="13" s="1"/>
  <c r="DS24" i="13" s="1"/>
  <c r="DT24" i="13" s="1"/>
  <c r="DU24" i="13" s="1"/>
  <c r="DV24" i="13" s="1"/>
  <c r="DW24" i="13" s="1"/>
  <c r="DX24" i="13" s="1"/>
  <c r="DY24" i="13" s="1"/>
  <c r="DZ24" i="13" s="1"/>
  <c r="EA20" i="13"/>
  <c r="EA25" i="13"/>
  <c r="B25" i="13" s="1"/>
  <c r="C25" i="13" s="1"/>
  <c r="D25" i="13" s="1"/>
  <c r="E25" i="13" s="1"/>
  <c r="F25" i="13" s="1"/>
  <c r="G25" i="13" s="1"/>
  <c r="H25" i="13" s="1"/>
  <c r="I25" i="13" s="1"/>
  <c r="J25" i="13" s="1"/>
  <c r="K25" i="13" s="1"/>
  <c r="L25" i="13" s="1"/>
  <c r="M25" i="13" s="1"/>
  <c r="N25" i="13" s="1"/>
  <c r="O25" i="13" s="1"/>
  <c r="P25" i="13" s="1"/>
  <c r="Q25" i="13" s="1"/>
  <c r="R25" i="13" s="1"/>
  <c r="S25" i="13" s="1"/>
  <c r="T25" i="13" s="1"/>
  <c r="U25" i="13" s="1"/>
  <c r="V25" i="13" s="1"/>
  <c r="W25" i="13" s="1"/>
  <c r="X25" i="13" s="1"/>
  <c r="Y25" i="13" s="1"/>
  <c r="Z25" i="13" s="1"/>
  <c r="AA25" i="13" s="1"/>
  <c r="AB25" i="13" s="1"/>
  <c r="AC25" i="13" s="1"/>
  <c r="AD25" i="13" s="1"/>
  <c r="AE25" i="13" s="1"/>
  <c r="AF25" i="13" s="1"/>
  <c r="AG25" i="13" s="1"/>
  <c r="AH25" i="13" s="1"/>
  <c r="AI25" i="13" s="1"/>
  <c r="AJ25" i="13" s="1"/>
  <c r="AK25" i="13" s="1"/>
  <c r="AL25" i="13" s="1"/>
  <c r="AM25" i="13" s="1"/>
  <c r="AN25" i="13" s="1"/>
  <c r="AO25" i="13" s="1"/>
  <c r="AP25" i="13" s="1"/>
  <c r="AQ25" i="13" s="1"/>
  <c r="AR25" i="13" s="1"/>
  <c r="AS25" i="13" s="1"/>
  <c r="AT25" i="13" s="1"/>
  <c r="AU25" i="13" s="1"/>
  <c r="AV25" i="13" s="1"/>
  <c r="AW25" i="13" s="1"/>
  <c r="AX25" i="13" s="1"/>
  <c r="AY25" i="13" s="1"/>
  <c r="AZ25" i="13" s="1"/>
  <c r="BA25" i="13" s="1"/>
  <c r="BB25" i="13" s="1"/>
  <c r="BC25" i="13" s="1"/>
  <c r="BD25" i="13" s="1"/>
  <c r="BE25" i="13" s="1"/>
  <c r="BF25" i="13" s="1"/>
  <c r="BG25" i="13" s="1"/>
  <c r="BH25" i="13" s="1"/>
  <c r="BI25" i="13" s="1"/>
  <c r="BJ25" i="13" s="1"/>
  <c r="BK25" i="13" s="1"/>
  <c r="BL25" i="13" s="1"/>
  <c r="BM25" i="13" s="1"/>
  <c r="BN25" i="13" s="1"/>
  <c r="BO25" i="13" s="1"/>
  <c r="BP25" i="13" s="1"/>
  <c r="BQ25" i="13" s="1"/>
  <c r="BR25" i="13" s="1"/>
  <c r="BS25" i="13" s="1"/>
  <c r="BT25" i="13" s="1"/>
  <c r="BU25" i="13" s="1"/>
  <c r="BV25" i="13" s="1"/>
  <c r="BW25" i="13" s="1"/>
  <c r="BX25" i="13" s="1"/>
  <c r="BY25" i="13" s="1"/>
  <c r="BZ25" i="13" s="1"/>
  <c r="CA25" i="13" s="1"/>
  <c r="CB25" i="13" s="1"/>
  <c r="CC25" i="13" s="1"/>
  <c r="CD25" i="13" s="1"/>
  <c r="CE25" i="13" s="1"/>
  <c r="CF25" i="13" s="1"/>
  <c r="CG25" i="13" s="1"/>
  <c r="CH25" i="13" s="1"/>
  <c r="CI25" i="13" s="1"/>
  <c r="CJ25" i="13" s="1"/>
  <c r="CK25" i="13" s="1"/>
  <c r="CL25" i="13" s="1"/>
  <c r="CM25" i="13" s="1"/>
  <c r="CN25" i="13" s="1"/>
  <c r="CO25" i="13" s="1"/>
  <c r="CP25" i="13" s="1"/>
  <c r="CQ25" i="13" s="1"/>
  <c r="CR25" i="13" s="1"/>
  <c r="CS25" i="13" s="1"/>
  <c r="CT25" i="13" s="1"/>
  <c r="CU25" i="13" s="1"/>
  <c r="CV25" i="13" s="1"/>
  <c r="CW25" i="13" s="1"/>
  <c r="CX25" i="13" s="1"/>
  <c r="CY25" i="13" s="1"/>
  <c r="CZ25" i="13" s="1"/>
  <c r="DA25" i="13" s="1"/>
  <c r="DB25" i="13" s="1"/>
  <c r="DC25" i="13" s="1"/>
  <c r="DD25" i="13" s="1"/>
  <c r="DE25" i="13" s="1"/>
  <c r="DF25" i="13" s="1"/>
  <c r="DG25" i="13" s="1"/>
  <c r="DH25" i="13" s="1"/>
  <c r="DI25" i="13" s="1"/>
  <c r="DJ25" i="13" s="1"/>
  <c r="DK25" i="13" s="1"/>
  <c r="DL25" i="13" s="1"/>
  <c r="DM25" i="13" s="1"/>
  <c r="DN25" i="13" s="1"/>
  <c r="DO25" i="13" s="1"/>
  <c r="DP25" i="13" s="1"/>
  <c r="DQ25" i="13" s="1"/>
  <c r="DR25" i="13" s="1"/>
  <c r="DS25" i="13" s="1"/>
  <c r="DT25" i="13" s="1"/>
  <c r="DU25" i="13" s="1"/>
  <c r="DV25" i="13" s="1"/>
  <c r="DW25" i="13" s="1"/>
  <c r="DX25" i="13" s="1"/>
  <c r="DY25" i="13" s="1"/>
  <c r="DZ25" i="13" s="1"/>
  <c r="EA21" i="13"/>
  <c r="HC17" i="13"/>
  <c r="HC16" i="13"/>
  <c r="HB17" i="13"/>
  <c r="HB16" i="13"/>
  <c r="HA17" i="13"/>
  <c r="HA16" i="13"/>
  <c r="GZ17" i="13"/>
  <c r="GZ16" i="13"/>
  <c r="GY17" i="13"/>
  <c r="GY16" i="13"/>
  <c r="GX17" i="13"/>
  <c r="GX16" i="13"/>
  <c r="GW17" i="13"/>
  <c r="GW16" i="13"/>
  <c r="GV17" i="13"/>
  <c r="GV16" i="13"/>
  <c r="GU17" i="13"/>
  <c r="GU16" i="13"/>
  <c r="GT17" i="13"/>
  <c r="GT16" i="13"/>
  <c r="GS17" i="13"/>
  <c r="GS16" i="13"/>
  <c r="GR17" i="13"/>
  <c r="GR16" i="13"/>
  <c r="GQ17" i="13"/>
  <c r="GQ16" i="13"/>
  <c r="GP17" i="13"/>
  <c r="GP16" i="13"/>
  <c r="GO17" i="13"/>
  <c r="GO16" i="13"/>
  <c r="GN17" i="13"/>
  <c r="GN16" i="13"/>
  <c r="GM17" i="13"/>
  <c r="GM16" i="13"/>
  <c r="GL17" i="13"/>
  <c r="GL16" i="13"/>
  <c r="GK17" i="13"/>
  <c r="GK16" i="13"/>
  <c r="GJ17" i="13"/>
  <c r="GJ16" i="13"/>
  <c r="GI17" i="13"/>
  <c r="GI16" i="13"/>
  <c r="GH17" i="13"/>
  <c r="GH16" i="13"/>
  <c r="GG17" i="13"/>
  <c r="GG16" i="13"/>
  <c r="GF17" i="13"/>
  <c r="GF16" i="13"/>
  <c r="GE17" i="13"/>
  <c r="GE16" i="13"/>
  <c r="GD17" i="13"/>
  <c r="GD16" i="13"/>
  <c r="GC17" i="13"/>
  <c r="GC16" i="13"/>
  <c r="GB17" i="13"/>
  <c r="GB16" i="13"/>
  <c r="GA17" i="13"/>
  <c r="GA16" i="13"/>
  <c r="FZ17" i="13"/>
  <c r="FZ16" i="13"/>
  <c r="FY17" i="13"/>
  <c r="FY16" i="13"/>
  <c r="FX17" i="13"/>
  <c r="FX16" i="13"/>
  <c r="FW17" i="13"/>
  <c r="FW16" i="13"/>
  <c r="FV17" i="13"/>
  <c r="FV16" i="13"/>
  <c r="FU17" i="13"/>
  <c r="FU16" i="13"/>
  <c r="FT17" i="13"/>
  <c r="FT16" i="13"/>
  <c r="FS17" i="13"/>
  <c r="FS16" i="13"/>
  <c r="FR17" i="13"/>
  <c r="FR16" i="13"/>
  <c r="FQ17" i="13"/>
  <c r="FQ16" i="13"/>
  <c r="FP17" i="13"/>
  <c r="FP16" i="13"/>
  <c r="FO17" i="13"/>
  <c r="FO16" i="13"/>
  <c r="FN17" i="13"/>
  <c r="FN16" i="13"/>
  <c r="FM17" i="13"/>
  <c r="FM16" i="13"/>
  <c r="FL17" i="13"/>
  <c r="FL16" i="13"/>
  <c r="FK17" i="13"/>
  <c r="FK16" i="13"/>
  <c r="FJ17" i="13"/>
  <c r="FJ16" i="13"/>
  <c r="FI17" i="13"/>
  <c r="FI16" i="13"/>
  <c r="FH17" i="13"/>
  <c r="FH16" i="13"/>
  <c r="FG17" i="13"/>
  <c r="FG16" i="13"/>
  <c r="FF17" i="13"/>
  <c r="FF16" i="13"/>
  <c r="FE17" i="13"/>
  <c r="FE16" i="13"/>
  <c r="FD17" i="13"/>
  <c r="FD16" i="13"/>
  <c r="FC17" i="13"/>
  <c r="FC16" i="13"/>
  <c r="FB17" i="13"/>
  <c r="FB16" i="13"/>
  <c r="FA17" i="13"/>
  <c r="FA16" i="13"/>
  <c r="EZ17" i="13"/>
  <c r="EZ16" i="13"/>
  <c r="EY17" i="13"/>
  <c r="EY16" i="13"/>
  <c r="EX17" i="13"/>
  <c r="EX16" i="13"/>
  <c r="EW17" i="13"/>
  <c r="EW16" i="13"/>
  <c r="EV17" i="13"/>
  <c r="EV16" i="13"/>
  <c r="EU17" i="13"/>
  <c r="EU16" i="13"/>
  <c r="ET17" i="13"/>
  <c r="ET16" i="13"/>
  <c r="ES17" i="13"/>
  <c r="ES16" i="13"/>
  <c r="ER17" i="13"/>
  <c r="ER16" i="13"/>
  <c r="EQ17" i="13"/>
  <c r="EQ16" i="13"/>
  <c r="EP17" i="13"/>
  <c r="EP16" i="13"/>
  <c r="EO17" i="13"/>
  <c r="EO16" i="13"/>
  <c r="EN17" i="13"/>
  <c r="EN16" i="13"/>
  <c r="EM17" i="13"/>
  <c r="EM16" i="13"/>
  <c r="EL17" i="13"/>
  <c r="EL16" i="13"/>
  <c r="EK17" i="13"/>
  <c r="EK16" i="13"/>
  <c r="EJ17" i="13"/>
  <c r="EJ16" i="13"/>
  <c r="EI17" i="13"/>
  <c r="EI16" i="13"/>
  <c r="EH17" i="13"/>
  <c r="EH16" i="13"/>
  <c r="EG17" i="13"/>
  <c r="EG16" i="13"/>
  <c r="EF17" i="13"/>
  <c r="EF16" i="13"/>
  <c r="EE17" i="13"/>
  <c r="EE16" i="13"/>
  <c r="ED17" i="13"/>
  <c r="ED16" i="13"/>
  <c r="EC17" i="13"/>
  <c r="EC16" i="13"/>
  <c r="EB17" i="13"/>
  <c r="EB16" i="13"/>
  <c r="EA17" i="13"/>
  <c r="B17" i="13" s="1"/>
  <c r="C17" i="13" s="1"/>
  <c r="D17" i="13" s="1"/>
  <c r="E17" i="13" s="1"/>
  <c r="F17" i="13" s="1"/>
  <c r="G17" i="13" s="1"/>
  <c r="H17" i="13" s="1"/>
  <c r="I17" i="13" s="1"/>
  <c r="J17" i="13" s="1"/>
  <c r="K17" i="13" s="1"/>
  <c r="L17" i="13" s="1"/>
  <c r="M17" i="13" s="1"/>
  <c r="N17" i="13" s="1"/>
  <c r="O17" i="13" s="1"/>
  <c r="P17" i="13" s="1"/>
  <c r="Q17" i="13" s="1"/>
  <c r="R17" i="13" s="1"/>
  <c r="S17" i="13" s="1"/>
  <c r="T17" i="13" s="1"/>
  <c r="U17" i="13" s="1"/>
  <c r="V17" i="13" s="1"/>
  <c r="W17" i="13" s="1"/>
  <c r="X17" i="13" s="1"/>
  <c r="Y17" i="13" s="1"/>
  <c r="Z17" i="13" s="1"/>
  <c r="AA17" i="13" s="1"/>
  <c r="AB17" i="13" s="1"/>
  <c r="AC17" i="13" s="1"/>
  <c r="AD17" i="13" s="1"/>
  <c r="AE17" i="13" s="1"/>
  <c r="AF17" i="13" s="1"/>
  <c r="AG17" i="13" s="1"/>
  <c r="AH17" i="13" s="1"/>
  <c r="AI17" i="13" s="1"/>
  <c r="AJ17" i="13" s="1"/>
  <c r="AK17" i="13" s="1"/>
  <c r="AL17" i="13" s="1"/>
  <c r="AM17" i="13" s="1"/>
  <c r="AN17" i="13" s="1"/>
  <c r="AO17" i="13" s="1"/>
  <c r="AP17" i="13" s="1"/>
  <c r="AQ17" i="13" s="1"/>
  <c r="AR17" i="13" s="1"/>
  <c r="AS17" i="13" s="1"/>
  <c r="AT17" i="13" s="1"/>
  <c r="AU17" i="13" s="1"/>
  <c r="AV17" i="13" s="1"/>
  <c r="AW17" i="13" s="1"/>
  <c r="AX17" i="13" s="1"/>
  <c r="AY17" i="13" s="1"/>
  <c r="AZ17" i="13" s="1"/>
  <c r="BA17" i="13" s="1"/>
  <c r="BB17" i="13" s="1"/>
  <c r="BC17" i="13" s="1"/>
  <c r="BD17" i="13" s="1"/>
  <c r="BE17" i="13" s="1"/>
  <c r="BF17" i="13" s="1"/>
  <c r="BG17" i="13" s="1"/>
  <c r="BH17" i="13" s="1"/>
  <c r="BI17" i="13" s="1"/>
  <c r="BJ17" i="13" s="1"/>
  <c r="BK17" i="13" s="1"/>
  <c r="BL17" i="13" s="1"/>
  <c r="BM17" i="13" s="1"/>
  <c r="BN17" i="13" s="1"/>
  <c r="BO17" i="13" s="1"/>
  <c r="BP17" i="13" s="1"/>
  <c r="BQ17" i="13" s="1"/>
  <c r="BR17" i="13" s="1"/>
  <c r="BS17" i="13" s="1"/>
  <c r="BT17" i="13" s="1"/>
  <c r="BU17" i="13" s="1"/>
  <c r="BV17" i="13" s="1"/>
  <c r="BW17" i="13" s="1"/>
  <c r="BX17" i="13" s="1"/>
  <c r="BY17" i="13" s="1"/>
  <c r="BZ17" i="13" s="1"/>
  <c r="CA17" i="13" s="1"/>
  <c r="CB17" i="13" s="1"/>
  <c r="CC17" i="13" s="1"/>
  <c r="CD17" i="13" s="1"/>
  <c r="CE17" i="13" s="1"/>
  <c r="CF17" i="13" s="1"/>
  <c r="CG17" i="13" s="1"/>
  <c r="CH17" i="13" s="1"/>
  <c r="CI17" i="13" s="1"/>
  <c r="CJ17" i="13" s="1"/>
  <c r="CK17" i="13" s="1"/>
  <c r="CL17" i="13" s="1"/>
  <c r="CM17" i="13" s="1"/>
  <c r="CN17" i="13" s="1"/>
  <c r="CO17" i="13" s="1"/>
  <c r="CP17" i="13" s="1"/>
  <c r="CQ17" i="13" s="1"/>
  <c r="CR17" i="13" s="1"/>
  <c r="CS17" i="13" s="1"/>
  <c r="CT17" i="13" s="1"/>
  <c r="CU17" i="13" s="1"/>
  <c r="CV17" i="13" s="1"/>
  <c r="CW17" i="13" s="1"/>
  <c r="CX17" i="13" s="1"/>
  <c r="CY17" i="13" s="1"/>
  <c r="CZ17" i="13" s="1"/>
  <c r="DA17" i="13" s="1"/>
  <c r="DB17" i="13" s="1"/>
  <c r="DC17" i="13" s="1"/>
  <c r="DD17" i="13" s="1"/>
  <c r="DE17" i="13" s="1"/>
  <c r="DF17" i="13" s="1"/>
  <c r="DG17" i="13" s="1"/>
  <c r="DH17" i="13" s="1"/>
  <c r="DI17" i="13" s="1"/>
  <c r="DJ17" i="13" s="1"/>
  <c r="DK17" i="13" s="1"/>
  <c r="DL17" i="13" s="1"/>
  <c r="DM17" i="13" s="1"/>
  <c r="DN17" i="13" s="1"/>
  <c r="DO17" i="13" s="1"/>
  <c r="DP17" i="13" s="1"/>
  <c r="DQ17" i="13" s="1"/>
  <c r="DR17" i="13" s="1"/>
  <c r="DS17" i="13" s="1"/>
  <c r="DT17" i="13" s="1"/>
  <c r="DU17" i="13" s="1"/>
  <c r="DV17" i="13" s="1"/>
  <c r="DW17" i="13" s="1"/>
  <c r="DX17" i="13" s="1"/>
  <c r="DY17" i="13" s="1"/>
  <c r="DZ17" i="13" s="1"/>
  <c r="EA16" i="13"/>
  <c r="B16" i="13" s="1"/>
  <c r="C16" i="13" s="1"/>
  <c r="D16" i="13" s="1"/>
  <c r="E16" i="13" s="1"/>
  <c r="F16" i="13" s="1"/>
  <c r="G16" i="13" s="1"/>
  <c r="H16" i="13" s="1"/>
  <c r="I16" i="13" s="1"/>
  <c r="J16" i="13" s="1"/>
  <c r="K16" i="13" s="1"/>
  <c r="L16" i="13" s="1"/>
  <c r="M16" i="13" s="1"/>
  <c r="N16" i="13" s="1"/>
  <c r="O16" i="13" s="1"/>
  <c r="P16" i="13" s="1"/>
  <c r="Q16" i="13" s="1"/>
  <c r="R16" i="13" s="1"/>
  <c r="S16" i="13" s="1"/>
  <c r="T16" i="13" s="1"/>
  <c r="U16" i="13" s="1"/>
  <c r="V16" i="13" s="1"/>
  <c r="W16" i="13" s="1"/>
  <c r="X16" i="13" s="1"/>
  <c r="Y16" i="13" s="1"/>
  <c r="Z16" i="13" s="1"/>
  <c r="AA16" i="13" s="1"/>
  <c r="AB16" i="13" s="1"/>
  <c r="AC16" i="13" s="1"/>
  <c r="AD16" i="13" s="1"/>
  <c r="AE16" i="13" s="1"/>
  <c r="AF16" i="13" s="1"/>
  <c r="AG16" i="13" s="1"/>
  <c r="AH16" i="13" s="1"/>
  <c r="AI16" i="13" s="1"/>
  <c r="AJ16" i="13" s="1"/>
  <c r="AK16" i="13" s="1"/>
  <c r="AL16" i="13" s="1"/>
  <c r="AM16" i="13" s="1"/>
  <c r="AN16" i="13" s="1"/>
  <c r="AO16" i="13" s="1"/>
  <c r="AP16" i="13" s="1"/>
  <c r="AQ16" i="13" s="1"/>
  <c r="AR16" i="13" s="1"/>
  <c r="AS16" i="13" s="1"/>
  <c r="AT16" i="13" s="1"/>
  <c r="AU16" i="13" s="1"/>
  <c r="AV16" i="13" s="1"/>
  <c r="AW16" i="13" s="1"/>
  <c r="AX16" i="13" s="1"/>
  <c r="AY16" i="13" s="1"/>
  <c r="AZ16" i="13" s="1"/>
  <c r="BA16" i="13" s="1"/>
  <c r="BB16" i="13" s="1"/>
  <c r="BC16" i="13" s="1"/>
  <c r="BD16" i="13" s="1"/>
  <c r="BE16" i="13" s="1"/>
  <c r="BF16" i="13" s="1"/>
  <c r="BG16" i="13" s="1"/>
  <c r="BH16" i="13" s="1"/>
  <c r="BI16" i="13" s="1"/>
  <c r="BJ16" i="13" s="1"/>
  <c r="BK16" i="13" s="1"/>
  <c r="BL16" i="13" s="1"/>
  <c r="BM16" i="13" s="1"/>
  <c r="BN16" i="13" s="1"/>
  <c r="BO16" i="13" s="1"/>
  <c r="BP16" i="13" s="1"/>
  <c r="BQ16" i="13" s="1"/>
  <c r="BR16" i="13" s="1"/>
  <c r="BS16" i="13" s="1"/>
  <c r="BT16" i="13" s="1"/>
  <c r="BU16" i="13" s="1"/>
  <c r="BV16" i="13" s="1"/>
  <c r="BW16" i="13" s="1"/>
  <c r="BX16" i="13" s="1"/>
  <c r="BY16" i="13" s="1"/>
  <c r="BZ16" i="13" s="1"/>
  <c r="CA16" i="13" s="1"/>
  <c r="CB16" i="13" s="1"/>
  <c r="CC16" i="13" s="1"/>
  <c r="CD16" i="13" s="1"/>
  <c r="CE16" i="13" s="1"/>
  <c r="CF16" i="13" s="1"/>
  <c r="CG16" i="13" s="1"/>
  <c r="CH16" i="13" s="1"/>
  <c r="CI16" i="13" s="1"/>
  <c r="CJ16" i="13" s="1"/>
  <c r="CK16" i="13" s="1"/>
  <c r="CL16" i="13" s="1"/>
  <c r="CM16" i="13" s="1"/>
  <c r="CN16" i="13" s="1"/>
  <c r="CO16" i="13" s="1"/>
  <c r="CP16" i="13" s="1"/>
  <c r="CQ16" i="13" s="1"/>
  <c r="CR16" i="13" s="1"/>
  <c r="CS16" i="13" s="1"/>
  <c r="CT16" i="13" s="1"/>
  <c r="CU16" i="13" s="1"/>
  <c r="CV16" i="13" s="1"/>
  <c r="CW16" i="13" s="1"/>
  <c r="CX16" i="13" s="1"/>
  <c r="CY16" i="13" s="1"/>
  <c r="CZ16" i="13" s="1"/>
  <c r="DA16" i="13" s="1"/>
  <c r="DB16" i="13" s="1"/>
  <c r="DC16" i="13" s="1"/>
  <c r="DD16" i="13" s="1"/>
  <c r="DE16" i="13" s="1"/>
  <c r="DF16" i="13" s="1"/>
  <c r="DG16" i="13" s="1"/>
  <c r="DH16" i="13" s="1"/>
  <c r="DI16" i="13" s="1"/>
  <c r="DJ16" i="13" s="1"/>
  <c r="DK16" i="13" s="1"/>
  <c r="DL16" i="13" s="1"/>
  <c r="DM16" i="13" s="1"/>
  <c r="DN16" i="13" s="1"/>
  <c r="DO16" i="13" s="1"/>
  <c r="DP16" i="13" s="1"/>
  <c r="DQ16" i="13" s="1"/>
  <c r="DR16" i="13" s="1"/>
  <c r="DS16" i="13" s="1"/>
  <c r="DT16" i="13" s="1"/>
  <c r="DU16" i="13" s="1"/>
  <c r="DV16" i="13" s="1"/>
  <c r="DW16" i="13" s="1"/>
  <c r="DX16" i="13" s="1"/>
  <c r="DY16" i="13" s="1"/>
  <c r="DZ16" i="13" s="1"/>
  <c r="FG4" i="13"/>
  <c r="FF25" i="13"/>
  <c r="FF21" i="13"/>
  <c r="FF13" i="13"/>
  <c r="FG3" i="13"/>
  <c r="FF24" i="13"/>
  <c r="FF20" i="13"/>
  <c r="FG2" i="13"/>
  <c r="FF19" i="13"/>
  <c r="FF14" i="13"/>
  <c r="EC10" i="13"/>
  <c r="EB18" i="13"/>
  <c r="EW3" i="13"/>
  <c r="Z34" i="23"/>
  <c r="EW4" i="13"/>
  <c r="Z35" i="23"/>
  <c r="EW2" i="13"/>
  <c r="Z31" i="23"/>
  <c r="O34" i="23"/>
  <c r="EL3" i="13"/>
  <c r="O35" i="23"/>
  <c r="EL4" i="13"/>
  <c r="O31" i="23"/>
  <c r="EL2" i="13"/>
  <c r="E34" i="23"/>
  <c r="EB3" i="13"/>
  <c r="E35" i="23"/>
  <c r="EB4" i="13"/>
  <c r="EB2" i="13"/>
  <c r="E31" i="23"/>
  <c r="EB19" i="13" l="1"/>
  <c r="EB14" i="13"/>
  <c r="EB25" i="13"/>
  <c r="EB21" i="13"/>
  <c r="EB13" i="13"/>
  <c r="EB24" i="13"/>
  <c r="EB20" i="13"/>
  <c r="EL19" i="13"/>
  <c r="EL14" i="13"/>
  <c r="EL25" i="13"/>
  <c r="EL21" i="13"/>
  <c r="EL13" i="13"/>
  <c r="EL24" i="13"/>
  <c r="EL20" i="13"/>
  <c r="EW19" i="13"/>
  <c r="EW14" i="13"/>
  <c r="EW25" i="13"/>
  <c r="EW21" i="13"/>
  <c r="EW13" i="13"/>
  <c r="EW24" i="13"/>
  <c r="EW20" i="13"/>
  <c r="ED10" i="13"/>
  <c r="EC18" i="13"/>
  <c r="FH2" i="13"/>
  <c r="FG19" i="13"/>
  <c r="FG14" i="13"/>
  <c r="FH3" i="13"/>
  <c r="FG24" i="13"/>
  <c r="FG20" i="13"/>
  <c r="FH4" i="13"/>
  <c r="FG25" i="13"/>
  <c r="FG21" i="13"/>
  <c r="FG13" i="13"/>
  <c r="ED5" i="13"/>
  <c r="EC23" i="13"/>
  <c r="EC22" i="13"/>
  <c r="EC2" i="13"/>
  <c r="F31" i="23"/>
  <c r="F35" i="23"/>
  <c r="EC4" i="13"/>
  <c r="F34" i="23"/>
  <c r="EC3" i="13"/>
  <c r="P31" i="23"/>
  <c r="EM2" i="13"/>
  <c r="P35" i="23"/>
  <c r="EM4" i="13"/>
  <c r="P34" i="23"/>
  <c r="EM3" i="13"/>
  <c r="EX2" i="13"/>
  <c r="AA31" i="23"/>
  <c r="EX4" i="13"/>
  <c r="AA35" i="23"/>
  <c r="EX3" i="13"/>
  <c r="AA34" i="23"/>
  <c r="EX24" i="13" l="1"/>
  <c r="EX20" i="13"/>
  <c r="EX25" i="13"/>
  <c r="EX21" i="13"/>
  <c r="EX13" i="13"/>
  <c r="EX19" i="13"/>
  <c r="EX14" i="13"/>
  <c r="EM24" i="13"/>
  <c r="EM20" i="13"/>
  <c r="EM25" i="13"/>
  <c r="EM21" i="13"/>
  <c r="EM13" i="13"/>
  <c r="EM19" i="13"/>
  <c r="EM14" i="13"/>
  <c r="EC24" i="13"/>
  <c r="EC20" i="13"/>
  <c r="EC25" i="13"/>
  <c r="EC21" i="13"/>
  <c r="EC13" i="13"/>
  <c r="EC19" i="13"/>
  <c r="EC14" i="13"/>
  <c r="EE5" i="13"/>
  <c r="ED23" i="13"/>
  <c r="ED22" i="13"/>
  <c r="FI4" i="13"/>
  <c r="FH25" i="13"/>
  <c r="FH21" i="13"/>
  <c r="FH13" i="13"/>
  <c r="FI3" i="13"/>
  <c r="FH24" i="13"/>
  <c r="FH20" i="13"/>
  <c r="FI2" i="13"/>
  <c r="FH19" i="13"/>
  <c r="FH14" i="13"/>
  <c r="EE10" i="13"/>
  <c r="ED18" i="13"/>
  <c r="EY3" i="13"/>
  <c r="AB34" i="23"/>
  <c r="EY4" i="13"/>
  <c r="AB35" i="23"/>
  <c r="EY2" i="13"/>
  <c r="AB31" i="23"/>
  <c r="Q34" i="23"/>
  <c r="EN3" i="13"/>
  <c r="Q35" i="23"/>
  <c r="EN4" i="13"/>
  <c r="Q31" i="23"/>
  <c r="EN2" i="13"/>
  <c r="G34" i="23"/>
  <c r="ED3" i="13"/>
  <c r="G35" i="23"/>
  <c r="ED4" i="13"/>
  <c r="ED2" i="13"/>
  <c r="G31" i="23"/>
  <c r="ED19" i="13" l="1"/>
  <c r="ED14" i="13"/>
  <c r="ED25" i="13"/>
  <c r="ED21" i="13"/>
  <c r="ED13" i="13"/>
  <c r="ED24" i="13"/>
  <c r="ED20" i="13"/>
  <c r="EN19" i="13"/>
  <c r="EN14" i="13"/>
  <c r="EN25" i="13"/>
  <c r="EN21" i="13"/>
  <c r="EN13" i="13"/>
  <c r="EN24" i="13"/>
  <c r="EN20" i="13"/>
  <c r="EY19" i="13"/>
  <c r="EY14" i="13"/>
  <c r="EY25" i="13"/>
  <c r="EY21" i="13"/>
  <c r="EY13" i="13"/>
  <c r="EY24" i="13"/>
  <c r="EY20" i="13"/>
  <c r="EF10" i="13"/>
  <c r="EE18" i="13"/>
  <c r="FJ2" i="13"/>
  <c r="FI19" i="13"/>
  <c r="FI14" i="13"/>
  <c r="FJ3" i="13"/>
  <c r="FI24" i="13"/>
  <c r="FI20" i="13"/>
  <c r="FJ4" i="13"/>
  <c r="FI25" i="13"/>
  <c r="FI21" i="13"/>
  <c r="FI13" i="13"/>
  <c r="EF5" i="13"/>
  <c r="EE23" i="13"/>
  <c r="EE22" i="13"/>
  <c r="EE2" i="13"/>
  <c r="H31" i="23"/>
  <c r="H35" i="23"/>
  <c r="EE4" i="13"/>
  <c r="H34" i="23"/>
  <c r="EE3" i="13"/>
  <c r="R31" i="23"/>
  <c r="EO2" i="13"/>
  <c r="R35" i="23"/>
  <c r="EO4" i="13"/>
  <c r="R34" i="23"/>
  <c r="EO3" i="13"/>
  <c r="EZ2" i="13"/>
  <c r="AC31" i="23"/>
  <c r="EZ4" i="13"/>
  <c r="AC35" i="23"/>
  <c r="EZ3" i="13"/>
  <c r="AC34" i="23"/>
  <c r="EZ24" i="13" l="1"/>
  <c r="EZ20" i="13"/>
  <c r="EZ25" i="13"/>
  <c r="EZ21" i="13"/>
  <c r="EZ13" i="13"/>
  <c r="EZ19" i="13"/>
  <c r="EZ14" i="13"/>
  <c r="EO24" i="13"/>
  <c r="EO20" i="13"/>
  <c r="EO25" i="13"/>
  <c r="EO21" i="13"/>
  <c r="EO13" i="13"/>
  <c r="EO19" i="13"/>
  <c r="EO14" i="13"/>
  <c r="EE24" i="13"/>
  <c r="EE20" i="13"/>
  <c r="EE25" i="13"/>
  <c r="EE21" i="13"/>
  <c r="EE13" i="13"/>
  <c r="EE19" i="13"/>
  <c r="EE14" i="13"/>
  <c r="EG5" i="13"/>
  <c r="EF23" i="13"/>
  <c r="EF22" i="13"/>
  <c r="FK4" i="13"/>
  <c r="FJ25" i="13"/>
  <c r="FJ21" i="13"/>
  <c r="FJ13" i="13"/>
  <c r="FK3" i="13"/>
  <c r="FJ24" i="13"/>
  <c r="FJ20" i="13"/>
  <c r="FK2" i="13"/>
  <c r="FJ19" i="13"/>
  <c r="FJ14" i="13"/>
  <c r="EG10" i="13"/>
  <c r="EF18" i="13"/>
  <c r="FA3" i="13"/>
  <c r="AD34" i="23"/>
  <c r="FA4" i="13"/>
  <c r="AD35" i="23"/>
  <c r="FA2" i="13"/>
  <c r="AD31" i="23"/>
  <c r="S34" i="23"/>
  <c r="EP3" i="13"/>
  <c r="S35" i="23"/>
  <c r="EP4" i="13"/>
  <c r="S31" i="23"/>
  <c r="EP2" i="13"/>
  <c r="I34" i="23"/>
  <c r="EF3" i="13"/>
  <c r="I35" i="23"/>
  <c r="EF4" i="13"/>
  <c r="EF2" i="13"/>
  <c r="I31" i="23"/>
  <c r="EF19" i="13" l="1"/>
  <c r="EF14" i="13"/>
  <c r="EF25" i="13"/>
  <c r="EF21" i="13"/>
  <c r="EF13" i="13"/>
  <c r="EF24" i="13"/>
  <c r="EF20" i="13"/>
  <c r="EP19" i="13"/>
  <c r="EP14" i="13"/>
  <c r="EP25" i="13"/>
  <c r="EP21" i="13"/>
  <c r="EP13" i="13"/>
  <c r="EP24" i="13"/>
  <c r="EP20" i="13"/>
  <c r="FA19" i="13"/>
  <c r="FA14" i="13"/>
  <c r="FA25" i="13"/>
  <c r="FA21" i="13"/>
  <c r="FA13" i="13"/>
  <c r="FA24" i="13"/>
  <c r="FA20" i="13"/>
  <c r="EH10" i="13"/>
  <c r="EG18" i="13"/>
  <c r="FL2" i="13"/>
  <c r="FK19" i="13"/>
  <c r="FK14" i="13"/>
  <c r="FL3" i="13"/>
  <c r="FK24" i="13"/>
  <c r="FK20" i="13"/>
  <c r="FL4" i="13"/>
  <c r="FK25" i="13"/>
  <c r="FK21" i="13"/>
  <c r="FK13" i="13"/>
  <c r="EH5" i="13"/>
  <c r="EG23" i="13"/>
  <c r="EG22" i="13"/>
  <c r="EG2" i="13"/>
  <c r="J31" i="23"/>
  <c r="J35" i="23"/>
  <c r="EG4" i="13"/>
  <c r="J34" i="23"/>
  <c r="EG3" i="13"/>
  <c r="T31" i="23"/>
  <c r="EQ2" i="13"/>
  <c r="T35" i="23"/>
  <c r="EQ4" i="13"/>
  <c r="T34" i="23"/>
  <c r="EQ3" i="13"/>
  <c r="FB2" i="13"/>
  <c r="AE31" i="23"/>
  <c r="FB4" i="13"/>
  <c r="AE35" i="23"/>
  <c r="FB3" i="13"/>
  <c r="AE34" i="23"/>
  <c r="FB24" i="13" l="1"/>
  <c r="FB20" i="13"/>
  <c r="FB25" i="13"/>
  <c r="FB21" i="13"/>
  <c r="FB13" i="13"/>
  <c r="FB19" i="13"/>
  <c r="FB14" i="13"/>
  <c r="EQ24" i="13"/>
  <c r="EQ20" i="13"/>
  <c r="EQ25" i="13"/>
  <c r="EQ21" i="13"/>
  <c r="EQ13" i="13"/>
  <c r="EQ19" i="13"/>
  <c r="EQ14" i="13"/>
  <c r="EG24" i="13"/>
  <c r="EG20" i="13"/>
  <c r="EG25" i="13"/>
  <c r="EG21" i="13"/>
  <c r="EG13" i="13"/>
  <c r="EG19" i="13"/>
  <c r="EG14" i="13"/>
  <c r="EI5" i="13"/>
  <c r="EH23" i="13"/>
  <c r="EH22" i="13"/>
  <c r="FM4" i="13"/>
  <c r="FL25" i="13"/>
  <c r="FL21" i="13"/>
  <c r="FL13" i="13"/>
  <c r="FM3" i="13"/>
  <c r="FL24" i="13"/>
  <c r="FL20" i="13"/>
  <c r="FM2" i="13"/>
  <c r="FL19" i="13"/>
  <c r="FL14" i="13"/>
  <c r="EI10" i="13"/>
  <c r="EH18" i="13"/>
  <c r="FC3" i="13"/>
  <c r="AF34" i="23"/>
  <c r="FD3" i="13" s="1"/>
  <c r="FC4" i="13"/>
  <c r="AF35" i="23"/>
  <c r="FD4" i="13" s="1"/>
  <c r="FC2" i="13"/>
  <c r="AF31" i="23"/>
  <c r="FD2" i="13" s="1"/>
  <c r="U34" i="23"/>
  <c r="ER3" i="13"/>
  <c r="U35" i="23"/>
  <c r="ER4" i="13"/>
  <c r="U31" i="23"/>
  <c r="ER2" i="13"/>
  <c r="K34" i="23"/>
  <c r="EH3" i="13"/>
  <c r="K35" i="23"/>
  <c r="EH4" i="13"/>
  <c r="EH2" i="13"/>
  <c r="K31" i="23"/>
  <c r="EH19" i="13" l="1"/>
  <c r="EH14" i="13"/>
  <c r="EH25" i="13"/>
  <c r="EH21" i="13"/>
  <c r="EH13" i="13"/>
  <c r="EH24" i="13"/>
  <c r="EH20" i="13"/>
  <c r="ER19" i="13"/>
  <c r="ER14" i="13"/>
  <c r="ER25" i="13"/>
  <c r="ER21" i="13"/>
  <c r="ER13" i="13"/>
  <c r="ER24" i="13"/>
  <c r="ER20" i="13"/>
  <c r="FD19" i="13"/>
  <c r="FD14" i="13"/>
  <c r="FC19" i="13"/>
  <c r="FC14" i="13"/>
  <c r="FD25" i="13"/>
  <c r="FD21" i="13"/>
  <c r="FD13" i="13"/>
  <c r="FC25" i="13"/>
  <c r="FC21" i="13"/>
  <c r="FC13" i="13"/>
  <c r="FD24" i="13"/>
  <c r="FD20" i="13"/>
  <c r="FC24" i="13"/>
  <c r="FC20" i="13"/>
  <c r="EJ10" i="13"/>
  <c r="EI18" i="13"/>
  <c r="FN2" i="13"/>
  <c r="FM19" i="13"/>
  <c r="FM14" i="13"/>
  <c r="FN3" i="13"/>
  <c r="FM24" i="13"/>
  <c r="FM20" i="13"/>
  <c r="FN4" i="13"/>
  <c r="FM25" i="13"/>
  <c r="FM21" i="13"/>
  <c r="FM13" i="13"/>
  <c r="EJ5" i="13"/>
  <c r="EI23" i="13"/>
  <c r="EI22" i="13"/>
  <c r="EI2" i="13"/>
  <c r="L31" i="23"/>
  <c r="EJ2" i="13" s="1"/>
  <c r="L35" i="23"/>
  <c r="EJ4" i="13" s="1"/>
  <c r="EI4" i="13"/>
  <c r="L34" i="23"/>
  <c r="EJ3" i="13" s="1"/>
  <c r="EI3" i="13"/>
  <c r="V31" i="23"/>
  <c r="ET2" i="13" s="1"/>
  <c r="ES2" i="13"/>
  <c r="V35" i="23"/>
  <c r="ET4" i="13" s="1"/>
  <c r="ES4" i="13"/>
  <c r="V34" i="23"/>
  <c r="ET3" i="13" s="1"/>
  <c r="ES3" i="13"/>
  <c r="ES24" i="13" l="1"/>
  <c r="ES20" i="13"/>
  <c r="ET24" i="13"/>
  <c r="ET20" i="13"/>
  <c r="ES25" i="13"/>
  <c r="ES21" i="13"/>
  <c r="ES13" i="13"/>
  <c r="ET25" i="13"/>
  <c r="ET21" i="13"/>
  <c r="ET13" i="13"/>
  <c r="ES19" i="13"/>
  <c r="ES14" i="13"/>
  <c r="ET19" i="13"/>
  <c r="ET14" i="13"/>
  <c r="EI24" i="13"/>
  <c r="EI20" i="13"/>
  <c r="EJ24" i="13"/>
  <c r="EJ20" i="13"/>
  <c r="EI25" i="13"/>
  <c r="EI21" i="13"/>
  <c r="EI13" i="13"/>
  <c r="EJ25" i="13"/>
  <c r="EJ21" i="13"/>
  <c r="EJ13" i="13"/>
  <c r="EJ19" i="13"/>
  <c r="EJ14" i="13"/>
  <c r="EI19" i="13"/>
  <c r="EI14" i="13"/>
  <c r="EK5" i="13"/>
  <c r="EJ23" i="13"/>
  <c r="EJ22" i="13"/>
  <c r="FO4" i="13"/>
  <c r="FN25" i="13"/>
  <c r="FN21" i="13"/>
  <c r="FN13" i="13"/>
  <c r="FO3" i="13"/>
  <c r="FN24" i="13"/>
  <c r="FN20" i="13"/>
  <c r="FO2" i="13"/>
  <c r="FN19" i="13"/>
  <c r="FN14" i="13"/>
  <c r="EK10" i="13"/>
  <c r="EJ18" i="13"/>
  <c r="EL10" i="13" l="1"/>
  <c r="EK18" i="13"/>
  <c r="FP2" i="13"/>
  <c r="FO19" i="13"/>
  <c r="FO14" i="13"/>
  <c r="FP3" i="13"/>
  <c r="FO24" i="13"/>
  <c r="FO20" i="13"/>
  <c r="FP4" i="13"/>
  <c r="FO25" i="13"/>
  <c r="FO21" i="13"/>
  <c r="FO13" i="13"/>
  <c r="EL5" i="13"/>
  <c r="EK23" i="13"/>
  <c r="EK22" i="13"/>
  <c r="EM5" i="13" l="1"/>
  <c r="EL23" i="13"/>
  <c r="EL22" i="13"/>
  <c r="FQ4" i="13"/>
  <c r="FP25" i="13"/>
  <c r="FP21" i="13"/>
  <c r="FP13" i="13"/>
  <c r="FQ3" i="13"/>
  <c r="FP24" i="13"/>
  <c r="FP20" i="13"/>
  <c r="FQ2" i="13"/>
  <c r="FP19" i="13"/>
  <c r="FP14" i="13"/>
  <c r="EM10" i="13"/>
  <c r="EL18" i="13"/>
  <c r="EN10" i="13" l="1"/>
  <c r="EM18" i="13"/>
  <c r="FR2" i="13"/>
  <c r="FQ19" i="13"/>
  <c r="FQ14" i="13"/>
  <c r="FR3" i="13"/>
  <c r="FQ24" i="13"/>
  <c r="FQ20" i="13"/>
  <c r="FR4" i="13"/>
  <c r="FQ25" i="13"/>
  <c r="FQ21" i="13"/>
  <c r="FQ13" i="13"/>
  <c r="EN5" i="13"/>
  <c r="EM23" i="13"/>
  <c r="EM22" i="13"/>
  <c r="EO5" i="13" l="1"/>
  <c r="EN23" i="13"/>
  <c r="EN22" i="13"/>
  <c r="FS4" i="13"/>
  <c r="FR25" i="13"/>
  <c r="FR21" i="13"/>
  <c r="FR13" i="13"/>
  <c r="FS3" i="13"/>
  <c r="FR24" i="13"/>
  <c r="FR20" i="13"/>
  <c r="FS2" i="13"/>
  <c r="FR19" i="13"/>
  <c r="FR14" i="13"/>
  <c r="EO10" i="13"/>
  <c r="EN18" i="13"/>
  <c r="EP10" i="13" l="1"/>
  <c r="EO18" i="13"/>
  <c r="FT2" i="13"/>
  <c r="FS19" i="13"/>
  <c r="FS14" i="13"/>
  <c r="FT3" i="13"/>
  <c r="FS24" i="13"/>
  <c r="FS20" i="13"/>
  <c r="FT4" i="13"/>
  <c r="FS25" i="13"/>
  <c r="FS21" i="13"/>
  <c r="FS13" i="13"/>
  <c r="EP5" i="13"/>
  <c r="EO23" i="13"/>
  <c r="EO22" i="13"/>
  <c r="EQ5" i="13" l="1"/>
  <c r="EP23" i="13"/>
  <c r="EP22" i="13"/>
  <c r="FU4" i="13"/>
  <c r="FT25" i="13"/>
  <c r="FT21" i="13"/>
  <c r="FT13" i="13"/>
  <c r="FU3" i="13"/>
  <c r="FT24" i="13"/>
  <c r="FT20" i="13"/>
  <c r="FU2" i="13"/>
  <c r="FT19" i="13"/>
  <c r="FT14" i="13"/>
  <c r="EQ10" i="13"/>
  <c r="EP18" i="13"/>
  <c r="ER10" i="13" l="1"/>
  <c r="EQ18" i="13"/>
  <c r="FV2" i="13"/>
  <c r="FU19" i="13"/>
  <c r="FU14" i="13"/>
  <c r="FV3" i="13"/>
  <c r="FU24" i="13"/>
  <c r="FU20" i="13"/>
  <c r="FV4" i="13"/>
  <c r="FU25" i="13"/>
  <c r="FU21" i="13"/>
  <c r="FU13" i="13"/>
  <c r="ER5" i="13"/>
  <c r="EQ23" i="13"/>
  <c r="EQ22" i="13"/>
  <c r="ES5" i="13" l="1"/>
  <c r="ER23" i="13"/>
  <c r="ER22" i="13"/>
  <c r="FW4" i="13"/>
  <c r="FV25" i="13"/>
  <c r="FV21" i="13"/>
  <c r="FV13" i="13"/>
  <c r="FW3" i="13"/>
  <c r="FV24" i="13"/>
  <c r="FV20" i="13"/>
  <c r="FW2" i="13"/>
  <c r="FV19" i="13"/>
  <c r="FV14" i="13"/>
  <c r="ES10" i="13"/>
  <c r="ER18" i="13"/>
  <c r="ET10" i="13" l="1"/>
  <c r="ES18" i="13"/>
  <c r="FX2" i="13"/>
  <c r="FW19" i="13"/>
  <c r="FW14" i="13"/>
  <c r="FX3" i="13"/>
  <c r="FW24" i="13"/>
  <c r="FW20" i="13"/>
  <c r="FX4" i="13"/>
  <c r="FW25" i="13"/>
  <c r="FW21" i="13"/>
  <c r="FW13" i="13"/>
  <c r="ET5" i="13"/>
  <c r="ES23" i="13"/>
  <c r="ES22" i="13"/>
  <c r="EU5" i="13" l="1"/>
  <c r="ET23" i="13"/>
  <c r="ET22" i="13"/>
  <c r="FY4" i="13"/>
  <c r="FX25" i="13"/>
  <c r="FX21" i="13"/>
  <c r="FX13" i="13"/>
  <c r="FY3" i="13"/>
  <c r="FX24" i="13"/>
  <c r="FX20" i="13"/>
  <c r="FY2" i="13"/>
  <c r="FX19" i="13"/>
  <c r="FX14" i="13"/>
  <c r="EU10" i="13"/>
  <c r="ET18" i="13"/>
  <c r="EV10" i="13" l="1"/>
  <c r="EU18" i="13"/>
  <c r="FZ2" i="13"/>
  <c r="FY19" i="13"/>
  <c r="FY14" i="13"/>
  <c r="FZ3" i="13"/>
  <c r="FY24" i="13"/>
  <c r="FY20" i="13"/>
  <c r="FZ4" i="13"/>
  <c r="FY25" i="13"/>
  <c r="FY21" i="13"/>
  <c r="FY13" i="13"/>
  <c r="EV5" i="13"/>
  <c r="EU23" i="13"/>
  <c r="EU22" i="13"/>
  <c r="EW5" i="13" l="1"/>
  <c r="EV23" i="13"/>
  <c r="EV22" i="13"/>
  <c r="GA4" i="13"/>
  <c r="FZ25" i="13"/>
  <c r="FZ21" i="13"/>
  <c r="FZ13" i="13"/>
  <c r="GA3" i="13"/>
  <c r="FZ24" i="13"/>
  <c r="FZ20" i="13"/>
  <c r="GA2" i="13"/>
  <c r="FZ19" i="13"/>
  <c r="FZ14" i="13"/>
  <c r="EW10" i="13"/>
  <c r="EV18" i="13"/>
  <c r="EX10" i="13" l="1"/>
  <c r="EW18" i="13"/>
  <c r="GB2" i="13"/>
  <c r="GA19" i="13"/>
  <c r="GA14" i="13"/>
  <c r="GB3" i="13"/>
  <c r="GA24" i="13"/>
  <c r="GA20" i="13"/>
  <c r="GB4" i="13"/>
  <c r="GA25" i="13"/>
  <c r="GA21" i="13"/>
  <c r="GA13" i="13"/>
  <c r="EX5" i="13"/>
  <c r="EW23" i="13"/>
  <c r="EW22" i="13"/>
  <c r="EY5" i="13" l="1"/>
  <c r="EX23" i="13"/>
  <c r="EX22" i="13"/>
  <c r="GC4" i="13"/>
  <c r="GB25" i="13"/>
  <c r="GB21" i="13"/>
  <c r="GB13" i="13"/>
  <c r="GC3" i="13"/>
  <c r="GB24" i="13"/>
  <c r="GB20" i="13"/>
  <c r="GC2" i="13"/>
  <c r="GB19" i="13"/>
  <c r="GB14" i="13"/>
  <c r="EY10" i="13"/>
  <c r="EX18" i="13"/>
  <c r="EZ10" i="13" l="1"/>
  <c r="EY18" i="13"/>
  <c r="GD2" i="13"/>
  <c r="GC19" i="13"/>
  <c r="GC14" i="13"/>
  <c r="GD3" i="13"/>
  <c r="GC24" i="13"/>
  <c r="GC20" i="13"/>
  <c r="GD4" i="13"/>
  <c r="GC25" i="13"/>
  <c r="GC21" i="13"/>
  <c r="GC13" i="13"/>
  <c r="EZ5" i="13"/>
  <c r="EY23" i="13"/>
  <c r="EY22" i="13"/>
  <c r="FA5" i="13" l="1"/>
  <c r="EZ23" i="13"/>
  <c r="EZ22" i="13"/>
  <c r="GE4" i="13"/>
  <c r="GD25" i="13"/>
  <c r="GD21" i="13"/>
  <c r="GD13" i="13"/>
  <c r="GE3" i="13"/>
  <c r="GD24" i="13"/>
  <c r="GD20" i="13"/>
  <c r="GE2" i="13"/>
  <c r="GD19" i="13"/>
  <c r="GD14" i="13"/>
  <c r="FA10" i="13"/>
  <c r="EZ18" i="13"/>
  <c r="FB10" i="13" l="1"/>
  <c r="FA18" i="13"/>
  <c r="GF2" i="13"/>
  <c r="GE19" i="13"/>
  <c r="GE14" i="13"/>
  <c r="GF3" i="13"/>
  <c r="GE24" i="13"/>
  <c r="GE20" i="13"/>
  <c r="GF4" i="13"/>
  <c r="GE25" i="13"/>
  <c r="GE21" i="13"/>
  <c r="GE13" i="13"/>
  <c r="FB5" i="13"/>
  <c r="FA23" i="13"/>
  <c r="FA22" i="13"/>
  <c r="FC5" i="13" l="1"/>
  <c r="FB23" i="13"/>
  <c r="FB22" i="13"/>
  <c r="GG4" i="13"/>
  <c r="GF25" i="13"/>
  <c r="GF21" i="13"/>
  <c r="GF13" i="13"/>
  <c r="GG3" i="13"/>
  <c r="GF24" i="13"/>
  <c r="GF20" i="13"/>
  <c r="GG2" i="13"/>
  <c r="GF19" i="13"/>
  <c r="GF14" i="13"/>
  <c r="FC10" i="13"/>
  <c r="FB18" i="13"/>
  <c r="FD10" i="13" l="1"/>
  <c r="FC18" i="13"/>
  <c r="GH2" i="13"/>
  <c r="GG19" i="13"/>
  <c r="GG14" i="13"/>
  <c r="GH3" i="13"/>
  <c r="GG24" i="13"/>
  <c r="GG20" i="13"/>
  <c r="GH4" i="13"/>
  <c r="GG25" i="13"/>
  <c r="GG21" i="13"/>
  <c r="GG13" i="13"/>
  <c r="FD5" i="13"/>
  <c r="FC23" i="13"/>
  <c r="FC22" i="13"/>
  <c r="FE5" i="13" l="1"/>
  <c r="FD23" i="13"/>
  <c r="FD22" i="13"/>
  <c r="GI4" i="13"/>
  <c r="GH25" i="13"/>
  <c r="GH21" i="13"/>
  <c r="GH13" i="13"/>
  <c r="GI3" i="13"/>
  <c r="GH24" i="13"/>
  <c r="GH20" i="13"/>
  <c r="GI2" i="13"/>
  <c r="GH19" i="13"/>
  <c r="GH14" i="13"/>
  <c r="FE10" i="13"/>
  <c r="FD18" i="13"/>
  <c r="FF10" i="13" l="1"/>
  <c r="FE18" i="13"/>
  <c r="GJ2" i="13"/>
  <c r="GI19" i="13"/>
  <c r="GI14" i="13"/>
  <c r="GJ3" i="13"/>
  <c r="GI24" i="13"/>
  <c r="GI20" i="13"/>
  <c r="GJ4" i="13"/>
  <c r="GI25" i="13"/>
  <c r="GI21" i="13"/>
  <c r="GI13" i="13"/>
  <c r="FF5" i="13"/>
  <c r="FE23" i="13"/>
  <c r="FE22" i="13"/>
  <c r="FG5" i="13" l="1"/>
  <c r="FF23" i="13"/>
  <c r="FF22" i="13"/>
  <c r="GK4" i="13"/>
  <c r="GJ25" i="13"/>
  <c r="GJ21" i="13"/>
  <c r="GJ13" i="13"/>
  <c r="GK3" i="13"/>
  <c r="GJ24" i="13"/>
  <c r="GJ20" i="13"/>
  <c r="GK2" i="13"/>
  <c r="GJ19" i="13"/>
  <c r="GJ14" i="13"/>
  <c r="FG10" i="13"/>
  <c r="FF18" i="13"/>
  <c r="FH10" i="13" l="1"/>
  <c r="FG18" i="13"/>
  <c r="GL2" i="13"/>
  <c r="GK19" i="13"/>
  <c r="GK14" i="13"/>
  <c r="GL3" i="13"/>
  <c r="GK24" i="13"/>
  <c r="GK20" i="13"/>
  <c r="GL4" i="13"/>
  <c r="GK25" i="13"/>
  <c r="GK21" i="13"/>
  <c r="GK13" i="13"/>
  <c r="FH5" i="13"/>
  <c r="FG23" i="13"/>
  <c r="FG22" i="13"/>
  <c r="FI5" i="13" l="1"/>
  <c r="FH23" i="13"/>
  <c r="FH22" i="13"/>
  <c r="GM4" i="13"/>
  <c r="GL25" i="13"/>
  <c r="GL21" i="13"/>
  <c r="GL13" i="13"/>
  <c r="GM3" i="13"/>
  <c r="GL24" i="13"/>
  <c r="GL20" i="13"/>
  <c r="GM2" i="13"/>
  <c r="GL19" i="13"/>
  <c r="GL14" i="13"/>
  <c r="FI10" i="13"/>
  <c r="FH18" i="13"/>
  <c r="FJ10" i="13" l="1"/>
  <c r="FI18" i="13"/>
  <c r="GN2" i="13"/>
  <c r="GM19" i="13"/>
  <c r="GM14" i="13"/>
  <c r="GN3" i="13"/>
  <c r="GM24" i="13"/>
  <c r="GM20" i="13"/>
  <c r="GN4" i="13"/>
  <c r="GM25" i="13"/>
  <c r="GM21" i="13"/>
  <c r="GM13" i="13"/>
  <c r="FJ5" i="13"/>
  <c r="FI23" i="13"/>
  <c r="FI22" i="13"/>
  <c r="FK5" i="13" l="1"/>
  <c r="FJ23" i="13"/>
  <c r="FJ22" i="13"/>
  <c r="GO4" i="13"/>
  <c r="GN25" i="13"/>
  <c r="GN21" i="13"/>
  <c r="GN13" i="13"/>
  <c r="GO3" i="13"/>
  <c r="GN24" i="13"/>
  <c r="GN20" i="13"/>
  <c r="GO2" i="13"/>
  <c r="GN19" i="13"/>
  <c r="GN14" i="13"/>
  <c r="FK10" i="13"/>
  <c r="FJ18" i="13"/>
  <c r="FL10" i="13" l="1"/>
  <c r="FK18" i="13"/>
  <c r="GP2" i="13"/>
  <c r="GO19" i="13"/>
  <c r="GO14" i="13"/>
  <c r="GP3" i="13"/>
  <c r="GO24" i="13"/>
  <c r="GO20" i="13"/>
  <c r="GP4" i="13"/>
  <c r="GO25" i="13"/>
  <c r="GO21" i="13"/>
  <c r="GO13" i="13"/>
  <c r="FL5" i="13"/>
  <c r="FK23" i="13"/>
  <c r="FK22" i="13"/>
  <c r="FM5" i="13" l="1"/>
  <c r="FL23" i="13"/>
  <c r="FL22" i="13"/>
  <c r="GQ4" i="13"/>
  <c r="GP25" i="13"/>
  <c r="GP21" i="13"/>
  <c r="GP13" i="13"/>
  <c r="GQ3" i="13"/>
  <c r="GP24" i="13"/>
  <c r="GP20" i="13"/>
  <c r="GQ2" i="13"/>
  <c r="GP19" i="13"/>
  <c r="GP14" i="13"/>
  <c r="FM10" i="13"/>
  <c r="FL18" i="13"/>
  <c r="FN10" i="13" l="1"/>
  <c r="FM18" i="13"/>
  <c r="GR2" i="13"/>
  <c r="GQ19" i="13"/>
  <c r="GQ14" i="13"/>
  <c r="GR3" i="13"/>
  <c r="GQ24" i="13"/>
  <c r="GQ20" i="13"/>
  <c r="GR4" i="13"/>
  <c r="GQ25" i="13"/>
  <c r="GQ21" i="13"/>
  <c r="GQ13" i="13"/>
  <c r="FN5" i="13"/>
  <c r="FM23" i="13"/>
  <c r="FM22" i="13"/>
  <c r="FO5" i="13" l="1"/>
  <c r="FN23" i="13"/>
  <c r="FN22" i="13"/>
  <c r="GS4" i="13"/>
  <c r="GR25" i="13"/>
  <c r="GR21" i="13"/>
  <c r="GR13" i="13"/>
  <c r="GS3" i="13"/>
  <c r="GR24" i="13"/>
  <c r="GR20" i="13"/>
  <c r="GS2" i="13"/>
  <c r="GR19" i="13"/>
  <c r="GR14" i="13"/>
  <c r="FO10" i="13"/>
  <c r="FN18" i="13"/>
  <c r="FP10" i="13" l="1"/>
  <c r="FO18" i="13"/>
  <c r="GT2" i="13"/>
  <c r="GS19" i="13"/>
  <c r="GS14" i="13"/>
  <c r="GT3" i="13"/>
  <c r="GS24" i="13"/>
  <c r="GS20" i="13"/>
  <c r="GT4" i="13"/>
  <c r="GS25" i="13"/>
  <c r="GS21" i="13"/>
  <c r="GS13" i="13"/>
  <c r="FP5" i="13"/>
  <c r="FO23" i="13"/>
  <c r="FO22" i="13"/>
  <c r="FQ5" i="13" l="1"/>
  <c r="FP23" i="13"/>
  <c r="FP22" i="13"/>
  <c r="GU4" i="13"/>
  <c r="GT25" i="13"/>
  <c r="GT21" i="13"/>
  <c r="GT13" i="13"/>
  <c r="GU3" i="13"/>
  <c r="GT24" i="13"/>
  <c r="GT20" i="13"/>
  <c r="GU2" i="13"/>
  <c r="GT19" i="13"/>
  <c r="GT14" i="13"/>
  <c r="FQ10" i="13"/>
  <c r="FP18" i="13"/>
  <c r="FR10" i="13" l="1"/>
  <c r="FQ18" i="13"/>
  <c r="GV2" i="13"/>
  <c r="GU19" i="13"/>
  <c r="GU14" i="13"/>
  <c r="GV3" i="13"/>
  <c r="GU24" i="13"/>
  <c r="GU20" i="13"/>
  <c r="GV4" i="13"/>
  <c r="GU25" i="13"/>
  <c r="GU21" i="13"/>
  <c r="GU13" i="13"/>
  <c r="FR5" i="13"/>
  <c r="FQ23" i="13"/>
  <c r="FQ22" i="13"/>
  <c r="FS5" i="13" l="1"/>
  <c r="FR23" i="13"/>
  <c r="FR22" i="13"/>
  <c r="GW4" i="13"/>
  <c r="GV25" i="13"/>
  <c r="GV21" i="13"/>
  <c r="GV13" i="13"/>
  <c r="GW3" i="13"/>
  <c r="GV24" i="13"/>
  <c r="GV20" i="13"/>
  <c r="GW2" i="13"/>
  <c r="GV19" i="13"/>
  <c r="GV14" i="13"/>
  <c r="FS10" i="13"/>
  <c r="FR18" i="13"/>
  <c r="FT10" i="13" l="1"/>
  <c r="FS18" i="13"/>
  <c r="GX2" i="13"/>
  <c r="GW19" i="13"/>
  <c r="GW14" i="13"/>
  <c r="GX3" i="13"/>
  <c r="GW24" i="13"/>
  <c r="GW20" i="13"/>
  <c r="GX4" i="13"/>
  <c r="GW25" i="13"/>
  <c r="GW21" i="13"/>
  <c r="GW13" i="13"/>
  <c r="FT5" i="13"/>
  <c r="FS23" i="13"/>
  <c r="FS22" i="13"/>
  <c r="FU5" i="13" l="1"/>
  <c r="FT23" i="13"/>
  <c r="FT22" i="13"/>
  <c r="GY4" i="13"/>
  <c r="GX25" i="13"/>
  <c r="GX21" i="13"/>
  <c r="GX13" i="13"/>
  <c r="GY3" i="13"/>
  <c r="GX24" i="13"/>
  <c r="GX20" i="13"/>
  <c r="GY2" i="13"/>
  <c r="GX19" i="13"/>
  <c r="GX14" i="13"/>
  <c r="FU10" i="13"/>
  <c r="FT18" i="13"/>
  <c r="FV10" i="13" l="1"/>
  <c r="FU18" i="13"/>
  <c r="GZ2" i="13"/>
  <c r="GY19" i="13"/>
  <c r="GY14" i="13"/>
  <c r="GZ3" i="13"/>
  <c r="GY24" i="13"/>
  <c r="GY20" i="13"/>
  <c r="GZ4" i="13"/>
  <c r="GY25" i="13"/>
  <c r="GY21" i="13"/>
  <c r="GY13" i="13"/>
  <c r="FV5" i="13"/>
  <c r="FU23" i="13"/>
  <c r="FU22" i="13"/>
  <c r="FW5" i="13" l="1"/>
  <c r="FV23" i="13"/>
  <c r="FV22" i="13"/>
  <c r="HA4" i="13"/>
  <c r="GZ25" i="13"/>
  <c r="GZ21" i="13"/>
  <c r="GZ13" i="13"/>
  <c r="HA3" i="13"/>
  <c r="GZ24" i="13"/>
  <c r="GZ20" i="13"/>
  <c r="HA2" i="13"/>
  <c r="GZ19" i="13"/>
  <c r="GZ14" i="13"/>
  <c r="FW10" i="13"/>
  <c r="FV18" i="13"/>
  <c r="FX10" i="13" l="1"/>
  <c r="FW18" i="13"/>
  <c r="HB2" i="13"/>
  <c r="HA19" i="13"/>
  <c r="HA14" i="13"/>
  <c r="HB3" i="13"/>
  <c r="HA24" i="13"/>
  <c r="HA20" i="13"/>
  <c r="HB4" i="13"/>
  <c r="HA25" i="13"/>
  <c r="HA21" i="13"/>
  <c r="HA13" i="13"/>
  <c r="FX5" i="13"/>
  <c r="FW23" i="13"/>
  <c r="FW22" i="13"/>
  <c r="FY5" i="13" l="1"/>
  <c r="FX23" i="13"/>
  <c r="FX22" i="13"/>
  <c r="HC4" i="13"/>
  <c r="HB25" i="13"/>
  <c r="HB21" i="13"/>
  <c r="HB13" i="13"/>
  <c r="HC3" i="13"/>
  <c r="HB24" i="13"/>
  <c r="HB20" i="13"/>
  <c r="HC2" i="13"/>
  <c r="HB19" i="13"/>
  <c r="HB14" i="13"/>
  <c r="FY10" i="13"/>
  <c r="FX18" i="13"/>
  <c r="FZ10" i="13" l="1"/>
  <c r="FY18" i="13"/>
  <c r="HC19" i="13"/>
  <c r="HC14" i="13"/>
  <c r="HC24" i="13"/>
  <c r="HC20" i="13"/>
  <c r="HC25" i="13"/>
  <c r="HC21" i="13"/>
  <c r="HC13" i="13"/>
  <c r="FZ5" i="13"/>
  <c r="FY23" i="13"/>
  <c r="FY22" i="13"/>
  <c r="GA5" i="13" l="1"/>
  <c r="FZ23" i="13"/>
  <c r="FZ22" i="13"/>
  <c r="GA10" i="13"/>
  <c r="FZ18" i="13"/>
  <c r="GB10" i="13" l="1"/>
  <c r="GA18" i="13"/>
  <c r="GB5" i="13"/>
  <c r="GA23" i="13"/>
  <c r="GA22" i="13"/>
  <c r="GC5" i="13" l="1"/>
  <c r="GB23" i="13"/>
  <c r="GB22" i="13"/>
  <c r="GC10" i="13"/>
  <c r="GB18" i="13"/>
  <c r="GD10" i="13" l="1"/>
  <c r="GC18" i="13"/>
  <c r="GD5" i="13"/>
  <c r="GC23" i="13"/>
  <c r="GC22" i="13"/>
  <c r="GE5" i="13" l="1"/>
  <c r="GD23" i="13"/>
  <c r="GD22" i="13"/>
  <c r="GE10" i="13"/>
  <c r="GD18" i="13"/>
  <c r="GF10" i="13" l="1"/>
  <c r="GE18" i="13"/>
  <c r="GF5" i="13"/>
  <c r="GE23" i="13"/>
  <c r="GE22" i="13"/>
  <c r="GG5" i="13" l="1"/>
  <c r="GF23" i="13"/>
  <c r="GF22" i="13"/>
  <c r="GG10" i="13"/>
  <c r="GF18" i="13"/>
  <c r="GH10" i="13" l="1"/>
  <c r="GG18" i="13"/>
  <c r="GH5" i="13"/>
  <c r="GG23" i="13"/>
  <c r="GG22" i="13"/>
  <c r="GI5" i="13" l="1"/>
  <c r="GH23" i="13"/>
  <c r="GH22" i="13"/>
  <c r="GI10" i="13"/>
  <c r="GH18" i="13"/>
  <c r="GJ10" i="13" l="1"/>
  <c r="GI18" i="13"/>
  <c r="GJ5" i="13"/>
  <c r="GI23" i="13"/>
  <c r="GI22" i="13"/>
  <c r="GK5" i="13" l="1"/>
  <c r="GJ23" i="13"/>
  <c r="GJ22" i="13"/>
  <c r="GK10" i="13"/>
  <c r="GJ18" i="13"/>
  <c r="GL10" i="13" l="1"/>
  <c r="GK18" i="13"/>
  <c r="GL5" i="13"/>
  <c r="GK23" i="13"/>
  <c r="GK22" i="13"/>
  <c r="GM5" i="13" l="1"/>
  <c r="GL23" i="13"/>
  <c r="GL22" i="13"/>
  <c r="GM10" i="13"/>
  <c r="GL18" i="13"/>
  <c r="GN10" i="13" l="1"/>
  <c r="GM18" i="13"/>
  <c r="GN5" i="13"/>
  <c r="GM23" i="13"/>
  <c r="GM22" i="13"/>
  <c r="GO5" i="13" l="1"/>
  <c r="GN23" i="13"/>
  <c r="GN22" i="13"/>
  <c r="GO10" i="13"/>
  <c r="GN18" i="13"/>
  <c r="GP10" i="13" l="1"/>
  <c r="GO18" i="13"/>
  <c r="GP5" i="13"/>
  <c r="GO23" i="13"/>
  <c r="GO22" i="13"/>
  <c r="GQ5" i="13" l="1"/>
  <c r="GP23" i="13"/>
  <c r="GP22" i="13"/>
  <c r="GQ10" i="13"/>
  <c r="GP18" i="13"/>
  <c r="GR10" i="13" l="1"/>
  <c r="GQ18" i="13"/>
  <c r="GR5" i="13"/>
  <c r="GQ23" i="13"/>
  <c r="GQ22" i="13"/>
  <c r="GS5" i="13" l="1"/>
  <c r="GR23" i="13"/>
  <c r="GR22" i="13"/>
  <c r="GS10" i="13"/>
  <c r="GR18" i="13"/>
  <c r="GT10" i="13" l="1"/>
  <c r="GS18" i="13"/>
  <c r="GT5" i="13"/>
  <c r="GS23" i="13"/>
  <c r="GS22" i="13"/>
  <c r="GU5" i="13" l="1"/>
  <c r="GT23" i="13"/>
  <c r="GT22" i="13"/>
  <c r="GU10" i="13"/>
  <c r="GT18" i="13"/>
  <c r="GV10" i="13" l="1"/>
  <c r="GU18" i="13"/>
  <c r="GV5" i="13"/>
  <c r="GU23" i="13"/>
  <c r="GU22" i="13"/>
  <c r="GW5" i="13" l="1"/>
  <c r="GV23" i="13"/>
  <c r="GV22" i="13"/>
  <c r="GW10" i="13"/>
  <c r="GV18" i="13"/>
  <c r="GX10" i="13" l="1"/>
  <c r="GW18" i="13"/>
  <c r="GX5" i="13"/>
  <c r="GW23" i="13"/>
  <c r="GW22" i="13"/>
  <c r="GY5" i="13" l="1"/>
  <c r="GX23" i="13"/>
  <c r="GX22" i="13"/>
  <c r="GY10" i="13"/>
  <c r="GX18" i="13"/>
  <c r="GZ10" i="13" l="1"/>
  <c r="GY18" i="13"/>
  <c r="GZ5" i="13"/>
  <c r="GY23" i="13"/>
  <c r="GY22" i="13"/>
  <c r="HA5" i="13" l="1"/>
  <c r="GZ23" i="13"/>
  <c r="GZ22" i="13"/>
  <c r="HA10" i="13"/>
  <c r="GZ18" i="13"/>
  <c r="HB10" i="13" l="1"/>
  <c r="HA18" i="13"/>
  <c r="HB5" i="13"/>
  <c r="HA23" i="13"/>
  <c r="HA22" i="13"/>
  <c r="HC5" i="13" l="1"/>
  <c r="HB23" i="13"/>
  <c r="HB22" i="13"/>
  <c r="HC10" i="13"/>
  <c r="HC18" i="13" s="1"/>
  <c r="HB18" i="13"/>
  <c r="HC23" i="13" l="1"/>
  <c r="HC2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Devadathan Biju</author>
  </authors>
  <commentList>
    <comment ref="I2" authorId="0" shapeId="0" xr:uid="{6E6661FF-6A69-474E-A7DA-AAE2DE41A152}">
      <text>
        <r>
          <rPr>
            <b/>
            <sz val="9"/>
            <color indexed="81"/>
            <rFont val="Tahoma"/>
            <charset val="1"/>
          </rPr>
          <t>Devadathan Biju:</t>
        </r>
        <r>
          <rPr>
            <sz val="9"/>
            <color indexed="81"/>
            <rFont val="Tahoma"/>
            <charset val="1"/>
          </rPr>
          <t xml:space="preserve">
Assume constant after 2050, for years in between, linearly interpolate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Devadathan Biju</author>
    <author>tc={F77F4AF8-8494-4D90-A018-55F1CD10B192}</author>
  </authors>
  <commentList>
    <comment ref="EA6" authorId="0" shapeId="0" xr:uid="{2B02055E-9F48-4691-B088-681DA653F8E9}">
      <text>
        <r>
          <rPr>
            <sz val="11"/>
            <color theme="1"/>
            <rFont val="Calibri"/>
            <family val="2"/>
            <scheme val="minor"/>
          </rPr>
          <t>Devadathan Biju:
large + small to be added here</t>
        </r>
      </text>
    </comment>
    <comment ref="EA11" authorId="0" shapeId="0" xr:uid="{1C48B24D-8D43-49A9-8425-483679453ED4}">
      <text>
        <r>
          <rPr>
            <sz val="11"/>
            <color theme="1"/>
            <rFont val="Calibri"/>
            <family val="2"/>
            <scheme val="minor"/>
          </rPr>
          <t>Devadathan Biju:
How to determine what's pumped hydro vs small hydro?</t>
        </r>
      </text>
    </comment>
    <comment ref="EA13" authorId="1" shapeId="0" xr:uid="{F77F4AF8-8494-4D90-A018-55F1CD10B192}">
      <text>
        <t>[Threaded comment]
Your version of Excel allows you to read this threaded comment; however, any edits to it will get removed if the file is opened in a newer version of Excel. Learn more: https://go.microsoft.com/fwlink/?linkid=870924
Comment:
    Earlier, peaker plants were assumed to be registered open cycle plants. Now, things are slightly different since they've separately asked for the total capacity of open cycle power plants. Which row does it make sense to ignore? To check lit. on what fraction of gas power plants in India can be used for peaking (consider both OC or CC)</t>
      </text>
    </comment>
  </commentList>
</comments>
</file>

<file path=xl/sharedStrings.xml><?xml version="1.0" encoding="utf-8"?>
<sst xmlns="http://schemas.openxmlformats.org/spreadsheetml/2006/main" count="600" uniqueCount="325">
  <si>
    <t>BHRaSYC BAU Heat Rates and Start Year Capacities</t>
  </si>
  <si>
    <t>Source:</t>
  </si>
  <si>
    <t>Heat Rates for all plant types</t>
  </si>
  <si>
    <t>First Indian Technology Catalogue</t>
  </si>
  <si>
    <t>Spreadsheet (link 1) based on the report (link 2)</t>
  </si>
  <si>
    <t>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t>
  </si>
  <si>
    <t>First_Indian_Technology_Catalogue_Generation_and_Storage_of_Electricity-2.pdf (cea.nic.in)</t>
  </si>
  <si>
    <t>Page 1 Generation and Fuel Data (923), Page 3_1_Generator Operable tab (860)</t>
  </si>
  <si>
    <t>Start year and historical capacity additions</t>
  </si>
  <si>
    <t>Central Electricity Authority, India</t>
  </si>
  <si>
    <t>2014-2021</t>
  </si>
  <si>
    <t>CEA Monthly Reports</t>
  </si>
  <si>
    <t>https://cea.nic.in/installed-capacity-report/?lang=en</t>
  </si>
  <si>
    <t>Notes</t>
  </si>
  <si>
    <t>Petroleum Fuel Type Assignments</t>
  </si>
  <si>
    <t>The U.S. model assigns all petroleum-related fuels to the "petroleum" plant types, but if adapting this file for another region, you</t>
  </si>
  <si>
    <t>may choose to assign some fuels to the "crude oil" and/or "heavy or residual fuel oil" plant types.</t>
  </si>
  <si>
    <t>For India 4.0 Update</t>
  </si>
  <si>
    <t>Lignite assumes the same heat rate as coal</t>
  </si>
  <si>
    <t>For coal - we assume sub-critical heat rates and take values from 'India's first technology catalogue'</t>
  </si>
  <si>
    <t>Petroleum, crude oil and 'heavy or residual fuel oil' share the same values for heat rate</t>
  </si>
  <si>
    <t>For plants with CCUS - we use a multiplier that is calculated based on the ratio of CCUS-fitted to non-CCUS-fitted plant types for the same fuel source</t>
  </si>
  <si>
    <t>Source</t>
  </si>
  <si>
    <t>installed_capacity.pdf (cea.nic.in)</t>
  </si>
  <si>
    <t>CEA publishes monthly reports on total installed capacity. For the years 2017-2021, these reports are avaible for the month of December</t>
  </si>
  <si>
    <t>We've used the December monthly reports of these years to represent start year (or year-end) installed capacities.</t>
  </si>
  <si>
    <t>For gas-based capacity| Open cycle/closed cycle</t>
  </si>
  <si>
    <t>For hydro capacity| to distinguish between large, small and pumped hydro, we use the following data sources: Annual hydro report by the CEA</t>
  </si>
  <si>
    <t>Installed capacity (MW)</t>
  </si>
  <si>
    <t>Power plant fuel type</t>
  </si>
  <si>
    <t>2020 (December)</t>
  </si>
  <si>
    <t>2016 (March)</t>
  </si>
  <si>
    <t>2015( March)</t>
  </si>
  <si>
    <t>2014 (Mar)</t>
  </si>
  <si>
    <t>2021 (december)</t>
  </si>
  <si>
    <t>Coal</t>
  </si>
  <si>
    <t>Lignite</t>
  </si>
  <si>
    <t>Gas</t>
  </si>
  <si>
    <t>Diesel</t>
  </si>
  <si>
    <t>Nuclear</t>
  </si>
  <si>
    <t>Large hydro</t>
  </si>
  <si>
    <t>Solar</t>
  </si>
  <si>
    <t>Wind</t>
  </si>
  <si>
    <t>Biomass</t>
  </si>
  <si>
    <t>Small hydro</t>
  </si>
  <si>
    <t>Municipal solid waste</t>
  </si>
  <si>
    <t>Pumped Hydro</t>
  </si>
  <si>
    <t>For details on GT or CCPP</t>
  </si>
  <si>
    <t>pib.gov.in/PressReleaseIframePage.aspx?PRID=1911550</t>
  </si>
  <si>
    <t>Find ratio of GT/CCPP for one year and extend</t>
  </si>
  <si>
    <t>Source for pumped hydro 2017</t>
  </si>
  <si>
    <t>NEP</t>
  </si>
  <si>
    <t>Chapter 1 (cea.nic.in)</t>
  </si>
  <si>
    <t>3rd paragraph</t>
  </si>
  <si>
    <t xml:space="preserve">Source: </t>
  </si>
  <si>
    <t>Heat Rates(Mcal/MWh)</t>
  </si>
  <si>
    <t>H.R. (BTU/MWh)</t>
  </si>
  <si>
    <t>H.R. (Mcal/MWh)</t>
  </si>
  <si>
    <t>01a Coal fired, subcritical power plant</t>
  </si>
  <si>
    <t>01b Coal fired, supercritical power plant</t>
  </si>
  <si>
    <t>01c Coal fired, ultra-supercritical power plant</t>
  </si>
  <si>
    <t>02a Gas turb. open cycle</t>
  </si>
  <si>
    <t>02b Gas turb. combined cycle</t>
  </si>
  <si>
    <t>02c Gas engines</t>
  </si>
  <si>
    <t>03 Biomass plant</t>
  </si>
  <si>
    <t>-</t>
  </si>
  <si>
    <t>04 Onshore turbines</t>
  </si>
  <si>
    <t>05 Offshore turbines</t>
  </si>
  <si>
    <t>06a Large scale utility scale Photovoltaics</t>
  </si>
  <si>
    <t>06b Rooftop Photovoltaics</t>
  </si>
  <si>
    <t>07a Run-of-river w/o storage</t>
  </si>
  <si>
    <t>07b Run-of-river w/storage</t>
  </si>
  <si>
    <t>07c Small Reservoir Hydro Power (&lt;25 MW)</t>
  </si>
  <si>
    <t>07d Large Reservoir Hydro Power (&gt;25 MW)</t>
  </si>
  <si>
    <t>07e Pumped storage (on-river)</t>
  </si>
  <si>
    <t>07f Pumped storage (closed loop)</t>
  </si>
  <si>
    <t>8a Nuclear, Pressurized heavy-water reactor</t>
  </si>
  <si>
    <t>8b Nuclear, Light-water reactor</t>
  </si>
  <si>
    <t>09 Battery storage</t>
  </si>
  <si>
    <t>Converion</t>
  </si>
  <si>
    <t>Units</t>
  </si>
  <si>
    <t>BTU/Mcal</t>
  </si>
  <si>
    <t>The above data source provides data on a 10 year basis. To estimate heat-rate improvement in intermediate years, we assume that heat rate improves linearly during the years in between.</t>
  </si>
  <si>
    <t>Projections</t>
  </si>
  <si>
    <t>Heat rate for backup generators</t>
  </si>
  <si>
    <t>BTU/kWh</t>
  </si>
  <si>
    <t>BTU/MWh</t>
  </si>
  <si>
    <t>Using the data below, we try to estimate the increase in heat rate associated with fitting CCUS for a given plant type. The heat rate values are sources from the 2020 heat rates in the US 4.0 input file.</t>
  </si>
  <si>
    <t>CCS multiplier</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</si>
  <si>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</si>
  <si>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</si>
  <si>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</si>
  <si>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</si>
  <si>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</si>
  <si>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</si>
  <si>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</si>
  <si>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</si>
  <si>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</si>
  <si>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</si>
  <si>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</si>
  <si>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</si>
  <si>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</si>
  <si>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</si>
  <si>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</si>
  <si>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</si>
  <si>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</si>
  <si>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</si>
  <si>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</si>
  <si>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</si>
  <si>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</si>
  <si>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</si>
  <si>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</si>
  <si>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</si>
  <si>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Heat Rates (BTU/(MW*hour))</t>
  </si>
  <si>
    <t>Vintage1891</t>
  </si>
  <si>
    <t>Vintage1892</t>
  </si>
  <si>
    <t>Vintage1893</t>
  </si>
  <si>
    <t>Vintage1894</t>
  </si>
  <si>
    <t>Vintage1895</t>
  </si>
  <si>
    <t>Vintage1896</t>
  </si>
  <si>
    <t>Vintage1897</t>
  </si>
  <si>
    <t>Vintage1898</t>
  </si>
  <si>
    <t>Vintage1899</t>
  </si>
  <si>
    <t>Vintage1900</t>
  </si>
  <si>
    <t>Vintage1901</t>
  </si>
  <si>
    <t>Vintage1902</t>
  </si>
  <si>
    <t>Vintage1903</t>
  </si>
  <si>
    <t>Vintage1904</t>
  </si>
  <si>
    <t>Vintage1905</t>
  </si>
  <si>
    <t>Vintage1906</t>
  </si>
  <si>
    <t>Vintage1907</t>
  </si>
  <si>
    <t>Vintage1908</t>
  </si>
  <si>
    <t>Vintage1909</t>
  </si>
  <si>
    <t>Vintage1910</t>
  </si>
  <si>
    <t>Vintage1911</t>
  </si>
  <si>
    <t>Vintage1912</t>
  </si>
  <si>
    <t>Vintage1913</t>
  </si>
  <si>
    <t>Vintage1914</t>
  </si>
  <si>
    <t>Vintage1915</t>
  </si>
  <si>
    <t>Vintage1916</t>
  </si>
  <si>
    <t>Vintage1917</t>
  </si>
  <si>
    <t>Vintage1918</t>
  </si>
  <si>
    <t>Vintage1919</t>
  </si>
  <si>
    <t>Vintage1920</t>
  </si>
  <si>
    <t>Vintage1921</t>
  </si>
  <si>
    <t>Vintage1922</t>
  </si>
  <si>
    <t>Vintage1923</t>
  </si>
  <si>
    <t>Vintage1924</t>
  </si>
  <si>
    <t>Vintage1925</t>
  </si>
  <si>
    <t>Vintage1926</t>
  </si>
  <si>
    <t>Vintage1927</t>
  </si>
  <si>
    <t>Vintage1928</t>
  </si>
  <si>
    <t>Vintage1929</t>
  </si>
  <si>
    <t>Vintage1930</t>
  </si>
  <si>
    <t>Vintage1931</t>
  </si>
  <si>
    <t>Vintage1932</t>
  </si>
  <si>
    <t>Vintage1933</t>
  </si>
  <si>
    <t>Vintage1934</t>
  </si>
  <si>
    <t>Vintage1935</t>
  </si>
  <si>
    <t>Vintage1936</t>
  </si>
  <si>
    <t>Vintage1937</t>
  </si>
  <si>
    <t>Vintage1938</t>
  </si>
  <si>
    <t>Vintage1939</t>
  </si>
  <si>
    <t>Vintage1940</t>
  </si>
  <si>
    <t>Vintage1941</t>
  </si>
  <si>
    <t>Vintage1942</t>
  </si>
  <si>
    <t>Vintage1943</t>
  </si>
  <si>
    <t>Vintage1944</t>
  </si>
  <si>
    <t>Vintage1945</t>
  </si>
  <si>
    <t>Vintage1946</t>
  </si>
  <si>
    <t>Vintage1947</t>
  </si>
  <si>
    <t>Vintage1948</t>
  </si>
  <si>
    <t>Vintage1949</t>
  </si>
  <si>
    <t>Vintage1950</t>
  </si>
  <si>
    <t>Vintage1951</t>
  </si>
  <si>
    <t>Vintage1952</t>
  </si>
  <si>
    <t>Vintage1953</t>
  </si>
  <si>
    <t>Vintage1954</t>
  </si>
  <si>
    <t>Vintage1955</t>
  </si>
  <si>
    <t>Vintage1956</t>
  </si>
  <si>
    <t>Vintage1957</t>
  </si>
  <si>
    <t>Vintage1958</t>
  </si>
  <si>
    <t>Vintage1959</t>
  </si>
  <si>
    <t>Vintage1960</t>
  </si>
  <si>
    <t>Vintage1961</t>
  </si>
  <si>
    <t>Vintage1962</t>
  </si>
  <si>
    <t>Vintage1963</t>
  </si>
  <si>
    <t>Vintage1964</t>
  </si>
  <si>
    <t>Vintage1965</t>
  </si>
  <si>
    <t>Vintage1966</t>
  </si>
  <si>
    <t>Vintage1967</t>
  </si>
  <si>
    <t>Vintage1968</t>
  </si>
  <si>
    <t>Vintage1969</t>
  </si>
  <si>
    <t>Vintage1970</t>
  </si>
  <si>
    <t>Vintage1971</t>
  </si>
  <si>
    <t>Vintage1972</t>
  </si>
  <si>
    <t>Vintage1973</t>
  </si>
  <si>
    <t>Vintage1974</t>
  </si>
  <si>
    <t>Vintage1975</t>
  </si>
  <si>
    <t>Vintage1976</t>
  </si>
  <si>
    <t>Vintage1977</t>
  </si>
  <si>
    <t>Vintage1978</t>
  </si>
  <si>
    <t>Vintage1979</t>
  </si>
  <si>
    <t>Vintage1980</t>
  </si>
  <si>
    <t>Vintage1981</t>
  </si>
  <si>
    <t>Vintage1982</t>
  </si>
  <si>
    <t>Vintage1983</t>
  </si>
  <si>
    <t>Vintage1984</t>
  </si>
  <si>
    <t>Vintage1985</t>
  </si>
  <si>
    <t>Vintage1986</t>
  </si>
  <si>
    <t>Vintage1987</t>
  </si>
  <si>
    <t>Vintage1988</t>
  </si>
  <si>
    <t>Vintage1989</t>
  </si>
  <si>
    <t>Vintage1990</t>
  </si>
  <si>
    <t>Vintage1991</t>
  </si>
  <si>
    <t>Vintage1992</t>
  </si>
  <si>
    <t>Vintage1993</t>
  </si>
  <si>
    <t>Vintage1994</t>
  </si>
  <si>
    <t>Vintage1995</t>
  </si>
  <si>
    <t>Vintage1996</t>
  </si>
  <si>
    <t>Vintage1997</t>
  </si>
  <si>
    <t>Vintage1998</t>
  </si>
  <si>
    <t>Vintage1999</t>
  </si>
  <si>
    <t>Vintage2000</t>
  </si>
  <si>
    <t>Vintage2001</t>
  </si>
  <si>
    <t>Vintage2002</t>
  </si>
  <si>
    <t>Vintage2003</t>
  </si>
  <si>
    <t>Vintage2004</t>
  </si>
  <si>
    <t>Vintage2005</t>
  </si>
  <si>
    <t>Vintage2006</t>
  </si>
  <si>
    <t>Vintage2007</t>
  </si>
  <si>
    <t>Vintage2008</t>
  </si>
  <si>
    <t>Vintage2009</t>
  </si>
  <si>
    <t>Vintage2010</t>
  </si>
  <si>
    <t>Vintage2011</t>
  </si>
  <si>
    <t>Vintage2012</t>
  </si>
  <si>
    <t>Vintage2013</t>
  </si>
  <si>
    <t>Vintage2014</t>
  </si>
  <si>
    <t>Vintage2015</t>
  </si>
  <si>
    <t>Vintage2016</t>
  </si>
  <si>
    <t>Vintage2017</t>
  </si>
  <si>
    <t>Vintage2018</t>
  </si>
  <si>
    <t>Vintage2019</t>
  </si>
  <si>
    <t>Vintage2020</t>
  </si>
  <si>
    <t>Vintage2021</t>
  </si>
  <si>
    <t>Vintage2022</t>
  </si>
  <si>
    <t>Vintage2023</t>
  </si>
  <si>
    <t>Vintage2024</t>
  </si>
  <si>
    <t>Vintage2025</t>
  </si>
  <si>
    <t>Vintage2026</t>
  </si>
  <si>
    <t>Vintage2027</t>
  </si>
  <si>
    <t>Vintage2028</t>
  </si>
  <si>
    <t>Vintage2029</t>
  </si>
  <si>
    <t>Vintage2030</t>
  </si>
  <si>
    <t>Vintage2031</t>
  </si>
  <si>
    <t>Vintage2032</t>
  </si>
  <si>
    <t>Vintage2033</t>
  </si>
  <si>
    <t>Vintage2034</t>
  </si>
  <si>
    <t>Vintage2035</t>
  </si>
  <si>
    <t>Vintage2036</t>
  </si>
  <si>
    <t>Vintage2037</t>
  </si>
  <si>
    <t>Vintage2038</t>
  </si>
  <si>
    <t>Vintage2039</t>
  </si>
  <si>
    <t>Vintage2040</t>
  </si>
  <si>
    <t>Vintage2041</t>
  </si>
  <si>
    <t>Vintage2042</t>
  </si>
  <si>
    <t>Vintage2043</t>
  </si>
  <si>
    <t>Vintage2044</t>
  </si>
  <si>
    <t>Vintage2045</t>
  </si>
  <si>
    <t>Vintage2046</t>
  </si>
  <si>
    <t>Vintage2047</t>
  </si>
  <si>
    <t>Vintage2048</t>
  </si>
  <si>
    <t>Vintage2049</t>
  </si>
  <si>
    <t>Vintage2050</t>
  </si>
  <si>
    <t>Vintage2051</t>
  </si>
  <si>
    <t>Vintage2052</t>
  </si>
  <si>
    <t>Vintage2053</t>
  </si>
  <si>
    <t>Vintage2054</t>
  </si>
  <si>
    <t>Vintage2055</t>
  </si>
  <si>
    <t>Vintage2056</t>
  </si>
  <si>
    <t>Vintage2057</t>
  </si>
  <si>
    <t>Vintage2058</t>
  </si>
  <si>
    <t>Vintage2059</t>
  </si>
  <si>
    <t>Vintage2060</t>
  </si>
  <si>
    <t>Vintage2061</t>
  </si>
  <si>
    <t>Vintage2062</t>
  </si>
  <si>
    <t>Vintage2063</t>
  </si>
  <si>
    <t>Vintage2064</t>
  </si>
  <si>
    <t>Vintage2065</t>
  </si>
  <si>
    <t>Vintage2066</t>
  </si>
  <si>
    <t>Vintage2067</t>
  </si>
  <si>
    <t>Vintage2068</t>
  </si>
  <si>
    <t>Vintage2069</t>
  </si>
  <si>
    <t>Vintage2070</t>
  </si>
  <si>
    <t>Vintage2071</t>
  </si>
  <si>
    <t>Vintage2072</t>
  </si>
  <si>
    <t>Vintage2073</t>
  </si>
  <si>
    <t>Vintage2074</t>
  </si>
  <si>
    <t>Vintage2075</t>
  </si>
  <si>
    <t>Vintage2076</t>
  </si>
  <si>
    <t>Vintage2077</t>
  </si>
  <si>
    <t>Vintage2078</t>
  </si>
  <si>
    <t>Vintage2079</t>
  </si>
  <si>
    <t>Vintage2080</t>
  </si>
  <si>
    <t>Vintage2081</t>
  </si>
  <si>
    <t>Vintage2082</t>
  </si>
  <si>
    <t>Vintage2083</t>
  </si>
  <si>
    <t>Vintage2084</t>
  </si>
  <si>
    <t>Vintage2085</t>
  </si>
  <si>
    <t>Vintage2086</t>
  </si>
  <si>
    <t>Vintage2087</t>
  </si>
  <si>
    <t>Vintage2088</t>
  </si>
  <si>
    <t>Vintage2089</t>
  </si>
  <si>
    <t>Vintage2090</t>
  </si>
  <si>
    <t>Vintage2091</t>
  </si>
  <si>
    <t>Vintage2092</t>
  </si>
  <si>
    <t>Vintage2093</t>
  </si>
  <si>
    <t>Vintage2094</t>
  </si>
  <si>
    <t>Vintage2095</t>
  </si>
  <si>
    <t>Vintage2096</t>
  </si>
  <si>
    <t>Vintage2097</t>
  </si>
  <si>
    <t>Vintage2098</t>
  </si>
  <si>
    <t>Vintage2099</t>
  </si>
  <si>
    <t>Vintage2100</t>
  </si>
  <si>
    <t>Start Year Capacities (MW)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</si>
</sst>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 #,##0.00_ ;_ * \-#,##0.00_ ;_ * &quot;-&quot;??_ ;_ @_ "/>
    <numFmt numFmtId="166" formatCode="_ &quot;kr.&quot;\ * #,##0.00_ ;_ &quot;kr.&quot;\ * \-#,##0.00_ ;_ &quot;kr.&quot;\ * &quot;-&quot;??_ ;_ @_ "/>
  </numFmts>
  <fonts count="35">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1"/>
      <color indexed="8"/>
      <name val="Calibri"/>
      <family val="2"/>
    </font>
    <font>
      <sz val="11"/>
      <color theme="1"/>
      <name val="Arial"/>
      <family val="2"/>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sz val="11"/>
      <color rgb="FF000000"/>
      <name val="Calibri"/>
      <family val="2"/>
      <scheme val="minor"/>
    </font>
    <font>
      <u/>
      <sz val="10"/>
      <color indexed="12"/>
      <name val="Arial"/>
      <family val="2"/>
    </font>
    <font>
      <sz val="10"/>
      <name val="Helv"/>
    </font>
    <font>
      <sz val="11"/>
      <color indexed="62"/>
      <name val="Calibri"/>
      <family val="2"/>
    </font>
    <font>
      <sz val="11"/>
      <color indexed="60"/>
      <name val="Calibri"/>
      <family val="2"/>
    </font>
    <font>
      <b/>
      <sz val="11"/>
      <color indexed="63"/>
      <name val="Calibri"/>
      <family val="2"/>
    </font>
    <font>
      <b/>
      <sz val="11"/>
      <color indexed="8"/>
      <name val="Calibri"/>
      <family val="2"/>
    </font>
    <font>
      <sz val="8"/>
      <name val="Arial"/>
      <family val="2"/>
    </font>
    <font>
      <sz val="8"/>
      <name val="Calibri"/>
      <family val="2"/>
      <scheme val="minor"/>
    </font>
    <font>
      <sz val="9"/>
      <color indexed="81"/>
      <name val="Tahoma"/>
      <charset val="1"/>
    </font>
    <font>
      <b/>
      <sz val="9"/>
      <color indexed="81"/>
      <name val="Tahoma"/>
      <charset val="1"/>
    </font>
    <font>
      <sz val="10"/>
      <color theme="1"/>
      <name val="Calibri"/>
      <family val="2"/>
      <scheme val="minor"/>
    </font>
    <font>
      <sz val="11"/>
      <color rgb="FF0563C1"/>
      <name val="Calibri"/>
      <scheme val="minor"/>
    </font>
  </fonts>
  <fills count="4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indexed="47"/>
      </patternFill>
    </fill>
    <fill>
      <patternFill patternType="solid">
        <fgColor indexed="43"/>
      </patternFill>
    </fill>
    <fill>
      <patternFill patternType="solid">
        <fgColor indexed="22"/>
      </patternFill>
    </fill>
    <fill>
      <patternFill patternType="solid">
        <fgColor theme="9" tint="0.79998168889431442"/>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73">
    <xf numFmtId="0" fontId="0" fillId="0" borderId="0"/>
    <xf numFmtId="0" fontId="2" fillId="0" borderId="0" applyNumberFormat="0" applyFill="0" applyBorder="0" applyAlignment="0" applyProtection="0"/>
    <xf numFmtId="0" fontId="4" fillId="0" borderId="0"/>
    <xf numFmtId="0" fontId="3" fillId="0" borderId="0"/>
    <xf numFmtId="0" fontId="5" fillId="0" borderId="0"/>
    <xf numFmtId="0" fontId="7" fillId="0" borderId="0" applyNumberFormat="0" applyFill="0" applyBorder="0" applyAlignment="0" applyProtection="0"/>
    <xf numFmtId="0" fontId="8" fillId="0" borderId="1" applyNumberFormat="0" applyFill="0" applyAlignment="0" applyProtection="0"/>
    <xf numFmtId="0" fontId="9" fillId="0" borderId="2" applyNumberFormat="0" applyFill="0" applyAlignment="0" applyProtection="0"/>
    <xf numFmtId="0" fontId="10" fillId="0" borderId="3" applyNumberFormat="0" applyFill="0" applyAlignment="0" applyProtection="0"/>
    <xf numFmtId="0" fontId="10" fillId="0" borderId="0" applyNumberFormat="0" applyFill="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7" borderId="4" applyNumberFormat="0" applyAlignment="0" applyProtection="0"/>
    <xf numFmtId="0" fontId="14" fillId="8" borderId="5" applyNumberFormat="0" applyAlignment="0" applyProtection="0"/>
    <xf numFmtId="0" fontId="15" fillId="8" borderId="4" applyNumberFormat="0" applyAlignment="0" applyProtection="0"/>
    <xf numFmtId="0" fontId="16" fillId="0" borderId="6" applyNumberFormat="0" applyFill="0" applyAlignment="0" applyProtection="0"/>
    <xf numFmtId="0" fontId="17" fillId="9" borderId="7" applyNumberFormat="0" applyAlignment="0" applyProtection="0"/>
    <xf numFmtId="0" fontId="18" fillId="0" borderId="0" applyNumberFormat="0" applyFill="0" applyBorder="0" applyAlignment="0" applyProtection="0"/>
    <xf numFmtId="0" fontId="6" fillId="10" borderId="8" applyNumberFormat="0" applyFont="0" applyAlignment="0" applyProtection="0"/>
    <xf numFmtId="0" fontId="19" fillId="0" borderId="0" applyNumberFormat="0" applyFill="0" applyBorder="0" applyAlignment="0" applyProtection="0"/>
    <xf numFmtId="0" fontId="1" fillId="0" borderId="9" applyNumberFormat="0" applyFill="0" applyAlignment="0" applyProtection="0"/>
    <xf numFmtId="0" fontId="20" fillId="11"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20"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20"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20"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20"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20"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21" fillId="6"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20" fillId="22" borderId="0" applyNumberFormat="0" applyBorder="0" applyAlignment="0" applyProtection="0"/>
    <xf numFmtId="0" fontId="20" fillId="26" borderId="0" applyNumberFormat="0" applyBorder="0" applyAlignment="0" applyProtection="0"/>
    <xf numFmtId="0" fontId="20" fillId="30" borderId="0" applyNumberFormat="0" applyBorder="0" applyAlignment="0" applyProtection="0"/>
    <xf numFmtId="0" fontId="20" fillId="34" borderId="0" applyNumberFormat="0" applyBorder="0" applyAlignment="0" applyProtection="0"/>
    <xf numFmtId="0" fontId="3" fillId="0" borderId="0"/>
    <xf numFmtId="9" fontId="3" fillId="0" borderId="0" applyFont="0" applyFill="0" applyBorder="0" applyAlignment="0" applyProtection="0"/>
    <xf numFmtId="0" fontId="23" fillId="0" borderId="0" applyNumberFormat="0" applyFill="0" applyBorder="0" applyAlignment="0" applyProtection="0">
      <alignment vertical="top"/>
      <protection locked="0"/>
    </xf>
    <xf numFmtId="164" fontId="6" fillId="0" borderId="0" applyFont="0" applyFill="0" applyBorder="0" applyAlignment="0" applyProtection="0"/>
    <xf numFmtId="165" fontId="6" fillId="0" borderId="0" applyFont="0" applyFill="0" applyBorder="0" applyAlignment="0" applyProtection="0"/>
    <xf numFmtId="0" fontId="24" fillId="0" borderId="0"/>
    <xf numFmtId="0" fontId="24" fillId="0" borderId="0"/>
    <xf numFmtId="0" fontId="23" fillId="0" borderId="0" applyNumberFormat="0" applyFill="0" applyBorder="0" applyAlignment="0" applyProtection="0">
      <alignment vertical="top"/>
      <protection locked="0"/>
    </xf>
    <xf numFmtId="0" fontId="2" fillId="0" borderId="0" applyNumberFormat="0" applyFill="0" applyBorder="0" applyAlignment="0" applyProtection="0"/>
    <xf numFmtId="0" fontId="25" fillId="36" borderId="11" applyNumberFormat="0" applyAlignment="0" applyProtection="0"/>
    <xf numFmtId="164" fontId="6" fillId="0" borderId="0" applyFont="0" applyFill="0" applyBorder="0" applyAlignment="0" applyProtection="0"/>
    <xf numFmtId="165" fontId="24" fillId="0" borderId="0" applyFont="0" applyFill="0" applyBorder="0" applyAlignment="0" applyProtection="0"/>
    <xf numFmtId="0" fontId="26" fillId="37" borderId="0" applyNumberFormat="0" applyBorder="0" applyAlignment="0" applyProtection="0"/>
    <xf numFmtId="0" fontId="24" fillId="0" borderId="0"/>
    <xf numFmtId="0" fontId="3" fillId="0" borderId="0"/>
    <xf numFmtId="0" fontId="3" fillId="0" borderId="0"/>
    <xf numFmtId="0" fontId="27" fillId="38" borderId="12" applyNumberFormat="0" applyAlignment="0" applyProtection="0"/>
    <xf numFmtId="0" fontId="24" fillId="0" borderId="0"/>
    <xf numFmtId="9" fontId="3" fillId="0" borderId="0" applyFont="0" applyFill="0" applyBorder="0" applyAlignment="0" applyProtection="0"/>
    <xf numFmtId="9" fontId="3" fillId="0" borderId="0" applyFont="0" applyFill="0" applyBorder="0" applyAlignment="0" applyProtection="0"/>
    <xf numFmtId="0" fontId="28" fillId="0" borderId="13" applyNumberFormat="0" applyFill="0" applyAlignment="0" applyProtection="0"/>
    <xf numFmtId="0" fontId="2" fillId="0" borderId="0" applyNumberForma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6" fontId="6" fillId="0" borderId="0" applyFont="0" applyFill="0" applyBorder="0" applyAlignment="0" applyProtection="0"/>
    <xf numFmtId="0" fontId="6" fillId="0" borderId="0"/>
    <xf numFmtId="0" fontId="13" fillId="7" borderId="4" applyNumberFormat="0" applyAlignment="0" applyProtection="0"/>
  </cellStyleXfs>
  <cellXfs count="27">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1" fontId="0" fillId="0" borderId="0" xfId="0" applyNumberFormat="1"/>
    <xf numFmtId="0" fontId="1" fillId="0" borderId="0" xfId="0" applyFont="1" applyAlignment="1">
      <alignment wrapText="1"/>
    </xf>
    <xf numFmtId="0" fontId="0" fillId="0" borderId="0" xfId="0" applyAlignment="1">
      <alignment horizontal="right"/>
    </xf>
    <xf numFmtId="0" fontId="0" fillId="3" borderId="0" xfId="0" applyFill="1"/>
    <xf numFmtId="0" fontId="0" fillId="2" borderId="0" xfId="0" applyFill="1"/>
    <xf numFmtId="1" fontId="1" fillId="2" borderId="0" xfId="0" applyNumberFormat="1" applyFont="1" applyFill="1" applyAlignment="1">
      <alignment horizontal="left"/>
    </xf>
    <xf numFmtId="0" fontId="22" fillId="0" borderId="0" xfId="0" applyFont="1" applyAlignment="1">
      <alignment vertical="center"/>
    </xf>
    <xf numFmtId="0" fontId="0" fillId="0" borderId="0" xfId="0" applyAlignment="1">
      <alignment horizontal="center"/>
    </xf>
    <xf numFmtId="1" fontId="0" fillId="3" borderId="0" xfId="0" applyNumberFormat="1" applyFill="1"/>
    <xf numFmtId="1" fontId="29" fillId="0" borderId="10" xfId="0" applyNumberFormat="1" applyFont="1" applyBorder="1" applyAlignment="1">
      <alignment horizontal="center" vertical="top" wrapText="1"/>
    </xf>
    <xf numFmtId="1" fontId="29" fillId="0" borderId="0" xfId="0" applyNumberFormat="1" applyFont="1" applyAlignment="1">
      <alignment horizontal="center" vertical="center" wrapText="1"/>
    </xf>
    <xf numFmtId="4" fontId="0" fillId="3" borderId="0" xfId="0" applyNumberFormat="1" applyFill="1"/>
    <xf numFmtId="1" fontId="0" fillId="0" borderId="0" xfId="0" applyNumberFormat="1" applyAlignment="1">
      <alignment horizontal="center"/>
    </xf>
    <xf numFmtId="1" fontId="29" fillId="0" borderId="10" xfId="0" applyNumberFormat="1" applyFont="1" applyBorder="1" applyAlignment="1">
      <alignment horizontal="center" vertical="center" wrapText="1"/>
    </xf>
    <xf numFmtId="1" fontId="29" fillId="35" borderId="10" xfId="0" applyNumberFormat="1" applyFont="1" applyFill="1" applyBorder="1" applyAlignment="1">
      <alignment horizontal="center" vertical="center" wrapText="1"/>
    </xf>
    <xf numFmtId="4" fontId="0" fillId="0" borderId="0" xfId="0" applyNumberFormat="1"/>
    <xf numFmtId="0" fontId="0" fillId="39" borderId="0" xfId="0" applyFill="1"/>
    <xf numFmtId="0" fontId="33" fillId="39" borderId="0" xfId="0" applyFont="1" applyFill="1"/>
    <xf numFmtId="17" fontId="0" fillId="0" borderId="0" xfId="0" applyNumberFormat="1" applyAlignment="1">
      <alignment horizontal="left"/>
    </xf>
    <xf numFmtId="0" fontId="34" fillId="0" borderId="0" xfId="1" applyFont="1"/>
    <xf numFmtId="1" fontId="18" fillId="0" borderId="0" xfId="0" applyNumberFormat="1" applyFont="1"/>
    <xf numFmtId="0" fontId="0" fillId="0" borderId="0" xfId="0" applyAlignment="1">
      <alignment horizontal="center"/>
    </xf>
  </cellXfs>
  <cellStyles count="73">
    <cellStyle name="20% - Accent1" xfId="22" builtinId="30" customBuiltin="1"/>
    <cellStyle name="20% - Accent2" xfId="25" builtinId="34" customBuiltin="1"/>
    <cellStyle name="20% - Accent3" xfId="28" builtinId="38" customBuiltin="1"/>
    <cellStyle name="20% - Accent4" xfId="31" builtinId="42" customBuiltin="1"/>
    <cellStyle name="20% - Accent5" xfId="34" builtinId="46" customBuiltin="1"/>
    <cellStyle name="20% - Accent6" xfId="37" builtinId="50" customBuiltin="1"/>
    <cellStyle name="40% - Accent1" xfId="23" builtinId="31" customBuiltin="1"/>
    <cellStyle name="40% - Accent2" xfId="26" builtinId="35" customBuiltin="1"/>
    <cellStyle name="40% - Accent3" xfId="29" builtinId="39" customBuiltin="1"/>
    <cellStyle name="40% - Accent4" xfId="32" builtinId="43" customBuiltin="1"/>
    <cellStyle name="40% - Accent5" xfId="35" builtinId="47" customBuiltin="1"/>
    <cellStyle name="40% - Accent6" xfId="38" builtinId="51" customBuiltin="1"/>
    <cellStyle name="60% - Accent1 2" xfId="40" xr:uid="{17A5309E-ECA2-4EDE-ACB9-C5495A4AAE32}"/>
    <cellStyle name="60% - Accent2 2" xfId="41" xr:uid="{5F56F089-2179-418D-84B9-38E74CEBD77C}"/>
    <cellStyle name="60% - Accent3 2" xfId="42" xr:uid="{659DBD7A-A554-4701-ABB6-956F213C0EDB}"/>
    <cellStyle name="60% - Accent4 2" xfId="43" xr:uid="{4F109E96-E245-4D1B-A5FC-8554D8B72D8F}"/>
    <cellStyle name="60% - Accent5 2" xfId="44" xr:uid="{8A3A2AB9-7FAB-49F7-8322-43ADDCC32F16}"/>
    <cellStyle name="60% - Accent6 2" xfId="45" xr:uid="{C5240896-48A0-4828-A5C6-272A8ABC58B6}"/>
    <cellStyle name="Accent1" xfId="21" builtinId="29" customBuiltin="1"/>
    <cellStyle name="Accent2" xfId="24" builtinId="33" customBuiltin="1"/>
    <cellStyle name="Accent3" xfId="27" builtinId="37" customBuiltin="1"/>
    <cellStyle name="Accent4" xfId="30" builtinId="41" customBuiltin="1"/>
    <cellStyle name="Accent5" xfId="33" builtinId="45" customBuiltin="1"/>
    <cellStyle name="Accent6" xfId="36" builtinId="49" customBuiltin="1"/>
    <cellStyle name="Bad" xfId="11" builtinId="27" customBuiltin="1"/>
    <cellStyle name="Calculation" xfId="14" builtinId="22" customBuiltin="1"/>
    <cellStyle name="Check Cell" xfId="16" builtinId="23" customBuiltin="1"/>
    <cellStyle name="Comma 2" xfId="49" xr:uid="{9729CCC4-2A5F-413D-A22D-064CFBFE8F48}"/>
    <cellStyle name="Comma 2 2" xfId="68" xr:uid="{0CCDA3E7-D0CC-4411-8175-F34F05CE5125}"/>
    <cellStyle name="Comma 3" xfId="50" xr:uid="{341FF70D-FBD9-45A1-8603-121DBB21DC11}"/>
    <cellStyle name="Comma0 - Type3" xfId="51" xr:uid="{C39AFB25-0A4D-4182-8FC9-E725338E0D85}"/>
    <cellStyle name="Currency 2" xfId="70" xr:uid="{997487C4-9FA4-450B-BD62-4A0600A6DD89}"/>
    <cellStyle name="Explanatory Text" xfId="19" builtinId="53" customBuiltin="1"/>
    <cellStyle name="Fixed2 - Type2" xfId="52" xr:uid="{D3AA1B0E-7D10-4A69-915F-2902273227D3}"/>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Hyperlink" xfId="1" builtinId="8"/>
    <cellStyle name="Hyperlink 2" xfId="53" xr:uid="{435ABD1C-DB6E-4025-901B-207558051D64}"/>
    <cellStyle name="Hyperlink 3" xfId="54" xr:uid="{5053AD85-0A84-4C9A-BF8B-A3E5AAF0EAA1}"/>
    <cellStyle name="Hyperlink 4" xfId="48" xr:uid="{F056D18D-D81B-4206-B8C6-A2F72D3BF7C7}"/>
    <cellStyle name="Input" xfId="12" builtinId="20" customBuiltin="1"/>
    <cellStyle name="Input 2" xfId="55" xr:uid="{2ECCB432-44F2-4DE3-A7D0-5AD4EFD0ED6A}"/>
    <cellStyle name="Input 3" xfId="72" xr:uid="{EE80067A-70E4-49AE-B17B-352666FB7BD1}"/>
    <cellStyle name="Komma 2" xfId="56" xr:uid="{CA3245D7-7C71-47F0-845D-675A8DA0C4E1}"/>
    <cellStyle name="Komma 2 2" xfId="69" xr:uid="{201EC322-8B5C-4217-A57E-BB345B8FB213}"/>
    <cellStyle name="Komma 3" xfId="57" xr:uid="{9BA28D52-5B97-4B6F-8AA1-B18F92367DB5}"/>
    <cellStyle name="Link 2" xfId="67" xr:uid="{2F9A0E13-9BA9-4078-9B10-1195A1552403}"/>
    <cellStyle name="Linked Cell" xfId="15" builtinId="24" customBuiltin="1"/>
    <cellStyle name="Neutral 2" xfId="39" xr:uid="{EC11E711-55D7-4E0F-9509-308C4AC5A2AF}"/>
    <cellStyle name="Neutral 2 2" xfId="58" xr:uid="{8E46D063-6A28-4C3E-BFFB-9D0451E80C0D}"/>
    <cellStyle name="Normal" xfId="0" builtinId="0"/>
    <cellStyle name="Normal 10" xfId="46" xr:uid="{9CB20246-923C-4E9D-AF8F-7666F6523684}"/>
    <cellStyle name="Normal 2" xfId="2" xr:uid="{00000000-0005-0000-0000-000002000000}"/>
    <cellStyle name="Normal 2 2" xfId="3" xr:uid="{B51018AA-3E96-4D97-88D2-5B0939ABF983}"/>
    <cellStyle name="Normal 2 3" xfId="59" xr:uid="{B654C83F-7776-4E93-B26C-F8639590E276}"/>
    <cellStyle name="Normal 3" xfId="4" xr:uid="{8DB17973-C8C4-429B-8907-C76A9345D8C0}"/>
    <cellStyle name="Normal 3 2" xfId="71" xr:uid="{F8AFBC2E-50C7-492C-B4B9-D2409671D33B}"/>
    <cellStyle name="Normal 6" xfId="60" xr:uid="{CF07D7C6-34AD-4FD2-A837-14CEE38C3B76}"/>
    <cellStyle name="Normal 6 2" xfId="61" xr:uid="{A57D0516-AF01-41F7-9600-B5FB98D8DE79}"/>
    <cellStyle name="Note" xfId="18" builtinId="10" customBuiltin="1"/>
    <cellStyle name="Output" xfId="13" builtinId="21" customBuiltin="1"/>
    <cellStyle name="Output 2" xfId="62" xr:uid="{9202BF5E-309A-47C3-8916-5838298DFF22}"/>
    <cellStyle name="Percen - Type1" xfId="63" xr:uid="{0A606A87-5C8E-4106-9719-037E82F72D8A}"/>
    <cellStyle name="Percent 2" xfId="47" xr:uid="{8FE9CBE1-D4CE-4198-A402-EEA8943AD136}"/>
    <cellStyle name="Procent 2" xfId="64" xr:uid="{68763B84-52CE-4F1F-BF74-374F66772E12}"/>
    <cellStyle name="Procent 3" xfId="65" xr:uid="{49C11CAF-5C12-46FA-AD98-A84DD94E1215}"/>
    <cellStyle name="Title" xfId="5" builtinId="15" customBuiltin="1"/>
    <cellStyle name="Total" xfId="20" builtinId="25" customBuiltin="1"/>
    <cellStyle name="Total 2" xfId="66" xr:uid="{F57940A9-2FAF-4CE4-A14C-6367172D202B}"/>
    <cellStyle name="Warning Text" xfId="17" builtinId="11" customBuiltin="1"/>
  </cellStyles>
  <dxfs count="0"/>
  <tableStyles count="0" defaultTableStyle="TableStyleMedium2" defaultPivotStyle="PivotStyleLight16"/>
  <colors>
    <mruColors>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39</xdr:row>
      <xdr:rowOff>0</xdr:rowOff>
    </xdr:from>
    <xdr:to>
      <xdr:col>5</xdr:col>
      <xdr:colOff>0</xdr:colOff>
      <xdr:row>48</xdr:row>
      <xdr:rowOff>76200</xdr:rowOff>
    </xdr:to>
    <xdr:pic>
      <xdr:nvPicPr>
        <xdr:cNvPr id="2" name="Picture 1">
          <a:extLst>
            <a:ext uri="{FF2B5EF4-FFF2-40B4-BE49-F238E27FC236}">
              <a16:creationId xmlns:a16="http://schemas.microsoft.com/office/drawing/2014/main" id="{482FC55A-EC7C-9A44-7FA4-AD660068800C}"/>
            </a:ext>
          </a:extLst>
        </xdr:cNvPr>
        <xdr:cNvPicPr>
          <a:picLocks noChangeAspect="1"/>
        </xdr:cNvPicPr>
      </xdr:nvPicPr>
      <xdr:blipFill>
        <a:blip xmlns:r="http://schemas.openxmlformats.org/officeDocument/2006/relationships" r:embed="rId1"/>
        <a:stretch>
          <a:fillRect/>
        </a:stretch>
      </xdr:blipFill>
      <xdr:spPr>
        <a:xfrm>
          <a:off x="609600" y="6534150"/>
          <a:ext cx="4562475" cy="17049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mahajan\Documents\eps-us\InputData\elec\CCaMC\Capacity%20Construction%20and%20Maint%20Costs%20-%20Expanded.xlsx" TargetMode="External"/><Relationship Id="rId1" Type="http://schemas.openxmlformats.org/officeDocument/2006/relationships/externalLinkPath" Target="https://onewri-my.sharepoint.com/Users/mmahajan/Documents/eps-us/InputData/elec/CCaMC/Capacity%20Construction%20and%20Maint%20Costs%20-%20Expand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Devadathan Biju" id="{2C4072A5-5F41-43C8-99C9-2BA5928426BD}" userId="S::devadathan.biju@wri.org::ff0f5ae8-d289-4939-b43a-03c3ada5fae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A13" dT="2024-06-26T12:34:32.52" personId="{2C4072A5-5F41-43C8-99C9-2BA5928426BD}" id="{F77F4AF8-8494-4D90-A018-55F1CD10B192}">
    <text>Earlier, peaker plants were assumed to be registered open cycle plants. Now, things are slightly different since they've separately asked for the total capacity of open cycle power plants. Which row does it make sense to ignore? To check lit. on what fraction of gas power plants in India can be used for peaking (consider both OC or CC)</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cea.nic.in/installed-capacity-report/?lang=en" TargetMode="External"/><Relationship Id="rId2" Type="http://schemas.openxmlformats.org/officeDocument/2006/relationships/hyperlink" Target="https://cea.nic.in/wp-content/uploads/irp/2022/02/First_Indian_Technology_Catalogue_Generation_and_Storage_of_Electricity-2.pdf" TargetMode="External"/><Relationship Id="rId1" Type="http://schemas.openxmlformats.org/officeDocument/2006/relationships/hyperlink" Target="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cea.nic.in/wp-content/uploads/2020/04/nep_jan_2018.pdf" TargetMode="External"/><Relationship Id="rId2" Type="http://schemas.openxmlformats.org/officeDocument/2006/relationships/hyperlink" Target="https://pib.gov.in/PressReleaseIframePage.aspx?PRID=1911550" TargetMode="External"/><Relationship Id="rId1" Type="http://schemas.openxmlformats.org/officeDocument/2006/relationships/hyperlink" Target="https://cea.nic.in/wp-content/uploads/installed/2020/12/installed_capacity.pdf"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7"/>
  <sheetViews>
    <sheetView tabSelected="1" workbookViewId="0">
      <selection activeCell="B32" sqref="B32"/>
    </sheetView>
  </sheetViews>
  <sheetFormatPr defaultRowHeight="15"/>
  <cols>
    <col min="1" max="1" width="9.140625" customWidth="1"/>
    <col min="2" max="2" width="86.7109375" customWidth="1"/>
  </cols>
  <sheetData>
    <row r="1" spans="1:2">
      <c r="A1" s="1" t="s">
        <v>0</v>
      </c>
    </row>
    <row r="3" spans="1:2">
      <c r="A3" s="1" t="s">
        <v>1</v>
      </c>
      <c r="B3" s="2" t="s">
        <v>2</v>
      </c>
    </row>
    <row r="4" spans="1:2">
      <c r="B4" t="s">
        <v>3</v>
      </c>
    </row>
    <row r="5" spans="1:2">
      <c r="B5" s="23">
        <v>44562</v>
      </c>
    </row>
    <row r="6" spans="1:2">
      <c r="B6" t="s">
        <v>4</v>
      </c>
    </row>
    <row r="7" spans="1:2">
      <c r="B7" s="4" t="s">
        <v>5</v>
      </c>
    </row>
    <row r="8" spans="1:2">
      <c r="B8" s="4" t="s">
        <v>6</v>
      </c>
    </row>
    <row r="9" spans="1:2">
      <c r="B9" t="s">
        <v>7</v>
      </c>
    </row>
    <row r="11" spans="1:2">
      <c r="B11" s="10" t="s">
        <v>8</v>
      </c>
    </row>
    <row r="12" spans="1:2">
      <c r="B12" t="s">
        <v>9</v>
      </c>
    </row>
    <row r="13" spans="1:2">
      <c r="B13" s="3" t="s">
        <v>10</v>
      </c>
    </row>
    <row r="14" spans="1:2">
      <c r="B14" t="s">
        <v>11</v>
      </c>
    </row>
    <row r="15" spans="1:2">
      <c r="B15" s="4" t="s">
        <v>12</v>
      </c>
    </row>
    <row r="18" spans="1:1">
      <c r="A18" s="1" t="s">
        <v>13</v>
      </c>
    </row>
    <row r="19" spans="1:1">
      <c r="A19" s="3"/>
    </row>
    <row r="20" spans="1:1">
      <c r="A20" s="1" t="s">
        <v>14</v>
      </c>
    </row>
    <row r="21" spans="1:1">
      <c r="A21" t="s">
        <v>15</v>
      </c>
    </row>
    <row r="22" spans="1:1">
      <c r="A22" t="s">
        <v>16</v>
      </c>
    </row>
    <row r="23" spans="1:1">
      <c r="A23" s="1" t="s">
        <v>17</v>
      </c>
    </row>
    <row r="24" spans="1:1">
      <c r="A24" t="s">
        <v>18</v>
      </c>
    </row>
    <row r="25" spans="1:1">
      <c r="A25" t="s">
        <v>19</v>
      </c>
    </row>
    <row r="26" spans="1:1">
      <c r="A26" t="s">
        <v>20</v>
      </c>
    </row>
    <row r="27" spans="1:1">
      <c r="A27" t="s">
        <v>21</v>
      </c>
    </row>
  </sheetData>
  <hyperlinks>
    <hyperlink ref="B7" r:id="rId1" display="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xr:uid="{00000000-0004-0000-0000-000002000000}"/>
    <hyperlink ref="B8" r:id="rId2" xr:uid="{164AC248-FB89-4209-A064-995A46C57CAB}"/>
    <hyperlink ref="B15" r:id="rId3" xr:uid="{C08D3EF6-DDBE-4101-B76F-7591076E04D1}"/>
  </hyperlinks>
  <pageMargins left="0.7" right="0.7" top="0.75" bottom="0.75" header="0.3" footer="0.3"/>
  <pageSetup orientation="portrait" horizontalDpi="0" verticalDpi="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87AFB-CF7A-42FA-9B47-81E65AB7693E}">
  <dimension ref="A1:J23"/>
  <sheetViews>
    <sheetView workbookViewId="0">
      <selection activeCell="J9" sqref="J9"/>
    </sheetView>
  </sheetViews>
  <sheetFormatPr defaultRowHeight="15"/>
  <cols>
    <col min="2" max="2" width="20.28515625" customWidth="1"/>
    <col min="3" max="3" width="14.5703125" customWidth="1"/>
    <col min="4" max="4" width="9.28515625" customWidth="1"/>
  </cols>
  <sheetData>
    <row r="1" spans="1:10">
      <c r="A1" t="s">
        <v>22</v>
      </c>
      <c r="B1" s="4" t="s">
        <v>23</v>
      </c>
    </row>
    <row r="2" spans="1:10">
      <c r="B2" s="24" t="s">
        <v>24</v>
      </c>
    </row>
    <row r="3" spans="1:10">
      <c r="B3" s="24" t="s">
        <v>25</v>
      </c>
    </row>
    <row r="4" spans="1:10">
      <c r="B4" s="24" t="s">
        <v>26</v>
      </c>
    </row>
    <row r="5" spans="1:10">
      <c r="B5" s="24" t="s">
        <v>27</v>
      </c>
    </row>
    <row r="6" spans="1:10">
      <c r="B6" s="4"/>
      <c r="C6" s="12" t="s">
        <v>28</v>
      </c>
    </row>
    <row r="7" spans="1:10">
      <c r="B7" s="12" t="s">
        <v>29</v>
      </c>
      <c r="C7" s="1" t="s">
        <v>30</v>
      </c>
      <c r="D7" s="1">
        <v>2019</v>
      </c>
      <c r="E7" s="1">
        <v>2018</v>
      </c>
      <c r="F7" s="1">
        <v>2017</v>
      </c>
      <c r="G7" s="1" t="s">
        <v>31</v>
      </c>
      <c r="H7" s="1" t="s">
        <v>32</v>
      </c>
      <c r="I7" s="1" t="s">
        <v>33</v>
      </c>
      <c r="J7" s="1" t="s">
        <v>34</v>
      </c>
    </row>
    <row r="8" spans="1:10">
      <c r="B8" s="3" t="s">
        <v>35</v>
      </c>
      <c r="C8" s="5">
        <v>199864.5</v>
      </c>
      <c r="D8" s="5">
        <v>198494.5</v>
      </c>
      <c r="E8" s="5">
        <v>191092.5</v>
      </c>
      <c r="F8" s="5">
        <v>192971.5</v>
      </c>
      <c r="G8" s="5">
        <v>185172.88</v>
      </c>
      <c r="H8">
        <v>164635.88</v>
      </c>
      <c r="I8">
        <v>145273.39000000001</v>
      </c>
      <c r="J8">
        <v>203189.5</v>
      </c>
    </row>
    <row r="9" spans="1:10">
      <c r="B9" s="3" t="s">
        <v>36</v>
      </c>
      <c r="C9" s="5">
        <v>6260</v>
      </c>
      <c r="D9" s="5">
        <v>6760</v>
      </c>
      <c r="E9" s="5">
        <v>6360</v>
      </c>
      <c r="F9" s="17">
        <v>0</v>
      </c>
      <c r="G9" s="17">
        <v>0</v>
      </c>
      <c r="H9">
        <v>0</v>
      </c>
      <c r="I9">
        <v>0</v>
      </c>
      <c r="J9">
        <v>6620</v>
      </c>
    </row>
    <row r="10" spans="1:10">
      <c r="B10" s="3" t="s">
        <v>37</v>
      </c>
      <c r="C10" s="5">
        <v>24956.51</v>
      </c>
      <c r="D10" s="5">
        <v>24937.22</v>
      </c>
      <c r="E10" s="5">
        <v>24937.22</v>
      </c>
      <c r="F10" s="25">
        <v>25150.38</v>
      </c>
      <c r="G10" s="5">
        <v>24508.63</v>
      </c>
      <c r="H10">
        <v>23062.15</v>
      </c>
      <c r="I10">
        <v>21781.85</v>
      </c>
      <c r="J10">
        <v>24899.51</v>
      </c>
    </row>
    <row r="11" spans="1:10">
      <c r="B11" s="3" t="s">
        <v>38</v>
      </c>
      <c r="C11" s="5">
        <v>509.71</v>
      </c>
      <c r="D11" s="5">
        <v>509.71</v>
      </c>
      <c r="E11" s="5">
        <v>637.63</v>
      </c>
      <c r="F11" s="5">
        <v>837.63</v>
      </c>
      <c r="G11" s="5">
        <v>993.53</v>
      </c>
      <c r="H11">
        <v>1199.75</v>
      </c>
      <c r="I11">
        <v>1199.75</v>
      </c>
      <c r="J11">
        <v>509.71</v>
      </c>
    </row>
    <row r="12" spans="1:10">
      <c r="B12" s="3" t="s">
        <v>39</v>
      </c>
      <c r="C12" s="5">
        <v>6780</v>
      </c>
      <c r="D12" s="5">
        <v>6780</v>
      </c>
      <c r="E12" s="5">
        <v>6780</v>
      </c>
      <c r="F12" s="5">
        <v>6780</v>
      </c>
      <c r="G12" s="5">
        <v>5780</v>
      </c>
      <c r="H12">
        <v>5780</v>
      </c>
      <c r="I12">
        <v>4780</v>
      </c>
      <c r="J12">
        <v>6780</v>
      </c>
    </row>
    <row r="13" spans="1:10">
      <c r="B13" s="3" t="s">
        <v>40</v>
      </c>
      <c r="C13" s="5">
        <v>45798.22</v>
      </c>
      <c r="D13" s="5">
        <v>45399.22</v>
      </c>
      <c r="E13" s="5">
        <v>45399.22</v>
      </c>
      <c r="F13" s="5">
        <v>44963.42</v>
      </c>
      <c r="G13" s="5">
        <v>42783.42</v>
      </c>
      <c r="H13">
        <v>41267.43</v>
      </c>
      <c r="I13">
        <v>40531.410000000003</v>
      </c>
      <c r="J13">
        <v>46512.22</v>
      </c>
    </row>
    <row r="14" spans="1:10">
      <c r="B14" s="3" t="s">
        <v>41</v>
      </c>
      <c r="C14" s="5">
        <v>37464.639999999999</v>
      </c>
      <c r="D14" s="5">
        <v>33730.559999999998</v>
      </c>
      <c r="E14" s="5">
        <v>25212.26</v>
      </c>
      <c r="F14" s="5">
        <v>17052.41</v>
      </c>
      <c r="G14" s="5">
        <v>6762.85</v>
      </c>
      <c r="H14">
        <v>3743.97</v>
      </c>
      <c r="I14">
        <v>2631.93</v>
      </c>
      <c r="J14">
        <v>49346.71</v>
      </c>
    </row>
    <row r="15" spans="1:10">
      <c r="B15" s="3" t="s">
        <v>42</v>
      </c>
      <c r="C15" s="5">
        <v>38624.15</v>
      </c>
      <c r="D15" s="5">
        <v>37505.18</v>
      </c>
      <c r="E15" s="5">
        <v>35138.15</v>
      </c>
      <c r="F15" s="5">
        <v>32848.46</v>
      </c>
      <c r="G15" s="5">
        <v>26777.4</v>
      </c>
      <c r="H15">
        <v>23354.35</v>
      </c>
      <c r="I15">
        <v>21042.58</v>
      </c>
      <c r="J15">
        <v>40082.699999999997</v>
      </c>
    </row>
    <row r="16" spans="1:10">
      <c r="B16" s="3" t="s">
        <v>43</v>
      </c>
      <c r="C16" s="5">
        <v>10145.92</v>
      </c>
      <c r="D16" s="5">
        <v>9861.31</v>
      </c>
      <c r="E16" s="5">
        <v>9075.5</v>
      </c>
      <c r="F16" s="5">
        <v>8413.7999999999993</v>
      </c>
      <c r="G16" s="5">
        <v>8019.75</v>
      </c>
      <c r="H16">
        <v>7714.9</v>
      </c>
      <c r="I16">
        <v>7419.23</v>
      </c>
      <c r="J16">
        <v>10175.61</v>
      </c>
    </row>
    <row r="17" spans="2:10">
      <c r="B17" s="3" t="s">
        <v>44</v>
      </c>
      <c r="C17" s="5">
        <v>4750.46</v>
      </c>
      <c r="D17" s="5">
        <v>4671.5600000000004</v>
      </c>
      <c r="E17" s="5">
        <v>4517.45</v>
      </c>
      <c r="F17" s="5">
        <v>4418.1499999999996</v>
      </c>
      <c r="G17" s="5">
        <v>4273.47</v>
      </c>
      <c r="H17">
        <v>4055.36</v>
      </c>
      <c r="I17">
        <v>3803.68</v>
      </c>
      <c r="J17">
        <v>4839.3999999999996</v>
      </c>
    </row>
    <row r="18" spans="2:10">
      <c r="B18" s="3" t="s">
        <v>45</v>
      </c>
      <c r="C18" s="5">
        <v>168.64</v>
      </c>
      <c r="D18" s="5">
        <v>139.80000000000001</v>
      </c>
      <c r="E18" s="5">
        <v>138.30000000000001</v>
      </c>
      <c r="F18" s="5">
        <v>114.08</v>
      </c>
      <c r="G18" s="5">
        <v>90.58</v>
      </c>
      <c r="H18">
        <v>90.58</v>
      </c>
      <c r="I18">
        <v>90.58</v>
      </c>
      <c r="J18">
        <v>434.11</v>
      </c>
    </row>
    <row r="19" spans="2:10">
      <c r="B19" t="s">
        <v>46</v>
      </c>
      <c r="F19" s="20">
        <v>25727.75</v>
      </c>
    </row>
    <row r="20" spans="2:10">
      <c r="B20" s="3" t="s">
        <v>47</v>
      </c>
      <c r="C20" s="4" t="s">
        <v>48</v>
      </c>
    </row>
    <row r="21" spans="2:10">
      <c r="B21" s="3" t="s">
        <v>49</v>
      </c>
    </row>
    <row r="23" spans="2:10">
      <c r="B23" t="s">
        <v>50</v>
      </c>
      <c r="C23" t="s">
        <v>51</v>
      </c>
      <c r="D23" s="4" t="s">
        <v>52</v>
      </c>
      <c r="E23" t="s">
        <v>53</v>
      </c>
    </row>
  </sheetData>
  <hyperlinks>
    <hyperlink ref="B1" r:id="rId1" display="https://cea.nic.in/wp-content/uploads/installed/2020/12/installed_capacity.pdf" xr:uid="{11181EFA-5820-4822-948A-016286690DB1}"/>
    <hyperlink ref="C20" r:id="rId2" display="https://pib.gov.in/PressReleaseIframePage.aspx?PRID=1911550" xr:uid="{5678AD00-1D72-451C-B7D1-CA51D4FC3D85}"/>
    <hyperlink ref="D23" r:id="rId3" xr:uid="{DB6330D0-FB37-4735-8D66-41AF74E9055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7FDB7-29F4-4B3A-A77C-C6F64CB2BD97}">
  <dimension ref="A1:AG75"/>
  <sheetViews>
    <sheetView topLeftCell="B1" workbookViewId="0">
      <selection activeCell="D4" sqref="D4"/>
    </sheetView>
  </sheetViews>
  <sheetFormatPr defaultRowHeight="15"/>
  <cols>
    <col min="2" max="2" width="41" customWidth="1"/>
    <col min="7" max="7" width="10.85546875" customWidth="1"/>
  </cols>
  <sheetData>
    <row r="1" spans="1:10">
      <c r="A1" t="s">
        <v>54</v>
      </c>
      <c r="B1" s="4" t="s">
        <v>5</v>
      </c>
    </row>
    <row r="2" spans="1:10">
      <c r="C2" s="26">
        <v>2020</v>
      </c>
      <c r="D2" s="26"/>
      <c r="E2" s="26">
        <v>2030</v>
      </c>
      <c r="F2" s="26"/>
      <c r="G2" s="26">
        <v>2040</v>
      </c>
      <c r="H2" s="26"/>
      <c r="I2" s="26">
        <v>2050</v>
      </c>
      <c r="J2" s="26"/>
    </row>
    <row r="3" spans="1:10">
      <c r="C3" t="s">
        <v>55</v>
      </c>
      <c r="D3" t="s">
        <v>56</v>
      </c>
      <c r="E3" t="s">
        <v>57</v>
      </c>
      <c r="F3" t="s">
        <v>56</v>
      </c>
      <c r="G3" t="s">
        <v>57</v>
      </c>
      <c r="H3" t="s">
        <v>56</v>
      </c>
      <c r="I3" t="s">
        <v>57</v>
      </c>
      <c r="J3" t="s">
        <v>56</v>
      </c>
    </row>
    <row r="4" spans="1:10">
      <c r="B4" t="s">
        <v>58</v>
      </c>
      <c r="C4" s="14">
        <v>2396.2106436333238</v>
      </c>
      <c r="D4">
        <f t="shared" ref="D4:D22" si="0">C4*$B$26</f>
        <v>9502573.0695458334</v>
      </c>
      <c r="E4">
        <v>2396</v>
      </c>
      <c r="F4">
        <f>E4*$B$26</f>
        <v>9501737.7270759996</v>
      </c>
      <c r="G4">
        <v>2389</v>
      </c>
      <c r="H4">
        <f>G4*$B$26</f>
        <v>9473978.0592589993</v>
      </c>
      <c r="I4">
        <v>2324</v>
      </c>
      <c r="J4">
        <f>I4*$B$26</f>
        <v>9216209.7152440008</v>
      </c>
    </row>
    <row r="5" spans="1:10">
      <c r="B5" t="s">
        <v>59</v>
      </c>
      <c r="C5" s="19">
        <v>2257</v>
      </c>
      <c r="D5">
        <f t="shared" si="0"/>
        <v>8950510.0375670008</v>
      </c>
      <c r="E5">
        <v>2205</v>
      </c>
      <c r="F5">
        <f t="shared" ref="F5:F9" si="1">E5*$B$26</f>
        <v>8744295.3623549994</v>
      </c>
      <c r="G5">
        <v>2150</v>
      </c>
      <c r="H5">
        <f t="shared" ref="H5:H9" si="2">G5*$B$26</f>
        <v>8526183.6866500005</v>
      </c>
      <c r="I5">
        <v>2098</v>
      </c>
      <c r="J5">
        <f t="shared" ref="J5:J9" si="3">I5*$B$26</f>
        <v>8319969.011438</v>
      </c>
    </row>
    <row r="6" spans="1:10">
      <c r="B6" t="s">
        <v>60</v>
      </c>
      <c r="C6" s="18">
        <v>2082.3244552058113</v>
      </c>
      <c r="D6">
        <f t="shared" si="0"/>
        <v>8257805.0233898312</v>
      </c>
      <c r="E6">
        <v>2057</v>
      </c>
      <c r="F6">
        <f t="shared" si="1"/>
        <v>8157376.6713669999</v>
      </c>
      <c r="G6">
        <v>2048</v>
      </c>
      <c r="H6">
        <f t="shared" si="2"/>
        <v>8121685.669888</v>
      </c>
      <c r="I6">
        <v>2000</v>
      </c>
      <c r="J6">
        <f t="shared" si="3"/>
        <v>7931333.6619999995</v>
      </c>
    </row>
    <row r="7" spans="1:10">
      <c r="B7" t="s">
        <v>61</v>
      </c>
      <c r="C7" s="18">
        <v>3071.4285714285716</v>
      </c>
      <c r="D7">
        <f t="shared" si="0"/>
        <v>12180262.409500001</v>
      </c>
      <c r="E7">
        <v>2867</v>
      </c>
      <c r="F7">
        <f t="shared" si="1"/>
        <v>11369566.804477001</v>
      </c>
      <c r="G7">
        <v>2688</v>
      </c>
      <c r="H7">
        <f t="shared" si="2"/>
        <v>10659712.441728</v>
      </c>
      <c r="I7">
        <v>2529</v>
      </c>
      <c r="J7">
        <f t="shared" si="3"/>
        <v>10029171.415599</v>
      </c>
    </row>
    <row r="8" spans="1:10">
      <c r="B8" t="s">
        <v>62</v>
      </c>
      <c r="C8" s="18">
        <v>1423</v>
      </c>
      <c r="D8">
        <f t="shared" si="0"/>
        <v>5643143.9005129999</v>
      </c>
      <c r="E8">
        <v>1377</v>
      </c>
      <c r="F8">
        <f t="shared" si="1"/>
        <v>5460723.2262869999</v>
      </c>
      <c r="G8">
        <v>1334</v>
      </c>
      <c r="H8">
        <f t="shared" si="2"/>
        <v>5290199.5525540002</v>
      </c>
      <c r="I8">
        <v>1294</v>
      </c>
      <c r="J8">
        <f t="shared" si="3"/>
        <v>5131572.8793139998</v>
      </c>
    </row>
    <row r="9" spans="1:10">
      <c r="B9" t="s">
        <v>63</v>
      </c>
      <c r="C9">
        <v>1868</v>
      </c>
      <c r="D9">
        <f t="shared" si="0"/>
        <v>7407865.6403080001</v>
      </c>
      <c r="E9">
        <v>1782</v>
      </c>
      <c r="F9">
        <f t="shared" si="1"/>
        <v>7066818.2928419998</v>
      </c>
      <c r="G9">
        <v>1755</v>
      </c>
      <c r="H9">
        <f t="shared" si="2"/>
        <v>6959745.2884050002</v>
      </c>
      <c r="I9">
        <v>1720</v>
      </c>
      <c r="J9">
        <f t="shared" si="3"/>
        <v>6820946.9493199997</v>
      </c>
    </row>
    <row r="10" spans="1:10">
      <c r="B10" t="s">
        <v>64</v>
      </c>
      <c r="C10">
        <v>3245</v>
      </c>
      <c r="D10">
        <f t="shared" si="0"/>
        <v>12868588.866595</v>
      </c>
      <c r="E10" t="s">
        <v>65</v>
      </c>
      <c r="F10" t="s">
        <v>65</v>
      </c>
      <c r="G10" t="s">
        <v>65</v>
      </c>
      <c r="H10" t="s">
        <v>65</v>
      </c>
      <c r="I10" t="s">
        <v>65</v>
      </c>
      <c r="J10" t="s">
        <v>65</v>
      </c>
    </row>
    <row r="11" spans="1:10">
      <c r="B11" t="s">
        <v>66</v>
      </c>
      <c r="C11" s="15">
        <v>0</v>
      </c>
      <c r="D11">
        <f t="shared" si="0"/>
        <v>0</v>
      </c>
      <c r="E11">
        <v>0</v>
      </c>
      <c r="F11">
        <v>0</v>
      </c>
      <c r="G11">
        <v>0</v>
      </c>
      <c r="H11">
        <v>0</v>
      </c>
      <c r="I11">
        <v>0</v>
      </c>
      <c r="J11">
        <v>0</v>
      </c>
    </row>
    <row r="12" spans="1:10">
      <c r="B12" t="s">
        <v>67</v>
      </c>
      <c r="C12" s="15">
        <v>0</v>
      </c>
      <c r="D12">
        <f t="shared" si="0"/>
        <v>0</v>
      </c>
      <c r="E12">
        <v>0</v>
      </c>
      <c r="F12">
        <v>0</v>
      </c>
      <c r="G12">
        <v>0</v>
      </c>
      <c r="H12">
        <v>0</v>
      </c>
      <c r="I12">
        <v>0</v>
      </c>
      <c r="J12">
        <v>0</v>
      </c>
    </row>
    <row r="13" spans="1:10">
      <c r="B13" t="s">
        <v>68</v>
      </c>
      <c r="C13" s="15">
        <v>0</v>
      </c>
      <c r="D13">
        <f t="shared" si="0"/>
        <v>0</v>
      </c>
      <c r="E13">
        <v>0</v>
      </c>
      <c r="F13">
        <v>0</v>
      </c>
      <c r="G13">
        <v>0</v>
      </c>
      <c r="H13">
        <v>0</v>
      </c>
      <c r="I13">
        <v>0</v>
      </c>
      <c r="J13">
        <v>0</v>
      </c>
    </row>
    <row r="14" spans="1:10">
      <c r="B14" t="s">
        <v>69</v>
      </c>
      <c r="C14" s="15">
        <v>0</v>
      </c>
      <c r="D14">
        <f t="shared" si="0"/>
        <v>0</v>
      </c>
      <c r="E14">
        <v>0</v>
      </c>
      <c r="F14">
        <v>0</v>
      </c>
      <c r="G14">
        <v>0</v>
      </c>
      <c r="H14">
        <v>0</v>
      </c>
      <c r="I14">
        <v>0</v>
      </c>
      <c r="J14">
        <v>0</v>
      </c>
    </row>
    <row r="15" spans="1:10">
      <c r="B15" t="s">
        <v>70</v>
      </c>
      <c r="C15" s="15">
        <v>0</v>
      </c>
      <c r="D15">
        <f t="shared" si="0"/>
        <v>0</v>
      </c>
      <c r="E15">
        <v>0</v>
      </c>
      <c r="F15">
        <v>0</v>
      </c>
      <c r="G15">
        <v>0</v>
      </c>
      <c r="H15">
        <v>0</v>
      </c>
      <c r="I15">
        <v>0</v>
      </c>
      <c r="J15">
        <v>0</v>
      </c>
    </row>
    <row r="16" spans="1:10">
      <c r="B16" t="s">
        <v>71</v>
      </c>
      <c r="C16" s="15">
        <v>0</v>
      </c>
      <c r="D16">
        <f t="shared" si="0"/>
        <v>0</v>
      </c>
      <c r="E16">
        <v>0</v>
      </c>
      <c r="F16">
        <v>0</v>
      </c>
      <c r="G16">
        <v>0</v>
      </c>
      <c r="H16">
        <v>0</v>
      </c>
      <c r="I16">
        <v>0</v>
      </c>
      <c r="J16">
        <v>0</v>
      </c>
    </row>
    <row r="17" spans="2:33">
      <c r="B17" t="s">
        <v>72</v>
      </c>
      <c r="C17" s="15">
        <v>0</v>
      </c>
      <c r="D17">
        <f t="shared" si="0"/>
        <v>0</v>
      </c>
      <c r="E17">
        <v>0</v>
      </c>
      <c r="F17">
        <v>0</v>
      </c>
      <c r="G17">
        <v>0</v>
      </c>
      <c r="H17">
        <v>0</v>
      </c>
      <c r="I17">
        <v>0</v>
      </c>
      <c r="J17">
        <v>0</v>
      </c>
    </row>
    <row r="18" spans="2:33">
      <c r="B18" t="s">
        <v>73</v>
      </c>
      <c r="C18" s="15">
        <v>0</v>
      </c>
      <c r="D18">
        <f t="shared" si="0"/>
        <v>0</v>
      </c>
      <c r="E18">
        <v>0</v>
      </c>
      <c r="F18">
        <v>0</v>
      </c>
      <c r="G18">
        <v>0</v>
      </c>
      <c r="H18">
        <v>0</v>
      </c>
      <c r="I18">
        <v>0</v>
      </c>
      <c r="J18">
        <v>0</v>
      </c>
    </row>
    <row r="19" spans="2:33">
      <c r="B19" t="s">
        <v>74</v>
      </c>
      <c r="C19" s="15">
        <v>0</v>
      </c>
      <c r="D19">
        <f t="shared" si="0"/>
        <v>0</v>
      </c>
      <c r="E19">
        <v>0</v>
      </c>
      <c r="F19">
        <v>0</v>
      </c>
      <c r="G19">
        <v>0</v>
      </c>
      <c r="H19">
        <v>0</v>
      </c>
      <c r="I19">
        <v>0</v>
      </c>
      <c r="J19">
        <v>0</v>
      </c>
    </row>
    <row r="20" spans="2:33">
      <c r="B20" t="s">
        <v>75</v>
      </c>
      <c r="C20" s="15">
        <v>0</v>
      </c>
      <c r="D20">
        <f t="shared" si="0"/>
        <v>0</v>
      </c>
      <c r="E20">
        <v>0</v>
      </c>
      <c r="F20">
        <v>0</v>
      </c>
      <c r="G20">
        <v>0</v>
      </c>
      <c r="H20">
        <v>0</v>
      </c>
      <c r="I20">
        <v>0</v>
      </c>
      <c r="J20">
        <v>0</v>
      </c>
    </row>
    <row r="21" spans="2:33">
      <c r="B21" t="s">
        <v>76</v>
      </c>
      <c r="C21">
        <v>2777</v>
      </c>
      <c r="D21">
        <f t="shared" si="0"/>
        <v>11012656.789687</v>
      </c>
      <c r="E21">
        <v>0</v>
      </c>
      <c r="F21">
        <v>0</v>
      </c>
      <c r="G21">
        <v>0</v>
      </c>
      <c r="H21">
        <v>0</v>
      </c>
      <c r="I21">
        <v>0</v>
      </c>
      <c r="J21">
        <v>0</v>
      </c>
    </row>
    <row r="22" spans="2:33">
      <c r="B22" t="s">
        <v>77</v>
      </c>
      <c r="C22">
        <v>2777</v>
      </c>
      <c r="D22">
        <f t="shared" si="0"/>
        <v>11012656.789687</v>
      </c>
      <c r="E22">
        <v>0</v>
      </c>
      <c r="F22">
        <v>0</v>
      </c>
      <c r="G22">
        <v>0</v>
      </c>
      <c r="H22">
        <v>0</v>
      </c>
      <c r="I22">
        <v>0</v>
      </c>
      <c r="J22">
        <v>0</v>
      </c>
    </row>
    <row r="23" spans="2:33">
      <c r="B23" t="s">
        <v>78</v>
      </c>
    </row>
    <row r="25" spans="2:33">
      <c r="B25" t="s">
        <v>79</v>
      </c>
      <c r="C25" t="s">
        <v>80</v>
      </c>
    </row>
    <row r="26" spans="2:33">
      <c r="B26" s="16">
        <v>3965.666831</v>
      </c>
      <c r="C26" t="s">
        <v>81</v>
      </c>
    </row>
    <row r="27" spans="2:33">
      <c r="B27" s="16"/>
    </row>
    <row r="28" spans="2:33">
      <c r="B28" s="20" t="s">
        <v>82</v>
      </c>
    </row>
    <row r="29" spans="2:33">
      <c r="B29" s="1" t="s">
        <v>83</v>
      </c>
    </row>
    <row r="30" spans="2:33">
      <c r="C30">
        <v>2020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2:33">
      <c r="B31" t="s">
        <v>58</v>
      </c>
      <c r="C31" s="21">
        <f>D4</f>
        <v>9502573.0695458334</v>
      </c>
      <c r="D31">
        <f>C31-($C31-$M31)/10</f>
        <v>9502489.5352988504</v>
      </c>
      <c r="E31">
        <f t="shared" ref="E31:L31" si="4">D31-($C31-$M31)/10</f>
        <v>9502406.0010518674</v>
      </c>
      <c r="F31">
        <f t="shared" si="4"/>
        <v>9502322.4668048844</v>
      </c>
      <c r="G31">
        <f t="shared" si="4"/>
        <v>9502238.9325579014</v>
      </c>
      <c r="H31">
        <f t="shared" si="4"/>
        <v>9502155.3983109184</v>
      </c>
      <c r="I31">
        <f t="shared" si="4"/>
        <v>9502071.8640639354</v>
      </c>
      <c r="J31">
        <f t="shared" si="4"/>
        <v>9501988.3298169523</v>
      </c>
      <c r="K31">
        <f t="shared" si="4"/>
        <v>9501904.7955699693</v>
      </c>
      <c r="L31">
        <f t="shared" si="4"/>
        <v>9501821.2613229863</v>
      </c>
      <c r="M31" s="21">
        <f>F4</f>
        <v>9501737.7270759996</v>
      </c>
      <c r="N31">
        <f>M31-($M31-$W31)/10</f>
        <v>9498961.7602942996</v>
      </c>
      <c r="O31">
        <f t="shared" ref="O31:V31" si="5">N31-($M31-$W31)/10</f>
        <v>9496185.7935125995</v>
      </c>
      <c r="P31">
        <f t="shared" si="5"/>
        <v>9493409.8267308995</v>
      </c>
      <c r="Q31">
        <f t="shared" si="5"/>
        <v>9490633.8599491995</v>
      </c>
      <c r="R31">
        <f t="shared" si="5"/>
        <v>9487857.8931674995</v>
      </c>
      <c r="S31">
        <f t="shared" si="5"/>
        <v>9485081.9263857994</v>
      </c>
      <c r="T31">
        <f t="shared" si="5"/>
        <v>9482305.9596040994</v>
      </c>
      <c r="U31">
        <f t="shared" si="5"/>
        <v>9479529.9928223994</v>
      </c>
      <c r="V31">
        <f t="shared" si="5"/>
        <v>9476754.0260406993</v>
      </c>
      <c r="W31" s="22">
        <v>9473978.0592589993</v>
      </c>
      <c r="X31">
        <f>W31-($W31-$AG31)/10</f>
        <v>9448201.2248574998</v>
      </c>
      <c r="Y31">
        <f t="shared" ref="Y31:AF31" si="6">X31-($W31-$AG31)/10</f>
        <v>9422424.3904560003</v>
      </c>
      <c r="Z31">
        <f t="shared" si="6"/>
        <v>9396647.5560545009</v>
      </c>
      <c r="AA31">
        <f t="shared" si="6"/>
        <v>9370870.7216530014</v>
      </c>
      <c r="AB31">
        <f t="shared" si="6"/>
        <v>9345093.8872515019</v>
      </c>
      <c r="AC31">
        <f t="shared" si="6"/>
        <v>9319317.0528500024</v>
      </c>
      <c r="AD31">
        <f t="shared" si="6"/>
        <v>9293540.2184485029</v>
      </c>
      <c r="AE31">
        <f t="shared" si="6"/>
        <v>9267763.3840470035</v>
      </c>
      <c r="AF31">
        <f t="shared" si="6"/>
        <v>9241986.549645504</v>
      </c>
      <c r="AG31" s="21">
        <v>9216209.7152440008</v>
      </c>
    </row>
    <row r="32" spans="2:33">
      <c r="B32" t="s">
        <v>59</v>
      </c>
      <c r="C32" s="21">
        <v>8950510.0375670008</v>
      </c>
      <c r="D32">
        <f>C32-($C32-$M32)/10</f>
        <v>8929888.5700458009</v>
      </c>
      <c r="E32">
        <f t="shared" ref="E32:L32" si="7">D32-($C32-$M32)/10</f>
        <v>8909267.1025246009</v>
      </c>
      <c r="F32">
        <f t="shared" si="7"/>
        <v>8888645.635003401</v>
      </c>
      <c r="G32">
        <f t="shared" si="7"/>
        <v>8868024.167482201</v>
      </c>
      <c r="H32">
        <f t="shared" si="7"/>
        <v>8847402.6999610011</v>
      </c>
      <c r="I32">
        <f t="shared" si="7"/>
        <v>8826781.2324398011</v>
      </c>
      <c r="J32">
        <f t="shared" si="7"/>
        <v>8806159.7649186011</v>
      </c>
      <c r="K32">
        <f t="shared" si="7"/>
        <v>8785538.2973974012</v>
      </c>
      <c r="L32">
        <f t="shared" si="7"/>
        <v>8764916.8298762012</v>
      </c>
      <c r="M32" s="21">
        <f>F5</f>
        <v>8744295.3623549994</v>
      </c>
      <c r="N32">
        <f>M32-($M32-$W32)/10</f>
        <v>8722484.1947844997</v>
      </c>
      <c r="O32">
        <f t="shared" ref="O32:V32" si="8">N32-($M32-$W32)/10</f>
        <v>8700673.027214</v>
      </c>
      <c r="P32">
        <f t="shared" si="8"/>
        <v>8678861.8596435003</v>
      </c>
      <c r="Q32">
        <f t="shared" si="8"/>
        <v>8657050.6920730006</v>
      </c>
      <c r="R32">
        <f t="shared" si="8"/>
        <v>8635239.5245025009</v>
      </c>
      <c r="S32">
        <f t="shared" si="8"/>
        <v>8613428.3569320012</v>
      </c>
      <c r="T32">
        <f t="shared" si="8"/>
        <v>8591617.1893615015</v>
      </c>
      <c r="U32">
        <f t="shared" si="8"/>
        <v>8569806.0217910018</v>
      </c>
      <c r="V32">
        <f t="shared" si="8"/>
        <v>8547994.8542205021</v>
      </c>
      <c r="W32" s="21">
        <f>H5</f>
        <v>8526183.6866500005</v>
      </c>
      <c r="X32">
        <f>W32-($W32-$AG32)/10</f>
        <v>8505562.2191288006</v>
      </c>
      <c r="Y32">
        <f t="shared" ref="Y32:AF32" si="9">X32-($W32-$AG32)/10</f>
        <v>8484940.7516076006</v>
      </c>
      <c r="Z32">
        <f t="shared" si="9"/>
        <v>8464319.2840864006</v>
      </c>
      <c r="AA32">
        <f t="shared" si="9"/>
        <v>8443697.8165652007</v>
      </c>
      <c r="AB32">
        <f t="shared" si="9"/>
        <v>8423076.3490440007</v>
      </c>
      <c r="AC32">
        <f t="shared" si="9"/>
        <v>8402454.8815228008</v>
      </c>
      <c r="AD32">
        <f t="shared" si="9"/>
        <v>8381833.4140016008</v>
      </c>
      <c r="AE32">
        <f t="shared" si="9"/>
        <v>8361211.9464804009</v>
      </c>
      <c r="AF32">
        <f t="shared" si="9"/>
        <v>8340590.4789592009</v>
      </c>
      <c r="AG32" s="21">
        <f>J5</f>
        <v>8319969.011438</v>
      </c>
    </row>
    <row r="33" spans="2:33">
      <c r="B33" t="s">
        <v>60</v>
      </c>
      <c r="C33" s="21">
        <f>D6</f>
        <v>8257805.0233898312</v>
      </c>
      <c r="D33">
        <f>C33-($C33-$M33)/10</f>
        <v>8247762.188187548</v>
      </c>
      <c r="E33">
        <f t="shared" ref="E33:L33" si="10">D33-($C33-$M33)/10</f>
        <v>8237719.3529852647</v>
      </c>
      <c r="F33">
        <f t="shared" si="10"/>
        <v>8227676.5177829815</v>
      </c>
      <c r="G33">
        <f t="shared" si="10"/>
        <v>8217633.6825806983</v>
      </c>
      <c r="H33">
        <f t="shared" si="10"/>
        <v>8207590.8473784151</v>
      </c>
      <c r="I33">
        <f t="shared" si="10"/>
        <v>8197548.0121761318</v>
      </c>
      <c r="J33">
        <f t="shared" si="10"/>
        <v>8187505.1769738486</v>
      </c>
      <c r="K33">
        <f t="shared" si="10"/>
        <v>8177462.3417715654</v>
      </c>
      <c r="L33">
        <f t="shared" si="10"/>
        <v>8167419.5065692822</v>
      </c>
      <c r="M33" s="21">
        <f t="shared" ref="M33:M36" si="11">F6</f>
        <v>8157376.6713669999</v>
      </c>
      <c r="N33">
        <f>M33-($M33-$W33)/10</f>
        <v>8153807.5712190997</v>
      </c>
      <c r="O33">
        <f t="shared" ref="O33:V33" si="12">N33-($M33-$W33)/10</f>
        <v>8150238.4710711995</v>
      </c>
      <c r="P33">
        <f t="shared" si="12"/>
        <v>8146669.3709232993</v>
      </c>
      <c r="Q33">
        <f t="shared" si="12"/>
        <v>8143100.2707753992</v>
      </c>
      <c r="R33">
        <f t="shared" si="12"/>
        <v>8139531.170627499</v>
      </c>
      <c r="S33">
        <f t="shared" si="12"/>
        <v>8135962.0704795988</v>
      </c>
      <c r="T33">
        <f t="shared" si="12"/>
        <v>8132392.9703316987</v>
      </c>
      <c r="U33">
        <f t="shared" si="12"/>
        <v>8128823.8701837985</v>
      </c>
      <c r="V33">
        <f t="shared" si="12"/>
        <v>8125254.7700358983</v>
      </c>
      <c r="W33" s="21">
        <f>H6</f>
        <v>8121685.669888</v>
      </c>
      <c r="X33">
        <f>W33-($W33-$AG33)/10</f>
        <v>8102650.4690992003</v>
      </c>
      <c r="Y33">
        <f t="shared" ref="Y33:AF33" si="13">X33-($W33-$AG33)/10</f>
        <v>8083615.2683104007</v>
      </c>
      <c r="Z33">
        <f t="shared" si="13"/>
        <v>8064580.067521601</v>
      </c>
      <c r="AA33">
        <f t="shared" si="13"/>
        <v>8045544.8667328013</v>
      </c>
      <c r="AB33">
        <f t="shared" si="13"/>
        <v>8026509.6659440016</v>
      </c>
      <c r="AC33">
        <f t="shared" si="13"/>
        <v>8007474.465155202</v>
      </c>
      <c r="AD33">
        <f t="shared" si="13"/>
        <v>7988439.2643664023</v>
      </c>
      <c r="AE33">
        <f t="shared" si="13"/>
        <v>7969404.0635776026</v>
      </c>
      <c r="AF33">
        <f t="shared" si="13"/>
        <v>7950368.8627888029</v>
      </c>
      <c r="AG33" s="21">
        <f>J6</f>
        <v>7931333.6619999995</v>
      </c>
    </row>
    <row r="34" spans="2:33">
      <c r="B34" t="s">
        <v>61</v>
      </c>
      <c r="C34" s="21">
        <f>D7</f>
        <v>12180262.409500001</v>
      </c>
      <c r="D34">
        <f t="shared" ref="D34:L36" si="14">C34-($C34-$M34)/10</f>
        <v>12099192.848997701</v>
      </c>
      <c r="E34">
        <f t="shared" si="14"/>
        <v>12018123.288495401</v>
      </c>
      <c r="F34">
        <f t="shared" si="14"/>
        <v>11937053.727993101</v>
      </c>
      <c r="G34">
        <f t="shared" si="14"/>
        <v>11855984.167490801</v>
      </c>
      <c r="H34">
        <f t="shared" si="14"/>
        <v>11774914.606988501</v>
      </c>
      <c r="I34">
        <f t="shared" si="14"/>
        <v>11693845.046486201</v>
      </c>
      <c r="J34">
        <f t="shared" si="14"/>
        <v>11612775.485983901</v>
      </c>
      <c r="K34">
        <f t="shared" si="14"/>
        <v>11531705.925481601</v>
      </c>
      <c r="L34">
        <f t="shared" si="14"/>
        <v>11450636.364979301</v>
      </c>
      <c r="M34" s="21">
        <f t="shared" si="11"/>
        <v>11369566.804477001</v>
      </c>
      <c r="N34">
        <f t="shared" ref="N34:V36" si="15">M34-($M34-$W34)/10</f>
        <v>11298581.368202101</v>
      </c>
      <c r="O34">
        <f t="shared" si="15"/>
        <v>11227595.9319272</v>
      </c>
      <c r="P34">
        <f t="shared" si="15"/>
        <v>11156610.495652299</v>
      </c>
      <c r="Q34">
        <f t="shared" si="15"/>
        <v>11085625.059377398</v>
      </c>
      <c r="R34">
        <f t="shared" si="15"/>
        <v>11014639.623102497</v>
      </c>
      <c r="S34">
        <f t="shared" si="15"/>
        <v>10943654.186827596</v>
      </c>
      <c r="T34">
        <f t="shared" si="15"/>
        <v>10872668.750552695</v>
      </c>
      <c r="U34">
        <f t="shared" si="15"/>
        <v>10801683.314277794</v>
      </c>
      <c r="V34">
        <f t="shared" si="15"/>
        <v>10730697.878002893</v>
      </c>
      <c r="W34" s="21">
        <v>10659712.441728</v>
      </c>
      <c r="X34">
        <f t="shared" ref="X34:AF36" si="16">W34-($W34-$AG34)/10</f>
        <v>10596658.3391151</v>
      </c>
      <c r="Y34">
        <f t="shared" si="16"/>
        <v>10533604.2365022</v>
      </c>
      <c r="Z34">
        <f t="shared" si="16"/>
        <v>10470550.133889301</v>
      </c>
      <c r="AA34">
        <f t="shared" si="16"/>
        <v>10407496.031276401</v>
      </c>
      <c r="AB34">
        <f t="shared" si="16"/>
        <v>10344441.928663502</v>
      </c>
      <c r="AC34">
        <f t="shared" si="16"/>
        <v>10281387.826050602</v>
      </c>
      <c r="AD34">
        <f t="shared" si="16"/>
        <v>10218333.723437702</v>
      </c>
      <c r="AE34">
        <f t="shared" si="16"/>
        <v>10155279.620824803</v>
      </c>
      <c r="AF34">
        <f t="shared" si="16"/>
        <v>10092225.518211903</v>
      </c>
      <c r="AG34" s="21">
        <v>10029171.415599</v>
      </c>
    </row>
    <row r="35" spans="2:33">
      <c r="B35" t="s">
        <v>62</v>
      </c>
      <c r="C35" s="21">
        <f>D8</f>
        <v>5643143.9005129999</v>
      </c>
      <c r="D35">
        <f t="shared" si="14"/>
        <v>5624901.8330904003</v>
      </c>
      <c r="E35">
        <f t="shared" si="14"/>
        <v>5606659.7656677999</v>
      </c>
      <c r="F35">
        <f t="shared" si="14"/>
        <v>5588417.6982451994</v>
      </c>
      <c r="G35">
        <f t="shared" si="14"/>
        <v>5570175.6308225989</v>
      </c>
      <c r="H35">
        <f t="shared" si="14"/>
        <v>5551933.5633999985</v>
      </c>
      <c r="I35">
        <f t="shared" si="14"/>
        <v>5533691.495977398</v>
      </c>
      <c r="J35">
        <f t="shared" si="14"/>
        <v>5515449.4285547975</v>
      </c>
      <c r="K35">
        <f t="shared" si="14"/>
        <v>5497207.3611321971</v>
      </c>
      <c r="L35">
        <f t="shared" si="14"/>
        <v>5478965.2937095966</v>
      </c>
      <c r="M35" s="21">
        <f t="shared" si="11"/>
        <v>5460723.2262869999</v>
      </c>
      <c r="N35">
        <f t="shared" si="15"/>
        <v>5443670.8589137001</v>
      </c>
      <c r="O35">
        <f t="shared" si="15"/>
        <v>5426618.4915404003</v>
      </c>
      <c r="P35">
        <f t="shared" si="15"/>
        <v>5409566.1241671005</v>
      </c>
      <c r="Q35">
        <f t="shared" si="15"/>
        <v>5392513.7567938007</v>
      </c>
      <c r="R35">
        <f t="shared" si="15"/>
        <v>5375461.389420501</v>
      </c>
      <c r="S35">
        <f t="shared" si="15"/>
        <v>5358409.0220472012</v>
      </c>
      <c r="T35">
        <f t="shared" si="15"/>
        <v>5341356.6546739014</v>
      </c>
      <c r="U35">
        <f t="shared" si="15"/>
        <v>5324304.2873006016</v>
      </c>
      <c r="V35">
        <f t="shared" si="15"/>
        <v>5307251.9199273018</v>
      </c>
      <c r="W35" s="21">
        <v>5290199.5525540002</v>
      </c>
      <c r="X35">
        <f t="shared" si="16"/>
        <v>5274336.8852300001</v>
      </c>
      <c r="Y35">
        <f t="shared" si="16"/>
        <v>5258474.2179060001</v>
      </c>
      <c r="Z35">
        <f t="shared" si="16"/>
        <v>5242611.5505820001</v>
      </c>
      <c r="AA35">
        <f t="shared" si="16"/>
        <v>5226748.883258</v>
      </c>
      <c r="AB35">
        <f t="shared" si="16"/>
        <v>5210886.215934</v>
      </c>
      <c r="AC35">
        <f t="shared" si="16"/>
        <v>5195023.5486099999</v>
      </c>
      <c r="AD35">
        <f t="shared" si="16"/>
        <v>5179160.8812859999</v>
      </c>
      <c r="AE35">
        <f t="shared" si="16"/>
        <v>5163298.2139619999</v>
      </c>
      <c r="AF35">
        <f t="shared" si="16"/>
        <v>5147435.5466379998</v>
      </c>
      <c r="AG35" s="21">
        <v>5131572.8793139998</v>
      </c>
    </row>
    <row r="36" spans="2:33">
      <c r="B36" t="s">
        <v>63</v>
      </c>
      <c r="C36" s="21">
        <v>7407865.6403080001</v>
      </c>
      <c r="D36">
        <f t="shared" si="14"/>
        <v>7373760.9055614006</v>
      </c>
      <c r="E36">
        <f t="shared" si="14"/>
        <v>7339656.170814801</v>
      </c>
      <c r="F36">
        <f t="shared" si="14"/>
        <v>7305551.4360682014</v>
      </c>
      <c r="G36">
        <f t="shared" si="14"/>
        <v>7271446.7013216019</v>
      </c>
      <c r="H36">
        <f t="shared" si="14"/>
        <v>7237341.9665750023</v>
      </c>
      <c r="I36">
        <f t="shared" si="14"/>
        <v>7203237.2318284027</v>
      </c>
      <c r="J36">
        <f t="shared" si="14"/>
        <v>7169132.4970818032</v>
      </c>
      <c r="K36">
        <f t="shared" si="14"/>
        <v>7135027.7623352036</v>
      </c>
      <c r="L36">
        <f t="shared" si="14"/>
        <v>7100923.027588604</v>
      </c>
      <c r="M36" s="21">
        <f t="shared" si="11"/>
        <v>7066818.2928419998</v>
      </c>
      <c r="N36">
        <f t="shared" si="15"/>
        <v>7056110.9923983002</v>
      </c>
      <c r="O36">
        <f t="shared" si="15"/>
        <v>7045403.6919546006</v>
      </c>
      <c r="P36">
        <f t="shared" si="15"/>
        <v>7034696.391510901</v>
      </c>
      <c r="Q36">
        <f t="shared" si="15"/>
        <v>7023989.0910672015</v>
      </c>
      <c r="R36">
        <f t="shared" si="15"/>
        <v>7013281.7906235019</v>
      </c>
      <c r="S36">
        <f t="shared" si="15"/>
        <v>7002574.4901798023</v>
      </c>
      <c r="T36">
        <f t="shared" si="15"/>
        <v>6991867.1897361027</v>
      </c>
      <c r="U36">
        <f t="shared" si="15"/>
        <v>6981159.8892924031</v>
      </c>
      <c r="V36">
        <f t="shared" si="15"/>
        <v>6970452.5888487035</v>
      </c>
      <c r="W36" s="21">
        <v>6959745.2884050002</v>
      </c>
      <c r="X36">
        <f t="shared" si="16"/>
        <v>6945865.4544965001</v>
      </c>
      <c r="Y36">
        <f t="shared" si="16"/>
        <v>6931985.6205879999</v>
      </c>
      <c r="Z36">
        <f t="shared" si="16"/>
        <v>6918105.7866794998</v>
      </c>
      <c r="AA36">
        <f t="shared" si="16"/>
        <v>6904225.9527709996</v>
      </c>
      <c r="AB36">
        <f t="shared" si="16"/>
        <v>6890346.1188624995</v>
      </c>
      <c r="AC36">
        <f t="shared" si="16"/>
        <v>6876466.2849539993</v>
      </c>
      <c r="AD36">
        <f t="shared" si="16"/>
        <v>6862586.4510454992</v>
      </c>
      <c r="AE36">
        <f t="shared" si="16"/>
        <v>6848706.617136999</v>
      </c>
      <c r="AF36">
        <f t="shared" si="16"/>
        <v>6834826.7832284989</v>
      </c>
      <c r="AG36" s="21">
        <v>6820946.9493199997</v>
      </c>
    </row>
    <row r="38" spans="2:33">
      <c r="B38" t="s">
        <v>84</v>
      </c>
      <c r="C38">
        <v>9750</v>
      </c>
      <c r="D38" t="s">
        <v>85</v>
      </c>
    </row>
    <row r="39" spans="2:33">
      <c r="C39">
        <f>C38*1000</f>
        <v>9750000</v>
      </c>
      <c r="D39" t="s">
        <v>86</v>
      </c>
    </row>
    <row r="50" spans="2:4">
      <c r="B50" t="s">
        <v>87</v>
      </c>
    </row>
    <row r="51" spans="2:4">
      <c r="D51" t="s">
        <v>88</v>
      </c>
    </row>
    <row r="52" spans="2:4">
      <c r="B52" t="s">
        <v>89</v>
      </c>
      <c r="C52">
        <v>10375000</v>
      </c>
    </row>
    <row r="53" spans="2:4">
      <c r="B53" t="s">
        <v>90</v>
      </c>
      <c r="C53">
        <v>11288508.002838777</v>
      </c>
    </row>
    <row r="54" spans="2:4">
      <c r="B54" t="s">
        <v>91</v>
      </c>
      <c r="C54">
        <v>6525000</v>
      </c>
    </row>
    <row r="55" spans="2:4">
      <c r="B55" t="s">
        <v>92</v>
      </c>
      <c r="C55">
        <v>10446660.327936608</v>
      </c>
    </row>
    <row r="56" spans="2:4">
      <c r="B56" t="s">
        <v>93</v>
      </c>
      <c r="C56">
        <v>0</v>
      </c>
    </row>
    <row r="57" spans="2:4">
      <c r="B57" t="s">
        <v>94</v>
      </c>
      <c r="C57">
        <v>0</v>
      </c>
    </row>
    <row r="58" spans="2:4">
      <c r="B58" t="s">
        <v>95</v>
      </c>
      <c r="C58">
        <v>0</v>
      </c>
    </row>
    <row r="59" spans="2:4">
      <c r="B59" t="s">
        <v>96</v>
      </c>
      <c r="C59">
        <v>0</v>
      </c>
    </row>
    <row r="60" spans="2:4">
      <c r="B60" t="s">
        <v>97</v>
      </c>
      <c r="C60">
        <v>9536107.1581851877</v>
      </c>
    </row>
    <row r="61" spans="2:4">
      <c r="B61" t="s">
        <v>98</v>
      </c>
      <c r="C61">
        <v>0</v>
      </c>
    </row>
    <row r="62" spans="2:4">
      <c r="B62" t="s">
        <v>99</v>
      </c>
      <c r="C62">
        <v>10000000</v>
      </c>
    </row>
    <row r="63" spans="2:4">
      <c r="B63" t="s">
        <v>100</v>
      </c>
      <c r="C63">
        <v>8900000</v>
      </c>
    </row>
    <row r="64" spans="2:4">
      <c r="B64" t="s">
        <v>101</v>
      </c>
      <c r="C64">
        <v>11761592.552395143</v>
      </c>
    </row>
    <row r="65" spans="2:4">
      <c r="B65" t="s">
        <v>102</v>
      </c>
      <c r="C65">
        <v>0</v>
      </c>
    </row>
    <row r="66" spans="2:4">
      <c r="B66" t="s">
        <v>103</v>
      </c>
      <c r="C66">
        <v>0</v>
      </c>
    </row>
    <row r="67" spans="2:4">
      <c r="B67" t="s">
        <v>104</v>
      </c>
      <c r="C67">
        <v>0</v>
      </c>
    </row>
    <row r="68" spans="2:4">
      <c r="B68" t="s">
        <v>105</v>
      </c>
      <c r="C68">
        <v>18731050.573062804</v>
      </c>
    </row>
    <row r="69" spans="2:4">
      <c r="B69" t="s">
        <v>106</v>
      </c>
      <c r="C69">
        <v>11116000</v>
      </c>
      <c r="D69">
        <f>C69/C52</f>
        <v>1.0714216867469879</v>
      </c>
    </row>
    <row r="70" spans="2:4">
      <c r="B70" t="s">
        <v>107</v>
      </c>
      <c r="C70">
        <v>7045000</v>
      </c>
      <c r="D70">
        <f>C70/C54</f>
        <v>1.0796934865900383</v>
      </c>
    </row>
    <row r="71" spans="2:4">
      <c r="B71" t="s">
        <v>108</v>
      </c>
      <c r="C71">
        <v>15295000</v>
      </c>
      <c r="D71">
        <f>C71/C60</f>
        <v>1.6039039564348587</v>
      </c>
    </row>
    <row r="72" spans="2:4">
      <c r="B72" t="s">
        <v>109</v>
      </c>
      <c r="C72">
        <v>12601625.331318015</v>
      </c>
      <c r="D72">
        <f>C72/C64</f>
        <v>1.0714216867469879</v>
      </c>
    </row>
    <row r="73" spans="2:4">
      <c r="B73" t="s">
        <v>110</v>
      </c>
      <c r="C73">
        <v>10447000</v>
      </c>
      <c r="D73">
        <f>C73/C55</f>
        <v>1.000032514894974</v>
      </c>
    </row>
    <row r="74" spans="2:4">
      <c r="B74" t="s">
        <v>111</v>
      </c>
      <c r="C74">
        <v>8900000</v>
      </c>
    </row>
    <row r="75" spans="2:4">
      <c r="B75" t="s">
        <v>112</v>
      </c>
      <c r="C75">
        <v>6525000</v>
      </c>
    </row>
  </sheetData>
  <mergeCells count="4">
    <mergeCell ref="C2:D2"/>
    <mergeCell ref="E2:F2"/>
    <mergeCell ref="G2:H2"/>
    <mergeCell ref="I2:J2"/>
  </mergeCells>
  <phoneticPr fontId="30" type="noConversion"/>
  <hyperlinks>
    <hyperlink ref="B1" r:id="rId1" display="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xr:uid="{7ABA2962-9865-434C-BF80-D43EF9D7932E}"/>
  </hyperlinks>
  <pageMargins left="0.7" right="0.7" top="0.75" bottom="0.75" header="0.3" footer="0.3"/>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DA01B-17F9-4A25-8125-FA3CA3E4B751}">
  <sheetPr>
    <tabColor theme="8" tint="-0.249977111117893"/>
  </sheetPr>
  <dimension ref="A1:HC25"/>
  <sheetViews>
    <sheetView workbookViewId="0">
      <pane xSplit="1" topLeftCell="EY1" activePane="topRight" state="frozen"/>
      <selection pane="topRight" activeCell="EF2" sqref="EF2"/>
    </sheetView>
  </sheetViews>
  <sheetFormatPr defaultRowHeight="15"/>
  <cols>
    <col min="1" max="1" width="36.28515625" customWidth="1"/>
    <col min="2" max="211" width="13.28515625" customWidth="1"/>
  </cols>
  <sheetData>
    <row r="1" spans="1:211">
      <c r="A1" s="6" t="s">
        <v>113</v>
      </c>
      <c r="B1" s="7" t="s">
        <v>114</v>
      </c>
      <c r="C1" s="7" t="s">
        <v>115</v>
      </c>
      <c r="D1" s="7" t="s">
        <v>116</v>
      </c>
      <c r="E1" s="7" t="s">
        <v>117</v>
      </c>
      <c r="F1" s="7" t="s">
        <v>118</v>
      </c>
      <c r="G1" s="7" t="s">
        <v>119</v>
      </c>
      <c r="H1" s="7" t="s">
        <v>120</v>
      </c>
      <c r="I1" s="7" t="s">
        <v>121</v>
      </c>
      <c r="J1" s="7" t="s">
        <v>122</v>
      </c>
      <c r="K1" s="7" t="s">
        <v>123</v>
      </c>
      <c r="L1" s="7" t="s">
        <v>124</v>
      </c>
      <c r="M1" s="7" t="s">
        <v>125</v>
      </c>
      <c r="N1" s="7" t="s">
        <v>126</v>
      </c>
      <c r="O1" s="7" t="s">
        <v>127</v>
      </c>
      <c r="P1" s="7" t="s">
        <v>128</v>
      </c>
      <c r="Q1" s="7" t="s">
        <v>129</v>
      </c>
      <c r="R1" s="7" t="s">
        <v>130</v>
      </c>
      <c r="S1" s="7" t="s">
        <v>131</v>
      </c>
      <c r="T1" s="7" t="s">
        <v>132</v>
      </c>
      <c r="U1" s="7" t="s">
        <v>133</v>
      </c>
      <c r="V1" s="7" t="s">
        <v>134</v>
      </c>
      <c r="W1" s="7" t="s">
        <v>135</v>
      </c>
      <c r="X1" s="7" t="s">
        <v>136</v>
      </c>
      <c r="Y1" s="7" t="s">
        <v>137</v>
      </c>
      <c r="Z1" s="7" t="s">
        <v>138</v>
      </c>
      <c r="AA1" s="7" t="s">
        <v>139</v>
      </c>
      <c r="AB1" s="7" t="s">
        <v>140</v>
      </c>
      <c r="AC1" s="7" t="s">
        <v>141</v>
      </c>
      <c r="AD1" s="7" t="s">
        <v>142</v>
      </c>
      <c r="AE1" s="7" t="s">
        <v>143</v>
      </c>
      <c r="AF1" s="7" t="s">
        <v>144</v>
      </c>
      <c r="AG1" s="7" t="s">
        <v>145</v>
      </c>
      <c r="AH1" s="7" t="s">
        <v>146</v>
      </c>
      <c r="AI1" s="7" t="s">
        <v>147</v>
      </c>
      <c r="AJ1" s="7" t="s">
        <v>148</v>
      </c>
      <c r="AK1" s="7" t="s">
        <v>149</v>
      </c>
      <c r="AL1" s="7" t="s">
        <v>150</v>
      </c>
      <c r="AM1" s="7" t="s">
        <v>151</v>
      </c>
      <c r="AN1" s="7" t="s">
        <v>152</v>
      </c>
      <c r="AO1" s="7" t="s">
        <v>153</v>
      </c>
      <c r="AP1" s="7" t="s">
        <v>154</v>
      </c>
      <c r="AQ1" s="7" t="s">
        <v>155</v>
      </c>
      <c r="AR1" s="7" t="s">
        <v>156</v>
      </c>
      <c r="AS1" s="7" t="s">
        <v>157</v>
      </c>
      <c r="AT1" s="7" t="s">
        <v>158</v>
      </c>
      <c r="AU1" s="7" t="s">
        <v>159</v>
      </c>
      <c r="AV1" s="7" t="s">
        <v>160</v>
      </c>
      <c r="AW1" s="7" t="s">
        <v>161</v>
      </c>
      <c r="AX1" s="7" t="s">
        <v>162</v>
      </c>
      <c r="AY1" s="7" t="s">
        <v>163</v>
      </c>
      <c r="AZ1" s="7" t="s">
        <v>164</v>
      </c>
      <c r="BA1" s="7" t="s">
        <v>165</v>
      </c>
      <c r="BB1" s="7" t="s">
        <v>166</v>
      </c>
      <c r="BC1" s="7" t="s">
        <v>167</v>
      </c>
      <c r="BD1" s="7" t="s">
        <v>168</v>
      </c>
      <c r="BE1" s="7" t="s">
        <v>169</v>
      </c>
      <c r="BF1" s="7" t="s">
        <v>170</v>
      </c>
      <c r="BG1" s="7" t="s">
        <v>171</v>
      </c>
      <c r="BH1" s="7" t="s">
        <v>172</v>
      </c>
      <c r="BI1" s="7" t="s">
        <v>173</v>
      </c>
      <c r="BJ1" s="7" t="s">
        <v>174</v>
      </c>
      <c r="BK1" s="7" t="s">
        <v>175</v>
      </c>
      <c r="BL1" s="7" t="s">
        <v>176</v>
      </c>
      <c r="BM1" s="7" t="s">
        <v>177</v>
      </c>
      <c r="BN1" s="7" t="s">
        <v>178</v>
      </c>
      <c r="BO1" s="7" t="s">
        <v>179</v>
      </c>
      <c r="BP1" s="7" t="s">
        <v>180</v>
      </c>
      <c r="BQ1" s="7" t="s">
        <v>181</v>
      </c>
      <c r="BR1" s="7" t="s">
        <v>182</v>
      </c>
      <c r="BS1" s="7" t="s">
        <v>183</v>
      </c>
      <c r="BT1" s="7" t="s">
        <v>184</v>
      </c>
      <c r="BU1" s="7" t="s">
        <v>185</v>
      </c>
      <c r="BV1" s="7" t="s">
        <v>186</v>
      </c>
      <c r="BW1" s="7" t="s">
        <v>187</v>
      </c>
      <c r="BX1" s="7" t="s">
        <v>188</v>
      </c>
      <c r="BY1" s="7" t="s">
        <v>189</v>
      </c>
      <c r="BZ1" s="7" t="s">
        <v>190</v>
      </c>
      <c r="CA1" s="7" t="s">
        <v>191</v>
      </c>
      <c r="CB1" s="7" t="s">
        <v>192</v>
      </c>
      <c r="CC1" s="7" t="s">
        <v>193</v>
      </c>
      <c r="CD1" s="7" t="s">
        <v>194</v>
      </c>
      <c r="CE1" s="7" t="s">
        <v>195</v>
      </c>
      <c r="CF1" s="7" t="s">
        <v>196</v>
      </c>
      <c r="CG1" s="7" t="s">
        <v>197</v>
      </c>
      <c r="CH1" s="7" t="s">
        <v>198</v>
      </c>
      <c r="CI1" s="7" t="s">
        <v>199</v>
      </c>
      <c r="CJ1" s="7" t="s">
        <v>200</v>
      </c>
      <c r="CK1" s="7" t="s">
        <v>201</v>
      </c>
      <c r="CL1" s="7" t="s">
        <v>202</v>
      </c>
      <c r="CM1" s="7" t="s">
        <v>203</v>
      </c>
      <c r="CN1" s="7" t="s">
        <v>204</v>
      </c>
      <c r="CO1" s="7" t="s">
        <v>205</v>
      </c>
      <c r="CP1" s="7" t="s">
        <v>206</v>
      </c>
      <c r="CQ1" s="7" t="s">
        <v>207</v>
      </c>
      <c r="CR1" s="7" t="s">
        <v>208</v>
      </c>
      <c r="CS1" s="7" t="s">
        <v>209</v>
      </c>
      <c r="CT1" s="7" t="s">
        <v>210</v>
      </c>
      <c r="CU1" s="7" t="s">
        <v>211</v>
      </c>
      <c r="CV1" s="7" t="s">
        <v>212</v>
      </c>
      <c r="CW1" s="7" t="s">
        <v>213</v>
      </c>
      <c r="CX1" s="7" t="s">
        <v>214</v>
      </c>
      <c r="CY1" s="7" t="s">
        <v>215</v>
      </c>
      <c r="CZ1" s="7" t="s">
        <v>216</v>
      </c>
      <c r="DA1" s="7" t="s">
        <v>217</v>
      </c>
      <c r="DB1" s="7" t="s">
        <v>218</v>
      </c>
      <c r="DC1" s="7" t="s">
        <v>219</v>
      </c>
      <c r="DD1" s="7" t="s">
        <v>220</v>
      </c>
      <c r="DE1" s="7" t="s">
        <v>221</v>
      </c>
      <c r="DF1" s="7" t="s">
        <v>222</v>
      </c>
      <c r="DG1" s="7" t="s">
        <v>223</v>
      </c>
      <c r="DH1" s="7" t="s">
        <v>224</v>
      </c>
      <c r="DI1" s="7" t="s">
        <v>225</v>
      </c>
      <c r="DJ1" s="7" t="s">
        <v>226</v>
      </c>
      <c r="DK1" s="7" t="s">
        <v>227</v>
      </c>
      <c r="DL1" s="7" t="s">
        <v>228</v>
      </c>
      <c r="DM1" s="7" t="s">
        <v>229</v>
      </c>
      <c r="DN1" s="7" t="s">
        <v>230</v>
      </c>
      <c r="DO1" s="7" t="s">
        <v>231</v>
      </c>
      <c r="DP1" s="7" t="s">
        <v>232</v>
      </c>
      <c r="DQ1" s="7" t="s">
        <v>233</v>
      </c>
      <c r="DR1" s="7" t="s">
        <v>234</v>
      </c>
      <c r="DS1" s="7" t="s">
        <v>235</v>
      </c>
      <c r="DT1" s="7" t="s">
        <v>236</v>
      </c>
      <c r="DU1" s="7" t="s">
        <v>237</v>
      </c>
      <c r="DV1" s="7" t="s">
        <v>238</v>
      </c>
      <c r="DW1" s="7" t="s">
        <v>239</v>
      </c>
      <c r="DX1" s="7" t="s">
        <v>240</v>
      </c>
      <c r="DY1" s="7" t="s">
        <v>241</v>
      </c>
      <c r="DZ1" s="7" t="s">
        <v>242</v>
      </c>
      <c r="EA1" s="7" t="s">
        <v>243</v>
      </c>
      <c r="EB1" s="7" t="s">
        <v>244</v>
      </c>
      <c r="EC1" s="7" t="s">
        <v>245</v>
      </c>
      <c r="ED1" s="7" t="s">
        <v>246</v>
      </c>
      <c r="EE1" s="7" t="s">
        <v>247</v>
      </c>
      <c r="EF1" s="7" t="s">
        <v>248</v>
      </c>
      <c r="EG1" s="7" t="s">
        <v>249</v>
      </c>
      <c r="EH1" s="7" t="s">
        <v>250</v>
      </c>
      <c r="EI1" s="7" t="s">
        <v>251</v>
      </c>
      <c r="EJ1" s="7" t="s">
        <v>252</v>
      </c>
      <c r="EK1" s="7" t="s">
        <v>253</v>
      </c>
      <c r="EL1" s="7" t="s">
        <v>254</v>
      </c>
      <c r="EM1" s="7" t="s">
        <v>255</v>
      </c>
      <c r="EN1" s="7" t="s">
        <v>256</v>
      </c>
      <c r="EO1" s="7" t="s">
        <v>257</v>
      </c>
      <c r="EP1" s="7" t="s">
        <v>258</v>
      </c>
      <c r="EQ1" s="7" t="s">
        <v>259</v>
      </c>
      <c r="ER1" s="7" t="s">
        <v>260</v>
      </c>
      <c r="ES1" s="7" t="s">
        <v>261</v>
      </c>
      <c r="ET1" s="7" t="s">
        <v>262</v>
      </c>
      <c r="EU1" s="7" t="s">
        <v>263</v>
      </c>
      <c r="EV1" s="7" t="s">
        <v>264</v>
      </c>
      <c r="EW1" s="7" t="s">
        <v>265</v>
      </c>
      <c r="EX1" s="7" t="s">
        <v>266</v>
      </c>
      <c r="EY1" s="7" t="s">
        <v>267</v>
      </c>
      <c r="EZ1" s="7" t="s">
        <v>268</v>
      </c>
      <c r="FA1" s="7" t="s">
        <v>269</v>
      </c>
      <c r="FB1" s="7" t="s">
        <v>270</v>
      </c>
      <c r="FC1" s="7" t="s">
        <v>271</v>
      </c>
      <c r="FD1" s="7" t="s">
        <v>272</v>
      </c>
      <c r="FE1" s="7" t="s">
        <v>273</v>
      </c>
      <c r="FF1" s="7" t="s">
        <v>274</v>
      </c>
      <c r="FG1" s="7" t="s">
        <v>275</v>
      </c>
      <c r="FH1" s="7" t="s">
        <v>276</v>
      </c>
      <c r="FI1" s="7" t="s">
        <v>277</v>
      </c>
      <c r="FJ1" s="7" t="s">
        <v>278</v>
      </c>
      <c r="FK1" s="7" t="s">
        <v>279</v>
      </c>
      <c r="FL1" s="7" t="s">
        <v>280</v>
      </c>
      <c r="FM1" s="7" t="s">
        <v>281</v>
      </c>
      <c r="FN1" s="7" t="s">
        <v>282</v>
      </c>
      <c r="FO1" s="7" t="s">
        <v>283</v>
      </c>
      <c r="FP1" s="7" t="s">
        <v>284</v>
      </c>
      <c r="FQ1" s="7" t="s">
        <v>285</v>
      </c>
      <c r="FR1" s="7" t="s">
        <v>286</v>
      </c>
      <c r="FS1" s="7" t="s">
        <v>287</v>
      </c>
      <c r="FT1" s="7" t="s">
        <v>288</v>
      </c>
      <c r="FU1" s="7" t="s">
        <v>289</v>
      </c>
      <c r="FV1" s="7" t="s">
        <v>290</v>
      </c>
      <c r="FW1" s="7" t="s">
        <v>291</v>
      </c>
      <c r="FX1" s="7" t="s">
        <v>292</v>
      </c>
      <c r="FY1" s="7" t="s">
        <v>293</v>
      </c>
      <c r="FZ1" s="7" t="s">
        <v>294</v>
      </c>
      <c r="GA1" s="7" t="s">
        <v>295</v>
      </c>
      <c r="GB1" s="7" t="s">
        <v>296</v>
      </c>
      <c r="GC1" s="7" t="s">
        <v>297</v>
      </c>
      <c r="GD1" s="7" t="s">
        <v>298</v>
      </c>
      <c r="GE1" s="7" t="s">
        <v>299</v>
      </c>
      <c r="GF1" s="7" t="s">
        <v>300</v>
      </c>
      <c r="GG1" s="7" t="s">
        <v>301</v>
      </c>
      <c r="GH1" s="7" t="s">
        <v>302</v>
      </c>
      <c r="GI1" s="7" t="s">
        <v>303</v>
      </c>
      <c r="GJ1" s="7" t="s">
        <v>304</v>
      </c>
      <c r="GK1" s="7" t="s">
        <v>305</v>
      </c>
      <c r="GL1" s="7" t="s">
        <v>306</v>
      </c>
      <c r="GM1" s="7" t="s">
        <v>307</v>
      </c>
      <c r="GN1" s="7" t="s">
        <v>308</v>
      </c>
      <c r="GO1" s="7" t="s">
        <v>309</v>
      </c>
      <c r="GP1" s="7" t="s">
        <v>310</v>
      </c>
      <c r="GQ1" s="7" t="s">
        <v>311</v>
      </c>
      <c r="GR1" s="7" t="s">
        <v>312</v>
      </c>
      <c r="GS1" s="7" t="s">
        <v>313</v>
      </c>
      <c r="GT1" s="7" t="s">
        <v>314</v>
      </c>
      <c r="GU1" s="7" t="s">
        <v>315</v>
      </c>
      <c r="GV1" s="7" t="s">
        <v>316</v>
      </c>
      <c r="GW1" s="7" t="s">
        <v>317</v>
      </c>
      <c r="GX1" s="7" t="s">
        <v>318</v>
      </c>
      <c r="GY1" s="7" t="s">
        <v>319</v>
      </c>
      <c r="GZ1" s="7" t="s">
        <v>320</v>
      </c>
      <c r="HA1" s="7" t="s">
        <v>321</v>
      </c>
      <c r="HB1" s="7" t="s">
        <v>322</v>
      </c>
      <c r="HC1" s="7" t="s">
        <v>323</v>
      </c>
    </row>
    <row r="2" spans="1:211">
      <c r="A2" t="s">
        <v>89</v>
      </c>
      <c r="B2" s="5">
        <v>9502573.0695458334</v>
      </c>
      <c r="C2" s="5">
        <v>9502573.0695458334</v>
      </c>
      <c r="D2" s="5">
        <v>9502573.0695458334</v>
      </c>
      <c r="E2" s="5">
        <v>9502573.0695458334</v>
      </c>
      <c r="F2" s="5">
        <v>9502573.0695458334</v>
      </c>
      <c r="G2" s="5">
        <v>9502573.0695458334</v>
      </c>
      <c r="H2" s="5">
        <v>9502573.0695458334</v>
      </c>
      <c r="I2" s="5">
        <v>9502573.0695458334</v>
      </c>
      <c r="J2" s="5">
        <v>9502573.0695458334</v>
      </c>
      <c r="K2" s="5">
        <v>9502573.0695458334</v>
      </c>
      <c r="L2" s="5">
        <v>9502573.0695458334</v>
      </c>
      <c r="M2" s="5">
        <v>9502573.0695458334</v>
      </c>
      <c r="N2" s="5">
        <v>9502573.0695458334</v>
      </c>
      <c r="O2" s="5">
        <v>9502573.0695458334</v>
      </c>
      <c r="P2" s="5">
        <v>9502573.0695458334</v>
      </c>
      <c r="Q2" s="5">
        <v>9502573.0695458334</v>
      </c>
      <c r="R2" s="5">
        <v>9502573.0695458334</v>
      </c>
      <c r="S2" s="5">
        <v>9502573.0695458334</v>
      </c>
      <c r="T2" s="5">
        <v>9502573.0695458334</v>
      </c>
      <c r="U2" s="5">
        <v>9502573.0695458334</v>
      </c>
      <c r="V2" s="5">
        <v>9502573.0695458334</v>
      </c>
      <c r="W2" s="5">
        <v>9502573.0695458334</v>
      </c>
      <c r="X2" s="5">
        <v>9502573.0695458334</v>
      </c>
      <c r="Y2" s="5">
        <v>9502573.0695458334</v>
      </c>
      <c r="Z2" s="5">
        <v>9502573.0695458334</v>
      </c>
      <c r="AA2" s="5">
        <v>9502573.0695458334</v>
      </c>
      <c r="AB2" s="5">
        <v>9502573.0695458334</v>
      </c>
      <c r="AC2" s="5">
        <v>9502573.0695458334</v>
      </c>
      <c r="AD2" s="5">
        <v>9502573.0695458334</v>
      </c>
      <c r="AE2" s="5">
        <v>9502573.0695458334</v>
      </c>
      <c r="AF2" s="5">
        <v>9502573.0695458334</v>
      </c>
      <c r="AG2" s="5">
        <v>9502573.0695458334</v>
      </c>
      <c r="AH2" s="5">
        <v>9502573.0695458334</v>
      </c>
      <c r="AI2" s="5">
        <v>9502573.0695458334</v>
      </c>
      <c r="AJ2" s="5">
        <v>9502573.0695458334</v>
      </c>
      <c r="AK2" s="5">
        <v>9502573.0695458334</v>
      </c>
      <c r="AL2" s="5">
        <v>9502573.0695458334</v>
      </c>
      <c r="AM2" s="5">
        <v>9502573.0695458334</v>
      </c>
      <c r="AN2" s="5">
        <v>9502573.0695458334</v>
      </c>
      <c r="AO2" s="5">
        <v>9502573.0695458334</v>
      </c>
      <c r="AP2" s="5">
        <v>9502573.0695458334</v>
      </c>
      <c r="AQ2" s="5">
        <v>9502573.0695458334</v>
      </c>
      <c r="AR2" s="5">
        <v>9502573.0695458334</v>
      </c>
      <c r="AS2" s="5">
        <v>9502573.0695458334</v>
      </c>
      <c r="AT2" s="5">
        <v>9502573.0695458334</v>
      </c>
      <c r="AU2" s="5">
        <v>9502573.0695458334</v>
      </c>
      <c r="AV2" s="5">
        <v>9502573.0695458334</v>
      </c>
      <c r="AW2" s="5">
        <v>9502573.0695458334</v>
      </c>
      <c r="AX2" s="5">
        <v>9502573.0695458334</v>
      </c>
      <c r="AY2" s="5">
        <v>9502573.0695458334</v>
      </c>
      <c r="AZ2" s="5">
        <v>9502573.0695458334</v>
      </c>
      <c r="BA2" s="5">
        <v>9502573.0695458334</v>
      </c>
      <c r="BB2" s="5">
        <v>9502573.0695458334</v>
      </c>
      <c r="BC2" s="5">
        <v>9502573.0695458334</v>
      </c>
      <c r="BD2" s="5">
        <v>9502573.0695458334</v>
      </c>
      <c r="BE2" s="5">
        <v>9502573.0695458334</v>
      </c>
      <c r="BF2" s="5">
        <v>9502573.0695458334</v>
      </c>
      <c r="BG2" s="5">
        <v>9502573.0695458334</v>
      </c>
      <c r="BH2" s="5">
        <v>9502573.0695458334</v>
      </c>
      <c r="BI2" s="5">
        <v>9502573.0695458334</v>
      </c>
      <c r="BJ2" s="5">
        <v>9502573.0695458334</v>
      </c>
      <c r="BK2" s="5">
        <v>9502573.0695458334</v>
      </c>
      <c r="BL2" s="5">
        <v>9502573.0695458334</v>
      </c>
      <c r="BM2" s="5">
        <v>9502573.0695458334</v>
      </c>
      <c r="BN2" s="5">
        <v>9502573.0695458334</v>
      </c>
      <c r="BO2" s="5">
        <v>9502573.0695458334</v>
      </c>
      <c r="BP2" s="5">
        <v>9502573.0695458334</v>
      </c>
      <c r="BQ2" s="5">
        <v>9502573.0695458334</v>
      </c>
      <c r="BR2" s="5">
        <v>9502573.0695458334</v>
      </c>
      <c r="BS2" s="5">
        <v>9502573.0695458334</v>
      </c>
      <c r="BT2" s="5">
        <v>9502573.0695458334</v>
      </c>
      <c r="BU2" s="5">
        <v>9502573.0695458334</v>
      </c>
      <c r="BV2" s="5">
        <v>9502573.0695458334</v>
      </c>
      <c r="BW2" s="5">
        <v>9502573.0695458334</v>
      </c>
      <c r="BX2" s="5">
        <v>9502573.0695458334</v>
      </c>
      <c r="BY2" s="5">
        <v>9502573.0695458334</v>
      </c>
      <c r="BZ2" s="5">
        <v>9502573.0695458334</v>
      </c>
      <c r="CA2" s="5">
        <v>9502573.0695458334</v>
      </c>
      <c r="CB2" s="5">
        <v>9502573.0695458334</v>
      </c>
      <c r="CC2" s="5">
        <v>9502573.0695458334</v>
      </c>
      <c r="CD2" s="5">
        <v>9502573.0695458334</v>
      </c>
      <c r="CE2" s="5">
        <v>9502573.0695458334</v>
      </c>
      <c r="CF2" s="5">
        <v>9502573.0695458334</v>
      </c>
      <c r="CG2" s="5">
        <v>9502573.0695458334</v>
      </c>
      <c r="CH2" s="5">
        <v>9502573.0695458334</v>
      </c>
      <c r="CI2" s="5">
        <v>9502573.0695458334</v>
      </c>
      <c r="CJ2" s="5">
        <v>9502573.0695458334</v>
      </c>
      <c r="CK2" s="5">
        <v>9502573.0695458334</v>
      </c>
      <c r="CL2" s="5">
        <v>9502573.0695458334</v>
      </c>
      <c r="CM2" s="5">
        <v>9502573.0695458334</v>
      </c>
      <c r="CN2" s="5">
        <v>9502573.0695458334</v>
      </c>
      <c r="CO2" s="5">
        <v>9502573.0695458334</v>
      </c>
      <c r="CP2" s="5">
        <v>9502573.0695458334</v>
      </c>
      <c r="CQ2" s="5">
        <v>9502573.0695458334</v>
      </c>
      <c r="CR2" s="5">
        <v>9502573.0695458334</v>
      </c>
      <c r="CS2" s="5">
        <v>9502573.0695458334</v>
      </c>
      <c r="CT2" s="5">
        <v>9502573.0695458334</v>
      </c>
      <c r="CU2" s="5">
        <v>9502573.0695458334</v>
      </c>
      <c r="CV2" s="5">
        <v>9502573.0695458334</v>
      </c>
      <c r="CW2" s="5">
        <v>9502573.0695458334</v>
      </c>
      <c r="CX2" s="5">
        <v>9502573.0695458334</v>
      </c>
      <c r="CY2" s="5">
        <v>9502573.0695458334</v>
      </c>
      <c r="CZ2" s="5">
        <v>9502573.0695458334</v>
      </c>
      <c r="DA2" s="5">
        <v>9502573.0695458334</v>
      </c>
      <c r="DB2" s="5">
        <v>9502573.0695458334</v>
      </c>
      <c r="DC2" s="5">
        <v>9502573.0695458334</v>
      </c>
      <c r="DD2" s="5">
        <v>9502573.0695458334</v>
      </c>
      <c r="DE2" s="5">
        <v>9502573.0695458334</v>
      </c>
      <c r="DF2" s="5">
        <v>9502573.0695458334</v>
      </c>
      <c r="DG2" s="5">
        <v>9502573.0695458334</v>
      </c>
      <c r="DH2" s="5">
        <v>9502573.0695458334</v>
      </c>
      <c r="DI2" s="5">
        <v>9502573.0695458334</v>
      </c>
      <c r="DJ2" s="5">
        <v>9502573.0695458334</v>
      </c>
      <c r="DK2" s="5">
        <v>9502573.0695458334</v>
      </c>
      <c r="DL2" s="5">
        <v>9502573.0695458334</v>
      </c>
      <c r="DM2" s="5">
        <v>9502573.0695458334</v>
      </c>
      <c r="DN2" s="5">
        <v>9502573.0695458334</v>
      </c>
      <c r="DO2" s="5">
        <v>9502573.0695458334</v>
      </c>
      <c r="DP2" s="5">
        <v>9502573.0695458334</v>
      </c>
      <c r="DQ2" s="5">
        <v>9502573.0695458334</v>
      </c>
      <c r="DR2" s="5">
        <v>9502573.0695458334</v>
      </c>
      <c r="DS2" s="5">
        <v>9502573.0695458334</v>
      </c>
      <c r="DT2" s="5">
        <v>9502573.0695458334</v>
      </c>
      <c r="DU2" s="5">
        <v>9502573.0695458334</v>
      </c>
      <c r="DV2" s="5">
        <v>9502573.0695458334</v>
      </c>
      <c r="DW2" s="5">
        <v>9502573.0695458334</v>
      </c>
      <c r="DX2" s="5">
        <v>9502573.0695458334</v>
      </c>
      <c r="DY2" s="5">
        <v>9502573.0695458334</v>
      </c>
      <c r="DZ2" s="5">
        <v>9502573.0695458334</v>
      </c>
      <c r="EA2" s="5">
        <f>'BAU Heat Rate - 2020'!D4</f>
        <v>9502573.0695458334</v>
      </c>
      <c r="EB2" s="5">
        <f>'BAU Heat Rate - 2020'!D31</f>
        <v>9502489.5352988504</v>
      </c>
      <c r="EC2" s="5">
        <f>'BAU Heat Rate - 2020'!E31</f>
        <v>9502406.0010518674</v>
      </c>
      <c r="ED2" s="5">
        <f>'BAU Heat Rate - 2020'!F31</f>
        <v>9502322.4668048844</v>
      </c>
      <c r="EE2" s="5">
        <f>'BAU Heat Rate - 2020'!G31</f>
        <v>9502238.9325579014</v>
      </c>
      <c r="EF2" s="5">
        <f>'BAU Heat Rate - 2020'!H31</f>
        <v>9502155.3983109184</v>
      </c>
      <c r="EG2" s="5">
        <f>'BAU Heat Rate - 2020'!I31</f>
        <v>9502071.8640639354</v>
      </c>
      <c r="EH2" s="5">
        <f>'BAU Heat Rate - 2020'!J31</f>
        <v>9501988.3298169523</v>
      </c>
      <c r="EI2" s="5">
        <f>'BAU Heat Rate - 2020'!K31</f>
        <v>9501904.7955699693</v>
      </c>
      <c r="EJ2" s="5">
        <f>'BAU Heat Rate - 2020'!L31</f>
        <v>9501821.2613229863</v>
      </c>
      <c r="EK2" s="5">
        <f>'BAU Heat Rate - 2020'!M31</f>
        <v>9501737.7270759996</v>
      </c>
      <c r="EL2" s="5">
        <f>'BAU Heat Rate - 2020'!N31</f>
        <v>9498961.7602942996</v>
      </c>
      <c r="EM2" s="5">
        <f>'BAU Heat Rate - 2020'!O31</f>
        <v>9496185.7935125995</v>
      </c>
      <c r="EN2" s="5">
        <f>'BAU Heat Rate - 2020'!P31</f>
        <v>9493409.8267308995</v>
      </c>
      <c r="EO2" s="5">
        <f>'BAU Heat Rate - 2020'!Q31</f>
        <v>9490633.8599491995</v>
      </c>
      <c r="EP2" s="5">
        <f>'BAU Heat Rate - 2020'!R31</f>
        <v>9487857.8931674995</v>
      </c>
      <c r="EQ2" s="5">
        <f>'BAU Heat Rate - 2020'!S31</f>
        <v>9485081.9263857994</v>
      </c>
      <c r="ER2" s="5">
        <f>'BAU Heat Rate - 2020'!T31</f>
        <v>9482305.9596040994</v>
      </c>
      <c r="ES2" s="5">
        <f>'BAU Heat Rate - 2020'!U31</f>
        <v>9479529.9928223994</v>
      </c>
      <c r="ET2" s="5">
        <f>'BAU Heat Rate - 2020'!V31</f>
        <v>9476754.0260406993</v>
      </c>
      <c r="EU2" s="5">
        <f>'BAU Heat Rate - 2020'!W31</f>
        <v>9473978.0592589993</v>
      </c>
      <c r="EV2" s="5">
        <f>'BAU Heat Rate - 2020'!X31</f>
        <v>9448201.2248574998</v>
      </c>
      <c r="EW2" s="5">
        <f>'BAU Heat Rate - 2020'!Y31</f>
        <v>9422424.3904560003</v>
      </c>
      <c r="EX2" s="5">
        <f>'BAU Heat Rate - 2020'!Z31</f>
        <v>9396647.5560545009</v>
      </c>
      <c r="EY2" s="5">
        <f>'BAU Heat Rate - 2020'!AA31</f>
        <v>9370870.7216530014</v>
      </c>
      <c r="EZ2" s="5">
        <f>'BAU Heat Rate - 2020'!AB31</f>
        <v>9345093.8872515019</v>
      </c>
      <c r="FA2" s="5">
        <f>'BAU Heat Rate - 2020'!AC31</f>
        <v>9319317.0528500024</v>
      </c>
      <c r="FB2" s="5">
        <f>'BAU Heat Rate - 2020'!AD31</f>
        <v>9293540.2184485029</v>
      </c>
      <c r="FC2" s="5">
        <f>'BAU Heat Rate - 2020'!AE31</f>
        <v>9267763.3840470035</v>
      </c>
      <c r="FD2" s="5">
        <f>'BAU Heat Rate - 2020'!AF31</f>
        <v>9241986.549645504</v>
      </c>
      <c r="FE2" s="5">
        <f>'BAU Heat Rate - 2020'!AG31</f>
        <v>9216209.7152440008</v>
      </c>
      <c r="FF2" s="5">
        <f>FE2</f>
        <v>9216209.7152440008</v>
      </c>
      <c r="FG2" s="5">
        <f t="shared" ref="FG2:HC2" si="0">FF2</f>
        <v>9216209.7152440008</v>
      </c>
      <c r="FH2" s="5">
        <f t="shared" si="0"/>
        <v>9216209.7152440008</v>
      </c>
      <c r="FI2" s="5">
        <f t="shared" si="0"/>
        <v>9216209.7152440008</v>
      </c>
      <c r="FJ2" s="5">
        <f t="shared" si="0"/>
        <v>9216209.7152440008</v>
      </c>
      <c r="FK2" s="5">
        <f t="shared" si="0"/>
        <v>9216209.7152440008</v>
      </c>
      <c r="FL2" s="5">
        <f t="shared" si="0"/>
        <v>9216209.7152440008</v>
      </c>
      <c r="FM2" s="5">
        <f t="shared" si="0"/>
        <v>9216209.7152440008</v>
      </c>
      <c r="FN2" s="5">
        <f t="shared" si="0"/>
        <v>9216209.7152440008</v>
      </c>
      <c r="FO2" s="5">
        <f t="shared" si="0"/>
        <v>9216209.7152440008</v>
      </c>
      <c r="FP2" s="5">
        <f t="shared" si="0"/>
        <v>9216209.7152440008</v>
      </c>
      <c r="FQ2" s="5">
        <f t="shared" si="0"/>
        <v>9216209.7152440008</v>
      </c>
      <c r="FR2" s="5">
        <f t="shared" si="0"/>
        <v>9216209.7152440008</v>
      </c>
      <c r="FS2" s="5">
        <f t="shared" si="0"/>
        <v>9216209.7152440008</v>
      </c>
      <c r="FT2" s="5">
        <f t="shared" si="0"/>
        <v>9216209.7152440008</v>
      </c>
      <c r="FU2" s="5">
        <f t="shared" si="0"/>
        <v>9216209.7152440008</v>
      </c>
      <c r="FV2" s="5">
        <f t="shared" si="0"/>
        <v>9216209.7152440008</v>
      </c>
      <c r="FW2" s="5">
        <f t="shared" si="0"/>
        <v>9216209.7152440008</v>
      </c>
      <c r="FX2" s="5">
        <f t="shared" si="0"/>
        <v>9216209.7152440008</v>
      </c>
      <c r="FY2" s="5">
        <f t="shared" si="0"/>
        <v>9216209.7152440008</v>
      </c>
      <c r="FZ2" s="5">
        <f t="shared" si="0"/>
        <v>9216209.7152440008</v>
      </c>
      <c r="GA2" s="5">
        <f t="shared" si="0"/>
        <v>9216209.7152440008</v>
      </c>
      <c r="GB2" s="5">
        <f t="shared" si="0"/>
        <v>9216209.7152440008</v>
      </c>
      <c r="GC2" s="5">
        <f t="shared" si="0"/>
        <v>9216209.7152440008</v>
      </c>
      <c r="GD2" s="5">
        <f t="shared" si="0"/>
        <v>9216209.7152440008</v>
      </c>
      <c r="GE2" s="5">
        <f t="shared" si="0"/>
        <v>9216209.7152440008</v>
      </c>
      <c r="GF2" s="5">
        <f t="shared" si="0"/>
        <v>9216209.7152440008</v>
      </c>
      <c r="GG2" s="5">
        <f t="shared" si="0"/>
        <v>9216209.7152440008</v>
      </c>
      <c r="GH2" s="5">
        <f t="shared" si="0"/>
        <v>9216209.7152440008</v>
      </c>
      <c r="GI2" s="5">
        <f t="shared" si="0"/>
        <v>9216209.7152440008</v>
      </c>
      <c r="GJ2" s="5">
        <f t="shared" si="0"/>
        <v>9216209.7152440008</v>
      </c>
      <c r="GK2" s="5">
        <f t="shared" si="0"/>
        <v>9216209.7152440008</v>
      </c>
      <c r="GL2" s="5">
        <f t="shared" si="0"/>
        <v>9216209.7152440008</v>
      </c>
      <c r="GM2" s="5">
        <f t="shared" si="0"/>
        <v>9216209.7152440008</v>
      </c>
      <c r="GN2" s="5">
        <f t="shared" si="0"/>
        <v>9216209.7152440008</v>
      </c>
      <c r="GO2" s="5">
        <f t="shared" si="0"/>
        <v>9216209.7152440008</v>
      </c>
      <c r="GP2" s="5">
        <f t="shared" si="0"/>
        <v>9216209.7152440008</v>
      </c>
      <c r="GQ2" s="5">
        <f t="shared" si="0"/>
        <v>9216209.7152440008</v>
      </c>
      <c r="GR2" s="5">
        <f t="shared" si="0"/>
        <v>9216209.7152440008</v>
      </c>
      <c r="GS2" s="5">
        <f t="shared" si="0"/>
        <v>9216209.7152440008</v>
      </c>
      <c r="GT2" s="5">
        <f t="shared" si="0"/>
        <v>9216209.7152440008</v>
      </c>
      <c r="GU2" s="5">
        <f t="shared" si="0"/>
        <v>9216209.7152440008</v>
      </c>
      <c r="GV2" s="5">
        <f t="shared" si="0"/>
        <v>9216209.7152440008</v>
      </c>
      <c r="GW2" s="5">
        <f t="shared" si="0"/>
        <v>9216209.7152440008</v>
      </c>
      <c r="GX2" s="5">
        <f t="shared" si="0"/>
        <v>9216209.7152440008</v>
      </c>
      <c r="GY2" s="5">
        <f t="shared" si="0"/>
        <v>9216209.7152440008</v>
      </c>
      <c r="GZ2" s="5">
        <f t="shared" si="0"/>
        <v>9216209.7152440008</v>
      </c>
      <c r="HA2" s="5">
        <f t="shared" si="0"/>
        <v>9216209.7152440008</v>
      </c>
      <c r="HB2" s="5">
        <f t="shared" si="0"/>
        <v>9216209.7152440008</v>
      </c>
      <c r="HC2" s="5">
        <f t="shared" si="0"/>
        <v>9216209.7152440008</v>
      </c>
    </row>
    <row r="3" spans="1:211">
      <c r="A3" t="s">
        <v>90</v>
      </c>
      <c r="B3" s="5">
        <v>12180262.409500001</v>
      </c>
      <c r="C3" s="5">
        <v>12180262.409500001</v>
      </c>
      <c r="D3" s="5">
        <v>12180262.409500001</v>
      </c>
      <c r="E3" s="5">
        <v>12180262.409500001</v>
      </c>
      <c r="F3" s="5">
        <v>12180262.409500001</v>
      </c>
      <c r="G3" s="5">
        <v>12180262.409500001</v>
      </c>
      <c r="H3" s="5">
        <v>12180262.409500001</v>
      </c>
      <c r="I3" s="5">
        <v>12180262.409500001</v>
      </c>
      <c r="J3" s="5">
        <v>12180262.409500001</v>
      </c>
      <c r="K3" s="5">
        <v>12180262.409500001</v>
      </c>
      <c r="L3" s="5">
        <v>12180262.409500001</v>
      </c>
      <c r="M3" s="5">
        <v>12180262.409500001</v>
      </c>
      <c r="N3" s="5">
        <v>12180262.409500001</v>
      </c>
      <c r="O3" s="5">
        <v>12180262.409500001</v>
      </c>
      <c r="P3" s="5">
        <v>12180262.409500001</v>
      </c>
      <c r="Q3" s="5">
        <v>12180262.409500001</v>
      </c>
      <c r="R3" s="5">
        <v>12180262.409500001</v>
      </c>
      <c r="S3" s="5">
        <v>12180262.409500001</v>
      </c>
      <c r="T3" s="5">
        <v>12180262.409500001</v>
      </c>
      <c r="U3" s="5">
        <v>12180262.409500001</v>
      </c>
      <c r="V3" s="5">
        <v>12180262.409500001</v>
      </c>
      <c r="W3" s="5">
        <v>12180262.409500001</v>
      </c>
      <c r="X3" s="5">
        <v>12180262.409500001</v>
      </c>
      <c r="Y3" s="5">
        <v>12180262.409500001</v>
      </c>
      <c r="Z3" s="5">
        <v>12180262.409500001</v>
      </c>
      <c r="AA3" s="5">
        <v>12180262.409500001</v>
      </c>
      <c r="AB3" s="5">
        <v>12180262.409500001</v>
      </c>
      <c r="AC3" s="5">
        <v>12180262.409500001</v>
      </c>
      <c r="AD3" s="5">
        <v>12180262.409500001</v>
      </c>
      <c r="AE3" s="5">
        <v>12180262.409500001</v>
      </c>
      <c r="AF3" s="5">
        <v>12180262.409500001</v>
      </c>
      <c r="AG3" s="5">
        <v>12180262.409500001</v>
      </c>
      <c r="AH3" s="5">
        <v>12180262.409500001</v>
      </c>
      <c r="AI3" s="5">
        <v>12180262.409500001</v>
      </c>
      <c r="AJ3" s="5">
        <v>12180262.409500001</v>
      </c>
      <c r="AK3" s="5">
        <v>12180262.409500001</v>
      </c>
      <c r="AL3" s="5">
        <v>12180262.409500001</v>
      </c>
      <c r="AM3" s="5">
        <v>12180262.409500001</v>
      </c>
      <c r="AN3" s="5">
        <v>12180262.409500001</v>
      </c>
      <c r="AO3" s="5">
        <v>12180262.409500001</v>
      </c>
      <c r="AP3" s="5">
        <v>12180262.409500001</v>
      </c>
      <c r="AQ3" s="5">
        <v>12180262.409500001</v>
      </c>
      <c r="AR3" s="5">
        <v>12180262.409500001</v>
      </c>
      <c r="AS3" s="5">
        <v>12180262.409500001</v>
      </c>
      <c r="AT3" s="5">
        <v>12180262.409500001</v>
      </c>
      <c r="AU3" s="5">
        <v>12180262.409500001</v>
      </c>
      <c r="AV3" s="5">
        <v>12180262.409500001</v>
      </c>
      <c r="AW3" s="5">
        <v>12180262.409500001</v>
      </c>
      <c r="AX3" s="5">
        <v>12180262.409500001</v>
      </c>
      <c r="AY3" s="5">
        <v>12180262.409500001</v>
      </c>
      <c r="AZ3" s="5">
        <v>12180262.409500001</v>
      </c>
      <c r="BA3" s="5">
        <v>12180262.409500001</v>
      </c>
      <c r="BB3" s="5">
        <v>12180262.409500001</v>
      </c>
      <c r="BC3" s="5">
        <v>12180262.409500001</v>
      </c>
      <c r="BD3" s="5">
        <v>12180262.409500001</v>
      </c>
      <c r="BE3" s="5">
        <v>12180262.409500001</v>
      </c>
      <c r="BF3" s="5">
        <v>12180262.409500001</v>
      </c>
      <c r="BG3" s="5">
        <v>12180262.409500001</v>
      </c>
      <c r="BH3" s="5">
        <v>12180262.409500001</v>
      </c>
      <c r="BI3" s="5">
        <v>12180262.409500001</v>
      </c>
      <c r="BJ3" s="5">
        <v>12180262.409500001</v>
      </c>
      <c r="BK3" s="5">
        <v>12180262.409500001</v>
      </c>
      <c r="BL3" s="5">
        <v>12180262.409500001</v>
      </c>
      <c r="BM3" s="5">
        <v>12180262.409500001</v>
      </c>
      <c r="BN3" s="5">
        <v>12180262.409500001</v>
      </c>
      <c r="BO3" s="5">
        <v>12180262.409500001</v>
      </c>
      <c r="BP3" s="5">
        <v>12180262.409500001</v>
      </c>
      <c r="BQ3" s="5">
        <v>12180262.409500001</v>
      </c>
      <c r="BR3" s="5">
        <v>12180262.409500001</v>
      </c>
      <c r="BS3" s="5">
        <v>12180262.409500001</v>
      </c>
      <c r="BT3" s="5">
        <v>12180262.409500001</v>
      </c>
      <c r="BU3" s="5">
        <v>12180262.409500001</v>
      </c>
      <c r="BV3" s="5">
        <v>12180262.409500001</v>
      </c>
      <c r="BW3" s="5">
        <v>12180262.409500001</v>
      </c>
      <c r="BX3" s="5">
        <v>12180262.409500001</v>
      </c>
      <c r="BY3" s="5">
        <v>12180262.409500001</v>
      </c>
      <c r="BZ3" s="5">
        <v>12180262.409500001</v>
      </c>
      <c r="CA3" s="5">
        <v>12180262.409500001</v>
      </c>
      <c r="CB3" s="5">
        <v>12180262.409500001</v>
      </c>
      <c r="CC3" s="5">
        <v>12180262.409500001</v>
      </c>
      <c r="CD3" s="5">
        <v>12180262.409500001</v>
      </c>
      <c r="CE3" s="5">
        <v>12180262.409500001</v>
      </c>
      <c r="CF3" s="5">
        <v>12180262.409500001</v>
      </c>
      <c r="CG3" s="5">
        <v>12180262.409500001</v>
      </c>
      <c r="CH3" s="5">
        <v>12180262.409500001</v>
      </c>
      <c r="CI3" s="5">
        <v>12180262.409500001</v>
      </c>
      <c r="CJ3" s="5">
        <v>12180262.409500001</v>
      </c>
      <c r="CK3" s="5">
        <v>12180262.409500001</v>
      </c>
      <c r="CL3" s="5">
        <v>12180262.409500001</v>
      </c>
      <c r="CM3" s="5">
        <v>12180262.409500001</v>
      </c>
      <c r="CN3" s="5">
        <v>12180262.409500001</v>
      </c>
      <c r="CO3" s="5">
        <v>12180262.409500001</v>
      </c>
      <c r="CP3" s="5">
        <v>12180262.409500001</v>
      </c>
      <c r="CQ3" s="5">
        <v>12180262.409500001</v>
      </c>
      <c r="CR3" s="5">
        <v>12180262.409500001</v>
      </c>
      <c r="CS3" s="5">
        <v>12180262.409500001</v>
      </c>
      <c r="CT3" s="5">
        <v>12180262.409500001</v>
      </c>
      <c r="CU3" s="5">
        <v>12180262.409500001</v>
      </c>
      <c r="CV3" s="5">
        <v>12180262.409500001</v>
      </c>
      <c r="CW3" s="5">
        <v>12180262.409500001</v>
      </c>
      <c r="CX3" s="5">
        <v>12180262.409500001</v>
      </c>
      <c r="CY3" s="5">
        <v>12180262.409500001</v>
      </c>
      <c r="CZ3" s="5">
        <v>12180262.409500001</v>
      </c>
      <c r="DA3" s="5">
        <v>12180262.409500001</v>
      </c>
      <c r="DB3" s="5">
        <v>12180262.409500001</v>
      </c>
      <c r="DC3" s="5">
        <v>12180262.409500001</v>
      </c>
      <c r="DD3" s="5">
        <v>12180262.409500001</v>
      </c>
      <c r="DE3" s="5">
        <v>12180262.409500001</v>
      </c>
      <c r="DF3" s="5">
        <v>12180262.409500001</v>
      </c>
      <c r="DG3" s="5">
        <v>12180262.409500001</v>
      </c>
      <c r="DH3" s="5">
        <v>12180262.409500001</v>
      </c>
      <c r="DI3" s="5">
        <v>12180262.409500001</v>
      </c>
      <c r="DJ3" s="5">
        <v>12180262.409500001</v>
      </c>
      <c r="DK3" s="5">
        <v>12180262.409500001</v>
      </c>
      <c r="DL3" s="5">
        <v>12180262.409500001</v>
      </c>
      <c r="DM3" s="5">
        <v>12180262.409500001</v>
      </c>
      <c r="DN3" s="5">
        <v>12180262.409500001</v>
      </c>
      <c r="DO3" s="5">
        <v>12180262.409500001</v>
      </c>
      <c r="DP3" s="5">
        <v>12180262.409500001</v>
      </c>
      <c r="DQ3" s="5">
        <v>12180262.409500001</v>
      </c>
      <c r="DR3" s="5">
        <v>12180262.409500001</v>
      </c>
      <c r="DS3" s="5">
        <v>12180262.409500001</v>
      </c>
      <c r="DT3" s="5">
        <v>12180262.409500001</v>
      </c>
      <c r="DU3" s="5">
        <v>12180262.409500001</v>
      </c>
      <c r="DV3" s="5">
        <v>12180262.409500001</v>
      </c>
      <c r="DW3" s="5">
        <v>12180262.409500001</v>
      </c>
      <c r="DX3" s="5">
        <v>12180262.409500001</v>
      </c>
      <c r="DY3" s="5">
        <v>12180262.409500001</v>
      </c>
      <c r="DZ3" s="5">
        <v>12180262.409500001</v>
      </c>
      <c r="EA3" s="5">
        <f>'BAU Heat Rate - 2020'!D7</f>
        <v>12180262.409500001</v>
      </c>
      <c r="EB3" s="5">
        <f>'BAU Heat Rate - 2020'!D34</f>
        <v>12099192.848997701</v>
      </c>
      <c r="EC3" s="5">
        <f>'BAU Heat Rate - 2020'!E34</f>
        <v>12018123.288495401</v>
      </c>
      <c r="ED3" s="5">
        <f>'BAU Heat Rate - 2020'!F34</f>
        <v>11937053.727993101</v>
      </c>
      <c r="EE3" s="5">
        <f>'BAU Heat Rate - 2020'!G34</f>
        <v>11855984.167490801</v>
      </c>
      <c r="EF3" s="5">
        <f>'BAU Heat Rate - 2020'!H34</f>
        <v>11774914.606988501</v>
      </c>
      <c r="EG3" s="5">
        <f>'BAU Heat Rate - 2020'!I34</f>
        <v>11693845.046486201</v>
      </c>
      <c r="EH3" s="5">
        <f>'BAU Heat Rate - 2020'!J34</f>
        <v>11612775.485983901</v>
      </c>
      <c r="EI3" s="5">
        <f>'BAU Heat Rate - 2020'!K34</f>
        <v>11531705.925481601</v>
      </c>
      <c r="EJ3" s="5">
        <f>'BAU Heat Rate - 2020'!L34</f>
        <v>11450636.364979301</v>
      </c>
      <c r="EK3" s="5">
        <f>'BAU Heat Rate - 2020'!M34</f>
        <v>11369566.804477001</v>
      </c>
      <c r="EL3" s="5">
        <f>'BAU Heat Rate - 2020'!N34</f>
        <v>11298581.368202101</v>
      </c>
      <c r="EM3" s="5">
        <f>'BAU Heat Rate - 2020'!O34</f>
        <v>11227595.9319272</v>
      </c>
      <c r="EN3" s="5">
        <f>'BAU Heat Rate - 2020'!P34</f>
        <v>11156610.495652299</v>
      </c>
      <c r="EO3" s="5">
        <f>'BAU Heat Rate - 2020'!Q34</f>
        <v>11085625.059377398</v>
      </c>
      <c r="EP3" s="5">
        <f>'BAU Heat Rate - 2020'!R34</f>
        <v>11014639.623102497</v>
      </c>
      <c r="EQ3" s="5">
        <f>'BAU Heat Rate - 2020'!S34</f>
        <v>10943654.186827596</v>
      </c>
      <c r="ER3" s="5">
        <f>'BAU Heat Rate - 2020'!T34</f>
        <v>10872668.750552695</v>
      </c>
      <c r="ES3" s="5">
        <f>'BAU Heat Rate - 2020'!U34</f>
        <v>10801683.314277794</v>
      </c>
      <c r="ET3" s="5">
        <f>'BAU Heat Rate - 2020'!V34</f>
        <v>10730697.878002893</v>
      </c>
      <c r="EU3" s="5">
        <f>'BAU Heat Rate - 2020'!W34</f>
        <v>10659712.441728</v>
      </c>
      <c r="EV3" s="5">
        <f>'BAU Heat Rate - 2020'!X34</f>
        <v>10596658.3391151</v>
      </c>
      <c r="EW3" s="5">
        <f>'BAU Heat Rate - 2020'!Y34</f>
        <v>10533604.2365022</v>
      </c>
      <c r="EX3" s="5">
        <f>'BAU Heat Rate - 2020'!Z34</f>
        <v>10470550.133889301</v>
      </c>
      <c r="EY3" s="5">
        <f>'BAU Heat Rate - 2020'!AA34</f>
        <v>10407496.031276401</v>
      </c>
      <c r="EZ3" s="5">
        <f>'BAU Heat Rate - 2020'!AB34</f>
        <v>10344441.928663502</v>
      </c>
      <c r="FA3" s="5">
        <f>'BAU Heat Rate - 2020'!AC34</f>
        <v>10281387.826050602</v>
      </c>
      <c r="FB3" s="5">
        <f>'BAU Heat Rate - 2020'!AD34</f>
        <v>10218333.723437702</v>
      </c>
      <c r="FC3" s="5">
        <f>'BAU Heat Rate - 2020'!AE34</f>
        <v>10155279.620824803</v>
      </c>
      <c r="FD3" s="5">
        <f>'BAU Heat Rate - 2020'!AF34</f>
        <v>10092225.518211903</v>
      </c>
      <c r="FE3" s="5">
        <f>'BAU Heat Rate - 2020'!AG34</f>
        <v>10029171.415599</v>
      </c>
      <c r="FF3" s="5">
        <f>FE3</f>
        <v>10029171.415599</v>
      </c>
      <c r="FG3" s="5">
        <f t="shared" ref="FG3:HC3" si="1">FF3</f>
        <v>10029171.415599</v>
      </c>
      <c r="FH3" s="5">
        <f t="shared" si="1"/>
        <v>10029171.415599</v>
      </c>
      <c r="FI3" s="5">
        <f t="shared" si="1"/>
        <v>10029171.415599</v>
      </c>
      <c r="FJ3" s="5">
        <f t="shared" si="1"/>
        <v>10029171.415599</v>
      </c>
      <c r="FK3" s="5">
        <f t="shared" si="1"/>
        <v>10029171.415599</v>
      </c>
      <c r="FL3" s="5">
        <f t="shared" si="1"/>
        <v>10029171.415599</v>
      </c>
      <c r="FM3" s="5">
        <f t="shared" si="1"/>
        <v>10029171.415599</v>
      </c>
      <c r="FN3" s="5">
        <f t="shared" si="1"/>
        <v>10029171.415599</v>
      </c>
      <c r="FO3" s="5">
        <f t="shared" si="1"/>
        <v>10029171.415599</v>
      </c>
      <c r="FP3" s="5">
        <f t="shared" si="1"/>
        <v>10029171.415599</v>
      </c>
      <c r="FQ3" s="5">
        <f t="shared" si="1"/>
        <v>10029171.415599</v>
      </c>
      <c r="FR3" s="5">
        <f t="shared" si="1"/>
        <v>10029171.415599</v>
      </c>
      <c r="FS3" s="5">
        <f t="shared" si="1"/>
        <v>10029171.415599</v>
      </c>
      <c r="FT3" s="5">
        <f t="shared" si="1"/>
        <v>10029171.415599</v>
      </c>
      <c r="FU3" s="5">
        <f t="shared" si="1"/>
        <v>10029171.415599</v>
      </c>
      <c r="FV3" s="5">
        <f t="shared" si="1"/>
        <v>10029171.415599</v>
      </c>
      <c r="FW3" s="5">
        <f t="shared" si="1"/>
        <v>10029171.415599</v>
      </c>
      <c r="FX3" s="5">
        <f t="shared" si="1"/>
        <v>10029171.415599</v>
      </c>
      <c r="FY3" s="5">
        <f t="shared" si="1"/>
        <v>10029171.415599</v>
      </c>
      <c r="FZ3" s="5">
        <f t="shared" si="1"/>
        <v>10029171.415599</v>
      </c>
      <c r="GA3" s="5">
        <f t="shared" si="1"/>
        <v>10029171.415599</v>
      </c>
      <c r="GB3" s="5">
        <f t="shared" si="1"/>
        <v>10029171.415599</v>
      </c>
      <c r="GC3" s="5">
        <f t="shared" si="1"/>
        <v>10029171.415599</v>
      </c>
      <c r="GD3" s="5">
        <f t="shared" si="1"/>
        <v>10029171.415599</v>
      </c>
      <c r="GE3" s="5">
        <f t="shared" si="1"/>
        <v>10029171.415599</v>
      </c>
      <c r="GF3" s="5">
        <f t="shared" si="1"/>
        <v>10029171.415599</v>
      </c>
      <c r="GG3" s="5">
        <f t="shared" si="1"/>
        <v>10029171.415599</v>
      </c>
      <c r="GH3" s="5">
        <f t="shared" si="1"/>
        <v>10029171.415599</v>
      </c>
      <c r="GI3" s="5">
        <f t="shared" si="1"/>
        <v>10029171.415599</v>
      </c>
      <c r="GJ3" s="5">
        <f t="shared" si="1"/>
        <v>10029171.415599</v>
      </c>
      <c r="GK3" s="5">
        <f t="shared" si="1"/>
        <v>10029171.415599</v>
      </c>
      <c r="GL3" s="5">
        <f t="shared" si="1"/>
        <v>10029171.415599</v>
      </c>
      <c r="GM3" s="5">
        <f t="shared" si="1"/>
        <v>10029171.415599</v>
      </c>
      <c r="GN3" s="5">
        <f t="shared" si="1"/>
        <v>10029171.415599</v>
      </c>
      <c r="GO3" s="5">
        <f t="shared" si="1"/>
        <v>10029171.415599</v>
      </c>
      <c r="GP3" s="5">
        <f t="shared" si="1"/>
        <v>10029171.415599</v>
      </c>
      <c r="GQ3" s="5">
        <f t="shared" si="1"/>
        <v>10029171.415599</v>
      </c>
      <c r="GR3" s="5">
        <f t="shared" si="1"/>
        <v>10029171.415599</v>
      </c>
      <c r="GS3" s="5">
        <f t="shared" si="1"/>
        <v>10029171.415599</v>
      </c>
      <c r="GT3" s="5">
        <f t="shared" si="1"/>
        <v>10029171.415599</v>
      </c>
      <c r="GU3" s="5">
        <f t="shared" si="1"/>
        <v>10029171.415599</v>
      </c>
      <c r="GV3" s="5">
        <f t="shared" si="1"/>
        <v>10029171.415599</v>
      </c>
      <c r="GW3" s="5">
        <f t="shared" si="1"/>
        <v>10029171.415599</v>
      </c>
      <c r="GX3" s="5">
        <f t="shared" si="1"/>
        <v>10029171.415599</v>
      </c>
      <c r="GY3" s="5">
        <f t="shared" si="1"/>
        <v>10029171.415599</v>
      </c>
      <c r="GZ3" s="5">
        <f t="shared" si="1"/>
        <v>10029171.415599</v>
      </c>
      <c r="HA3" s="5">
        <f t="shared" si="1"/>
        <v>10029171.415599</v>
      </c>
      <c r="HB3" s="5">
        <f t="shared" si="1"/>
        <v>10029171.415599</v>
      </c>
      <c r="HC3" s="5">
        <f t="shared" si="1"/>
        <v>10029171.415599</v>
      </c>
    </row>
    <row r="4" spans="1:211">
      <c r="A4" t="s">
        <v>91</v>
      </c>
      <c r="B4" s="5">
        <v>5643143.9005129999</v>
      </c>
      <c r="C4" s="5">
        <v>5643143.9005129999</v>
      </c>
      <c r="D4" s="5">
        <v>5643143.9005129999</v>
      </c>
      <c r="E4" s="5">
        <v>5643143.9005129999</v>
      </c>
      <c r="F4" s="5">
        <v>5643143.9005129999</v>
      </c>
      <c r="G4" s="5">
        <v>5643143.9005129999</v>
      </c>
      <c r="H4" s="5">
        <v>5643143.9005129999</v>
      </c>
      <c r="I4" s="5">
        <v>5643143.9005129999</v>
      </c>
      <c r="J4" s="5">
        <v>5643143.9005129999</v>
      </c>
      <c r="K4" s="5">
        <v>5643143.9005129999</v>
      </c>
      <c r="L4" s="5">
        <v>5643143.9005129999</v>
      </c>
      <c r="M4" s="5">
        <v>5643143.9005129999</v>
      </c>
      <c r="N4" s="5">
        <v>5643143.9005129999</v>
      </c>
      <c r="O4" s="5">
        <v>5643143.9005129999</v>
      </c>
      <c r="P4" s="5">
        <v>5643143.9005129999</v>
      </c>
      <c r="Q4" s="5">
        <v>5643143.9005129999</v>
      </c>
      <c r="R4" s="5">
        <v>5643143.9005129999</v>
      </c>
      <c r="S4" s="5">
        <v>5643143.9005129999</v>
      </c>
      <c r="T4" s="5">
        <v>5643143.9005129999</v>
      </c>
      <c r="U4" s="5">
        <v>5643143.9005129999</v>
      </c>
      <c r="V4" s="5">
        <v>5643143.9005129999</v>
      </c>
      <c r="W4" s="5">
        <v>5643143.9005129999</v>
      </c>
      <c r="X4" s="5">
        <v>5643143.9005129999</v>
      </c>
      <c r="Y4" s="5">
        <v>5643143.9005129999</v>
      </c>
      <c r="Z4" s="5">
        <v>5643143.9005129999</v>
      </c>
      <c r="AA4" s="5">
        <v>5643143.9005129999</v>
      </c>
      <c r="AB4" s="5">
        <v>5643143.9005129999</v>
      </c>
      <c r="AC4" s="5">
        <v>5643143.9005129999</v>
      </c>
      <c r="AD4" s="5">
        <v>5643143.9005129999</v>
      </c>
      <c r="AE4" s="5">
        <v>5643143.9005129999</v>
      </c>
      <c r="AF4" s="5">
        <v>5643143.9005129999</v>
      </c>
      <c r="AG4" s="5">
        <v>5643143.9005129999</v>
      </c>
      <c r="AH4" s="5">
        <v>5643143.9005129999</v>
      </c>
      <c r="AI4" s="5">
        <v>5643143.9005129999</v>
      </c>
      <c r="AJ4" s="5">
        <v>5643143.9005129999</v>
      </c>
      <c r="AK4" s="5">
        <v>5643143.9005129999</v>
      </c>
      <c r="AL4" s="5">
        <v>5643143.9005129999</v>
      </c>
      <c r="AM4" s="5">
        <v>5643143.9005129999</v>
      </c>
      <c r="AN4" s="5">
        <v>5643143.9005129999</v>
      </c>
      <c r="AO4" s="5">
        <v>5643143.9005129999</v>
      </c>
      <c r="AP4" s="5">
        <v>5643143.9005129999</v>
      </c>
      <c r="AQ4" s="5">
        <v>5643143.9005129999</v>
      </c>
      <c r="AR4" s="5">
        <v>5643143.9005129999</v>
      </c>
      <c r="AS4" s="5">
        <v>5643143.9005129999</v>
      </c>
      <c r="AT4" s="5">
        <v>5643143.9005129999</v>
      </c>
      <c r="AU4" s="5">
        <v>5643143.9005129999</v>
      </c>
      <c r="AV4" s="5">
        <v>5643143.9005129999</v>
      </c>
      <c r="AW4" s="5">
        <v>5643143.9005129999</v>
      </c>
      <c r="AX4" s="5">
        <v>5643143.9005129999</v>
      </c>
      <c r="AY4" s="5">
        <v>5643143.9005129999</v>
      </c>
      <c r="AZ4" s="5">
        <v>5643143.9005129999</v>
      </c>
      <c r="BA4" s="5">
        <v>5643143.9005129999</v>
      </c>
      <c r="BB4" s="5">
        <v>5643143.9005129999</v>
      </c>
      <c r="BC4" s="5">
        <v>5643143.9005129999</v>
      </c>
      <c r="BD4" s="5">
        <v>5643143.9005129999</v>
      </c>
      <c r="BE4" s="5">
        <v>5643143.9005129999</v>
      </c>
      <c r="BF4" s="5">
        <v>5643143.9005129999</v>
      </c>
      <c r="BG4" s="5">
        <v>5643143.9005129999</v>
      </c>
      <c r="BH4" s="5">
        <v>5643143.9005129999</v>
      </c>
      <c r="BI4" s="5">
        <v>5643143.9005129999</v>
      </c>
      <c r="BJ4" s="5">
        <v>5643143.9005129999</v>
      </c>
      <c r="BK4" s="5">
        <v>5643143.9005129999</v>
      </c>
      <c r="BL4" s="5">
        <v>5643143.9005129999</v>
      </c>
      <c r="BM4" s="5">
        <v>5643143.9005129999</v>
      </c>
      <c r="BN4" s="5">
        <v>5643143.9005129999</v>
      </c>
      <c r="BO4" s="5">
        <v>5643143.9005129999</v>
      </c>
      <c r="BP4" s="5">
        <v>5643143.9005129999</v>
      </c>
      <c r="BQ4" s="5">
        <v>5643143.9005129999</v>
      </c>
      <c r="BR4" s="5">
        <v>5643143.9005129999</v>
      </c>
      <c r="BS4" s="5">
        <v>5643143.9005129999</v>
      </c>
      <c r="BT4" s="5">
        <v>5643143.9005129999</v>
      </c>
      <c r="BU4" s="5">
        <v>5643143.9005129999</v>
      </c>
      <c r="BV4" s="5">
        <v>5643143.9005129999</v>
      </c>
      <c r="BW4" s="5">
        <v>5643143.9005129999</v>
      </c>
      <c r="BX4" s="5">
        <v>5643143.9005129999</v>
      </c>
      <c r="BY4" s="5">
        <v>5643143.9005129999</v>
      </c>
      <c r="BZ4" s="5">
        <v>5643143.9005129999</v>
      </c>
      <c r="CA4" s="5">
        <v>5643143.9005129999</v>
      </c>
      <c r="CB4" s="5">
        <v>5643143.9005129999</v>
      </c>
      <c r="CC4" s="5">
        <v>5643143.9005129999</v>
      </c>
      <c r="CD4" s="5">
        <v>5643143.9005129999</v>
      </c>
      <c r="CE4" s="5">
        <v>5643143.9005129999</v>
      </c>
      <c r="CF4" s="5">
        <v>5643143.9005129999</v>
      </c>
      <c r="CG4" s="5">
        <v>5643143.9005129999</v>
      </c>
      <c r="CH4" s="5">
        <v>5643143.9005129999</v>
      </c>
      <c r="CI4" s="5">
        <v>5643143.9005129999</v>
      </c>
      <c r="CJ4" s="5">
        <v>5643143.9005129999</v>
      </c>
      <c r="CK4" s="5">
        <v>5643143.9005129999</v>
      </c>
      <c r="CL4" s="5">
        <v>5643143.9005129999</v>
      </c>
      <c r="CM4" s="5">
        <v>5643143.9005129999</v>
      </c>
      <c r="CN4" s="5">
        <v>5643143.9005129999</v>
      </c>
      <c r="CO4" s="5">
        <v>5643143.9005129999</v>
      </c>
      <c r="CP4" s="5">
        <v>5643143.9005129999</v>
      </c>
      <c r="CQ4" s="5">
        <v>5643143.9005129999</v>
      </c>
      <c r="CR4" s="5">
        <v>5643143.9005129999</v>
      </c>
      <c r="CS4" s="5">
        <v>5643143.9005129999</v>
      </c>
      <c r="CT4" s="5">
        <v>5643143.9005129999</v>
      </c>
      <c r="CU4" s="5">
        <v>5643143.9005129999</v>
      </c>
      <c r="CV4" s="5">
        <v>5643143.9005129999</v>
      </c>
      <c r="CW4" s="5">
        <v>5643143.9005129999</v>
      </c>
      <c r="CX4" s="5">
        <v>5643143.9005129999</v>
      </c>
      <c r="CY4" s="5">
        <v>5643143.9005129999</v>
      </c>
      <c r="CZ4" s="5">
        <v>5643143.9005129999</v>
      </c>
      <c r="DA4" s="5">
        <v>5643143.9005129999</v>
      </c>
      <c r="DB4" s="5">
        <v>5643143.9005129999</v>
      </c>
      <c r="DC4" s="5">
        <v>5643143.9005129999</v>
      </c>
      <c r="DD4" s="5">
        <v>5643143.9005129999</v>
      </c>
      <c r="DE4" s="5">
        <v>5643143.9005129999</v>
      </c>
      <c r="DF4" s="5">
        <v>5643143.9005129999</v>
      </c>
      <c r="DG4" s="5">
        <v>5643143.9005129999</v>
      </c>
      <c r="DH4" s="5">
        <v>5643143.9005129999</v>
      </c>
      <c r="DI4" s="5">
        <v>5643143.9005129999</v>
      </c>
      <c r="DJ4" s="5">
        <v>5643143.9005129999</v>
      </c>
      <c r="DK4" s="5">
        <v>5643143.9005129999</v>
      </c>
      <c r="DL4" s="5">
        <v>5643143.9005129999</v>
      </c>
      <c r="DM4" s="5">
        <v>5643143.9005129999</v>
      </c>
      <c r="DN4" s="5">
        <v>5643143.9005129999</v>
      </c>
      <c r="DO4" s="5">
        <v>5643143.9005129999</v>
      </c>
      <c r="DP4" s="5">
        <v>5643143.9005129999</v>
      </c>
      <c r="DQ4" s="5">
        <v>5643143.9005129999</v>
      </c>
      <c r="DR4" s="5">
        <v>5643143.9005129999</v>
      </c>
      <c r="DS4" s="5">
        <v>5643143.9005129999</v>
      </c>
      <c r="DT4" s="5">
        <v>5643143.9005129999</v>
      </c>
      <c r="DU4" s="5">
        <v>5643143.9005129999</v>
      </c>
      <c r="DV4" s="5">
        <v>5643143.9005129999</v>
      </c>
      <c r="DW4" s="5">
        <v>5643143.9005129999</v>
      </c>
      <c r="DX4" s="5">
        <v>5643143.9005129999</v>
      </c>
      <c r="DY4" s="5">
        <v>5643143.9005129999</v>
      </c>
      <c r="DZ4" s="5">
        <v>5643143.9005129999</v>
      </c>
      <c r="EA4" s="5">
        <f>'BAU Heat Rate - 2020'!D8</f>
        <v>5643143.9005129999</v>
      </c>
      <c r="EB4" s="5">
        <f>'BAU Heat Rate - 2020'!D35</f>
        <v>5624901.8330904003</v>
      </c>
      <c r="EC4" s="5">
        <f>'BAU Heat Rate - 2020'!E35</f>
        <v>5606659.7656677999</v>
      </c>
      <c r="ED4" s="5">
        <f>'BAU Heat Rate - 2020'!F35</f>
        <v>5588417.6982451994</v>
      </c>
      <c r="EE4" s="5">
        <f>'BAU Heat Rate - 2020'!G35</f>
        <v>5570175.6308225989</v>
      </c>
      <c r="EF4" s="5">
        <f>'BAU Heat Rate - 2020'!H35</f>
        <v>5551933.5633999985</v>
      </c>
      <c r="EG4" s="5">
        <f>'BAU Heat Rate - 2020'!I35</f>
        <v>5533691.495977398</v>
      </c>
      <c r="EH4" s="5">
        <f>'BAU Heat Rate - 2020'!J35</f>
        <v>5515449.4285547975</v>
      </c>
      <c r="EI4" s="5">
        <f>'BAU Heat Rate - 2020'!K35</f>
        <v>5497207.3611321971</v>
      </c>
      <c r="EJ4" s="5">
        <f>'BAU Heat Rate - 2020'!L35</f>
        <v>5478965.2937095966</v>
      </c>
      <c r="EK4" s="5">
        <f>'BAU Heat Rate - 2020'!M35</f>
        <v>5460723.2262869999</v>
      </c>
      <c r="EL4" s="5">
        <f>'BAU Heat Rate - 2020'!N35</f>
        <v>5443670.8589137001</v>
      </c>
      <c r="EM4" s="5">
        <f>'BAU Heat Rate - 2020'!O35</f>
        <v>5426618.4915404003</v>
      </c>
      <c r="EN4" s="5">
        <f>'BAU Heat Rate - 2020'!P35</f>
        <v>5409566.1241671005</v>
      </c>
      <c r="EO4" s="5">
        <f>'BAU Heat Rate - 2020'!Q35</f>
        <v>5392513.7567938007</v>
      </c>
      <c r="EP4" s="5">
        <f>'BAU Heat Rate - 2020'!R35</f>
        <v>5375461.389420501</v>
      </c>
      <c r="EQ4" s="5">
        <f>'BAU Heat Rate - 2020'!S35</f>
        <v>5358409.0220472012</v>
      </c>
      <c r="ER4" s="5">
        <f>'BAU Heat Rate - 2020'!T35</f>
        <v>5341356.6546739014</v>
      </c>
      <c r="ES4" s="5">
        <f>'BAU Heat Rate - 2020'!U35</f>
        <v>5324304.2873006016</v>
      </c>
      <c r="ET4" s="5">
        <f>'BAU Heat Rate - 2020'!V35</f>
        <v>5307251.9199273018</v>
      </c>
      <c r="EU4" s="5">
        <f>'BAU Heat Rate - 2020'!W35</f>
        <v>5290199.5525540002</v>
      </c>
      <c r="EV4" s="5">
        <f>'BAU Heat Rate - 2020'!X35</f>
        <v>5274336.8852300001</v>
      </c>
      <c r="EW4" s="5">
        <f>'BAU Heat Rate - 2020'!Y35</f>
        <v>5258474.2179060001</v>
      </c>
      <c r="EX4" s="5">
        <f>'BAU Heat Rate - 2020'!Z35</f>
        <v>5242611.5505820001</v>
      </c>
      <c r="EY4" s="5">
        <f>'BAU Heat Rate - 2020'!AA35</f>
        <v>5226748.883258</v>
      </c>
      <c r="EZ4" s="5">
        <f>'BAU Heat Rate - 2020'!AB35</f>
        <v>5210886.215934</v>
      </c>
      <c r="FA4" s="5">
        <f>'BAU Heat Rate - 2020'!AC35</f>
        <v>5195023.5486099999</v>
      </c>
      <c r="FB4" s="5">
        <f>'BAU Heat Rate - 2020'!AD35</f>
        <v>5179160.8812859999</v>
      </c>
      <c r="FC4" s="5">
        <f>'BAU Heat Rate - 2020'!AE35</f>
        <v>5163298.2139619999</v>
      </c>
      <c r="FD4" s="5">
        <f>'BAU Heat Rate - 2020'!AF35</f>
        <v>5147435.5466379998</v>
      </c>
      <c r="FE4" s="5">
        <f>'BAU Heat Rate - 2020'!AG35</f>
        <v>5131572.8793139998</v>
      </c>
      <c r="FF4" s="5">
        <f>FE4</f>
        <v>5131572.8793139998</v>
      </c>
      <c r="FG4" s="5">
        <f t="shared" ref="FG4:HC4" si="2">FF4</f>
        <v>5131572.8793139998</v>
      </c>
      <c r="FH4" s="5">
        <f t="shared" si="2"/>
        <v>5131572.8793139998</v>
      </c>
      <c r="FI4" s="5">
        <f t="shared" si="2"/>
        <v>5131572.8793139998</v>
      </c>
      <c r="FJ4" s="5">
        <f t="shared" si="2"/>
        <v>5131572.8793139998</v>
      </c>
      <c r="FK4" s="5">
        <f t="shared" si="2"/>
        <v>5131572.8793139998</v>
      </c>
      <c r="FL4" s="5">
        <f t="shared" si="2"/>
        <v>5131572.8793139998</v>
      </c>
      <c r="FM4" s="5">
        <f t="shared" si="2"/>
        <v>5131572.8793139998</v>
      </c>
      <c r="FN4" s="5">
        <f t="shared" si="2"/>
        <v>5131572.8793139998</v>
      </c>
      <c r="FO4" s="5">
        <f t="shared" si="2"/>
        <v>5131572.8793139998</v>
      </c>
      <c r="FP4" s="5">
        <f t="shared" si="2"/>
        <v>5131572.8793139998</v>
      </c>
      <c r="FQ4" s="5">
        <f t="shared" si="2"/>
        <v>5131572.8793139998</v>
      </c>
      <c r="FR4" s="5">
        <f t="shared" si="2"/>
        <v>5131572.8793139998</v>
      </c>
      <c r="FS4" s="5">
        <f t="shared" si="2"/>
        <v>5131572.8793139998</v>
      </c>
      <c r="FT4" s="5">
        <f t="shared" si="2"/>
        <v>5131572.8793139998</v>
      </c>
      <c r="FU4" s="5">
        <f t="shared" si="2"/>
        <v>5131572.8793139998</v>
      </c>
      <c r="FV4" s="5">
        <f t="shared" si="2"/>
        <v>5131572.8793139998</v>
      </c>
      <c r="FW4" s="5">
        <f t="shared" si="2"/>
        <v>5131572.8793139998</v>
      </c>
      <c r="FX4" s="5">
        <f t="shared" si="2"/>
        <v>5131572.8793139998</v>
      </c>
      <c r="FY4" s="5">
        <f t="shared" si="2"/>
        <v>5131572.8793139998</v>
      </c>
      <c r="FZ4" s="5">
        <f t="shared" si="2"/>
        <v>5131572.8793139998</v>
      </c>
      <c r="GA4" s="5">
        <f t="shared" si="2"/>
        <v>5131572.8793139998</v>
      </c>
      <c r="GB4" s="5">
        <f t="shared" si="2"/>
        <v>5131572.8793139998</v>
      </c>
      <c r="GC4" s="5">
        <f t="shared" si="2"/>
        <v>5131572.8793139998</v>
      </c>
      <c r="GD4" s="5">
        <f t="shared" si="2"/>
        <v>5131572.8793139998</v>
      </c>
      <c r="GE4" s="5">
        <f t="shared" si="2"/>
        <v>5131572.8793139998</v>
      </c>
      <c r="GF4" s="5">
        <f t="shared" si="2"/>
        <v>5131572.8793139998</v>
      </c>
      <c r="GG4" s="5">
        <f t="shared" si="2"/>
        <v>5131572.8793139998</v>
      </c>
      <c r="GH4" s="5">
        <f t="shared" si="2"/>
        <v>5131572.8793139998</v>
      </c>
      <c r="GI4" s="5">
        <f t="shared" si="2"/>
        <v>5131572.8793139998</v>
      </c>
      <c r="GJ4" s="5">
        <f t="shared" si="2"/>
        <v>5131572.8793139998</v>
      </c>
      <c r="GK4" s="5">
        <f t="shared" si="2"/>
        <v>5131572.8793139998</v>
      </c>
      <c r="GL4" s="5">
        <f t="shared" si="2"/>
        <v>5131572.8793139998</v>
      </c>
      <c r="GM4" s="5">
        <f t="shared" si="2"/>
        <v>5131572.8793139998</v>
      </c>
      <c r="GN4" s="5">
        <f t="shared" si="2"/>
        <v>5131572.8793139998</v>
      </c>
      <c r="GO4" s="5">
        <f t="shared" si="2"/>
        <v>5131572.8793139998</v>
      </c>
      <c r="GP4" s="5">
        <f t="shared" si="2"/>
        <v>5131572.8793139998</v>
      </c>
      <c r="GQ4" s="5">
        <f t="shared" si="2"/>
        <v>5131572.8793139998</v>
      </c>
      <c r="GR4" s="5">
        <f t="shared" si="2"/>
        <v>5131572.8793139998</v>
      </c>
      <c r="GS4" s="5">
        <f t="shared" si="2"/>
        <v>5131572.8793139998</v>
      </c>
      <c r="GT4" s="5">
        <f t="shared" si="2"/>
        <v>5131572.8793139998</v>
      </c>
      <c r="GU4" s="5">
        <f t="shared" si="2"/>
        <v>5131572.8793139998</v>
      </c>
      <c r="GV4" s="5">
        <f t="shared" si="2"/>
        <v>5131572.8793139998</v>
      </c>
      <c r="GW4" s="5">
        <f t="shared" si="2"/>
        <v>5131572.8793139998</v>
      </c>
      <c r="GX4" s="5">
        <f t="shared" si="2"/>
        <v>5131572.8793139998</v>
      </c>
      <c r="GY4" s="5">
        <f t="shared" si="2"/>
        <v>5131572.8793139998</v>
      </c>
      <c r="GZ4" s="5">
        <f t="shared" si="2"/>
        <v>5131572.8793139998</v>
      </c>
      <c r="HA4" s="5">
        <f t="shared" si="2"/>
        <v>5131572.8793139998</v>
      </c>
      <c r="HB4" s="5">
        <f t="shared" si="2"/>
        <v>5131572.8793139998</v>
      </c>
      <c r="HC4" s="5">
        <f t="shared" si="2"/>
        <v>5131572.8793139998</v>
      </c>
    </row>
    <row r="5" spans="1:211">
      <c r="A5" t="s">
        <v>92</v>
      </c>
      <c r="B5" s="5">
        <v>11012656.789687</v>
      </c>
      <c r="C5" s="5">
        <v>11012656.789687</v>
      </c>
      <c r="D5" s="5">
        <v>11012656.789687</v>
      </c>
      <c r="E5" s="5">
        <v>11012656.789687</v>
      </c>
      <c r="F5" s="5">
        <v>11012656.789687</v>
      </c>
      <c r="G5" s="5">
        <v>11012656.789687</v>
      </c>
      <c r="H5" s="5">
        <v>11012656.789687</v>
      </c>
      <c r="I5" s="5">
        <v>11012656.789687</v>
      </c>
      <c r="J5" s="5">
        <v>11012656.789687</v>
      </c>
      <c r="K5" s="5">
        <v>11012656.789687</v>
      </c>
      <c r="L5" s="5">
        <v>11012656.789687</v>
      </c>
      <c r="M5" s="5">
        <v>11012656.789687</v>
      </c>
      <c r="N5" s="5">
        <v>11012656.789687</v>
      </c>
      <c r="O5" s="5">
        <v>11012656.789687</v>
      </c>
      <c r="P5" s="5">
        <v>11012656.789687</v>
      </c>
      <c r="Q5" s="5">
        <v>11012656.789687</v>
      </c>
      <c r="R5" s="5">
        <v>11012656.789687</v>
      </c>
      <c r="S5" s="5">
        <v>11012656.789687</v>
      </c>
      <c r="T5" s="5">
        <v>11012656.789687</v>
      </c>
      <c r="U5" s="5">
        <v>11012656.789687</v>
      </c>
      <c r="V5" s="5">
        <v>11012656.789687</v>
      </c>
      <c r="W5" s="5">
        <v>11012656.789687</v>
      </c>
      <c r="X5" s="5">
        <v>11012656.789687</v>
      </c>
      <c r="Y5" s="5">
        <v>11012656.789687</v>
      </c>
      <c r="Z5" s="5">
        <v>11012656.789687</v>
      </c>
      <c r="AA5" s="5">
        <v>11012656.789687</v>
      </c>
      <c r="AB5" s="5">
        <v>11012656.789687</v>
      </c>
      <c r="AC5" s="5">
        <v>11012656.789687</v>
      </c>
      <c r="AD5" s="5">
        <v>11012656.789687</v>
      </c>
      <c r="AE5" s="5">
        <v>11012656.789687</v>
      </c>
      <c r="AF5" s="5">
        <v>11012656.789687</v>
      </c>
      <c r="AG5" s="5">
        <v>11012656.789687</v>
      </c>
      <c r="AH5" s="5">
        <v>11012656.789687</v>
      </c>
      <c r="AI5" s="5">
        <v>11012656.789687</v>
      </c>
      <c r="AJ5" s="5">
        <v>11012656.789687</v>
      </c>
      <c r="AK5" s="5">
        <v>11012656.789687</v>
      </c>
      <c r="AL5" s="5">
        <v>11012656.789687</v>
      </c>
      <c r="AM5" s="5">
        <v>11012656.789687</v>
      </c>
      <c r="AN5" s="5">
        <v>11012656.789687</v>
      </c>
      <c r="AO5" s="5">
        <v>11012656.789687</v>
      </c>
      <c r="AP5" s="5">
        <v>11012656.789687</v>
      </c>
      <c r="AQ5" s="5">
        <v>11012656.789687</v>
      </c>
      <c r="AR5" s="5">
        <v>11012656.789687</v>
      </c>
      <c r="AS5" s="5">
        <v>11012656.789687</v>
      </c>
      <c r="AT5" s="5">
        <v>11012656.789687</v>
      </c>
      <c r="AU5" s="5">
        <v>11012656.789687</v>
      </c>
      <c r="AV5" s="5">
        <v>11012656.789687</v>
      </c>
      <c r="AW5" s="5">
        <v>11012656.789687</v>
      </c>
      <c r="AX5" s="5">
        <v>11012656.789687</v>
      </c>
      <c r="AY5" s="5">
        <v>11012656.789687</v>
      </c>
      <c r="AZ5" s="5">
        <v>11012656.789687</v>
      </c>
      <c r="BA5" s="5">
        <v>11012656.789687</v>
      </c>
      <c r="BB5" s="5">
        <v>11012656.789687</v>
      </c>
      <c r="BC5" s="5">
        <v>11012656.789687</v>
      </c>
      <c r="BD5" s="5">
        <v>11012656.789687</v>
      </c>
      <c r="BE5" s="5">
        <v>11012656.789687</v>
      </c>
      <c r="BF5" s="5">
        <v>11012656.789687</v>
      </c>
      <c r="BG5" s="5">
        <v>11012656.789687</v>
      </c>
      <c r="BH5" s="5">
        <v>11012656.789687</v>
      </c>
      <c r="BI5" s="5">
        <v>11012656.789687</v>
      </c>
      <c r="BJ5" s="5">
        <v>11012656.789687</v>
      </c>
      <c r="BK5" s="5">
        <v>11012656.789687</v>
      </c>
      <c r="BL5" s="5">
        <v>11012656.789687</v>
      </c>
      <c r="BM5" s="5">
        <v>11012656.789687</v>
      </c>
      <c r="BN5" s="5">
        <v>11012656.789687</v>
      </c>
      <c r="BO5" s="5">
        <v>11012656.789687</v>
      </c>
      <c r="BP5" s="5">
        <v>11012656.789687</v>
      </c>
      <c r="BQ5" s="5">
        <v>11012656.789687</v>
      </c>
      <c r="BR5" s="5">
        <v>11012656.789687</v>
      </c>
      <c r="BS5" s="5">
        <v>11012656.789687</v>
      </c>
      <c r="BT5" s="5">
        <v>11012656.789687</v>
      </c>
      <c r="BU5" s="5">
        <v>11012656.789687</v>
      </c>
      <c r="BV5" s="5">
        <v>11012656.789687</v>
      </c>
      <c r="BW5" s="5">
        <v>11012656.789687</v>
      </c>
      <c r="BX5" s="5">
        <v>11012656.789687</v>
      </c>
      <c r="BY5" s="5">
        <v>11012656.789687</v>
      </c>
      <c r="BZ5" s="5">
        <v>11012656.789687</v>
      </c>
      <c r="CA5" s="5">
        <v>11012656.789687</v>
      </c>
      <c r="CB5" s="5">
        <v>11012656.789687</v>
      </c>
      <c r="CC5" s="5">
        <v>11012656.789687</v>
      </c>
      <c r="CD5" s="5">
        <v>11012656.789687</v>
      </c>
      <c r="CE5" s="5">
        <v>11012656.789687</v>
      </c>
      <c r="CF5" s="5">
        <v>11012656.789687</v>
      </c>
      <c r="CG5" s="5">
        <v>11012656.789687</v>
      </c>
      <c r="CH5" s="5">
        <v>11012656.789687</v>
      </c>
      <c r="CI5" s="5">
        <v>11012656.789687</v>
      </c>
      <c r="CJ5" s="5">
        <v>11012656.789687</v>
      </c>
      <c r="CK5" s="5">
        <v>11012656.789687</v>
      </c>
      <c r="CL5" s="5">
        <v>11012656.789687</v>
      </c>
      <c r="CM5" s="5">
        <v>11012656.789687</v>
      </c>
      <c r="CN5" s="5">
        <v>11012656.789687</v>
      </c>
      <c r="CO5" s="5">
        <v>11012656.789687</v>
      </c>
      <c r="CP5" s="5">
        <v>11012656.789687</v>
      </c>
      <c r="CQ5" s="5">
        <v>11012656.789687</v>
      </c>
      <c r="CR5" s="5">
        <v>11012656.789687</v>
      </c>
      <c r="CS5" s="5">
        <v>11012656.789687</v>
      </c>
      <c r="CT5" s="5">
        <v>11012656.789687</v>
      </c>
      <c r="CU5" s="5">
        <v>11012656.789687</v>
      </c>
      <c r="CV5" s="5">
        <v>11012656.789687</v>
      </c>
      <c r="CW5" s="5">
        <v>11012656.789687</v>
      </c>
      <c r="CX5" s="5">
        <v>11012656.789687</v>
      </c>
      <c r="CY5" s="5">
        <v>11012656.789687</v>
      </c>
      <c r="CZ5" s="5">
        <v>11012656.789687</v>
      </c>
      <c r="DA5" s="5">
        <v>11012656.789687</v>
      </c>
      <c r="DB5" s="5">
        <v>11012656.789687</v>
      </c>
      <c r="DC5" s="5">
        <v>11012656.789687</v>
      </c>
      <c r="DD5" s="5">
        <v>11012656.789687</v>
      </c>
      <c r="DE5" s="5">
        <v>11012656.789687</v>
      </c>
      <c r="DF5" s="5">
        <v>11012656.789687</v>
      </c>
      <c r="DG5" s="5">
        <v>11012656.789687</v>
      </c>
      <c r="DH5" s="5">
        <v>11012656.789687</v>
      </c>
      <c r="DI5" s="5">
        <v>11012656.789687</v>
      </c>
      <c r="DJ5" s="5">
        <v>11012656.789687</v>
      </c>
      <c r="DK5" s="5">
        <v>11012656.789687</v>
      </c>
      <c r="DL5" s="5">
        <v>11012656.789687</v>
      </c>
      <c r="DM5" s="5">
        <v>11012656.789687</v>
      </c>
      <c r="DN5" s="5">
        <v>11012656.789687</v>
      </c>
      <c r="DO5" s="5">
        <v>11012656.789687</v>
      </c>
      <c r="DP5" s="5">
        <v>11012656.789687</v>
      </c>
      <c r="DQ5" s="5">
        <v>11012656.789687</v>
      </c>
      <c r="DR5" s="5">
        <v>11012656.789687</v>
      </c>
      <c r="DS5" s="5">
        <v>11012656.789687</v>
      </c>
      <c r="DT5" s="5">
        <v>11012656.789687</v>
      </c>
      <c r="DU5" s="5">
        <v>11012656.789687</v>
      </c>
      <c r="DV5" s="5">
        <v>11012656.789687</v>
      </c>
      <c r="DW5" s="5">
        <v>11012656.789687</v>
      </c>
      <c r="DX5" s="5">
        <v>11012656.789687</v>
      </c>
      <c r="DY5" s="5">
        <v>11012656.789687</v>
      </c>
      <c r="DZ5" s="5">
        <v>11012656.789687</v>
      </c>
      <c r="EA5" s="5">
        <f>'BAU Heat Rate - 2020'!D21</f>
        <v>11012656.789687</v>
      </c>
      <c r="EB5" s="5">
        <f>EA5</f>
        <v>11012656.789687</v>
      </c>
      <c r="EC5" s="5">
        <f t="shared" ref="EC5:GN5" si="3">EB5</f>
        <v>11012656.789687</v>
      </c>
      <c r="ED5" s="5">
        <f t="shared" si="3"/>
        <v>11012656.789687</v>
      </c>
      <c r="EE5" s="5">
        <f t="shared" si="3"/>
        <v>11012656.789687</v>
      </c>
      <c r="EF5" s="5">
        <f t="shared" si="3"/>
        <v>11012656.789687</v>
      </c>
      <c r="EG5" s="5">
        <f t="shared" si="3"/>
        <v>11012656.789687</v>
      </c>
      <c r="EH5" s="5">
        <f t="shared" si="3"/>
        <v>11012656.789687</v>
      </c>
      <c r="EI5" s="5">
        <f t="shared" si="3"/>
        <v>11012656.789687</v>
      </c>
      <c r="EJ5" s="5">
        <f t="shared" si="3"/>
        <v>11012656.789687</v>
      </c>
      <c r="EK5" s="5">
        <f t="shared" si="3"/>
        <v>11012656.789687</v>
      </c>
      <c r="EL5" s="5">
        <f t="shared" si="3"/>
        <v>11012656.789687</v>
      </c>
      <c r="EM5" s="5">
        <f t="shared" si="3"/>
        <v>11012656.789687</v>
      </c>
      <c r="EN5" s="5">
        <f t="shared" si="3"/>
        <v>11012656.789687</v>
      </c>
      <c r="EO5" s="5">
        <f t="shared" si="3"/>
        <v>11012656.789687</v>
      </c>
      <c r="EP5" s="5">
        <f t="shared" si="3"/>
        <v>11012656.789687</v>
      </c>
      <c r="EQ5" s="5">
        <f t="shared" si="3"/>
        <v>11012656.789687</v>
      </c>
      <c r="ER5" s="5">
        <f t="shared" si="3"/>
        <v>11012656.789687</v>
      </c>
      <c r="ES5" s="5">
        <f t="shared" si="3"/>
        <v>11012656.789687</v>
      </c>
      <c r="ET5" s="5">
        <f t="shared" si="3"/>
        <v>11012656.789687</v>
      </c>
      <c r="EU5" s="5">
        <f t="shared" si="3"/>
        <v>11012656.789687</v>
      </c>
      <c r="EV5" s="5">
        <f t="shared" si="3"/>
        <v>11012656.789687</v>
      </c>
      <c r="EW5" s="5">
        <f t="shared" si="3"/>
        <v>11012656.789687</v>
      </c>
      <c r="EX5" s="5">
        <f t="shared" si="3"/>
        <v>11012656.789687</v>
      </c>
      <c r="EY5" s="5">
        <f t="shared" si="3"/>
        <v>11012656.789687</v>
      </c>
      <c r="EZ5" s="5">
        <f t="shared" si="3"/>
        <v>11012656.789687</v>
      </c>
      <c r="FA5" s="5">
        <f t="shared" si="3"/>
        <v>11012656.789687</v>
      </c>
      <c r="FB5" s="5">
        <f t="shared" si="3"/>
        <v>11012656.789687</v>
      </c>
      <c r="FC5" s="5">
        <f t="shared" si="3"/>
        <v>11012656.789687</v>
      </c>
      <c r="FD5" s="5">
        <f t="shared" si="3"/>
        <v>11012656.789687</v>
      </c>
      <c r="FE5" s="5">
        <f t="shared" si="3"/>
        <v>11012656.789687</v>
      </c>
      <c r="FF5" s="5">
        <f t="shared" si="3"/>
        <v>11012656.789687</v>
      </c>
      <c r="FG5" s="5">
        <f t="shared" si="3"/>
        <v>11012656.789687</v>
      </c>
      <c r="FH5" s="5">
        <f t="shared" si="3"/>
        <v>11012656.789687</v>
      </c>
      <c r="FI5" s="5">
        <f t="shared" si="3"/>
        <v>11012656.789687</v>
      </c>
      <c r="FJ5" s="5">
        <f t="shared" si="3"/>
        <v>11012656.789687</v>
      </c>
      <c r="FK5" s="5">
        <f t="shared" si="3"/>
        <v>11012656.789687</v>
      </c>
      <c r="FL5" s="5">
        <f t="shared" si="3"/>
        <v>11012656.789687</v>
      </c>
      <c r="FM5" s="5">
        <f t="shared" si="3"/>
        <v>11012656.789687</v>
      </c>
      <c r="FN5" s="5">
        <f t="shared" si="3"/>
        <v>11012656.789687</v>
      </c>
      <c r="FO5" s="5">
        <f t="shared" si="3"/>
        <v>11012656.789687</v>
      </c>
      <c r="FP5" s="5">
        <f t="shared" si="3"/>
        <v>11012656.789687</v>
      </c>
      <c r="FQ5" s="5">
        <f t="shared" si="3"/>
        <v>11012656.789687</v>
      </c>
      <c r="FR5" s="5">
        <f t="shared" si="3"/>
        <v>11012656.789687</v>
      </c>
      <c r="FS5" s="5">
        <f t="shared" si="3"/>
        <v>11012656.789687</v>
      </c>
      <c r="FT5" s="5">
        <f t="shared" si="3"/>
        <v>11012656.789687</v>
      </c>
      <c r="FU5" s="5">
        <f t="shared" si="3"/>
        <v>11012656.789687</v>
      </c>
      <c r="FV5" s="5">
        <f t="shared" si="3"/>
        <v>11012656.789687</v>
      </c>
      <c r="FW5" s="5">
        <f t="shared" si="3"/>
        <v>11012656.789687</v>
      </c>
      <c r="FX5" s="5">
        <f t="shared" si="3"/>
        <v>11012656.789687</v>
      </c>
      <c r="FY5" s="5">
        <f t="shared" si="3"/>
        <v>11012656.789687</v>
      </c>
      <c r="FZ5" s="5">
        <f t="shared" si="3"/>
        <v>11012656.789687</v>
      </c>
      <c r="GA5" s="5">
        <f t="shared" si="3"/>
        <v>11012656.789687</v>
      </c>
      <c r="GB5" s="5">
        <f t="shared" si="3"/>
        <v>11012656.789687</v>
      </c>
      <c r="GC5" s="5">
        <f t="shared" si="3"/>
        <v>11012656.789687</v>
      </c>
      <c r="GD5" s="5">
        <f t="shared" si="3"/>
        <v>11012656.789687</v>
      </c>
      <c r="GE5" s="5">
        <f t="shared" si="3"/>
        <v>11012656.789687</v>
      </c>
      <c r="GF5" s="5">
        <f t="shared" si="3"/>
        <v>11012656.789687</v>
      </c>
      <c r="GG5" s="5">
        <f t="shared" si="3"/>
        <v>11012656.789687</v>
      </c>
      <c r="GH5" s="5">
        <f t="shared" si="3"/>
        <v>11012656.789687</v>
      </c>
      <c r="GI5" s="5">
        <f t="shared" si="3"/>
        <v>11012656.789687</v>
      </c>
      <c r="GJ5" s="5">
        <f t="shared" si="3"/>
        <v>11012656.789687</v>
      </c>
      <c r="GK5" s="5">
        <f t="shared" si="3"/>
        <v>11012656.789687</v>
      </c>
      <c r="GL5" s="5">
        <f t="shared" si="3"/>
        <v>11012656.789687</v>
      </c>
      <c r="GM5" s="5">
        <f t="shared" si="3"/>
        <v>11012656.789687</v>
      </c>
      <c r="GN5" s="5">
        <f t="shared" si="3"/>
        <v>11012656.789687</v>
      </c>
      <c r="GO5" s="5">
        <f t="shared" ref="GO5:HC5" si="4">GN5</f>
        <v>11012656.789687</v>
      </c>
      <c r="GP5" s="5">
        <f t="shared" si="4"/>
        <v>11012656.789687</v>
      </c>
      <c r="GQ5" s="5">
        <f t="shared" si="4"/>
        <v>11012656.789687</v>
      </c>
      <c r="GR5" s="5">
        <f t="shared" si="4"/>
        <v>11012656.789687</v>
      </c>
      <c r="GS5" s="5">
        <f t="shared" si="4"/>
        <v>11012656.789687</v>
      </c>
      <c r="GT5" s="5">
        <f t="shared" si="4"/>
        <v>11012656.789687</v>
      </c>
      <c r="GU5" s="5">
        <f t="shared" si="4"/>
        <v>11012656.789687</v>
      </c>
      <c r="GV5" s="5">
        <f t="shared" si="4"/>
        <v>11012656.789687</v>
      </c>
      <c r="GW5" s="5">
        <f t="shared" si="4"/>
        <v>11012656.789687</v>
      </c>
      <c r="GX5" s="5">
        <f t="shared" si="4"/>
        <v>11012656.789687</v>
      </c>
      <c r="GY5" s="5">
        <f t="shared" si="4"/>
        <v>11012656.789687</v>
      </c>
      <c r="GZ5" s="5">
        <f t="shared" si="4"/>
        <v>11012656.789687</v>
      </c>
      <c r="HA5" s="5">
        <f t="shared" si="4"/>
        <v>11012656.789687</v>
      </c>
      <c r="HB5" s="5">
        <f t="shared" si="4"/>
        <v>11012656.789687</v>
      </c>
      <c r="HC5" s="5">
        <f t="shared" si="4"/>
        <v>11012656.789687</v>
      </c>
    </row>
    <row r="6" spans="1:211" s="9" customFormat="1">
      <c r="A6" s="9" t="s">
        <v>93</v>
      </c>
      <c r="B6" s="5">
        <v>0</v>
      </c>
      <c r="C6" s="5">
        <v>0</v>
      </c>
      <c r="D6" s="5">
        <v>0</v>
      </c>
      <c r="E6" s="5">
        <v>0</v>
      </c>
      <c r="F6" s="5">
        <v>0</v>
      </c>
      <c r="G6" s="5">
        <v>0</v>
      </c>
      <c r="H6" s="5">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c r="AR6" s="5">
        <v>0</v>
      </c>
      <c r="AS6" s="5">
        <v>0</v>
      </c>
      <c r="AT6" s="5">
        <v>0</v>
      </c>
      <c r="AU6" s="5">
        <v>0</v>
      </c>
      <c r="AV6" s="5">
        <v>0</v>
      </c>
      <c r="AW6" s="5">
        <v>0</v>
      </c>
      <c r="AX6" s="5">
        <v>0</v>
      </c>
      <c r="AY6" s="5">
        <v>0</v>
      </c>
      <c r="AZ6" s="5">
        <v>0</v>
      </c>
      <c r="BA6" s="5">
        <v>0</v>
      </c>
      <c r="BB6" s="5">
        <v>0</v>
      </c>
      <c r="BC6" s="5">
        <v>0</v>
      </c>
      <c r="BD6" s="5">
        <v>0</v>
      </c>
      <c r="BE6" s="5">
        <v>0</v>
      </c>
      <c r="BF6" s="5">
        <v>0</v>
      </c>
      <c r="BG6" s="5">
        <v>0</v>
      </c>
      <c r="BH6" s="5">
        <v>0</v>
      </c>
      <c r="BI6" s="5">
        <v>0</v>
      </c>
      <c r="BJ6" s="5">
        <v>0</v>
      </c>
      <c r="BK6" s="5">
        <v>0</v>
      </c>
      <c r="BL6" s="5">
        <v>0</v>
      </c>
      <c r="BM6" s="5">
        <v>0</v>
      </c>
      <c r="BN6" s="5">
        <v>0</v>
      </c>
      <c r="BO6" s="5">
        <v>0</v>
      </c>
      <c r="BP6" s="5">
        <v>0</v>
      </c>
      <c r="BQ6" s="5">
        <v>0</v>
      </c>
      <c r="BR6" s="5">
        <v>0</v>
      </c>
      <c r="BS6" s="5">
        <v>0</v>
      </c>
      <c r="BT6" s="5">
        <v>0</v>
      </c>
      <c r="BU6" s="5">
        <v>0</v>
      </c>
      <c r="BV6" s="5">
        <v>0</v>
      </c>
      <c r="BW6" s="5">
        <v>0</v>
      </c>
      <c r="BX6" s="5">
        <v>0</v>
      </c>
      <c r="BY6" s="5">
        <v>0</v>
      </c>
      <c r="BZ6" s="5">
        <v>0</v>
      </c>
      <c r="CA6" s="5">
        <v>0</v>
      </c>
      <c r="CB6" s="5">
        <v>0</v>
      </c>
      <c r="CC6" s="5">
        <v>0</v>
      </c>
      <c r="CD6" s="5">
        <v>0</v>
      </c>
      <c r="CE6" s="5">
        <v>0</v>
      </c>
      <c r="CF6" s="5">
        <v>0</v>
      </c>
      <c r="CG6" s="5">
        <v>0</v>
      </c>
      <c r="CH6" s="5">
        <v>0</v>
      </c>
      <c r="CI6" s="5">
        <v>0</v>
      </c>
      <c r="CJ6" s="5">
        <v>0</v>
      </c>
      <c r="CK6" s="5">
        <v>0</v>
      </c>
      <c r="CL6" s="5">
        <v>0</v>
      </c>
      <c r="CM6" s="5">
        <v>0</v>
      </c>
      <c r="CN6" s="5">
        <v>0</v>
      </c>
      <c r="CO6" s="5">
        <v>0</v>
      </c>
      <c r="CP6" s="5">
        <v>0</v>
      </c>
      <c r="CQ6" s="5">
        <v>0</v>
      </c>
      <c r="CR6" s="5">
        <v>0</v>
      </c>
      <c r="CS6" s="5">
        <v>0</v>
      </c>
      <c r="CT6" s="5">
        <v>0</v>
      </c>
      <c r="CU6" s="5">
        <v>0</v>
      </c>
      <c r="CV6" s="5">
        <v>0</v>
      </c>
      <c r="CW6" s="5">
        <v>0</v>
      </c>
      <c r="CX6" s="5">
        <v>0</v>
      </c>
      <c r="CY6" s="5">
        <v>0</v>
      </c>
      <c r="CZ6" s="5">
        <v>0</v>
      </c>
      <c r="DA6" s="5">
        <v>0</v>
      </c>
      <c r="DB6" s="5">
        <v>0</v>
      </c>
      <c r="DC6" s="5">
        <v>0</v>
      </c>
      <c r="DD6" s="5">
        <v>0</v>
      </c>
      <c r="DE6" s="5">
        <v>0</v>
      </c>
      <c r="DF6" s="5">
        <v>0</v>
      </c>
      <c r="DG6" s="5">
        <v>0</v>
      </c>
      <c r="DH6" s="5">
        <v>0</v>
      </c>
      <c r="DI6" s="5">
        <v>0</v>
      </c>
      <c r="DJ6" s="5">
        <v>0</v>
      </c>
      <c r="DK6" s="5">
        <v>0</v>
      </c>
      <c r="DL6" s="5">
        <v>0</v>
      </c>
      <c r="DM6" s="5">
        <v>0</v>
      </c>
      <c r="DN6" s="5">
        <v>0</v>
      </c>
      <c r="DO6" s="5">
        <v>0</v>
      </c>
      <c r="DP6" s="5">
        <v>0</v>
      </c>
      <c r="DQ6" s="5">
        <v>0</v>
      </c>
      <c r="DR6" s="5">
        <v>0</v>
      </c>
      <c r="DS6" s="5">
        <v>0</v>
      </c>
      <c r="DT6" s="5">
        <v>0</v>
      </c>
      <c r="DU6" s="5">
        <v>0</v>
      </c>
      <c r="DV6" s="5">
        <v>0</v>
      </c>
      <c r="DW6" s="5">
        <v>0</v>
      </c>
      <c r="DX6" s="5">
        <v>0</v>
      </c>
      <c r="DY6" s="5">
        <v>0</v>
      </c>
      <c r="DZ6" s="5">
        <v>0</v>
      </c>
      <c r="EA6" s="5">
        <v>0</v>
      </c>
      <c r="EB6" s="5">
        <v>0</v>
      </c>
      <c r="EC6" s="5">
        <v>0</v>
      </c>
      <c r="ED6" s="5">
        <v>0</v>
      </c>
      <c r="EE6" s="5">
        <v>0</v>
      </c>
      <c r="EF6" s="5">
        <v>0</v>
      </c>
      <c r="EG6" s="5">
        <v>0</v>
      </c>
      <c r="EH6" s="5">
        <v>0</v>
      </c>
      <c r="EI6" s="5">
        <v>0</v>
      </c>
      <c r="EJ6" s="5">
        <v>0</v>
      </c>
      <c r="EK6" s="5">
        <v>0</v>
      </c>
      <c r="EL6" s="5">
        <v>0</v>
      </c>
      <c r="EM6" s="5">
        <v>0</v>
      </c>
      <c r="EN6" s="5">
        <v>0</v>
      </c>
      <c r="EO6" s="5">
        <v>0</v>
      </c>
      <c r="EP6" s="5">
        <v>0</v>
      </c>
      <c r="EQ6" s="5">
        <v>0</v>
      </c>
      <c r="ER6" s="5">
        <v>0</v>
      </c>
      <c r="ES6" s="5">
        <v>0</v>
      </c>
      <c r="ET6" s="5">
        <v>0</v>
      </c>
      <c r="EU6" s="5">
        <v>0</v>
      </c>
      <c r="EV6" s="5">
        <v>0</v>
      </c>
      <c r="EW6" s="5">
        <v>0</v>
      </c>
      <c r="EX6" s="5">
        <v>0</v>
      </c>
      <c r="EY6" s="5">
        <v>0</v>
      </c>
      <c r="EZ6" s="5">
        <v>0</v>
      </c>
      <c r="FA6" s="5">
        <v>0</v>
      </c>
      <c r="FB6" s="5">
        <v>0</v>
      </c>
      <c r="FC6" s="5">
        <v>0</v>
      </c>
      <c r="FD6" s="5">
        <v>0</v>
      </c>
      <c r="FE6" s="5">
        <v>0</v>
      </c>
      <c r="FF6" s="5">
        <v>0</v>
      </c>
      <c r="FG6" s="5">
        <v>0</v>
      </c>
      <c r="FH6" s="5">
        <v>0</v>
      </c>
      <c r="FI6" s="5">
        <v>0</v>
      </c>
      <c r="FJ6" s="5">
        <v>0</v>
      </c>
      <c r="FK6" s="5">
        <v>0</v>
      </c>
      <c r="FL6" s="5">
        <v>0</v>
      </c>
      <c r="FM6" s="5">
        <v>0</v>
      </c>
      <c r="FN6" s="5">
        <v>0</v>
      </c>
      <c r="FO6" s="5">
        <v>0</v>
      </c>
      <c r="FP6" s="5">
        <v>0</v>
      </c>
      <c r="FQ6" s="5">
        <v>0</v>
      </c>
      <c r="FR6" s="5">
        <v>0</v>
      </c>
      <c r="FS6" s="5">
        <v>0</v>
      </c>
      <c r="FT6" s="5">
        <v>0</v>
      </c>
      <c r="FU6" s="5">
        <v>0</v>
      </c>
      <c r="FV6" s="5">
        <v>0</v>
      </c>
      <c r="FW6" s="5">
        <v>0</v>
      </c>
      <c r="FX6" s="5">
        <v>0</v>
      </c>
      <c r="FY6" s="5">
        <v>0</v>
      </c>
      <c r="FZ6" s="5">
        <v>0</v>
      </c>
      <c r="GA6" s="5">
        <v>0</v>
      </c>
      <c r="GB6" s="5">
        <v>0</v>
      </c>
      <c r="GC6" s="5">
        <v>0</v>
      </c>
      <c r="GD6" s="5">
        <v>0</v>
      </c>
      <c r="GE6" s="5">
        <v>0</v>
      </c>
      <c r="GF6" s="5">
        <v>0</v>
      </c>
      <c r="GG6" s="5">
        <v>0</v>
      </c>
      <c r="GH6" s="5">
        <v>0</v>
      </c>
      <c r="GI6" s="5">
        <v>0</v>
      </c>
      <c r="GJ6" s="5">
        <v>0</v>
      </c>
      <c r="GK6" s="5">
        <v>0</v>
      </c>
      <c r="GL6" s="5">
        <v>0</v>
      </c>
      <c r="GM6" s="5">
        <v>0</v>
      </c>
      <c r="GN6" s="5">
        <v>0</v>
      </c>
      <c r="GO6" s="5">
        <v>0</v>
      </c>
      <c r="GP6" s="5">
        <v>0</v>
      </c>
      <c r="GQ6" s="5">
        <v>0</v>
      </c>
      <c r="GR6" s="5">
        <v>0</v>
      </c>
      <c r="GS6" s="5">
        <v>0</v>
      </c>
      <c r="GT6" s="5">
        <v>0</v>
      </c>
      <c r="GU6" s="5">
        <v>0</v>
      </c>
      <c r="GV6" s="5">
        <v>0</v>
      </c>
      <c r="GW6" s="5">
        <v>0</v>
      </c>
      <c r="GX6" s="5">
        <v>0</v>
      </c>
      <c r="GY6" s="5">
        <v>0</v>
      </c>
      <c r="GZ6" s="5">
        <v>0</v>
      </c>
      <c r="HA6" s="5">
        <v>0</v>
      </c>
      <c r="HB6" s="5">
        <v>0</v>
      </c>
      <c r="HC6" s="5">
        <v>0</v>
      </c>
    </row>
    <row r="7" spans="1:211" s="9" customFormat="1">
      <c r="A7" s="9" t="s">
        <v>94</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c r="AR7" s="5">
        <v>0</v>
      </c>
      <c r="AS7" s="5">
        <v>0</v>
      </c>
      <c r="AT7" s="5">
        <v>0</v>
      </c>
      <c r="AU7" s="5">
        <v>0</v>
      </c>
      <c r="AV7" s="5">
        <v>0</v>
      </c>
      <c r="AW7" s="5">
        <v>0</v>
      </c>
      <c r="AX7" s="5">
        <v>0</v>
      </c>
      <c r="AY7" s="5">
        <v>0</v>
      </c>
      <c r="AZ7" s="5">
        <v>0</v>
      </c>
      <c r="BA7" s="5">
        <v>0</v>
      </c>
      <c r="BB7" s="5">
        <v>0</v>
      </c>
      <c r="BC7" s="5">
        <v>0</v>
      </c>
      <c r="BD7" s="5">
        <v>0</v>
      </c>
      <c r="BE7" s="5">
        <v>0</v>
      </c>
      <c r="BF7" s="5">
        <v>0</v>
      </c>
      <c r="BG7" s="5">
        <v>0</v>
      </c>
      <c r="BH7" s="5">
        <v>0</v>
      </c>
      <c r="BI7" s="5">
        <v>0</v>
      </c>
      <c r="BJ7" s="5">
        <v>0</v>
      </c>
      <c r="BK7" s="5">
        <v>0</v>
      </c>
      <c r="BL7" s="5">
        <v>0</v>
      </c>
      <c r="BM7" s="5">
        <v>0</v>
      </c>
      <c r="BN7" s="5">
        <v>0</v>
      </c>
      <c r="BO7" s="5">
        <v>0</v>
      </c>
      <c r="BP7" s="5">
        <v>0</v>
      </c>
      <c r="BQ7" s="5">
        <v>0</v>
      </c>
      <c r="BR7" s="5">
        <v>0</v>
      </c>
      <c r="BS7" s="5">
        <v>0</v>
      </c>
      <c r="BT7" s="5">
        <v>0</v>
      </c>
      <c r="BU7" s="5">
        <v>0</v>
      </c>
      <c r="BV7" s="5">
        <v>0</v>
      </c>
      <c r="BW7" s="5">
        <v>0</v>
      </c>
      <c r="BX7" s="5">
        <v>0</v>
      </c>
      <c r="BY7" s="5">
        <v>0</v>
      </c>
      <c r="BZ7" s="5">
        <v>0</v>
      </c>
      <c r="CA7" s="5">
        <v>0</v>
      </c>
      <c r="CB7" s="5">
        <v>0</v>
      </c>
      <c r="CC7" s="5">
        <v>0</v>
      </c>
      <c r="CD7" s="5">
        <v>0</v>
      </c>
      <c r="CE7" s="5">
        <v>0</v>
      </c>
      <c r="CF7" s="5">
        <v>0</v>
      </c>
      <c r="CG7" s="5">
        <v>0</v>
      </c>
      <c r="CH7" s="5">
        <v>0</v>
      </c>
      <c r="CI7" s="5">
        <v>0</v>
      </c>
      <c r="CJ7" s="5">
        <v>0</v>
      </c>
      <c r="CK7" s="5">
        <v>0</v>
      </c>
      <c r="CL7" s="5">
        <v>0</v>
      </c>
      <c r="CM7" s="5">
        <v>0</v>
      </c>
      <c r="CN7" s="5">
        <v>0</v>
      </c>
      <c r="CO7" s="5">
        <v>0</v>
      </c>
      <c r="CP7" s="5">
        <v>0</v>
      </c>
      <c r="CQ7" s="5">
        <v>0</v>
      </c>
      <c r="CR7" s="5">
        <v>0</v>
      </c>
      <c r="CS7" s="5">
        <v>0</v>
      </c>
      <c r="CT7" s="5">
        <v>0</v>
      </c>
      <c r="CU7" s="5">
        <v>0</v>
      </c>
      <c r="CV7" s="5">
        <v>0</v>
      </c>
      <c r="CW7" s="5">
        <v>0</v>
      </c>
      <c r="CX7" s="5">
        <v>0</v>
      </c>
      <c r="CY7" s="5">
        <v>0</v>
      </c>
      <c r="CZ7" s="5">
        <v>0</v>
      </c>
      <c r="DA7" s="5">
        <v>0</v>
      </c>
      <c r="DB7" s="5">
        <v>0</v>
      </c>
      <c r="DC7" s="5">
        <v>0</v>
      </c>
      <c r="DD7" s="5">
        <v>0</v>
      </c>
      <c r="DE7" s="5">
        <v>0</v>
      </c>
      <c r="DF7" s="5">
        <v>0</v>
      </c>
      <c r="DG7" s="5">
        <v>0</v>
      </c>
      <c r="DH7" s="5">
        <v>0</v>
      </c>
      <c r="DI7" s="5">
        <v>0</v>
      </c>
      <c r="DJ7" s="5">
        <v>0</v>
      </c>
      <c r="DK7" s="5">
        <v>0</v>
      </c>
      <c r="DL7" s="5">
        <v>0</v>
      </c>
      <c r="DM7" s="5">
        <v>0</v>
      </c>
      <c r="DN7" s="5">
        <v>0</v>
      </c>
      <c r="DO7" s="5">
        <v>0</v>
      </c>
      <c r="DP7" s="5">
        <v>0</v>
      </c>
      <c r="DQ7" s="5">
        <v>0</v>
      </c>
      <c r="DR7" s="5">
        <v>0</v>
      </c>
      <c r="DS7" s="5">
        <v>0</v>
      </c>
      <c r="DT7" s="5">
        <v>0</v>
      </c>
      <c r="DU7" s="5">
        <v>0</v>
      </c>
      <c r="DV7" s="5">
        <v>0</v>
      </c>
      <c r="DW7" s="5">
        <v>0</v>
      </c>
      <c r="DX7" s="5">
        <v>0</v>
      </c>
      <c r="DY7" s="5">
        <v>0</v>
      </c>
      <c r="DZ7" s="5">
        <v>0</v>
      </c>
      <c r="EA7" s="5">
        <v>0</v>
      </c>
      <c r="EB7" s="5">
        <v>0</v>
      </c>
      <c r="EC7" s="5">
        <v>0</v>
      </c>
      <c r="ED7" s="5">
        <v>0</v>
      </c>
      <c r="EE7" s="5">
        <v>0</v>
      </c>
      <c r="EF7" s="5">
        <v>0</v>
      </c>
      <c r="EG7" s="5">
        <v>0</v>
      </c>
      <c r="EH7" s="5">
        <v>0</v>
      </c>
      <c r="EI7" s="5">
        <v>0</v>
      </c>
      <c r="EJ7" s="5">
        <v>0</v>
      </c>
      <c r="EK7" s="5">
        <v>0</v>
      </c>
      <c r="EL7" s="5">
        <v>0</v>
      </c>
      <c r="EM7" s="5">
        <v>0</v>
      </c>
      <c r="EN7" s="5">
        <v>0</v>
      </c>
      <c r="EO7" s="5">
        <v>0</v>
      </c>
      <c r="EP7" s="5">
        <v>0</v>
      </c>
      <c r="EQ7" s="5">
        <v>0</v>
      </c>
      <c r="ER7" s="5">
        <v>0</v>
      </c>
      <c r="ES7" s="5">
        <v>0</v>
      </c>
      <c r="ET7" s="5">
        <v>0</v>
      </c>
      <c r="EU7" s="5">
        <v>0</v>
      </c>
      <c r="EV7" s="5">
        <v>0</v>
      </c>
      <c r="EW7" s="5">
        <v>0</v>
      </c>
      <c r="EX7" s="5">
        <v>0</v>
      </c>
      <c r="EY7" s="5">
        <v>0</v>
      </c>
      <c r="EZ7" s="5">
        <v>0</v>
      </c>
      <c r="FA7" s="5">
        <v>0</v>
      </c>
      <c r="FB7" s="5">
        <v>0</v>
      </c>
      <c r="FC7" s="5">
        <v>0</v>
      </c>
      <c r="FD7" s="5">
        <v>0</v>
      </c>
      <c r="FE7" s="5">
        <v>0</v>
      </c>
      <c r="FF7" s="5">
        <v>0</v>
      </c>
      <c r="FG7" s="5">
        <v>0</v>
      </c>
      <c r="FH7" s="5">
        <v>0</v>
      </c>
      <c r="FI7" s="5">
        <v>0</v>
      </c>
      <c r="FJ7" s="5">
        <v>0</v>
      </c>
      <c r="FK7" s="5">
        <v>0</v>
      </c>
      <c r="FL7" s="5">
        <v>0</v>
      </c>
      <c r="FM7" s="5">
        <v>0</v>
      </c>
      <c r="FN7" s="5">
        <v>0</v>
      </c>
      <c r="FO7" s="5">
        <v>0</v>
      </c>
      <c r="FP7" s="5">
        <v>0</v>
      </c>
      <c r="FQ7" s="5">
        <v>0</v>
      </c>
      <c r="FR7" s="5">
        <v>0</v>
      </c>
      <c r="FS7" s="5">
        <v>0</v>
      </c>
      <c r="FT7" s="5">
        <v>0</v>
      </c>
      <c r="FU7" s="5">
        <v>0</v>
      </c>
      <c r="FV7" s="5">
        <v>0</v>
      </c>
      <c r="FW7" s="5">
        <v>0</v>
      </c>
      <c r="FX7" s="5">
        <v>0</v>
      </c>
      <c r="FY7" s="5">
        <v>0</v>
      </c>
      <c r="FZ7" s="5">
        <v>0</v>
      </c>
      <c r="GA7" s="5">
        <v>0</v>
      </c>
      <c r="GB7" s="5">
        <v>0</v>
      </c>
      <c r="GC7" s="5">
        <v>0</v>
      </c>
      <c r="GD7" s="5">
        <v>0</v>
      </c>
      <c r="GE7" s="5">
        <v>0</v>
      </c>
      <c r="GF7" s="5">
        <v>0</v>
      </c>
      <c r="GG7" s="5">
        <v>0</v>
      </c>
      <c r="GH7" s="5">
        <v>0</v>
      </c>
      <c r="GI7" s="5">
        <v>0</v>
      </c>
      <c r="GJ7" s="5">
        <v>0</v>
      </c>
      <c r="GK7" s="5">
        <v>0</v>
      </c>
      <c r="GL7" s="5">
        <v>0</v>
      </c>
      <c r="GM7" s="5">
        <v>0</v>
      </c>
      <c r="GN7" s="5">
        <v>0</v>
      </c>
      <c r="GO7" s="5">
        <v>0</v>
      </c>
      <c r="GP7" s="5">
        <v>0</v>
      </c>
      <c r="GQ7" s="5">
        <v>0</v>
      </c>
      <c r="GR7" s="5">
        <v>0</v>
      </c>
      <c r="GS7" s="5">
        <v>0</v>
      </c>
      <c r="GT7" s="5">
        <v>0</v>
      </c>
      <c r="GU7" s="5">
        <v>0</v>
      </c>
      <c r="GV7" s="5">
        <v>0</v>
      </c>
      <c r="GW7" s="5">
        <v>0</v>
      </c>
      <c r="GX7" s="5">
        <v>0</v>
      </c>
      <c r="GY7" s="5">
        <v>0</v>
      </c>
      <c r="GZ7" s="5">
        <v>0</v>
      </c>
      <c r="HA7" s="5">
        <v>0</v>
      </c>
      <c r="HB7" s="5">
        <v>0</v>
      </c>
      <c r="HC7" s="5">
        <v>0</v>
      </c>
    </row>
    <row r="8" spans="1:211" s="9" customFormat="1">
      <c r="A8" s="9" t="s">
        <v>95</v>
      </c>
      <c r="B8" s="5">
        <v>0</v>
      </c>
      <c r="C8" s="5">
        <v>0</v>
      </c>
      <c r="D8" s="5">
        <v>0</v>
      </c>
      <c r="E8" s="5">
        <v>0</v>
      </c>
      <c r="F8" s="5">
        <v>0</v>
      </c>
      <c r="G8" s="5">
        <v>0</v>
      </c>
      <c r="H8" s="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c r="AR8" s="5">
        <v>0</v>
      </c>
      <c r="AS8" s="5">
        <v>0</v>
      </c>
      <c r="AT8" s="5">
        <v>0</v>
      </c>
      <c r="AU8" s="5">
        <v>0</v>
      </c>
      <c r="AV8" s="5">
        <v>0</v>
      </c>
      <c r="AW8" s="5">
        <v>0</v>
      </c>
      <c r="AX8" s="5">
        <v>0</v>
      </c>
      <c r="AY8" s="5">
        <v>0</v>
      </c>
      <c r="AZ8" s="5">
        <v>0</v>
      </c>
      <c r="BA8" s="5">
        <v>0</v>
      </c>
      <c r="BB8" s="5">
        <v>0</v>
      </c>
      <c r="BC8" s="5">
        <v>0</v>
      </c>
      <c r="BD8" s="5">
        <v>0</v>
      </c>
      <c r="BE8" s="5">
        <v>0</v>
      </c>
      <c r="BF8" s="5">
        <v>0</v>
      </c>
      <c r="BG8" s="5">
        <v>0</v>
      </c>
      <c r="BH8" s="5">
        <v>0</v>
      </c>
      <c r="BI8" s="5">
        <v>0</v>
      </c>
      <c r="BJ8" s="5">
        <v>0</v>
      </c>
      <c r="BK8" s="5">
        <v>0</v>
      </c>
      <c r="BL8" s="5">
        <v>0</v>
      </c>
      <c r="BM8" s="5">
        <v>0</v>
      </c>
      <c r="BN8" s="5">
        <v>0</v>
      </c>
      <c r="BO8" s="5">
        <v>0</v>
      </c>
      <c r="BP8" s="5">
        <v>0</v>
      </c>
      <c r="BQ8" s="5">
        <v>0</v>
      </c>
      <c r="BR8" s="5">
        <v>0</v>
      </c>
      <c r="BS8" s="5">
        <v>0</v>
      </c>
      <c r="BT8" s="5">
        <v>0</v>
      </c>
      <c r="BU8" s="5">
        <v>0</v>
      </c>
      <c r="BV8" s="5">
        <v>0</v>
      </c>
      <c r="BW8" s="5">
        <v>0</v>
      </c>
      <c r="BX8" s="5">
        <v>0</v>
      </c>
      <c r="BY8" s="5">
        <v>0</v>
      </c>
      <c r="BZ8" s="5">
        <v>0</v>
      </c>
      <c r="CA8" s="5">
        <v>0</v>
      </c>
      <c r="CB8" s="5">
        <v>0</v>
      </c>
      <c r="CC8" s="5">
        <v>0</v>
      </c>
      <c r="CD8" s="5">
        <v>0</v>
      </c>
      <c r="CE8" s="5">
        <v>0</v>
      </c>
      <c r="CF8" s="5">
        <v>0</v>
      </c>
      <c r="CG8" s="5">
        <v>0</v>
      </c>
      <c r="CH8" s="5">
        <v>0</v>
      </c>
      <c r="CI8" s="5">
        <v>0</v>
      </c>
      <c r="CJ8" s="5">
        <v>0</v>
      </c>
      <c r="CK8" s="5">
        <v>0</v>
      </c>
      <c r="CL8" s="5">
        <v>0</v>
      </c>
      <c r="CM8" s="5">
        <v>0</v>
      </c>
      <c r="CN8" s="5">
        <v>0</v>
      </c>
      <c r="CO8" s="5">
        <v>0</v>
      </c>
      <c r="CP8" s="5">
        <v>0</v>
      </c>
      <c r="CQ8" s="5">
        <v>0</v>
      </c>
      <c r="CR8" s="5">
        <v>0</v>
      </c>
      <c r="CS8" s="5">
        <v>0</v>
      </c>
      <c r="CT8" s="5">
        <v>0</v>
      </c>
      <c r="CU8" s="5">
        <v>0</v>
      </c>
      <c r="CV8" s="5">
        <v>0</v>
      </c>
      <c r="CW8" s="5">
        <v>0</v>
      </c>
      <c r="CX8" s="5">
        <v>0</v>
      </c>
      <c r="CY8" s="5">
        <v>0</v>
      </c>
      <c r="CZ8" s="5">
        <v>0</v>
      </c>
      <c r="DA8" s="5">
        <v>0</v>
      </c>
      <c r="DB8" s="5">
        <v>0</v>
      </c>
      <c r="DC8" s="5">
        <v>0</v>
      </c>
      <c r="DD8" s="5">
        <v>0</v>
      </c>
      <c r="DE8" s="5">
        <v>0</v>
      </c>
      <c r="DF8" s="5">
        <v>0</v>
      </c>
      <c r="DG8" s="5">
        <v>0</v>
      </c>
      <c r="DH8" s="5">
        <v>0</v>
      </c>
      <c r="DI8" s="5">
        <v>0</v>
      </c>
      <c r="DJ8" s="5">
        <v>0</v>
      </c>
      <c r="DK8" s="5">
        <v>0</v>
      </c>
      <c r="DL8" s="5">
        <v>0</v>
      </c>
      <c r="DM8" s="5">
        <v>0</v>
      </c>
      <c r="DN8" s="5">
        <v>0</v>
      </c>
      <c r="DO8" s="5">
        <v>0</v>
      </c>
      <c r="DP8" s="5">
        <v>0</v>
      </c>
      <c r="DQ8" s="5">
        <v>0</v>
      </c>
      <c r="DR8" s="5">
        <v>0</v>
      </c>
      <c r="DS8" s="5">
        <v>0</v>
      </c>
      <c r="DT8" s="5">
        <v>0</v>
      </c>
      <c r="DU8" s="5">
        <v>0</v>
      </c>
      <c r="DV8" s="5">
        <v>0</v>
      </c>
      <c r="DW8" s="5">
        <v>0</v>
      </c>
      <c r="DX8" s="5">
        <v>0</v>
      </c>
      <c r="DY8" s="5">
        <v>0</v>
      </c>
      <c r="DZ8" s="5">
        <v>0</v>
      </c>
      <c r="EA8" s="5">
        <v>0</v>
      </c>
      <c r="EB8" s="5">
        <v>0</v>
      </c>
      <c r="EC8" s="5">
        <v>0</v>
      </c>
      <c r="ED8" s="5">
        <v>0</v>
      </c>
      <c r="EE8" s="5">
        <v>0</v>
      </c>
      <c r="EF8" s="5">
        <v>0</v>
      </c>
      <c r="EG8" s="5">
        <v>0</v>
      </c>
      <c r="EH8" s="5">
        <v>0</v>
      </c>
      <c r="EI8" s="5">
        <v>0</v>
      </c>
      <c r="EJ8" s="5">
        <v>0</v>
      </c>
      <c r="EK8" s="5">
        <v>0</v>
      </c>
      <c r="EL8" s="5">
        <v>0</v>
      </c>
      <c r="EM8" s="5">
        <v>0</v>
      </c>
      <c r="EN8" s="5">
        <v>0</v>
      </c>
      <c r="EO8" s="5">
        <v>0</v>
      </c>
      <c r="EP8" s="5">
        <v>0</v>
      </c>
      <c r="EQ8" s="5">
        <v>0</v>
      </c>
      <c r="ER8" s="5">
        <v>0</v>
      </c>
      <c r="ES8" s="5">
        <v>0</v>
      </c>
      <c r="ET8" s="5">
        <v>0</v>
      </c>
      <c r="EU8" s="5">
        <v>0</v>
      </c>
      <c r="EV8" s="5">
        <v>0</v>
      </c>
      <c r="EW8" s="5">
        <v>0</v>
      </c>
      <c r="EX8" s="5">
        <v>0</v>
      </c>
      <c r="EY8" s="5">
        <v>0</v>
      </c>
      <c r="EZ8" s="5">
        <v>0</v>
      </c>
      <c r="FA8" s="5">
        <v>0</v>
      </c>
      <c r="FB8" s="5">
        <v>0</v>
      </c>
      <c r="FC8" s="5">
        <v>0</v>
      </c>
      <c r="FD8" s="5">
        <v>0</v>
      </c>
      <c r="FE8" s="5">
        <v>0</v>
      </c>
      <c r="FF8" s="5">
        <v>0</v>
      </c>
      <c r="FG8" s="5">
        <v>0</v>
      </c>
      <c r="FH8" s="5">
        <v>0</v>
      </c>
      <c r="FI8" s="5">
        <v>0</v>
      </c>
      <c r="FJ8" s="5">
        <v>0</v>
      </c>
      <c r="FK8" s="5">
        <v>0</v>
      </c>
      <c r="FL8" s="5">
        <v>0</v>
      </c>
      <c r="FM8" s="5">
        <v>0</v>
      </c>
      <c r="FN8" s="5">
        <v>0</v>
      </c>
      <c r="FO8" s="5">
        <v>0</v>
      </c>
      <c r="FP8" s="5">
        <v>0</v>
      </c>
      <c r="FQ8" s="5">
        <v>0</v>
      </c>
      <c r="FR8" s="5">
        <v>0</v>
      </c>
      <c r="FS8" s="5">
        <v>0</v>
      </c>
      <c r="FT8" s="5">
        <v>0</v>
      </c>
      <c r="FU8" s="5">
        <v>0</v>
      </c>
      <c r="FV8" s="5">
        <v>0</v>
      </c>
      <c r="FW8" s="5">
        <v>0</v>
      </c>
      <c r="FX8" s="5">
        <v>0</v>
      </c>
      <c r="FY8" s="5">
        <v>0</v>
      </c>
      <c r="FZ8" s="5">
        <v>0</v>
      </c>
      <c r="GA8" s="5">
        <v>0</v>
      </c>
      <c r="GB8" s="5">
        <v>0</v>
      </c>
      <c r="GC8" s="5">
        <v>0</v>
      </c>
      <c r="GD8" s="5">
        <v>0</v>
      </c>
      <c r="GE8" s="5">
        <v>0</v>
      </c>
      <c r="GF8" s="5">
        <v>0</v>
      </c>
      <c r="GG8" s="5">
        <v>0</v>
      </c>
      <c r="GH8" s="5">
        <v>0</v>
      </c>
      <c r="GI8" s="5">
        <v>0</v>
      </c>
      <c r="GJ8" s="5">
        <v>0</v>
      </c>
      <c r="GK8" s="5">
        <v>0</v>
      </c>
      <c r="GL8" s="5">
        <v>0</v>
      </c>
      <c r="GM8" s="5">
        <v>0</v>
      </c>
      <c r="GN8" s="5">
        <v>0</v>
      </c>
      <c r="GO8" s="5">
        <v>0</v>
      </c>
      <c r="GP8" s="5">
        <v>0</v>
      </c>
      <c r="GQ8" s="5">
        <v>0</v>
      </c>
      <c r="GR8" s="5">
        <v>0</v>
      </c>
      <c r="GS8" s="5">
        <v>0</v>
      </c>
      <c r="GT8" s="5">
        <v>0</v>
      </c>
      <c r="GU8" s="5">
        <v>0</v>
      </c>
      <c r="GV8" s="5">
        <v>0</v>
      </c>
      <c r="GW8" s="5">
        <v>0</v>
      </c>
      <c r="GX8" s="5">
        <v>0</v>
      </c>
      <c r="GY8" s="5">
        <v>0</v>
      </c>
      <c r="GZ8" s="5">
        <v>0</v>
      </c>
      <c r="HA8" s="5">
        <v>0</v>
      </c>
      <c r="HB8" s="5">
        <v>0</v>
      </c>
      <c r="HC8" s="5">
        <v>0</v>
      </c>
    </row>
    <row r="9" spans="1:211" s="9" customFormat="1">
      <c r="A9" s="9" t="s">
        <v>96</v>
      </c>
      <c r="B9" s="5">
        <v>0</v>
      </c>
      <c r="C9" s="5">
        <v>0</v>
      </c>
      <c r="D9" s="5">
        <v>0</v>
      </c>
      <c r="E9" s="5">
        <v>0</v>
      </c>
      <c r="F9" s="5">
        <v>0</v>
      </c>
      <c r="G9" s="5">
        <v>0</v>
      </c>
      <c r="H9" s="5">
        <v>0</v>
      </c>
      <c r="I9" s="5">
        <v>0</v>
      </c>
      <c r="J9" s="5">
        <v>0</v>
      </c>
      <c r="K9" s="5">
        <v>0</v>
      </c>
      <c r="L9" s="5">
        <v>0</v>
      </c>
      <c r="M9" s="5">
        <v>0</v>
      </c>
      <c r="N9" s="5">
        <v>0</v>
      </c>
      <c r="O9" s="5">
        <v>0</v>
      </c>
      <c r="P9" s="5">
        <v>0</v>
      </c>
      <c r="Q9" s="5">
        <v>0</v>
      </c>
      <c r="R9" s="5">
        <v>0</v>
      </c>
      <c r="S9" s="5">
        <v>0</v>
      </c>
      <c r="T9" s="5">
        <v>0</v>
      </c>
      <c r="U9" s="5">
        <v>0</v>
      </c>
      <c r="V9" s="5">
        <v>0</v>
      </c>
      <c r="W9" s="5">
        <v>0</v>
      </c>
      <c r="X9" s="5">
        <v>0</v>
      </c>
      <c r="Y9" s="5">
        <v>0</v>
      </c>
      <c r="Z9" s="5">
        <v>0</v>
      </c>
      <c r="AA9" s="5">
        <v>0</v>
      </c>
      <c r="AB9" s="5">
        <v>0</v>
      </c>
      <c r="AC9" s="5">
        <v>0</v>
      </c>
      <c r="AD9" s="5">
        <v>0</v>
      </c>
      <c r="AE9" s="5">
        <v>0</v>
      </c>
      <c r="AF9" s="5">
        <v>0</v>
      </c>
      <c r="AG9" s="5">
        <v>0</v>
      </c>
      <c r="AH9" s="5">
        <v>0</v>
      </c>
      <c r="AI9" s="5">
        <v>0</v>
      </c>
      <c r="AJ9" s="5">
        <v>0</v>
      </c>
      <c r="AK9" s="5">
        <v>0</v>
      </c>
      <c r="AL9" s="5">
        <v>0</v>
      </c>
      <c r="AM9" s="5">
        <v>0</v>
      </c>
      <c r="AN9" s="5">
        <v>0</v>
      </c>
      <c r="AO9" s="5">
        <v>0</v>
      </c>
      <c r="AP9" s="5">
        <v>0</v>
      </c>
      <c r="AQ9" s="5">
        <v>0</v>
      </c>
      <c r="AR9" s="5">
        <v>0</v>
      </c>
      <c r="AS9" s="5">
        <v>0</v>
      </c>
      <c r="AT9" s="5">
        <v>0</v>
      </c>
      <c r="AU9" s="5">
        <v>0</v>
      </c>
      <c r="AV9" s="5">
        <v>0</v>
      </c>
      <c r="AW9" s="5">
        <v>0</v>
      </c>
      <c r="AX9" s="5">
        <v>0</v>
      </c>
      <c r="AY9" s="5">
        <v>0</v>
      </c>
      <c r="AZ9" s="5">
        <v>0</v>
      </c>
      <c r="BA9" s="5">
        <v>0</v>
      </c>
      <c r="BB9" s="5">
        <v>0</v>
      </c>
      <c r="BC9" s="5">
        <v>0</v>
      </c>
      <c r="BD9" s="5">
        <v>0</v>
      </c>
      <c r="BE9" s="5">
        <v>0</v>
      </c>
      <c r="BF9" s="5">
        <v>0</v>
      </c>
      <c r="BG9" s="5">
        <v>0</v>
      </c>
      <c r="BH9" s="5">
        <v>0</v>
      </c>
      <c r="BI9" s="5">
        <v>0</v>
      </c>
      <c r="BJ9" s="5">
        <v>0</v>
      </c>
      <c r="BK9" s="5">
        <v>0</v>
      </c>
      <c r="BL9" s="5">
        <v>0</v>
      </c>
      <c r="BM9" s="5">
        <v>0</v>
      </c>
      <c r="BN9" s="5">
        <v>0</v>
      </c>
      <c r="BO9" s="5">
        <v>0</v>
      </c>
      <c r="BP9" s="5">
        <v>0</v>
      </c>
      <c r="BQ9" s="5">
        <v>0</v>
      </c>
      <c r="BR9" s="5">
        <v>0</v>
      </c>
      <c r="BS9" s="5">
        <v>0</v>
      </c>
      <c r="BT9" s="5">
        <v>0</v>
      </c>
      <c r="BU9" s="5">
        <v>0</v>
      </c>
      <c r="BV9" s="5">
        <v>0</v>
      </c>
      <c r="BW9" s="5">
        <v>0</v>
      </c>
      <c r="BX9" s="5">
        <v>0</v>
      </c>
      <c r="BY9" s="5">
        <v>0</v>
      </c>
      <c r="BZ9" s="5">
        <v>0</v>
      </c>
      <c r="CA9" s="5">
        <v>0</v>
      </c>
      <c r="CB9" s="5">
        <v>0</v>
      </c>
      <c r="CC9" s="5">
        <v>0</v>
      </c>
      <c r="CD9" s="5">
        <v>0</v>
      </c>
      <c r="CE9" s="5">
        <v>0</v>
      </c>
      <c r="CF9" s="5">
        <v>0</v>
      </c>
      <c r="CG9" s="5">
        <v>0</v>
      </c>
      <c r="CH9" s="5">
        <v>0</v>
      </c>
      <c r="CI9" s="5">
        <v>0</v>
      </c>
      <c r="CJ9" s="5">
        <v>0</v>
      </c>
      <c r="CK9" s="5">
        <v>0</v>
      </c>
      <c r="CL9" s="5">
        <v>0</v>
      </c>
      <c r="CM9" s="5">
        <v>0</v>
      </c>
      <c r="CN9" s="5">
        <v>0</v>
      </c>
      <c r="CO9" s="5">
        <v>0</v>
      </c>
      <c r="CP9" s="5">
        <v>0</v>
      </c>
      <c r="CQ9" s="5">
        <v>0</v>
      </c>
      <c r="CR9" s="5">
        <v>0</v>
      </c>
      <c r="CS9" s="5">
        <v>0</v>
      </c>
      <c r="CT9" s="5">
        <v>0</v>
      </c>
      <c r="CU9" s="5">
        <v>0</v>
      </c>
      <c r="CV9" s="5">
        <v>0</v>
      </c>
      <c r="CW9" s="5">
        <v>0</v>
      </c>
      <c r="CX9" s="5">
        <v>0</v>
      </c>
      <c r="CY9" s="5">
        <v>0</v>
      </c>
      <c r="CZ9" s="5">
        <v>0</v>
      </c>
      <c r="DA9" s="5">
        <v>0</v>
      </c>
      <c r="DB9" s="5">
        <v>0</v>
      </c>
      <c r="DC9" s="5">
        <v>0</v>
      </c>
      <c r="DD9" s="5">
        <v>0</v>
      </c>
      <c r="DE9" s="5">
        <v>0</v>
      </c>
      <c r="DF9" s="5">
        <v>0</v>
      </c>
      <c r="DG9" s="5">
        <v>0</v>
      </c>
      <c r="DH9" s="5">
        <v>0</v>
      </c>
      <c r="DI9" s="5">
        <v>0</v>
      </c>
      <c r="DJ9" s="5">
        <v>0</v>
      </c>
      <c r="DK9" s="5">
        <v>0</v>
      </c>
      <c r="DL9" s="5">
        <v>0</v>
      </c>
      <c r="DM9" s="5">
        <v>0</v>
      </c>
      <c r="DN9" s="5">
        <v>0</v>
      </c>
      <c r="DO9" s="5">
        <v>0</v>
      </c>
      <c r="DP9" s="5">
        <v>0</v>
      </c>
      <c r="DQ9" s="5">
        <v>0</v>
      </c>
      <c r="DR9" s="5">
        <v>0</v>
      </c>
      <c r="DS9" s="5">
        <v>0</v>
      </c>
      <c r="DT9" s="5">
        <v>0</v>
      </c>
      <c r="DU9" s="5">
        <v>0</v>
      </c>
      <c r="DV9" s="5">
        <v>0</v>
      </c>
      <c r="DW9" s="5">
        <v>0</v>
      </c>
      <c r="DX9" s="5">
        <v>0</v>
      </c>
      <c r="DY9" s="5">
        <v>0</v>
      </c>
      <c r="DZ9" s="5">
        <v>0</v>
      </c>
      <c r="EA9" s="5">
        <v>0</v>
      </c>
      <c r="EB9" s="5">
        <v>0</v>
      </c>
      <c r="EC9" s="5">
        <v>0</v>
      </c>
      <c r="ED9" s="5">
        <v>0</v>
      </c>
      <c r="EE9" s="5">
        <v>0</v>
      </c>
      <c r="EF9" s="5">
        <v>0</v>
      </c>
      <c r="EG9" s="5">
        <v>0</v>
      </c>
      <c r="EH9" s="5">
        <v>0</v>
      </c>
      <c r="EI9" s="5">
        <v>0</v>
      </c>
      <c r="EJ9" s="5">
        <v>0</v>
      </c>
      <c r="EK9" s="5">
        <v>0</v>
      </c>
      <c r="EL9" s="5">
        <v>0</v>
      </c>
      <c r="EM9" s="5">
        <v>0</v>
      </c>
      <c r="EN9" s="5">
        <v>0</v>
      </c>
      <c r="EO9" s="5">
        <v>0</v>
      </c>
      <c r="EP9" s="5">
        <v>0</v>
      </c>
      <c r="EQ9" s="5">
        <v>0</v>
      </c>
      <c r="ER9" s="5">
        <v>0</v>
      </c>
      <c r="ES9" s="5">
        <v>0</v>
      </c>
      <c r="ET9" s="5">
        <v>0</v>
      </c>
      <c r="EU9" s="5">
        <v>0</v>
      </c>
      <c r="EV9" s="5">
        <v>0</v>
      </c>
      <c r="EW9" s="5">
        <v>0</v>
      </c>
      <c r="EX9" s="5">
        <v>0</v>
      </c>
      <c r="EY9" s="5">
        <v>0</v>
      </c>
      <c r="EZ9" s="5">
        <v>0</v>
      </c>
      <c r="FA9" s="5">
        <v>0</v>
      </c>
      <c r="FB9" s="5">
        <v>0</v>
      </c>
      <c r="FC9" s="5">
        <v>0</v>
      </c>
      <c r="FD9" s="5">
        <v>0</v>
      </c>
      <c r="FE9" s="5">
        <v>0</v>
      </c>
      <c r="FF9" s="5">
        <v>0</v>
      </c>
      <c r="FG9" s="5">
        <v>0</v>
      </c>
      <c r="FH9" s="5">
        <v>0</v>
      </c>
      <c r="FI9" s="5">
        <v>0</v>
      </c>
      <c r="FJ9" s="5">
        <v>0</v>
      </c>
      <c r="FK9" s="5">
        <v>0</v>
      </c>
      <c r="FL9" s="5">
        <v>0</v>
      </c>
      <c r="FM9" s="5">
        <v>0</v>
      </c>
      <c r="FN9" s="5">
        <v>0</v>
      </c>
      <c r="FO9" s="5">
        <v>0</v>
      </c>
      <c r="FP9" s="5">
        <v>0</v>
      </c>
      <c r="FQ9" s="5">
        <v>0</v>
      </c>
      <c r="FR9" s="5">
        <v>0</v>
      </c>
      <c r="FS9" s="5">
        <v>0</v>
      </c>
      <c r="FT9" s="5">
        <v>0</v>
      </c>
      <c r="FU9" s="5">
        <v>0</v>
      </c>
      <c r="FV9" s="5">
        <v>0</v>
      </c>
      <c r="FW9" s="5">
        <v>0</v>
      </c>
      <c r="FX9" s="5">
        <v>0</v>
      </c>
      <c r="FY9" s="5">
        <v>0</v>
      </c>
      <c r="FZ9" s="5">
        <v>0</v>
      </c>
      <c r="GA9" s="5">
        <v>0</v>
      </c>
      <c r="GB9" s="5">
        <v>0</v>
      </c>
      <c r="GC9" s="5">
        <v>0</v>
      </c>
      <c r="GD9" s="5">
        <v>0</v>
      </c>
      <c r="GE9" s="5">
        <v>0</v>
      </c>
      <c r="GF9" s="5">
        <v>0</v>
      </c>
      <c r="GG9" s="5">
        <v>0</v>
      </c>
      <c r="GH9" s="5">
        <v>0</v>
      </c>
      <c r="GI9" s="5">
        <v>0</v>
      </c>
      <c r="GJ9" s="5">
        <v>0</v>
      </c>
      <c r="GK9" s="5">
        <v>0</v>
      </c>
      <c r="GL9" s="5">
        <v>0</v>
      </c>
      <c r="GM9" s="5">
        <v>0</v>
      </c>
      <c r="GN9" s="5">
        <v>0</v>
      </c>
      <c r="GO9" s="5">
        <v>0</v>
      </c>
      <c r="GP9" s="5">
        <v>0</v>
      </c>
      <c r="GQ9" s="5">
        <v>0</v>
      </c>
      <c r="GR9" s="5">
        <v>0</v>
      </c>
      <c r="GS9" s="5">
        <v>0</v>
      </c>
      <c r="GT9" s="5">
        <v>0</v>
      </c>
      <c r="GU9" s="5">
        <v>0</v>
      </c>
      <c r="GV9" s="5">
        <v>0</v>
      </c>
      <c r="GW9" s="5">
        <v>0</v>
      </c>
      <c r="GX9" s="5">
        <v>0</v>
      </c>
      <c r="GY9" s="5">
        <v>0</v>
      </c>
      <c r="GZ9" s="5">
        <v>0</v>
      </c>
      <c r="HA9" s="5">
        <v>0</v>
      </c>
      <c r="HB9" s="5">
        <v>0</v>
      </c>
      <c r="HC9" s="5">
        <v>0</v>
      </c>
    </row>
    <row r="10" spans="1:211">
      <c r="A10" t="s">
        <v>97</v>
      </c>
      <c r="B10" s="5">
        <v>12868588.866595</v>
      </c>
      <c r="C10" s="5">
        <v>12868588.866595</v>
      </c>
      <c r="D10" s="5">
        <v>12868588.866595</v>
      </c>
      <c r="E10" s="5">
        <v>12868588.866595</v>
      </c>
      <c r="F10" s="5">
        <v>12868588.866595</v>
      </c>
      <c r="G10" s="5">
        <v>12868588.866595</v>
      </c>
      <c r="H10" s="5">
        <v>12868588.866595</v>
      </c>
      <c r="I10" s="5">
        <v>12868588.866595</v>
      </c>
      <c r="J10" s="5">
        <v>12868588.866595</v>
      </c>
      <c r="K10" s="5">
        <v>12868588.866595</v>
      </c>
      <c r="L10" s="5">
        <v>12868588.866595</v>
      </c>
      <c r="M10" s="5">
        <v>12868588.866595</v>
      </c>
      <c r="N10" s="5">
        <v>12868588.866595</v>
      </c>
      <c r="O10" s="5">
        <v>12868588.866595</v>
      </c>
      <c r="P10" s="5">
        <v>12868588.866595</v>
      </c>
      <c r="Q10" s="5">
        <v>12868588.866595</v>
      </c>
      <c r="R10" s="5">
        <v>12868588.866595</v>
      </c>
      <c r="S10" s="5">
        <v>12868588.866595</v>
      </c>
      <c r="T10" s="5">
        <v>12868588.866595</v>
      </c>
      <c r="U10" s="5">
        <v>12868588.866595</v>
      </c>
      <c r="V10" s="5">
        <v>12868588.866595</v>
      </c>
      <c r="W10" s="5">
        <v>12868588.866595</v>
      </c>
      <c r="X10" s="5">
        <v>12868588.866595</v>
      </c>
      <c r="Y10" s="5">
        <v>12868588.866595</v>
      </c>
      <c r="Z10" s="5">
        <v>12868588.866595</v>
      </c>
      <c r="AA10" s="5">
        <v>12868588.866595</v>
      </c>
      <c r="AB10" s="5">
        <v>12868588.866595</v>
      </c>
      <c r="AC10" s="5">
        <v>12868588.866595</v>
      </c>
      <c r="AD10" s="5">
        <v>12868588.866595</v>
      </c>
      <c r="AE10" s="5">
        <v>12868588.866595</v>
      </c>
      <c r="AF10" s="5">
        <v>12868588.866595</v>
      </c>
      <c r="AG10" s="5">
        <v>12868588.866595</v>
      </c>
      <c r="AH10" s="5">
        <v>12868588.866595</v>
      </c>
      <c r="AI10" s="5">
        <v>12868588.866595</v>
      </c>
      <c r="AJ10" s="5">
        <v>12868588.866595</v>
      </c>
      <c r="AK10" s="5">
        <v>12868588.866595</v>
      </c>
      <c r="AL10" s="5">
        <v>12868588.866595</v>
      </c>
      <c r="AM10" s="5">
        <v>12868588.866595</v>
      </c>
      <c r="AN10" s="5">
        <v>12868588.866595</v>
      </c>
      <c r="AO10" s="5">
        <v>12868588.866595</v>
      </c>
      <c r="AP10" s="5">
        <v>12868588.866595</v>
      </c>
      <c r="AQ10" s="5">
        <v>12868588.866595</v>
      </c>
      <c r="AR10" s="5">
        <v>12868588.866595</v>
      </c>
      <c r="AS10" s="5">
        <v>12868588.866595</v>
      </c>
      <c r="AT10" s="5">
        <v>12868588.866595</v>
      </c>
      <c r="AU10" s="5">
        <v>12868588.866595</v>
      </c>
      <c r="AV10" s="5">
        <v>12868588.866595</v>
      </c>
      <c r="AW10" s="5">
        <v>12868588.866595</v>
      </c>
      <c r="AX10" s="5">
        <v>12868588.866595</v>
      </c>
      <c r="AY10" s="5">
        <v>12868588.866595</v>
      </c>
      <c r="AZ10" s="5">
        <v>12868588.866595</v>
      </c>
      <c r="BA10" s="5">
        <v>12868588.866595</v>
      </c>
      <c r="BB10" s="5">
        <v>12868588.866595</v>
      </c>
      <c r="BC10" s="5">
        <v>12868588.866595</v>
      </c>
      <c r="BD10" s="5">
        <v>12868588.866595</v>
      </c>
      <c r="BE10" s="5">
        <v>12868588.866595</v>
      </c>
      <c r="BF10" s="5">
        <v>12868588.866595</v>
      </c>
      <c r="BG10" s="5">
        <v>12868588.866595</v>
      </c>
      <c r="BH10" s="5">
        <v>12868588.866595</v>
      </c>
      <c r="BI10" s="5">
        <v>12868588.866595</v>
      </c>
      <c r="BJ10" s="5">
        <v>12868588.866595</v>
      </c>
      <c r="BK10" s="5">
        <v>12868588.866595</v>
      </c>
      <c r="BL10" s="5">
        <v>12868588.866595</v>
      </c>
      <c r="BM10" s="5">
        <v>12868588.866595</v>
      </c>
      <c r="BN10" s="5">
        <v>12868588.866595</v>
      </c>
      <c r="BO10" s="5">
        <v>12868588.866595</v>
      </c>
      <c r="BP10" s="5">
        <v>12868588.866595</v>
      </c>
      <c r="BQ10" s="5">
        <v>12868588.866595</v>
      </c>
      <c r="BR10" s="5">
        <v>12868588.866595</v>
      </c>
      <c r="BS10" s="5">
        <v>12868588.866595</v>
      </c>
      <c r="BT10" s="5">
        <v>12868588.866595</v>
      </c>
      <c r="BU10" s="5">
        <v>12868588.866595</v>
      </c>
      <c r="BV10" s="5">
        <v>12868588.866595</v>
      </c>
      <c r="BW10" s="5">
        <v>12868588.866595</v>
      </c>
      <c r="BX10" s="5">
        <v>12868588.866595</v>
      </c>
      <c r="BY10" s="5">
        <v>12868588.866595</v>
      </c>
      <c r="BZ10" s="5">
        <v>12868588.866595</v>
      </c>
      <c r="CA10" s="5">
        <v>12868588.866595</v>
      </c>
      <c r="CB10" s="5">
        <v>12868588.866595</v>
      </c>
      <c r="CC10" s="5">
        <v>12868588.866595</v>
      </c>
      <c r="CD10" s="5">
        <v>12868588.866595</v>
      </c>
      <c r="CE10" s="5">
        <v>12868588.866595</v>
      </c>
      <c r="CF10" s="5">
        <v>12868588.866595</v>
      </c>
      <c r="CG10" s="5">
        <v>12868588.866595</v>
      </c>
      <c r="CH10" s="5">
        <v>12868588.866595</v>
      </c>
      <c r="CI10" s="5">
        <v>12868588.866595</v>
      </c>
      <c r="CJ10" s="5">
        <v>12868588.866595</v>
      </c>
      <c r="CK10" s="5">
        <v>12868588.866595</v>
      </c>
      <c r="CL10" s="5">
        <v>12868588.866595</v>
      </c>
      <c r="CM10" s="5">
        <v>12868588.866595</v>
      </c>
      <c r="CN10" s="5">
        <v>12868588.866595</v>
      </c>
      <c r="CO10" s="5">
        <v>12868588.866595</v>
      </c>
      <c r="CP10" s="5">
        <v>12868588.866595</v>
      </c>
      <c r="CQ10" s="5">
        <v>12868588.866595</v>
      </c>
      <c r="CR10" s="5">
        <v>12868588.866595</v>
      </c>
      <c r="CS10" s="5">
        <v>12868588.866595</v>
      </c>
      <c r="CT10" s="5">
        <v>12868588.866595</v>
      </c>
      <c r="CU10" s="5">
        <v>12868588.866595</v>
      </c>
      <c r="CV10" s="5">
        <v>12868588.866595</v>
      </c>
      <c r="CW10" s="5">
        <v>12868588.866595</v>
      </c>
      <c r="CX10" s="5">
        <v>12868588.866595</v>
      </c>
      <c r="CY10" s="5">
        <v>12868588.866595</v>
      </c>
      <c r="CZ10" s="5">
        <v>12868588.866595</v>
      </c>
      <c r="DA10" s="5">
        <v>12868588.866595</v>
      </c>
      <c r="DB10" s="5">
        <v>12868588.866595</v>
      </c>
      <c r="DC10" s="5">
        <v>12868588.866595</v>
      </c>
      <c r="DD10" s="5">
        <v>12868588.866595</v>
      </c>
      <c r="DE10" s="5">
        <v>12868588.866595</v>
      </c>
      <c r="DF10" s="5">
        <v>12868588.866595</v>
      </c>
      <c r="DG10" s="5">
        <v>12868588.866595</v>
      </c>
      <c r="DH10" s="5">
        <v>12868588.866595</v>
      </c>
      <c r="DI10" s="5">
        <v>12868588.866595</v>
      </c>
      <c r="DJ10" s="5">
        <v>12868588.866595</v>
      </c>
      <c r="DK10" s="5">
        <v>12868588.866595</v>
      </c>
      <c r="DL10" s="5">
        <v>12868588.866595</v>
      </c>
      <c r="DM10" s="5">
        <v>12868588.866595</v>
      </c>
      <c r="DN10" s="5">
        <v>12868588.866595</v>
      </c>
      <c r="DO10" s="5">
        <v>12868588.866595</v>
      </c>
      <c r="DP10" s="5">
        <v>12868588.866595</v>
      </c>
      <c r="DQ10" s="5">
        <v>12868588.866595</v>
      </c>
      <c r="DR10" s="5">
        <v>12868588.866595</v>
      </c>
      <c r="DS10" s="5">
        <v>12868588.866595</v>
      </c>
      <c r="DT10" s="5">
        <v>12868588.866595</v>
      </c>
      <c r="DU10" s="5">
        <v>12868588.866595</v>
      </c>
      <c r="DV10" s="5">
        <v>12868588.866595</v>
      </c>
      <c r="DW10" s="5">
        <v>12868588.866595</v>
      </c>
      <c r="DX10" s="5">
        <v>12868588.866595</v>
      </c>
      <c r="DY10" s="5">
        <v>12868588.866595</v>
      </c>
      <c r="DZ10" s="5">
        <f>EA10</f>
        <v>12868588.866595</v>
      </c>
      <c r="EA10" s="5">
        <f>'BAU Heat Rate - 2020'!D10</f>
        <v>12868588.866595</v>
      </c>
      <c r="EB10" s="5">
        <f>EA10</f>
        <v>12868588.866595</v>
      </c>
      <c r="EC10" s="5">
        <f t="shared" ref="EC10:GN10" si="5">EB10</f>
        <v>12868588.866595</v>
      </c>
      <c r="ED10" s="5">
        <f t="shared" si="5"/>
        <v>12868588.866595</v>
      </c>
      <c r="EE10" s="5">
        <f t="shared" si="5"/>
        <v>12868588.866595</v>
      </c>
      <c r="EF10" s="5">
        <f t="shared" si="5"/>
        <v>12868588.866595</v>
      </c>
      <c r="EG10" s="5">
        <f t="shared" si="5"/>
        <v>12868588.866595</v>
      </c>
      <c r="EH10" s="5">
        <f t="shared" si="5"/>
        <v>12868588.866595</v>
      </c>
      <c r="EI10" s="5">
        <f t="shared" si="5"/>
        <v>12868588.866595</v>
      </c>
      <c r="EJ10" s="5">
        <f t="shared" si="5"/>
        <v>12868588.866595</v>
      </c>
      <c r="EK10" s="5">
        <f t="shared" si="5"/>
        <v>12868588.866595</v>
      </c>
      <c r="EL10" s="5">
        <f t="shared" si="5"/>
        <v>12868588.866595</v>
      </c>
      <c r="EM10" s="5">
        <f t="shared" si="5"/>
        <v>12868588.866595</v>
      </c>
      <c r="EN10" s="5">
        <f t="shared" si="5"/>
        <v>12868588.866595</v>
      </c>
      <c r="EO10" s="5">
        <f t="shared" si="5"/>
        <v>12868588.866595</v>
      </c>
      <c r="EP10" s="5">
        <f t="shared" si="5"/>
        <v>12868588.866595</v>
      </c>
      <c r="EQ10" s="5">
        <f t="shared" si="5"/>
        <v>12868588.866595</v>
      </c>
      <c r="ER10" s="5">
        <f t="shared" si="5"/>
        <v>12868588.866595</v>
      </c>
      <c r="ES10" s="5">
        <f t="shared" si="5"/>
        <v>12868588.866595</v>
      </c>
      <c r="ET10" s="5">
        <f t="shared" si="5"/>
        <v>12868588.866595</v>
      </c>
      <c r="EU10" s="5">
        <f t="shared" si="5"/>
        <v>12868588.866595</v>
      </c>
      <c r="EV10" s="5">
        <f t="shared" si="5"/>
        <v>12868588.866595</v>
      </c>
      <c r="EW10" s="5">
        <f t="shared" si="5"/>
        <v>12868588.866595</v>
      </c>
      <c r="EX10" s="5">
        <f t="shared" si="5"/>
        <v>12868588.866595</v>
      </c>
      <c r="EY10" s="5">
        <f t="shared" si="5"/>
        <v>12868588.866595</v>
      </c>
      <c r="EZ10" s="5">
        <f t="shared" si="5"/>
        <v>12868588.866595</v>
      </c>
      <c r="FA10" s="5">
        <f t="shared" si="5"/>
        <v>12868588.866595</v>
      </c>
      <c r="FB10" s="5">
        <f t="shared" si="5"/>
        <v>12868588.866595</v>
      </c>
      <c r="FC10" s="5">
        <f t="shared" si="5"/>
        <v>12868588.866595</v>
      </c>
      <c r="FD10" s="5">
        <f t="shared" si="5"/>
        <v>12868588.866595</v>
      </c>
      <c r="FE10" s="5">
        <f t="shared" si="5"/>
        <v>12868588.866595</v>
      </c>
      <c r="FF10" s="5">
        <f t="shared" si="5"/>
        <v>12868588.866595</v>
      </c>
      <c r="FG10" s="5">
        <f t="shared" si="5"/>
        <v>12868588.866595</v>
      </c>
      <c r="FH10" s="5">
        <f t="shared" si="5"/>
        <v>12868588.866595</v>
      </c>
      <c r="FI10" s="5">
        <f t="shared" si="5"/>
        <v>12868588.866595</v>
      </c>
      <c r="FJ10" s="5">
        <f t="shared" si="5"/>
        <v>12868588.866595</v>
      </c>
      <c r="FK10" s="5">
        <f t="shared" si="5"/>
        <v>12868588.866595</v>
      </c>
      <c r="FL10" s="5">
        <f t="shared" si="5"/>
        <v>12868588.866595</v>
      </c>
      <c r="FM10" s="5">
        <f t="shared" si="5"/>
        <v>12868588.866595</v>
      </c>
      <c r="FN10" s="5">
        <f t="shared" si="5"/>
        <v>12868588.866595</v>
      </c>
      <c r="FO10" s="5">
        <f t="shared" si="5"/>
        <v>12868588.866595</v>
      </c>
      <c r="FP10" s="5">
        <f t="shared" si="5"/>
        <v>12868588.866595</v>
      </c>
      <c r="FQ10" s="5">
        <f t="shared" si="5"/>
        <v>12868588.866595</v>
      </c>
      <c r="FR10" s="5">
        <f t="shared" si="5"/>
        <v>12868588.866595</v>
      </c>
      <c r="FS10" s="5">
        <f t="shared" si="5"/>
        <v>12868588.866595</v>
      </c>
      <c r="FT10" s="5">
        <f t="shared" si="5"/>
        <v>12868588.866595</v>
      </c>
      <c r="FU10" s="5">
        <f t="shared" si="5"/>
        <v>12868588.866595</v>
      </c>
      <c r="FV10" s="5">
        <f t="shared" si="5"/>
        <v>12868588.866595</v>
      </c>
      <c r="FW10" s="5">
        <f t="shared" si="5"/>
        <v>12868588.866595</v>
      </c>
      <c r="FX10" s="5">
        <f t="shared" si="5"/>
        <v>12868588.866595</v>
      </c>
      <c r="FY10" s="5">
        <f t="shared" si="5"/>
        <v>12868588.866595</v>
      </c>
      <c r="FZ10" s="5">
        <f t="shared" si="5"/>
        <v>12868588.866595</v>
      </c>
      <c r="GA10" s="5">
        <f t="shared" si="5"/>
        <v>12868588.866595</v>
      </c>
      <c r="GB10" s="5">
        <f t="shared" si="5"/>
        <v>12868588.866595</v>
      </c>
      <c r="GC10" s="5">
        <f t="shared" si="5"/>
        <v>12868588.866595</v>
      </c>
      <c r="GD10" s="5">
        <f t="shared" si="5"/>
        <v>12868588.866595</v>
      </c>
      <c r="GE10" s="5">
        <f t="shared" si="5"/>
        <v>12868588.866595</v>
      </c>
      <c r="GF10" s="5">
        <f t="shared" si="5"/>
        <v>12868588.866595</v>
      </c>
      <c r="GG10" s="5">
        <f t="shared" si="5"/>
        <v>12868588.866595</v>
      </c>
      <c r="GH10" s="5">
        <f t="shared" si="5"/>
        <v>12868588.866595</v>
      </c>
      <c r="GI10" s="5">
        <f t="shared" si="5"/>
        <v>12868588.866595</v>
      </c>
      <c r="GJ10" s="5">
        <f t="shared" si="5"/>
        <v>12868588.866595</v>
      </c>
      <c r="GK10" s="5">
        <f t="shared" si="5"/>
        <v>12868588.866595</v>
      </c>
      <c r="GL10" s="5">
        <f t="shared" si="5"/>
        <v>12868588.866595</v>
      </c>
      <c r="GM10" s="5">
        <f t="shared" si="5"/>
        <v>12868588.866595</v>
      </c>
      <c r="GN10" s="5">
        <f t="shared" si="5"/>
        <v>12868588.866595</v>
      </c>
      <c r="GO10" s="5">
        <f t="shared" ref="GO10:HC10" si="6">GN10</f>
        <v>12868588.866595</v>
      </c>
      <c r="GP10" s="5">
        <f t="shared" si="6"/>
        <v>12868588.866595</v>
      </c>
      <c r="GQ10" s="5">
        <f t="shared" si="6"/>
        <v>12868588.866595</v>
      </c>
      <c r="GR10" s="5">
        <f t="shared" si="6"/>
        <v>12868588.866595</v>
      </c>
      <c r="GS10" s="5">
        <f t="shared" si="6"/>
        <v>12868588.866595</v>
      </c>
      <c r="GT10" s="5">
        <f t="shared" si="6"/>
        <v>12868588.866595</v>
      </c>
      <c r="GU10" s="5">
        <f t="shared" si="6"/>
        <v>12868588.866595</v>
      </c>
      <c r="GV10" s="5">
        <f t="shared" si="6"/>
        <v>12868588.866595</v>
      </c>
      <c r="GW10" s="5">
        <f t="shared" si="6"/>
        <v>12868588.866595</v>
      </c>
      <c r="GX10" s="5">
        <f t="shared" si="6"/>
        <v>12868588.866595</v>
      </c>
      <c r="GY10" s="5">
        <f t="shared" si="6"/>
        <v>12868588.866595</v>
      </c>
      <c r="GZ10" s="5">
        <f t="shared" si="6"/>
        <v>12868588.866595</v>
      </c>
      <c r="HA10" s="5">
        <f t="shared" si="6"/>
        <v>12868588.866595</v>
      </c>
      <c r="HB10" s="5">
        <f t="shared" si="6"/>
        <v>12868588.866595</v>
      </c>
      <c r="HC10" s="5">
        <f t="shared" si="6"/>
        <v>12868588.866595</v>
      </c>
    </row>
    <row r="11" spans="1:211" s="9" customFormat="1">
      <c r="A11" s="9" t="s">
        <v>98</v>
      </c>
      <c r="B11" s="5">
        <v>0</v>
      </c>
      <c r="C11" s="5">
        <v>0</v>
      </c>
      <c r="D11" s="5">
        <v>0</v>
      </c>
      <c r="E11" s="5">
        <v>0</v>
      </c>
      <c r="F11" s="5">
        <v>0</v>
      </c>
      <c r="G11" s="5">
        <v>0</v>
      </c>
      <c r="H11" s="5">
        <v>0</v>
      </c>
      <c r="I11" s="5">
        <v>0</v>
      </c>
      <c r="J11" s="5">
        <v>0</v>
      </c>
      <c r="K11" s="5">
        <v>0</v>
      </c>
      <c r="L11" s="5">
        <v>0</v>
      </c>
      <c r="M11" s="5">
        <v>0</v>
      </c>
      <c r="N11" s="5">
        <v>0</v>
      </c>
      <c r="O11" s="5">
        <v>0</v>
      </c>
      <c r="P11" s="5">
        <v>0</v>
      </c>
      <c r="Q11" s="5">
        <v>0</v>
      </c>
      <c r="R11" s="5">
        <v>0</v>
      </c>
      <c r="S11" s="5">
        <v>0</v>
      </c>
      <c r="T11" s="5">
        <v>0</v>
      </c>
      <c r="U11" s="5">
        <v>0</v>
      </c>
      <c r="V11" s="5">
        <v>0</v>
      </c>
      <c r="W11" s="5">
        <v>0</v>
      </c>
      <c r="X11" s="5">
        <v>0</v>
      </c>
      <c r="Y11" s="5">
        <v>0</v>
      </c>
      <c r="Z11" s="5">
        <v>0</v>
      </c>
      <c r="AA11" s="5">
        <v>0</v>
      </c>
      <c r="AB11" s="5">
        <v>0</v>
      </c>
      <c r="AC11" s="5">
        <v>0</v>
      </c>
      <c r="AD11" s="5">
        <v>0</v>
      </c>
      <c r="AE11" s="5">
        <v>0</v>
      </c>
      <c r="AF11" s="5">
        <v>0</v>
      </c>
      <c r="AG11" s="5">
        <v>0</v>
      </c>
      <c r="AH11" s="5">
        <v>0</v>
      </c>
      <c r="AI11" s="5">
        <v>0</v>
      </c>
      <c r="AJ11" s="5">
        <v>0</v>
      </c>
      <c r="AK11" s="5">
        <v>0</v>
      </c>
      <c r="AL11" s="5">
        <v>0</v>
      </c>
      <c r="AM11" s="5">
        <v>0</v>
      </c>
      <c r="AN11" s="5">
        <v>0</v>
      </c>
      <c r="AO11" s="5">
        <v>0</v>
      </c>
      <c r="AP11" s="5">
        <v>0</v>
      </c>
      <c r="AQ11" s="5">
        <v>0</v>
      </c>
      <c r="AR11" s="5">
        <v>0</v>
      </c>
      <c r="AS11" s="5">
        <v>0</v>
      </c>
      <c r="AT11" s="5">
        <v>0</v>
      </c>
      <c r="AU11" s="5">
        <v>0</v>
      </c>
      <c r="AV11" s="5">
        <v>0</v>
      </c>
      <c r="AW11" s="5">
        <v>0</v>
      </c>
      <c r="AX11" s="5">
        <v>0</v>
      </c>
      <c r="AY11" s="5">
        <v>0</v>
      </c>
      <c r="AZ11" s="5">
        <v>0</v>
      </c>
      <c r="BA11" s="5">
        <v>0</v>
      </c>
      <c r="BB11" s="5">
        <v>0</v>
      </c>
      <c r="BC11" s="5">
        <v>0</v>
      </c>
      <c r="BD11" s="5">
        <v>0</v>
      </c>
      <c r="BE11" s="5">
        <v>0</v>
      </c>
      <c r="BF11" s="5">
        <v>0</v>
      </c>
      <c r="BG11" s="5">
        <v>0</v>
      </c>
      <c r="BH11" s="5">
        <v>0</v>
      </c>
      <c r="BI11" s="5">
        <v>0</v>
      </c>
      <c r="BJ11" s="5">
        <v>0</v>
      </c>
      <c r="BK11" s="5">
        <v>0</v>
      </c>
      <c r="BL11" s="5">
        <v>0</v>
      </c>
      <c r="BM11" s="5">
        <v>0</v>
      </c>
      <c r="BN11" s="5">
        <v>0</v>
      </c>
      <c r="BO11" s="5">
        <v>0</v>
      </c>
      <c r="BP11" s="5">
        <v>0</v>
      </c>
      <c r="BQ11" s="5">
        <v>0</v>
      </c>
      <c r="BR11" s="5">
        <v>0</v>
      </c>
      <c r="BS11" s="5">
        <v>0</v>
      </c>
      <c r="BT11" s="5">
        <v>0</v>
      </c>
      <c r="BU11" s="5">
        <v>0</v>
      </c>
      <c r="BV11" s="5">
        <v>0</v>
      </c>
      <c r="BW11" s="5">
        <v>0</v>
      </c>
      <c r="BX11" s="5">
        <v>0</v>
      </c>
      <c r="BY11" s="5">
        <v>0</v>
      </c>
      <c r="BZ11" s="5">
        <v>0</v>
      </c>
      <c r="CA11" s="5">
        <v>0</v>
      </c>
      <c r="CB11" s="5">
        <v>0</v>
      </c>
      <c r="CC11" s="5">
        <v>0</v>
      </c>
      <c r="CD11" s="5">
        <v>0</v>
      </c>
      <c r="CE11" s="5">
        <v>0</v>
      </c>
      <c r="CF11" s="5">
        <v>0</v>
      </c>
      <c r="CG11" s="5">
        <v>0</v>
      </c>
      <c r="CH11" s="5">
        <v>0</v>
      </c>
      <c r="CI11" s="5">
        <v>0</v>
      </c>
      <c r="CJ11" s="5">
        <v>0</v>
      </c>
      <c r="CK11" s="5">
        <v>0</v>
      </c>
      <c r="CL11" s="5">
        <v>0</v>
      </c>
      <c r="CM11" s="5">
        <v>0</v>
      </c>
      <c r="CN11" s="5">
        <v>0</v>
      </c>
      <c r="CO11" s="5">
        <v>0</v>
      </c>
      <c r="CP11" s="5">
        <v>0</v>
      </c>
      <c r="CQ11" s="5">
        <v>0</v>
      </c>
      <c r="CR11" s="5">
        <v>0</v>
      </c>
      <c r="CS11" s="5">
        <v>0</v>
      </c>
      <c r="CT11" s="5">
        <v>0</v>
      </c>
      <c r="CU11" s="5">
        <v>0</v>
      </c>
      <c r="CV11" s="5">
        <v>0</v>
      </c>
      <c r="CW11" s="5">
        <v>0</v>
      </c>
      <c r="CX11" s="5">
        <v>0</v>
      </c>
      <c r="CY11" s="5">
        <v>0</v>
      </c>
      <c r="CZ11" s="5">
        <v>0</v>
      </c>
      <c r="DA11" s="5">
        <v>0</v>
      </c>
      <c r="DB11" s="5">
        <v>0</v>
      </c>
      <c r="DC11" s="5">
        <v>0</v>
      </c>
      <c r="DD11" s="5">
        <v>0</v>
      </c>
      <c r="DE11" s="5">
        <v>0</v>
      </c>
      <c r="DF11" s="5">
        <v>0</v>
      </c>
      <c r="DG11" s="5">
        <v>0</v>
      </c>
      <c r="DH11" s="5">
        <v>0</v>
      </c>
      <c r="DI11" s="5">
        <v>0</v>
      </c>
      <c r="DJ11" s="5">
        <v>0</v>
      </c>
      <c r="DK11" s="5">
        <v>0</v>
      </c>
      <c r="DL11" s="5">
        <v>0</v>
      </c>
      <c r="DM11" s="5">
        <v>0</v>
      </c>
      <c r="DN11" s="5">
        <v>0</v>
      </c>
      <c r="DO11" s="5">
        <v>0</v>
      </c>
      <c r="DP11" s="5">
        <v>0</v>
      </c>
      <c r="DQ11" s="5">
        <v>0</v>
      </c>
      <c r="DR11" s="5">
        <v>0</v>
      </c>
      <c r="DS11" s="5">
        <v>0</v>
      </c>
      <c r="DT11" s="5">
        <v>0</v>
      </c>
      <c r="DU11" s="5">
        <v>0</v>
      </c>
      <c r="DV11" s="5">
        <v>0</v>
      </c>
      <c r="DW11" s="5">
        <v>0</v>
      </c>
      <c r="DX11" s="5">
        <v>0</v>
      </c>
      <c r="DY11" s="5">
        <v>0</v>
      </c>
      <c r="DZ11" s="5">
        <v>0</v>
      </c>
      <c r="EA11" s="5">
        <v>0</v>
      </c>
      <c r="EB11" s="5">
        <v>0</v>
      </c>
      <c r="EC11" s="5">
        <v>0</v>
      </c>
      <c r="ED11" s="5">
        <v>0</v>
      </c>
      <c r="EE11" s="5">
        <v>0</v>
      </c>
      <c r="EF11" s="5">
        <v>0</v>
      </c>
      <c r="EG11" s="5">
        <v>0</v>
      </c>
      <c r="EH11" s="5">
        <v>0</v>
      </c>
      <c r="EI11" s="5">
        <v>0</v>
      </c>
      <c r="EJ11" s="5">
        <v>0</v>
      </c>
      <c r="EK11" s="5">
        <v>0</v>
      </c>
      <c r="EL11" s="5">
        <v>0</v>
      </c>
      <c r="EM11" s="5">
        <v>0</v>
      </c>
      <c r="EN11" s="5">
        <v>0</v>
      </c>
      <c r="EO11" s="5">
        <v>0</v>
      </c>
      <c r="EP11" s="5">
        <v>0</v>
      </c>
      <c r="EQ11" s="5">
        <v>0</v>
      </c>
      <c r="ER11" s="5">
        <v>0</v>
      </c>
      <c r="ES11" s="5">
        <v>0</v>
      </c>
      <c r="ET11" s="5">
        <v>0</v>
      </c>
      <c r="EU11" s="5">
        <v>0</v>
      </c>
      <c r="EV11" s="5">
        <v>0</v>
      </c>
      <c r="EW11" s="5">
        <v>0</v>
      </c>
      <c r="EX11" s="5">
        <v>0</v>
      </c>
      <c r="EY11" s="5">
        <v>0</v>
      </c>
      <c r="EZ11" s="5">
        <v>0</v>
      </c>
      <c r="FA11" s="5">
        <v>0</v>
      </c>
      <c r="FB11" s="5">
        <v>0</v>
      </c>
      <c r="FC11" s="5">
        <v>0</v>
      </c>
      <c r="FD11" s="5">
        <v>0</v>
      </c>
      <c r="FE11" s="5">
        <v>0</v>
      </c>
      <c r="FF11" s="5">
        <v>0</v>
      </c>
      <c r="FG11" s="5">
        <v>0</v>
      </c>
      <c r="FH11" s="5">
        <v>0</v>
      </c>
      <c r="FI11" s="5">
        <v>0</v>
      </c>
      <c r="FJ11" s="5">
        <v>0</v>
      </c>
      <c r="FK11" s="5">
        <v>0</v>
      </c>
      <c r="FL11" s="5">
        <v>0</v>
      </c>
      <c r="FM11" s="5">
        <v>0</v>
      </c>
      <c r="FN11" s="5">
        <v>0</v>
      </c>
      <c r="FO11" s="5">
        <v>0</v>
      </c>
      <c r="FP11" s="5">
        <v>0</v>
      </c>
      <c r="FQ11" s="5">
        <v>0</v>
      </c>
      <c r="FR11" s="5">
        <v>0</v>
      </c>
      <c r="FS11" s="5">
        <v>0</v>
      </c>
      <c r="FT11" s="5">
        <v>0</v>
      </c>
      <c r="FU11" s="5">
        <v>0</v>
      </c>
      <c r="FV11" s="5">
        <v>0</v>
      </c>
      <c r="FW11" s="5">
        <v>0</v>
      </c>
      <c r="FX11" s="5">
        <v>0</v>
      </c>
      <c r="FY11" s="5">
        <v>0</v>
      </c>
      <c r="FZ11" s="5">
        <v>0</v>
      </c>
      <c r="GA11" s="5">
        <v>0</v>
      </c>
      <c r="GB11" s="5">
        <v>0</v>
      </c>
      <c r="GC11" s="5">
        <v>0</v>
      </c>
      <c r="GD11" s="5">
        <v>0</v>
      </c>
      <c r="GE11" s="5">
        <v>0</v>
      </c>
      <c r="GF11" s="5">
        <v>0</v>
      </c>
      <c r="GG11" s="5">
        <v>0</v>
      </c>
      <c r="GH11" s="5">
        <v>0</v>
      </c>
      <c r="GI11" s="5">
        <v>0</v>
      </c>
      <c r="GJ11" s="5">
        <v>0</v>
      </c>
      <c r="GK11" s="5">
        <v>0</v>
      </c>
      <c r="GL11" s="5">
        <v>0</v>
      </c>
      <c r="GM11" s="5">
        <v>0</v>
      </c>
      <c r="GN11" s="5">
        <v>0</v>
      </c>
      <c r="GO11" s="5">
        <v>0</v>
      </c>
      <c r="GP11" s="5">
        <v>0</v>
      </c>
      <c r="GQ11" s="5">
        <v>0</v>
      </c>
      <c r="GR11" s="5">
        <v>0</v>
      </c>
      <c r="GS11" s="5">
        <v>0</v>
      </c>
      <c r="GT11" s="5">
        <v>0</v>
      </c>
      <c r="GU11" s="5">
        <v>0</v>
      </c>
      <c r="GV11" s="5">
        <v>0</v>
      </c>
      <c r="GW11" s="5">
        <v>0</v>
      </c>
      <c r="GX11" s="5">
        <v>0</v>
      </c>
      <c r="GY11" s="5">
        <v>0</v>
      </c>
      <c r="GZ11" s="5">
        <v>0</v>
      </c>
      <c r="HA11" s="5">
        <v>0</v>
      </c>
      <c r="HB11" s="5">
        <v>0</v>
      </c>
      <c r="HC11" s="5">
        <v>0</v>
      </c>
    </row>
    <row r="12" spans="1:211">
      <c r="A12" t="s">
        <v>99</v>
      </c>
      <c r="B12" s="5">
        <f>'BAU Heat Rate - 2020'!$C$39</f>
        <v>9750000</v>
      </c>
      <c r="C12" s="5">
        <f>'BAU Heat Rate - 2020'!$C$39</f>
        <v>9750000</v>
      </c>
      <c r="D12" s="5">
        <f>'BAU Heat Rate - 2020'!$C$39</f>
        <v>9750000</v>
      </c>
      <c r="E12" s="5">
        <f>'BAU Heat Rate - 2020'!$C$39</f>
        <v>9750000</v>
      </c>
      <c r="F12" s="5">
        <f>'BAU Heat Rate - 2020'!$C$39</f>
        <v>9750000</v>
      </c>
      <c r="G12" s="5">
        <f>'BAU Heat Rate - 2020'!$C$39</f>
        <v>9750000</v>
      </c>
      <c r="H12" s="5">
        <f>'BAU Heat Rate - 2020'!$C$39</f>
        <v>9750000</v>
      </c>
      <c r="I12" s="5">
        <f>'BAU Heat Rate - 2020'!$C$39</f>
        <v>9750000</v>
      </c>
      <c r="J12" s="5">
        <f>'BAU Heat Rate - 2020'!$C$39</f>
        <v>9750000</v>
      </c>
      <c r="K12" s="5">
        <f>'BAU Heat Rate - 2020'!$C$39</f>
        <v>9750000</v>
      </c>
      <c r="L12" s="5">
        <f>'BAU Heat Rate - 2020'!$C$39</f>
        <v>9750000</v>
      </c>
      <c r="M12" s="5">
        <f>'BAU Heat Rate - 2020'!$C$39</f>
        <v>9750000</v>
      </c>
      <c r="N12" s="5">
        <f>'BAU Heat Rate - 2020'!$C$39</f>
        <v>9750000</v>
      </c>
      <c r="O12" s="5">
        <f>'BAU Heat Rate - 2020'!$C$39</f>
        <v>9750000</v>
      </c>
      <c r="P12" s="5">
        <f>'BAU Heat Rate - 2020'!$C$39</f>
        <v>9750000</v>
      </c>
      <c r="Q12" s="5">
        <f>'BAU Heat Rate - 2020'!$C$39</f>
        <v>9750000</v>
      </c>
      <c r="R12" s="5">
        <f>'BAU Heat Rate - 2020'!$C$39</f>
        <v>9750000</v>
      </c>
      <c r="S12" s="5">
        <f>'BAU Heat Rate - 2020'!$C$39</f>
        <v>9750000</v>
      </c>
      <c r="T12" s="5">
        <f>'BAU Heat Rate - 2020'!$C$39</f>
        <v>9750000</v>
      </c>
      <c r="U12" s="5">
        <f>'BAU Heat Rate - 2020'!$C$39</f>
        <v>9750000</v>
      </c>
      <c r="V12" s="5">
        <f>'BAU Heat Rate - 2020'!$C$39</f>
        <v>9750000</v>
      </c>
      <c r="W12" s="5">
        <f>'BAU Heat Rate - 2020'!$C$39</f>
        <v>9750000</v>
      </c>
      <c r="X12" s="5">
        <f>'BAU Heat Rate - 2020'!$C$39</f>
        <v>9750000</v>
      </c>
      <c r="Y12" s="5">
        <f>'BAU Heat Rate - 2020'!$C$39</f>
        <v>9750000</v>
      </c>
      <c r="Z12" s="5">
        <f>'BAU Heat Rate - 2020'!$C$39</f>
        <v>9750000</v>
      </c>
      <c r="AA12" s="5">
        <f>'BAU Heat Rate - 2020'!$C$39</f>
        <v>9750000</v>
      </c>
      <c r="AB12" s="5">
        <f>'BAU Heat Rate - 2020'!$C$39</f>
        <v>9750000</v>
      </c>
      <c r="AC12" s="5">
        <f>'BAU Heat Rate - 2020'!$C$39</f>
        <v>9750000</v>
      </c>
      <c r="AD12" s="5">
        <f>'BAU Heat Rate - 2020'!$C$39</f>
        <v>9750000</v>
      </c>
      <c r="AE12" s="5">
        <f>'BAU Heat Rate - 2020'!$C$39</f>
        <v>9750000</v>
      </c>
      <c r="AF12" s="5">
        <f>'BAU Heat Rate - 2020'!$C$39</f>
        <v>9750000</v>
      </c>
      <c r="AG12" s="5">
        <f>'BAU Heat Rate - 2020'!$C$39</f>
        <v>9750000</v>
      </c>
      <c r="AH12" s="5">
        <f>'BAU Heat Rate - 2020'!$C$39</f>
        <v>9750000</v>
      </c>
      <c r="AI12" s="5">
        <f>'BAU Heat Rate - 2020'!$C$39</f>
        <v>9750000</v>
      </c>
      <c r="AJ12" s="5">
        <f>'BAU Heat Rate - 2020'!$C$39</f>
        <v>9750000</v>
      </c>
      <c r="AK12" s="5">
        <f>'BAU Heat Rate - 2020'!$C$39</f>
        <v>9750000</v>
      </c>
      <c r="AL12" s="5">
        <f>'BAU Heat Rate - 2020'!$C$39</f>
        <v>9750000</v>
      </c>
      <c r="AM12" s="5">
        <f>'BAU Heat Rate - 2020'!$C$39</f>
        <v>9750000</v>
      </c>
      <c r="AN12" s="5">
        <f>'BAU Heat Rate - 2020'!$C$39</f>
        <v>9750000</v>
      </c>
      <c r="AO12" s="5">
        <f>'BAU Heat Rate - 2020'!$C$39</f>
        <v>9750000</v>
      </c>
      <c r="AP12" s="5">
        <f>'BAU Heat Rate - 2020'!$C$39</f>
        <v>9750000</v>
      </c>
      <c r="AQ12" s="5">
        <f>'BAU Heat Rate - 2020'!$C$39</f>
        <v>9750000</v>
      </c>
      <c r="AR12" s="5">
        <f>'BAU Heat Rate - 2020'!$C$39</f>
        <v>9750000</v>
      </c>
      <c r="AS12" s="5">
        <f>'BAU Heat Rate - 2020'!$C$39</f>
        <v>9750000</v>
      </c>
      <c r="AT12" s="5">
        <f>'BAU Heat Rate - 2020'!$C$39</f>
        <v>9750000</v>
      </c>
      <c r="AU12" s="5">
        <f>'BAU Heat Rate - 2020'!$C$39</f>
        <v>9750000</v>
      </c>
      <c r="AV12" s="5">
        <f>'BAU Heat Rate - 2020'!$C$39</f>
        <v>9750000</v>
      </c>
      <c r="AW12" s="5">
        <f>'BAU Heat Rate - 2020'!$C$39</f>
        <v>9750000</v>
      </c>
      <c r="AX12" s="5">
        <f>'BAU Heat Rate - 2020'!$C$39</f>
        <v>9750000</v>
      </c>
      <c r="AY12" s="5">
        <f>'BAU Heat Rate - 2020'!$C$39</f>
        <v>9750000</v>
      </c>
      <c r="AZ12" s="5">
        <f>'BAU Heat Rate - 2020'!$C$39</f>
        <v>9750000</v>
      </c>
      <c r="BA12" s="5">
        <f>'BAU Heat Rate - 2020'!$C$39</f>
        <v>9750000</v>
      </c>
      <c r="BB12" s="5">
        <f>'BAU Heat Rate - 2020'!$C$39</f>
        <v>9750000</v>
      </c>
      <c r="BC12" s="5">
        <f>'BAU Heat Rate - 2020'!$C$39</f>
        <v>9750000</v>
      </c>
      <c r="BD12" s="5">
        <f>'BAU Heat Rate - 2020'!$C$39</f>
        <v>9750000</v>
      </c>
      <c r="BE12" s="5">
        <f>'BAU Heat Rate - 2020'!$C$39</f>
        <v>9750000</v>
      </c>
      <c r="BF12" s="5">
        <f>'BAU Heat Rate - 2020'!$C$39</f>
        <v>9750000</v>
      </c>
      <c r="BG12" s="5">
        <f>'BAU Heat Rate - 2020'!$C$39</f>
        <v>9750000</v>
      </c>
      <c r="BH12" s="5">
        <f>'BAU Heat Rate - 2020'!$C$39</f>
        <v>9750000</v>
      </c>
      <c r="BI12" s="5">
        <f>'BAU Heat Rate - 2020'!$C$39</f>
        <v>9750000</v>
      </c>
      <c r="BJ12" s="5">
        <f>'BAU Heat Rate - 2020'!$C$39</f>
        <v>9750000</v>
      </c>
      <c r="BK12" s="5">
        <f>'BAU Heat Rate - 2020'!$C$39</f>
        <v>9750000</v>
      </c>
      <c r="BL12" s="5">
        <f>'BAU Heat Rate - 2020'!$C$39</f>
        <v>9750000</v>
      </c>
      <c r="BM12" s="5">
        <f>'BAU Heat Rate - 2020'!$C$39</f>
        <v>9750000</v>
      </c>
      <c r="BN12" s="5">
        <f>'BAU Heat Rate - 2020'!$C$39</f>
        <v>9750000</v>
      </c>
      <c r="BO12" s="5">
        <f>'BAU Heat Rate - 2020'!$C$39</f>
        <v>9750000</v>
      </c>
      <c r="BP12" s="5">
        <f>'BAU Heat Rate - 2020'!$C$39</f>
        <v>9750000</v>
      </c>
      <c r="BQ12" s="5">
        <f>'BAU Heat Rate - 2020'!$C$39</f>
        <v>9750000</v>
      </c>
      <c r="BR12" s="5">
        <f>'BAU Heat Rate - 2020'!$C$39</f>
        <v>9750000</v>
      </c>
      <c r="BS12" s="5">
        <f>'BAU Heat Rate - 2020'!$C$39</f>
        <v>9750000</v>
      </c>
      <c r="BT12" s="5">
        <f>'BAU Heat Rate - 2020'!$C$39</f>
        <v>9750000</v>
      </c>
      <c r="BU12" s="5">
        <f>'BAU Heat Rate - 2020'!$C$39</f>
        <v>9750000</v>
      </c>
      <c r="BV12" s="5">
        <f>'BAU Heat Rate - 2020'!$C$39</f>
        <v>9750000</v>
      </c>
      <c r="BW12" s="5">
        <f>'BAU Heat Rate - 2020'!$C$39</f>
        <v>9750000</v>
      </c>
      <c r="BX12" s="5">
        <f>'BAU Heat Rate - 2020'!$C$39</f>
        <v>9750000</v>
      </c>
      <c r="BY12" s="5">
        <f>'BAU Heat Rate - 2020'!$C$39</f>
        <v>9750000</v>
      </c>
      <c r="BZ12" s="5">
        <f>'BAU Heat Rate - 2020'!$C$39</f>
        <v>9750000</v>
      </c>
      <c r="CA12" s="5">
        <f>'BAU Heat Rate - 2020'!$C$39</f>
        <v>9750000</v>
      </c>
      <c r="CB12" s="5">
        <f>'BAU Heat Rate - 2020'!$C$39</f>
        <v>9750000</v>
      </c>
      <c r="CC12" s="5">
        <f>'BAU Heat Rate - 2020'!$C$39</f>
        <v>9750000</v>
      </c>
      <c r="CD12" s="5">
        <f>'BAU Heat Rate - 2020'!$C$39</f>
        <v>9750000</v>
      </c>
      <c r="CE12" s="5">
        <f>'BAU Heat Rate - 2020'!$C$39</f>
        <v>9750000</v>
      </c>
      <c r="CF12" s="5">
        <f>'BAU Heat Rate - 2020'!$C$39</f>
        <v>9750000</v>
      </c>
      <c r="CG12" s="5">
        <f>'BAU Heat Rate - 2020'!$C$39</f>
        <v>9750000</v>
      </c>
      <c r="CH12" s="5">
        <f>'BAU Heat Rate - 2020'!$C$39</f>
        <v>9750000</v>
      </c>
      <c r="CI12" s="5">
        <f>'BAU Heat Rate - 2020'!$C$39</f>
        <v>9750000</v>
      </c>
      <c r="CJ12" s="5">
        <f>'BAU Heat Rate - 2020'!$C$39</f>
        <v>9750000</v>
      </c>
      <c r="CK12" s="5">
        <f>'BAU Heat Rate - 2020'!$C$39</f>
        <v>9750000</v>
      </c>
      <c r="CL12" s="5">
        <f>'BAU Heat Rate - 2020'!$C$39</f>
        <v>9750000</v>
      </c>
      <c r="CM12" s="5">
        <f>'BAU Heat Rate - 2020'!$C$39</f>
        <v>9750000</v>
      </c>
      <c r="CN12" s="5">
        <f>'BAU Heat Rate - 2020'!$C$39</f>
        <v>9750000</v>
      </c>
      <c r="CO12" s="5">
        <f>'BAU Heat Rate - 2020'!$C$39</f>
        <v>9750000</v>
      </c>
      <c r="CP12" s="5">
        <f>'BAU Heat Rate - 2020'!$C$39</f>
        <v>9750000</v>
      </c>
      <c r="CQ12" s="5">
        <f>'BAU Heat Rate - 2020'!$C$39</f>
        <v>9750000</v>
      </c>
      <c r="CR12" s="5">
        <f>'BAU Heat Rate - 2020'!$C$39</f>
        <v>9750000</v>
      </c>
      <c r="CS12" s="5">
        <f>'BAU Heat Rate - 2020'!$C$39</f>
        <v>9750000</v>
      </c>
      <c r="CT12" s="5">
        <f>'BAU Heat Rate - 2020'!$C$39</f>
        <v>9750000</v>
      </c>
      <c r="CU12" s="5">
        <f>'BAU Heat Rate - 2020'!$C$39</f>
        <v>9750000</v>
      </c>
      <c r="CV12" s="5">
        <f>'BAU Heat Rate - 2020'!$C$39</f>
        <v>9750000</v>
      </c>
      <c r="CW12" s="5">
        <f>'BAU Heat Rate - 2020'!$C$39</f>
        <v>9750000</v>
      </c>
      <c r="CX12" s="5">
        <f>'BAU Heat Rate - 2020'!$C$39</f>
        <v>9750000</v>
      </c>
      <c r="CY12" s="5">
        <f>'BAU Heat Rate - 2020'!$C$39</f>
        <v>9750000</v>
      </c>
      <c r="CZ12" s="5">
        <f>'BAU Heat Rate - 2020'!$C$39</f>
        <v>9750000</v>
      </c>
      <c r="DA12" s="5">
        <f>'BAU Heat Rate - 2020'!$C$39</f>
        <v>9750000</v>
      </c>
      <c r="DB12" s="5">
        <f>'BAU Heat Rate - 2020'!$C$39</f>
        <v>9750000</v>
      </c>
      <c r="DC12" s="5">
        <f>'BAU Heat Rate - 2020'!$C$39</f>
        <v>9750000</v>
      </c>
      <c r="DD12" s="5">
        <f>'BAU Heat Rate - 2020'!$C$39</f>
        <v>9750000</v>
      </c>
      <c r="DE12" s="5">
        <f>'BAU Heat Rate - 2020'!$C$39</f>
        <v>9750000</v>
      </c>
      <c r="DF12" s="5">
        <f>'BAU Heat Rate - 2020'!$C$39</f>
        <v>9750000</v>
      </c>
      <c r="DG12" s="5">
        <f>'BAU Heat Rate - 2020'!$C$39</f>
        <v>9750000</v>
      </c>
      <c r="DH12" s="5">
        <f>'BAU Heat Rate - 2020'!$C$39</f>
        <v>9750000</v>
      </c>
      <c r="DI12" s="5">
        <f>'BAU Heat Rate - 2020'!$C$39</f>
        <v>9750000</v>
      </c>
      <c r="DJ12" s="5">
        <f>'BAU Heat Rate - 2020'!$C$39</f>
        <v>9750000</v>
      </c>
      <c r="DK12" s="5">
        <f>'BAU Heat Rate - 2020'!$C$39</f>
        <v>9750000</v>
      </c>
      <c r="DL12" s="5">
        <f>'BAU Heat Rate - 2020'!$C$39</f>
        <v>9750000</v>
      </c>
      <c r="DM12" s="5">
        <f>'BAU Heat Rate - 2020'!$C$39</f>
        <v>9750000</v>
      </c>
      <c r="DN12" s="5">
        <f>'BAU Heat Rate - 2020'!$C$39</f>
        <v>9750000</v>
      </c>
      <c r="DO12" s="5">
        <f>'BAU Heat Rate - 2020'!$C$39</f>
        <v>9750000</v>
      </c>
      <c r="DP12" s="5">
        <f>'BAU Heat Rate - 2020'!$C$39</f>
        <v>9750000</v>
      </c>
      <c r="DQ12" s="5">
        <f>'BAU Heat Rate - 2020'!$C$39</f>
        <v>9750000</v>
      </c>
      <c r="DR12" s="5">
        <f>'BAU Heat Rate - 2020'!$C$39</f>
        <v>9750000</v>
      </c>
      <c r="DS12" s="5">
        <f>'BAU Heat Rate - 2020'!$C$39</f>
        <v>9750000</v>
      </c>
      <c r="DT12" s="5">
        <f>'BAU Heat Rate - 2020'!$C$39</f>
        <v>9750000</v>
      </c>
      <c r="DU12" s="5">
        <f>'BAU Heat Rate - 2020'!$C$39</f>
        <v>9750000</v>
      </c>
      <c r="DV12" s="5">
        <f>'BAU Heat Rate - 2020'!$C$39</f>
        <v>9750000</v>
      </c>
      <c r="DW12" s="5">
        <f>'BAU Heat Rate - 2020'!$C$39</f>
        <v>9750000</v>
      </c>
      <c r="DX12" s="5">
        <f>'BAU Heat Rate - 2020'!$C$39</f>
        <v>9750000</v>
      </c>
      <c r="DY12" s="5">
        <f>'BAU Heat Rate - 2020'!$C$39</f>
        <v>9750000</v>
      </c>
      <c r="DZ12" s="5">
        <f>'BAU Heat Rate - 2020'!$C$39</f>
        <v>9750000</v>
      </c>
      <c r="EA12" s="13">
        <f>'BAU Heat Rate - 2020'!$C$39</f>
        <v>9750000</v>
      </c>
      <c r="EB12" s="13">
        <f>'BAU Heat Rate - 2020'!$C$39</f>
        <v>9750000</v>
      </c>
      <c r="EC12" s="13">
        <f>'BAU Heat Rate - 2020'!$C$39</f>
        <v>9750000</v>
      </c>
      <c r="ED12" s="13">
        <f>'BAU Heat Rate - 2020'!$C$39</f>
        <v>9750000</v>
      </c>
      <c r="EE12" s="13">
        <f>'BAU Heat Rate - 2020'!$C$39</f>
        <v>9750000</v>
      </c>
      <c r="EF12" s="13">
        <f>'BAU Heat Rate - 2020'!$C$39</f>
        <v>9750000</v>
      </c>
      <c r="EG12" s="13">
        <f>'BAU Heat Rate - 2020'!$C$39</f>
        <v>9750000</v>
      </c>
      <c r="EH12" s="13">
        <f>'BAU Heat Rate - 2020'!$C$39</f>
        <v>9750000</v>
      </c>
      <c r="EI12" s="13">
        <f>'BAU Heat Rate - 2020'!$C$39</f>
        <v>9750000</v>
      </c>
      <c r="EJ12" s="13">
        <f>'BAU Heat Rate - 2020'!$C$39</f>
        <v>9750000</v>
      </c>
      <c r="EK12" s="13">
        <f>'BAU Heat Rate - 2020'!$C$39</f>
        <v>9750000</v>
      </c>
      <c r="EL12" s="5">
        <f>'BAU Heat Rate - 2020'!$C$39</f>
        <v>9750000</v>
      </c>
      <c r="EM12" s="5">
        <f>'BAU Heat Rate - 2020'!$C$39</f>
        <v>9750000</v>
      </c>
      <c r="EN12" s="5">
        <f>'BAU Heat Rate - 2020'!$C$39</f>
        <v>9750000</v>
      </c>
      <c r="EO12" s="5">
        <f>'BAU Heat Rate - 2020'!$C$39</f>
        <v>9750000</v>
      </c>
      <c r="EP12" s="5">
        <f>'BAU Heat Rate - 2020'!$C$39</f>
        <v>9750000</v>
      </c>
      <c r="EQ12" s="5">
        <f>'BAU Heat Rate - 2020'!$C$39</f>
        <v>9750000</v>
      </c>
      <c r="ER12" s="5">
        <f>'BAU Heat Rate - 2020'!$C$39</f>
        <v>9750000</v>
      </c>
      <c r="ES12" s="5">
        <f>'BAU Heat Rate - 2020'!$C$39</f>
        <v>9750000</v>
      </c>
      <c r="ET12" s="5">
        <f>'BAU Heat Rate - 2020'!$C$39</f>
        <v>9750000</v>
      </c>
      <c r="EU12" s="5">
        <f>'BAU Heat Rate - 2020'!$C$39</f>
        <v>9750000</v>
      </c>
      <c r="EV12" s="5">
        <f>'BAU Heat Rate - 2020'!$C$39</f>
        <v>9750000</v>
      </c>
      <c r="EW12" s="5">
        <f>'BAU Heat Rate - 2020'!$C$39</f>
        <v>9750000</v>
      </c>
      <c r="EX12" s="5">
        <f>'BAU Heat Rate - 2020'!$C$39</f>
        <v>9750000</v>
      </c>
      <c r="EY12" s="5">
        <f>'BAU Heat Rate - 2020'!$C$39</f>
        <v>9750000</v>
      </c>
      <c r="EZ12" s="5">
        <f>'BAU Heat Rate - 2020'!$C$39</f>
        <v>9750000</v>
      </c>
      <c r="FA12" s="5">
        <f>'BAU Heat Rate - 2020'!$C$39</f>
        <v>9750000</v>
      </c>
      <c r="FB12" s="5">
        <f>'BAU Heat Rate - 2020'!$C$39</f>
        <v>9750000</v>
      </c>
      <c r="FC12" s="5">
        <f>'BAU Heat Rate - 2020'!$C$39</f>
        <v>9750000</v>
      </c>
      <c r="FD12" s="5">
        <f>'BAU Heat Rate - 2020'!$C$39</f>
        <v>9750000</v>
      </c>
      <c r="FE12" s="5">
        <f>'BAU Heat Rate - 2020'!$C$39</f>
        <v>9750000</v>
      </c>
      <c r="FF12" s="5">
        <f>'BAU Heat Rate - 2020'!$C$39</f>
        <v>9750000</v>
      </c>
      <c r="FG12" s="5">
        <f>'BAU Heat Rate - 2020'!$C$39</f>
        <v>9750000</v>
      </c>
      <c r="FH12" s="5">
        <f>'BAU Heat Rate - 2020'!$C$39</f>
        <v>9750000</v>
      </c>
      <c r="FI12" s="5">
        <f>'BAU Heat Rate - 2020'!$C$39</f>
        <v>9750000</v>
      </c>
      <c r="FJ12" s="5">
        <f>'BAU Heat Rate - 2020'!$C$39</f>
        <v>9750000</v>
      </c>
      <c r="FK12" s="5">
        <f>'BAU Heat Rate - 2020'!$C$39</f>
        <v>9750000</v>
      </c>
      <c r="FL12" s="5">
        <f>'BAU Heat Rate - 2020'!$C$39</f>
        <v>9750000</v>
      </c>
      <c r="FM12" s="5">
        <f>'BAU Heat Rate - 2020'!$C$39</f>
        <v>9750000</v>
      </c>
      <c r="FN12" s="5">
        <f>'BAU Heat Rate - 2020'!$C$39</f>
        <v>9750000</v>
      </c>
      <c r="FO12" s="5">
        <f>'BAU Heat Rate - 2020'!$C$39</f>
        <v>9750000</v>
      </c>
      <c r="FP12" s="5">
        <f>'BAU Heat Rate - 2020'!$C$39</f>
        <v>9750000</v>
      </c>
      <c r="FQ12" s="5">
        <f>'BAU Heat Rate - 2020'!$C$39</f>
        <v>9750000</v>
      </c>
      <c r="FR12" s="5">
        <f>'BAU Heat Rate - 2020'!$C$39</f>
        <v>9750000</v>
      </c>
      <c r="FS12" s="5">
        <f>'BAU Heat Rate - 2020'!$C$39</f>
        <v>9750000</v>
      </c>
      <c r="FT12" s="5">
        <f>'BAU Heat Rate - 2020'!$C$39</f>
        <v>9750000</v>
      </c>
      <c r="FU12" s="5">
        <f>'BAU Heat Rate - 2020'!$C$39</f>
        <v>9750000</v>
      </c>
      <c r="FV12" s="5">
        <f>'BAU Heat Rate - 2020'!$C$39</f>
        <v>9750000</v>
      </c>
      <c r="FW12" s="5">
        <f>'BAU Heat Rate - 2020'!$C$39</f>
        <v>9750000</v>
      </c>
      <c r="FX12" s="5">
        <f>'BAU Heat Rate - 2020'!$C$39</f>
        <v>9750000</v>
      </c>
      <c r="FY12" s="5">
        <f>'BAU Heat Rate - 2020'!$C$39</f>
        <v>9750000</v>
      </c>
      <c r="FZ12" s="5">
        <f>'BAU Heat Rate - 2020'!$C$39</f>
        <v>9750000</v>
      </c>
      <c r="GA12" s="5">
        <f>'BAU Heat Rate - 2020'!$C$39</f>
        <v>9750000</v>
      </c>
      <c r="GB12" s="5">
        <f>'BAU Heat Rate - 2020'!$C$39</f>
        <v>9750000</v>
      </c>
      <c r="GC12" s="5">
        <f>'BAU Heat Rate - 2020'!$C$39</f>
        <v>9750000</v>
      </c>
      <c r="GD12" s="5">
        <f>'BAU Heat Rate - 2020'!$C$39</f>
        <v>9750000</v>
      </c>
      <c r="GE12" s="5">
        <f>'BAU Heat Rate - 2020'!$C$39</f>
        <v>9750000</v>
      </c>
      <c r="GF12" s="5">
        <f>'BAU Heat Rate - 2020'!$C$39</f>
        <v>9750000</v>
      </c>
      <c r="GG12" s="5">
        <f>'BAU Heat Rate - 2020'!$C$39</f>
        <v>9750000</v>
      </c>
      <c r="GH12" s="5">
        <f>'BAU Heat Rate - 2020'!$C$39</f>
        <v>9750000</v>
      </c>
      <c r="GI12" s="5">
        <f>'BAU Heat Rate - 2020'!$C$39</f>
        <v>9750000</v>
      </c>
      <c r="GJ12" s="5">
        <f>'BAU Heat Rate - 2020'!$C$39</f>
        <v>9750000</v>
      </c>
      <c r="GK12" s="5">
        <f>'BAU Heat Rate - 2020'!$C$39</f>
        <v>9750000</v>
      </c>
      <c r="GL12" s="5">
        <f>'BAU Heat Rate - 2020'!$C$39</f>
        <v>9750000</v>
      </c>
      <c r="GM12" s="5">
        <f>'BAU Heat Rate - 2020'!$C$39</f>
        <v>9750000</v>
      </c>
      <c r="GN12" s="5">
        <f>'BAU Heat Rate - 2020'!$C$39</f>
        <v>9750000</v>
      </c>
      <c r="GO12" s="5">
        <f>'BAU Heat Rate - 2020'!$C$39</f>
        <v>9750000</v>
      </c>
      <c r="GP12" s="5">
        <f>'BAU Heat Rate - 2020'!$C$39</f>
        <v>9750000</v>
      </c>
      <c r="GQ12" s="5">
        <f>'BAU Heat Rate - 2020'!$C$39</f>
        <v>9750000</v>
      </c>
      <c r="GR12" s="5">
        <f>'BAU Heat Rate - 2020'!$C$39</f>
        <v>9750000</v>
      </c>
      <c r="GS12" s="5">
        <f>'BAU Heat Rate - 2020'!$C$39</f>
        <v>9750000</v>
      </c>
      <c r="GT12" s="5">
        <f>'BAU Heat Rate - 2020'!$C$39</f>
        <v>9750000</v>
      </c>
      <c r="GU12" s="5">
        <f>'BAU Heat Rate - 2020'!$C$39</f>
        <v>9750000</v>
      </c>
      <c r="GV12" s="5">
        <f>'BAU Heat Rate - 2020'!$C$39</f>
        <v>9750000</v>
      </c>
      <c r="GW12" s="5">
        <f>'BAU Heat Rate - 2020'!$C$39</f>
        <v>9750000</v>
      </c>
      <c r="GX12" s="5">
        <f>'BAU Heat Rate - 2020'!$C$39</f>
        <v>9750000</v>
      </c>
      <c r="GY12" s="5">
        <f>'BAU Heat Rate - 2020'!$C$39</f>
        <v>9750000</v>
      </c>
      <c r="GZ12" s="5">
        <f>'BAU Heat Rate - 2020'!$C$39</f>
        <v>9750000</v>
      </c>
      <c r="HA12" s="5">
        <f>'BAU Heat Rate - 2020'!$C$39</f>
        <v>9750000</v>
      </c>
      <c r="HB12" s="5">
        <f>'BAU Heat Rate - 2020'!$C$39</f>
        <v>9750000</v>
      </c>
      <c r="HC12" s="5">
        <f>'BAU Heat Rate - 2020'!$C$39</f>
        <v>9750000</v>
      </c>
    </row>
    <row r="13" spans="1:211">
      <c r="A13" t="s">
        <v>100</v>
      </c>
      <c r="B13" s="5">
        <f>B4</f>
        <v>5643143.9005129999</v>
      </c>
      <c r="C13" s="5">
        <f t="shared" ref="C13:BN13" si="7">C4</f>
        <v>5643143.9005129999</v>
      </c>
      <c r="D13" s="5">
        <f t="shared" si="7"/>
        <v>5643143.9005129999</v>
      </c>
      <c r="E13" s="5">
        <f t="shared" si="7"/>
        <v>5643143.9005129999</v>
      </c>
      <c r="F13" s="5">
        <f t="shared" si="7"/>
        <v>5643143.9005129999</v>
      </c>
      <c r="G13" s="5">
        <f t="shared" si="7"/>
        <v>5643143.9005129999</v>
      </c>
      <c r="H13" s="5">
        <f t="shared" si="7"/>
        <v>5643143.9005129999</v>
      </c>
      <c r="I13" s="5">
        <f t="shared" si="7"/>
        <v>5643143.9005129999</v>
      </c>
      <c r="J13" s="5">
        <f t="shared" si="7"/>
        <v>5643143.9005129999</v>
      </c>
      <c r="K13" s="5">
        <f t="shared" si="7"/>
        <v>5643143.9005129999</v>
      </c>
      <c r="L13" s="5">
        <f t="shared" si="7"/>
        <v>5643143.9005129999</v>
      </c>
      <c r="M13" s="5">
        <f t="shared" si="7"/>
        <v>5643143.9005129999</v>
      </c>
      <c r="N13" s="5">
        <f t="shared" si="7"/>
        <v>5643143.9005129999</v>
      </c>
      <c r="O13" s="5">
        <f t="shared" si="7"/>
        <v>5643143.9005129999</v>
      </c>
      <c r="P13" s="5">
        <f t="shared" si="7"/>
        <v>5643143.9005129999</v>
      </c>
      <c r="Q13" s="5">
        <f t="shared" si="7"/>
        <v>5643143.9005129999</v>
      </c>
      <c r="R13" s="5">
        <f t="shared" si="7"/>
        <v>5643143.9005129999</v>
      </c>
      <c r="S13" s="5">
        <f t="shared" si="7"/>
        <v>5643143.9005129999</v>
      </c>
      <c r="T13" s="5">
        <f t="shared" si="7"/>
        <v>5643143.9005129999</v>
      </c>
      <c r="U13" s="5">
        <f t="shared" si="7"/>
        <v>5643143.9005129999</v>
      </c>
      <c r="V13" s="5">
        <f t="shared" si="7"/>
        <v>5643143.9005129999</v>
      </c>
      <c r="W13" s="5">
        <f t="shared" si="7"/>
        <v>5643143.9005129999</v>
      </c>
      <c r="X13" s="5">
        <f t="shared" si="7"/>
        <v>5643143.9005129999</v>
      </c>
      <c r="Y13" s="5">
        <f t="shared" si="7"/>
        <v>5643143.9005129999</v>
      </c>
      <c r="Z13" s="5">
        <f t="shared" si="7"/>
        <v>5643143.9005129999</v>
      </c>
      <c r="AA13" s="5">
        <f t="shared" si="7"/>
        <v>5643143.9005129999</v>
      </c>
      <c r="AB13" s="5">
        <f t="shared" si="7"/>
        <v>5643143.9005129999</v>
      </c>
      <c r="AC13" s="5">
        <f t="shared" si="7"/>
        <v>5643143.9005129999</v>
      </c>
      <c r="AD13" s="5">
        <f t="shared" si="7"/>
        <v>5643143.9005129999</v>
      </c>
      <c r="AE13" s="5">
        <f t="shared" si="7"/>
        <v>5643143.9005129999</v>
      </c>
      <c r="AF13" s="5">
        <f t="shared" si="7"/>
        <v>5643143.9005129999</v>
      </c>
      <c r="AG13" s="5">
        <f t="shared" si="7"/>
        <v>5643143.9005129999</v>
      </c>
      <c r="AH13" s="5">
        <f t="shared" si="7"/>
        <v>5643143.9005129999</v>
      </c>
      <c r="AI13" s="5">
        <f t="shared" si="7"/>
        <v>5643143.9005129999</v>
      </c>
      <c r="AJ13" s="5">
        <f t="shared" si="7"/>
        <v>5643143.9005129999</v>
      </c>
      <c r="AK13" s="5">
        <f t="shared" si="7"/>
        <v>5643143.9005129999</v>
      </c>
      <c r="AL13" s="5">
        <f t="shared" si="7"/>
        <v>5643143.9005129999</v>
      </c>
      <c r="AM13" s="5">
        <f t="shared" si="7"/>
        <v>5643143.9005129999</v>
      </c>
      <c r="AN13" s="5">
        <f t="shared" si="7"/>
        <v>5643143.9005129999</v>
      </c>
      <c r="AO13" s="5">
        <f t="shared" si="7"/>
        <v>5643143.9005129999</v>
      </c>
      <c r="AP13" s="5">
        <f t="shared" si="7"/>
        <v>5643143.9005129999</v>
      </c>
      <c r="AQ13" s="5">
        <f t="shared" si="7"/>
        <v>5643143.9005129999</v>
      </c>
      <c r="AR13" s="5">
        <f t="shared" si="7"/>
        <v>5643143.9005129999</v>
      </c>
      <c r="AS13" s="5">
        <f t="shared" si="7"/>
        <v>5643143.9005129999</v>
      </c>
      <c r="AT13" s="5">
        <f t="shared" si="7"/>
        <v>5643143.9005129999</v>
      </c>
      <c r="AU13" s="5">
        <f t="shared" si="7"/>
        <v>5643143.9005129999</v>
      </c>
      <c r="AV13" s="5">
        <f t="shared" si="7"/>
        <v>5643143.9005129999</v>
      </c>
      <c r="AW13" s="5">
        <f t="shared" si="7"/>
        <v>5643143.9005129999</v>
      </c>
      <c r="AX13" s="5">
        <f t="shared" si="7"/>
        <v>5643143.9005129999</v>
      </c>
      <c r="AY13" s="5">
        <f t="shared" si="7"/>
        <v>5643143.9005129999</v>
      </c>
      <c r="AZ13" s="5">
        <f t="shared" si="7"/>
        <v>5643143.9005129999</v>
      </c>
      <c r="BA13" s="5">
        <f t="shared" si="7"/>
        <v>5643143.9005129999</v>
      </c>
      <c r="BB13" s="5">
        <f t="shared" si="7"/>
        <v>5643143.9005129999</v>
      </c>
      <c r="BC13" s="5">
        <f t="shared" si="7"/>
        <v>5643143.9005129999</v>
      </c>
      <c r="BD13" s="5">
        <f t="shared" si="7"/>
        <v>5643143.9005129999</v>
      </c>
      <c r="BE13" s="5">
        <f t="shared" si="7"/>
        <v>5643143.9005129999</v>
      </c>
      <c r="BF13" s="5">
        <f t="shared" si="7"/>
        <v>5643143.9005129999</v>
      </c>
      <c r="BG13" s="5">
        <f t="shared" si="7"/>
        <v>5643143.9005129999</v>
      </c>
      <c r="BH13" s="5">
        <f t="shared" si="7"/>
        <v>5643143.9005129999</v>
      </c>
      <c r="BI13" s="5">
        <f t="shared" si="7"/>
        <v>5643143.9005129999</v>
      </c>
      <c r="BJ13" s="5">
        <f t="shared" si="7"/>
        <v>5643143.9005129999</v>
      </c>
      <c r="BK13" s="5">
        <f t="shared" si="7"/>
        <v>5643143.9005129999</v>
      </c>
      <c r="BL13" s="5">
        <f t="shared" si="7"/>
        <v>5643143.9005129999</v>
      </c>
      <c r="BM13" s="5">
        <f t="shared" si="7"/>
        <v>5643143.9005129999</v>
      </c>
      <c r="BN13" s="5">
        <f t="shared" si="7"/>
        <v>5643143.9005129999</v>
      </c>
      <c r="BO13" s="5">
        <f t="shared" ref="BO13:DY13" si="8">BO4</f>
        <v>5643143.9005129999</v>
      </c>
      <c r="BP13" s="5">
        <f t="shared" si="8"/>
        <v>5643143.9005129999</v>
      </c>
      <c r="BQ13" s="5">
        <f t="shared" si="8"/>
        <v>5643143.9005129999</v>
      </c>
      <c r="BR13" s="5">
        <f t="shared" si="8"/>
        <v>5643143.9005129999</v>
      </c>
      <c r="BS13" s="5">
        <f t="shared" si="8"/>
        <v>5643143.9005129999</v>
      </c>
      <c r="BT13" s="5">
        <f t="shared" si="8"/>
        <v>5643143.9005129999</v>
      </c>
      <c r="BU13" s="5">
        <f t="shared" si="8"/>
        <v>5643143.9005129999</v>
      </c>
      <c r="BV13" s="5">
        <f t="shared" si="8"/>
        <v>5643143.9005129999</v>
      </c>
      <c r="BW13" s="5">
        <f t="shared" si="8"/>
        <v>5643143.9005129999</v>
      </c>
      <c r="BX13" s="5">
        <f t="shared" si="8"/>
        <v>5643143.9005129999</v>
      </c>
      <c r="BY13" s="5">
        <f t="shared" si="8"/>
        <v>5643143.9005129999</v>
      </c>
      <c r="BZ13" s="5">
        <f t="shared" si="8"/>
        <v>5643143.9005129999</v>
      </c>
      <c r="CA13" s="5">
        <f t="shared" si="8"/>
        <v>5643143.9005129999</v>
      </c>
      <c r="CB13" s="5">
        <f t="shared" si="8"/>
        <v>5643143.9005129999</v>
      </c>
      <c r="CC13" s="5">
        <f t="shared" si="8"/>
        <v>5643143.9005129999</v>
      </c>
      <c r="CD13" s="5">
        <f t="shared" si="8"/>
        <v>5643143.9005129999</v>
      </c>
      <c r="CE13" s="5">
        <f t="shared" si="8"/>
        <v>5643143.9005129999</v>
      </c>
      <c r="CF13" s="5">
        <f t="shared" si="8"/>
        <v>5643143.9005129999</v>
      </c>
      <c r="CG13" s="5">
        <f t="shared" si="8"/>
        <v>5643143.9005129999</v>
      </c>
      <c r="CH13" s="5">
        <f t="shared" si="8"/>
        <v>5643143.9005129999</v>
      </c>
      <c r="CI13" s="5">
        <f t="shared" si="8"/>
        <v>5643143.9005129999</v>
      </c>
      <c r="CJ13" s="5">
        <f t="shared" si="8"/>
        <v>5643143.9005129999</v>
      </c>
      <c r="CK13" s="5">
        <f t="shared" si="8"/>
        <v>5643143.9005129999</v>
      </c>
      <c r="CL13" s="5">
        <f t="shared" si="8"/>
        <v>5643143.9005129999</v>
      </c>
      <c r="CM13" s="5">
        <f t="shared" si="8"/>
        <v>5643143.9005129999</v>
      </c>
      <c r="CN13" s="5">
        <f t="shared" si="8"/>
        <v>5643143.9005129999</v>
      </c>
      <c r="CO13" s="5">
        <f t="shared" si="8"/>
        <v>5643143.9005129999</v>
      </c>
      <c r="CP13" s="5">
        <f t="shared" si="8"/>
        <v>5643143.9005129999</v>
      </c>
      <c r="CQ13" s="5">
        <f t="shared" si="8"/>
        <v>5643143.9005129999</v>
      </c>
      <c r="CR13" s="5">
        <f t="shared" si="8"/>
        <v>5643143.9005129999</v>
      </c>
      <c r="CS13" s="5">
        <f t="shared" si="8"/>
        <v>5643143.9005129999</v>
      </c>
      <c r="CT13" s="5">
        <f t="shared" si="8"/>
        <v>5643143.9005129999</v>
      </c>
      <c r="CU13" s="5">
        <f t="shared" si="8"/>
        <v>5643143.9005129999</v>
      </c>
      <c r="CV13" s="5">
        <f t="shared" si="8"/>
        <v>5643143.9005129999</v>
      </c>
      <c r="CW13" s="5">
        <f t="shared" si="8"/>
        <v>5643143.9005129999</v>
      </c>
      <c r="CX13" s="5">
        <f t="shared" si="8"/>
        <v>5643143.9005129999</v>
      </c>
      <c r="CY13" s="5">
        <f t="shared" si="8"/>
        <v>5643143.9005129999</v>
      </c>
      <c r="CZ13" s="5">
        <f t="shared" si="8"/>
        <v>5643143.9005129999</v>
      </c>
      <c r="DA13" s="5">
        <f t="shared" si="8"/>
        <v>5643143.9005129999</v>
      </c>
      <c r="DB13" s="5">
        <f t="shared" si="8"/>
        <v>5643143.9005129999</v>
      </c>
      <c r="DC13" s="5">
        <f t="shared" si="8"/>
        <v>5643143.9005129999</v>
      </c>
      <c r="DD13" s="5">
        <f t="shared" si="8"/>
        <v>5643143.9005129999</v>
      </c>
      <c r="DE13" s="5">
        <f t="shared" si="8"/>
        <v>5643143.9005129999</v>
      </c>
      <c r="DF13" s="5">
        <f t="shared" si="8"/>
        <v>5643143.9005129999</v>
      </c>
      <c r="DG13" s="5">
        <f t="shared" si="8"/>
        <v>5643143.9005129999</v>
      </c>
      <c r="DH13" s="5">
        <f t="shared" si="8"/>
        <v>5643143.9005129999</v>
      </c>
      <c r="DI13" s="5">
        <f t="shared" si="8"/>
        <v>5643143.9005129999</v>
      </c>
      <c r="DJ13" s="5">
        <f t="shared" si="8"/>
        <v>5643143.9005129999</v>
      </c>
      <c r="DK13" s="5">
        <f t="shared" si="8"/>
        <v>5643143.9005129999</v>
      </c>
      <c r="DL13" s="5">
        <f t="shared" si="8"/>
        <v>5643143.9005129999</v>
      </c>
      <c r="DM13" s="5">
        <f t="shared" si="8"/>
        <v>5643143.9005129999</v>
      </c>
      <c r="DN13" s="5">
        <f t="shared" si="8"/>
        <v>5643143.9005129999</v>
      </c>
      <c r="DO13" s="5">
        <f t="shared" si="8"/>
        <v>5643143.9005129999</v>
      </c>
      <c r="DP13" s="5">
        <f t="shared" si="8"/>
        <v>5643143.9005129999</v>
      </c>
      <c r="DQ13" s="5">
        <f t="shared" si="8"/>
        <v>5643143.9005129999</v>
      </c>
      <c r="DR13" s="5">
        <f t="shared" si="8"/>
        <v>5643143.9005129999</v>
      </c>
      <c r="DS13" s="5">
        <f t="shared" si="8"/>
        <v>5643143.9005129999</v>
      </c>
      <c r="DT13" s="5">
        <f t="shared" si="8"/>
        <v>5643143.9005129999</v>
      </c>
      <c r="DU13" s="5">
        <f t="shared" si="8"/>
        <v>5643143.9005129999</v>
      </c>
      <c r="DV13" s="5">
        <f t="shared" si="8"/>
        <v>5643143.9005129999</v>
      </c>
      <c r="DW13" s="5">
        <f t="shared" si="8"/>
        <v>5643143.9005129999</v>
      </c>
      <c r="DX13" s="5">
        <f t="shared" si="8"/>
        <v>5643143.9005129999</v>
      </c>
      <c r="DY13" s="5">
        <f t="shared" si="8"/>
        <v>5643143.9005129999</v>
      </c>
      <c r="DZ13" s="5">
        <f>DZ4</f>
        <v>5643143.9005129999</v>
      </c>
      <c r="EA13" s="5">
        <f>'BAU Heat Rate - 2020'!D8</f>
        <v>5643143.9005129999</v>
      </c>
      <c r="EB13" s="5">
        <f>EB4</f>
        <v>5624901.8330904003</v>
      </c>
      <c r="EC13" s="5">
        <f t="shared" ref="EC13:GN13" si="9">EC4</f>
        <v>5606659.7656677999</v>
      </c>
      <c r="ED13" s="5">
        <f t="shared" si="9"/>
        <v>5588417.6982451994</v>
      </c>
      <c r="EE13" s="5">
        <f t="shared" si="9"/>
        <v>5570175.6308225989</v>
      </c>
      <c r="EF13" s="5">
        <f t="shared" si="9"/>
        <v>5551933.5633999985</v>
      </c>
      <c r="EG13" s="5">
        <f t="shared" si="9"/>
        <v>5533691.495977398</v>
      </c>
      <c r="EH13" s="5">
        <f t="shared" si="9"/>
        <v>5515449.4285547975</v>
      </c>
      <c r="EI13" s="5">
        <f t="shared" si="9"/>
        <v>5497207.3611321971</v>
      </c>
      <c r="EJ13" s="5">
        <f t="shared" si="9"/>
        <v>5478965.2937095966</v>
      </c>
      <c r="EK13" s="5">
        <f t="shared" si="9"/>
        <v>5460723.2262869999</v>
      </c>
      <c r="EL13" s="5">
        <f t="shared" si="9"/>
        <v>5443670.8589137001</v>
      </c>
      <c r="EM13" s="5">
        <f t="shared" si="9"/>
        <v>5426618.4915404003</v>
      </c>
      <c r="EN13" s="5">
        <f t="shared" si="9"/>
        <v>5409566.1241671005</v>
      </c>
      <c r="EO13" s="5">
        <f t="shared" si="9"/>
        <v>5392513.7567938007</v>
      </c>
      <c r="EP13" s="5">
        <f t="shared" si="9"/>
        <v>5375461.389420501</v>
      </c>
      <c r="EQ13" s="5">
        <f t="shared" si="9"/>
        <v>5358409.0220472012</v>
      </c>
      <c r="ER13" s="5">
        <f t="shared" si="9"/>
        <v>5341356.6546739014</v>
      </c>
      <c r="ES13" s="5">
        <f t="shared" si="9"/>
        <v>5324304.2873006016</v>
      </c>
      <c r="ET13" s="5">
        <f t="shared" si="9"/>
        <v>5307251.9199273018</v>
      </c>
      <c r="EU13" s="5">
        <f t="shared" si="9"/>
        <v>5290199.5525540002</v>
      </c>
      <c r="EV13" s="5">
        <f t="shared" si="9"/>
        <v>5274336.8852300001</v>
      </c>
      <c r="EW13" s="5">
        <f t="shared" si="9"/>
        <v>5258474.2179060001</v>
      </c>
      <c r="EX13" s="5">
        <f t="shared" si="9"/>
        <v>5242611.5505820001</v>
      </c>
      <c r="EY13" s="5">
        <f t="shared" si="9"/>
        <v>5226748.883258</v>
      </c>
      <c r="EZ13" s="5">
        <f t="shared" si="9"/>
        <v>5210886.215934</v>
      </c>
      <c r="FA13" s="5">
        <f t="shared" si="9"/>
        <v>5195023.5486099999</v>
      </c>
      <c r="FB13" s="5">
        <f t="shared" si="9"/>
        <v>5179160.8812859999</v>
      </c>
      <c r="FC13" s="5">
        <f t="shared" si="9"/>
        <v>5163298.2139619999</v>
      </c>
      <c r="FD13" s="5">
        <f t="shared" si="9"/>
        <v>5147435.5466379998</v>
      </c>
      <c r="FE13" s="5">
        <f t="shared" si="9"/>
        <v>5131572.8793139998</v>
      </c>
      <c r="FF13" s="5">
        <f t="shared" si="9"/>
        <v>5131572.8793139998</v>
      </c>
      <c r="FG13" s="5">
        <f t="shared" si="9"/>
        <v>5131572.8793139998</v>
      </c>
      <c r="FH13" s="5">
        <f t="shared" si="9"/>
        <v>5131572.8793139998</v>
      </c>
      <c r="FI13" s="5">
        <f t="shared" si="9"/>
        <v>5131572.8793139998</v>
      </c>
      <c r="FJ13" s="5">
        <f t="shared" si="9"/>
        <v>5131572.8793139998</v>
      </c>
      <c r="FK13" s="5">
        <f t="shared" si="9"/>
        <v>5131572.8793139998</v>
      </c>
      <c r="FL13" s="5">
        <f t="shared" si="9"/>
        <v>5131572.8793139998</v>
      </c>
      <c r="FM13" s="5">
        <f t="shared" si="9"/>
        <v>5131572.8793139998</v>
      </c>
      <c r="FN13" s="5">
        <f t="shared" si="9"/>
        <v>5131572.8793139998</v>
      </c>
      <c r="FO13" s="5">
        <f t="shared" si="9"/>
        <v>5131572.8793139998</v>
      </c>
      <c r="FP13" s="5">
        <f t="shared" si="9"/>
        <v>5131572.8793139998</v>
      </c>
      <c r="FQ13" s="5">
        <f t="shared" si="9"/>
        <v>5131572.8793139998</v>
      </c>
      <c r="FR13" s="5">
        <f t="shared" si="9"/>
        <v>5131572.8793139998</v>
      </c>
      <c r="FS13" s="5">
        <f t="shared" si="9"/>
        <v>5131572.8793139998</v>
      </c>
      <c r="FT13" s="5">
        <f t="shared" si="9"/>
        <v>5131572.8793139998</v>
      </c>
      <c r="FU13" s="5">
        <f t="shared" si="9"/>
        <v>5131572.8793139998</v>
      </c>
      <c r="FV13" s="5">
        <f t="shared" si="9"/>
        <v>5131572.8793139998</v>
      </c>
      <c r="FW13" s="5">
        <f t="shared" si="9"/>
        <v>5131572.8793139998</v>
      </c>
      <c r="FX13" s="5">
        <f t="shared" si="9"/>
        <v>5131572.8793139998</v>
      </c>
      <c r="FY13" s="5">
        <f t="shared" si="9"/>
        <v>5131572.8793139998</v>
      </c>
      <c r="FZ13" s="5">
        <f t="shared" si="9"/>
        <v>5131572.8793139998</v>
      </c>
      <c r="GA13" s="5">
        <f t="shared" si="9"/>
        <v>5131572.8793139998</v>
      </c>
      <c r="GB13" s="5">
        <f t="shared" si="9"/>
        <v>5131572.8793139998</v>
      </c>
      <c r="GC13" s="5">
        <f t="shared" si="9"/>
        <v>5131572.8793139998</v>
      </c>
      <c r="GD13" s="5">
        <f t="shared" si="9"/>
        <v>5131572.8793139998</v>
      </c>
      <c r="GE13" s="5">
        <f t="shared" si="9"/>
        <v>5131572.8793139998</v>
      </c>
      <c r="GF13" s="5">
        <f t="shared" si="9"/>
        <v>5131572.8793139998</v>
      </c>
      <c r="GG13" s="5">
        <f t="shared" si="9"/>
        <v>5131572.8793139998</v>
      </c>
      <c r="GH13" s="5">
        <f t="shared" si="9"/>
        <v>5131572.8793139998</v>
      </c>
      <c r="GI13" s="5">
        <f t="shared" si="9"/>
        <v>5131572.8793139998</v>
      </c>
      <c r="GJ13" s="5">
        <f t="shared" si="9"/>
        <v>5131572.8793139998</v>
      </c>
      <c r="GK13" s="5">
        <f t="shared" si="9"/>
        <v>5131572.8793139998</v>
      </c>
      <c r="GL13" s="5">
        <f t="shared" si="9"/>
        <v>5131572.8793139998</v>
      </c>
      <c r="GM13" s="5">
        <f t="shared" si="9"/>
        <v>5131572.8793139998</v>
      </c>
      <c r="GN13" s="5">
        <f t="shared" si="9"/>
        <v>5131572.8793139998</v>
      </c>
      <c r="GO13" s="5">
        <f t="shared" ref="GO13:HC13" si="10">GO4</f>
        <v>5131572.8793139998</v>
      </c>
      <c r="GP13" s="5">
        <f t="shared" si="10"/>
        <v>5131572.8793139998</v>
      </c>
      <c r="GQ13" s="5">
        <f t="shared" si="10"/>
        <v>5131572.8793139998</v>
      </c>
      <c r="GR13" s="5">
        <f t="shared" si="10"/>
        <v>5131572.8793139998</v>
      </c>
      <c r="GS13" s="5">
        <f t="shared" si="10"/>
        <v>5131572.8793139998</v>
      </c>
      <c r="GT13" s="5">
        <f t="shared" si="10"/>
        <v>5131572.8793139998</v>
      </c>
      <c r="GU13" s="5">
        <f t="shared" si="10"/>
        <v>5131572.8793139998</v>
      </c>
      <c r="GV13" s="5">
        <f t="shared" si="10"/>
        <v>5131572.8793139998</v>
      </c>
      <c r="GW13" s="5">
        <f t="shared" si="10"/>
        <v>5131572.8793139998</v>
      </c>
      <c r="GX13" s="5">
        <f t="shared" si="10"/>
        <v>5131572.8793139998</v>
      </c>
      <c r="GY13" s="5">
        <f t="shared" si="10"/>
        <v>5131572.8793139998</v>
      </c>
      <c r="GZ13" s="5">
        <f t="shared" si="10"/>
        <v>5131572.8793139998</v>
      </c>
      <c r="HA13" s="5">
        <f t="shared" si="10"/>
        <v>5131572.8793139998</v>
      </c>
      <c r="HB13" s="5">
        <f t="shared" si="10"/>
        <v>5131572.8793139998</v>
      </c>
      <c r="HC13" s="5">
        <f t="shared" si="10"/>
        <v>5131572.8793139998</v>
      </c>
    </row>
    <row r="14" spans="1:211">
      <c r="A14" t="s">
        <v>101</v>
      </c>
      <c r="B14" s="5">
        <f>B2</f>
        <v>9502573.0695458334</v>
      </c>
      <c r="C14" s="5">
        <f>B14</f>
        <v>9502573.0695458334</v>
      </c>
      <c r="D14" s="5">
        <f t="shared" ref="D14:BO14" si="11">C14</f>
        <v>9502573.0695458334</v>
      </c>
      <c r="E14" s="5">
        <f t="shared" si="11"/>
        <v>9502573.0695458334</v>
      </c>
      <c r="F14" s="5">
        <f t="shared" si="11"/>
        <v>9502573.0695458334</v>
      </c>
      <c r="G14" s="5">
        <f t="shared" si="11"/>
        <v>9502573.0695458334</v>
      </c>
      <c r="H14" s="5">
        <f t="shared" si="11"/>
        <v>9502573.0695458334</v>
      </c>
      <c r="I14" s="5">
        <f t="shared" si="11"/>
        <v>9502573.0695458334</v>
      </c>
      <c r="J14" s="5">
        <f t="shared" si="11"/>
        <v>9502573.0695458334</v>
      </c>
      <c r="K14" s="5">
        <f t="shared" si="11"/>
        <v>9502573.0695458334</v>
      </c>
      <c r="L14" s="5">
        <f t="shared" si="11"/>
        <v>9502573.0695458334</v>
      </c>
      <c r="M14" s="5">
        <f t="shared" si="11"/>
        <v>9502573.0695458334</v>
      </c>
      <c r="N14" s="5">
        <f t="shared" si="11"/>
        <v>9502573.0695458334</v>
      </c>
      <c r="O14" s="5">
        <f t="shared" si="11"/>
        <v>9502573.0695458334</v>
      </c>
      <c r="P14" s="5">
        <f t="shared" si="11"/>
        <v>9502573.0695458334</v>
      </c>
      <c r="Q14" s="5">
        <f t="shared" si="11"/>
        <v>9502573.0695458334</v>
      </c>
      <c r="R14" s="5">
        <f t="shared" si="11"/>
        <v>9502573.0695458334</v>
      </c>
      <c r="S14" s="5">
        <f t="shared" si="11"/>
        <v>9502573.0695458334</v>
      </c>
      <c r="T14" s="5">
        <f t="shared" si="11"/>
        <v>9502573.0695458334</v>
      </c>
      <c r="U14" s="5">
        <f t="shared" si="11"/>
        <v>9502573.0695458334</v>
      </c>
      <c r="V14" s="5">
        <f t="shared" si="11"/>
        <v>9502573.0695458334</v>
      </c>
      <c r="W14" s="5">
        <f t="shared" si="11"/>
        <v>9502573.0695458334</v>
      </c>
      <c r="X14" s="5">
        <f t="shared" si="11"/>
        <v>9502573.0695458334</v>
      </c>
      <c r="Y14" s="5">
        <f t="shared" si="11"/>
        <v>9502573.0695458334</v>
      </c>
      <c r="Z14" s="5">
        <f t="shared" si="11"/>
        <v>9502573.0695458334</v>
      </c>
      <c r="AA14" s="5">
        <f t="shared" si="11"/>
        <v>9502573.0695458334</v>
      </c>
      <c r="AB14" s="5">
        <f t="shared" si="11"/>
        <v>9502573.0695458334</v>
      </c>
      <c r="AC14" s="5">
        <f t="shared" si="11"/>
        <v>9502573.0695458334</v>
      </c>
      <c r="AD14" s="5">
        <f t="shared" si="11"/>
        <v>9502573.0695458334</v>
      </c>
      <c r="AE14" s="5">
        <f t="shared" si="11"/>
        <v>9502573.0695458334</v>
      </c>
      <c r="AF14" s="5">
        <f t="shared" si="11"/>
        <v>9502573.0695458334</v>
      </c>
      <c r="AG14" s="5">
        <f t="shared" si="11"/>
        <v>9502573.0695458334</v>
      </c>
      <c r="AH14" s="5">
        <f t="shared" si="11"/>
        <v>9502573.0695458334</v>
      </c>
      <c r="AI14" s="5">
        <f t="shared" si="11"/>
        <v>9502573.0695458334</v>
      </c>
      <c r="AJ14" s="5">
        <f t="shared" si="11"/>
        <v>9502573.0695458334</v>
      </c>
      <c r="AK14" s="5">
        <f t="shared" si="11"/>
        <v>9502573.0695458334</v>
      </c>
      <c r="AL14" s="5">
        <f t="shared" si="11"/>
        <v>9502573.0695458334</v>
      </c>
      <c r="AM14" s="5">
        <f t="shared" si="11"/>
        <v>9502573.0695458334</v>
      </c>
      <c r="AN14" s="5">
        <f t="shared" si="11"/>
        <v>9502573.0695458334</v>
      </c>
      <c r="AO14" s="5">
        <f t="shared" si="11"/>
        <v>9502573.0695458334</v>
      </c>
      <c r="AP14" s="5">
        <f t="shared" si="11"/>
        <v>9502573.0695458334</v>
      </c>
      <c r="AQ14" s="5">
        <f t="shared" si="11"/>
        <v>9502573.0695458334</v>
      </c>
      <c r="AR14" s="5">
        <f t="shared" si="11"/>
        <v>9502573.0695458334</v>
      </c>
      <c r="AS14" s="5">
        <f t="shared" si="11"/>
        <v>9502573.0695458334</v>
      </c>
      <c r="AT14" s="5">
        <f t="shared" si="11"/>
        <v>9502573.0695458334</v>
      </c>
      <c r="AU14" s="5">
        <f t="shared" si="11"/>
        <v>9502573.0695458334</v>
      </c>
      <c r="AV14" s="5">
        <f t="shared" si="11"/>
        <v>9502573.0695458334</v>
      </c>
      <c r="AW14" s="5">
        <f t="shared" si="11"/>
        <v>9502573.0695458334</v>
      </c>
      <c r="AX14" s="5">
        <f t="shared" si="11"/>
        <v>9502573.0695458334</v>
      </c>
      <c r="AY14" s="5">
        <f t="shared" si="11"/>
        <v>9502573.0695458334</v>
      </c>
      <c r="AZ14" s="5">
        <f t="shared" si="11"/>
        <v>9502573.0695458334</v>
      </c>
      <c r="BA14" s="5">
        <f t="shared" si="11"/>
        <v>9502573.0695458334</v>
      </c>
      <c r="BB14" s="5">
        <f t="shared" si="11"/>
        <v>9502573.0695458334</v>
      </c>
      <c r="BC14" s="5">
        <f t="shared" si="11"/>
        <v>9502573.0695458334</v>
      </c>
      <c r="BD14" s="5">
        <f t="shared" si="11"/>
        <v>9502573.0695458334</v>
      </c>
      <c r="BE14" s="5">
        <f t="shared" si="11"/>
        <v>9502573.0695458334</v>
      </c>
      <c r="BF14" s="5">
        <f t="shared" si="11"/>
        <v>9502573.0695458334</v>
      </c>
      <c r="BG14" s="5">
        <f t="shared" si="11"/>
        <v>9502573.0695458334</v>
      </c>
      <c r="BH14" s="5">
        <f t="shared" si="11"/>
        <v>9502573.0695458334</v>
      </c>
      <c r="BI14" s="5">
        <f t="shared" si="11"/>
        <v>9502573.0695458334</v>
      </c>
      <c r="BJ14" s="5">
        <f t="shared" si="11"/>
        <v>9502573.0695458334</v>
      </c>
      <c r="BK14" s="5">
        <f t="shared" si="11"/>
        <v>9502573.0695458334</v>
      </c>
      <c r="BL14" s="5">
        <f t="shared" si="11"/>
        <v>9502573.0695458334</v>
      </c>
      <c r="BM14" s="5">
        <f t="shared" si="11"/>
        <v>9502573.0695458334</v>
      </c>
      <c r="BN14" s="5">
        <f t="shared" si="11"/>
        <v>9502573.0695458334</v>
      </c>
      <c r="BO14" s="5">
        <f t="shared" si="11"/>
        <v>9502573.0695458334</v>
      </c>
      <c r="BP14" s="5">
        <f t="shared" ref="BP14:DZ14" si="12">BO14</f>
        <v>9502573.0695458334</v>
      </c>
      <c r="BQ14" s="5">
        <f t="shared" si="12"/>
        <v>9502573.0695458334</v>
      </c>
      <c r="BR14" s="5">
        <f t="shared" si="12"/>
        <v>9502573.0695458334</v>
      </c>
      <c r="BS14" s="5">
        <f t="shared" si="12"/>
        <v>9502573.0695458334</v>
      </c>
      <c r="BT14" s="5">
        <f t="shared" si="12"/>
        <v>9502573.0695458334</v>
      </c>
      <c r="BU14" s="5">
        <f t="shared" si="12"/>
        <v>9502573.0695458334</v>
      </c>
      <c r="BV14" s="5">
        <f t="shared" si="12"/>
        <v>9502573.0695458334</v>
      </c>
      <c r="BW14" s="5">
        <f t="shared" si="12"/>
        <v>9502573.0695458334</v>
      </c>
      <c r="BX14" s="5">
        <f t="shared" si="12"/>
        <v>9502573.0695458334</v>
      </c>
      <c r="BY14" s="5">
        <f t="shared" si="12"/>
        <v>9502573.0695458334</v>
      </c>
      <c r="BZ14" s="5">
        <f t="shared" si="12"/>
        <v>9502573.0695458334</v>
      </c>
      <c r="CA14" s="5">
        <f t="shared" si="12"/>
        <v>9502573.0695458334</v>
      </c>
      <c r="CB14" s="5">
        <f t="shared" si="12"/>
        <v>9502573.0695458334</v>
      </c>
      <c r="CC14" s="5">
        <f t="shared" si="12"/>
        <v>9502573.0695458334</v>
      </c>
      <c r="CD14" s="5">
        <f t="shared" si="12"/>
        <v>9502573.0695458334</v>
      </c>
      <c r="CE14" s="5">
        <f t="shared" si="12"/>
        <v>9502573.0695458334</v>
      </c>
      <c r="CF14" s="5">
        <f t="shared" si="12"/>
        <v>9502573.0695458334</v>
      </c>
      <c r="CG14" s="5">
        <f t="shared" si="12"/>
        <v>9502573.0695458334</v>
      </c>
      <c r="CH14" s="5">
        <f t="shared" si="12"/>
        <v>9502573.0695458334</v>
      </c>
      <c r="CI14" s="5">
        <f t="shared" si="12"/>
        <v>9502573.0695458334</v>
      </c>
      <c r="CJ14" s="5">
        <f t="shared" si="12"/>
        <v>9502573.0695458334</v>
      </c>
      <c r="CK14" s="5">
        <f t="shared" si="12"/>
        <v>9502573.0695458334</v>
      </c>
      <c r="CL14" s="5">
        <f t="shared" si="12"/>
        <v>9502573.0695458334</v>
      </c>
      <c r="CM14" s="5">
        <f t="shared" si="12"/>
        <v>9502573.0695458334</v>
      </c>
      <c r="CN14" s="5">
        <f t="shared" si="12"/>
        <v>9502573.0695458334</v>
      </c>
      <c r="CO14" s="5">
        <f t="shared" si="12"/>
        <v>9502573.0695458334</v>
      </c>
      <c r="CP14" s="5">
        <f t="shared" si="12"/>
        <v>9502573.0695458334</v>
      </c>
      <c r="CQ14" s="5">
        <f t="shared" si="12"/>
        <v>9502573.0695458334</v>
      </c>
      <c r="CR14" s="5">
        <f t="shared" si="12"/>
        <v>9502573.0695458334</v>
      </c>
      <c r="CS14" s="5">
        <f t="shared" si="12"/>
        <v>9502573.0695458334</v>
      </c>
      <c r="CT14" s="5">
        <f t="shared" si="12"/>
        <v>9502573.0695458334</v>
      </c>
      <c r="CU14" s="5">
        <f t="shared" si="12"/>
        <v>9502573.0695458334</v>
      </c>
      <c r="CV14" s="5">
        <f t="shared" si="12"/>
        <v>9502573.0695458334</v>
      </c>
      <c r="CW14" s="5">
        <f t="shared" si="12"/>
        <v>9502573.0695458334</v>
      </c>
      <c r="CX14" s="5">
        <f t="shared" si="12"/>
        <v>9502573.0695458334</v>
      </c>
      <c r="CY14" s="5">
        <f t="shared" si="12"/>
        <v>9502573.0695458334</v>
      </c>
      <c r="CZ14" s="5">
        <f t="shared" si="12"/>
        <v>9502573.0695458334</v>
      </c>
      <c r="DA14" s="5">
        <f t="shared" si="12"/>
        <v>9502573.0695458334</v>
      </c>
      <c r="DB14" s="5">
        <f t="shared" si="12"/>
        <v>9502573.0695458334</v>
      </c>
      <c r="DC14" s="5">
        <f t="shared" si="12"/>
        <v>9502573.0695458334</v>
      </c>
      <c r="DD14" s="5">
        <f t="shared" si="12"/>
        <v>9502573.0695458334</v>
      </c>
      <c r="DE14" s="5">
        <f t="shared" si="12"/>
        <v>9502573.0695458334</v>
      </c>
      <c r="DF14" s="5">
        <f t="shared" si="12"/>
        <v>9502573.0695458334</v>
      </c>
      <c r="DG14" s="5">
        <f t="shared" si="12"/>
        <v>9502573.0695458334</v>
      </c>
      <c r="DH14" s="5">
        <f t="shared" si="12"/>
        <v>9502573.0695458334</v>
      </c>
      <c r="DI14" s="5">
        <f t="shared" si="12"/>
        <v>9502573.0695458334</v>
      </c>
      <c r="DJ14" s="5">
        <f t="shared" si="12"/>
        <v>9502573.0695458334</v>
      </c>
      <c r="DK14" s="5">
        <f t="shared" si="12"/>
        <v>9502573.0695458334</v>
      </c>
      <c r="DL14" s="5">
        <f t="shared" si="12"/>
        <v>9502573.0695458334</v>
      </c>
      <c r="DM14" s="5">
        <f t="shared" si="12"/>
        <v>9502573.0695458334</v>
      </c>
      <c r="DN14" s="5">
        <f t="shared" si="12"/>
        <v>9502573.0695458334</v>
      </c>
      <c r="DO14" s="5">
        <f t="shared" si="12"/>
        <v>9502573.0695458334</v>
      </c>
      <c r="DP14" s="5">
        <f t="shared" si="12"/>
        <v>9502573.0695458334</v>
      </c>
      <c r="DQ14" s="5">
        <f t="shared" si="12"/>
        <v>9502573.0695458334</v>
      </c>
      <c r="DR14" s="5">
        <f t="shared" si="12"/>
        <v>9502573.0695458334</v>
      </c>
      <c r="DS14" s="5">
        <f t="shared" si="12"/>
        <v>9502573.0695458334</v>
      </c>
      <c r="DT14" s="5">
        <f t="shared" si="12"/>
        <v>9502573.0695458334</v>
      </c>
      <c r="DU14" s="5">
        <f t="shared" si="12"/>
        <v>9502573.0695458334</v>
      </c>
      <c r="DV14" s="5">
        <f t="shared" si="12"/>
        <v>9502573.0695458334</v>
      </c>
      <c r="DW14" s="5">
        <f t="shared" si="12"/>
        <v>9502573.0695458334</v>
      </c>
      <c r="DX14" s="5">
        <f t="shared" si="12"/>
        <v>9502573.0695458334</v>
      </c>
      <c r="DY14" s="5">
        <f t="shared" si="12"/>
        <v>9502573.0695458334</v>
      </c>
      <c r="DZ14" s="5">
        <f t="shared" si="12"/>
        <v>9502573.0695458334</v>
      </c>
      <c r="EA14" s="5">
        <f>'BAU Heat Rate - 2020'!D4</f>
        <v>9502573.0695458334</v>
      </c>
      <c r="EB14" s="5">
        <f>EB2</f>
        <v>9502489.5352988504</v>
      </c>
      <c r="EC14" s="5">
        <f t="shared" ref="EC14:GN14" si="13">EC2</f>
        <v>9502406.0010518674</v>
      </c>
      <c r="ED14" s="5">
        <f t="shared" si="13"/>
        <v>9502322.4668048844</v>
      </c>
      <c r="EE14" s="5">
        <f t="shared" si="13"/>
        <v>9502238.9325579014</v>
      </c>
      <c r="EF14" s="5">
        <f t="shared" si="13"/>
        <v>9502155.3983109184</v>
      </c>
      <c r="EG14" s="5">
        <f t="shared" si="13"/>
        <v>9502071.8640639354</v>
      </c>
      <c r="EH14" s="5">
        <f t="shared" si="13"/>
        <v>9501988.3298169523</v>
      </c>
      <c r="EI14" s="5">
        <f t="shared" si="13"/>
        <v>9501904.7955699693</v>
      </c>
      <c r="EJ14" s="5">
        <f t="shared" si="13"/>
        <v>9501821.2613229863</v>
      </c>
      <c r="EK14" s="5">
        <f t="shared" si="13"/>
        <v>9501737.7270759996</v>
      </c>
      <c r="EL14" s="5">
        <f t="shared" si="13"/>
        <v>9498961.7602942996</v>
      </c>
      <c r="EM14" s="5">
        <f t="shared" si="13"/>
        <v>9496185.7935125995</v>
      </c>
      <c r="EN14" s="5">
        <f t="shared" si="13"/>
        <v>9493409.8267308995</v>
      </c>
      <c r="EO14" s="5">
        <f t="shared" si="13"/>
        <v>9490633.8599491995</v>
      </c>
      <c r="EP14" s="5">
        <f t="shared" si="13"/>
        <v>9487857.8931674995</v>
      </c>
      <c r="EQ14" s="5">
        <f t="shared" si="13"/>
        <v>9485081.9263857994</v>
      </c>
      <c r="ER14" s="5">
        <f t="shared" si="13"/>
        <v>9482305.9596040994</v>
      </c>
      <c r="ES14" s="5">
        <f t="shared" si="13"/>
        <v>9479529.9928223994</v>
      </c>
      <c r="ET14" s="5">
        <f t="shared" si="13"/>
        <v>9476754.0260406993</v>
      </c>
      <c r="EU14" s="5">
        <f t="shared" si="13"/>
        <v>9473978.0592589993</v>
      </c>
      <c r="EV14" s="5">
        <f t="shared" si="13"/>
        <v>9448201.2248574998</v>
      </c>
      <c r="EW14" s="5">
        <f t="shared" si="13"/>
        <v>9422424.3904560003</v>
      </c>
      <c r="EX14" s="5">
        <f t="shared" si="13"/>
        <v>9396647.5560545009</v>
      </c>
      <c r="EY14" s="5">
        <f t="shared" si="13"/>
        <v>9370870.7216530014</v>
      </c>
      <c r="EZ14" s="5">
        <f t="shared" si="13"/>
        <v>9345093.8872515019</v>
      </c>
      <c r="FA14" s="5">
        <f t="shared" si="13"/>
        <v>9319317.0528500024</v>
      </c>
      <c r="FB14" s="5">
        <f t="shared" si="13"/>
        <v>9293540.2184485029</v>
      </c>
      <c r="FC14" s="5">
        <f t="shared" si="13"/>
        <v>9267763.3840470035</v>
      </c>
      <c r="FD14" s="5">
        <f t="shared" si="13"/>
        <v>9241986.549645504</v>
      </c>
      <c r="FE14" s="5">
        <f t="shared" si="13"/>
        <v>9216209.7152440008</v>
      </c>
      <c r="FF14" s="5">
        <f t="shared" si="13"/>
        <v>9216209.7152440008</v>
      </c>
      <c r="FG14" s="5">
        <f t="shared" si="13"/>
        <v>9216209.7152440008</v>
      </c>
      <c r="FH14" s="5">
        <f t="shared" si="13"/>
        <v>9216209.7152440008</v>
      </c>
      <c r="FI14" s="5">
        <f t="shared" si="13"/>
        <v>9216209.7152440008</v>
      </c>
      <c r="FJ14" s="5">
        <f t="shared" si="13"/>
        <v>9216209.7152440008</v>
      </c>
      <c r="FK14" s="5">
        <f t="shared" si="13"/>
        <v>9216209.7152440008</v>
      </c>
      <c r="FL14" s="5">
        <f t="shared" si="13"/>
        <v>9216209.7152440008</v>
      </c>
      <c r="FM14" s="5">
        <f t="shared" si="13"/>
        <v>9216209.7152440008</v>
      </c>
      <c r="FN14" s="5">
        <f t="shared" si="13"/>
        <v>9216209.7152440008</v>
      </c>
      <c r="FO14" s="5">
        <f t="shared" si="13"/>
        <v>9216209.7152440008</v>
      </c>
      <c r="FP14" s="5">
        <f t="shared" si="13"/>
        <v>9216209.7152440008</v>
      </c>
      <c r="FQ14" s="5">
        <f t="shared" si="13"/>
        <v>9216209.7152440008</v>
      </c>
      <c r="FR14" s="5">
        <f t="shared" si="13"/>
        <v>9216209.7152440008</v>
      </c>
      <c r="FS14" s="5">
        <f t="shared" si="13"/>
        <v>9216209.7152440008</v>
      </c>
      <c r="FT14" s="5">
        <f t="shared" si="13"/>
        <v>9216209.7152440008</v>
      </c>
      <c r="FU14" s="5">
        <f t="shared" si="13"/>
        <v>9216209.7152440008</v>
      </c>
      <c r="FV14" s="5">
        <f t="shared" si="13"/>
        <v>9216209.7152440008</v>
      </c>
      <c r="FW14" s="5">
        <f t="shared" si="13"/>
        <v>9216209.7152440008</v>
      </c>
      <c r="FX14" s="5">
        <f t="shared" si="13"/>
        <v>9216209.7152440008</v>
      </c>
      <c r="FY14" s="5">
        <f t="shared" si="13"/>
        <v>9216209.7152440008</v>
      </c>
      <c r="FZ14" s="5">
        <f t="shared" si="13"/>
        <v>9216209.7152440008</v>
      </c>
      <c r="GA14" s="5">
        <f t="shared" si="13"/>
        <v>9216209.7152440008</v>
      </c>
      <c r="GB14" s="5">
        <f t="shared" si="13"/>
        <v>9216209.7152440008</v>
      </c>
      <c r="GC14" s="5">
        <f t="shared" si="13"/>
        <v>9216209.7152440008</v>
      </c>
      <c r="GD14" s="5">
        <f t="shared" si="13"/>
        <v>9216209.7152440008</v>
      </c>
      <c r="GE14" s="5">
        <f t="shared" si="13"/>
        <v>9216209.7152440008</v>
      </c>
      <c r="GF14" s="5">
        <f t="shared" si="13"/>
        <v>9216209.7152440008</v>
      </c>
      <c r="GG14" s="5">
        <f t="shared" si="13"/>
        <v>9216209.7152440008</v>
      </c>
      <c r="GH14" s="5">
        <f t="shared" si="13"/>
        <v>9216209.7152440008</v>
      </c>
      <c r="GI14" s="5">
        <f t="shared" si="13"/>
        <v>9216209.7152440008</v>
      </c>
      <c r="GJ14" s="5">
        <f t="shared" si="13"/>
        <v>9216209.7152440008</v>
      </c>
      <c r="GK14" s="5">
        <f t="shared" si="13"/>
        <v>9216209.7152440008</v>
      </c>
      <c r="GL14" s="5">
        <f t="shared" si="13"/>
        <v>9216209.7152440008</v>
      </c>
      <c r="GM14" s="5">
        <f t="shared" si="13"/>
        <v>9216209.7152440008</v>
      </c>
      <c r="GN14" s="5">
        <f t="shared" si="13"/>
        <v>9216209.7152440008</v>
      </c>
      <c r="GO14" s="5">
        <f t="shared" ref="GO14:HC14" si="14">GO2</f>
        <v>9216209.7152440008</v>
      </c>
      <c r="GP14" s="5">
        <f t="shared" si="14"/>
        <v>9216209.7152440008</v>
      </c>
      <c r="GQ14" s="5">
        <f t="shared" si="14"/>
        <v>9216209.7152440008</v>
      </c>
      <c r="GR14" s="5">
        <f t="shared" si="14"/>
        <v>9216209.7152440008</v>
      </c>
      <c r="GS14" s="5">
        <f t="shared" si="14"/>
        <v>9216209.7152440008</v>
      </c>
      <c r="GT14" s="5">
        <f t="shared" si="14"/>
        <v>9216209.7152440008</v>
      </c>
      <c r="GU14" s="5">
        <f t="shared" si="14"/>
        <v>9216209.7152440008</v>
      </c>
      <c r="GV14" s="5">
        <f t="shared" si="14"/>
        <v>9216209.7152440008</v>
      </c>
      <c r="GW14" s="5">
        <f t="shared" si="14"/>
        <v>9216209.7152440008</v>
      </c>
      <c r="GX14" s="5">
        <f t="shared" si="14"/>
        <v>9216209.7152440008</v>
      </c>
      <c r="GY14" s="5">
        <f t="shared" si="14"/>
        <v>9216209.7152440008</v>
      </c>
      <c r="GZ14" s="5">
        <f t="shared" si="14"/>
        <v>9216209.7152440008</v>
      </c>
      <c r="HA14" s="5">
        <f t="shared" si="14"/>
        <v>9216209.7152440008</v>
      </c>
      <c r="HB14" s="5">
        <f t="shared" si="14"/>
        <v>9216209.7152440008</v>
      </c>
      <c r="HC14" s="5">
        <f t="shared" si="14"/>
        <v>9216209.7152440008</v>
      </c>
    </row>
    <row r="15" spans="1:211" s="9" customFormat="1">
      <c r="A15" s="9" t="s">
        <v>102</v>
      </c>
      <c r="B15" s="5">
        <f>EA15</f>
        <v>0</v>
      </c>
      <c r="C15" s="5">
        <f t="shared" ref="C15:BN15" si="15">EB15</f>
        <v>0</v>
      </c>
      <c r="D15" s="5">
        <f t="shared" si="15"/>
        <v>0</v>
      </c>
      <c r="E15" s="5">
        <f t="shared" si="15"/>
        <v>0</v>
      </c>
      <c r="F15" s="5">
        <f t="shared" si="15"/>
        <v>0</v>
      </c>
      <c r="G15" s="5">
        <f t="shared" si="15"/>
        <v>0</v>
      </c>
      <c r="H15" s="5">
        <f t="shared" si="15"/>
        <v>0</v>
      </c>
      <c r="I15" s="5">
        <f t="shared" si="15"/>
        <v>0</v>
      </c>
      <c r="J15" s="5">
        <f t="shared" si="15"/>
        <v>0</v>
      </c>
      <c r="K15" s="5">
        <f t="shared" si="15"/>
        <v>0</v>
      </c>
      <c r="L15" s="5">
        <f t="shared" si="15"/>
        <v>0</v>
      </c>
      <c r="M15" s="5">
        <f t="shared" si="15"/>
        <v>0</v>
      </c>
      <c r="N15" s="5">
        <f t="shared" si="15"/>
        <v>0</v>
      </c>
      <c r="O15" s="5">
        <f t="shared" si="15"/>
        <v>0</v>
      </c>
      <c r="P15" s="5">
        <f t="shared" si="15"/>
        <v>0</v>
      </c>
      <c r="Q15" s="5">
        <f t="shared" si="15"/>
        <v>0</v>
      </c>
      <c r="R15" s="5">
        <f t="shared" si="15"/>
        <v>0</v>
      </c>
      <c r="S15" s="5">
        <f t="shared" si="15"/>
        <v>0</v>
      </c>
      <c r="T15" s="5">
        <f t="shared" si="15"/>
        <v>0</v>
      </c>
      <c r="U15" s="5">
        <f t="shared" si="15"/>
        <v>0</v>
      </c>
      <c r="V15" s="5">
        <f t="shared" si="15"/>
        <v>0</v>
      </c>
      <c r="W15" s="5">
        <f t="shared" si="15"/>
        <v>0</v>
      </c>
      <c r="X15" s="5">
        <f t="shared" si="15"/>
        <v>0</v>
      </c>
      <c r="Y15" s="5">
        <f t="shared" si="15"/>
        <v>0</v>
      </c>
      <c r="Z15" s="5">
        <f t="shared" si="15"/>
        <v>0</v>
      </c>
      <c r="AA15" s="5">
        <f t="shared" si="15"/>
        <v>0</v>
      </c>
      <c r="AB15" s="5">
        <f t="shared" si="15"/>
        <v>0</v>
      </c>
      <c r="AC15" s="5">
        <f t="shared" si="15"/>
        <v>0</v>
      </c>
      <c r="AD15" s="5">
        <f t="shared" si="15"/>
        <v>0</v>
      </c>
      <c r="AE15" s="5">
        <f t="shared" si="15"/>
        <v>0</v>
      </c>
      <c r="AF15" s="5">
        <f t="shared" si="15"/>
        <v>0</v>
      </c>
      <c r="AG15" s="5">
        <f t="shared" si="15"/>
        <v>0</v>
      </c>
      <c r="AH15" s="5">
        <f t="shared" si="15"/>
        <v>0</v>
      </c>
      <c r="AI15" s="5">
        <f t="shared" si="15"/>
        <v>0</v>
      </c>
      <c r="AJ15" s="5">
        <f t="shared" si="15"/>
        <v>0</v>
      </c>
      <c r="AK15" s="5">
        <f t="shared" si="15"/>
        <v>0</v>
      </c>
      <c r="AL15" s="5">
        <f t="shared" si="15"/>
        <v>0</v>
      </c>
      <c r="AM15" s="5">
        <f t="shared" si="15"/>
        <v>0</v>
      </c>
      <c r="AN15" s="5">
        <f t="shared" si="15"/>
        <v>0</v>
      </c>
      <c r="AO15" s="5">
        <f t="shared" si="15"/>
        <v>0</v>
      </c>
      <c r="AP15" s="5">
        <f t="shared" si="15"/>
        <v>0</v>
      </c>
      <c r="AQ15" s="5">
        <f t="shared" si="15"/>
        <v>0</v>
      </c>
      <c r="AR15" s="5">
        <f t="shared" si="15"/>
        <v>0</v>
      </c>
      <c r="AS15" s="5">
        <f t="shared" si="15"/>
        <v>0</v>
      </c>
      <c r="AT15" s="5">
        <f t="shared" si="15"/>
        <v>0</v>
      </c>
      <c r="AU15" s="5">
        <f t="shared" si="15"/>
        <v>0</v>
      </c>
      <c r="AV15" s="5">
        <f t="shared" si="15"/>
        <v>0</v>
      </c>
      <c r="AW15" s="5">
        <f t="shared" si="15"/>
        <v>0</v>
      </c>
      <c r="AX15" s="5">
        <f t="shared" si="15"/>
        <v>0</v>
      </c>
      <c r="AY15" s="5">
        <f t="shared" si="15"/>
        <v>0</v>
      </c>
      <c r="AZ15" s="5">
        <f t="shared" si="15"/>
        <v>0</v>
      </c>
      <c r="BA15" s="5">
        <f t="shared" si="15"/>
        <v>0</v>
      </c>
      <c r="BB15" s="5">
        <f t="shared" si="15"/>
        <v>0</v>
      </c>
      <c r="BC15" s="5">
        <f t="shared" si="15"/>
        <v>0</v>
      </c>
      <c r="BD15" s="5">
        <f t="shared" si="15"/>
        <v>0</v>
      </c>
      <c r="BE15" s="5">
        <f t="shared" si="15"/>
        <v>0</v>
      </c>
      <c r="BF15" s="5">
        <f t="shared" si="15"/>
        <v>0</v>
      </c>
      <c r="BG15" s="5">
        <f t="shared" si="15"/>
        <v>0</v>
      </c>
      <c r="BH15" s="5">
        <f t="shared" si="15"/>
        <v>0</v>
      </c>
      <c r="BI15" s="5">
        <f t="shared" si="15"/>
        <v>0</v>
      </c>
      <c r="BJ15" s="5">
        <f t="shared" si="15"/>
        <v>0</v>
      </c>
      <c r="BK15" s="5">
        <f t="shared" si="15"/>
        <v>0</v>
      </c>
      <c r="BL15" s="5">
        <f t="shared" si="15"/>
        <v>0</v>
      </c>
      <c r="BM15" s="5">
        <f t="shared" si="15"/>
        <v>0</v>
      </c>
      <c r="BN15" s="5">
        <f t="shared" si="15"/>
        <v>0</v>
      </c>
      <c r="BO15" s="5">
        <f t="shared" ref="BO15:DZ15" si="16">GN15</f>
        <v>0</v>
      </c>
      <c r="BP15" s="5">
        <f t="shared" si="16"/>
        <v>0</v>
      </c>
      <c r="BQ15" s="5">
        <f t="shared" si="16"/>
        <v>0</v>
      </c>
      <c r="BR15" s="5">
        <f t="shared" si="16"/>
        <v>0</v>
      </c>
      <c r="BS15" s="5">
        <f t="shared" si="16"/>
        <v>0</v>
      </c>
      <c r="BT15" s="5">
        <f t="shared" si="16"/>
        <v>0</v>
      </c>
      <c r="BU15" s="5">
        <f t="shared" si="16"/>
        <v>0</v>
      </c>
      <c r="BV15" s="5">
        <f t="shared" si="16"/>
        <v>0</v>
      </c>
      <c r="BW15" s="5">
        <f t="shared" si="16"/>
        <v>0</v>
      </c>
      <c r="BX15" s="5">
        <f t="shared" si="16"/>
        <v>0</v>
      </c>
      <c r="BY15" s="5">
        <f t="shared" si="16"/>
        <v>0</v>
      </c>
      <c r="BZ15" s="5">
        <f t="shared" si="16"/>
        <v>0</v>
      </c>
      <c r="CA15" s="5">
        <f t="shared" si="16"/>
        <v>0</v>
      </c>
      <c r="CB15" s="5">
        <f t="shared" si="16"/>
        <v>0</v>
      </c>
      <c r="CC15" s="5">
        <f t="shared" si="16"/>
        <v>0</v>
      </c>
      <c r="CD15" s="5">
        <f t="shared" si="16"/>
        <v>0</v>
      </c>
      <c r="CE15" s="5">
        <f t="shared" si="16"/>
        <v>0</v>
      </c>
      <c r="CF15" s="5">
        <f t="shared" si="16"/>
        <v>0</v>
      </c>
      <c r="CG15" s="5">
        <f t="shared" si="16"/>
        <v>0</v>
      </c>
      <c r="CH15" s="5">
        <f t="shared" si="16"/>
        <v>0</v>
      </c>
      <c r="CI15" s="5">
        <f t="shared" si="16"/>
        <v>0</v>
      </c>
      <c r="CJ15" s="5">
        <f t="shared" si="16"/>
        <v>0</v>
      </c>
      <c r="CK15" s="5">
        <f t="shared" si="16"/>
        <v>0</v>
      </c>
      <c r="CL15" s="5">
        <f t="shared" si="16"/>
        <v>0</v>
      </c>
      <c r="CM15" s="5">
        <f t="shared" si="16"/>
        <v>0</v>
      </c>
      <c r="CN15" s="5">
        <f t="shared" si="16"/>
        <v>0</v>
      </c>
      <c r="CO15" s="5">
        <f t="shared" si="16"/>
        <v>0</v>
      </c>
      <c r="CP15" s="5">
        <f t="shared" si="16"/>
        <v>0</v>
      </c>
      <c r="CQ15" s="5">
        <f t="shared" si="16"/>
        <v>0</v>
      </c>
      <c r="CR15" s="5">
        <f t="shared" si="16"/>
        <v>0</v>
      </c>
      <c r="CS15" s="5">
        <f t="shared" si="16"/>
        <v>0</v>
      </c>
      <c r="CT15" s="5">
        <f t="shared" si="16"/>
        <v>0</v>
      </c>
      <c r="CU15" s="5">
        <f t="shared" si="16"/>
        <v>0</v>
      </c>
      <c r="CV15" s="5">
        <f t="shared" si="16"/>
        <v>0</v>
      </c>
      <c r="CW15" s="5">
        <f t="shared" si="16"/>
        <v>0</v>
      </c>
      <c r="CX15" s="5">
        <f t="shared" si="16"/>
        <v>0</v>
      </c>
      <c r="CY15" s="5">
        <f t="shared" si="16"/>
        <v>0</v>
      </c>
      <c r="CZ15" s="5">
        <f t="shared" si="16"/>
        <v>0</v>
      </c>
      <c r="DA15" s="5">
        <f t="shared" si="16"/>
        <v>0</v>
      </c>
      <c r="DB15" s="5">
        <f t="shared" si="16"/>
        <v>0</v>
      </c>
      <c r="DC15" s="5">
        <f t="shared" si="16"/>
        <v>0</v>
      </c>
      <c r="DD15" s="5">
        <f t="shared" si="16"/>
        <v>0</v>
      </c>
      <c r="DE15" s="5">
        <f t="shared" si="16"/>
        <v>0</v>
      </c>
      <c r="DF15" s="5">
        <f t="shared" si="16"/>
        <v>0</v>
      </c>
      <c r="DG15" s="5">
        <f t="shared" si="16"/>
        <v>0</v>
      </c>
      <c r="DH15" s="5">
        <f t="shared" si="16"/>
        <v>0</v>
      </c>
      <c r="DI15" s="5">
        <f t="shared" si="16"/>
        <v>0</v>
      </c>
      <c r="DJ15" s="5">
        <f t="shared" si="16"/>
        <v>0</v>
      </c>
      <c r="DK15" s="5">
        <f t="shared" si="16"/>
        <v>0</v>
      </c>
      <c r="DL15" s="5">
        <f t="shared" si="16"/>
        <v>0</v>
      </c>
      <c r="DM15" s="5">
        <f t="shared" si="16"/>
        <v>0</v>
      </c>
      <c r="DN15" s="5">
        <f t="shared" si="16"/>
        <v>0</v>
      </c>
      <c r="DO15" s="5">
        <f t="shared" si="16"/>
        <v>0</v>
      </c>
      <c r="DP15" s="5">
        <f t="shared" si="16"/>
        <v>0</v>
      </c>
      <c r="DQ15" s="5">
        <f t="shared" si="16"/>
        <v>0</v>
      </c>
      <c r="DR15" s="5">
        <f t="shared" si="16"/>
        <v>0</v>
      </c>
      <c r="DS15" s="5">
        <f t="shared" si="16"/>
        <v>0</v>
      </c>
      <c r="DT15" s="5">
        <f t="shared" si="16"/>
        <v>0</v>
      </c>
      <c r="DU15" s="5">
        <f t="shared" si="16"/>
        <v>0</v>
      </c>
      <c r="DV15" s="5">
        <f t="shared" si="16"/>
        <v>0</v>
      </c>
      <c r="DW15" s="5">
        <f t="shared" si="16"/>
        <v>0</v>
      </c>
      <c r="DX15" s="5">
        <f t="shared" si="16"/>
        <v>0</v>
      </c>
      <c r="DY15" s="5">
        <f t="shared" si="16"/>
        <v>0</v>
      </c>
      <c r="DZ15" s="5">
        <f t="shared" si="16"/>
        <v>0</v>
      </c>
      <c r="EA15" s="5">
        <v>0</v>
      </c>
      <c r="EB15" s="5">
        <v>0</v>
      </c>
      <c r="EC15" s="5">
        <v>0</v>
      </c>
      <c r="ED15" s="5">
        <v>0</v>
      </c>
      <c r="EE15" s="5">
        <v>0</v>
      </c>
      <c r="EF15" s="5">
        <v>0</v>
      </c>
      <c r="EG15" s="5">
        <v>0</v>
      </c>
      <c r="EH15" s="5">
        <v>0</v>
      </c>
      <c r="EI15" s="5">
        <v>0</v>
      </c>
      <c r="EJ15" s="5">
        <v>0</v>
      </c>
      <c r="EK15" s="5">
        <v>0</v>
      </c>
      <c r="EL15" s="5">
        <v>0</v>
      </c>
      <c r="EM15" s="5">
        <v>0</v>
      </c>
      <c r="EN15" s="5">
        <v>0</v>
      </c>
      <c r="EO15" s="5">
        <v>0</v>
      </c>
      <c r="EP15" s="5">
        <v>0</v>
      </c>
      <c r="EQ15" s="5">
        <v>0</v>
      </c>
      <c r="ER15" s="5">
        <v>0</v>
      </c>
      <c r="ES15" s="5">
        <v>0</v>
      </c>
      <c r="ET15" s="5">
        <v>0</v>
      </c>
      <c r="EU15" s="5">
        <v>0</v>
      </c>
      <c r="EV15" s="5">
        <v>0</v>
      </c>
      <c r="EW15" s="5">
        <v>0</v>
      </c>
      <c r="EX15" s="5">
        <v>0</v>
      </c>
      <c r="EY15" s="5">
        <v>0</v>
      </c>
      <c r="EZ15" s="5">
        <v>0</v>
      </c>
      <c r="FA15" s="5">
        <v>0</v>
      </c>
      <c r="FB15" s="5">
        <v>0</v>
      </c>
      <c r="FC15" s="5">
        <v>0</v>
      </c>
      <c r="FD15" s="5">
        <v>0</v>
      </c>
      <c r="FE15" s="5">
        <v>0</v>
      </c>
      <c r="FF15" s="5">
        <v>0</v>
      </c>
      <c r="FG15" s="5">
        <v>0</v>
      </c>
      <c r="FH15" s="5">
        <v>0</v>
      </c>
      <c r="FI15" s="5">
        <v>0</v>
      </c>
      <c r="FJ15" s="5">
        <v>0</v>
      </c>
      <c r="FK15" s="5">
        <v>0</v>
      </c>
      <c r="FL15" s="5">
        <v>0</v>
      </c>
      <c r="FM15" s="5">
        <v>0</v>
      </c>
      <c r="FN15" s="5">
        <v>0</v>
      </c>
      <c r="FO15" s="5">
        <v>0</v>
      </c>
      <c r="FP15" s="5">
        <v>0</v>
      </c>
      <c r="FQ15" s="5">
        <v>0</v>
      </c>
      <c r="FR15" s="5">
        <v>0</v>
      </c>
      <c r="FS15" s="5">
        <v>0</v>
      </c>
      <c r="FT15" s="5">
        <v>0</v>
      </c>
      <c r="FU15" s="5">
        <v>0</v>
      </c>
      <c r="FV15" s="5">
        <v>0</v>
      </c>
      <c r="FW15" s="5">
        <v>0</v>
      </c>
      <c r="FX15" s="5">
        <v>0</v>
      </c>
      <c r="FY15" s="5">
        <v>0</v>
      </c>
      <c r="FZ15" s="5">
        <v>0</v>
      </c>
      <c r="GA15" s="5">
        <v>0</v>
      </c>
      <c r="GB15" s="5">
        <v>0</v>
      </c>
      <c r="GC15" s="5">
        <v>0</v>
      </c>
      <c r="GD15" s="5">
        <v>0</v>
      </c>
      <c r="GE15" s="5">
        <v>0</v>
      </c>
      <c r="GF15" s="5">
        <v>0</v>
      </c>
      <c r="GG15" s="5">
        <v>0</v>
      </c>
      <c r="GH15" s="5">
        <v>0</v>
      </c>
      <c r="GI15" s="5">
        <v>0</v>
      </c>
      <c r="GJ15" s="5">
        <v>0</v>
      </c>
      <c r="GK15" s="5">
        <v>0</v>
      </c>
      <c r="GL15" s="5">
        <v>0</v>
      </c>
      <c r="GM15" s="5">
        <v>0</v>
      </c>
      <c r="GN15" s="5">
        <v>0</v>
      </c>
      <c r="GO15" s="5">
        <v>0</v>
      </c>
      <c r="GP15" s="5">
        <v>0</v>
      </c>
      <c r="GQ15" s="5">
        <v>0</v>
      </c>
      <c r="GR15" s="5">
        <v>0</v>
      </c>
      <c r="GS15" s="5">
        <v>0</v>
      </c>
      <c r="GT15" s="5">
        <v>0</v>
      </c>
      <c r="GU15" s="5">
        <v>0</v>
      </c>
      <c r="GV15" s="5">
        <v>0</v>
      </c>
      <c r="GW15" s="5">
        <v>0</v>
      </c>
      <c r="GX15" s="5">
        <v>0</v>
      </c>
      <c r="GY15" s="5">
        <v>0</v>
      </c>
      <c r="GZ15" s="5">
        <v>0</v>
      </c>
      <c r="HA15" s="5">
        <v>0</v>
      </c>
      <c r="HB15" s="5">
        <v>0</v>
      </c>
      <c r="HC15" s="5">
        <v>0</v>
      </c>
    </row>
    <row r="16" spans="1:211">
      <c r="A16" t="s">
        <v>103</v>
      </c>
      <c r="B16" s="5">
        <f t="shared" ref="B16:B25" si="17">EA16</f>
        <v>9750000</v>
      </c>
      <c r="C16" s="5">
        <f>B16</f>
        <v>9750000</v>
      </c>
      <c r="D16" s="5">
        <f t="shared" ref="D16:BO17" si="18">C16</f>
        <v>9750000</v>
      </c>
      <c r="E16" s="5">
        <f t="shared" si="18"/>
        <v>9750000</v>
      </c>
      <c r="F16" s="5">
        <f t="shared" si="18"/>
        <v>9750000</v>
      </c>
      <c r="G16" s="5">
        <f t="shared" si="18"/>
        <v>9750000</v>
      </c>
      <c r="H16" s="5">
        <f t="shared" si="18"/>
        <v>9750000</v>
      </c>
      <c r="I16" s="5">
        <f t="shared" si="18"/>
        <v>9750000</v>
      </c>
      <c r="J16" s="5">
        <f t="shared" si="18"/>
        <v>9750000</v>
      </c>
      <c r="K16" s="5">
        <f t="shared" si="18"/>
        <v>9750000</v>
      </c>
      <c r="L16" s="5">
        <f t="shared" si="18"/>
        <v>9750000</v>
      </c>
      <c r="M16" s="5">
        <f t="shared" si="18"/>
        <v>9750000</v>
      </c>
      <c r="N16" s="5">
        <f t="shared" si="18"/>
        <v>9750000</v>
      </c>
      <c r="O16" s="5">
        <f t="shared" si="18"/>
        <v>9750000</v>
      </c>
      <c r="P16" s="5">
        <f t="shared" si="18"/>
        <v>9750000</v>
      </c>
      <c r="Q16" s="5">
        <f t="shared" si="18"/>
        <v>9750000</v>
      </c>
      <c r="R16" s="5">
        <f t="shared" si="18"/>
        <v>9750000</v>
      </c>
      <c r="S16" s="5">
        <f t="shared" si="18"/>
        <v>9750000</v>
      </c>
      <c r="T16" s="5">
        <f t="shared" si="18"/>
        <v>9750000</v>
      </c>
      <c r="U16" s="5">
        <f t="shared" si="18"/>
        <v>9750000</v>
      </c>
      <c r="V16" s="5">
        <f t="shared" si="18"/>
        <v>9750000</v>
      </c>
      <c r="W16" s="5">
        <f t="shared" si="18"/>
        <v>9750000</v>
      </c>
      <c r="X16" s="5">
        <f t="shared" si="18"/>
        <v>9750000</v>
      </c>
      <c r="Y16" s="5">
        <f t="shared" si="18"/>
        <v>9750000</v>
      </c>
      <c r="Z16" s="5">
        <f t="shared" si="18"/>
        <v>9750000</v>
      </c>
      <c r="AA16" s="5">
        <f t="shared" si="18"/>
        <v>9750000</v>
      </c>
      <c r="AB16" s="5">
        <f t="shared" si="18"/>
        <v>9750000</v>
      </c>
      <c r="AC16" s="5">
        <f t="shared" si="18"/>
        <v>9750000</v>
      </c>
      <c r="AD16" s="5">
        <f t="shared" si="18"/>
        <v>9750000</v>
      </c>
      <c r="AE16" s="5">
        <f t="shared" si="18"/>
        <v>9750000</v>
      </c>
      <c r="AF16" s="5">
        <f t="shared" si="18"/>
        <v>9750000</v>
      </c>
      <c r="AG16" s="5">
        <f t="shared" si="18"/>
        <v>9750000</v>
      </c>
      <c r="AH16" s="5">
        <f t="shared" si="18"/>
        <v>9750000</v>
      </c>
      <c r="AI16" s="5">
        <f t="shared" si="18"/>
        <v>9750000</v>
      </c>
      <c r="AJ16" s="5">
        <f t="shared" si="18"/>
        <v>9750000</v>
      </c>
      <c r="AK16" s="5">
        <f t="shared" si="18"/>
        <v>9750000</v>
      </c>
      <c r="AL16" s="5">
        <f t="shared" si="18"/>
        <v>9750000</v>
      </c>
      <c r="AM16" s="5">
        <f t="shared" si="18"/>
        <v>9750000</v>
      </c>
      <c r="AN16" s="5">
        <f t="shared" si="18"/>
        <v>9750000</v>
      </c>
      <c r="AO16" s="5">
        <f t="shared" si="18"/>
        <v>9750000</v>
      </c>
      <c r="AP16" s="5">
        <f t="shared" si="18"/>
        <v>9750000</v>
      </c>
      <c r="AQ16" s="5">
        <f t="shared" si="18"/>
        <v>9750000</v>
      </c>
      <c r="AR16" s="5">
        <f t="shared" si="18"/>
        <v>9750000</v>
      </c>
      <c r="AS16" s="5">
        <f t="shared" si="18"/>
        <v>9750000</v>
      </c>
      <c r="AT16" s="5">
        <f t="shared" si="18"/>
        <v>9750000</v>
      </c>
      <c r="AU16" s="5">
        <f t="shared" si="18"/>
        <v>9750000</v>
      </c>
      <c r="AV16" s="5">
        <f t="shared" si="18"/>
        <v>9750000</v>
      </c>
      <c r="AW16" s="5">
        <f t="shared" si="18"/>
        <v>9750000</v>
      </c>
      <c r="AX16" s="5">
        <f t="shared" si="18"/>
        <v>9750000</v>
      </c>
      <c r="AY16" s="5">
        <f t="shared" si="18"/>
        <v>9750000</v>
      </c>
      <c r="AZ16" s="5">
        <f t="shared" si="18"/>
        <v>9750000</v>
      </c>
      <c r="BA16" s="5">
        <f t="shared" si="18"/>
        <v>9750000</v>
      </c>
      <c r="BB16" s="5">
        <f t="shared" si="18"/>
        <v>9750000</v>
      </c>
      <c r="BC16" s="5">
        <f t="shared" si="18"/>
        <v>9750000</v>
      </c>
      <c r="BD16" s="5">
        <f t="shared" si="18"/>
        <v>9750000</v>
      </c>
      <c r="BE16" s="5">
        <f t="shared" si="18"/>
        <v>9750000</v>
      </c>
      <c r="BF16" s="5">
        <f t="shared" si="18"/>
        <v>9750000</v>
      </c>
      <c r="BG16" s="5">
        <f t="shared" si="18"/>
        <v>9750000</v>
      </c>
      <c r="BH16" s="5">
        <f t="shared" si="18"/>
        <v>9750000</v>
      </c>
      <c r="BI16" s="5">
        <f t="shared" si="18"/>
        <v>9750000</v>
      </c>
      <c r="BJ16" s="5">
        <f t="shared" si="18"/>
        <v>9750000</v>
      </c>
      <c r="BK16" s="5">
        <f t="shared" si="18"/>
        <v>9750000</v>
      </c>
      <c r="BL16" s="5">
        <f t="shared" si="18"/>
        <v>9750000</v>
      </c>
      <c r="BM16" s="5">
        <f t="shared" si="18"/>
        <v>9750000</v>
      </c>
      <c r="BN16" s="5">
        <f t="shared" si="18"/>
        <v>9750000</v>
      </c>
      <c r="BO16" s="5">
        <f t="shared" si="18"/>
        <v>9750000</v>
      </c>
      <c r="BP16" s="5">
        <f t="shared" ref="BP16:DZ20" si="19">BO16</f>
        <v>9750000</v>
      </c>
      <c r="BQ16" s="5">
        <f t="shared" si="19"/>
        <v>9750000</v>
      </c>
      <c r="BR16" s="5">
        <f t="shared" si="19"/>
        <v>9750000</v>
      </c>
      <c r="BS16" s="5">
        <f t="shared" si="19"/>
        <v>9750000</v>
      </c>
      <c r="BT16" s="5">
        <f t="shared" si="19"/>
        <v>9750000</v>
      </c>
      <c r="BU16" s="5">
        <f t="shared" si="19"/>
        <v>9750000</v>
      </c>
      <c r="BV16" s="5">
        <f t="shared" si="19"/>
        <v>9750000</v>
      </c>
      <c r="BW16" s="5">
        <f t="shared" si="19"/>
        <v>9750000</v>
      </c>
      <c r="BX16" s="5">
        <f t="shared" si="19"/>
        <v>9750000</v>
      </c>
      <c r="BY16" s="5">
        <f t="shared" si="19"/>
        <v>9750000</v>
      </c>
      <c r="BZ16" s="5">
        <f t="shared" si="19"/>
        <v>9750000</v>
      </c>
      <c r="CA16" s="5">
        <f t="shared" si="19"/>
        <v>9750000</v>
      </c>
      <c r="CB16" s="5">
        <f t="shared" si="19"/>
        <v>9750000</v>
      </c>
      <c r="CC16" s="5">
        <f t="shared" si="19"/>
        <v>9750000</v>
      </c>
      <c r="CD16" s="5">
        <f t="shared" si="19"/>
        <v>9750000</v>
      </c>
      <c r="CE16" s="5">
        <f t="shared" si="19"/>
        <v>9750000</v>
      </c>
      <c r="CF16" s="5">
        <f t="shared" si="19"/>
        <v>9750000</v>
      </c>
      <c r="CG16" s="5">
        <f t="shared" si="19"/>
        <v>9750000</v>
      </c>
      <c r="CH16" s="5">
        <f t="shared" si="19"/>
        <v>9750000</v>
      </c>
      <c r="CI16" s="5">
        <f t="shared" si="19"/>
        <v>9750000</v>
      </c>
      <c r="CJ16" s="5">
        <f t="shared" si="19"/>
        <v>9750000</v>
      </c>
      <c r="CK16" s="5">
        <f t="shared" si="19"/>
        <v>9750000</v>
      </c>
      <c r="CL16" s="5">
        <f t="shared" si="19"/>
        <v>9750000</v>
      </c>
      <c r="CM16" s="5">
        <f t="shared" si="19"/>
        <v>9750000</v>
      </c>
      <c r="CN16" s="5">
        <f t="shared" si="19"/>
        <v>9750000</v>
      </c>
      <c r="CO16" s="5">
        <f t="shared" si="19"/>
        <v>9750000</v>
      </c>
      <c r="CP16" s="5">
        <f t="shared" si="19"/>
        <v>9750000</v>
      </c>
      <c r="CQ16" s="5">
        <f t="shared" si="19"/>
        <v>9750000</v>
      </c>
      <c r="CR16" s="5">
        <f t="shared" si="19"/>
        <v>9750000</v>
      </c>
      <c r="CS16" s="5">
        <f t="shared" si="19"/>
        <v>9750000</v>
      </c>
      <c r="CT16" s="5">
        <f t="shared" si="19"/>
        <v>9750000</v>
      </c>
      <c r="CU16" s="5">
        <f t="shared" si="19"/>
        <v>9750000</v>
      </c>
      <c r="CV16" s="5">
        <f t="shared" si="19"/>
        <v>9750000</v>
      </c>
      <c r="CW16" s="5">
        <f t="shared" si="19"/>
        <v>9750000</v>
      </c>
      <c r="CX16" s="5">
        <f t="shared" si="19"/>
        <v>9750000</v>
      </c>
      <c r="CY16" s="5">
        <f t="shared" si="19"/>
        <v>9750000</v>
      </c>
      <c r="CZ16" s="5">
        <f t="shared" si="19"/>
        <v>9750000</v>
      </c>
      <c r="DA16" s="5">
        <f t="shared" si="19"/>
        <v>9750000</v>
      </c>
      <c r="DB16" s="5">
        <f t="shared" si="19"/>
        <v>9750000</v>
      </c>
      <c r="DC16" s="5">
        <f t="shared" si="19"/>
        <v>9750000</v>
      </c>
      <c r="DD16" s="5">
        <f t="shared" si="19"/>
        <v>9750000</v>
      </c>
      <c r="DE16" s="5">
        <f t="shared" si="19"/>
        <v>9750000</v>
      </c>
      <c r="DF16" s="5">
        <f t="shared" si="19"/>
        <v>9750000</v>
      </c>
      <c r="DG16" s="5">
        <f t="shared" si="19"/>
        <v>9750000</v>
      </c>
      <c r="DH16" s="5">
        <f t="shared" si="19"/>
        <v>9750000</v>
      </c>
      <c r="DI16" s="5">
        <f t="shared" si="19"/>
        <v>9750000</v>
      </c>
      <c r="DJ16" s="5">
        <f t="shared" si="19"/>
        <v>9750000</v>
      </c>
      <c r="DK16" s="5">
        <f t="shared" si="19"/>
        <v>9750000</v>
      </c>
      <c r="DL16" s="5">
        <f t="shared" si="19"/>
        <v>9750000</v>
      </c>
      <c r="DM16" s="5">
        <f t="shared" si="19"/>
        <v>9750000</v>
      </c>
      <c r="DN16" s="5">
        <f t="shared" si="19"/>
        <v>9750000</v>
      </c>
      <c r="DO16" s="5">
        <f t="shared" si="19"/>
        <v>9750000</v>
      </c>
      <c r="DP16" s="5">
        <f t="shared" si="19"/>
        <v>9750000</v>
      </c>
      <c r="DQ16" s="5">
        <f t="shared" si="19"/>
        <v>9750000</v>
      </c>
      <c r="DR16" s="5">
        <f t="shared" si="19"/>
        <v>9750000</v>
      </c>
      <c r="DS16" s="5">
        <f t="shared" si="19"/>
        <v>9750000</v>
      </c>
      <c r="DT16" s="5">
        <f t="shared" si="19"/>
        <v>9750000</v>
      </c>
      <c r="DU16" s="5">
        <f t="shared" si="19"/>
        <v>9750000</v>
      </c>
      <c r="DV16" s="5">
        <f t="shared" si="19"/>
        <v>9750000</v>
      </c>
      <c r="DW16" s="5">
        <f t="shared" si="19"/>
        <v>9750000</v>
      </c>
      <c r="DX16" s="5">
        <f t="shared" si="19"/>
        <v>9750000</v>
      </c>
      <c r="DY16" s="5">
        <f t="shared" si="19"/>
        <v>9750000</v>
      </c>
      <c r="DZ16" s="5">
        <f t="shared" si="19"/>
        <v>9750000</v>
      </c>
      <c r="EA16" s="13">
        <f>EA12</f>
        <v>9750000</v>
      </c>
      <c r="EB16" s="13">
        <f t="shared" ref="EB16:GM16" si="20">EB12</f>
        <v>9750000</v>
      </c>
      <c r="EC16" s="13">
        <f t="shared" si="20"/>
        <v>9750000</v>
      </c>
      <c r="ED16" s="13">
        <f t="shared" si="20"/>
        <v>9750000</v>
      </c>
      <c r="EE16" s="13">
        <f t="shared" si="20"/>
        <v>9750000</v>
      </c>
      <c r="EF16" s="13">
        <f t="shared" si="20"/>
        <v>9750000</v>
      </c>
      <c r="EG16" s="13">
        <f t="shared" si="20"/>
        <v>9750000</v>
      </c>
      <c r="EH16" s="13">
        <f t="shared" si="20"/>
        <v>9750000</v>
      </c>
      <c r="EI16" s="13">
        <f t="shared" si="20"/>
        <v>9750000</v>
      </c>
      <c r="EJ16" s="13">
        <f t="shared" si="20"/>
        <v>9750000</v>
      </c>
      <c r="EK16" s="13">
        <f t="shared" si="20"/>
        <v>9750000</v>
      </c>
      <c r="EL16" s="5">
        <f t="shared" si="20"/>
        <v>9750000</v>
      </c>
      <c r="EM16" s="5">
        <f t="shared" si="20"/>
        <v>9750000</v>
      </c>
      <c r="EN16" s="5">
        <f t="shared" si="20"/>
        <v>9750000</v>
      </c>
      <c r="EO16" s="5">
        <f t="shared" si="20"/>
        <v>9750000</v>
      </c>
      <c r="EP16" s="5">
        <f t="shared" si="20"/>
        <v>9750000</v>
      </c>
      <c r="EQ16" s="5">
        <f t="shared" si="20"/>
        <v>9750000</v>
      </c>
      <c r="ER16" s="5">
        <f t="shared" si="20"/>
        <v>9750000</v>
      </c>
      <c r="ES16" s="5">
        <f t="shared" si="20"/>
        <v>9750000</v>
      </c>
      <c r="ET16" s="5">
        <f t="shared" si="20"/>
        <v>9750000</v>
      </c>
      <c r="EU16" s="5">
        <f t="shared" si="20"/>
        <v>9750000</v>
      </c>
      <c r="EV16" s="5">
        <f t="shared" si="20"/>
        <v>9750000</v>
      </c>
      <c r="EW16" s="5">
        <f t="shared" si="20"/>
        <v>9750000</v>
      </c>
      <c r="EX16" s="5">
        <f t="shared" si="20"/>
        <v>9750000</v>
      </c>
      <c r="EY16" s="5">
        <f t="shared" si="20"/>
        <v>9750000</v>
      </c>
      <c r="EZ16" s="5">
        <f t="shared" si="20"/>
        <v>9750000</v>
      </c>
      <c r="FA16" s="5">
        <f t="shared" si="20"/>
        <v>9750000</v>
      </c>
      <c r="FB16" s="5">
        <f t="shared" si="20"/>
        <v>9750000</v>
      </c>
      <c r="FC16" s="5">
        <f t="shared" si="20"/>
        <v>9750000</v>
      </c>
      <c r="FD16" s="5">
        <f t="shared" si="20"/>
        <v>9750000</v>
      </c>
      <c r="FE16" s="5">
        <f t="shared" si="20"/>
        <v>9750000</v>
      </c>
      <c r="FF16" s="5">
        <f t="shared" si="20"/>
        <v>9750000</v>
      </c>
      <c r="FG16" s="5">
        <f t="shared" si="20"/>
        <v>9750000</v>
      </c>
      <c r="FH16" s="5">
        <f t="shared" si="20"/>
        <v>9750000</v>
      </c>
      <c r="FI16" s="5">
        <f t="shared" si="20"/>
        <v>9750000</v>
      </c>
      <c r="FJ16" s="5">
        <f t="shared" si="20"/>
        <v>9750000</v>
      </c>
      <c r="FK16" s="5">
        <f t="shared" si="20"/>
        <v>9750000</v>
      </c>
      <c r="FL16" s="5">
        <f t="shared" si="20"/>
        <v>9750000</v>
      </c>
      <c r="FM16" s="5">
        <f t="shared" si="20"/>
        <v>9750000</v>
      </c>
      <c r="FN16" s="5">
        <f t="shared" si="20"/>
        <v>9750000</v>
      </c>
      <c r="FO16" s="5">
        <f t="shared" si="20"/>
        <v>9750000</v>
      </c>
      <c r="FP16" s="5">
        <f t="shared" si="20"/>
        <v>9750000</v>
      </c>
      <c r="FQ16" s="5">
        <f t="shared" si="20"/>
        <v>9750000</v>
      </c>
      <c r="FR16" s="5">
        <f t="shared" si="20"/>
        <v>9750000</v>
      </c>
      <c r="FS16" s="5">
        <f t="shared" si="20"/>
        <v>9750000</v>
      </c>
      <c r="FT16" s="5">
        <f t="shared" si="20"/>
        <v>9750000</v>
      </c>
      <c r="FU16" s="5">
        <f t="shared" si="20"/>
        <v>9750000</v>
      </c>
      <c r="FV16" s="5">
        <f t="shared" si="20"/>
        <v>9750000</v>
      </c>
      <c r="FW16" s="5">
        <f t="shared" si="20"/>
        <v>9750000</v>
      </c>
      <c r="FX16" s="5">
        <f t="shared" si="20"/>
        <v>9750000</v>
      </c>
      <c r="FY16" s="5">
        <f t="shared" si="20"/>
        <v>9750000</v>
      </c>
      <c r="FZ16" s="5">
        <f t="shared" si="20"/>
        <v>9750000</v>
      </c>
      <c r="GA16" s="5">
        <f t="shared" si="20"/>
        <v>9750000</v>
      </c>
      <c r="GB16" s="5">
        <f t="shared" si="20"/>
        <v>9750000</v>
      </c>
      <c r="GC16" s="5">
        <f t="shared" si="20"/>
        <v>9750000</v>
      </c>
      <c r="GD16" s="5">
        <f t="shared" si="20"/>
        <v>9750000</v>
      </c>
      <c r="GE16" s="5">
        <f t="shared" si="20"/>
        <v>9750000</v>
      </c>
      <c r="GF16" s="5">
        <f t="shared" si="20"/>
        <v>9750000</v>
      </c>
      <c r="GG16" s="5">
        <f t="shared" si="20"/>
        <v>9750000</v>
      </c>
      <c r="GH16" s="5">
        <f t="shared" si="20"/>
        <v>9750000</v>
      </c>
      <c r="GI16" s="5">
        <f t="shared" si="20"/>
        <v>9750000</v>
      </c>
      <c r="GJ16" s="5">
        <f t="shared" si="20"/>
        <v>9750000</v>
      </c>
      <c r="GK16" s="5">
        <f t="shared" si="20"/>
        <v>9750000</v>
      </c>
      <c r="GL16" s="5">
        <f t="shared" si="20"/>
        <v>9750000</v>
      </c>
      <c r="GM16" s="5">
        <f t="shared" si="20"/>
        <v>9750000</v>
      </c>
      <c r="GN16" s="5">
        <f t="shared" ref="GN16:HC16" si="21">GN12</f>
        <v>9750000</v>
      </c>
      <c r="GO16" s="5">
        <f t="shared" si="21"/>
        <v>9750000</v>
      </c>
      <c r="GP16" s="5">
        <f t="shared" si="21"/>
        <v>9750000</v>
      </c>
      <c r="GQ16" s="5">
        <f t="shared" si="21"/>
        <v>9750000</v>
      </c>
      <c r="GR16" s="5">
        <f t="shared" si="21"/>
        <v>9750000</v>
      </c>
      <c r="GS16" s="5">
        <f t="shared" si="21"/>
        <v>9750000</v>
      </c>
      <c r="GT16" s="5">
        <f t="shared" si="21"/>
        <v>9750000</v>
      </c>
      <c r="GU16" s="5">
        <f t="shared" si="21"/>
        <v>9750000</v>
      </c>
      <c r="GV16" s="5">
        <f t="shared" si="21"/>
        <v>9750000</v>
      </c>
      <c r="GW16" s="5">
        <f t="shared" si="21"/>
        <v>9750000</v>
      </c>
      <c r="GX16" s="5">
        <f t="shared" si="21"/>
        <v>9750000</v>
      </c>
      <c r="GY16" s="5">
        <f t="shared" si="21"/>
        <v>9750000</v>
      </c>
      <c r="GZ16" s="5">
        <f t="shared" si="21"/>
        <v>9750000</v>
      </c>
      <c r="HA16" s="5">
        <f t="shared" si="21"/>
        <v>9750000</v>
      </c>
      <c r="HB16" s="5">
        <f t="shared" si="21"/>
        <v>9750000</v>
      </c>
      <c r="HC16" s="5">
        <f t="shared" si="21"/>
        <v>9750000</v>
      </c>
    </row>
    <row r="17" spans="1:211">
      <c r="A17" t="s">
        <v>104</v>
      </c>
      <c r="B17" s="5">
        <f t="shared" si="17"/>
        <v>9750000</v>
      </c>
      <c r="C17" s="5">
        <f t="shared" ref="C17:R25" si="22">B17</f>
        <v>9750000</v>
      </c>
      <c r="D17" s="5">
        <f t="shared" si="22"/>
        <v>9750000</v>
      </c>
      <c r="E17" s="5">
        <f t="shared" si="22"/>
        <v>9750000</v>
      </c>
      <c r="F17" s="5">
        <f t="shared" si="22"/>
        <v>9750000</v>
      </c>
      <c r="G17" s="5">
        <f t="shared" si="22"/>
        <v>9750000</v>
      </c>
      <c r="H17" s="5">
        <f t="shared" si="22"/>
        <v>9750000</v>
      </c>
      <c r="I17" s="5">
        <f t="shared" si="22"/>
        <v>9750000</v>
      </c>
      <c r="J17" s="5">
        <f t="shared" si="22"/>
        <v>9750000</v>
      </c>
      <c r="K17" s="5">
        <f t="shared" si="22"/>
        <v>9750000</v>
      </c>
      <c r="L17" s="5">
        <f t="shared" si="22"/>
        <v>9750000</v>
      </c>
      <c r="M17" s="5">
        <f t="shared" si="22"/>
        <v>9750000</v>
      </c>
      <c r="N17" s="5">
        <f t="shared" si="22"/>
        <v>9750000</v>
      </c>
      <c r="O17" s="5">
        <f t="shared" si="22"/>
        <v>9750000</v>
      </c>
      <c r="P17" s="5">
        <f t="shared" si="22"/>
        <v>9750000</v>
      </c>
      <c r="Q17" s="5">
        <f t="shared" si="22"/>
        <v>9750000</v>
      </c>
      <c r="R17" s="5">
        <f t="shared" si="22"/>
        <v>9750000</v>
      </c>
      <c r="S17" s="5">
        <f t="shared" si="18"/>
        <v>9750000</v>
      </c>
      <c r="T17" s="5">
        <f t="shared" si="18"/>
        <v>9750000</v>
      </c>
      <c r="U17" s="5">
        <f t="shared" si="18"/>
        <v>9750000</v>
      </c>
      <c r="V17" s="5">
        <f t="shared" si="18"/>
        <v>9750000</v>
      </c>
      <c r="W17" s="5">
        <f t="shared" si="18"/>
        <v>9750000</v>
      </c>
      <c r="X17" s="5">
        <f t="shared" si="18"/>
        <v>9750000</v>
      </c>
      <c r="Y17" s="5">
        <f t="shared" si="18"/>
        <v>9750000</v>
      </c>
      <c r="Z17" s="5">
        <f t="shared" si="18"/>
        <v>9750000</v>
      </c>
      <c r="AA17" s="5">
        <f t="shared" si="18"/>
        <v>9750000</v>
      </c>
      <c r="AB17" s="5">
        <f t="shared" si="18"/>
        <v>9750000</v>
      </c>
      <c r="AC17" s="5">
        <f t="shared" si="18"/>
        <v>9750000</v>
      </c>
      <c r="AD17" s="5">
        <f t="shared" si="18"/>
        <v>9750000</v>
      </c>
      <c r="AE17" s="5">
        <f t="shared" si="18"/>
        <v>9750000</v>
      </c>
      <c r="AF17" s="5">
        <f t="shared" si="18"/>
        <v>9750000</v>
      </c>
      <c r="AG17" s="5">
        <f t="shared" si="18"/>
        <v>9750000</v>
      </c>
      <c r="AH17" s="5">
        <f t="shared" si="18"/>
        <v>9750000</v>
      </c>
      <c r="AI17" s="5">
        <f t="shared" si="18"/>
        <v>9750000</v>
      </c>
      <c r="AJ17" s="5">
        <f t="shared" si="18"/>
        <v>9750000</v>
      </c>
      <c r="AK17" s="5">
        <f t="shared" si="18"/>
        <v>9750000</v>
      </c>
      <c r="AL17" s="5">
        <f t="shared" si="18"/>
        <v>9750000</v>
      </c>
      <c r="AM17" s="5">
        <f t="shared" si="18"/>
        <v>9750000</v>
      </c>
      <c r="AN17" s="5">
        <f t="shared" si="18"/>
        <v>9750000</v>
      </c>
      <c r="AO17" s="5">
        <f t="shared" si="18"/>
        <v>9750000</v>
      </c>
      <c r="AP17" s="5">
        <f t="shared" si="18"/>
        <v>9750000</v>
      </c>
      <c r="AQ17" s="5">
        <f t="shared" si="18"/>
        <v>9750000</v>
      </c>
      <c r="AR17" s="5">
        <f t="shared" si="18"/>
        <v>9750000</v>
      </c>
      <c r="AS17" s="5">
        <f t="shared" si="18"/>
        <v>9750000</v>
      </c>
      <c r="AT17" s="5">
        <f t="shared" si="18"/>
        <v>9750000</v>
      </c>
      <c r="AU17" s="5">
        <f t="shared" si="18"/>
        <v>9750000</v>
      </c>
      <c r="AV17" s="5">
        <f t="shared" si="18"/>
        <v>9750000</v>
      </c>
      <c r="AW17" s="5">
        <f t="shared" si="18"/>
        <v>9750000</v>
      </c>
      <c r="AX17" s="5">
        <f t="shared" si="18"/>
        <v>9750000</v>
      </c>
      <c r="AY17" s="5">
        <f t="shared" si="18"/>
        <v>9750000</v>
      </c>
      <c r="AZ17" s="5">
        <f t="shared" si="18"/>
        <v>9750000</v>
      </c>
      <c r="BA17" s="5">
        <f t="shared" si="18"/>
        <v>9750000</v>
      </c>
      <c r="BB17" s="5">
        <f t="shared" si="18"/>
        <v>9750000</v>
      </c>
      <c r="BC17" s="5">
        <f t="shared" si="18"/>
        <v>9750000</v>
      </c>
      <c r="BD17" s="5">
        <f t="shared" si="18"/>
        <v>9750000</v>
      </c>
      <c r="BE17" s="5">
        <f t="shared" si="18"/>
        <v>9750000</v>
      </c>
      <c r="BF17" s="5">
        <f t="shared" si="18"/>
        <v>9750000</v>
      </c>
      <c r="BG17" s="5">
        <f t="shared" si="18"/>
        <v>9750000</v>
      </c>
      <c r="BH17" s="5">
        <f t="shared" si="18"/>
        <v>9750000</v>
      </c>
      <c r="BI17" s="5">
        <f t="shared" si="18"/>
        <v>9750000</v>
      </c>
      <c r="BJ17" s="5">
        <f t="shared" si="18"/>
        <v>9750000</v>
      </c>
      <c r="BK17" s="5">
        <f t="shared" si="18"/>
        <v>9750000</v>
      </c>
      <c r="BL17" s="5">
        <f t="shared" si="18"/>
        <v>9750000</v>
      </c>
      <c r="BM17" s="5">
        <f t="shared" si="18"/>
        <v>9750000</v>
      </c>
      <c r="BN17" s="5">
        <f t="shared" si="18"/>
        <v>9750000</v>
      </c>
      <c r="BO17" s="5">
        <f t="shared" si="18"/>
        <v>9750000</v>
      </c>
      <c r="BP17" s="5">
        <f t="shared" si="19"/>
        <v>9750000</v>
      </c>
      <c r="BQ17" s="5">
        <f t="shared" si="19"/>
        <v>9750000</v>
      </c>
      <c r="BR17" s="5">
        <f t="shared" si="19"/>
        <v>9750000</v>
      </c>
      <c r="BS17" s="5">
        <f t="shared" si="19"/>
        <v>9750000</v>
      </c>
      <c r="BT17" s="5">
        <f t="shared" si="19"/>
        <v>9750000</v>
      </c>
      <c r="BU17" s="5">
        <f t="shared" si="19"/>
        <v>9750000</v>
      </c>
      <c r="BV17" s="5">
        <f t="shared" si="19"/>
        <v>9750000</v>
      </c>
      <c r="BW17" s="5">
        <f t="shared" si="19"/>
        <v>9750000</v>
      </c>
      <c r="BX17" s="5">
        <f t="shared" si="19"/>
        <v>9750000</v>
      </c>
      <c r="BY17" s="5">
        <f t="shared" si="19"/>
        <v>9750000</v>
      </c>
      <c r="BZ17" s="5">
        <f t="shared" si="19"/>
        <v>9750000</v>
      </c>
      <c r="CA17" s="5">
        <f t="shared" si="19"/>
        <v>9750000</v>
      </c>
      <c r="CB17" s="5">
        <f t="shared" si="19"/>
        <v>9750000</v>
      </c>
      <c r="CC17" s="5">
        <f t="shared" si="19"/>
        <v>9750000</v>
      </c>
      <c r="CD17" s="5">
        <f t="shared" si="19"/>
        <v>9750000</v>
      </c>
      <c r="CE17" s="5">
        <f t="shared" si="19"/>
        <v>9750000</v>
      </c>
      <c r="CF17" s="5">
        <f t="shared" si="19"/>
        <v>9750000</v>
      </c>
      <c r="CG17" s="5">
        <f t="shared" si="19"/>
        <v>9750000</v>
      </c>
      <c r="CH17" s="5">
        <f t="shared" si="19"/>
        <v>9750000</v>
      </c>
      <c r="CI17" s="5">
        <f t="shared" si="19"/>
        <v>9750000</v>
      </c>
      <c r="CJ17" s="5">
        <f t="shared" si="19"/>
        <v>9750000</v>
      </c>
      <c r="CK17" s="5">
        <f t="shared" si="19"/>
        <v>9750000</v>
      </c>
      <c r="CL17" s="5">
        <f t="shared" si="19"/>
        <v>9750000</v>
      </c>
      <c r="CM17" s="5">
        <f t="shared" si="19"/>
        <v>9750000</v>
      </c>
      <c r="CN17" s="5">
        <f t="shared" si="19"/>
        <v>9750000</v>
      </c>
      <c r="CO17" s="5">
        <f t="shared" si="19"/>
        <v>9750000</v>
      </c>
      <c r="CP17" s="5">
        <f t="shared" si="19"/>
        <v>9750000</v>
      </c>
      <c r="CQ17" s="5">
        <f t="shared" si="19"/>
        <v>9750000</v>
      </c>
      <c r="CR17" s="5">
        <f t="shared" si="19"/>
        <v>9750000</v>
      </c>
      <c r="CS17" s="5">
        <f t="shared" si="19"/>
        <v>9750000</v>
      </c>
      <c r="CT17" s="5">
        <f t="shared" si="19"/>
        <v>9750000</v>
      </c>
      <c r="CU17" s="5">
        <f t="shared" si="19"/>
        <v>9750000</v>
      </c>
      <c r="CV17" s="5">
        <f t="shared" si="19"/>
        <v>9750000</v>
      </c>
      <c r="CW17" s="5">
        <f t="shared" si="19"/>
        <v>9750000</v>
      </c>
      <c r="CX17" s="5">
        <f t="shared" si="19"/>
        <v>9750000</v>
      </c>
      <c r="CY17" s="5">
        <f t="shared" si="19"/>
        <v>9750000</v>
      </c>
      <c r="CZ17" s="5">
        <f t="shared" si="19"/>
        <v>9750000</v>
      </c>
      <c r="DA17" s="5">
        <f t="shared" si="19"/>
        <v>9750000</v>
      </c>
      <c r="DB17" s="5">
        <f t="shared" si="19"/>
        <v>9750000</v>
      </c>
      <c r="DC17" s="5">
        <f t="shared" si="19"/>
        <v>9750000</v>
      </c>
      <c r="DD17" s="5">
        <f t="shared" si="19"/>
        <v>9750000</v>
      </c>
      <c r="DE17" s="5">
        <f t="shared" si="19"/>
        <v>9750000</v>
      </c>
      <c r="DF17" s="5">
        <f t="shared" si="19"/>
        <v>9750000</v>
      </c>
      <c r="DG17" s="5">
        <f t="shared" si="19"/>
        <v>9750000</v>
      </c>
      <c r="DH17" s="5">
        <f t="shared" si="19"/>
        <v>9750000</v>
      </c>
      <c r="DI17" s="5">
        <f t="shared" si="19"/>
        <v>9750000</v>
      </c>
      <c r="DJ17" s="5">
        <f t="shared" si="19"/>
        <v>9750000</v>
      </c>
      <c r="DK17" s="5">
        <f t="shared" si="19"/>
        <v>9750000</v>
      </c>
      <c r="DL17" s="5">
        <f t="shared" si="19"/>
        <v>9750000</v>
      </c>
      <c r="DM17" s="5">
        <f t="shared" si="19"/>
        <v>9750000</v>
      </c>
      <c r="DN17" s="5">
        <f t="shared" si="19"/>
        <v>9750000</v>
      </c>
      <c r="DO17" s="5">
        <f t="shared" si="19"/>
        <v>9750000</v>
      </c>
      <c r="DP17" s="5">
        <f t="shared" si="19"/>
        <v>9750000</v>
      </c>
      <c r="DQ17" s="5">
        <f t="shared" si="19"/>
        <v>9750000</v>
      </c>
      <c r="DR17" s="5">
        <f t="shared" si="19"/>
        <v>9750000</v>
      </c>
      <c r="DS17" s="5">
        <f t="shared" si="19"/>
        <v>9750000</v>
      </c>
      <c r="DT17" s="5">
        <f t="shared" si="19"/>
        <v>9750000</v>
      </c>
      <c r="DU17" s="5">
        <f t="shared" si="19"/>
        <v>9750000</v>
      </c>
      <c r="DV17" s="5">
        <f t="shared" si="19"/>
        <v>9750000</v>
      </c>
      <c r="DW17" s="5">
        <f t="shared" si="19"/>
        <v>9750000</v>
      </c>
      <c r="DX17" s="5">
        <f t="shared" si="19"/>
        <v>9750000</v>
      </c>
      <c r="DY17" s="5">
        <f t="shared" si="19"/>
        <v>9750000</v>
      </c>
      <c r="DZ17" s="5">
        <f t="shared" si="19"/>
        <v>9750000</v>
      </c>
      <c r="EA17" s="13">
        <f>EA12</f>
        <v>9750000</v>
      </c>
      <c r="EB17" s="13">
        <f t="shared" ref="EB17:GM17" si="23">EB12</f>
        <v>9750000</v>
      </c>
      <c r="EC17" s="13">
        <f t="shared" si="23"/>
        <v>9750000</v>
      </c>
      <c r="ED17" s="13">
        <f t="shared" si="23"/>
        <v>9750000</v>
      </c>
      <c r="EE17" s="13">
        <f t="shared" si="23"/>
        <v>9750000</v>
      </c>
      <c r="EF17" s="13">
        <f t="shared" si="23"/>
        <v>9750000</v>
      </c>
      <c r="EG17" s="13">
        <f t="shared" si="23"/>
        <v>9750000</v>
      </c>
      <c r="EH17" s="13">
        <f t="shared" si="23"/>
        <v>9750000</v>
      </c>
      <c r="EI17" s="13">
        <f t="shared" si="23"/>
        <v>9750000</v>
      </c>
      <c r="EJ17" s="13">
        <f t="shared" si="23"/>
        <v>9750000</v>
      </c>
      <c r="EK17" s="13">
        <f t="shared" si="23"/>
        <v>9750000</v>
      </c>
      <c r="EL17" s="5">
        <f t="shared" si="23"/>
        <v>9750000</v>
      </c>
      <c r="EM17" s="5">
        <f t="shared" si="23"/>
        <v>9750000</v>
      </c>
      <c r="EN17" s="5">
        <f t="shared" si="23"/>
        <v>9750000</v>
      </c>
      <c r="EO17" s="5">
        <f t="shared" si="23"/>
        <v>9750000</v>
      </c>
      <c r="EP17" s="5">
        <f t="shared" si="23"/>
        <v>9750000</v>
      </c>
      <c r="EQ17" s="5">
        <f t="shared" si="23"/>
        <v>9750000</v>
      </c>
      <c r="ER17" s="5">
        <f t="shared" si="23"/>
        <v>9750000</v>
      </c>
      <c r="ES17" s="5">
        <f t="shared" si="23"/>
        <v>9750000</v>
      </c>
      <c r="ET17" s="5">
        <f t="shared" si="23"/>
        <v>9750000</v>
      </c>
      <c r="EU17" s="5">
        <f t="shared" si="23"/>
        <v>9750000</v>
      </c>
      <c r="EV17" s="5">
        <f t="shared" si="23"/>
        <v>9750000</v>
      </c>
      <c r="EW17" s="5">
        <f t="shared" si="23"/>
        <v>9750000</v>
      </c>
      <c r="EX17" s="5">
        <f t="shared" si="23"/>
        <v>9750000</v>
      </c>
      <c r="EY17" s="5">
        <f t="shared" si="23"/>
        <v>9750000</v>
      </c>
      <c r="EZ17" s="5">
        <f t="shared" si="23"/>
        <v>9750000</v>
      </c>
      <c r="FA17" s="5">
        <f t="shared" si="23"/>
        <v>9750000</v>
      </c>
      <c r="FB17" s="5">
        <f t="shared" si="23"/>
        <v>9750000</v>
      </c>
      <c r="FC17" s="5">
        <f t="shared" si="23"/>
        <v>9750000</v>
      </c>
      <c r="FD17" s="5">
        <f t="shared" si="23"/>
        <v>9750000</v>
      </c>
      <c r="FE17" s="5">
        <f t="shared" si="23"/>
        <v>9750000</v>
      </c>
      <c r="FF17" s="5">
        <f t="shared" si="23"/>
        <v>9750000</v>
      </c>
      <c r="FG17" s="5">
        <f t="shared" si="23"/>
        <v>9750000</v>
      </c>
      <c r="FH17" s="5">
        <f t="shared" si="23"/>
        <v>9750000</v>
      </c>
      <c r="FI17" s="5">
        <f t="shared" si="23"/>
        <v>9750000</v>
      </c>
      <c r="FJ17" s="5">
        <f t="shared" si="23"/>
        <v>9750000</v>
      </c>
      <c r="FK17" s="5">
        <f t="shared" si="23"/>
        <v>9750000</v>
      </c>
      <c r="FL17" s="5">
        <f t="shared" si="23"/>
        <v>9750000</v>
      </c>
      <c r="FM17" s="5">
        <f t="shared" si="23"/>
        <v>9750000</v>
      </c>
      <c r="FN17" s="5">
        <f t="shared" si="23"/>
        <v>9750000</v>
      </c>
      <c r="FO17" s="5">
        <f t="shared" si="23"/>
        <v>9750000</v>
      </c>
      <c r="FP17" s="5">
        <f t="shared" si="23"/>
        <v>9750000</v>
      </c>
      <c r="FQ17" s="5">
        <f t="shared" si="23"/>
        <v>9750000</v>
      </c>
      <c r="FR17" s="5">
        <f t="shared" si="23"/>
        <v>9750000</v>
      </c>
      <c r="FS17" s="5">
        <f t="shared" si="23"/>
        <v>9750000</v>
      </c>
      <c r="FT17" s="5">
        <f t="shared" si="23"/>
        <v>9750000</v>
      </c>
      <c r="FU17" s="5">
        <f t="shared" si="23"/>
        <v>9750000</v>
      </c>
      <c r="FV17" s="5">
        <f t="shared" si="23"/>
        <v>9750000</v>
      </c>
      <c r="FW17" s="5">
        <f t="shared" si="23"/>
        <v>9750000</v>
      </c>
      <c r="FX17" s="5">
        <f t="shared" si="23"/>
        <v>9750000</v>
      </c>
      <c r="FY17" s="5">
        <f t="shared" si="23"/>
        <v>9750000</v>
      </c>
      <c r="FZ17" s="5">
        <f t="shared" si="23"/>
        <v>9750000</v>
      </c>
      <c r="GA17" s="5">
        <f t="shared" si="23"/>
        <v>9750000</v>
      </c>
      <c r="GB17" s="5">
        <f t="shared" si="23"/>
        <v>9750000</v>
      </c>
      <c r="GC17" s="5">
        <f t="shared" si="23"/>
        <v>9750000</v>
      </c>
      <c r="GD17" s="5">
        <f t="shared" si="23"/>
        <v>9750000</v>
      </c>
      <c r="GE17" s="5">
        <f t="shared" si="23"/>
        <v>9750000</v>
      </c>
      <c r="GF17" s="5">
        <f t="shared" si="23"/>
        <v>9750000</v>
      </c>
      <c r="GG17" s="5">
        <f t="shared" si="23"/>
        <v>9750000</v>
      </c>
      <c r="GH17" s="5">
        <f t="shared" si="23"/>
        <v>9750000</v>
      </c>
      <c r="GI17" s="5">
        <f t="shared" si="23"/>
        <v>9750000</v>
      </c>
      <c r="GJ17" s="5">
        <f t="shared" si="23"/>
        <v>9750000</v>
      </c>
      <c r="GK17" s="5">
        <f t="shared" si="23"/>
        <v>9750000</v>
      </c>
      <c r="GL17" s="5">
        <f t="shared" si="23"/>
        <v>9750000</v>
      </c>
      <c r="GM17" s="5">
        <f t="shared" si="23"/>
        <v>9750000</v>
      </c>
      <c r="GN17" s="5">
        <f t="shared" ref="GN17:HC17" si="24">GN12</f>
        <v>9750000</v>
      </c>
      <c r="GO17" s="5">
        <f t="shared" si="24"/>
        <v>9750000</v>
      </c>
      <c r="GP17" s="5">
        <f t="shared" si="24"/>
        <v>9750000</v>
      </c>
      <c r="GQ17" s="5">
        <f t="shared" si="24"/>
        <v>9750000</v>
      </c>
      <c r="GR17" s="5">
        <f t="shared" si="24"/>
        <v>9750000</v>
      </c>
      <c r="GS17" s="5">
        <f t="shared" si="24"/>
        <v>9750000</v>
      </c>
      <c r="GT17" s="5">
        <f t="shared" si="24"/>
        <v>9750000</v>
      </c>
      <c r="GU17" s="5">
        <f t="shared" si="24"/>
        <v>9750000</v>
      </c>
      <c r="GV17" s="5">
        <f t="shared" si="24"/>
        <v>9750000</v>
      </c>
      <c r="GW17" s="5">
        <f t="shared" si="24"/>
        <v>9750000</v>
      </c>
      <c r="GX17" s="5">
        <f t="shared" si="24"/>
        <v>9750000</v>
      </c>
      <c r="GY17" s="5">
        <f t="shared" si="24"/>
        <v>9750000</v>
      </c>
      <c r="GZ17" s="5">
        <f t="shared" si="24"/>
        <v>9750000</v>
      </c>
      <c r="HA17" s="5">
        <f t="shared" si="24"/>
        <v>9750000</v>
      </c>
      <c r="HB17" s="5">
        <f t="shared" si="24"/>
        <v>9750000</v>
      </c>
      <c r="HC17" s="5">
        <f t="shared" si="24"/>
        <v>9750000</v>
      </c>
    </row>
    <row r="18" spans="1:211">
      <c r="A18" t="s">
        <v>105</v>
      </c>
      <c r="B18" s="5">
        <f t="shared" si="17"/>
        <v>12868588.866595</v>
      </c>
      <c r="C18" s="5">
        <f t="shared" si="22"/>
        <v>12868588.866595</v>
      </c>
      <c r="D18" s="5">
        <f t="shared" ref="D18:BO21" si="25">C18</f>
        <v>12868588.866595</v>
      </c>
      <c r="E18" s="5">
        <f t="shared" si="25"/>
        <v>12868588.866595</v>
      </c>
      <c r="F18" s="5">
        <f t="shared" si="25"/>
        <v>12868588.866595</v>
      </c>
      <c r="G18" s="5">
        <f t="shared" si="25"/>
        <v>12868588.866595</v>
      </c>
      <c r="H18" s="5">
        <f t="shared" si="25"/>
        <v>12868588.866595</v>
      </c>
      <c r="I18" s="5">
        <f t="shared" si="25"/>
        <v>12868588.866595</v>
      </c>
      <c r="J18" s="5">
        <f t="shared" si="25"/>
        <v>12868588.866595</v>
      </c>
      <c r="K18" s="5">
        <f t="shared" si="25"/>
        <v>12868588.866595</v>
      </c>
      <c r="L18" s="5">
        <f t="shared" si="25"/>
        <v>12868588.866595</v>
      </c>
      <c r="M18" s="5">
        <f t="shared" si="25"/>
        <v>12868588.866595</v>
      </c>
      <c r="N18" s="5">
        <f t="shared" si="25"/>
        <v>12868588.866595</v>
      </c>
      <c r="O18" s="5">
        <f t="shared" si="25"/>
        <v>12868588.866595</v>
      </c>
      <c r="P18" s="5">
        <f t="shared" si="25"/>
        <v>12868588.866595</v>
      </c>
      <c r="Q18" s="5">
        <f t="shared" si="25"/>
        <v>12868588.866595</v>
      </c>
      <c r="R18" s="5">
        <f t="shared" si="25"/>
        <v>12868588.866595</v>
      </c>
      <c r="S18" s="5">
        <f t="shared" si="25"/>
        <v>12868588.866595</v>
      </c>
      <c r="T18" s="5">
        <f t="shared" si="25"/>
        <v>12868588.866595</v>
      </c>
      <c r="U18" s="5">
        <f t="shared" si="25"/>
        <v>12868588.866595</v>
      </c>
      <c r="V18" s="5">
        <f t="shared" si="25"/>
        <v>12868588.866595</v>
      </c>
      <c r="W18" s="5">
        <f t="shared" si="25"/>
        <v>12868588.866595</v>
      </c>
      <c r="X18" s="5">
        <f t="shared" si="25"/>
        <v>12868588.866595</v>
      </c>
      <c r="Y18" s="5">
        <f t="shared" si="25"/>
        <v>12868588.866595</v>
      </c>
      <c r="Z18" s="5">
        <f t="shared" si="25"/>
        <v>12868588.866595</v>
      </c>
      <c r="AA18" s="5">
        <f t="shared" si="25"/>
        <v>12868588.866595</v>
      </c>
      <c r="AB18" s="5">
        <f t="shared" si="25"/>
        <v>12868588.866595</v>
      </c>
      <c r="AC18" s="5">
        <f t="shared" si="25"/>
        <v>12868588.866595</v>
      </c>
      <c r="AD18" s="5">
        <f t="shared" si="25"/>
        <v>12868588.866595</v>
      </c>
      <c r="AE18" s="5">
        <f t="shared" si="25"/>
        <v>12868588.866595</v>
      </c>
      <c r="AF18" s="5">
        <f t="shared" si="25"/>
        <v>12868588.866595</v>
      </c>
      <c r="AG18" s="5">
        <f t="shared" si="25"/>
        <v>12868588.866595</v>
      </c>
      <c r="AH18" s="5">
        <f t="shared" si="25"/>
        <v>12868588.866595</v>
      </c>
      <c r="AI18" s="5">
        <f t="shared" si="25"/>
        <v>12868588.866595</v>
      </c>
      <c r="AJ18" s="5">
        <f t="shared" si="25"/>
        <v>12868588.866595</v>
      </c>
      <c r="AK18" s="5">
        <f t="shared" si="25"/>
        <v>12868588.866595</v>
      </c>
      <c r="AL18" s="5">
        <f t="shared" si="25"/>
        <v>12868588.866595</v>
      </c>
      <c r="AM18" s="5">
        <f t="shared" si="25"/>
        <v>12868588.866595</v>
      </c>
      <c r="AN18" s="5">
        <f t="shared" si="25"/>
        <v>12868588.866595</v>
      </c>
      <c r="AO18" s="5">
        <f t="shared" si="25"/>
        <v>12868588.866595</v>
      </c>
      <c r="AP18" s="5">
        <f t="shared" si="25"/>
        <v>12868588.866595</v>
      </c>
      <c r="AQ18" s="5">
        <f t="shared" si="25"/>
        <v>12868588.866595</v>
      </c>
      <c r="AR18" s="5">
        <f t="shared" si="25"/>
        <v>12868588.866595</v>
      </c>
      <c r="AS18" s="5">
        <f t="shared" si="25"/>
        <v>12868588.866595</v>
      </c>
      <c r="AT18" s="5">
        <f t="shared" si="25"/>
        <v>12868588.866595</v>
      </c>
      <c r="AU18" s="5">
        <f t="shared" si="25"/>
        <v>12868588.866595</v>
      </c>
      <c r="AV18" s="5">
        <f t="shared" si="25"/>
        <v>12868588.866595</v>
      </c>
      <c r="AW18" s="5">
        <f t="shared" si="25"/>
        <v>12868588.866595</v>
      </c>
      <c r="AX18" s="5">
        <f t="shared" si="25"/>
        <v>12868588.866595</v>
      </c>
      <c r="AY18" s="5">
        <f t="shared" si="25"/>
        <v>12868588.866595</v>
      </c>
      <c r="AZ18" s="5">
        <f t="shared" si="25"/>
        <v>12868588.866595</v>
      </c>
      <c r="BA18" s="5">
        <f t="shared" si="25"/>
        <v>12868588.866595</v>
      </c>
      <c r="BB18" s="5">
        <f t="shared" si="25"/>
        <v>12868588.866595</v>
      </c>
      <c r="BC18" s="5">
        <f t="shared" si="25"/>
        <v>12868588.866595</v>
      </c>
      <c r="BD18" s="5">
        <f t="shared" si="25"/>
        <v>12868588.866595</v>
      </c>
      <c r="BE18" s="5">
        <f t="shared" si="25"/>
        <v>12868588.866595</v>
      </c>
      <c r="BF18" s="5">
        <f t="shared" si="25"/>
        <v>12868588.866595</v>
      </c>
      <c r="BG18" s="5">
        <f t="shared" si="25"/>
        <v>12868588.866595</v>
      </c>
      <c r="BH18" s="5">
        <f t="shared" si="25"/>
        <v>12868588.866595</v>
      </c>
      <c r="BI18" s="5">
        <f t="shared" si="25"/>
        <v>12868588.866595</v>
      </c>
      <c r="BJ18" s="5">
        <f t="shared" si="25"/>
        <v>12868588.866595</v>
      </c>
      <c r="BK18" s="5">
        <f t="shared" si="25"/>
        <v>12868588.866595</v>
      </c>
      <c r="BL18" s="5">
        <f t="shared" si="25"/>
        <v>12868588.866595</v>
      </c>
      <c r="BM18" s="5">
        <f t="shared" si="25"/>
        <v>12868588.866595</v>
      </c>
      <c r="BN18" s="5">
        <f t="shared" si="25"/>
        <v>12868588.866595</v>
      </c>
      <c r="BO18" s="5">
        <f t="shared" si="25"/>
        <v>12868588.866595</v>
      </c>
      <c r="BP18" s="5">
        <f t="shared" si="19"/>
        <v>12868588.866595</v>
      </c>
      <c r="BQ18" s="5">
        <f t="shared" si="19"/>
        <v>12868588.866595</v>
      </c>
      <c r="BR18" s="5">
        <f t="shared" si="19"/>
        <v>12868588.866595</v>
      </c>
      <c r="BS18" s="5">
        <f t="shared" si="19"/>
        <v>12868588.866595</v>
      </c>
      <c r="BT18" s="5">
        <f t="shared" si="19"/>
        <v>12868588.866595</v>
      </c>
      <c r="BU18" s="5">
        <f t="shared" si="19"/>
        <v>12868588.866595</v>
      </c>
      <c r="BV18" s="5">
        <f t="shared" si="19"/>
        <v>12868588.866595</v>
      </c>
      <c r="BW18" s="5">
        <f t="shared" si="19"/>
        <v>12868588.866595</v>
      </c>
      <c r="BX18" s="5">
        <f t="shared" si="19"/>
        <v>12868588.866595</v>
      </c>
      <c r="BY18" s="5">
        <f t="shared" si="19"/>
        <v>12868588.866595</v>
      </c>
      <c r="BZ18" s="5">
        <f t="shared" si="19"/>
        <v>12868588.866595</v>
      </c>
      <c r="CA18" s="5">
        <f t="shared" si="19"/>
        <v>12868588.866595</v>
      </c>
      <c r="CB18" s="5">
        <f t="shared" si="19"/>
        <v>12868588.866595</v>
      </c>
      <c r="CC18" s="5">
        <f t="shared" si="19"/>
        <v>12868588.866595</v>
      </c>
      <c r="CD18" s="5">
        <f t="shared" si="19"/>
        <v>12868588.866595</v>
      </c>
      <c r="CE18" s="5">
        <f t="shared" si="19"/>
        <v>12868588.866595</v>
      </c>
      <c r="CF18" s="5">
        <f t="shared" si="19"/>
        <v>12868588.866595</v>
      </c>
      <c r="CG18" s="5">
        <f t="shared" si="19"/>
        <v>12868588.866595</v>
      </c>
      <c r="CH18" s="5">
        <f t="shared" si="19"/>
        <v>12868588.866595</v>
      </c>
      <c r="CI18" s="5">
        <f t="shared" si="19"/>
        <v>12868588.866595</v>
      </c>
      <c r="CJ18" s="5">
        <f t="shared" si="19"/>
        <v>12868588.866595</v>
      </c>
      <c r="CK18" s="5">
        <f t="shared" si="19"/>
        <v>12868588.866595</v>
      </c>
      <c r="CL18" s="5">
        <f t="shared" si="19"/>
        <v>12868588.866595</v>
      </c>
      <c r="CM18" s="5">
        <f t="shared" si="19"/>
        <v>12868588.866595</v>
      </c>
      <c r="CN18" s="5">
        <f t="shared" si="19"/>
        <v>12868588.866595</v>
      </c>
      <c r="CO18" s="5">
        <f t="shared" si="19"/>
        <v>12868588.866595</v>
      </c>
      <c r="CP18" s="5">
        <f t="shared" si="19"/>
        <v>12868588.866595</v>
      </c>
      <c r="CQ18" s="5">
        <f t="shared" si="19"/>
        <v>12868588.866595</v>
      </c>
      <c r="CR18" s="5">
        <f t="shared" si="19"/>
        <v>12868588.866595</v>
      </c>
      <c r="CS18" s="5">
        <f t="shared" si="19"/>
        <v>12868588.866595</v>
      </c>
      <c r="CT18" s="5">
        <f t="shared" si="19"/>
        <v>12868588.866595</v>
      </c>
      <c r="CU18" s="5">
        <f t="shared" si="19"/>
        <v>12868588.866595</v>
      </c>
      <c r="CV18" s="5">
        <f t="shared" si="19"/>
        <v>12868588.866595</v>
      </c>
      <c r="CW18" s="5">
        <f t="shared" si="19"/>
        <v>12868588.866595</v>
      </c>
      <c r="CX18" s="5">
        <f t="shared" si="19"/>
        <v>12868588.866595</v>
      </c>
      <c r="CY18" s="5">
        <f t="shared" si="19"/>
        <v>12868588.866595</v>
      </c>
      <c r="CZ18" s="5">
        <f t="shared" si="19"/>
        <v>12868588.866595</v>
      </c>
      <c r="DA18" s="5">
        <f t="shared" si="19"/>
        <v>12868588.866595</v>
      </c>
      <c r="DB18" s="5">
        <f t="shared" si="19"/>
        <v>12868588.866595</v>
      </c>
      <c r="DC18" s="5">
        <f t="shared" si="19"/>
        <v>12868588.866595</v>
      </c>
      <c r="DD18" s="5">
        <f t="shared" si="19"/>
        <v>12868588.866595</v>
      </c>
      <c r="DE18" s="5">
        <f t="shared" si="19"/>
        <v>12868588.866595</v>
      </c>
      <c r="DF18" s="5">
        <f t="shared" si="19"/>
        <v>12868588.866595</v>
      </c>
      <c r="DG18" s="5">
        <f t="shared" si="19"/>
        <v>12868588.866595</v>
      </c>
      <c r="DH18" s="5">
        <f t="shared" si="19"/>
        <v>12868588.866595</v>
      </c>
      <c r="DI18" s="5">
        <f t="shared" si="19"/>
        <v>12868588.866595</v>
      </c>
      <c r="DJ18" s="5">
        <f t="shared" si="19"/>
        <v>12868588.866595</v>
      </c>
      <c r="DK18" s="5">
        <f t="shared" si="19"/>
        <v>12868588.866595</v>
      </c>
      <c r="DL18" s="5">
        <f t="shared" si="19"/>
        <v>12868588.866595</v>
      </c>
      <c r="DM18" s="5">
        <f t="shared" si="19"/>
        <v>12868588.866595</v>
      </c>
      <c r="DN18" s="5">
        <f t="shared" si="19"/>
        <v>12868588.866595</v>
      </c>
      <c r="DO18" s="5">
        <f t="shared" si="19"/>
        <v>12868588.866595</v>
      </c>
      <c r="DP18" s="5">
        <f t="shared" si="19"/>
        <v>12868588.866595</v>
      </c>
      <c r="DQ18" s="5">
        <f t="shared" si="19"/>
        <v>12868588.866595</v>
      </c>
      <c r="DR18" s="5">
        <f t="shared" si="19"/>
        <v>12868588.866595</v>
      </c>
      <c r="DS18" s="5">
        <f t="shared" si="19"/>
        <v>12868588.866595</v>
      </c>
      <c r="DT18" s="5">
        <f t="shared" si="19"/>
        <v>12868588.866595</v>
      </c>
      <c r="DU18" s="5">
        <f t="shared" si="19"/>
        <v>12868588.866595</v>
      </c>
      <c r="DV18" s="5">
        <f t="shared" si="19"/>
        <v>12868588.866595</v>
      </c>
      <c r="DW18" s="5">
        <f t="shared" si="19"/>
        <v>12868588.866595</v>
      </c>
      <c r="DX18" s="5">
        <f t="shared" si="19"/>
        <v>12868588.866595</v>
      </c>
      <c r="DY18" s="5">
        <f t="shared" si="19"/>
        <v>12868588.866595</v>
      </c>
      <c r="DZ18" s="5">
        <f t="shared" si="19"/>
        <v>12868588.866595</v>
      </c>
      <c r="EA18" s="13">
        <f>EA10</f>
        <v>12868588.866595</v>
      </c>
      <c r="EB18" s="13">
        <f t="shared" ref="EB18:GM18" si="26">EB10</f>
        <v>12868588.866595</v>
      </c>
      <c r="EC18" s="13">
        <f t="shared" si="26"/>
        <v>12868588.866595</v>
      </c>
      <c r="ED18" s="13">
        <f t="shared" si="26"/>
        <v>12868588.866595</v>
      </c>
      <c r="EE18" s="13">
        <f t="shared" si="26"/>
        <v>12868588.866595</v>
      </c>
      <c r="EF18" s="13">
        <f t="shared" si="26"/>
        <v>12868588.866595</v>
      </c>
      <c r="EG18" s="13">
        <f t="shared" si="26"/>
        <v>12868588.866595</v>
      </c>
      <c r="EH18" s="13">
        <f t="shared" si="26"/>
        <v>12868588.866595</v>
      </c>
      <c r="EI18" s="13">
        <f t="shared" si="26"/>
        <v>12868588.866595</v>
      </c>
      <c r="EJ18" s="13">
        <f t="shared" si="26"/>
        <v>12868588.866595</v>
      </c>
      <c r="EK18" s="13">
        <f t="shared" si="26"/>
        <v>12868588.866595</v>
      </c>
      <c r="EL18" s="5">
        <f t="shared" si="26"/>
        <v>12868588.866595</v>
      </c>
      <c r="EM18" s="5">
        <f t="shared" si="26"/>
        <v>12868588.866595</v>
      </c>
      <c r="EN18" s="5">
        <f t="shared" si="26"/>
        <v>12868588.866595</v>
      </c>
      <c r="EO18" s="5">
        <f t="shared" si="26"/>
        <v>12868588.866595</v>
      </c>
      <c r="EP18" s="5">
        <f t="shared" si="26"/>
        <v>12868588.866595</v>
      </c>
      <c r="EQ18" s="5">
        <f t="shared" si="26"/>
        <v>12868588.866595</v>
      </c>
      <c r="ER18" s="5">
        <f t="shared" si="26"/>
        <v>12868588.866595</v>
      </c>
      <c r="ES18" s="5">
        <f t="shared" si="26"/>
        <v>12868588.866595</v>
      </c>
      <c r="ET18" s="5">
        <f t="shared" si="26"/>
        <v>12868588.866595</v>
      </c>
      <c r="EU18" s="5">
        <f t="shared" si="26"/>
        <v>12868588.866595</v>
      </c>
      <c r="EV18" s="5">
        <f t="shared" si="26"/>
        <v>12868588.866595</v>
      </c>
      <c r="EW18" s="5">
        <f t="shared" si="26"/>
        <v>12868588.866595</v>
      </c>
      <c r="EX18" s="5">
        <f t="shared" si="26"/>
        <v>12868588.866595</v>
      </c>
      <c r="EY18" s="5">
        <f t="shared" si="26"/>
        <v>12868588.866595</v>
      </c>
      <c r="EZ18" s="5">
        <f t="shared" si="26"/>
        <v>12868588.866595</v>
      </c>
      <c r="FA18" s="5">
        <f t="shared" si="26"/>
        <v>12868588.866595</v>
      </c>
      <c r="FB18" s="5">
        <f t="shared" si="26"/>
        <v>12868588.866595</v>
      </c>
      <c r="FC18" s="5">
        <f t="shared" si="26"/>
        <v>12868588.866595</v>
      </c>
      <c r="FD18" s="5">
        <f t="shared" si="26"/>
        <v>12868588.866595</v>
      </c>
      <c r="FE18" s="5">
        <f t="shared" si="26"/>
        <v>12868588.866595</v>
      </c>
      <c r="FF18" s="5">
        <f t="shared" si="26"/>
        <v>12868588.866595</v>
      </c>
      <c r="FG18" s="5">
        <f t="shared" si="26"/>
        <v>12868588.866595</v>
      </c>
      <c r="FH18" s="5">
        <f t="shared" si="26"/>
        <v>12868588.866595</v>
      </c>
      <c r="FI18" s="5">
        <f t="shared" si="26"/>
        <v>12868588.866595</v>
      </c>
      <c r="FJ18" s="5">
        <f t="shared" si="26"/>
        <v>12868588.866595</v>
      </c>
      <c r="FK18" s="5">
        <f t="shared" si="26"/>
        <v>12868588.866595</v>
      </c>
      <c r="FL18" s="5">
        <f t="shared" si="26"/>
        <v>12868588.866595</v>
      </c>
      <c r="FM18" s="5">
        <f t="shared" si="26"/>
        <v>12868588.866595</v>
      </c>
      <c r="FN18" s="5">
        <f t="shared" si="26"/>
        <v>12868588.866595</v>
      </c>
      <c r="FO18" s="5">
        <f t="shared" si="26"/>
        <v>12868588.866595</v>
      </c>
      <c r="FP18" s="5">
        <f t="shared" si="26"/>
        <v>12868588.866595</v>
      </c>
      <c r="FQ18" s="5">
        <f t="shared" si="26"/>
        <v>12868588.866595</v>
      </c>
      <c r="FR18" s="5">
        <f t="shared" si="26"/>
        <v>12868588.866595</v>
      </c>
      <c r="FS18" s="5">
        <f t="shared" si="26"/>
        <v>12868588.866595</v>
      </c>
      <c r="FT18" s="5">
        <f t="shared" si="26"/>
        <v>12868588.866595</v>
      </c>
      <c r="FU18" s="5">
        <f t="shared" si="26"/>
        <v>12868588.866595</v>
      </c>
      <c r="FV18" s="5">
        <f t="shared" si="26"/>
        <v>12868588.866595</v>
      </c>
      <c r="FW18" s="5">
        <f t="shared" si="26"/>
        <v>12868588.866595</v>
      </c>
      <c r="FX18" s="5">
        <f t="shared" si="26"/>
        <v>12868588.866595</v>
      </c>
      <c r="FY18" s="5">
        <f t="shared" si="26"/>
        <v>12868588.866595</v>
      </c>
      <c r="FZ18" s="5">
        <f t="shared" si="26"/>
        <v>12868588.866595</v>
      </c>
      <c r="GA18" s="5">
        <f t="shared" si="26"/>
        <v>12868588.866595</v>
      </c>
      <c r="GB18" s="5">
        <f t="shared" si="26"/>
        <v>12868588.866595</v>
      </c>
      <c r="GC18" s="5">
        <f t="shared" si="26"/>
        <v>12868588.866595</v>
      </c>
      <c r="GD18" s="5">
        <f t="shared" si="26"/>
        <v>12868588.866595</v>
      </c>
      <c r="GE18" s="5">
        <f t="shared" si="26"/>
        <v>12868588.866595</v>
      </c>
      <c r="GF18" s="5">
        <f t="shared" si="26"/>
        <v>12868588.866595</v>
      </c>
      <c r="GG18" s="5">
        <f t="shared" si="26"/>
        <v>12868588.866595</v>
      </c>
      <c r="GH18" s="5">
        <f t="shared" si="26"/>
        <v>12868588.866595</v>
      </c>
      <c r="GI18" s="5">
        <f t="shared" si="26"/>
        <v>12868588.866595</v>
      </c>
      <c r="GJ18" s="5">
        <f t="shared" si="26"/>
        <v>12868588.866595</v>
      </c>
      <c r="GK18" s="5">
        <f t="shared" si="26"/>
        <v>12868588.866595</v>
      </c>
      <c r="GL18" s="5">
        <f t="shared" si="26"/>
        <v>12868588.866595</v>
      </c>
      <c r="GM18" s="5">
        <f t="shared" si="26"/>
        <v>12868588.866595</v>
      </c>
      <c r="GN18" s="5">
        <f t="shared" ref="GN18:HC18" si="27">GN10</f>
        <v>12868588.866595</v>
      </c>
      <c r="GO18" s="5">
        <f t="shared" si="27"/>
        <v>12868588.866595</v>
      </c>
      <c r="GP18" s="5">
        <f t="shared" si="27"/>
        <v>12868588.866595</v>
      </c>
      <c r="GQ18" s="5">
        <f t="shared" si="27"/>
        <v>12868588.866595</v>
      </c>
      <c r="GR18" s="5">
        <f t="shared" si="27"/>
        <v>12868588.866595</v>
      </c>
      <c r="GS18" s="5">
        <f t="shared" si="27"/>
        <v>12868588.866595</v>
      </c>
      <c r="GT18" s="5">
        <f t="shared" si="27"/>
        <v>12868588.866595</v>
      </c>
      <c r="GU18" s="5">
        <f t="shared" si="27"/>
        <v>12868588.866595</v>
      </c>
      <c r="GV18" s="5">
        <f t="shared" si="27"/>
        <v>12868588.866595</v>
      </c>
      <c r="GW18" s="5">
        <f t="shared" si="27"/>
        <v>12868588.866595</v>
      </c>
      <c r="GX18" s="5">
        <f t="shared" si="27"/>
        <v>12868588.866595</v>
      </c>
      <c r="GY18" s="5">
        <f t="shared" si="27"/>
        <v>12868588.866595</v>
      </c>
      <c r="GZ18" s="5">
        <f t="shared" si="27"/>
        <v>12868588.866595</v>
      </c>
      <c r="HA18" s="5">
        <f t="shared" si="27"/>
        <v>12868588.866595</v>
      </c>
      <c r="HB18" s="5">
        <f t="shared" si="27"/>
        <v>12868588.866595</v>
      </c>
      <c r="HC18" s="5">
        <f t="shared" si="27"/>
        <v>12868588.866595</v>
      </c>
    </row>
    <row r="19" spans="1:211">
      <c r="A19" t="s">
        <v>106</v>
      </c>
      <c r="B19" s="5">
        <f>B2*'BAU Heat Rate - 2020'!$D69</f>
        <v>10181262.8666093</v>
      </c>
      <c r="C19" s="5">
        <f t="shared" si="22"/>
        <v>10181262.8666093</v>
      </c>
      <c r="D19" s="5">
        <f t="shared" si="25"/>
        <v>10181262.8666093</v>
      </c>
      <c r="E19" s="5">
        <f t="shared" si="25"/>
        <v>10181262.8666093</v>
      </c>
      <c r="F19" s="5">
        <f t="shared" si="25"/>
        <v>10181262.8666093</v>
      </c>
      <c r="G19" s="5">
        <f t="shared" si="25"/>
        <v>10181262.8666093</v>
      </c>
      <c r="H19" s="5">
        <f t="shared" si="25"/>
        <v>10181262.8666093</v>
      </c>
      <c r="I19" s="5">
        <f t="shared" si="25"/>
        <v>10181262.8666093</v>
      </c>
      <c r="J19" s="5">
        <f t="shared" si="25"/>
        <v>10181262.8666093</v>
      </c>
      <c r="K19" s="5">
        <f t="shared" si="25"/>
        <v>10181262.8666093</v>
      </c>
      <c r="L19" s="5">
        <f t="shared" si="25"/>
        <v>10181262.8666093</v>
      </c>
      <c r="M19" s="5">
        <f t="shared" si="25"/>
        <v>10181262.8666093</v>
      </c>
      <c r="N19" s="5">
        <f t="shared" si="25"/>
        <v>10181262.8666093</v>
      </c>
      <c r="O19" s="5">
        <f t="shared" si="25"/>
        <v>10181262.8666093</v>
      </c>
      <c r="P19" s="5">
        <f t="shared" si="25"/>
        <v>10181262.8666093</v>
      </c>
      <c r="Q19" s="5">
        <f t="shared" si="25"/>
        <v>10181262.8666093</v>
      </c>
      <c r="R19" s="5">
        <f t="shared" si="25"/>
        <v>10181262.8666093</v>
      </c>
      <c r="S19" s="5">
        <f t="shared" si="25"/>
        <v>10181262.8666093</v>
      </c>
      <c r="T19" s="5">
        <f t="shared" si="25"/>
        <v>10181262.8666093</v>
      </c>
      <c r="U19" s="5">
        <f t="shared" si="25"/>
        <v>10181262.8666093</v>
      </c>
      <c r="V19" s="5">
        <f t="shared" si="25"/>
        <v>10181262.8666093</v>
      </c>
      <c r="W19" s="5">
        <f t="shared" si="25"/>
        <v>10181262.8666093</v>
      </c>
      <c r="X19" s="5">
        <f t="shared" si="25"/>
        <v>10181262.8666093</v>
      </c>
      <c r="Y19" s="5">
        <f t="shared" si="25"/>
        <v>10181262.8666093</v>
      </c>
      <c r="Z19" s="5">
        <f t="shared" si="25"/>
        <v>10181262.8666093</v>
      </c>
      <c r="AA19" s="5">
        <f t="shared" si="25"/>
        <v>10181262.8666093</v>
      </c>
      <c r="AB19" s="5">
        <f t="shared" si="25"/>
        <v>10181262.8666093</v>
      </c>
      <c r="AC19" s="5">
        <f t="shared" si="25"/>
        <v>10181262.8666093</v>
      </c>
      <c r="AD19" s="5">
        <f t="shared" si="25"/>
        <v>10181262.8666093</v>
      </c>
      <c r="AE19" s="5">
        <f t="shared" si="25"/>
        <v>10181262.8666093</v>
      </c>
      <c r="AF19" s="5">
        <f t="shared" si="25"/>
        <v>10181262.8666093</v>
      </c>
      <c r="AG19" s="5">
        <f t="shared" si="25"/>
        <v>10181262.8666093</v>
      </c>
      <c r="AH19" s="5">
        <f t="shared" si="25"/>
        <v>10181262.8666093</v>
      </c>
      <c r="AI19" s="5">
        <f t="shared" si="25"/>
        <v>10181262.8666093</v>
      </c>
      <c r="AJ19" s="5">
        <f t="shared" si="25"/>
        <v>10181262.8666093</v>
      </c>
      <c r="AK19" s="5">
        <f t="shared" si="25"/>
        <v>10181262.8666093</v>
      </c>
      <c r="AL19" s="5">
        <f t="shared" si="25"/>
        <v>10181262.8666093</v>
      </c>
      <c r="AM19" s="5">
        <f t="shared" si="25"/>
        <v>10181262.8666093</v>
      </c>
      <c r="AN19" s="5">
        <f t="shared" si="25"/>
        <v>10181262.8666093</v>
      </c>
      <c r="AO19" s="5">
        <f t="shared" si="25"/>
        <v>10181262.8666093</v>
      </c>
      <c r="AP19" s="5">
        <f t="shared" si="25"/>
        <v>10181262.8666093</v>
      </c>
      <c r="AQ19" s="5">
        <f t="shared" si="25"/>
        <v>10181262.8666093</v>
      </c>
      <c r="AR19" s="5">
        <f t="shared" si="25"/>
        <v>10181262.8666093</v>
      </c>
      <c r="AS19" s="5">
        <f t="shared" si="25"/>
        <v>10181262.8666093</v>
      </c>
      <c r="AT19" s="5">
        <f t="shared" si="25"/>
        <v>10181262.8666093</v>
      </c>
      <c r="AU19" s="5">
        <f t="shared" si="25"/>
        <v>10181262.8666093</v>
      </c>
      <c r="AV19" s="5">
        <f t="shared" si="25"/>
        <v>10181262.8666093</v>
      </c>
      <c r="AW19" s="5">
        <f t="shared" si="25"/>
        <v>10181262.8666093</v>
      </c>
      <c r="AX19" s="5">
        <f t="shared" si="25"/>
        <v>10181262.8666093</v>
      </c>
      <c r="AY19" s="5">
        <f t="shared" si="25"/>
        <v>10181262.8666093</v>
      </c>
      <c r="AZ19" s="5">
        <f t="shared" si="25"/>
        <v>10181262.8666093</v>
      </c>
      <c r="BA19" s="5">
        <f t="shared" si="25"/>
        <v>10181262.8666093</v>
      </c>
      <c r="BB19" s="5">
        <f t="shared" si="25"/>
        <v>10181262.8666093</v>
      </c>
      <c r="BC19" s="5">
        <f t="shared" si="25"/>
        <v>10181262.8666093</v>
      </c>
      <c r="BD19" s="5">
        <f t="shared" si="25"/>
        <v>10181262.8666093</v>
      </c>
      <c r="BE19" s="5">
        <f t="shared" si="25"/>
        <v>10181262.8666093</v>
      </c>
      <c r="BF19" s="5">
        <f t="shared" si="25"/>
        <v>10181262.8666093</v>
      </c>
      <c r="BG19" s="5">
        <f t="shared" si="25"/>
        <v>10181262.8666093</v>
      </c>
      <c r="BH19" s="5">
        <f t="shared" si="25"/>
        <v>10181262.8666093</v>
      </c>
      <c r="BI19" s="5">
        <f t="shared" si="25"/>
        <v>10181262.8666093</v>
      </c>
      <c r="BJ19" s="5">
        <f t="shared" si="25"/>
        <v>10181262.8666093</v>
      </c>
      <c r="BK19" s="5">
        <f t="shared" si="25"/>
        <v>10181262.8666093</v>
      </c>
      <c r="BL19" s="5">
        <f t="shared" si="25"/>
        <v>10181262.8666093</v>
      </c>
      <c r="BM19" s="5">
        <f t="shared" si="25"/>
        <v>10181262.8666093</v>
      </c>
      <c r="BN19" s="5">
        <f t="shared" si="25"/>
        <v>10181262.8666093</v>
      </c>
      <c r="BO19" s="5">
        <f t="shared" si="25"/>
        <v>10181262.8666093</v>
      </c>
      <c r="BP19" s="5">
        <f t="shared" si="19"/>
        <v>10181262.8666093</v>
      </c>
      <c r="BQ19" s="5">
        <f t="shared" si="19"/>
        <v>10181262.8666093</v>
      </c>
      <c r="BR19" s="5">
        <f t="shared" si="19"/>
        <v>10181262.8666093</v>
      </c>
      <c r="BS19" s="5">
        <f t="shared" si="19"/>
        <v>10181262.8666093</v>
      </c>
      <c r="BT19" s="5">
        <f t="shared" si="19"/>
        <v>10181262.8666093</v>
      </c>
      <c r="BU19" s="5">
        <f t="shared" si="19"/>
        <v>10181262.8666093</v>
      </c>
      <c r="BV19" s="5">
        <f t="shared" si="19"/>
        <v>10181262.8666093</v>
      </c>
      <c r="BW19" s="5">
        <f t="shared" si="19"/>
        <v>10181262.8666093</v>
      </c>
      <c r="BX19" s="5">
        <f t="shared" si="19"/>
        <v>10181262.8666093</v>
      </c>
      <c r="BY19" s="5">
        <f t="shared" si="19"/>
        <v>10181262.8666093</v>
      </c>
      <c r="BZ19" s="5">
        <f t="shared" si="19"/>
        <v>10181262.8666093</v>
      </c>
      <c r="CA19" s="5">
        <f t="shared" si="19"/>
        <v>10181262.8666093</v>
      </c>
      <c r="CB19" s="5">
        <f t="shared" si="19"/>
        <v>10181262.8666093</v>
      </c>
      <c r="CC19" s="5">
        <f t="shared" si="19"/>
        <v>10181262.8666093</v>
      </c>
      <c r="CD19" s="5">
        <f t="shared" si="19"/>
        <v>10181262.8666093</v>
      </c>
      <c r="CE19" s="5">
        <f t="shared" si="19"/>
        <v>10181262.8666093</v>
      </c>
      <c r="CF19" s="5">
        <f t="shared" si="19"/>
        <v>10181262.8666093</v>
      </c>
      <c r="CG19" s="5">
        <f t="shared" si="19"/>
        <v>10181262.8666093</v>
      </c>
      <c r="CH19" s="5">
        <f t="shared" si="19"/>
        <v>10181262.8666093</v>
      </c>
      <c r="CI19" s="5">
        <f t="shared" si="19"/>
        <v>10181262.8666093</v>
      </c>
      <c r="CJ19" s="5">
        <f t="shared" si="19"/>
        <v>10181262.8666093</v>
      </c>
      <c r="CK19" s="5">
        <f t="shared" si="19"/>
        <v>10181262.8666093</v>
      </c>
      <c r="CL19" s="5">
        <f t="shared" si="19"/>
        <v>10181262.8666093</v>
      </c>
      <c r="CM19" s="5">
        <f t="shared" si="19"/>
        <v>10181262.8666093</v>
      </c>
      <c r="CN19" s="5">
        <f t="shared" si="19"/>
        <v>10181262.8666093</v>
      </c>
      <c r="CO19" s="5">
        <f t="shared" si="19"/>
        <v>10181262.8666093</v>
      </c>
      <c r="CP19" s="5">
        <f t="shared" si="19"/>
        <v>10181262.8666093</v>
      </c>
      <c r="CQ19" s="5">
        <f t="shared" si="19"/>
        <v>10181262.8666093</v>
      </c>
      <c r="CR19" s="5">
        <f t="shared" si="19"/>
        <v>10181262.8666093</v>
      </c>
      <c r="CS19" s="5">
        <f t="shared" si="19"/>
        <v>10181262.8666093</v>
      </c>
      <c r="CT19" s="5">
        <f t="shared" si="19"/>
        <v>10181262.8666093</v>
      </c>
      <c r="CU19" s="5">
        <f t="shared" si="19"/>
        <v>10181262.8666093</v>
      </c>
      <c r="CV19" s="5">
        <f t="shared" si="19"/>
        <v>10181262.8666093</v>
      </c>
      <c r="CW19" s="5">
        <f t="shared" si="19"/>
        <v>10181262.8666093</v>
      </c>
      <c r="CX19" s="5">
        <f t="shared" si="19"/>
        <v>10181262.8666093</v>
      </c>
      <c r="CY19" s="5">
        <f t="shared" si="19"/>
        <v>10181262.8666093</v>
      </c>
      <c r="CZ19" s="5">
        <f t="shared" si="19"/>
        <v>10181262.8666093</v>
      </c>
      <c r="DA19" s="5">
        <f t="shared" si="19"/>
        <v>10181262.8666093</v>
      </c>
      <c r="DB19" s="5">
        <f t="shared" si="19"/>
        <v>10181262.8666093</v>
      </c>
      <c r="DC19" s="5">
        <f t="shared" si="19"/>
        <v>10181262.8666093</v>
      </c>
      <c r="DD19" s="5">
        <f t="shared" si="19"/>
        <v>10181262.8666093</v>
      </c>
      <c r="DE19" s="5">
        <f t="shared" si="19"/>
        <v>10181262.8666093</v>
      </c>
      <c r="DF19" s="5">
        <f t="shared" si="19"/>
        <v>10181262.8666093</v>
      </c>
      <c r="DG19" s="5">
        <f t="shared" si="19"/>
        <v>10181262.8666093</v>
      </c>
      <c r="DH19" s="5">
        <f t="shared" si="19"/>
        <v>10181262.8666093</v>
      </c>
      <c r="DI19" s="5">
        <f t="shared" si="19"/>
        <v>10181262.8666093</v>
      </c>
      <c r="DJ19" s="5">
        <f t="shared" si="19"/>
        <v>10181262.8666093</v>
      </c>
      <c r="DK19" s="5">
        <f t="shared" si="19"/>
        <v>10181262.8666093</v>
      </c>
      <c r="DL19" s="5">
        <f t="shared" si="19"/>
        <v>10181262.8666093</v>
      </c>
      <c r="DM19" s="5">
        <f t="shared" si="19"/>
        <v>10181262.8666093</v>
      </c>
      <c r="DN19" s="5">
        <f t="shared" si="19"/>
        <v>10181262.8666093</v>
      </c>
      <c r="DO19" s="5">
        <f t="shared" si="19"/>
        <v>10181262.8666093</v>
      </c>
      <c r="DP19" s="5">
        <f t="shared" si="19"/>
        <v>10181262.8666093</v>
      </c>
      <c r="DQ19" s="5">
        <f t="shared" si="19"/>
        <v>10181262.8666093</v>
      </c>
      <c r="DR19" s="5">
        <f t="shared" si="19"/>
        <v>10181262.8666093</v>
      </c>
      <c r="DS19" s="5">
        <f t="shared" si="19"/>
        <v>10181262.8666093</v>
      </c>
      <c r="DT19" s="5">
        <f t="shared" si="19"/>
        <v>10181262.8666093</v>
      </c>
      <c r="DU19" s="5">
        <f t="shared" si="19"/>
        <v>10181262.8666093</v>
      </c>
      <c r="DV19" s="5">
        <f t="shared" si="19"/>
        <v>10181262.8666093</v>
      </c>
      <c r="DW19" s="5">
        <f t="shared" si="19"/>
        <v>10181262.8666093</v>
      </c>
      <c r="DX19" s="5">
        <f t="shared" si="19"/>
        <v>10181262.8666093</v>
      </c>
      <c r="DY19" s="5">
        <f t="shared" si="19"/>
        <v>10181262.8666093</v>
      </c>
      <c r="DZ19" s="5">
        <f t="shared" si="19"/>
        <v>10181262.8666093</v>
      </c>
      <c r="EA19" s="13">
        <f>EA2*'BAU Heat Rate - 2020'!$D69</f>
        <v>10181262.8666093</v>
      </c>
      <c r="EB19" s="13">
        <f>EB2*'BAU Heat Rate - 2020'!$D69</f>
        <v>10181173.366205495</v>
      </c>
      <c r="EC19" s="13">
        <f>EC2*'BAU Heat Rate - 2020'!$D69</f>
        <v>10181083.865801692</v>
      </c>
      <c r="ED19" s="13">
        <f>ED2*'BAU Heat Rate - 2020'!$D69</f>
        <v>10180994.365397887</v>
      </c>
      <c r="EE19" s="13">
        <f>EE2*'BAU Heat Rate - 2020'!$D69</f>
        <v>10180904.864994084</v>
      </c>
      <c r="EF19" s="13">
        <f>EF2*'BAU Heat Rate - 2020'!$D69</f>
        <v>10180815.364590282</v>
      </c>
      <c r="EG19" s="13">
        <f>EG2*'BAU Heat Rate - 2020'!$D69</f>
        <v>10180725.864186477</v>
      </c>
      <c r="EH19" s="13">
        <f>EH2*'BAU Heat Rate - 2020'!$D69</f>
        <v>10180636.363782674</v>
      </c>
      <c r="EI19" s="13">
        <f>EI2*'BAU Heat Rate - 2020'!$D69</f>
        <v>10180546.863378869</v>
      </c>
      <c r="EJ19" s="13">
        <f>EJ2*'BAU Heat Rate - 2020'!$D69</f>
        <v>10180457.362975067</v>
      </c>
      <c r="EK19" s="13">
        <f>EK2*'BAU Heat Rate - 2020'!$D69</f>
        <v>10180367.862571258</v>
      </c>
      <c r="EL19" s="5">
        <f>EL2*'BAU Heat Rate - 2020'!$D69</f>
        <v>10177393.631559655</v>
      </c>
      <c r="EM19" s="5">
        <f>EM2*'BAU Heat Rate - 2020'!$D69</f>
        <v>10174419.400548054</v>
      </c>
      <c r="EN19" s="5">
        <f>EN2*'BAU Heat Rate - 2020'!$D69</f>
        <v>10171445.169536451</v>
      </c>
      <c r="EO19" s="5">
        <f>EO2*'BAU Heat Rate - 2020'!$D69</f>
        <v>10168470.938524848</v>
      </c>
      <c r="EP19" s="5">
        <f>EP2*'BAU Heat Rate - 2020'!$D69</f>
        <v>10165496.707513245</v>
      </c>
      <c r="EQ19" s="5">
        <f>EQ2*'BAU Heat Rate - 2020'!$D69</f>
        <v>10162522.476501642</v>
      </c>
      <c r="ER19" s="5">
        <f>ER2*'BAU Heat Rate - 2020'!$D69</f>
        <v>10159548.245490041</v>
      </c>
      <c r="ES19" s="5">
        <f>ES2*'BAU Heat Rate - 2020'!$D69</f>
        <v>10156574.014478438</v>
      </c>
      <c r="ET19" s="5">
        <f>ET2*'BAU Heat Rate - 2020'!$D69</f>
        <v>10153599.783466835</v>
      </c>
      <c r="EU19" s="5">
        <f>EU2*'BAU Heat Rate - 2020'!$D69</f>
        <v>10150625.552455232</v>
      </c>
      <c r="EV19" s="5">
        <f>EV2*'BAU Heat Rate - 2020'!$D69</f>
        <v>10123007.69306178</v>
      </c>
      <c r="EW19" s="5">
        <f>EW2*'BAU Heat Rate - 2020'!$D69</f>
        <v>10095389.833668327</v>
      </c>
      <c r="EX19" s="5">
        <f>EX2*'BAU Heat Rate - 2020'!$D69</f>
        <v>10067771.974274876</v>
      </c>
      <c r="EY19" s="5">
        <f>EY2*'BAU Heat Rate - 2020'!$D69</f>
        <v>10040154.114881422</v>
      </c>
      <c r="EZ19" s="5">
        <f>EZ2*'BAU Heat Rate - 2020'!$D69</f>
        <v>10012536.255487971</v>
      </c>
      <c r="FA19" s="5">
        <f>FA2*'BAU Heat Rate - 2020'!$D69</f>
        <v>9984918.3960945178</v>
      </c>
      <c r="FB19" s="5">
        <f>FB2*'BAU Heat Rate - 2020'!$D69</f>
        <v>9957300.5367010646</v>
      </c>
      <c r="FC19" s="5">
        <f>FC2*'BAU Heat Rate - 2020'!$D69</f>
        <v>9929682.6773076132</v>
      </c>
      <c r="FD19" s="5">
        <f>FD2*'BAU Heat Rate - 2020'!$D69</f>
        <v>9902064.81791416</v>
      </c>
      <c r="FE19" s="5">
        <f>FE2*'BAU Heat Rate - 2020'!$D69</f>
        <v>9874446.9585207049</v>
      </c>
      <c r="FF19" s="5">
        <f>FF2*'BAU Heat Rate - 2020'!$D69</f>
        <v>9874446.9585207049</v>
      </c>
      <c r="FG19" s="5">
        <f>FG2*'BAU Heat Rate - 2020'!$D69</f>
        <v>9874446.9585207049</v>
      </c>
      <c r="FH19" s="5">
        <f>FH2*'BAU Heat Rate - 2020'!$D69</f>
        <v>9874446.9585207049</v>
      </c>
      <c r="FI19" s="5">
        <f>FI2*'BAU Heat Rate - 2020'!$D69</f>
        <v>9874446.9585207049</v>
      </c>
      <c r="FJ19" s="5">
        <f>FJ2*'BAU Heat Rate - 2020'!$D69</f>
        <v>9874446.9585207049</v>
      </c>
      <c r="FK19" s="5">
        <f>FK2*'BAU Heat Rate - 2020'!$D69</f>
        <v>9874446.9585207049</v>
      </c>
      <c r="FL19" s="5">
        <f>FL2*'BAU Heat Rate - 2020'!$D69</f>
        <v>9874446.9585207049</v>
      </c>
      <c r="FM19" s="5">
        <f>FM2*'BAU Heat Rate - 2020'!$D69</f>
        <v>9874446.9585207049</v>
      </c>
      <c r="FN19" s="5">
        <f>FN2*'BAU Heat Rate - 2020'!$D69</f>
        <v>9874446.9585207049</v>
      </c>
      <c r="FO19" s="5">
        <f>FO2*'BAU Heat Rate - 2020'!$D69</f>
        <v>9874446.9585207049</v>
      </c>
      <c r="FP19" s="5">
        <f>FP2*'BAU Heat Rate - 2020'!$D69</f>
        <v>9874446.9585207049</v>
      </c>
      <c r="FQ19" s="5">
        <f>FQ2*'BAU Heat Rate - 2020'!$D69</f>
        <v>9874446.9585207049</v>
      </c>
      <c r="FR19" s="5">
        <f>FR2*'BAU Heat Rate - 2020'!$D69</f>
        <v>9874446.9585207049</v>
      </c>
      <c r="FS19" s="5">
        <f>FS2*'BAU Heat Rate - 2020'!$D69</f>
        <v>9874446.9585207049</v>
      </c>
      <c r="FT19" s="5">
        <f>FT2*'BAU Heat Rate - 2020'!$D69</f>
        <v>9874446.9585207049</v>
      </c>
      <c r="FU19" s="5">
        <f>FU2*'BAU Heat Rate - 2020'!$D69</f>
        <v>9874446.9585207049</v>
      </c>
      <c r="FV19" s="5">
        <f>FV2*'BAU Heat Rate - 2020'!$D69</f>
        <v>9874446.9585207049</v>
      </c>
      <c r="FW19" s="5">
        <f>FW2*'BAU Heat Rate - 2020'!$D69</f>
        <v>9874446.9585207049</v>
      </c>
      <c r="FX19" s="5">
        <f>FX2*'BAU Heat Rate - 2020'!$D69</f>
        <v>9874446.9585207049</v>
      </c>
      <c r="FY19" s="5">
        <f>FY2*'BAU Heat Rate - 2020'!$D69</f>
        <v>9874446.9585207049</v>
      </c>
      <c r="FZ19" s="5">
        <f>FZ2*'BAU Heat Rate - 2020'!$D69</f>
        <v>9874446.9585207049</v>
      </c>
      <c r="GA19" s="5">
        <f>GA2*'BAU Heat Rate - 2020'!$D69</f>
        <v>9874446.9585207049</v>
      </c>
      <c r="GB19" s="5">
        <f>GB2*'BAU Heat Rate - 2020'!$D69</f>
        <v>9874446.9585207049</v>
      </c>
      <c r="GC19" s="5">
        <f>GC2*'BAU Heat Rate - 2020'!$D69</f>
        <v>9874446.9585207049</v>
      </c>
      <c r="GD19" s="5">
        <f>GD2*'BAU Heat Rate - 2020'!$D69</f>
        <v>9874446.9585207049</v>
      </c>
      <c r="GE19" s="5">
        <f>GE2*'BAU Heat Rate - 2020'!$D69</f>
        <v>9874446.9585207049</v>
      </c>
      <c r="GF19" s="5">
        <f>GF2*'BAU Heat Rate - 2020'!$D69</f>
        <v>9874446.9585207049</v>
      </c>
      <c r="GG19" s="5">
        <f>GG2*'BAU Heat Rate - 2020'!$D69</f>
        <v>9874446.9585207049</v>
      </c>
      <c r="GH19" s="5">
        <f>GH2*'BAU Heat Rate - 2020'!$D69</f>
        <v>9874446.9585207049</v>
      </c>
      <c r="GI19" s="5">
        <f>GI2*'BAU Heat Rate - 2020'!$D69</f>
        <v>9874446.9585207049</v>
      </c>
      <c r="GJ19" s="5">
        <f>GJ2*'BAU Heat Rate - 2020'!$D69</f>
        <v>9874446.9585207049</v>
      </c>
      <c r="GK19" s="5">
        <f>GK2*'BAU Heat Rate - 2020'!$D69</f>
        <v>9874446.9585207049</v>
      </c>
      <c r="GL19" s="5">
        <f>GL2*'BAU Heat Rate - 2020'!$D69</f>
        <v>9874446.9585207049</v>
      </c>
      <c r="GM19" s="5">
        <f>GM2*'BAU Heat Rate - 2020'!$D69</f>
        <v>9874446.9585207049</v>
      </c>
      <c r="GN19" s="5">
        <f>GN2*'BAU Heat Rate - 2020'!$D69</f>
        <v>9874446.9585207049</v>
      </c>
      <c r="GO19" s="5">
        <f>GO2*'BAU Heat Rate - 2020'!$D69</f>
        <v>9874446.9585207049</v>
      </c>
      <c r="GP19" s="5">
        <f>GP2*'BAU Heat Rate - 2020'!$D69</f>
        <v>9874446.9585207049</v>
      </c>
      <c r="GQ19" s="5">
        <f>GQ2*'BAU Heat Rate - 2020'!$D69</f>
        <v>9874446.9585207049</v>
      </c>
      <c r="GR19" s="5">
        <f>GR2*'BAU Heat Rate - 2020'!$D69</f>
        <v>9874446.9585207049</v>
      </c>
      <c r="GS19" s="5">
        <f>GS2*'BAU Heat Rate - 2020'!$D69</f>
        <v>9874446.9585207049</v>
      </c>
      <c r="GT19" s="5">
        <f>GT2*'BAU Heat Rate - 2020'!$D69</f>
        <v>9874446.9585207049</v>
      </c>
      <c r="GU19" s="5">
        <f>GU2*'BAU Heat Rate - 2020'!$D69</f>
        <v>9874446.9585207049</v>
      </c>
      <c r="GV19" s="5">
        <f>GV2*'BAU Heat Rate - 2020'!$D69</f>
        <v>9874446.9585207049</v>
      </c>
      <c r="GW19" s="5">
        <f>GW2*'BAU Heat Rate - 2020'!$D69</f>
        <v>9874446.9585207049</v>
      </c>
      <c r="GX19" s="5">
        <f>GX2*'BAU Heat Rate - 2020'!$D69</f>
        <v>9874446.9585207049</v>
      </c>
      <c r="GY19" s="5">
        <f>GY2*'BAU Heat Rate - 2020'!$D69</f>
        <v>9874446.9585207049</v>
      </c>
      <c r="GZ19" s="5">
        <f>GZ2*'BAU Heat Rate - 2020'!$D69</f>
        <v>9874446.9585207049</v>
      </c>
      <c r="HA19" s="5">
        <f>HA2*'BAU Heat Rate - 2020'!$D69</f>
        <v>9874446.9585207049</v>
      </c>
      <c r="HB19" s="5">
        <f>HB2*'BAU Heat Rate - 2020'!$D69</f>
        <v>9874446.9585207049</v>
      </c>
      <c r="HC19" s="5">
        <f>HC2*'BAU Heat Rate - 2020'!$D69</f>
        <v>9874446.9585207049</v>
      </c>
    </row>
    <row r="20" spans="1:211">
      <c r="A20" t="s">
        <v>107</v>
      </c>
      <c r="B20" s="5">
        <f>B3*'BAU Heat Rate - 2020'!$D70</f>
        <v>13150949.988494636</v>
      </c>
      <c r="C20" s="5">
        <f t="shared" si="22"/>
        <v>13150949.988494636</v>
      </c>
      <c r="D20" s="5">
        <f t="shared" si="25"/>
        <v>13150949.988494636</v>
      </c>
      <c r="E20" s="5">
        <f t="shared" si="25"/>
        <v>13150949.988494636</v>
      </c>
      <c r="F20" s="5">
        <f t="shared" si="25"/>
        <v>13150949.988494636</v>
      </c>
      <c r="G20" s="5">
        <f t="shared" si="25"/>
        <v>13150949.988494636</v>
      </c>
      <c r="H20" s="5">
        <f t="shared" si="25"/>
        <v>13150949.988494636</v>
      </c>
      <c r="I20" s="5">
        <f t="shared" si="25"/>
        <v>13150949.988494636</v>
      </c>
      <c r="J20" s="5">
        <f t="shared" si="25"/>
        <v>13150949.988494636</v>
      </c>
      <c r="K20" s="5">
        <f t="shared" si="25"/>
        <v>13150949.988494636</v>
      </c>
      <c r="L20" s="5">
        <f t="shared" si="25"/>
        <v>13150949.988494636</v>
      </c>
      <c r="M20" s="5">
        <f t="shared" si="25"/>
        <v>13150949.988494636</v>
      </c>
      <c r="N20" s="5">
        <f t="shared" si="25"/>
        <v>13150949.988494636</v>
      </c>
      <c r="O20" s="5">
        <f t="shared" si="25"/>
        <v>13150949.988494636</v>
      </c>
      <c r="P20" s="5">
        <f t="shared" si="25"/>
        <v>13150949.988494636</v>
      </c>
      <c r="Q20" s="5">
        <f t="shared" si="25"/>
        <v>13150949.988494636</v>
      </c>
      <c r="R20" s="5">
        <f t="shared" si="25"/>
        <v>13150949.988494636</v>
      </c>
      <c r="S20" s="5">
        <f t="shared" si="25"/>
        <v>13150949.988494636</v>
      </c>
      <c r="T20" s="5">
        <f t="shared" si="25"/>
        <v>13150949.988494636</v>
      </c>
      <c r="U20" s="5">
        <f t="shared" si="25"/>
        <v>13150949.988494636</v>
      </c>
      <c r="V20" s="5">
        <f t="shared" si="25"/>
        <v>13150949.988494636</v>
      </c>
      <c r="W20" s="5">
        <f t="shared" si="25"/>
        <v>13150949.988494636</v>
      </c>
      <c r="X20" s="5">
        <f t="shared" si="25"/>
        <v>13150949.988494636</v>
      </c>
      <c r="Y20" s="5">
        <f t="shared" si="25"/>
        <v>13150949.988494636</v>
      </c>
      <c r="Z20" s="5">
        <f t="shared" si="25"/>
        <v>13150949.988494636</v>
      </c>
      <c r="AA20" s="5">
        <f t="shared" si="25"/>
        <v>13150949.988494636</v>
      </c>
      <c r="AB20" s="5">
        <f t="shared" si="25"/>
        <v>13150949.988494636</v>
      </c>
      <c r="AC20" s="5">
        <f t="shared" si="25"/>
        <v>13150949.988494636</v>
      </c>
      <c r="AD20" s="5">
        <f t="shared" si="25"/>
        <v>13150949.988494636</v>
      </c>
      <c r="AE20" s="5">
        <f t="shared" si="25"/>
        <v>13150949.988494636</v>
      </c>
      <c r="AF20" s="5">
        <f t="shared" si="25"/>
        <v>13150949.988494636</v>
      </c>
      <c r="AG20" s="5">
        <f t="shared" si="25"/>
        <v>13150949.988494636</v>
      </c>
      <c r="AH20" s="5">
        <f t="shared" si="25"/>
        <v>13150949.988494636</v>
      </c>
      <c r="AI20" s="5">
        <f t="shared" si="25"/>
        <v>13150949.988494636</v>
      </c>
      <c r="AJ20" s="5">
        <f t="shared" si="25"/>
        <v>13150949.988494636</v>
      </c>
      <c r="AK20" s="5">
        <f t="shared" si="25"/>
        <v>13150949.988494636</v>
      </c>
      <c r="AL20" s="5">
        <f t="shared" si="25"/>
        <v>13150949.988494636</v>
      </c>
      <c r="AM20" s="5">
        <f t="shared" si="25"/>
        <v>13150949.988494636</v>
      </c>
      <c r="AN20" s="5">
        <f t="shared" si="25"/>
        <v>13150949.988494636</v>
      </c>
      <c r="AO20" s="5">
        <f t="shared" si="25"/>
        <v>13150949.988494636</v>
      </c>
      <c r="AP20" s="5">
        <f t="shared" si="25"/>
        <v>13150949.988494636</v>
      </c>
      <c r="AQ20" s="5">
        <f t="shared" si="25"/>
        <v>13150949.988494636</v>
      </c>
      <c r="AR20" s="5">
        <f t="shared" si="25"/>
        <v>13150949.988494636</v>
      </c>
      <c r="AS20" s="5">
        <f t="shared" si="25"/>
        <v>13150949.988494636</v>
      </c>
      <c r="AT20" s="5">
        <f t="shared" si="25"/>
        <v>13150949.988494636</v>
      </c>
      <c r="AU20" s="5">
        <f t="shared" si="25"/>
        <v>13150949.988494636</v>
      </c>
      <c r="AV20" s="5">
        <f t="shared" si="25"/>
        <v>13150949.988494636</v>
      </c>
      <c r="AW20" s="5">
        <f t="shared" si="25"/>
        <v>13150949.988494636</v>
      </c>
      <c r="AX20" s="5">
        <f t="shared" si="25"/>
        <v>13150949.988494636</v>
      </c>
      <c r="AY20" s="5">
        <f t="shared" si="25"/>
        <v>13150949.988494636</v>
      </c>
      <c r="AZ20" s="5">
        <f t="shared" si="25"/>
        <v>13150949.988494636</v>
      </c>
      <c r="BA20" s="5">
        <f t="shared" si="25"/>
        <v>13150949.988494636</v>
      </c>
      <c r="BB20" s="5">
        <f t="shared" si="25"/>
        <v>13150949.988494636</v>
      </c>
      <c r="BC20" s="5">
        <f t="shared" si="25"/>
        <v>13150949.988494636</v>
      </c>
      <c r="BD20" s="5">
        <f t="shared" si="25"/>
        <v>13150949.988494636</v>
      </c>
      <c r="BE20" s="5">
        <f t="shared" si="25"/>
        <v>13150949.988494636</v>
      </c>
      <c r="BF20" s="5">
        <f t="shared" si="25"/>
        <v>13150949.988494636</v>
      </c>
      <c r="BG20" s="5">
        <f t="shared" si="25"/>
        <v>13150949.988494636</v>
      </c>
      <c r="BH20" s="5">
        <f t="shared" si="25"/>
        <v>13150949.988494636</v>
      </c>
      <c r="BI20" s="5">
        <f t="shared" si="25"/>
        <v>13150949.988494636</v>
      </c>
      <c r="BJ20" s="5">
        <f t="shared" si="25"/>
        <v>13150949.988494636</v>
      </c>
      <c r="BK20" s="5">
        <f t="shared" si="25"/>
        <v>13150949.988494636</v>
      </c>
      <c r="BL20" s="5">
        <f t="shared" si="25"/>
        <v>13150949.988494636</v>
      </c>
      <c r="BM20" s="5">
        <f t="shared" si="25"/>
        <v>13150949.988494636</v>
      </c>
      <c r="BN20" s="5">
        <f t="shared" si="25"/>
        <v>13150949.988494636</v>
      </c>
      <c r="BO20" s="5">
        <f t="shared" si="25"/>
        <v>13150949.988494636</v>
      </c>
      <c r="BP20" s="5">
        <f t="shared" si="19"/>
        <v>13150949.988494636</v>
      </c>
      <c r="BQ20" s="5">
        <f t="shared" si="19"/>
        <v>13150949.988494636</v>
      </c>
      <c r="BR20" s="5">
        <f t="shared" si="19"/>
        <v>13150949.988494636</v>
      </c>
      <c r="BS20" s="5">
        <f t="shared" ref="BS20:DZ20" si="28">BR20</f>
        <v>13150949.988494636</v>
      </c>
      <c r="BT20" s="5">
        <f t="shared" si="28"/>
        <v>13150949.988494636</v>
      </c>
      <c r="BU20" s="5">
        <f t="shared" si="28"/>
        <v>13150949.988494636</v>
      </c>
      <c r="BV20" s="5">
        <f t="shared" si="28"/>
        <v>13150949.988494636</v>
      </c>
      <c r="BW20" s="5">
        <f t="shared" si="28"/>
        <v>13150949.988494636</v>
      </c>
      <c r="BX20" s="5">
        <f t="shared" si="28"/>
        <v>13150949.988494636</v>
      </c>
      <c r="BY20" s="5">
        <f t="shared" si="28"/>
        <v>13150949.988494636</v>
      </c>
      <c r="BZ20" s="5">
        <f t="shared" si="28"/>
        <v>13150949.988494636</v>
      </c>
      <c r="CA20" s="5">
        <f t="shared" si="28"/>
        <v>13150949.988494636</v>
      </c>
      <c r="CB20" s="5">
        <f t="shared" si="28"/>
        <v>13150949.988494636</v>
      </c>
      <c r="CC20" s="5">
        <f t="shared" si="28"/>
        <v>13150949.988494636</v>
      </c>
      <c r="CD20" s="5">
        <f t="shared" si="28"/>
        <v>13150949.988494636</v>
      </c>
      <c r="CE20" s="5">
        <f t="shared" si="28"/>
        <v>13150949.988494636</v>
      </c>
      <c r="CF20" s="5">
        <f t="shared" si="28"/>
        <v>13150949.988494636</v>
      </c>
      <c r="CG20" s="5">
        <f t="shared" si="28"/>
        <v>13150949.988494636</v>
      </c>
      <c r="CH20" s="5">
        <f t="shared" si="28"/>
        <v>13150949.988494636</v>
      </c>
      <c r="CI20" s="5">
        <f t="shared" si="28"/>
        <v>13150949.988494636</v>
      </c>
      <c r="CJ20" s="5">
        <f t="shared" si="28"/>
        <v>13150949.988494636</v>
      </c>
      <c r="CK20" s="5">
        <f t="shared" si="28"/>
        <v>13150949.988494636</v>
      </c>
      <c r="CL20" s="5">
        <f t="shared" si="28"/>
        <v>13150949.988494636</v>
      </c>
      <c r="CM20" s="5">
        <f t="shared" si="28"/>
        <v>13150949.988494636</v>
      </c>
      <c r="CN20" s="5">
        <f t="shared" si="28"/>
        <v>13150949.988494636</v>
      </c>
      <c r="CO20" s="5">
        <f t="shared" si="28"/>
        <v>13150949.988494636</v>
      </c>
      <c r="CP20" s="5">
        <f t="shared" si="28"/>
        <v>13150949.988494636</v>
      </c>
      <c r="CQ20" s="5">
        <f t="shared" si="28"/>
        <v>13150949.988494636</v>
      </c>
      <c r="CR20" s="5">
        <f t="shared" si="28"/>
        <v>13150949.988494636</v>
      </c>
      <c r="CS20" s="5">
        <f t="shared" si="28"/>
        <v>13150949.988494636</v>
      </c>
      <c r="CT20" s="5">
        <f t="shared" si="28"/>
        <v>13150949.988494636</v>
      </c>
      <c r="CU20" s="5">
        <f t="shared" si="28"/>
        <v>13150949.988494636</v>
      </c>
      <c r="CV20" s="5">
        <f t="shared" si="28"/>
        <v>13150949.988494636</v>
      </c>
      <c r="CW20" s="5">
        <f t="shared" si="28"/>
        <v>13150949.988494636</v>
      </c>
      <c r="CX20" s="5">
        <f t="shared" si="28"/>
        <v>13150949.988494636</v>
      </c>
      <c r="CY20" s="5">
        <f t="shared" si="28"/>
        <v>13150949.988494636</v>
      </c>
      <c r="CZ20" s="5">
        <f t="shared" si="28"/>
        <v>13150949.988494636</v>
      </c>
      <c r="DA20" s="5">
        <f t="shared" si="28"/>
        <v>13150949.988494636</v>
      </c>
      <c r="DB20" s="5">
        <f t="shared" si="28"/>
        <v>13150949.988494636</v>
      </c>
      <c r="DC20" s="5">
        <f t="shared" si="28"/>
        <v>13150949.988494636</v>
      </c>
      <c r="DD20" s="5">
        <f t="shared" si="28"/>
        <v>13150949.988494636</v>
      </c>
      <c r="DE20" s="5">
        <f t="shared" si="28"/>
        <v>13150949.988494636</v>
      </c>
      <c r="DF20" s="5">
        <f t="shared" si="28"/>
        <v>13150949.988494636</v>
      </c>
      <c r="DG20" s="5">
        <f t="shared" si="28"/>
        <v>13150949.988494636</v>
      </c>
      <c r="DH20" s="5">
        <f t="shared" si="28"/>
        <v>13150949.988494636</v>
      </c>
      <c r="DI20" s="5">
        <f t="shared" si="28"/>
        <v>13150949.988494636</v>
      </c>
      <c r="DJ20" s="5">
        <f t="shared" si="28"/>
        <v>13150949.988494636</v>
      </c>
      <c r="DK20" s="5">
        <f t="shared" si="28"/>
        <v>13150949.988494636</v>
      </c>
      <c r="DL20" s="5">
        <f t="shared" si="28"/>
        <v>13150949.988494636</v>
      </c>
      <c r="DM20" s="5">
        <f t="shared" si="28"/>
        <v>13150949.988494636</v>
      </c>
      <c r="DN20" s="5">
        <f t="shared" si="28"/>
        <v>13150949.988494636</v>
      </c>
      <c r="DO20" s="5">
        <f t="shared" si="28"/>
        <v>13150949.988494636</v>
      </c>
      <c r="DP20" s="5">
        <f t="shared" si="28"/>
        <v>13150949.988494636</v>
      </c>
      <c r="DQ20" s="5">
        <f t="shared" si="28"/>
        <v>13150949.988494636</v>
      </c>
      <c r="DR20" s="5">
        <f t="shared" si="28"/>
        <v>13150949.988494636</v>
      </c>
      <c r="DS20" s="5">
        <f t="shared" si="28"/>
        <v>13150949.988494636</v>
      </c>
      <c r="DT20" s="5">
        <f t="shared" si="28"/>
        <v>13150949.988494636</v>
      </c>
      <c r="DU20" s="5">
        <f t="shared" si="28"/>
        <v>13150949.988494636</v>
      </c>
      <c r="DV20" s="5">
        <f t="shared" si="28"/>
        <v>13150949.988494636</v>
      </c>
      <c r="DW20" s="5">
        <f t="shared" si="28"/>
        <v>13150949.988494636</v>
      </c>
      <c r="DX20" s="5">
        <f t="shared" si="28"/>
        <v>13150949.988494636</v>
      </c>
      <c r="DY20" s="5">
        <f t="shared" si="28"/>
        <v>13150949.988494636</v>
      </c>
      <c r="DZ20" s="5">
        <f t="shared" si="28"/>
        <v>13150949.988494636</v>
      </c>
      <c r="EA20" s="13">
        <f>EA3*'BAU Heat Rate - 2020'!$D70</f>
        <v>13150949.988494636</v>
      </c>
      <c r="EB20" s="13">
        <f>EB3*'BAU Heat Rate - 2020'!$D70</f>
        <v>13063419.712059585</v>
      </c>
      <c r="EC20" s="13">
        <f>EC3*'BAU Heat Rate - 2020'!$D70</f>
        <v>12975889.435624536</v>
      </c>
      <c r="ED20" s="13">
        <f>ED3*'BAU Heat Rate - 2020'!$D70</f>
        <v>12888359.159189485</v>
      </c>
      <c r="EE20" s="13">
        <f>EE3*'BAU Heat Rate - 2020'!$D70</f>
        <v>12800828.882754436</v>
      </c>
      <c r="EF20" s="13">
        <f>EF3*'BAU Heat Rate - 2020'!$D70</f>
        <v>12713298.606319385</v>
      </c>
      <c r="EG20" s="13">
        <f>EG3*'BAU Heat Rate - 2020'!$D70</f>
        <v>12625768.329884334</v>
      </c>
      <c r="EH20" s="13">
        <f>EH3*'BAU Heat Rate - 2020'!$D70</f>
        <v>12538238.053449284</v>
      </c>
      <c r="EI20" s="13">
        <f>EI3*'BAU Heat Rate - 2020'!$D70</f>
        <v>12450707.777014233</v>
      </c>
      <c r="EJ20" s="13">
        <f>EJ3*'BAU Heat Rate - 2020'!$D70</f>
        <v>12363177.500579184</v>
      </c>
      <c r="EK20" s="13">
        <f>EK3*'BAU Heat Rate - 2020'!$D70</f>
        <v>12275647.224144133</v>
      </c>
      <c r="EL20" s="5">
        <f>EL3*'BAU Heat Rate - 2020'!$D70</f>
        <v>12199004.710955372</v>
      </c>
      <c r="EM20" s="5">
        <f>EM3*'BAU Heat Rate - 2020'!$D70</f>
        <v>12122362.197766609</v>
      </c>
      <c r="EN20" s="5">
        <f>EN3*'BAU Heat Rate - 2020'!$D70</f>
        <v>12045719.684577847</v>
      </c>
      <c r="EO20" s="5">
        <f>EO3*'BAU Heat Rate - 2020'!$D70</f>
        <v>11969077.171389082</v>
      </c>
      <c r="EP20" s="5">
        <f>EP3*'BAU Heat Rate - 2020'!$D70</f>
        <v>11892434.65820032</v>
      </c>
      <c r="EQ20" s="5">
        <f>EQ3*'BAU Heat Rate - 2020'!$D70</f>
        <v>11815792.145011557</v>
      </c>
      <c r="ER20" s="5">
        <f>ER3*'BAU Heat Rate - 2020'!$D70</f>
        <v>11739149.631822795</v>
      </c>
      <c r="ES20" s="5">
        <f>ES3*'BAU Heat Rate - 2020'!$D70</f>
        <v>11662507.118634032</v>
      </c>
      <c r="ET20" s="5">
        <f>ET3*'BAU Heat Rate - 2020'!$D70</f>
        <v>11585864.605445269</v>
      </c>
      <c r="EU20" s="5">
        <f>EU3*'BAU Heat Rate - 2020'!$D70</f>
        <v>11509222.092256514</v>
      </c>
      <c r="EV20" s="5">
        <f>EV3*'BAU Heat Rate - 2020'!$D70</f>
        <v>11441142.988362586</v>
      </c>
      <c r="EW20" s="5">
        <f>EW3*'BAU Heat Rate - 2020'!$D70</f>
        <v>11373063.88446866</v>
      </c>
      <c r="EX20" s="5">
        <f>EX3*'BAU Heat Rate - 2020'!$D70</f>
        <v>11304984.780574732</v>
      </c>
      <c r="EY20" s="5">
        <f>EY3*'BAU Heat Rate - 2020'!$D70</f>
        <v>11236905.676680803</v>
      </c>
      <c r="EZ20" s="5">
        <f>EZ3*'BAU Heat Rate - 2020'!$D70</f>
        <v>11168826.572786875</v>
      </c>
      <c r="FA20" s="5">
        <f>FA3*'BAU Heat Rate - 2020'!$D70</f>
        <v>11100747.468892949</v>
      </c>
      <c r="FB20" s="5">
        <f>FB3*'BAU Heat Rate - 2020'!$D70</f>
        <v>11032668.36499902</v>
      </c>
      <c r="FC20" s="5">
        <f>FC3*'BAU Heat Rate - 2020'!$D70</f>
        <v>10964589.261105092</v>
      </c>
      <c r="FD20" s="5">
        <f>FD3*'BAU Heat Rate - 2020'!$D70</f>
        <v>10896510.157211166</v>
      </c>
      <c r="FE20" s="5">
        <f>FE3*'BAU Heat Rate - 2020'!$D70</f>
        <v>10828431.053317234</v>
      </c>
      <c r="FF20" s="5">
        <f>FF3*'BAU Heat Rate - 2020'!$D70</f>
        <v>10828431.053317234</v>
      </c>
      <c r="FG20" s="5">
        <f>FG3*'BAU Heat Rate - 2020'!$D70</f>
        <v>10828431.053317234</v>
      </c>
      <c r="FH20" s="5">
        <f>FH3*'BAU Heat Rate - 2020'!$D70</f>
        <v>10828431.053317234</v>
      </c>
      <c r="FI20" s="5">
        <f>FI3*'BAU Heat Rate - 2020'!$D70</f>
        <v>10828431.053317234</v>
      </c>
      <c r="FJ20" s="5">
        <f>FJ3*'BAU Heat Rate - 2020'!$D70</f>
        <v>10828431.053317234</v>
      </c>
      <c r="FK20" s="5">
        <f>FK3*'BAU Heat Rate - 2020'!$D70</f>
        <v>10828431.053317234</v>
      </c>
      <c r="FL20" s="5">
        <f>FL3*'BAU Heat Rate - 2020'!$D70</f>
        <v>10828431.053317234</v>
      </c>
      <c r="FM20" s="5">
        <f>FM3*'BAU Heat Rate - 2020'!$D70</f>
        <v>10828431.053317234</v>
      </c>
      <c r="FN20" s="5">
        <f>FN3*'BAU Heat Rate - 2020'!$D70</f>
        <v>10828431.053317234</v>
      </c>
      <c r="FO20" s="5">
        <f>FO3*'BAU Heat Rate - 2020'!$D70</f>
        <v>10828431.053317234</v>
      </c>
      <c r="FP20" s="5">
        <f>FP3*'BAU Heat Rate - 2020'!$D70</f>
        <v>10828431.053317234</v>
      </c>
      <c r="FQ20" s="5">
        <f>FQ3*'BAU Heat Rate - 2020'!$D70</f>
        <v>10828431.053317234</v>
      </c>
      <c r="FR20" s="5">
        <f>FR3*'BAU Heat Rate - 2020'!$D70</f>
        <v>10828431.053317234</v>
      </c>
      <c r="FS20" s="5">
        <f>FS3*'BAU Heat Rate - 2020'!$D70</f>
        <v>10828431.053317234</v>
      </c>
      <c r="FT20" s="5">
        <f>FT3*'BAU Heat Rate - 2020'!$D70</f>
        <v>10828431.053317234</v>
      </c>
      <c r="FU20" s="5">
        <f>FU3*'BAU Heat Rate - 2020'!$D70</f>
        <v>10828431.053317234</v>
      </c>
      <c r="FV20" s="5">
        <f>FV3*'BAU Heat Rate - 2020'!$D70</f>
        <v>10828431.053317234</v>
      </c>
      <c r="FW20" s="5">
        <f>FW3*'BAU Heat Rate - 2020'!$D70</f>
        <v>10828431.053317234</v>
      </c>
      <c r="FX20" s="5">
        <f>FX3*'BAU Heat Rate - 2020'!$D70</f>
        <v>10828431.053317234</v>
      </c>
      <c r="FY20" s="5">
        <f>FY3*'BAU Heat Rate - 2020'!$D70</f>
        <v>10828431.053317234</v>
      </c>
      <c r="FZ20" s="5">
        <f>FZ3*'BAU Heat Rate - 2020'!$D70</f>
        <v>10828431.053317234</v>
      </c>
      <c r="GA20" s="5">
        <f>GA3*'BAU Heat Rate - 2020'!$D70</f>
        <v>10828431.053317234</v>
      </c>
      <c r="GB20" s="5">
        <f>GB3*'BAU Heat Rate - 2020'!$D70</f>
        <v>10828431.053317234</v>
      </c>
      <c r="GC20" s="5">
        <f>GC3*'BAU Heat Rate - 2020'!$D70</f>
        <v>10828431.053317234</v>
      </c>
      <c r="GD20" s="5">
        <f>GD3*'BAU Heat Rate - 2020'!$D70</f>
        <v>10828431.053317234</v>
      </c>
      <c r="GE20" s="5">
        <f>GE3*'BAU Heat Rate - 2020'!$D70</f>
        <v>10828431.053317234</v>
      </c>
      <c r="GF20" s="5">
        <f>GF3*'BAU Heat Rate - 2020'!$D70</f>
        <v>10828431.053317234</v>
      </c>
      <c r="GG20" s="5">
        <f>GG3*'BAU Heat Rate - 2020'!$D70</f>
        <v>10828431.053317234</v>
      </c>
      <c r="GH20" s="5">
        <f>GH3*'BAU Heat Rate - 2020'!$D70</f>
        <v>10828431.053317234</v>
      </c>
      <c r="GI20" s="5">
        <f>GI3*'BAU Heat Rate - 2020'!$D70</f>
        <v>10828431.053317234</v>
      </c>
      <c r="GJ20" s="5">
        <f>GJ3*'BAU Heat Rate - 2020'!$D70</f>
        <v>10828431.053317234</v>
      </c>
      <c r="GK20" s="5">
        <f>GK3*'BAU Heat Rate - 2020'!$D70</f>
        <v>10828431.053317234</v>
      </c>
      <c r="GL20" s="5">
        <f>GL3*'BAU Heat Rate - 2020'!$D70</f>
        <v>10828431.053317234</v>
      </c>
      <c r="GM20" s="5">
        <f>GM3*'BAU Heat Rate - 2020'!$D70</f>
        <v>10828431.053317234</v>
      </c>
      <c r="GN20" s="5">
        <f>GN3*'BAU Heat Rate - 2020'!$D70</f>
        <v>10828431.053317234</v>
      </c>
      <c r="GO20" s="5">
        <f>GO3*'BAU Heat Rate - 2020'!$D70</f>
        <v>10828431.053317234</v>
      </c>
      <c r="GP20" s="5">
        <f>GP3*'BAU Heat Rate - 2020'!$D70</f>
        <v>10828431.053317234</v>
      </c>
      <c r="GQ20" s="5">
        <f>GQ3*'BAU Heat Rate - 2020'!$D70</f>
        <v>10828431.053317234</v>
      </c>
      <c r="GR20" s="5">
        <f>GR3*'BAU Heat Rate - 2020'!$D70</f>
        <v>10828431.053317234</v>
      </c>
      <c r="GS20" s="5">
        <f>GS3*'BAU Heat Rate - 2020'!$D70</f>
        <v>10828431.053317234</v>
      </c>
      <c r="GT20" s="5">
        <f>GT3*'BAU Heat Rate - 2020'!$D70</f>
        <v>10828431.053317234</v>
      </c>
      <c r="GU20" s="5">
        <f>GU3*'BAU Heat Rate - 2020'!$D70</f>
        <v>10828431.053317234</v>
      </c>
      <c r="GV20" s="5">
        <f>GV3*'BAU Heat Rate - 2020'!$D70</f>
        <v>10828431.053317234</v>
      </c>
      <c r="GW20" s="5">
        <f>GW3*'BAU Heat Rate - 2020'!$D70</f>
        <v>10828431.053317234</v>
      </c>
      <c r="GX20" s="5">
        <f>GX3*'BAU Heat Rate - 2020'!$D70</f>
        <v>10828431.053317234</v>
      </c>
      <c r="GY20" s="5">
        <f>GY3*'BAU Heat Rate - 2020'!$D70</f>
        <v>10828431.053317234</v>
      </c>
      <c r="GZ20" s="5">
        <f>GZ3*'BAU Heat Rate - 2020'!$D70</f>
        <v>10828431.053317234</v>
      </c>
      <c r="HA20" s="5">
        <f>HA3*'BAU Heat Rate - 2020'!$D70</f>
        <v>10828431.053317234</v>
      </c>
      <c r="HB20" s="5">
        <f>HB3*'BAU Heat Rate - 2020'!$D70</f>
        <v>10828431.053317234</v>
      </c>
      <c r="HC20" s="5">
        <f>HC3*'BAU Heat Rate - 2020'!$D70</f>
        <v>10828431.053317234</v>
      </c>
    </row>
    <row r="21" spans="1:211">
      <c r="A21" t="s">
        <v>108</v>
      </c>
      <c r="B21" s="5">
        <f>B4*'BAU Heat Rate - 2020'!$D71</f>
        <v>9051060.8287640419</v>
      </c>
      <c r="C21" s="5">
        <f t="shared" si="22"/>
        <v>9051060.8287640419</v>
      </c>
      <c r="D21" s="5">
        <f t="shared" si="25"/>
        <v>9051060.8287640419</v>
      </c>
      <c r="E21" s="5">
        <f t="shared" si="25"/>
        <v>9051060.8287640419</v>
      </c>
      <c r="F21" s="5">
        <f t="shared" si="25"/>
        <v>9051060.8287640419</v>
      </c>
      <c r="G21" s="5">
        <f t="shared" si="25"/>
        <v>9051060.8287640419</v>
      </c>
      <c r="H21" s="5">
        <f t="shared" si="25"/>
        <v>9051060.8287640419</v>
      </c>
      <c r="I21" s="5">
        <f t="shared" si="25"/>
        <v>9051060.8287640419</v>
      </c>
      <c r="J21" s="5">
        <f t="shared" si="25"/>
        <v>9051060.8287640419</v>
      </c>
      <c r="K21" s="5">
        <f t="shared" si="25"/>
        <v>9051060.8287640419</v>
      </c>
      <c r="L21" s="5">
        <f t="shared" si="25"/>
        <v>9051060.8287640419</v>
      </c>
      <c r="M21" s="5">
        <f t="shared" si="25"/>
        <v>9051060.8287640419</v>
      </c>
      <c r="N21" s="5">
        <f t="shared" si="25"/>
        <v>9051060.8287640419</v>
      </c>
      <c r="O21" s="5">
        <f t="shared" si="25"/>
        <v>9051060.8287640419</v>
      </c>
      <c r="P21" s="5">
        <f t="shared" si="25"/>
        <v>9051060.8287640419</v>
      </c>
      <c r="Q21" s="5">
        <f t="shared" si="25"/>
        <v>9051060.8287640419</v>
      </c>
      <c r="R21" s="5">
        <f t="shared" si="25"/>
        <v>9051060.8287640419</v>
      </c>
      <c r="S21" s="5">
        <f t="shared" si="25"/>
        <v>9051060.8287640419</v>
      </c>
      <c r="T21" s="5">
        <f t="shared" si="25"/>
        <v>9051060.8287640419</v>
      </c>
      <c r="U21" s="5">
        <f t="shared" si="25"/>
        <v>9051060.8287640419</v>
      </c>
      <c r="V21" s="5">
        <f t="shared" si="25"/>
        <v>9051060.8287640419</v>
      </c>
      <c r="W21" s="5">
        <f t="shared" si="25"/>
        <v>9051060.8287640419</v>
      </c>
      <c r="X21" s="5">
        <f t="shared" si="25"/>
        <v>9051060.8287640419</v>
      </c>
      <c r="Y21" s="5">
        <f t="shared" si="25"/>
        <v>9051060.8287640419</v>
      </c>
      <c r="Z21" s="5">
        <f t="shared" si="25"/>
        <v>9051060.8287640419</v>
      </c>
      <c r="AA21" s="5">
        <f t="shared" si="25"/>
        <v>9051060.8287640419</v>
      </c>
      <c r="AB21" s="5">
        <f t="shared" si="25"/>
        <v>9051060.8287640419</v>
      </c>
      <c r="AC21" s="5">
        <f t="shared" si="25"/>
        <v>9051060.8287640419</v>
      </c>
      <c r="AD21" s="5">
        <f t="shared" si="25"/>
        <v>9051060.8287640419</v>
      </c>
      <c r="AE21" s="5">
        <f t="shared" si="25"/>
        <v>9051060.8287640419</v>
      </c>
      <c r="AF21" s="5">
        <f t="shared" si="25"/>
        <v>9051060.8287640419</v>
      </c>
      <c r="AG21" s="5">
        <f t="shared" si="25"/>
        <v>9051060.8287640419</v>
      </c>
      <c r="AH21" s="5">
        <f t="shared" si="25"/>
        <v>9051060.8287640419</v>
      </c>
      <c r="AI21" s="5">
        <f t="shared" si="25"/>
        <v>9051060.8287640419</v>
      </c>
      <c r="AJ21" s="5">
        <f t="shared" si="25"/>
        <v>9051060.8287640419</v>
      </c>
      <c r="AK21" s="5">
        <f t="shared" si="25"/>
        <v>9051060.8287640419</v>
      </c>
      <c r="AL21" s="5">
        <f t="shared" si="25"/>
        <v>9051060.8287640419</v>
      </c>
      <c r="AM21" s="5">
        <f t="shared" si="25"/>
        <v>9051060.8287640419</v>
      </c>
      <c r="AN21" s="5">
        <f t="shared" si="25"/>
        <v>9051060.8287640419</v>
      </c>
      <c r="AO21" s="5">
        <f t="shared" si="25"/>
        <v>9051060.8287640419</v>
      </c>
      <c r="AP21" s="5">
        <f t="shared" si="25"/>
        <v>9051060.8287640419</v>
      </c>
      <c r="AQ21" s="5">
        <f t="shared" si="25"/>
        <v>9051060.8287640419</v>
      </c>
      <c r="AR21" s="5">
        <f t="shared" si="25"/>
        <v>9051060.8287640419</v>
      </c>
      <c r="AS21" s="5">
        <f t="shared" si="25"/>
        <v>9051060.8287640419</v>
      </c>
      <c r="AT21" s="5">
        <f t="shared" si="25"/>
        <v>9051060.8287640419</v>
      </c>
      <c r="AU21" s="5">
        <f t="shared" si="25"/>
        <v>9051060.8287640419</v>
      </c>
      <c r="AV21" s="5">
        <f t="shared" si="25"/>
        <v>9051060.8287640419</v>
      </c>
      <c r="AW21" s="5">
        <f t="shared" si="25"/>
        <v>9051060.8287640419</v>
      </c>
      <c r="AX21" s="5">
        <f t="shared" si="25"/>
        <v>9051060.8287640419</v>
      </c>
      <c r="AY21" s="5">
        <f t="shared" si="25"/>
        <v>9051060.8287640419</v>
      </c>
      <c r="AZ21" s="5">
        <f t="shared" si="25"/>
        <v>9051060.8287640419</v>
      </c>
      <c r="BA21" s="5">
        <f t="shared" si="25"/>
        <v>9051060.8287640419</v>
      </c>
      <c r="BB21" s="5">
        <f t="shared" si="25"/>
        <v>9051060.8287640419</v>
      </c>
      <c r="BC21" s="5">
        <f t="shared" si="25"/>
        <v>9051060.8287640419</v>
      </c>
      <c r="BD21" s="5">
        <f t="shared" si="25"/>
        <v>9051060.8287640419</v>
      </c>
      <c r="BE21" s="5">
        <f t="shared" si="25"/>
        <v>9051060.8287640419</v>
      </c>
      <c r="BF21" s="5">
        <f t="shared" si="25"/>
        <v>9051060.8287640419</v>
      </c>
      <c r="BG21" s="5">
        <f t="shared" si="25"/>
        <v>9051060.8287640419</v>
      </c>
      <c r="BH21" s="5">
        <f t="shared" si="25"/>
        <v>9051060.8287640419</v>
      </c>
      <c r="BI21" s="5">
        <f t="shared" si="25"/>
        <v>9051060.8287640419</v>
      </c>
      <c r="BJ21" s="5">
        <f t="shared" si="25"/>
        <v>9051060.8287640419</v>
      </c>
      <c r="BK21" s="5">
        <f t="shared" si="25"/>
        <v>9051060.8287640419</v>
      </c>
      <c r="BL21" s="5">
        <f t="shared" si="25"/>
        <v>9051060.8287640419</v>
      </c>
      <c r="BM21" s="5">
        <f t="shared" si="25"/>
        <v>9051060.8287640419</v>
      </c>
      <c r="BN21" s="5">
        <f t="shared" si="25"/>
        <v>9051060.8287640419</v>
      </c>
      <c r="BO21" s="5">
        <f t="shared" ref="BO21:DZ24" si="29">BN21</f>
        <v>9051060.8287640419</v>
      </c>
      <c r="BP21" s="5">
        <f t="shared" si="29"/>
        <v>9051060.8287640419</v>
      </c>
      <c r="BQ21" s="5">
        <f t="shared" si="29"/>
        <v>9051060.8287640419</v>
      </c>
      <c r="BR21" s="5">
        <f t="shared" si="29"/>
        <v>9051060.8287640419</v>
      </c>
      <c r="BS21" s="5">
        <f t="shared" si="29"/>
        <v>9051060.8287640419</v>
      </c>
      <c r="BT21" s="5">
        <f t="shared" si="29"/>
        <v>9051060.8287640419</v>
      </c>
      <c r="BU21" s="5">
        <f t="shared" si="29"/>
        <v>9051060.8287640419</v>
      </c>
      <c r="BV21" s="5">
        <f t="shared" si="29"/>
        <v>9051060.8287640419</v>
      </c>
      <c r="BW21" s="5">
        <f t="shared" si="29"/>
        <v>9051060.8287640419</v>
      </c>
      <c r="BX21" s="5">
        <f t="shared" si="29"/>
        <v>9051060.8287640419</v>
      </c>
      <c r="BY21" s="5">
        <f t="shared" si="29"/>
        <v>9051060.8287640419</v>
      </c>
      <c r="BZ21" s="5">
        <f t="shared" si="29"/>
        <v>9051060.8287640419</v>
      </c>
      <c r="CA21" s="5">
        <f t="shared" si="29"/>
        <v>9051060.8287640419</v>
      </c>
      <c r="CB21" s="5">
        <f t="shared" si="29"/>
        <v>9051060.8287640419</v>
      </c>
      <c r="CC21" s="5">
        <f t="shared" si="29"/>
        <v>9051060.8287640419</v>
      </c>
      <c r="CD21" s="5">
        <f t="shared" si="29"/>
        <v>9051060.8287640419</v>
      </c>
      <c r="CE21" s="5">
        <f t="shared" si="29"/>
        <v>9051060.8287640419</v>
      </c>
      <c r="CF21" s="5">
        <f t="shared" si="29"/>
        <v>9051060.8287640419</v>
      </c>
      <c r="CG21" s="5">
        <f t="shared" si="29"/>
        <v>9051060.8287640419</v>
      </c>
      <c r="CH21" s="5">
        <f t="shared" si="29"/>
        <v>9051060.8287640419</v>
      </c>
      <c r="CI21" s="5">
        <f t="shared" si="29"/>
        <v>9051060.8287640419</v>
      </c>
      <c r="CJ21" s="5">
        <f t="shared" si="29"/>
        <v>9051060.8287640419</v>
      </c>
      <c r="CK21" s="5">
        <f t="shared" si="29"/>
        <v>9051060.8287640419</v>
      </c>
      <c r="CL21" s="5">
        <f t="shared" si="29"/>
        <v>9051060.8287640419</v>
      </c>
      <c r="CM21" s="5">
        <f t="shared" si="29"/>
        <v>9051060.8287640419</v>
      </c>
      <c r="CN21" s="5">
        <f t="shared" si="29"/>
        <v>9051060.8287640419</v>
      </c>
      <c r="CO21" s="5">
        <f t="shared" si="29"/>
        <v>9051060.8287640419</v>
      </c>
      <c r="CP21" s="5">
        <f t="shared" si="29"/>
        <v>9051060.8287640419</v>
      </c>
      <c r="CQ21" s="5">
        <f t="shared" si="29"/>
        <v>9051060.8287640419</v>
      </c>
      <c r="CR21" s="5">
        <f t="shared" si="29"/>
        <v>9051060.8287640419</v>
      </c>
      <c r="CS21" s="5">
        <f t="shared" si="29"/>
        <v>9051060.8287640419</v>
      </c>
      <c r="CT21" s="5">
        <f t="shared" si="29"/>
        <v>9051060.8287640419</v>
      </c>
      <c r="CU21" s="5">
        <f t="shared" si="29"/>
        <v>9051060.8287640419</v>
      </c>
      <c r="CV21" s="5">
        <f t="shared" si="29"/>
        <v>9051060.8287640419</v>
      </c>
      <c r="CW21" s="5">
        <f t="shared" si="29"/>
        <v>9051060.8287640419</v>
      </c>
      <c r="CX21" s="5">
        <f t="shared" si="29"/>
        <v>9051060.8287640419</v>
      </c>
      <c r="CY21" s="5">
        <f t="shared" si="29"/>
        <v>9051060.8287640419</v>
      </c>
      <c r="CZ21" s="5">
        <f t="shared" si="29"/>
        <v>9051060.8287640419</v>
      </c>
      <c r="DA21" s="5">
        <f t="shared" si="29"/>
        <v>9051060.8287640419</v>
      </c>
      <c r="DB21" s="5">
        <f t="shared" si="29"/>
        <v>9051060.8287640419</v>
      </c>
      <c r="DC21" s="5">
        <f t="shared" si="29"/>
        <v>9051060.8287640419</v>
      </c>
      <c r="DD21" s="5">
        <f t="shared" si="29"/>
        <v>9051060.8287640419</v>
      </c>
      <c r="DE21" s="5">
        <f t="shared" si="29"/>
        <v>9051060.8287640419</v>
      </c>
      <c r="DF21" s="5">
        <f t="shared" si="29"/>
        <v>9051060.8287640419</v>
      </c>
      <c r="DG21" s="5">
        <f t="shared" si="29"/>
        <v>9051060.8287640419</v>
      </c>
      <c r="DH21" s="5">
        <f t="shared" si="29"/>
        <v>9051060.8287640419</v>
      </c>
      <c r="DI21" s="5">
        <f t="shared" si="29"/>
        <v>9051060.8287640419</v>
      </c>
      <c r="DJ21" s="5">
        <f t="shared" si="29"/>
        <v>9051060.8287640419</v>
      </c>
      <c r="DK21" s="5">
        <f t="shared" si="29"/>
        <v>9051060.8287640419</v>
      </c>
      <c r="DL21" s="5">
        <f t="shared" si="29"/>
        <v>9051060.8287640419</v>
      </c>
      <c r="DM21" s="5">
        <f t="shared" si="29"/>
        <v>9051060.8287640419</v>
      </c>
      <c r="DN21" s="5">
        <f t="shared" si="29"/>
        <v>9051060.8287640419</v>
      </c>
      <c r="DO21" s="5">
        <f t="shared" si="29"/>
        <v>9051060.8287640419</v>
      </c>
      <c r="DP21" s="5">
        <f t="shared" si="29"/>
        <v>9051060.8287640419</v>
      </c>
      <c r="DQ21" s="5">
        <f t="shared" si="29"/>
        <v>9051060.8287640419</v>
      </c>
      <c r="DR21" s="5">
        <f t="shared" si="29"/>
        <v>9051060.8287640419</v>
      </c>
      <c r="DS21" s="5">
        <f t="shared" si="29"/>
        <v>9051060.8287640419</v>
      </c>
      <c r="DT21" s="5">
        <f t="shared" si="29"/>
        <v>9051060.8287640419</v>
      </c>
      <c r="DU21" s="5">
        <f t="shared" si="29"/>
        <v>9051060.8287640419</v>
      </c>
      <c r="DV21" s="5">
        <f t="shared" si="29"/>
        <v>9051060.8287640419</v>
      </c>
      <c r="DW21" s="5">
        <f t="shared" si="29"/>
        <v>9051060.8287640419</v>
      </c>
      <c r="DX21" s="5">
        <f t="shared" si="29"/>
        <v>9051060.8287640419</v>
      </c>
      <c r="DY21" s="5">
        <f t="shared" si="29"/>
        <v>9051060.8287640419</v>
      </c>
      <c r="DZ21" s="5">
        <f t="shared" si="29"/>
        <v>9051060.8287640419</v>
      </c>
      <c r="EA21" s="13">
        <f>EA4*'BAU Heat Rate - 2020'!$D71</f>
        <v>9051060.8287640419</v>
      </c>
      <c r="EB21" s="13">
        <f>EB4*'BAU Heat Rate - 2020'!$D71</f>
        <v>9021802.3046513833</v>
      </c>
      <c r="EC21" s="13">
        <f>EC4*'BAU Heat Rate - 2020'!$D71</f>
        <v>8992543.7805387229</v>
      </c>
      <c r="ED21" s="13">
        <f>ED4*'BAU Heat Rate - 2020'!$D71</f>
        <v>8963285.2564260624</v>
      </c>
      <c r="EE21" s="13">
        <f>EE4*'BAU Heat Rate - 2020'!$D71</f>
        <v>8934026.732313402</v>
      </c>
      <c r="EF21" s="13">
        <f>EF4*'BAU Heat Rate - 2020'!$D71</f>
        <v>8904768.2082007416</v>
      </c>
      <c r="EG21" s="13">
        <f>EG4*'BAU Heat Rate - 2020'!$D71</f>
        <v>8875509.6840880811</v>
      </c>
      <c r="EH21" s="13">
        <f>EH4*'BAU Heat Rate - 2020'!$D71</f>
        <v>8846251.1599754207</v>
      </c>
      <c r="EI21" s="13">
        <f>EI4*'BAU Heat Rate - 2020'!$D71</f>
        <v>8816992.6358627602</v>
      </c>
      <c r="EJ21" s="13">
        <f>EJ4*'BAU Heat Rate - 2020'!$D71</f>
        <v>8787734.1117500998</v>
      </c>
      <c r="EK21" s="13">
        <f>EK4*'BAU Heat Rate - 2020'!$D71</f>
        <v>8758475.587637445</v>
      </c>
      <c r="EL21" s="5">
        <f>EL4*'BAU Heat Rate - 2020'!$D71</f>
        <v>8731125.2281408291</v>
      </c>
      <c r="EM21" s="5">
        <f>EM4*'BAU Heat Rate - 2020'!$D71</f>
        <v>8703774.8686442133</v>
      </c>
      <c r="EN21" s="5">
        <f>EN4*'BAU Heat Rate - 2020'!$D71</f>
        <v>8676424.5091475975</v>
      </c>
      <c r="EO21" s="5">
        <f>EO4*'BAU Heat Rate - 2020'!$D71</f>
        <v>8649074.1496509798</v>
      </c>
      <c r="EP21" s="5">
        <f>EP4*'BAU Heat Rate - 2020'!$D71</f>
        <v>8621723.790154364</v>
      </c>
      <c r="EQ21" s="5">
        <f>EQ4*'BAU Heat Rate - 2020'!$D71</f>
        <v>8594373.4306577481</v>
      </c>
      <c r="ER21" s="5">
        <f>ER4*'BAU Heat Rate - 2020'!$D71</f>
        <v>8567023.0711611323</v>
      </c>
      <c r="ES21" s="5">
        <f>ES4*'BAU Heat Rate - 2020'!$D71</f>
        <v>8539672.7116645165</v>
      </c>
      <c r="ET21" s="5">
        <f>ET4*'BAU Heat Rate - 2020'!$D71</f>
        <v>8512322.3521678988</v>
      </c>
      <c r="EU21" s="5">
        <f>EU4*'BAU Heat Rate - 2020'!$D71</f>
        <v>8484971.9926712811</v>
      </c>
      <c r="EV21" s="5">
        <f>EV4*'BAU Heat Rate - 2020'!$D71</f>
        <v>8459529.7977907062</v>
      </c>
      <c r="EW21" s="5">
        <f>EW4*'BAU Heat Rate - 2020'!$D71</f>
        <v>8434087.6029101331</v>
      </c>
      <c r="EX21" s="5">
        <f>EX4*'BAU Heat Rate - 2020'!$D71</f>
        <v>8408645.40802956</v>
      </c>
      <c r="EY21" s="5">
        <f>EY4*'BAU Heat Rate - 2020'!$D71</f>
        <v>8383203.213148986</v>
      </c>
      <c r="EZ21" s="5">
        <f>EZ4*'BAU Heat Rate - 2020'!$D71</f>
        <v>8357761.018268412</v>
      </c>
      <c r="FA21" s="5">
        <f>FA4*'BAU Heat Rate - 2020'!$D71</f>
        <v>8332318.8233878389</v>
      </c>
      <c r="FB21" s="5">
        <f>FB4*'BAU Heat Rate - 2020'!$D71</f>
        <v>8306876.6285072649</v>
      </c>
      <c r="FC21" s="5">
        <f>FC4*'BAU Heat Rate - 2020'!$D71</f>
        <v>8281434.4336266909</v>
      </c>
      <c r="FD21" s="5">
        <f>FD4*'BAU Heat Rate - 2020'!$D71</f>
        <v>8255992.2387461178</v>
      </c>
      <c r="FE21" s="5">
        <f>FE4*'BAU Heat Rate - 2020'!$D71</f>
        <v>8230550.0438655438</v>
      </c>
      <c r="FF21" s="5">
        <f>FF4*'BAU Heat Rate - 2020'!$D71</f>
        <v>8230550.0438655438</v>
      </c>
      <c r="FG21" s="5">
        <f>FG4*'BAU Heat Rate - 2020'!$D71</f>
        <v>8230550.0438655438</v>
      </c>
      <c r="FH21" s="5">
        <f>FH4*'BAU Heat Rate - 2020'!$D71</f>
        <v>8230550.0438655438</v>
      </c>
      <c r="FI21" s="5">
        <f>FI4*'BAU Heat Rate - 2020'!$D71</f>
        <v>8230550.0438655438</v>
      </c>
      <c r="FJ21" s="5">
        <f>FJ4*'BAU Heat Rate - 2020'!$D71</f>
        <v>8230550.0438655438</v>
      </c>
      <c r="FK21" s="5">
        <f>FK4*'BAU Heat Rate - 2020'!$D71</f>
        <v>8230550.0438655438</v>
      </c>
      <c r="FL21" s="5">
        <f>FL4*'BAU Heat Rate - 2020'!$D71</f>
        <v>8230550.0438655438</v>
      </c>
      <c r="FM21" s="5">
        <f>FM4*'BAU Heat Rate - 2020'!$D71</f>
        <v>8230550.0438655438</v>
      </c>
      <c r="FN21" s="5">
        <f>FN4*'BAU Heat Rate - 2020'!$D71</f>
        <v>8230550.0438655438</v>
      </c>
      <c r="FO21" s="5">
        <f>FO4*'BAU Heat Rate - 2020'!$D71</f>
        <v>8230550.0438655438</v>
      </c>
      <c r="FP21" s="5">
        <f>FP4*'BAU Heat Rate - 2020'!$D71</f>
        <v>8230550.0438655438</v>
      </c>
      <c r="FQ21" s="5">
        <f>FQ4*'BAU Heat Rate - 2020'!$D71</f>
        <v>8230550.0438655438</v>
      </c>
      <c r="FR21" s="5">
        <f>FR4*'BAU Heat Rate - 2020'!$D71</f>
        <v>8230550.0438655438</v>
      </c>
      <c r="FS21" s="5">
        <f>FS4*'BAU Heat Rate - 2020'!$D71</f>
        <v>8230550.0438655438</v>
      </c>
      <c r="FT21" s="5">
        <f>FT4*'BAU Heat Rate - 2020'!$D71</f>
        <v>8230550.0438655438</v>
      </c>
      <c r="FU21" s="5">
        <f>FU4*'BAU Heat Rate - 2020'!$D71</f>
        <v>8230550.0438655438</v>
      </c>
      <c r="FV21" s="5">
        <f>FV4*'BAU Heat Rate - 2020'!$D71</f>
        <v>8230550.0438655438</v>
      </c>
      <c r="FW21" s="5">
        <f>FW4*'BAU Heat Rate - 2020'!$D71</f>
        <v>8230550.0438655438</v>
      </c>
      <c r="FX21" s="5">
        <f>FX4*'BAU Heat Rate - 2020'!$D71</f>
        <v>8230550.0438655438</v>
      </c>
      <c r="FY21" s="5">
        <f>FY4*'BAU Heat Rate - 2020'!$D71</f>
        <v>8230550.0438655438</v>
      </c>
      <c r="FZ21" s="5">
        <f>FZ4*'BAU Heat Rate - 2020'!$D71</f>
        <v>8230550.0438655438</v>
      </c>
      <c r="GA21" s="5">
        <f>GA4*'BAU Heat Rate - 2020'!$D71</f>
        <v>8230550.0438655438</v>
      </c>
      <c r="GB21" s="5">
        <f>GB4*'BAU Heat Rate - 2020'!$D71</f>
        <v>8230550.0438655438</v>
      </c>
      <c r="GC21" s="5">
        <f>GC4*'BAU Heat Rate - 2020'!$D71</f>
        <v>8230550.0438655438</v>
      </c>
      <c r="GD21" s="5">
        <f>GD4*'BAU Heat Rate - 2020'!$D71</f>
        <v>8230550.0438655438</v>
      </c>
      <c r="GE21" s="5">
        <f>GE4*'BAU Heat Rate - 2020'!$D71</f>
        <v>8230550.0438655438</v>
      </c>
      <c r="GF21" s="5">
        <f>GF4*'BAU Heat Rate - 2020'!$D71</f>
        <v>8230550.0438655438</v>
      </c>
      <c r="GG21" s="5">
        <f>GG4*'BAU Heat Rate - 2020'!$D71</f>
        <v>8230550.0438655438</v>
      </c>
      <c r="GH21" s="5">
        <f>GH4*'BAU Heat Rate - 2020'!$D71</f>
        <v>8230550.0438655438</v>
      </c>
      <c r="GI21" s="5">
        <f>GI4*'BAU Heat Rate - 2020'!$D71</f>
        <v>8230550.0438655438</v>
      </c>
      <c r="GJ21" s="5">
        <f>GJ4*'BAU Heat Rate - 2020'!$D71</f>
        <v>8230550.0438655438</v>
      </c>
      <c r="GK21" s="5">
        <f>GK4*'BAU Heat Rate - 2020'!$D71</f>
        <v>8230550.0438655438</v>
      </c>
      <c r="GL21" s="5">
        <f>GL4*'BAU Heat Rate - 2020'!$D71</f>
        <v>8230550.0438655438</v>
      </c>
      <c r="GM21" s="5">
        <f>GM4*'BAU Heat Rate - 2020'!$D71</f>
        <v>8230550.0438655438</v>
      </c>
      <c r="GN21" s="5">
        <f>GN4*'BAU Heat Rate - 2020'!$D71</f>
        <v>8230550.0438655438</v>
      </c>
      <c r="GO21" s="5">
        <f>GO4*'BAU Heat Rate - 2020'!$D71</f>
        <v>8230550.0438655438</v>
      </c>
      <c r="GP21" s="5">
        <f>GP4*'BAU Heat Rate - 2020'!$D71</f>
        <v>8230550.0438655438</v>
      </c>
      <c r="GQ21" s="5">
        <f>GQ4*'BAU Heat Rate - 2020'!$D71</f>
        <v>8230550.0438655438</v>
      </c>
      <c r="GR21" s="5">
        <f>GR4*'BAU Heat Rate - 2020'!$D71</f>
        <v>8230550.0438655438</v>
      </c>
      <c r="GS21" s="5">
        <f>GS4*'BAU Heat Rate - 2020'!$D71</f>
        <v>8230550.0438655438</v>
      </c>
      <c r="GT21" s="5">
        <f>GT4*'BAU Heat Rate - 2020'!$D71</f>
        <v>8230550.0438655438</v>
      </c>
      <c r="GU21" s="5">
        <f>GU4*'BAU Heat Rate - 2020'!$D71</f>
        <v>8230550.0438655438</v>
      </c>
      <c r="GV21" s="5">
        <f>GV4*'BAU Heat Rate - 2020'!$D71</f>
        <v>8230550.0438655438</v>
      </c>
      <c r="GW21" s="5">
        <f>GW4*'BAU Heat Rate - 2020'!$D71</f>
        <v>8230550.0438655438</v>
      </c>
      <c r="GX21" s="5">
        <f>GX4*'BAU Heat Rate - 2020'!$D71</f>
        <v>8230550.0438655438</v>
      </c>
      <c r="GY21" s="5">
        <f>GY4*'BAU Heat Rate - 2020'!$D71</f>
        <v>8230550.0438655438</v>
      </c>
      <c r="GZ21" s="5">
        <f>GZ4*'BAU Heat Rate - 2020'!$D71</f>
        <v>8230550.0438655438</v>
      </c>
      <c r="HA21" s="5">
        <f>HA4*'BAU Heat Rate - 2020'!$D71</f>
        <v>8230550.0438655438</v>
      </c>
      <c r="HB21" s="5">
        <f>HB4*'BAU Heat Rate - 2020'!$D71</f>
        <v>8230550.0438655438</v>
      </c>
      <c r="HC21" s="5">
        <f>HC4*'BAU Heat Rate - 2020'!$D71</f>
        <v>8230550.0438655438</v>
      </c>
    </row>
    <row r="22" spans="1:211">
      <c r="A22" t="s">
        <v>109</v>
      </c>
      <c r="B22" s="5">
        <f>B5*'BAU Heat Rate - 2020'!$D72</f>
        <v>11799199.313172115</v>
      </c>
      <c r="C22" s="5">
        <f t="shared" si="22"/>
        <v>11799199.313172115</v>
      </c>
      <c r="D22" s="5">
        <f t="shared" ref="D22:BO25" si="30">C22</f>
        <v>11799199.313172115</v>
      </c>
      <c r="E22" s="5">
        <f t="shared" si="30"/>
        <v>11799199.313172115</v>
      </c>
      <c r="F22" s="5">
        <f t="shared" si="30"/>
        <v>11799199.313172115</v>
      </c>
      <c r="G22" s="5">
        <f t="shared" si="30"/>
        <v>11799199.313172115</v>
      </c>
      <c r="H22" s="5">
        <f t="shared" si="30"/>
        <v>11799199.313172115</v>
      </c>
      <c r="I22" s="5">
        <f t="shared" si="30"/>
        <v>11799199.313172115</v>
      </c>
      <c r="J22" s="5">
        <f t="shared" si="30"/>
        <v>11799199.313172115</v>
      </c>
      <c r="K22" s="5">
        <f t="shared" si="30"/>
        <v>11799199.313172115</v>
      </c>
      <c r="L22" s="5">
        <f t="shared" si="30"/>
        <v>11799199.313172115</v>
      </c>
      <c r="M22" s="5">
        <f t="shared" si="30"/>
        <v>11799199.313172115</v>
      </c>
      <c r="N22" s="5">
        <f t="shared" si="30"/>
        <v>11799199.313172115</v>
      </c>
      <c r="O22" s="5">
        <f t="shared" si="30"/>
        <v>11799199.313172115</v>
      </c>
      <c r="P22" s="5">
        <f t="shared" si="30"/>
        <v>11799199.313172115</v>
      </c>
      <c r="Q22" s="5">
        <f t="shared" si="30"/>
        <v>11799199.313172115</v>
      </c>
      <c r="R22" s="5">
        <f t="shared" si="30"/>
        <v>11799199.313172115</v>
      </c>
      <c r="S22" s="5">
        <f t="shared" si="30"/>
        <v>11799199.313172115</v>
      </c>
      <c r="T22" s="5">
        <f t="shared" si="30"/>
        <v>11799199.313172115</v>
      </c>
      <c r="U22" s="5">
        <f t="shared" si="30"/>
        <v>11799199.313172115</v>
      </c>
      <c r="V22" s="5">
        <f t="shared" si="30"/>
        <v>11799199.313172115</v>
      </c>
      <c r="W22" s="5">
        <f t="shared" si="30"/>
        <v>11799199.313172115</v>
      </c>
      <c r="X22" s="5">
        <f t="shared" si="30"/>
        <v>11799199.313172115</v>
      </c>
      <c r="Y22" s="5">
        <f t="shared" si="30"/>
        <v>11799199.313172115</v>
      </c>
      <c r="Z22" s="5">
        <f t="shared" si="30"/>
        <v>11799199.313172115</v>
      </c>
      <c r="AA22" s="5">
        <f t="shared" si="30"/>
        <v>11799199.313172115</v>
      </c>
      <c r="AB22" s="5">
        <f t="shared" si="30"/>
        <v>11799199.313172115</v>
      </c>
      <c r="AC22" s="5">
        <f t="shared" si="30"/>
        <v>11799199.313172115</v>
      </c>
      <c r="AD22" s="5">
        <f t="shared" si="30"/>
        <v>11799199.313172115</v>
      </c>
      <c r="AE22" s="5">
        <f t="shared" si="30"/>
        <v>11799199.313172115</v>
      </c>
      <c r="AF22" s="5">
        <f t="shared" si="30"/>
        <v>11799199.313172115</v>
      </c>
      <c r="AG22" s="5">
        <f t="shared" si="30"/>
        <v>11799199.313172115</v>
      </c>
      <c r="AH22" s="5">
        <f t="shared" si="30"/>
        <v>11799199.313172115</v>
      </c>
      <c r="AI22" s="5">
        <f t="shared" si="30"/>
        <v>11799199.313172115</v>
      </c>
      <c r="AJ22" s="5">
        <f t="shared" si="30"/>
        <v>11799199.313172115</v>
      </c>
      <c r="AK22" s="5">
        <f t="shared" si="30"/>
        <v>11799199.313172115</v>
      </c>
      <c r="AL22" s="5">
        <f t="shared" si="30"/>
        <v>11799199.313172115</v>
      </c>
      <c r="AM22" s="5">
        <f t="shared" si="30"/>
        <v>11799199.313172115</v>
      </c>
      <c r="AN22" s="5">
        <f t="shared" si="30"/>
        <v>11799199.313172115</v>
      </c>
      <c r="AO22" s="5">
        <f t="shared" si="30"/>
        <v>11799199.313172115</v>
      </c>
      <c r="AP22" s="5">
        <f t="shared" si="30"/>
        <v>11799199.313172115</v>
      </c>
      <c r="AQ22" s="5">
        <f t="shared" si="30"/>
        <v>11799199.313172115</v>
      </c>
      <c r="AR22" s="5">
        <f t="shared" si="30"/>
        <v>11799199.313172115</v>
      </c>
      <c r="AS22" s="5">
        <f t="shared" si="30"/>
        <v>11799199.313172115</v>
      </c>
      <c r="AT22" s="5">
        <f t="shared" si="30"/>
        <v>11799199.313172115</v>
      </c>
      <c r="AU22" s="5">
        <f t="shared" si="30"/>
        <v>11799199.313172115</v>
      </c>
      <c r="AV22" s="5">
        <f t="shared" si="30"/>
        <v>11799199.313172115</v>
      </c>
      <c r="AW22" s="5">
        <f t="shared" si="30"/>
        <v>11799199.313172115</v>
      </c>
      <c r="AX22" s="5">
        <f t="shared" si="30"/>
        <v>11799199.313172115</v>
      </c>
      <c r="AY22" s="5">
        <f t="shared" si="30"/>
        <v>11799199.313172115</v>
      </c>
      <c r="AZ22" s="5">
        <f t="shared" si="30"/>
        <v>11799199.313172115</v>
      </c>
      <c r="BA22" s="5">
        <f t="shared" si="30"/>
        <v>11799199.313172115</v>
      </c>
      <c r="BB22" s="5">
        <f t="shared" si="30"/>
        <v>11799199.313172115</v>
      </c>
      <c r="BC22" s="5">
        <f t="shared" si="30"/>
        <v>11799199.313172115</v>
      </c>
      <c r="BD22" s="5">
        <f t="shared" si="30"/>
        <v>11799199.313172115</v>
      </c>
      <c r="BE22" s="5">
        <f t="shared" si="30"/>
        <v>11799199.313172115</v>
      </c>
      <c r="BF22" s="5">
        <f t="shared" si="30"/>
        <v>11799199.313172115</v>
      </c>
      <c r="BG22" s="5">
        <f t="shared" si="30"/>
        <v>11799199.313172115</v>
      </c>
      <c r="BH22" s="5">
        <f t="shared" si="30"/>
        <v>11799199.313172115</v>
      </c>
      <c r="BI22" s="5">
        <f t="shared" si="30"/>
        <v>11799199.313172115</v>
      </c>
      <c r="BJ22" s="5">
        <f t="shared" si="30"/>
        <v>11799199.313172115</v>
      </c>
      <c r="BK22" s="5">
        <f t="shared" si="30"/>
        <v>11799199.313172115</v>
      </c>
      <c r="BL22" s="5">
        <f t="shared" si="30"/>
        <v>11799199.313172115</v>
      </c>
      <c r="BM22" s="5">
        <f t="shared" si="30"/>
        <v>11799199.313172115</v>
      </c>
      <c r="BN22" s="5">
        <f t="shared" si="30"/>
        <v>11799199.313172115</v>
      </c>
      <c r="BO22" s="5">
        <f t="shared" si="30"/>
        <v>11799199.313172115</v>
      </c>
      <c r="BP22" s="5">
        <f t="shared" si="29"/>
        <v>11799199.313172115</v>
      </c>
      <c r="BQ22" s="5">
        <f t="shared" si="29"/>
        <v>11799199.313172115</v>
      </c>
      <c r="BR22" s="5">
        <f t="shared" si="29"/>
        <v>11799199.313172115</v>
      </c>
      <c r="BS22" s="5">
        <f t="shared" si="29"/>
        <v>11799199.313172115</v>
      </c>
      <c r="BT22" s="5">
        <f t="shared" si="29"/>
        <v>11799199.313172115</v>
      </c>
      <c r="BU22" s="5">
        <f t="shared" si="29"/>
        <v>11799199.313172115</v>
      </c>
      <c r="BV22" s="5">
        <f t="shared" si="29"/>
        <v>11799199.313172115</v>
      </c>
      <c r="BW22" s="5">
        <f t="shared" si="29"/>
        <v>11799199.313172115</v>
      </c>
      <c r="BX22" s="5">
        <f t="shared" si="29"/>
        <v>11799199.313172115</v>
      </c>
      <c r="BY22" s="5">
        <f t="shared" si="29"/>
        <v>11799199.313172115</v>
      </c>
      <c r="BZ22" s="5">
        <f t="shared" si="29"/>
        <v>11799199.313172115</v>
      </c>
      <c r="CA22" s="5">
        <f t="shared" si="29"/>
        <v>11799199.313172115</v>
      </c>
      <c r="CB22" s="5">
        <f t="shared" si="29"/>
        <v>11799199.313172115</v>
      </c>
      <c r="CC22" s="5">
        <f t="shared" si="29"/>
        <v>11799199.313172115</v>
      </c>
      <c r="CD22" s="5">
        <f t="shared" si="29"/>
        <v>11799199.313172115</v>
      </c>
      <c r="CE22" s="5">
        <f t="shared" si="29"/>
        <v>11799199.313172115</v>
      </c>
      <c r="CF22" s="5">
        <f t="shared" si="29"/>
        <v>11799199.313172115</v>
      </c>
      <c r="CG22" s="5">
        <f t="shared" si="29"/>
        <v>11799199.313172115</v>
      </c>
      <c r="CH22" s="5">
        <f t="shared" si="29"/>
        <v>11799199.313172115</v>
      </c>
      <c r="CI22" s="5">
        <f t="shared" si="29"/>
        <v>11799199.313172115</v>
      </c>
      <c r="CJ22" s="5">
        <f t="shared" si="29"/>
        <v>11799199.313172115</v>
      </c>
      <c r="CK22" s="5">
        <f t="shared" si="29"/>
        <v>11799199.313172115</v>
      </c>
      <c r="CL22" s="5">
        <f t="shared" si="29"/>
        <v>11799199.313172115</v>
      </c>
      <c r="CM22" s="5">
        <f t="shared" si="29"/>
        <v>11799199.313172115</v>
      </c>
      <c r="CN22" s="5">
        <f t="shared" si="29"/>
        <v>11799199.313172115</v>
      </c>
      <c r="CO22" s="5">
        <f t="shared" si="29"/>
        <v>11799199.313172115</v>
      </c>
      <c r="CP22" s="5">
        <f t="shared" si="29"/>
        <v>11799199.313172115</v>
      </c>
      <c r="CQ22" s="5">
        <f t="shared" si="29"/>
        <v>11799199.313172115</v>
      </c>
      <c r="CR22" s="5">
        <f t="shared" si="29"/>
        <v>11799199.313172115</v>
      </c>
      <c r="CS22" s="5">
        <f t="shared" si="29"/>
        <v>11799199.313172115</v>
      </c>
      <c r="CT22" s="5">
        <f t="shared" si="29"/>
        <v>11799199.313172115</v>
      </c>
      <c r="CU22" s="5">
        <f t="shared" si="29"/>
        <v>11799199.313172115</v>
      </c>
      <c r="CV22" s="5">
        <f t="shared" si="29"/>
        <v>11799199.313172115</v>
      </c>
      <c r="CW22" s="5">
        <f t="shared" si="29"/>
        <v>11799199.313172115</v>
      </c>
      <c r="CX22" s="5">
        <f t="shared" si="29"/>
        <v>11799199.313172115</v>
      </c>
      <c r="CY22" s="5">
        <f t="shared" si="29"/>
        <v>11799199.313172115</v>
      </c>
      <c r="CZ22" s="5">
        <f t="shared" si="29"/>
        <v>11799199.313172115</v>
      </c>
      <c r="DA22" s="5">
        <f t="shared" si="29"/>
        <v>11799199.313172115</v>
      </c>
      <c r="DB22" s="5">
        <f t="shared" si="29"/>
        <v>11799199.313172115</v>
      </c>
      <c r="DC22" s="5">
        <f t="shared" si="29"/>
        <v>11799199.313172115</v>
      </c>
      <c r="DD22" s="5">
        <f t="shared" si="29"/>
        <v>11799199.313172115</v>
      </c>
      <c r="DE22" s="5">
        <f t="shared" si="29"/>
        <v>11799199.313172115</v>
      </c>
      <c r="DF22" s="5">
        <f t="shared" si="29"/>
        <v>11799199.313172115</v>
      </c>
      <c r="DG22" s="5">
        <f t="shared" si="29"/>
        <v>11799199.313172115</v>
      </c>
      <c r="DH22" s="5">
        <f t="shared" si="29"/>
        <v>11799199.313172115</v>
      </c>
      <c r="DI22" s="5">
        <f t="shared" si="29"/>
        <v>11799199.313172115</v>
      </c>
      <c r="DJ22" s="5">
        <f t="shared" si="29"/>
        <v>11799199.313172115</v>
      </c>
      <c r="DK22" s="5">
        <f t="shared" si="29"/>
        <v>11799199.313172115</v>
      </c>
      <c r="DL22" s="5">
        <f t="shared" si="29"/>
        <v>11799199.313172115</v>
      </c>
      <c r="DM22" s="5">
        <f t="shared" si="29"/>
        <v>11799199.313172115</v>
      </c>
      <c r="DN22" s="5">
        <f t="shared" si="29"/>
        <v>11799199.313172115</v>
      </c>
      <c r="DO22" s="5">
        <f t="shared" si="29"/>
        <v>11799199.313172115</v>
      </c>
      <c r="DP22" s="5">
        <f t="shared" si="29"/>
        <v>11799199.313172115</v>
      </c>
      <c r="DQ22" s="5">
        <f t="shared" si="29"/>
        <v>11799199.313172115</v>
      </c>
      <c r="DR22" s="5">
        <f t="shared" si="29"/>
        <v>11799199.313172115</v>
      </c>
      <c r="DS22" s="5">
        <f t="shared" si="29"/>
        <v>11799199.313172115</v>
      </c>
      <c r="DT22" s="5">
        <f t="shared" si="29"/>
        <v>11799199.313172115</v>
      </c>
      <c r="DU22" s="5">
        <f t="shared" si="29"/>
        <v>11799199.313172115</v>
      </c>
      <c r="DV22" s="5">
        <f t="shared" si="29"/>
        <v>11799199.313172115</v>
      </c>
      <c r="DW22" s="5">
        <f t="shared" si="29"/>
        <v>11799199.313172115</v>
      </c>
      <c r="DX22" s="5">
        <f t="shared" si="29"/>
        <v>11799199.313172115</v>
      </c>
      <c r="DY22" s="5">
        <f t="shared" si="29"/>
        <v>11799199.313172115</v>
      </c>
      <c r="DZ22" s="5">
        <f t="shared" si="29"/>
        <v>11799199.313172115</v>
      </c>
      <c r="EA22" s="13">
        <f>EA5*'BAU Heat Rate - 2020'!$D72</f>
        <v>11799199.313172115</v>
      </c>
      <c r="EB22" s="13">
        <f>EB5*'BAU Heat Rate - 2020'!$D72</f>
        <v>11799199.313172115</v>
      </c>
      <c r="EC22" s="13">
        <f>EC5*'BAU Heat Rate - 2020'!$D72</f>
        <v>11799199.313172115</v>
      </c>
      <c r="ED22" s="13">
        <f>ED5*'BAU Heat Rate - 2020'!$D72</f>
        <v>11799199.313172115</v>
      </c>
      <c r="EE22" s="13">
        <f>EE5*'BAU Heat Rate - 2020'!$D72</f>
        <v>11799199.313172115</v>
      </c>
      <c r="EF22" s="13">
        <f>EF5*'BAU Heat Rate - 2020'!$D72</f>
        <v>11799199.313172115</v>
      </c>
      <c r="EG22" s="13">
        <f>EG5*'BAU Heat Rate - 2020'!$D72</f>
        <v>11799199.313172115</v>
      </c>
      <c r="EH22" s="13">
        <f>EH5*'BAU Heat Rate - 2020'!$D72</f>
        <v>11799199.313172115</v>
      </c>
      <c r="EI22" s="13">
        <f>EI5*'BAU Heat Rate - 2020'!$D72</f>
        <v>11799199.313172115</v>
      </c>
      <c r="EJ22" s="13">
        <f>EJ5*'BAU Heat Rate - 2020'!$D72</f>
        <v>11799199.313172115</v>
      </c>
      <c r="EK22" s="13">
        <f>EK5*'BAU Heat Rate - 2020'!$D72</f>
        <v>11799199.313172115</v>
      </c>
      <c r="EL22" s="5">
        <f>EL5*'BAU Heat Rate - 2020'!$D72</f>
        <v>11799199.313172115</v>
      </c>
      <c r="EM22" s="5">
        <f>EM5*'BAU Heat Rate - 2020'!$D72</f>
        <v>11799199.313172115</v>
      </c>
      <c r="EN22" s="5">
        <f>EN5*'BAU Heat Rate - 2020'!$D72</f>
        <v>11799199.313172115</v>
      </c>
      <c r="EO22" s="5">
        <f>EO5*'BAU Heat Rate - 2020'!$D72</f>
        <v>11799199.313172115</v>
      </c>
      <c r="EP22" s="5">
        <f>EP5*'BAU Heat Rate - 2020'!$D72</f>
        <v>11799199.313172115</v>
      </c>
      <c r="EQ22" s="5">
        <f>EQ5*'BAU Heat Rate - 2020'!$D72</f>
        <v>11799199.313172115</v>
      </c>
      <c r="ER22" s="5">
        <f>ER5*'BAU Heat Rate - 2020'!$D72</f>
        <v>11799199.313172115</v>
      </c>
      <c r="ES22" s="5">
        <f>ES5*'BAU Heat Rate - 2020'!$D72</f>
        <v>11799199.313172115</v>
      </c>
      <c r="ET22" s="5">
        <f>ET5*'BAU Heat Rate - 2020'!$D72</f>
        <v>11799199.313172115</v>
      </c>
      <c r="EU22" s="5">
        <f>EU5*'BAU Heat Rate - 2020'!$D72</f>
        <v>11799199.313172115</v>
      </c>
      <c r="EV22" s="5">
        <f>EV5*'BAU Heat Rate - 2020'!$D72</f>
        <v>11799199.313172115</v>
      </c>
      <c r="EW22" s="5">
        <f>EW5*'BAU Heat Rate - 2020'!$D72</f>
        <v>11799199.313172115</v>
      </c>
      <c r="EX22" s="5">
        <f>EX5*'BAU Heat Rate - 2020'!$D72</f>
        <v>11799199.313172115</v>
      </c>
      <c r="EY22" s="5">
        <f>EY5*'BAU Heat Rate - 2020'!$D72</f>
        <v>11799199.313172115</v>
      </c>
      <c r="EZ22" s="5">
        <f>EZ5*'BAU Heat Rate - 2020'!$D72</f>
        <v>11799199.313172115</v>
      </c>
      <c r="FA22" s="5">
        <f>FA5*'BAU Heat Rate - 2020'!$D72</f>
        <v>11799199.313172115</v>
      </c>
      <c r="FB22" s="5">
        <f>FB5*'BAU Heat Rate - 2020'!$D72</f>
        <v>11799199.313172115</v>
      </c>
      <c r="FC22" s="5">
        <f>FC5*'BAU Heat Rate - 2020'!$D72</f>
        <v>11799199.313172115</v>
      </c>
      <c r="FD22" s="5">
        <f>FD5*'BAU Heat Rate - 2020'!$D72</f>
        <v>11799199.313172115</v>
      </c>
      <c r="FE22" s="5">
        <f>FE5*'BAU Heat Rate - 2020'!$D72</f>
        <v>11799199.313172115</v>
      </c>
      <c r="FF22" s="5">
        <f>FF5*'BAU Heat Rate - 2020'!$D72</f>
        <v>11799199.313172115</v>
      </c>
      <c r="FG22" s="5">
        <f>FG5*'BAU Heat Rate - 2020'!$D72</f>
        <v>11799199.313172115</v>
      </c>
      <c r="FH22" s="5">
        <f>FH5*'BAU Heat Rate - 2020'!$D72</f>
        <v>11799199.313172115</v>
      </c>
      <c r="FI22" s="5">
        <f>FI5*'BAU Heat Rate - 2020'!$D72</f>
        <v>11799199.313172115</v>
      </c>
      <c r="FJ22" s="5">
        <f>FJ5*'BAU Heat Rate - 2020'!$D72</f>
        <v>11799199.313172115</v>
      </c>
      <c r="FK22" s="5">
        <f>FK5*'BAU Heat Rate - 2020'!$D72</f>
        <v>11799199.313172115</v>
      </c>
      <c r="FL22" s="5">
        <f>FL5*'BAU Heat Rate - 2020'!$D72</f>
        <v>11799199.313172115</v>
      </c>
      <c r="FM22" s="5">
        <f>FM5*'BAU Heat Rate - 2020'!$D72</f>
        <v>11799199.313172115</v>
      </c>
      <c r="FN22" s="5">
        <f>FN5*'BAU Heat Rate - 2020'!$D72</f>
        <v>11799199.313172115</v>
      </c>
      <c r="FO22" s="5">
        <f>FO5*'BAU Heat Rate - 2020'!$D72</f>
        <v>11799199.313172115</v>
      </c>
      <c r="FP22" s="5">
        <f>FP5*'BAU Heat Rate - 2020'!$D72</f>
        <v>11799199.313172115</v>
      </c>
      <c r="FQ22" s="5">
        <f>FQ5*'BAU Heat Rate - 2020'!$D72</f>
        <v>11799199.313172115</v>
      </c>
      <c r="FR22" s="5">
        <f>FR5*'BAU Heat Rate - 2020'!$D72</f>
        <v>11799199.313172115</v>
      </c>
      <c r="FS22" s="5">
        <f>FS5*'BAU Heat Rate - 2020'!$D72</f>
        <v>11799199.313172115</v>
      </c>
      <c r="FT22" s="5">
        <f>FT5*'BAU Heat Rate - 2020'!$D72</f>
        <v>11799199.313172115</v>
      </c>
      <c r="FU22" s="5">
        <f>FU5*'BAU Heat Rate - 2020'!$D72</f>
        <v>11799199.313172115</v>
      </c>
      <c r="FV22" s="5">
        <f>FV5*'BAU Heat Rate - 2020'!$D72</f>
        <v>11799199.313172115</v>
      </c>
      <c r="FW22" s="5">
        <f>FW5*'BAU Heat Rate - 2020'!$D72</f>
        <v>11799199.313172115</v>
      </c>
      <c r="FX22" s="5">
        <f>FX5*'BAU Heat Rate - 2020'!$D72</f>
        <v>11799199.313172115</v>
      </c>
      <c r="FY22" s="5">
        <f>FY5*'BAU Heat Rate - 2020'!$D72</f>
        <v>11799199.313172115</v>
      </c>
      <c r="FZ22" s="5">
        <f>FZ5*'BAU Heat Rate - 2020'!$D72</f>
        <v>11799199.313172115</v>
      </c>
      <c r="GA22" s="5">
        <f>GA5*'BAU Heat Rate - 2020'!$D72</f>
        <v>11799199.313172115</v>
      </c>
      <c r="GB22" s="5">
        <f>GB5*'BAU Heat Rate - 2020'!$D72</f>
        <v>11799199.313172115</v>
      </c>
      <c r="GC22" s="5">
        <f>GC5*'BAU Heat Rate - 2020'!$D72</f>
        <v>11799199.313172115</v>
      </c>
      <c r="GD22" s="5">
        <f>GD5*'BAU Heat Rate - 2020'!$D72</f>
        <v>11799199.313172115</v>
      </c>
      <c r="GE22" s="5">
        <f>GE5*'BAU Heat Rate - 2020'!$D72</f>
        <v>11799199.313172115</v>
      </c>
      <c r="GF22" s="5">
        <f>GF5*'BAU Heat Rate - 2020'!$D72</f>
        <v>11799199.313172115</v>
      </c>
      <c r="GG22" s="5">
        <f>GG5*'BAU Heat Rate - 2020'!$D72</f>
        <v>11799199.313172115</v>
      </c>
      <c r="GH22" s="5">
        <f>GH5*'BAU Heat Rate - 2020'!$D72</f>
        <v>11799199.313172115</v>
      </c>
      <c r="GI22" s="5">
        <f>GI5*'BAU Heat Rate - 2020'!$D72</f>
        <v>11799199.313172115</v>
      </c>
      <c r="GJ22" s="5">
        <f>GJ5*'BAU Heat Rate - 2020'!$D72</f>
        <v>11799199.313172115</v>
      </c>
      <c r="GK22" s="5">
        <f>GK5*'BAU Heat Rate - 2020'!$D72</f>
        <v>11799199.313172115</v>
      </c>
      <c r="GL22" s="5">
        <f>GL5*'BAU Heat Rate - 2020'!$D72</f>
        <v>11799199.313172115</v>
      </c>
      <c r="GM22" s="5">
        <f>GM5*'BAU Heat Rate - 2020'!$D72</f>
        <v>11799199.313172115</v>
      </c>
      <c r="GN22" s="5">
        <f>GN5*'BAU Heat Rate - 2020'!$D72</f>
        <v>11799199.313172115</v>
      </c>
      <c r="GO22" s="5">
        <f>GO5*'BAU Heat Rate - 2020'!$D72</f>
        <v>11799199.313172115</v>
      </c>
      <c r="GP22" s="5">
        <f>GP5*'BAU Heat Rate - 2020'!$D72</f>
        <v>11799199.313172115</v>
      </c>
      <c r="GQ22" s="5">
        <f>GQ5*'BAU Heat Rate - 2020'!$D72</f>
        <v>11799199.313172115</v>
      </c>
      <c r="GR22" s="5">
        <f>GR5*'BAU Heat Rate - 2020'!$D72</f>
        <v>11799199.313172115</v>
      </c>
      <c r="GS22" s="5">
        <f>GS5*'BAU Heat Rate - 2020'!$D72</f>
        <v>11799199.313172115</v>
      </c>
      <c r="GT22" s="5">
        <f>GT5*'BAU Heat Rate - 2020'!$D72</f>
        <v>11799199.313172115</v>
      </c>
      <c r="GU22" s="5">
        <f>GU5*'BAU Heat Rate - 2020'!$D72</f>
        <v>11799199.313172115</v>
      </c>
      <c r="GV22" s="5">
        <f>GV5*'BAU Heat Rate - 2020'!$D72</f>
        <v>11799199.313172115</v>
      </c>
      <c r="GW22" s="5">
        <f>GW5*'BAU Heat Rate - 2020'!$D72</f>
        <v>11799199.313172115</v>
      </c>
      <c r="GX22" s="5">
        <f>GX5*'BAU Heat Rate - 2020'!$D72</f>
        <v>11799199.313172115</v>
      </c>
      <c r="GY22" s="5">
        <f>GY5*'BAU Heat Rate - 2020'!$D72</f>
        <v>11799199.313172115</v>
      </c>
      <c r="GZ22" s="5">
        <f>GZ5*'BAU Heat Rate - 2020'!$D72</f>
        <v>11799199.313172115</v>
      </c>
      <c r="HA22" s="5">
        <f>HA5*'BAU Heat Rate - 2020'!$D72</f>
        <v>11799199.313172115</v>
      </c>
      <c r="HB22" s="5">
        <f>HB5*'BAU Heat Rate - 2020'!$D72</f>
        <v>11799199.313172115</v>
      </c>
      <c r="HC22" s="5">
        <f>HC5*'BAU Heat Rate - 2020'!$D72</f>
        <v>11799199.313172115</v>
      </c>
    </row>
    <row r="23" spans="1:211">
      <c r="A23" t="s">
        <v>110</v>
      </c>
      <c r="B23" s="5">
        <f t="shared" si="17"/>
        <v>11012656.789687</v>
      </c>
      <c r="C23" s="5">
        <f t="shared" si="22"/>
        <v>11012656.789687</v>
      </c>
      <c r="D23" s="5">
        <f t="shared" si="30"/>
        <v>11012656.789687</v>
      </c>
      <c r="E23" s="5">
        <f t="shared" si="30"/>
        <v>11012656.789687</v>
      </c>
      <c r="F23" s="5">
        <f t="shared" si="30"/>
        <v>11012656.789687</v>
      </c>
      <c r="G23" s="5">
        <f t="shared" si="30"/>
        <v>11012656.789687</v>
      </c>
      <c r="H23" s="5">
        <f t="shared" si="30"/>
        <v>11012656.789687</v>
      </c>
      <c r="I23" s="5">
        <f t="shared" si="30"/>
        <v>11012656.789687</v>
      </c>
      <c r="J23" s="5">
        <f t="shared" si="30"/>
        <v>11012656.789687</v>
      </c>
      <c r="K23" s="5">
        <f t="shared" si="30"/>
        <v>11012656.789687</v>
      </c>
      <c r="L23" s="5">
        <f t="shared" si="30"/>
        <v>11012656.789687</v>
      </c>
      <c r="M23" s="5">
        <f t="shared" si="30"/>
        <v>11012656.789687</v>
      </c>
      <c r="N23" s="5">
        <f t="shared" si="30"/>
        <v>11012656.789687</v>
      </c>
      <c r="O23" s="5">
        <f t="shared" si="30"/>
        <v>11012656.789687</v>
      </c>
      <c r="P23" s="5">
        <f t="shared" si="30"/>
        <v>11012656.789687</v>
      </c>
      <c r="Q23" s="5">
        <f t="shared" si="30"/>
        <v>11012656.789687</v>
      </c>
      <c r="R23" s="5">
        <f t="shared" si="30"/>
        <v>11012656.789687</v>
      </c>
      <c r="S23" s="5">
        <f t="shared" si="30"/>
        <v>11012656.789687</v>
      </c>
      <c r="T23" s="5">
        <f t="shared" si="30"/>
        <v>11012656.789687</v>
      </c>
      <c r="U23" s="5">
        <f t="shared" si="30"/>
        <v>11012656.789687</v>
      </c>
      <c r="V23" s="5">
        <f t="shared" si="30"/>
        <v>11012656.789687</v>
      </c>
      <c r="W23" s="5">
        <f t="shared" si="30"/>
        <v>11012656.789687</v>
      </c>
      <c r="X23" s="5">
        <f t="shared" si="30"/>
        <v>11012656.789687</v>
      </c>
      <c r="Y23" s="5">
        <f t="shared" si="30"/>
        <v>11012656.789687</v>
      </c>
      <c r="Z23" s="5">
        <f t="shared" si="30"/>
        <v>11012656.789687</v>
      </c>
      <c r="AA23" s="5">
        <f t="shared" si="30"/>
        <v>11012656.789687</v>
      </c>
      <c r="AB23" s="5">
        <f t="shared" si="30"/>
        <v>11012656.789687</v>
      </c>
      <c r="AC23" s="5">
        <f t="shared" si="30"/>
        <v>11012656.789687</v>
      </c>
      <c r="AD23" s="5">
        <f t="shared" si="30"/>
        <v>11012656.789687</v>
      </c>
      <c r="AE23" s="5">
        <f t="shared" si="30"/>
        <v>11012656.789687</v>
      </c>
      <c r="AF23" s="5">
        <f t="shared" si="30"/>
        <v>11012656.789687</v>
      </c>
      <c r="AG23" s="5">
        <f t="shared" si="30"/>
        <v>11012656.789687</v>
      </c>
      <c r="AH23" s="5">
        <f t="shared" si="30"/>
        <v>11012656.789687</v>
      </c>
      <c r="AI23" s="5">
        <f t="shared" si="30"/>
        <v>11012656.789687</v>
      </c>
      <c r="AJ23" s="5">
        <f t="shared" si="30"/>
        <v>11012656.789687</v>
      </c>
      <c r="AK23" s="5">
        <f t="shared" si="30"/>
        <v>11012656.789687</v>
      </c>
      <c r="AL23" s="5">
        <f t="shared" si="30"/>
        <v>11012656.789687</v>
      </c>
      <c r="AM23" s="5">
        <f t="shared" si="30"/>
        <v>11012656.789687</v>
      </c>
      <c r="AN23" s="5">
        <f t="shared" si="30"/>
        <v>11012656.789687</v>
      </c>
      <c r="AO23" s="5">
        <f t="shared" si="30"/>
        <v>11012656.789687</v>
      </c>
      <c r="AP23" s="5">
        <f t="shared" si="30"/>
        <v>11012656.789687</v>
      </c>
      <c r="AQ23" s="5">
        <f t="shared" si="30"/>
        <v>11012656.789687</v>
      </c>
      <c r="AR23" s="5">
        <f t="shared" si="30"/>
        <v>11012656.789687</v>
      </c>
      <c r="AS23" s="5">
        <f t="shared" si="30"/>
        <v>11012656.789687</v>
      </c>
      <c r="AT23" s="5">
        <f t="shared" si="30"/>
        <v>11012656.789687</v>
      </c>
      <c r="AU23" s="5">
        <f t="shared" si="30"/>
        <v>11012656.789687</v>
      </c>
      <c r="AV23" s="5">
        <f t="shared" si="30"/>
        <v>11012656.789687</v>
      </c>
      <c r="AW23" s="5">
        <f t="shared" si="30"/>
        <v>11012656.789687</v>
      </c>
      <c r="AX23" s="5">
        <f t="shared" si="30"/>
        <v>11012656.789687</v>
      </c>
      <c r="AY23" s="5">
        <f t="shared" si="30"/>
        <v>11012656.789687</v>
      </c>
      <c r="AZ23" s="5">
        <f t="shared" si="30"/>
        <v>11012656.789687</v>
      </c>
      <c r="BA23" s="5">
        <f t="shared" si="30"/>
        <v>11012656.789687</v>
      </c>
      <c r="BB23" s="5">
        <f t="shared" si="30"/>
        <v>11012656.789687</v>
      </c>
      <c r="BC23" s="5">
        <f t="shared" si="30"/>
        <v>11012656.789687</v>
      </c>
      <c r="BD23" s="5">
        <f t="shared" si="30"/>
        <v>11012656.789687</v>
      </c>
      <c r="BE23" s="5">
        <f t="shared" si="30"/>
        <v>11012656.789687</v>
      </c>
      <c r="BF23" s="5">
        <f t="shared" si="30"/>
        <v>11012656.789687</v>
      </c>
      <c r="BG23" s="5">
        <f t="shared" si="30"/>
        <v>11012656.789687</v>
      </c>
      <c r="BH23" s="5">
        <f t="shared" si="30"/>
        <v>11012656.789687</v>
      </c>
      <c r="BI23" s="5">
        <f t="shared" si="30"/>
        <v>11012656.789687</v>
      </c>
      <c r="BJ23" s="5">
        <f t="shared" si="30"/>
        <v>11012656.789687</v>
      </c>
      <c r="BK23" s="5">
        <f t="shared" si="30"/>
        <v>11012656.789687</v>
      </c>
      <c r="BL23" s="5">
        <f t="shared" si="30"/>
        <v>11012656.789687</v>
      </c>
      <c r="BM23" s="5">
        <f t="shared" si="30"/>
        <v>11012656.789687</v>
      </c>
      <c r="BN23" s="5">
        <f t="shared" si="30"/>
        <v>11012656.789687</v>
      </c>
      <c r="BO23" s="5">
        <f t="shared" si="30"/>
        <v>11012656.789687</v>
      </c>
      <c r="BP23" s="5">
        <f t="shared" si="29"/>
        <v>11012656.789687</v>
      </c>
      <c r="BQ23" s="5">
        <f t="shared" si="29"/>
        <v>11012656.789687</v>
      </c>
      <c r="BR23" s="5">
        <f t="shared" si="29"/>
        <v>11012656.789687</v>
      </c>
      <c r="BS23" s="5">
        <f t="shared" si="29"/>
        <v>11012656.789687</v>
      </c>
      <c r="BT23" s="5">
        <f t="shared" si="29"/>
        <v>11012656.789687</v>
      </c>
      <c r="BU23" s="5">
        <f t="shared" si="29"/>
        <v>11012656.789687</v>
      </c>
      <c r="BV23" s="5">
        <f t="shared" si="29"/>
        <v>11012656.789687</v>
      </c>
      <c r="BW23" s="5">
        <f t="shared" si="29"/>
        <v>11012656.789687</v>
      </c>
      <c r="BX23" s="5">
        <f t="shared" si="29"/>
        <v>11012656.789687</v>
      </c>
      <c r="BY23" s="5">
        <f t="shared" si="29"/>
        <v>11012656.789687</v>
      </c>
      <c r="BZ23" s="5">
        <f t="shared" si="29"/>
        <v>11012656.789687</v>
      </c>
      <c r="CA23" s="5">
        <f t="shared" si="29"/>
        <v>11012656.789687</v>
      </c>
      <c r="CB23" s="5">
        <f t="shared" si="29"/>
        <v>11012656.789687</v>
      </c>
      <c r="CC23" s="5">
        <f t="shared" si="29"/>
        <v>11012656.789687</v>
      </c>
      <c r="CD23" s="5">
        <f t="shared" si="29"/>
        <v>11012656.789687</v>
      </c>
      <c r="CE23" s="5">
        <f t="shared" si="29"/>
        <v>11012656.789687</v>
      </c>
      <c r="CF23" s="5">
        <f t="shared" si="29"/>
        <v>11012656.789687</v>
      </c>
      <c r="CG23" s="5">
        <f t="shared" si="29"/>
        <v>11012656.789687</v>
      </c>
      <c r="CH23" s="5">
        <f t="shared" si="29"/>
        <v>11012656.789687</v>
      </c>
      <c r="CI23" s="5">
        <f t="shared" si="29"/>
        <v>11012656.789687</v>
      </c>
      <c r="CJ23" s="5">
        <f t="shared" si="29"/>
        <v>11012656.789687</v>
      </c>
      <c r="CK23" s="5">
        <f t="shared" si="29"/>
        <v>11012656.789687</v>
      </c>
      <c r="CL23" s="5">
        <f t="shared" si="29"/>
        <v>11012656.789687</v>
      </c>
      <c r="CM23" s="5">
        <f t="shared" si="29"/>
        <v>11012656.789687</v>
      </c>
      <c r="CN23" s="5">
        <f t="shared" si="29"/>
        <v>11012656.789687</v>
      </c>
      <c r="CO23" s="5">
        <f t="shared" si="29"/>
        <v>11012656.789687</v>
      </c>
      <c r="CP23" s="5">
        <f t="shared" si="29"/>
        <v>11012656.789687</v>
      </c>
      <c r="CQ23" s="5">
        <f t="shared" si="29"/>
        <v>11012656.789687</v>
      </c>
      <c r="CR23" s="5">
        <f t="shared" si="29"/>
        <v>11012656.789687</v>
      </c>
      <c r="CS23" s="5">
        <f t="shared" si="29"/>
        <v>11012656.789687</v>
      </c>
      <c r="CT23" s="5">
        <f t="shared" si="29"/>
        <v>11012656.789687</v>
      </c>
      <c r="CU23" s="5">
        <f t="shared" si="29"/>
        <v>11012656.789687</v>
      </c>
      <c r="CV23" s="5">
        <f t="shared" si="29"/>
        <v>11012656.789687</v>
      </c>
      <c r="CW23" s="5">
        <f t="shared" si="29"/>
        <v>11012656.789687</v>
      </c>
      <c r="CX23" s="5">
        <f t="shared" si="29"/>
        <v>11012656.789687</v>
      </c>
      <c r="CY23" s="5">
        <f t="shared" si="29"/>
        <v>11012656.789687</v>
      </c>
      <c r="CZ23" s="5">
        <f t="shared" si="29"/>
        <v>11012656.789687</v>
      </c>
      <c r="DA23" s="5">
        <f t="shared" si="29"/>
        <v>11012656.789687</v>
      </c>
      <c r="DB23" s="5">
        <f t="shared" si="29"/>
        <v>11012656.789687</v>
      </c>
      <c r="DC23" s="5">
        <f t="shared" si="29"/>
        <v>11012656.789687</v>
      </c>
      <c r="DD23" s="5">
        <f t="shared" si="29"/>
        <v>11012656.789687</v>
      </c>
      <c r="DE23" s="5">
        <f t="shared" si="29"/>
        <v>11012656.789687</v>
      </c>
      <c r="DF23" s="5">
        <f t="shared" si="29"/>
        <v>11012656.789687</v>
      </c>
      <c r="DG23" s="5">
        <f t="shared" si="29"/>
        <v>11012656.789687</v>
      </c>
      <c r="DH23" s="5">
        <f t="shared" si="29"/>
        <v>11012656.789687</v>
      </c>
      <c r="DI23" s="5">
        <f t="shared" si="29"/>
        <v>11012656.789687</v>
      </c>
      <c r="DJ23" s="5">
        <f t="shared" si="29"/>
        <v>11012656.789687</v>
      </c>
      <c r="DK23" s="5">
        <f t="shared" si="29"/>
        <v>11012656.789687</v>
      </c>
      <c r="DL23" s="5">
        <f t="shared" si="29"/>
        <v>11012656.789687</v>
      </c>
      <c r="DM23" s="5">
        <f t="shared" si="29"/>
        <v>11012656.789687</v>
      </c>
      <c r="DN23" s="5">
        <f t="shared" si="29"/>
        <v>11012656.789687</v>
      </c>
      <c r="DO23" s="5">
        <f t="shared" si="29"/>
        <v>11012656.789687</v>
      </c>
      <c r="DP23" s="5">
        <f t="shared" si="29"/>
        <v>11012656.789687</v>
      </c>
      <c r="DQ23" s="5">
        <f t="shared" si="29"/>
        <v>11012656.789687</v>
      </c>
      <c r="DR23" s="5">
        <f t="shared" si="29"/>
        <v>11012656.789687</v>
      </c>
      <c r="DS23" s="5">
        <f t="shared" si="29"/>
        <v>11012656.789687</v>
      </c>
      <c r="DT23" s="5">
        <f t="shared" si="29"/>
        <v>11012656.789687</v>
      </c>
      <c r="DU23" s="5">
        <f t="shared" si="29"/>
        <v>11012656.789687</v>
      </c>
      <c r="DV23" s="5">
        <f t="shared" si="29"/>
        <v>11012656.789687</v>
      </c>
      <c r="DW23" s="5">
        <f t="shared" si="29"/>
        <v>11012656.789687</v>
      </c>
      <c r="DX23" s="5">
        <f t="shared" si="29"/>
        <v>11012656.789687</v>
      </c>
      <c r="DY23" s="5">
        <f t="shared" si="29"/>
        <v>11012656.789687</v>
      </c>
      <c r="DZ23" s="5">
        <f t="shared" si="29"/>
        <v>11012656.789687</v>
      </c>
      <c r="EA23" s="5">
        <f>EA5</f>
        <v>11012656.789687</v>
      </c>
      <c r="EB23" s="5">
        <f t="shared" ref="EB23:GM23" si="31">EB5</f>
        <v>11012656.789687</v>
      </c>
      <c r="EC23" s="5">
        <f t="shared" si="31"/>
        <v>11012656.789687</v>
      </c>
      <c r="ED23" s="5">
        <f t="shared" si="31"/>
        <v>11012656.789687</v>
      </c>
      <c r="EE23" s="5">
        <f t="shared" si="31"/>
        <v>11012656.789687</v>
      </c>
      <c r="EF23" s="5">
        <f t="shared" si="31"/>
        <v>11012656.789687</v>
      </c>
      <c r="EG23" s="5">
        <f t="shared" si="31"/>
        <v>11012656.789687</v>
      </c>
      <c r="EH23" s="5">
        <f t="shared" si="31"/>
        <v>11012656.789687</v>
      </c>
      <c r="EI23" s="5">
        <f t="shared" si="31"/>
        <v>11012656.789687</v>
      </c>
      <c r="EJ23" s="5">
        <f t="shared" si="31"/>
        <v>11012656.789687</v>
      </c>
      <c r="EK23" s="5">
        <f t="shared" si="31"/>
        <v>11012656.789687</v>
      </c>
      <c r="EL23" s="5">
        <f t="shared" si="31"/>
        <v>11012656.789687</v>
      </c>
      <c r="EM23" s="5">
        <f t="shared" si="31"/>
        <v>11012656.789687</v>
      </c>
      <c r="EN23" s="5">
        <f t="shared" si="31"/>
        <v>11012656.789687</v>
      </c>
      <c r="EO23" s="5">
        <f t="shared" si="31"/>
        <v>11012656.789687</v>
      </c>
      <c r="EP23" s="5">
        <f t="shared" si="31"/>
        <v>11012656.789687</v>
      </c>
      <c r="EQ23" s="5">
        <f t="shared" si="31"/>
        <v>11012656.789687</v>
      </c>
      <c r="ER23" s="5">
        <f t="shared" si="31"/>
        <v>11012656.789687</v>
      </c>
      <c r="ES23" s="5">
        <f t="shared" si="31"/>
        <v>11012656.789687</v>
      </c>
      <c r="ET23" s="5">
        <f t="shared" si="31"/>
        <v>11012656.789687</v>
      </c>
      <c r="EU23" s="5">
        <f t="shared" si="31"/>
        <v>11012656.789687</v>
      </c>
      <c r="EV23" s="5">
        <f t="shared" si="31"/>
        <v>11012656.789687</v>
      </c>
      <c r="EW23" s="5">
        <f t="shared" si="31"/>
        <v>11012656.789687</v>
      </c>
      <c r="EX23" s="5">
        <f t="shared" si="31"/>
        <v>11012656.789687</v>
      </c>
      <c r="EY23" s="5">
        <f t="shared" si="31"/>
        <v>11012656.789687</v>
      </c>
      <c r="EZ23" s="5">
        <f t="shared" si="31"/>
        <v>11012656.789687</v>
      </c>
      <c r="FA23" s="5">
        <f t="shared" si="31"/>
        <v>11012656.789687</v>
      </c>
      <c r="FB23" s="5">
        <f t="shared" si="31"/>
        <v>11012656.789687</v>
      </c>
      <c r="FC23" s="5">
        <f t="shared" si="31"/>
        <v>11012656.789687</v>
      </c>
      <c r="FD23" s="5">
        <f t="shared" si="31"/>
        <v>11012656.789687</v>
      </c>
      <c r="FE23" s="5">
        <f t="shared" si="31"/>
        <v>11012656.789687</v>
      </c>
      <c r="FF23" s="5">
        <f t="shared" si="31"/>
        <v>11012656.789687</v>
      </c>
      <c r="FG23" s="5">
        <f t="shared" si="31"/>
        <v>11012656.789687</v>
      </c>
      <c r="FH23" s="5">
        <f t="shared" si="31"/>
        <v>11012656.789687</v>
      </c>
      <c r="FI23" s="5">
        <f t="shared" si="31"/>
        <v>11012656.789687</v>
      </c>
      <c r="FJ23" s="5">
        <f t="shared" si="31"/>
        <v>11012656.789687</v>
      </c>
      <c r="FK23" s="5">
        <f t="shared" si="31"/>
        <v>11012656.789687</v>
      </c>
      <c r="FL23" s="5">
        <f t="shared" si="31"/>
        <v>11012656.789687</v>
      </c>
      <c r="FM23" s="5">
        <f t="shared" si="31"/>
        <v>11012656.789687</v>
      </c>
      <c r="FN23" s="5">
        <f t="shared" si="31"/>
        <v>11012656.789687</v>
      </c>
      <c r="FO23" s="5">
        <f t="shared" si="31"/>
        <v>11012656.789687</v>
      </c>
      <c r="FP23" s="5">
        <f t="shared" si="31"/>
        <v>11012656.789687</v>
      </c>
      <c r="FQ23" s="5">
        <f t="shared" si="31"/>
        <v>11012656.789687</v>
      </c>
      <c r="FR23" s="5">
        <f t="shared" si="31"/>
        <v>11012656.789687</v>
      </c>
      <c r="FS23" s="5">
        <f t="shared" si="31"/>
        <v>11012656.789687</v>
      </c>
      <c r="FT23" s="5">
        <f t="shared" si="31"/>
        <v>11012656.789687</v>
      </c>
      <c r="FU23" s="5">
        <f t="shared" si="31"/>
        <v>11012656.789687</v>
      </c>
      <c r="FV23" s="5">
        <f t="shared" si="31"/>
        <v>11012656.789687</v>
      </c>
      <c r="FW23" s="5">
        <f t="shared" si="31"/>
        <v>11012656.789687</v>
      </c>
      <c r="FX23" s="5">
        <f t="shared" si="31"/>
        <v>11012656.789687</v>
      </c>
      <c r="FY23" s="5">
        <f t="shared" si="31"/>
        <v>11012656.789687</v>
      </c>
      <c r="FZ23" s="5">
        <f t="shared" si="31"/>
        <v>11012656.789687</v>
      </c>
      <c r="GA23" s="5">
        <f t="shared" si="31"/>
        <v>11012656.789687</v>
      </c>
      <c r="GB23" s="5">
        <f t="shared" si="31"/>
        <v>11012656.789687</v>
      </c>
      <c r="GC23" s="5">
        <f t="shared" si="31"/>
        <v>11012656.789687</v>
      </c>
      <c r="GD23" s="5">
        <f t="shared" si="31"/>
        <v>11012656.789687</v>
      </c>
      <c r="GE23" s="5">
        <f t="shared" si="31"/>
        <v>11012656.789687</v>
      </c>
      <c r="GF23" s="5">
        <f t="shared" si="31"/>
        <v>11012656.789687</v>
      </c>
      <c r="GG23" s="5">
        <f t="shared" si="31"/>
        <v>11012656.789687</v>
      </c>
      <c r="GH23" s="5">
        <f t="shared" si="31"/>
        <v>11012656.789687</v>
      </c>
      <c r="GI23" s="5">
        <f t="shared" si="31"/>
        <v>11012656.789687</v>
      </c>
      <c r="GJ23" s="5">
        <f t="shared" si="31"/>
        <v>11012656.789687</v>
      </c>
      <c r="GK23" s="5">
        <f t="shared" si="31"/>
        <v>11012656.789687</v>
      </c>
      <c r="GL23" s="5">
        <f t="shared" si="31"/>
        <v>11012656.789687</v>
      </c>
      <c r="GM23" s="5">
        <f t="shared" si="31"/>
        <v>11012656.789687</v>
      </c>
      <c r="GN23" s="5">
        <f t="shared" ref="GN23:HC23" si="32">GN5</f>
        <v>11012656.789687</v>
      </c>
      <c r="GO23" s="5">
        <f t="shared" si="32"/>
        <v>11012656.789687</v>
      </c>
      <c r="GP23" s="5">
        <f t="shared" si="32"/>
        <v>11012656.789687</v>
      </c>
      <c r="GQ23" s="5">
        <f t="shared" si="32"/>
        <v>11012656.789687</v>
      </c>
      <c r="GR23" s="5">
        <f t="shared" si="32"/>
        <v>11012656.789687</v>
      </c>
      <c r="GS23" s="5">
        <f t="shared" si="32"/>
        <v>11012656.789687</v>
      </c>
      <c r="GT23" s="5">
        <f t="shared" si="32"/>
        <v>11012656.789687</v>
      </c>
      <c r="GU23" s="5">
        <f t="shared" si="32"/>
        <v>11012656.789687</v>
      </c>
      <c r="GV23" s="5">
        <f t="shared" si="32"/>
        <v>11012656.789687</v>
      </c>
      <c r="GW23" s="5">
        <f t="shared" si="32"/>
        <v>11012656.789687</v>
      </c>
      <c r="GX23" s="5">
        <f t="shared" si="32"/>
        <v>11012656.789687</v>
      </c>
      <c r="GY23" s="5">
        <f t="shared" si="32"/>
        <v>11012656.789687</v>
      </c>
      <c r="GZ23" s="5">
        <f t="shared" si="32"/>
        <v>11012656.789687</v>
      </c>
      <c r="HA23" s="5">
        <f t="shared" si="32"/>
        <v>11012656.789687</v>
      </c>
      <c r="HB23" s="5">
        <f t="shared" si="32"/>
        <v>11012656.789687</v>
      </c>
      <c r="HC23" s="5">
        <f t="shared" si="32"/>
        <v>11012656.789687</v>
      </c>
    </row>
    <row r="24" spans="1:211">
      <c r="A24" s="11" t="s">
        <v>111</v>
      </c>
      <c r="B24" s="5">
        <f t="shared" si="17"/>
        <v>12180262.409500001</v>
      </c>
      <c r="C24" s="5">
        <f t="shared" si="22"/>
        <v>12180262.409500001</v>
      </c>
      <c r="D24" s="5">
        <f t="shared" si="30"/>
        <v>12180262.409500001</v>
      </c>
      <c r="E24" s="5">
        <f t="shared" si="30"/>
        <v>12180262.409500001</v>
      </c>
      <c r="F24" s="5">
        <f t="shared" si="30"/>
        <v>12180262.409500001</v>
      </c>
      <c r="G24" s="5">
        <f t="shared" si="30"/>
        <v>12180262.409500001</v>
      </c>
      <c r="H24" s="5">
        <f t="shared" si="30"/>
        <v>12180262.409500001</v>
      </c>
      <c r="I24" s="5">
        <f t="shared" si="30"/>
        <v>12180262.409500001</v>
      </c>
      <c r="J24" s="5">
        <f t="shared" si="30"/>
        <v>12180262.409500001</v>
      </c>
      <c r="K24" s="5">
        <f t="shared" si="30"/>
        <v>12180262.409500001</v>
      </c>
      <c r="L24" s="5">
        <f t="shared" si="30"/>
        <v>12180262.409500001</v>
      </c>
      <c r="M24" s="5">
        <f t="shared" si="30"/>
        <v>12180262.409500001</v>
      </c>
      <c r="N24" s="5">
        <f t="shared" si="30"/>
        <v>12180262.409500001</v>
      </c>
      <c r="O24" s="5">
        <f t="shared" si="30"/>
        <v>12180262.409500001</v>
      </c>
      <c r="P24" s="5">
        <f t="shared" si="30"/>
        <v>12180262.409500001</v>
      </c>
      <c r="Q24" s="5">
        <f t="shared" si="30"/>
        <v>12180262.409500001</v>
      </c>
      <c r="R24" s="5">
        <f t="shared" si="30"/>
        <v>12180262.409500001</v>
      </c>
      <c r="S24" s="5">
        <f t="shared" si="30"/>
        <v>12180262.409500001</v>
      </c>
      <c r="T24" s="5">
        <f t="shared" si="30"/>
        <v>12180262.409500001</v>
      </c>
      <c r="U24" s="5">
        <f t="shared" si="30"/>
        <v>12180262.409500001</v>
      </c>
      <c r="V24" s="5">
        <f t="shared" si="30"/>
        <v>12180262.409500001</v>
      </c>
      <c r="W24" s="5">
        <f t="shared" si="30"/>
        <v>12180262.409500001</v>
      </c>
      <c r="X24" s="5">
        <f t="shared" si="30"/>
        <v>12180262.409500001</v>
      </c>
      <c r="Y24" s="5">
        <f t="shared" si="30"/>
        <v>12180262.409500001</v>
      </c>
      <c r="Z24" s="5">
        <f t="shared" si="30"/>
        <v>12180262.409500001</v>
      </c>
      <c r="AA24" s="5">
        <f t="shared" si="30"/>
        <v>12180262.409500001</v>
      </c>
      <c r="AB24" s="5">
        <f t="shared" si="30"/>
        <v>12180262.409500001</v>
      </c>
      <c r="AC24" s="5">
        <f t="shared" si="30"/>
        <v>12180262.409500001</v>
      </c>
      <c r="AD24" s="5">
        <f t="shared" si="30"/>
        <v>12180262.409500001</v>
      </c>
      <c r="AE24" s="5">
        <f t="shared" si="30"/>
        <v>12180262.409500001</v>
      </c>
      <c r="AF24" s="5">
        <f t="shared" si="30"/>
        <v>12180262.409500001</v>
      </c>
      <c r="AG24" s="5">
        <f t="shared" si="30"/>
        <v>12180262.409500001</v>
      </c>
      <c r="AH24" s="5">
        <f t="shared" si="30"/>
        <v>12180262.409500001</v>
      </c>
      <c r="AI24" s="5">
        <f t="shared" si="30"/>
        <v>12180262.409500001</v>
      </c>
      <c r="AJ24" s="5">
        <f t="shared" si="30"/>
        <v>12180262.409500001</v>
      </c>
      <c r="AK24" s="5">
        <f t="shared" si="30"/>
        <v>12180262.409500001</v>
      </c>
      <c r="AL24" s="5">
        <f t="shared" si="30"/>
        <v>12180262.409500001</v>
      </c>
      <c r="AM24" s="5">
        <f t="shared" si="30"/>
        <v>12180262.409500001</v>
      </c>
      <c r="AN24" s="5">
        <f t="shared" si="30"/>
        <v>12180262.409500001</v>
      </c>
      <c r="AO24" s="5">
        <f t="shared" si="30"/>
        <v>12180262.409500001</v>
      </c>
      <c r="AP24" s="5">
        <f t="shared" si="30"/>
        <v>12180262.409500001</v>
      </c>
      <c r="AQ24" s="5">
        <f t="shared" si="30"/>
        <v>12180262.409500001</v>
      </c>
      <c r="AR24" s="5">
        <f t="shared" si="30"/>
        <v>12180262.409500001</v>
      </c>
      <c r="AS24" s="5">
        <f t="shared" si="30"/>
        <v>12180262.409500001</v>
      </c>
      <c r="AT24" s="5">
        <f t="shared" si="30"/>
        <v>12180262.409500001</v>
      </c>
      <c r="AU24" s="5">
        <f t="shared" si="30"/>
        <v>12180262.409500001</v>
      </c>
      <c r="AV24" s="5">
        <f t="shared" si="30"/>
        <v>12180262.409500001</v>
      </c>
      <c r="AW24" s="5">
        <f t="shared" si="30"/>
        <v>12180262.409500001</v>
      </c>
      <c r="AX24" s="5">
        <f t="shared" si="30"/>
        <v>12180262.409500001</v>
      </c>
      <c r="AY24" s="5">
        <f t="shared" si="30"/>
        <v>12180262.409500001</v>
      </c>
      <c r="AZ24" s="5">
        <f t="shared" si="30"/>
        <v>12180262.409500001</v>
      </c>
      <c r="BA24" s="5">
        <f t="shared" si="30"/>
        <v>12180262.409500001</v>
      </c>
      <c r="BB24" s="5">
        <f t="shared" si="30"/>
        <v>12180262.409500001</v>
      </c>
      <c r="BC24" s="5">
        <f t="shared" si="30"/>
        <v>12180262.409500001</v>
      </c>
      <c r="BD24" s="5">
        <f t="shared" si="30"/>
        <v>12180262.409500001</v>
      </c>
      <c r="BE24" s="5">
        <f t="shared" si="30"/>
        <v>12180262.409500001</v>
      </c>
      <c r="BF24" s="5">
        <f t="shared" si="30"/>
        <v>12180262.409500001</v>
      </c>
      <c r="BG24" s="5">
        <f t="shared" si="30"/>
        <v>12180262.409500001</v>
      </c>
      <c r="BH24" s="5">
        <f t="shared" si="30"/>
        <v>12180262.409500001</v>
      </c>
      <c r="BI24" s="5">
        <f t="shared" si="30"/>
        <v>12180262.409500001</v>
      </c>
      <c r="BJ24" s="5">
        <f t="shared" si="30"/>
        <v>12180262.409500001</v>
      </c>
      <c r="BK24" s="5">
        <f t="shared" si="30"/>
        <v>12180262.409500001</v>
      </c>
      <c r="BL24" s="5">
        <f t="shared" si="30"/>
        <v>12180262.409500001</v>
      </c>
      <c r="BM24" s="5">
        <f t="shared" si="30"/>
        <v>12180262.409500001</v>
      </c>
      <c r="BN24" s="5">
        <f t="shared" si="30"/>
        <v>12180262.409500001</v>
      </c>
      <c r="BO24" s="5">
        <f t="shared" si="30"/>
        <v>12180262.409500001</v>
      </c>
      <c r="BP24" s="5">
        <f t="shared" si="29"/>
        <v>12180262.409500001</v>
      </c>
      <c r="BQ24" s="5">
        <f t="shared" si="29"/>
        <v>12180262.409500001</v>
      </c>
      <c r="BR24" s="5">
        <f t="shared" si="29"/>
        <v>12180262.409500001</v>
      </c>
      <c r="BS24" s="5">
        <f t="shared" si="29"/>
        <v>12180262.409500001</v>
      </c>
      <c r="BT24" s="5">
        <f t="shared" si="29"/>
        <v>12180262.409500001</v>
      </c>
      <c r="BU24" s="5">
        <f t="shared" si="29"/>
        <v>12180262.409500001</v>
      </c>
      <c r="BV24" s="5">
        <f t="shared" si="29"/>
        <v>12180262.409500001</v>
      </c>
      <c r="BW24" s="5">
        <f t="shared" si="29"/>
        <v>12180262.409500001</v>
      </c>
      <c r="BX24" s="5">
        <f t="shared" si="29"/>
        <v>12180262.409500001</v>
      </c>
      <c r="BY24" s="5">
        <f t="shared" si="29"/>
        <v>12180262.409500001</v>
      </c>
      <c r="BZ24" s="5">
        <f t="shared" si="29"/>
        <v>12180262.409500001</v>
      </c>
      <c r="CA24" s="5">
        <f t="shared" si="29"/>
        <v>12180262.409500001</v>
      </c>
      <c r="CB24" s="5">
        <f t="shared" si="29"/>
        <v>12180262.409500001</v>
      </c>
      <c r="CC24" s="5">
        <f t="shared" si="29"/>
        <v>12180262.409500001</v>
      </c>
      <c r="CD24" s="5">
        <f t="shared" si="29"/>
        <v>12180262.409500001</v>
      </c>
      <c r="CE24" s="5">
        <f t="shared" si="29"/>
        <v>12180262.409500001</v>
      </c>
      <c r="CF24" s="5">
        <f t="shared" si="29"/>
        <v>12180262.409500001</v>
      </c>
      <c r="CG24" s="5">
        <f t="shared" si="29"/>
        <v>12180262.409500001</v>
      </c>
      <c r="CH24" s="5">
        <f t="shared" si="29"/>
        <v>12180262.409500001</v>
      </c>
      <c r="CI24" s="5">
        <f t="shared" si="29"/>
        <v>12180262.409500001</v>
      </c>
      <c r="CJ24" s="5">
        <f t="shared" si="29"/>
        <v>12180262.409500001</v>
      </c>
      <c r="CK24" s="5">
        <f t="shared" si="29"/>
        <v>12180262.409500001</v>
      </c>
      <c r="CL24" s="5">
        <f t="shared" si="29"/>
        <v>12180262.409500001</v>
      </c>
      <c r="CM24" s="5">
        <f t="shared" si="29"/>
        <v>12180262.409500001</v>
      </c>
      <c r="CN24" s="5">
        <f t="shared" si="29"/>
        <v>12180262.409500001</v>
      </c>
      <c r="CO24" s="5">
        <f t="shared" si="29"/>
        <v>12180262.409500001</v>
      </c>
      <c r="CP24" s="5">
        <f t="shared" si="29"/>
        <v>12180262.409500001</v>
      </c>
      <c r="CQ24" s="5">
        <f t="shared" si="29"/>
        <v>12180262.409500001</v>
      </c>
      <c r="CR24" s="5">
        <f t="shared" si="29"/>
        <v>12180262.409500001</v>
      </c>
      <c r="CS24" s="5">
        <f t="shared" si="29"/>
        <v>12180262.409500001</v>
      </c>
      <c r="CT24" s="5">
        <f t="shared" si="29"/>
        <v>12180262.409500001</v>
      </c>
      <c r="CU24" s="5">
        <f t="shared" si="29"/>
        <v>12180262.409500001</v>
      </c>
      <c r="CV24" s="5">
        <f t="shared" si="29"/>
        <v>12180262.409500001</v>
      </c>
      <c r="CW24" s="5">
        <f t="shared" si="29"/>
        <v>12180262.409500001</v>
      </c>
      <c r="CX24" s="5">
        <f t="shared" si="29"/>
        <v>12180262.409500001</v>
      </c>
      <c r="CY24" s="5">
        <f t="shared" si="29"/>
        <v>12180262.409500001</v>
      </c>
      <c r="CZ24" s="5">
        <f t="shared" si="29"/>
        <v>12180262.409500001</v>
      </c>
      <c r="DA24" s="5">
        <f t="shared" si="29"/>
        <v>12180262.409500001</v>
      </c>
      <c r="DB24" s="5">
        <f t="shared" si="29"/>
        <v>12180262.409500001</v>
      </c>
      <c r="DC24" s="5">
        <f t="shared" si="29"/>
        <v>12180262.409500001</v>
      </c>
      <c r="DD24" s="5">
        <f t="shared" si="29"/>
        <v>12180262.409500001</v>
      </c>
      <c r="DE24" s="5">
        <f t="shared" si="29"/>
        <v>12180262.409500001</v>
      </c>
      <c r="DF24" s="5">
        <f t="shared" si="29"/>
        <v>12180262.409500001</v>
      </c>
      <c r="DG24" s="5">
        <f t="shared" si="29"/>
        <v>12180262.409500001</v>
      </c>
      <c r="DH24" s="5">
        <f t="shared" si="29"/>
        <v>12180262.409500001</v>
      </c>
      <c r="DI24" s="5">
        <f t="shared" si="29"/>
        <v>12180262.409500001</v>
      </c>
      <c r="DJ24" s="5">
        <f t="shared" si="29"/>
        <v>12180262.409500001</v>
      </c>
      <c r="DK24" s="5">
        <f t="shared" si="29"/>
        <v>12180262.409500001</v>
      </c>
      <c r="DL24" s="5">
        <f t="shared" si="29"/>
        <v>12180262.409500001</v>
      </c>
      <c r="DM24" s="5">
        <f t="shared" si="29"/>
        <v>12180262.409500001</v>
      </c>
      <c r="DN24" s="5">
        <f t="shared" si="29"/>
        <v>12180262.409500001</v>
      </c>
      <c r="DO24" s="5">
        <f t="shared" si="29"/>
        <v>12180262.409500001</v>
      </c>
      <c r="DP24" s="5">
        <f t="shared" si="29"/>
        <v>12180262.409500001</v>
      </c>
      <c r="DQ24" s="5">
        <f t="shared" si="29"/>
        <v>12180262.409500001</v>
      </c>
      <c r="DR24" s="5">
        <f t="shared" si="29"/>
        <v>12180262.409500001</v>
      </c>
      <c r="DS24" s="5">
        <f t="shared" si="29"/>
        <v>12180262.409500001</v>
      </c>
      <c r="DT24" s="5">
        <f t="shared" si="29"/>
        <v>12180262.409500001</v>
      </c>
      <c r="DU24" s="5">
        <f t="shared" si="29"/>
        <v>12180262.409500001</v>
      </c>
      <c r="DV24" s="5">
        <f t="shared" si="29"/>
        <v>12180262.409500001</v>
      </c>
      <c r="DW24" s="5">
        <f t="shared" si="29"/>
        <v>12180262.409500001</v>
      </c>
      <c r="DX24" s="5">
        <f t="shared" si="29"/>
        <v>12180262.409500001</v>
      </c>
      <c r="DY24" s="5">
        <f t="shared" si="29"/>
        <v>12180262.409500001</v>
      </c>
      <c r="DZ24" s="5">
        <f t="shared" si="29"/>
        <v>12180262.409500001</v>
      </c>
      <c r="EA24" s="5">
        <f>EA3</f>
        <v>12180262.409500001</v>
      </c>
      <c r="EB24" s="5">
        <f t="shared" ref="EB24:GM24" si="33">EB3</f>
        <v>12099192.848997701</v>
      </c>
      <c r="EC24" s="5">
        <f t="shared" si="33"/>
        <v>12018123.288495401</v>
      </c>
      <c r="ED24" s="5">
        <f t="shared" si="33"/>
        <v>11937053.727993101</v>
      </c>
      <c r="EE24" s="5">
        <f t="shared" si="33"/>
        <v>11855984.167490801</v>
      </c>
      <c r="EF24" s="5">
        <f t="shared" si="33"/>
        <v>11774914.606988501</v>
      </c>
      <c r="EG24" s="5">
        <f t="shared" si="33"/>
        <v>11693845.046486201</v>
      </c>
      <c r="EH24" s="5">
        <f t="shared" si="33"/>
        <v>11612775.485983901</v>
      </c>
      <c r="EI24" s="5">
        <f t="shared" si="33"/>
        <v>11531705.925481601</v>
      </c>
      <c r="EJ24" s="5">
        <f t="shared" si="33"/>
        <v>11450636.364979301</v>
      </c>
      <c r="EK24" s="5">
        <f t="shared" si="33"/>
        <v>11369566.804477001</v>
      </c>
      <c r="EL24" s="5">
        <f t="shared" si="33"/>
        <v>11298581.368202101</v>
      </c>
      <c r="EM24" s="5">
        <f t="shared" si="33"/>
        <v>11227595.9319272</v>
      </c>
      <c r="EN24" s="5">
        <f t="shared" si="33"/>
        <v>11156610.495652299</v>
      </c>
      <c r="EO24" s="5">
        <f t="shared" si="33"/>
        <v>11085625.059377398</v>
      </c>
      <c r="EP24" s="5">
        <f t="shared" si="33"/>
        <v>11014639.623102497</v>
      </c>
      <c r="EQ24" s="5">
        <f t="shared" si="33"/>
        <v>10943654.186827596</v>
      </c>
      <c r="ER24" s="5">
        <f t="shared" si="33"/>
        <v>10872668.750552695</v>
      </c>
      <c r="ES24" s="5">
        <f t="shared" si="33"/>
        <v>10801683.314277794</v>
      </c>
      <c r="ET24" s="5">
        <f t="shared" si="33"/>
        <v>10730697.878002893</v>
      </c>
      <c r="EU24" s="5">
        <f t="shared" si="33"/>
        <v>10659712.441728</v>
      </c>
      <c r="EV24" s="5">
        <f t="shared" si="33"/>
        <v>10596658.3391151</v>
      </c>
      <c r="EW24" s="5">
        <f t="shared" si="33"/>
        <v>10533604.2365022</v>
      </c>
      <c r="EX24" s="5">
        <f t="shared" si="33"/>
        <v>10470550.133889301</v>
      </c>
      <c r="EY24" s="5">
        <f t="shared" si="33"/>
        <v>10407496.031276401</v>
      </c>
      <c r="EZ24" s="5">
        <f t="shared" si="33"/>
        <v>10344441.928663502</v>
      </c>
      <c r="FA24" s="5">
        <f t="shared" si="33"/>
        <v>10281387.826050602</v>
      </c>
      <c r="FB24" s="5">
        <f t="shared" si="33"/>
        <v>10218333.723437702</v>
      </c>
      <c r="FC24" s="5">
        <f t="shared" si="33"/>
        <v>10155279.620824803</v>
      </c>
      <c r="FD24" s="5">
        <f t="shared" si="33"/>
        <v>10092225.518211903</v>
      </c>
      <c r="FE24" s="5">
        <f t="shared" si="33"/>
        <v>10029171.415599</v>
      </c>
      <c r="FF24" s="5">
        <f t="shared" si="33"/>
        <v>10029171.415599</v>
      </c>
      <c r="FG24" s="5">
        <f t="shared" si="33"/>
        <v>10029171.415599</v>
      </c>
      <c r="FH24" s="5">
        <f t="shared" si="33"/>
        <v>10029171.415599</v>
      </c>
      <c r="FI24" s="5">
        <f t="shared" si="33"/>
        <v>10029171.415599</v>
      </c>
      <c r="FJ24" s="5">
        <f t="shared" si="33"/>
        <v>10029171.415599</v>
      </c>
      <c r="FK24" s="5">
        <f t="shared" si="33"/>
        <v>10029171.415599</v>
      </c>
      <c r="FL24" s="5">
        <f t="shared" si="33"/>
        <v>10029171.415599</v>
      </c>
      <c r="FM24" s="5">
        <f t="shared" si="33"/>
        <v>10029171.415599</v>
      </c>
      <c r="FN24" s="5">
        <f t="shared" si="33"/>
        <v>10029171.415599</v>
      </c>
      <c r="FO24" s="5">
        <f t="shared" si="33"/>
        <v>10029171.415599</v>
      </c>
      <c r="FP24" s="5">
        <f t="shared" si="33"/>
        <v>10029171.415599</v>
      </c>
      <c r="FQ24" s="5">
        <f t="shared" si="33"/>
        <v>10029171.415599</v>
      </c>
      <c r="FR24" s="5">
        <f t="shared" si="33"/>
        <v>10029171.415599</v>
      </c>
      <c r="FS24" s="5">
        <f t="shared" si="33"/>
        <v>10029171.415599</v>
      </c>
      <c r="FT24" s="5">
        <f t="shared" si="33"/>
        <v>10029171.415599</v>
      </c>
      <c r="FU24" s="5">
        <f t="shared" si="33"/>
        <v>10029171.415599</v>
      </c>
      <c r="FV24" s="5">
        <f t="shared" si="33"/>
        <v>10029171.415599</v>
      </c>
      <c r="FW24" s="5">
        <f t="shared" si="33"/>
        <v>10029171.415599</v>
      </c>
      <c r="FX24" s="5">
        <f t="shared" si="33"/>
        <v>10029171.415599</v>
      </c>
      <c r="FY24" s="5">
        <f t="shared" si="33"/>
        <v>10029171.415599</v>
      </c>
      <c r="FZ24" s="5">
        <f t="shared" si="33"/>
        <v>10029171.415599</v>
      </c>
      <c r="GA24" s="5">
        <f t="shared" si="33"/>
        <v>10029171.415599</v>
      </c>
      <c r="GB24" s="5">
        <f t="shared" si="33"/>
        <v>10029171.415599</v>
      </c>
      <c r="GC24" s="5">
        <f t="shared" si="33"/>
        <v>10029171.415599</v>
      </c>
      <c r="GD24" s="5">
        <f t="shared" si="33"/>
        <v>10029171.415599</v>
      </c>
      <c r="GE24" s="5">
        <f t="shared" si="33"/>
        <v>10029171.415599</v>
      </c>
      <c r="GF24" s="5">
        <f t="shared" si="33"/>
        <v>10029171.415599</v>
      </c>
      <c r="GG24" s="5">
        <f t="shared" si="33"/>
        <v>10029171.415599</v>
      </c>
      <c r="GH24" s="5">
        <f t="shared" si="33"/>
        <v>10029171.415599</v>
      </c>
      <c r="GI24" s="5">
        <f t="shared" si="33"/>
        <v>10029171.415599</v>
      </c>
      <c r="GJ24" s="5">
        <f t="shared" si="33"/>
        <v>10029171.415599</v>
      </c>
      <c r="GK24" s="5">
        <f t="shared" si="33"/>
        <v>10029171.415599</v>
      </c>
      <c r="GL24" s="5">
        <f t="shared" si="33"/>
        <v>10029171.415599</v>
      </c>
      <c r="GM24" s="5">
        <f t="shared" si="33"/>
        <v>10029171.415599</v>
      </c>
      <c r="GN24" s="5">
        <f t="shared" ref="GN24:HC24" si="34">GN3</f>
        <v>10029171.415599</v>
      </c>
      <c r="GO24" s="5">
        <f t="shared" si="34"/>
        <v>10029171.415599</v>
      </c>
      <c r="GP24" s="5">
        <f t="shared" si="34"/>
        <v>10029171.415599</v>
      </c>
      <c r="GQ24" s="5">
        <f t="shared" si="34"/>
        <v>10029171.415599</v>
      </c>
      <c r="GR24" s="5">
        <f t="shared" si="34"/>
        <v>10029171.415599</v>
      </c>
      <c r="GS24" s="5">
        <f t="shared" si="34"/>
        <v>10029171.415599</v>
      </c>
      <c r="GT24" s="5">
        <f t="shared" si="34"/>
        <v>10029171.415599</v>
      </c>
      <c r="GU24" s="5">
        <f t="shared" si="34"/>
        <v>10029171.415599</v>
      </c>
      <c r="GV24" s="5">
        <f t="shared" si="34"/>
        <v>10029171.415599</v>
      </c>
      <c r="GW24" s="5">
        <f t="shared" si="34"/>
        <v>10029171.415599</v>
      </c>
      <c r="GX24" s="5">
        <f t="shared" si="34"/>
        <v>10029171.415599</v>
      </c>
      <c r="GY24" s="5">
        <f t="shared" si="34"/>
        <v>10029171.415599</v>
      </c>
      <c r="GZ24" s="5">
        <f t="shared" si="34"/>
        <v>10029171.415599</v>
      </c>
      <c r="HA24" s="5">
        <f t="shared" si="34"/>
        <v>10029171.415599</v>
      </c>
      <c r="HB24" s="5">
        <f t="shared" si="34"/>
        <v>10029171.415599</v>
      </c>
      <c r="HC24" s="5">
        <f t="shared" si="34"/>
        <v>10029171.415599</v>
      </c>
    </row>
    <row r="25" spans="1:211">
      <c r="A25" s="11" t="s">
        <v>112</v>
      </c>
      <c r="B25" s="5">
        <f t="shared" si="17"/>
        <v>5643143.9005129999</v>
      </c>
      <c r="C25" s="5">
        <f t="shared" si="22"/>
        <v>5643143.9005129999</v>
      </c>
      <c r="D25" s="5">
        <f t="shared" si="30"/>
        <v>5643143.9005129999</v>
      </c>
      <c r="E25" s="5">
        <f t="shared" si="30"/>
        <v>5643143.9005129999</v>
      </c>
      <c r="F25" s="5">
        <f t="shared" si="30"/>
        <v>5643143.9005129999</v>
      </c>
      <c r="G25" s="5">
        <f t="shared" si="30"/>
        <v>5643143.9005129999</v>
      </c>
      <c r="H25" s="5">
        <f t="shared" si="30"/>
        <v>5643143.9005129999</v>
      </c>
      <c r="I25" s="5">
        <f t="shared" si="30"/>
        <v>5643143.9005129999</v>
      </c>
      <c r="J25" s="5">
        <f t="shared" si="30"/>
        <v>5643143.9005129999</v>
      </c>
      <c r="K25" s="5">
        <f t="shared" si="30"/>
        <v>5643143.9005129999</v>
      </c>
      <c r="L25" s="5">
        <f t="shared" si="30"/>
        <v>5643143.9005129999</v>
      </c>
      <c r="M25" s="5">
        <f t="shared" si="30"/>
        <v>5643143.9005129999</v>
      </c>
      <c r="N25" s="5">
        <f t="shared" si="30"/>
        <v>5643143.9005129999</v>
      </c>
      <c r="O25" s="5">
        <f t="shared" si="30"/>
        <v>5643143.9005129999</v>
      </c>
      <c r="P25" s="5">
        <f t="shared" si="30"/>
        <v>5643143.9005129999</v>
      </c>
      <c r="Q25" s="5">
        <f t="shared" si="30"/>
        <v>5643143.9005129999</v>
      </c>
      <c r="R25" s="5">
        <f t="shared" si="30"/>
        <v>5643143.9005129999</v>
      </c>
      <c r="S25" s="5">
        <f t="shared" si="30"/>
        <v>5643143.9005129999</v>
      </c>
      <c r="T25" s="5">
        <f t="shared" si="30"/>
        <v>5643143.9005129999</v>
      </c>
      <c r="U25" s="5">
        <f t="shared" si="30"/>
        <v>5643143.9005129999</v>
      </c>
      <c r="V25" s="5">
        <f t="shared" si="30"/>
        <v>5643143.9005129999</v>
      </c>
      <c r="W25" s="5">
        <f t="shared" si="30"/>
        <v>5643143.9005129999</v>
      </c>
      <c r="X25" s="5">
        <f t="shared" si="30"/>
        <v>5643143.9005129999</v>
      </c>
      <c r="Y25" s="5">
        <f t="shared" si="30"/>
        <v>5643143.9005129999</v>
      </c>
      <c r="Z25" s="5">
        <f t="shared" si="30"/>
        <v>5643143.9005129999</v>
      </c>
      <c r="AA25" s="5">
        <f t="shared" si="30"/>
        <v>5643143.9005129999</v>
      </c>
      <c r="AB25" s="5">
        <f t="shared" si="30"/>
        <v>5643143.9005129999</v>
      </c>
      <c r="AC25" s="5">
        <f t="shared" si="30"/>
        <v>5643143.9005129999</v>
      </c>
      <c r="AD25" s="5">
        <f t="shared" si="30"/>
        <v>5643143.9005129999</v>
      </c>
      <c r="AE25" s="5">
        <f t="shared" si="30"/>
        <v>5643143.9005129999</v>
      </c>
      <c r="AF25" s="5">
        <f t="shared" si="30"/>
        <v>5643143.9005129999</v>
      </c>
      <c r="AG25" s="5">
        <f t="shared" si="30"/>
        <v>5643143.9005129999</v>
      </c>
      <c r="AH25" s="5">
        <f t="shared" si="30"/>
        <v>5643143.9005129999</v>
      </c>
      <c r="AI25" s="5">
        <f t="shared" si="30"/>
        <v>5643143.9005129999</v>
      </c>
      <c r="AJ25" s="5">
        <f t="shared" si="30"/>
        <v>5643143.9005129999</v>
      </c>
      <c r="AK25" s="5">
        <f t="shared" si="30"/>
        <v>5643143.9005129999</v>
      </c>
      <c r="AL25" s="5">
        <f t="shared" si="30"/>
        <v>5643143.9005129999</v>
      </c>
      <c r="AM25" s="5">
        <f t="shared" si="30"/>
        <v>5643143.9005129999</v>
      </c>
      <c r="AN25" s="5">
        <f t="shared" si="30"/>
        <v>5643143.9005129999</v>
      </c>
      <c r="AO25" s="5">
        <f t="shared" si="30"/>
        <v>5643143.9005129999</v>
      </c>
      <c r="AP25" s="5">
        <f t="shared" si="30"/>
        <v>5643143.9005129999</v>
      </c>
      <c r="AQ25" s="5">
        <f t="shared" si="30"/>
        <v>5643143.9005129999</v>
      </c>
      <c r="AR25" s="5">
        <f t="shared" si="30"/>
        <v>5643143.9005129999</v>
      </c>
      <c r="AS25" s="5">
        <f t="shared" si="30"/>
        <v>5643143.9005129999</v>
      </c>
      <c r="AT25" s="5">
        <f t="shared" si="30"/>
        <v>5643143.9005129999</v>
      </c>
      <c r="AU25" s="5">
        <f t="shared" si="30"/>
        <v>5643143.9005129999</v>
      </c>
      <c r="AV25" s="5">
        <f t="shared" si="30"/>
        <v>5643143.9005129999</v>
      </c>
      <c r="AW25" s="5">
        <f t="shared" si="30"/>
        <v>5643143.9005129999</v>
      </c>
      <c r="AX25" s="5">
        <f t="shared" si="30"/>
        <v>5643143.9005129999</v>
      </c>
      <c r="AY25" s="5">
        <f t="shared" si="30"/>
        <v>5643143.9005129999</v>
      </c>
      <c r="AZ25" s="5">
        <f t="shared" si="30"/>
        <v>5643143.9005129999</v>
      </c>
      <c r="BA25" s="5">
        <f t="shared" si="30"/>
        <v>5643143.9005129999</v>
      </c>
      <c r="BB25" s="5">
        <f t="shared" si="30"/>
        <v>5643143.9005129999</v>
      </c>
      <c r="BC25" s="5">
        <f t="shared" si="30"/>
        <v>5643143.9005129999</v>
      </c>
      <c r="BD25" s="5">
        <f t="shared" si="30"/>
        <v>5643143.9005129999</v>
      </c>
      <c r="BE25" s="5">
        <f t="shared" si="30"/>
        <v>5643143.9005129999</v>
      </c>
      <c r="BF25" s="5">
        <f t="shared" si="30"/>
        <v>5643143.9005129999</v>
      </c>
      <c r="BG25" s="5">
        <f t="shared" si="30"/>
        <v>5643143.9005129999</v>
      </c>
      <c r="BH25" s="5">
        <f t="shared" si="30"/>
        <v>5643143.9005129999</v>
      </c>
      <c r="BI25" s="5">
        <f t="shared" si="30"/>
        <v>5643143.9005129999</v>
      </c>
      <c r="BJ25" s="5">
        <f t="shared" si="30"/>
        <v>5643143.9005129999</v>
      </c>
      <c r="BK25" s="5">
        <f t="shared" si="30"/>
        <v>5643143.9005129999</v>
      </c>
      <c r="BL25" s="5">
        <f t="shared" si="30"/>
        <v>5643143.9005129999</v>
      </c>
      <c r="BM25" s="5">
        <f t="shared" si="30"/>
        <v>5643143.9005129999</v>
      </c>
      <c r="BN25" s="5">
        <f t="shared" si="30"/>
        <v>5643143.9005129999</v>
      </c>
      <c r="BO25" s="5">
        <f t="shared" ref="BO25:DZ25" si="35">BN25</f>
        <v>5643143.9005129999</v>
      </c>
      <c r="BP25" s="5">
        <f t="shared" si="35"/>
        <v>5643143.9005129999</v>
      </c>
      <c r="BQ25" s="5">
        <f t="shared" si="35"/>
        <v>5643143.9005129999</v>
      </c>
      <c r="BR25" s="5">
        <f t="shared" si="35"/>
        <v>5643143.9005129999</v>
      </c>
      <c r="BS25" s="5">
        <f t="shared" si="35"/>
        <v>5643143.9005129999</v>
      </c>
      <c r="BT25" s="5">
        <f t="shared" si="35"/>
        <v>5643143.9005129999</v>
      </c>
      <c r="BU25" s="5">
        <f t="shared" si="35"/>
        <v>5643143.9005129999</v>
      </c>
      <c r="BV25" s="5">
        <f t="shared" si="35"/>
        <v>5643143.9005129999</v>
      </c>
      <c r="BW25" s="5">
        <f t="shared" si="35"/>
        <v>5643143.9005129999</v>
      </c>
      <c r="BX25" s="5">
        <f t="shared" si="35"/>
        <v>5643143.9005129999</v>
      </c>
      <c r="BY25" s="5">
        <f t="shared" si="35"/>
        <v>5643143.9005129999</v>
      </c>
      <c r="BZ25" s="5">
        <f t="shared" si="35"/>
        <v>5643143.9005129999</v>
      </c>
      <c r="CA25" s="5">
        <f t="shared" si="35"/>
        <v>5643143.9005129999</v>
      </c>
      <c r="CB25" s="5">
        <f t="shared" si="35"/>
        <v>5643143.9005129999</v>
      </c>
      <c r="CC25" s="5">
        <f t="shared" si="35"/>
        <v>5643143.9005129999</v>
      </c>
      <c r="CD25" s="5">
        <f t="shared" si="35"/>
        <v>5643143.9005129999</v>
      </c>
      <c r="CE25" s="5">
        <f t="shared" si="35"/>
        <v>5643143.9005129999</v>
      </c>
      <c r="CF25" s="5">
        <f t="shared" si="35"/>
        <v>5643143.9005129999</v>
      </c>
      <c r="CG25" s="5">
        <f t="shared" si="35"/>
        <v>5643143.9005129999</v>
      </c>
      <c r="CH25" s="5">
        <f t="shared" si="35"/>
        <v>5643143.9005129999</v>
      </c>
      <c r="CI25" s="5">
        <f t="shared" si="35"/>
        <v>5643143.9005129999</v>
      </c>
      <c r="CJ25" s="5">
        <f t="shared" si="35"/>
        <v>5643143.9005129999</v>
      </c>
      <c r="CK25" s="5">
        <f t="shared" si="35"/>
        <v>5643143.9005129999</v>
      </c>
      <c r="CL25" s="5">
        <f t="shared" si="35"/>
        <v>5643143.9005129999</v>
      </c>
      <c r="CM25" s="5">
        <f t="shared" si="35"/>
        <v>5643143.9005129999</v>
      </c>
      <c r="CN25" s="5">
        <f t="shared" si="35"/>
        <v>5643143.9005129999</v>
      </c>
      <c r="CO25" s="5">
        <f t="shared" si="35"/>
        <v>5643143.9005129999</v>
      </c>
      <c r="CP25" s="5">
        <f t="shared" si="35"/>
        <v>5643143.9005129999</v>
      </c>
      <c r="CQ25" s="5">
        <f t="shared" si="35"/>
        <v>5643143.9005129999</v>
      </c>
      <c r="CR25" s="5">
        <f t="shared" si="35"/>
        <v>5643143.9005129999</v>
      </c>
      <c r="CS25" s="5">
        <f t="shared" si="35"/>
        <v>5643143.9005129999</v>
      </c>
      <c r="CT25" s="5">
        <f t="shared" si="35"/>
        <v>5643143.9005129999</v>
      </c>
      <c r="CU25" s="5">
        <f t="shared" si="35"/>
        <v>5643143.9005129999</v>
      </c>
      <c r="CV25" s="5">
        <f t="shared" si="35"/>
        <v>5643143.9005129999</v>
      </c>
      <c r="CW25" s="5">
        <f t="shared" si="35"/>
        <v>5643143.9005129999</v>
      </c>
      <c r="CX25" s="5">
        <f t="shared" si="35"/>
        <v>5643143.9005129999</v>
      </c>
      <c r="CY25" s="5">
        <f t="shared" si="35"/>
        <v>5643143.9005129999</v>
      </c>
      <c r="CZ25" s="5">
        <f t="shared" si="35"/>
        <v>5643143.9005129999</v>
      </c>
      <c r="DA25" s="5">
        <f t="shared" si="35"/>
        <v>5643143.9005129999</v>
      </c>
      <c r="DB25" s="5">
        <f t="shared" si="35"/>
        <v>5643143.9005129999</v>
      </c>
      <c r="DC25" s="5">
        <f t="shared" si="35"/>
        <v>5643143.9005129999</v>
      </c>
      <c r="DD25" s="5">
        <f t="shared" si="35"/>
        <v>5643143.9005129999</v>
      </c>
      <c r="DE25" s="5">
        <f t="shared" si="35"/>
        <v>5643143.9005129999</v>
      </c>
      <c r="DF25" s="5">
        <f t="shared" si="35"/>
        <v>5643143.9005129999</v>
      </c>
      <c r="DG25" s="5">
        <f t="shared" si="35"/>
        <v>5643143.9005129999</v>
      </c>
      <c r="DH25" s="5">
        <f t="shared" si="35"/>
        <v>5643143.9005129999</v>
      </c>
      <c r="DI25" s="5">
        <f t="shared" si="35"/>
        <v>5643143.9005129999</v>
      </c>
      <c r="DJ25" s="5">
        <f t="shared" si="35"/>
        <v>5643143.9005129999</v>
      </c>
      <c r="DK25" s="5">
        <f t="shared" si="35"/>
        <v>5643143.9005129999</v>
      </c>
      <c r="DL25" s="5">
        <f t="shared" si="35"/>
        <v>5643143.9005129999</v>
      </c>
      <c r="DM25" s="5">
        <f t="shared" si="35"/>
        <v>5643143.9005129999</v>
      </c>
      <c r="DN25" s="5">
        <f t="shared" si="35"/>
        <v>5643143.9005129999</v>
      </c>
      <c r="DO25" s="5">
        <f t="shared" si="35"/>
        <v>5643143.9005129999</v>
      </c>
      <c r="DP25" s="5">
        <f t="shared" si="35"/>
        <v>5643143.9005129999</v>
      </c>
      <c r="DQ25" s="5">
        <f t="shared" si="35"/>
        <v>5643143.9005129999</v>
      </c>
      <c r="DR25" s="5">
        <f t="shared" si="35"/>
        <v>5643143.9005129999</v>
      </c>
      <c r="DS25" s="5">
        <f t="shared" si="35"/>
        <v>5643143.9005129999</v>
      </c>
      <c r="DT25" s="5">
        <f t="shared" si="35"/>
        <v>5643143.9005129999</v>
      </c>
      <c r="DU25" s="5">
        <f t="shared" si="35"/>
        <v>5643143.9005129999</v>
      </c>
      <c r="DV25" s="5">
        <f t="shared" si="35"/>
        <v>5643143.9005129999</v>
      </c>
      <c r="DW25" s="5">
        <f t="shared" si="35"/>
        <v>5643143.9005129999</v>
      </c>
      <c r="DX25" s="5">
        <f t="shared" si="35"/>
        <v>5643143.9005129999</v>
      </c>
      <c r="DY25" s="5">
        <f t="shared" si="35"/>
        <v>5643143.9005129999</v>
      </c>
      <c r="DZ25" s="5">
        <f t="shared" si="35"/>
        <v>5643143.9005129999</v>
      </c>
      <c r="EA25" s="5">
        <f>EA4</f>
        <v>5643143.9005129999</v>
      </c>
      <c r="EB25" s="5">
        <f t="shared" ref="EB25:GM25" si="36">EB4</f>
        <v>5624901.8330904003</v>
      </c>
      <c r="EC25" s="5">
        <f t="shared" si="36"/>
        <v>5606659.7656677999</v>
      </c>
      <c r="ED25" s="5">
        <f t="shared" si="36"/>
        <v>5588417.6982451994</v>
      </c>
      <c r="EE25" s="5">
        <f t="shared" si="36"/>
        <v>5570175.6308225989</v>
      </c>
      <c r="EF25" s="5">
        <f t="shared" si="36"/>
        <v>5551933.5633999985</v>
      </c>
      <c r="EG25" s="5">
        <f t="shared" si="36"/>
        <v>5533691.495977398</v>
      </c>
      <c r="EH25" s="5">
        <f t="shared" si="36"/>
        <v>5515449.4285547975</v>
      </c>
      <c r="EI25" s="5">
        <f t="shared" si="36"/>
        <v>5497207.3611321971</v>
      </c>
      <c r="EJ25" s="5">
        <f t="shared" si="36"/>
        <v>5478965.2937095966</v>
      </c>
      <c r="EK25" s="5">
        <f t="shared" si="36"/>
        <v>5460723.2262869999</v>
      </c>
      <c r="EL25" s="5">
        <f t="shared" si="36"/>
        <v>5443670.8589137001</v>
      </c>
      <c r="EM25" s="5">
        <f t="shared" si="36"/>
        <v>5426618.4915404003</v>
      </c>
      <c r="EN25" s="5">
        <f t="shared" si="36"/>
        <v>5409566.1241671005</v>
      </c>
      <c r="EO25" s="5">
        <f t="shared" si="36"/>
        <v>5392513.7567938007</v>
      </c>
      <c r="EP25" s="5">
        <f t="shared" si="36"/>
        <v>5375461.389420501</v>
      </c>
      <c r="EQ25" s="5">
        <f t="shared" si="36"/>
        <v>5358409.0220472012</v>
      </c>
      <c r="ER25" s="5">
        <f t="shared" si="36"/>
        <v>5341356.6546739014</v>
      </c>
      <c r="ES25" s="5">
        <f t="shared" si="36"/>
        <v>5324304.2873006016</v>
      </c>
      <c r="ET25" s="5">
        <f t="shared" si="36"/>
        <v>5307251.9199273018</v>
      </c>
      <c r="EU25" s="5">
        <f t="shared" si="36"/>
        <v>5290199.5525540002</v>
      </c>
      <c r="EV25" s="5">
        <f t="shared" si="36"/>
        <v>5274336.8852300001</v>
      </c>
      <c r="EW25" s="5">
        <f t="shared" si="36"/>
        <v>5258474.2179060001</v>
      </c>
      <c r="EX25" s="5">
        <f t="shared" si="36"/>
        <v>5242611.5505820001</v>
      </c>
      <c r="EY25" s="5">
        <f t="shared" si="36"/>
        <v>5226748.883258</v>
      </c>
      <c r="EZ25" s="5">
        <f t="shared" si="36"/>
        <v>5210886.215934</v>
      </c>
      <c r="FA25" s="5">
        <f t="shared" si="36"/>
        <v>5195023.5486099999</v>
      </c>
      <c r="FB25" s="5">
        <f t="shared" si="36"/>
        <v>5179160.8812859999</v>
      </c>
      <c r="FC25" s="5">
        <f t="shared" si="36"/>
        <v>5163298.2139619999</v>
      </c>
      <c r="FD25" s="5">
        <f t="shared" si="36"/>
        <v>5147435.5466379998</v>
      </c>
      <c r="FE25" s="5">
        <f t="shared" si="36"/>
        <v>5131572.8793139998</v>
      </c>
      <c r="FF25" s="5">
        <f t="shared" si="36"/>
        <v>5131572.8793139998</v>
      </c>
      <c r="FG25" s="5">
        <f t="shared" si="36"/>
        <v>5131572.8793139998</v>
      </c>
      <c r="FH25" s="5">
        <f t="shared" si="36"/>
        <v>5131572.8793139998</v>
      </c>
      <c r="FI25" s="5">
        <f t="shared" si="36"/>
        <v>5131572.8793139998</v>
      </c>
      <c r="FJ25" s="5">
        <f t="shared" si="36"/>
        <v>5131572.8793139998</v>
      </c>
      <c r="FK25" s="5">
        <f t="shared" si="36"/>
        <v>5131572.8793139998</v>
      </c>
      <c r="FL25" s="5">
        <f t="shared" si="36"/>
        <v>5131572.8793139998</v>
      </c>
      <c r="FM25" s="5">
        <f t="shared" si="36"/>
        <v>5131572.8793139998</v>
      </c>
      <c r="FN25" s="5">
        <f t="shared" si="36"/>
        <v>5131572.8793139998</v>
      </c>
      <c r="FO25" s="5">
        <f t="shared" si="36"/>
        <v>5131572.8793139998</v>
      </c>
      <c r="FP25" s="5">
        <f t="shared" si="36"/>
        <v>5131572.8793139998</v>
      </c>
      <c r="FQ25" s="5">
        <f t="shared" si="36"/>
        <v>5131572.8793139998</v>
      </c>
      <c r="FR25" s="5">
        <f t="shared" si="36"/>
        <v>5131572.8793139998</v>
      </c>
      <c r="FS25" s="5">
        <f t="shared" si="36"/>
        <v>5131572.8793139998</v>
      </c>
      <c r="FT25" s="5">
        <f t="shared" si="36"/>
        <v>5131572.8793139998</v>
      </c>
      <c r="FU25" s="5">
        <f t="shared" si="36"/>
        <v>5131572.8793139998</v>
      </c>
      <c r="FV25" s="5">
        <f t="shared" si="36"/>
        <v>5131572.8793139998</v>
      </c>
      <c r="FW25" s="5">
        <f t="shared" si="36"/>
        <v>5131572.8793139998</v>
      </c>
      <c r="FX25" s="5">
        <f t="shared" si="36"/>
        <v>5131572.8793139998</v>
      </c>
      <c r="FY25" s="5">
        <f t="shared" si="36"/>
        <v>5131572.8793139998</v>
      </c>
      <c r="FZ25" s="5">
        <f t="shared" si="36"/>
        <v>5131572.8793139998</v>
      </c>
      <c r="GA25" s="5">
        <f t="shared" si="36"/>
        <v>5131572.8793139998</v>
      </c>
      <c r="GB25" s="5">
        <f t="shared" si="36"/>
        <v>5131572.8793139998</v>
      </c>
      <c r="GC25" s="5">
        <f t="shared" si="36"/>
        <v>5131572.8793139998</v>
      </c>
      <c r="GD25" s="5">
        <f t="shared" si="36"/>
        <v>5131572.8793139998</v>
      </c>
      <c r="GE25" s="5">
        <f t="shared" si="36"/>
        <v>5131572.8793139998</v>
      </c>
      <c r="GF25" s="5">
        <f t="shared" si="36"/>
        <v>5131572.8793139998</v>
      </c>
      <c r="GG25" s="5">
        <f t="shared" si="36"/>
        <v>5131572.8793139998</v>
      </c>
      <c r="GH25" s="5">
        <f t="shared" si="36"/>
        <v>5131572.8793139998</v>
      </c>
      <c r="GI25" s="5">
        <f t="shared" si="36"/>
        <v>5131572.8793139998</v>
      </c>
      <c r="GJ25" s="5">
        <f t="shared" si="36"/>
        <v>5131572.8793139998</v>
      </c>
      <c r="GK25" s="5">
        <f t="shared" si="36"/>
        <v>5131572.8793139998</v>
      </c>
      <c r="GL25" s="5">
        <f t="shared" si="36"/>
        <v>5131572.8793139998</v>
      </c>
      <c r="GM25" s="5">
        <f t="shared" si="36"/>
        <v>5131572.8793139998</v>
      </c>
      <c r="GN25" s="5">
        <f t="shared" ref="GN25:HC25" si="37">GN4</f>
        <v>5131572.8793139998</v>
      </c>
      <c r="GO25" s="5">
        <f t="shared" si="37"/>
        <v>5131572.8793139998</v>
      </c>
      <c r="GP25" s="5">
        <f t="shared" si="37"/>
        <v>5131572.8793139998</v>
      </c>
      <c r="GQ25" s="5">
        <f t="shared" si="37"/>
        <v>5131572.8793139998</v>
      </c>
      <c r="GR25" s="5">
        <f t="shared" si="37"/>
        <v>5131572.8793139998</v>
      </c>
      <c r="GS25" s="5">
        <f t="shared" si="37"/>
        <v>5131572.8793139998</v>
      </c>
      <c r="GT25" s="5">
        <f t="shared" si="37"/>
        <v>5131572.8793139998</v>
      </c>
      <c r="GU25" s="5">
        <f t="shared" si="37"/>
        <v>5131572.8793139998</v>
      </c>
      <c r="GV25" s="5">
        <f t="shared" si="37"/>
        <v>5131572.8793139998</v>
      </c>
      <c r="GW25" s="5">
        <f t="shared" si="37"/>
        <v>5131572.8793139998</v>
      </c>
      <c r="GX25" s="5">
        <f t="shared" si="37"/>
        <v>5131572.8793139998</v>
      </c>
      <c r="GY25" s="5">
        <f t="shared" si="37"/>
        <v>5131572.8793139998</v>
      </c>
      <c r="GZ25" s="5">
        <f t="shared" si="37"/>
        <v>5131572.8793139998</v>
      </c>
      <c r="HA25" s="5">
        <f t="shared" si="37"/>
        <v>5131572.8793139998</v>
      </c>
      <c r="HB25" s="5">
        <f t="shared" si="37"/>
        <v>5131572.8793139998</v>
      </c>
      <c r="HC25" s="5">
        <f t="shared" si="37"/>
        <v>5131572.8793139998</v>
      </c>
    </row>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8D28B-7319-4D12-AA58-629E83E7F2DF}">
  <sheetPr>
    <tabColor theme="8" tint="-0.249977111117893"/>
  </sheetPr>
  <dimension ref="A1:HC25"/>
  <sheetViews>
    <sheetView workbookViewId="0">
      <pane xSplit="1" topLeftCell="DP1" activePane="topRight" state="frozen"/>
      <selection pane="topRight" activeCell="DX15" sqref="DX15"/>
    </sheetView>
  </sheetViews>
  <sheetFormatPr defaultRowHeight="15"/>
  <cols>
    <col min="1" max="1" width="36.28515625" customWidth="1"/>
    <col min="2" max="211" width="13.28515625" customWidth="1"/>
  </cols>
  <sheetData>
    <row r="1" spans="1:211">
      <c r="A1" s="1" t="s">
        <v>324</v>
      </c>
      <c r="B1" s="7" t="s">
        <v>114</v>
      </c>
      <c r="C1" s="7" t="s">
        <v>115</v>
      </c>
      <c r="D1" s="7" t="s">
        <v>116</v>
      </c>
      <c r="E1" s="7" t="s">
        <v>117</v>
      </c>
      <c r="F1" s="7" t="s">
        <v>118</v>
      </c>
      <c r="G1" s="7" t="s">
        <v>119</v>
      </c>
      <c r="H1" s="7" t="s">
        <v>120</v>
      </c>
      <c r="I1" s="7" t="s">
        <v>121</v>
      </c>
      <c r="J1" s="7" t="s">
        <v>122</v>
      </c>
      <c r="K1" s="7" t="s">
        <v>123</v>
      </c>
      <c r="L1" s="7" t="s">
        <v>124</v>
      </c>
      <c r="M1" s="7" t="s">
        <v>125</v>
      </c>
      <c r="N1" s="7" t="s">
        <v>126</v>
      </c>
      <c r="O1" s="7" t="s">
        <v>127</v>
      </c>
      <c r="P1" s="7" t="s">
        <v>128</v>
      </c>
      <c r="Q1" s="7" t="s">
        <v>129</v>
      </c>
      <c r="R1" s="7" t="s">
        <v>130</v>
      </c>
      <c r="S1" s="7" t="s">
        <v>131</v>
      </c>
      <c r="T1" s="7" t="s">
        <v>132</v>
      </c>
      <c r="U1" s="7" t="s">
        <v>133</v>
      </c>
      <c r="V1" s="7" t="s">
        <v>134</v>
      </c>
      <c r="W1" s="7" t="s">
        <v>135</v>
      </c>
      <c r="X1" s="7" t="s">
        <v>136</v>
      </c>
      <c r="Y1" s="7" t="s">
        <v>137</v>
      </c>
      <c r="Z1" s="7" t="s">
        <v>138</v>
      </c>
      <c r="AA1" s="7" t="s">
        <v>139</v>
      </c>
      <c r="AB1" s="7" t="s">
        <v>140</v>
      </c>
      <c r="AC1" s="7" t="s">
        <v>141</v>
      </c>
      <c r="AD1" s="7" t="s">
        <v>142</v>
      </c>
      <c r="AE1" s="7" t="s">
        <v>143</v>
      </c>
      <c r="AF1" s="7" t="s">
        <v>144</v>
      </c>
      <c r="AG1" s="7" t="s">
        <v>145</v>
      </c>
      <c r="AH1" s="7" t="s">
        <v>146</v>
      </c>
      <c r="AI1" s="7" t="s">
        <v>147</v>
      </c>
      <c r="AJ1" s="7" t="s">
        <v>148</v>
      </c>
      <c r="AK1" s="7" t="s">
        <v>149</v>
      </c>
      <c r="AL1" s="7" t="s">
        <v>150</v>
      </c>
      <c r="AM1" s="7" t="s">
        <v>151</v>
      </c>
      <c r="AN1" s="7" t="s">
        <v>152</v>
      </c>
      <c r="AO1" s="7" t="s">
        <v>153</v>
      </c>
      <c r="AP1" s="7" t="s">
        <v>154</v>
      </c>
      <c r="AQ1" s="7" t="s">
        <v>155</v>
      </c>
      <c r="AR1" s="7" t="s">
        <v>156</v>
      </c>
      <c r="AS1" s="7" t="s">
        <v>157</v>
      </c>
      <c r="AT1" s="7" t="s">
        <v>158</v>
      </c>
      <c r="AU1" s="7" t="s">
        <v>159</v>
      </c>
      <c r="AV1" s="7" t="s">
        <v>160</v>
      </c>
      <c r="AW1" s="7" t="s">
        <v>161</v>
      </c>
      <c r="AX1" s="7" t="s">
        <v>162</v>
      </c>
      <c r="AY1" s="7" t="s">
        <v>163</v>
      </c>
      <c r="AZ1" s="7" t="s">
        <v>164</v>
      </c>
      <c r="BA1" s="7" t="s">
        <v>165</v>
      </c>
      <c r="BB1" s="7" t="s">
        <v>166</v>
      </c>
      <c r="BC1" s="7" t="s">
        <v>167</v>
      </c>
      <c r="BD1" s="7" t="s">
        <v>168</v>
      </c>
      <c r="BE1" s="7" t="s">
        <v>169</v>
      </c>
      <c r="BF1" s="7" t="s">
        <v>170</v>
      </c>
      <c r="BG1" s="7" t="s">
        <v>171</v>
      </c>
      <c r="BH1" s="7" t="s">
        <v>172</v>
      </c>
      <c r="BI1" s="7" t="s">
        <v>173</v>
      </c>
      <c r="BJ1" s="7" t="s">
        <v>174</v>
      </c>
      <c r="BK1" s="7" t="s">
        <v>175</v>
      </c>
      <c r="BL1" s="7" t="s">
        <v>176</v>
      </c>
      <c r="BM1" s="7" t="s">
        <v>177</v>
      </c>
      <c r="BN1" s="7" t="s">
        <v>178</v>
      </c>
      <c r="BO1" s="7" t="s">
        <v>179</v>
      </c>
      <c r="BP1" s="7" t="s">
        <v>180</v>
      </c>
      <c r="BQ1" s="7" t="s">
        <v>181</v>
      </c>
      <c r="BR1" s="7" t="s">
        <v>182</v>
      </c>
      <c r="BS1" s="7" t="s">
        <v>183</v>
      </c>
      <c r="BT1" s="7" t="s">
        <v>184</v>
      </c>
      <c r="BU1" s="7" t="s">
        <v>185</v>
      </c>
      <c r="BV1" s="7" t="s">
        <v>186</v>
      </c>
      <c r="BW1" s="7" t="s">
        <v>187</v>
      </c>
      <c r="BX1" s="7" t="s">
        <v>188</v>
      </c>
      <c r="BY1" s="7" t="s">
        <v>189</v>
      </c>
      <c r="BZ1" s="7" t="s">
        <v>190</v>
      </c>
      <c r="CA1" s="7" t="s">
        <v>191</v>
      </c>
      <c r="CB1" s="7" t="s">
        <v>192</v>
      </c>
      <c r="CC1" s="7" t="s">
        <v>193</v>
      </c>
      <c r="CD1" s="7" t="s">
        <v>194</v>
      </c>
      <c r="CE1" s="7" t="s">
        <v>195</v>
      </c>
      <c r="CF1" s="7" t="s">
        <v>196</v>
      </c>
      <c r="CG1" s="7" t="s">
        <v>197</v>
      </c>
      <c r="CH1" s="7" t="s">
        <v>198</v>
      </c>
      <c r="CI1" s="7" t="s">
        <v>199</v>
      </c>
      <c r="CJ1" s="7" t="s">
        <v>200</v>
      </c>
      <c r="CK1" s="7" t="s">
        <v>201</v>
      </c>
      <c r="CL1" s="7" t="s">
        <v>202</v>
      </c>
      <c r="CM1" s="7" t="s">
        <v>203</v>
      </c>
      <c r="CN1" s="7" t="s">
        <v>204</v>
      </c>
      <c r="CO1" s="7" t="s">
        <v>205</v>
      </c>
      <c r="CP1" s="7" t="s">
        <v>206</v>
      </c>
      <c r="CQ1" s="7" t="s">
        <v>207</v>
      </c>
      <c r="CR1" s="7" t="s">
        <v>208</v>
      </c>
      <c r="CS1" s="7" t="s">
        <v>209</v>
      </c>
      <c r="CT1" s="7" t="s">
        <v>210</v>
      </c>
      <c r="CU1" s="7" t="s">
        <v>211</v>
      </c>
      <c r="CV1" s="7" t="s">
        <v>212</v>
      </c>
      <c r="CW1" s="7" t="s">
        <v>213</v>
      </c>
      <c r="CX1" s="7" t="s">
        <v>214</v>
      </c>
      <c r="CY1" s="7" t="s">
        <v>215</v>
      </c>
      <c r="CZ1" s="7" t="s">
        <v>216</v>
      </c>
      <c r="DA1" s="7" t="s">
        <v>217</v>
      </c>
      <c r="DB1" s="7" t="s">
        <v>218</v>
      </c>
      <c r="DC1" s="7" t="s">
        <v>219</v>
      </c>
      <c r="DD1" s="7" t="s">
        <v>220</v>
      </c>
      <c r="DE1" s="7" t="s">
        <v>221</v>
      </c>
      <c r="DF1" s="7" t="s">
        <v>222</v>
      </c>
      <c r="DG1" s="7" t="s">
        <v>223</v>
      </c>
      <c r="DH1" s="7" t="s">
        <v>224</v>
      </c>
      <c r="DI1" s="7" t="s">
        <v>225</v>
      </c>
      <c r="DJ1" s="7" t="s">
        <v>226</v>
      </c>
      <c r="DK1" s="7" t="s">
        <v>227</v>
      </c>
      <c r="DL1" s="7" t="s">
        <v>228</v>
      </c>
      <c r="DM1" s="7" t="s">
        <v>229</v>
      </c>
      <c r="DN1" s="7" t="s">
        <v>230</v>
      </c>
      <c r="DO1" s="7" t="s">
        <v>231</v>
      </c>
      <c r="DP1" s="7" t="s">
        <v>232</v>
      </c>
      <c r="DQ1" s="7" t="s">
        <v>233</v>
      </c>
      <c r="DR1" s="7" t="s">
        <v>234</v>
      </c>
      <c r="DS1" s="7" t="s">
        <v>235</v>
      </c>
      <c r="DT1" s="7" t="s">
        <v>236</v>
      </c>
      <c r="DU1" s="7" t="s">
        <v>237</v>
      </c>
      <c r="DV1" s="7" t="s">
        <v>238</v>
      </c>
      <c r="DW1" s="7" t="s">
        <v>239</v>
      </c>
      <c r="DX1" s="7" t="s">
        <v>240</v>
      </c>
      <c r="DY1" s="7" t="s">
        <v>241</v>
      </c>
      <c r="DZ1" s="7" t="s">
        <v>242</v>
      </c>
      <c r="EA1" s="7" t="s">
        <v>243</v>
      </c>
      <c r="EB1" s="7" t="s">
        <v>244</v>
      </c>
      <c r="EC1" s="7" t="s">
        <v>245</v>
      </c>
      <c r="ED1" s="7" t="s">
        <v>246</v>
      </c>
      <c r="EE1" s="7" t="s">
        <v>247</v>
      </c>
      <c r="EF1" s="7" t="s">
        <v>248</v>
      </c>
      <c r="EG1" s="7" t="s">
        <v>249</v>
      </c>
      <c r="EH1" s="7" t="s">
        <v>250</v>
      </c>
      <c r="EI1" s="7" t="s">
        <v>251</v>
      </c>
      <c r="EJ1" s="7" t="s">
        <v>252</v>
      </c>
      <c r="EK1" s="7" t="s">
        <v>253</v>
      </c>
      <c r="EL1" s="7" t="s">
        <v>254</v>
      </c>
      <c r="EM1" s="7" t="s">
        <v>255</v>
      </c>
      <c r="EN1" s="7" t="s">
        <v>256</v>
      </c>
      <c r="EO1" s="7" t="s">
        <v>257</v>
      </c>
      <c r="EP1" s="7" t="s">
        <v>258</v>
      </c>
      <c r="EQ1" s="7" t="s">
        <v>259</v>
      </c>
      <c r="ER1" s="7" t="s">
        <v>260</v>
      </c>
      <c r="ES1" s="7" t="s">
        <v>261</v>
      </c>
      <c r="ET1" s="7" t="s">
        <v>262</v>
      </c>
      <c r="EU1" s="7" t="s">
        <v>263</v>
      </c>
      <c r="EV1" s="7" t="s">
        <v>264</v>
      </c>
      <c r="EW1" s="7" t="s">
        <v>265</v>
      </c>
      <c r="EX1" s="7" t="s">
        <v>266</v>
      </c>
      <c r="EY1" s="7" t="s">
        <v>267</v>
      </c>
      <c r="EZ1" s="7" t="s">
        <v>268</v>
      </c>
      <c r="FA1" s="7" t="s">
        <v>269</v>
      </c>
      <c r="FB1" s="7" t="s">
        <v>270</v>
      </c>
      <c r="FC1" s="7" t="s">
        <v>271</v>
      </c>
      <c r="FD1" s="7" t="s">
        <v>272</v>
      </c>
      <c r="FE1" s="7" t="s">
        <v>273</v>
      </c>
      <c r="FF1" s="7" t="s">
        <v>274</v>
      </c>
      <c r="FG1" s="7" t="s">
        <v>275</v>
      </c>
      <c r="FH1" s="7" t="s">
        <v>276</v>
      </c>
      <c r="FI1" s="7" t="s">
        <v>277</v>
      </c>
      <c r="FJ1" s="7" t="s">
        <v>278</v>
      </c>
      <c r="FK1" s="7" t="s">
        <v>279</v>
      </c>
      <c r="FL1" s="7" t="s">
        <v>280</v>
      </c>
      <c r="FM1" s="7" t="s">
        <v>281</v>
      </c>
      <c r="FN1" s="7" t="s">
        <v>282</v>
      </c>
      <c r="FO1" s="7" t="s">
        <v>283</v>
      </c>
      <c r="FP1" s="7" t="s">
        <v>284</v>
      </c>
      <c r="FQ1" s="7" t="s">
        <v>285</v>
      </c>
      <c r="FR1" s="7" t="s">
        <v>286</v>
      </c>
      <c r="FS1" s="7" t="s">
        <v>287</v>
      </c>
      <c r="FT1" s="7" t="s">
        <v>288</v>
      </c>
      <c r="FU1" s="7" t="s">
        <v>289</v>
      </c>
      <c r="FV1" s="7" t="s">
        <v>290</v>
      </c>
      <c r="FW1" s="7" t="s">
        <v>291</v>
      </c>
      <c r="FX1" s="7" t="s">
        <v>292</v>
      </c>
      <c r="FY1" s="7" t="s">
        <v>293</v>
      </c>
      <c r="FZ1" s="7" t="s">
        <v>294</v>
      </c>
      <c r="GA1" s="7" t="s">
        <v>295</v>
      </c>
      <c r="GB1" s="7" t="s">
        <v>296</v>
      </c>
      <c r="GC1" s="7" t="s">
        <v>297</v>
      </c>
      <c r="GD1" s="7" t="s">
        <v>298</v>
      </c>
      <c r="GE1" s="7" t="s">
        <v>299</v>
      </c>
      <c r="GF1" s="7" t="s">
        <v>300</v>
      </c>
      <c r="GG1" s="7" t="s">
        <v>301</v>
      </c>
      <c r="GH1" s="7" t="s">
        <v>302</v>
      </c>
      <c r="GI1" s="7" t="s">
        <v>303</v>
      </c>
      <c r="GJ1" s="7" t="s">
        <v>304</v>
      </c>
      <c r="GK1" s="7" t="s">
        <v>305</v>
      </c>
      <c r="GL1" s="7" t="s">
        <v>306</v>
      </c>
      <c r="GM1" s="7" t="s">
        <v>307</v>
      </c>
      <c r="GN1" s="7" t="s">
        <v>308</v>
      </c>
      <c r="GO1" s="7" t="s">
        <v>309</v>
      </c>
      <c r="GP1" s="7" t="s">
        <v>310</v>
      </c>
      <c r="GQ1" s="7" t="s">
        <v>311</v>
      </c>
      <c r="GR1" s="7" t="s">
        <v>312</v>
      </c>
      <c r="GS1" s="7" t="s">
        <v>313</v>
      </c>
      <c r="GT1" s="7" t="s">
        <v>314</v>
      </c>
      <c r="GU1" s="7" t="s">
        <v>315</v>
      </c>
      <c r="GV1" s="7" t="s">
        <v>316</v>
      </c>
      <c r="GW1" s="7" t="s">
        <v>317</v>
      </c>
      <c r="GX1" s="7" t="s">
        <v>318</v>
      </c>
      <c r="GY1" s="7" t="s">
        <v>319</v>
      </c>
      <c r="GZ1" s="7" t="s">
        <v>320</v>
      </c>
      <c r="HA1" s="7" t="s">
        <v>321</v>
      </c>
      <c r="HB1" s="7" t="s">
        <v>322</v>
      </c>
      <c r="HC1" s="7" t="s">
        <v>323</v>
      </c>
    </row>
    <row r="2" spans="1:211">
      <c r="A2" t="s">
        <v>89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0</v>
      </c>
      <c r="BJ2">
        <v>0</v>
      </c>
      <c r="BK2">
        <v>0</v>
      </c>
      <c r="BL2">
        <v>0</v>
      </c>
      <c r="BM2">
        <v>0</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s="5">
        <f>'Start Year Capacities - 2026-21'!F8</f>
        <v>192971.5</v>
      </c>
      <c r="DY2" s="5">
        <f>'Start Year Capacities - 2026-21'!E8</f>
        <v>191092.5</v>
      </c>
      <c r="DZ2" s="5">
        <f>'Start Year Capacities - 2026-21'!D8</f>
        <v>198494.5</v>
      </c>
      <c r="EA2">
        <f>'Start Year Capacities - 2026-21'!C8</f>
        <v>199864.5</v>
      </c>
      <c r="EB2">
        <f>'Start Year Capacities - 2026-21'!J8</f>
        <v>203189.5</v>
      </c>
      <c r="EC2">
        <v>0</v>
      </c>
      <c r="ED2">
        <v>0</v>
      </c>
      <c r="EE2">
        <v>0</v>
      </c>
      <c r="EF2">
        <v>0</v>
      </c>
      <c r="EG2">
        <v>0</v>
      </c>
      <c r="EH2">
        <v>0</v>
      </c>
      <c r="EI2">
        <v>0</v>
      </c>
      <c r="EJ2">
        <v>0</v>
      </c>
      <c r="EK2">
        <v>0</v>
      </c>
      <c r="EL2">
        <v>0</v>
      </c>
      <c r="EM2">
        <v>0</v>
      </c>
      <c r="EN2">
        <v>0</v>
      </c>
      <c r="EO2">
        <v>0</v>
      </c>
      <c r="EP2">
        <v>0</v>
      </c>
      <c r="EQ2">
        <v>0</v>
      </c>
      <c r="ER2">
        <v>0</v>
      </c>
      <c r="ES2">
        <v>0</v>
      </c>
      <c r="ET2">
        <v>0</v>
      </c>
      <c r="EU2">
        <v>0</v>
      </c>
      <c r="EV2">
        <v>0</v>
      </c>
      <c r="EW2">
        <v>0</v>
      </c>
      <c r="EX2">
        <v>0</v>
      </c>
      <c r="EY2">
        <v>0</v>
      </c>
      <c r="EZ2">
        <v>0</v>
      </c>
      <c r="FA2">
        <v>0</v>
      </c>
      <c r="FB2">
        <v>0</v>
      </c>
      <c r="FC2">
        <v>0</v>
      </c>
      <c r="FD2">
        <v>0</v>
      </c>
      <c r="FE2">
        <v>0</v>
      </c>
      <c r="FF2">
        <v>0</v>
      </c>
      <c r="FG2">
        <v>0</v>
      </c>
      <c r="FH2">
        <v>0</v>
      </c>
      <c r="FI2">
        <v>0</v>
      </c>
      <c r="FJ2">
        <v>0</v>
      </c>
      <c r="FK2">
        <v>0</v>
      </c>
      <c r="FL2">
        <v>0</v>
      </c>
      <c r="FM2">
        <v>0</v>
      </c>
      <c r="FN2">
        <v>0</v>
      </c>
      <c r="FO2">
        <v>0</v>
      </c>
      <c r="FP2">
        <v>0</v>
      </c>
      <c r="FQ2">
        <v>0</v>
      </c>
      <c r="FR2">
        <v>0</v>
      </c>
      <c r="FS2">
        <v>0</v>
      </c>
      <c r="FT2">
        <v>0</v>
      </c>
      <c r="FU2">
        <v>0</v>
      </c>
      <c r="FV2">
        <v>0</v>
      </c>
      <c r="FW2">
        <v>0</v>
      </c>
      <c r="FX2">
        <v>0</v>
      </c>
      <c r="FY2">
        <v>0</v>
      </c>
      <c r="FZ2">
        <v>0</v>
      </c>
      <c r="GA2">
        <v>0</v>
      </c>
      <c r="GB2">
        <v>0</v>
      </c>
      <c r="GC2">
        <v>0</v>
      </c>
      <c r="GD2">
        <v>0</v>
      </c>
      <c r="GE2">
        <v>0</v>
      </c>
      <c r="GF2">
        <v>0</v>
      </c>
      <c r="GG2">
        <v>0</v>
      </c>
      <c r="GH2">
        <v>0</v>
      </c>
      <c r="GI2">
        <v>0</v>
      </c>
      <c r="GJ2">
        <v>0</v>
      </c>
      <c r="GK2">
        <v>0</v>
      </c>
      <c r="GL2">
        <v>0</v>
      </c>
      <c r="GM2">
        <v>0</v>
      </c>
      <c r="GN2">
        <v>0</v>
      </c>
      <c r="GO2">
        <v>0</v>
      </c>
      <c r="GP2">
        <v>0</v>
      </c>
      <c r="GQ2">
        <v>0</v>
      </c>
      <c r="GR2">
        <v>0</v>
      </c>
      <c r="GS2">
        <v>0</v>
      </c>
      <c r="GT2">
        <v>0</v>
      </c>
      <c r="GU2">
        <v>0</v>
      </c>
      <c r="GV2">
        <v>0</v>
      </c>
      <c r="GW2">
        <v>0</v>
      </c>
      <c r="GX2">
        <v>0</v>
      </c>
      <c r="GY2">
        <v>0</v>
      </c>
      <c r="GZ2">
        <v>0</v>
      </c>
      <c r="HA2">
        <v>0</v>
      </c>
      <c r="HB2">
        <v>0</v>
      </c>
      <c r="HC2">
        <v>0</v>
      </c>
    </row>
    <row r="3" spans="1:211">
      <c r="A3" t="s">
        <v>90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s="5">
        <f>'Start Year Capacities - 2026-21'!E10-'BHRaSYC-StartYearCapacities'!DX4</f>
        <v>24587.22</v>
      </c>
      <c r="DY3">
        <f>$DX$3/($DX$3+$DX$4)*'Start Year Capacities - 2026-21'!E10</f>
        <v>24587.22</v>
      </c>
      <c r="DZ3">
        <f>$DX$3/($DX$3+$DX$4)*'Start Year Capacities - 2026-21'!D10</f>
        <v>24587.22</v>
      </c>
      <c r="EA3">
        <f>$DX$3/($DX$3+$DX$4)*'Start Year Capacities - 2026-21'!C10</f>
        <v>24606.239260118007</v>
      </c>
      <c r="EB3">
        <f>$DX$3/($DX$3+$DX$4)*'Start Year Capacities - 2026-21'!J10</f>
        <v>24550.039269100565</v>
      </c>
      <c r="EC3">
        <v>0</v>
      </c>
      <c r="ED3">
        <v>0</v>
      </c>
      <c r="EE3">
        <v>0</v>
      </c>
      <c r="EF3">
        <v>0</v>
      </c>
      <c r="EG3">
        <v>0</v>
      </c>
      <c r="EH3">
        <v>0</v>
      </c>
      <c r="EI3">
        <v>0</v>
      </c>
      <c r="EJ3">
        <v>0</v>
      </c>
      <c r="EK3">
        <v>0</v>
      </c>
      <c r="EL3">
        <v>0</v>
      </c>
      <c r="EM3">
        <v>0</v>
      </c>
      <c r="EN3">
        <v>0</v>
      </c>
      <c r="EO3">
        <v>0</v>
      </c>
      <c r="EP3">
        <v>0</v>
      </c>
      <c r="EQ3">
        <v>0</v>
      </c>
      <c r="ER3">
        <v>0</v>
      </c>
      <c r="ES3">
        <v>0</v>
      </c>
      <c r="ET3">
        <v>0</v>
      </c>
      <c r="EU3">
        <v>0</v>
      </c>
      <c r="EV3">
        <v>0</v>
      </c>
      <c r="EW3">
        <v>0</v>
      </c>
      <c r="EX3">
        <v>0</v>
      </c>
      <c r="EY3">
        <v>0</v>
      </c>
      <c r="EZ3">
        <v>0</v>
      </c>
      <c r="FA3">
        <v>0</v>
      </c>
      <c r="FB3">
        <v>0</v>
      </c>
      <c r="FC3">
        <v>0</v>
      </c>
      <c r="FD3">
        <v>0</v>
      </c>
      <c r="FE3">
        <v>0</v>
      </c>
      <c r="FF3">
        <v>0</v>
      </c>
      <c r="FG3">
        <v>0</v>
      </c>
      <c r="FH3">
        <v>0</v>
      </c>
      <c r="FI3">
        <v>0</v>
      </c>
      <c r="FJ3">
        <v>0</v>
      </c>
      <c r="FK3">
        <v>0</v>
      </c>
      <c r="FL3">
        <v>0</v>
      </c>
      <c r="FM3">
        <v>0</v>
      </c>
      <c r="FN3">
        <v>0</v>
      </c>
      <c r="FO3">
        <v>0</v>
      </c>
      <c r="FP3">
        <v>0</v>
      </c>
      <c r="FQ3">
        <v>0</v>
      </c>
      <c r="FR3">
        <v>0</v>
      </c>
      <c r="FS3">
        <v>0</v>
      </c>
      <c r="FT3">
        <v>0</v>
      </c>
      <c r="FU3">
        <v>0</v>
      </c>
      <c r="FV3">
        <v>0</v>
      </c>
      <c r="FW3">
        <v>0</v>
      </c>
      <c r="FX3">
        <v>0</v>
      </c>
      <c r="FY3">
        <v>0</v>
      </c>
      <c r="FZ3">
        <v>0</v>
      </c>
      <c r="GA3">
        <v>0</v>
      </c>
      <c r="GB3">
        <v>0</v>
      </c>
      <c r="GC3">
        <v>0</v>
      </c>
      <c r="GD3">
        <v>0</v>
      </c>
      <c r="GE3">
        <v>0</v>
      </c>
      <c r="GF3">
        <v>0</v>
      </c>
      <c r="GG3">
        <v>0</v>
      </c>
      <c r="GH3">
        <v>0</v>
      </c>
      <c r="GI3">
        <v>0</v>
      </c>
      <c r="GJ3">
        <v>0</v>
      </c>
      <c r="GK3">
        <v>0</v>
      </c>
      <c r="GL3">
        <v>0</v>
      </c>
      <c r="GM3">
        <v>0</v>
      </c>
      <c r="GN3">
        <v>0</v>
      </c>
      <c r="GO3">
        <v>0</v>
      </c>
      <c r="GP3">
        <v>0</v>
      </c>
      <c r="GQ3">
        <v>0</v>
      </c>
      <c r="GR3">
        <v>0</v>
      </c>
      <c r="GS3">
        <v>0</v>
      </c>
      <c r="GT3">
        <v>0</v>
      </c>
      <c r="GU3">
        <v>0</v>
      </c>
      <c r="GV3">
        <v>0</v>
      </c>
      <c r="GW3">
        <v>0</v>
      </c>
      <c r="GX3">
        <v>0</v>
      </c>
      <c r="GY3">
        <v>0</v>
      </c>
      <c r="GZ3">
        <v>0</v>
      </c>
      <c r="HA3">
        <v>0</v>
      </c>
      <c r="HB3">
        <v>0</v>
      </c>
      <c r="HC3">
        <v>0</v>
      </c>
    </row>
    <row r="4" spans="1:211">
      <c r="A4" t="s">
        <v>91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350</v>
      </c>
      <c r="DY4">
        <f>$DX$4/($DX$3+$DX$4)*$DY$3</f>
        <v>345.08766414219389</v>
      </c>
      <c r="DZ4">
        <f t="shared" ref="DZ4:EB4" si="0">$DX$4/($DX$3+$DX$4)*$DY$3</f>
        <v>345.08766414219389</v>
      </c>
      <c r="EA4">
        <f t="shared" si="0"/>
        <v>345.08766414219389</v>
      </c>
      <c r="EB4">
        <f t="shared" si="0"/>
        <v>345.08766414219389</v>
      </c>
      <c r="EC4">
        <v>0</v>
      </c>
      <c r="ED4">
        <v>0</v>
      </c>
      <c r="EE4">
        <v>0</v>
      </c>
      <c r="EF4">
        <v>0</v>
      </c>
      <c r="EG4">
        <v>0</v>
      </c>
      <c r="EH4">
        <v>0</v>
      </c>
      <c r="EI4">
        <v>0</v>
      </c>
      <c r="EJ4">
        <v>0</v>
      </c>
      <c r="EK4">
        <v>0</v>
      </c>
      <c r="EL4">
        <v>0</v>
      </c>
      <c r="EM4">
        <v>0</v>
      </c>
      <c r="EN4">
        <v>0</v>
      </c>
      <c r="EO4">
        <v>0</v>
      </c>
      <c r="EP4">
        <v>0</v>
      </c>
      <c r="EQ4">
        <v>0</v>
      </c>
      <c r="ER4">
        <v>0</v>
      </c>
      <c r="ES4">
        <v>0</v>
      </c>
      <c r="ET4">
        <v>0</v>
      </c>
      <c r="EU4">
        <v>0</v>
      </c>
      <c r="EV4">
        <v>0</v>
      </c>
      <c r="EW4">
        <v>0</v>
      </c>
      <c r="EX4">
        <v>0</v>
      </c>
      <c r="EY4">
        <v>0</v>
      </c>
      <c r="EZ4">
        <v>0</v>
      </c>
      <c r="FA4">
        <v>0</v>
      </c>
      <c r="FB4">
        <v>0</v>
      </c>
      <c r="FC4">
        <v>0</v>
      </c>
      <c r="FD4">
        <v>0</v>
      </c>
      <c r="FE4">
        <v>0</v>
      </c>
      <c r="FF4">
        <v>0</v>
      </c>
      <c r="FG4">
        <v>0</v>
      </c>
      <c r="FH4">
        <v>0</v>
      </c>
      <c r="FI4">
        <v>0</v>
      </c>
      <c r="FJ4">
        <v>0</v>
      </c>
      <c r="FK4">
        <v>0</v>
      </c>
      <c r="FL4">
        <v>0</v>
      </c>
      <c r="FM4">
        <v>0</v>
      </c>
      <c r="FN4">
        <v>0</v>
      </c>
      <c r="FO4">
        <v>0</v>
      </c>
      <c r="FP4">
        <v>0</v>
      </c>
      <c r="FQ4">
        <v>0</v>
      </c>
      <c r="FR4">
        <v>0</v>
      </c>
      <c r="FS4">
        <v>0</v>
      </c>
      <c r="FT4">
        <v>0</v>
      </c>
      <c r="FU4">
        <v>0</v>
      </c>
      <c r="FV4">
        <v>0</v>
      </c>
      <c r="FW4">
        <v>0</v>
      </c>
      <c r="FX4">
        <v>0</v>
      </c>
      <c r="FY4">
        <v>0</v>
      </c>
      <c r="FZ4">
        <v>0</v>
      </c>
      <c r="GA4">
        <v>0</v>
      </c>
      <c r="GB4">
        <v>0</v>
      </c>
      <c r="GC4">
        <v>0</v>
      </c>
      <c r="GD4">
        <v>0</v>
      </c>
      <c r="GE4">
        <v>0</v>
      </c>
      <c r="GF4">
        <v>0</v>
      </c>
      <c r="GG4">
        <v>0</v>
      </c>
      <c r="GH4">
        <v>0</v>
      </c>
      <c r="GI4">
        <v>0</v>
      </c>
      <c r="GJ4">
        <v>0</v>
      </c>
      <c r="GK4">
        <v>0</v>
      </c>
      <c r="GL4">
        <v>0</v>
      </c>
      <c r="GM4">
        <v>0</v>
      </c>
      <c r="GN4">
        <v>0</v>
      </c>
      <c r="GO4">
        <v>0</v>
      </c>
      <c r="GP4">
        <v>0</v>
      </c>
      <c r="GQ4">
        <v>0</v>
      </c>
      <c r="GR4">
        <v>0</v>
      </c>
      <c r="GS4">
        <v>0</v>
      </c>
      <c r="GT4">
        <v>0</v>
      </c>
      <c r="GU4">
        <v>0</v>
      </c>
      <c r="GV4">
        <v>0</v>
      </c>
      <c r="GW4">
        <v>0</v>
      </c>
      <c r="GX4">
        <v>0</v>
      </c>
      <c r="GY4">
        <v>0</v>
      </c>
      <c r="GZ4">
        <v>0</v>
      </c>
      <c r="HA4">
        <v>0</v>
      </c>
      <c r="HB4">
        <v>0</v>
      </c>
      <c r="HC4">
        <v>0</v>
      </c>
    </row>
    <row r="5" spans="1:211">
      <c r="A5" t="s">
        <v>92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s="5">
        <f>'Start Year Capacities - 2026-21'!F12</f>
        <v>6780</v>
      </c>
      <c r="DY5" s="5">
        <f>'Start Year Capacities - 2026-21'!E12</f>
        <v>6780</v>
      </c>
      <c r="DZ5" s="5">
        <f>'Start Year Capacities - 2026-21'!D12</f>
        <v>6780</v>
      </c>
      <c r="EA5">
        <f>'Start Year Capacities - 2026-21'!C12</f>
        <v>6780</v>
      </c>
      <c r="EB5">
        <f>'Start Year Capacities - 2026-21'!J12</f>
        <v>6780</v>
      </c>
      <c r="EC5">
        <v>0</v>
      </c>
      <c r="ED5">
        <v>0</v>
      </c>
      <c r="EE5">
        <v>0</v>
      </c>
      <c r="EF5">
        <v>0</v>
      </c>
      <c r="EG5">
        <v>0</v>
      </c>
      <c r="EH5">
        <v>0</v>
      </c>
      <c r="EI5">
        <v>0</v>
      </c>
      <c r="EJ5">
        <v>0</v>
      </c>
      <c r="EK5">
        <v>0</v>
      </c>
      <c r="EL5">
        <v>0</v>
      </c>
      <c r="EM5">
        <v>0</v>
      </c>
      <c r="EN5">
        <v>0</v>
      </c>
      <c r="EO5">
        <v>0</v>
      </c>
      <c r="EP5">
        <v>0</v>
      </c>
      <c r="EQ5">
        <v>0</v>
      </c>
      <c r="ER5">
        <v>0</v>
      </c>
      <c r="ES5">
        <v>0</v>
      </c>
      <c r="ET5">
        <v>0</v>
      </c>
      <c r="EU5">
        <v>0</v>
      </c>
      <c r="EV5">
        <v>0</v>
      </c>
      <c r="EW5">
        <v>0</v>
      </c>
      <c r="EX5">
        <v>0</v>
      </c>
      <c r="EY5">
        <v>0</v>
      </c>
      <c r="EZ5">
        <v>0</v>
      </c>
      <c r="FA5">
        <v>0</v>
      </c>
      <c r="FB5">
        <v>0</v>
      </c>
      <c r="FC5">
        <v>0</v>
      </c>
      <c r="FD5">
        <v>0</v>
      </c>
      <c r="FE5">
        <v>0</v>
      </c>
      <c r="FF5">
        <v>0</v>
      </c>
      <c r="FG5">
        <v>0</v>
      </c>
      <c r="FH5">
        <v>0</v>
      </c>
      <c r="FI5">
        <v>0</v>
      </c>
      <c r="FJ5">
        <v>0</v>
      </c>
      <c r="FK5">
        <v>0</v>
      </c>
      <c r="FL5">
        <v>0</v>
      </c>
      <c r="FM5">
        <v>0</v>
      </c>
      <c r="FN5">
        <v>0</v>
      </c>
      <c r="FO5">
        <v>0</v>
      </c>
      <c r="FP5">
        <v>0</v>
      </c>
      <c r="FQ5">
        <v>0</v>
      </c>
      <c r="FR5">
        <v>0</v>
      </c>
      <c r="FS5">
        <v>0</v>
      </c>
      <c r="FT5">
        <v>0</v>
      </c>
      <c r="FU5">
        <v>0</v>
      </c>
      <c r="FV5">
        <v>0</v>
      </c>
      <c r="FW5">
        <v>0</v>
      </c>
      <c r="FX5">
        <v>0</v>
      </c>
      <c r="FY5">
        <v>0</v>
      </c>
      <c r="FZ5">
        <v>0</v>
      </c>
      <c r="GA5">
        <v>0</v>
      </c>
      <c r="GB5">
        <v>0</v>
      </c>
      <c r="GC5">
        <v>0</v>
      </c>
      <c r="GD5">
        <v>0</v>
      </c>
      <c r="GE5">
        <v>0</v>
      </c>
      <c r="GF5">
        <v>0</v>
      </c>
      <c r="GG5">
        <v>0</v>
      </c>
      <c r="GH5">
        <v>0</v>
      </c>
      <c r="GI5">
        <v>0</v>
      </c>
      <c r="GJ5">
        <v>0</v>
      </c>
      <c r="GK5">
        <v>0</v>
      </c>
      <c r="GL5">
        <v>0</v>
      </c>
      <c r="GM5">
        <v>0</v>
      </c>
      <c r="GN5">
        <v>0</v>
      </c>
      <c r="GO5">
        <v>0</v>
      </c>
      <c r="GP5">
        <v>0</v>
      </c>
      <c r="GQ5">
        <v>0</v>
      </c>
      <c r="GR5">
        <v>0</v>
      </c>
      <c r="GS5">
        <v>0</v>
      </c>
      <c r="GT5">
        <v>0</v>
      </c>
      <c r="GU5">
        <v>0</v>
      </c>
      <c r="GV5">
        <v>0</v>
      </c>
      <c r="GW5">
        <v>0</v>
      </c>
      <c r="GX5">
        <v>0</v>
      </c>
      <c r="GY5">
        <v>0</v>
      </c>
      <c r="GZ5">
        <v>0</v>
      </c>
      <c r="HA5">
        <v>0</v>
      </c>
      <c r="HB5">
        <v>0</v>
      </c>
      <c r="HC5">
        <v>0</v>
      </c>
    </row>
    <row r="6" spans="1:211">
      <c r="A6" t="s">
        <v>93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s="5">
        <f>'Start Year Capacities - 2026-21'!F13</f>
        <v>44963.42</v>
      </c>
      <c r="DY6" s="5">
        <f>'Start Year Capacities - 2026-21'!E13</f>
        <v>45399.22</v>
      </c>
      <c r="DZ6" s="5">
        <f>'Start Year Capacities - 2026-21'!D13</f>
        <v>45399.22</v>
      </c>
      <c r="EA6" s="8">
        <f>'Start Year Capacities - 2026-21'!C13</f>
        <v>45798.22</v>
      </c>
      <c r="EB6">
        <f>'Start Year Capacities - 2026-21'!J13</f>
        <v>46512.22</v>
      </c>
      <c r="EC6">
        <v>0</v>
      </c>
      <c r="ED6">
        <v>0</v>
      </c>
      <c r="EE6">
        <v>0</v>
      </c>
      <c r="EF6">
        <v>0</v>
      </c>
      <c r="EG6">
        <v>0</v>
      </c>
      <c r="EH6">
        <v>0</v>
      </c>
      <c r="EI6">
        <v>0</v>
      </c>
      <c r="EJ6">
        <v>0</v>
      </c>
      <c r="EK6">
        <v>0</v>
      </c>
      <c r="EL6">
        <v>0</v>
      </c>
      <c r="EM6">
        <v>0</v>
      </c>
      <c r="EN6">
        <v>0</v>
      </c>
      <c r="EO6">
        <v>0</v>
      </c>
      <c r="EP6">
        <v>0</v>
      </c>
      <c r="EQ6">
        <v>0</v>
      </c>
      <c r="ER6">
        <v>0</v>
      </c>
      <c r="ES6">
        <v>0</v>
      </c>
      <c r="ET6">
        <v>0</v>
      </c>
      <c r="EU6">
        <v>0</v>
      </c>
      <c r="EV6">
        <v>0</v>
      </c>
      <c r="EW6">
        <v>0</v>
      </c>
      <c r="EX6">
        <v>0</v>
      </c>
      <c r="EY6">
        <v>0</v>
      </c>
      <c r="EZ6">
        <v>0</v>
      </c>
      <c r="FA6">
        <v>0</v>
      </c>
      <c r="FB6">
        <v>0</v>
      </c>
      <c r="FC6">
        <v>0</v>
      </c>
      <c r="FD6">
        <v>0</v>
      </c>
      <c r="FE6">
        <v>0</v>
      </c>
      <c r="FF6">
        <v>0</v>
      </c>
      <c r="FG6">
        <v>0</v>
      </c>
      <c r="FH6">
        <v>0</v>
      </c>
      <c r="FI6">
        <v>0</v>
      </c>
      <c r="FJ6">
        <v>0</v>
      </c>
      <c r="FK6">
        <v>0</v>
      </c>
      <c r="FL6">
        <v>0</v>
      </c>
      <c r="FM6">
        <v>0</v>
      </c>
      <c r="FN6">
        <v>0</v>
      </c>
      <c r="FO6">
        <v>0</v>
      </c>
      <c r="FP6">
        <v>0</v>
      </c>
      <c r="FQ6">
        <v>0</v>
      </c>
      <c r="FR6">
        <v>0</v>
      </c>
      <c r="FS6">
        <v>0</v>
      </c>
      <c r="FT6">
        <v>0</v>
      </c>
      <c r="FU6">
        <v>0</v>
      </c>
      <c r="FV6">
        <v>0</v>
      </c>
      <c r="FW6">
        <v>0</v>
      </c>
      <c r="FX6">
        <v>0</v>
      </c>
      <c r="FY6">
        <v>0</v>
      </c>
      <c r="FZ6">
        <v>0</v>
      </c>
      <c r="GA6">
        <v>0</v>
      </c>
      <c r="GB6">
        <v>0</v>
      </c>
      <c r="GC6">
        <v>0</v>
      </c>
      <c r="GD6">
        <v>0</v>
      </c>
      <c r="GE6">
        <v>0</v>
      </c>
      <c r="GF6">
        <v>0</v>
      </c>
      <c r="GG6">
        <v>0</v>
      </c>
      <c r="GH6">
        <v>0</v>
      </c>
      <c r="GI6">
        <v>0</v>
      </c>
      <c r="GJ6">
        <v>0</v>
      </c>
      <c r="GK6">
        <v>0</v>
      </c>
      <c r="GL6">
        <v>0</v>
      </c>
      <c r="GM6">
        <v>0</v>
      </c>
      <c r="GN6">
        <v>0</v>
      </c>
      <c r="GO6">
        <v>0</v>
      </c>
      <c r="GP6">
        <v>0</v>
      </c>
      <c r="GQ6">
        <v>0</v>
      </c>
      <c r="GR6">
        <v>0</v>
      </c>
      <c r="GS6">
        <v>0</v>
      </c>
      <c r="GT6">
        <v>0</v>
      </c>
      <c r="GU6">
        <v>0</v>
      </c>
      <c r="GV6">
        <v>0</v>
      </c>
      <c r="GW6">
        <v>0</v>
      </c>
      <c r="GX6">
        <v>0</v>
      </c>
      <c r="GY6">
        <v>0</v>
      </c>
      <c r="GZ6">
        <v>0</v>
      </c>
      <c r="HA6">
        <v>0</v>
      </c>
      <c r="HB6">
        <v>0</v>
      </c>
      <c r="HC6">
        <v>0</v>
      </c>
    </row>
    <row r="7" spans="1:211">
      <c r="A7" t="s">
        <v>94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s="5">
        <f>'Start Year Capacities - 2026-21'!F15</f>
        <v>32848.46</v>
      </c>
      <c r="DY7" s="5">
        <f>'Start Year Capacities - 2026-21'!E15</f>
        <v>35138.15</v>
      </c>
      <c r="DZ7" s="5">
        <f>'Start Year Capacities - 2026-21'!D15</f>
        <v>37505.18</v>
      </c>
      <c r="EA7">
        <f>'Start Year Capacities - 2026-21'!C15</f>
        <v>38624.15</v>
      </c>
      <c r="EB7">
        <f>'Start Year Capacities - 2026-21'!J15</f>
        <v>40082.699999999997</v>
      </c>
      <c r="EC7">
        <v>0</v>
      </c>
      <c r="ED7">
        <v>0</v>
      </c>
      <c r="EE7">
        <v>0</v>
      </c>
      <c r="EF7">
        <v>0</v>
      </c>
      <c r="EG7">
        <v>0</v>
      </c>
      <c r="EH7">
        <v>0</v>
      </c>
      <c r="EI7">
        <v>0</v>
      </c>
      <c r="EJ7">
        <v>0</v>
      </c>
      <c r="EK7">
        <v>0</v>
      </c>
      <c r="EL7">
        <v>0</v>
      </c>
      <c r="EM7">
        <v>0</v>
      </c>
      <c r="EN7">
        <v>0</v>
      </c>
      <c r="EO7">
        <v>0</v>
      </c>
      <c r="EP7">
        <v>0</v>
      </c>
      <c r="EQ7">
        <v>0</v>
      </c>
      <c r="ER7">
        <v>0</v>
      </c>
      <c r="ES7">
        <v>0</v>
      </c>
      <c r="ET7">
        <v>0</v>
      </c>
      <c r="EU7">
        <v>0</v>
      </c>
      <c r="EV7">
        <v>0</v>
      </c>
      <c r="EW7">
        <v>0</v>
      </c>
      <c r="EX7">
        <v>0</v>
      </c>
      <c r="EY7">
        <v>0</v>
      </c>
      <c r="EZ7">
        <v>0</v>
      </c>
      <c r="FA7">
        <v>0</v>
      </c>
      <c r="FB7">
        <v>0</v>
      </c>
      <c r="FC7">
        <v>0</v>
      </c>
      <c r="FD7">
        <v>0</v>
      </c>
      <c r="FE7">
        <v>0</v>
      </c>
      <c r="FF7">
        <v>0</v>
      </c>
      <c r="FG7">
        <v>0</v>
      </c>
      <c r="FH7">
        <v>0</v>
      </c>
      <c r="FI7">
        <v>0</v>
      </c>
      <c r="FJ7">
        <v>0</v>
      </c>
      <c r="FK7">
        <v>0</v>
      </c>
      <c r="FL7">
        <v>0</v>
      </c>
      <c r="FM7">
        <v>0</v>
      </c>
      <c r="FN7">
        <v>0</v>
      </c>
      <c r="FO7">
        <v>0</v>
      </c>
      <c r="FP7">
        <v>0</v>
      </c>
      <c r="FQ7">
        <v>0</v>
      </c>
      <c r="FR7">
        <v>0</v>
      </c>
      <c r="FS7">
        <v>0</v>
      </c>
      <c r="FT7">
        <v>0</v>
      </c>
      <c r="FU7">
        <v>0</v>
      </c>
      <c r="FV7">
        <v>0</v>
      </c>
      <c r="FW7">
        <v>0</v>
      </c>
      <c r="FX7">
        <v>0</v>
      </c>
      <c r="FY7">
        <v>0</v>
      </c>
      <c r="FZ7">
        <v>0</v>
      </c>
      <c r="GA7">
        <v>0</v>
      </c>
      <c r="GB7">
        <v>0</v>
      </c>
      <c r="GC7">
        <v>0</v>
      </c>
      <c r="GD7">
        <v>0</v>
      </c>
      <c r="GE7">
        <v>0</v>
      </c>
      <c r="GF7">
        <v>0</v>
      </c>
      <c r="GG7">
        <v>0</v>
      </c>
      <c r="GH7">
        <v>0</v>
      </c>
      <c r="GI7">
        <v>0</v>
      </c>
      <c r="GJ7">
        <v>0</v>
      </c>
      <c r="GK7">
        <v>0</v>
      </c>
      <c r="GL7">
        <v>0</v>
      </c>
      <c r="GM7">
        <v>0</v>
      </c>
      <c r="GN7">
        <v>0</v>
      </c>
      <c r="GO7">
        <v>0</v>
      </c>
      <c r="GP7">
        <v>0</v>
      </c>
      <c r="GQ7">
        <v>0</v>
      </c>
      <c r="GR7">
        <v>0</v>
      </c>
      <c r="GS7">
        <v>0</v>
      </c>
      <c r="GT7">
        <v>0</v>
      </c>
      <c r="GU7">
        <v>0</v>
      </c>
      <c r="GV7">
        <v>0</v>
      </c>
      <c r="GW7">
        <v>0</v>
      </c>
      <c r="GX7">
        <v>0</v>
      </c>
      <c r="GY7">
        <v>0</v>
      </c>
      <c r="GZ7">
        <v>0</v>
      </c>
      <c r="HA7">
        <v>0</v>
      </c>
      <c r="HB7">
        <v>0</v>
      </c>
      <c r="HC7">
        <v>0</v>
      </c>
    </row>
    <row r="8" spans="1:211">
      <c r="A8" t="s">
        <v>95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s="5">
        <f>'Start Year Capacities - 2026-21'!F14</f>
        <v>17052.41</v>
      </c>
      <c r="DY8" s="5">
        <f>'Start Year Capacities - 2026-21'!E14</f>
        <v>25212.26</v>
      </c>
      <c r="DZ8" s="5">
        <f>'Start Year Capacities - 2026-21'!D14</f>
        <v>33730.559999999998</v>
      </c>
      <c r="EA8">
        <f>'Start Year Capacities - 2026-21'!C14</f>
        <v>37464.639999999999</v>
      </c>
      <c r="EB8">
        <f>'Start Year Capacities - 2026-21'!J14</f>
        <v>49346.71</v>
      </c>
      <c r="EC8">
        <v>0</v>
      </c>
      <c r="ED8">
        <v>0</v>
      </c>
      <c r="EE8">
        <v>0</v>
      </c>
      <c r="EF8">
        <v>0</v>
      </c>
      <c r="EG8">
        <v>0</v>
      </c>
      <c r="EH8">
        <v>0</v>
      </c>
      <c r="EI8">
        <v>0</v>
      </c>
      <c r="EJ8">
        <v>0</v>
      </c>
      <c r="EK8">
        <v>0</v>
      </c>
      <c r="EL8">
        <v>0</v>
      </c>
      <c r="EM8">
        <v>0</v>
      </c>
      <c r="EN8">
        <v>0</v>
      </c>
      <c r="EO8">
        <v>0</v>
      </c>
      <c r="EP8">
        <v>0</v>
      </c>
      <c r="EQ8">
        <v>0</v>
      </c>
      <c r="ER8">
        <v>0</v>
      </c>
      <c r="ES8">
        <v>0</v>
      </c>
      <c r="ET8">
        <v>0</v>
      </c>
      <c r="EU8">
        <v>0</v>
      </c>
      <c r="EV8">
        <v>0</v>
      </c>
      <c r="EW8">
        <v>0</v>
      </c>
      <c r="EX8">
        <v>0</v>
      </c>
      <c r="EY8">
        <v>0</v>
      </c>
      <c r="EZ8">
        <v>0</v>
      </c>
      <c r="FA8">
        <v>0</v>
      </c>
      <c r="FB8">
        <v>0</v>
      </c>
      <c r="FC8">
        <v>0</v>
      </c>
      <c r="FD8">
        <v>0</v>
      </c>
      <c r="FE8">
        <v>0</v>
      </c>
      <c r="FF8">
        <v>0</v>
      </c>
      <c r="FG8">
        <v>0</v>
      </c>
      <c r="FH8">
        <v>0</v>
      </c>
      <c r="FI8">
        <v>0</v>
      </c>
      <c r="FJ8">
        <v>0</v>
      </c>
      <c r="FK8">
        <v>0</v>
      </c>
      <c r="FL8">
        <v>0</v>
      </c>
      <c r="FM8">
        <v>0</v>
      </c>
      <c r="FN8">
        <v>0</v>
      </c>
      <c r="FO8">
        <v>0</v>
      </c>
      <c r="FP8">
        <v>0</v>
      </c>
      <c r="FQ8">
        <v>0</v>
      </c>
      <c r="FR8">
        <v>0</v>
      </c>
      <c r="FS8">
        <v>0</v>
      </c>
      <c r="FT8">
        <v>0</v>
      </c>
      <c r="FU8">
        <v>0</v>
      </c>
      <c r="FV8">
        <v>0</v>
      </c>
      <c r="FW8">
        <v>0</v>
      </c>
      <c r="FX8">
        <v>0</v>
      </c>
      <c r="FY8">
        <v>0</v>
      </c>
      <c r="FZ8">
        <v>0</v>
      </c>
      <c r="GA8">
        <v>0</v>
      </c>
      <c r="GB8">
        <v>0</v>
      </c>
      <c r="GC8">
        <v>0</v>
      </c>
      <c r="GD8">
        <v>0</v>
      </c>
      <c r="GE8">
        <v>0</v>
      </c>
      <c r="GF8">
        <v>0</v>
      </c>
      <c r="GG8">
        <v>0</v>
      </c>
      <c r="GH8">
        <v>0</v>
      </c>
      <c r="GI8">
        <v>0</v>
      </c>
      <c r="GJ8">
        <v>0</v>
      </c>
      <c r="GK8">
        <v>0</v>
      </c>
      <c r="GL8">
        <v>0</v>
      </c>
      <c r="GM8">
        <v>0</v>
      </c>
      <c r="GN8">
        <v>0</v>
      </c>
      <c r="GO8">
        <v>0</v>
      </c>
      <c r="GP8">
        <v>0</v>
      </c>
      <c r="GQ8">
        <v>0</v>
      </c>
      <c r="GR8">
        <v>0</v>
      </c>
      <c r="GS8">
        <v>0</v>
      </c>
      <c r="GT8">
        <v>0</v>
      </c>
      <c r="GU8">
        <v>0</v>
      </c>
      <c r="GV8">
        <v>0</v>
      </c>
      <c r="GW8">
        <v>0</v>
      </c>
      <c r="GX8">
        <v>0</v>
      </c>
      <c r="GY8">
        <v>0</v>
      </c>
      <c r="GZ8">
        <v>0</v>
      </c>
      <c r="HA8">
        <v>0</v>
      </c>
      <c r="HB8">
        <v>0</v>
      </c>
      <c r="HC8">
        <v>0</v>
      </c>
    </row>
    <row r="9" spans="1:211">
      <c r="A9" t="s">
        <v>96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v>0</v>
      </c>
      <c r="EM9">
        <v>0</v>
      </c>
      <c r="EN9">
        <v>0</v>
      </c>
      <c r="EO9">
        <v>0</v>
      </c>
      <c r="EP9">
        <v>0</v>
      </c>
      <c r="EQ9">
        <v>0</v>
      </c>
      <c r="ER9">
        <v>0</v>
      </c>
      <c r="ES9">
        <v>0</v>
      </c>
      <c r="ET9">
        <v>0</v>
      </c>
      <c r="EU9">
        <v>0</v>
      </c>
      <c r="EV9">
        <v>0</v>
      </c>
      <c r="EW9">
        <v>0</v>
      </c>
      <c r="EX9">
        <v>0</v>
      </c>
      <c r="EY9">
        <v>0</v>
      </c>
      <c r="EZ9">
        <v>0</v>
      </c>
      <c r="FA9">
        <v>0</v>
      </c>
      <c r="FB9">
        <v>0</v>
      </c>
      <c r="FC9">
        <v>0</v>
      </c>
      <c r="FD9">
        <v>0</v>
      </c>
      <c r="FE9">
        <v>0</v>
      </c>
      <c r="FF9">
        <v>0</v>
      </c>
      <c r="FG9">
        <v>0</v>
      </c>
      <c r="FH9">
        <v>0</v>
      </c>
      <c r="FI9">
        <v>0</v>
      </c>
      <c r="FJ9">
        <v>0</v>
      </c>
      <c r="FK9">
        <v>0</v>
      </c>
      <c r="FL9">
        <v>0</v>
      </c>
      <c r="FM9">
        <v>0</v>
      </c>
      <c r="FN9">
        <v>0</v>
      </c>
      <c r="FO9">
        <v>0</v>
      </c>
      <c r="FP9">
        <v>0</v>
      </c>
      <c r="FQ9">
        <v>0</v>
      </c>
      <c r="FR9">
        <v>0</v>
      </c>
      <c r="FS9">
        <v>0</v>
      </c>
      <c r="FT9">
        <v>0</v>
      </c>
      <c r="FU9">
        <v>0</v>
      </c>
      <c r="FV9">
        <v>0</v>
      </c>
      <c r="FW9">
        <v>0</v>
      </c>
      <c r="FX9">
        <v>0</v>
      </c>
      <c r="FY9">
        <v>0</v>
      </c>
      <c r="FZ9">
        <v>0</v>
      </c>
      <c r="GA9">
        <v>0</v>
      </c>
      <c r="GB9">
        <v>0</v>
      </c>
      <c r="GC9">
        <v>0</v>
      </c>
      <c r="GD9">
        <v>0</v>
      </c>
      <c r="GE9">
        <v>0</v>
      </c>
      <c r="GF9">
        <v>0</v>
      </c>
      <c r="GG9">
        <v>0</v>
      </c>
      <c r="GH9">
        <v>0</v>
      </c>
      <c r="GI9">
        <v>0</v>
      </c>
      <c r="GJ9">
        <v>0</v>
      </c>
      <c r="GK9">
        <v>0</v>
      </c>
      <c r="GL9">
        <v>0</v>
      </c>
      <c r="GM9">
        <v>0</v>
      </c>
      <c r="GN9">
        <v>0</v>
      </c>
      <c r="GO9">
        <v>0</v>
      </c>
      <c r="GP9">
        <v>0</v>
      </c>
      <c r="GQ9">
        <v>0</v>
      </c>
      <c r="GR9">
        <v>0</v>
      </c>
      <c r="GS9">
        <v>0</v>
      </c>
      <c r="GT9">
        <v>0</v>
      </c>
      <c r="GU9">
        <v>0</v>
      </c>
      <c r="GV9">
        <v>0</v>
      </c>
      <c r="GW9">
        <v>0</v>
      </c>
      <c r="GX9">
        <v>0</v>
      </c>
      <c r="GY9">
        <v>0</v>
      </c>
      <c r="GZ9">
        <v>0</v>
      </c>
      <c r="HA9">
        <v>0</v>
      </c>
      <c r="HB9">
        <v>0</v>
      </c>
      <c r="HC9">
        <v>0</v>
      </c>
    </row>
    <row r="10" spans="1:211">
      <c r="A10" t="s">
        <v>97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s="5">
        <f>'Start Year Capacities - 2026-21'!F16</f>
        <v>8413.7999999999993</v>
      </c>
      <c r="DY10" s="5">
        <f>'Start Year Capacities - 2026-21'!E16</f>
        <v>9075.5</v>
      </c>
      <c r="DZ10" s="5">
        <f>'Start Year Capacities - 2026-21'!D16</f>
        <v>9861.31</v>
      </c>
      <c r="EA10">
        <f>'Start Year Capacities - 2026-21'!C16</f>
        <v>10145.92</v>
      </c>
      <c r="EB10">
        <f>'Start Year Capacities - 2026-21'!J16</f>
        <v>10175.61</v>
      </c>
      <c r="EC10">
        <v>0</v>
      </c>
      <c r="ED10">
        <v>0</v>
      </c>
      <c r="EE10">
        <v>0</v>
      </c>
      <c r="EF10">
        <v>0</v>
      </c>
      <c r="EG10">
        <v>0</v>
      </c>
      <c r="EH10">
        <v>0</v>
      </c>
      <c r="EI10">
        <v>0</v>
      </c>
      <c r="EJ10">
        <v>0</v>
      </c>
      <c r="EK10">
        <v>0</v>
      </c>
      <c r="EL10">
        <v>0</v>
      </c>
      <c r="EM10">
        <v>0</v>
      </c>
      <c r="EN10">
        <v>0</v>
      </c>
      <c r="EO10">
        <v>0</v>
      </c>
      <c r="EP10">
        <v>0</v>
      </c>
      <c r="EQ10">
        <v>0</v>
      </c>
      <c r="ER10">
        <v>0</v>
      </c>
      <c r="ES10">
        <v>0</v>
      </c>
      <c r="ET10">
        <v>0</v>
      </c>
      <c r="EU10">
        <v>0</v>
      </c>
      <c r="EV10">
        <v>0</v>
      </c>
      <c r="EW10">
        <v>0</v>
      </c>
      <c r="EX10">
        <v>0</v>
      </c>
      <c r="EY10">
        <v>0</v>
      </c>
      <c r="EZ10">
        <v>0</v>
      </c>
      <c r="FA10">
        <v>0</v>
      </c>
      <c r="FB10">
        <v>0</v>
      </c>
      <c r="FC10">
        <v>0</v>
      </c>
      <c r="FD10">
        <v>0</v>
      </c>
      <c r="FE10">
        <v>0</v>
      </c>
      <c r="FF10">
        <v>0</v>
      </c>
      <c r="FG10">
        <v>0</v>
      </c>
      <c r="FH10">
        <v>0</v>
      </c>
      <c r="FI10">
        <v>0</v>
      </c>
      <c r="FJ10">
        <v>0</v>
      </c>
      <c r="FK10">
        <v>0</v>
      </c>
      <c r="FL10">
        <v>0</v>
      </c>
      <c r="FM10">
        <v>0</v>
      </c>
      <c r="FN10">
        <v>0</v>
      </c>
      <c r="FO10">
        <v>0</v>
      </c>
      <c r="FP10">
        <v>0</v>
      </c>
      <c r="FQ10">
        <v>0</v>
      </c>
      <c r="FR10">
        <v>0</v>
      </c>
      <c r="FS10">
        <v>0</v>
      </c>
      <c r="FT10">
        <v>0</v>
      </c>
      <c r="FU10">
        <v>0</v>
      </c>
      <c r="FV10">
        <v>0</v>
      </c>
      <c r="FW10">
        <v>0</v>
      </c>
      <c r="FX10">
        <v>0</v>
      </c>
      <c r="FY10">
        <v>0</v>
      </c>
      <c r="FZ10">
        <v>0</v>
      </c>
      <c r="GA10">
        <v>0</v>
      </c>
      <c r="GB10">
        <v>0</v>
      </c>
      <c r="GC10">
        <v>0</v>
      </c>
      <c r="GD10">
        <v>0</v>
      </c>
      <c r="GE10">
        <v>0</v>
      </c>
      <c r="GF10">
        <v>0</v>
      </c>
      <c r="GG10">
        <v>0</v>
      </c>
      <c r="GH10">
        <v>0</v>
      </c>
      <c r="GI10">
        <v>0</v>
      </c>
      <c r="GJ10">
        <v>0</v>
      </c>
      <c r="GK10">
        <v>0</v>
      </c>
      <c r="GL10">
        <v>0</v>
      </c>
      <c r="GM10">
        <v>0</v>
      </c>
      <c r="GN10">
        <v>0</v>
      </c>
      <c r="GO10">
        <v>0</v>
      </c>
      <c r="GP10">
        <v>0</v>
      </c>
      <c r="GQ10">
        <v>0</v>
      </c>
      <c r="GR10">
        <v>0</v>
      </c>
      <c r="GS10">
        <v>0</v>
      </c>
      <c r="GT10">
        <v>0</v>
      </c>
      <c r="GU10">
        <v>0</v>
      </c>
      <c r="GV10">
        <v>0</v>
      </c>
      <c r="GW10">
        <v>0</v>
      </c>
      <c r="GX10">
        <v>0</v>
      </c>
      <c r="GY10">
        <v>0</v>
      </c>
      <c r="GZ10">
        <v>0</v>
      </c>
      <c r="HA10">
        <v>0</v>
      </c>
      <c r="HB10">
        <v>0</v>
      </c>
      <c r="HC10">
        <v>0</v>
      </c>
    </row>
    <row r="11" spans="1:211">
      <c r="A11" t="s">
        <v>98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s="5">
        <f>'Start Year Capacities - 2026-21'!F17</f>
        <v>4418.1499999999996</v>
      </c>
      <c r="DY11" s="5">
        <f>'Start Year Capacities - 2026-21'!E17</f>
        <v>4517.45</v>
      </c>
      <c r="DZ11" s="5">
        <f>'Start Year Capacities - 2026-21'!D17</f>
        <v>4671.5600000000004</v>
      </c>
      <c r="EA11" s="13">
        <f>'Start Year Capacities - 2026-21'!C17</f>
        <v>4750.46</v>
      </c>
      <c r="EB11">
        <v>4744.3474133413583</v>
      </c>
      <c r="EC11">
        <v>0</v>
      </c>
      <c r="ED11">
        <v>0</v>
      </c>
      <c r="EE11">
        <v>0</v>
      </c>
      <c r="EF11">
        <v>0</v>
      </c>
      <c r="EG11">
        <v>0</v>
      </c>
      <c r="EH11">
        <v>0</v>
      </c>
      <c r="EI11">
        <v>0</v>
      </c>
      <c r="EJ11">
        <v>0</v>
      </c>
      <c r="EK11">
        <v>0</v>
      </c>
      <c r="EL11">
        <v>0</v>
      </c>
      <c r="EM11">
        <v>0</v>
      </c>
      <c r="EN11">
        <v>0</v>
      </c>
      <c r="EO11">
        <v>0</v>
      </c>
      <c r="EP11">
        <v>0</v>
      </c>
      <c r="EQ11">
        <v>0</v>
      </c>
      <c r="ER11">
        <v>0</v>
      </c>
      <c r="ES11">
        <v>0</v>
      </c>
      <c r="ET11">
        <v>0</v>
      </c>
      <c r="EU11">
        <v>0</v>
      </c>
      <c r="EV11">
        <v>0</v>
      </c>
      <c r="EW11">
        <v>0</v>
      </c>
      <c r="EX11">
        <v>0</v>
      </c>
      <c r="EY11">
        <v>0</v>
      </c>
      <c r="EZ11">
        <v>0</v>
      </c>
      <c r="FA11">
        <v>0</v>
      </c>
      <c r="FB11">
        <v>0</v>
      </c>
      <c r="FC11">
        <v>0</v>
      </c>
      <c r="FD11">
        <v>0</v>
      </c>
      <c r="FE11">
        <v>0</v>
      </c>
      <c r="FF11">
        <v>0</v>
      </c>
      <c r="FG11">
        <v>0</v>
      </c>
      <c r="FH11">
        <v>0</v>
      </c>
      <c r="FI11">
        <v>0</v>
      </c>
      <c r="FJ11">
        <v>0</v>
      </c>
      <c r="FK11">
        <v>0</v>
      </c>
      <c r="FL11">
        <v>0</v>
      </c>
      <c r="FM11">
        <v>0</v>
      </c>
      <c r="FN11">
        <v>0</v>
      </c>
      <c r="FO11">
        <v>0</v>
      </c>
      <c r="FP11">
        <v>0</v>
      </c>
      <c r="FQ11">
        <v>0</v>
      </c>
      <c r="FR11">
        <v>0</v>
      </c>
      <c r="FS11">
        <v>0</v>
      </c>
      <c r="FT11">
        <v>0</v>
      </c>
      <c r="FU11">
        <v>0</v>
      </c>
      <c r="FV11">
        <v>0</v>
      </c>
      <c r="FW11">
        <v>0</v>
      </c>
      <c r="FX11">
        <v>0</v>
      </c>
      <c r="FY11">
        <v>0</v>
      </c>
      <c r="FZ11">
        <v>0</v>
      </c>
      <c r="GA11">
        <v>0</v>
      </c>
      <c r="GB11">
        <v>0</v>
      </c>
      <c r="GC11">
        <v>0</v>
      </c>
      <c r="GD11">
        <v>0</v>
      </c>
      <c r="GE11">
        <v>0</v>
      </c>
      <c r="GF11">
        <v>0</v>
      </c>
      <c r="GG11">
        <v>0</v>
      </c>
      <c r="GH11">
        <v>0</v>
      </c>
      <c r="GI11">
        <v>0</v>
      </c>
      <c r="GJ11">
        <v>0</v>
      </c>
      <c r="GK11">
        <v>0</v>
      </c>
      <c r="GL11">
        <v>0</v>
      </c>
      <c r="GM11">
        <v>0</v>
      </c>
      <c r="GN11">
        <v>0</v>
      </c>
      <c r="GO11">
        <v>0</v>
      </c>
      <c r="GP11">
        <v>0</v>
      </c>
      <c r="GQ11">
        <v>0</v>
      </c>
      <c r="GR11">
        <v>0</v>
      </c>
      <c r="GS11">
        <v>0</v>
      </c>
      <c r="GT11">
        <v>0</v>
      </c>
      <c r="GU11">
        <v>0</v>
      </c>
      <c r="GV11">
        <v>0</v>
      </c>
      <c r="GW11">
        <v>0</v>
      </c>
      <c r="GX11">
        <v>0</v>
      </c>
      <c r="GY11">
        <v>0</v>
      </c>
      <c r="GZ11">
        <v>0</v>
      </c>
      <c r="HA11">
        <v>0</v>
      </c>
      <c r="HB11">
        <v>0</v>
      </c>
      <c r="HC11">
        <v>0</v>
      </c>
    </row>
    <row r="12" spans="1:211">
      <c r="A12" t="s">
        <v>99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s="5">
        <f>'Start Year Capacities - 2026-21'!F11</f>
        <v>837.63</v>
      </c>
      <c r="DY12" s="5">
        <f>'Start Year Capacities - 2026-21'!E11</f>
        <v>637.63</v>
      </c>
      <c r="DZ12" s="5">
        <f>'Start Year Capacities - 2026-21'!D11</f>
        <v>509.71</v>
      </c>
      <c r="EA12">
        <f>'Start Year Capacities - 2026-21'!C11</f>
        <v>509.71</v>
      </c>
      <c r="EB12">
        <f>'Start Year Capacities - 2026-21'!J11</f>
        <v>509.71</v>
      </c>
      <c r="EC12">
        <v>0</v>
      </c>
      <c r="ED12">
        <v>0</v>
      </c>
      <c r="EE12">
        <v>0</v>
      </c>
      <c r="EF12">
        <v>0</v>
      </c>
      <c r="EG12">
        <v>0</v>
      </c>
      <c r="EH12">
        <v>0</v>
      </c>
      <c r="EI12">
        <v>0</v>
      </c>
      <c r="EJ12">
        <v>0</v>
      </c>
      <c r="EK12">
        <v>0</v>
      </c>
      <c r="EL12">
        <v>0</v>
      </c>
      <c r="EM12">
        <v>0</v>
      </c>
      <c r="EN12">
        <v>0</v>
      </c>
      <c r="EO12">
        <v>0</v>
      </c>
      <c r="EP12">
        <v>0</v>
      </c>
      <c r="EQ12">
        <v>0</v>
      </c>
      <c r="ER12">
        <v>0</v>
      </c>
      <c r="ES12">
        <v>0</v>
      </c>
      <c r="ET12">
        <v>0</v>
      </c>
      <c r="EU12">
        <v>0</v>
      </c>
      <c r="EV12">
        <v>0</v>
      </c>
      <c r="EW12">
        <v>0</v>
      </c>
      <c r="EX12">
        <v>0</v>
      </c>
      <c r="EY12">
        <v>0</v>
      </c>
      <c r="EZ12">
        <v>0</v>
      </c>
      <c r="FA12">
        <v>0</v>
      </c>
      <c r="FB12">
        <v>0</v>
      </c>
      <c r="FC12">
        <v>0</v>
      </c>
      <c r="FD12">
        <v>0</v>
      </c>
      <c r="FE12">
        <v>0</v>
      </c>
      <c r="FF12">
        <v>0</v>
      </c>
      <c r="FG12">
        <v>0</v>
      </c>
      <c r="FH12">
        <v>0</v>
      </c>
      <c r="FI12">
        <v>0</v>
      </c>
      <c r="FJ12">
        <v>0</v>
      </c>
      <c r="FK12">
        <v>0</v>
      </c>
      <c r="FL12">
        <v>0</v>
      </c>
      <c r="FM12">
        <v>0</v>
      </c>
      <c r="FN12">
        <v>0</v>
      </c>
      <c r="FO12">
        <v>0</v>
      </c>
      <c r="FP12">
        <v>0</v>
      </c>
      <c r="FQ12">
        <v>0</v>
      </c>
      <c r="FR12">
        <v>0</v>
      </c>
      <c r="FS12">
        <v>0</v>
      </c>
      <c r="FT12">
        <v>0</v>
      </c>
      <c r="FU12">
        <v>0</v>
      </c>
      <c r="FV12">
        <v>0</v>
      </c>
      <c r="FW12">
        <v>0</v>
      </c>
      <c r="FX12">
        <v>0</v>
      </c>
      <c r="FY12">
        <v>0</v>
      </c>
      <c r="FZ12">
        <v>0</v>
      </c>
      <c r="GA12">
        <v>0</v>
      </c>
      <c r="GB12">
        <v>0</v>
      </c>
      <c r="GC12">
        <v>0</v>
      </c>
      <c r="GD12">
        <v>0</v>
      </c>
      <c r="GE12">
        <v>0</v>
      </c>
      <c r="GF12">
        <v>0</v>
      </c>
      <c r="GG12">
        <v>0</v>
      </c>
      <c r="GH12">
        <v>0</v>
      </c>
      <c r="GI12">
        <v>0</v>
      </c>
      <c r="GJ12">
        <v>0</v>
      </c>
      <c r="GK12">
        <v>0</v>
      </c>
      <c r="GL12">
        <v>0</v>
      </c>
      <c r="GM12">
        <v>0</v>
      </c>
      <c r="GN12">
        <v>0</v>
      </c>
      <c r="GO12">
        <v>0</v>
      </c>
      <c r="GP12">
        <v>0</v>
      </c>
      <c r="GQ12">
        <v>0</v>
      </c>
      <c r="GR12">
        <v>0</v>
      </c>
      <c r="GS12">
        <v>0</v>
      </c>
      <c r="GT12">
        <v>0</v>
      </c>
      <c r="GU12">
        <v>0</v>
      </c>
      <c r="GV12">
        <v>0</v>
      </c>
      <c r="GW12">
        <v>0</v>
      </c>
      <c r="GX12">
        <v>0</v>
      </c>
      <c r="GY12">
        <v>0</v>
      </c>
      <c r="GZ12">
        <v>0</v>
      </c>
      <c r="HA12">
        <v>0</v>
      </c>
      <c r="HB12">
        <v>0</v>
      </c>
      <c r="HC12">
        <v>0</v>
      </c>
    </row>
    <row r="13" spans="1:211">
      <c r="A13" t="s">
        <v>100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s="8">
        <v>0</v>
      </c>
      <c r="EB13">
        <v>0</v>
      </c>
      <c r="EC13">
        <v>0</v>
      </c>
      <c r="ED13">
        <v>0</v>
      </c>
      <c r="EE13">
        <v>0</v>
      </c>
      <c r="EF13">
        <v>0</v>
      </c>
      <c r="EG13">
        <v>0</v>
      </c>
      <c r="EH13">
        <v>0</v>
      </c>
      <c r="EI13">
        <v>0</v>
      </c>
      <c r="EJ13">
        <v>0</v>
      </c>
      <c r="EK13">
        <v>0</v>
      </c>
      <c r="EL13">
        <v>0</v>
      </c>
      <c r="EM13">
        <v>0</v>
      </c>
      <c r="EN13">
        <v>0</v>
      </c>
      <c r="EO13">
        <v>0</v>
      </c>
      <c r="EP13">
        <v>0</v>
      </c>
      <c r="EQ13">
        <v>0</v>
      </c>
      <c r="ER13">
        <v>0</v>
      </c>
      <c r="ES13">
        <v>0</v>
      </c>
      <c r="ET13">
        <v>0</v>
      </c>
      <c r="EU13">
        <v>0</v>
      </c>
      <c r="EV13">
        <v>0</v>
      </c>
      <c r="EW13">
        <v>0</v>
      </c>
      <c r="EX13">
        <v>0</v>
      </c>
      <c r="EY13">
        <v>0</v>
      </c>
      <c r="EZ13">
        <v>0</v>
      </c>
      <c r="FA13">
        <v>0</v>
      </c>
      <c r="FB13">
        <v>0</v>
      </c>
      <c r="FC13">
        <v>0</v>
      </c>
      <c r="FD13">
        <v>0</v>
      </c>
      <c r="FE13">
        <v>0</v>
      </c>
      <c r="FF13">
        <v>0</v>
      </c>
      <c r="FG13">
        <v>0</v>
      </c>
      <c r="FH13">
        <v>0</v>
      </c>
      <c r="FI13">
        <v>0</v>
      </c>
      <c r="FJ13">
        <v>0</v>
      </c>
      <c r="FK13">
        <v>0</v>
      </c>
      <c r="FL13">
        <v>0</v>
      </c>
      <c r="FM13">
        <v>0</v>
      </c>
      <c r="FN13">
        <v>0</v>
      </c>
      <c r="FO13">
        <v>0</v>
      </c>
      <c r="FP13">
        <v>0</v>
      </c>
      <c r="FQ13">
        <v>0</v>
      </c>
      <c r="FR13">
        <v>0</v>
      </c>
      <c r="FS13">
        <v>0</v>
      </c>
      <c r="FT13">
        <v>0</v>
      </c>
      <c r="FU13">
        <v>0</v>
      </c>
      <c r="FV13">
        <v>0</v>
      </c>
      <c r="FW13">
        <v>0</v>
      </c>
      <c r="FX13">
        <v>0</v>
      </c>
      <c r="FY13">
        <v>0</v>
      </c>
      <c r="FZ13">
        <v>0</v>
      </c>
      <c r="GA13">
        <v>0</v>
      </c>
      <c r="GB13">
        <v>0</v>
      </c>
      <c r="GC13">
        <v>0</v>
      </c>
      <c r="GD13">
        <v>0</v>
      </c>
      <c r="GE13">
        <v>0</v>
      </c>
      <c r="GF13">
        <v>0</v>
      </c>
      <c r="GG13">
        <v>0</v>
      </c>
      <c r="GH13">
        <v>0</v>
      </c>
      <c r="GI13">
        <v>0</v>
      </c>
      <c r="GJ13">
        <v>0</v>
      </c>
      <c r="GK13">
        <v>0</v>
      </c>
      <c r="GL13">
        <v>0</v>
      </c>
      <c r="GM13">
        <v>0</v>
      </c>
      <c r="GN13">
        <v>0</v>
      </c>
      <c r="GO13">
        <v>0</v>
      </c>
      <c r="GP13">
        <v>0</v>
      </c>
      <c r="GQ13">
        <v>0</v>
      </c>
      <c r="GR13">
        <v>0</v>
      </c>
      <c r="GS13">
        <v>0</v>
      </c>
      <c r="GT13">
        <v>0</v>
      </c>
      <c r="GU13">
        <v>0</v>
      </c>
      <c r="GV13">
        <v>0</v>
      </c>
      <c r="GW13">
        <v>0</v>
      </c>
      <c r="GX13">
        <v>0</v>
      </c>
      <c r="GY13">
        <v>0</v>
      </c>
      <c r="GZ13">
        <v>0</v>
      </c>
      <c r="HA13">
        <v>0</v>
      </c>
      <c r="HB13">
        <v>0</v>
      </c>
      <c r="HC13">
        <v>0</v>
      </c>
    </row>
    <row r="14" spans="1:211">
      <c r="A14" t="s">
        <v>101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s="5">
        <f>'Start Year Capacities - 2026-21'!F9</f>
        <v>0</v>
      </c>
      <c r="DY14" s="5">
        <f>'Start Year Capacities - 2026-21'!E9</f>
        <v>6360</v>
      </c>
      <c r="DZ14" s="5">
        <f>'Start Year Capacities - 2026-21'!D9</f>
        <v>6760</v>
      </c>
      <c r="EA14">
        <f>'Start Year Capacities - 2026-21'!C9</f>
        <v>6260</v>
      </c>
      <c r="EB14">
        <f>'Start Year Capacities - 2026-21'!J9</f>
        <v>6620</v>
      </c>
      <c r="EC14">
        <v>0</v>
      </c>
      <c r="ED14">
        <v>0</v>
      </c>
      <c r="EE14">
        <v>0</v>
      </c>
      <c r="EF14">
        <v>0</v>
      </c>
      <c r="EG14">
        <v>0</v>
      </c>
      <c r="EH14">
        <v>0</v>
      </c>
      <c r="EI14">
        <v>0</v>
      </c>
      <c r="EJ14">
        <v>0</v>
      </c>
      <c r="EK14">
        <v>0</v>
      </c>
      <c r="EL14">
        <v>0</v>
      </c>
      <c r="EM14">
        <v>0</v>
      </c>
      <c r="EN14">
        <v>0</v>
      </c>
      <c r="EO14">
        <v>0</v>
      </c>
      <c r="EP14">
        <v>0</v>
      </c>
      <c r="EQ14">
        <v>0</v>
      </c>
      <c r="ER14">
        <v>0</v>
      </c>
      <c r="ES14">
        <v>0</v>
      </c>
      <c r="ET14">
        <v>0</v>
      </c>
      <c r="EU14">
        <v>0</v>
      </c>
      <c r="EV14">
        <v>0</v>
      </c>
      <c r="EW14">
        <v>0</v>
      </c>
      <c r="EX14">
        <v>0</v>
      </c>
      <c r="EY14">
        <v>0</v>
      </c>
      <c r="EZ14">
        <v>0</v>
      </c>
      <c r="FA14">
        <v>0</v>
      </c>
      <c r="FB14">
        <v>0</v>
      </c>
      <c r="FC14">
        <v>0</v>
      </c>
      <c r="FD14">
        <v>0</v>
      </c>
      <c r="FE14">
        <v>0</v>
      </c>
      <c r="FF14">
        <v>0</v>
      </c>
      <c r="FG14">
        <v>0</v>
      </c>
      <c r="FH14">
        <v>0</v>
      </c>
      <c r="FI14">
        <v>0</v>
      </c>
      <c r="FJ14">
        <v>0</v>
      </c>
      <c r="FK14">
        <v>0</v>
      </c>
      <c r="FL14">
        <v>0</v>
      </c>
      <c r="FM14">
        <v>0</v>
      </c>
      <c r="FN14">
        <v>0</v>
      </c>
      <c r="FO14">
        <v>0</v>
      </c>
      <c r="FP14">
        <v>0</v>
      </c>
      <c r="FQ14">
        <v>0</v>
      </c>
      <c r="FR14">
        <v>0</v>
      </c>
      <c r="FS14">
        <v>0</v>
      </c>
      <c r="FT14">
        <v>0</v>
      </c>
      <c r="FU14">
        <v>0</v>
      </c>
      <c r="FV14">
        <v>0</v>
      </c>
      <c r="FW14">
        <v>0</v>
      </c>
      <c r="FX14">
        <v>0</v>
      </c>
      <c r="FY14">
        <v>0</v>
      </c>
      <c r="FZ14">
        <v>0</v>
      </c>
      <c r="GA14">
        <v>0</v>
      </c>
      <c r="GB14">
        <v>0</v>
      </c>
      <c r="GC14">
        <v>0</v>
      </c>
      <c r="GD14">
        <v>0</v>
      </c>
      <c r="GE14">
        <v>0</v>
      </c>
      <c r="GF14">
        <v>0</v>
      </c>
      <c r="GG14">
        <v>0</v>
      </c>
      <c r="GH14">
        <v>0</v>
      </c>
      <c r="GI14">
        <v>0</v>
      </c>
      <c r="GJ14">
        <v>0</v>
      </c>
      <c r="GK14">
        <v>0</v>
      </c>
      <c r="GL14">
        <v>0</v>
      </c>
      <c r="GM14">
        <v>0</v>
      </c>
      <c r="GN14">
        <v>0</v>
      </c>
      <c r="GO14">
        <v>0</v>
      </c>
      <c r="GP14">
        <v>0</v>
      </c>
      <c r="GQ14">
        <v>0</v>
      </c>
      <c r="GR14">
        <v>0</v>
      </c>
      <c r="GS14">
        <v>0</v>
      </c>
      <c r="GT14">
        <v>0</v>
      </c>
      <c r="GU14">
        <v>0</v>
      </c>
      <c r="GV14">
        <v>0</v>
      </c>
      <c r="GW14">
        <v>0</v>
      </c>
      <c r="GX14">
        <v>0</v>
      </c>
      <c r="GY14">
        <v>0</v>
      </c>
      <c r="GZ14">
        <v>0</v>
      </c>
      <c r="HA14">
        <v>0</v>
      </c>
      <c r="HB14">
        <v>0</v>
      </c>
      <c r="HC14">
        <v>0</v>
      </c>
    </row>
    <row r="15" spans="1:211">
      <c r="A15" t="s">
        <v>102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v>0</v>
      </c>
      <c r="EM15">
        <v>0</v>
      </c>
      <c r="EN15">
        <v>0</v>
      </c>
      <c r="EO15">
        <v>0</v>
      </c>
      <c r="EP15">
        <v>0</v>
      </c>
      <c r="EQ15">
        <v>0</v>
      </c>
      <c r="ER15">
        <v>0</v>
      </c>
      <c r="ES15">
        <v>0</v>
      </c>
      <c r="ET15">
        <v>0</v>
      </c>
      <c r="EU15">
        <v>0</v>
      </c>
      <c r="EV15">
        <v>0</v>
      </c>
      <c r="EW15">
        <v>0</v>
      </c>
      <c r="EX15">
        <v>0</v>
      </c>
      <c r="EY15">
        <v>0</v>
      </c>
      <c r="EZ15">
        <v>0</v>
      </c>
      <c r="FA15">
        <v>0</v>
      </c>
      <c r="FB15">
        <v>0</v>
      </c>
      <c r="FC15">
        <v>0</v>
      </c>
      <c r="FD15">
        <v>0</v>
      </c>
      <c r="FE15">
        <v>0</v>
      </c>
      <c r="FF15">
        <v>0</v>
      </c>
      <c r="FG15">
        <v>0</v>
      </c>
      <c r="FH15">
        <v>0</v>
      </c>
      <c r="FI15">
        <v>0</v>
      </c>
      <c r="FJ15">
        <v>0</v>
      </c>
      <c r="FK15">
        <v>0</v>
      </c>
      <c r="FL15">
        <v>0</v>
      </c>
      <c r="FM15">
        <v>0</v>
      </c>
      <c r="FN15">
        <v>0</v>
      </c>
      <c r="FO15">
        <v>0</v>
      </c>
      <c r="FP15">
        <v>0</v>
      </c>
      <c r="FQ15">
        <v>0</v>
      </c>
      <c r="FR15">
        <v>0</v>
      </c>
      <c r="FS15">
        <v>0</v>
      </c>
      <c r="FT15">
        <v>0</v>
      </c>
      <c r="FU15">
        <v>0</v>
      </c>
      <c r="FV15">
        <v>0</v>
      </c>
      <c r="FW15">
        <v>0</v>
      </c>
      <c r="FX15">
        <v>0</v>
      </c>
      <c r="FY15">
        <v>0</v>
      </c>
      <c r="FZ15">
        <v>0</v>
      </c>
      <c r="GA15">
        <v>0</v>
      </c>
      <c r="GB15">
        <v>0</v>
      </c>
      <c r="GC15">
        <v>0</v>
      </c>
      <c r="GD15">
        <v>0</v>
      </c>
      <c r="GE15">
        <v>0</v>
      </c>
      <c r="GF15">
        <v>0</v>
      </c>
      <c r="GG15">
        <v>0</v>
      </c>
      <c r="GH15">
        <v>0</v>
      </c>
      <c r="GI15">
        <v>0</v>
      </c>
      <c r="GJ15">
        <v>0</v>
      </c>
      <c r="GK15">
        <v>0</v>
      </c>
      <c r="GL15">
        <v>0</v>
      </c>
      <c r="GM15">
        <v>0</v>
      </c>
      <c r="GN15">
        <v>0</v>
      </c>
      <c r="GO15">
        <v>0</v>
      </c>
      <c r="GP15">
        <v>0</v>
      </c>
      <c r="GQ15">
        <v>0</v>
      </c>
      <c r="GR15">
        <v>0</v>
      </c>
      <c r="GS15">
        <v>0</v>
      </c>
      <c r="GT15">
        <v>0</v>
      </c>
      <c r="GU15">
        <v>0</v>
      </c>
      <c r="GV15">
        <v>0</v>
      </c>
      <c r="GW15">
        <v>0</v>
      </c>
      <c r="GX15">
        <v>0</v>
      </c>
      <c r="GY15">
        <v>0</v>
      </c>
      <c r="GZ15">
        <v>0</v>
      </c>
      <c r="HA15">
        <v>0</v>
      </c>
      <c r="HB15">
        <v>0</v>
      </c>
      <c r="HC15">
        <v>0</v>
      </c>
    </row>
    <row r="16" spans="1:211">
      <c r="A16" t="s">
        <v>103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v>0</v>
      </c>
      <c r="EM16">
        <v>0</v>
      </c>
      <c r="EN16">
        <v>0</v>
      </c>
      <c r="EO16">
        <v>0</v>
      </c>
      <c r="EP16">
        <v>0</v>
      </c>
      <c r="EQ16">
        <v>0</v>
      </c>
      <c r="ER16">
        <v>0</v>
      </c>
      <c r="ES16">
        <v>0</v>
      </c>
      <c r="ET16">
        <v>0</v>
      </c>
      <c r="EU16">
        <v>0</v>
      </c>
      <c r="EV16">
        <v>0</v>
      </c>
      <c r="EW16">
        <v>0</v>
      </c>
      <c r="EX16">
        <v>0</v>
      </c>
      <c r="EY16">
        <v>0</v>
      </c>
      <c r="EZ16">
        <v>0</v>
      </c>
      <c r="FA16">
        <v>0</v>
      </c>
      <c r="FB16">
        <v>0</v>
      </c>
      <c r="FC16">
        <v>0</v>
      </c>
      <c r="FD16">
        <v>0</v>
      </c>
      <c r="FE16">
        <v>0</v>
      </c>
      <c r="FF16">
        <v>0</v>
      </c>
      <c r="FG16">
        <v>0</v>
      </c>
      <c r="FH16">
        <v>0</v>
      </c>
      <c r="FI16">
        <v>0</v>
      </c>
      <c r="FJ16">
        <v>0</v>
      </c>
      <c r="FK16">
        <v>0</v>
      </c>
      <c r="FL16">
        <v>0</v>
      </c>
      <c r="FM16">
        <v>0</v>
      </c>
      <c r="FN16">
        <v>0</v>
      </c>
      <c r="FO16">
        <v>0</v>
      </c>
      <c r="FP16">
        <v>0</v>
      </c>
      <c r="FQ16">
        <v>0</v>
      </c>
      <c r="FR16">
        <v>0</v>
      </c>
      <c r="FS16">
        <v>0</v>
      </c>
      <c r="FT16">
        <v>0</v>
      </c>
      <c r="FU16">
        <v>0</v>
      </c>
      <c r="FV16">
        <v>0</v>
      </c>
      <c r="FW16">
        <v>0</v>
      </c>
      <c r="FX16">
        <v>0</v>
      </c>
      <c r="FY16">
        <v>0</v>
      </c>
      <c r="FZ16">
        <v>0</v>
      </c>
      <c r="GA16">
        <v>0</v>
      </c>
      <c r="GB16">
        <v>0</v>
      </c>
      <c r="GC16">
        <v>0</v>
      </c>
      <c r="GD16">
        <v>0</v>
      </c>
      <c r="GE16">
        <v>0</v>
      </c>
      <c r="GF16">
        <v>0</v>
      </c>
      <c r="GG16">
        <v>0</v>
      </c>
      <c r="GH16">
        <v>0</v>
      </c>
      <c r="GI16">
        <v>0</v>
      </c>
      <c r="GJ16">
        <v>0</v>
      </c>
      <c r="GK16">
        <v>0</v>
      </c>
      <c r="GL16">
        <v>0</v>
      </c>
      <c r="GM16">
        <v>0</v>
      </c>
      <c r="GN16">
        <v>0</v>
      </c>
      <c r="GO16">
        <v>0</v>
      </c>
      <c r="GP16">
        <v>0</v>
      </c>
      <c r="GQ16">
        <v>0</v>
      </c>
      <c r="GR16">
        <v>0</v>
      </c>
      <c r="GS16">
        <v>0</v>
      </c>
      <c r="GT16">
        <v>0</v>
      </c>
      <c r="GU16">
        <v>0</v>
      </c>
      <c r="GV16">
        <v>0</v>
      </c>
      <c r="GW16">
        <v>0</v>
      </c>
      <c r="GX16">
        <v>0</v>
      </c>
      <c r="GY16">
        <v>0</v>
      </c>
      <c r="GZ16">
        <v>0</v>
      </c>
      <c r="HA16">
        <v>0</v>
      </c>
      <c r="HB16">
        <v>0</v>
      </c>
      <c r="HC16">
        <v>0</v>
      </c>
    </row>
    <row r="17" spans="1:211">
      <c r="A17" t="s">
        <v>104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v>0</v>
      </c>
      <c r="EM17">
        <v>0</v>
      </c>
      <c r="EN17">
        <v>0</v>
      </c>
      <c r="EO17">
        <v>0</v>
      </c>
      <c r="EP17">
        <v>0</v>
      </c>
      <c r="EQ17">
        <v>0</v>
      </c>
      <c r="ER17">
        <v>0</v>
      </c>
      <c r="ES17">
        <v>0</v>
      </c>
      <c r="ET17">
        <v>0</v>
      </c>
      <c r="EU17">
        <v>0</v>
      </c>
      <c r="EV17">
        <v>0</v>
      </c>
      <c r="EW17">
        <v>0</v>
      </c>
      <c r="EX17">
        <v>0</v>
      </c>
      <c r="EY17">
        <v>0</v>
      </c>
      <c r="EZ17">
        <v>0</v>
      </c>
      <c r="FA17">
        <v>0</v>
      </c>
      <c r="FB17">
        <v>0</v>
      </c>
      <c r="FC17">
        <v>0</v>
      </c>
      <c r="FD17">
        <v>0</v>
      </c>
      <c r="FE17">
        <v>0</v>
      </c>
      <c r="FF17">
        <v>0</v>
      </c>
      <c r="FG17">
        <v>0</v>
      </c>
      <c r="FH17">
        <v>0</v>
      </c>
      <c r="FI17">
        <v>0</v>
      </c>
      <c r="FJ17">
        <v>0</v>
      </c>
      <c r="FK17">
        <v>0</v>
      </c>
      <c r="FL17">
        <v>0</v>
      </c>
      <c r="FM17">
        <v>0</v>
      </c>
      <c r="FN17">
        <v>0</v>
      </c>
      <c r="FO17">
        <v>0</v>
      </c>
      <c r="FP17">
        <v>0</v>
      </c>
      <c r="FQ17">
        <v>0</v>
      </c>
      <c r="FR17">
        <v>0</v>
      </c>
      <c r="FS17">
        <v>0</v>
      </c>
      <c r="FT17">
        <v>0</v>
      </c>
      <c r="FU17">
        <v>0</v>
      </c>
      <c r="FV17">
        <v>0</v>
      </c>
      <c r="FW17">
        <v>0</v>
      </c>
      <c r="FX17">
        <v>0</v>
      </c>
      <c r="FY17">
        <v>0</v>
      </c>
      <c r="FZ17">
        <v>0</v>
      </c>
      <c r="GA17">
        <v>0</v>
      </c>
      <c r="GB17">
        <v>0</v>
      </c>
      <c r="GC17">
        <v>0</v>
      </c>
      <c r="GD17">
        <v>0</v>
      </c>
      <c r="GE17">
        <v>0</v>
      </c>
      <c r="GF17">
        <v>0</v>
      </c>
      <c r="GG17">
        <v>0</v>
      </c>
      <c r="GH17">
        <v>0</v>
      </c>
      <c r="GI17">
        <v>0</v>
      </c>
      <c r="GJ17">
        <v>0</v>
      </c>
      <c r="GK17">
        <v>0</v>
      </c>
      <c r="GL17">
        <v>0</v>
      </c>
      <c r="GM17">
        <v>0</v>
      </c>
      <c r="GN17">
        <v>0</v>
      </c>
      <c r="GO17">
        <v>0</v>
      </c>
      <c r="GP17">
        <v>0</v>
      </c>
      <c r="GQ17">
        <v>0</v>
      </c>
      <c r="GR17">
        <v>0</v>
      </c>
      <c r="GS17">
        <v>0</v>
      </c>
      <c r="GT17">
        <v>0</v>
      </c>
      <c r="GU17">
        <v>0</v>
      </c>
      <c r="GV17">
        <v>0</v>
      </c>
      <c r="GW17">
        <v>0</v>
      </c>
      <c r="GX17">
        <v>0</v>
      </c>
      <c r="GY17">
        <v>0</v>
      </c>
      <c r="GZ17">
        <v>0</v>
      </c>
      <c r="HA17">
        <v>0</v>
      </c>
      <c r="HB17">
        <v>0</v>
      </c>
      <c r="HC17">
        <v>0</v>
      </c>
    </row>
    <row r="18" spans="1:211">
      <c r="A18" t="s">
        <v>105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s="5">
        <f>'Start Year Capacities - 2026-21'!F18</f>
        <v>114.08</v>
      </c>
      <c r="DY18" s="5">
        <f>'Start Year Capacities - 2026-21'!E18</f>
        <v>138.30000000000001</v>
      </c>
      <c r="DZ18" s="5">
        <f>'Start Year Capacities - 2026-21'!F18</f>
        <v>114.08</v>
      </c>
      <c r="EA18" s="5">
        <f>'Start Year Capacities - 2026-21'!G18</f>
        <v>90.58</v>
      </c>
      <c r="EB18">
        <v>434.11</v>
      </c>
      <c r="EC18">
        <v>0</v>
      </c>
      <c r="ED18">
        <v>0</v>
      </c>
      <c r="EE18">
        <v>0</v>
      </c>
      <c r="EF18">
        <v>0</v>
      </c>
      <c r="EG18">
        <v>0</v>
      </c>
      <c r="EH18">
        <v>0</v>
      </c>
      <c r="EI18">
        <v>0</v>
      </c>
      <c r="EJ18">
        <v>0</v>
      </c>
      <c r="EK18">
        <v>0</v>
      </c>
      <c r="EL18">
        <v>0</v>
      </c>
      <c r="EM18">
        <v>0</v>
      </c>
      <c r="EN18">
        <v>0</v>
      </c>
      <c r="EO18">
        <v>0</v>
      </c>
      <c r="EP18">
        <v>0</v>
      </c>
      <c r="EQ18">
        <v>0</v>
      </c>
      <c r="ER18">
        <v>0</v>
      </c>
      <c r="ES18">
        <v>0</v>
      </c>
      <c r="ET18">
        <v>0</v>
      </c>
      <c r="EU18">
        <v>0</v>
      </c>
      <c r="EV18">
        <v>0</v>
      </c>
      <c r="EW18">
        <v>0</v>
      </c>
      <c r="EX18">
        <v>0</v>
      </c>
      <c r="EY18">
        <v>0</v>
      </c>
      <c r="EZ18">
        <v>0</v>
      </c>
      <c r="FA18">
        <v>0</v>
      </c>
      <c r="FB18">
        <v>0</v>
      </c>
      <c r="FC18">
        <v>0</v>
      </c>
      <c r="FD18">
        <v>0</v>
      </c>
      <c r="FE18">
        <v>0</v>
      </c>
      <c r="FF18">
        <v>0</v>
      </c>
      <c r="FG18">
        <v>0</v>
      </c>
      <c r="FH18">
        <v>0</v>
      </c>
      <c r="FI18">
        <v>0</v>
      </c>
      <c r="FJ18">
        <v>0</v>
      </c>
      <c r="FK18">
        <v>0</v>
      </c>
      <c r="FL18">
        <v>0</v>
      </c>
      <c r="FM18">
        <v>0</v>
      </c>
      <c r="FN18">
        <v>0</v>
      </c>
      <c r="FO18">
        <v>0</v>
      </c>
      <c r="FP18">
        <v>0</v>
      </c>
      <c r="FQ18">
        <v>0</v>
      </c>
      <c r="FR18">
        <v>0</v>
      </c>
      <c r="FS18">
        <v>0</v>
      </c>
      <c r="FT18">
        <v>0</v>
      </c>
      <c r="FU18">
        <v>0</v>
      </c>
      <c r="FV18">
        <v>0</v>
      </c>
      <c r="FW18">
        <v>0</v>
      </c>
      <c r="FX18">
        <v>0</v>
      </c>
      <c r="FY18">
        <v>0</v>
      </c>
      <c r="FZ18">
        <v>0</v>
      </c>
      <c r="GA18">
        <v>0</v>
      </c>
      <c r="GB18">
        <v>0</v>
      </c>
      <c r="GC18">
        <v>0</v>
      </c>
      <c r="GD18">
        <v>0</v>
      </c>
      <c r="GE18">
        <v>0</v>
      </c>
      <c r="GF18">
        <v>0</v>
      </c>
      <c r="GG18">
        <v>0</v>
      </c>
      <c r="GH18">
        <v>0</v>
      </c>
      <c r="GI18">
        <v>0</v>
      </c>
      <c r="GJ18">
        <v>0</v>
      </c>
      <c r="GK18">
        <v>0</v>
      </c>
      <c r="GL18">
        <v>0</v>
      </c>
      <c r="GM18">
        <v>0</v>
      </c>
      <c r="GN18">
        <v>0</v>
      </c>
      <c r="GO18">
        <v>0</v>
      </c>
      <c r="GP18">
        <v>0</v>
      </c>
      <c r="GQ18">
        <v>0</v>
      </c>
      <c r="GR18">
        <v>0</v>
      </c>
      <c r="GS18">
        <v>0</v>
      </c>
      <c r="GT18">
        <v>0</v>
      </c>
      <c r="GU18">
        <v>0</v>
      </c>
      <c r="GV18">
        <v>0</v>
      </c>
      <c r="GW18">
        <v>0</v>
      </c>
      <c r="GX18">
        <v>0</v>
      </c>
      <c r="GY18">
        <v>0</v>
      </c>
      <c r="GZ18">
        <v>0</v>
      </c>
      <c r="HA18">
        <v>0</v>
      </c>
      <c r="HB18">
        <v>0</v>
      </c>
      <c r="HC18">
        <v>0</v>
      </c>
    </row>
    <row r="19" spans="1:211">
      <c r="A19" t="s">
        <v>106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row>
    <row r="20" spans="1:211">
      <c r="A20" t="s">
        <v>107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row>
    <row r="21" spans="1:211">
      <c r="A21" t="s">
        <v>108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row>
    <row r="22" spans="1:211">
      <c r="A22" t="s">
        <v>109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row>
    <row r="23" spans="1:211">
      <c r="A23" t="s">
        <v>110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row>
    <row r="24" spans="1:211">
      <c r="A24" s="11" t="s">
        <v>111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row>
    <row r="25" spans="1:211">
      <c r="A25" s="11" t="s">
        <v>112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251C7805F896F47A4F48569C73A0799" ma:contentTypeVersion="4" ma:contentTypeDescription="Create a new document." ma:contentTypeScope="" ma:versionID="7abd873f26c83d98889b6bc5171c7cdd">
  <xsd:schema xmlns:xsd="http://www.w3.org/2001/XMLSchema" xmlns:xs="http://www.w3.org/2001/XMLSchema" xmlns:p="http://schemas.microsoft.com/office/2006/metadata/properties" xmlns:ns2="f3083de3-5d4e-49f2-a3cd-0aeb079e6739" targetNamespace="http://schemas.microsoft.com/office/2006/metadata/properties" ma:root="true" ma:fieldsID="295384f30983e71c631053ca9b14fb23" ns2:_="">
    <xsd:import namespace="f3083de3-5d4e-49f2-a3cd-0aeb079e6739"/>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083de3-5d4e-49f2-a3cd-0aeb079e6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21FE85-B93F-413B-B322-A65D31F49F0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65EFA6BB-0687-4886-9032-7BD695FCD9E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083de3-5d4e-49f2-a3cd-0aeb079e67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90E0FF2-CB08-4E88-939D-374B44211EF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Start Year Capacities - 2026-21</vt:lpstr>
      <vt:lpstr>BAU Heat Rate - 2020</vt:lpstr>
      <vt:lpstr>BHRaSYC-HeatRates</vt:lpstr>
      <vt:lpstr>BHRaSYC-StartYearCapacities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Robbie</dc:creator>
  <cp:keywords/>
  <dc:description/>
  <cp:lastModifiedBy>Megan Mahajan</cp:lastModifiedBy>
  <cp:revision/>
  <dcterms:created xsi:type="dcterms:W3CDTF">2016-02-26T23:55:43Z</dcterms:created>
  <dcterms:modified xsi:type="dcterms:W3CDTF">2024-12-23T18:41:32Z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0x010100A251C7805F896F47A4F48569C73A0799</vt:lpwstr>
  </property>
</Properties>
</file>