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trans/SYVbT/"/>
    </mc:Choice>
  </mc:AlternateContent>
  <xr:revisionPtr revIDLastSave="284" documentId="13_ncr:1_{9263B2CC-E985-4409-9A4B-45893CE32F75}" xr6:coauthVersionLast="47" xr6:coauthVersionMax="47" xr10:uidLastSave="{B64170C6-052C-40DD-A11B-0B4940232EB9}"/>
  <bookViews>
    <workbookView xWindow="43095" yWindow="1080" windowWidth="14610" windowHeight="15585" firstSheet="5" activeTab="7" xr2:uid="{00000000-000D-0000-FFFF-FFFF00000000}"/>
  </bookViews>
  <sheets>
    <sheet name="About" sheetId="1" r:id="rId1"/>
    <sheet name="India Ships" sheetId="8" r:id="rId2"/>
    <sheet name="India Aircraft" sheetId="6" r:id="rId3"/>
    <sheet name="India Road" sheetId="5" r:id="rId4"/>
    <sheet name="India Rail" sheetId="7" r:id="rId5"/>
    <sheet name="India AVLo" sheetId="9" r:id="rId6"/>
    <sheet name="SYVbT-passenger" sheetId="2" r:id="rId7"/>
    <sheet name="SYVbT-freight" sheetId="4" r:id="rId8"/>
  </sheets>
  <externalReferences>
    <externalReference r:id="rId9"/>
    <externalReference r:id="rId10"/>
    <externalReference r:id="rId11"/>
  </externalReferences>
  <definedNames>
    <definedName name="base.year">'[1]Target Year Input'!$E$3</definedName>
    <definedName name="BTU_to_PJ">[2]Notes!$A$11</definedName>
    <definedName name="Eno_TM">'[3]1997  Table 1a Modified'!#REF!</definedName>
    <definedName name="Eno_Tons">'[3]1997  Table 1a Modified'!#REF!</definedName>
    <definedName name="MWh_to_PJ">[2]Notes!$A$12</definedName>
    <definedName name="Sum_T2">'[3]1997  Table 1a Modified'!#REF!</definedName>
    <definedName name="Sum_TTM">'[3]1997  Table 1a Modified'!#REF!</definedName>
    <definedName name="ti_tbl_50">#REF!</definedName>
    <definedName name="ti_tbl_69">#REF!</definedName>
    <definedName name="TWh_to_PJ">[2]Notes!$A$15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5" l="1"/>
  <c r="I45" i="5" s="1"/>
  <c r="B7" i="4"/>
  <c r="H53" i="5"/>
  <c r="G53" i="5"/>
  <c r="F53" i="5"/>
  <c r="F51" i="5"/>
  <c r="I51" i="5"/>
  <c r="G51" i="5"/>
  <c r="I52" i="5"/>
  <c r="G52" i="5"/>
  <c r="F52" i="5"/>
  <c r="B47" i="5"/>
  <c r="B45" i="5"/>
  <c r="B46" i="5"/>
  <c r="C46" i="5"/>
  <c r="C45" i="5"/>
  <c r="C44" i="5"/>
  <c r="B44" i="5"/>
  <c r="O5" i="5"/>
  <c r="O6" i="5"/>
  <c r="O7" i="5"/>
  <c r="O8" i="5"/>
  <c r="O9" i="5"/>
  <c r="O10" i="5"/>
  <c r="O11" i="5"/>
  <c r="O12" i="5"/>
  <c r="O13" i="5"/>
  <c r="O14" i="5"/>
  <c r="O15" i="5"/>
  <c r="O16" i="5"/>
  <c r="F46" i="5" s="1"/>
  <c r="O17" i="5"/>
  <c r="O18" i="5"/>
  <c r="O19" i="5"/>
  <c r="O20" i="5"/>
  <c r="O21" i="5"/>
  <c r="O22" i="5"/>
  <c r="F47" i="5" s="1"/>
  <c r="G44" i="5" l="1"/>
  <c r="F44" i="5"/>
  <c r="G47" i="5"/>
  <c r="G45" i="5"/>
  <c r="I47" i="5"/>
  <c r="F45" i="5"/>
  <c r="B3" i="4" s="1"/>
  <c r="H46" i="5"/>
  <c r="H44" i="5"/>
  <c r="O32" i="5"/>
  <c r="O33" i="5"/>
  <c r="O34" i="5"/>
  <c r="O35" i="5"/>
  <c r="O36" i="5"/>
  <c r="O31" i="5"/>
  <c r="H11" i="7" l="1"/>
  <c r="H10" i="7"/>
  <c r="B8" i="6" l="1"/>
  <c r="B5" i="6" l="1"/>
  <c r="L42" i="5" l="1"/>
  <c r="C6" i="2"/>
  <c r="E6" i="2" l="1"/>
  <c r="B6" i="2"/>
  <c r="H6" i="2"/>
  <c r="F6" i="2"/>
  <c r="D6" i="2"/>
  <c r="B18" i="7"/>
  <c r="C3" i="4" l="1"/>
  <c r="F7" i="4"/>
  <c r="C2" i="4"/>
  <c r="D2" i="4"/>
  <c r="F2" i="4"/>
  <c r="E7" i="2"/>
  <c r="F7" i="2"/>
  <c r="C7" i="2"/>
  <c r="B2" i="8"/>
  <c r="Q18" i="8"/>
  <c r="J18" i="8"/>
  <c r="R18" i="8" s="1"/>
  <c r="B3" i="8" s="1"/>
  <c r="E6" i="4" s="1"/>
  <c r="F3" i="4" l="1"/>
  <c r="D3" i="4"/>
  <c r="D3" i="2" l="1"/>
  <c r="F3" i="2"/>
  <c r="F2" i="2"/>
  <c r="C7" i="4"/>
  <c r="E3" i="2"/>
  <c r="C3" i="2"/>
  <c r="E2" i="4"/>
  <c r="E3" i="4"/>
  <c r="G3" i="4"/>
  <c r="G2" i="4"/>
  <c r="L51" i="5"/>
  <c r="H7" i="4" s="1"/>
  <c r="G7" i="4"/>
  <c r="D7" i="4"/>
  <c r="G7" i="2"/>
  <c r="L43" i="5"/>
  <c r="H3" i="2" s="1"/>
  <c r="H2" i="2"/>
  <c r="G2" i="2"/>
  <c r="E2" i="2"/>
  <c r="D2" i="2"/>
  <c r="C2" i="2"/>
  <c r="G3" i="2" l="1"/>
  <c r="L44" i="5"/>
  <c r="H7" i="2" s="1"/>
  <c r="L49" i="5"/>
  <c r="H2" i="4" s="1"/>
  <c r="L50" i="5"/>
  <c r="H3" i="4" s="1"/>
  <c r="B13" i="6"/>
  <c r="B12" i="6"/>
  <c r="B5" i="7" l="1"/>
  <c r="B19" i="7" l="1"/>
  <c r="B23" i="7" s="1"/>
  <c r="B2" i="4"/>
  <c r="E7" i="4"/>
  <c r="D7" i="2"/>
  <c r="B7" i="2"/>
  <c r="B3" i="2"/>
  <c r="B2" i="2"/>
  <c r="B17" i="6"/>
  <c r="B16" i="6"/>
  <c r="B20" i="6" l="1"/>
  <c r="G16" i="7"/>
  <c r="B5" i="2" s="1"/>
  <c r="G15" i="7"/>
  <c r="E5" i="2" s="1"/>
  <c r="B21" i="6"/>
  <c r="E4" i="4" s="1"/>
  <c r="B24" i="7"/>
  <c r="G19" i="7" l="1"/>
  <c r="B5" i="4" s="1"/>
  <c r="G18" i="7"/>
  <c r="E5" i="4" s="1"/>
  <c r="E4" i="2"/>
</calcChain>
</file>

<file path=xl/sharedStrings.xml><?xml version="1.0" encoding="utf-8"?>
<sst xmlns="http://schemas.openxmlformats.org/spreadsheetml/2006/main" count="285" uniqueCount="171">
  <si>
    <t>SYVbT Start Year Vehicles by Technology</t>
  </si>
  <si>
    <t>Sources:</t>
  </si>
  <si>
    <t>aircraft</t>
  </si>
  <si>
    <t>Ships</t>
  </si>
  <si>
    <t>battery electric vehicle</t>
  </si>
  <si>
    <t>natural gas vehicle</t>
  </si>
  <si>
    <t>gasoline vehicle</t>
  </si>
  <si>
    <t>diesel vehicle</t>
  </si>
  <si>
    <t>plugin hybrid vehicle</t>
  </si>
  <si>
    <t>LDVs</t>
  </si>
  <si>
    <t>HDVs</t>
  </si>
  <si>
    <t>rail</t>
  </si>
  <si>
    <t>ships</t>
  </si>
  <si>
    <t>motorbikes</t>
  </si>
  <si>
    <t>Freight Transported (MT)</t>
  </si>
  <si>
    <t>Psgr/aircraft</t>
  </si>
  <si>
    <t>(from AVLo)</t>
  </si>
  <si>
    <t>Freight MT/aircraft</t>
  </si>
  <si>
    <t>Psr aircraft scaling factor</t>
  </si>
  <si>
    <t>Frgt aircraft scaling factor</t>
  </si>
  <si>
    <t>Psrg aircraft (est.)</t>
  </si>
  <si>
    <t>Freight aircraft (est.)</t>
  </si>
  <si>
    <t>Directorate General of Civil Aviation (DGCA)</t>
  </si>
  <si>
    <t>Table 8 (aircraft), Tables 1 and 5 (psgr vs. freight)</t>
  </si>
  <si>
    <t>aircraft (count, and psgr traffic vs. freight traffic)</t>
  </si>
  <si>
    <t>See AVLo</t>
  </si>
  <si>
    <t>Vehicle Km by type of Vehicle under Chosen Scenario</t>
  </si>
  <si>
    <t>Mode</t>
  </si>
  <si>
    <t>Sub-mode</t>
  </si>
  <si>
    <t>Technology</t>
  </si>
  <si>
    <t>ROAD</t>
  </si>
  <si>
    <t>BUS</t>
  </si>
  <si>
    <t>DIESEL</t>
  </si>
  <si>
    <t>CNG</t>
  </si>
  <si>
    <t>ELECTRIC</t>
  </si>
  <si>
    <t>FCV</t>
  </si>
  <si>
    <t>CAR</t>
  </si>
  <si>
    <t>2W</t>
  </si>
  <si>
    <t>3W</t>
  </si>
  <si>
    <t>TAXI</t>
  </si>
  <si>
    <t>Passenger</t>
  </si>
  <si>
    <t>Freight</t>
  </si>
  <si>
    <t>Passenger Vehcile Technology Shares</t>
  </si>
  <si>
    <t>Freight Vehicle Technology Shares</t>
  </si>
  <si>
    <t>Type</t>
  </si>
  <si>
    <t>HCV</t>
  </si>
  <si>
    <t>LCV</t>
  </si>
  <si>
    <t>Freight Vehcile Breakdown by Technology ("Modal Share")</t>
  </si>
  <si>
    <t>Passenger Cars</t>
  </si>
  <si>
    <t>Freight Cars</t>
  </si>
  <si>
    <t>Number of Cars per Train</t>
  </si>
  <si>
    <t>Assumption:</t>
  </si>
  <si>
    <t>Ministry of Railways Data:</t>
  </si>
  <si>
    <t>Steam locomotives</t>
  </si>
  <si>
    <t>Diesel locomotives</t>
  </si>
  <si>
    <t>Electric locomotives</t>
  </si>
  <si>
    <t>Number of Locomotives by Type:</t>
  </si>
  <si>
    <t>Passenger locomotives</t>
  </si>
  <si>
    <t>Freight locomotives</t>
  </si>
  <si>
    <t>Number of Trains that could be supplied with these cars</t>
  </si>
  <si>
    <t>Calculations</t>
  </si>
  <si>
    <t>Ministry of Railways</t>
  </si>
  <si>
    <t>All on-road modes (vehicle count, not by technology)</t>
  </si>
  <si>
    <t>Ministry of Road Transport and Highways</t>
  </si>
  <si>
    <t>Division of on-road modes by technology</t>
  </si>
  <si>
    <t>India Energy Security Scenarios 2047 downloadable Excel model</t>
  </si>
  <si>
    <t>NITI Aayog, Government of India</t>
  </si>
  <si>
    <t>Categories: all other categories</t>
  </si>
  <si>
    <t>Totals</t>
  </si>
  <si>
    <t>Frgt HDV</t>
  </si>
  <si>
    <t>Frgt LDV</t>
  </si>
  <si>
    <t>Frgt Mtrbk</t>
  </si>
  <si>
    <t>Psgr HDV</t>
  </si>
  <si>
    <t>Psgr LDV</t>
  </si>
  <si>
    <t>Number from table</t>
  </si>
  <si>
    <t>EPS Classification</t>
  </si>
  <si>
    <t>not used</t>
  </si>
  <si>
    <t>Psgr Mtrbk</t>
  </si>
  <si>
    <t>taxis</t>
  </si>
  <si>
    <t>buses</t>
  </si>
  <si>
    <t>psgr rickshaws</t>
  </si>
  <si>
    <t>frgt rickshaws</t>
  </si>
  <si>
    <t>light truck</t>
  </si>
  <si>
    <t>heavy 2-axle truck</t>
  </si>
  <si>
    <t>heavy 3+ axle truck</t>
  </si>
  <si>
    <t>hired 2-whl mtrbks</t>
  </si>
  <si>
    <t>2-whl motorbikes</t>
  </si>
  <si>
    <t>cars</t>
  </si>
  <si>
    <t>omnibuses</t>
  </si>
  <si>
    <t>Number of Vehicles</t>
  </si>
  <si>
    <t>LPG vehicle</t>
  </si>
  <si>
    <t>hydrogen vehicle</t>
  </si>
  <si>
    <t>total</t>
  </si>
  <si>
    <t xml:space="preserve">Vehicle Loading </t>
  </si>
  <si>
    <t>(passengers)</t>
  </si>
  <si>
    <t>(tons)</t>
  </si>
  <si>
    <t>Rail</t>
  </si>
  <si>
    <t>Total Fleet (Passenger + Freight)</t>
  </si>
  <si>
    <t>Total Passengers</t>
  </si>
  <si>
    <t>(Domestic &amp; Intnl.)</t>
  </si>
  <si>
    <t>Passenger Vehicle Breakdown by Technology (Vehicle KM)</t>
  </si>
  <si>
    <t>Rail Fleet Breakdown by Technology (Vehicle KM)</t>
  </si>
  <si>
    <t>RAIL</t>
  </si>
  <si>
    <t>RAIL-Passenger</t>
  </si>
  <si>
    <t>RAIL-frieght</t>
  </si>
  <si>
    <t>Passenger electric rail</t>
  </si>
  <si>
    <t>Passenger diesel rail</t>
  </si>
  <si>
    <t>Freight diesel rail</t>
  </si>
  <si>
    <t>Freight electric rail</t>
  </si>
  <si>
    <t>Tabs XIIa and XIIb (Table 12.1)</t>
  </si>
  <si>
    <t xml:space="preserve">   SHIPPING</t>
  </si>
  <si>
    <t xml:space="preserve"> Table 22.1 - STRENGTH OF INDIAN MERCHANT SHIPPING FLEET</t>
  </si>
  <si>
    <t xml:space="preserve">  (As on 31st December)</t>
  </si>
  <si>
    <t xml:space="preserve"> </t>
  </si>
  <si>
    <t>Year</t>
  </si>
  <si>
    <t>Item</t>
  </si>
  <si>
    <t xml:space="preserve">                  Coastal Shipping</t>
  </si>
  <si>
    <t xml:space="preserve">                  Overseas  Shipping</t>
  </si>
  <si>
    <t>Total</t>
  </si>
  <si>
    <t>Type of Vessels</t>
  </si>
  <si>
    <r>
      <t xml:space="preserve">Dry Cargo Liner </t>
    </r>
    <r>
      <rPr>
        <b/>
        <vertAlign val="superscript"/>
        <sz val="10"/>
        <rFont val="Times New Roman"/>
        <family val="1"/>
      </rPr>
      <t>(1)</t>
    </r>
  </si>
  <si>
    <r>
      <t xml:space="preserve">Dry Cargo Bulk Carrier </t>
    </r>
    <r>
      <rPr>
        <b/>
        <vertAlign val="superscript"/>
        <sz val="10"/>
        <rFont val="Times New Roman"/>
        <family val="1"/>
      </rPr>
      <t>(2)</t>
    </r>
  </si>
  <si>
    <r>
      <t>Oil Tanker</t>
    </r>
    <r>
      <rPr>
        <b/>
        <vertAlign val="superscript"/>
        <sz val="10"/>
        <rFont val="Times New Roman"/>
        <family val="1"/>
      </rPr>
      <t xml:space="preserve"> (3)</t>
    </r>
  </si>
  <si>
    <r>
      <t xml:space="preserve">Passenger-cum-Cargo </t>
    </r>
    <r>
      <rPr>
        <b/>
        <vertAlign val="superscript"/>
        <sz val="10"/>
        <rFont val="Times New Roman"/>
        <family val="1"/>
      </rPr>
      <t>(4)</t>
    </r>
  </si>
  <si>
    <t>Off-shore Supply</t>
  </si>
  <si>
    <r>
      <t xml:space="preserve">Specialised for Off-shore Services </t>
    </r>
    <r>
      <rPr>
        <b/>
        <vertAlign val="superscript"/>
        <sz val="10"/>
        <rFont val="Times New Roman"/>
        <family val="1"/>
      </rPr>
      <t>(5)</t>
    </r>
  </si>
  <si>
    <t>Timber Carrier</t>
  </si>
  <si>
    <r>
      <t xml:space="preserve">Dry Cargo Liner </t>
    </r>
    <r>
      <rPr>
        <b/>
        <vertAlign val="superscript"/>
        <sz val="10"/>
        <rFont val="Times New Roman"/>
        <family val="1"/>
      </rPr>
      <t>(6)</t>
    </r>
  </si>
  <si>
    <r>
      <t xml:space="preserve">Dry Cargo Bulk Carrier </t>
    </r>
    <r>
      <rPr>
        <b/>
        <vertAlign val="superscript"/>
        <sz val="10"/>
        <rFont val="Times New Roman"/>
        <family val="1"/>
      </rPr>
      <t>(7)</t>
    </r>
  </si>
  <si>
    <r>
      <t>Oil Tanker</t>
    </r>
    <r>
      <rPr>
        <b/>
        <vertAlign val="superscript"/>
        <sz val="10"/>
        <rFont val="Times New Roman"/>
        <family val="1"/>
      </rPr>
      <t xml:space="preserve"> (8)</t>
    </r>
  </si>
  <si>
    <r>
      <t xml:space="preserve">Ore/Oil Bulk Carrier </t>
    </r>
    <r>
      <rPr>
        <b/>
        <vertAlign val="superscript"/>
        <sz val="10"/>
        <rFont val="Times New Roman"/>
        <family val="1"/>
      </rPr>
      <t>(9)</t>
    </r>
  </si>
  <si>
    <r>
      <t xml:space="preserve">Passenger-cum-Cargo </t>
    </r>
    <r>
      <rPr>
        <b/>
        <vertAlign val="superscript"/>
        <sz val="10"/>
        <rFont val="Times New Roman"/>
        <family val="1"/>
      </rPr>
      <t>(10)</t>
    </r>
  </si>
  <si>
    <t>No. Of Vessels</t>
  </si>
  <si>
    <t>-</t>
  </si>
  <si>
    <t>Categories: Passenger cum cargo</t>
  </si>
  <si>
    <t>Number of Ships (2016 - latest year available)*</t>
  </si>
  <si>
    <t>*Includes both coastal and overseas</t>
  </si>
  <si>
    <t>Ministry of Shipping/Ministry of Statistics &amp; Programme Implementation</t>
  </si>
  <si>
    <t>SHIPPING - Statistical Year Book India 2018</t>
  </si>
  <si>
    <t>http://www.mospi.gov.in/statistical-year-book-india/2018/191</t>
  </si>
  <si>
    <t>Sr. No 22.1 - Strength of Indian Merchant Shipping Fleet</t>
  </si>
  <si>
    <t>We assume maritime heavy fuel oil to be closest to diesel, and apportion ships to diesel technology type.</t>
  </si>
  <si>
    <t>We assume jet fuel to be most similar to diesel, and apportion aircrafts to diesel technology type.</t>
  </si>
  <si>
    <t xml:space="preserve">Notes: </t>
  </si>
  <si>
    <t>Fleet sizes for each vehicle type are updated for latest available sources in govt. sources.</t>
  </si>
  <si>
    <t xml:space="preserve">The govt. reports don't give a breakdown of the vehicle fleet by technology type, so </t>
  </si>
  <si>
    <t>and applied to the base year fleet of each vehicle type to disaggregate by technology.</t>
  </si>
  <si>
    <t>There are no hydrogen technology vehicle types for the base year, and values are zero.</t>
  </si>
  <si>
    <t xml:space="preserve">we use IESS Level 2 (BAU) trajectory values on "Vehicle Km by type of Vehicle" to determine </t>
  </si>
  <si>
    <t>Vehicle loading</t>
  </si>
  <si>
    <t>In India, we repurpose the passenger ship vehicle type to be taxis.</t>
  </si>
  <si>
    <t>Taxi</t>
  </si>
  <si>
    <t>taxi</t>
  </si>
  <si>
    <t>Aircraft Statistics - 2021</t>
  </si>
  <si>
    <t>Handbook of Civil Aviation Statistics 2022-23</t>
  </si>
  <si>
    <t>https://www.dgca.gov.in/digigov-portal/?page=jsp/dgca/InventoryList/dataReports/aviationDataStatistics/handbookCivilAviation/HANDBOOK%202022-23.pdf&amp;mainnull</t>
  </si>
  <si>
    <t>Ministry of Railways Data (2021):</t>
  </si>
  <si>
    <t>LNG</t>
  </si>
  <si>
    <t>CV</t>
  </si>
  <si>
    <t>NGV</t>
  </si>
  <si>
    <t>EV</t>
  </si>
  <si>
    <t>OMNI-BUS</t>
  </si>
  <si>
    <t>Hybrid</t>
  </si>
  <si>
    <t xml:space="preserve">the ratios for various technologies like diesel, electric, CNG etc. The ratios are for year 2021, </t>
  </si>
  <si>
    <t>Railway Year Book 2021-22</t>
  </si>
  <si>
    <t>https://iritm.indianrailways.gov.in/uploads/files/1680252282408-PDF%20Year%20Book%202021-22-English.pdf</t>
  </si>
  <si>
    <t>Tables - Key statistics - Page 3; Other important statistics - Page 4</t>
  </si>
  <si>
    <t>Road Transport Year Book</t>
  </si>
  <si>
    <t>https://morth.nic.in/sites/default/files/RTYB_Publication_2019_20%20(1).pdf</t>
  </si>
  <si>
    <t>Table 2.3 - Page 23</t>
  </si>
  <si>
    <t>https://iess2047.gov.in/_/theme/documents/IESS2047_Version_3.0.xlsx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</si>
</sst>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##0.00_)"/>
    <numFmt numFmtId="166" formatCode="#,##0_)"/>
    <numFmt numFmtId="167" formatCode="0.0%"/>
    <numFmt numFmtId="168" formatCode="#,##0_);\(#,##0\);&quot;-&quot;_);@"/>
    <numFmt numFmtId="169" formatCode="0.00000"/>
    <numFmt numFmtId="170" formatCode="0.0"/>
  </numFmts>
  <fonts count="5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Helv"/>
    </font>
    <font>
      <b/>
      <sz val="10"/>
      <name val="Helv"/>
    </font>
    <font>
      <b/>
      <sz val="14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color theme="1"/>
      <name val="Calibri"/>
      <family val="2"/>
      <charset val="129"/>
      <scheme val="minor"/>
    </font>
    <font>
      <sz val="10"/>
      <name val="HELV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9"/>
      <name val="Helv"/>
    </font>
    <font>
      <sz val="8.5"/>
      <name val="Helv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P-AVGARD"/>
    </font>
    <font>
      <sz val="6"/>
      <name val="P-AVGARD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1"/>
      <scheme val="minor"/>
    </font>
    <font>
      <sz val="10"/>
      <color theme="9" tint="0.79998168889431442"/>
      <name val="Calibri"/>
      <family val="1"/>
      <scheme val="minor"/>
    </font>
    <font>
      <b/>
      <sz val="10"/>
      <color theme="1"/>
      <name val="Cambria"/>
      <family val="2"/>
      <scheme val="major"/>
    </font>
    <font>
      <b/>
      <sz val="10"/>
      <color theme="9" tint="0.79998168889431442"/>
      <name val="Cambria"/>
      <family val="2"/>
      <scheme val="major"/>
    </font>
    <font>
      <sz val="10"/>
      <name val="Calibri"/>
      <family val="1"/>
      <scheme val="minor"/>
    </font>
    <font>
      <sz val="10"/>
      <color theme="1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vertAlign val="superscript"/>
      <sz val="10"/>
      <name val="Times New Roman"/>
      <family val="1"/>
    </font>
    <font>
      <sz val="10"/>
      <color theme="1"/>
      <name val="Cambria"/>
      <family val="1"/>
    </font>
    <font>
      <b/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rgb="FFAEAAA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DE9D9"/>
        <bgColor rgb="FF000000"/>
      </patternFill>
    </fill>
  </fills>
  <borders count="4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1" tint="4.9989318521683403E-2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4.9989318521683403E-2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D0D0D"/>
      </top>
      <bottom style="thin">
        <color rgb="FFA6A6A6"/>
      </bottom>
      <diagonal/>
    </border>
    <border>
      <left style="thin">
        <color rgb="FFA6A6A6"/>
      </left>
      <right/>
      <top style="thin">
        <color rgb="FF0D0D0D"/>
      </top>
      <bottom style="thin">
        <color rgb="FFA6A6A6"/>
      </bottom>
      <diagonal/>
    </border>
  </borders>
  <cellStyleXfs count="144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7" fillId="0" borderId="0"/>
    <xf numFmtId="0" fontId="8" fillId="0" borderId="0">
      <alignment horizontal="left"/>
    </xf>
    <xf numFmtId="0" fontId="6" fillId="0" borderId="0"/>
    <xf numFmtId="43" fontId="7" fillId="0" borderId="0" applyFont="0" applyFill="0" applyBorder="0" applyAlignment="0" applyProtection="0"/>
    <xf numFmtId="0" fontId="6" fillId="0" borderId="0"/>
    <xf numFmtId="0" fontId="9" fillId="0" borderId="6">
      <alignment horizontal="left"/>
    </xf>
    <xf numFmtId="0" fontId="10" fillId="0" borderId="0">
      <alignment horizontal="left"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7" applyNumberFormat="0" applyAlignment="0" applyProtection="0"/>
    <xf numFmtId="0" fontId="15" fillId="23" borderId="8" applyNumberFormat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7" fillId="0" borderId="0" applyFont="0" applyFill="0" applyBorder="0" applyAlignment="0" applyProtection="0"/>
    <xf numFmtId="165" fontId="17" fillId="0" borderId="6" applyNumberFormat="0" applyFill="0">
      <alignment horizontal="right"/>
    </xf>
    <xf numFmtId="166" fontId="18" fillId="0" borderId="6">
      <alignment horizontal="right" vertical="center"/>
    </xf>
    <xf numFmtId="49" fontId="19" fillId="0" borderId="6">
      <alignment horizontal="left" vertical="center"/>
    </xf>
    <xf numFmtId="165" fontId="17" fillId="0" borderId="6" applyNumberFormat="0" applyFill="0">
      <alignment horizontal="right"/>
    </xf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9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2">
      <alignment horizontal="right" vertical="center"/>
    </xf>
    <xf numFmtId="0" fontId="26" fillId="0" borderId="6">
      <alignment horizontal="left" vertical="center"/>
    </xf>
    <xf numFmtId="0" fontId="17" fillId="0" borderId="6">
      <alignment horizontal="left" vertical="center"/>
    </xf>
    <xf numFmtId="0" fontId="9" fillId="0" borderId="6">
      <alignment horizontal="left"/>
    </xf>
    <xf numFmtId="0" fontId="9" fillId="24" borderId="0">
      <alignment horizontal="centerContinuous" wrapText="1"/>
    </xf>
    <xf numFmtId="0" fontId="27" fillId="9" borderId="7" applyNumberFormat="0" applyAlignment="0" applyProtection="0"/>
    <xf numFmtId="0" fontId="28" fillId="0" borderId="13" applyNumberFormat="0" applyFill="0" applyAlignment="0" applyProtection="0"/>
    <xf numFmtId="0" fontId="29" fillId="25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1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7" fillId="0" borderId="0"/>
    <xf numFmtId="37" fontId="30" fillId="0" borderId="0"/>
    <xf numFmtId="0" fontId="6" fillId="0" borderId="0"/>
    <xf numFmtId="37" fontId="31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3" borderId="5" applyNumberFormat="0" applyFont="0" applyAlignment="0" applyProtection="0"/>
    <xf numFmtId="0" fontId="7" fillId="26" borderId="14" applyNumberFormat="0" applyFont="0" applyAlignment="0" applyProtection="0"/>
    <xf numFmtId="0" fontId="32" fillId="22" borderId="15" applyNumberFormat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>
      <alignment horizontal="right"/>
    </xf>
    <xf numFmtId="0" fontId="19" fillId="0" borderId="0">
      <alignment horizontal="right"/>
    </xf>
    <xf numFmtId="49" fontId="18" fillId="0" borderId="0">
      <alignment horizontal="left" vertical="center"/>
    </xf>
    <xf numFmtId="49" fontId="19" fillId="0" borderId="6">
      <alignment horizontal="left"/>
    </xf>
    <xf numFmtId="165" fontId="18" fillId="0" borderId="0" applyNumberFormat="0">
      <alignment horizontal="right"/>
    </xf>
    <xf numFmtId="0" fontId="25" fillId="27" borderId="0">
      <alignment horizontal="centerContinuous" vertical="center" wrapText="1"/>
    </xf>
    <xf numFmtId="0" fontId="25" fillId="0" borderId="16">
      <alignment horizontal="left" vertical="center"/>
    </xf>
    <xf numFmtId="0" fontId="33" fillId="0" borderId="0" applyNumberFormat="0" applyFill="0" applyBorder="0" applyAlignment="0" applyProtection="0"/>
    <xf numFmtId="0" fontId="9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4" fillId="0" borderId="0">
      <alignment horizontal="left"/>
    </xf>
    <xf numFmtId="0" fontId="17" fillId="0" borderId="0">
      <alignment horizontal="left"/>
    </xf>
    <xf numFmtId="0" fontId="35" fillId="0" borderId="17" applyNumberFormat="0" applyFill="0" applyAlignment="0" applyProtection="0"/>
    <xf numFmtId="0" fontId="36" fillId="0" borderId="0" applyNumberFormat="0" applyFill="0" applyBorder="0" applyAlignment="0" applyProtection="0"/>
    <xf numFmtId="49" fontId="18" fillId="0" borderId="6">
      <alignment horizontal="left"/>
    </xf>
    <xf numFmtId="0" fontId="25" fillId="0" borderId="12">
      <alignment horizontal="left"/>
    </xf>
    <xf numFmtId="0" fontId="9" fillId="0" borderId="0">
      <alignment horizontal="left" vertical="center"/>
    </xf>
    <xf numFmtId="0" fontId="37" fillId="0" borderId="0" applyNumberForma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44" fillId="0" borderId="0" applyFont="0" applyFill="0" applyBorder="0" applyAlignment="0" applyProtection="0"/>
  </cellStyleXfs>
  <cellXfs count="1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 applyAlignment="1">
      <alignment horizontal="right"/>
    </xf>
    <xf numFmtId="1" fontId="0" fillId="0" borderId="0" xfId="0" applyNumberFormat="1"/>
    <xf numFmtId="0" fontId="37" fillId="0" borderId="0" xfId="140" applyAlignment="1">
      <alignment horizontal="left"/>
    </xf>
    <xf numFmtId="0" fontId="1" fillId="28" borderId="0" xfId="0" applyFont="1" applyFill="1"/>
    <xf numFmtId="167" fontId="0" fillId="0" borderId="0" xfId="142" applyNumberFormat="1" applyFont="1"/>
    <xf numFmtId="0" fontId="38" fillId="0" borderId="0" xfId="0" applyFont="1"/>
    <xf numFmtId="0" fontId="39" fillId="29" borderId="0" xfId="0" applyFont="1" applyFill="1" applyAlignment="1">
      <alignment vertical="center"/>
    </xf>
    <xf numFmtId="0" fontId="0" fillId="29" borderId="0" xfId="0" applyFill="1" applyAlignment="1">
      <alignment vertical="center"/>
    </xf>
    <xf numFmtId="9" fontId="0" fillId="29" borderId="0" xfId="0" applyNumberFormat="1" applyFill="1" applyAlignment="1">
      <alignment vertical="center"/>
    </xf>
    <xf numFmtId="0" fontId="40" fillId="29" borderId="0" xfId="0" applyFont="1" applyFill="1" applyAlignment="1">
      <alignment vertical="center"/>
    </xf>
    <xf numFmtId="0" fontId="0" fillId="29" borderId="0" xfId="0" applyFill="1"/>
    <xf numFmtId="0" fontId="41" fillId="29" borderId="18" xfId="0" applyFont="1" applyFill="1" applyBorder="1" applyAlignment="1">
      <alignment vertical="center"/>
    </xf>
    <xf numFmtId="0" fontId="42" fillId="29" borderId="18" xfId="0" applyFont="1" applyFill="1" applyBorder="1" applyAlignment="1">
      <alignment horizontal="right" vertical="center"/>
    </xf>
    <xf numFmtId="0" fontId="41" fillId="29" borderId="19" xfId="0" applyFont="1" applyFill="1" applyBorder="1" applyAlignment="1">
      <alignment horizontal="right" vertical="center"/>
    </xf>
    <xf numFmtId="10" fontId="0" fillId="0" borderId="0" xfId="142" applyNumberFormat="1" applyFont="1"/>
    <xf numFmtId="0" fontId="0" fillId="30" borderId="0" xfId="0" applyFill="1"/>
    <xf numFmtId="0" fontId="0" fillId="31" borderId="0" xfId="0" applyFill="1"/>
    <xf numFmtId="0" fontId="1" fillId="31" borderId="0" xfId="0" applyFont="1" applyFill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37" fillId="0" borderId="0" xfId="140" applyAlignment="1">
      <alignment horizontal="left" wrapText="1"/>
    </xf>
    <xf numFmtId="169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29" borderId="20" xfId="0" applyFill="1" applyBorder="1" applyAlignment="1">
      <alignment vertical="center"/>
    </xf>
    <xf numFmtId="9" fontId="0" fillId="29" borderId="20" xfId="0" applyNumberFormat="1" applyFill="1" applyBorder="1" applyAlignment="1">
      <alignment vertical="center"/>
    </xf>
    <xf numFmtId="0" fontId="0" fillId="29" borderId="21" xfId="0" applyFill="1" applyBorder="1" applyAlignment="1">
      <alignment vertical="center"/>
    </xf>
    <xf numFmtId="9" fontId="0" fillId="29" borderId="21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32" borderId="22" xfId="0" applyFill="1" applyBorder="1"/>
    <xf numFmtId="0" fontId="45" fillId="32" borderId="23" xfId="0" applyFont="1" applyFill="1" applyBorder="1" applyAlignment="1">
      <alignment horizontal="left"/>
    </xf>
    <xf numFmtId="0" fontId="45" fillId="32" borderId="23" xfId="0" applyFont="1" applyFill="1" applyBorder="1"/>
    <xf numFmtId="0" fontId="45" fillId="32" borderId="22" xfId="0" applyFont="1" applyFill="1" applyBorder="1" applyAlignment="1">
      <alignment horizontal="left"/>
    </xf>
    <xf numFmtId="0" fontId="45" fillId="32" borderId="24" xfId="0" applyFont="1" applyFill="1" applyBorder="1"/>
    <xf numFmtId="0" fontId="0" fillId="32" borderId="25" xfId="0" applyFill="1" applyBorder="1"/>
    <xf numFmtId="0" fontId="46" fillId="32" borderId="0" xfId="0" applyFont="1" applyFill="1"/>
    <xf numFmtId="0" fontId="46" fillId="32" borderId="25" xfId="0" applyFont="1" applyFill="1" applyBorder="1"/>
    <xf numFmtId="0" fontId="46" fillId="32" borderId="26" xfId="0" applyFont="1" applyFill="1" applyBorder="1"/>
    <xf numFmtId="0" fontId="46" fillId="32" borderId="0" xfId="0" applyFont="1" applyFill="1" applyAlignment="1">
      <alignment horizontal="center"/>
    </xf>
    <xf numFmtId="0" fontId="0" fillId="32" borderId="0" xfId="0" applyFill="1"/>
    <xf numFmtId="0" fontId="46" fillId="32" borderId="25" xfId="0" applyFont="1" applyFill="1" applyBorder="1" applyAlignment="1">
      <alignment horizontal="center"/>
    </xf>
    <xf numFmtId="0" fontId="46" fillId="32" borderId="26" xfId="0" applyFont="1" applyFill="1" applyBorder="1" applyAlignment="1">
      <alignment horizontal="center"/>
    </xf>
    <xf numFmtId="0" fontId="47" fillId="32" borderId="0" xfId="0" applyFont="1" applyFill="1"/>
    <xf numFmtId="0" fontId="47" fillId="32" borderId="25" xfId="0" applyFont="1" applyFill="1" applyBorder="1"/>
    <xf numFmtId="0" fontId="47" fillId="32" borderId="26" xfId="0" applyFont="1" applyFill="1" applyBorder="1"/>
    <xf numFmtId="0" fontId="0" fillId="32" borderId="27" xfId="0" applyFill="1" applyBorder="1"/>
    <xf numFmtId="0" fontId="48" fillId="32" borderId="28" xfId="0" applyFont="1" applyFill="1" applyBorder="1" applyAlignment="1">
      <alignment horizontal="left"/>
    </xf>
    <xf numFmtId="0" fontId="48" fillId="32" borderId="28" xfId="0" applyFont="1" applyFill="1" applyBorder="1"/>
    <xf numFmtId="0" fontId="48" fillId="32" borderId="27" xfId="0" applyFont="1" applyFill="1" applyBorder="1" applyAlignment="1">
      <alignment horizontal="left"/>
    </xf>
    <xf numFmtId="0" fontId="48" fillId="32" borderId="26" xfId="0" applyFont="1" applyFill="1" applyBorder="1"/>
    <xf numFmtId="0" fontId="49" fillId="32" borderId="37" xfId="0" applyFont="1" applyFill="1" applyBorder="1" applyAlignment="1">
      <alignment horizontal="center" vertical="top"/>
    </xf>
    <xf numFmtId="0" fontId="49" fillId="32" borderId="30" xfId="0" applyFont="1" applyFill="1" applyBorder="1" applyAlignment="1">
      <alignment horizontal="center" vertical="top" wrapText="1"/>
    </xf>
    <xf numFmtId="0" fontId="49" fillId="32" borderId="30" xfId="0" applyFont="1" applyFill="1" applyBorder="1" applyAlignment="1">
      <alignment horizontal="center" vertical="top"/>
    </xf>
    <xf numFmtId="0" fontId="49" fillId="32" borderId="35" xfId="0" applyFont="1" applyFill="1" applyBorder="1" applyAlignment="1">
      <alignment horizontal="center" vertical="top" wrapText="1"/>
    </xf>
    <xf numFmtId="0" fontId="49" fillId="32" borderId="35" xfId="0" applyFont="1" applyFill="1" applyBorder="1" applyAlignment="1">
      <alignment horizontal="center" vertical="top"/>
    </xf>
    <xf numFmtId="0" fontId="49" fillId="32" borderId="40" xfId="0" quotePrefix="1" applyFont="1" applyFill="1" applyBorder="1" applyAlignment="1">
      <alignment horizontal="center" vertical="top"/>
    </xf>
    <xf numFmtId="0" fontId="49" fillId="32" borderId="39" xfId="0" applyFont="1" applyFill="1" applyBorder="1" applyAlignment="1">
      <alignment horizontal="center" vertical="top" wrapText="1"/>
    </xf>
    <xf numFmtId="0" fontId="49" fillId="32" borderId="39" xfId="0" quotePrefix="1" applyFont="1" applyFill="1" applyBorder="1" applyAlignment="1">
      <alignment horizontal="center" vertical="top"/>
    </xf>
    <xf numFmtId="0" fontId="49" fillId="32" borderId="42" xfId="0" applyFont="1" applyFill="1" applyBorder="1" applyAlignment="1">
      <alignment horizontal="center" vertical="center"/>
    </xf>
    <xf numFmtId="0" fontId="49" fillId="32" borderId="43" xfId="0" applyFont="1" applyFill="1" applyBorder="1" applyAlignment="1">
      <alignment horizontal="center" vertical="center"/>
    </xf>
    <xf numFmtId="0" fontId="49" fillId="32" borderId="43" xfId="0" applyFont="1" applyFill="1" applyBorder="1" applyAlignment="1">
      <alignment horizontal="center" vertical="top" wrapText="1"/>
    </xf>
    <xf numFmtId="0" fontId="49" fillId="32" borderId="43" xfId="0" quotePrefix="1" applyFont="1" applyFill="1" applyBorder="1" applyAlignment="1">
      <alignment horizontal="center" vertical="top"/>
    </xf>
    <xf numFmtId="0" fontId="49" fillId="32" borderId="44" xfId="0" applyFont="1" applyFill="1" applyBorder="1" applyAlignment="1">
      <alignment horizontal="center" vertical="center"/>
    </xf>
    <xf numFmtId="0" fontId="49" fillId="32" borderId="25" xfId="0" applyFont="1" applyFill="1" applyBorder="1" applyAlignment="1">
      <alignment horizontal="center"/>
    </xf>
    <xf numFmtId="0" fontId="49" fillId="32" borderId="0" xfId="0" applyFont="1" applyFill="1"/>
    <xf numFmtId="49" fontId="48" fillId="33" borderId="32" xfId="0" applyNumberFormat="1" applyFont="1" applyFill="1" applyBorder="1" applyAlignment="1">
      <alignment horizontal="right"/>
    </xf>
    <xf numFmtId="49" fontId="48" fillId="33" borderId="33" xfId="0" applyNumberFormat="1" applyFont="1" applyFill="1" applyBorder="1" applyAlignment="1">
      <alignment horizontal="right"/>
    </xf>
    <xf numFmtId="49" fontId="48" fillId="33" borderId="44" xfId="0" applyNumberFormat="1" applyFont="1" applyFill="1" applyBorder="1" applyAlignment="1">
      <alignment horizontal="right"/>
    </xf>
    <xf numFmtId="49" fontId="0" fillId="0" borderId="0" xfId="0" applyNumberFormat="1"/>
    <xf numFmtId="3" fontId="0" fillId="0" borderId="0" xfId="0" applyNumberFormat="1"/>
    <xf numFmtId="0" fontId="37" fillId="0" borderId="0" xfId="140"/>
    <xf numFmtId="0" fontId="51" fillId="34" borderId="0" xfId="0" applyFont="1" applyFill="1" applyAlignment="1">
      <alignment vertical="center"/>
    </xf>
    <xf numFmtId="9" fontId="51" fillId="34" borderId="0" xfId="0" applyNumberFormat="1" applyFont="1" applyFill="1" applyAlignment="1">
      <alignment vertical="center"/>
    </xf>
    <xf numFmtId="168" fontId="51" fillId="34" borderId="0" xfId="141" applyNumberFormat="1" applyFont="1" applyFill="1" applyBorder="1" applyAlignment="1">
      <alignment horizontal="center" vertical="center"/>
    </xf>
    <xf numFmtId="170" fontId="51" fillId="34" borderId="0" xfId="141" applyNumberFormat="1" applyFont="1" applyFill="1" applyBorder="1" applyAlignment="1">
      <alignment horizontal="center" vertical="center"/>
    </xf>
    <xf numFmtId="0" fontId="51" fillId="34" borderId="0" xfId="0" applyFont="1" applyFill="1"/>
    <xf numFmtId="170" fontId="0" fillId="0" borderId="0" xfId="0" applyNumberFormat="1"/>
    <xf numFmtId="0" fontId="52" fillId="34" borderId="45" xfId="0" applyFont="1" applyFill="1" applyBorder="1" applyAlignment="1">
      <alignment vertical="center"/>
    </xf>
    <xf numFmtId="0" fontId="52" fillId="34" borderId="45" xfId="0" applyFont="1" applyFill="1" applyBorder="1" applyAlignment="1">
      <alignment horizontal="right" vertical="center"/>
    </xf>
    <xf numFmtId="0" fontId="52" fillId="34" borderId="46" xfId="0" applyFont="1" applyFill="1" applyBorder="1" applyAlignment="1">
      <alignment horizontal="center" vertical="center"/>
    </xf>
    <xf numFmtId="2" fontId="51" fillId="34" borderId="0" xfId="0" applyNumberFormat="1" applyFont="1" applyFill="1"/>
    <xf numFmtId="2" fontId="51" fillId="34" borderId="0" xfId="0" applyNumberFormat="1" applyFont="1" applyFill="1" applyAlignment="1">
      <alignment horizontal="center" vertical="center"/>
    </xf>
    <xf numFmtId="0" fontId="7" fillId="34" borderId="0" xfId="73" applyFill="1" applyAlignment="1">
      <alignment vertical="center"/>
    </xf>
    <xf numFmtId="9" fontId="7" fillId="34" borderId="0" xfId="73" applyNumberFormat="1" applyFill="1" applyAlignment="1">
      <alignment vertical="center"/>
    </xf>
    <xf numFmtId="2" fontId="7" fillId="34" borderId="0" xfId="73" applyNumberFormat="1" applyFill="1"/>
    <xf numFmtId="2" fontId="7" fillId="34" borderId="0" xfId="73" applyNumberFormat="1" applyFill="1" applyAlignment="1">
      <alignment horizontal="center" vertical="center"/>
    </xf>
    <xf numFmtId="9" fontId="0" fillId="0" borderId="0" xfId="0" applyNumberFormat="1" applyAlignment="1">
      <alignment vertical="center"/>
    </xf>
    <xf numFmtId="2" fontId="40" fillId="0" borderId="0" xfId="0" applyNumberFormat="1" applyFont="1"/>
    <xf numFmtId="168" fontId="43" fillId="0" borderId="0" xfId="141" applyNumberFormat="1" applyFont="1" applyFill="1" applyBorder="1" applyAlignment="1">
      <alignment vertical="center"/>
    </xf>
    <xf numFmtId="0" fontId="47" fillId="32" borderId="34" xfId="0" applyFont="1" applyFill="1" applyBorder="1" applyAlignment="1">
      <alignment horizontal="center" vertical="center"/>
    </xf>
    <xf numFmtId="0" fontId="47" fillId="32" borderId="36" xfId="0" applyFont="1" applyFill="1" applyBorder="1" applyAlignment="1">
      <alignment horizontal="center" vertical="center"/>
    </xf>
    <xf numFmtId="0" fontId="47" fillId="32" borderId="41" xfId="0" applyFont="1" applyFill="1" applyBorder="1" applyAlignment="1">
      <alignment horizontal="center" vertical="center"/>
    </xf>
    <xf numFmtId="0" fontId="49" fillId="32" borderId="31" xfId="0" applyFont="1" applyFill="1" applyBorder="1" applyAlignment="1">
      <alignment horizontal="center"/>
    </xf>
    <xf numFmtId="0" fontId="49" fillId="32" borderId="32" xfId="0" applyFont="1" applyFill="1" applyBorder="1" applyAlignment="1">
      <alignment horizontal="center"/>
    </xf>
    <xf numFmtId="0" fontId="49" fillId="32" borderId="33" xfId="0" applyFont="1" applyFill="1" applyBorder="1" applyAlignment="1">
      <alignment horizontal="center"/>
    </xf>
    <xf numFmtId="0" fontId="49" fillId="32" borderId="30" xfId="0" applyFont="1" applyFill="1" applyBorder="1" applyAlignment="1">
      <alignment horizontal="center" vertical="top" wrapText="1"/>
    </xf>
    <xf numFmtId="0" fontId="49" fillId="32" borderId="35" xfId="0" applyFont="1" applyFill="1" applyBorder="1" applyAlignment="1">
      <alignment horizontal="center" vertical="top" wrapText="1"/>
    </xf>
    <xf numFmtId="0" fontId="49" fillId="32" borderId="39" xfId="0" applyFont="1" applyFill="1" applyBorder="1" applyAlignment="1">
      <alignment horizontal="center" vertical="top" wrapText="1"/>
    </xf>
    <xf numFmtId="0" fontId="47" fillId="32" borderId="29" xfId="0" applyFont="1" applyFill="1" applyBorder="1" applyAlignment="1">
      <alignment horizontal="center" vertical="center"/>
    </xf>
    <xf numFmtId="0" fontId="47" fillId="32" borderId="38" xfId="0" applyFont="1" applyFill="1" applyBorder="1" applyAlignment="1">
      <alignment horizontal="center" vertical="center"/>
    </xf>
    <xf numFmtId="0" fontId="47" fillId="32" borderId="30" xfId="0" applyFont="1" applyFill="1" applyBorder="1" applyAlignment="1">
      <alignment horizontal="center" vertical="center"/>
    </xf>
    <xf numFmtId="0" fontId="47" fillId="32" borderId="35" xfId="0" applyFont="1" applyFill="1" applyBorder="1" applyAlignment="1">
      <alignment horizontal="center" vertical="center"/>
    </xf>
    <xf numFmtId="0" fontId="47" fillId="32" borderId="39" xfId="0" applyFont="1" applyFill="1" applyBorder="1" applyAlignment="1">
      <alignment horizontal="center" vertical="center"/>
    </xf>
    <xf numFmtId="0" fontId="47" fillId="32" borderId="31" xfId="0" applyFont="1" applyFill="1" applyBorder="1" applyAlignment="1">
      <alignment horizontal="center"/>
    </xf>
    <xf numFmtId="0" fontId="47" fillId="32" borderId="32" xfId="0" applyFont="1" applyFill="1" applyBorder="1" applyAlignment="1">
      <alignment horizontal="center"/>
    </xf>
    <xf numFmtId="0" fontId="47" fillId="32" borderId="33" xfId="0" applyFont="1" applyFill="1" applyBorder="1" applyAlignment="1">
      <alignment horizontal="center"/>
    </xf>
  </cellXfs>
  <cellStyles count="144">
    <cellStyle name="20% - Accent1 2" xfId="15" xr:uid="{00000000-0005-0000-0000-000000000000}"/>
    <cellStyle name="20% - Accent2 2" xfId="16" xr:uid="{00000000-0005-0000-0000-000001000000}"/>
    <cellStyle name="20% - Accent3 2" xfId="17" xr:uid="{00000000-0005-0000-0000-000002000000}"/>
    <cellStyle name="20% - Accent4 2" xfId="18" xr:uid="{00000000-0005-0000-0000-000003000000}"/>
    <cellStyle name="20% - Accent5 2" xfId="19" xr:uid="{00000000-0005-0000-0000-000004000000}"/>
    <cellStyle name="20% - Accent6 2" xfId="20" xr:uid="{00000000-0005-0000-0000-000005000000}"/>
    <cellStyle name="40% - Accent1 2" xfId="21" xr:uid="{00000000-0005-0000-0000-000006000000}"/>
    <cellStyle name="40% - Accent2 2" xfId="22" xr:uid="{00000000-0005-0000-0000-000007000000}"/>
    <cellStyle name="40% - Accent3 2" xfId="23" xr:uid="{00000000-0005-0000-0000-000008000000}"/>
    <cellStyle name="40% - Accent4 2" xfId="24" xr:uid="{00000000-0005-0000-0000-000009000000}"/>
    <cellStyle name="40% - Accent5 2" xfId="25" xr:uid="{00000000-0005-0000-0000-00000A000000}"/>
    <cellStyle name="40% - Accent6 2" xfId="26" xr:uid="{00000000-0005-0000-0000-00000B000000}"/>
    <cellStyle name="60% - Accent1 2" xfId="27" xr:uid="{00000000-0005-0000-0000-00000C000000}"/>
    <cellStyle name="60% - Accent2 2" xfId="28" xr:uid="{00000000-0005-0000-0000-00000D000000}"/>
    <cellStyle name="60% - Accent3 2" xfId="29" xr:uid="{00000000-0005-0000-0000-00000E000000}"/>
    <cellStyle name="60% - Accent4 2" xfId="30" xr:uid="{00000000-0005-0000-0000-00000F000000}"/>
    <cellStyle name="60% - Accent5 2" xfId="31" xr:uid="{00000000-0005-0000-0000-000010000000}"/>
    <cellStyle name="60% - Accent6 2" xfId="32" xr:uid="{00000000-0005-0000-0000-000011000000}"/>
    <cellStyle name="Accent1 2" xfId="33" xr:uid="{00000000-0005-0000-0000-000012000000}"/>
    <cellStyle name="Accent2 2" xfId="34" xr:uid="{00000000-0005-0000-0000-000013000000}"/>
    <cellStyle name="Accent3 2" xfId="35" xr:uid="{00000000-0005-0000-0000-000014000000}"/>
    <cellStyle name="Accent4 2" xfId="36" xr:uid="{00000000-0005-0000-0000-000015000000}"/>
    <cellStyle name="Accent5 2" xfId="37" xr:uid="{00000000-0005-0000-0000-000016000000}"/>
    <cellStyle name="Accent6 2" xfId="38" xr:uid="{00000000-0005-0000-0000-000017000000}"/>
    <cellStyle name="Bad 2" xfId="39" xr:uid="{00000000-0005-0000-0000-000018000000}"/>
    <cellStyle name="Body: normal cell" xfId="4" xr:uid="{00000000-0005-0000-0000-000019000000}"/>
    <cellStyle name="Calculation 2" xfId="40" xr:uid="{00000000-0005-0000-0000-00001A000000}"/>
    <cellStyle name="Check Cell 2" xfId="41" xr:uid="{00000000-0005-0000-0000-00001B000000}"/>
    <cellStyle name="Comma" xfId="141" builtinId="3"/>
    <cellStyle name="Comma 2" xfId="42" xr:uid="{00000000-0005-0000-0000-00001D000000}"/>
    <cellStyle name="Comma 2 2" xfId="11" xr:uid="{00000000-0005-0000-0000-00001E000000}"/>
    <cellStyle name="Comma 2 2 2" xfId="43" xr:uid="{00000000-0005-0000-0000-00001F000000}"/>
    <cellStyle name="Comma 2 2 3" xfId="44" xr:uid="{00000000-0005-0000-0000-000020000000}"/>
    <cellStyle name="Comma 2 3" xfId="45" xr:uid="{00000000-0005-0000-0000-000021000000}"/>
    <cellStyle name="Comma 2 4" xfId="143" xr:uid="{00000000-0005-0000-0000-000022000000}"/>
    <cellStyle name="Comma 3" xfId="46" xr:uid="{00000000-0005-0000-0000-000023000000}"/>
    <cellStyle name="Comma 4" xfId="47" xr:uid="{00000000-0005-0000-0000-000024000000}"/>
    <cellStyle name="Comma 5" xfId="48" xr:uid="{00000000-0005-0000-0000-000025000000}"/>
    <cellStyle name="Comma 6" xfId="49" xr:uid="{00000000-0005-0000-0000-000026000000}"/>
    <cellStyle name="Comma 7" xfId="50" xr:uid="{00000000-0005-0000-0000-000027000000}"/>
    <cellStyle name="Currency 2" xfId="51" xr:uid="{00000000-0005-0000-0000-000028000000}"/>
    <cellStyle name="Currency 3" xfId="52" xr:uid="{00000000-0005-0000-0000-000029000000}"/>
    <cellStyle name="Currency 3 2" xfId="53" xr:uid="{00000000-0005-0000-0000-00002A000000}"/>
    <cellStyle name="Data" xfId="54" xr:uid="{00000000-0005-0000-0000-00002B000000}"/>
    <cellStyle name="Data no deci" xfId="55" xr:uid="{00000000-0005-0000-0000-00002C000000}"/>
    <cellStyle name="Data Superscript" xfId="56" xr:uid="{00000000-0005-0000-0000-00002D000000}"/>
    <cellStyle name="Data_1-1A-Regular" xfId="57" xr:uid="{00000000-0005-0000-0000-00002E000000}"/>
    <cellStyle name="Explanatory Text 2" xfId="58" xr:uid="{00000000-0005-0000-0000-00002F000000}"/>
    <cellStyle name="Font: Calibri, 9pt regular" xfId="6" xr:uid="{00000000-0005-0000-0000-000030000000}"/>
    <cellStyle name="Footnotes: top row" xfId="2" xr:uid="{00000000-0005-0000-0000-000031000000}"/>
    <cellStyle name="Good 2" xfId="59" xr:uid="{00000000-0005-0000-0000-000032000000}"/>
    <cellStyle name="Header: bottom row" xfId="5" xr:uid="{00000000-0005-0000-0000-000033000000}"/>
    <cellStyle name="Heading 1 2" xfId="60" xr:uid="{00000000-0005-0000-0000-000034000000}"/>
    <cellStyle name="Heading 2 2" xfId="61" xr:uid="{00000000-0005-0000-0000-000035000000}"/>
    <cellStyle name="Heading 3 2" xfId="62" xr:uid="{00000000-0005-0000-0000-000036000000}"/>
    <cellStyle name="Heading 4 2" xfId="63" xr:uid="{00000000-0005-0000-0000-000037000000}"/>
    <cellStyle name="Hed Side" xfId="13" xr:uid="{00000000-0005-0000-0000-000038000000}"/>
    <cellStyle name="Hed Side bold" xfId="64" xr:uid="{00000000-0005-0000-0000-000039000000}"/>
    <cellStyle name="Hed Side Indent" xfId="65" xr:uid="{00000000-0005-0000-0000-00003A000000}"/>
    <cellStyle name="Hed Side Regular" xfId="66" xr:uid="{00000000-0005-0000-0000-00003B000000}"/>
    <cellStyle name="Hed Side_1-1A-Regular" xfId="67" xr:uid="{00000000-0005-0000-0000-00003C000000}"/>
    <cellStyle name="Hed Top" xfId="68" xr:uid="{00000000-0005-0000-0000-00003D000000}"/>
    <cellStyle name="Hyperlink" xfId="140" builtinId="8"/>
    <cellStyle name="Input 2" xfId="69" xr:uid="{00000000-0005-0000-0000-00003F000000}"/>
    <cellStyle name="Linked Cell 2" xfId="70" xr:uid="{00000000-0005-0000-0000-000040000000}"/>
    <cellStyle name="Neutral 2" xfId="71" xr:uid="{00000000-0005-0000-0000-000041000000}"/>
    <cellStyle name="Normal" xfId="0" builtinId="0"/>
    <cellStyle name="Normal 10" xfId="72" xr:uid="{00000000-0005-0000-0000-000043000000}"/>
    <cellStyle name="Normal 11" xfId="10" xr:uid="{00000000-0005-0000-0000-000044000000}"/>
    <cellStyle name="Normal 2" xfId="1" xr:uid="{00000000-0005-0000-0000-000045000000}"/>
    <cellStyle name="Normal 2 2" xfId="73" xr:uid="{00000000-0005-0000-0000-000046000000}"/>
    <cellStyle name="Normal 2 2 2" xfId="74" xr:uid="{00000000-0005-0000-0000-000047000000}"/>
    <cellStyle name="Normal 2 2 3" xfId="75" xr:uid="{00000000-0005-0000-0000-000048000000}"/>
    <cellStyle name="Normal 2 3" xfId="76" xr:uid="{00000000-0005-0000-0000-000049000000}"/>
    <cellStyle name="Normal 2 4" xfId="77" xr:uid="{00000000-0005-0000-0000-00004A000000}"/>
    <cellStyle name="Normal 3" xfId="8" xr:uid="{00000000-0005-0000-0000-00004B000000}"/>
    <cellStyle name="Normal 3 2" xfId="78" xr:uid="{00000000-0005-0000-0000-00004C000000}"/>
    <cellStyle name="Normal 3 2 2" xfId="79" xr:uid="{00000000-0005-0000-0000-00004D000000}"/>
    <cellStyle name="Normal 3 2 2 2" xfId="80" xr:uid="{00000000-0005-0000-0000-00004E000000}"/>
    <cellStyle name="Normal 3 2 3" xfId="81" xr:uid="{00000000-0005-0000-0000-00004F000000}"/>
    <cellStyle name="Normal 3 3" xfId="82" xr:uid="{00000000-0005-0000-0000-000050000000}"/>
    <cellStyle name="Normal 3 3 2" xfId="83" xr:uid="{00000000-0005-0000-0000-000051000000}"/>
    <cellStyle name="Normal 3 3 2 2" xfId="84" xr:uid="{00000000-0005-0000-0000-000052000000}"/>
    <cellStyle name="Normal 3 3 3" xfId="85" xr:uid="{00000000-0005-0000-0000-000053000000}"/>
    <cellStyle name="Normal 3 4" xfId="86" xr:uid="{00000000-0005-0000-0000-000054000000}"/>
    <cellStyle name="Normal 3 4 2" xfId="87" xr:uid="{00000000-0005-0000-0000-000055000000}"/>
    <cellStyle name="Normal 3 5" xfId="88" xr:uid="{00000000-0005-0000-0000-000056000000}"/>
    <cellStyle name="Normal 3 6" xfId="89" xr:uid="{00000000-0005-0000-0000-000057000000}"/>
    <cellStyle name="Normal 3 7" xfId="90" xr:uid="{00000000-0005-0000-0000-000058000000}"/>
    <cellStyle name="Normal 3 8" xfId="91" xr:uid="{00000000-0005-0000-0000-000059000000}"/>
    <cellStyle name="Normal 3 9" xfId="12" xr:uid="{00000000-0005-0000-0000-00005A000000}"/>
    <cellStyle name="Normal 4" xfId="92" xr:uid="{00000000-0005-0000-0000-00005B000000}"/>
    <cellStyle name="Normal 4 2" xfId="93" xr:uid="{00000000-0005-0000-0000-00005C000000}"/>
    <cellStyle name="Normal 4 2 2" xfId="94" xr:uid="{00000000-0005-0000-0000-00005D000000}"/>
    <cellStyle name="Normal 4 2 2 2" xfId="95" xr:uid="{00000000-0005-0000-0000-00005E000000}"/>
    <cellStyle name="Normal 4 2 3" xfId="96" xr:uid="{00000000-0005-0000-0000-00005F000000}"/>
    <cellStyle name="Normal 4 3" xfId="97" xr:uid="{00000000-0005-0000-0000-000060000000}"/>
    <cellStyle name="Normal 4 3 2" xfId="98" xr:uid="{00000000-0005-0000-0000-000061000000}"/>
    <cellStyle name="Normal 4 3 2 2" xfId="99" xr:uid="{00000000-0005-0000-0000-000062000000}"/>
    <cellStyle name="Normal 4 3 3" xfId="100" xr:uid="{00000000-0005-0000-0000-000063000000}"/>
    <cellStyle name="Normal 4 4" xfId="101" xr:uid="{00000000-0005-0000-0000-000064000000}"/>
    <cellStyle name="Normal 4 4 2" xfId="102" xr:uid="{00000000-0005-0000-0000-000065000000}"/>
    <cellStyle name="Normal 4 5" xfId="103" xr:uid="{00000000-0005-0000-0000-000066000000}"/>
    <cellStyle name="Normal 4 6" xfId="104" xr:uid="{00000000-0005-0000-0000-000067000000}"/>
    <cellStyle name="Normal 4 7" xfId="105" xr:uid="{00000000-0005-0000-0000-000068000000}"/>
    <cellStyle name="Normal 4 8" xfId="106" xr:uid="{00000000-0005-0000-0000-000069000000}"/>
    <cellStyle name="Normal 5" xfId="107" xr:uid="{00000000-0005-0000-0000-00006A000000}"/>
    <cellStyle name="Normal 5 2" xfId="108" xr:uid="{00000000-0005-0000-0000-00006B000000}"/>
    <cellStyle name="Normal 5 3" xfId="109" xr:uid="{00000000-0005-0000-0000-00006C000000}"/>
    <cellStyle name="Normal 6" xfId="110" xr:uid="{00000000-0005-0000-0000-00006D000000}"/>
    <cellStyle name="Normal 6 2" xfId="111" xr:uid="{00000000-0005-0000-0000-00006E000000}"/>
    <cellStyle name="Normal 7" xfId="112" xr:uid="{00000000-0005-0000-0000-00006F000000}"/>
    <cellStyle name="Normal 8" xfId="113" xr:uid="{00000000-0005-0000-0000-000070000000}"/>
    <cellStyle name="Normal 9" xfId="114" xr:uid="{00000000-0005-0000-0000-000071000000}"/>
    <cellStyle name="Note 2" xfId="115" xr:uid="{00000000-0005-0000-0000-000072000000}"/>
    <cellStyle name="Note 2 2" xfId="116" xr:uid="{00000000-0005-0000-0000-000073000000}"/>
    <cellStyle name="Output 2" xfId="117" xr:uid="{00000000-0005-0000-0000-000074000000}"/>
    <cellStyle name="Parent row" xfId="3" xr:uid="{00000000-0005-0000-0000-000075000000}"/>
    <cellStyle name="Percent" xfId="142" builtinId="5"/>
    <cellStyle name="Percent 2" xfId="118" xr:uid="{00000000-0005-0000-0000-000077000000}"/>
    <cellStyle name="Percent 2 2" xfId="119" xr:uid="{00000000-0005-0000-0000-000078000000}"/>
    <cellStyle name="Percent 3" xfId="120" xr:uid="{00000000-0005-0000-0000-000079000000}"/>
    <cellStyle name="Percent 3 2" xfId="121" xr:uid="{00000000-0005-0000-0000-00007A000000}"/>
    <cellStyle name="Source Hed" xfId="122" xr:uid="{00000000-0005-0000-0000-00007B000000}"/>
    <cellStyle name="Source Superscript" xfId="123" xr:uid="{00000000-0005-0000-0000-00007C000000}"/>
    <cellStyle name="Source Text" xfId="9" xr:uid="{00000000-0005-0000-0000-00007D000000}"/>
    <cellStyle name="State" xfId="124" xr:uid="{00000000-0005-0000-0000-00007E000000}"/>
    <cellStyle name="Superscript" xfId="125" xr:uid="{00000000-0005-0000-0000-00007F000000}"/>
    <cellStyle name="Table Data" xfId="126" xr:uid="{00000000-0005-0000-0000-000080000000}"/>
    <cellStyle name="Table Head Top" xfId="127" xr:uid="{00000000-0005-0000-0000-000081000000}"/>
    <cellStyle name="Table Hed Side" xfId="128" xr:uid="{00000000-0005-0000-0000-000082000000}"/>
    <cellStyle name="Table title" xfId="7" xr:uid="{00000000-0005-0000-0000-000083000000}"/>
    <cellStyle name="Title 2" xfId="129" xr:uid="{00000000-0005-0000-0000-000084000000}"/>
    <cellStyle name="Title Text" xfId="130" xr:uid="{00000000-0005-0000-0000-000085000000}"/>
    <cellStyle name="Title Text 1" xfId="131" xr:uid="{00000000-0005-0000-0000-000086000000}"/>
    <cellStyle name="Title Text 2" xfId="132" xr:uid="{00000000-0005-0000-0000-000087000000}"/>
    <cellStyle name="Title-1" xfId="14" xr:uid="{00000000-0005-0000-0000-000088000000}"/>
    <cellStyle name="Title-2" xfId="133" xr:uid="{00000000-0005-0000-0000-000089000000}"/>
    <cellStyle name="Title-3" xfId="134" xr:uid="{00000000-0005-0000-0000-00008A000000}"/>
    <cellStyle name="Total 2" xfId="135" xr:uid="{00000000-0005-0000-0000-00008B000000}"/>
    <cellStyle name="Warning Text 2" xfId="136" xr:uid="{00000000-0005-0000-0000-00008C000000}"/>
    <cellStyle name="Wrap" xfId="137" xr:uid="{00000000-0005-0000-0000-00008D000000}"/>
    <cellStyle name="Wrap Bold" xfId="138" xr:uid="{00000000-0005-0000-0000-00008E000000}"/>
    <cellStyle name="Wrap Title" xfId="139" xr:uid="{00000000-0005-0000-0000-00008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69850</xdr:rowOff>
    </xdr:from>
    <xdr:to>
      <xdr:col>7</xdr:col>
      <xdr:colOff>4027</xdr:colOff>
      <xdr:row>35</xdr:row>
      <xdr:rowOff>116545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DA5D06-FB58-459C-8CB2-18AAEFC10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22300"/>
          <a:ext cx="5680926" cy="59394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ewri-my.sharepoint.com/personal/anuj_talwar_wri_org/Documents/EPS/Transport/Data%20Sources/IESS%20v3/IESS2047_Version_3.0%20(2).xlsx" TargetMode="External"/><Relationship Id="rId1" Type="http://schemas.openxmlformats.org/officeDocument/2006/relationships/externalLinkPath" Target="/personal/anuj_talwar_wri_org/Documents/EPS/Transport/Data%20Sources/IESS%20v3/IESS2047_Version_3.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ept/AppData/Local/Microsoft/Windows/INetCache/Content.Outlook/7NT1W3G9/2019-11-30%20India%20Calibration%201.4.1-india-wipE%20Trans%20Upda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Page"/>
      <sheetName val="IESS V3 Main Sheet"/>
      <sheetName val="Data Update Sheet"/>
      <sheetName val="Target Year Input"/>
      <sheetName val="User-defined drivers"/>
      <sheetName val="Control"/>
      <sheetName val="IESS V3 Results"/>
      <sheetName val="Intermediate output"/>
      <sheetName val="My Story"/>
      <sheetName val="Unit Preferences"/>
      <sheetName val="Structure of the model"/>
      <sheetName val="Cost - Import + Production"/>
      <sheetName val="Cost - Power Sector and H2"/>
      <sheetName val="Sector-wise Energy Costs"/>
      <sheetName val="I.a"/>
      <sheetName val="I.b"/>
      <sheetName val="I.c"/>
      <sheetName val="II"/>
      <sheetName val="III"/>
      <sheetName val="IV.a"/>
      <sheetName val="IV.b"/>
      <sheetName val="IV.c.1"/>
      <sheetName val="IV.c.2"/>
      <sheetName val="IV.d"/>
      <sheetName val="IV.e"/>
      <sheetName val="V.a"/>
      <sheetName val="V.b"/>
      <sheetName val="V.c"/>
      <sheetName val="VI"/>
      <sheetName val="VII.a"/>
      <sheetName val="VII.b"/>
      <sheetName val="VII.C"/>
      <sheetName val="VIII"/>
      <sheetName val="GDP"/>
      <sheetName val="X.a"/>
      <sheetName val="X.b"/>
      <sheetName val="XI"/>
      <sheetName val="XII.a"/>
      <sheetName val="XII.b"/>
      <sheetName val="XIII.a"/>
      <sheetName val="XIV"/>
      <sheetName val="XV.a"/>
      <sheetName val="XV.b"/>
      <sheetName val="XV.b.o"/>
      <sheetName val="XV.c"/>
      <sheetName val="XVI"/>
      <sheetName val="XVII.a"/>
      <sheetName val="XVII.b"/>
      <sheetName val="Global assumptions"/>
      <sheetName val="Past Data"/>
      <sheetName val="2016-17 Static"/>
      <sheetName val="2017-18 Static"/>
      <sheetName val="2018-19 Static"/>
      <sheetName val="2019-20 Static"/>
      <sheetName val="2020-21 Static"/>
      <sheetName val="Base Year"/>
      <sheetName val="2022"/>
      <sheetName val="2027"/>
      <sheetName val="2032"/>
      <sheetName val="2037"/>
      <sheetName val="2042"/>
      <sheetName val="2047"/>
      <sheetName val="Target Year"/>
      <sheetName val="Grid_Balance_V2"/>
      <sheetName val="Grid balance"/>
      <sheetName val="Conversions"/>
      <sheetName val="Land Use"/>
      <sheetName val="Water Use"/>
      <sheetName val="CostAbsolute"/>
      <sheetName val="Flows"/>
    </sheetNames>
    <sheetDataSet>
      <sheetData sheetId="0"/>
      <sheetData sheetId="1"/>
      <sheetData sheetId="2"/>
      <sheetData sheetId="3">
        <row r="3">
          <cell r="E3">
            <v>2020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Comparisons"/>
      <sheetName val="EPS Update"/>
      <sheetName val="EPS"/>
      <sheetName val="EIA"/>
      <sheetName val="IESS"/>
      <sheetName val="ICCT"/>
    </sheetNames>
    <sheetDataSet>
      <sheetData sheetId="0">
        <row r="11">
          <cell r="A11">
            <v>947817120000</v>
          </cell>
        </row>
        <row r="12">
          <cell r="A12">
            <v>277777.77799999999</v>
          </cell>
        </row>
        <row r="15">
          <cell r="A15">
            <v>3.6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morth.nic.in/sites/default/files/RTYB_Publication_2019_20%20(1).pdf" TargetMode="External"/><Relationship Id="rId1" Type="http://schemas.openxmlformats.org/officeDocument/2006/relationships/hyperlink" Target="https://www.dgca.gov.in/digigov-portal/?page=jsp/dgca/InventoryList/dataReports/aviationDataStatistics/handbookCivilAviation/HANDBOOK%202022-23.pdf&amp;mainnul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27" workbookViewId="0">
      <selection activeCell="B14" sqref="B14"/>
    </sheetView>
  </sheetViews>
  <sheetFormatPr defaultRowHeight="15"/>
  <cols>
    <col min="2" max="2" width="73.140625" customWidth="1"/>
  </cols>
  <sheetData>
    <row r="1" spans="1:4">
      <c r="A1" s="1" t="s">
        <v>0</v>
      </c>
    </row>
    <row r="3" spans="1:4">
      <c r="A3" s="1" t="s">
        <v>1</v>
      </c>
      <c r="B3" s="2" t="s">
        <v>62</v>
      </c>
      <c r="D3" s="1"/>
    </row>
    <row r="4" spans="1:4">
      <c r="B4" t="s">
        <v>63</v>
      </c>
    </row>
    <row r="5" spans="1:4">
      <c r="B5" s="3"/>
      <c r="D5" s="3"/>
    </row>
    <row r="6" spans="1:4">
      <c r="B6" t="s">
        <v>167</v>
      </c>
    </row>
    <row r="7" spans="1:4">
      <c r="B7" s="7" t="s">
        <v>168</v>
      </c>
      <c r="D7" s="7"/>
    </row>
    <row r="8" spans="1:4">
      <c r="B8" t="s">
        <v>169</v>
      </c>
    </row>
    <row r="9" spans="1:4">
      <c r="B9" s="3"/>
    </row>
    <row r="10" spans="1:4">
      <c r="B10" s="2" t="s">
        <v>64</v>
      </c>
    </row>
    <row r="11" spans="1:4">
      <c r="B11" t="s">
        <v>66</v>
      </c>
    </row>
    <row r="12" spans="1:4">
      <c r="B12" s="3">
        <v>2023</v>
      </c>
    </row>
    <row r="13" spans="1:4">
      <c r="B13" t="s">
        <v>65</v>
      </c>
    </row>
    <row r="14" spans="1:4">
      <c r="B14" t="s">
        <v>170</v>
      </c>
    </row>
    <row r="15" spans="1:4">
      <c r="B15" t="s">
        <v>109</v>
      </c>
    </row>
    <row r="17" spans="2:2">
      <c r="B17" s="2" t="s">
        <v>96</v>
      </c>
    </row>
    <row r="18" spans="2:2">
      <c r="B18" t="s">
        <v>61</v>
      </c>
    </row>
    <row r="19" spans="2:2">
      <c r="B19" s="3">
        <v>2022</v>
      </c>
    </row>
    <row r="20" spans="2:2">
      <c r="B20" t="s">
        <v>164</v>
      </c>
    </row>
    <row r="21" spans="2:2" ht="30">
      <c r="B21" s="25" t="s">
        <v>165</v>
      </c>
    </row>
    <row r="22" spans="2:2">
      <c r="B22" t="s">
        <v>166</v>
      </c>
    </row>
    <row r="24" spans="2:2">
      <c r="B24" s="2" t="s">
        <v>24</v>
      </c>
    </row>
    <row r="25" spans="2:2">
      <c r="B25" t="s">
        <v>22</v>
      </c>
    </row>
    <row r="26" spans="2:2">
      <c r="B26" s="3">
        <v>2023</v>
      </c>
    </row>
    <row r="27" spans="2:2">
      <c r="B27" t="s">
        <v>154</v>
      </c>
    </row>
    <row r="28" spans="2:2">
      <c r="B28" s="75" t="s">
        <v>155</v>
      </c>
    </row>
    <row r="29" spans="2:2">
      <c r="B29" t="s">
        <v>23</v>
      </c>
    </row>
    <row r="31" spans="2:2">
      <c r="B31" s="2" t="s">
        <v>149</v>
      </c>
    </row>
    <row r="32" spans="2:2">
      <c r="B32" s="10" t="s">
        <v>25</v>
      </c>
    </row>
    <row r="34" spans="1:2">
      <c r="B34" s="8" t="s">
        <v>3</v>
      </c>
    </row>
    <row r="35" spans="1:2">
      <c r="B35" t="s">
        <v>137</v>
      </c>
    </row>
    <row r="36" spans="1:2">
      <c r="B36" s="3">
        <v>2018</v>
      </c>
    </row>
    <row r="37" spans="1:2">
      <c r="A37" s="1"/>
      <c r="B37" t="s">
        <v>138</v>
      </c>
    </row>
    <row r="38" spans="1:2">
      <c r="B38" t="s">
        <v>139</v>
      </c>
    </row>
    <row r="39" spans="1:2">
      <c r="B39" t="s">
        <v>140</v>
      </c>
    </row>
    <row r="42" spans="1:2">
      <c r="A42" s="1" t="s">
        <v>143</v>
      </c>
    </row>
    <row r="43" spans="1:2">
      <c r="A43" t="s">
        <v>144</v>
      </c>
    </row>
    <row r="44" spans="1:2">
      <c r="A44" t="s">
        <v>145</v>
      </c>
    </row>
    <row r="45" spans="1:2">
      <c r="A45" t="s">
        <v>148</v>
      </c>
    </row>
    <row r="46" spans="1:2">
      <c r="A46" t="s">
        <v>163</v>
      </c>
    </row>
    <row r="47" spans="1:2">
      <c r="A47" t="s">
        <v>146</v>
      </c>
    </row>
    <row r="49" spans="1:1">
      <c r="A49" t="s">
        <v>142</v>
      </c>
    </row>
    <row r="50" spans="1:1">
      <c r="A50" t="s">
        <v>141</v>
      </c>
    </row>
    <row r="52" spans="1:1">
      <c r="A52" t="s">
        <v>147</v>
      </c>
    </row>
    <row r="54" spans="1:1">
      <c r="A54" t="s">
        <v>150</v>
      </c>
    </row>
  </sheetData>
  <hyperlinks>
    <hyperlink ref="B28" r:id="rId1" xr:uid="{00000000-0004-0000-0000-000002000000}"/>
    <hyperlink ref="B7" r:id="rId2" xr:uid="{ED2EAEC6-38B3-499B-BEFD-D4E2D7ED5FC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workbookViewId="0">
      <selection activeCell="H21" sqref="H21"/>
    </sheetView>
  </sheetViews>
  <sheetFormatPr defaultRowHeight="15"/>
  <cols>
    <col min="1" max="1" width="12.5703125" customWidth="1"/>
    <col min="2" max="2" width="14.5703125" customWidth="1"/>
    <col min="8" max="8" width="10.85546875" customWidth="1"/>
  </cols>
  <sheetData>
    <row r="1" spans="1:18">
      <c r="A1" s="1" t="s">
        <v>135</v>
      </c>
    </row>
    <row r="2" spans="1:18">
      <c r="A2" t="s">
        <v>40</v>
      </c>
      <c r="B2" s="73">
        <f>F18+O18</f>
        <v>101</v>
      </c>
      <c r="C2" t="s">
        <v>134</v>
      </c>
    </row>
    <row r="3" spans="1:18">
      <c r="A3" t="s">
        <v>41</v>
      </c>
      <c r="B3" s="73">
        <f>R18-B2</f>
        <v>1200</v>
      </c>
      <c r="C3" t="s">
        <v>67</v>
      </c>
    </row>
    <row r="4" spans="1:18">
      <c r="A4" s="10" t="s">
        <v>136</v>
      </c>
    </row>
    <row r="5" spans="1:18" ht="15.75" thickBot="1"/>
    <row r="6" spans="1:18" ht="15.75">
      <c r="A6" s="34"/>
      <c r="B6" s="35"/>
      <c r="C6" s="35"/>
      <c r="D6" s="36"/>
      <c r="E6" s="36"/>
      <c r="F6" s="36"/>
      <c r="G6" s="36"/>
      <c r="H6" s="36"/>
      <c r="I6" s="36"/>
      <c r="J6" s="36"/>
      <c r="K6" s="37"/>
      <c r="L6" s="36"/>
      <c r="M6" s="36"/>
      <c r="N6" s="36"/>
      <c r="O6" s="36"/>
      <c r="P6" s="36"/>
      <c r="Q6" s="36"/>
      <c r="R6" s="38"/>
    </row>
    <row r="7" spans="1:18" ht="15.75">
      <c r="A7" s="39"/>
      <c r="B7" s="40"/>
      <c r="C7" s="40" t="s">
        <v>110</v>
      </c>
      <c r="D7" s="40"/>
      <c r="E7" s="40"/>
      <c r="F7" s="40"/>
      <c r="G7" s="40"/>
      <c r="H7" s="40"/>
      <c r="I7" s="40"/>
      <c r="J7" s="40"/>
      <c r="K7" s="41" t="s">
        <v>110</v>
      </c>
      <c r="L7" s="40"/>
      <c r="M7" s="40"/>
      <c r="N7" s="40"/>
      <c r="O7" s="40"/>
      <c r="P7" s="40"/>
      <c r="Q7" s="40"/>
      <c r="R7" s="42"/>
    </row>
    <row r="8" spans="1:18" ht="15.75">
      <c r="A8" s="39"/>
      <c r="B8" s="43"/>
      <c r="C8" s="43"/>
      <c r="D8" s="43"/>
      <c r="E8" s="43"/>
      <c r="F8" s="43"/>
      <c r="G8" s="43"/>
      <c r="H8" s="44"/>
      <c r="I8" s="43"/>
      <c r="J8" s="43"/>
      <c r="K8" s="45"/>
      <c r="L8" s="43"/>
      <c r="M8" s="43"/>
      <c r="N8" s="43"/>
      <c r="O8" s="43"/>
      <c r="P8" s="43"/>
      <c r="Q8" s="43"/>
      <c r="R8" s="46"/>
    </row>
    <row r="9" spans="1:18" ht="15.75">
      <c r="A9" s="39"/>
      <c r="B9" s="40"/>
      <c r="C9" s="40" t="s">
        <v>111</v>
      </c>
      <c r="D9" s="40"/>
      <c r="E9" s="40"/>
      <c r="F9" s="40"/>
      <c r="G9" s="40"/>
      <c r="H9" s="40"/>
      <c r="I9" s="40"/>
      <c r="J9" s="40"/>
      <c r="K9" s="41" t="s">
        <v>111</v>
      </c>
      <c r="L9" s="40"/>
      <c r="M9" s="40"/>
      <c r="N9" s="40"/>
      <c r="O9" s="40"/>
      <c r="P9" s="40"/>
      <c r="Q9" s="40"/>
      <c r="R9" s="42"/>
    </row>
    <row r="10" spans="1:18">
      <c r="A10" s="39"/>
      <c r="B10" s="47"/>
      <c r="C10" s="47" t="s">
        <v>112</v>
      </c>
      <c r="D10" s="47"/>
      <c r="E10" s="47"/>
      <c r="F10" s="47"/>
      <c r="G10" s="47"/>
      <c r="H10" s="47"/>
      <c r="I10" s="47"/>
      <c r="J10" s="47"/>
      <c r="K10" s="48" t="s">
        <v>112</v>
      </c>
      <c r="L10" s="47"/>
      <c r="M10" s="47"/>
      <c r="N10" s="47"/>
      <c r="O10" s="47"/>
      <c r="P10" s="47"/>
      <c r="Q10" s="47"/>
      <c r="R10" s="49"/>
    </row>
    <row r="11" spans="1:18">
      <c r="A11" s="50"/>
      <c r="B11" s="51"/>
      <c r="C11" s="51" t="s">
        <v>113</v>
      </c>
      <c r="D11" s="52"/>
      <c r="E11" s="52"/>
      <c r="F11" s="52"/>
      <c r="G11" s="52"/>
      <c r="H11" s="52"/>
      <c r="I11" s="52"/>
      <c r="J11" s="52"/>
      <c r="K11" s="53" t="s">
        <v>113</v>
      </c>
      <c r="L11" s="52"/>
      <c r="M11" s="52"/>
      <c r="N11" s="52"/>
      <c r="O11" s="52"/>
      <c r="P11" s="52"/>
      <c r="Q11" s="52"/>
      <c r="R11" s="54"/>
    </row>
    <row r="12" spans="1:18">
      <c r="A12" s="103" t="s">
        <v>114</v>
      </c>
      <c r="B12" s="105" t="s">
        <v>115</v>
      </c>
      <c r="C12" s="108" t="s">
        <v>116</v>
      </c>
      <c r="D12" s="109"/>
      <c r="E12" s="109"/>
      <c r="F12" s="109"/>
      <c r="G12" s="109"/>
      <c r="H12" s="109"/>
      <c r="I12" s="109"/>
      <c r="J12" s="110"/>
      <c r="K12" s="108" t="s">
        <v>117</v>
      </c>
      <c r="L12" s="109"/>
      <c r="M12" s="109"/>
      <c r="N12" s="109"/>
      <c r="O12" s="109"/>
      <c r="P12" s="109"/>
      <c r="Q12" s="110"/>
      <c r="R12" s="94" t="s">
        <v>118</v>
      </c>
    </row>
    <row r="13" spans="1:18">
      <c r="A13" s="103"/>
      <c r="B13" s="106"/>
      <c r="C13" s="97" t="s">
        <v>119</v>
      </c>
      <c r="D13" s="98"/>
      <c r="E13" s="98"/>
      <c r="F13" s="98"/>
      <c r="G13" s="98"/>
      <c r="H13" s="98"/>
      <c r="I13" s="98"/>
      <c r="J13" s="99"/>
      <c r="K13" s="97" t="s">
        <v>119</v>
      </c>
      <c r="L13" s="98"/>
      <c r="M13" s="98"/>
      <c r="N13" s="98"/>
      <c r="O13" s="98"/>
      <c r="P13" s="98"/>
      <c r="Q13" s="99"/>
      <c r="R13" s="95"/>
    </row>
    <row r="14" spans="1:18" ht="25.5">
      <c r="A14" s="103"/>
      <c r="B14" s="106"/>
      <c r="C14" s="100" t="s">
        <v>120</v>
      </c>
      <c r="D14" s="100" t="s">
        <v>121</v>
      </c>
      <c r="E14" s="100" t="s">
        <v>122</v>
      </c>
      <c r="F14" s="100" t="s">
        <v>123</v>
      </c>
      <c r="G14" s="100" t="s">
        <v>124</v>
      </c>
      <c r="H14" s="100" t="s">
        <v>125</v>
      </c>
      <c r="I14" s="100" t="s">
        <v>126</v>
      </c>
      <c r="J14" s="55" t="s">
        <v>118</v>
      </c>
      <c r="K14" s="100" t="s">
        <v>127</v>
      </c>
      <c r="L14" s="100" t="s">
        <v>128</v>
      </c>
      <c r="M14" s="100" t="s">
        <v>129</v>
      </c>
      <c r="N14" s="100" t="s">
        <v>130</v>
      </c>
      <c r="O14" s="100" t="s">
        <v>131</v>
      </c>
      <c r="P14" s="56" t="s">
        <v>126</v>
      </c>
      <c r="Q14" s="57" t="s">
        <v>118</v>
      </c>
      <c r="R14" s="95"/>
    </row>
    <row r="15" spans="1:18">
      <c r="A15" s="103"/>
      <c r="B15" s="106"/>
      <c r="C15" s="101"/>
      <c r="D15" s="101"/>
      <c r="E15" s="101"/>
      <c r="F15" s="101"/>
      <c r="G15" s="101"/>
      <c r="H15" s="101"/>
      <c r="I15" s="101"/>
      <c r="J15" s="55"/>
      <c r="K15" s="101"/>
      <c r="L15" s="101"/>
      <c r="M15" s="101"/>
      <c r="N15" s="101"/>
      <c r="O15" s="101"/>
      <c r="P15" s="58"/>
      <c r="Q15" s="59"/>
      <c r="R15" s="95"/>
    </row>
    <row r="16" spans="1:18">
      <c r="A16" s="104"/>
      <c r="B16" s="107"/>
      <c r="C16" s="102"/>
      <c r="D16" s="102"/>
      <c r="E16" s="102"/>
      <c r="F16" s="102"/>
      <c r="G16" s="102"/>
      <c r="H16" s="102"/>
      <c r="I16" s="102"/>
      <c r="J16" s="60"/>
      <c r="K16" s="102"/>
      <c r="L16" s="102"/>
      <c r="M16" s="102"/>
      <c r="N16" s="102"/>
      <c r="O16" s="102"/>
      <c r="P16" s="61"/>
      <c r="Q16" s="62"/>
      <c r="R16" s="96"/>
    </row>
    <row r="17" spans="1:18">
      <c r="A17" s="63">
        <v>1</v>
      </c>
      <c r="B17" s="64">
        <v>2</v>
      </c>
      <c r="C17" s="65">
        <v>3</v>
      </c>
      <c r="D17" s="65">
        <v>4</v>
      </c>
      <c r="E17" s="65">
        <v>5</v>
      </c>
      <c r="F17" s="65">
        <v>6</v>
      </c>
      <c r="G17" s="65">
        <v>7</v>
      </c>
      <c r="H17" s="65">
        <v>8</v>
      </c>
      <c r="I17" s="65">
        <v>9</v>
      </c>
      <c r="J17" s="66">
        <v>10</v>
      </c>
      <c r="K17" s="65">
        <v>11</v>
      </c>
      <c r="L17" s="65">
        <v>12</v>
      </c>
      <c r="M17" s="65">
        <v>13</v>
      </c>
      <c r="N17" s="65">
        <v>14</v>
      </c>
      <c r="O17" s="65">
        <v>15</v>
      </c>
      <c r="P17" s="65">
        <v>16</v>
      </c>
      <c r="Q17" s="66">
        <v>17</v>
      </c>
      <c r="R17" s="67">
        <v>18</v>
      </c>
    </row>
    <row r="18" spans="1:18">
      <c r="A18" s="68">
        <v>2016</v>
      </c>
      <c r="B18" s="69" t="s">
        <v>132</v>
      </c>
      <c r="C18" s="70">
        <v>586</v>
      </c>
      <c r="D18" s="70">
        <v>37</v>
      </c>
      <c r="E18" s="70">
        <v>22</v>
      </c>
      <c r="F18" s="70">
        <v>96</v>
      </c>
      <c r="G18" s="70">
        <v>100</v>
      </c>
      <c r="H18" s="70">
        <v>57</v>
      </c>
      <c r="I18" s="70" t="s">
        <v>133</v>
      </c>
      <c r="J18" s="71">
        <f>SUM(C18:I18)</f>
        <v>898</v>
      </c>
      <c r="K18" s="70">
        <v>155</v>
      </c>
      <c r="L18" s="70">
        <v>85</v>
      </c>
      <c r="M18" s="70">
        <v>128</v>
      </c>
      <c r="N18" s="70">
        <v>30</v>
      </c>
      <c r="O18" s="70">
        <v>5</v>
      </c>
      <c r="P18" s="70">
        <v>0</v>
      </c>
      <c r="Q18" s="70">
        <f>SUM(K18:P18)</f>
        <v>403</v>
      </c>
      <c r="R18" s="72">
        <f>(J18+Q18)</f>
        <v>1301</v>
      </c>
    </row>
    <row r="20" spans="1:18">
      <c r="C20" s="73"/>
      <c r="J20" s="73"/>
    </row>
  </sheetData>
  <mergeCells count="19">
    <mergeCell ref="A12:A16"/>
    <mergeCell ref="B12:B16"/>
    <mergeCell ref="C12:J12"/>
    <mergeCell ref="K12:Q12"/>
    <mergeCell ref="R12:R16"/>
    <mergeCell ref="C13:J13"/>
    <mergeCell ref="K13:Q13"/>
    <mergeCell ref="C14:C16"/>
    <mergeCell ref="D14:D16"/>
    <mergeCell ref="E14:E16"/>
    <mergeCell ref="M14:M16"/>
    <mergeCell ref="N14:N16"/>
    <mergeCell ref="O14:O16"/>
    <mergeCell ref="F14:F16"/>
    <mergeCell ref="G14:G16"/>
    <mergeCell ref="H14:H16"/>
    <mergeCell ref="I14:I16"/>
    <mergeCell ref="K14:K16"/>
    <mergeCell ref="L14:L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selection activeCell="B20" sqref="B20"/>
    </sheetView>
  </sheetViews>
  <sheetFormatPr defaultRowHeight="15"/>
  <cols>
    <col min="1" max="1" width="27.28515625" customWidth="1"/>
    <col min="2" max="2" width="10" bestFit="1" customWidth="1"/>
  </cols>
  <sheetData>
    <row r="1" spans="1:3">
      <c r="A1" t="s">
        <v>153</v>
      </c>
    </row>
    <row r="2" spans="1:3">
      <c r="A2" t="s">
        <v>97</v>
      </c>
      <c r="B2">
        <v>620</v>
      </c>
    </row>
    <row r="5" spans="1:3">
      <c r="A5" t="s">
        <v>98</v>
      </c>
      <c r="B5">
        <f>105.35*10^6</f>
        <v>105350000</v>
      </c>
    </row>
    <row r="6" spans="1:3">
      <c r="A6" t="s">
        <v>99</v>
      </c>
    </row>
    <row r="8" spans="1:3">
      <c r="A8" t="s">
        <v>14</v>
      </c>
      <c r="B8">
        <f>(6.05+14.26)*10^5</f>
        <v>2030999.9999999998</v>
      </c>
    </row>
    <row r="12" spans="1:3">
      <c r="A12" t="s">
        <v>15</v>
      </c>
      <c r="B12">
        <f>'India AVLo'!B4</f>
        <v>155</v>
      </c>
      <c r="C12" t="s">
        <v>16</v>
      </c>
    </row>
    <row r="13" spans="1:3">
      <c r="A13" t="s">
        <v>17</v>
      </c>
      <c r="B13">
        <f>'India AVLo'!C4</f>
        <v>17.34</v>
      </c>
      <c r="C13" t="s">
        <v>16</v>
      </c>
    </row>
    <row r="16" spans="1:3">
      <c r="A16" t="s">
        <v>18</v>
      </c>
      <c r="B16">
        <f>B5/B12</f>
        <v>679677.41935483867</v>
      </c>
    </row>
    <row r="17" spans="1:4">
      <c r="A17" t="s">
        <v>19</v>
      </c>
      <c r="B17" s="6">
        <f>B8/B13</f>
        <v>117128.02768166088</v>
      </c>
    </row>
    <row r="20" spans="1:4">
      <c r="A20" t="s">
        <v>20</v>
      </c>
      <c r="B20" s="6">
        <f>B2*(B16/SUM(B16:B17))</f>
        <v>528.86184647366849</v>
      </c>
    </row>
    <row r="21" spans="1:4">
      <c r="A21" t="s">
        <v>21</v>
      </c>
      <c r="B21" s="6">
        <f>B2*(B17/SUM(B16:B17))</f>
        <v>91.138153526331578</v>
      </c>
      <c r="D2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53"/>
  <sheetViews>
    <sheetView topLeftCell="A43" workbookViewId="0">
      <selection activeCell="D68" sqref="D68"/>
    </sheetView>
  </sheetViews>
  <sheetFormatPr defaultRowHeight="15"/>
  <cols>
    <col min="1" max="1" width="11.7109375" customWidth="1"/>
    <col min="2" max="2" width="10" bestFit="1" customWidth="1"/>
    <col min="6" max="9" width="16.7109375" customWidth="1"/>
    <col min="10" max="10" width="20.140625" customWidth="1"/>
    <col min="11" max="11" width="14.140625" customWidth="1"/>
    <col min="12" max="12" width="17.140625" customWidth="1"/>
    <col min="13" max="13" width="14.5703125" customWidth="1"/>
    <col min="14" max="15" width="10.42578125" customWidth="1"/>
  </cols>
  <sheetData>
    <row r="1" spans="8:18">
      <c r="K1" s="2" t="s">
        <v>100</v>
      </c>
      <c r="L1" s="4"/>
      <c r="M1" s="4"/>
      <c r="N1" s="4"/>
      <c r="O1" s="4"/>
      <c r="P1" s="4"/>
    </row>
    <row r="2" spans="8:18">
      <c r="K2" s="11" t="s">
        <v>26</v>
      </c>
      <c r="L2" s="12"/>
      <c r="M2" s="13"/>
      <c r="N2" s="14"/>
      <c r="O2" s="14"/>
      <c r="P2" s="15"/>
    </row>
    <row r="3" spans="8:18">
      <c r="K3" s="82" t="s">
        <v>27</v>
      </c>
      <c r="L3" s="82" t="s">
        <v>28</v>
      </c>
      <c r="M3" s="82" t="s">
        <v>29</v>
      </c>
      <c r="N3" s="83"/>
      <c r="O3" s="83">
        <v>2021</v>
      </c>
      <c r="P3" s="84">
        <v>2020</v>
      </c>
      <c r="Q3" s="84">
        <v>2022</v>
      </c>
      <c r="R3" s="1"/>
    </row>
    <row r="4" spans="8:18">
      <c r="K4" s="76" t="s">
        <v>30</v>
      </c>
      <c r="L4" s="76" t="s">
        <v>31</v>
      </c>
      <c r="M4" s="77" t="s">
        <v>158</v>
      </c>
      <c r="N4" s="85"/>
      <c r="O4" s="85">
        <f>AVERAGE(P4,Q4)</f>
        <v>104.74412535343794</v>
      </c>
      <c r="P4" s="86">
        <v>112.33148104789421</v>
      </c>
      <c r="Q4" s="86">
        <v>97.156769658981673</v>
      </c>
    </row>
    <row r="5" spans="8:18">
      <c r="K5" s="76"/>
      <c r="L5" s="76"/>
      <c r="M5" s="77" t="s">
        <v>159</v>
      </c>
      <c r="N5" s="85"/>
      <c r="O5" s="85">
        <f t="shared" ref="O5:O22" si="0">AVERAGE(P5,Q5)</f>
        <v>2.0377197166191792</v>
      </c>
      <c r="P5" s="86">
        <v>1.8296891955271379</v>
      </c>
      <c r="Q5" s="86">
        <v>2.2457502377112206</v>
      </c>
    </row>
    <row r="6" spans="8:18">
      <c r="K6" s="76"/>
      <c r="L6" s="76"/>
      <c r="M6" s="77" t="s">
        <v>160</v>
      </c>
      <c r="N6" s="85"/>
      <c r="O6" s="85">
        <f t="shared" si="0"/>
        <v>0.92532263866839159</v>
      </c>
      <c r="P6" s="86">
        <v>0.19440447702475838</v>
      </c>
      <c r="Q6" s="86">
        <v>1.6562408003120248</v>
      </c>
    </row>
    <row r="7" spans="8:18">
      <c r="K7" s="76"/>
      <c r="L7" s="76"/>
      <c r="M7" s="77" t="s">
        <v>35</v>
      </c>
      <c r="N7" s="85"/>
      <c r="O7" s="85">
        <f t="shared" si="0"/>
        <v>0</v>
      </c>
      <c r="P7" s="86">
        <v>0</v>
      </c>
      <c r="Q7" s="86">
        <v>0</v>
      </c>
    </row>
    <row r="8" spans="8:18">
      <c r="H8" s="5" t="s">
        <v>74</v>
      </c>
      <c r="I8" s="5" t="s">
        <v>75</v>
      </c>
      <c r="K8" s="76"/>
      <c r="L8" s="76" t="s">
        <v>161</v>
      </c>
      <c r="M8" s="77" t="s">
        <v>158</v>
      </c>
      <c r="N8" s="85"/>
      <c r="O8" s="85">
        <f t="shared" si="0"/>
        <v>11.252819894556255</v>
      </c>
      <c r="P8" s="86">
        <v>11.982278595144958</v>
      </c>
      <c r="Q8" s="86">
        <v>10.523361193967553</v>
      </c>
    </row>
    <row r="9" spans="8:18">
      <c r="H9">
        <v>1632594</v>
      </c>
      <c r="I9" s="23" t="s">
        <v>69</v>
      </c>
      <c r="J9" t="s">
        <v>84</v>
      </c>
      <c r="K9" s="76"/>
      <c r="L9" s="76"/>
      <c r="M9" s="77" t="s">
        <v>159</v>
      </c>
      <c r="N9" s="85"/>
      <c r="O9" s="85">
        <f t="shared" si="0"/>
        <v>0.21700054907896946</v>
      </c>
      <c r="P9" s="86">
        <v>0.19483379829503997</v>
      </c>
      <c r="Q9" s="86">
        <v>0.23916729986289895</v>
      </c>
    </row>
    <row r="10" spans="8:18">
      <c r="H10">
        <v>5826471</v>
      </c>
      <c r="I10" s="23" t="s">
        <v>69</v>
      </c>
      <c r="J10" t="s">
        <v>83</v>
      </c>
      <c r="K10" s="76"/>
      <c r="L10" s="76" t="s">
        <v>36</v>
      </c>
      <c r="M10" s="77" t="s">
        <v>158</v>
      </c>
      <c r="N10" s="85"/>
      <c r="O10" s="85">
        <f t="shared" si="0"/>
        <v>284.06234460149028</v>
      </c>
      <c r="P10" s="86">
        <v>303.59966407909599</v>
      </c>
      <c r="Q10" s="86">
        <v>264.52502512388457</v>
      </c>
    </row>
    <row r="11" spans="8:18">
      <c r="H11">
        <v>6829196</v>
      </c>
      <c r="I11" s="23" t="s">
        <v>70</v>
      </c>
      <c r="J11" t="s">
        <v>82</v>
      </c>
      <c r="K11" s="76"/>
      <c r="L11" s="76"/>
      <c r="M11" s="77" t="s">
        <v>159</v>
      </c>
      <c r="N11" s="85"/>
      <c r="O11" s="85">
        <f t="shared" si="0"/>
        <v>6.7071769119231872</v>
      </c>
      <c r="P11" s="86">
        <v>6.2289631530384897</v>
      </c>
      <c r="Q11" s="86">
        <v>7.1853906708078847</v>
      </c>
    </row>
    <row r="12" spans="8:18">
      <c r="H12">
        <v>1817717</v>
      </c>
      <c r="I12" s="23" t="s">
        <v>71</v>
      </c>
      <c r="J12" t="s">
        <v>81</v>
      </c>
      <c r="K12" s="76"/>
      <c r="L12" s="76"/>
      <c r="M12" s="77" t="s">
        <v>160</v>
      </c>
      <c r="N12" s="85"/>
      <c r="O12" s="85">
        <f t="shared" si="0"/>
        <v>3.5299488209865602</v>
      </c>
      <c r="P12" s="86">
        <v>1.6195304197900073</v>
      </c>
      <c r="Q12" s="86">
        <v>5.440367222183113</v>
      </c>
    </row>
    <row r="13" spans="8:18">
      <c r="I13" s="23" t="s">
        <v>76</v>
      </c>
      <c r="K13" s="76"/>
      <c r="L13" s="76"/>
      <c r="M13" s="77" t="s">
        <v>35</v>
      </c>
      <c r="N13" s="85"/>
      <c r="O13" s="85">
        <f t="shared" si="0"/>
        <v>0</v>
      </c>
      <c r="P13" s="86">
        <v>0</v>
      </c>
      <c r="Q13" s="86">
        <v>0</v>
      </c>
    </row>
    <row r="14" spans="8:18">
      <c r="I14" s="23" t="s">
        <v>76</v>
      </c>
      <c r="K14" s="87"/>
      <c r="L14" s="87"/>
      <c r="M14" s="88" t="s">
        <v>162</v>
      </c>
      <c r="N14" s="89"/>
      <c r="O14" s="85">
        <f t="shared" si="0"/>
        <v>0</v>
      </c>
      <c r="P14" s="90">
        <v>0</v>
      </c>
      <c r="Q14" s="90">
        <v>0</v>
      </c>
    </row>
    <row r="15" spans="8:18">
      <c r="I15" s="23" t="s">
        <v>76</v>
      </c>
      <c r="K15" s="76"/>
      <c r="L15" s="76" t="s">
        <v>37</v>
      </c>
      <c r="M15" s="77" t="s">
        <v>158</v>
      </c>
      <c r="N15" s="85"/>
      <c r="O15" s="85">
        <f t="shared" si="0"/>
        <v>980.75769960136677</v>
      </c>
      <c r="P15" s="86">
        <v>1056.5782761040491</v>
      </c>
      <c r="Q15" s="86">
        <v>904.93712309868454</v>
      </c>
    </row>
    <row r="16" spans="8:18">
      <c r="I16" s="23" t="s">
        <v>76</v>
      </c>
      <c r="K16" s="76"/>
      <c r="L16" s="76"/>
      <c r="M16" s="77" t="s">
        <v>160</v>
      </c>
      <c r="N16" s="85"/>
      <c r="O16" s="85">
        <f t="shared" si="0"/>
        <v>30.008640551160532</v>
      </c>
      <c r="P16" s="86">
        <v>9.5955645660307187</v>
      </c>
      <c r="Q16" s="86">
        <v>50.421716536290347</v>
      </c>
    </row>
    <row r="17" spans="8:17">
      <c r="I17" s="23" t="s">
        <v>76</v>
      </c>
      <c r="K17" s="76"/>
      <c r="L17" s="76" t="s">
        <v>38</v>
      </c>
      <c r="M17" s="77" t="s">
        <v>158</v>
      </c>
      <c r="N17" s="85"/>
      <c r="O17" s="85">
        <f t="shared" si="0"/>
        <v>170.32435090852658</v>
      </c>
      <c r="P17" s="86">
        <v>186.11609283155451</v>
      </c>
      <c r="Q17" s="86">
        <v>154.53260898549865</v>
      </c>
    </row>
    <row r="18" spans="8:17">
      <c r="H18">
        <v>1723423</v>
      </c>
      <c r="I18" s="23" t="s">
        <v>72</v>
      </c>
      <c r="J18" t="s">
        <v>79</v>
      </c>
      <c r="K18" s="76"/>
      <c r="L18" s="76"/>
      <c r="M18" s="77" t="s">
        <v>159</v>
      </c>
      <c r="N18" s="85"/>
      <c r="O18" s="85">
        <f t="shared" si="0"/>
        <v>40.782362600960042</v>
      </c>
      <c r="P18" s="86">
        <v>43.819154446090913</v>
      </c>
      <c r="Q18" s="86">
        <v>37.745570755829178</v>
      </c>
    </row>
    <row r="19" spans="8:17">
      <c r="I19" s="23" t="s">
        <v>76</v>
      </c>
      <c r="K19" s="76"/>
      <c r="L19" s="76"/>
      <c r="M19" s="77" t="s">
        <v>160</v>
      </c>
      <c r="N19" s="85"/>
      <c r="O19" s="85">
        <f t="shared" si="0"/>
        <v>5.1108518527659692</v>
      </c>
      <c r="P19" s="86">
        <v>0.69188138599090909</v>
      </c>
      <c r="Q19" s="86">
        <v>9.5298223195410294</v>
      </c>
    </row>
    <row r="20" spans="8:17">
      <c r="I20" s="23" t="s">
        <v>76</v>
      </c>
      <c r="K20" s="76"/>
      <c r="L20" s="76" t="s">
        <v>39</v>
      </c>
      <c r="M20" s="77" t="s">
        <v>158</v>
      </c>
      <c r="N20" s="85"/>
      <c r="O20" s="85">
        <f t="shared" si="0"/>
        <v>82.801942761484483</v>
      </c>
      <c r="P20" s="86">
        <v>89.801520396853277</v>
      </c>
      <c r="Q20" s="86">
        <v>75.802365126115689</v>
      </c>
    </row>
    <row r="21" spans="8:17">
      <c r="I21" s="23" t="s">
        <v>76</v>
      </c>
      <c r="K21" s="76"/>
      <c r="L21" s="76"/>
      <c r="M21" s="77" t="s">
        <v>159</v>
      </c>
      <c r="N21" s="85"/>
      <c r="O21" s="85">
        <f t="shared" si="0"/>
        <v>3.5168945969112677</v>
      </c>
      <c r="P21" s="86">
        <v>3.7468038133661534</v>
      </c>
      <c r="Q21" s="86">
        <v>3.2869853804563816</v>
      </c>
    </row>
    <row r="22" spans="8:17">
      <c r="H22">
        <v>3458917</v>
      </c>
      <c r="I22" s="23" t="s">
        <v>151</v>
      </c>
      <c r="J22" t="s">
        <v>78</v>
      </c>
      <c r="K22" s="76"/>
      <c r="L22" s="76"/>
      <c r="M22" s="77" t="s">
        <v>160</v>
      </c>
      <c r="N22" s="85"/>
      <c r="O22" s="85">
        <f t="shared" si="0"/>
        <v>0.85648543246402853</v>
      </c>
      <c r="P22" s="86">
        <v>0.12177112393439997</v>
      </c>
      <c r="Q22" s="86">
        <v>1.5911997409936571</v>
      </c>
    </row>
    <row r="23" spans="8:17">
      <c r="I23" s="23" t="s">
        <v>76</v>
      </c>
      <c r="K23" s="33"/>
      <c r="L23" s="33"/>
      <c r="M23" s="91"/>
      <c r="N23" s="92"/>
      <c r="O23" s="92"/>
      <c r="P23" s="27"/>
    </row>
    <row r="24" spans="8:17">
      <c r="I24" s="23" t="s">
        <v>76</v>
      </c>
      <c r="K24" s="33"/>
      <c r="L24" s="33"/>
      <c r="M24" s="91"/>
      <c r="N24" s="92"/>
      <c r="O24" s="92"/>
      <c r="P24" s="27"/>
    </row>
    <row r="25" spans="8:17">
      <c r="H25">
        <v>8202990</v>
      </c>
      <c r="I25" s="23" t="s">
        <v>71</v>
      </c>
      <c r="J25" t="s">
        <v>80</v>
      </c>
      <c r="K25" s="33"/>
      <c r="L25" s="33"/>
      <c r="M25" s="93"/>
      <c r="N25" s="92"/>
      <c r="O25" s="92"/>
      <c r="P25" s="27"/>
    </row>
    <row r="26" spans="8:17">
      <c r="H26">
        <v>54372</v>
      </c>
      <c r="I26" s="23" t="s">
        <v>77</v>
      </c>
      <c r="J26" t="s">
        <v>85</v>
      </c>
      <c r="K26" s="33"/>
      <c r="L26" s="33"/>
      <c r="M26" s="93"/>
      <c r="N26" s="92"/>
      <c r="O26" s="92"/>
    </row>
    <row r="27" spans="8:17">
      <c r="I27" s="23" t="s">
        <v>76</v>
      </c>
    </row>
    <row r="28" spans="8:17">
      <c r="I28" s="23" t="s">
        <v>76</v>
      </c>
    </row>
    <row r="29" spans="8:17">
      <c r="I29" s="23" t="s">
        <v>76</v>
      </c>
      <c r="K29" s="2" t="s">
        <v>47</v>
      </c>
      <c r="L29" s="4"/>
      <c r="M29" s="4"/>
      <c r="N29" s="4"/>
      <c r="O29" s="4"/>
      <c r="P29" s="4"/>
    </row>
    <row r="30" spans="8:17">
      <c r="I30" s="23" t="s">
        <v>76</v>
      </c>
      <c r="K30" s="16" t="s">
        <v>27</v>
      </c>
      <c r="L30" s="16" t="s">
        <v>44</v>
      </c>
      <c r="M30" s="16" t="s">
        <v>29</v>
      </c>
      <c r="N30" s="17">
        <v>2007</v>
      </c>
      <c r="O30" s="1">
        <v>2021</v>
      </c>
      <c r="P30" s="18">
        <v>2020</v>
      </c>
      <c r="Q30" s="1">
        <v>2022</v>
      </c>
    </row>
    <row r="31" spans="8:17">
      <c r="H31">
        <v>243682349</v>
      </c>
      <c r="I31" s="23" t="s">
        <v>77</v>
      </c>
      <c r="J31" t="s">
        <v>86</v>
      </c>
      <c r="K31" s="76" t="s">
        <v>30</v>
      </c>
      <c r="L31" s="76" t="s">
        <v>45</v>
      </c>
      <c r="M31" s="77" t="s">
        <v>32</v>
      </c>
      <c r="N31" s="78"/>
      <c r="O31" s="81">
        <f t="shared" ref="O31:O36" si="1">AVERAGE(P31,Q31)</f>
        <v>275.00462735910941</v>
      </c>
      <c r="P31" s="79">
        <v>272.50350329668049</v>
      </c>
      <c r="Q31" s="79">
        <v>277.50575142153832</v>
      </c>
    </row>
    <row r="32" spans="8:17">
      <c r="H32">
        <v>37729158</v>
      </c>
      <c r="I32" s="23" t="s">
        <v>73</v>
      </c>
      <c r="J32" t="s">
        <v>87</v>
      </c>
      <c r="K32" s="76"/>
      <c r="L32" s="76"/>
      <c r="M32" s="80" t="s">
        <v>157</v>
      </c>
      <c r="N32" s="78"/>
      <c r="O32" s="81">
        <f t="shared" si="1"/>
        <v>2.1713300531385471</v>
      </c>
      <c r="P32" s="79">
        <v>0.9651836008146889</v>
      </c>
      <c r="Q32" s="79">
        <v>3.3774765054624054</v>
      </c>
    </row>
    <row r="33" spans="1:17">
      <c r="I33" s="23" t="s">
        <v>76</v>
      </c>
      <c r="K33" s="76"/>
      <c r="L33" s="76"/>
      <c r="M33" s="80" t="s">
        <v>34</v>
      </c>
      <c r="N33" s="78"/>
      <c r="O33" s="81">
        <f t="shared" si="1"/>
        <v>0</v>
      </c>
      <c r="P33" s="79">
        <v>0</v>
      </c>
      <c r="Q33" s="79">
        <v>0</v>
      </c>
    </row>
    <row r="34" spans="1:17">
      <c r="H34">
        <v>471815</v>
      </c>
      <c r="I34" s="23" t="s">
        <v>72</v>
      </c>
      <c r="J34" t="s">
        <v>88</v>
      </c>
      <c r="K34" s="76"/>
      <c r="L34" s="76" t="s">
        <v>46</v>
      </c>
      <c r="M34" s="80" t="s">
        <v>32</v>
      </c>
      <c r="N34" s="78"/>
      <c r="O34" s="81">
        <f t="shared" si="1"/>
        <v>171.1175232012468</v>
      </c>
      <c r="P34" s="79">
        <v>169.70198722559434</v>
      </c>
      <c r="Q34" s="79">
        <v>172.53305917689926</v>
      </c>
    </row>
    <row r="35" spans="1:17">
      <c r="I35" s="23" t="s">
        <v>76</v>
      </c>
      <c r="K35" s="76"/>
      <c r="L35" s="76"/>
      <c r="M35" s="80" t="s">
        <v>33</v>
      </c>
      <c r="N35" s="78"/>
      <c r="O35" s="81">
        <f t="shared" si="1"/>
        <v>5.1470583168784421</v>
      </c>
      <c r="P35" s="79">
        <v>3.4633058617468238</v>
      </c>
      <c r="Q35" s="79">
        <v>6.8308107720100599</v>
      </c>
    </row>
    <row r="36" spans="1:17">
      <c r="I36" s="23" t="s">
        <v>76</v>
      </c>
      <c r="K36" s="76"/>
      <c r="L36" s="76"/>
      <c r="M36" s="80" t="s">
        <v>34</v>
      </c>
      <c r="N36" s="78"/>
      <c r="O36" s="81">
        <f t="shared" si="1"/>
        <v>1.3220924074858182</v>
      </c>
      <c r="P36" s="79">
        <v>0</v>
      </c>
      <c r="Q36" s="79">
        <v>2.6441848149716365</v>
      </c>
    </row>
    <row r="37" spans="1:17">
      <c r="I37" s="23" t="s">
        <v>76</v>
      </c>
    </row>
    <row r="38" spans="1:17">
      <c r="I38" s="23" t="s">
        <v>76</v>
      </c>
    </row>
    <row r="39" spans="1:17">
      <c r="I39" s="23" t="s">
        <v>76</v>
      </c>
    </row>
    <row r="40" spans="1:17">
      <c r="K40" s="4"/>
      <c r="L40" s="4"/>
    </row>
    <row r="41" spans="1:17">
      <c r="K41" s="3" t="s">
        <v>90</v>
      </c>
      <c r="L41" s="3" t="s">
        <v>91</v>
      </c>
    </row>
    <row r="42" spans="1:17">
      <c r="A42" s="2" t="s">
        <v>68</v>
      </c>
      <c r="B42" s="4"/>
      <c r="C42" s="4"/>
      <c r="E42" s="2" t="s">
        <v>42</v>
      </c>
      <c r="F42" s="4"/>
      <c r="G42" s="4"/>
      <c r="H42" s="4"/>
      <c r="I42" s="4"/>
      <c r="J42" s="4"/>
      <c r="K42" s="19"/>
      <c r="L42" s="28">
        <f>J44</f>
        <v>0</v>
      </c>
      <c r="M42" s="28"/>
    </row>
    <row r="43" spans="1:17">
      <c r="B43" s="1" t="s">
        <v>40</v>
      </c>
      <c r="C43" s="1" t="s">
        <v>41</v>
      </c>
      <c r="F43" s="3" t="s">
        <v>4</v>
      </c>
      <c r="G43" s="3" t="s">
        <v>5</v>
      </c>
      <c r="H43" s="3" t="s">
        <v>6</v>
      </c>
      <c r="I43" s="3" t="s">
        <v>7</v>
      </c>
      <c r="J43" s="3" t="s">
        <v>8</v>
      </c>
      <c r="K43" s="28"/>
      <c r="L43" s="28">
        <f>K43</f>
        <v>0</v>
      </c>
      <c r="M43" s="28"/>
    </row>
    <row r="44" spans="1:17">
      <c r="A44" s="1" t="s">
        <v>9</v>
      </c>
      <c r="B44">
        <f>SUMIFS($H$9:$H$39,$I$9:$I$39,"Psgr LDV")</f>
        <v>37729158</v>
      </c>
      <c r="C44">
        <f>SUMIFS($H$9:$H$39,$I$9:$I$39,"Frgt LDV")</f>
        <v>6829196</v>
      </c>
      <c r="E44" s="1" t="s">
        <v>9</v>
      </c>
      <c r="F44" s="19">
        <f>O12/SUM(O10:O14)</f>
        <v>1.1994411056790654E-2</v>
      </c>
      <c r="G44" s="19">
        <f>O11/SUM(O10:O14)</f>
        <v>2.2790312548990003E-2</v>
      </c>
      <c r="H44" s="19">
        <f>O10/SUM(O10:O14)</f>
        <v>0.96521527639421945</v>
      </c>
      <c r="I44" s="19"/>
      <c r="J44" s="19">
        <v>0</v>
      </c>
      <c r="K44" s="28"/>
      <c r="L44" s="28">
        <f>K44</f>
        <v>0</v>
      </c>
      <c r="M44" s="28"/>
    </row>
    <row r="45" spans="1:17">
      <c r="A45" s="1" t="s">
        <v>10</v>
      </c>
      <c r="B45">
        <f>SUMIFS($H$9:$H$39,$I$9:$I$39,"Psgr HDV")</f>
        <v>2195238</v>
      </c>
      <c r="C45">
        <f>SUMIFS($H$9:$H$39,$I$9:$I$39,"Frgt HDV")</f>
        <v>7459065</v>
      </c>
      <c r="E45" s="1" t="s">
        <v>10</v>
      </c>
      <c r="F45" s="19">
        <f>O6/SUM(O4:O9)</f>
        <v>7.7642727259177027E-3</v>
      </c>
      <c r="G45" s="19">
        <f>(O5+O9)/SUM(O4:O9)</f>
        <v>1.8919090846763319E-2</v>
      </c>
      <c r="H45" s="19"/>
      <c r="I45" s="19">
        <f>(O4+O8)/SUM(O4:O9)</f>
        <v>0.97331663642731892</v>
      </c>
      <c r="J45" s="19">
        <v>0</v>
      </c>
      <c r="K45" s="19"/>
      <c r="L45" s="19">
        <v>0</v>
      </c>
      <c r="M45" s="28"/>
    </row>
    <row r="46" spans="1:17">
      <c r="A46" s="1" t="s">
        <v>13</v>
      </c>
      <c r="B46">
        <f>SUMIFS($H$9:$H$39,$I$9:$I$39,"Psgr Mtrbk")</f>
        <v>243736721</v>
      </c>
      <c r="C46">
        <f>SUMIFS($H$9:$H$39,$I$9:$I$39,"Frgt Mtrbk")</f>
        <v>10020707</v>
      </c>
      <c r="E46" s="1" t="s">
        <v>13</v>
      </c>
      <c r="F46" s="19">
        <f>O16/SUM(O15:O16)</f>
        <v>2.9688998692449682E-2</v>
      </c>
      <c r="G46" s="19"/>
      <c r="H46" s="19">
        <f>O15/SUM(O15,O16)</f>
        <v>0.97031100130755032</v>
      </c>
      <c r="I46" s="19">
        <v>0</v>
      </c>
      <c r="J46" s="19">
        <v>0</v>
      </c>
      <c r="M46" s="28"/>
    </row>
    <row r="47" spans="1:17">
      <c r="A47" s="1" t="s">
        <v>78</v>
      </c>
      <c r="B47">
        <f>SUMIFS($H$9:$H$39,$I$9:$I$39,"Taxi")</f>
        <v>3458917</v>
      </c>
      <c r="E47" s="1" t="s">
        <v>152</v>
      </c>
      <c r="F47" s="19">
        <f>O22/SUM(O20:O22)</f>
        <v>9.8248610391590066E-3</v>
      </c>
      <c r="G47" s="19">
        <f>O21/SUM(O20:O22)</f>
        <v>4.0342776881349379E-2</v>
      </c>
      <c r="H47" s="19"/>
      <c r="I47" s="19">
        <f>O20/SUM(O20:O22)</f>
        <v>0.94983236207949162</v>
      </c>
      <c r="J47" s="19">
        <v>0</v>
      </c>
      <c r="K47" s="4"/>
      <c r="L47" s="4"/>
      <c r="M47" s="28"/>
    </row>
    <row r="48" spans="1:17">
      <c r="K48" s="3" t="s">
        <v>90</v>
      </c>
      <c r="L48" s="3" t="s">
        <v>91</v>
      </c>
      <c r="M48" s="28"/>
    </row>
    <row r="49" spans="5:13">
      <c r="E49" s="2" t="s">
        <v>43</v>
      </c>
      <c r="F49" s="4"/>
      <c r="G49" s="4"/>
      <c r="H49" s="4"/>
      <c r="I49" s="4"/>
      <c r="J49" s="4"/>
      <c r="K49" s="28"/>
      <c r="L49" s="28">
        <f>K49</f>
        <v>0</v>
      </c>
      <c r="M49" s="28"/>
    </row>
    <row r="50" spans="5:13">
      <c r="F50" s="3" t="s">
        <v>4</v>
      </c>
      <c r="G50" s="3" t="s">
        <v>5</v>
      </c>
      <c r="H50" s="3" t="s">
        <v>6</v>
      </c>
      <c r="I50" s="3" t="s">
        <v>7</v>
      </c>
      <c r="J50" s="3" t="s">
        <v>8</v>
      </c>
      <c r="K50" s="28"/>
      <c r="L50" s="28">
        <f>K50</f>
        <v>0</v>
      </c>
      <c r="M50" s="28"/>
    </row>
    <row r="51" spans="5:13">
      <c r="E51" s="1" t="s">
        <v>9</v>
      </c>
      <c r="F51" s="19">
        <f>O36/(SUM(O34:O36))</f>
        <v>7.4447726186911249E-3</v>
      </c>
      <c r="G51" s="19">
        <f>O35/(SUM(O34:O36))</f>
        <v>2.8983358959887292E-2</v>
      </c>
      <c r="H51" s="19">
        <v>0</v>
      </c>
      <c r="I51" s="19">
        <f>O34/(SUM(O34:O36))</f>
        <v>0.96357186842142162</v>
      </c>
      <c r="J51" s="19">
        <v>0</v>
      </c>
      <c r="K51" s="19"/>
      <c r="L51" s="28">
        <f>J53</f>
        <v>0</v>
      </c>
    </row>
    <row r="52" spans="5:13">
      <c r="E52" s="1" t="s">
        <v>10</v>
      </c>
      <c r="F52" s="19">
        <f>O33/SUM(O31:O33)</f>
        <v>0</v>
      </c>
      <c r="G52" s="19">
        <f>O32/SUM(O31:O33)</f>
        <v>7.8337604509798632E-3</v>
      </c>
      <c r="H52" s="19"/>
      <c r="I52" s="19">
        <f>O31/SUM(O31:O33)</f>
        <v>0.99216623954902017</v>
      </c>
      <c r="J52" s="19">
        <v>0</v>
      </c>
    </row>
    <row r="53" spans="5:13">
      <c r="E53" s="1" t="s">
        <v>13</v>
      </c>
      <c r="F53">
        <f>O19/(SUM(O17:O19))</f>
        <v>2.3637542325496121E-2</v>
      </c>
      <c r="G53" s="19">
        <f>O18/SUM(O17:O19)</f>
        <v>0.18861725009544417</v>
      </c>
      <c r="H53" s="19">
        <f>O17/SUM(O17:O19)</f>
        <v>0.78774520757905986</v>
      </c>
      <c r="I53" s="19">
        <v>0</v>
      </c>
      <c r="J53" s="19">
        <v>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>
      <selection activeCell="H16" sqref="H16"/>
    </sheetView>
  </sheetViews>
  <sheetFormatPr defaultRowHeight="15"/>
  <cols>
    <col min="1" max="1" width="22" customWidth="1"/>
    <col min="4" max="4" width="21.7109375" customWidth="1"/>
    <col min="6" max="6" width="18" customWidth="1"/>
    <col min="7" max="7" width="15" customWidth="1"/>
    <col min="8" max="8" width="17.7109375" customWidth="1"/>
  </cols>
  <sheetData>
    <row r="1" spans="1:10">
      <c r="A1" s="2" t="s">
        <v>156</v>
      </c>
      <c r="B1" s="4"/>
    </row>
    <row r="2" spans="1:10">
      <c r="A2" t="s">
        <v>53</v>
      </c>
      <c r="B2">
        <v>39</v>
      </c>
    </row>
    <row r="3" spans="1:10">
      <c r="A3" t="s">
        <v>54</v>
      </c>
      <c r="B3">
        <v>4747</v>
      </c>
    </row>
    <row r="4" spans="1:10">
      <c r="A4" t="s">
        <v>55</v>
      </c>
      <c r="B4">
        <v>8429</v>
      </c>
    </row>
    <row r="5" spans="1:10">
      <c r="A5" t="s">
        <v>92</v>
      </c>
      <c r="B5">
        <f>SUM(B2:B4)</f>
        <v>13215</v>
      </c>
    </row>
    <row r="7" spans="1:10">
      <c r="A7" s="2" t="s">
        <v>52</v>
      </c>
      <c r="B7" s="4"/>
      <c r="E7" s="2" t="s">
        <v>101</v>
      </c>
      <c r="F7" s="4"/>
      <c r="G7" s="4"/>
      <c r="H7" s="4"/>
    </row>
    <row r="8" spans="1:10">
      <c r="A8" t="s">
        <v>48</v>
      </c>
      <c r="B8">
        <v>74744</v>
      </c>
      <c r="E8" s="11" t="s">
        <v>26</v>
      </c>
      <c r="F8" s="12"/>
      <c r="G8" s="13"/>
      <c r="H8" s="15"/>
    </row>
    <row r="9" spans="1:10">
      <c r="A9" t="s">
        <v>49</v>
      </c>
      <c r="B9">
        <v>318896</v>
      </c>
      <c r="E9" s="16" t="s">
        <v>27</v>
      </c>
      <c r="F9" s="16" t="s">
        <v>28</v>
      </c>
      <c r="G9" s="16" t="s">
        <v>29</v>
      </c>
      <c r="H9" s="18">
        <v>2021</v>
      </c>
      <c r="I9" s="1">
        <v>2020</v>
      </c>
      <c r="J9" s="1">
        <v>2022</v>
      </c>
    </row>
    <row r="10" spans="1:10">
      <c r="E10" s="29" t="s">
        <v>102</v>
      </c>
      <c r="F10" s="29" t="s">
        <v>103</v>
      </c>
      <c r="G10" s="30" t="s">
        <v>32</v>
      </c>
      <c r="H10" s="26">
        <f>AVERAGE(I10,J10)</f>
        <v>0.34499999999999997</v>
      </c>
      <c r="I10">
        <v>0.42</v>
      </c>
      <c r="J10">
        <v>0.27</v>
      </c>
    </row>
    <row r="11" spans="1:10">
      <c r="A11" s="2" t="s">
        <v>51</v>
      </c>
      <c r="B11" s="4"/>
      <c r="E11" s="12" t="s">
        <v>102</v>
      </c>
      <c r="F11" s="12" t="s">
        <v>103</v>
      </c>
      <c r="G11" s="13" t="s">
        <v>34</v>
      </c>
      <c r="H11" s="26">
        <f>AVERAGE(I11,J11)</f>
        <v>0.65</v>
      </c>
      <c r="I11">
        <v>0.63</v>
      </c>
      <c r="J11">
        <v>0.67</v>
      </c>
    </row>
    <row r="12" spans="1:10">
      <c r="A12" s="1" t="s">
        <v>50</v>
      </c>
      <c r="E12" s="12" t="s">
        <v>102</v>
      </c>
      <c r="F12" s="12" t="s">
        <v>104</v>
      </c>
      <c r="G12" s="13" t="s">
        <v>32</v>
      </c>
      <c r="H12" s="26">
        <v>0.1</v>
      </c>
    </row>
    <row r="13" spans="1:10">
      <c r="A13" t="s">
        <v>40</v>
      </c>
      <c r="B13" s="20">
        <v>10</v>
      </c>
      <c r="E13" s="31" t="s">
        <v>102</v>
      </c>
      <c r="F13" s="31" t="s">
        <v>104</v>
      </c>
      <c r="G13" s="32" t="s">
        <v>34</v>
      </c>
      <c r="H13" s="26">
        <v>0.3</v>
      </c>
    </row>
    <row r="14" spans="1:10">
      <c r="A14" t="s">
        <v>41</v>
      </c>
      <c r="B14" s="20">
        <v>50</v>
      </c>
    </row>
    <row r="15" spans="1:10">
      <c r="E15" s="33" t="s">
        <v>106</v>
      </c>
      <c r="G15" s="6">
        <f>B23*(H10/SUM(H10:H11))</f>
        <v>2472.3901351241461</v>
      </c>
    </row>
    <row r="16" spans="1:10">
      <c r="A16" s="22" t="s">
        <v>60</v>
      </c>
      <c r="B16" s="21"/>
      <c r="E16" s="33" t="s">
        <v>105</v>
      </c>
      <c r="G16" s="6">
        <f>B23*(H11/SUM(H10:H11))</f>
        <v>4658.1263415382473</v>
      </c>
      <c r="H16" s="6"/>
    </row>
    <row r="17" spans="1:7">
      <c r="A17" s="1" t="s">
        <v>59</v>
      </c>
    </row>
    <row r="18" spans="1:7">
      <c r="A18" t="s">
        <v>40</v>
      </c>
      <c r="B18" s="6">
        <f>B8/B13</f>
        <v>7474.4</v>
      </c>
      <c r="E18" s="33" t="s">
        <v>107</v>
      </c>
      <c r="G18" s="6">
        <f>B24*(H12/SUM(H12:H13))</f>
        <v>1521.1208808344018</v>
      </c>
    </row>
    <row r="19" spans="1:7">
      <c r="A19" t="s">
        <v>41</v>
      </c>
      <c r="B19" s="6">
        <f>B9/B14</f>
        <v>6377.92</v>
      </c>
      <c r="E19" s="33" t="s">
        <v>108</v>
      </c>
      <c r="G19" s="6">
        <f>B24*(H13/SUM(H12:H13))</f>
        <v>4563.3626425032044</v>
      </c>
    </row>
    <row r="20" spans="1:7">
      <c r="G20" s="6"/>
    </row>
    <row r="22" spans="1:7">
      <c r="A22" s="1" t="s">
        <v>56</v>
      </c>
    </row>
    <row r="23" spans="1:7">
      <c r="A23" t="s">
        <v>57</v>
      </c>
      <c r="B23" s="6">
        <f>SUM(B2:B4)*B18/SUM(B18:B19)</f>
        <v>7130.516476662393</v>
      </c>
    </row>
    <row r="24" spans="1:7">
      <c r="A24" t="s">
        <v>58</v>
      </c>
      <c r="B24" s="6">
        <f>SUM(B2:B4)*B19/SUM(B18:B19)</f>
        <v>6084.483523337607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>
      <selection activeCell="D20" sqref="D20"/>
    </sheetView>
  </sheetViews>
  <sheetFormatPr defaultRowHeight="15"/>
  <cols>
    <col min="1" max="1" width="12.42578125" customWidth="1"/>
    <col min="2" max="2" width="15.28515625" customWidth="1"/>
  </cols>
  <sheetData>
    <row r="1" spans="1:3" ht="30">
      <c r="A1" s="24" t="s">
        <v>93</v>
      </c>
      <c r="B1" t="s">
        <v>94</v>
      </c>
      <c r="C1" t="s">
        <v>95</v>
      </c>
    </row>
    <row r="2" spans="1:3">
      <c r="A2" s="1" t="s">
        <v>9</v>
      </c>
      <c r="B2" s="27">
        <v>3</v>
      </c>
      <c r="C2">
        <v>1.7</v>
      </c>
    </row>
    <row r="3" spans="1:3">
      <c r="A3" s="1" t="s">
        <v>10</v>
      </c>
      <c r="B3">
        <v>41</v>
      </c>
      <c r="C3">
        <v>6.0999999999999979</v>
      </c>
    </row>
    <row r="4" spans="1:3">
      <c r="A4" s="1" t="s">
        <v>2</v>
      </c>
      <c r="B4">
        <v>155</v>
      </c>
      <c r="C4">
        <v>17.34</v>
      </c>
    </row>
    <row r="5" spans="1:3">
      <c r="A5" s="1" t="s">
        <v>11</v>
      </c>
      <c r="B5">
        <v>1000</v>
      </c>
      <c r="C5">
        <v>1728</v>
      </c>
    </row>
    <row r="6" spans="1:3">
      <c r="A6" s="1" t="s">
        <v>12</v>
      </c>
      <c r="B6" s="27">
        <v>3</v>
      </c>
      <c r="C6" s="27">
        <v>1974.4736422180429</v>
      </c>
    </row>
    <row r="7" spans="1:3">
      <c r="A7" s="1" t="s">
        <v>13</v>
      </c>
      <c r="B7">
        <v>2</v>
      </c>
      <c r="C7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J10"/>
  <sheetViews>
    <sheetView workbookViewId="0">
      <selection activeCell="B6" sqref="B6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6" width="23.28515625" customWidth="1"/>
    <col min="7" max="7" width="19.28515625" customWidth="1"/>
    <col min="8" max="8" width="16.42578125" bestFit="1" customWidth="1"/>
  </cols>
  <sheetData>
    <row r="1" spans="1:10" ht="30">
      <c r="A1" s="24" t="s">
        <v>89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90</v>
      </c>
      <c r="H1" s="5" t="s">
        <v>91</v>
      </c>
    </row>
    <row r="2" spans="1:10">
      <c r="A2" s="1" t="s">
        <v>9</v>
      </c>
      <c r="B2" s="6">
        <f>'India Road'!$B44*'India Road'!F44</f>
        <v>452539.02987860155</v>
      </c>
      <c r="C2" s="6">
        <f>'India Road'!$B44*'India Road'!G44</f>
        <v>859859.30303022661</v>
      </c>
      <c r="D2" s="6">
        <f>'India Road'!$B44*'India Road'!H44</f>
        <v>36416759.667091176</v>
      </c>
      <c r="E2" s="6">
        <f>'India Road'!$B44*'India Road'!I44</f>
        <v>0</v>
      </c>
      <c r="F2" s="6">
        <f>'India Road'!$B44*'India Road'!J44</f>
        <v>0</v>
      </c>
      <c r="G2" s="6">
        <f>'India Road'!$B44*'India Road'!K42</f>
        <v>0</v>
      </c>
      <c r="H2" s="6">
        <f>'India Road'!$B44*'India Road'!L42</f>
        <v>0</v>
      </c>
      <c r="J2" s="6"/>
    </row>
    <row r="3" spans="1:10">
      <c r="A3" s="1" t="s">
        <v>10</v>
      </c>
      <c r="B3" s="6">
        <f>'India Road'!$B45*'India Road'!F45</f>
        <v>17044.426530298126</v>
      </c>
      <c r="C3" s="6">
        <f>'India Road'!$B45*'India Road'!G45</f>
        <v>41531.907152267013</v>
      </c>
      <c r="D3" s="6">
        <f>'India Road'!$B45*'India Road'!H45</f>
        <v>0</v>
      </c>
      <c r="E3" s="6">
        <f>'India Road'!$B45*'India Road'!I45</f>
        <v>2136661.6663174345</v>
      </c>
      <c r="F3" s="6">
        <f>'India Road'!$B45*'India Road'!J45</f>
        <v>0</v>
      </c>
      <c r="G3" s="6">
        <f>'India Road'!$B45*'India Road'!K43</f>
        <v>0</v>
      </c>
      <c r="H3" s="6">
        <f>'India Road'!$B45*'India Road'!L43</f>
        <v>0</v>
      </c>
      <c r="J3" s="6"/>
    </row>
    <row r="4" spans="1:10">
      <c r="A4" s="1" t="s">
        <v>2</v>
      </c>
      <c r="B4" s="6">
        <v>0</v>
      </c>
      <c r="C4" s="6">
        <v>0</v>
      </c>
      <c r="D4" s="6">
        <v>0</v>
      </c>
      <c r="E4" s="6">
        <f>'India Aircraft'!B20</f>
        <v>528.86184647366849</v>
      </c>
      <c r="F4" s="6">
        <v>0</v>
      </c>
      <c r="G4" s="6">
        <v>0</v>
      </c>
      <c r="H4" s="6">
        <v>0</v>
      </c>
      <c r="J4" s="6"/>
    </row>
    <row r="5" spans="1:10">
      <c r="A5" s="1" t="s">
        <v>11</v>
      </c>
      <c r="B5" s="6">
        <f>'India Rail'!G16</f>
        <v>4658.1263415382473</v>
      </c>
      <c r="C5" s="6">
        <v>0</v>
      </c>
      <c r="D5" s="6">
        <v>0</v>
      </c>
      <c r="E5" s="6">
        <f>'India Rail'!G15</f>
        <v>2472.3901351241461</v>
      </c>
      <c r="F5" s="6">
        <v>0</v>
      </c>
      <c r="G5" s="6">
        <v>0</v>
      </c>
      <c r="H5" s="6">
        <v>0</v>
      </c>
      <c r="J5" s="6"/>
    </row>
    <row r="6" spans="1:10">
      <c r="A6" s="1" t="s">
        <v>12</v>
      </c>
      <c r="B6" s="6">
        <f>'India Road'!$B$47*'India Road'!F47</f>
        <v>33983.37887098475</v>
      </c>
      <c r="C6" s="6">
        <f>'India Road'!$B$47*'India Road'!G47</f>
        <v>139542.31678210635</v>
      </c>
      <c r="D6" s="6">
        <f>'India Road'!$B$47*'India Road'!H47</f>
        <v>0</v>
      </c>
      <c r="E6" s="6">
        <f>'India Road'!$B$47*'India Road'!I47+'India Road'!$B$47*'India Road'!K45</f>
        <v>3285391.3043469088</v>
      </c>
      <c r="F6" s="6">
        <f>'India Road'!$B$47*'India Road'!J47</f>
        <v>0</v>
      </c>
      <c r="G6" s="6">
        <v>0</v>
      </c>
      <c r="H6" s="6">
        <f>'India Road'!$B$47*'India Road'!L45</f>
        <v>0</v>
      </c>
      <c r="J6" s="6"/>
    </row>
    <row r="7" spans="1:10">
      <c r="A7" s="1" t="s">
        <v>13</v>
      </c>
      <c r="B7" s="6">
        <f>'India Road'!$B46*'India Road'!F46</f>
        <v>7236299.1910709729</v>
      </c>
      <c r="C7" s="6">
        <f>'India Road'!$B46*'India Road'!G46</f>
        <v>0</v>
      </c>
      <c r="D7" s="6">
        <f>'India Road'!$B46*'India Road'!H46</f>
        <v>236500421.80892903</v>
      </c>
      <c r="E7" s="6">
        <f>'India Road'!$B46*'India Road'!I46</f>
        <v>0</v>
      </c>
      <c r="F7" s="6">
        <f>'India Road'!$B46*'India Road'!J46</f>
        <v>0</v>
      </c>
      <c r="G7" s="6">
        <f>'India Road'!$B46*'India Road'!K44</f>
        <v>0</v>
      </c>
      <c r="H7" s="6">
        <f>'India Road'!$B46*'India Road'!L44</f>
        <v>0</v>
      </c>
      <c r="J7" s="6"/>
    </row>
    <row r="10" spans="1:10">
      <c r="B10" s="6"/>
      <c r="C10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H7"/>
  <sheetViews>
    <sheetView tabSelected="1" workbookViewId="0">
      <selection activeCell="B13" sqref="B13"/>
    </sheetView>
  </sheetViews>
  <sheetFormatPr defaultRowHeight="15"/>
  <cols>
    <col min="1" max="1" width="16.85546875" customWidth="1"/>
    <col min="2" max="2" width="24.5703125" customWidth="1"/>
    <col min="3" max="3" width="20.85546875" customWidth="1"/>
    <col min="4" max="4" width="18.28515625" customWidth="1"/>
    <col min="5" max="5" width="17.140625" customWidth="1"/>
    <col min="6" max="6" width="23.28515625" customWidth="1"/>
    <col min="7" max="7" width="15.7109375" customWidth="1"/>
    <col min="8" max="8" width="16.42578125" bestFit="1" customWidth="1"/>
  </cols>
  <sheetData>
    <row r="1" spans="1:8" ht="30">
      <c r="A1" s="24" t="s">
        <v>89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90</v>
      </c>
      <c r="H1" s="5" t="s">
        <v>91</v>
      </c>
    </row>
    <row r="2" spans="1:8">
      <c r="A2" s="1" t="s">
        <v>9</v>
      </c>
      <c r="B2">
        <f>'India Road'!$C44*'India Road'!F51</f>
        <v>50841.811388474955</v>
      </c>
      <c r="C2">
        <f>'India Road'!$C44*'India Road'!G51</f>
        <v>197933.03907542647</v>
      </c>
      <c r="D2">
        <f>'India Road'!$C44*'India Road'!H51</f>
        <v>0</v>
      </c>
      <c r="E2">
        <f>'India Road'!$C44*'India Road'!I51</f>
        <v>6580421.1495360993</v>
      </c>
      <c r="F2">
        <f>'India Road'!$C44*'India Road'!J51</f>
        <v>0</v>
      </c>
      <c r="G2">
        <f>'India Road'!$C44*'India Road'!K49</f>
        <v>0</v>
      </c>
      <c r="H2">
        <f>'India Road'!$C44*'India Road'!L49</f>
        <v>0</v>
      </c>
    </row>
    <row r="3" spans="1:8">
      <c r="A3" s="1" t="s">
        <v>10</v>
      </c>
      <c r="B3">
        <f>'India Road'!$C45*'India Road'!$F45</f>
        <v>57914.21494034733</v>
      </c>
      <c r="C3">
        <f>'India Road'!$C45*'India Road'!G52</f>
        <v>58432.528398288116</v>
      </c>
      <c r="D3">
        <f>'India Road'!$C45*'India Road'!H52</f>
        <v>0</v>
      </c>
      <c r="E3">
        <f>'India Road'!$C45*'India Road'!I52</f>
        <v>7400632.4716017125</v>
      </c>
      <c r="F3">
        <f>'India Road'!$C45*'India Road'!J52</f>
        <v>0</v>
      </c>
      <c r="G3">
        <f>'India Road'!$C45*'India Road'!K50</f>
        <v>0</v>
      </c>
      <c r="H3">
        <f>'India Road'!$C45*'India Road'!L50</f>
        <v>0</v>
      </c>
    </row>
    <row r="4" spans="1:8">
      <c r="A4" s="1" t="s">
        <v>2</v>
      </c>
      <c r="B4">
        <v>0</v>
      </c>
      <c r="C4">
        <v>0</v>
      </c>
      <c r="D4">
        <v>0</v>
      </c>
      <c r="E4" s="6">
        <f>'India Aircraft'!B21</f>
        <v>91.138153526331578</v>
      </c>
      <c r="F4">
        <v>0</v>
      </c>
      <c r="G4" s="74">
        <v>0</v>
      </c>
      <c r="H4">
        <v>0</v>
      </c>
    </row>
    <row r="5" spans="1:8">
      <c r="A5" s="1" t="s">
        <v>11</v>
      </c>
      <c r="B5" s="6">
        <f>'India Rail'!G19</f>
        <v>4563.3626425032044</v>
      </c>
      <c r="C5">
        <v>0</v>
      </c>
      <c r="D5">
        <v>0</v>
      </c>
      <c r="E5" s="6">
        <f>'India Rail'!G18</f>
        <v>1521.1208808344018</v>
      </c>
      <c r="F5">
        <v>0</v>
      </c>
      <c r="G5" s="6">
        <v>0</v>
      </c>
      <c r="H5">
        <v>0</v>
      </c>
    </row>
    <row r="6" spans="1:8">
      <c r="A6" s="1" t="s">
        <v>12</v>
      </c>
      <c r="B6">
        <v>0</v>
      </c>
      <c r="C6">
        <v>0</v>
      </c>
      <c r="D6">
        <v>0</v>
      </c>
      <c r="E6" s="6">
        <f>'India Ships'!B3</f>
        <v>1200</v>
      </c>
      <c r="F6">
        <v>0</v>
      </c>
      <c r="G6" s="6">
        <v>0</v>
      </c>
      <c r="H6">
        <v>0</v>
      </c>
    </row>
    <row r="7" spans="1:8">
      <c r="A7" s="1" t="s">
        <v>13</v>
      </c>
      <c r="B7" s="6">
        <f>'India Road'!$C46*'India Road'!F53</f>
        <v>236864.88584389526</v>
      </c>
      <c r="C7" s="6">
        <f>'India Road'!$C46*'India Road'!G53</f>
        <v>1890078.1983521681</v>
      </c>
      <c r="D7" s="6">
        <f>'India Road'!$C46*'India Road'!H53</f>
        <v>7893763.9158039382</v>
      </c>
      <c r="E7" s="6">
        <f>'India Road'!$C46*'India Road'!I53</f>
        <v>0</v>
      </c>
      <c r="F7" s="6">
        <f>'India Road'!$C46*'India Road'!J53</f>
        <v>0</v>
      </c>
      <c r="G7" s="6">
        <f>'India Road'!$C46*'India Road'!K51</f>
        <v>0</v>
      </c>
      <c r="H7" s="6">
        <f>'India Road'!$C46*'India Road'!L51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7142FF-FCDE-4CC8-827E-CAAB249CB84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6EAEE0-4D4F-49E7-9D11-1D73A6408EFE}"/>
</file>

<file path=customXml/itemProps3.xml><?xml version="1.0" encoding="utf-8"?>
<ds:datastoreItem xmlns:ds="http://schemas.openxmlformats.org/officeDocument/2006/customXml" ds:itemID="{CC2D0672-FB43-49F4-ADEB-74A3154171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India Ships</vt:lpstr>
      <vt:lpstr>India Aircraft</vt:lpstr>
      <vt:lpstr>India Road</vt:lpstr>
      <vt:lpstr>India Rail</vt:lpstr>
      <vt:lpstr>India AVLo</vt:lpstr>
      <vt:lpstr>SYVbT-passenger</vt:lpstr>
      <vt:lpstr>SYVbT-freight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Mary Francis Swint</cp:lastModifiedBy>
  <cp:revision/>
  <dcterms:created xsi:type="dcterms:W3CDTF">2017-06-22T21:46:10Z</dcterms:created>
  <dcterms:modified xsi:type="dcterms:W3CDTF">2024-07-30T13:52:22Z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