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india\InputData\bldgs\BDESC\"/>
    </mc:Choice>
  </mc:AlternateContent>
  <xr:revisionPtr revIDLastSave="0" documentId="13_ncr:1_{75A6DE20-10F1-4DD7-8B74-7428FC133F13}" xr6:coauthVersionLast="47" xr6:coauthVersionMax="47" xr10:uidLastSave="{00000000-0000-0000-0000-000000000000}"/>
  <bookViews>
    <workbookView xWindow="28680" yWindow="-120" windowWidth="29040" windowHeight="17520" tabRatio="670" xr2:uid="{00000000-000D-0000-FFFF-FFFF00000000}"/>
  </bookViews>
  <sheets>
    <sheet name="About" sheetId="1" r:id="rId1"/>
    <sheet name="India Dist Solar PV Data" sheetId="13" r:id="rId2"/>
    <sheet name="AC DC Derate Factor" sheetId="14" r:id="rId3"/>
    <sheet name="DSCF" sheetId="15" r:id="rId4"/>
    <sheet name="Back up generators" sheetId="16" r:id="rId5"/>
    <sheet name="BDESC-urban-residential" sheetId="6" r:id="rId6"/>
    <sheet name="BDESC-rural-residential" sheetId="10" r:id="rId7"/>
    <sheet name="BDESC-commercial" sheetId="7" r:id="rId8"/>
  </sheets>
  <externalReferences>
    <externalReference r:id="rId9"/>
    <externalReference r:id="rId10"/>
    <externalReference r:id="rId11"/>
  </externalReferences>
  <definedNames>
    <definedName name="BTU_per_GWh">'[1]Conversion Factors'!$A$3</definedName>
    <definedName name="BTU_per_PJ">'[1]Conversion Factors'!$A$6</definedName>
    <definedName name="BTU_per_thousand_tons_kerosene">'[1]Conversion Factors'!$A$21</definedName>
    <definedName name="BTU_per_thousand_tons_LPG">'[1]Conversion Factors'!$A$14</definedName>
    <definedName name="INRLac">[2]Conversions!$E$113</definedName>
    <definedName name="plantsize.iv.a">'[3]India Data'!$E$99</definedName>
    <definedName name="Preferences.PowerUnits">[2]Preferences!$C$5</definedName>
    <definedName name="Unit.kW">[2]Conversions!$F$57</definedName>
    <definedName name="Unit.MW">[2]Conversions!$F$56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" i="6" l="1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AT8" i="10"/>
  <c r="AU8" i="10"/>
  <c r="AV8" i="10"/>
  <c r="AW8" i="10"/>
  <c r="AX8" i="10"/>
  <c r="AY8" i="10"/>
  <c r="AZ8" i="10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AX47" i="13"/>
  <c r="AY47" i="13"/>
  <c r="AZ47" i="13"/>
  <c r="BA47" i="13"/>
  <c r="BB47" i="13"/>
  <c r="BC47" i="13"/>
  <c r="BD47" i="13"/>
  <c r="AK46" i="13"/>
  <c r="AL46" i="13"/>
  <c r="AM46" i="13"/>
  <c r="AN46" i="13"/>
  <c r="AO46" i="13"/>
  <c r="AP46" i="13"/>
  <c r="AQ46" i="13"/>
  <c r="AR46" i="13"/>
  <c r="AS46" i="13"/>
  <c r="AT46" i="13"/>
  <c r="AU46" i="13"/>
  <c r="AV46" i="13"/>
  <c r="AW46" i="13"/>
  <c r="AX46" i="13"/>
  <c r="AY46" i="13"/>
  <c r="AZ46" i="13"/>
  <c r="BA46" i="13"/>
  <c r="BB46" i="13"/>
  <c r="BC46" i="13"/>
  <c r="BD46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AX45" i="13"/>
  <c r="AY45" i="13"/>
  <c r="AZ45" i="13"/>
  <c r="BA45" i="13"/>
  <c r="BB45" i="13"/>
  <c r="BC45" i="13"/>
  <c r="BD45" i="13"/>
  <c r="AK58" i="13"/>
  <c r="AL58" i="13"/>
  <c r="AM58" i="13"/>
  <c r="AN58" i="13"/>
  <c r="AO58" i="13"/>
  <c r="AP58" i="13"/>
  <c r="AQ58" i="13"/>
  <c r="AR58" i="13"/>
  <c r="AS58" i="13"/>
  <c r="AT58" i="13"/>
  <c r="AU58" i="13"/>
  <c r="AV58" i="13"/>
  <c r="AW58" i="13"/>
  <c r="AX58" i="13"/>
  <c r="AY58" i="13"/>
  <c r="AZ58" i="13"/>
  <c r="BA58" i="13"/>
  <c r="BB58" i="13"/>
  <c r="BC58" i="13"/>
  <c r="BD58" i="13"/>
  <c r="AD12" i="7"/>
  <c r="AE12" i="7"/>
  <c r="AF12" i="7"/>
  <c r="C17" i="16" l="1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B17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R19" i="16"/>
  <c r="B18" i="16"/>
  <c r="B19" i="16" s="1"/>
  <c r="C18" i="16"/>
  <c r="C19" i="16" s="1"/>
  <c r="D18" i="16"/>
  <c r="D19" i="16" s="1"/>
  <c r="E18" i="16"/>
  <c r="E19" i="16" s="1"/>
  <c r="F18" i="16"/>
  <c r="F19" i="16" s="1"/>
  <c r="G18" i="16"/>
  <c r="G19" i="16" s="1"/>
  <c r="H18" i="16"/>
  <c r="H19" i="16" s="1"/>
  <c r="I18" i="16"/>
  <c r="I19" i="16" s="1"/>
  <c r="J18" i="16"/>
  <c r="J19" i="16" s="1"/>
  <c r="K18" i="16"/>
  <c r="K19" i="16" s="1"/>
  <c r="L18" i="16"/>
  <c r="L19" i="16" s="1"/>
  <c r="M18" i="16"/>
  <c r="M19" i="16" s="1"/>
  <c r="N18" i="16"/>
  <c r="N19" i="16" s="1"/>
  <c r="O18" i="16"/>
  <c r="O19" i="16" s="1"/>
  <c r="P18" i="16"/>
  <c r="P19" i="16" s="1"/>
  <c r="Q18" i="16"/>
  <c r="Q19" i="16" s="1"/>
  <c r="R18" i="16"/>
  <c r="S18" i="16"/>
  <c r="S19" i="16" s="1"/>
  <c r="T18" i="16"/>
  <c r="T19" i="16" s="1"/>
  <c r="U18" i="16"/>
  <c r="U19" i="16" s="1"/>
  <c r="V18" i="16"/>
  <c r="V19" i="16" s="1"/>
  <c r="W18" i="16"/>
  <c r="W19" i="16" s="1"/>
  <c r="X18" i="16"/>
  <c r="X19" i="16" s="1"/>
  <c r="Y18" i="16"/>
  <c r="Y19" i="16" s="1"/>
  <c r="Z18" i="16"/>
  <c r="Z19" i="16" s="1"/>
  <c r="AA18" i="16"/>
  <c r="AB18" i="16" s="1"/>
  <c r="AC18" i="16" s="1"/>
  <c r="AD18" i="16" s="1"/>
  <c r="AE18" i="16" s="1"/>
  <c r="AF18" i="16" s="1"/>
  <c r="AG18" i="16" s="1"/>
  <c r="AH18" i="16" s="1"/>
  <c r="AI18" i="16" s="1"/>
  <c r="AI19" i="16" s="1"/>
  <c r="AA16" i="16"/>
  <c r="AB16" i="16" s="1"/>
  <c r="AC16" i="16" s="1"/>
  <c r="AD16" i="16" s="1"/>
  <c r="AE16" i="16" s="1"/>
  <c r="AF16" i="16" s="1"/>
  <c r="AG16" i="16" s="1"/>
  <c r="AH16" i="16" s="1"/>
  <c r="AI16" i="16" s="1"/>
  <c r="AD19" i="16" l="1"/>
  <c r="AC19" i="16"/>
  <c r="AH19" i="16"/>
  <c r="AG19" i="16"/>
  <c r="AF19" i="16"/>
  <c r="AB19" i="16"/>
  <c r="AE19" i="16"/>
  <c r="AA19" i="16"/>
  <c r="B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C58" i="13"/>
  <c r="I14" i="13" l="1"/>
  <c r="H14" i="13"/>
  <c r="G14" i="13"/>
  <c r="F14" i="13"/>
  <c r="E14" i="13"/>
  <c r="D14" i="13"/>
  <c r="C14" i="13"/>
  <c r="B14" i="13"/>
  <c r="B41" i="13" l="1"/>
  <c r="B40" i="13" l="1"/>
  <c r="B39" i="13"/>
  <c r="D39" i="13"/>
  <c r="E39" i="13"/>
  <c r="F40" i="13"/>
  <c r="G40" i="13"/>
  <c r="H41" i="13"/>
  <c r="I41" i="13"/>
  <c r="C41" i="13"/>
  <c r="B47" i="13" s="1"/>
  <c r="AF47" i="13" l="1"/>
  <c r="AC8" i="7" s="1"/>
  <c r="AG47" i="13"/>
  <c r="AD8" i="7" s="1"/>
  <c r="AH47" i="13"/>
  <c r="AE8" i="7" s="1"/>
  <c r="AI47" i="13"/>
  <c r="AF8" i="7" s="1"/>
  <c r="AJ47" i="13"/>
  <c r="G41" i="13"/>
  <c r="Y47" i="13" s="1"/>
  <c r="V8" i="7" s="1"/>
  <c r="B64" i="13"/>
  <c r="E40" i="13"/>
  <c r="D40" i="13"/>
  <c r="I39" i="13"/>
  <c r="I40" i="13"/>
  <c r="G39" i="13"/>
  <c r="E41" i="13"/>
  <c r="C39" i="13"/>
  <c r="C45" i="13" s="1"/>
  <c r="D41" i="13"/>
  <c r="F47" i="13" s="1"/>
  <c r="C8" i="7" s="1"/>
  <c r="H39" i="13"/>
  <c r="AG45" i="13" s="1"/>
  <c r="F41" i="13"/>
  <c r="W47" i="13" s="1"/>
  <c r="T8" i="7" s="1"/>
  <c r="C40" i="13"/>
  <c r="D46" i="13" s="1"/>
  <c r="H40" i="13"/>
  <c r="AH46" i="13" s="1"/>
  <c r="AE8" i="10" s="1"/>
  <c r="F39" i="13"/>
  <c r="Q45" i="13" s="1"/>
  <c r="N8" i="6" s="1"/>
  <c r="U47" i="13"/>
  <c r="R8" i="7" s="1"/>
  <c r="G45" i="13"/>
  <c r="D8" i="6" s="1"/>
  <c r="H45" i="13"/>
  <c r="E8" i="6" s="1"/>
  <c r="AF45" i="13"/>
  <c r="G46" i="13"/>
  <c r="H47" i="13"/>
  <c r="E8" i="7" s="1"/>
  <c r="Z47" i="13"/>
  <c r="W8" i="7" s="1"/>
  <c r="AA47" i="13"/>
  <c r="X8" i="7" s="1"/>
  <c r="AB47" i="13"/>
  <c r="Y8" i="7" s="1"/>
  <c r="AD47" i="13"/>
  <c r="AA8" i="7" s="1"/>
  <c r="AC47" i="13"/>
  <c r="Z8" i="7" s="1"/>
  <c r="AE47" i="13"/>
  <c r="AB8" i="7" s="1"/>
  <c r="T46" i="13"/>
  <c r="S46" i="13"/>
  <c r="U46" i="13"/>
  <c r="V46" i="13"/>
  <c r="W46" i="13"/>
  <c r="M45" i="13"/>
  <c r="J8" i="6" s="1"/>
  <c r="I45" i="13"/>
  <c r="J45" i="13"/>
  <c r="K45" i="13"/>
  <c r="L45" i="13"/>
  <c r="L46" i="13" l="1"/>
  <c r="AA45" i="13"/>
  <c r="Z45" i="13"/>
  <c r="Y46" i="13"/>
  <c r="AC45" i="13"/>
  <c r="X45" i="13"/>
  <c r="Y45" i="13"/>
  <c r="AI45" i="13"/>
  <c r="AE45" i="13"/>
  <c r="AF46" i="13"/>
  <c r="AJ46" i="13"/>
  <c r="AB45" i="13"/>
  <c r="AH45" i="13"/>
  <c r="AJ45" i="13"/>
  <c r="N46" i="13"/>
  <c r="AD45" i="13"/>
  <c r="K46" i="13"/>
  <c r="AB46" i="13"/>
  <c r="C47" i="13"/>
  <c r="F46" i="13"/>
  <c r="F45" i="13"/>
  <c r="C8" i="6" s="1"/>
  <c r="AA46" i="13"/>
  <c r="AE46" i="13"/>
  <c r="AB8" i="10" s="1"/>
  <c r="X46" i="13"/>
  <c r="AC46" i="13"/>
  <c r="AG46" i="13"/>
  <c r="AD8" i="10" s="1"/>
  <c r="AI46" i="13"/>
  <c r="AF8" i="10" s="1"/>
  <c r="Z46" i="13"/>
  <c r="AD46" i="13"/>
  <c r="X47" i="13"/>
  <c r="U8" i="7" s="1"/>
  <c r="T45" i="13"/>
  <c r="O45" i="13"/>
  <c r="O46" i="13"/>
  <c r="I46" i="13"/>
  <c r="Q46" i="13"/>
  <c r="M46" i="13"/>
  <c r="J46" i="13"/>
  <c r="R46" i="13"/>
  <c r="P46" i="13"/>
  <c r="E47" i="13"/>
  <c r="B8" i="7" s="1"/>
  <c r="G47" i="13"/>
  <c r="D8" i="7" s="1"/>
  <c r="I47" i="13"/>
  <c r="F8" i="7" s="1"/>
  <c r="D47" i="13"/>
  <c r="H46" i="13"/>
  <c r="D45" i="13"/>
  <c r="N47" i="13"/>
  <c r="K8" i="7" s="1"/>
  <c r="Q47" i="13"/>
  <c r="N8" i="7" s="1"/>
  <c r="B45" i="13"/>
  <c r="M47" i="13"/>
  <c r="J8" i="7" s="1"/>
  <c r="L47" i="13"/>
  <c r="I8" i="7" s="1"/>
  <c r="B46" i="13"/>
  <c r="K47" i="13"/>
  <c r="H8" i="7" s="1"/>
  <c r="P47" i="13"/>
  <c r="M8" i="7" s="1"/>
  <c r="T47" i="13"/>
  <c r="Q8" i="7" s="1"/>
  <c r="J47" i="13"/>
  <c r="G8" i="7" s="1"/>
  <c r="O47" i="13"/>
  <c r="L8" i="7" s="1"/>
  <c r="V47" i="13"/>
  <c r="S8" i="7" s="1"/>
  <c r="P45" i="13"/>
  <c r="S45" i="13"/>
  <c r="C46" i="13"/>
  <c r="W45" i="13"/>
  <c r="N45" i="13"/>
  <c r="V45" i="13"/>
  <c r="R45" i="13"/>
  <c r="U45" i="13"/>
  <c r="R8" i="6" s="1"/>
  <c r="E46" i="13"/>
  <c r="E45" i="13"/>
  <c r="R47" i="13"/>
  <c r="O8" i="7" s="1"/>
  <c r="S47" i="13"/>
  <c r="P8" i="7" s="1"/>
  <c r="AE64" i="13"/>
  <c r="M62" i="13"/>
  <c r="AE63" i="13"/>
  <c r="Q62" i="13"/>
  <c r="F64" i="13"/>
  <c r="H62" i="13"/>
  <c r="B8" i="6" l="1"/>
  <c r="E62" i="13"/>
  <c r="B62" i="13"/>
  <c r="B63" i="13"/>
  <c r="U62" i="13"/>
  <c r="N64" i="13"/>
  <c r="AF64" i="13"/>
  <c r="L8" i="10"/>
  <c r="O63" i="13"/>
  <c r="V64" i="13"/>
  <c r="W64" i="13"/>
  <c r="F8" i="6"/>
  <c r="I62" i="13"/>
  <c r="V8" i="10"/>
  <c r="Y63" i="13"/>
  <c r="S8" i="10"/>
  <c r="V63" i="13"/>
  <c r="Z8" i="6"/>
  <c r="AC62" i="13"/>
  <c r="O64" i="13"/>
  <c r="Y8" i="10"/>
  <c r="AB63" i="13"/>
  <c r="H8" i="10"/>
  <c r="K63" i="13"/>
  <c r="S8" i="6"/>
  <c r="V62" i="13"/>
  <c r="L8" i="6"/>
  <c r="O62" i="13"/>
  <c r="G8" i="10"/>
  <c r="J63" i="13"/>
  <c r="O8" i="6"/>
  <c r="R62" i="13"/>
  <c r="AG62" i="13"/>
  <c r="U8" i="10"/>
  <c r="X63" i="13"/>
  <c r="P8" i="6"/>
  <c r="S62" i="13"/>
  <c r="AJ62" i="13"/>
  <c r="H8" i="6"/>
  <c r="K62" i="13"/>
  <c r="I64" i="13"/>
  <c r="P64" i="13"/>
  <c r="Q64" i="13"/>
  <c r="Z64" i="13"/>
  <c r="X64" i="13"/>
  <c r="AC8" i="6"/>
  <c r="AF62" i="13"/>
  <c r="R8" i="10"/>
  <c r="U63" i="13"/>
  <c r="O8" i="10"/>
  <c r="R63" i="13"/>
  <c r="AD64" i="13"/>
  <c r="K64" i="13"/>
  <c r="T64" i="13"/>
  <c r="R64" i="13"/>
  <c r="F8" i="10"/>
  <c r="I63" i="13"/>
  <c r="AB8" i="6"/>
  <c r="AE62" i="13"/>
  <c r="AC8" i="10"/>
  <c r="AF63" i="13"/>
  <c r="AG63" i="13"/>
  <c r="AI64" i="13"/>
  <c r="I8" i="6"/>
  <c r="L62" i="13"/>
  <c r="S64" i="13"/>
  <c r="AI62" i="13"/>
  <c r="G8" i="6"/>
  <c r="J62" i="13"/>
  <c r="AC64" i="13"/>
  <c r="K8" i="10"/>
  <c r="N63" i="13"/>
  <c r="AA8" i="6"/>
  <c r="AD62" i="13"/>
  <c r="AJ64" i="13"/>
  <c r="Q8" i="6"/>
  <c r="T62" i="13"/>
  <c r="AH64" i="13"/>
  <c r="Y8" i="6"/>
  <c r="AB62" i="13"/>
  <c r="N8" i="10"/>
  <c r="Q63" i="13"/>
  <c r="AJ63" i="13"/>
  <c r="J64" i="13"/>
  <c r="X8" i="10"/>
  <c r="AA63" i="13"/>
  <c r="M8" i="10"/>
  <c r="P63" i="13"/>
  <c r="V8" i="6"/>
  <c r="Y62" i="13"/>
  <c r="M64" i="13"/>
  <c r="T8" i="6"/>
  <c r="W62" i="13"/>
  <c r="AH63" i="13"/>
  <c r="AG64" i="13"/>
  <c r="W8" i="6"/>
  <c r="Z62" i="13"/>
  <c r="X8" i="6"/>
  <c r="AA62" i="13"/>
  <c r="AB64" i="13"/>
  <c r="AH62" i="13"/>
  <c r="K8" i="6"/>
  <c r="N62" i="13"/>
  <c r="Z8" i="10"/>
  <c r="AC63" i="13"/>
  <c r="U8" i="6"/>
  <c r="X62" i="13"/>
  <c r="M8" i="6"/>
  <c r="P62" i="13"/>
  <c r="Y64" i="13"/>
  <c r="AA8" i="10"/>
  <c r="AD63" i="13"/>
  <c r="I8" i="10"/>
  <c r="L63" i="13"/>
  <c r="AA64" i="13"/>
  <c r="P8" i="10"/>
  <c r="S63" i="13"/>
  <c r="AI63" i="13"/>
  <c r="J8" i="10"/>
  <c r="M63" i="13"/>
  <c r="W8" i="10"/>
  <c r="Z63" i="13"/>
  <c r="T8" i="10"/>
  <c r="W63" i="13"/>
  <c r="L64" i="13"/>
  <c r="Q8" i="10"/>
  <c r="T63" i="13"/>
  <c r="U64" i="13"/>
  <c r="D64" i="13"/>
  <c r="H64" i="13"/>
  <c r="G64" i="13"/>
  <c r="E64" i="13"/>
  <c r="C64" i="13"/>
  <c r="C63" i="13"/>
  <c r="G63" i="13"/>
  <c r="D8" i="10"/>
  <c r="B8" i="10"/>
  <c r="E63" i="13"/>
  <c r="H63" i="13"/>
  <c r="E8" i="10"/>
  <c r="C8" i="10"/>
  <c r="F63" i="13"/>
  <c r="D63" i="13"/>
  <c r="G62" i="13"/>
  <c r="F62" i="13"/>
  <c r="C62" i="13"/>
  <c r="D62" i="13"/>
  <c r="C27" i="13"/>
  <c r="B24" i="13"/>
  <c r="B25" i="13"/>
  <c r="B26" i="13"/>
  <c r="B23" i="13"/>
</calcChain>
</file>

<file path=xl/sharedStrings.xml><?xml version="1.0" encoding="utf-8"?>
<sst xmlns="http://schemas.openxmlformats.org/spreadsheetml/2006/main" count="181" uniqueCount="113">
  <si>
    <t>Sources:</t>
  </si>
  <si>
    <t>Distributed Generation Quantity, Urban vs. Rural Shares</t>
  </si>
  <si>
    <t>Distributed Rooftop PV Capacity Factor projections</t>
  </si>
  <si>
    <t>NITI Aayog, Government of India</t>
  </si>
  <si>
    <t>See variable "bldgs/DSCF" for more info</t>
  </si>
  <si>
    <t>India Energy Security Scenarios 2047 downloadable Excel model</t>
  </si>
  <si>
    <t>Back up electricity from diesel generators</t>
  </si>
  <si>
    <t>http://indiaenergy.gov.in/iess/docs/IESS_Version2.2.xlsx</t>
  </si>
  <si>
    <t>Tab IV.e</t>
  </si>
  <si>
    <t>Residential vs. Non-Residential Shares</t>
  </si>
  <si>
    <t>CPI, ICRIER, SEI</t>
  </si>
  <si>
    <t>Tab I.e</t>
  </si>
  <si>
    <t>Scaling up Rooftop Solar Power in India: The Potential of Municipal Solar Bonds</t>
  </si>
  <si>
    <t>http://icrier.org/pdf/Working_Paper_353.pdf</t>
  </si>
  <si>
    <t>Page 3, Figure 2</t>
  </si>
  <si>
    <t>Solar DC to AC Derate Value</t>
  </si>
  <si>
    <t>Jens Schoene, EnerNex</t>
  </si>
  <si>
    <t>Production Levels of Utility-Scale and Residential-Scale PV Systems</t>
  </si>
  <si>
    <t>http://brattle.com/system/publications/pdfs/000/005/188/original/Comparative_Generation_Costs_of_Utility-Scale_and_Residential-Scale_PV_in_Xcel_Energy_Colorado's_Service_Area.pdf?1436797265</t>
  </si>
  <si>
    <t>This document is included as Appendix B of a report by Brattle Group.  It is on Page 10 of the EnerNex report, which is Page 70 of the PDF</t>
  </si>
  <si>
    <t>Notes</t>
  </si>
  <si>
    <t>The variable "BCEU BAU Components Energy Use" includes only "purchased electricity"</t>
  </si>
  <si>
    <t>(i.e. that which buildings get from the grid, not generate on-site), so the quantities</t>
  </si>
  <si>
    <t xml:space="preserve">of generation in this variable are additional. Electricity Output is reported in MWh and </t>
  </si>
  <si>
    <t>Capacity is reported in MW.</t>
  </si>
  <si>
    <t>For India, we only have data for solar PV, which likely dominates distributed generation in buildings.</t>
  </si>
  <si>
    <t>The IESS BAU trajectory is used to scale the current (2021) breakdown of capacity by building type,</t>
  </si>
  <si>
    <t>assuming that the relative shares are constant through the model run.</t>
  </si>
  <si>
    <t>We assume capacities are given in DC, not AC, which is typical when reporting solar PV capacities.</t>
  </si>
  <si>
    <t>Accordingly, we convert to AC using an appropriate derate factor.</t>
  </si>
  <si>
    <t>Distributed Solar PV Cumulative Capacity</t>
  </si>
  <si>
    <t>GW</t>
  </si>
  <si>
    <t>Trajectory</t>
  </si>
  <si>
    <t>Description</t>
  </si>
  <si>
    <t>In the IESS model, we use Trajectory 2 (existing, but no additional policies) as our BAU case.</t>
  </si>
  <si>
    <t>First, we apply a derate factor to convert DC to AC.</t>
  </si>
  <si>
    <t>Capacity (GW AC)</t>
  </si>
  <si>
    <t>IESS has a breakdown between residential and non-residential (showing residential has roughly 3x greater</t>
  </si>
  <si>
    <t>capacity than non-residential through 2047), but the India team considers this breakdown unreliable.</t>
  </si>
  <si>
    <t>Instead, we use the breakdown by building type based on existing (2016) installations, which show</t>
  </si>
  <si>
    <t>3/4 of capacity on non-residential buildings.  We assume the share is constant through the model run.</t>
  </si>
  <si>
    <t>2016 Existing Distributed Solar PV Breakdown</t>
  </si>
  <si>
    <t>Building Type</t>
  </si>
  <si>
    <t>Capacity (GW)</t>
  </si>
  <si>
    <t>Share</t>
  </si>
  <si>
    <t>Residential</t>
  </si>
  <si>
    <t>Government</t>
  </si>
  <si>
    <t>Commercial</t>
  </si>
  <si>
    <t>Industrial</t>
  </si>
  <si>
    <t>Total</t>
  </si>
  <si>
    <t>For residential buildings, we use IESS to divide up by number of households:</t>
  </si>
  <si>
    <t>Number of households</t>
  </si>
  <si>
    <t>Millions</t>
  </si>
  <si>
    <t>Urban</t>
  </si>
  <si>
    <t>Rural</t>
  </si>
  <si>
    <t>Capacity by Building Type (GW)</t>
  </si>
  <si>
    <t>urban residential</t>
  </si>
  <si>
    <t>rural residential</t>
  </si>
  <si>
    <t>commercial</t>
  </si>
  <si>
    <t>Capacity by Building Type (MW)</t>
  </si>
  <si>
    <t>Capacity Utilization  factor</t>
  </si>
  <si>
    <t>Fuel</t>
  </si>
  <si>
    <t>Plant type</t>
  </si>
  <si>
    <t>R.01</t>
  </si>
  <si>
    <t>Solar</t>
  </si>
  <si>
    <t>Capacity Factor (interpolated)</t>
  </si>
  <si>
    <t>Output by Building Type (MWh)</t>
  </si>
  <si>
    <t xml:space="preserve">Watts DC are lower than Watts AC, but AC is needed to either sell to the grid or to power devices in homes. </t>
  </si>
  <si>
    <t>Therefore, we convert to the cost per Watt AC using a derate factor:</t>
  </si>
  <si>
    <t>DC to AC derate factor</t>
  </si>
  <si>
    <t>Capacity Factor</t>
  </si>
  <si>
    <t>Back up electricity by diesel</t>
  </si>
  <si>
    <t>Load factor</t>
  </si>
  <si>
    <t>2007</t>
  </si>
  <si>
    <t>V.04</t>
  </si>
  <si>
    <t>Local diesel geneators</t>
  </si>
  <si>
    <t>[1]</t>
  </si>
  <si>
    <t>Electricity supplied</t>
  </si>
  <si>
    <t>TWh</t>
  </si>
  <si>
    <t>Own-use requirements</t>
  </si>
  <si>
    <t>Installed Capacity</t>
  </si>
  <si>
    <t>Diesel backup generators</t>
  </si>
  <si>
    <t>Interpolations</t>
  </si>
  <si>
    <t>Electricity supplied (TWh)</t>
  </si>
  <si>
    <t>Electricity supplied (MWh)</t>
  </si>
  <si>
    <t>Installed capacity (GW)</t>
  </si>
  <si>
    <t>Installed capacity (MW)</t>
  </si>
  <si>
    <t>MW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</si>
  <si>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</si>
  <si>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</si>
  <si>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</si>
  <si>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</si>
  <si>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</si>
  <si>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</si>
  <si>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</si>
  <si>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</si>
  <si>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</si>
  <si>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</si>
  <si>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</si>
  <si>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</si>
  <si>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</si>
  <si>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</si>
  <si>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</si>
  <si>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</si>
  <si>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</si>
  <si>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</si>
  <si>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</si>
  <si>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</si>
  <si>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</si>
  <si>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</si>
  <si>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</si>
  <si>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</si>
  <si>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BDESC BAU Distributed Electricity Source Capacities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</si>
</sst>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_ ;\-0.0\ "/>
    <numFmt numFmtId="167" formatCode="#,##0.0_);\(#,##0.0\);&quot;-&quot;_)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theme="9" tint="0.79998168889431442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9" tint="0.79998168889431442"/>
      <name val="Calibri"/>
      <family val="2"/>
      <scheme val="minor"/>
    </font>
    <font>
      <b/>
      <sz val="10"/>
      <color theme="9" tint="0.7999816888943144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name val="Calibri"/>
      <family val="1"/>
      <scheme val="minor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4.9989318521683403E-2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2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166" fontId="16" fillId="4" borderId="0" applyBorder="0" applyProtection="0">
      <alignment horizontal="left"/>
    </xf>
    <xf numFmtId="165" fontId="17" fillId="4" borderId="0">
      <alignment horizontal="left"/>
    </xf>
    <xf numFmtId="1" fontId="17" fillId="4" borderId="11">
      <alignment horizontal="left"/>
    </xf>
    <xf numFmtId="165" fontId="17" fillId="4" borderId="6">
      <alignment horizontal="left"/>
    </xf>
  </cellStyleXfs>
  <cellXfs count="5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1" fillId="2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vertical="center"/>
    </xf>
    <xf numFmtId="0" fontId="0" fillId="3" borderId="9" xfId="0" applyFill="1" applyBorder="1" applyAlignment="1">
      <alignment vertical="center"/>
    </xf>
    <xf numFmtId="2" fontId="0" fillId="3" borderId="0" xfId="0" applyNumberFormat="1" applyFill="1"/>
    <xf numFmtId="0" fontId="1" fillId="3" borderId="0" xfId="0" applyFont="1" applyFill="1"/>
    <xf numFmtId="0" fontId="5" fillId="3" borderId="0" xfId="0" applyFont="1" applyFill="1"/>
    <xf numFmtId="0" fontId="1" fillId="3" borderId="7" xfId="0" applyFont="1" applyFill="1" applyBorder="1" applyAlignment="1">
      <alignment vertical="center"/>
    </xf>
    <xf numFmtId="0" fontId="6" fillId="3" borderId="7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right" vertical="center"/>
    </xf>
    <xf numFmtId="0" fontId="0" fillId="2" borderId="0" xfId="0" applyFill="1"/>
    <xf numFmtId="9" fontId="0" fillId="0" borderId="0" xfId="0" applyNumberFormat="1"/>
    <xf numFmtId="0" fontId="1" fillId="0" borderId="0" xfId="0" applyFont="1" applyAlignment="1">
      <alignment horizontal="right"/>
    </xf>
    <xf numFmtId="10" fontId="0" fillId="3" borderId="10" xfId="0" applyNumberFormat="1" applyFill="1" applyBorder="1" applyAlignment="1">
      <alignment vertical="center"/>
    </xf>
    <xf numFmtId="10" fontId="5" fillId="3" borderId="10" xfId="0" applyNumberFormat="1" applyFont="1" applyFill="1" applyBorder="1" applyAlignment="1">
      <alignment horizontal="right" vertical="center"/>
    </xf>
    <xf numFmtId="10" fontId="0" fillId="3" borderId="10" xfId="0" applyNumberFormat="1" applyFill="1" applyBorder="1" applyAlignment="1">
      <alignment horizontal="right"/>
    </xf>
    <xf numFmtId="0" fontId="7" fillId="0" borderId="0" xfId="8"/>
    <xf numFmtId="0" fontId="9" fillId="3" borderId="0" xfId="0" applyFont="1" applyFill="1"/>
    <xf numFmtId="0" fontId="10" fillId="3" borderId="0" xfId="0" applyFont="1" applyFill="1"/>
    <xf numFmtId="0" fontId="9" fillId="3" borderId="5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right" vertical="center"/>
    </xf>
    <xf numFmtId="0" fontId="9" fillId="3" borderId="5" xfId="0" applyFont="1" applyFill="1" applyBorder="1"/>
    <xf numFmtId="0" fontId="12" fillId="3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1" fontId="10" fillId="3" borderId="0" xfId="0" applyNumberFormat="1" applyFont="1" applyFill="1"/>
    <xf numFmtId="1" fontId="0" fillId="3" borderId="0" xfId="0" applyNumberFormat="1" applyFill="1"/>
    <xf numFmtId="0" fontId="13" fillId="3" borderId="6" xfId="0" applyFont="1" applyFill="1" applyBorder="1" applyAlignment="1">
      <alignment vertical="center"/>
    </xf>
    <xf numFmtId="9" fontId="13" fillId="3" borderId="6" xfId="0" applyNumberFormat="1" applyFont="1" applyFill="1" applyBorder="1" applyAlignment="1">
      <alignment vertical="center"/>
    </xf>
    <xf numFmtId="1" fontId="10" fillId="3" borderId="6" xfId="0" applyNumberFormat="1" applyFont="1" applyFill="1" applyBorder="1"/>
    <xf numFmtId="1" fontId="0" fillId="3" borderId="6" xfId="0" applyNumberFormat="1" applyFill="1" applyBorder="1"/>
    <xf numFmtId="164" fontId="0" fillId="0" borderId="0" xfId="0" applyNumberFormat="1"/>
    <xf numFmtId="10" fontId="0" fillId="0" borderId="0" xfId="9" applyNumberFormat="1" applyFont="1"/>
    <xf numFmtId="0" fontId="1" fillId="2" borderId="0" xfId="0" applyFont="1" applyFill="1" applyAlignment="1">
      <alignment horizontal="left"/>
    </xf>
    <xf numFmtId="0" fontId="7" fillId="0" borderId="0" xfId="8" applyAlignment="1">
      <alignment horizontal="left"/>
    </xf>
    <xf numFmtId="0" fontId="0" fillId="0" borderId="0" xfId="0" applyAlignment="1">
      <alignment horizontal="right"/>
    </xf>
    <xf numFmtId="0" fontId="14" fillId="0" borderId="0" xfId="0" applyFont="1"/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  <xf numFmtId="0" fontId="14" fillId="0" borderId="0" xfId="0" applyFont="1" applyAlignment="1">
      <alignment wrapText="1"/>
    </xf>
    <xf numFmtId="0" fontId="7" fillId="0" borderId="0" xfId="8" applyFill="1"/>
    <xf numFmtId="0" fontId="1" fillId="0" borderId="0" xfId="0" applyFont="1" applyAlignment="1">
      <alignment horizontal="left"/>
    </xf>
    <xf numFmtId="167" fontId="0" fillId="0" borderId="0" xfId="0" applyNumberFormat="1"/>
    <xf numFmtId="0" fontId="18" fillId="0" borderId="0" xfId="0" applyFont="1"/>
    <xf numFmtId="0" fontId="18" fillId="0" borderId="0" xfId="0" applyFont="1" applyAlignment="1">
      <alignment vertical="center"/>
    </xf>
    <xf numFmtId="1" fontId="0" fillId="5" borderId="0" xfId="0" applyNumberFormat="1" applyFill="1"/>
    <xf numFmtId="1" fontId="0" fillId="6" borderId="0" xfId="0" applyNumberFormat="1" applyFill="1"/>
    <xf numFmtId="1" fontId="0" fillId="6" borderId="6" xfId="0" applyNumberFormat="1" applyFill="1" applyBorder="1"/>
  </cellXfs>
  <cellStyles count="14">
    <cellStyle name="A - bold" xfId="10" xr:uid="{00000000-0005-0000-0000-000000000000}"/>
    <cellStyle name="A - bottom border" xfId="13" xr:uid="{00000000-0005-0000-0000-000001000000}"/>
    <cellStyle name="A - header 2 2" xfId="12" xr:uid="{00000000-0005-0000-0000-000002000000}"/>
    <cellStyle name="A - normal" xfId="11" xr:uid="{00000000-0005-0000-0000-000003000000}"/>
    <cellStyle name="Body: normal cell" xfId="5" xr:uid="{00000000-0005-0000-0000-000004000000}"/>
    <cellStyle name="Font: Calibri, 9pt regular" xfId="1" xr:uid="{00000000-0005-0000-0000-000005000000}"/>
    <cellStyle name="Footnotes: top row" xfId="6" xr:uid="{00000000-0005-0000-0000-000006000000}"/>
    <cellStyle name="Header: bottom row" xfId="2" xr:uid="{00000000-0005-0000-0000-000007000000}"/>
    <cellStyle name="Hyperlink" xfId="8" builtinId="8"/>
    <cellStyle name="Normal" xfId="0" builtinId="0"/>
    <cellStyle name="Normal 2" xfId="7" xr:uid="{00000000-0005-0000-0000-00000A000000}"/>
    <cellStyle name="Parent row" xfId="4" xr:uid="{00000000-0005-0000-0000-00000B000000}"/>
    <cellStyle name="Percent" xfId="9" builtinId="5"/>
    <cellStyle name="Table title" xfId="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wnloads/BAU%20Components%20Energy%20U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%20(Energy%20Innovation)\Desktop\IESS_Version2.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%20(Energy%20Innovation)\India%20EPS\InputData%20UPDATE%20FOR%20INDIA\bldgs\CpUDSC\Cost%20per%20Unit%20Dist%20Solar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Building Projections"/>
      <sheetName val="Elec Use"/>
      <sheetName val="Elec Breakdown"/>
      <sheetName val="LPG, Kerosene, Diesel Use"/>
      <sheetName val="Activity Data"/>
      <sheetName val="Summed Activity Data"/>
      <sheetName val="Biomass Use"/>
      <sheetName val="Conversion Factors"/>
      <sheetName val="BCEU-urban-residential-heating"/>
      <sheetName val="BCEU-urban-residential-cooling"/>
      <sheetName val="BCEU-urban-residential-lighting"/>
      <sheetName val="BCEU-urban-residential-appl"/>
      <sheetName val="BCEU-urban-residential-other"/>
      <sheetName val="BCEU-rural-residential-heating"/>
      <sheetName val="BCEU-rural-residential-cooling"/>
      <sheetName val="BCEU-rural-residential-lighting"/>
      <sheetName val="BCEU-rural-residential-appl"/>
      <sheetName val="BCEU-rural-residential-other"/>
      <sheetName val="BCEU-commercial-heating"/>
      <sheetName val="BCEU-commercial-cooling"/>
      <sheetName val="BCEU-commercial-lighting"/>
      <sheetName val="BCEU-commercial-appl"/>
      <sheetName val="BCEU-commercial-oth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SS V2 Main Sheet"/>
      <sheetName val="Preferences"/>
      <sheetName val="Structure of the model"/>
      <sheetName val="I.a"/>
      <sheetName val="I.b"/>
      <sheetName val="I.c"/>
      <sheetName val="I.d"/>
      <sheetName val="I.e"/>
      <sheetName val="II"/>
      <sheetName val="III"/>
      <sheetName val="IV.a"/>
      <sheetName val="IV.b"/>
      <sheetName val="IV.c.1"/>
      <sheetName val="IV.c.2"/>
      <sheetName val="IV.d"/>
      <sheetName val="IV.e"/>
      <sheetName val="IV.f"/>
      <sheetName val="V.a"/>
      <sheetName val="V.b"/>
      <sheetName val="V.c"/>
      <sheetName val="V.d"/>
      <sheetName val="V.e"/>
      <sheetName val="VI"/>
      <sheetName val="VII.a"/>
      <sheetName val="VII.b"/>
      <sheetName val="VII.C"/>
      <sheetName val="VIII"/>
      <sheetName val="GDP"/>
      <sheetName val="IX"/>
      <sheetName val="X.a"/>
      <sheetName val="X.b"/>
      <sheetName val="XI"/>
      <sheetName val="XII.a"/>
      <sheetName val="XII.b"/>
      <sheetName val="XIII.a"/>
      <sheetName val="XV.a"/>
      <sheetName val="XV.b"/>
      <sheetName val="XV.c"/>
      <sheetName val="XVI"/>
      <sheetName val="XVII.a"/>
      <sheetName val="XVII.b"/>
      <sheetName val="XIV"/>
      <sheetName val="Intermediate output"/>
      <sheetName val="Charts"/>
      <sheetName val="Control"/>
      <sheetName val="Global assumptions"/>
      <sheetName val="2012 Baseline"/>
      <sheetName val="Dispatch"/>
      <sheetName val="2012"/>
      <sheetName val="2017"/>
      <sheetName val="2022"/>
      <sheetName val="2027"/>
      <sheetName val="2032"/>
      <sheetName val="2037"/>
      <sheetName val="2042"/>
      <sheetName val="2047"/>
      <sheetName val="Conversions"/>
      <sheetName val="Constants"/>
      <sheetName val="Land Use"/>
      <sheetName val="CostAbsolute"/>
      <sheetName val="Fl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India Data"/>
      <sheetName val="AC DC Derate Factor"/>
      <sheetName val="Future Trend"/>
      <sheetName val="CpUDSC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ndiaenergy.gov.in/iess/docs/IESS_Version2.2.xlsx" TargetMode="External"/><Relationship Id="rId2" Type="http://schemas.openxmlformats.org/officeDocument/2006/relationships/hyperlink" Target="http://icrier.org/pdf/Working_Paper_353.pdf" TargetMode="External"/><Relationship Id="rId1" Type="http://schemas.openxmlformats.org/officeDocument/2006/relationships/hyperlink" Target="http://indiaenergy.gov.in/iess/docs/IESS_Version2.2.xlsx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D19" sqref="D19"/>
    </sheetView>
  </sheetViews>
  <sheetFormatPr defaultRowHeight="15" x14ac:dyDescent="0.25"/>
  <cols>
    <col min="2" max="2" width="72.7109375" customWidth="1"/>
    <col min="5" max="5" width="55.7109375" customWidth="1"/>
  </cols>
  <sheetData>
    <row r="1" spans="1:7" x14ac:dyDescent="0.25">
      <c r="A1" s="1" t="s">
        <v>112</v>
      </c>
    </row>
    <row r="3" spans="1:7" x14ac:dyDescent="0.25">
      <c r="A3" s="1" t="s">
        <v>0</v>
      </c>
      <c r="B3" s="4" t="s">
        <v>1</v>
      </c>
      <c r="E3" s="4" t="s">
        <v>2</v>
      </c>
      <c r="G3" s="1"/>
    </row>
    <row r="4" spans="1:7" x14ac:dyDescent="0.25">
      <c r="B4" t="s">
        <v>3</v>
      </c>
      <c r="E4" s="40" t="s">
        <v>4</v>
      </c>
    </row>
    <row r="5" spans="1:7" x14ac:dyDescent="0.25">
      <c r="B5" s="2">
        <v>2023</v>
      </c>
      <c r="E5" s="2"/>
      <c r="G5" s="2"/>
    </row>
    <row r="6" spans="1:7" x14ac:dyDescent="0.25">
      <c r="B6" t="s">
        <v>5</v>
      </c>
      <c r="E6" s="4" t="s">
        <v>6</v>
      </c>
    </row>
    <row r="7" spans="1:7" x14ac:dyDescent="0.25">
      <c r="B7" s="21" t="s">
        <v>7</v>
      </c>
      <c r="E7" t="s">
        <v>3</v>
      </c>
      <c r="G7" s="46"/>
    </row>
    <row r="8" spans="1:7" x14ac:dyDescent="0.25">
      <c r="B8" t="s">
        <v>8</v>
      </c>
      <c r="E8" s="2">
        <v>2023</v>
      </c>
    </row>
    <row r="9" spans="1:7" x14ac:dyDescent="0.25">
      <c r="E9" t="s">
        <v>5</v>
      </c>
    </row>
    <row r="10" spans="1:7" x14ac:dyDescent="0.25">
      <c r="B10" s="4" t="s">
        <v>9</v>
      </c>
      <c r="E10" s="21" t="s">
        <v>7</v>
      </c>
    </row>
    <row r="11" spans="1:7" x14ac:dyDescent="0.25">
      <c r="B11" t="s">
        <v>10</v>
      </c>
      <c r="E11" t="s">
        <v>11</v>
      </c>
    </row>
    <row r="12" spans="1:7" x14ac:dyDescent="0.25">
      <c r="B12" s="2">
        <v>2018</v>
      </c>
    </row>
    <row r="13" spans="1:7" x14ac:dyDescent="0.25">
      <c r="B13" t="s">
        <v>12</v>
      </c>
      <c r="E13" s="47"/>
    </row>
    <row r="14" spans="1:7" x14ac:dyDescent="0.25">
      <c r="B14" s="21" t="s">
        <v>13</v>
      </c>
    </row>
    <row r="15" spans="1:7" x14ac:dyDescent="0.25">
      <c r="B15" t="s">
        <v>14</v>
      </c>
      <c r="E15" s="2"/>
    </row>
    <row r="16" spans="1:7" x14ac:dyDescent="0.25">
      <c r="E16" s="41"/>
    </row>
    <row r="17" spans="1:5" x14ac:dyDescent="0.25">
      <c r="B17" s="37" t="s">
        <v>15</v>
      </c>
      <c r="E17" s="21"/>
    </row>
    <row r="18" spans="1:5" x14ac:dyDescent="0.25">
      <c r="B18" s="2" t="s">
        <v>16</v>
      </c>
    </row>
    <row r="19" spans="1:5" x14ac:dyDescent="0.25">
      <c r="B19" s="2">
        <v>2015</v>
      </c>
    </row>
    <row r="20" spans="1:5" x14ac:dyDescent="0.25">
      <c r="B20" s="2" t="s">
        <v>17</v>
      </c>
    </row>
    <row r="21" spans="1:5" x14ac:dyDescent="0.25">
      <c r="B21" s="38" t="s">
        <v>18</v>
      </c>
    </row>
    <row r="22" spans="1:5" x14ac:dyDescent="0.25">
      <c r="B22" s="2" t="s">
        <v>19</v>
      </c>
    </row>
    <row r="24" spans="1:5" x14ac:dyDescent="0.25">
      <c r="A24" s="1" t="s">
        <v>20</v>
      </c>
    </row>
    <row r="25" spans="1:5" x14ac:dyDescent="0.25">
      <c r="A25" t="s">
        <v>21</v>
      </c>
    </row>
    <row r="26" spans="1:5" x14ac:dyDescent="0.25">
      <c r="A26" t="s">
        <v>22</v>
      </c>
    </row>
    <row r="27" spans="1:5" x14ac:dyDescent="0.25">
      <c r="A27" t="s">
        <v>23</v>
      </c>
    </row>
    <row r="28" spans="1:5" x14ac:dyDescent="0.25">
      <c r="A28" t="s">
        <v>24</v>
      </c>
    </row>
    <row r="30" spans="1:5" x14ac:dyDescent="0.25">
      <c r="A30" t="s">
        <v>25</v>
      </c>
    </row>
    <row r="31" spans="1:5" x14ac:dyDescent="0.25">
      <c r="A31" t="s">
        <v>26</v>
      </c>
    </row>
    <row r="32" spans="1:5" x14ac:dyDescent="0.25">
      <c r="A32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</sheetData>
  <hyperlinks>
    <hyperlink ref="B7" r:id="rId1" xr:uid="{00000000-0004-0000-0000-000000000000}"/>
    <hyperlink ref="B14" r:id="rId2" xr:uid="{00000000-0004-0000-0000-000001000000}"/>
    <hyperlink ref="E10" r:id="rId3" xr:uid="{00000000-0004-0000-0000-000002000000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64"/>
  <sheetViews>
    <sheetView topLeftCell="A56" workbookViewId="0">
      <selection activeCell="AJ64" sqref="AJ64:BD64"/>
    </sheetView>
  </sheetViews>
  <sheetFormatPr defaultRowHeight="15" x14ac:dyDescent="0.25"/>
  <cols>
    <col min="1" max="1" width="30.140625" customWidth="1"/>
    <col min="2" max="2" width="15.7109375" customWidth="1"/>
    <col min="32" max="32" width="12" customWidth="1"/>
    <col min="33" max="34" width="10.42578125" customWidth="1"/>
    <col min="35" max="35" width="11.7109375" customWidth="1"/>
    <col min="36" max="36" width="11.140625" customWidth="1"/>
  </cols>
  <sheetData>
    <row r="1" spans="1:12" x14ac:dyDescent="0.25">
      <c r="A1" s="10" t="s">
        <v>30</v>
      </c>
      <c r="B1" s="5"/>
      <c r="C1" s="6"/>
      <c r="D1" s="11"/>
      <c r="E1" s="5"/>
      <c r="F1" s="5"/>
      <c r="G1" s="5"/>
      <c r="H1" s="5"/>
      <c r="I1" s="5"/>
      <c r="J1" s="5"/>
      <c r="K1" s="5"/>
      <c r="L1" s="5"/>
    </row>
    <row r="2" spans="1:12" x14ac:dyDescent="0.25">
      <c r="A2" s="5"/>
      <c r="B2" s="5"/>
      <c r="C2" s="5"/>
      <c r="D2" s="11"/>
      <c r="E2" s="5"/>
      <c r="F2" s="5"/>
      <c r="G2" s="5"/>
      <c r="H2" s="5"/>
      <c r="I2" s="5"/>
      <c r="J2" s="5"/>
      <c r="K2" s="5"/>
      <c r="L2" s="6" t="s">
        <v>31</v>
      </c>
    </row>
    <row r="3" spans="1:12" x14ac:dyDescent="0.25">
      <c r="A3" s="12" t="s">
        <v>32</v>
      </c>
      <c r="B3" s="12" t="s">
        <v>33</v>
      </c>
      <c r="C3" s="12" t="s">
        <v>20</v>
      </c>
      <c r="D3" s="13">
        <v>2007</v>
      </c>
      <c r="E3" s="14">
        <v>2012</v>
      </c>
      <c r="F3" s="14">
        <v>2017</v>
      </c>
      <c r="G3" s="14">
        <v>2022</v>
      </c>
      <c r="H3" s="14">
        <v>2027</v>
      </c>
      <c r="I3" s="14">
        <v>2032</v>
      </c>
      <c r="J3" s="14">
        <v>2037</v>
      </c>
      <c r="K3" s="14">
        <v>2042</v>
      </c>
      <c r="L3" s="14">
        <v>2047</v>
      </c>
    </row>
    <row r="4" spans="1:12" x14ac:dyDescent="0.25">
      <c r="A4" s="7">
        <v>1</v>
      </c>
      <c r="B4" s="7"/>
      <c r="C4" s="8"/>
      <c r="D4" s="11">
        <v>0</v>
      </c>
      <c r="E4" s="9">
        <v>3.3019625167785477E-2</v>
      </c>
      <c r="F4" s="9">
        <v>0.40244396791369852</v>
      </c>
      <c r="G4" s="9">
        <v>0.768781764113315</v>
      </c>
      <c r="H4" s="9">
        <v>1.1534866193555111</v>
      </c>
      <c r="I4" s="9">
        <v>1.4638898382477312</v>
      </c>
      <c r="J4" s="9">
        <v>2.0976959641596928</v>
      </c>
      <c r="K4" s="9">
        <v>2.3636372509013137</v>
      </c>
      <c r="L4" s="9">
        <v>2.4519922608094245</v>
      </c>
    </row>
    <row r="5" spans="1:12" x14ac:dyDescent="0.25">
      <c r="A5" s="7">
        <v>2</v>
      </c>
      <c r="B5" s="7"/>
      <c r="C5" s="7"/>
      <c r="D5" s="11">
        <v>0</v>
      </c>
      <c r="E5" s="9">
        <v>3.3019625167785477E-2</v>
      </c>
      <c r="F5" s="9">
        <v>0.48953668652999538</v>
      </c>
      <c r="G5" s="9">
        <v>3.0901797598866163</v>
      </c>
      <c r="H5" s="9">
        <v>3.4604598580665327</v>
      </c>
      <c r="I5" s="9">
        <v>6.3024804221422164</v>
      </c>
      <c r="J5" s="9">
        <v>10.301594764037791</v>
      </c>
      <c r="K5" s="9">
        <v>13.972524474437467</v>
      </c>
      <c r="L5" s="9">
        <v>16.024940863073965</v>
      </c>
    </row>
    <row r="6" spans="1:12" x14ac:dyDescent="0.25">
      <c r="A6" s="7">
        <v>3</v>
      </c>
      <c r="B6" s="7"/>
      <c r="C6" s="7"/>
      <c r="D6" s="11">
        <v>0</v>
      </c>
      <c r="E6" s="9">
        <v>3.3019625167785477E-2</v>
      </c>
      <c r="F6" s="9">
        <v>1.7088347471581506</v>
      </c>
      <c r="G6" s="9">
        <v>5.4836177708428577</v>
      </c>
      <c r="H6" s="9">
        <v>6.9209197161330653</v>
      </c>
      <c r="I6" s="9">
        <v>14.515771751683454</v>
      </c>
      <c r="J6" s="9">
        <v>22.243969288051201</v>
      </c>
      <c r="K6" s="9">
        <v>31.923417399553962</v>
      </c>
      <c r="L6" s="9">
        <v>42.411501425875059</v>
      </c>
    </row>
    <row r="7" spans="1:12" x14ac:dyDescent="0.25">
      <c r="A7" s="7">
        <v>4</v>
      </c>
      <c r="B7" s="7"/>
      <c r="C7" s="7"/>
      <c r="D7" s="11">
        <v>0</v>
      </c>
      <c r="E7" s="9">
        <v>3.3019625167785477E-2</v>
      </c>
      <c r="F7" s="9">
        <v>15.208206132684156</v>
      </c>
      <c r="G7" s="9">
        <v>20.886134957992027</v>
      </c>
      <c r="H7" s="9">
        <v>18.886385403663269</v>
      </c>
      <c r="I7" s="9">
        <v>40.526799250443794</v>
      </c>
      <c r="J7" s="9">
        <v>52.442399103992344</v>
      </c>
      <c r="K7" s="9">
        <v>62.855910831559697</v>
      </c>
      <c r="L7" s="9">
        <v>93.317984596770344</v>
      </c>
    </row>
    <row r="9" spans="1:12" x14ac:dyDescent="0.25">
      <c r="A9" t="s">
        <v>34</v>
      </c>
    </row>
    <row r="11" spans="1:12" x14ac:dyDescent="0.25">
      <c r="A11" t="s">
        <v>35</v>
      </c>
    </row>
    <row r="13" spans="1:12" x14ac:dyDescent="0.25">
      <c r="B13">
        <v>2012</v>
      </c>
      <c r="C13">
        <v>2017</v>
      </c>
      <c r="D13">
        <v>2022</v>
      </c>
      <c r="E13">
        <v>2027</v>
      </c>
      <c r="F13">
        <v>2032</v>
      </c>
      <c r="G13">
        <v>2037</v>
      </c>
      <c r="H13">
        <v>2042</v>
      </c>
      <c r="I13">
        <v>2047</v>
      </c>
    </row>
    <row r="14" spans="1:12" x14ac:dyDescent="0.25">
      <c r="A14" t="s">
        <v>36</v>
      </c>
      <c r="B14" s="35">
        <f>E5*'AC DC Derate Factor'!$A$3</f>
        <v>2.8363858019127722E-2</v>
      </c>
      <c r="C14" s="35">
        <f>F5*'AC DC Derate Factor'!$A$3</f>
        <v>0.420512013729266</v>
      </c>
      <c r="D14" s="35">
        <f>G5*'AC DC Derate Factor'!$A$3</f>
        <v>2.6544644137426032</v>
      </c>
      <c r="E14" s="35">
        <f>H5*'AC DC Derate Factor'!$A$3</f>
        <v>2.9725350180791517</v>
      </c>
      <c r="F14" s="35">
        <f>I5*'AC DC Derate Factor'!$A$3</f>
        <v>5.4138306826201639</v>
      </c>
      <c r="G14" s="35">
        <f>J5*'AC DC Derate Factor'!$A$3</f>
        <v>8.8490699023084627</v>
      </c>
      <c r="H14" s="35">
        <f>K5*'AC DC Derate Factor'!$A$3</f>
        <v>12.002398523541784</v>
      </c>
      <c r="I14" s="35">
        <f>L5*'AC DC Derate Factor'!$A$3</f>
        <v>13.765424201380537</v>
      </c>
    </row>
    <row r="16" spans="1:12" x14ac:dyDescent="0.25">
      <c r="A16" t="s">
        <v>37</v>
      </c>
    </row>
    <row r="17" spans="1:13" x14ac:dyDescent="0.25">
      <c r="A17" t="s">
        <v>38</v>
      </c>
    </row>
    <row r="18" spans="1:13" x14ac:dyDescent="0.25">
      <c r="A18" t="s">
        <v>39</v>
      </c>
    </row>
    <row r="19" spans="1:13" x14ac:dyDescent="0.25">
      <c r="A19" t="s">
        <v>40</v>
      </c>
    </row>
    <row r="21" spans="1:13" x14ac:dyDescent="0.25">
      <c r="A21" s="4" t="s">
        <v>41</v>
      </c>
      <c r="B21" s="15"/>
      <c r="C21" s="15"/>
    </row>
    <row r="22" spans="1:13" x14ac:dyDescent="0.25">
      <c r="A22" s="1" t="s">
        <v>42</v>
      </c>
      <c r="B22" s="17" t="s">
        <v>43</v>
      </c>
      <c r="C22" s="17" t="s">
        <v>44</v>
      </c>
    </row>
    <row r="23" spans="1:13" x14ac:dyDescent="0.25">
      <c r="A23" t="s">
        <v>45</v>
      </c>
      <c r="B23">
        <f>C23*B$27</f>
        <v>0.3125</v>
      </c>
      <c r="C23" s="16">
        <v>0.25</v>
      </c>
    </row>
    <row r="24" spans="1:13" x14ac:dyDescent="0.25">
      <c r="A24" t="s">
        <v>46</v>
      </c>
      <c r="B24">
        <f t="shared" ref="B24:B26" si="0">C24*B$27</f>
        <v>0.15</v>
      </c>
      <c r="C24" s="16">
        <v>0.12</v>
      </c>
    </row>
    <row r="25" spans="1:13" x14ac:dyDescent="0.25">
      <c r="A25" t="s">
        <v>47</v>
      </c>
      <c r="B25">
        <f t="shared" si="0"/>
        <v>0.32500000000000001</v>
      </c>
      <c r="C25" s="16">
        <v>0.26</v>
      </c>
    </row>
    <row r="26" spans="1:13" x14ac:dyDescent="0.25">
      <c r="A26" t="s">
        <v>48</v>
      </c>
      <c r="B26">
        <f t="shared" si="0"/>
        <v>0.46250000000000002</v>
      </c>
      <c r="C26" s="16">
        <v>0.37</v>
      </c>
    </row>
    <row r="27" spans="1:13" x14ac:dyDescent="0.25">
      <c r="A27" t="s">
        <v>49</v>
      </c>
      <c r="B27">
        <v>1.25</v>
      </c>
      <c r="C27" s="16">
        <f>SUM(C23:C26)</f>
        <v>1</v>
      </c>
    </row>
    <row r="29" spans="1:13" x14ac:dyDescent="0.25">
      <c r="A29" t="s">
        <v>50</v>
      </c>
    </row>
    <row r="31" spans="1:13" x14ac:dyDescent="0.25">
      <c r="A31" s="22" t="s">
        <v>51</v>
      </c>
      <c r="B31" s="5"/>
      <c r="C31" s="5"/>
      <c r="D31" s="23"/>
      <c r="E31" s="5"/>
      <c r="F31" s="5"/>
      <c r="G31" s="5"/>
      <c r="H31" s="5"/>
      <c r="I31" s="5"/>
      <c r="J31" s="5"/>
      <c r="K31" s="5"/>
      <c r="L31" s="5"/>
      <c r="M31" s="5"/>
    </row>
    <row r="32" spans="1:13" x14ac:dyDescent="0.25">
      <c r="A32" s="22"/>
      <c r="B32" s="5"/>
      <c r="C32" s="5"/>
      <c r="D32" s="23"/>
      <c r="E32" s="5"/>
      <c r="F32" s="5"/>
      <c r="G32" s="5"/>
      <c r="H32" s="5"/>
      <c r="I32" s="5"/>
      <c r="J32" s="5"/>
      <c r="K32" s="5"/>
      <c r="L32" s="5"/>
      <c r="M32" s="6" t="s">
        <v>52</v>
      </c>
    </row>
    <row r="33" spans="1:56" x14ac:dyDescent="0.25">
      <c r="A33" s="24"/>
      <c r="B33" s="24" t="s">
        <v>33</v>
      </c>
      <c r="C33" s="24" t="s">
        <v>20</v>
      </c>
      <c r="D33" s="25">
        <v>2007</v>
      </c>
      <c r="E33" s="26">
        <v>2012</v>
      </c>
      <c r="F33" s="26">
        <v>2020</v>
      </c>
      <c r="G33" s="26">
        <v>2022</v>
      </c>
      <c r="H33" s="26">
        <v>2023</v>
      </c>
      <c r="I33" s="26">
        <v>2027</v>
      </c>
      <c r="J33" s="26">
        <v>2032</v>
      </c>
      <c r="K33" s="26">
        <v>2037</v>
      </c>
      <c r="L33" s="26">
        <v>2042</v>
      </c>
      <c r="M33" s="26">
        <v>2047</v>
      </c>
      <c r="N33" s="26">
        <v>2050</v>
      </c>
      <c r="O33" s="26">
        <v>2055</v>
      </c>
      <c r="P33" s="26">
        <v>2060</v>
      </c>
      <c r="Q33" s="26">
        <v>2065</v>
      </c>
      <c r="R33" s="26">
        <v>2070</v>
      </c>
    </row>
    <row r="34" spans="1:56" x14ac:dyDescent="0.25">
      <c r="A34" s="27"/>
      <c r="B34" s="28" t="s">
        <v>53</v>
      </c>
      <c r="C34" s="27"/>
      <c r="D34" s="29"/>
      <c r="E34" s="51">
        <v>74.294156627517296</v>
      </c>
      <c r="F34" s="52">
        <v>112.15989733333332</v>
      </c>
      <c r="G34" s="30">
        <v>119.89051238597743</v>
      </c>
      <c r="H34" s="30">
        <v>123.86955445555256</v>
      </c>
      <c r="I34" s="30">
        <v>140.51692744970799</v>
      </c>
      <c r="J34" s="30">
        <v>162.89153532043878</v>
      </c>
      <c r="K34" s="30">
        <v>186.75369742922874</v>
      </c>
      <c r="L34" s="30">
        <v>211.82321252343263</v>
      </c>
      <c r="M34" s="30">
        <v>238.10598826979472</v>
      </c>
      <c r="N34" s="30">
        <v>248.39925823886949</v>
      </c>
      <c r="O34" s="30">
        <v>264.79731670059425</v>
      </c>
      <c r="P34" s="30">
        <v>280.25103243586284</v>
      </c>
      <c r="Q34" s="30">
        <v>294.55589995504101</v>
      </c>
      <c r="R34" s="30">
        <v>307.44985276301935</v>
      </c>
    </row>
    <row r="35" spans="1:56" x14ac:dyDescent="0.25">
      <c r="A35" s="31"/>
      <c r="B35" s="31" t="s">
        <v>54</v>
      </c>
      <c r="C35" s="32"/>
      <c r="D35" s="33"/>
      <c r="E35" s="34">
        <v>173.35303213087374</v>
      </c>
      <c r="F35" s="53">
        <v>195.00987359999999</v>
      </c>
      <c r="G35" s="34">
        <v>197.37819601232101</v>
      </c>
      <c r="H35" s="34">
        <v>198.48987163024364</v>
      </c>
      <c r="I35" s="34">
        <v>202.38494931001969</v>
      </c>
      <c r="J35" s="34">
        <v>205.85713345257022</v>
      </c>
      <c r="K35" s="34">
        <v>207.47254138653551</v>
      </c>
      <c r="L35" s="34">
        <v>207.04441434819415</v>
      </c>
      <c r="M35" s="34">
        <v>204.75080839895011</v>
      </c>
      <c r="N35" s="34">
        <v>198.85635977819433</v>
      </c>
      <c r="O35" s="34">
        <v>188.02225380880682</v>
      </c>
      <c r="P35" s="34">
        <v>176.20505484514612</v>
      </c>
      <c r="Q35" s="34">
        <v>163.55569918533783</v>
      </c>
      <c r="R35" s="34">
        <v>150.20290863538057</v>
      </c>
    </row>
    <row r="38" spans="1:56" x14ac:dyDescent="0.25">
      <c r="A38" s="1" t="s">
        <v>55</v>
      </c>
      <c r="B38">
        <v>2012</v>
      </c>
      <c r="C38">
        <v>2017</v>
      </c>
      <c r="D38">
        <v>2022</v>
      </c>
      <c r="E38">
        <v>2027</v>
      </c>
      <c r="F38">
        <v>2032</v>
      </c>
      <c r="G38">
        <v>2037</v>
      </c>
      <c r="H38">
        <v>2042</v>
      </c>
      <c r="I38">
        <v>2047</v>
      </c>
      <c r="J38">
        <v>2050</v>
      </c>
      <c r="K38">
        <v>2055</v>
      </c>
      <c r="L38">
        <v>2060</v>
      </c>
      <c r="M38">
        <v>2065</v>
      </c>
      <c r="N38">
        <v>2070</v>
      </c>
    </row>
    <row r="39" spans="1:56" x14ac:dyDescent="0.25">
      <c r="A39" t="s">
        <v>56</v>
      </c>
      <c r="B39" s="35">
        <f t="shared" ref="B39:I39" si="1">B14*$C23*E34/SUM(E34:E35)</f>
        <v>2.1272893514345786E-3</v>
      </c>
      <c r="C39" s="35">
        <f t="shared" si="1"/>
        <v>3.8386414249031123E-2</v>
      </c>
      <c r="D39" s="35">
        <f t="shared" si="1"/>
        <v>0.25076937171063507</v>
      </c>
      <c r="E39" s="35">
        <f t="shared" si="1"/>
        <v>0.28555593422836184</v>
      </c>
      <c r="F39" s="35">
        <f t="shared" si="1"/>
        <v>0.55463013241816539</v>
      </c>
      <c r="G39" s="35">
        <f t="shared" si="1"/>
        <v>0.97725002461786403</v>
      </c>
      <c r="H39" s="35">
        <f t="shared" si="1"/>
        <v>1.4214504779183863</v>
      </c>
      <c r="I39" s="35">
        <f t="shared" si="1"/>
        <v>1.7403089836886991</v>
      </c>
    </row>
    <row r="40" spans="1:56" x14ac:dyDescent="0.25">
      <c r="A40" t="s">
        <v>57</v>
      </c>
      <c r="B40" s="35">
        <f t="shared" ref="B40:I40" si="2">B14*$C23*E35/SUM(E34:E35)</f>
        <v>4.9636751533473512E-3</v>
      </c>
      <c r="C40" s="35">
        <f t="shared" si="2"/>
        <v>6.6741589183285377E-2</v>
      </c>
      <c r="D40" s="35">
        <f t="shared" si="2"/>
        <v>0.41284673172501579</v>
      </c>
      <c r="E40" s="35">
        <f t="shared" si="2"/>
        <v>0.45757782029142607</v>
      </c>
      <c r="F40" s="35">
        <f t="shared" si="2"/>
        <v>0.7988275382368758</v>
      </c>
      <c r="G40" s="35">
        <f t="shared" si="2"/>
        <v>1.2350174509592515</v>
      </c>
      <c r="H40" s="35">
        <f t="shared" si="2"/>
        <v>1.5791491529670596</v>
      </c>
      <c r="I40" s="35">
        <f t="shared" si="2"/>
        <v>1.7010470666564348</v>
      </c>
    </row>
    <row r="41" spans="1:56" x14ac:dyDescent="0.25">
      <c r="A41" t="s">
        <v>58</v>
      </c>
      <c r="B41" s="35">
        <f t="shared" ref="B41:I41" si="3">B14*SUM($C24:$C26)</f>
        <v>2.1272893514345793E-2</v>
      </c>
      <c r="C41" s="35">
        <f t="shared" si="3"/>
        <v>0.31538401029694951</v>
      </c>
      <c r="D41" s="35">
        <f t="shared" si="3"/>
        <v>1.9908483103069523</v>
      </c>
      <c r="E41" s="35">
        <f t="shared" si="3"/>
        <v>2.2294012635593639</v>
      </c>
      <c r="F41" s="35">
        <f t="shared" si="3"/>
        <v>4.0603730119651225</v>
      </c>
      <c r="G41" s="35">
        <f t="shared" si="3"/>
        <v>6.6368024267313466</v>
      </c>
      <c r="H41" s="35">
        <f t="shared" si="3"/>
        <v>9.0017988926563373</v>
      </c>
      <c r="I41" s="35">
        <f t="shared" si="3"/>
        <v>10.324068151035402</v>
      </c>
    </row>
    <row r="44" spans="1:56" x14ac:dyDescent="0.25">
      <c r="A44" s="1" t="s">
        <v>59</v>
      </c>
      <c r="B44">
        <v>2016</v>
      </c>
      <c r="C44">
        <v>2017</v>
      </c>
      <c r="D44">
        <v>2018</v>
      </c>
      <c r="E44">
        <v>2019</v>
      </c>
      <c r="F44">
        <v>2020</v>
      </c>
      <c r="G44">
        <v>2021</v>
      </c>
      <c r="H44">
        <v>2022</v>
      </c>
      <c r="I44">
        <v>2023</v>
      </c>
      <c r="J44">
        <v>2024</v>
      </c>
      <c r="K44">
        <v>2025</v>
      </c>
      <c r="L44">
        <v>2026</v>
      </c>
      <c r="M44">
        <v>2027</v>
      </c>
      <c r="N44">
        <v>2028</v>
      </c>
      <c r="O44">
        <v>2029</v>
      </c>
      <c r="P44">
        <v>2030</v>
      </c>
      <c r="Q44">
        <v>2031</v>
      </c>
      <c r="R44">
        <v>2032</v>
      </c>
      <c r="S44">
        <v>2033</v>
      </c>
      <c r="T44">
        <v>2034</v>
      </c>
      <c r="U44">
        <v>2035</v>
      </c>
      <c r="V44">
        <v>2036</v>
      </c>
      <c r="W44">
        <v>2037</v>
      </c>
      <c r="X44">
        <v>2038</v>
      </c>
      <c r="Y44">
        <v>2039</v>
      </c>
      <c r="Z44">
        <v>2040</v>
      </c>
      <c r="AA44">
        <v>2041</v>
      </c>
      <c r="AB44">
        <v>2042</v>
      </c>
      <c r="AC44">
        <v>2043</v>
      </c>
      <c r="AD44">
        <v>2044</v>
      </c>
      <c r="AE44">
        <v>2045</v>
      </c>
      <c r="AF44">
        <v>2046</v>
      </c>
      <c r="AG44">
        <v>2047</v>
      </c>
      <c r="AH44">
        <v>2048</v>
      </c>
      <c r="AI44">
        <v>2049</v>
      </c>
      <c r="AJ44">
        <v>2050</v>
      </c>
      <c r="AK44">
        <v>2051</v>
      </c>
      <c r="AL44">
        <v>2052</v>
      </c>
      <c r="AM44">
        <v>2053</v>
      </c>
      <c r="AN44">
        <v>2054</v>
      </c>
      <c r="AO44">
        <v>2055</v>
      </c>
      <c r="AP44">
        <v>2056</v>
      </c>
      <c r="AQ44">
        <v>2057</v>
      </c>
      <c r="AR44">
        <v>2058</v>
      </c>
      <c r="AS44">
        <v>2059</v>
      </c>
      <c r="AT44">
        <v>2060</v>
      </c>
      <c r="AU44">
        <v>2061</v>
      </c>
      <c r="AV44">
        <v>2062</v>
      </c>
      <c r="AW44">
        <v>2063</v>
      </c>
      <c r="AX44">
        <v>2064</v>
      </c>
      <c r="AY44">
        <v>2065</v>
      </c>
      <c r="AZ44">
        <v>2066</v>
      </c>
      <c r="BA44">
        <v>2067</v>
      </c>
      <c r="BB44">
        <v>2068</v>
      </c>
      <c r="BC44">
        <v>2069</v>
      </c>
      <c r="BD44">
        <v>2070</v>
      </c>
    </row>
    <row r="45" spans="1:56" x14ac:dyDescent="0.25">
      <c r="A45" t="s">
        <v>56</v>
      </c>
      <c r="B45" s="35">
        <f>TREND($B39:$C39,$B$38:$C$38,B$44)*1000</f>
        <v>31.134589269512958</v>
      </c>
      <c r="C45" s="35">
        <f t="shared" ref="C45:H47" si="4">TREND($C39:$D39,$C$38:$D$38,C$44)*1000</f>
        <v>38.386414249032441</v>
      </c>
      <c r="D45" s="35">
        <f t="shared" si="4"/>
        <v>80.863005741349525</v>
      </c>
      <c r="E45" s="35">
        <f t="shared" si="4"/>
        <v>123.33959723366661</v>
      </c>
      <c r="F45" s="35">
        <f t="shared" si="4"/>
        <v>165.8161887259979</v>
      </c>
      <c r="G45" s="35">
        <f t="shared" si="4"/>
        <v>208.29278021831499</v>
      </c>
      <c r="H45" s="35">
        <f t="shared" si="4"/>
        <v>250.76937171063207</v>
      </c>
      <c r="I45" s="35">
        <f t="shared" ref="I45:M47" si="5">TREND($D39:$E39,$D$38:$E$38,I$44)*1000</f>
        <v>257.72668421418211</v>
      </c>
      <c r="J45" s="35">
        <f t="shared" si="5"/>
        <v>264.68399671772681</v>
      </c>
      <c r="K45" s="35">
        <f t="shared" si="5"/>
        <v>271.64130922127327</v>
      </c>
      <c r="L45" s="35">
        <f t="shared" si="5"/>
        <v>278.59862172481797</v>
      </c>
      <c r="M45" s="35">
        <f t="shared" si="5"/>
        <v>285.55593422836267</v>
      </c>
      <c r="N45" s="35">
        <f t="shared" ref="N45:R47" si="6">TREND($E39:$F39,$E$38:$F$38,N$44)*1000</f>
        <v>339.37077386633518</v>
      </c>
      <c r="O45" s="35">
        <f t="shared" si="6"/>
        <v>393.18561350428638</v>
      </c>
      <c r="P45" s="35">
        <f t="shared" si="6"/>
        <v>447.00045314225179</v>
      </c>
      <c r="Q45" s="35">
        <f t="shared" si="6"/>
        <v>500.81529278021719</v>
      </c>
      <c r="R45" s="35">
        <f t="shared" si="6"/>
        <v>554.63013241816839</v>
      </c>
      <c r="S45" s="35">
        <f t="shared" ref="S45:W47" si="7">TREND($F39:$G39,$F$38:$G$38,S$44)*1000</f>
        <v>639.15411085810092</v>
      </c>
      <c r="T45" s="35">
        <f t="shared" si="7"/>
        <v>723.67808929803346</v>
      </c>
      <c r="U45" s="35">
        <f t="shared" si="7"/>
        <v>808.20206773799441</v>
      </c>
      <c r="V45" s="35">
        <f t="shared" si="7"/>
        <v>892.72604617792695</v>
      </c>
      <c r="W45" s="35">
        <f t="shared" si="7"/>
        <v>977.25002461785948</v>
      </c>
      <c r="X45" s="35">
        <f t="shared" ref="X45:AB47" si="8">TREND($G39:$H39,$G$38:$H$38,X$44)*1000</f>
        <v>1066.0901152779729</v>
      </c>
      <c r="Y45" s="35">
        <f t="shared" si="8"/>
        <v>1154.9302059380864</v>
      </c>
      <c r="Z45" s="35">
        <f t="shared" si="8"/>
        <v>1243.7702965981998</v>
      </c>
      <c r="AA45" s="35">
        <f t="shared" si="8"/>
        <v>1332.6103872582848</v>
      </c>
      <c r="AB45" s="35">
        <f t="shared" si="8"/>
        <v>1421.4504779183983</v>
      </c>
      <c r="AC45" s="35">
        <f t="shared" ref="AC45:AR47" si="9">TREND($H39:$I39,$H$38:$I$38,AC$44)*1000</f>
        <v>1485.2221790724229</v>
      </c>
      <c r="AD45" s="35">
        <f t="shared" si="9"/>
        <v>1548.9938802265044</v>
      </c>
      <c r="AE45" s="35">
        <f t="shared" si="9"/>
        <v>1612.7655813805575</v>
      </c>
      <c r="AF45" s="35">
        <f t="shared" si="9"/>
        <v>1676.5372825346105</v>
      </c>
      <c r="AG45" s="35">
        <f t="shared" si="9"/>
        <v>1740.308983688692</v>
      </c>
      <c r="AH45" s="35">
        <f t="shared" si="9"/>
        <v>1804.0806848427451</v>
      </c>
      <c r="AI45" s="35">
        <f t="shared" si="9"/>
        <v>1867.8523859967981</v>
      </c>
      <c r="AJ45" s="35">
        <f t="shared" si="9"/>
        <v>1931.6240871508796</v>
      </c>
      <c r="AK45" s="35">
        <f t="shared" si="9"/>
        <v>1995.3957883049327</v>
      </c>
      <c r="AL45" s="35">
        <f t="shared" si="9"/>
        <v>2059.167489458986</v>
      </c>
      <c r="AM45" s="35">
        <f t="shared" si="9"/>
        <v>2122.9391906130672</v>
      </c>
      <c r="AN45" s="35">
        <f t="shared" si="9"/>
        <v>2186.7108917671203</v>
      </c>
      <c r="AO45" s="35">
        <f t="shared" si="9"/>
        <v>2250.4825929211734</v>
      </c>
      <c r="AP45" s="35">
        <f t="shared" si="9"/>
        <v>2314.2542940752546</v>
      </c>
      <c r="AQ45" s="35">
        <f t="shared" si="9"/>
        <v>2378.0259952293081</v>
      </c>
      <c r="AR45" s="35">
        <f t="shared" si="9"/>
        <v>2441.7976963833607</v>
      </c>
      <c r="AS45" s="35">
        <f t="shared" ref="AS45:BD47" si="10">TREND($H39:$I39,$H$38:$I$38,AS$44)*1000</f>
        <v>2505.5693975374425</v>
      </c>
      <c r="AT45" s="35">
        <f t="shared" si="10"/>
        <v>2569.3410986914955</v>
      </c>
      <c r="AU45" s="35">
        <f t="shared" si="10"/>
        <v>2633.1127998455486</v>
      </c>
      <c r="AV45" s="35">
        <f t="shared" si="10"/>
        <v>2696.8845009996303</v>
      </c>
      <c r="AW45" s="35">
        <f t="shared" si="10"/>
        <v>2760.6562021536829</v>
      </c>
      <c r="AX45" s="35">
        <f t="shared" si="10"/>
        <v>2824.4279033077364</v>
      </c>
      <c r="AY45" s="35">
        <f t="shared" si="10"/>
        <v>2888.1996044618177</v>
      </c>
      <c r="AZ45" s="35">
        <f t="shared" si="10"/>
        <v>2951.9713056158707</v>
      </c>
      <c r="BA45" s="35">
        <f t="shared" si="10"/>
        <v>3015.7430067699238</v>
      </c>
      <c r="BB45" s="35">
        <f t="shared" si="10"/>
        <v>3079.5147079240051</v>
      </c>
      <c r="BC45" s="35">
        <f t="shared" si="10"/>
        <v>3143.2864090780586</v>
      </c>
      <c r="BD45" s="35">
        <f t="shared" si="10"/>
        <v>3207.0581102321112</v>
      </c>
    </row>
    <row r="46" spans="1:56" x14ac:dyDescent="0.25">
      <c r="A46" t="s">
        <v>57</v>
      </c>
      <c r="B46" s="35">
        <f t="shared" ref="B46:B47" si="11">TREND($B40:$C40,$B$38:$C$38,B$44)*1000</f>
        <v>54.386006377299623</v>
      </c>
      <c r="C46" s="35">
        <f t="shared" si="4"/>
        <v>66.741589183294536</v>
      </c>
      <c r="D46" s="35">
        <f t="shared" si="4"/>
        <v>135.9626176916322</v>
      </c>
      <c r="E46" s="35">
        <f t="shared" si="4"/>
        <v>205.18364619996987</v>
      </c>
      <c r="F46" s="35">
        <f t="shared" si="4"/>
        <v>274.40467470833596</v>
      </c>
      <c r="G46" s="35">
        <f t="shared" si="4"/>
        <v>343.62570321667363</v>
      </c>
      <c r="H46" s="35">
        <f t="shared" si="4"/>
        <v>412.8467317250113</v>
      </c>
      <c r="I46" s="35">
        <f t="shared" si="5"/>
        <v>421.79294943829859</v>
      </c>
      <c r="J46" s="35">
        <f t="shared" si="5"/>
        <v>430.73916715157878</v>
      </c>
      <c r="K46" s="35">
        <f t="shared" si="5"/>
        <v>439.6853848648625</v>
      </c>
      <c r="L46" s="35">
        <f t="shared" si="5"/>
        <v>448.63160257814275</v>
      </c>
      <c r="M46" s="35">
        <f t="shared" si="5"/>
        <v>457.57782029142646</v>
      </c>
      <c r="N46" s="35">
        <f t="shared" si="6"/>
        <v>525.82776388049979</v>
      </c>
      <c r="O46" s="35">
        <f t="shared" si="6"/>
        <v>594.07770746960864</v>
      </c>
      <c r="P46" s="35">
        <f t="shared" si="6"/>
        <v>662.32765105868907</v>
      </c>
      <c r="Q46" s="35">
        <f t="shared" si="6"/>
        <v>730.5775946477695</v>
      </c>
      <c r="R46" s="35">
        <f t="shared" si="6"/>
        <v>798.82753823687835</v>
      </c>
      <c r="S46" s="35">
        <f t="shared" si="7"/>
        <v>886.06552078135792</v>
      </c>
      <c r="T46" s="35">
        <f t="shared" si="7"/>
        <v>973.30350332583748</v>
      </c>
      <c r="U46" s="35">
        <f t="shared" si="7"/>
        <v>1060.541485870317</v>
      </c>
      <c r="V46" s="35">
        <f t="shared" si="7"/>
        <v>1147.7794684147966</v>
      </c>
      <c r="W46" s="35">
        <f t="shared" si="7"/>
        <v>1235.0174509592762</v>
      </c>
      <c r="X46" s="35">
        <f t="shared" si="8"/>
        <v>1303.843791360805</v>
      </c>
      <c r="Y46" s="35">
        <f t="shared" si="8"/>
        <v>1372.6701317623906</v>
      </c>
      <c r="Z46" s="35">
        <f t="shared" si="8"/>
        <v>1441.4964721639478</v>
      </c>
      <c r="AA46" s="35">
        <f t="shared" si="8"/>
        <v>1510.322812565505</v>
      </c>
      <c r="AB46" s="35">
        <f t="shared" si="8"/>
        <v>1579.1491529670623</v>
      </c>
      <c r="AC46" s="35">
        <f t="shared" si="9"/>
        <v>1603.5287357049342</v>
      </c>
      <c r="AD46" s="35">
        <f t="shared" si="9"/>
        <v>1627.9083184428059</v>
      </c>
      <c r="AE46" s="35">
        <f t="shared" si="9"/>
        <v>1652.2879011806849</v>
      </c>
      <c r="AF46" s="35">
        <f t="shared" si="9"/>
        <v>1676.6674839185569</v>
      </c>
      <c r="AG46" s="35">
        <f t="shared" si="9"/>
        <v>1701.0470666564358</v>
      </c>
      <c r="AH46" s="35">
        <f t="shared" si="9"/>
        <v>1725.4266493943078</v>
      </c>
      <c r="AI46" s="35">
        <f t="shared" si="9"/>
        <v>1749.8062321321797</v>
      </c>
      <c r="AJ46" s="35">
        <f t="shared" si="9"/>
        <v>1774.1858148700587</v>
      </c>
      <c r="AK46" s="35">
        <f t="shared" si="9"/>
        <v>1798.5653976079307</v>
      </c>
      <c r="AL46" s="35">
        <f t="shared" si="9"/>
        <v>1822.9449803458097</v>
      </c>
      <c r="AM46" s="35">
        <f t="shared" si="9"/>
        <v>1847.3245630836814</v>
      </c>
      <c r="AN46" s="35">
        <f t="shared" si="9"/>
        <v>1871.7041458215604</v>
      </c>
      <c r="AO46" s="35">
        <f t="shared" si="9"/>
        <v>1896.0837285594323</v>
      </c>
      <c r="AP46" s="35">
        <f t="shared" si="9"/>
        <v>1920.4633112973113</v>
      </c>
      <c r="AQ46" s="35">
        <f t="shared" si="9"/>
        <v>1944.8428940351832</v>
      </c>
      <c r="AR46" s="35">
        <f t="shared" si="9"/>
        <v>1969.222476773055</v>
      </c>
      <c r="AS46" s="35">
        <f t="shared" si="10"/>
        <v>1993.6020595109339</v>
      </c>
      <c r="AT46" s="35">
        <f t="shared" si="10"/>
        <v>2017.9816422488059</v>
      </c>
      <c r="AU46" s="35">
        <f t="shared" si="10"/>
        <v>2042.3612249866849</v>
      </c>
      <c r="AV46" s="35">
        <f t="shared" si="10"/>
        <v>2066.7408077245568</v>
      </c>
      <c r="AW46" s="35">
        <f t="shared" si="10"/>
        <v>2091.1203904624358</v>
      </c>
      <c r="AX46" s="35">
        <f t="shared" si="10"/>
        <v>2115.4999732003075</v>
      </c>
      <c r="AY46" s="35">
        <f t="shared" si="10"/>
        <v>2139.8795559381865</v>
      </c>
      <c r="AZ46" s="35">
        <f t="shared" si="10"/>
        <v>2164.2591386760587</v>
      </c>
      <c r="BA46" s="35">
        <f t="shared" si="10"/>
        <v>2188.6387214139304</v>
      </c>
      <c r="BB46" s="35">
        <f t="shared" si="10"/>
        <v>2213.0183041518094</v>
      </c>
      <c r="BC46" s="35">
        <f t="shared" si="10"/>
        <v>2237.3978868896811</v>
      </c>
      <c r="BD46" s="35">
        <f t="shared" si="10"/>
        <v>2261.7774696275601</v>
      </c>
    </row>
    <row r="47" spans="1:56" x14ac:dyDescent="0.25">
      <c r="A47" t="s">
        <v>58</v>
      </c>
      <c r="B47" s="35">
        <f t="shared" si="11"/>
        <v>256.56178694043774</v>
      </c>
      <c r="C47" s="35">
        <f t="shared" si="4"/>
        <v>315.38401029695251</v>
      </c>
      <c r="D47" s="35">
        <f t="shared" si="4"/>
        <v>650.47687029891677</v>
      </c>
      <c r="E47" s="35">
        <f t="shared" si="4"/>
        <v>985.56973030099471</v>
      </c>
      <c r="F47" s="35">
        <f t="shared" si="4"/>
        <v>1320.662590302959</v>
      </c>
      <c r="G47" s="35">
        <f t="shared" si="4"/>
        <v>1655.7554503049232</v>
      </c>
      <c r="H47" s="35">
        <f t="shared" si="4"/>
        <v>1990.8483103070012</v>
      </c>
      <c r="I47" s="35">
        <f t="shared" si="5"/>
        <v>2038.558900957426</v>
      </c>
      <c r="J47" s="35">
        <f t="shared" si="5"/>
        <v>2086.2694916079081</v>
      </c>
      <c r="K47" s="35">
        <f t="shared" si="5"/>
        <v>2133.9800822583898</v>
      </c>
      <c r="L47" s="35">
        <f t="shared" si="5"/>
        <v>2181.6906729088714</v>
      </c>
      <c r="M47" s="35">
        <f t="shared" si="5"/>
        <v>2229.4012635593531</v>
      </c>
      <c r="N47" s="35">
        <f t="shared" si="6"/>
        <v>2595.5956132405618</v>
      </c>
      <c r="O47" s="35">
        <f t="shared" si="6"/>
        <v>2961.7899629216708</v>
      </c>
      <c r="P47" s="35">
        <f t="shared" si="6"/>
        <v>3327.9843126027799</v>
      </c>
      <c r="Q47" s="35">
        <f t="shared" si="6"/>
        <v>3694.1786622840027</v>
      </c>
      <c r="R47" s="35">
        <f t="shared" si="6"/>
        <v>4060.3730119651118</v>
      </c>
      <c r="S47" s="35">
        <f t="shared" si="7"/>
        <v>4575.658894918206</v>
      </c>
      <c r="T47" s="35">
        <f t="shared" si="7"/>
        <v>5090.9447778715275</v>
      </c>
      <c r="U47" s="35">
        <f t="shared" si="7"/>
        <v>5606.2306608246217</v>
      </c>
      <c r="V47" s="35">
        <f t="shared" si="7"/>
        <v>6121.5165437779433</v>
      </c>
      <c r="W47" s="35">
        <f t="shared" si="7"/>
        <v>6636.8024267312649</v>
      </c>
      <c r="X47" s="35">
        <f t="shared" si="8"/>
        <v>7109.8017199162769</v>
      </c>
      <c r="Y47" s="35">
        <f t="shared" si="8"/>
        <v>7582.8010131012888</v>
      </c>
      <c r="Z47" s="35">
        <f t="shared" si="8"/>
        <v>8055.8003062863008</v>
      </c>
      <c r="AA47" s="35">
        <f t="shared" si="8"/>
        <v>8528.7995994713128</v>
      </c>
      <c r="AB47" s="35">
        <f t="shared" si="8"/>
        <v>9001.7988926563248</v>
      </c>
      <c r="AC47" s="35">
        <f t="shared" si="9"/>
        <v>9266.2527443321778</v>
      </c>
      <c r="AD47" s="35">
        <f t="shared" si="9"/>
        <v>9530.7065960079162</v>
      </c>
      <c r="AE47" s="35">
        <f t="shared" si="9"/>
        <v>9795.1604476837711</v>
      </c>
      <c r="AF47" s="35">
        <f t="shared" si="9"/>
        <v>10059.614299359622</v>
      </c>
      <c r="AG47" s="35">
        <f t="shared" si="9"/>
        <v>10324.068151035362</v>
      </c>
      <c r="AH47" s="35">
        <f t="shared" si="9"/>
        <v>10588.522002711215</v>
      </c>
      <c r="AI47" s="35">
        <f t="shared" si="9"/>
        <v>10852.975854387068</v>
      </c>
      <c r="AJ47" s="35">
        <f t="shared" si="9"/>
        <v>11117.429706062809</v>
      </c>
      <c r="AK47" s="35">
        <f t="shared" si="9"/>
        <v>11381.88355773866</v>
      </c>
      <c r="AL47" s="35">
        <f t="shared" si="9"/>
        <v>11646.337409414515</v>
      </c>
      <c r="AM47" s="35">
        <f t="shared" si="9"/>
        <v>11910.791261090253</v>
      </c>
      <c r="AN47" s="35">
        <f t="shared" si="9"/>
        <v>12175.245112766106</v>
      </c>
      <c r="AO47" s="35">
        <f t="shared" si="9"/>
        <v>12439.698964441959</v>
      </c>
      <c r="AP47" s="35">
        <f t="shared" si="9"/>
        <v>12704.152816117698</v>
      </c>
      <c r="AQ47" s="35">
        <f t="shared" si="9"/>
        <v>12968.606667793552</v>
      </c>
      <c r="AR47" s="35">
        <f t="shared" si="9"/>
        <v>13233.060519469291</v>
      </c>
      <c r="AS47" s="35">
        <f t="shared" si="10"/>
        <v>13497.514371145144</v>
      </c>
      <c r="AT47" s="35">
        <f t="shared" si="10"/>
        <v>13761.968222820997</v>
      </c>
      <c r="AU47" s="35">
        <f t="shared" si="10"/>
        <v>14026.422074496735</v>
      </c>
      <c r="AV47" s="35">
        <f t="shared" si="10"/>
        <v>14290.87592617259</v>
      </c>
      <c r="AW47" s="35">
        <f t="shared" si="10"/>
        <v>14555.329777848441</v>
      </c>
      <c r="AX47" s="35">
        <f t="shared" si="10"/>
        <v>14819.783629524181</v>
      </c>
      <c r="AY47" s="35">
        <f t="shared" si="10"/>
        <v>15084.237481200034</v>
      </c>
      <c r="AZ47" s="35">
        <f t="shared" si="10"/>
        <v>15348.691332875887</v>
      </c>
      <c r="BA47" s="35">
        <f t="shared" si="10"/>
        <v>15613.145184551628</v>
      </c>
      <c r="BB47" s="35">
        <f t="shared" si="10"/>
        <v>15877.599036227479</v>
      </c>
      <c r="BC47" s="35">
        <f t="shared" si="10"/>
        <v>16142.052887903334</v>
      </c>
      <c r="BD47" s="35">
        <f t="shared" si="10"/>
        <v>16406.506739579072</v>
      </c>
    </row>
    <row r="51" spans="1:56" x14ac:dyDescent="0.25">
      <c r="A51" s="10" t="s">
        <v>60</v>
      </c>
      <c r="B51" s="5"/>
      <c r="C51" s="5"/>
      <c r="D51" s="11"/>
      <c r="E51" s="6"/>
      <c r="F51" s="5"/>
      <c r="G51" s="5"/>
      <c r="H51" s="5"/>
      <c r="I51" s="5"/>
      <c r="J51" s="5"/>
      <c r="K51" s="5"/>
      <c r="L51" s="5"/>
    </row>
    <row r="52" spans="1:56" x14ac:dyDescent="0.25">
      <c r="A52" s="5"/>
      <c r="B52" s="5"/>
      <c r="C52" s="5"/>
      <c r="D52" s="11"/>
      <c r="E52" s="5"/>
      <c r="F52" s="5"/>
      <c r="G52" s="5"/>
      <c r="H52" s="5"/>
      <c r="I52" s="5"/>
      <c r="J52" s="5"/>
      <c r="K52" s="5"/>
      <c r="L52" s="5"/>
    </row>
    <row r="53" spans="1:56" x14ac:dyDescent="0.25">
      <c r="A53" s="12" t="s">
        <v>61</v>
      </c>
      <c r="B53" s="12" t="s">
        <v>62</v>
      </c>
      <c r="C53" s="12" t="s">
        <v>20</v>
      </c>
      <c r="D53" s="13">
        <v>2007</v>
      </c>
      <c r="E53" s="14">
        <v>2012</v>
      </c>
      <c r="F53" s="14">
        <v>2017</v>
      </c>
      <c r="G53" s="14">
        <v>2022</v>
      </c>
      <c r="H53" s="14">
        <v>2027</v>
      </c>
      <c r="I53" s="14">
        <v>2032</v>
      </c>
      <c r="J53" s="14">
        <v>2037</v>
      </c>
      <c r="K53" s="14">
        <v>2042</v>
      </c>
      <c r="L53" s="14">
        <v>2047</v>
      </c>
      <c r="M53">
        <v>2050</v>
      </c>
      <c r="N53">
        <v>2055</v>
      </c>
      <c r="O53">
        <v>2060</v>
      </c>
      <c r="P53">
        <v>2065</v>
      </c>
      <c r="Q53">
        <v>2070</v>
      </c>
    </row>
    <row r="54" spans="1:56" x14ac:dyDescent="0.25">
      <c r="A54" s="18" t="s">
        <v>63</v>
      </c>
      <c r="B54" s="18" t="s">
        <v>64</v>
      </c>
      <c r="C54" s="18"/>
      <c r="D54" s="19">
        <v>0</v>
      </c>
      <c r="E54" s="20">
        <v>0.16</v>
      </c>
      <c r="F54" s="20">
        <v>0.17</v>
      </c>
      <c r="G54" s="20">
        <v>0.17249999999999999</v>
      </c>
      <c r="H54" s="20">
        <v>0.17499999999999999</v>
      </c>
      <c r="I54" s="20">
        <v>0.17749999999999999</v>
      </c>
      <c r="J54" s="20">
        <v>0.18</v>
      </c>
      <c r="K54" s="20">
        <v>0.185</v>
      </c>
      <c r="L54" s="20">
        <v>0.19</v>
      </c>
      <c r="M54" s="20">
        <v>0.19</v>
      </c>
      <c r="N54" s="20">
        <v>0.19</v>
      </c>
      <c r="O54" s="20">
        <v>0.19</v>
      </c>
      <c r="P54" s="20">
        <v>0.19</v>
      </c>
      <c r="Q54" s="20">
        <v>0.19</v>
      </c>
    </row>
    <row r="57" spans="1:56" x14ac:dyDescent="0.25">
      <c r="A57" s="1" t="s">
        <v>65</v>
      </c>
      <c r="B57">
        <v>2016</v>
      </c>
      <c r="C57">
        <v>2017</v>
      </c>
      <c r="D57">
        <v>2018</v>
      </c>
      <c r="E57">
        <v>2019</v>
      </c>
      <c r="F57">
        <v>2020</v>
      </c>
      <c r="G57">
        <v>2021</v>
      </c>
      <c r="H57">
        <v>2022</v>
      </c>
      <c r="I57">
        <v>2023</v>
      </c>
      <c r="J57">
        <v>2024</v>
      </c>
      <c r="K57">
        <v>2025</v>
      </c>
      <c r="L57">
        <v>2026</v>
      </c>
      <c r="M57">
        <v>2027</v>
      </c>
      <c r="N57">
        <v>2028</v>
      </c>
      <c r="O57">
        <v>2029</v>
      </c>
      <c r="P57">
        <v>2030</v>
      </c>
      <c r="Q57">
        <v>2031</v>
      </c>
      <c r="R57">
        <v>2032</v>
      </c>
      <c r="S57">
        <v>2033</v>
      </c>
      <c r="T57">
        <v>2034</v>
      </c>
      <c r="U57">
        <v>2035</v>
      </c>
      <c r="V57">
        <v>2036</v>
      </c>
      <c r="W57">
        <v>2037</v>
      </c>
      <c r="X57">
        <v>2038</v>
      </c>
      <c r="Y57">
        <v>2039</v>
      </c>
      <c r="Z57">
        <v>2040</v>
      </c>
      <c r="AA57">
        <v>2041</v>
      </c>
      <c r="AB57">
        <v>2042</v>
      </c>
      <c r="AC57">
        <v>2043</v>
      </c>
      <c r="AD57">
        <v>2044</v>
      </c>
      <c r="AE57">
        <v>2045</v>
      </c>
      <c r="AF57">
        <v>2046</v>
      </c>
      <c r="AG57">
        <v>2047</v>
      </c>
      <c r="AH57">
        <v>2048</v>
      </c>
      <c r="AI57">
        <v>2049</v>
      </c>
      <c r="AJ57">
        <v>2050</v>
      </c>
      <c r="AK57">
        <v>2051</v>
      </c>
      <c r="AL57">
        <v>2052</v>
      </c>
      <c r="AM57">
        <v>2053</v>
      </c>
      <c r="AN57">
        <v>2054</v>
      </c>
      <c r="AO57">
        <v>2055</v>
      </c>
      <c r="AP57">
        <v>2056</v>
      </c>
      <c r="AQ57">
        <v>2057</v>
      </c>
      <c r="AR57">
        <v>2058</v>
      </c>
      <c r="AS57">
        <v>2059</v>
      </c>
      <c r="AT57">
        <v>2060</v>
      </c>
      <c r="AU57">
        <v>2061</v>
      </c>
      <c r="AV57">
        <v>2062</v>
      </c>
      <c r="AW57">
        <v>2063</v>
      </c>
      <c r="AX57">
        <v>2064</v>
      </c>
      <c r="AY57">
        <v>2065</v>
      </c>
      <c r="AZ57">
        <v>2066</v>
      </c>
      <c r="BA57">
        <v>2067</v>
      </c>
      <c r="BB57">
        <v>2068</v>
      </c>
      <c r="BC57">
        <v>2069</v>
      </c>
      <c r="BD57">
        <v>2070</v>
      </c>
    </row>
    <row r="58" spans="1:56" x14ac:dyDescent="0.25">
      <c r="B58" s="36">
        <f>DSCF!B2</f>
        <v>0.17907500000000001</v>
      </c>
      <c r="C58" s="36">
        <f>DSCF!B2</f>
        <v>0.17907500000000001</v>
      </c>
      <c r="D58" s="36">
        <f>DSCF!C2</f>
        <v>0.18271666666666686</v>
      </c>
      <c r="E58" s="36">
        <f>DSCF!D2</f>
        <v>0.18635833333333363</v>
      </c>
      <c r="F58" s="36">
        <f>DSCF!E2</f>
        <v>0.19</v>
      </c>
      <c r="G58" s="36">
        <f>DSCF!F2</f>
        <v>0.19093399999999994</v>
      </c>
      <c r="H58" s="36">
        <f>DSCF!G2</f>
        <v>0.19186799999999993</v>
      </c>
      <c r="I58" s="36">
        <f>DSCF!H2</f>
        <v>0.19280199999999992</v>
      </c>
      <c r="J58" s="36">
        <f>DSCF!I2</f>
        <v>0.19373599999999991</v>
      </c>
      <c r="K58" s="36">
        <f>DSCF!J2</f>
        <v>0.1946699999999999</v>
      </c>
      <c r="L58" s="36">
        <f>DSCF!K2</f>
        <v>0.19560399999999989</v>
      </c>
      <c r="M58" s="36">
        <f>DSCF!L2</f>
        <v>0.19653799999999988</v>
      </c>
      <c r="N58" s="36">
        <f>DSCF!M2</f>
        <v>0.19747199999999987</v>
      </c>
      <c r="O58" s="36">
        <f>DSCF!N2</f>
        <v>0.19840599999999986</v>
      </c>
      <c r="P58" s="36">
        <f>DSCF!O2</f>
        <v>0.19933999999999985</v>
      </c>
      <c r="Q58" s="36">
        <f>DSCF!P2</f>
        <v>0.20027399999999984</v>
      </c>
      <c r="R58" s="36">
        <f>DSCF!Q2</f>
        <v>0.20120799999999983</v>
      </c>
      <c r="S58" s="36">
        <f>DSCF!R2</f>
        <v>0.20214199999999982</v>
      </c>
      <c r="T58" s="36">
        <f>DSCF!S2</f>
        <v>0.20307599999999981</v>
      </c>
      <c r="U58" s="36">
        <f>DSCF!T2</f>
        <v>0.2040099999999998</v>
      </c>
      <c r="V58" s="36">
        <f>DSCF!U2</f>
        <v>0.20494399999999979</v>
      </c>
      <c r="W58" s="36">
        <f>DSCF!V2</f>
        <v>0.20587800000000001</v>
      </c>
      <c r="X58" s="36">
        <f>DSCF!W2</f>
        <v>0.206812</v>
      </c>
      <c r="Y58" s="36">
        <f>DSCF!X2</f>
        <v>0.20774599999999999</v>
      </c>
      <c r="Z58" s="36">
        <f>DSCF!Y2</f>
        <v>0.20867999999999998</v>
      </c>
      <c r="AA58" s="36">
        <f>DSCF!Z2</f>
        <v>0.20961399999999997</v>
      </c>
      <c r="AB58" s="36">
        <f>DSCF!AA2</f>
        <v>0.21054799999999996</v>
      </c>
      <c r="AC58" s="36">
        <f>DSCF!AB2</f>
        <v>0.21148199999999995</v>
      </c>
      <c r="AD58" s="36">
        <f>DSCF!AC2</f>
        <v>0.21241599999999994</v>
      </c>
      <c r="AE58" s="36">
        <f>DSCF!AD2</f>
        <v>0.21334999999999993</v>
      </c>
      <c r="AF58" s="36">
        <f>DSCF!AE2</f>
        <v>0.21428399999999992</v>
      </c>
      <c r="AG58" s="36">
        <f>DSCF!AF2</f>
        <v>0.21521799999999991</v>
      </c>
      <c r="AH58" s="36">
        <f>DSCF!AG2</f>
        <v>0.2161519999999999</v>
      </c>
      <c r="AI58" s="36">
        <f>DSCF!AH2</f>
        <v>0.21708599999999989</v>
      </c>
      <c r="AJ58" s="36">
        <f>DSCF!AI2</f>
        <v>0.21801999999999988</v>
      </c>
      <c r="AK58" s="36">
        <f>DSCF!AJ2</f>
        <v>0.21895399999999987</v>
      </c>
      <c r="AL58" s="36">
        <f>DSCF!AK2</f>
        <v>0.21988799999999986</v>
      </c>
      <c r="AM58" s="36">
        <f>DSCF!AL2</f>
        <v>0.22082199999999985</v>
      </c>
      <c r="AN58" s="36">
        <f>DSCF!AM2</f>
        <v>0.22175599999999984</v>
      </c>
      <c r="AO58" s="36">
        <f>DSCF!AN2</f>
        <v>0.22268999999999983</v>
      </c>
      <c r="AP58" s="36">
        <f>DSCF!AO2</f>
        <v>0.22362399999999982</v>
      </c>
      <c r="AQ58" s="36">
        <f>DSCF!AP2</f>
        <v>0.22455799999999981</v>
      </c>
      <c r="AR58" s="36">
        <f>DSCF!AQ2</f>
        <v>0.2254919999999998</v>
      </c>
      <c r="AS58" s="36">
        <f>DSCF!AR2</f>
        <v>0.22642599999999979</v>
      </c>
      <c r="AT58" s="36">
        <f>DSCF!AS2</f>
        <v>0.22736000000000001</v>
      </c>
      <c r="AU58" s="36">
        <f>DSCF!AT2</f>
        <v>0.228294</v>
      </c>
      <c r="AV58" s="36">
        <f>DSCF!AU2</f>
        <v>0.22922799999999999</v>
      </c>
      <c r="AW58" s="36">
        <f>DSCF!AV2</f>
        <v>0.23016199999999998</v>
      </c>
      <c r="AX58" s="36">
        <f>DSCF!AW2</f>
        <v>0.23109599999999997</v>
      </c>
      <c r="AY58" s="36">
        <f>DSCF!AX2</f>
        <v>0.23202999999999996</v>
      </c>
      <c r="AZ58" s="36">
        <f>DSCF!AY2</f>
        <v>0.23296399999999995</v>
      </c>
      <c r="BA58" s="36">
        <f>DSCF!AZ2</f>
        <v>0.23389799999999994</v>
      </c>
      <c r="BB58" s="36">
        <f>DSCF!BA2</f>
        <v>0.23483199999999993</v>
      </c>
      <c r="BC58" s="36">
        <f>DSCF!BB2</f>
        <v>0.23576599999999992</v>
      </c>
      <c r="BD58" s="36">
        <f>DSCF!BC2</f>
        <v>0.23669999999999991</v>
      </c>
    </row>
    <row r="61" spans="1:56" x14ac:dyDescent="0.25">
      <c r="A61" s="1" t="s">
        <v>66</v>
      </c>
      <c r="B61">
        <v>2016</v>
      </c>
      <c r="C61">
        <v>2017</v>
      </c>
      <c r="D61">
        <v>2018</v>
      </c>
      <c r="E61">
        <v>2019</v>
      </c>
      <c r="F61">
        <v>2020</v>
      </c>
      <c r="G61">
        <v>2021</v>
      </c>
      <c r="H61">
        <v>2022</v>
      </c>
      <c r="I61">
        <v>2023</v>
      </c>
      <c r="J61">
        <v>2024</v>
      </c>
      <c r="K61">
        <v>2025</v>
      </c>
      <c r="L61">
        <v>2026</v>
      </c>
      <c r="M61">
        <v>2027</v>
      </c>
      <c r="N61">
        <v>2028</v>
      </c>
      <c r="O61">
        <v>2029</v>
      </c>
      <c r="P61">
        <v>2030</v>
      </c>
      <c r="Q61">
        <v>2031</v>
      </c>
      <c r="R61">
        <v>2032</v>
      </c>
      <c r="S61">
        <v>2033</v>
      </c>
      <c r="T61">
        <v>2034</v>
      </c>
      <c r="U61">
        <v>2035</v>
      </c>
      <c r="V61">
        <v>2036</v>
      </c>
      <c r="W61">
        <v>2037</v>
      </c>
      <c r="X61">
        <v>2038</v>
      </c>
      <c r="Y61">
        <v>2039</v>
      </c>
      <c r="Z61">
        <v>2040</v>
      </c>
      <c r="AA61">
        <v>2041</v>
      </c>
      <c r="AB61">
        <v>2042</v>
      </c>
      <c r="AC61">
        <v>2043</v>
      </c>
      <c r="AD61">
        <v>2044</v>
      </c>
      <c r="AE61">
        <v>2045</v>
      </c>
      <c r="AF61">
        <v>2046</v>
      </c>
      <c r="AG61">
        <v>2047</v>
      </c>
      <c r="AH61">
        <v>2048</v>
      </c>
      <c r="AI61">
        <v>2049</v>
      </c>
      <c r="AJ61">
        <v>2050</v>
      </c>
      <c r="AK61">
        <v>2051</v>
      </c>
      <c r="AL61">
        <v>2052</v>
      </c>
      <c r="AM61">
        <v>2053</v>
      </c>
      <c r="AN61">
        <v>2054</v>
      </c>
      <c r="AO61">
        <v>2055</v>
      </c>
      <c r="AP61">
        <v>2056</v>
      </c>
      <c r="AQ61">
        <v>2057</v>
      </c>
      <c r="AR61">
        <v>2058</v>
      </c>
      <c r="AS61">
        <v>2059</v>
      </c>
      <c r="AT61">
        <v>2060</v>
      </c>
      <c r="AU61">
        <v>2061</v>
      </c>
      <c r="AV61">
        <v>2062</v>
      </c>
      <c r="AW61">
        <v>2063</v>
      </c>
      <c r="AX61">
        <v>2064</v>
      </c>
      <c r="AY61">
        <v>2065</v>
      </c>
      <c r="AZ61">
        <v>2066</v>
      </c>
      <c r="BA61">
        <v>2067</v>
      </c>
      <c r="BB61">
        <v>2068</v>
      </c>
      <c r="BC61">
        <v>2069</v>
      </c>
      <c r="BD61">
        <v>2070</v>
      </c>
    </row>
    <row r="62" spans="1:56" x14ac:dyDescent="0.25">
      <c r="A62" t="s">
        <v>56</v>
      </c>
      <c r="B62" s="3">
        <f t="shared" ref="B62:BD62" si="12">B45*B$58*365*24</f>
        <v>48840.736783317174</v>
      </c>
      <c r="C62" s="3">
        <f t="shared" si="12"/>
        <v>60216.652873214451</v>
      </c>
      <c r="D62" s="3">
        <f t="shared" si="12"/>
        <v>129429.1652635927</v>
      </c>
      <c r="E62" s="3">
        <f>E45*E$58*365*24</f>
        <v>201351.76914436385</v>
      </c>
      <c r="F62" s="3">
        <f t="shared" si="12"/>
        <v>275984.46451555088</v>
      </c>
      <c r="G62" s="3">
        <f t="shared" si="12"/>
        <v>348386.72159626475</v>
      </c>
      <c r="H62" s="3">
        <f t="shared" si="12"/>
        <v>421484.05202764971</v>
      </c>
      <c r="I62" s="3">
        <f t="shared" si="12"/>
        <v>435286.32868799742</v>
      </c>
      <c r="J62" s="3">
        <f t="shared" si="12"/>
        <v>449202.45258380414</v>
      </c>
      <c r="K62" s="3">
        <f t="shared" si="12"/>
        <v>463232.42371508188</v>
      </c>
      <c r="L62" s="3">
        <f t="shared" si="12"/>
        <v>477376.24208182463</v>
      </c>
      <c r="M62" s="3">
        <f t="shared" si="12"/>
        <v>491633.90768403537</v>
      </c>
      <c r="N62" s="3">
        <f t="shared" si="12"/>
        <v>587062.13500273228</v>
      </c>
      <c r="O62" s="3">
        <f t="shared" si="12"/>
        <v>683370.97113647906</v>
      </c>
      <c r="P62" s="3">
        <f t="shared" si="12"/>
        <v>780560.41608533729</v>
      </c>
      <c r="Q62" s="3">
        <f t="shared" si="12"/>
        <v>878630.46984928264</v>
      </c>
      <c r="R62" s="3">
        <f t="shared" si="12"/>
        <v>977581.13242828986</v>
      </c>
      <c r="S62" s="3">
        <f t="shared" si="12"/>
        <v>1131791.0388272041</v>
      </c>
      <c r="T62" s="3">
        <f t="shared" si="12"/>
        <v>1287384.0685616368</v>
      </c>
      <c r="U62" s="3">
        <f t="shared" si="12"/>
        <v>1444360.221631638</v>
      </c>
      <c r="V62" s="3">
        <f t="shared" si="12"/>
        <v>1602719.4980371064</v>
      </c>
      <c r="W62" s="3">
        <f t="shared" si="12"/>
        <v>1762461.8977780947</v>
      </c>
      <c r="X62" s="3">
        <f t="shared" si="12"/>
        <v>1931406.8053468051</v>
      </c>
      <c r="Y62" s="3">
        <f t="shared" si="12"/>
        <v>2101805.4637302477</v>
      </c>
      <c r="Z62" s="3">
        <f t="shared" si="12"/>
        <v>2273657.8729284238</v>
      </c>
      <c r="AA62" s="3">
        <f t="shared" si="12"/>
        <v>2446964.0329412809</v>
      </c>
      <c r="AB62" s="3">
        <f t="shared" si="12"/>
        <v>2621723.9437689222</v>
      </c>
      <c r="AC62" s="3">
        <f t="shared" si="12"/>
        <v>2751496.3502214439</v>
      </c>
      <c r="AD62" s="3">
        <f t="shared" si="12"/>
        <v>2882312.2963848114</v>
      </c>
      <c r="AE62" s="3">
        <f t="shared" si="12"/>
        <v>3014171.7822588664</v>
      </c>
      <c r="AF62" s="3">
        <f t="shared" si="12"/>
        <v>3147074.8078436619</v>
      </c>
      <c r="AG62" s="3">
        <f t="shared" si="12"/>
        <v>3281021.373139252</v>
      </c>
      <c r="AH62" s="3">
        <f t="shared" si="12"/>
        <v>3416011.4781455286</v>
      </c>
      <c r="AI62" s="3">
        <f t="shared" si="12"/>
        <v>3552045.1228625467</v>
      </c>
      <c r="AJ62" s="3">
        <f t="shared" si="12"/>
        <v>3689122.3072903585</v>
      </c>
      <c r="AK62" s="3">
        <f t="shared" si="12"/>
        <v>3827243.0314288577</v>
      </c>
      <c r="AL62" s="3">
        <f t="shared" si="12"/>
        <v>3966407.2952780975</v>
      </c>
      <c r="AM62" s="3">
        <f t="shared" si="12"/>
        <v>4106615.0988381309</v>
      </c>
      <c r="AN62" s="3">
        <f t="shared" si="12"/>
        <v>4247866.4421088528</v>
      </c>
      <c r="AO62" s="3">
        <f t="shared" si="12"/>
        <v>4390161.3250903133</v>
      </c>
      <c r="AP62" s="3">
        <f t="shared" si="12"/>
        <v>4533499.7477825703</v>
      </c>
      <c r="AQ62" s="3">
        <f t="shared" si="12"/>
        <v>4677881.7101855148</v>
      </c>
      <c r="AR62" s="3">
        <f t="shared" si="12"/>
        <v>4823307.212299197</v>
      </c>
      <c r="AS62" s="3">
        <f t="shared" si="12"/>
        <v>4969776.2541236766</v>
      </c>
      <c r="AT62" s="3">
        <f t="shared" si="12"/>
        <v>5117288.8356588464</v>
      </c>
      <c r="AU62" s="3">
        <f t="shared" si="12"/>
        <v>5265844.9569047522</v>
      </c>
      <c r="AV62" s="3">
        <f t="shared" si="12"/>
        <v>5415444.6178614553</v>
      </c>
      <c r="AW62" s="3">
        <f t="shared" si="12"/>
        <v>5566087.8185288403</v>
      </c>
      <c r="AX62" s="3">
        <f t="shared" si="12"/>
        <v>5717774.5589069678</v>
      </c>
      <c r="AY62" s="3">
        <f t="shared" si="12"/>
        <v>5870504.8389958926</v>
      </c>
      <c r="AZ62" s="3">
        <f t="shared" si="12"/>
        <v>6024278.658795502</v>
      </c>
      <c r="BA62" s="3">
        <f t="shared" si="12"/>
        <v>6179096.0183058493</v>
      </c>
      <c r="BB62" s="3">
        <f t="shared" si="12"/>
        <v>6334956.9175269976</v>
      </c>
      <c r="BC62" s="3">
        <f t="shared" si="12"/>
        <v>6491861.3564588288</v>
      </c>
      <c r="BD62" s="3">
        <f t="shared" si="12"/>
        <v>6649809.3351013977</v>
      </c>
    </row>
    <row r="63" spans="1:56" x14ac:dyDescent="0.25">
      <c r="A63" t="s">
        <v>57</v>
      </c>
      <c r="B63" s="3">
        <f t="shared" ref="B63:BD63" si="13">B46*B$58*365*24</f>
        <v>85315.165046050795</v>
      </c>
      <c r="C63" s="3">
        <f t="shared" si="13"/>
        <v>104697.33072706658</v>
      </c>
      <c r="D63" s="3">
        <f t="shared" si="13"/>
        <v>217621.49395199138</v>
      </c>
      <c r="E63" s="3">
        <f t="shared" si="13"/>
        <v>334962.09723780514</v>
      </c>
      <c r="F63" s="3">
        <f t="shared" si="13"/>
        <v>456719.14058455441</v>
      </c>
      <c r="G63" s="3">
        <f t="shared" si="13"/>
        <v>574742.11095743778</v>
      </c>
      <c r="H63" s="3">
        <f t="shared" si="13"/>
        <v>693897.79209010245</v>
      </c>
      <c r="I63" s="3">
        <f t="shared" si="13"/>
        <v>712385.31232140062</v>
      </c>
      <c r="J63" s="3">
        <f t="shared" si="13"/>
        <v>731019.22559655725</v>
      </c>
      <c r="K63" s="3">
        <f t="shared" si="13"/>
        <v>749799.5319155904</v>
      </c>
      <c r="L63" s="3">
        <f t="shared" si="13"/>
        <v>768726.23127848806</v>
      </c>
      <c r="M63" s="3">
        <f t="shared" si="13"/>
        <v>787799.32368526224</v>
      </c>
      <c r="N63" s="3">
        <f t="shared" si="13"/>
        <v>909605.63925572752</v>
      </c>
      <c r="O63" s="3">
        <f t="shared" si="13"/>
        <v>1032528.7750631642</v>
      </c>
      <c r="P63" s="3">
        <f t="shared" si="13"/>
        <v>1156568.7311074615</v>
      </c>
      <c r="Q63" s="3">
        <f t="shared" si="13"/>
        <v>1281725.5073886686</v>
      </c>
      <c r="R63" s="3">
        <f t="shared" si="13"/>
        <v>1407999.1039068354</v>
      </c>
      <c r="S63" s="3">
        <f t="shared" si="13"/>
        <v>1569012.8549556374</v>
      </c>
      <c r="T63" s="3">
        <f t="shared" si="13"/>
        <v>1731454.1404346428</v>
      </c>
      <c r="U63" s="3">
        <f t="shared" si="13"/>
        <v>1895322.9603438517</v>
      </c>
      <c r="V63" s="3">
        <f t="shared" si="13"/>
        <v>2060619.3146832639</v>
      </c>
      <c r="W63" s="3">
        <f t="shared" si="13"/>
        <v>2227343.2034528824</v>
      </c>
      <c r="X63" s="3">
        <f t="shared" si="13"/>
        <v>2362138.7494872585</v>
      </c>
      <c r="Y63" s="3">
        <f t="shared" si="13"/>
        <v>2498060.5477316398</v>
      </c>
      <c r="Z63" s="3">
        <f t="shared" si="13"/>
        <v>2635108.5981858717</v>
      </c>
      <c r="AA63" s="3">
        <f t="shared" si="13"/>
        <v>2773282.9008500064</v>
      </c>
      <c r="AB63" s="3">
        <f t="shared" si="13"/>
        <v>2912583.4557240424</v>
      </c>
      <c r="AC63" s="3">
        <f t="shared" si="13"/>
        <v>2970668.9853789131</v>
      </c>
      <c r="AD63" s="3">
        <f t="shared" si="13"/>
        <v>3029153.4547242392</v>
      </c>
      <c r="AE63" s="3">
        <f t="shared" si="13"/>
        <v>3088036.8637600355</v>
      </c>
      <c r="AF63" s="3">
        <f t="shared" si="13"/>
        <v>3147319.2124862745</v>
      </c>
      <c r="AG63" s="3">
        <f t="shared" si="13"/>
        <v>3207000.500902982</v>
      </c>
      <c r="AH63" s="3">
        <f t="shared" si="13"/>
        <v>3267080.7290101331</v>
      </c>
      <c r="AI63" s="3">
        <f t="shared" si="13"/>
        <v>3327559.8968077409</v>
      </c>
      <c r="AJ63" s="3">
        <f t="shared" si="13"/>
        <v>3388438.0042958166</v>
      </c>
      <c r="AK63" s="3">
        <f t="shared" si="13"/>
        <v>3449715.0514743361</v>
      </c>
      <c r="AL63" s="3">
        <f t="shared" si="13"/>
        <v>3511391.0383433253</v>
      </c>
      <c r="AM63" s="3">
        <f t="shared" si="13"/>
        <v>3573465.9649027563</v>
      </c>
      <c r="AN63" s="3">
        <f t="shared" si="13"/>
        <v>3635939.831152657</v>
      </c>
      <c r="AO63" s="3">
        <f t="shared" si="13"/>
        <v>3698812.6370930015</v>
      </c>
      <c r="AP63" s="3">
        <f t="shared" si="13"/>
        <v>3762084.3827238148</v>
      </c>
      <c r="AQ63" s="3">
        <f t="shared" si="13"/>
        <v>3825755.0680450704</v>
      </c>
      <c r="AR63" s="3">
        <f t="shared" si="13"/>
        <v>3889824.6930567818</v>
      </c>
      <c r="AS63" s="3">
        <f t="shared" si="13"/>
        <v>3954293.2577589639</v>
      </c>
      <c r="AT63" s="3">
        <f t="shared" si="13"/>
        <v>4019160.7621515915</v>
      </c>
      <c r="AU63" s="3">
        <f t="shared" si="13"/>
        <v>4084427.2062346851</v>
      </c>
      <c r="AV63" s="3">
        <f t="shared" si="13"/>
        <v>4150092.5900082216</v>
      </c>
      <c r="AW63" s="3">
        <f t="shared" si="13"/>
        <v>4216156.9134722287</v>
      </c>
      <c r="AX63" s="3">
        <f t="shared" si="13"/>
        <v>4282620.1766266758</v>
      </c>
      <c r="AY63" s="3">
        <f t="shared" si="13"/>
        <v>4349482.3794715945</v>
      </c>
      <c r="AZ63" s="3">
        <f t="shared" si="13"/>
        <v>4416743.5220069559</v>
      </c>
      <c r="BA63" s="3">
        <f t="shared" si="13"/>
        <v>4484403.6042327723</v>
      </c>
      <c r="BB63" s="3">
        <f t="shared" si="13"/>
        <v>4552462.6261490602</v>
      </c>
      <c r="BC63" s="3">
        <f t="shared" si="13"/>
        <v>4620920.5877557881</v>
      </c>
      <c r="BD63" s="3">
        <f t="shared" si="13"/>
        <v>4689777.4890529877</v>
      </c>
    </row>
    <row r="64" spans="1:56" x14ac:dyDescent="0.25">
      <c r="A64" t="s">
        <v>58</v>
      </c>
      <c r="B64" s="3">
        <f t="shared" ref="B64:BD64" si="14">B47*B$58*365*24</f>
        <v>402467.70548810391</v>
      </c>
      <c r="C64" s="3">
        <f t="shared" si="14"/>
        <v>494741.95080079848</v>
      </c>
      <c r="D64" s="3">
        <f t="shared" si="14"/>
        <v>1041151.9776467067</v>
      </c>
      <c r="E64" s="3">
        <f t="shared" si="14"/>
        <v>1608941.5991466462</v>
      </c>
      <c r="F64" s="3">
        <f t="shared" si="14"/>
        <v>2198110.8153002448</v>
      </c>
      <c r="G64" s="3">
        <f t="shared" si="14"/>
        <v>2769386.497661036</v>
      </c>
      <c r="H64" s="3">
        <f t="shared" si="14"/>
        <v>3346145.5323533756</v>
      </c>
      <c r="I64" s="3">
        <f t="shared" si="14"/>
        <v>3443014.9230281669</v>
      </c>
      <c r="J64" s="3">
        <f t="shared" si="14"/>
        <v>3540665.0345410695</v>
      </c>
      <c r="K64" s="3">
        <f t="shared" si="14"/>
        <v>3639095.8668919867</v>
      </c>
      <c r="L64" s="3">
        <f t="shared" si="14"/>
        <v>3738307.4200809198</v>
      </c>
      <c r="M64" s="3">
        <f t="shared" si="14"/>
        <v>3838299.6941078678</v>
      </c>
      <c r="N64" s="3">
        <f t="shared" si="14"/>
        <v>4490003.3227754775</v>
      </c>
      <c r="O64" s="3">
        <f t="shared" si="14"/>
        <v>5147699.2385989046</v>
      </c>
      <c r="P64" s="3">
        <f t="shared" si="14"/>
        <v>5811387.4415783221</v>
      </c>
      <c r="Q64" s="3">
        <f t="shared" si="14"/>
        <v>6481067.9317139285</v>
      </c>
      <c r="R64" s="3">
        <f t="shared" si="14"/>
        <v>7156740.709005326</v>
      </c>
      <c r="S64" s="3">
        <f t="shared" si="14"/>
        <v>8102411.6813482232</v>
      </c>
      <c r="T64" s="3">
        <f t="shared" si="14"/>
        <v>9056514.6269886885</v>
      </c>
      <c r="U64" s="3">
        <f t="shared" si="14"/>
        <v>10019049.545925912</v>
      </c>
      <c r="V64" s="3">
        <f t="shared" si="14"/>
        <v>10990016.438160703</v>
      </c>
      <c r="W64" s="3">
        <f t="shared" si="14"/>
        <v>11969415.303692676</v>
      </c>
      <c r="X64" s="3">
        <f t="shared" si="14"/>
        <v>12880636.664502086</v>
      </c>
      <c r="Y64" s="3">
        <f t="shared" si="14"/>
        <v>13799598.034385405</v>
      </c>
      <c r="Z64" s="3">
        <f t="shared" si="14"/>
        <v>14726299.413342627</v>
      </c>
      <c r="AA64" s="3">
        <f t="shared" si="14"/>
        <v>15660740.801373756</v>
      </c>
      <c r="AB64" s="3">
        <f t="shared" si="14"/>
        <v>16602922.198478788</v>
      </c>
      <c r="AC64" s="3">
        <f t="shared" si="14"/>
        <v>17166496.00680127</v>
      </c>
      <c r="AD64" s="3">
        <f t="shared" si="14"/>
        <v>17734397.253327124</v>
      </c>
      <c r="AE64" s="3">
        <f t="shared" si="14"/>
        <v>18306625.938056789</v>
      </c>
      <c r="AF64" s="3">
        <f t="shared" si="14"/>
        <v>18883182.060990032</v>
      </c>
      <c r="AG64" s="3">
        <f t="shared" si="14"/>
        <v>19464065.622126661</v>
      </c>
      <c r="AH64" s="3">
        <f t="shared" si="14"/>
        <v>20049276.621467095</v>
      </c>
      <c r="AI64" s="3">
        <f t="shared" si="14"/>
        <v>20638815.059011117</v>
      </c>
      <c r="AJ64" s="3">
        <f t="shared" si="14"/>
        <v>21232680.934758514</v>
      </c>
      <c r="AK64" s="3">
        <f t="shared" si="14"/>
        <v>21830874.248709716</v>
      </c>
      <c r="AL64" s="3">
        <f t="shared" si="14"/>
        <v>22433395.000864513</v>
      </c>
      <c r="AM64" s="3">
        <f t="shared" si="14"/>
        <v>23040243.191222675</v>
      </c>
      <c r="AN64" s="3">
        <f t="shared" si="14"/>
        <v>23651418.819784652</v>
      </c>
      <c r="AO64" s="3">
        <f t="shared" si="14"/>
        <v>24266921.886550218</v>
      </c>
      <c r="AP64" s="3">
        <f t="shared" si="14"/>
        <v>24886752.391519152</v>
      </c>
      <c r="AQ64" s="3">
        <f t="shared" si="14"/>
        <v>25510910.334691904</v>
      </c>
      <c r="AR64" s="3">
        <f t="shared" si="14"/>
        <v>26139395.716068022</v>
      </c>
      <c r="AS64" s="3">
        <f t="shared" si="14"/>
        <v>26772208.535647951</v>
      </c>
      <c r="AT64" s="3">
        <f t="shared" si="14"/>
        <v>27409348.793431498</v>
      </c>
      <c r="AU64" s="3">
        <f t="shared" si="14"/>
        <v>28050816.48941838</v>
      </c>
      <c r="AV64" s="3">
        <f t="shared" si="14"/>
        <v>28696611.623609088</v>
      </c>
      <c r="AW64" s="3">
        <f t="shared" si="14"/>
        <v>29346734.196003377</v>
      </c>
      <c r="AX64" s="3">
        <f t="shared" si="14"/>
        <v>30001184.206601031</v>
      </c>
      <c r="AY64" s="3">
        <f t="shared" si="14"/>
        <v>30659961.655402504</v>
      </c>
      <c r="AZ64" s="3">
        <f t="shared" si="14"/>
        <v>31323066.54240758</v>
      </c>
      <c r="BA64" s="3">
        <f t="shared" si="14"/>
        <v>31990498.867616002</v>
      </c>
      <c r="BB64" s="3">
        <f t="shared" si="14"/>
        <v>32662258.631028246</v>
      </c>
      <c r="BC64" s="3">
        <f t="shared" si="14"/>
        <v>33338345.83264409</v>
      </c>
      <c r="BD64" s="3">
        <f t="shared" si="14"/>
        <v>34018760.47246328</v>
      </c>
    </row>
  </sheetData>
  <pageMargins left="0.7" right="0.7" top="0.75" bottom="0.75" header="0.3" footer="0.3"/>
  <pageSetup orientation="portrait" r:id="rId1"/>
  <ignoredErrors>
    <ignoredError sqref="B39:I4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sheetData>
    <row r="1" spans="1:2" x14ac:dyDescent="0.25">
      <c r="A1" t="s">
        <v>67</v>
      </c>
    </row>
    <row r="2" spans="1:2" x14ac:dyDescent="0.25">
      <c r="A2" t="s">
        <v>68</v>
      </c>
    </row>
    <row r="3" spans="1:2" x14ac:dyDescent="0.25">
      <c r="A3">
        <v>0.85899999999999999</v>
      </c>
      <c r="B3" t="s">
        <v>69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2"/>
  <sheetViews>
    <sheetView workbookViewId="0">
      <selection activeCell="C2" sqref="C2"/>
    </sheetView>
  </sheetViews>
  <sheetFormatPr defaultRowHeight="15" customHeight="1" x14ac:dyDescent="0.25"/>
  <cols>
    <col min="1" max="1" width="16.7109375" customWidth="1"/>
    <col min="2" max="2" width="9.140625" customWidth="1"/>
    <col min="6" max="6" width="9.28515625" bestFit="1" customWidth="1"/>
  </cols>
  <sheetData>
    <row r="1" spans="1:55" x14ac:dyDescent="0.25">
      <c r="B1" s="39">
        <v>2017</v>
      </c>
      <c r="C1">
        <v>2018</v>
      </c>
      <c r="D1" s="39">
        <v>2019</v>
      </c>
      <c r="E1">
        <v>2020</v>
      </c>
      <c r="F1" s="39">
        <v>2021</v>
      </c>
      <c r="G1">
        <v>2022</v>
      </c>
      <c r="H1" s="39">
        <v>2023</v>
      </c>
      <c r="I1">
        <v>2024</v>
      </c>
      <c r="J1" s="39">
        <v>2025</v>
      </c>
      <c r="K1">
        <v>2026</v>
      </c>
      <c r="L1" s="39">
        <v>2027</v>
      </c>
      <c r="M1">
        <v>2028</v>
      </c>
      <c r="N1" s="39">
        <v>2029</v>
      </c>
      <c r="O1">
        <v>2030</v>
      </c>
      <c r="P1" s="39">
        <v>2031</v>
      </c>
      <c r="Q1">
        <v>2032</v>
      </c>
      <c r="R1" s="39">
        <v>2033</v>
      </c>
      <c r="S1">
        <v>2034</v>
      </c>
      <c r="T1" s="39">
        <v>2035</v>
      </c>
      <c r="U1">
        <v>2036</v>
      </c>
      <c r="V1" s="39">
        <v>2037</v>
      </c>
      <c r="W1">
        <v>2038</v>
      </c>
      <c r="X1" s="39">
        <v>2039</v>
      </c>
      <c r="Y1">
        <v>2040</v>
      </c>
      <c r="Z1" s="39">
        <v>2041</v>
      </c>
      <c r="AA1">
        <v>2042</v>
      </c>
      <c r="AB1" s="39">
        <v>2043</v>
      </c>
      <c r="AC1">
        <v>2044</v>
      </c>
      <c r="AD1" s="39">
        <v>2045</v>
      </c>
      <c r="AE1">
        <v>2046</v>
      </c>
      <c r="AF1" s="39">
        <v>2047</v>
      </c>
      <c r="AG1">
        <v>2048</v>
      </c>
      <c r="AH1" s="39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5">
      <c r="A2" t="s">
        <v>70</v>
      </c>
      <c r="B2">
        <v>0.17907500000000001</v>
      </c>
      <c r="C2">
        <v>0.18271666666666686</v>
      </c>
      <c r="D2">
        <v>0.18635833333333363</v>
      </c>
      <c r="E2">
        <v>0.19</v>
      </c>
      <c r="F2">
        <v>0.19093399999999994</v>
      </c>
      <c r="G2">
        <v>0.19186799999999993</v>
      </c>
      <c r="H2">
        <v>0.19280199999999992</v>
      </c>
      <c r="I2">
        <v>0.19373599999999991</v>
      </c>
      <c r="J2">
        <v>0.1946699999999999</v>
      </c>
      <c r="K2">
        <v>0.19560399999999989</v>
      </c>
      <c r="L2">
        <v>0.19653799999999988</v>
      </c>
      <c r="M2">
        <v>0.19747199999999987</v>
      </c>
      <c r="N2">
        <v>0.19840599999999986</v>
      </c>
      <c r="O2">
        <v>0.19933999999999985</v>
      </c>
      <c r="P2">
        <v>0.20027399999999984</v>
      </c>
      <c r="Q2">
        <v>0.20120799999999983</v>
      </c>
      <c r="R2">
        <v>0.20214199999999982</v>
      </c>
      <c r="S2">
        <v>0.20307599999999981</v>
      </c>
      <c r="T2">
        <v>0.2040099999999998</v>
      </c>
      <c r="U2">
        <v>0.20494399999999979</v>
      </c>
      <c r="V2">
        <v>0.20587800000000001</v>
      </c>
      <c r="W2">
        <v>0.206812</v>
      </c>
      <c r="X2">
        <v>0.20774599999999999</v>
      </c>
      <c r="Y2">
        <v>0.20867999999999998</v>
      </c>
      <c r="Z2">
        <v>0.20961399999999997</v>
      </c>
      <c r="AA2">
        <v>0.21054799999999996</v>
      </c>
      <c r="AB2">
        <v>0.21148199999999995</v>
      </c>
      <c r="AC2">
        <v>0.21241599999999994</v>
      </c>
      <c r="AD2">
        <v>0.21334999999999993</v>
      </c>
      <c r="AE2">
        <v>0.21428399999999992</v>
      </c>
      <c r="AF2">
        <v>0.21521799999999991</v>
      </c>
      <c r="AG2">
        <v>0.2161519999999999</v>
      </c>
      <c r="AH2">
        <v>0.21708599999999989</v>
      </c>
      <c r="AI2">
        <v>0.21801999999999988</v>
      </c>
      <c r="AJ2">
        <v>0.21895399999999987</v>
      </c>
      <c r="AK2">
        <v>0.21988799999999986</v>
      </c>
      <c r="AL2">
        <v>0.22082199999999985</v>
      </c>
      <c r="AM2">
        <v>0.22175599999999984</v>
      </c>
      <c r="AN2">
        <v>0.22268999999999983</v>
      </c>
      <c r="AO2">
        <v>0.22362399999999982</v>
      </c>
      <c r="AP2">
        <v>0.22455799999999981</v>
      </c>
      <c r="AQ2">
        <v>0.2254919999999998</v>
      </c>
      <c r="AR2">
        <v>0.22642599999999979</v>
      </c>
      <c r="AS2">
        <v>0.22736000000000001</v>
      </c>
      <c r="AT2">
        <v>0.228294</v>
      </c>
      <c r="AU2">
        <v>0.22922799999999999</v>
      </c>
      <c r="AV2">
        <v>0.23016199999999998</v>
      </c>
      <c r="AW2">
        <v>0.23109599999999997</v>
      </c>
      <c r="AX2">
        <v>0.23202999999999996</v>
      </c>
      <c r="AY2">
        <v>0.23296399999999995</v>
      </c>
      <c r="AZ2">
        <v>0.23389799999999994</v>
      </c>
      <c r="BA2">
        <v>0.23483199999999993</v>
      </c>
      <c r="BB2">
        <v>0.23576599999999992</v>
      </c>
      <c r="BC2">
        <v>0.23669999999999991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9"/>
  <sheetViews>
    <sheetView topLeftCell="A4" workbookViewId="0">
      <selection activeCell="J9" sqref="J9"/>
    </sheetView>
  </sheetViews>
  <sheetFormatPr defaultColWidth="9.140625" defaultRowHeight="15" x14ac:dyDescent="0.25"/>
  <cols>
    <col min="1" max="1" width="25.7109375" customWidth="1"/>
    <col min="2" max="2" width="18.28515625" bestFit="1" customWidth="1"/>
  </cols>
  <sheetData>
    <row r="1" spans="1:35" x14ac:dyDescent="0.25">
      <c r="A1" s="4" t="s">
        <v>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35" x14ac:dyDescent="0.25">
      <c r="A2" s="1" t="s">
        <v>72</v>
      </c>
      <c r="G2" s="1"/>
    </row>
    <row r="4" spans="1:35" x14ac:dyDescent="0.25">
      <c r="A4" t="s">
        <v>61</v>
      </c>
      <c r="B4" s="43" t="s">
        <v>62</v>
      </c>
      <c r="C4" t="s">
        <v>20</v>
      </c>
      <c r="D4" t="s">
        <v>73</v>
      </c>
      <c r="E4">
        <v>2012</v>
      </c>
      <c r="F4">
        <v>2017</v>
      </c>
      <c r="G4">
        <v>2022</v>
      </c>
      <c r="H4">
        <v>2027</v>
      </c>
      <c r="I4">
        <v>2032</v>
      </c>
      <c r="J4">
        <v>2037</v>
      </c>
      <c r="K4">
        <v>2042</v>
      </c>
      <c r="L4">
        <v>2047</v>
      </c>
      <c r="M4">
        <v>2052</v>
      </c>
    </row>
    <row r="5" spans="1:35" x14ac:dyDescent="0.25">
      <c r="A5" t="s">
        <v>74</v>
      </c>
      <c r="B5" s="3" t="s">
        <v>75</v>
      </c>
      <c r="C5" t="s">
        <v>76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</row>
    <row r="6" spans="1:35" x14ac:dyDescent="0.25">
      <c r="A6" s="45"/>
      <c r="B6" s="44"/>
      <c r="C6" s="44"/>
      <c r="D6" s="44"/>
    </row>
    <row r="7" spans="1:35" x14ac:dyDescent="0.25">
      <c r="A7" s="45"/>
      <c r="B7" s="44"/>
      <c r="C7" s="44"/>
      <c r="D7" s="44">
        <v>2007</v>
      </c>
      <c r="E7">
        <v>2012</v>
      </c>
      <c r="F7">
        <v>2017</v>
      </c>
      <c r="G7">
        <v>2022</v>
      </c>
      <c r="H7">
        <v>2027</v>
      </c>
      <c r="I7">
        <v>2032</v>
      </c>
      <c r="J7">
        <v>2037</v>
      </c>
      <c r="K7">
        <v>2042</v>
      </c>
      <c r="L7">
        <v>2047</v>
      </c>
      <c r="M7">
        <v>2052</v>
      </c>
    </row>
    <row r="8" spans="1:35" x14ac:dyDescent="0.25">
      <c r="A8" s="45" t="s">
        <v>77</v>
      </c>
      <c r="B8" s="44"/>
      <c r="C8" s="44" t="s">
        <v>78</v>
      </c>
      <c r="D8" s="44">
        <v>0</v>
      </c>
      <c r="E8" s="48">
        <v>-13.178832113650611</v>
      </c>
      <c r="F8" s="48">
        <v>-16.150921105627482</v>
      </c>
      <c r="G8" s="48">
        <v>-19.756173479569441</v>
      </c>
      <c r="H8" s="48">
        <v>-20.567450033158337</v>
      </c>
      <c r="I8" s="48">
        <v>-18.182205854670414</v>
      </c>
      <c r="J8" s="48">
        <v>-12.518808651542876</v>
      </c>
      <c r="K8" s="48">
        <v>0</v>
      </c>
      <c r="L8" s="48">
        <v>0</v>
      </c>
    </row>
    <row r="9" spans="1:35" x14ac:dyDescent="0.25">
      <c r="A9" s="45" t="s">
        <v>79</v>
      </c>
      <c r="B9" s="44"/>
      <c r="C9" s="44" t="s">
        <v>78</v>
      </c>
      <c r="D9" s="44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35" x14ac:dyDescent="0.25">
      <c r="A10" s="42"/>
    </row>
    <row r="11" spans="1:35" x14ac:dyDescent="0.25">
      <c r="A11" t="s">
        <v>80</v>
      </c>
      <c r="D11">
        <v>2007</v>
      </c>
      <c r="E11">
        <v>2012</v>
      </c>
      <c r="F11">
        <v>2017</v>
      </c>
      <c r="G11">
        <v>2022</v>
      </c>
      <c r="H11">
        <v>2027</v>
      </c>
      <c r="I11">
        <v>2032</v>
      </c>
      <c r="J11">
        <v>2037</v>
      </c>
      <c r="K11">
        <v>2042</v>
      </c>
      <c r="L11">
        <v>2047</v>
      </c>
    </row>
    <row r="12" spans="1:35" x14ac:dyDescent="0.25">
      <c r="A12" s="1" t="s">
        <v>81</v>
      </c>
      <c r="B12" s="1"/>
      <c r="C12" s="1" t="s">
        <v>31</v>
      </c>
      <c r="D12">
        <v>0</v>
      </c>
      <c r="E12" s="48">
        <v>15.034031614933387</v>
      </c>
      <c r="F12" s="48">
        <v>18.424505025812774</v>
      </c>
      <c r="G12" s="48">
        <v>22.537272963232304</v>
      </c>
      <c r="H12" s="48">
        <v>23.46275385940946</v>
      </c>
      <c r="I12" s="48">
        <v>20.741736087919701</v>
      </c>
      <c r="J12" s="48">
        <v>14.281095883576173</v>
      </c>
      <c r="K12">
        <v>0</v>
      </c>
      <c r="L12">
        <v>0</v>
      </c>
    </row>
    <row r="14" spans="1:35" x14ac:dyDescent="0.25">
      <c r="A14" s="4" t="s">
        <v>82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B15">
        <v>2017</v>
      </c>
      <c r="C15">
        <v>2018</v>
      </c>
      <c r="D15">
        <v>2019</v>
      </c>
      <c r="E15">
        <v>2020</v>
      </c>
      <c r="F15">
        <v>2021</v>
      </c>
      <c r="G15">
        <v>2022</v>
      </c>
      <c r="H15">
        <v>2023</v>
      </c>
      <c r="I15">
        <v>2024</v>
      </c>
      <c r="J15">
        <v>2025</v>
      </c>
      <c r="K15">
        <v>2026</v>
      </c>
      <c r="L15">
        <v>2027</v>
      </c>
      <c r="M15">
        <v>2028</v>
      </c>
      <c r="N15">
        <v>2029</v>
      </c>
      <c r="O15">
        <v>2030</v>
      </c>
      <c r="P15">
        <v>2031</v>
      </c>
      <c r="Q15">
        <v>2032</v>
      </c>
      <c r="R15">
        <v>2033</v>
      </c>
      <c r="S15">
        <v>2034</v>
      </c>
      <c r="T15">
        <v>2035</v>
      </c>
      <c r="U15">
        <v>2036</v>
      </c>
      <c r="V15">
        <v>2037</v>
      </c>
      <c r="W15">
        <v>2038</v>
      </c>
      <c r="X15">
        <v>2039</v>
      </c>
      <c r="Y15">
        <v>2040</v>
      </c>
      <c r="Z15">
        <v>2041</v>
      </c>
      <c r="AA15">
        <v>2042</v>
      </c>
      <c r="AB15">
        <v>2043</v>
      </c>
      <c r="AC15">
        <v>2044</v>
      </c>
      <c r="AD15">
        <v>2045</v>
      </c>
      <c r="AE15">
        <v>2046</v>
      </c>
      <c r="AF15">
        <v>2047</v>
      </c>
      <c r="AG15">
        <v>2048</v>
      </c>
      <c r="AH15">
        <v>2049</v>
      </c>
      <c r="AI15">
        <v>2050</v>
      </c>
    </row>
    <row r="16" spans="1:35" x14ac:dyDescent="0.25">
      <c r="A16" t="s">
        <v>83</v>
      </c>
      <c r="B16" s="35">
        <f>TREND($F8:$G8,$F7:$G7,B$15)</f>
        <v>-16.150921105627503</v>
      </c>
      <c r="C16" s="35">
        <f t="shared" ref="C16:G16" si="0">TREND($F8:$G8,$F7:$G7,C$15)</f>
        <v>-16.871971580415902</v>
      </c>
      <c r="D16" s="35">
        <f t="shared" si="0"/>
        <v>-17.593022055204301</v>
      </c>
      <c r="E16" s="35">
        <f t="shared" si="0"/>
        <v>-18.3140725299927</v>
      </c>
      <c r="F16" s="35">
        <f t="shared" si="0"/>
        <v>-19.035123004781099</v>
      </c>
      <c r="G16" s="35">
        <f t="shared" si="0"/>
        <v>-19.756173479569497</v>
      </c>
      <c r="H16">
        <f>TREND($G8:$H8,$G7:$H7,H$15)</f>
        <v>-19.918428790287237</v>
      </c>
      <c r="I16">
        <f>TREND($G8:$H8,$G7:$H7,I$15)</f>
        <v>-20.080684101004977</v>
      </c>
      <c r="J16">
        <f>TREND($G8:$H8,$G7:$H7,J$15)</f>
        <v>-20.242939411722773</v>
      </c>
      <c r="K16">
        <f>TREND($G8:$H8,$G7:$H7,K$15)</f>
        <v>-20.405194722440569</v>
      </c>
      <c r="L16">
        <f>TREND($G8:$H8,$G7:$H7,L$15)</f>
        <v>-20.567450033158309</v>
      </c>
      <c r="M16">
        <f>TREND($H8:$I8,$H7:$I7,M$15)</f>
        <v>-20.090401197460778</v>
      </c>
      <c r="N16">
        <f>TREND($H8:$I8,$H7:$I7,N$15)</f>
        <v>-19.613352361763191</v>
      </c>
      <c r="O16">
        <f>TREND($H8:$I8,$H7:$I7,O$15)</f>
        <v>-19.136303526065603</v>
      </c>
      <c r="P16">
        <f>TREND($H8:$I8,$H7:$I7,P$15)</f>
        <v>-18.659254690368016</v>
      </c>
      <c r="Q16">
        <f>TREND($H8:$I8,$H7:$I7,Q$15)</f>
        <v>-18.182205854670428</v>
      </c>
      <c r="R16">
        <f>TREND($I8:$J8,$I7:$J7,R$15)</f>
        <v>-17.049526414044976</v>
      </c>
      <c r="S16">
        <f>TREND($I8:$J8,$I7:$J7,S$15)</f>
        <v>-15.916846973419524</v>
      </c>
      <c r="T16">
        <f>TREND($I8:$J8,$I7:$J7,T$15)</f>
        <v>-14.784167532794072</v>
      </c>
      <c r="U16">
        <f>TREND($I8:$J8,$I7:$J7,U$15)</f>
        <v>-13.651488092168165</v>
      </c>
      <c r="V16">
        <f>TREND($I8:$J8,$I7:$J7,V$15)</f>
        <v>-12.518808651542713</v>
      </c>
      <c r="W16">
        <f>TREND($J8:$K8,$J7:$K7,W$15)</f>
        <v>-10.015046921233989</v>
      </c>
      <c r="X16">
        <f t="shared" ref="X16:AA16" si="1">TREND($J8:$K8,$J7:$K7,X$15)</f>
        <v>-7.5112851909261735</v>
      </c>
      <c r="Y16">
        <f t="shared" si="1"/>
        <v>-5.007523460617449</v>
      </c>
      <c r="Z16">
        <f t="shared" si="1"/>
        <v>-2.5037617303087245</v>
      </c>
      <c r="AA16">
        <f t="shared" si="1"/>
        <v>0</v>
      </c>
      <c r="AB16">
        <f>AA16</f>
        <v>0</v>
      </c>
      <c r="AC16">
        <f t="shared" ref="AC16:AI16" si="2">AB16</f>
        <v>0</v>
      </c>
      <c r="AD16">
        <f t="shared" si="2"/>
        <v>0</v>
      </c>
      <c r="AE16">
        <f t="shared" si="2"/>
        <v>0</v>
      </c>
      <c r="AF16">
        <f t="shared" si="2"/>
        <v>0</v>
      </c>
      <c r="AG16">
        <f t="shared" si="2"/>
        <v>0</v>
      </c>
      <c r="AH16">
        <f t="shared" si="2"/>
        <v>0</v>
      </c>
      <c r="AI16">
        <f t="shared" si="2"/>
        <v>0</v>
      </c>
    </row>
    <row r="17" spans="1:35" x14ac:dyDescent="0.25">
      <c r="A17" t="s">
        <v>84</v>
      </c>
      <c r="B17" s="3">
        <f>-B16*1000000</f>
        <v>16150921.105627503</v>
      </c>
      <c r="C17" s="3">
        <f t="shared" ref="C17:AI17" si="3">-C16*1000000</f>
        <v>16871971.580415901</v>
      </c>
      <c r="D17" s="3">
        <f t="shared" si="3"/>
        <v>17593022.055204302</v>
      </c>
      <c r="E17" s="3">
        <f t="shared" si="3"/>
        <v>18314072.5299927</v>
      </c>
      <c r="F17" s="3">
        <f t="shared" si="3"/>
        <v>19035123.004781097</v>
      </c>
      <c r="G17" s="3">
        <f t="shared" si="3"/>
        <v>19756173.479569498</v>
      </c>
      <c r="H17" s="3">
        <f t="shared" si="3"/>
        <v>19918428.790287238</v>
      </c>
      <c r="I17" s="3">
        <f t="shared" si="3"/>
        <v>20080684.101004977</v>
      </c>
      <c r="J17" s="3">
        <f t="shared" si="3"/>
        <v>20242939.411722772</v>
      </c>
      <c r="K17" s="3">
        <f t="shared" si="3"/>
        <v>20405194.722440571</v>
      </c>
      <c r="L17" s="3">
        <f t="shared" si="3"/>
        <v>20567450.03315831</v>
      </c>
      <c r="M17" s="3">
        <f t="shared" si="3"/>
        <v>20090401.197460778</v>
      </c>
      <c r="N17" s="3">
        <f t="shared" si="3"/>
        <v>19613352.36176319</v>
      </c>
      <c r="O17" s="3">
        <f t="shared" si="3"/>
        <v>19136303.526065603</v>
      </c>
      <c r="P17" s="3">
        <f t="shared" si="3"/>
        <v>18659254.690368015</v>
      </c>
      <c r="Q17" s="3">
        <f t="shared" si="3"/>
        <v>18182205.854670428</v>
      </c>
      <c r="R17" s="3">
        <f t="shared" si="3"/>
        <v>17049526.414044976</v>
      </c>
      <c r="S17" s="3">
        <f t="shared" si="3"/>
        <v>15916846.973419525</v>
      </c>
      <c r="T17" s="3">
        <f t="shared" si="3"/>
        <v>14784167.532794071</v>
      </c>
      <c r="U17" s="3">
        <f t="shared" si="3"/>
        <v>13651488.092168165</v>
      </c>
      <c r="V17" s="3">
        <f t="shared" si="3"/>
        <v>12518808.651542714</v>
      </c>
      <c r="W17" s="3">
        <f t="shared" si="3"/>
        <v>10015046.921233989</v>
      </c>
      <c r="X17" s="3">
        <f t="shared" si="3"/>
        <v>7511285.1909261737</v>
      </c>
      <c r="Y17" s="3">
        <f t="shared" si="3"/>
        <v>5007523.4606174491</v>
      </c>
      <c r="Z17" s="3">
        <f t="shared" si="3"/>
        <v>2503761.7303087246</v>
      </c>
      <c r="AA17" s="3">
        <f t="shared" si="3"/>
        <v>0</v>
      </c>
      <c r="AB17" s="3">
        <f t="shared" si="3"/>
        <v>0</v>
      </c>
      <c r="AC17" s="3">
        <f t="shared" si="3"/>
        <v>0</v>
      </c>
      <c r="AD17" s="3">
        <f t="shared" si="3"/>
        <v>0</v>
      </c>
      <c r="AE17" s="3">
        <f t="shared" si="3"/>
        <v>0</v>
      </c>
      <c r="AF17" s="3">
        <f t="shared" si="3"/>
        <v>0</v>
      </c>
      <c r="AG17" s="3">
        <f t="shared" si="3"/>
        <v>0</v>
      </c>
      <c r="AH17" s="3">
        <f t="shared" si="3"/>
        <v>0</v>
      </c>
      <c r="AI17" s="3">
        <f t="shared" si="3"/>
        <v>0</v>
      </c>
    </row>
    <row r="18" spans="1:35" x14ac:dyDescent="0.25">
      <c r="A18" t="s">
        <v>85</v>
      </c>
      <c r="B18" s="35">
        <f t="shared" ref="B18:G18" si="4">TREND($F12:$G12,$F11:$G11,B$15)</f>
        <v>18.424505025812778</v>
      </c>
      <c r="C18" s="35">
        <f t="shared" si="4"/>
        <v>19.247058613296758</v>
      </c>
      <c r="D18" s="35">
        <f t="shared" si="4"/>
        <v>20.069612200780739</v>
      </c>
      <c r="E18" s="35">
        <f t="shared" si="4"/>
        <v>20.892165788264492</v>
      </c>
      <c r="F18" s="35">
        <f t="shared" si="4"/>
        <v>21.714719375748473</v>
      </c>
      <c r="G18" s="35">
        <f t="shared" si="4"/>
        <v>22.537272963232454</v>
      </c>
      <c r="H18">
        <f>TREND($G12:$H12,$G11:$H11,H$15)</f>
        <v>22.722369142467699</v>
      </c>
      <c r="I18">
        <f>TREND($G12:$H12,$G11:$H11,I$15)</f>
        <v>22.907465321703114</v>
      </c>
      <c r="J18">
        <f>TREND($G12:$H12,$G11:$H11,J$15)</f>
        <v>23.092561500938587</v>
      </c>
      <c r="K18">
        <f>TREND($G12:$H12,$G11:$H11,K$15)</f>
        <v>23.277657680174002</v>
      </c>
      <c r="L18">
        <f>TREND($G12:$H12,$G11:$H11,L$15)</f>
        <v>23.462753859409418</v>
      </c>
      <c r="M18">
        <f>TREND($H12:$I12,$H11:$I11,M$15)</f>
        <v>22.918550305111467</v>
      </c>
      <c r="N18">
        <f>TREND($H12:$I12,$H11:$I11,N$15)</f>
        <v>22.374346750813629</v>
      </c>
      <c r="O18">
        <f>TREND($H12:$I12,$H11:$I11,O$15)</f>
        <v>21.830143196515564</v>
      </c>
      <c r="P18">
        <f>TREND($H12:$I12,$H11:$I11,P$15)</f>
        <v>21.285939642217727</v>
      </c>
      <c r="Q18">
        <f>TREND($H12:$I12,$H11:$I11,Q$15)</f>
        <v>20.741736087919662</v>
      </c>
      <c r="R18">
        <f>TREND($I12:$J12,$I11:$J11,R$15)</f>
        <v>19.449608047051242</v>
      </c>
      <c r="S18">
        <f>TREND($I12:$J12,$I11:$J11,S$15)</f>
        <v>18.157480006182595</v>
      </c>
      <c r="T18">
        <f>TREND($I12:$J12,$I11:$J11,T$15)</f>
        <v>16.865351965313948</v>
      </c>
      <c r="U18">
        <f>TREND($I12:$J12,$I11:$J11,U$15)</f>
        <v>15.573223924445301</v>
      </c>
      <c r="V18">
        <f>TREND($I12:$J12,$I11:$J11,V$15)</f>
        <v>14.281095883576199</v>
      </c>
      <c r="W18">
        <f>TREND($J12:$K12,$J11:$K11,W$15)</f>
        <v>11.424876706861141</v>
      </c>
      <c r="X18">
        <f>TREND($J12:$K12,$J11:$K11,X$15)</f>
        <v>8.5686575301460834</v>
      </c>
      <c r="Y18">
        <f>TREND($J12:$K12,$J11:$K11,Y$15)</f>
        <v>5.7124383534310255</v>
      </c>
      <c r="Z18">
        <f>TREND($J12:$K12,$J11:$K11,Z$15)</f>
        <v>2.856219176715058</v>
      </c>
      <c r="AA18">
        <f>TREND($J12:$K12,$J11:$K11,AA$15)</f>
        <v>0</v>
      </c>
      <c r="AB18">
        <f t="shared" ref="AB18:AI18" si="5">AA18</f>
        <v>0</v>
      </c>
      <c r="AC18">
        <f t="shared" si="5"/>
        <v>0</v>
      </c>
      <c r="AD18">
        <f t="shared" si="5"/>
        <v>0</v>
      </c>
      <c r="AE18">
        <f t="shared" si="5"/>
        <v>0</v>
      </c>
      <c r="AF18">
        <f t="shared" si="5"/>
        <v>0</v>
      </c>
      <c r="AG18">
        <f t="shared" si="5"/>
        <v>0</v>
      </c>
      <c r="AH18">
        <f t="shared" si="5"/>
        <v>0</v>
      </c>
      <c r="AI18">
        <f t="shared" si="5"/>
        <v>0</v>
      </c>
    </row>
    <row r="19" spans="1:35" x14ac:dyDescent="0.25">
      <c r="A19" t="s">
        <v>86</v>
      </c>
      <c r="B19" s="3">
        <f>B18*1000</f>
        <v>18424.505025812778</v>
      </c>
      <c r="C19" s="3">
        <f t="shared" ref="C19:AI19" si="6">C18*1000</f>
        <v>19247.058613296758</v>
      </c>
      <c r="D19" s="3">
        <f t="shared" si="6"/>
        <v>20069.612200780739</v>
      </c>
      <c r="E19" s="3">
        <f t="shared" si="6"/>
        <v>20892.165788264494</v>
      </c>
      <c r="F19" s="3">
        <f t="shared" si="6"/>
        <v>21714.719375748471</v>
      </c>
      <c r="G19" s="3">
        <f t="shared" si="6"/>
        <v>22537.272963232455</v>
      </c>
      <c r="H19" s="3">
        <f t="shared" si="6"/>
        <v>22722.369142467698</v>
      </c>
      <c r="I19" s="3">
        <f t="shared" si="6"/>
        <v>22907.465321703115</v>
      </c>
      <c r="J19" s="3">
        <f t="shared" si="6"/>
        <v>23092.561500938587</v>
      </c>
      <c r="K19" s="3">
        <f t="shared" si="6"/>
        <v>23277.657680174001</v>
      </c>
      <c r="L19" s="3">
        <f t="shared" si="6"/>
        <v>23462.753859409419</v>
      </c>
      <c r="M19" s="3">
        <f t="shared" si="6"/>
        <v>22918.550305111465</v>
      </c>
      <c r="N19" s="3">
        <f t="shared" si="6"/>
        <v>22374.346750813631</v>
      </c>
      <c r="O19" s="3">
        <f t="shared" si="6"/>
        <v>21830.143196515564</v>
      </c>
      <c r="P19" s="3">
        <f t="shared" si="6"/>
        <v>21285.939642217727</v>
      </c>
      <c r="Q19" s="3">
        <f t="shared" si="6"/>
        <v>20741.736087919664</v>
      </c>
      <c r="R19" s="3">
        <f t="shared" si="6"/>
        <v>19449.608047051242</v>
      </c>
      <c r="S19" s="3">
        <f t="shared" si="6"/>
        <v>18157.480006182595</v>
      </c>
      <c r="T19" s="3">
        <f t="shared" si="6"/>
        <v>16865.351965313948</v>
      </c>
      <c r="U19" s="3">
        <f t="shared" si="6"/>
        <v>15573.223924445301</v>
      </c>
      <c r="V19" s="3">
        <f t="shared" si="6"/>
        <v>14281.095883576199</v>
      </c>
      <c r="W19" s="3">
        <f t="shared" si="6"/>
        <v>11424.876706861141</v>
      </c>
      <c r="X19" s="3">
        <f t="shared" si="6"/>
        <v>8568.6575301460834</v>
      </c>
      <c r="Y19" s="3">
        <f t="shared" si="6"/>
        <v>5712.4383534310255</v>
      </c>
      <c r="Z19" s="3">
        <f t="shared" si="6"/>
        <v>2856.219176715058</v>
      </c>
      <c r="AA19" s="3">
        <f t="shared" si="6"/>
        <v>0</v>
      </c>
      <c r="AB19" s="3">
        <f t="shared" si="6"/>
        <v>0</v>
      </c>
      <c r="AC19" s="3">
        <f t="shared" si="6"/>
        <v>0</v>
      </c>
      <c r="AD19" s="3">
        <f t="shared" si="6"/>
        <v>0</v>
      </c>
      <c r="AE19" s="3">
        <f t="shared" si="6"/>
        <v>0</v>
      </c>
      <c r="AF19" s="3">
        <f t="shared" si="6"/>
        <v>0</v>
      </c>
      <c r="AG19" s="3">
        <f t="shared" si="6"/>
        <v>0</v>
      </c>
      <c r="AH19" s="3">
        <f t="shared" si="6"/>
        <v>0</v>
      </c>
      <c r="AI19" s="3">
        <f t="shared" si="6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Z25"/>
  <sheetViews>
    <sheetView workbookViewId="0">
      <selection activeCell="AC9" sqref="AC9:AZ25"/>
    </sheetView>
  </sheetViews>
  <sheetFormatPr defaultColWidth="8.7109375" defaultRowHeight="15" x14ac:dyDescent="0.25"/>
  <cols>
    <col min="1" max="1" width="23.28515625" customWidth="1"/>
  </cols>
  <sheetData>
    <row r="1" spans="1:52" x14ac:dyDescent="0.25">
      <c r="A1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 x14ac:dyDescent="0.25">
      <c r="A2" t="s">
        <v>88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s="49" t="s">
        <v>89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s="49" t="s">
        <v>90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t="s">
        <v>92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93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94</v>
      </c>
      <c r="B8">
        <f>'India Dist Solar PV Data'!E45</f>
        <v>123.33959723366661</v>
      </c>
      <c r="C8">
        <f>'India Dist Solar PV Data'!F45</f>
        <v>165.8161887259979</v>
      </c>
      <c r="D8">
        <f>'India Dist Solar PV Data'!G45</f>
        <v>208.29278021831499</v>
      </c>
      <c r="E8">
        <f>'India Dist Solar PV Data'!H45</f>
        <v>250.76937171063207</v>
      </c>
      <c r="F8">
        <f>'India Dist Solar PV Data'!I45</f>
        <v>257.72668421418211</v>
      </c>
      <c r="G8">
        <f>'India Dist Solar PV Data'!J45</f>
        <v>264.68399671772681</v>
      </c>
      <c r="H8">
        <f>'India Dist Solar PV Data'!K45</f>
        <v>271.64130922127327</v>
      </c>
      <c r="I8">
        <f>'India Dist Solar PV Data'!L45</f>
        <v>278.59862172481797</v>
      </c>
      <c r="J8">
        <f>'India Dist Solar PV Data'!M45</f>
        <v>285.55593422836267</v>
      </c>
      <c r="K8">
        <f>'India Dist Solar PV Data'!N45</f>
        <v>339.37077386633518</v>
      </c>
      <c r="L8">
        <f>'India Dist Solar PV Data'!O45</f>
        <v>393.18561350428638</v>
      </c>
      <c r="M8">
        <f>'India Dist Solar PV Data'!P45</f>
        <v>447.00045314225179</v>
      </c>
      <c r="N8">
        <f>'India Dist Solar PV Data'!Q45</f>
        <v>500.81529278021719</v>
      </c>
      <c r="O8">
        <f>'India Dist Solar PV Data'!R45</f>
        <v>554.63013241816839</v>
      </c>
      <c r="P8">
        <f>'India Dist Solar PV Data'!S45</f>
        <v>639.15411085810092</v>
      </c>
      <c r="Q8">
        <f>'India Dist Solar PV Data'!T45</f>
        <v>723.67808929803346</v>
      </c>
      <c r="R8">
        <f>'India Dist Solar PV Data'!U45</f>
        <v>808.20206773799441</v>
      </c>
      <c r="S8">
        <f>'India Dist Solar PV Data'!V45</f>
        <v>892.72604617792695</v>
      </c>
      <c r="T8">
        <f>'India Dist Solar PV Data'!W45</f>
        <v>977.25002461785948</v>
      </c>
      <c r="U8">
        <f>'India Dist Solar PV Data'!X45</f>
        <v>1066.0901152779729</v>
      </c>
      <c r="V8">
        <f>'India Dist Solar PV Data'!Y45</f>
        <v>1154.9302059380864</v>
      </c>
      <c r="W8">
        <f>'India Dist Solar PV Data'!Z45</f>
        <v>1243.7702965981998</v>
      </c>
      <c r="X8">
        <f>'India Dist Solar PV Data'!AA45</f>
        <v>1332.6103872582848</v>
      </c>
      <c r="Y8">
        <f>'India Dist Solar PV Data'!AB45</f>
        <v>1421.4504779183983</v>
      </c>
      <c r="Z8">
        <f>'India Dist Solar PV Data'!AC45</f>
        <v>1485.2221790724229</v>
      </c>
      <c r="AA8">
        <f>'India Dist Solar PV Data'!AD45</f>
        <v>1548.9938802265044</v>
      </c>
      <c r="AB8">
        <f>'India Dist Solar PV Data'!AE45</f>
        <v>1612.7655813805575</v>
      </c>
      <c r="AC8">
        <f>'India Dist Solar PV Data'!AF45</f>
        <v>1676.5372825346105</v>
      </c>
      <c r="AD8">
        <f>'India Dist Solar PV Data'!AG45</f>
        <v>1740.308983688692</v>
      </c>
      <c r="AE8">
        <f>'India Dist Solar PV Data'!AH45</f>
        <v>1804.0806848427451</v>
      </c>
      <c r="AF8">
        <f>'India Dist Solar PV Data'!AI45</f>
        <v>1867.8523859967981</v>
      </c>
      <c r="AG8">
        <f>'India Dist Solar PV Data'!AJ45</f>
        <v>1931.6240871508796</v>
      </c>
      <c r="AH8">
        <f>'India Dist Solar PV Data'!AK45</f>
        <v>1995.3957883049327</v>
      </c>
      <c r="AI8">
        <f>'India Dist Solar PV Data'!AL45</f>
        <v>2059.167489458986</v>
      </c>
      <c r="AJ8">
        <f>'India Dist Solar PV Data'!AM45</f>
        <v>2122.9391906130672</v>
      </c>
      <c r="AK8">
        <f>'India Dist Solar PV Data'!AN45</f>
        <v>2186.7108917671203</v>
      </c>
      <c r="AL8">
        <f>'India Dist Solar PV Data'!AO45</f>
        <v>2250.4825929211734</v>
      </c>
      <c r="AM8">
        <f>'India Dist Solar PV Data'!AP45</f>
        <v>2314.2542940752546</v>
      </c>
      <c r="AN8">
        <f>'India Dist Solar PV Data'!AQ45</f>
        <v>2378.0259952293081</v>
      </c>
      <c r="AO8">
        <f>'India Dist Solar PV Data'!AR45</f>
        <v>2441.7976963833607</v>
      </c>
      <c r="AP8">
        <f>'India Dist Solar PV Data'!AS45</f>
        <v>2505.5693975374425</v>
      </c>
      <c r="AQ8">
        <f>'India Dist Solar PV Data'!AT45</f>
        <v>2569.3410986914955</v>
      </c>
      <c r="AR8">
        <f>'India Dist Solar PV Data'!AU45</f>
        <v>2633.1127998455486</v>
      </c>
      <c r="AS8">
        <f>'India Dist Solar PV Data'!AV45</f>
        <v>2696.8845009996303</v>
      </c>
      <c r="AT8">
        <f>'India Dist Solar PV Data'!AW45</f>
        <v>2760.6562021536829</v>
      </c>
      <c r="AU8">
        <f>'India Dist Solar PV Data'!AX45</f>
        <v>2824.4279033077364</v>
      </c>
      <c r="AV8">
        <f>'India Dist Solar PV Data'!AY45</f>
        <v>2888.1996044618177</v>
      </c>
      <c r="AW8">
        <f>'India Dist Solar PV Data'!AZ45</f>
        <v>2951.9713056158707</v>
      </c>
      <c r="AX8">
        <f>'India Dist Solar PV Data'!BA45</f>
        <v>3015.7430067699238</v>
      </c>
      <c r="AY8">
        <f>'India Dist Solar PV Data'!BB45</f>
        <v>3079.5147079240051</v>
      </c>
      <c r="AZ8">
        <f>'India Dist Solar PV Data'!BC45</f>
        <v>3143.2864090780586</v>
      </c>
    </row>
    <row r="9" spans="1:52" x14ac:dyDescent="0.25">
      <c r="A9" t="s">
        <v>95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5">
      <c r="A10" t="s">
        <v>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t="s">
        <v>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5">
      <c r="A12" t="s">
        <v>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5">
      <c r="A13" t="s">
        <v>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t="s">
        <v>100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t="s">
        <v>101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5">
      <c r="A16" t="s">
        <v>102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103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t="s">
        <v>104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5">
      <c r="A19" s="49" t="s">
        <v>105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s="49" t="s">
        <v>106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s="49" t="s">
        <v>107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5">
      <c r="A22" s="49" t="s">
        <v>108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5">
      <c r="A23" s="49" t="s">
        <v>109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5">
      <c r="A24" s="50" t="s">
        <v>110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5">
      <c r="A25" s="50" t="s">
        <v>111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Z25"/>
  <sheetViews>
    <sheetView topLeftCell="AI1" workbookViewId="0">
      <selection activeCell="AJ8" sqref="AJ8"/>
    </sheetView>
  </sheetViews>
  <sheetFormatPr defaultColWidth="8.7109375" defaultRowHeight="15" x14ac:dyDescent="0.25"/>
  <cols>
    <col min="1" max="1" width="23.28515625" customWidth="1"/>
  </cols>
  <sheetData>
    <row r="1" spans="1:52" x14ac:dyDescent="0.25">
      <c r="A1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 x14ac:dyDescent="0.25">
      <c r="A2" t="s">
        <v>88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s="49" t="s">
        <v>89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s="49" t="s">
        <v>90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t="s">
        <v>92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93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94</v>
      </c>
      <c r="B8">
        <f>'India Dist Solar PV Data'!E46</f>
        <v>205.18364619996987</v>
      </c>
      <c r="C8">
        <f>'India Dist Solar PV Data'!F46</f>
        <v>274.40467470833596</v>
      </c>
      <c r="D8">
        <f>'India Dist Solar PV Data'!G46</f>
        <v>343.62570321667363</v>
      </c>
      <c r="E8">
        <f>'India Dist Solar PV Data'!H46</f>
        <v>412.8467317250113</v>
      </c>
      <c r="F8">
        <f>'India Dist Solar PV Data'!I46</f>
        <v>421.79294943829859</v>
      </c>
      <c r="G8">
        <f>'India Dist Solar PV Data'!J46</f>
        <v>430.73916715157878</v>
      </c>
      <c r="H8">
        <f>'India Dist Solar PV Data'!K46</f>
        <v>439.6853848648625</v>
      </c>
      <c r="I8">
        <f>'India Dist Solar PV Data'!L46</f>
        <v>448.63160257814275</v>
      </c>
      <c r="J8">
        <f>'India Dist Solar PV Data'!M46</f>
        <v>457.57782029142646</v>
      </c>
      <c r="K8">
        <f>'India Dist Solar PV Data'!N46</f>
        <v>525.82776388049979</v>
      </c>
      <c r="L8">
        <f>'India Dist Solar PV Data'!O46</f>
        <v>594.07770746960864</v>
      </c>
      <c r="M8">
        <f>'India Dist Solar PV Data'!P46</f>
        <v>662.32765105868907</v>
      </c>
      <c r="N8">
        <f>'India Dist Solar PV Data'!Q46</f>
        <v>730.5775946477695</v>
      </c>
      <c r="O8">
        <f>'India Dist Solar PV Data'!R46</f>
        <v>798.82753823687835</v>
      </c>
      <c r="P8">
        <f>'India Dist Solar PV Data'!S46</f>
        <v>886.06552078135792</v>
      </c>
      <c r="Q8">
        <f>'India Dist Solar PV Data'!T46</f>
        <v>973.30350332583748</v>
      </c>
      <c r="R8">
        <f>'India Dist Solar PV Data'!U46</f>
        <v>1060.541485870317</v>
      </c>
      <c r="S8">
        <f>'India Dist Solar PV Data'!V46</f>
        <v>1147.7794684147966</v>
      </c>
      <c r="T8">
        <f>'India Dist Solar PV Data'!W46</f>
        <v>1235.0174509592762</v>
      </c>
      <c r="U8">
        <f>'India Dist Solar PV Data'!X46</f>
        <v>1303.843791360805</v>
      </c>
      <c r="V8">
        <f>'India Dist Solar PV Data'!Y46</f>
        <v>1372.6701317623906</v>
      </c>
      <c r="W8">
        <f>'India Dist Solar PV Data'!Z46</f>
        <v>1441.4964721639478</v>
      </c>
      <c r="X8">
        <f>'India Dist Solar PV Data'!AA46</f>
        <v>1510.322812565505</v>
      </c>
      <c r="Y8">
        <f>'India Dist Solar PV Data'!AB46</f>
        <v>1579.1491529670623</v>
      </c>
      <c r="Z8">
        <f>'India Dist Solar PV Data'!AC46</f>
        <v>1603.5287357049342</v>
      </c>
      <c r="AA8">
        <f>'India Dist Solar PV Data'!AD46</f>
        <v>1627.9083184428059</v>
      </c>
      <c r="AB8">
        <f>'India Dist Solar PV Data'!AE46</f>
        <v>1652.2879011806849</v>
      </c>
      <c r="AC8">
        <f>'India Dist Solar PV Data'!AF46</f>
        <v>1676.6674839185569</v>
      </c>
      <c r="AD8">
        <f>'India Dist Solar PV Data'!AG46</f>
        <v>1701.0470666564358</v>
      </c>
      <c r="AE8">
        <f>'India Dist Solar PV Data'!AH46</f>
        <v>1725.4266493943078</v>
      </c>
      <c r="AF8">
        <f>'India Dist Solar PV Data'!AI46</f>
        <v>1749.8062321321797</v>
      </c>
      <c r="AG8">
        <f>'India Dist Solar PV Data'!AJ46</f>
        <v>1774.1858148700587</v>
      </c>
      <c r="AH8">
        <f>'India Dist Solar PV Data'!AK46</f>
        <v>1798.5653976079307</v>
      </c>
      <c r="AI8">
        <f>'India Dist Solar PV Data'!AL46</f>
        <v>1822.9449803458097</v>
      </c>
      <c r="AJ8">
        <f>'India Dist Solar PV Data'!AM46</f>
        <v>1847.3245630836814</v>
      </c>
      <c r="AK8">
        <f>'India Dist Solar PV Data'!AN46</f>
        <v>1871.7041458215604</v>
      </c>
      <c r="AL8">
        <f>'India Dist Solar PV Data'!AO46</f>
        <v>1896.0837285594323</v>
      </c>
      <c r="AM8">
        <f>'India Dist Solar PV Data'!AP46</f>
        <v>1920.4633112973113</v>
      </c>
      <c r="AN8">
        <f>'India Dist Solar PV Data'!AQ46</f>
        <v>1944.8428940351832</v>
      </c>
      <c r="AO8">
        <f>'India Dist Solar PV Data'!AR46</f>
        <v>1969.222476773055</v>
      </c>
      <c r="AP8">
        <f>'India Dist Solar PV Data'!AS46</f>
        <v>1993.6020595109339</v>
      </c>
      <c r="AQ8">
        <f>'India Dist Solar PV Data'!AT46</f>
        <v>2017.9816422488059</v>
      </c>
      <c r="AR8">
        <f>'India Dist Solar PV Data'!AU46</f>
        <v>2042.3612249866849</v>
      </c>
      <c r="AS8">
        <f>'India Dist Solar PV Data'!AV46</f>
        <v>2066.7408077245568</v>
      </c>
      <c r="AT8">
        <f>'India Dist Solar PV Data'!AW46</f>
        <v>2091.1203904624358</v>
      </c>
      <c r="AU8">
        <f>'India Dist Solar PV Data'!AX46</f>
        <v>2115.4999732003075</v>
      </c>
      <c r="AV8">
        <f>'India Dist Solar PV Data'!AY46</f>
        <v>2139.8795559381865</v>
      </c>
      <c r="AW8">
        <f>'India Dist Solar PV Data'!AZ46</f>
        <v>2164.2591386760587</v>
      </c>
      <c r="AX8">
        <f>'India Dist Solar PV Data'!BA46</f>
        <v>2188.6387214139304</v>
      </c>
      <c r="AY8">
        <f>'India Dist Solar PV Data'!BB46</f>
        <v>2213.0183041518094</v>
      </c>
      <c r="AZ8">
        <f>'India Dist Solar PV Data'!BC46</f>
        <v>2237.3978868896811</v>
      </c>
    </row>
    <row r="9" spans="1:52" x14ac:dyDescent="0.25">
      <c r="A9" t="s">
        <v>95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5">
      <c r="A10" t="s">
        <v>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t="s">
        <v>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5">
      <c r="A12" t="s">
        <v>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5">
      <c r="A13" t="s">
        <v>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t="s">
        <v>100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t="s">
        <v>101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5">
      <c r="A16" t="s">
        <v>102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103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t="s">
        <v>104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5">
      <c r="A19" s="49" t="s">
        <v>105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s="49" t="s">
        <v>106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s="49" t="s">
        <v>107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5">
      <c r="A22" s="49" t="s">
        <v>108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5">
      <c r="A23" s="49" t="s">
        <v>109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5">
      <c r="A24" s="50" t="s">
        <v>110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5">
      <c r="A25" s="50" t="s">
        <v>111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Z25"/>
  <sheetViews>
    <sheetView topLeftCell="P1" workbookViewId="0">
      <selection activeCell="Y12" sqref="Y12"/>
    </sheetView>
  </sheetViews>
  <sheetFormatPr defaultColWidth="8.7109375" defaultRowHeight="15" x14ac:dyDescent="0.25"/>
  <cols>
    <col min="1" max="1" width="23.28515625" customWidth="1"/>
    <col min="2" max="2" width="9.28515625" customWidth="1"/>
    <col min="29" max="29" width="10.5703125" customWidth="1"/>
    <col min="30" max="32" width="9.7109375" customWidth="1"/>
  </cols>
  <sheetData>
    <row r="1" spans="1:52" x14ac:dyDescent="0.25">
      <c r="A1" t="s">
        <v>87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 s="1">
        <v>2048</v>
      </c>
      <c r="AE1" s="1">
        <v>2049</v>
      </c>
      <c r="AF1" s="1"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v>2067</v>
      </c>
      <c r="AX1" s="1">
        <v>2068</v>
      </c>
      <c r="AY1" s="1">
        <v>2069</v>
      </c>
      <c r="AZ1" s="1">
        <v>2070</v>
      </c>
    </row>
    <row r="2" spans="1:52" x14ac:dyDescent="0.25">
      <c r="A2" t="s">
        <v>88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s="49" t="s">
        <v>89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s="49" t="s">
        <v>90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t="s">
        <v>92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93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94</v>
      </c>
      <c r="B8">
        <f>'India Dist Solar PV Data'!E47</f>
        <v>985.56973030099471</v>
      </c>
      <c r="C8">
        <f>'India Dist Solar PV Data'!F47</f>
        <v>1320.662590302959</v>
      </c>
      <c r="D8">
        <f>'India Dist Solar PV Data'!G47</f>
        <v>1655.7554503049232</v>
      </c>
      <c r="E8">
        <f>'India Dist Solar PV Data'!H47</f>
        <v>1990.8483103070012</v>
      </c>
      <c r="F8">
        <f>'India Dist Solar PV Data'!I47</f>
        <v>2038.558900957426</v>
      </c>
      <c r="G8">
        <f>'India Dist Solar PV Data'!J47</f>
        <v>2086.2694916079081</v>
      </c>
      <c r="H8">
        <f>'India Dist Solar PV Data'!K47</f>
        <v>2133.9800822583898</v>
      </c>
      <c r="I8">
        <f>'India Dist Solar PV Data'!L47</f>
        <v>2181.6906729088714</v>
      </c>
      <c r="J8">
        <f>'India Dist Solar PV Data'!M47</f>
        <v>2229.4012635593531</v>
      </c>
      <c r="K8">
        <f>'India Dist Solar PV Data'!N47</f>
        <v>2595.5956132405618</v>
      </c>
      <c r="L8">
        <f>'India Dist Solar PV Data'!O47</f>
        <v>2961.7899629216708</v>
      </c>
      <c r="M8">
        <f>'India Dist Solar PV Data'!P47</f>
        <v>3327.9843126027799</v>
      </c>
      <c r="N8">
        <f>'India Dist Solar PV Data'!Q47</f>
        <v>3694.1786622840027</v>
      </c>
      <c r="O8">
        <f>'India Dist Solar PV Data'!R47</f>
        <v>4060.3730119651118</v>
      </c>
      <c r="P8">
        <f>'India Dist Solar PV Data'!S47</f>
        <v>4575.658894918206</v>
      </c>
      <c r="Q8">
        <f>'India Dist Solar PV Data'!T47</f>
        <v>5090.9447778715275</v>
      </c>
      <c r="R8">
        <f>'India Dist Solar PV Data'!U47</f>
        <v>5606.2306608246217</v>
      </c>
      <c r="S8">
        <f>'India Dist Solar PV Data'!V47</f>
        <v>6121.5165437779433</v>
      </c>
      <c r="T8">
        <f>'India Dist Solar PV Data'!W47</f>
        <v>6636.8024267312649</v>
      </c>
      <c r="U8">
        <f>'India Dist Solar PV Data'!X47</f>
        <v>7109.8017199162769</v>
      </c>
      <c r="V8">
        <f>'India Dist Solar PV Data'!Y47</f>
        <v>7582.8010131012888</v>
      </c>
      <c r="W8">
        <f>'India Dist Solar PV Data'!Z47</f>
        <v>8055.8003062863008</v>
      </c>
      <c r="X8">
        <f>'India Dist Solar PV Data'!AA47</f>
        <v>8528.7995994713128</v>
      </c>
      <c r="Y8">
        <f>'India Dist Solar PV Data'!AB47</f>
        <v>9001.7988926563248</v>
      </c>
      <c r="Z8">
        <f>'India Dist Solar PV Data'!AC47</f>
        <v>9266.2527443321778</v>
      </c>
      <c r="AA8">
        <f>'India Dist Solar PV Data'!AD47</f>
        <v>9530.7065960079162</v>
      </c>
      <c r="AB8">
        <f>'India Dist Solar PV Data'!AE47</f>
        <v>9795.1604476837711</v>
      </c>
      <c r="AC8">
        <f>'India Dist Solar PV Data'!AF47</f>
        <v>10059.614299359622</v>
      </c>
      <c r="AD8">
        <f>'India Dist Solar PV Data'!AG47</f>
        <v>10324.068151035362</v>
      </c>
      <c r="AE8">
        <f>'India Dist Solar PV Data'!AH47</f>
        <v>10588.522002711215</v>
      </c>
      <c r="AF8">
        <f>'India Dist Solar PV Data'!AI47</f>
        <v>10852.975854387068</v>
      </c>
      <c r="AG8">
        <f>'India Dist Solar PV Data'!AJ47</f>
        <v>11117.429706062809</v>
      </c>
      <c r="AH8">
        <f>'India Dist Solar PV Data'!AK47</f>
        <v>11381.88355773866</v>
      </c>
      <c r="AI8">
        <f>'India Dist Solar PV Data'!AL47</f>
        <v>11646.337409414515</v>
      </c>
      <c r="AJ8">
        <f>'India Dist Solar PV Data'!AM47</f>
        <v>11910.791261090253</v>
      </c>
      <c r="AK8">
        <f>'India Dist Solar PV Data'!AN47</f>
        <v>12175.245112766106</v>
      </c>
      <c r="AL8">
        <f>'India Dist Solar PV Data'!AO47</f>
        <v>12439.698964441959</v>
      </c>
      <c r="AM8">
        <f>'India Dist Solar PV Data'!AP47</f>
        <v>12704.152816117698</v>
      </c>
      <c r="AN8">
        <f>'India Dist Solar PV Data'!AQ47</f>
        <v>12968.606667793552</v>
      </c>
      <c r="AO8">
        <f>'India Dist Solar PV Data'!AR47</f>
        <v>13233.060519469291</v>
      </c>
      <c r="AP8">
        <f>'India Dist Solar PV Data'!AS47</f>
        <v>13497.514371145144</v>
      </c>
      <c r="AQ8">
        <f>'India Dist Solar PV Data'!AT47</f>
        <v>13761.968222820997</v>
      </c>
      <c r="AR8">
        <f>'India Dist Solar PV Data'!AU47</f>
        <v>14026.422074496735</v>
      </c>
      <c r="AS8">
        <f>'India Dist Solar PV Data'!AV47</f>
        <v>14290.87592617259</v>
      </c>
      <c r="AT8">
        <f>'India Dist Solar PV Data'!AW47</f>
        <v>14555.329777848441</v>
      </c>
      <c r="AU8">
        <f>'India Dist Solar PV Data'!AX47</f>
        <v>14819.783629524181</v>
      </c>
      <c r="AV8">
        <f>'India Dist Solar PV Data'!AY47</f>
        <v>15084.237481200034</v>
      </c>
      <c r="AW8">
        <f>'India Dist Solar PV Data'!AZ47</f>
        <v>15348.691332875887</v>
      </c>
      <c r="AX8">
        <f>'India Dist Solar PV Data'!BA47</f>
        <v>15613.145184551628</v>
      </c>
      <c r="AY8">
        <f>'India Dist Solar PV Data'!BB47</f>
        <v>15877.599036227479</v>
      </c>
      <c r="AZ8">
        <f>'India Dist Solar PV Data'!BC47</f>
        <v>16142.052887903334</v>
      </c>
    </row>
    <row r="9" spans="1:52" x14ac:dyDescent="0.25">
      <c r="A9" t="s">
        <v>95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5">
      <c r="A10" t="s">
        <v>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t="s">
        <v>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5">
      <c r="A12" t="s">
        <v>98</v>
      </c>
      <c r="B12">
        <f>'Back up generators'!E19</f>
        <v>20892.165788264494</v>
      </c>
      <c r="C12">
        <f>'Back up generators'!F19</f>
        <v>21714.719375748471</v>
      </c>
      <c r="D12">
        <f>'Back up generators'!G19</f>
        <v>22537.272963232455</v>
      </c>
      <c r="E12">
        <f>'Back up generators'!H19</f>
        <v>22722.369142467698</v>
      </c>
      <c r="F12">
        <f>'Back up generators'!I19</f>
        <v>22907.465321703115</v>
      </c>
      <c r="G12">
        <f>'Back up generators'!J19</f>
        <v>23092.561500938587</v>
      </c>
      <c r="H12">
        <f>'Back up generators'!K19</f>
        <v>23277.657680174001</v>
      </c>
      <c r="I12">
        <f>'Back up generators'!L19</f>
        <v>23462.753859409419</v>
      </c>
      <c r="J12">
        <f>'Back up generators'!M19</f>
        <v>22918.550305111465</v>
      </c>
      <c r="K12">
        <f>'Back up generators'!N19</f>
        <v>22374.346750813631</v>
      </c>
      <c r="L12">
        <f>'Back up generators'!O19</f>
        <v>21830.143196515564</v>
      </c>
      <c r="M12">
        <f>'Back up generators'!P19</f>
        <v>21285.939642217727</v>
      </c>
      <c r="N12">
        <f>'Back up generators'!Q19</f>
        <v>20741.736087919664</v>
      </c>
      <c r="O12">
        <f>'Back up generators'!R19</f>
        <v>19449.608047051242</v>
      </c>
      <c r="P12">
        <f>'Back up generators'!S19</f>
        <v>18157.480006182595</v>
      </c>
      <c r="Q12">
        <f>'Back up generators'!T19</f>
        <v>16865.351965313948</v>
      </c>
      <c r="R12">
        <f>'Back up generators'!U19</f>
        <v>15573.223924445301</v>
      </c>
      <c r="S12">
        <f>'Back up generators'!V19</f>
        <v>14281.095883576199</v>
      </c>
      <c r="T12">
        <f>'Back up generators'!W19</f>
        <v>11424.876706861141</v>
      </c>
      <c r="U12">
        <f>'Back up generators'!X19</f>
        <v>8568.6575301460834</v>
      </c>
      <c r="V12">
        <f>'Back up generators'!Y19</f>
        <v>5712.4383534310255</v>
      </c>
      <c r="W12">
        <f>'Back up generators'!Z19</f>
        <v>2856.219176715058</v>
      </c>
      <c r="X12">
        <f>'Back up generators'!AA19</f>
        <v>0</v>
      </c>
      <c r="Y12">
        <f>'Back up generators'!AB19</f>
        <v>0</v>
      </c>
      <c r="Z12">
        <f>'Back up generators'!AC19</f>
        <v>0</v>
      </c>
      <c r="AA12">
        <f>'Back up generators'!AD19</f>
        <v>0</v>
      </c>
      <c r="AB12">
        <f>'Back up generators'!AE19</f>
        <v>0</v>
      </c>
      <c r="AC12">
        <f>'Back up generators'!AF19</f>
        <v>0</v>
      </c>
      <c r="AD12">
        <f>'Back up generators'!AG19</f>
        <v>0</v>
      </c>
      <c r="AE12">
        <f>'Back up generators'!AH19</f>
        <v>0</v>
      </c>
      <c r="AF12">
        <f>'Back up generators'!AI19</f>
        <v>0</v>
      </c>
      <c r="AG12">
        <f>'Back up generators'!AJ19</f>
        <v>0</v>
      </c>
      <c r="AH12">
        <f>'Back up generators'!AK19</f>
        <v>0</v>
      </c>
      <c r="AI12">
        <f>'Back up generators'!AL19</f>
        <v>0</v>
      </c>
      <c r="AJ12">
        <f>'Back up generators'!AM19</f>
        <v>0</v>
      </c>
      <c r="AK12">
        <f>'Back up generators'!AN19</f>
        <v>0</v>
      </c>
      <c r="AL12">
        <f>'Back up generators'!AO19</f>
        <v>0</v>
      </c>
      <c r="AM12">
        <f>'Back up generators'!AP19</f>
        <v>0</v>
      </c>
      <c r="AN12">
        <f>'Back up generators'!AQ19</f>
        <v>0</v>
      </c>
      <c r="AO12">
        <f>'Back up generators'!AR19</f>
        <v>0</v>
      </c>
      <c r="AP12">
        <f>'Back up generators'!AS19</f>
        <v>0</v>
      </c>
      <c r="AQ12">
        <f>'Back up generators'!AT19</f>
        <v>0</v>
      </c>
      <c r="AR12">
        <f>'Back up generators'!AU19</f>
        <v>0</v>
      </c>
      <c r="AS12">
        <f>'Back up generators'!AV19</f>
        <v>0</v>
      </c>
      <c r="AT12">
        <f>'Back up generators'!AW19</f>
        <v>0</v>
      </c>
      <c r="AU12">
        <f>'Back up generators'!AX19</f>
        <v>0</v>
      </c>
      <c r="AV12">
        <f>'Back up generators'!AY19</f>
        <v>0</v>
      </c>
      <c r="AW12">
        <f>'Back up generators'!AZ19</f>
        <v>0</v>
      </c>
      <c r="AX12">
        <f>'Back up generators'!BA19</f>
        <v>0</v>
      </c>
      <c r="AY12">
        <f>'Back up generators'!BB19</f>
        <v>0</v>
      </c>
      <c r="AZ12">
        <f>'Back up generators'!BC19</f>
        <v>0</v>
      </c>
    </row>
    <row r="13" spans="1:52" x14ac:dyDescent="0.25">
      <c r="A13" t="s">
        <v>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t="s">
        <v>100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t="s">
        <v>101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5">
      <c r="A16" t="s">
        <v>102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103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t="s">
        <v>104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5">
      <c r="A19" s="49" t="s">
        <v>105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s="49" t="s">
        <v>106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s="49" t="s">
        <v>107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5">
      <c r="A22" s="49" t="s">
        <v>108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5">
      <c r="A23" s="49" t="s">
        <v>109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5">
      <c r="A24" s="50" t="s">
        <v>110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5">
      <c r="A25" s="50" t="s">
        <v>111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AB9213-3470-47C0-9B9F-AA60549084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1B89F6-DC67-46CF-A931-99B350387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13C807-D632-4183-98B6-43C0472F9F8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India Dist Solar PV Data</vt:lpstr>
      <vt:lpstr>AC DC Derate Factor</vt:lpstr>
      <vt:lpstr>DSCF</vt:lpstr>
      <vt:lpstr>Back up generators</vt:lpstr>
      <vt:lpstr>BDESC-urban-residential</vt:lpstr>
      <vt:lpstr>BDESC-rural-residential</vt:lpstr>
      <vt:lpstr>BDESC-commercial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Megan Mahajan</cp:lastModifiedBy>
  <cp:revision/>
  <dcterms:created xsi:type="dcterms:W3CDTF">2016-01-26T19:10:58Z</dcterms:created>
  <dcterms:modified xsi:type="dcterms:W3CDTF">2024-12-23T17:38:12Z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