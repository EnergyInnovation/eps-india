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nergyinnovation.sharepoint.com/sites/IndiaEPS/Shared Documents/Completed EPS Variables/bldgs/bldgs/BASoBC/"/>
    </mc:Choice>
  </mc:AlternateContent>
  <xr:revisionPtr revIDLastSave="509" documentId="8_{C6E90895-612F-479F-B2A2-F595F85CA51C}" xr6:coauthVersionLast="47" xr6:coauthVersionMax="47" xr10:uidLastSave="{1AF92BEC-876A-42E9-B483-B618D5E65E69}"/>
  <bookViews>
    <workbookView xWindow="2790" yWindow="2790" windowWidth="21555" windowHeight="12345" firstSheet="1" xr2:uid="{00000000-000D-0000-FFFF-FFFF00000000}"/>
  </bookViews>
  <sheets>
    <sheet name="About" sheetId="3" r:id="rId1"/>
    <sheet name="Building Projections" sheetId="22" r:id="rId2"/>
    <sheet name="Appliances per Household" sheetId="25" r:id="rId3"/>
    <sheet name="Component Lifetimes" sheetId="23" r:id="rId4"/>
    <sheet name="Component Costs" sheetId="21" r:id="rId5"/>
    <sheet name="Envelope Lighting Calcs" sheetId="27" r:id="rId6"/>
    <sheet name="Calculations 1" sheetId="26" r:id="rId7"/>
    <sheet name="Calculations 2" sheetId="24" r:id="rId8"/>
    <sheet name="BASoBC-urban-residential" sheetId="17" r:id="rId9"/>
    <sheet name="BASoBC-rural-residential" sheetId="20" r:id="rId10"/>
    <sheet name="BASoBC-commercial" sheetId="18" r:id="rId11"/>
  </sheets>
  <externalReferences>
    <externalReference r:id="rId12"/>
    <externalReference r:id="rId13"/>
  </externalReferences>
  <definedNames>
    <definedName name="BTU_per_GWh">'[1]Conversion Factors'!$A$3</definedName>
    <definedName name="BTU_per_kg_biomass">'[1]Conversion Factors'!$B$25</definedName>
    <definedName name="BTU_per_thousand_tons_kerosene">'[1]Conversion Factors'!$A$18</definedName>
    <definedName name="BTU_per_thousand_tons_LPG">'[1]Conversion Factors'!$A$11</definedName>
    <definedName name="Preferences.AreaUnits">[2]Preferences!$C$7</definedName>
    <definedName name="Unit.m2">[2]Conversions!$F$77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2" i="18" l="1"/>
  <c r="AG2" i="18"/>
  <c r="AH2" i="18"/>
  <c r="AI2" i="18"/>
  <c r="AJ2" i="18"/>
  <c r="AK2" i="18"/>
  <c r="AL2" i="18"/>
  <c r="AM2" i="18"/>
  <c r="AN2" i="18"/>
  <c r="AO2" i="18"/>
  <c r="AP2" i="18"/>
  <c r="AQ2" i="18"/>
  <c r="AR2" i="18"/>
  <c r="AS2" i="18"/>
  <c r="AT2" i="18"/>
  <c r="AU2" i="18"/>
  <c r="AV2" i="18"/>
  <c r="AW2" i="18"/>
  <c r="AX2" i="18"/>
  <c r="AY2" i="18"/>
  <c r="AF3" i="18"/>
  <c r="AG3" i="18"/>
  <c r="AH3" i="18"/>
  <c r="AI3" i="18"/>
  <c r="AJ3" i="18"/>
  <c r="AK3" i="18"/>
  <c r="AL3" i="18"/>
  <c r="AM3" i="18"/>
  <c r="AN3" i="18"/>
  <c r="AO3" i="18"/>
  <c r="AP3" i="18"/>
  <c r="AQ3" i="18"/>
  <c r="AR3" i="18"/>
  <c r="AS3" i="18"/>
  <c r="AT3" i="18"/>
  <c r="AU3" i="18"/>
  <c r="AV3" i="18"/>
  <c r="AW3" i="18"/>
  <c r="AX3" i="18"/>
  <c r="AY3" i="18"/>
  <c r="AF5" i="18"/>
  <c r="AG5" i="18"/>
  <c r="AH5" i="18"/>
  <c r="AI5" i="18"/>
  <c r="AJ5" i="18"/>
  <c r="AK5" i="18"/>
  <c r="AL5" i="18"/>
  <c r="AM5" i="18"/>
  <c r="AN5" i="18"/>
  <c r="AO5" i="18"/>
  <c r="AP5" i="18"/>
  <c r="AQ5" i="18"/>
  <c r="AR5" i="18"/>
  <c r="AS5" i="18"/>
  <c r="AT5" i="18"/>
  <c r="AU5" i="18"/>
  <c r="AV5" i="18"/>
  <c r="AW5" i="18"/>
  <c r="AX5" i="18"/>
  <c r="AY5" i="18"/>
  <c r="AF6" i="18"/>
  <c r="AG6" i="18"/>
  <c r="AH6" i="18"/>
  <c r="AI6" i="18"/>
  <c r="AJ6" i="18"/>
  <c r="AK6" i="18"/>
  <c r="AL6" i="18"/>
  <c r="AM6" i="18"/>
  <c r="AN6" i="18"/>
  <c r="AO6" i="18"/>
  <c r="AP6" i="18"/>
  <c r="AQ6" i="18"/>
  <c r="AR6" i="18"/>
  <c r="AS6" i="18"/>
  <c r="AT6" i="18"/>
  <c r="AU6" i="18"/>
  <c r="AV6" i="18"/>
  <c r="AW6" i="18"/>
  <c r="AX6" i="18"/>
  <c r="AY6" i="18"/>
  <c r="AF7" i="18"/>
  <c r="AG7" i="18"/>
  <c r="AH7" i="18"/>
  <c r="AI7" i="18"/>
  <c r="AJ7" i="18"/>
  <c r="AK7" i="18"/>
  <c r="AL7" i="18"/>
  <c r="AM7" i="18"/>
  <c r="AN7" i="18"/>
  <c r="AO7" i="18"/>
  <c r="AP7" i="18"/>
  <c r="AQ7" i="18"/>
  <c r="AR7" i="18"/>
  <c r="AS7" i="18"/>
  <c r="AT7" i="18"/>
  <c r="AU7" i="18"/>
  <c r="AV7" i="18"/>
  <c r="AW7" i="18"/>
  <c r="AX7" i="18"/>
  <c r="AY7" i="18"/>
  <c r="AF2" i="20"/>
  <c r="AG2" i="20"/>
  <c r="AH2" i="20"/>
  <c r="AI2" i="20"/>
  <c r="AJ2" i="20"/>
  <c r="AK2" i="20"/>
  <c r="AL2" i="20"/>
  <c r="AM2" i="20"/>
  <c r="AN2" i="20"/>
  <c r="AO2" i="20"/>
  <c r="AP2" i="20"/>
  <c r="AQ2" i="20"/>
  <c r="AR2" i="20"/>
  <c r="AS2" i="20"/>
  <c r="AT2" i="20"/>
  <c r="AU2" i="20"/>
  <c r="AV2" i="20"/>
  <c r="AW2" i="20"/>
  <c r="AX2" i="20"/>
  <c r="AY2" i="20"/>
  <c r="AF3" i="20"/>
  <c r="AG3" i="20"/>
  <c r="AH3" i="20"/>
  <c r="AI3" i="20"/>
  <c r="AJ3" i="20"/>
  <c r="AK3" i="20"/>
  <c r="AL3" i="20"/>
  <c r="AM3" i="20"/>
  <c r="AN3" i="20"/>
  <c r="AO3" i="20"/>
  <c r="AP3" i="20"/>
  <c r="AQ3" i="20"/>
  <c r="AR3" i="20"/>
  <c r="AS3" i="20"/>
  <c r="AT3" i="20"/>
  <c r="AU3" i="20"/>
  <c r="AV3" i="20"/>
  <c r="AW3" i="20"/>
  <c r="AX3" i="20"/>
  <c r="AY3" i="20"/>
  <c r="AF5" i="20"/>
  <c r="AG5" i="20"/>
  <c r="AH5" i="20"/>
  <c r="AI5" i="20"/>
  <c r="AJ5" i="20"/>
  <c r="AK5" i="20"/>
  <c r="AL5" i="20"/>
  <c r="AM5" i="20"/>
  <c r="AN5" i="20"/>
  <c r="AO5" i="20"/>
  <c r="AP5" i="20"/>
  <c r="AQ5" i="20"/>
  <c r="AR5" i="20"/>
  <c r="AS5" i="20"/>
  <c r="AT5" i="20"/>
  <c r="AU5" i="20"/>
  <c r="AV5" i="20"/>
  <c r="AW5" i="20"/>
  <c r="AX5" i="20"/>
  <c r="AY5" i="20"/>
  <c r="AF6" i="20"/>
  <c r="AG6" i="20"/>
  <c r="AH6" i="20"/>
  <c r="AI6" i="20"/>
  <c r="AJ6" i="20"/>
  <c r="AK6" i="20"/>
  <c r="AL6" i="20"/>
  <c r="AM6" i="20"/>
  <c r="AN6" i="20"/>
  <c r="AO6" i="20"/>
  <c r="AP6" i="20"/>
  <c r="AQ6" i="20"/>
  <c r="AR6" i="20"/>
  <c r="AS6" i="20"/>
  <c r="AT6" i="20"/>
  <c r="AU6" i="20"/>
  <c r="AV6" i="20"/>
  <c r="AW6" i="20"/>
  <c r="AX6" i="20"/>
  <c r="AY6" i="20"/>
  <c r="AF7" i="20"/>
  <c r="AG7" i="20"/>
  <c r="AH7" i="20"/>
  <c r="AI7" i="20"/>
  <c r="AJ7" i="20"/>
  <c r="AK7" i="20"/>
  <c r="AL7" i="20"/>
  <c r="AM7" i="20"/>
  <c r="AN7" i="20"/>
  <c r="AO7" i="20"/>
  <c r="AP7" i="20"/>
  <c r="AQ7" i="20"/>
  <c r="AR7" i="20"/>
  <c r="AS7" i="20"/>
  <c r="AT7" i="20"/>
  <c r="AU7" i="20"/>
  <c r="AV7" i="20"/>
  <c r="AW7" i="20"/>
  <c r="AX7" i="20"/>
  <c r="AY7" i="20"/>
  <c r="AF2" i="17"/>
  <c r="AG2" i="17"/>
  <c r="AH2" i="17"/>
  <c r="AI2" i="17"/>
  <c r="AJ2" i="17"/>
  <c r="AK2" i="17"/>
  <c r="AL2" i="17"/>
  <c r="AM2" i="17"/>
  <c r="AN2" i="17"/>
  <c r="AO2" i="17"/>
  <c r="AP2" i="17"/>
  <c r="AQ2" i="17"/>
  <c r="AR2" i="17"/>
  <c r="AS2" i="17"/>
  <c r="AT2" i="17"/>
  <c r="AU2" i="17"/>
  <c r="AV2" i="17"/>
  <c r="AW2" i="17"/>
  <c r="AX2" i="17"/>
  <c r="AY2" i="17"/>
  <c r="AF3" i="17"/>
  <c r="AG3" i="17"/>
  <c r="AH3" i="17"/>
  <c r="AI3" i="17"/>
  <c r="AJ3" i="17"/>
  <c r="AK3" i="17"/>
  <c r="AL3" i="17"/>
  <c r="AM3" i="17"/>
  <c r="AN3" i="17"/>
  <c r="AO3" i="17"/>
  <c r="AP3" i="17"/>
  <c r="AQ3" i="17"/>
  <c r="AR3" i="17"/>
  <c r="AS3" i="17"/>
  <c r="AT3" i="17"/>
  <c r="AU3" i="17"/>
  <c r="AV3" i="17"/>
  <c r="AW3" i="17"/>
  <c r="AX3" i="17"/>
  <c r="AY3" i="17"/>
  <c r="AF5" i="17"/>
  <c r="AG5" i="17"/>
  <c r="AH5" i="17"/>
  <c r="AI5" i="17"/>
  <c r="AJ5" i="17"/>
  <c r="AK5" i="17"/>
  <c r="AL5" i="17"/>
  <c r="AM5" i="17"/>
  <c r="AN5" i="17"/>
  <c r="AO5" i="17"/>
  <c r="AP5" i="17"/>
  <c r="AQ5" i="17"/>
  <c r="AR5" i="17"/>
  <c r="AS5" i="17"/>
  <c r="AT5" i="17"/>
  <c r="AU5" i="17"/>
  <c r="AV5" i="17"/>
  <c r="AW5" i="17"/>
  <c r="AX5" i="17"/>
  <c r="AY5" i="17"/>
  <c r="AF6" i="17"/>
  <c r="AG6" i="17"/>
  <c r="AH6" i="17"/>
  <c r="AI6" i="17"/>
  <c r="AJ6" i="17"/>
  <c r="AK6" i="17"/>
  <c r="AL6" i="17"/>
  <c r="AM6" i="17"/>
  <c r="AN6" i="17"/>
  <c r="AO6" i="17"/>
  <c r="AP6" i="17"/>
  <c r="AQ6" i="17"/>
  <c r="AR6" i="17"/>
  <c r="AS6" i="17"/>
  <c r="AT6" i="17"/>
  <c r="AU6" i="17"/>
  <c r="AV6" i="17"/>
  <c r="AW6" i="17"/>
  <c r="AX6" i="17"/>
  <c r="AY6" i="17"/>
  <c r="AF7" i="17"/>
  <c r="AG7" i="17"/>
  <c r="AH7" i="17"/>
  <c r="AI7" i="17"/>
  <c r="AJ7" i="17"/>
  <c r="AK7" i="17"/>
  <c r="AL7" i="17"/>
  <c r="AM7" i="17"/>
  <c r="AN7" i="17"/>
  <c r="AO7" i="17"/>
  <c r="AP7" i="17"/>
  <c r="AQ7" i="17"/>
  <c r="AR7" i="17"/>
  <c r="AS7" i="17"/>
  <c r="AT7" i="17"/>
  <c r="AU7" i="17"/>
  <c r="AV7" i="17"/>
  <c r="AW7" i="17"/>
  <c r="AX7" i="17"/>
  <c r="AY7" i="17"/>
  <c r="AJ80" i="24"/>
  <c r="AK80" i="24"/>
  <c r="AL80" i="24"/>
  <c r="AM80" i="24"/>
  <c r="AN80" i="24"/>
  <c r="AO80" i="24"/>
  <c r="AP80" i="24"/>
  <c r="AQ80" i="24"/>
  <c r="AR80" i="24"/>
  <c r="AS80" i="24"/>
  <c r="AT80" i="24"/>
  <c r="AU80" i="24"/>
  <c r="AV80" i="24"/>
  <c r="AW80" i="24"/>
  <c r="AX80" i="24"/>
  <c r="AY80" i="24"/>
  <c r="AZ80" i="24"/>
  <c r="BA80" i="24"/>
  <c r="BB80" i="24"/>
  <c r="BC80" i="24"/>
  <c r="AJ81" i="24"/>
  <c r="AK81" i="24"/>
  <c r="AL81" i="24"/>
  <c r="AM81" i="24"/>
  <c r="AN81" i="24"/>
  <c r="AO81" i="24"/>
  <c r="AP81" i="24"/>
  <c r="AQ81" i="24"/>
  <c r="AR81" i="24"/>
  <c r="AS81" i="24"/>
  <c r="AT81" i="24"/>
  <c r="AU81" i="24"/>
  <c r="AV81" i="24"/>
  <c r="AW81" i="24"/>
  <c r="AX81" i="24"/>
  <c r="AY81" i="24"/>
  <c r="AZ81" i="24"/>
  <c r="BA81" i="24"/>
  <c r="BB81" i="24"/>
  <c r="BC81" i="24"/>
  <c r="AJ82" i="24"/>
  <c r="AK82" i="24"/>
  <c r="AL82" i="24"/>
  <c r="AM82" i="24"/>
  <c r="AN82" i="24"/>
  <c r="AO82" i="24"/>
  <c r="AP82" i="24"/>
  <c r="AQ82" i="24"/>
  <c r="AR82" i="24"/>
  <c r="AS82" i="24"/>
  <c r="AT82" i="24"/>
  <c r="AU82" i="24"/>
  <c r="AV82" i="24"/>
  <c r="AW82" i="24"/>
  <c r="AX82" i="24"/>
  <c r="AY82" i="24"/>
  <c r="AZ82" i="24"/>
  <c r="BA82" i="24"/>
  <c r="BB82" i="24"/>
  <c r="BC82" i="24"/>
  <c r="AJ83" i="24"/>
  <c r="AK83" i="24"/>
  <c r="AL83" i="24"/>
  <c r="AM83" i="24"/>
  <c r="AN83" i="24"/>
  <c r="AO83" i="24"/>
  <c r="AP83" i="24"/>
  <c r="AQ83" i="24"/>
  <c r="AR83" i="24"/>
  <c r="AS83" i="24"/>
  <c r="AT83" i="24"/>
  <c r="AU83" i="24"/>
  <c r="AV83" i="24"/>
  <c r="AW83" i="24"/>
  <c r="AX83" i="24"/>
  <c r="AY83" i="24"/>
  <c r="AZ83" i="24"/>
  <c r="BA83" i="24"/>
  <c r="BB83" i="24"/>
  <c r="BC83" i="24"/>
  <c r="AJ84" i="24"/>
  <c r="AK84" i="24"/>
  <c r="AL84" i="24"/>
  <c r="AM84" i="24"/>
  <c r="AN84" i="24"/>
  <c r="AO84" i="24"/>
  <c r="AP84" i="24"/>
  <c r="AQ84" i="24"/>
  <c r="AR84" i="24"/>
  <c r="AS84" i="24"/>
  <c r="AT84" i="24"/>
  <c r="AU84" i="24"/>
  <c r="AV84" i="24"/>
  <c r="AW84" i="24"/>
  <c r="AX84" i="24"/>
  <c r="AY84" i="24"/>
  <c r="AZ84" i="24"/>
  <c r="BA84" i="24"/>
  <c r="BB84" i="24"/>
  <c r="BC84" i="24"/>
  <c r="AJ85" i="24"/>
  <c r="AK85" i="24"/>
  <c r="AL85" i="24"/>
  <c r="AM85" i="24"/>
  <c r="AN85" i="24"/>
  <c r="AO85" i="24"/>
  <c r="AP85" i="24"/>
  <c r="AQ85" i="24"/>
  <c r="AR85" i="24"/>
  <c r="AS85" i="24"/>
  <c r="AT85" i="24"/>
  <c r="AU85" i="24"/>
  <c r="AV85" i="24"/>
  <c r="AW85" i="24"/>
  <c r="AX85" i="24"/>
  <c r="AY85" i="24"/>
  <c r="AZ85" i="24"/>
  <c r="BA85" i="24"/>
  <c r="BB85" i="24"/>
  <c r="BC85" i="24"/>
  <c r="AJ71" i="24"/>
  <c r="AK71" i="24"/>
  <c r="AL71" i="24"/>
  <c r="AM71" i="24"/>
  <c r="AN71" i="24"/>
  <c r="AO71" i="24"/>
  <c r="AP71" i="24"/>
  <c r="AQ71" i="24"/>
  <c r="AR71" i="24"/>
  <c r="AS71" i="24"/>
  <c r="AT71" i="24"/>
  <c r="AU71" i="24"/>
  <c r="AV71" i="24"/>
  <c r="AW71" i="24"/>
  <c r="AX71" i="24"/>
  <c r="AY71" i="24"/>
  <c r="AZ71" i="24"/>
  <c r="BA71" i="24"/>
  <c r="BB71" i="24"/>
  <c r="BC71" i="24"/>
  <c r="AJ72" i="24"/>
  <c r="AK72" i="24"/>
  <c r="AL72" i="24"/>
  <c r="AM72" i="24"/>
  <c r="AN72" i="24"/>
  <c r="AO72" i="24"/>
  <c r="AP72" i="24"/>
  <c r="AQ72" i="24"/>
  <c r="AR72" i="24"/>
  <c r="AS72" i="24"/>
  <c r="AT72" i="24"/>
  <c r="AU72" i="24"/>
  <c r="AV72" i="24"/>
  <c r="AW72" i="24"/>
  <c r="AX72" i="24"/>
  <c r="AY72" i="24"/>
  <c r="AZ72" i="24"/>
  <c r="BA72" i="24"/>
  <c r="BB72" i="24"/>
  <c r="BC72" i="24"/>
  <c r="AJ73" i="24"/>
  <c r="AK73" i="24"/>
  <c r="AL73" i="24"/>
  <c r="AM73" i="24"/>
  <c r="AN73" i="24"/>
  <c r="AO73" i="24"/>
  <c r="AP73" i="24"/>
  <c r="AQ73" i="24"/>
  <c r="AR73" i="24"/>
  <c r="AS73" i="24"/>
  <c r="AT73" i="24"/>
  <c r="AU73" i="24"/>
  <c r="AV73" i="24"/>
  <c r="AW73" i="24"/>
  <c r="AX73" i="24"/>
  <c r="AY73" i="24"/>
  <c r="AZ73" i="24"/>
  <c r="BA73" i="24"/>
  <c r="BB73" i="24"/>
  <c r="BC73" i="24"/>
  <c r="AJ74" i="24"/>
  <c r="AK74" i="24"/>
  <c r="AL74" i="24"/>
  <c r="AM74" i="24"/>
  <c r="AN74" i="24"/>
  <c r="AO74" i="24"/>
  <c r="AP74" i="24"/>
  <c r="AQ74" i="24"/>
  <c r="AR74" i="24"/>
  <c r="AS74" i="24"/>
  <c r="AT74" i="24"/>
  <c r="AU74" i="24"/>
  <c r="AV74" i="24"/>
  <c r="AW74" i="24"/>
  <c r="AX74" i="24"/>
  <c r="AY74" i="24"/>
  <c r="AZ74" i="24"/>
  <c r="BA74" i="24"/>
  <c r="BB74" i="24"/>
  <c r="BC74" i="24"/>
  <c r="AJ75" i="24"/>
  <c r="AK75" i="24"/>
  <c r="AL75" i="24"/>
  <c r="AM75" i="24"/>
  <c r="AN75" i="24"/>
  <c r="AO75" i="24"/>
  <c r="AP75" i="24"/>
  <c r="AQ75" i="24"/>
  <c r="AR75" i="24"/>
  <c r="AS75" i="24"/>
  <c r="AT75" i="24"/>
  <c r="AU75" i="24"/>
  <c r="AV75" i="24"/>
  <c r="AW75" i="24"/>
  <c r="AX75" i="24"/>
  <c r="AY75" i="24"/>
  <c r="AZ75" i="24"/>
  <c r="BA75" i="24"/>
  <c r="BB75" i="24"/>
  <c r="BC75" i="24"/>
  <c r="AJ76" i="24"/>
  <c r="AK76" i="24"/>
  <c r="AL76" i="24"/>
  <c r="AM76" i="24"/>
  <c r="AN76" i="24"/>
  <c r="AO76" i="24"/>
  <c r="AP76" i="24"/>
  <c r="AQ76" i="24"/>
  <c r="AR76" i="24"/>
  <c r="AS76" i="24"/>
  <c r="AT76" i="24"/>
  <c r="AU76" i="24"/>
  <c r="AV76" i="24"/>
  <c r="AW76" i="24"/>
  <c r="AX76" i="24"/>
  <c r="AY76" i="24"/>
  <c r="AZ76" i="24"/>
  <c r="BA76" i="24"/>
  <c r="BB76" i="24"/>
  <c r="BC76" i="24"/>
  <c r="AJ62" i="24"/>
  <c r="AK62" i="24"/>
  <c r="AL62" i="24"/>
  <c r="AM62" i="24"/>
  <c r="AN62" i="24"/>
  <c r="AO62" i="24"/>
  <c r="AP62" i="24"/>
  <c r="AQ62" i="24"/>
  <c r="AR62" i="24"/>
  <c r="AS62" i="24"/>
  <c r="AT62" i="24"/>
  <c r="AU62" i="24"/>
  <c r="AV62" i="24"/>
  <c r="AW62" i="24"/>
  <c r="AX62" i="24"/>
  <c r="AY62" i="24"/>
  <c r="AZ62" i="24"/>
  <c r="BA62" i="24"/>
  <c r="BB62" i="24"/>
  <c r="BC62" i="24"/>
  <c r="AJ63" i="24"/>
  <c r="AK63" i="24"/>
  <c r="AL63" i="24"/>
  <c r="AM63" i="24"/>
  <c r="AN63" i="24"/>
  <c r="AO63" i="24"/>
  <c r="AP63" i="24"/>
  <c r="AQ63" i="24"/>
  <c r="AR63" i="24"/>
  <c r="AS63" i="24"/>
  <c r="AT63" i="24"/>
  <c r="AU63" i="24"/>
  <c r="AV63" i="24"/>
  <c r="AW63" i="24"/>
  <c r="AX63" i="24"/>
  <c r="AY63" i="24"/>
  <c r="AZ63" i="24"/>
  <c r="BA63" i="24"/>
  <c r="BB63" i="24"/>
  <c r="BC63" i="24"/>
  <c r="AJ64" i="24"/>
  <c r="AK64" i="24"/>
  <c r="AL64" i="24"/>
  <c r="AM64" i="24"/>
  <c r="AN64" i="24"/>
  <c r="AO64" i="24"/>
  <c r="AP64" i="24"/>
  <c r="AQ64" i="24"/>
  <c r="AR64" i="24"/>
  <c r="AS64" i="24"/>
  <c r="AT64" i="24"/>
  <c r="AU64" i="24"/>
  <c r="AV64" i="24"/>
  <c r="AW64" i="24"/>
  <c r="AX64" i="24"/>
  <c r="AY64" i="24"/>
  <c r="AZ64" i="24"/>
  <c r="BA64" i="24"/>
  <c r="BB64" i="24"/>
  <c r="BC64" i="24"/>
  <c r="AJ65" i="24"/>
  <c r="AK65" i="24"/>
  <c r="AL65" i="24"/>
  <c r="AM65" i="24"/>
  <c r="AN65" i="24"/>
  <c r="AO65" i="24"/>
  <c r="AP65" i="24"/>
  <c r="AQ65" i="24"/>
  <c r="AR65" i="24"/>
  <c r="AS65" i="24"/>
  <c r="AT65" i="24"/>
  <c r="AU65" i="24"/>
  <c r="AV65" i="24"/>
  <c r="AW65" i="24"/>
  <c r="AX65" i="24"/>
  <c r="AY65" i="24"/>
  <c r="AZ65" i="24"/>
  <c r="BA65" i="24"/>
  <c r="BB65" i="24"/>
  <c r="BC65" i="24"/>
  <c r="AJ66" i="24"/>
  <c r="AK66" i="24"/>
  <c r="AL66" i="24"/>
  <c r="AM66" i="24"/>
  <c r="AN66" i="24"/>
  <c r="AO66" i="24"/>
  <c r="AP66" i="24"/>
  <c r="AQ66" i="24"/>
  <c r="AR66" i="24"/>
  <c r="AS66" i="24"/>
  <c r="AT66" i="24"/>
  <c r="AU66" i="24"/>
  <c r="AV66" i="24"/>
  <c r="AW66" i="24"/>
  <c r="AX66" i="24"/>
  <c r="AY66" i="24"/>
  <c r="AZ66" i="24"/>
  <c r="BA66" i="24"/>
  <c r="BB66" i="24"/>
  <c r="BC66" i="24"/>
  <c r="AJ67" i="24"/>
  <c r="AK67" i="24"/>
  <c r="AL67" i="24"/>
  <c r="AM67" i="24"/>
  <c r="AN67" i="24"/>
  <c r="AO67" i="24"/>
  <c r="AP67" i="24"/>
  <c r="AQ67" i="24"/>
  <c r="AR67" i="24"/>
  <c r="AS67" i="24"/>
  <c r="AT67" i="24"/>
  <c r="AU67" i="24"/>
  <c r="AV67" i="24"/>
  <c r="AW67" i="24"/>
  <c r="AX67" i="24"/>
  <c r="AY67" i="24"/>
  <c r="AZ67" i="24"/>
  <c r="BA67" i="24"/>
  <c r="BB67" i="24"/>
  <c r="BC67" i="24"/>
  <c r="AJ52" i="24"/>
  <c r="AK52" i="24"/>
  <c r="AL52" i="24"/>
  <c r="AM52" i="24"/>
  <c r="AN52" i="24"/>
  <c r="AO52" i="24"/>
  <c r="AP52" i="24"/>
  <c r="AQ52" i="24"/>
  <c r="AR52" i="24"/>
  <c r="AS52" i="24"/>
  <c r="AT52" i="24"/>
  <c r="AU52" i="24"/>
  <c r="AV52" i="24"/>
  <c r="AW52" i="24"/>
  <c r="AX52" i="24"/>
  <c r="AY52" i="24"/>
  <c r="AZ52" i="24"/>
  <c r="BA52" i="24"/>
  <c r="BB52" i="24"/>
  <c r="BC52" i="24"/>
  <c r="AJ53" i="24"/>
  <c r="AK53" i="24"/>
  <c r="AL53" i="24"/>
  <c r="AM53" i="24"/>
  <c r="AN53" i="24"/>
  <c r="AO53" i="24"/>
  <c r="AP53" i="24"/>
  <c r="AQ53" i="24"/>
  <c r="AR53" i="24"/>
  <c r="AS53" i="24"/>
  <c r="AT53" i="24"/>
  <c r="AU53" i="24"/>
  <c r="AV53" i="24"/>
  <c r="AW53" i="24"/>
  <c r="AX53" i="24"/>
  <c r="AY53" i="24"/>
  <c r="AZ53" i="24"/>
  <c r="BA53" i="24"/>
  <c r="BB53" i="24"/>
  <c r="BC53" i="24"/>
  <c r="AJ54" i="24"/>
  <c r="AK54" i="24"/>
  <c r="AL54" i="24"/>
  <c r="AM54" i="24"/>
  <c r="AN54" i="24"/>
  <c r="AO54" i="24"/>
  <c r="AP54" i="24"/>
  <c r="AQ54" i="24"/>
  <c r="AR54" i="24"/>
  <c r="AS54" i="24"/>
  <c r="AT54" i="24"/>
  <c r="AU54" i="24"/>
  <c r="AV54" i="24"/>
  <c r="AW54" i="24"/>
  <c r="AX54" i="24"/>
  <c r="AY54" i="24"/>
  <c r="AZ54" i="24"/>
  <c r="BA54" i="24"/>
  <c r="BB54" i="24"/>
  <c r="BC54" i="24"/>
  <c r="AJ55" i="24"/>
  <c r="AK55" i="24"/>
  <c r="AL55" i="24"/>
  <c r="AM55" i="24"/>
  <c r="AN55" i="24"/>
  <c r="AO55" i="24"/>
  <c r="AP55" i="24"/>
  <c r="AQ55" i="24"/>
  <c r="AR55" i="24"/>
  <c r="AS55" i="24"/>
  <c r="AT55" i="24"/>
  <c r="AU55" i="24"/>
  <c r="AV55" i="24"/>
  <c r="AW55" i="24"/>
  <c r="AX55" i="24"/>
  <c r="AY55" i="24"/>
  <c r="AZ55" i="24"/>
  <c r="BA55" i="24"/>
  <c r="BB55" i="24"/>
  <c r="BC55" i="24"/>
  <c r="AJ56" i="24"/>
  <c r="AK56" i="24"/>
  <c r="AL56" i="24"/>
  <c r="AM56" i="24"/>
  <c r="AN56" i="24"/>
  <c r="AO56" i="24"/>
  <c r="AP56" i="24"/>
  <c r="AQ56" i="24"/>
  <c r="AR56" i="24"/>
  <c r="AS56" i="24"/>
  <c r="AT56" i="24"/>
  <c r="AU56" i="24"/>
  <c r="AV56" i="24"/>
  <c r="AW56" i="24"/>
  <c r="AX56" i="24"/>
  <c r="AY56" i="24"/>
  <c r="AZ56" i="24"/>
  <c r="BA56" i="24"/>
  <c r="BB56" i="24"/>
  <c r="BC56" i="24"/>
  <c r="AJ57" i="24"/>
  <c r="AK57" i="24"/>
  <c r="AL57" i="24"/>
  <c r="AM57" i="24"/>
  <c r="AN57" i="24"/>
  <c r="AO57" i="24"/>
  <c r="AP57" i="24"/>
  <c r="AQ57" i="24"/>
  <c r="AR57" i="24"/>
  <c r="AS57" i="24"/>
  <c r="AT57" i="24"/>
  <c r="AU57" i="24"/>
  <c r="AV57" i="24"/>
  <c r="AW57" i="24"/>
  <c r="AX57" i="24"/>
  <c r="AY57" i="24"/>
  <c r="AZ57" i="24"/>
  <c r="BA57" i="24"/>
  <c r="BB57" i="24"/>
  <c r="BC57" i="24"/>
  <c r="AJ43" i="24"/>
  <c r="AK43" i="24"/>
  <c r="AL43" i="24"/>
  <c r="AM43" i="24"/>
  <c r="AN43" i="24"/>
  <c r="AO43" i="24"/>
  <c r="AP43" i="24"/>
  <c r="AQ43" i="24"/>
  <c r="AR43" i="24"/>
  <c r="AS43" i="24"/>
  <c r="AT43" i="24"/>
  <c r="AU43" i="24"/>
  <c r="AV43" i="24"/>
  <c r="AW43" i="24"/>
  <c r="AX43" i="24"/>
  <c r="AY43" i="24"/>
  <c r="AZ43" i="24"/>
  <c r="BA43" i="24"/>
  <c r="BB43" i="24"/>
  <c r="BC43" i="24"/>
  <c r="AJ44" i="24"/>
  <c r="AK44" i="24"/>
  <c r="AL44" i="24"/>
  <c r="AM44" i="24"/>
  <c r="AN44" i="24"/>
  <c r="AO44" i="24"/>
  <c r="AP44" i="24"/>
  <c r="AQ44" i="24"/>
  <c r="AR44" i="24"/>
  <c r="AS44" i="24"/>
  <c r="AT44" i="24"/>
  <c r="AU44" i="24"/>
  <c r="AV44" i="24"/>
  <c r="AW44" i="24"/>
  <c r="AX44" i="24"/>
  <c r="AY44" i="24"/>
  <c r="AZ44" i="24"/>
  <c r="BA44" i="24"/>
  <c r="BB44" i="24"/>
  <c r="BC44" i="24"/>
  <c r="AJ45" i="24"/>
  <c r="AK45" i="24"/>
  <c r="AL45" i="24"/>
  <c r="AM45" i="24"/>
  <c r="AN45" i="24"/>
  <c r="AO45" i="24"/>
  <c r="AP45" i="24"/>
  <c r="AQ45" i="24"/>
  <c r="AR45" i="24"/>
  <c r="AS45" i="24"/>
  <c r="AT45" i="24"/>
  <c r="AU45" i="24"/>
  <c r="AV45" i="24"/>
  <c r="AW45" i="24"/>
  <c r="AX45" i="24"/>
  <c r="AY45" i="24"/>
  <c r="AZ45" i="24"/>
  <c r="BA45" i="24"/>
  <c r="BB45" i="24"/>
  <c r="BC45" i="24"/>
  <c r="AJ46" i="24"/>
  <c r="AK46" i="24"/>
  <c r="AL46" i="24"/>
  <c r="AM46" i="24"/>
  <c r="AN46" i="24"/>
  <c r="AO46" i="24"/>
  <c r="AP46" i="24"/>
  <c r="AQ46" i="24"/>
  <c r="AR46" i="24"/>
  <c r="AS46" i="24"/>
  <c r="AT46" i="24"/>
  <c r="AU46" i="24"/>
  <c r="AV46" i="24"/>
  <c r="AW46" i="24"/>
  <c r="AX46" i="24"/>
  <c r="AY46" i="24"/>
  <c r="AZ46" i="24"/>
  <c r="BA46" i="24"/>
  <c r="BB46" i="24"/>
  <c r="BC46" i="24"/>
  <c r="AJ47" i="24"/>
  <c r="AK47" i="24"/>
  <c r="AL47" i="24"/>
  <c r="AM47" i="24"/>
  <c r="AN47" i="24"/>
  <c r="AO47" i="24"/>
  <c r="AP47" i="24"/>
  <c r="AQ47" i="24"/>
  <c r="AR47" i="24"/>
  <c r="AS47" i="24"/>
  <c r="AT47" i="24"/>
  <c r="AU47" i="24"/>
  <c r="AV47" i="24"/>
  <c r="AW47" i="24"/>
  <c r="AX47" i="24"/>
  <c r="AY47" i="24"/>
  <c r="AZ47" i="24"/>
  <c r="BA47" i="24"/>
  <c r="BB47" i="24"/>
  <c r="BC47" i="24"/>
  <c r="AJ48" i="24"/>
  <c r="AK48" i="24"/>
  <c r="AL48" i="24"/>
  <c r="AM48" i="24"/>
  <c r="AN48" i="24"/>
  <c r="AO48" i="24"/>
  <c r="AP48" i="24"/>
  <c r="AQ48" i="24"/>
  <c r="AR48" i="24"/>
  <c r="AS48" i="24"/>
  <c r="AT48" i="24"/>
  <c r="AU48" i="24"/>
  <c r="AV48" i="24"/>
  <c r="AW48" i="24"/>
  <c r="AX48" i="24"/>
  <c r="AY48" i="24"/>
  <c r="AZ48" i="24"/>
  <c r="BA48" i="24"/>
  <c r="BB48" i="24"/>
  <c r="BC48" i="24"/>
  <c r="AJ34" i="24"/>
  <c r="AK34" i="24"/>
  <c r="AL34" i="24"/>
  <c r="AM34" i="24"/>
  <c r="AN34" i="24"/>
  <c r="AO34" i="24"/>
  <c r="AP34" i="24"/>
  <c r="AQ34" i="24"/>
  <c r="AR34" i="24"/>
  <c r="AS34" i="24"/>
  <c r="AT34" i="24"/>
  <c r="AU34" i="24"/>
  <c r="AV34" i="24"/>
  <c r="AW34" i="24"/>
  <c r="AX34" i="24"/>
  <c r="AY34" i="24"/>
  <c r="AZ34" i="24"/>
  <c r="BA34" i="24"/>
  <c r="BB34" i="24"/>
  <c r="BC34" i="24"/>
  <c r="AJ35" i="24"/>
  <c r="AK35" i="24"/>
  <c r="AL35" i="24"/>
  <c r="AM35" i="24"/>
  <c r="AN35" i="24"/>
  <c r="AO35" i="24"/>
  <c r="AP35" i="24"/>
  <c r="AQ35" i="24"/>
  <c r="AR35" i="24"/>
  <c r="AS35" i="24"/>
  <c r="AT35" i="24"/>
  <c r="AU35" i="24"/>
  <c r="AV35" i="24"/>
  <c r="AW35" i="24"/>
  <c r="AX35" i="24"/>
  <c r="AY35" i="24"/>
  <c r="AZ35" i="24"/>
  <c r="BA35" i="24"/>
  <c r="BB35" i="24"/>
  <c r="BC35" i="24"/>
  <c r="AJ36" i="24"/>
  <c r="AK36" i="24"/>
  <c r="AL36" i="24"/>
  <c r="AM36" i="24"/>
  <c r="AN36" i="24"/>
  <c r="AO36" i="24"/>
  <c r="AP36" i="24"/>
  <c r="AQ36" i="24"/>
  <c r="AR36" i="24"/>
  <c r="AS36" i="24"/>
  <c r="AT36" i="24"/>
  <c r="AU36" i="24"/>
  <c r="AV36" i="24"/>
  <c r="AW36" i="24"/>
  <c r="AX36" i="24"/>
  <c r="AY36" i="24"/>
  <c r="AZ36" i="24"/>
  <c r="BA36" i="24"/>
  <c r="BB36" i="24"/>
  <c r="BC36" i="24"/>
  <c r="AJ37" i="24"/>
  <c r="AK37" i="24"/>
  <c r="AL37" i="24"/>
  <c r="AM37" i="24"/>
  <c r="AN37" i="24"/>
  <c r="AO37" i="24"/>
  <c r="AP37" i="24"/>
  <c r="AQ37" i="24"/>
  <c r="AR37" i="24"/>
  <c r="AS37" i="24"/>
  <c r="AT37" i="24"/>
  <c r="AU37" i="24"/>
  <c r="AV37" i="24"/>
  <c r="AW37" i="24"/>
  <c r="AX37" i="24"/>
  <c r="AY37" i="24"/>
  <c r="AZ37" i="24"/>
  <c r="BA37" i="24"/>
  <c r="BB37" i="24"/>
  <c r="BC37" i="24"/>
  <c r="AJ38" i="24"/>
  <c r="AK38" i="24"/>
  <c r="AL38" i="24"/>
  <c r="AM38" i="24"/>
  <c r="AN38" i="24"/>
  <c r="AO38" i="24"/>
  <c r="AP38" i="24"/>
  <c r="AQ38" i="24"/>
  <c r="AR38" i="24"/>
  <c r="AS38" i="24"/>
  <c r="AT38" i="24"/>
  <c r="AU38" i="24"/>
  <c r="AV38" i="24"/>
  <c r="AW38" i="24"/>
  <c r="AX38" i="24"/>
  <c r="AY38" i="24"/>
  <c r="AZ38" i="24"/>
  <c r="BA38" i="24"/>
  <c r="BB38" i="24"/>
  <c r="BC38" i="24"/>
  <c r="AJ39" i="24"/>
  <c r="AK39" i="24"/>
  <c r="AL39" i="24"/>
  <c r="AM39" i="24"/>
  <c r="AN39" i="24"/>
  <c r="AO39" i="24"/>
  <c r="AP39" i="24"/>
  <c r="AQ39" i="24"/>
  <c r="AR39" i="24"/>
  <c r="AS39" i="24"/>
  <c r="AT39" i="24"/>
  <c r="AU39" i="24"/>
  <c r="AV39" i="24"/>
  <c r="AW39" i="24"/>
  <c r="AX39" i="24"/>
  <c r="AY39" i="24"/>
  <c r="AZ39" i="24"/>
  <c r="BA39" i="24"/>
  <c r="BB39" i="24"/>
  <c r="BC39" i="24"/>
  <c r="AJ24" i="24"/>
  <c r="AK24" i="24"/>
  <c r="AL24" i="24"/>
  <c r="AM24" i="24"/>
  <c r="AN24" i="24"/>
  <c r="AO24" i="24"/>
  <c r="AP24" i="24"/>
  <c r="AQ24" i="24"/>
  <c r="AR24" i="24"/>
  <c r="AS24" i="24"/>
  <c r="AT24" i="24"/>
  <c r="AU24" i="24"/>
  <c r="AV24" i="24"/>
  <c r="AW24" i="24"/>
  <c r="AX24" i="24"/>
  <c r="AY24" i="24"/>
  <c r="AZ24" i="24"/>
  <c r="BA24" i="24"/>
  <c r="BB24" i="24"/>
  <c r="BC24" i="24"/>
  <c r="AJ25" i="24"/>
  <c r="AK25" i="24"/>
  <c r="AL25" i="24"/>
  <c r="AM25" i="24"/>
  <c r="AN25" i="24"/>
  <c r="AO25" i="24"/>
  <c r="AP25" i="24"/>
  <c r="AQ25" i="24"/>
  <c r="AR25" i="24"/>
  <c r="AS25" i="24"/>
  <c r="AT25" i="24"/>
  <c r="AU25" i="24"/>
  <c r="AV25" i="24"/>
  <c r="AW25" i="24"/>
  <c r="AX25" i="24"/>
  <c r="AY25" i="24"/>
  <c r="AZ25" i="24"/>
  <c r="BA25" i="24"/>
  <c r="BB25" i="24"/>
  <c r="BC25" i="24"/>
  <c r="AJ26" i="24"/>
  <c r="AK26" i="24"/>
  <c r="AL26" i="24"/>
  <c r="AM26" i="24"/>
  <c r="AN26" i="24"/>
  <c r="AO26" i="24"/>
  <c r="AP26" i="24"/>
  <c r="AQ26" i="24"/>
  <c r="AR26" i="24"/>
  <c r="AS26" i="24"/>
  <c r="AT26" i="24"/>
  <c r="AU26" i="24"/>
  <c r="AV26" i="24"/>
  <c r="AW26" i="24"/>
  <c r="AX26" i="24"/>
  <c r="AY26" i="24"/>
  <c r="AZ26" i="24"/>
  <c r="BA26" i="24"/>
  <c r="BB26" i="24"/>
  <c r="BC26" i="24"/>
  <c r="AJ27" i="24"/>
  <c r="AK27" i="24"/>
  <c r="AL27" i="24"/>
  <c r="AM27" i="24"/>
  <c r="AN27" i="24"/>
  <c r="AO27" i="24"/>
  <c r="AP27" i="24"/>
  <c r="AQ27" i="24"/>
  <c r="AR27" i="24"/>
  <c r="AS27" i="24"/>
  <c r="AT27" i="24"/>
  <c r="AU27" i="24"/>
  <c r="AV27" i="24"/>
  <c r="AW27" i="24"/>
  <c r="AX27" i="24"/>
  <c r="AY27" i="24"/>
  <c r="AZ27" i="24"/>
  <c r="BA27" i="24"/>
  <c r="BB27" i="24"/>
  <c r="BC27" i="24"/>
  <c r="AJ28" i="24"/>
  <c r="AK28" i="24"/>
  <c r="AL28" i="24"/>
  <c r="AM28" i="24"/>
  <c r="AN28" i="24"/>
  <c r="AO28" i="24"/>
  <c r="AP28" i="24"/>
  <c r="AQ28" i="24"/>
  <c r="AR28" i="24"/>
  <c r="AS28" i="24"/>
  <c r="AT28" i="24"/>
  <c r="AU28" i="24"/>
  <c r="AV28" i="24"/>
  <c r="AW28" i="24"/>
  <c r="AX28" i="24"/>
  <c r="AY28" i="24"/>
  <c r="AZ28" i="24"/>
  <c r="BA28" i="24"/>
  <c r="BB28" i="24"/>
  <c r="BC28" i="24"/>
  <c r="AJ29" i="24"/>
  <c r="AK29" i="24"/>
  <c r="AL29" i="24"/>
  <c r="AM29" i="24"/>
  <c r="AN29" i="24"/>
  <c r="AO29" i="24"/>
  <c r="AP29" i="24"/>
  <c r="AQ29" i="24"/>
  <c r="AR29" i="24"/>
  <c r="AS29" i="24"/>
  <c r="AT29" i="24"/>
  <c r="AU29" i="24"/>
  <c r="AV29" i="24"/>
  <c r="AW29" i="24"/>
  <c r="AX29" i="24"/>
  <c r="AY29" i="24"/>
  <c r="AZ29" i="24"/>
  <c r="BA29" i="24"/>
  <c r="BB29" i="24"/>
  <c r="BC29" i="24"/>
  <c r="AJ17" i="24"/>
  <c r="AK17" i="24"/>
  <c r="AL17" i="24"/>
  <c r="AM17" i="24"/>
  <c r="AN17" i="24"/>
  <c r="AO17" i="24"/>
  <c r="AP17" i="24"/>
  <c r="AQ17" i="24"/>
  <c r="AR17" i="24"/>
  <c r="AS17" i="24"/>
  <c r="AT17" i="24"/>
  <c r="AU17" i="24"/>
  <c r="AV17" i="24"/>
  <c r="AW17" i="24"/>
  <c r="AX17" i="24"/>
  <c r="AY17" i="24"/>
  <c r="AZ17" i="24"/>
  <c r="BA17" i="24"/>
  <c r="BB17" i="24"/>
  <c r="BC17" i="24"/>
  <c r="AJ18" i="24"/>
  <c r="AK18" i="24"/>
  <c r="AL18" i="24"/>
  <c r="AM18" i="24"/>
  <c r="AN18" i="24"/>
  <c r="AO18" i="24"/>
  <c r="AP18" i="24"/>
  <c r="AQ18" i="24"/>
  <c r="AR18" i="24"/>
  <c r="AS18" i="24"/>
  <c r="AT18" i="24"/>
  <c r="AU18" i="24"/>
  <c r="AV18" i="24"/>
  <c r="AW18" i="24"/>
  <c r="AX18" i="24"/>
  <c r="AY18" i="24"/>
  <c r="AZ18" i="24"/>
  <c r="BA18" i="24"/>
  <c r="BB18" i="24"/>
  <c r="BC18" i="24"/>
  <c r="AJ19" i="24"/>
  <c r="AK19" i="24"/>
  <c r="AL19" i="24"/>
  <c r="AM19" i="24"/>
  <c r="AN19" i="24"/>
  <c r="AO19" i="24"/>
  <c r="AP19" i="24"/>
  <c r="AQ19" i="24"/>
  <c r="AR19" i="24"/>
  <c r="AS19" i="24"/>
  <c r="AT19" i="24"/>
  <c r="AU19" i="24"/>
  <c r="AV19" i="24"/>
  <c r="AW19" i="24"/>
  <c r="AX19" i="24"/>
  <c r="AY19" i="24"/>
  <c r="AZ19" i="24"/>
  <c r="BA19" i="24"/>
  <c r="BB19" i="24"/>
  <c r="BC19" i="24"/>
  <c r="AJ20" i="24"/>
  <c r="AK20" i="24"/>
  <c r="AL20" i="24"/>
  <c r="AM20" i="24"/>
  <c r="AN20" i="24"/>
  <c r="AO20" i="24"/>
  <c r="AP20" i="24"/>
  <c r="AQ20" i="24"/>
  <c r="AR20" i="24"/>
  <c r="AS20" i="24"/>
  <c r="AT20" i="24"/>
  <c r="AU20" i="24"/>
  <c r="AV20" i="24"/>
  <c r="AW20" i="24"/>
  <c r="AX20" i="24"/>
  <c r="AY20" i="24"/>
  <c r="AZ20" i="24"/>
  <c r="BA20" i="24"/>
  <c r="BB20" i="24"/>
  <c r="BC20" i="24"/>
  <c r="AJ16" i="24"/>
  <c r="AK16" i="24"/>
  <c r="AL16" i="24"/>
  <c r="AM16" i="24"/>
  <c r="AN16" i="24"/>
  <c r="AO16" i="24"/>
  <c r="AP16" i="24"/>
  <c r="AQ16" i="24"/>
  <c r="AR16" i="24"/>
  <c r="AS16" i="24"/>
  <c r="AT16" i="24"/>
  <c r="AU16" i="24"/>
  <c r="AV16" i="24"/>
  <c r="AW16" i="24"/>
  <c r="AX16" i="24"/>
  <c r="AY16" i="24"/>
  <c r="AZ16" i="24"/>
  <c r="BA16" i="24"/>
  <c r="BB16" i="24"/>
  <c r="BC16" i="24"/>
  <c r="AJ15" i="24"/>
  <c r="AK15" i="24"/>
  <c r="AL15" i="24"/>
  <c r="AM15" i="24"/>
  <c r="AN15" i="24"/>
  <c r="AO15" i="24"/>
  <c r="AP15" i="24"/>
  <c r="AQ15" i="24"/>
  <c r="AR15" i="24"/>
  <c r="AS15" i="24"/>
  <c r="AT15" i="24"/>
  <c r="AU15" i="24"/>
  <c r="AV15" i="24"/>
  <c r="AW15" i="24"/>
  <c r="AX15" i="24"/>
  <c r="AY15" i="24"/>
  <c r="AZ15" i="24"/>
  <c r="BA15" i="24"/>
  <c r="BB15" i="24"/>
  <c r="BC15" i="24"/>
  <c r="AG6" i="24"/>
  <c r="AH6" i="24"/>
  <c r="AI6" i="24"/>
  <c r="AJ6" i="24"/>
  <c r="AK6" i="24"/>
  <c r="AL6" i="24"/>
  <c r="AM6" i="24"/>
  <c r="AN6" i="24"/>
  <c r="AO6" i="24"/>
  <c r="AP6" i="24"/>
  <c r="AQ6" i="24"/>
  <c r="AR6" i="24"/>
  <c r="AS6" i="24"/>
  <c r="AT6" i="24"/>
  <c r="AU6" i="24"/>
  <c r="AV6" i="24"/>
  <c r="AW6" i="24"/>
  <c r="AX6" i="24"/>
  <c r="AY6" i="24"/>
  <c r="AZ6" i="24"/>
  <c r="BA6" i="24"/>
  <c r="BB6" i="24"/>
  <c r="BC6" i="24"/>
  <c r="AJ7" i="24"/>
  <c r="AK7" i="24"/>
  <c r="AL7" i="24"/>
  <c r="AM7" i="24"/>
  <c r="AN7" i="24"/>
  <c r="AO7" i="24"/>
  <c r="AP7" i="24"/>
  <c r="AQ7" i="24"/>
  <c r="AR7" i="24"/>
  <c r="AS7" i="24"/>
  <c r="AT7" i="24"/>
  <c r="AU7" i="24"/>
  <c r="AV7" i="24"/>
  <c r="AW7" i="24"/>
  <c r="AX7" i="24"/>
  <c r="AY7" i="24"/>
  <c r="AZ7" i="24"/>
  <c r="BA7" i="24"/>
  <c r="BB7" i="24"/>
  <c r="BC7" i="24"/>
  <c r="AJ8" i="24"/>
  <c r="AK8" i="24"/>
  <c r="AL8" i="24"/>
  <c r="AM8" i="24"/>
  <c r="AN8" i="24"/>
  <c r="AO8" i="24"/>
  <c r="AP8" i="24"/>
  <c r="AQ8" i="24"/>
  <c r="AR8" i="24"/>
  <c r="AS8" i="24"/>
  <c r="AT8" i="24"/>
  <c r="AU8" i="24"/>
  <c r="AV8" i="24"/>
  <c r="AW8" i="24"/>
  <c r="AX8" i="24"/>
  <c r="AY8" i="24"/>
  <c r="AZ8" i="24"/>
  <c r="BA8" i="24"/>
  <c r="BB8" i="24"/>
  <c r="BC8" i="24"/>
  <c r="AJ9" i="24"/>
  <c r="AK9" i="24"/>
  <c r="AL9" i="24"/>
  <c r="AM9" i="24"/>
  <c r="AN9" i="24"/>
  <c r="AO9" i="24"/>
  <c r="AP9" i="24"/>
  <c r="AQ9" i="24"/>
  <c r="AR9" i="24"/>
  <c r="AS9" i="24"/>
  <c r="AT9" i="24"/>
  <c r="AU9" i="24"/>
  <c r="AV9" i="24"/>
  <c r="AW9" i="24"/>
  <c r="AX9" i="24"/>
  <c r="AY9" i="24"/>
  <c r="AZ9" i="24"/>
  <c r="BA9" i="24"/>
  <c r="BB9" i="24"/>
  <c r="BC9" i="24"/>
  <c r="AJ10" i="24"/>
  <c r="AK10" i="24"/>
  <c r="AL10" i="24"/>
  <c r="AM10" i="24"/>
  <c r="AN10" i="24"/>
  <c r="AO10" i="24"/>
  <c r="AP10" i="24"/>
  <c r="AQ10" i="24"/>
  <c r="AR10" i="24"/>
  <c r="AS10" i="24"/>
  <c r="AT10" i="24"/>
  <c r="AU10" i="24"/>
  <c r="AV10" i="24"/>
  <c r="AW10" i="24"/>
  <c r="AX10" i="24"/>
  <c r="AY10" i="24"/>
  <c r="AZ10" i="24"/>
  <c r="BA10" i="24"/>
  <c r="BB10" i="24"/>
  <c r="BC10" i="24"/>
  <c r="AJ11" i="24"/>
  <c r="AK11" i="24"/>
  <c r="AL11" i="24"/>
  <c r="AM11" i="24"/>
  <c r="AN11" i="24"/>
  <c r="AO11" i="24"/>
  <c r="AP11" i="24"/>
  <c r="AQ11" i="24"/>
  <c r="AR11" i="24"/>
  <c r="AS11" i="24"/>
  <c r="AT11" i="24"/>
  <c r="AU11" i="24"/>
  <c r="AV11" i="24"/>
  <c r="AW11" i="24"/>
  <c r="AX11" i="24"/>
  <c r="AY11" i="24"/>
  <c r="AZ11" i="24"/>
  <c r="BA11" i="24"/>
  <c r="BB11" i="24"/>
  <c r="BC11" i="24"/>
  <c r="AO27" i="22"/>
  <c r="AP27" i="22"/>
  <c r="AQ27" i="22"/>
  <c r="AR27" i="22"/>
  <c r="AS27" i="22"/>
  <c r="AT27" i="22"/>
  <c r="AU27" i="22"/>
  <c r="AV27" i="22"/>
  <c r="AW27" i="22"/>
  <c r="AX27" i="22"/>
  <c r="AY27" i="22"/>
  <c r="AZ27" i="22"/>
  <c r="BA27" i="22"/>
  <c r="BB27" i="22"/>
  <c r="BC27" i="22"/>
  <c r="BD27" i="22"/>
  <c r="BE27" i="22"/>
  <c r="BF27" i="22"/>
  <c r="BG27" i="22"/>
  <c r="BH27" i="22"/>
  <c r="AO28" i="22"/>
  <c r="AP28" i="22"/>
  <c r="AQ28" i="22"/>
  <c r="AR28" i="22"/>
  <c r="AS28" i="22"/>
  <c r="AT28" i="22"/>
  <c r="AU28" i="22"/>
  <c r="AV28" i="22"/>
  <c r="AW28" i="22"/>
  <c r="AX28" i="22"/>
  <c r="AY28" i="22"/>
  <c r="AZ28" i="22"/>
  <c r="BA28" i="22"/>
  <c r="BB28" i="22"/>
  <c r="BC28" i="22"/>
  <c r="BD28" i="22"/>
  <c r="BE28" i="22"/>
  <c r="BF28" i="22"/>
  <c r="BG28" i="22"/>
  <c r="BH28" i="22"/>
  <c r="AO29" i="22"/>
  <c r="AP29" i="22"/>
  <c r="AQ29" i="22"/>
  <c r="AR29" i="22"/>
  <c r="AS29" i="22"/>
  <c r="AT29" i="22"/>
  <c r="AU29" i="22"/>
  <c r="AV29" i="22"/>
  <c r="AW29" i="22"/>
  <c r="AX29" i="22"/>
  <c r="AY29" i="22"/>
  <c r="AZ29" i="22"/>
  <c r="BA29" i="22"/>
  <c r="BB29" i="22"/>
  <c r="BC29" i="22"/>
  <c r="BD29" i="22"/>
  <c r="BE29" i="22"/>
  <c r="BF29" i="22"/>
  <c r="BG29" i="22"/>
  <c r="BH29" i="22"/>
  <c r="AP15" i="22"/>
  <c r="AQ15" i="22"/>
  <c r="AR15" i="22"/>
  <c r="AS15" i="22"/>
  <c r="AT15" i="22"/>
  <c r="AU15" i="22"/>
  <c r="AV15" i="22"/>
  <c r="AW15" i="22"/>
  <c r="AX15" i="22"/>
  <c r="AY15" i="22"/>
  <c r="AZ15" i="22"/>
  <c r="BA15" i="22"/>
  <c r="BB15" i="22"/>
  <c r="BC15" i="22"/>
  <c r="BD15" i="22"/>
  <c r="BE15" i="22"/>
  <c r="BF15" i="22"/>
  <c r="BG15" i="22"/>
  <c r="BH15" i="22"/>
  <c r="AO15" i="22"/>
  <c r="AP14" i="22"/>
  <c r="AQ14" i="22"/>
  <c r="AR14" i="22"/>
  <c r="AS14" i="22"/>
  <c r="AT14" i="22"/>
  <c r="AU14" i="22"/>
  <c r="AV14" i="22"/>
  <c r="AW14" i="22"/>
  <c r="AX14" i="22"/>
  <c r="AY14" i="22"/>
  <c r="AZ14" i="22"/>
  <c r="BA14" i="22"/>
  <c r="BB14" i="22"/>
  <c r="BC14" i="22"/>
  <c r="BD14" i="22"/>
  <c r="BE14" i="22"/>
  <c r="BF14" i="22"/>
  <c r="BG14" i="22"/>
  <c r="BH14" i="22"/>
  <c r="AO14" i="22"/>
  <c r="BE13" i="22"/>
  <c r="BF13" i="22"/>
  <c r="BG13" i="22"/>
  <c r="BD13" i="22"/>
  <c r="AZ13" i="22"/>
  <c r="BA13" i="22"/>
  <c r="BB13" i="22"/>
  <c r="AY13" i="22"/>
  <c r="AU13" i="22"/>
  <c r="AV13" i="22"/>
  <c r="AW13" i="22"/>
  <c r="AT13" i="22"/>
  <c r="AP13" i="22"/>
  <c r="AQ13" i="22"/>
  <c r="AR13" i="22"/>
  <c r="AO13" i="22"/>
  <c r="AO11" i="22"/>
  <c r="AP11" i="22"/>
  <c r="AQ11" i="22"/>
  <c r="AR11" i="22"/>
  <c r="AS11" i="22"/>
  <c r="AT11" i="22"/>
  <c r="AU11" i="22"/>
  <c r="AV11" i="22"/>
  <c r="AW11" i="22"/>
  <c r="AX11" i="22"/>
  <c r="AY11" i="22"/>
  <c r="AZ11" i="22"/>
  <c r="BA11" i="22"/>
  <c r="BB11" i="22"/>
  <c r="BC11" i="22"/>
  <c r="BD11" i="22"/>
  <c r="BE11" i="22"/>
  <c r="BF11" i="22"/>
  <c r="BG11" i="22"/>
  <c r="BH11" i="22"/>
  <c r="AP10" i="22"/>
  <c r="AQ10" i="22"/>
  <c r="AR10" i="22"/>
  <c r="AS10" i="22"/>
  <c r="AT10" i="22"/>
  <c r="AU10" i="22"/>
  <c r="AV10" i="22"/>
  <c r="AW10" i="22"/>
  <c r="AX10" i="22"/>
  <c r="AY10" i="22"/>
  <c r="AZ10" i="22"/>
  <c r="BA10" i="22"/>
  <c r="BB10" i="22"/>
  <c r="BC10" i="22"/>
  <c r="BD10" i="22"/>
  <c r="BE10" i="22"/>
  <c r="BF10" i="22"/>
  <c r="BG10" i="22"/>
  <c r="BH10" i="22"/>
  <c r="BE9" i="22"/>
  <c r="BF9" i="22"/>
  <c r="BG9" i="22"/>
  <c r="BD9" i="22"/>
  <c r="AZ9" i="22"/>
  <c r="BA9" i="22"/>
  <c r="BB9" i="22"/>
  <c r="AY9" i="22"/>
  <c r="AU9" i="22"/>
  <c r="AV9" i="22"/>
  <c r="AW9" i="22"/>
  <c r="AT9" i="22"/>
  <c r="AO10" i="22"/>
  <c r="AP9" i="22"/>
  <c r="AQ9" i="22"/>
  <c r="AR9" i="22"/>
  <c r="AO9" i="22"/>
  <c r="AH9" i="22"/>
  <c r="AI9" i="22"/>
  <c r="AJ9" i="22"/>
  <c r="AG9" i="22"/>
  <c r="AC9" i="22"/>
  <c r="AD9" i="22"/>
  <c r="AE9" i="22"/>
  <c r="AB9" i="22"/>
  <c r="X9" i="22"/>
  <c r="Y9" i="22"/>
  <c r="Z9" i="22"/>
  <c r="W9" i="22"/>
  <c r="S9" i="22"/>
  <c r="T9" i="22"/>
  <c r="U9" i="22"/>
  <c r="R9" i="22"/>
  <c r="O9" i="22"/>
  <c r="P9" i="22"/>
  <c r="N9" i="22"/>
  <c r="K9" i="22"/>
  <c r="AI7" i="24"/>
  <c r="AH16" i="24"/>
  <c r="C27" i="22"/>
  <c r="B3" i="26"/>
  <c r="E4" i="25" l="1"/>
  <c r="D4" i="25"/>
  <c r="D27" i="22"/>
  <c r="E27" i="22"/>
  <c r="F27" i="22"/>
  <c r="G27" i="22"/>
  <c r="H27" i="22"/>
  <c r="I27" i="22"/>
  <c r="J27" i="22"/>
  <c r="K27" i="22"/>
  <c r="L27" i="22"/>
  <c r="M27" i="22"/>
  <c r="N27" i="22"/>
  <c r="O27" i="22"/>
  <c r="P27" i="22"/>
  <c r="Q27" i="22"/>
  <c r="R27" i="22"/>
  <c r="S27" i="22"/>
  <c r="T27" i="22"/>
  <c r="U27" i="22"/>
  <c r="V27" i="22"/>
  <c r="W27" i="22"/>
  <c r="X27" i="22"/>
  <c r="Y27" i="22"/>
  <c r="Z27" i="22"/>
  <c r="AA27" i="22"/>
  <c r="AB27" i="22"/>
  <c r="AC27" i="22"/>
  <c r="AD27" i="22"/>
  <c r="AE27" i="22"/>
  <c r="AF27" i="22"/>
  <c r="AG27" i="22"/>
  <c r="AH27" i="22"/>
  <c r="AI27" i="22"/>
  <c r="AJ27" i="22"/>
  <c r="AK27" i="22"/>
  <c r="AL27" i="22"/>
  <c r="AM27" i="22"/>
  <c r="AN27" i="22"/>
  <c r="B27" i="22"/>
  <c r="B28" i="22" s="1"/>
  <c r="A40" i="27" l="1"/>
  <c r="C8" i="26" s="1"/>
  <c r="C40" i="26" s="1"/>
  <c r="D40" i="26" s="1"/>
  <c r="D7" i="26"/>
  <c r="C7" i="26"/>
  <c r="C39" i="26" s="1"/>
  <c r="D39" i="26" s="1"/>
  <c r="C6" i="26"/>
  <c r="C38" i="26" s="1"/>
  <c r="D38" i="26" s="1"/>
  <c r="A27" i="27"/>
  <c r="D6" i="26" s="1"/>
  <c r="C7" i="27"/>
  <c r="C8" i="27" s="1"/>
  <c r="C9" i="27" s="1"/>
  <c r="C10" i="27" s="1"/>
  <c r="C11" i="27" s="1"/>
  <c r="C12" i="27" s="1"/>
  <c r="B10" i="26"/>
  <c r="B9" i="26"/>
  <c r="B41" i="26" s="1"/>
  <c r="B8" i="26"/>
  <c r="B7" i="26"/>
  <c r="B39" i="26" s="1"/>
  <c r="B6" i="26"/>
  <c r="B38" i="26" s="1"/>
  <c r="B5" i="26"/>
  <c r="B4" i="26"/>
  <c r="B36" i="26" s="1"/>
  <c r="B19" i="26"/>
  <c r="B51" i="26" s="1"/>
  <c r="G19" i="25"/>
  <c r="D3" i="26" s="1"/>
  <c r="F19" i="25"/>
  <c r="C3" i="26" s="1"/>
  <c r="F6" i="25" l="1"/>
  <c r="C10" i="26" s="1"/>
  <c r="C42" i="26" s="1"/>
  <c r="D42" i="26" s="1"/>
  <c r="G11" i="25"/>
  <c r="D18" i="26" s="1"/>
  <c r="G6" i="25"/>
  <c r="D10" i="26" s="1"/>
  <c r="F13" i="25"/>
  <c r="C20" i="26" s="1"/>
  <c r="C52" i="26" s="1"/>
  <c r="D52" i="26" s="1"/>
  <c r="F16" i="25"/>
  <c r="C22" i="26" s="1"/>
  <c r="C54" i="26" s="1"/>
  <c r="D54" i="26" s="1"/>
  <c r="F8" i="25"/>
  <c r="C17" i="26" s="1"/>
  <c r="C49" i="26" s="1"/>
  <c r="D49" i="26" s="1"/>
  <c r="F4" i="25"/>
  <c r="C14" i="26" s="1"/>
  <c r="C46" i="26" s="1"/>
  <c r="D46" i="26" s="1"/>
  <c r="F11" i="25"/>
  <c r="C18" i="26" s="1"/>
  <c r="C50" i="26" s="1"/>
  <c r="D50" i="26" s="1"/>
  <c r="F18" i="25"/>
  <c r="C23" i="26" s="1"/>
  <c r="G4" i="25"/>
  <c r="D14" i="26" s="1"/>
  <c r="G8" i="25"/>
  <c r="D17" i="26" s="1"/>
  <c r="G13" i="25"/>
  <c r="D20" i="26" s="1"/>
  <c r="G18" i="25"/>
  <c r="D23" i="26" s="1"/>
  <c r="G16" i="25"/>
  <c r="D22" i="26" s="1"/>
  <c r="F5" i="25"/>
  <c r="C15" i="26" s="1"/>
  <c r="C47" i="26" s="1"/>
  <c r="D47" i="26" s="1"/>
  <c r="F7" i="25"/>
  <c r="C16" i="26" s="1"/>
  <c r="C48" i="26" s="1"/>
  <c r="D48" i="26" s="1"/>
  <c r="F10" i="25"/>
  <c r="C9" i="26" s="1"/>
  <c r="C41" i="26" s="1"/>
  <c r="D41" i="26" s="1"/>
  <c r="E41" i="26" s="1"/>
  <c r="F12" i="25"/>
  <c r="C19" i="26" s="1"/>
  <c r="C51" i="26" s="1"/>
  <c r="D51" i="26" s="1"/>
  <c r="E51" i="26" s="1"/>
  <c r="F14" i="25"/>
  <c r="C21" i="26" s="1"/>
  <c r="C53" i="26" s="1"/>
  <c r="D53" i="26" s="1"/>
  <c r="F17" i="25"/>
  <c r="C4" i="26" s="1"/>
  <c r="C36" i="26" s="1"/>
  <c r="D36" i="26" s="1"/>
  <c r="E36" i="26" s="1"/>
  <c r="G5" i="25"/>
  <c r="D15" i="26" s="1"/>
  <c r="G7" i="25"/>
  <c r="D16" i="26" s="1"/>
  <c r="G10" i="25"/>
  <c r="D9" i="26" s="1"/>
  <c r="G12" i="25"/>
  <c r="D19" i="26" s="1"/>
  <c r="F19" i="26" s="1"/>
  <c r="G14" i="25"/>
  <c r="D21" i="26" s="1"/>
  <c r="G17" i="25"/>
  <c r="D4" i="26" s="1"/>
  <c r="F4" i="26" s="1"/>
  <c r="E8" i="26"/>
  <c r="A43" i="27"/>
  <c r="D8" i="26" s="1"/>
  <c r="F8" i="26" s="1"/>
  <c r="A18" i="27"/>
  <c r="A26" i="27" s="1"/>
  <c r="E38" i="26"/>
  <c r="E3" i="26"/>
  <c r="B35" i="26"/>
  <c r="B16" i="26"/>
  <c r="F6" i="26"/>
  <c r="E39" i="26"/>
  <c r="B37" i="26"/>
  <c r="B42" i="26"/>
  <c r="E42" i="26" s="1"/>
  <c r="C35" i="26"/>
  <c r="D35" i="26" s="1"/>
  <c r="B21" i="26"/>
  <c r="E21" i="26" s="1"/>
  <c r="B40" i="26"/>
  <c r="E40" i="26" s="1"/>
  <c r="E6" i="26"/>
  <c r="F3" i="26"/>
  <c r="B18" i="26"/>
  <c r="B50" i="26" s="1"/>
  <c r="E50" i="26" s="1"/>
  <c r="E7" i="26"/>
  <c r="E10" i="26"/>
  <c r="B15" i="26"/>
  <c r="B47" i="26" s="1"/>
  <c r="E47" i="26" s="1"/>
  <c r="B23" i="26"/>
  <c r="B55" i="26" s="1"/>
  <c r="F7" i="26"/>
  <c r="F10" i="26"/>
  <c r="B20" i="26"/>
  <c r="B52" i="26" s="1"/>
  <c r="B17" i="26"/>
  <c r="B49" i="26" s="1"/>
  <c r="E49" i="26" s="1"/>
  <c r="F9" i="26"/>
  <c r="B14" i="26"/>
  <c r="B46" i="26" s="1"/>
  <c r="E46" i="26" s="1"/>
  <c r="B22" i="26"/>
  <c r="B54" i="26" s="1"/>
  <c r="E54" i="26" s="1"/>
  <c r="C55" i="26" l="1"/>
  <c r="D55" i="26" s="1"/>
  <c r="E55" i="26" s="1"/>
  <c r="E23" i="26"/>
  <c r="E52" i="26"/>
  <c r="E9" i="26"/>
  <c r="E4" i="26"/>
  <c r="E19" i="26"/>
  <c r="D5" i="26"/>
  <c r="F5" i="26" s="1"/>
  <c r="C5" i="26"/>
  <c r="E35" i="26"/>
  <c r="F16" i="26"/>
  <c r="E16" i="26"/>
  <c r="B48" i="26"/>
  <c r="E48" i="26" s="1"/>
  <c r="F21" i="26"/>
  <c r="B53" i="26"/>
  <c r="E53" i="26" s="1"/>
  <c r="F14" i="26"/>
  <c r="E14" i="26"/>
  <c r="F15" i="26"/>
  <c r="E15" i="26"/>
  <c r="F22" i="26"/>
  <c r="E22" i="26"/>
  <c r="F18" i="26"/>
  <c r="E18" i="26"/>
  <c r="E20" i="26"/>
  <c r="F20" i="26"/>
  <c r="F23" i="26"/>
  <c r="F17" i="26"/>
  <c r="E17" i="26"/>
  <c r="C37" i="26" l="1"/>
  <c r="D37" i="26" s="1"/>
  <c r="E37" i="26" s="1"/>
  <c r="E5" i="26"/>
  <c r="AN28" i="22"/>
  <c r="AM28" i="22"/>
  <c r="AL28" i="22"/>
  <c r="AK28" i="22"/>
  <c r="AJ28" i="22"/>
  <c r="AI28" i="22"/>
  <c r="AH28" i="22"/>
  <c r="AG28" i="22"/>
  <c r="AF28" i="22"/>
  <c r="AE28" i="22"/>
  <c r="AD28" i="22"/>
  <c r="AC28" i="22"/>
  <c r="AB28" i="22"/>
  <c r="AA28" i="22"/>
  <c r="Z28" i="22"/>
  <c r="Y28" i="22"/>
  <c r="X28" i="22"/>
  <c r="W28" i="22"/>
  <c r="V28" i="22"/>
  <c r="U28" i="22"/>
  <c r="T28" i="22"/>
  <c r="S28" i="22"/>
  <c r="R28" i="22"/>
  <c r="Q28" i="22"/>
  <c r="P28" i="22"/>
  <c r="O28" i="22"/>
  <c r="N28" i="22"/>
  <c r="M28" i="22"/>
  <c r="L28" i="22"/>
  <c r="K28" i="22"/>
  <c r="J28" i="22"/>
  <c r="I28" i="22"/>
  <c r="H28" i="22"/>
  <c r="G28" i="22"/>
  <c r="F28" i="22"/>
  <c r="E28" i="22"/>
  <c r="D28" i="22"/>
  <c r="C28" i="22"/>
  <c r="AN13" i="22"/>
  <c r="AN14" i="22" s="1"/>
  <c r="AM13" i="22"/>
  <c r="AM14" i="22" s="1"/>
  <c r="AL13" i="22"/>
  <c r="AL14" i="22" s="1"/>
  <c r="AK13" i="22"/>
  <c r="AK14" i="22" s="1"/>
  <c r="AJ13" i="22"/>
  <c r="AJ14" i="22" s="1"/>
  <c r="AI13" i="22"/>
  <c r="AI14" i="22" s="1"/>
  <c r="AH13" i="22"/>
  <c r="AH14" i="22" s="1"/>
  <c r="AG13" i="22"/>
  <c r="AG14" i="22" s="1"/>
  <c r="AF13" i="22"/>
  <c r="AF14" i="22" s="1"/>
  <c r="AE13" i="22"/>
  <c r="AE14" i="22" s="1"/>
  <c r="AD13" i="22"/>
  <c r="AD14" i="22" s="1"/>
  <c r="AC13" i="22"/>
  <c r="AC14" i="22" s="1"/>
  <c r="AB13" i="22"/>
  <c r="AB14" i="22" s="1"/>
  <c r="AA13" i="22"/>
  <c r="AA14" i="22" s="1"/>
  <c r="Z13" i="22"/>
  <c r="Z14" i="22" s="1"/>
  <c r="Y13" i="22"/>
  <c r="Y14" i="22" s="1"/>
  <c r="X13" i="22"/>
  <c r="X14" i="22" s="1"/>
  <c r="W13" i="22"/>
  <c r="W14" i="22" s="1"/>
  <c r="V13" i="22"/>
  <c r="V14" i="22" s="1"/>
  <c r="U13" i="22"/>
  <c r="U14" i="22" s="1"/>
  <c r="T13" i="22"/>
  <c r="T14" i="22" s="1"/>
  <c r="S13" i="22"/>
  <c r="S14" i="22" s="1"/>
  <c r="R13" i="22"/>
  <c r="R14" i="22" s="1"/>
  <c r="Q13" i="22"/>
  <c r="Q14" i="22" s="1"/>
  <c r="P13" i="22"/>
  <c r="P14" i="22" s="1"/>
  <c r="O13" i="22"/>
  <c r="O14" i="22" s="1"/>
  <c r="N13" i="22"/>
  <c r="N14" i="22" s="1"/>
  <c r="M13" i="22"/>
  <c r="M14" i="22" s="1"/>
  <c r="L13" i="22"/>
  <c r="L14" i="22" s="1"/>
  <c r="K13" i="22"/>
  <c r="K14" i="22" s="1"/>
  <c r="J13" i="22"/>
  <c r="J14" i="22" s="1"/>
  <c r="I13" i="22"/>
  <c r="I14" i="22" s="1"/>
  <c r="H13" i="22"/>
  <c r="H14" i="22" s="1"/>
  <c r="G13" i="22"/>
  <c r="G14" i="22" s="1"/>
  <c r="F13" i="22"/>
  <c r="F14" i="22" s="1"/>
  <c r="E13" i="22"/>
  <c r="E14" i="22" s="1"/>
  <c r="D13" i="22"/>
  <c r="D14" i="22" s="1"/>
  <c r="C13" i="22"/>
  <c r="C14" i="22" s="1"/>
  <c r="B13" i="22"/>
  <c r="B14" i="22" s="1"/>
  <c r="AN9" i="22"/>
  <c r="AN10" i="22" s="1"/>
  <c r="AM9" i="22"/>
  <c r="AM10" i="22" s="1"/>
  <c r="AL9" i="22"/>
  <c r="AL10" i="22" s="1"/>
  <c r="AK9" i="22"/>
  <c r="AK10" i="22" s="1"/>
  <c r="AJ10" i="22"/>
  <c r="AI10" i="22"/>
  <c r="AH10" i="22"/>
  <c r="AG10" i="22"/>
  <c r="AF9" i="22"/>
  <c r="AF10" i="22" s="1"/>
  <c r="AE10" i="22"/>
  <c r="AD10" i="22"/>
  <c r="AC10" i="22"/>
  <c r="AB10" i="22"/>
  <c r="AA9" i="22"/>
  <c r="AA10" i="22" s="1"/>
  <c r="Z10" i="22"/>
  <c r="Y10" i="22"/>
  <c r="X10" i="22"/>
  <c r="W10" i="22"/>
  <c r="V9" i="22"/>
  <c r="V10" i="22" s="1"/>
  <c r="U10" i="22"/>
  <c r="T10" i="22"/>
  <c r="S10" i="22"/>
  <c r="R10" i="22"/>
  <c r="Q9" i="22"/>
  <c r="Q10" i="22" s="1"/>
  <c r="P10" i="22"/>
  <c r="O10" i="22"/>
  <c r="N10" i="22"/>
  <c r="M10" i="22"/>
  <c r="L10" i="22"/>
  <c r="K10" i="22"/>
  <c r="J10" i="22"/>
  <c r="I9" i="22"/>
  <c r="I10" i="22" s="1"/>
  <c r="H9" i="22"/>
  <c r="H10" i="22" s="1"/>
  <c r="G9" i="22"/>
  <c r="G10" i="22" s="1"/>
  <c r="F9" i="22"/>
  <c r="F10" i="22" s="1"/>
  <c r="E9" i="22"/>
  <c r="E10" i="22" s="1"/>
  <c r="D9" i="22"/>
  <c r="D10" i="22" s="1"/>
  <c r="C9" i="22"/>
  <c r="C10" i="22" s="1"/>
  <c r="B9" i="22"/>
  <c r="B10" i="22" s="1"/>
  <c r="T11" i="22" l="1"/>
  <c r="AB11" i="22"/>
  <c r="AJ11" i="22"/>
  <c r="J29" i="22"/>
  <c r="R29" i="22"/>
  <c r="Z29" i="22"/>
  <c r="U62" i="24" s="1"/>
  <c r="AH29" i="22"/>
  <c r="AC66" i="24" s="1"/>
  <c r="AC75" i="24" s="1"/>
  <c r="AC84" i="24" s="1"/>
  <c r="Y6" i="18" s="1"/>
  <c r="H29" i="22"/>
  <c r="P29" i="22"/>
  <c r="X29" i="22"/>
  <c r="S67" i="24" s="1"/>
  <c r="S76" i="24" s="1"/>
  <c r="S85" i="24" s="1"/>
  <c r="O7" i="18" s="1"/>
  <c r="AF29" i="22"/>
  <c r="AA65" i="24" s="1"/>
  <c r="AA74" i="24" s="1"/>
  <c r="AA83" i="24" s="1"/>
  <c r="W5" i="18" s="1"/>
  <c r="AN29" i="22"/>
  <c r="C11" i="22"/>
  <c r="G11" i="22"/>
  <c r="K11" i="22"/>
  <c r="F8" i="24" s="1"/>
  <c r="F17" i="24" s="1"/>
  <c r="O11" i="22"/>
  <c r="W11" i="22"/>
  <c r="AE11" i="22"/>
  <c r="Z10" i="24" s="1"/>
  <c r="Z19" i="24" s="1"/>
  <c r="E29" i="22"/>
  <c r="M29" i="22"/>
  <c r="AC29" i="22"/>
  <c r="X62" i="24" s="1"/>
  <c r="X71" i="24" s="1"/>
  <c r="X80" i="24" s="1"/>
  <c r="T2" i="18" s="1"/>
  <c r="AK29" i="22"/>
  <c r="AF67" i="24" s="1"/>
  <c r="AF76" i="24" s="1"/>
  <c r="AF85" i="24" s="1"/>
  <c r="AB7" i="18" s="1"/>
  <c r="X66" i="24"/>
  <c r="X75" i="24" s="1"/>
  <c r="X84" i="24" s="1"/>
  <c r="T6" i="18" s="1"/>
  <c r="X67" i="24"/>
  <c r="X76" i="24" s="1"/>
  <c r="X85" i="24" s="1"/>
  <c r="T7" i="18" s="1"/>
  <c r="X63" i="24"/>
  <c r="X72" i="24" s="1"/>
  <c r="X81" i="24" s="1"/>
  <c r="T3" i="18" s="1"/>
  <c r="X64" i="24"/>
  <c r="X73" i="24" s="1"/>
  <c r="X82" i="24" s="1"/>
  <c r="X65" i="24"/>
  <c r="X74" i="24" s="1"/>
  <c r="X83" i="24" s="1"/>
  <c r="T5" i="18" s="1"/>
  <c r="H62" i="24"/>
  <c r="H71" i="24" s="1"/>
  <c r="H80" i="24" s="1"/>
  <c r="D2" i="18" s="1"/>
  <c r="H67" i="24"/>
  <c r="H76" i="24" s="1"/>
  <c r="H85" i="24" s="1"/>
  <c r="D7" i="18" s="1"/>
  <c r="H63" i="24"/>
  <c r="H72" i="24" s="1"/>
  <c r="H81" i="24" s="1"/>
  <c r="D3" i="18" s="1"/>
  <c r="H66" i="24"/>
  <c r="H75" i="24" s="1"/>
  <c r="H84" i="24" s="1"/>
  <c r="D6" i="18" s="1"/>
  <c r="H64" i="24"/>
  <c r="H73" i="24" s="1"/>
  <c r="H82" i="24" s="1"/>
  <c r="H65" i="24"/>
  <c r="H74" i="24" s="1"/>
  <c r="H83" i="24" s="1"/>
  <c r="D5" i="18" s="1"/>
  <c r="D11" i="22"/>
  <c r="E11" i="22"/>
  <c r="C65" i="24"/>
  <c r="C74" i="24" s="1"/>
  <c r="C83" i="24" s="1"/>
  <c r="C67" i="24"/>
  <c r="C76" i="24" s="1"/>
  <c r="C85" i="24" s="1"/>
  <c r="C66" i="24"/>
  <c r="C75" i="24" s="1"/>
  <c r="C84" i="24" s="1"/>
  <c r="C63" i="24"/>
  <c r="C72" i="24" s="1"/>
  <c r="C81" i="24" s="1"/>
  <c r="C64" i="24"/>
  <c r="C73" i="24" s="1"/>
  <c r="C82" i="24" s="1"/>
  <c r="C62" i="24"/>
  <c r="C71" i="24" s="1"/>
  <c r="C80" i="24" s="1"/>
  <c r="F11" i="22"/>
  <c r="N11" i="22"/>
  <c r="V11" i="22"/>
  <c r="AD11" i="22"/>
  <c r="AM11" i="22"/>
  <c r="AL11" i="22"/>
  <c r="O11" i="24"/>
  <c r="O20" i="24" s="1"/>
  <c r="O6" i="24"/>
  <c r="O15" i="24" s="1"/>
  <c r="O7" i="24"/>
  <c r="O16" i="24" s="1"/>
  <c r="O8" i="24"/>
  <c r="O17" i="24" s="1"/>
  <c r="O9" i="24"/>
  <c r="O18" i="24" s="1"/>
  <c r="O10" i="24"/>
  <c r="O19" i="24" s="1"/>
  <c r="AC11" i="22"/>
  <c r="AA64" i="24"/>
  <c r="AA73" i="24" s="1"/>
  <c r="AA82" i="24" s="1"/>
  <c r="F9" i="24"/>
  <c r="F18" i="24" s="1"/>
  <c r="AE11" i="24"/>
  <c r="AE20" i="24" s="1"/>
  <c r="AE9" i="24"/>
  <c r="AE18" i="24" s="1"/>
  <c r="AE6" i="24"/>
  <c r="AE15" i="24" s="1"/>
  <c r="AE7" i="24"/>
  <c r="AE16" i="24" s="1"/>
  <c r="AE8" i="24"/>
  <c r="AE17" i="24" s="1"/>
  <c r="AE10" i="24"/>
  <c r="AE19" i="24" s="1"/>
  <c r="U11" i="22"/>
  <c r="K65" i="24"/>
  <c r="K74" i="24" s="1"/>
  <c r="K83" i="24" s="1"/>
  <c r="G5" i="18" s="1"/>
  <c r="K64" i="24"/>
  <c r="K73" i="24" s="1"/>
  <c r="K82" i="24" s="1"/>
  <c r="K66" i="24"/>
  <c r="K75" i="24" s="1"/>
  <c r="K84" i="24" s="1"/>
  <c r="G6" i="18" s="1"/>
  <c r="K67" i="24"/>
  <c r="K76" i="24" s="1"/>
  <c r="K85" i="24" s="1"/>
  <c r="G7" i="18" s="1"/>
  <c r="K63" i="24"/>
  <c r="K72" i="24" s="1"/>
  <c r="K81" i="24" s="1"/>
  <c r="G3" i="18" s="1"/>
  <c r="K62" i="24"/>
  <c r="R8" i="24"/>
  <c r="R17" i="24" s="1"/>
  <c r="R9" i="24"/>
  <c r="R18" i="24" s="1"/>
  <c r="R10" i="24"/>
  <c r="R19" i="24" s="1"/>
  <c r="R11" i="24"/>
  <c r="R20" i="24" s="1"/>
  <c r="R6" i="24"/>
  <c r="R15" i="24" s="1"/>
  <c r="R7" i="24"/>
  <c r="R16" i="24" s="1"/>
  <c r="H11" i="22"/>
  <c r="P11" i="22"/>
  <c r="X11" i="22"/>
  <c r="AF11" i="22"/>
  <c r="AN11" i="22"/>
  <c r="E63" i="24"/>
  <c r="E72" i="24" s="1"/>
  <c r="E81" i="24" s="1"/>
  <c r="E66" i="24"/>
  <c r="E75" i="24" s="1"/>
  <c r="E84" i="24" s="1"/>
  <c r="E64" i="24"/>
  <c r="E73" i="24" s="1"/>
  <c r="E82" i="24" s="1"/>
  <c r="E65" i="24"/>
  <c r="E74" i="24" s="1"/>
  <c r="E83" i="24" s="1"/>
  <c r="E67" i="24"/>
  <c r="E76" i="24" s="1"/>
  <c r="E85" i="24" s="1"/>
  <c r="E62" i="24"/>
  <c r="E71" i="24" s="1"/>
  <c r="E80" i="24" s="1"/>
  <c r="M63" i="24"/>
  <c r="M72" i="24" s="1"/>
  <c r="M81" i="24" s="1"/>
  <c r="I3" i="18" s="1"/>
  <c r="M65" i="24"/>
  <c r="M74" i="24" s="1"/>
  <c r="M83" i="24" s="1"/>
  <c r="I5" i="18" s="1"/>
  <c r="M64" i="24"/>
  <c r="M73" i="24" s="1"/>
  <c r="M82" i="24" s="1"/>
  <c r="M66" i="24"/>
  <c r="M75" i="24" s="1"/>
  <c r="M84" i="24" s="1"/>
  <c r="I6" i="18" s="1"/>
  <c r="M62" i="24"/>
  <c r="M71" i="24" s="1"/>
  <c r="M80" i="24" s="1"/>
  <c r="I2" i="18" s="1"/>
  <c r="M67" i="24"/>
  <c r="M76" i="24" s="1"/>
  <c r="M85" i="24" s="1"/>
  <c r="I7" i="18" s="1"/>
  <c r="U63" i="24"/>
  <c r="U72" i="24" s="1"/>
  <c r="U81" i="24" s="1"/>
  <c r="Q3" i="18" s="1"/>
  <c r="U65" i="24"/>
  <c r="U74" i="24" s="1"/>
  <c r="U83" i="24" s="1"/>
  <c r="Q5" i="18" s="1"/>
  <c r="U66" i="24"/>
  <c r="U75" i="24" s="1"/>
  <c r="U84" i="24" s="1"/>
  <c r="Q6" i="18" s="1"/>
  <c r="AC65" i="24"/>
  <c r="AC74" i="24" s="1"/>
  <c r="AC83" i="24" s="1"/>
  <c r="Y5" i="18" s="1"/>
  <c r="W11" i="24"/>
  <c r="W20" i="24" s="1"/>
  <c r="W9" i="24"/>
  <c r="W18" i="24" s="1"/>
  <c r="W6" i="24"/>
  <c r="W15" i="24" s="1"/>
  <c r="W7" i="24"/>
  <c r="W16" i="24" s="1"/>
  <c r="W8" i="24"/>
  <c r="W17" i="24" s="1"/>
  <c r="W10" i="24"/>
  <c r="W19" i="24" s="1"/>
  <c r="M11" i="22"/>
  <c r="S66" i="24"/>
  <c r="S75" i="24" s="1"/>
  <c r="S84" i="24" s="1"/>
  <c r="O6" i="18" s="1"/>
  <c r="S64" i="24"/>
  <c r="S73" i="24" s="1"/>
  <c r="S82" i="24" s="1"/>
  <c r="S63" i="24"/>
  <c r="S72" i="24" s="1"/>
  <c r="S81" i="24" s="1"/>
  <c r="O3" i="18" s="1"/>
  <c r="B7" i="24"/>
  <c r="B16" i="24" s="1"/>
  <c r="B11" i="24"/>
  <c r="B20" i="24" s="1"/>
  <c r="B9" i="24"/>
  <c r="B18" i="24" s="1"/>
  <c r="Z8" i="24"/>
  <c r="Z17" i="24" s="1"/>
  <c r="Z9" i="24"/>
  <c r="Z18" i="24" s="1"/>
  <c r="Z11" i="24"/>
  <c r="Z20" i="24" s="1"/>
  <c r="Z6" i="24"/>
  <c r="Z15" i="24" s="1"/>
  <c r="Z7" i="24"/>
  <c r="Z16" i="24" s="1"/>
  <c r="I11" i="22"/>
  <c r="Q11" i="22"/>
  <c r="Y11" i="22"/>
  <c r="AH11" i="22"/>
  <c r="AG11" i="22"/>
  <c r="L11" i="22"/>
  <c r="AK11" i="22"/>
  <c r="AI65" i="24"/>
  <c r="AI74" i="24" s="1"/>
  <c r="AI83" i="24" s="1"/>
  <c r="AE5" i="18" s="1"/>
  <c r="AI66" i="24"/>
  <c r="AI75" i="24" s="1"/>
  <c r="AI84" i="24" s="1"/>
  <c r="AE6" i="18" s="1"/>
  <c r="AI67" i="24"/>
  <c r="AI76" i="24" s="1"/>
  <c r="AI85" i="24" s="1"/>
  <c r="AE7" i="18" s="1"/>
  <c r="AI63" i="24"/>
  <c r="AI72" i="24" s="1"/>
  <c r="AI81" i="24" s="1"/>
  <c r="AE3" i="18" s="1"/>
  <c r="AI64" i="24"/>
  <c r="AI73" i="24" s="1"/>
  <c r="AI82" i="24" s="1"/>
  <c r="AI62" i="24"/>
  <c r="AI71" i="24" s="1"/>
  <c r="AI80" i="24" s="1"/>
  <c r="AE2" i="18" s="1"/>
  <c r="J8" i="24"/>
  <c r="J17" i="24" s="1"/>
  <c r="J9" i="24"/>
  <c r="J18" i="24" s="1"/>
  <c r="J10" i="24"/>
  <c r="J19" i="24" s="1"/>
  <c r="J11" i="24"/>
  <c r="J20" i="24" s="1"/>
  <c r="J6" i="24"/>
  <c r="J15" i="24" s="1"/>
  <c r="J7" i="24"/>
  <c r="J16" i="24" s="1"/>
  <c r="J11" i="22"/>
  <c r="S11" i="22"/>
  <c r="R11" i="22"/>
  <c r="AA11" i="22"/>
  <c r="Z11" i="22"/>
  <c r="AI11" i="22"/>
  <c r="AJ29" i="22"/>
  <c r="AA29" i="22"/>
  <c r="AI29" i="22"/>
  <c r="T29" i="22"/>
  <c r="F29" i="22"/>
  <c r="N29" i="22"/>
  <c r="V29" i="22"/>
  <c r="AD29" i="22"/>
  <c r="AL29" i="22"/>
  <c r="D29" i="22"/>
  <c r="K29" i="22"/>
  <c r="AB29" i="22"/>
  <c r="U29" i="22"/>
  <c r="S29" i="22"/>
  <c r="L29" i="22"/>
  <c r="I29" i="22"/>
  <c r="Q29" i="22"/>
  <c r="Y29" i="22"/>
  <c r="AG29" i="22"/>
  <c r="C29" i="22"/>
  <c r="AM29" i="22"/>
  <c r="AE29" i="22"/>
  <c r="W29" i="22"/>
  <c r="O29" i="22"/>
  <c r="G29" i="22"/>
  <c r="Q15" i="22"/>
  <c r="L34" i="24" s="1"/>
  <c r="L43" i="24" s="1"/>
  <c r="L52" i="24" s="1"/>
  <c r="H2" i="20" s="1"/>
  <c r="AG15" i="22"/>
  <c r="C15" i="22"/>
  <c r="AI15" i="22"/>
  <c r="T15" i="22"/>
  <c r="AB15" i="22"/>
  <c r="B10" i="24" l="1"/>
  <c r="B19" i="24" s="1"/>
  <c r="B6" i="24"/>
  <c r="B15" i="24" s="1"/>
  <c r="AF62" i="24"/>
  <c r="AF71" i="24" s="1"/>
  <c r="AF80" i="24" s="1"/>
  <c r="AB2" i="18" s="1"/>
  <c r="AF66" i="24"/>
  <c r="AF75" i="24" s="1"/>
  <c r="AF84" i="24" s="1"/>
  <c r="AB6" i="18" s="1"/>
  <c r="AF65" i="24"/>
  <c r="AF74" i="24" s="1"/>
  <c r="AF83" i="24" s="1"/>
  <c r="AB5" i="18" s="1"/>
  <c r="AC62" i="24"/>
  <c r="AC71" i="24" s="1"/>
  <c r="AC80" i="24" s="1"/>
  <c r="Y2" i="18" s="1"/>
  <c r="AC64" i="24"/>
  <c r="AC73" i="24" s="1"/>
  <c r="AC82" i="24" s="1"/>
  <c r="F11" i="24"/>
  <c r="F20" i="24" s="1"/>
  <c r="F29" i="24" s="1"/>
  <c r="B7" i="17" s="1"/>
  <c r="F7" i="24"/>
  <c r="F16" i="24" s="1"/>
  <c r="F25" i="24" s="1"/>
  <c r="B3" i="17" s="1"/>
  <c r="AA67" i="24"/>
  <c r="AA76" i="24" s="1"/>
  <c r="AA85" i="24" s="1"/>
  <c r="W7" i="18" s="1"/>
  <c r="B8" i="24"/>
  <c r="B17" i="24" s="1"/>
  <c r="B26" i="24" s="1"/>
  <c r="AC67" i="24"/>
  <c r="AC76" i="24" s="1"/>
  <c r="AC85" i="24" s="1"/>
  <c r="Y7" i="18" s="1"/>
  <c r="AC63" i="24"/>
  <c r="AC72" i="24" s="1"/>
  <c r="AC81" i="24" s="1"/>
  <c r="Y3" i="18" s="1"/>
  <c r="U64" i="24"/>
  <c r="U73" i="24" s="1"/>
  <c r="U82" i="24" s="1"/>
  <c r="F10" i="24"/>
  <c r="F19" i="24" s="1"/>
  <c r="F6" i="24"/>
  <c r="F15" i="24" s="1"/>
  <c r="F24" i="24" s="1"/>
  <c r="B2" i="17" s="1"/>
  <c r="AA66" i="24"/>
  <c r="AA75" i="24" s="1"/>
  <c r="AA84" i="24" s="1"/>
  <c r="W6" i="18" s="1"/>
  <c r="AF64" i="24"/>
  <c r="AF73" i="24" s="1"/>
  <c r="AF82" i="24" s="1"/>
  <c r="U67" i="24"/>
  <c r="U76" i="24" s="1"/>
  <c r="U85" i="24" s="1"/>
  <c r="Q7" i="18" s="1"/>
  <c r="AA62" i="24"/>
  <c r="AA71" i="24" s="1"/>
  <c r="AA80" i="24" s="1"/>
  <c r="W2" i="18" s="1"/>
  <c r="AF63" i="24"/>
  <c r="AF72" i="24" s="1"/>
  <c r="AF81" i="24" s="1"/>
  <c r="AB3" i="18" s="1"/>
  <c r="S65" i="24"/>
  <c r="S74" i="24" s="1"/>
  <c r="S83" i="24" s="1"/>
  <c r="O5" i="18" s="1"/>
  <c r="AA63" i="24"/>
  <c r="AA72" i="24" s="1"/>
  <c r="AA81" i="24" s="1"/>
  <c r="W3" i="18" s="1"/>
  <c r="S62" i="24"/>
  <c r="S71" i="24" s="1"/>
  <c r="S80" i="24" s="1"/>
  <c r="O2" i="18" s="1"/>
  <c r="J29" i="24"/>
  <c r="F7" i="17" s="1"/>
  <c r="Z28" i="24"/>
  <c r="V6" i="17" s="1"/>
  <c r="B28" i="24"/>
  <c r="W28" i="24"/>
  <c r="S6" i="17" s="1"/>
  <c r="W27" i="24"/>
  <c r="S5" i="17" s="1"/>
  <c r="R26" i="24"/>
  <c r="AE27" i="24"/>
  <c r="AA5" i="17" s="1"/>
  <c r="O29" i="24"/>
  <c r="K7" i="17" s="1"/>
  <c r="J28" i="24"/>
  <c r="F6" i="17" s="1"/>
  <c r="Z27" i="24"/>
  <c r="V5" i="17" s="1"/>
  <c r="B24" i="24"/>
  <c r="W26" i="24"/>
  <c r="AE29" i="24"/>
  <c r="AA7" i="17" s="1"/>
  <c r="F27" i="24"/>
  <c r="B5" i="17" s="1"/>
  <c r="J25" i="24"/>
  <c r="F3" i="17" s="1"/>
  <c r="Z24" i="24"/>
  <c r="V2" i="17" s="1"/>
  <c r="Z26" i="24"/>
  <c r="B29" i="24"/>
  <c r="W25" i="24"/>
  <c r="S3" i="17" s="1"/>
  <c r="R28" i="24"/>
  <c r="N6" i="17" s="1"/>
  <c r="AE25" i="24"/>
  <c r="AA3" i="17" s="1"/>
  <c r="O25" i="24"/>
  <c r="K3" i="17" s="1"/>
  <c r="R24" i="24"/>
  <c r="N2" i="17" s="1"/>
  <c r="AE28" i="24"/>
  <c r="AA6" i="17" s="1"/>
  <c r="F26" i="24"/>
  <c r="O27" i="24"/>
  <c r="K5" i="17" s="1"/>
  <c r="Z25" i="24"/>
  <c r="V3" i="17" s="1"/>
  <c r="W29" i="24"/>
  <c r="S7" i="17" s="1"/>
  <c r="R29" i="24"/>
  <c r="N7" i="17" s="1"/>
  <c r="AE26" i="24"/>
  <c r="O26" i="24"/>
  <c r="J27" i="24"/>
  <c r="F5" i="17" s="1"/>
  <c r="J24" i="24"/>
  <c r="F2" i="17" s="1"/>
  <c r="J26" i="24"/>
  <c r="Z29" i="24"/>
  <c r="V7" i="17" s="1"/>
  <c r="B27" i="24"/>
  <c r="B25" i="24"/>
  <c r="W24" i="24"/>
  <c r="S2" i="17" s="1"/>
  <c r="R25" i="24"/>
  <c r="N3" i="17" s="1"/>
  <c r="R27" i="24"/>
  <c r="N5" i="17" s="1"/>
  <c r="AE24" i="24"/>
  <c r="AA2" i="17" s="1"/>
  <c r="F28" i="24"/>
  <c r="B6" i="17" s="1"/>
  <c r="O28" i="24"/>
  <c r="K6" i="17" s="1"/>
  <c r="O24" i="24"/>
  <c r="K2" i="17" s="1"/>
  <c r="Q67" i="24"/>
  <c r="Q76" i="24" s="1"/>
  <c r="Q85" i="24" s="1"/>
  <c r="M7" i="18" s="1"/>
  <c r="Q62" i="24"/>
  <c r="Q65" i="24"/>
  <c r="Q74" i="24" s="1"/>
  <c r="Q83" i="24" s="1"/>
  <c r="M5" i="18" s="1"/>
  <c r="Q66" i="24"/>
  <c r="Q75" i="24" s="1"/>
  <c r="Q84" i="24" s="1"/>
  <c r="M6" i="18" s="1"/>
  <c r="Q63" i="24"/>
  <c r="Q72" i="24" s="1"/>
  <c r="Q81" i="24" s="1"/>
  <c r="M3" i="18" s="1"/>
  <c r="Q64" i="24"/>
  <c r="Q73" i="24" s="1"/>
  <c r="Q82" i="24" s="1"/>
  <c r="N62" i="24"/>
  <c r="N63" i="24"/>
  <c r="N72" i="24" s="1"/>
  <c r="N81" i="24" s="1"/>
  <c r="J3" i="18" s="1"/>
  <c r="N64" i="24"/>
  <c r="N73" i="24" s="1"/>
  <c r="N82" i="24" s="1"/>
  <c r="N65" i="24"/>
  <c r="N74" i="24" s="1"/>
  <c r="N83" i="24" s="1"/>
  <c r="J5" i="18" s="1"/>
  <c r="N66" i="24"/>
  <c r="N75" i="24" s="1"/>
  <c r="N84" i="24" s="1"/>
  <c r="J6" i="18" s="1"/>
  <c r="N67" i="24"/>
  <c r="N76" i="24" s="1"/>
  <c r="N85" i="24" s="1"/>
  <c r="J7" i="18" s="1"/>
  <c r="C7" i="24"/>
  <c r="C16" i="24" s="1"/>
  <c r="C8" i="24"/>
  <c r="C17" i="24" s="1"/>
  <c r="C9" i="24"/>
  <c r="C18" i="24" s="1"/>
  <c r="C10" i="24"/>
  <c r="C19" i="24" s="1"/>
  <c r="C11" i="24"/>
  <c r="C20" i="24" s="1"/>
  <c r="C6" i="24"/>
  <c r="C15" i="24" s="1"/>
  <c r="X10" i="24"/>
  <c r="X19" i="24" s="1"/>
  <c r="X8" i="24"/>
  <c r="X17" i="24" s="1"/>
  <c r="X11" i="24"/>
  <c r="X20" i="24" s="1"/>
  <c r="X6" i="24"/>
  <c r="X15" i="24" s="1"/>
  <c r="X7" i="24"/>
  <c r="X16" i="24" s="1"/>
  <c r="X9" i="24"/>
  <c r="X18" i="24" s="1"/>
  <c r="AH8" i="24"/>
  <c r="AH17" i="24" s="1"/>
  <c r="AH9" i="24"/>
  <c r="AH18" i="24" s="1"/>
  <c r="AH10" i="24"/>
  <c r="AH19" i="24" s="1"/>
  <c r="AH11" i="24"/>
  <c r="AH20" i="24" s="1"/>
  <c r="AH15" i="24"/>
  <c r="AH7" i="24"/>
  <c r="AH66" i="24"/>
  <c r="AH75" i="24" s="1"/>
  <c r="AH84" i="24" s="1"/>
  <c r="AD6" i="18" s="1"/>
  <c r="AH65" i="24"/>
  <c r="AH74" i="24" s="1"/>
  <c r="AH83" i="24" s="1"/>
  <c r="AD5" i="18" s="1"/>
  <c r="AH67" i="24"/>
  <c r="AH76" i="24" s="1"/>
  <c r="AH85" i="24" s="1"/>
  <c r="AD7" i="18" s="1"/>
  <c r="AH64" i="24"/>
  <c r="AH73" i="24" s="1"/>
  <c r="AH82" i="24" s="1"/>
  <c r="AH62" i="24"/>
  <c r="AH71" i="24" s="1"/>
  <c r="AH80" i="24" s="1"/>
  <c r="AD2" i="18" s="1"/>
  <c r="AH63" i="24"/>
  <c r="AH72" i="24" s="1"/>
  <c r="AH81" i="24" s="1"/>
  <c r="AD3" i="18" s="1"/>
  <c r="P67" i="24"/>
  <c r="P76" i="24" s="1"/>
  <c r="P85" i="24" s="1"/>
  <c r="L7" i="18" s="1"/>
  <c r="P62" i="24"/>
  <c r="P71" i="24" s="1"/>
  <c r="P80" i="24" s="1"/>
  <c r="L2" i="18" s="1"/>
  <c r="P66" i="24"/>
  <c r="P75" i="24" s="1"/>
  <c r="P84" i="24" s="1"/>
  <c r="L6" i="18" s="1"/>
  <c r="P63" i="24"/>
  <c r="P72" i="24" s="1"/>
  <c r="P81" i="24" s="1"/>
  <c r="L3" i="18" s="1"/>
  <c r="P65" i="24"/>
  <c r="P74" i="24" s="1"/>
  <c r="P83" i="24" s="1"/>
  <c r="L5" i="18" s="1"/>
  <c r="P64" i="24"/>
  <c r="P73" i="24" s="1"/>
  <c r="P82" i="24" s="1"/>
  <c r="L6" i="24"/>
  <c r="L15" i="24" s="1"/>
  <c r="L7" i="24"/>
  <c r="L16" i="24" s="1"/>
  <c r="L8" i="24"/>
  <c r="L17" i="24" s="1"/>
  <c r="L9" i="24"/>
  <c r="L18" i="24" s="1"/>
  <c r="L11" i="24"/>
  <c r="L20" i="24" s="1"/>
  <c r="L10" i="24"/>
  <c r="L19" i="24" s="1"/>
  <c r="Y9" i="24"/>
  <c r="Y18" i="24" s="1"/>
  <c r="Y10" i="24"/>
  <c r="Y19" i="24" s="1"/>
  <c r="Y11" i="24"/>
  <c r="Y20" i="24" s="1"/>
  <c r="Y6" i="24"/>
  <c r="Y15" i="24" s="1"/>
  <c r="Y7" i="24"/>
  <c r="Y16" i="24" s="1"/>
  <c r="Y8" i="24"/>
  <c r="Y17" i="24" s="1"/>
  <c r="K7" i="24"/>
  <c r="K16" i="24" s="1"/>
  <c r="K8" i="24"/>
  <c r="K17" i="24" s="1"/>
  <c r="K9" i="24"/>
  <c r="K18" i="24" s="1"/>
  <c r="K10" i="24"/>
  <c r="K19" i="24" s="1"/>
  <c r="K11" i="24"/>
  <c r="K20" i="24" s="1"/>
  <c r="K6" i="24"/>
  <c r="K15" i="24" s="1"/>
  <c r="W62" i="24"/>
  <c r="W71" i="24" s="1"/>
  <c r="W80" i="24" s="1"/>
  <c r="S2" i="18" s="1"/>
  <c r="W63" i="24"/>
  <c r="W72" i="24" s="1"/>
  <c r="W81" i="24" s="1"/>
  <c r="S3" i="18" s="1"/>
  <c r="W66" i="24"/>
  <c r="W75" i="24" s="1"/>
  <c r="W84" i="24" s="1"/>
  <c r="S6" i="18" s="1"/>
  <c r="W64" i="24"/>
  <c r="W73" i="24" s="1"/>
  <c r="W82" i="24" s="1"/>
  <c r="W65" i="24"/>
  <c r="W74" i="24" s="1"/>
  <c r="W83" i="24" s="1"/>
  <c r="S5" i="18" s="1"/>
  <c r="W67" i="24"/>
  <c r="W76" i="24" s="1"/>
  <c r="W85" i="24" s="1"/>
  <c r="S7" i="18" s="1"/>
  <c r="AB64" i="24"/>
  <c r="AB73" i="24" s="1"/>
  <c r="AB82" i="24" s="1"/>
  <c r="AB65" i="24"/>
  <c r="AB74" i="24" s="1"/>
  <c r="AB83" i="24" s="1"/>
  <c r="X5" i="18" s="1"/>
  <c r="AB66" i="24"/>
  <c r="AB75" i="24" s="1"/>
  <c r="AB84" i="24" s="1"/>
  <c r="X6" i="18" s="1"/>
  <c r="AB67" i="24"/>
  <c r="AB76" i="24" s="1"/>
  <c r="AB85" i="24" s="1"/>
  <c r="X7" i="18" s="1"/>
  <c r="AB62" i="24"/>
  <c r="AB63" i="24"/>
  <c r="AB72" i="24" s="1"/>
  <c r="AB81" i="24" s="1"/>
  <c r="X3" i="18" s="1"/>
  <c r="F62" i="24"/>
  <c r="F71" i="24" s="1"/>
  <c r="F80" i="24" s="1"/>
  <c r="B2" i="18" s="1"/>
  <c r="F63" i="24"/>
  <c r="F72" i="24" s="1"/>
  <c r="F81" i="24" s="1"/>
  <c r="B3" i="18" s="1"/>
  <c r="F64" i="24"/>
  <c r="F73" i="24" s="1"/>
  <c r="F82" i="24" s="1"/>
  <c r="F65" i="24"/>
  <c r="F74" i="24" s="1"/>
  <c r="F83" i="24" s="1"/>
  <c r="B5" i="18" s="1"/>
  <c r="F67" i="24"/>
  <c r="F76" i="24" s="1"/>
  <c r="F85" i="24" s="1"/>
  <c r="B7" i="18" s="1"/>
  <c r="F66" i="24"/>
  <c r="F75" i="24" s="1"/>
  <c r="F84" i="24" s="1"/>
  <c r="B6" i="18" s="1"/>
  <c r="AD62" i="24"/>
  <c r="AD63" i="24"/>
  <c r="AD72" i="24" s="1"/>
  <c r="AD81" i="24" s="1"/>
  <c r="Z3" i="18" s="1"/>
  <c r="AD64" i="24"/>
  <c r="AD73" i="24" s="1"/>
  <c r="AD82" i="24" s="1"/>
  <c r="AD67" i="24"/>
  <c r="AD76" i="24" s="1"/>
  <c r="AD85" i="24" s="1"/>
  <c r="Z7" i="18" s="1"/>
  <c r="AD65" i="24"/>
  <c r="AD74" i="24" s="1"/>
  <c r="AD83" i="24" s="1"/>
  <c r="Z5" i="18" s="1"/>
  <c r="AD66" i="24"/>
  <c r="AD75" i="24" s="1"/>
  <c r="AD84" i="24" s="1"/>
  <c r="Z6" i="18" s="1"/>
  <c r="U6" i="24"/>
  <c r="U15" i="24" s="1"/>
  <c r="U11" i="24"/>
  <c r="U20" i="24" s="1"/>
  <c r="U7" i="24"/>
  <c r="U16" i="24" s="1"/>
  <c r="U8" i="24"/>
  <c r="U17" i="24" s="1"/>
  <c r="U9" i="24"/>
  <c r="U18" i="24" s="1"/>
  <c r="U10" i="24"/>
  <c r="U19" i="24" s="1"/>
  <c r="I9" i="24"/>
  <c r="I18" i="24" s="1"/>
  <c r="I10" i="24"/>
  <c r="I19" i="24" s="1"/>
  <c r="I11" i="24"/>
  <c r="I20" i="24" s="1"/>
  <c r="I6" i="24"/>
  <c r="I15" i="24" s="1"/>
  <c r="I7" i="24"/>
  <c r="I16" i="24" s="1"/>
  <c r="I8" i="24"/>
  <c r="I17" i="24" s="1"/>
  <c r="E6" i="24"/>
  <c r="E15" i="24" s="1"/>
  <c r="E10" i="24"/>
  <c r="E19" i="24" s="1"/>
  <c r="E7" i="24"/>
  <c r="E16" i="24" s="1"/>
  <c r="E8" i="24"/>
  <c r="E17" i="24" s="1"/>
  <c r="E11" i="24"/>
  <c r="E20" i="24" s="1"/>
  <c r="E9" i="24"/>
  <c r="E18" i="24" s="1"/>
  <c r="AG9" i="24"/>
  <c r="AG18" i="24" s="1"/>
  <c r="AG10" i="24"/>
  <c r="AG19" i="24" s="1"/>
  <c r="AG11" i="24"/>
  <c r="AG20" i="24" s="1"/>
  <c r="AG15" i="24"/>
  <c r="AG7" i="24"/>
  <c r="AG16" i="24" s="1"/>
  <c r="AG8" i="24"/>
  <c r="AG17" i="24" s="1"/>
  <c r="Q9" i="24"/>
  <c r="Q18" i="24" s="1"/>
  <c r="Q10" i="24"/>
  <c r="Q19" i="24" s="1"/>
  <c r="Q11" i="24"/>
  <c r="Q20" i="24" s="1"/>
  <c r="Q6" i="24"/>
  <c r="Q15" i="24" s="1"/>
  <c r="Q7" i="24"/>
  <c r="Q16" i="24" s="1"/>
  <c r="Q8" i="24"/>
  <c r="Q17" i="24" s="1"/>
  <c r="T64" i="24"/>
  <c r="T73" i="24" s="1"/>
  <c r="T82" i="24" s="1"/>
  <c r="T65" i="24"/>
  <c r="T74" i="24" s="1"/>
  <c r="T83" i="24" s="1"/>
  <c r="P5" i="18" s="1"/>
  <c r="T66" i="24"/>
  <c r="T75" i="24" s="1"/>
  <c r="T84" i="24" s="1"/>
  <c r="P6" i="18" s="1"/>
  <c r="T67" i="24"/>
  <c r="T76" i="24" s="1"/>
  <c r="T85" i="24" s="1"/>
  <c r="P7" i="18" s="1"/>
  <c r="T63" i="24"/>
  <c r="T72" i="24" s="1"/>
  <c r="T81" i="24" s="1"/>
  <c r="P3" i="18" s="1"/>
  <c r="T62" i="24"/>
  <c r="V62" i="24"/>
  <c r="V63" i="24"/>
  <c r="V72" i="24" s="1"/>
  <c r="V81" i="24" s="1"/>
  <c r="R3" i="18" s="1"/>
  <c r="V64" i="24"/>
  <c r="V73" i="24" s="1"/>
  <c r="V82" i="24" s="1"/>
  <c r="V67" i="24"/>
  <c r="V76" i="24" s="1"/>
  <c r="V85" i="24" s="1"/>
  <c r="R7" i="18" s="1"/>
  <c r="V65" i="24"/>
  <c r="V74" i="24" s="1"/>
  <c r="V83" i="24" s="1"/>
  <c r="R5" i="18" s="1"/>
  <c r="V66" i="24"/>
  <c r="V75" i="24" s="1"/>
  <c r="V84" i="24" s="1"/>
  <c r="R6" i="18" s="1"/>
  <c r="V10" i="24"/>
  <c r="V19" i="24" s="1"/>
  <c r="V6" i="24"/>
  <c r="V15" i="24" s="1"/>
  <c r="V7" i="24"/>
  <c r="V16" i="24" s="1"/>
  <c r="V8" i="24"/>
  <c r="V17" i="24" s="1"/>
  <c r="V11" i="24"/>
  <c r="V20" i="24" s="1"/>
  <c r="V9" i="24"/>
  <c r="V18" i="24" s="1"/>
  <c r="AF10" i="24"/>
  <c r="AF19" i="24" s="1"/>
  <c r="AF11" i="24"/>
  <c r="AF20" i="24" s="1"/>
  <c r="AF6" i="24"/>
  <c r="AF15" i="24" s="1"/>
  <c r="AF8" i="24"/>
  <c r="AF17" i="24" s="1"/>
  <c r="AF7" i="24"/>
  <c r="AF16" i="24" s="1"/>
  <c r="AF9" i="24"/>
  <c r="AF18" i="24" s="1"/>
  <c r="AI16" i="24"/>
  <c r="AI8" i="24"/>
  <c r="AI17" i="24" s="1"/>
  <c r="AI9" i="24"/>
  <c r="AI18" i="24" s="1"/>
  <c r="AI10" i="24"/>
  <c r="AI19" i="24" s="1"/>
  <c r="AI11" i="24"/>
  <c r="AI20" i="24" s="1"/>
  <c r="AI15" i="24"/>
  <c r="R66" i="24"/>
  <c r="R75" i="24" s="1"/>
  <c r="R84" i="24" s="1"/>
  <c r="N6" i="18" s="1"/>
  <c r="R67" i="24"/>
  <c r="R76" i="24" s="1"/>
  <c r="R85" i="24" s="1"/>
  <c r="N7" i="18" s="1"/>
  <c r="R62" i="24"/>
  <c r="R71" i="24" s="1"/>
  <c r="R80" i="24" s="1"/>
  <c r="N2" i="18" s="1"/>
  <c r="R64" i="24"/>
  <c r="R73" i="24" s="1"/>
  <c r="R82" i="24" s="1"/>
  <c r="R65" i="24"/>
  <c r="R74" i="24" s="1"/>
  <c r="R83" i="24" s="1"/>
  <c r="N5" i="18" s="1"/>
  <c r="R63" i="24"/>
  <c r="R72" i="24" s="1"/>
  <c r="R81" i="24" s="1"/>
  <c r="N3" i="18" s="1"/>
  <c r="Z66" i="24"/>
  <c r="Z75" i="24" s="1"/>
  <c r="Z84" i="24" s="1"/>
  <c r="V6" i="18" s="1"/>
  <c r="Z67" i="24"/>
  <c r="Z76" i="24" s="1"/>
  <c r="Z85" i="24" s="1"/>
  <c r="V7" i="18" s="1"/>
  <c r="Z65" i="24"/>
  <c r="Z74" i="24" s="1"/>
  <c r="Z83" i="24" s="1"/>
  <c r="V5" i="18" s="1"/>
  <c r="Z64" i="24"/>
  <c r="Z73" i="24" s="1"/>
  <c r="Z82" i="24" s="1"/>
  <c r="Z62" i="24"/>
  <c r="Z71" i="24" s="1"/>
  <c r="Z80" i="24" s="1"/>
  <c r="V2" i="18" s="1"/>
  <c r="Z63" i="24"/>
  <c r="Z72" i="24" s="1"/>
  <c r="Z81" i="24" s="1"/>
  <c r="V3" i="18" s="1"/>
  <c r="I67" i="24"/>
  <c r="I76" i="24" s="1"/>
  <c r="I85" i="24" s="1"/>
  <c r="E7" i="18" s="1"/>
  <c r="I66" i="24"/>
  <c r="I75" i="24" s="1"/>
  <c r="I84" i="24" s="1"/>
  <c r="E6" i="18" s="1"/>
  <c r="I62" i="24"/>
  <c r="I63" i="24"/>
  <c r="I72" i="24" s="1"/>
  <c r="I81" i="24" s="1"/>
  <c r="E3" i="18" s="1"/>
  <c r="I65" i="24"/>
  <c r="I74" i="24" s="1"/>
  <c r="I83" i="24" s="1"/>
  <c r="E5" i="18" s="1"/>
  <c r="I64" i="24"/>
  <c r="I73" i="24" s="1"/>
  <c r="I82" i="24" s="1"/>
  <c r="T6" i="24"/>
  <c r="T15" i="24" s="1"/>
  <c r="T7" i="24"/>
  <c r="T16" i="24" s="1"/>
  <c r="T8" i="24"/>
  <c r="T17" i="24" s="1"/>
  <c r="T9" i="24"/>
  <c r="T18" i="24" s="1"/>
  <c r="T10" i="24"/>
  <c r="T19" i="24" s="1"/>
  <c r="T11" i="24"/>
  <c r="T20" i="24" s="1"/>
  <c r="O66" i="24"/>
  <c r="O75" i="24" s="1"/>
  <c r="O84" i="24" s="1"/>
  <c r="K6" i="18" s="1"/>
  <c r="O62" i="24"/>
  <c r="O71" i="24" s="1"/>
  <c r="O80" i="24" s="1"/>
  <c r="K2" i="18" s="1"/>
  <c r="O63" i="24"/>
  <c r="O72" i="24" s="1"/>
  <c r="O81" i="24" s="1"/>
  <c r="K3" i="18" s="1"/>
  <c r="O67" i="24"/>
  <c r="O76" i="24" s="1"/>
  <c r="O85" i="24" s="1"/>
  <c r="K7" i="18" s="1"/>
  <c r="O64" i="24"/>
  <c r="O73" i="24" s="1"/>
  <c r="O82" i="24" s="1"/>
  <c r="O65" i="24"/>
  <c r="O74" i="24" s="1"/>
  <c r="O83" i="24" s="1"/>
  <c r="K5" i="18" s="1"/>
  <c r="AD6" i="24"/>
  <c r="AD15" i="24" s="1"/>
  <c r="AD7" i="24"/>
  <c r="AD16" i="24" s="1"/>
  <c r="AD8" i="24"/>
  <c r="AD17" i="24" s="1"/>
  <c r="AD9" i="24"/>
  <c r="AD18" i="24" s="1"/>
  <c r="AD10" i="24"/>
  <c r="AD19" i="24" s="1"/>
  <c r="AD11" i="24"/>
  <c r="AD20" i="24" s="1"/>
  <c r="D6" i="24"/>
  <c r="D15" i="24" s="1"/>
  <c r="D7" i="24"/>
  <c r="D16" i="24" s="1"/>
  <c r="D8" i="24"/>
  <c r="D17" i="24" s="1"/>
  <c r="D9" i="24"/>
  <c r="D18" i="24" s="1"/>
  <c r="D10" i="24"/>
  <c r="D19" i="24" s="1"/>
  <c r="D11" i="24"/>
  <c r="D20" i="24" s="1"/>
  <c r="B62" i="24"/>
  <c r="B65" i="24"/>
  <c r="B74" i="24" s="1"/>
  <c r="B83" i="24" s="1"/>
  <c r="B64" i="24"/>
  <c r="B73" i="24" s="1"/>
  <c r="B82" i="24" s="1"/>
  <c r="B63" i="24"/>
  <c r="B72" i="24" s="1"/>
  <c r="B81" i="24" s="1"/>
  <c r="B66" i="24"/>
  <c r="B75" i="24" s="1"/>
  <c r="B84" i="24" s="1"/>
  <c r="B67" i="24"/>
  <c r="B76" i="24" s="1"/>
  <c r="B85" i="24" s="1"/>
  <c r="L64" i="24"/>
  <c r="L73" i="24" s="1"/>
  <c r="L82" i="24" s="1"/>
  <c r="L65" i="24"/>
  <c r="L74" i="24" s="1"/>
  <c r="L83" i="24" s="1"/>
  <c r="H5" i="18" s="1"/>
  <c r="L63" i="24"/>
  <c r="L72" i="24" s="1"/>
  <c r="L81" i="24" s="1"/>
  <c r="H3" i="18" s="1"/>
  <c r="L66" i="24"/>
  <c r="L75" i="24" s="1"/>
  <c r="L84" i="24" s="1"/>
  <c r="H6" i="18" s="1"/>
  <c r="L67" i="24"/>
  <c r="L76" i="24" s="1"/>
  <c r="L85" i="24" s="1"/>
  <c r="H7" i="18" s="1"/>
  <c r="L62" i="24"/>
  <c r="AG67" i="24"/>
  <c r="AG76" i="24" s="1"/>
  <c r="AG85" i="24" s="1"/>
  <c r="AC7" i="18" s="1"/>
  <c r="AG62" i="24"/>
  <c r="AG63" i="24"/>
  <c r="AG72" i="24" s="1"/>
  <c r="AG81" i="24" s="1"/>
  <c r="AC3" i="18" s="1"/>
  <c r="AG65" i="24"/>
  <c r="AG74" i="24" s="1"/>
  <c r="AG83" i="24" s="1"/>
  <c r="AC5" i="18" s="1"/>
  <c r="AG64" i="24"/>
  <c r="AG73" i="24" s="1"/>
  <c r="AG82" i="24" s="1"/>
  <c r="AG66" i="24"/>
  <c r="AG75" i="24" s="1"/>
  <c r="AG84" i="24" s="1"/>
  <c r="AC6" i="18" s="1"/>
  <c r="AE67" i="24"/>
  <c r="AE76" i="24" s="1"/>
  <c r="AE85" i="24" s="1"/>
  <c r="AA7" i="18" s="1"/>
  <c r="AE62" i="24"/>
  <c r="AE71" i="24" s="1"/>
  <c r="AE80" i="24" s="1"/>
  <c r="AA2" i="18" s="1"/>
  <c r="AE63" i="24"/>
  <c r="AE72" i="24" s="1"/>
  <c r="AE81" i="24" s="1"/>
  <c r="AA3" i="18" s="1"/>
  <c r="AE64" i="24"/>
  <c r="AE73" i="24" s="1"/>
  <c r="AE82" i="24" s="1"/>
  <c r="AE65" i="24"/>
  <c r="AE74" i="24" s="1"/>
  <c r="AE83" i="24" s="1"/>
  <c r="AA5" i="18" s="1"/>
  <c r="AE66" i="24"/>
  <c r="AE75" i="24" s="1"/>
  <c r="AE84" i="24" s="1"/>
  <c r="AA6" i="18" s="1"/>
  <c r="M10" i="24"/>
  <c r="M19" i="24" s="1"/>
  <c r="M6" i="24"/>
  <c r="M15" i="24" s="1"/>
  <c r="M7" i="24"/>
  <c r="M16" i="24" s="1"/>
  <c r="M8" i="24"/>
  <c r="M17" i="24" s="1"/>
  <c r="M9" i="24"/>
  <c r="M18" i="24" s="1"/>
  <c r="M11" i="24"/>
  <c r="M20" i="24" s="1"/>
  <c r="G11" i="24"/>
  <c r="G20" i="24" s="1"/>
  <c r="G6" i="24"/>
  <c r="G15" i="24" s="1"/>
  <c r="G9" i="24"/>
  <c r="G18" i="24" s="1"/>
  <c r="G7" i="24"/>
  <c r="G16" i="24" s="1"/>
  <c r="G8" i="24"/>
  <c r="G17" i="24" s="1"/>
  <c r="G10" i="24"/>
  <c r="G19" i="24" s="1"/>
  <c r="H10" i="24"/>
  <c r="H19" i="24" s="1"/>
  <c r="H11" i="24"/>
  <c r="H20" i="24" s="1"/>
  <c r="H6" i="24"/>
  <c r="H15" i="24" s="1"/>
  <c r="H7" i="24"/>
  <c r="H16" i="24" s="1"/>
  <c r="H8" i="24"/>
  <c r="H17" i="24" s="1"/>
  <c r="H9" i="24"/>
  <c r="H18" i="24" s="1"/>
  <c r="AA7" i="24"/>
  <c r="AA16" i="24" s="1"/>
  <c r="AA8" i="24"/>
  <c r="AA17" i="24" s="1"/>
  <c r="AA9" i="24"/>
  <c r="AA18" i="24" s="1"/>
  <c r="AA10" i="24"/>
  <c r="AA19" i="24" s="1"/>
  <c r="AA11" i="24"/>
  <c r="AA20" i="24" s="1"/>
  <c r="AA6" i="24"/>
  <c r="AA15" i="24" s="1"/>
  <c r="P10" i="24"/>
  <c r="P19" i="24" s="1"/>
  <c r="P11" i="24"/>
  <c r="P20" i="24" s="1"/>
  <c r="P6" i="24"/>
  <c r="P15" i="24" s="1"/>
  <c r="P7" i="24"/>
  <c r="P16" i="24" s="1"/>
  <c r="P8" i="24"/>
  <c r="P17" i="24" s="1"/>
  <c r="P9" i="24"/>
  <c r="P18" i="24" s="1"/>
  <c r="G62" i="24"/>
  <c r="G71" i="24" s="1"/>
  <c r="G80" i="24" s="1"/>
  <c r="C2" i="18" s="1"/>
  <c r="G63" i="24"/>
  <c r="G72" i="24" s="1"/>
  <c r="G81" i="24" s="1"/>
  <c r="C3" i="18" s="1"/>
  <c r="G66" i="24"/>
  <c r="G75" i="24" s="1"/>
  <c r="G84" i="24" s="1"/>
  <c r="C6" i="18" s="1"/>
  <c r="G64" i="24"/>
  <c r="G73" i="24" s="1"/>
  <c r="G82" i="24" s="1"/>
  <c r="G67" i="24"/>
  <c r="G76" i="24" s="1"/>
  <c r="G85" i="24" s="1"/>
  <c r="C7" i="18" s="1"/>
  <c r="G65" i="24"/>
  <c r="G74" i="24" s="1"/>
  <c r="G83" i="24" s="1"/>
  <c r="C5" i="18" s="1"/>
  <c r="AC6" i="24"/>
  <c r="AC15" i="24" s="1"/>
  <c r="AC7" i="24"/>
  <c r="AC16" i="24" s="1"/>
  <c r="AC10" i="24"/>
  <c r="AC19" i="24" s="1"/>
  <c r="AC8" i="24"/>
  <c r="AC17" i="24" s="1"/>
  <c r="AC9" i="24"/>
  <c r="AC18" i="24" s="1"/>
  <c r="AC11" i="24"/>
  <c r="AC20" i="24" s="1"/>
  <c r="K71" i="24"/>
  <c r="K80" i="24" s="1"/>
  <c r="G2" i="18" s="1"/>
  <c r="J66" i="24"/>
  <c r="J75" i="24" s="1"/>
  <c r="J84" i="24" s="1"/>
  <c r="F6" i="18" s="1"/>
  <c r="J67" i="24"/>
  <c r="J76" i="24" s="1"/>
  <c r="J85" i="24" s="1"/>
  <c r="F7" i="18" s="1"/>
  <c r="J64" i="24"/>
  <c r="J73" i="24" s="1"/>
  <c r="J82" i="24" s="1"/>
  <c r="J62" i="24"/>
  <c r="J71" i="24" s="1"/>
  <c r="J80" i="24" s="1"/>
  <c r="F2" i="18" s="1"/>
  <c r="J63" i="24"/>
  <c r="J72" i="24" s="1"/>
  <c r="J81" i="24" s="1"/>
  <c r="F3" i="18" s="1"/>
  <c r="J65" i="24"/>
  <c r="J74" i="24" s="1"/>
  <c r="J83" i="24" s="1"/>
  <c r="F5" i="18" s="1"/>
  <c r="D64" i="24"/>
  <c r="D73" i="24" s="1"/>
  <c r="D82" i="24" s="1"/>
  <c r="D67" i="24"/>
  <c r="D76" i="24" s="1"/>
  <c r="D85" i="24" s="1"/>
  <c r="D65" i="24"/>
  <c r="D74" i="24" s="1"/>
  <c r="D83" i="24" s="1"/>
  <c r="D66" i="24"/>
  <c r="D75" i="24" s="1"/>
  <c r="D84" i="24" s="1"/>
  <c r="D62" i="24"/>
  <c r="D63" i="24"/>
  <c r="D72" i="24" s="1"/>
  <c r="D81" i="24" s="1"/>
  <c r="Y67" i="24"/>
  <c r="Y76" i="24" s="1"/>
  <c r="Y85" i="24" s="1"/>
  <c r="U7" i="18" s="1"/>
  <c r="Y65" i="24"/>
  <c r="Y74" i="24" s="1"/>
  <c r="Y83" i="24" s="1"/>
  <c r="U5" i="18" s="1"/>
  <c r="Y62" i="24"/>
  <c r="Y63" i="24"/>
  <c r="Y72" i="24" s="1"/>
  <c r="Y81" i="24" s="1"/>
  <c r="U3" i="18" s="1"/>
  <c r="Y66" i="24"/>
  <c r="Y75" i="24" s="1"/>
  <c r="Y84" i="24" s="1"/>
  <c r="U6" i="18" s="1"/>
  <c r="Y64" i="24"/>
  <c r="Y73" i="24" s="1"/>
  <c r="Y82" i="24" s="1"/>
  <c r="N6" i="24"/>
  <c r="N15" i="24" s="1"/>
  <c r="N7" i="24"/>
  <c r="N16" i="24" s="1"/>
  <c r="N8" i="24"/>
  <c r="N17" i="24" s="1"/>
  <c r="N9" i="24"/>
  <c r="N18" i="24" s="1"/>
  <c r="N11" i="24"/>
  <c r="N20" i="24" s="1"/>
  <c r="N10" i="24"/>
  <c r="N19" i="24" s="1"/>
  <c r="AB6" i="24"/>
  <c r="AB15" i="24" s="1"/>
  <c r="AB7" i="24"/>
  <c r="AB16" i="24" s="1"/>
  <c r="AB8" i="24"/>
  <c r="AB17" i="24" s="1"/>
  <c r="AB9" i="24"/>
  <c r="AB18" i="24" s="1"/>
  <c r="AB10" i="24"/>
  <c r="AB19" i="24" s="1"/>
  <c r="AB11" i="24"/>
  <c r="AB20" i="24" s="1"/>
  <c r="U71" i="24"/>
  <c r="U80" i="24" s="1"/>
  <c r="Q2" i="18" s="1"/>
  <c r="S7" i="24"/>
  <c r="S16" i="24" s="1"/>
  <c r="S8" i="24"/>
  <c r="S17" i="24" s="1"/>
  <c r="S9" i="24"/>
  <c r="S18" i="24" s="1"/>
  <c r="S10" i="24"/>
  <c r="S19" i="24" s="1"/>
  <c r="S11" i="24"/>
  <c r="S20" i="24" s="1"/>
  <c r="S6" i="24"/>
  <c r="S15" i="24" s="1"/>
  <c r="AH15" i="22"/>
  <c r="K15" i="22"/>
  <c r="F34" i="24" s="1"/>
  <c r="F43" i="24" s="1"/>
  <c r="F52" i="24" s="1"/>
  <c r="B2" i="20" s="1"/>
  <c r="AE15" i="22"/>
  <c r="Z35" i="24" s="1"/>
  <c r="Z44" i="24" s="1"/>
  <c r="Z53" i="24" s="1"/>
  <c r="V3" i="20" s="1"/>
  <c r="AN15" i="22"/>
  <c r="AI35" i="24" s="1"/>
  <c r="AI44" i="24" s="1"/>
  <c r="AI53" i="24" s="1"/>
  <c r="AE3" i="20" s="1"/>
  <c r="S15" i="22"/>
  <c r="N36" i="24" s="1"/>
  <c r="N45" i="24" s="1"/>
  <c r="N54" i="24" s="1"/>
  <c r="H15" i="22"/>
  <c r="N15" i="22"/>
  <c r="I34" i="24" s="1"/>
  <c r="I43" i="24" s="1"/>
  <c r="I52" i="24" s="1"/>
  <c r="E2" i="20" s="1"/>
  <c r="V15" i="22"/>
  <c r="Q34" i="24" s="1"/>
  <c r="Q43" i="24" s="1"/>
  <c r="Q52" i="24" s="1"/>
  <c r="M2" i="20" s="1"/>
  <c r="L39" i="24"/>
  <c r="L48" i="24" s="1"/>
  <c r="L57" i="24" s="1"/>
  <c r="H7" i="20" s="1"/>
  <c r="L38" i="24"/>
  <c r="L47" i="24" s="1"/>
  <c r="L56" i="24" s="1"/>
  <c r="H6" i="20" s="1"/>
  <c r="L37" i="24"/>
  <c r="L46" i="24" s="1"/>
  <c r="L55" i="24" s="1"/>
  <c r="H5" i="20" s="1"/>
  <c r="L36" i="24"/>
  <c r="L45" i="24" s="1"/>
  <c r="L54" i="24" s="1"/>
  <c r="C35" i="24"/>
  <c r="C44" i="24" s="1"/>
  <c r="C53" i="24" s="1"/>
  <c r="L35" i="24"/>
  <c r="L44" i="24" s="1"/>
  <c r="L53" i="24" s="1"/>
  <c r="H3" i="20" s="1"/>
  <c r="X15" i="22"/>
  <c r="S36" i="24" s="1"/>
  <c r="S45" i="24" s="1"/>
  <c r="S54" i="24" s="1"/>
  <c r="Y15" i="22"/>
  <c r="T34" i="24" s="1"/>
  <c r="T43" i="24" s="1"/>
  <c r="T52" i="24" s="1"/>
  <c r="P2" i="20" s="1"/>
  <c r="F15" i="22"/>
  <c r="Z15" i="22"/>
  <c r="AA15" i="22"/>
  <c r="V34" i="24" s="1"/>
  <c r="V43" i="24" s="1"/>
  <c r="V52" i="24" s="1"/>
  <c r="R2" i="20" s="1"/>
  <c r="W15" i="22"/>
  <c r="R34" i="24" s="1"/>
  <c r="R43" i="24" s="1"/>
  <c r="R52" i="24" s="1"/>
  <c r="N2" i="20" s="1"/>
  <c r="AJ15" i="22"/>
  <c r="AE37" i="24" s="1"/>
  <c r="AE46" i="24" s="1"/>
  <c r="AE55" i="24" s="1"/>
  <c r="AA5" i="20" s="1"/>
  <c r="AF15" i="22"/>
  <c r="I15" i="22"/>
  <c r="O15" i="22"/>
  <c r="AL15" i="22"/>
  <c r="AC15" i="22"/>
  <c r="P15" i="22"/>
  <c r="D15" i="22"/>
  <c r="J15" i="22"/>
  <c r="AM15" i="22"/>
  <c r="G15" i="22"/>
  <c r="AD15" i="22"/>
  <c r="R15" i="22"/>
  <c r="AB34" i="24"/>
  <c r="AB43" i="24" s="1"/>
  <c r="AB52" i="24" s="1"/>
  <c r="X2" i="20" s="1"/>
  <c r="AB35" i="24"/>
  <c r="AB44" i="24" s="1"/>
  <c r="AB53" i="24" s="1"/>
  <c r="X3" i="20" s="1"/>
  <c r="AB36" i="24"/>
  <c r="AB45" i="24" s="1"/>
  <c r="AB54" i="24" s="1"/>
  <c r="AB37" i="24"/>
  <c r="AB46" i="24" s="1"/>
  <c r="AB55" i="24" s="1"/>
  <c r="X5" i="20" s="1"/>
  <c r="AB38" i="24"/>
  <c r="AB47" i="24" s="1"/>
  <c r="AB56" i="24" s="1"/>
  <c r="X6" i="20" s="1"/>
  <c r="AB39" i="24"/>
  <c r="AB48" i="24" s="1"/>
  <c r="AB57" i="24" s="1"/>
  <c r="X7" i="20" s="1"/>
  <c r="O38" i="24"/>
  <c r="O47" i="24" s="1"/>
  <c r="O56" i="24" s="1"/>
  <c r="K6" i="20" s="1"/>
  <c r="O34" i="24"/>
  <c r="O43" i="24" s="1"/>
  <c r="O52" i="24" s="1"/>
  <c r="K2" i="20" s="1"/>
  <c r="O36" i="24"/>
  <c r="O45" i="24" s="1"/>
  <c r="O54" i="24" s="1"/>
  <c r="O35" i="24"/>
  <c r="O44" i="24" s="1"/>
  <c r="O53" i="24" s="1"/>
  <c r="K3" i="20" s="1"/>
  <c r="O39" i="24"/>
  <c r="O48" i="24" s="1"/>
  <c r="O57" i="24" s="1"/>
  <c r="K7" i="20" s="1"/>
  <c r="O37" i="24"/>
  <c r="O46" i="24" s="1"/>
  <c r="O55" i="24" s="1"/>
  <c r="K5" i="20" s="1"/>
  <c r="E15" i="22"/>
  <c r="L15" i="22"/>
  <c r="M15" i="22"/>
  <c r="U15" i="22"/>
  <c r="AD39" i="24"/>
  <c r="AD48" i="24" s="1"/>
  <c r="AD57" i="24" s="1"/>
  <c r="Z7" i="20" s="1"/>
  <c r="AD34" i="24"/>
  <c r="AD43" i="24" s="1"/>
  <c r="AD52" i="24" s="1"/>
  <c r="Z2" i="20" s="1"/>
  <c r="AD35" i="24"/>
  <c r="AD44" i="24" s="1"/>
  <c r="AD53" i="24" s="1"/>
  <c r="Z3" i="20" s="1"/>
  <c r="AD36" i="24"/>
  <c r="AD45" i="24" s="1"/>
  <c r="AD54" i="24" s="1"/>
  <c r="AD37" i="24"/>
  <c r="AD46" i="24" s="1"/>
  <c r="AD55" i="24" s="1"/>
  <c r="Z5" i="20" s="1"/>
  <c r="AD38" i="24"/>
  <c r="AD47" i="24" s="1"/>
  <c r="AD56" i="24" s="1"/>
  <c r="Z6" i="20" s="1"/>
  <c r="W38" i="24"/>
  <c r="W47" i="24" s="1"/>
  <c r="W56" i="24" s="1"/>
  <c r="S6" i="20" s="1"/>
  <c r="W39" i="24"/>
  <c r="W48" i="24" s="1"/>
  <c r="W57" i="24" s="1"/>
  <c r="S7" i="20" s="1"/>
  <c r="W34" i="24"/>
  <c r="W43" i="24" s="1"/>
  <c r="W52" i="24" s="1"/>
  <c r="S2" i="20" s="1"/>
  <c r="W35" i="24"/>
  <c r="W44" i="24" s="1"/>
  <c r="W53" i="24" s="1"/>
  <c r="S3" i="20" s="1"/>
  <c r="W36" i="24"/>
  <c r="W45" i="24" s="1"/>
  <c r="W54" i="24" s="1"/>
  <c r="W37" i="24"/>
  <c r="W46" i="24" s="1"/>
  <c r="W55" i="24" s="1"/>
  <c r="S5" i="20" s="1"/>
  <c r="AK15" i="22"/>
  <c r="Z34" i="24" l="1"/>
  <c r="Z43" i="24" s="1"/>
  <c r="Z52" i="24" s="1"/>
  <c r="V2" i="20" s="1"/>
  <c r="F38" i="24"/>
  <c r="F47" i="24" s="1"/>
  <c r="F56" i="24" s="1"/>
  <c r="B6" i="20" s="1"/>
  <c r="Z36" i="24"/>
  <c r="Z45" i="24" s="1"/>
  <c r="Z54" i="24" s="1"/>
  <c r="Z37" i="24"/>
  <c r="Z46" i="24" s="1"/>
  <c r="Z55" i="24" s="1"/>
  <c r="V5" i="20" s="1"/>
  <c r="F36" i="24"/>
  <c r="F45" i="24" s="1"/>
  <c r="F54" i="24" s="1"/>
  <c r="AB28" i="24"/>
  <c r="X6" i="17" s="1"/>
  <c r="AC26" i="24"/>
  <c r="P25" i="24"/>
  <c r="L3" i="17" s="1"/>
  <c r="H25" i="24"/>
  <c r="D3" i="17" s="1"/>
  <c r="M26" i="24"/>
  <c r="D25" i="24"/>
  <c r="AF29" i="24"/>
  <c r="AB7" i="17" s="1"/>
  <c r="AG25" i="24"/>
  <c r="AC3" i="17" s="1"/>
  <c r="I25" i="24"/>
  <c r="E3" i="17" s="1"/>
  <c r="K25" i="24"/>
  <c r="G3" i="17" s="1"/>
  <c r="L24" i="24"/>
  <c r="H2" i="17" s="1"/>
  <c r="C27" i="24"/>
  <c r="S29" i="24"/>
  <c r="O7" i="17" s="1"/>
  <c r="S25" i="24"/>
  <c r="O3" i="17" s="1"/>
  <c r="AB27" i="24"/>
  <c r="X5" i="17" s="1"/>
  <c r="N28" i="24"/>
  <c r="J6" i="17" s="1"/>
  <c r="N25" i="24"/>
  <c r="J3" i="17" s="1"/>
  <c r="AC28" i="24"/>
  <c r="Y6" i="17" s="1"/>
  <c r="P24" i="24"/>
  <c r="L2" i="17" s="1"/>
  <c r="AA29" i="24"/>
  <c r="W7" i="17" s="1"/>
  <c r="AA25" i="24"/>
  <c r="W3" i="17" s="1"/>
  <c r="H24" i="24"/>
  <c r="D2" i="17" s="1"/>
  <c r="G26" i="24"/>
  <c r="G29" i="24"/>
  <c r="C7" i="17" s="1"/>
  <c r="M25" i="24"/>
  <c r="I3" i="17" s="1"/>
  <c r="D28" i="24"/>
  <c r="AD26" i="24"/>
  <c r="T26" i="24"/>
  <c r="AI27" i="24"/>
  <c r="AE5" i="17" s="1"/>
  <c r="AF28" i="24"/>
  <c r="AB6" i="17" s="1"/>
  <c r="V25" i="24"/>
  <c r="R3" i="17" s="1"/>
  <c r="Q26" i="24"/>
  <c r="Q28" i="24"/>
  <c r="M6" i="17" s="1"/>
  <c r="E27" i="24"/>
  <c r="E28" i="24"/>
  <c r="I24" i="24"/>
  <c r="E2" i="17" s="1"/>
  <c r="U28" i="24"/>
  <c r="Q6" i="17" s="1"/>
  <c r="U29" i="24"/>
  <c r="Q7" i="17" s="1"/>
  <c r="K28" i="24"/>
  <c r="G6" i="17" s="1"/>
  <c r="Y26" i="24"/>
  <c r="L27" i="24"/>
  <c r="H5" i="17" s="1"/>
  <c r="AH27" i="24"/>
  <c r="AD5" i="17" s="1"/>
  <c r="X24" i="24"/>
  <c r="T2" i="17" s="1"/>
  <c r="C26" i="24"/>
  <c r="S28" i="24"/>
  <c r="O6" i="17" s="1"/>
  <c r="AB26" i="24"/>
  <c r="N29" i="24"/>
  <c r="J7" i="17" s="1"/>
  <c r="N24" i="24"/>
  <c r="J2" i="17" s="1"/>
  <c r="AC29" i="24"/>
  <c r="Y7" i="17" s="1"/>
  <c r="AC25" i="24"/>
  <c r="Y3" i="17" s="1"/>
  <c r="P27" i="24"/>
  <c r="L5" i="17" s="1"/>
  <c r="P29" i="24"/>
  <c r="L7" i="17" s="1"/>
  <c r="AA28" i="24"/>
  <c r="W6" i="17" s="1"/>
  <c r="H27" i="24"/>
  <c r="D5" i="17" s="1"/>
  <c r="H29" i="24"/>
  <c r="D7" i="17" s="1"/>
  <c r="G25" i="24"/>
  <c r="C3" i="17" s="1"/>
  <c r="M29" i="24"/>
  <c r="I7" i="17" s="1"/>
  <c r="M24" i="24"/>
  <c r="I2" i="17" s="1"/>
  <c r="D27" i="24"/>
  <c r="AD29" i="24"/>
  <c r="Z7" i="17" s="1"/>
  <c r="AD25" i="24"/>
  <c r="Z3" i="17" s="1"/>
  <c r="T29" i="24"/>
  <c r="P7" i="17" s="1"/>
  <c r="T25" i="24"/>
  <c r="P3" i="17" s="1"/>
  <c r="AI24" i="24"/>
  <c r="AE2" i="17" s="1"/>
  <c r="AI26" i="24"/>
  <c r="AF26" i="24"/>
  <c r="V27" i="24"/>
  <c r="R5" i="17" s="1"/>
  <c r="V24" i="24"/>
  <c r="R2" i="17" s="1"/>
  <c r="Q25" i="24"/>
  <c r="M3" i="17" s="1"/>
  <c r="Q27" i="24"/>
  <c r="M5" i="17" s="1"/>
  <c r="AG29" i="24"/>
  <c r="AC7" i="17" s="1"/>
  <c r="E29" i="24"/>
  <c r="E24" i="24"/>
  <c r="I29" i="24"/>
  <c r="E7" i="17" s="1"/>
  <c r="U27" i="24"/>
  <c r="Q5" i="17" s="1"/>
  <c r="U24" i="24"/>
  <c r="Q2" i="17" s="1"/>
  <c r="K27" i="24"/>
  <c r="G5" i="17" s="1"/>
  <c r="Y25" i="24"/>
  <c r="U3" i="17" s="1"/>
  <c r="Y27" i="24"/>
  <c r="U5" i="17" s="1"/>
  <c r="L26" i="24"/>
  <c r="AH24" i="24"/>
  <c r="AD2" i="17" s="1"/>
  <c r="AH26" i="24"/>
  <c r="X29" i="24"/>
  <c r="T7" i="17" s="1"/>
  <c r="C29" i="24"/>
  <c r="C25" i="24"/>
  <c r="S24" i="24"/>
  <c r="O2" i="17" s="1"/>
  <c r="S26" i="24"/>
  <c r="AB24" i="24"/>
  <c r="X2" i="17" s="1"/>
  <c r="N26" i="24"/>
  <c r="AA24" i="24"/>
  <c r="W2" i="17" s="1"/>
  <c r="AA26" i="24"/>
  <c r="G28" i="24"/>
  <c r="C6" i="17" s="1"/>
  <c r="G24" i="24"/>
  <c r="C2" i="17" s="1"/>
  <c r="D29" i="24"/>
  <c r="AD27" i="24"/>
  <c r="Z5" i="17" s="1"/>
  <c r="T27" i="24"/>
  <c r="P5" i="17" s="1"/>
  <c r="AI28" i="24"/>
  <c r="AE6" i="17" s="1"/>
  <c r="AF27" i="24"/>
  <c r="AB5" i="17" s="1"/>
  <c r="V26" i="24"/>
  <c r="Q29" i="24"/>
  <c r="M7" i="17" s="1"/>
  <c r="AG27" i="24"/>
  <c r="AC5" i="17" s="1"/>
  <c r="E25" i="24"/>
  <c r="I27" i="24"/>
  <c r="E5" i="17" s="1"/>
  <c r="U25" i="24"/>
  <c r="Q3" i="17" s="1"/>
  <c r="K29" i="24"/>
  <c r="G7" i="17" s="1"/>
  <c r="Y29" i="24"/>
  <c r="U7" i="17" s="1"/>
  <c r="L29" i="24"/>
  <c r="H7" i="17" s="1"/>
  <c r="AH28" i="24"/>
  <c r="AD6" i="17" s="1"/>
  <c r="X25" i="24"/>
  <c r="T3" i="17" s="1"/>
  <c r="X28" i="24"/>
  <c r="T6" i="17" s="1"/>
  <c r="D24" i="24"/>
  <c r="AF25" i="24"/>
  <c r="AB3" i="17" s="1"/>
  <c r="AG24" i="24"/>
  <c r="AC2" i="17" s="1"/>
  <c r="Y28" i="24"/>
  <c r="U6" i="17" s="1"/>
  <c r="AH25" i="24"/>
  <c r="AD3" i="17" s="1"/>
  <c r="C24" i="24"/>
  <c r="S27" i="24"/>
  <c r="O5" i="17" s="1"/>
  <c r="AB29" i="24"/>
  <c r="X7" i="17" s="1"/>
  <c r="AB25" i="24"/>
  <c r="X3" i="17" s="1"/>
  <c r="N27" i="24"/>
  <c r="J5" i="17" s="1"/>
  <c r="AC27" i="24"/>
  <c r="Y5" i="17" s="1"/>
  <c r="AC24" i="24"/>
  <c r="Y2" i="17" s="1"/>
  <c r="P26" i="24"/>
  <c r="P28" i="24"/>
  <c r="L6" i="17" s="1"/>
  <c r="AA27" i="24"/>
  <c r="W5" i="17" s="1"/>
  <c r="H26" i="24"/>
  <c r="H28" i="24"/>
  <c r="D6" i="17" s="1"/>
  <c r="G27" i="24"/>
  <c r="C5" i="17" s="1"/>
  <c r="M27" i="24"/>
  <c r="I5" i="17" s="1"/>
  <c r="M28" i="24"/>
  <c r="I6" i="17" s="1"/>
  <c r="D26" i="24"/>
  <c r="AD28" i="24"/>
  <c r="Z6" i="17" s="1"/>
  <c r="AD24" i="24"/>
  <c r="Z2" i="17" s="1"/>
  <c r="T28" i="24"/>
  <c r="P6" i="17" s="1"/>
  <c r="T24" i="24"/>
  <c r="P2" i="17" s="1"/>
  <c r="AI29" i="24"/>
  <c r="AE7" i="17" s="1"/>
  <c r="AI25" i="24"/>
  <c r="AE3" i="17" s="1"/>
  <c r="AF24" i="24"/>
  <c r="AB2" i="17" s="1"/>
  <c r="V29" i="24"/>
  <c r="R7" i="17" s="1"/>
  <c r="V28" i="24"/>
  <c r="R6" i="17" s="1"/>
  <c r="Q24" i="24"/>
  <c r="M2" i="17" s="1"/>
  <c r="AG26" i="24"/>
  <c r="AG28" i="24"/>
  <c r="AC6" i="17" s="1"/>
  <c r="E26" i="24"/>
  <c r="I26" i="24"/>
  <c r="I28" i="24"/>
  <c r="E6" i="17" s="1"/>
  <c r="U26" i="24"/>
  <c r="K24" i="24"/>
  <c r="G2" i="17" s="1"/>
  <c r="K26" i="24"/>
  <c r="Y24" i="24"/>
  <c r="U2" i="17" s="1"/>
  <c r="L28" i="24"/>
  <c r="H6" i="17" s="1"/>
  <c r="L25" i="24"/>
  <c r="H3" i="17" s="1"/>
  <c r="AH29" i="24"/>
  <c r="AD7" i="17" s="1"/>
  <c r="X27" i="24"/>
  <c r="T5" i="17" s="1"/>
  <c r="X26" i="24"/>
  <c r="C28" i="24"/>
  <c r="S38" i="24"/>
  <c r="S47" i="24" s="1"/>
  <c r="S56" i="24" s="1"/>
  <c r="O6" i="20" s="1"/>
  <c r="F35" i="24"/>
  <c r="F44" i="24" s="1"/>
  <c r="F53" i="24" s="1"/>
  <c r="B3" i="20" s="1"/>
  <c r="B71" i="24"/>
  <c r="B80" i="24" s="1"/>
  <c r="AG71" i="24"/>
  <c r="AG80" i="24" s="1"/>
  <c r="AC2" i="18" s="1"/>
  <c r="T71" i="24"/>
  <c r="T80" i="24" s="1"/>
  <c r="P2" i="18" s="1"/>
  <c r="I71" i="24"/>
  <c r="I80" i="24" s="1"/>
  <c r="E2" i="18" s="1"/>
  <c r="V71" i="24"/>
  <c r="V80" i="24" s="1"/>
  <c r="R2" i="18" s="1"/>
  <c r="AE39" i="24"/>
  <c r="AE48" i="24" s="1"/>
  <c r="AE57" i="24" s="1"/>
  <c r="AA7" i="20" s="1"/>
  <c r="L71" i="24"/>
  <c r="L80" i="24" s="1"/>
  <c r="H2" i="18" s="1"/>
  <c r="Q71" i="24"/>
  <c r="Q80" i="24" s="1"/>
  <c r="M2" i="18" s="1"/>
  <c r="D71" i="24"/>
  <c r="D80" i="24" s="1"/>
  <c r="V38" i="24"/>
  <c r="V47" i="24" s="1"/>
  <c r="V56" i="24" s="1"/>
  <c r="R6" i="20" s="1"/>
  <c r="Y71" i="24"/>
  <c r="Y80" i="24" s="1"/>
  <c r="U2" i="18" s="1"/>
  <c r="AD71" i="24"/>
  <c r="AD80" i="24" s="1"/>
  <c r="Z2" i="18" s="1"/>
  <c r="AB71" i="24"/>
  <c r="AB80" i="24" s="1"/>
  <c r="X2" i="18" s="1"/>
  <c r="N71" i="24"/>
  <c r="N80" i="24" s="1"/>
  <c r="J2" i="18" s="1"/>
  <c r="Z39" i="24"/>
  <c r="Z48" i="24" s="1"/>
  <c r="Z57" i="24" s="1"/>
  <c r="V7" i="20" s="1"/>
  <c r="S35" i="24"/>
  <c r="S44" i="24" s="1"/>
  <c r="S53" i="24" s="1"/>
  <c r="O3" i="20" s="1"/>
  <c r="R35" i="24"/>
  <c r="R44" i="24" s="1"/>
  <c r="R53" i="24" s="1"/>
  <c r="N3" i="20" s="1"/>
  <c r="Q38" i="24"/>
  <c r="Q47" i="24" s="1"/>
  <c r="Q56" i="24" s="1"/>
  <c r="M6" i="20" s="1"/>
  <c r="Q37" i="24"/>
  <c r="Q46" i="24" s="1"/>
  <c r="Q55" i="24" s="1"/>
  <c r="M5" i="20" s="1"/>
  <c r="AI37" i="24"/>
  <c r="AI46" i="24" s="1"/>
  <c r="AI55" i="24" s="1"/>
  <c r="AE5" i="20" s="1"/>
  <c r="F39" i="24"/>
  <c r="F48" i="24" s="1"/>
  <c r="F57" i="24" s="1"/>
  <c r="B7" i="20" s="1"/>
  <c r="F37" i="24"/>
  <c r="F46" i="24" s="1"/>
  <c r="F55" i="24" s="1"/>
  <c r="B5" i="20" s="1"/>
  <c r="AC34" i="24"/>
  <c r="AC43" i="24" s="1"/>
  <c r="AC52" i="24" s="1"/>
  <c r="Y2" i="20" s="1"/>
  <c r="AC35" i="24"/>
  <c r="AC44" i="24" s="1"/>
  <c r="AC53" i="24" s="1"/>
  <c r="Y3" i="20" s="1"/>
  <c r="AC36" i="24"/>
  <c r="AC45" i="24" s="1"/>
  <c r="AC54" i="24" s="1"/>
  <c r="AC37" i="24"/>
  <c r="AC46" i="24" s="1"/>
  <c r="AC55" i="24" s="1"/>
  <c r="Y5" i="20" s="1"/>
  <c r="AC38" i="24"/>
  <c r="AC47" i="24" s="1"/>
  <c r="AC56" i="24" s="1"/>
  <c r="Y6" i="20" s="1"/>
  <c r="AC39" i="24"/>
  <c r="AC48" i="24" s="1"/>
  <c r="AC57" i="24" s="1"/>
  <c r="Y7" i="20" s="1"/>
  <c r="Q39" i="24"/>
  <c r="Q48" i="24" s="1"/>
  <c r="Q57" i="24" s="1"/>
  <c r="M7" i="20" s="1"/>
  <c r="I35" i="24"/>
  <c r="I44" i="24" s="1"/>
  <c r="I53" i="24" s="1"/>
  <c r="E3" i="20" s="1"/>
  <c r="S37" i="24"/>
  <c r="S46" i="24" s="1"/>
  <c r="S55" i="24" s="1"/>
  <c r="O5" i="20" s="1"/>
  <c r="C39" i="24"/>
  <c r="C48" i="24" s="1"/>
  <c r="C57" i="24" s="1"/>
  <c r="C36" i="24"/>
  <c r="C45" i="24" s="1"/>
  <c r="C54" i="24" s="1"/>
  <c r="C37" i="24"/>
  <c r="C46" i="24" s="1"/>
  <c r="C55" i="24" s="1"/>
  <c r="C38" i="24"/>
  <c r="C47" i="24" s="1"/>
  <c r="C56" i="24" s="1"/>
  <c r="C34" i="24"/>
  <c r="C43" i="24" s="1"/>
  <c r="C52" i="24" s="1"/>
  <c r="Q35" i="24"/>
  <c r="Q44" i="24" s="1"/>
  <c r="Q53" i="24" s="1"/>
  <c r="M3" i="20" s="1"/>
  <c r="T39" i="24"/>
  <c r="T48" i="24" s="1"/>
  <c r="T57" i="24" s="1"/>
  <c r="P7" i="20" s="1"/>
  <c r="I37" i="24"/>
  <c r="I46" i="24" s="1"/>
  <c r="I55" i="24" s="1"/>
  <c r="E5" i="20" s="1"/>
  <c r="T37" i="24"/>
  <c r="T46" i="24" s="1"/>
  <c r="T55" i="24" s="1"/>
  <c r="P5" i="20" s="1"/>
  <c r="Z38" i="24"/>
  <c r="Z47" i="24" s="1"/>
  <c r="Z56" i="24" s="1"/>
  <c r="V6" i="20" s="1"/>
  <c r="Q36" i="24"/>
  <c r="Q45" i="24" s="1"/>
  <c r="Q54" i="24" s="1"/>
  <c r="N35" i="24"/>
  <c r="N44" i="24" s="1"/>
  <c r="N53" i="24" s="1"/>
  <c r="J3" i="20" s="1"/>
  <c r="N39" i="24"/>
  <c r="N48" i="24" s="1"/>
  <c r="N57" i="24" s="1"/>
  <c r="J7" i="20" s="1"/>
  <c r="N34" i="24"/>
  <c r="N43" i="24" s="1"/>
  <c r="N52" i="24" s="1"/>
  <c r="J2" i="20" s="1"/>
  <c r="N38" i="24"/>
  <c r="N47" i="24" s="1"/>
  <c r="N56" i="24" s="1"/>
  <c r="J6" i="20" s="1"/>
  <c r="AI34" i="24"/>
  <c r="AI43" i="24" s="1"/>
  <c r="AI52" i="24" s="1"/>
  <c r="AE2" i="20" s="1"/>
  <c r="AI36" i="24"/>
  <c r="AI45" i="24" s="1"/>
  <c r="AI54" i="24" s="1"/>
  <c r="AI38" i="24"/>
  <c r="AI47" i="24" s="1"/>
  <c r="AI56" i="24" s="1"/>
  <c r="AE6" i="20" s="1"/>
  <c r="AI39" i="24"/>
  <c r="AI48" i="24" s="1"/>
  <c r="AI57" i="24" s="1"/>
  <c r="AE7" i="20" s="1"/>
  <c r="T38" i="24"/>
  <c r="T47" i="24" s="1"/>
  <c r="T56" i="24" s="1"/>
  <c r="P6" i="20" s="1"/>
  <c r="I36" i="24"/>
  <c r="I45" i="24" s="1"/>
  <c r="I54" i="24" s="1"/>
  <c r="V39" i="24"/>
  <c r="V48" i="24" s="1"/>
  <c r="V57" i="24" s="1"/>
  <c r="R7" i="20" s="1"/>
  <c r="R36" i="24"/>
  <c r="R45" i="24" s="1"/>
  <c r="R54" i="24" s="1"/>
  <c r="I39" i="24"/>
  <c r="I48" i="24" s="1"/>
  <c r="I57" i="24" s="1"/>
  <c r="E7" i="20" s="1"/>
  <c r="I38" i="24"/>
  <c r="I47" i="24" s="1"/>
  <c r="I56" i="24" s="1"/>
  <c r="E6" i="20" s="1"/>
  <c r="N37" i="24"/>
  <c r="N46" i="24" s="1"/>
  <c r="N55" i="24" s="1"/>
  <c r="J5" i="20" s="1"/>
  <c r="AE35" i="24"/>
  <c r="AE44" i="24" s="1"/>
  <c r="AE53" i="24" s="1"/>
  <c r="AA3" i="20" s="1"/>
  <c r="AE36" i="24"/>
  <c r="AE45" i="24" s="1"/>
  <c r="AE54" i="24" s="1"/>
  <c r="AE34" i="24"/>
  <c r="AE43" i="24" s="1"/>
  <c r="AE52" i="24" s="1"/>
  <c r="AA2" i="20" s="1"/>
  <c r="V37" i="24"/>
  <c r="V46" i="24" s="1"/>
  <c r="V55" i="24" s="1"/>
  <c r="R5" i="20" s="1"/>
  <c r="R39" i="24"/>
  <c r="R48" i="24" s="1"/>
  <c r="R57" i="24" s="1"/>
  <c r="N7" i="20" s="1"/>
  <c r="AE38" i="24"/>
  <c r="AE47" i="24" s="1"/>
  <c r="AE56" i="24" s="1"/>
  <c r="AA6" i="20" s="1"/>
  <c r="V35" i="24"/>
  <c r="V44" i="24" s="1"/>
  <c r="V53" i="24" s="1"/>
  <c r="R3" i="20" s="1"/>
  <c r="R38" i="24"/>
  <c r="R47" i="24" s="1"/>
  <c r="R56" i="24" s="1"/>
  <c r="N6" i="20" s="1"/>
  <c r="T36" i="24"/>
  <c r="T45" i="24" s="1"/>
  <c r="T54" i="24" s="1"/>
  <c r="T35" i="24"/>
  <c r="T44" i="24" s="1"/>
  <c r="T53" i="24" s="1"/>
  <c r="P3" i="20" s="1"/>
  <c r="V36" i="24"/>
  <c r="V45" i="24" s="1"/>
  <c r="V54" i="24" s="1"/>
  <c r="R37" i="24"/>
  <c r="R46" i="24" s="1"/>
  <c r="R55" i="24" s="1"/>
  <c r="N5" i="20" s="1"/>
  <c r="S34" i="24"/>
  <c r="S43" i="24" s="1"/>
  <c r="S52" i="24" s="1"/>
  <c r="O2" i="20" s="1"/>
  <c r="S39" i="24"/>
  <c r="S48" i="24" s="1"/>
  <c r="S57" i="24" s="1"/>
  <c r="O7" i="20" s="1"/>
  <c r="AH37" i="24"/>
  <c r="AH46" i="24" s="1"/>
  <c r="AH55" i="24" s="1"/>
  <c r="AD5" i="20" s="1"/>
  <c r="AH35" i="24"/>
  <c r="AH44" i="24" s="1"/>
  <c r="AH53" i="24" s="1"/>
  <c r="AD3" i="20" s="1"/>
  <c r="AH38" i="24"/>
  <c r="AH47" i="24" s="1"/>
  <c r="AH56" i="24" s="1"/>
  <c r="AD6" i="20" s="1"/>
  <c r="AH36" i="24"/>
  <c r="AH45" i="24" s="1"/>
  <c r="AH54" i="24" s="1"/>
  <c r="AH39" i="24"/>
  <c r="AH48" i="24" s="1"/>
  <c r="AH57" i="24" s="1"/>
  <c r="AD7" i="20" s="1"/>
  <c r="AH34" i="24"/>
  <c r="AH43" i="24" s="1"/>
  <c r="AH52" i="24" s="1"/>
  <c r="AD2" i="20" s="1"/>
  <c r="J39" i="24"/>
  <c r="J48" i="24" s="1"/>
  <c r="J57" i="24" s="1"/>
  <c r="F7" i="20" s="1"/>
  <c r="J35" i="24"/>
  <c r="J44" i="24" s="1"/>
  <c r="J53" i="24" s="1"/>
  <c r="F3" i="20" s="1"/>
  <c r="J36" i="24"/>
  <c r="J45" i="24" s="1"/>
  <c r="J54" i="24" s="1"/>
  <c r="J37" i="24"/>
  <c r="J46" i="24" s="1"/>
  <c r="J55" i="24" s="1"/>
  <c r="F5" i="20" s="1"/>
  <c r="J38" i="24"/>
  <c r="J47" i="24" s="1"/>
  <c r="J56" i="24" s="1"/>
  <c r="F6" i="20" s="1"/>
  <c r="J34" i="24"/>
  <c r="J43" i="24" s="1"/>
  <c r="J52" i="24" s="1"/>
  <c r="F2" i="20" s="1"/>
  <c r="E36" i="24"/>
  <c r="E45" i="24" s="1"/>
  <c r="E54" i="24" s="1"/>
  <c r="E34" i="24"/>
  <c r="E43" i="24" s="1"/>
  <c r="E52" i="24" s="1"/>
  <c r="E38" i="24"/>
  <c r="E47" i="24" s="1"/>
  <c r="E56" i="24" s="1"/>
  <c r="E37" i="24"/>
  <c r="E46" i="24" s="1"/>
  <c r="E55" i="24" s="1"/>
  <c r="E39" i="24"/>
  <c r="E48" i="24" s="1"/>
  <c r="E57" i="24" s="1"/>
  <c r="E35" i="24"/>
  <c r="E44" i="24" s="1"/>
  <c r="E53" i="24" s="1"/>
  <c r="K38" i="24"/>
  <c r="K47" i="24" s="1"/>
  <c r="K56" i="24" s="1"/>
  <c r="G6" i="20" s="1"/>
  <c r="K34" i="24"/>
  <c r="K43" i="24" s="1"/>
  <c r="K52" i="24" s="1"/>
  <c r="G2" i="20" s="1"/>
  <c r="K39" i="24"/>
  <c r="K48" i="24" s="1"/>
  <c r="K57" i="24" s="1"/>
  <c r="G7" i="20" s="1"/>
  <c r="K35" i="24"/>
  <c r="K44" i="24" s="1"/>
  <c r="K53" i="24" s="1"/>
  <c r="G3" i="20" s="1"/>
  <c r="K36" i="24"/>
  <c r="K45" i="24" s="1"/>
  <c r="K54" i="24" s="1"/>
  <c r="K37" i="24"/>
  <c r="K46" i="24" s="1"/>
  <c r="K55" i="24" s="1"/>
  <c r="G5" i="20" s="1"/>
  <c r="AG38" i="24"/>
  <c r="AG47" i="24" s="1"/>
  <c r="AG56" i="24" s="1"/>
  <c r="AC6" i="20" s="1"/>
  <c r="AG36" i="24"/>
  <c r="AG45" i="24" s="1"/>
  <c r="AG54" i="24" s="1"/>
  <c r="AG39" i="24"/>
  <c r="AG48" i="24" s="1"/>
  <c r="AG57" i="24" s="1"/>
  <c r="AC7" i="20" s="1"/>
  <c r="AG34" i="24"/>
  <c r="AG43" i="24" s="1"/>
  <c r="AG52" i="24" s="1"/>
  <c r="AC2" i="20" s="1"/>
  <c r="AG35" i="24"/>
  <c r="AG44" i="24" s="1"/>
  <c r="AG53" i="24" s="1"/>
  <c r="AC3" i="20" s="1"/>
  <c r="AG37" i="24"/>
  <c r="AG46" i="24" s="1"/>
  <c r="AG55" i="24" s="1"/>
  <c r="AC5" i="20" s="1"/>
  <c r="M37" i="24"/>
  <c r="M46" i="24" s="1"/>
  <c r="M55" i="24" s="1"/>
  <c r="I5" i="20" s="1"/>
  <c r="M36" i="24"/>
  <c r="M45" i="24" s="1"/>
  <c r="M54" i="24" s="1"/>
  <c r="M38" i="24"/>
  <c r="M47" i="24" s="1"/>
  <c r="M56" i="24" s="1"/>
  <c r="I6" i="20" s="1"/>
  <c r="M39" i="24"/>
  <c r="M48" i="24" s="1"/>
  <c r="M57" i="24" s="1"/>
  <c r="I7" i="20" s="1"/>
  <c r="M35" i="24"/>
  <c r="M44" i="24" s="1"/>
  <c r="M53" i="24" s="1"/>
  <c r="I3" i="20" s="1"/>
  <c r="M34" i="24"/>
  <c r="M43" i="24" s="1"/>
  <c r="M52" i="24" s="1"/>
  <c r="I2" i="20" s="1"/>
  <c r="X39" i="24"/>
  <c r="X48" i="24" s="1"/>
  <c r="X57" i="24" s="1"/>
  <c r="T7" i="20" s="1"/>
  <c r="X37" i="24"/>
  <c r="X46" i="24" s="1"/>
  <c r="X55" i="24" s="1"/>
  <c r="T5" i="20" s="1"/>
  <c r="X34" i="24"/>
  <c r="X43" i="24" s="1"/>
  <c r="X52" i="24" s="1"/>
  <c r="T2" i="20" s="1"/>
  <c r="X35" i="24"/>
  <c r="X44" i="24" s="1"/>
  <c r="X53" i="24" s="1"/>
  <c r="T3" i="20" s="1"/>
  <c r="X36" i="24"/>
  <c r="X45" i="24" s="1"/>
  <c r="X54" i="24" s="1"/>
  <c r="X38" i="24"/>
  <c r="X47" i="24" s="1"/>
  <c r="X56" i="24" s="1"/>
  <c r="T6" i="20" s="1"/>
  <c r="Y36" i="24"/>
  <c r="Y45" i="24" s="1"/>
  <c r="Y54" i="24" s="1"/>
  <c r="Y37" i="24"/>
  <c r="Y46" i="24" s="1"/>
  <c r="Y55" i="24" s="1"/>
  <c r="U5" i="20" s="1"/>
  <c r="Y38" i="24"/>
  <c r="Y47" i="24" s="1"/>
  <c r="Y56" i="24" s="1"/>
  <c r="U6" i="20" s="1"/>
  <c r="Y39" i="24"/>
  <c r="Y48" i="24" s="1"/>
  <c r="Y57" i="24" s="1"/>
  <c r="U7" i="20" s="1"/>
  <c r="Y34" i="24"/>
  <c r="Y43" i="24" s="1"/>
  <c r="Y52" i="24" s="1"/>
  <c r="U2" i="20" s="1"/>
  <c r="Y35" i="24"/>
  <c r="Y44" i="24" s="1"/>
  <c r="Y53" i="24" s="1"/>
  <c r="U3" i="20" s="1"/>
  <c r="D34" i="24"/>
  <c r="D43" i="24" s="1"/>
  <c r="D52" i="24" s="1"/>
  <c r="D35" i="24"/>
  <c r="D44" i="24" s="1"/>
  <c r="D53" i="24" s="1"/>
  <c r="D36" i="24"/>
  <c r="D45" i="24" s="1"/>
  <c r="D54" i="24" s="1"/>
  <c r="D37" i="24"/>
  <c r="D46" i="24" s="1"/>
  <c r="D55" i="24" s="1"/>
  <c r="D39" i="24"/>
  <c r="D48" i="24" s="1"/>
  <c r="D57" i="24" s="1"/>
  <c r="D38" i="24"/>
  <c r="D47" i="24" s="1"/>
  <c r="D56" i="24" s="1"/>
  <c r="B37" i="24"/>
  <c r="B46" i="24" s="1"/>
  <c r="B55" i="24" s="1"/>
  <c r="B38" i="24"/>
  <c r="B47" i="24" s="1"/>
  <c r="B56" i="24" s="1"/>
  <c r="B39" i="24"/>
  <c r="B48" i="24" s="1"/>
  <c r="B57" i="24" s="1"/>
  <c r="B36" i="24"/>
  <c r="B45" i="24" s="1"/>
  <c r="B54" i="24" s="1"/>
  <c r="B34" i="24"/>
  <c r="B43" i="24" s="1"/>
  <c r="B52" i="24" s="1"/>
  <c r="B35" i="24"/>
  <c r="AA34" i="24"/>
  <c r="AA43" i="24" s="1"/>
  <c r="AA52" i="24" s="1"/>
  <c r="W2" i="20" s="1"/>
  <c r="AA35" i="24"/>
  <c r="AA44" i="24" s="1"/>
  <c r="AA53" i="24" s="1"/>
  <c r="W3" i="20" s="1"/>
  <c r="AA36" i="24"/>
  <c r="AA45" i="24" s="1"/>
  <c r="AA54" i="24" s="1"/>
  <c r="AA38" i="24"/>
  <c r="AA47" i="24" s="1"/>
  <c r="AA56" i="24" s="1"/>
  <c r="W6" i="20" s="1"/>
  <c r="AA39" i="24"/>
  <c r="AA48" i="24" s="1"/>
  <c r="AA57" i="24" s="1"/>
  <c r="W7" i="20" s="1"/>
  <c r="AA37" i="24"/>
  <c r="AA46" i="24" s="1"/>
  <c r="AA55" i="24" s="1"/>
  <c r="W5" i="20" s="1"/>
  <c r="U37" i="24"/>
  <c r="U46" i="24" s="1"/>
  <c r="U55" i="24" s="1"/>
  <c r="Q5" i="20" s="1"/>
  <c r="U38" i="24"/>
  <c r="U47" i="24" s="1"/>
  <c r="U56" i="24" s="1"/>
  <c r="Q6" i="20" s="1"/>
  <c r="U39" i="24"/>
  <c r="U48" i="24" s="1"/>
  <c r="U57" i="24" s="1"/>
  <c r="Q7" i="20" s="1"/>
  <c r="U36" i="24"/>
  <c r="U45" i="24" s="1"/>
  <c r="U54" i="24" s="1"/>
  <c r="U34" i="24"/>
  <c r="U43" i="24" s="1"/>
  <c r="U52" i="24" s="1"/>
  <c r="Q2" i="20" s="1"/>
  <c r="U35" i="24"/>
  <c r="U44" i="24" s="1"/>
  <c r="U53" i="24" s="1"/>
  <c r="Q3" i="20" s="1"/>
  <c r="AF37" i="24"/>
  <c r="AF46" i="24" s="1"/>
  <c r="AF55" i="24" s="1"/>
  <c r="AB5" i="20" s="1"/>
  <c r="AF39" i="24"/>
  <c r="AF48" i="24" s="1"/>
  <c r="AF57" i="24" s="1"/>
  <c r="AB7" i="20" s="1"/>
  <c r="AF35" i="24"/>
  <c r="AF44" i="24" s="1"/>
  <c r="AF53" i="24" s="1"/>
  <c r="AB3" i="20" s="1"/>
  <c r="AF34" i="24"/>
  <c r="AF43" i="24" s="1"/>
  <c r="AF52" i="24" s="1"/>
  <c r="AB2" i="20" s="1"/>
  <c r="AF38" i="24"/>
  <c r="AF47" i="24" s="1"/>
  <c r="AF56" i="24" s="1"/>
  <c r="AB6" i="20" s="1"/>
  <c r="AF36" i="24"/>
  <c r="AF45" i="24" s="1"/>
  <c r="AF54" i="24" s="1"/>
  <c r="P37" i="24"/>
  <c r="P46" i="24" s="1"/>
  <c r="P55" i="24" s="1"/>
  <c r="L5" i="20" s="1"/>
  <c r="P38" i="24"/>
  <c r="P47" i="24" s="1"/>
  <c r="P56" i="24" s="1"/>
  <c r="L6" i="20" s="1"/>
  <c r="P39" i="24"/>
  <c r="P48" i="24" s="1"/>
  <c r="P57" i="24" s="1"/>
  <c r="L7" i="20" s="1"/>
  <c r="P35" i="24"/>
  <c r="P44" i="24" s="1"/>
  <c r="P53" i="24" s="1"/>
  <c r="L3" i="20" s="1"/>
  <c r="P34" i="24"/>
  <c r="P43" i="24" s="1"/>
  <c r="P52" i="24" s="1"/>
  <c r="L2" i="20" s="1"/>
  <c r="P36" i="24"/>
  <c r="P45" i="24" s="1"/>
  <c r="P54" i="24" s="1"/>
  <c r="H37" i="24"/>
  <c r="H46" i="24" s="1"/>
  <c r="H55" i="24" s="1"/>
  <c r="D5" i="20" s="1"/>
  <c r="H38" i="24"/>
  <c r="H47" i="24" s="1"/>
  <c r="H56" i="24" s="1"/>
  <c r="D6" i="20" s="1"/>
  <c r="H39" i="24"/>
  <c r="H48" i="24" s="1"/>
  <c r="H57" i="24" s="1"/>
  <c r="D7" i="20" s="1"/>
  <c r="H34" i="24"/>
  <c r="H43" i="24" s="1"/>
  <c r="H52" i="24" s="1"/>
  <c r="D2" i="20" s="1"/>
  <c r="H35" i="24"/>
  <c r="H44" i="24" s="1"/>
  <c r="H53" i="24" s="1"/>
  <c r="D3" i="20" s="1"/>
  <c r="H36" i="24"/>
  <c r="H45" i="24" s="1"/>
  <c r="H54" i="24" s="1"/>
  <c r="G38" i="24"/>
  <c r="G47" i="24" s="1"/>
  <c r="G56" i="24" s="1"/>
  <c r="C6" i="20" s="1"/>
  <c r="G39" i="24"/>
  <c r="G48" i="24" s="1"/>
  <c r="G57" i="24" s="1"/>
  <c r="C7" i="20" s="1"/>
  <c r="G34" i="24"/>
  <c r="G43" i="24" s="1"/>
  <c r="G52" i="24" s="1"/>
  <c r="C2" i="20" s="1"/>
  <c r="G35" i="24"/>
  <c r="G44" i="24" s="1"/>
  <c r="G53" i="24" s="1"/>
  <c r="C3" i="20" s="1"/>
  <c r="G36" i="24"/>
  <c r="G45" i="24" s="1"/>
  <c r="G54" i="24" s="1"/>
  <c r="G37" i="24"/>
  <c r="G46" i="24" s="1"/>
  <c r="G55" i="24" s="1"/>
  <c r="C5" i="20" s="1"/>
  <c r="B44" i="24" l="1"/>
  <c r="B53" i="24" s="1"/>
</calcChain>
</file>

<file path=xl/sharedStrings.xml><?xml version="1.0" encoding="utf-8"?>
<sst xmlns="http://schemas.openxmlformats.org/spreadsheetml/2006/main" count="357" uniqueCount="177">
  <si>
    <t>BASoBC BAU Amount Spent on Building Components</t>
  </si>
  <si>
    <t>Source:</t>
  </si>
  <si>
    <t>Building Component Costs per Unit</t>
  </si>
  <si>
    <t>NITI Aayog, Government of India</t>
  </si>
  <si>
    <t>India Energy Security Scenarios, 2047 User Guide: Residential Lighting and Appliances</t>
  </si>
  <si>
    <t>http://indiaenergy.gov.in/iess/docs/Residential-Lighting_Appliances-documentation.pdf</t>
  </si>
  <si>
    <t>Page 7, Table 2 (Not updated since last IESS version)</t>
  </si>
  <si>
    <t>Building Envelope Costs per Square Meter of Surface by Surface Type</t>
  </si>
  <si>
    <t>India Energy Security Scenarios, 2047 User Guide: Efficient Envelope Optimization for Residential and Commercial Buildings</t>
  </si>
  <si>
    <t>http://indiaenergy.gov.in/iess/docs/Building%20Envelope-documentation.pdf</t>
  </si>
  <si>
    <t>Page 13</t>
  </si>
  <si>
    <t>(Not updated since last version)</t>
  </si>
  <si>
    <t>Commercial Floorspace Projections</t>
  </si>
  <si>
    <t>Number of Rural and Urban Houshold Projections - for IESS low GDP scenario</t>
  </si>
  <si>
    <t>see bldgs/BCEU</t>
  </si>
  <si>
    <t xml:space="preserve">Tab: IESS Demand </t>
  </si>
  <si>
    <t>India Energy Security Scenarios 2047 downloadable Excel model</t>
  </si>
  <si>
    <t>Table: Urban/Rural Split (Number of Households)</t>
  </si>
  <si>
    <t>http://indiaenergy.gov.in/iess/docs/IESS_Version3.xlsx</t>
  </si>
  <si>
    <t>Updated till 2070 using intrapolation forumla for in between years of a five year interval values.</t>
  </si>
  <si>
    <t>Tab Xa</t>
  </si>
  <si>
    <t>Building Component Lifetimes</t>
  </si>
  <si>
    <t>See variable bldgs/CL</t>
  </si>
  <si>
    <t>Total Number of Appliances by Household Type</t>
  </si>
  <si>
    <t>World Bank</t>
  </si>
  <si>
    <t>Residential Consumption of Electricity in India: Documentation of Data and Methodology</t>
  </si>
  <si>
    <t>http://www.moef.nic.in/downloads/public-information/Residentialpowerconsumption.pdf</t>
  </si>
  <si>
    <t>Pages 17-18, Tables 9-11 (using 2021 projection)</t>
  </si>
  <si>
    <t>Average Floorspace of Residential Unit in India</t>
  </si>
  <si>
    <t xml:space="preserve">Global Buildings Performance Network </t>
  </si>
  <si>
    <t>Residential Buildings in India: Energy Use Projections and Savings Potentials</t>
  </si>
  <si>
    <t>http://www.gbpn.org/sites/default/files/08.%20INDIA%20Baseline_TR_low.pdf</t>
  </si>
  <si>
    <t>Page 28</t>
  </si>
  <si>
    <t>Note:</t>
  </si>
  <si>
    <t>We have data on the cost of various building components per component (such as per refrigerator)</t>
  </si>
  <si>
    <t>and data on the number of residences and square meters of commercial floorspace in future years.</t>
  </si>
  <si>
    <t>We multiply the component prices by the number of components in a typical residence to get the cost</t>
  </si>
  <si>
    <t>of that component per residence.  We estimate components per square meter based on our urban</t>
  </si>
  <si>
    <t>residential data.  We then estimate the number of new components as the number of net</t>
  </si>
  <si>
    <t>additions to buildings, plus (1/component lifetime) times the preexisting buildings, to account for</t>
  </si>
  <si>
    <t>those buildings that are either renovated or torn down and replaced.</t>
  </si>
  <si>
    <t>INR costs are assumed to be from 2012 (from IESS base year) - converted to USD in 'Calculations 2'.</t>
  </si>
  <si>
    <t>The EPS does not handle changes in envelope costs.</t>
  </si>
  <si>
    <t>Number of households</t>
  </si>
  <si>
    <t>Millions</t>
  </si>
  <si>
    <t>Description</t>
  </si>
  <si>
    <t>Notes</t>
  </si>
  <si>
    <t>Urban</t>
  </si>
  <si>
    <t>Rural</t>
  </si>
  <si>
    <t>Number of Households</t>
  </si>
  <si>
    <t>Urban (mil)</t>
  </si>
  <si>
    <t>Urban (households)</t>
  </si>
  <si>
    <t>Net Added Households</t>
  </si>
  <si>
    <t>Rural (mil)</t>
  </si>
  <si>
    <t>Rural (households)</t>
  </si>
  <si>
    <t>Average Space Requirement Per Capita</t>
  </si>
  <si>
    <t>M ha/Capita</t>
  </si>
  <si>
    <t>.</t>
  </si>
  <si>
    <t>..</t>
  </si>
  <si>
    <t>Commercial floor space per capita</t>
  </si>
  <si>
    <t>Population</t>
  </si>
  <si>
    <t>Total Commercial Floor space estimates</t>
  </si>
  <si>
    <t>m2</t>
  </si>
  <si>
    <t>Commercial Floorspace</t>
  </si>
  <si>
    <t>Commercial (M ha)</t>
  </si>
  <si>
    <t>Commercial (sq m)</t>
  </si>
  <si>
    <t>Net Added Floorspace</t>
  </si>
  <si>
    <t>Note: We have calculated interim polulation between two five years value by intrapolation method</t>
  </si>
  <si>
    <t>Average Number of Appliances per Household</t>
  </si>
  <si>
    <t>Appliance</t>
  </si>
  <si>
    <t>No of Appliances (MILLIONS)</t>
  </si>
  <si>
    <t>No of households(MILLIONS)</t>
  </si>
  <si>
    <t>Appliances per household</t>
  </si>
  <si>
    <t>URBAN</t>
  </si>
  <si>
    <t>RURAL</t>
  </si>
  <si>
    <t>Radio</t>
  </si>
  <si>
    <t>CD player</t>
  </si>
  <si>
    <t>TV</t>
  </si>
  <si>
    <t>DVD player</t>
  </si>
  <si>
    <t>computer</t>
  </si>
  <si>
    <t>Refrigerator</t>
  </si>
  <si>
    <t>Washing Machines</t>
  </si>
  <si>
    <t>Electric Oven</t>
  </si>
  <si>
    <t>Toaster</t>
  </si>
  <si>
    <t>Microwave</t>
  </si>
  <si>
    <t>Electric Water Heater</t>
  </si>
  <si>
    <t>Fans</t>
  </si>
  <si>
    <t>Air Cooler</t>
  </si>
  <si>
    <t>Air conditioning</t>
  </si>
  <si>
    <t>Building Component</t>
  </si>
  <si>
    <t>Lifetime (yr)</t>
  </si>
  <si>
    <t>heating</t>
  </si>
  <si>
    <t>cooling and ventilation</t>
  </si>
  <si>
    <t>envelope</t>
  </si>
  <si>
    <t>lighting</t>
  </si>
  <si>
    <t>appliances</t>
  </si>
  <si>
    <t>other component</t>
  </si>
  <si>
    <t>Building Component Costs</t>
  </si>
  <si>
    <t>Item</t>
  </si>
  <si>
    <t>Estimate</t>
  </si>
  <si>
    <t>Cost (Rs) / unit</t>
  </si>
  <si>
    <t>Lighting</t>
  </si>
  <si>
    <t>low</t>
  </si>
  <si>
    <t>high</t>
  </si>
  <si>
    <t>Ceiling fans</t>
  </si>
  <si>
    <t>Televisions</t>
  </si>
  <si>
    <t>Refrigerators</t>
  </si>
  <si>
    <t>Room Air Conditioners</t>
  </si>
  <si>
    <t>Envelope Costs</t>
  </si>
  <si>
    <t>Envelope Component</t>
  </si>
  <si>
    <t>Cost (Rs) / sq meter</t>
  </si>
  <si>
    <t>wall</t>
  </si>
  <si>
    <t>roof</t>
  </si>
  <si>
    <t>window</t>
  </si>
  <si>
    <t>square meters</t>
  </si>
  <si>
    <t>Calculating Wall, Roof, and Window Area</t>
  </si>
  <si>
    <t>We assume that average dwellings in India are one-story and have a footprint twice as long as wide.</t>
  </si>
  <si>
    <t>width * length =</t>
  </si>
  <si>
    <t>width * (2*width) =</t>
  </si>
  <si>
    <t>2*width^2 =</t>
  </si>
  <si>
    <t>width^2 =</t>
  </si>
  <si>
    <t>width =</t>
  </si>
  <si>
    <t>length =</t>
  </si>
  <si>
    <t>We assume that stories are:</t>
  </si>
  <si>
    <t>meters</t>
  </si>
  <si>
    <t>Thus we get a total wall area, before accounting for windows, of:</t>
  </si>
  <si>
    <t>square meters of wall + windows</t>
  </si>
  <si>
    <t>We assume that one of the long walls has two windows, one short wall has one window,</t>
  </si>
  <si>
    <t>and the remaining short or long wall has one window, for a total of four.</t>
  </si>
  <si>
    <t>We assume each window has an area of 1 square meter.</t>
  </si>
  <si>
    <t>This gives:</t>
  </si>
  <si>
    <t>square meters of window</t>
  </si>
  <si>
    <t>square meters of wall</t>
  </si>
  <si>
    <t>square meters of roof</t>
  </si>
  <si>
    <t>Estimating Number of Lights</t>
  </si>
  <si>
    <t>The floor area above is typical for a two-bedroom apartment.</t>
  </si>
  <si>
    <t>We assume that an urban two-bedroom apartment has:</t>
  </si>
  <si>
    <t>bulbs in bedroom 1</t>
  </si>
  <si>
    <t>bulbs in bedroom 2</t>
  </si>
  <si>
    <t>bulbs in the kitchen</t>
  </si>
  <si>
    <t>bulbs in the living/dining area</t>
  </si>
  <si>
    <t>bulbs in the bathroom</t>
  </si>
  <si>
    <t>bulb outside the front door</t>
  </si>
  <si>
    <t>bulbs per urban household</t>
  </si>
  <si>
    <t>We halve this number for a rural residence:</t>
  </si>
  <si>
    <t>bulbs per rural household</t>
  </si>
  <si>
    <t>Residential Buildings</t>
  </si>
  <si>
    <t>Component</t>
  </si>
  <si>
    <t>Units / Urban Household</t>
  </si>
  <si>
    <t>Units / Rural Household</t>
  </si>
  <si>
    <t>Cost / Urban Household</t>
  </si>
  <si>
    <t>Cost / Rural Household</t>
  </si>
  <si>
    <t>EPS Model Category</t>
  </si>
  <si>
    <t>Additional appliances from World Bank document</t>
  </si>
  <si>
    <t>Assumed cost / unit</t>
  </si>
  <si>
    <t>Computer</t>
  </si>
  <si>
    <t>Commercial Buildings</t>
  </si>
  <si>
    <t>We don't have data on the number of units of each item per commercial building square meter.</t>
  </si>
  <si>
    <t>We will use urban households as a proxy, converting the per-household figures to be per square meter.</t>
  </si>
  <si>
    <t>We first adjust some of the per-household figures to make the household resemble a commercial</t>
  </si>
  <si>
    <t>building- for instance, by increasing the share that have air conditioners and decreasing the share</t>
  </si>
  <si>
    <t>that have DVD players- to improve accuracy.</t>
  </si>
  <si>
    <t>Units / Proxy Building</t>
  </si>
  <si>
    <t>Units / Sq Meter</t>
  </si>
  <si>
    <t>Cost / Sq Meter</t>
  </si>
  <si>
    <t>Ruppees per dollar</t>
  </si>
  <si>
    <t>("scaling-factors.xlsx")</t>
  </si>
  <si>
    <t>Urban Residential</t>
  </si>
  <si>
    <t>Number of Households Adding or Replacing This Component</t>
  </si>
  <si>
    <t>Total Amount Spent on This Type of Component by Households (Rs.)</t>
  </si>
  <si>
    <t>Total Amount Spent on This Type of Component by Households ($)</t>
  </si>
  <si>
    <t>Rural Residential</t>
  </si>
  <si>
    <t>Commercial</t>
  </si>
  <si>
    <t>Number of Commercial Sq Meters Adding or Replacing This Component</t>
  </si>
  <si>
    <t>Total Amount Spent on This Type of Component by Commercial Bldgs (Rs.)</t>
  </si>
  <si>
    <t>Total Amount Spent on This Type of Component by Commercial Bldgs ($)</t>
  </si>
  <si>
    <t>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</si>
</sst>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"/>
    <numFmt numFmtId="166" formatCode="0.0_ ;\-0.0\ "/>
    <numFmt numFmtId="167" formatCode="0.0000"/>
  </numFmts>
  <fonts count="1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9" tint="0.79998168889431442"/>
      <name val="Calibri"/>
      <family val="2"/>
      <scheme val="minor"/>
    </font>
    <font>
      <b/>
      <sz val="10"/>
      <color theme="9" tint="0.79998168889431442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1"/>
      <scheme val="minor"/>
    </font>
    <font>
      <sz val="10"/>
      <color theme="1"/>
      <name val="Calibri"/>
      <family val="2"/>
    </font>
    <font>
      <sz val="1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medium">
        <color theme="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theme="0"/>
      </left>
      <right/>
      <top/>
      <bottom/>
      <diagonal/>
    </border>
  </borders>
  <cellStyleXfs count="12">
    <xf numFmtId="0" fontId="0" fillId="0" borderId="0"/>
    <xf numFmtId="0" fontId="2" fillId="0" borderId="0" applyNumberFormat="0" applyProtection="0">
      <alignment horizontal="left"/>
    </xf>
    <xf numFmtId="0" fontId="3" fillId="0" borderId="0" applyNumberFormat="0" applyFill="0" applyBorder="0" applyAlignment="0" applyProtection="0"/>
    <xf numFmtId="0" fontId="4" fillId="0" borderId="1" applyNumberFormat="0" applyProtection="0">
      <alignment wrapText="1"/>
    </xf>
    <xf numFmtId="0" fontId="3" fillId="0" borderId="2" applyNumberFormat="0" applyFont="0" applyProtection="0">
      <alignment wrapText="1"/>
    </xf>
    <xf numFmtId="0" fontId="4" fillId="0" borderId="3" applyNumberFormat="0" applyProtection="0">
      <alignment wrapText="1"/>
    </xf>
    <xf numFmtId="0" fontId="3" fillId="0" borderId="4" applyNumberFormat="0" applyProtection="0">
      <alignment vertical="top" wrapText="1"/>
    </xf>
    <xf numFmtId="0" fontId="5" fillId="0" borderId="0" applyNumberFormat="0" applyFill="0" applyBorder="0" applyAlignment="0" applyProtection="0"/>
    <xf numFmtId="166" fontId="11" fillId="5" borderId="0" applyBorder="0" applyProtection="0">
      <alignment horizontal="left"/>
    </xf>
    <xf numFmtId="165" fontId="12" fillId="5" borderId="0">
      <alignment horizontal="left"/>
    </xf>
    <xf numFmtId="1" fontId="12" fillId="5" borderId="7">
      <alignment horizontal="left"/>
    </xf>
    <xf numFmtId="165" fontId="12" fillId="5" borderId="6">
      <alignment horizontal="left"/>
    </xf>
  </cellStyleXfs>
  <cellXfs count="51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11" fontId="0" fillId="0" borderId="0" xfId="0" applyNumberFormat="1"/>
    <xf numFmtId="0" fontId="5" fillId="0" borderId="0" xfId="7"/>
    <xf numFmtId="0" fontId="1" fillId="0" borderId="0" xfId="0" applyFont="1" applyAlignment="1">
      <alignment horizontal="right"/>
    </xf>
    <xf numFmtId="0" fontId="0" fillId="2" borderId="0" xfId="0" applyFill="1"/>
    <xf numFmtId="0" fontId="1" fillId="0" borderId="0" xfId="0" applyFont="1" applyAlignment="1">
      <alignment wrapText="1"/>
    </xf>
    <xf numFmtId="0" fontId="1" fillId="0" borderId="0" xfId="0" applyFont="1" applyAlignment="1">
      <alignment horizontal="right" wrapText="1"/>
    </xf>
    <xf numFmtId="1" fontId="0" fillId="0" borderId="0" xfId="0" applyNumberFormat="1"/>
    <xf numFmtId="0" fontId="0" fillId="3" borderId="0" xfId="0" applyFill="1"/>
    <xf numFmtId="0" fontId="6" fillId="4" borderId="0" xfId="0" applyFont="1" applyFill="1"/>
    <xf numFmtId="0" fontId="0" fillId="4" borderId="0" xfId="0" applyFill="1"/>
    <xf numFmtId="0" fontId="7" fillId="4" borderId="0" xfId="0" applyFont="1" applyFill="1"/>
    <xf numFmtId="0" fontId="0" fillId="4" borderId="0" xfId="0" applyFill="1" applyAlignment="1">
      <alignment horizontal="right"/>
    </xf>
    <xf numFmtId="0" fontId="6" fillId="4" borderId="5" xfId="0" applyFont="1" applyFill="1" applyBorder="1" applyAlignment="1">
      <alignment vertical="center"/>
    </xf>
    <xf numFmtId="0" fontId="6" fillId="4" borderId="5" xfId="0" applyFont="1" applyFill="1" applyBorder="1"/>
    <xf numFmtId="0" fontId="8" fillId="4" borderId="5" xfId="0" applyFont="1" applyFill="1" applyBorder="1"/>
    <xf numFmtId="0" fontId="9" fillId="4" borderId="0" xfId="0" applyFont="1" applyFill="1" applyAlignment="1">
      <alignment vertical="center"/>
    </xf>
    <xf numFmtId="0" fontId="10" fillId="4" borderId="0" xfId="0" applyFont="1" applyFill="1" applyAlignment="1">
      <alignment vertical="center"/>
    </xf>
    <xf numFmtId="1" fontId="0" fillId="4" borderId="0" xfId="0" applyNumberFormat="1" applyFill="1"/>
    <xf numFmtId="0" fontId="10" fillId="4" borderId="6" xfId="0" applyFont="1" applyFill="1" applyBorder="1" applyAlignment="1">
      <alignment vertical="center"/>
    </xf>
    <xf numFmtId="9" fontId="10" fillId="4" borderId="6" xfId="0" applyNumberFormat="1" applyFont="1" applyFill="1" applyBorder="1" applyAlignment="1">
      <alignment vertical="center"/>
    </xf>
    <xf numFmtId="1" fontId="0" fillId="4" borderId="6" xfId="0" applyNumberFormat="1" applyFill="1" applyBorder="1"/>
    <xf numFmtId="165" fontId="0" fillId="0" borderId="0" xfId="0" applyNumberFormat="1"/>
    <xf numFmtId="166" fontId="9" fillId="4" borderId="0" xfId="8" applyFont="1" applyFill="1">
      <alignment horizontal="left"/>
    </xf>
    <xf numFmtId="165" fontId="13" fillId="4" borderId="0" xfId="9" applyFont="1" applyFill="1">
      <alignment horizontal="left"/>
    </xf>
    <xf numFmtId="1" fontId="13" fillId="4" borderId="0" xfId="9" applyNumberFormat="1" applyFont="1" applyFill="1">
      <alignment horizontal="left"/>
    </xf>
    <xf numFmtId="1" fontId="13" fillId="4" borderId="7" xfId="10" applyFont="1" applyFill="1">
      <alignment horizontal="left"/>
    </xf>
    <xf numFmtId="1" fontId="6" fillId="4" borderId="7" xfId="10" applyFont="1" applyFill="1">
      <alignment horizontal="left"/>
    </xf>
    <xf numFmtId="1" fontId="13" fillId="4" borderId="0" xfId="10" applyFont="1" applyFill="1" applyBorder="1">
      <alignment horizontal="left"/>
    </xf>
    <xf numFmtId="0" fontId="13" fillId="4" borderId="8" xfId="0" applyFont="1" applyFill="1" applyBorder="1" applyAlignment="1">
      <alignment horizontal="left"/>
    </xf>
    <xf numFmtId="0" fontId="0" fillId="4" borderId="0" xfId="0" applyFill="1" applyAlignment="1">
      <alignment horizontal="left"/>
    </xf>
    <xf numFmtId="0" fontId="0" fillId="4" borderId="0" xfId="0" applyFill="1" applyAlignment="1">
      <alignment horizontal="left" wrapText="1"/>
    </xf>
    <xf numFmtId="167" fontId="0" fillId="0" borderId="0" xfId="0" applyNumberFormat="1"/>
    <xf numFmtId="0" fontId="1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1" fillId="6" borderId="0" xfId="0" applyFont="1" applyFill="1"/>
    <xf numFmtId="0" fontId="0" fillId="6" borderId="0" xfId="0" applyFill="1"/>
    <xf numFmtId="0" fontId="0" fillId="0" borderId="0" xfId="0" applyAlignment="1">
      <alignment horizontal="center"/>
    </xf>
    <xf numFmtId="164" fontId="0" fillId="0" borderId="0" xfId="0" applyNumberFormat="1"/>
    <xf numFmtId="1" fontId="0" fillId="0" borderId="0" xfId="0" applyNumberFormat="1" applyAlignment="1">
      <alignment horizontal="center"/>
    </xf>
    <xf numFmtId="0" fontId="0" fillId="2" borderId="0" xfId="0" applyFill="1" applyAlignment="1">
      <alignment horizontal="right"/>
    </xf>
    <xf numFmtId="1" fontId="0" fillId="3" borderId="0" xfId="0" applyNumberFormat="1" applyFill="1"/>
    <xf numFmtId="0" fontId="1" fillId="3" borderId="0" xfId="0" applyFont="1" applyFill="1" applyAlignment="1">
      <alignment horizontal="right" wrapText="1"/>
    </xf>
    <xf numFmtId="2" fontId="0" fillId="0" borderId="0" xfId="0" applyNumberFormat="1"/>
    <xf numFmtId="165" fontId="13" fillId="4" borderId="0" xfId="11" applyFont="1" applyFill="1" applyBorder="1">
      <alignment horizontal="left"/>
    </xf>
    <xf numFmtId="0" fontId="0" fillId="0" borderId="0" xfId="0" applyAlignment="1">
      <alignment horizontal="center"/>
    </xf>
    <xf numFmtId="0" fontId="0" fillId="7" borderId="0" xfId="0" applyFill="1" applyAlignment="1"/>
  </cellXfs>
  <cellStyles count="12">
    <cellStyle name="A - bold" xfId="8" xr:uid="{00000000-0005-0000-0000-000000000000}"/>
    <cellStyle name="A - bottom border" xfId="11" xr:uid="{00000000-0005-0000-0000-000001000000}"/>
    <cellStyle name="A - header 2 2" xfId="10" xr:uid="{00000000-0005-0000-0000-000002000000}"/>
    <cellStyle name="A - normal" xfId="9" xr:uid="{00000000-0005-0000-0000-000003000000}"/>
    <cellStyle name="Body: normal cell" xfId="4" xr:uid="{00000000-0005-0000-0000-000004000000}"/>
    <cellStyle name="Font: Calibri, 9pt regular" xfId="2" xr:uid="{00000000-0005-0000-0000-000005000000}"/>
    <cellStyle name="Footnotes: top row" xfId="6" xr:uid="{00000000-0005-0000-0000-000006000000}"/>
    <cellStyle name="Header: bottom row" xfId="3" xr:uid="{00000000-0005-0000-0000-000007000000}"/>
    <cellStyle name="Hyperlink" xfId="7" builtinId="8"/>
    <cellStyle name="Normal" xfId="0" builtinId="0"/>
    <cellStyle name="Parent row" xfId="5" xr:uid="{00000000-0005-0000-0000-00000A000000}"/>
    <cellStyle name="Table title" xfId="1" xr:uid="{00000000-0005-0000-0000-00000B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1"/>
            <c:trendlineLbl>
              <c:numFmt formatCode="#,##0.00000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'Building Projections'!$G$19:$N$19</c:f>
              <c:numCache>
                <c:formatCode>0</c:formatCode>
                <c:ptCount val="8"/>
                <c:pt idx="0">
                  <c:v>2012</c:v>
                </c:pt>
                <c:pt idx="1">
                  <c:v>2017</c:v>
                </c:pt>
                <c:pt idx="2">
                  <c:v>2022</c:v>
                </c:pt>
                <c:pt idx="3">
                  <c:v>2027</c:v>
                </c:pt>
                <c:pt idx="4">
                  <c:v>2032</c:v>
                </c:pt>
                <c:pt idx="5">
                  <c:v>2037</c:v>
                </c:pt>
                <c:pt idx="6">
                  <c:v>2042</c:v>
                </c:pt>
                <c:pt idx="7">
                  <c:v>2047</c:v>
                </c:pt>
              </c:numCache>
            </c:numRef>
          </c:xVal>
          <c:yVal>
            <c:numRef>
              <c:f>'Building Projections'!$G$23:$N$23</c:f>
              <c:numCache>
                <c:formatCode>General</c:formatCode>
                <c:ptCount val="8"/>
                <c:pt idx="0">
                  <c:v>7.4686437845010639E-2</c:v>
                </c:pt>
                <c:pt idx="1">
                  <c:v>8.9629089574557189E-2</c:v>
                </c:pt>
                <c:pt idx="2">
                  <c:v>0.11143153280914476</c:v>
                </c:pt>
                <c:pt idx="3">
                  <c:v>0.14315847316548483</c:v>
                </c:pt>
                <c:pt idx="4">
                  <c:v>0.19120997529072631</c:v>
                </c:pt>
                <c:pt idx="5">
                  <c:v>0.26398624190817477</c:v>
                </c:pt>
                <c:pt idx="6">
                  <c:v>0.35545181955264299</c:v>
                </c:pt>
                <c:pt idx="7">
                  <c:v>0.47393337216346249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AA5-4765-AF0C-37F1378421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3209368"/>
        <c:axId val="1613216256"/>
      </c:scatterChart>
      <c:valAx>
        <c:axId val="16132093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3216256"/>
        <c:crosses val="autoZero"/>
        <c:crossBetween val="midCat"/>
      </c:valAx>
      <c:valAx>
        <c:axId val="1613216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32093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673893</xdr:colOff>
      <xdr:row>30</xdr:row>
      <xdr:rowOff>140493</xdr:rowOff>
    </xdr:from>
    <xdr:to>
      <xdr:col>6</xdr:col>
      <xdr:colOff>97630</xdr:colOff>
      <xdr:row>45</xdr:row>
      <xdr:rowOff>178593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ropbox%20(Energy%20Innovation)\India%20EPS\InputData%20UPDATE%20FOR%20INDIA\bldgs\BCEU\BAU%20Components%20Energy%20Us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ropbox%20(Energy%20Innovation)\Desktop\IESS_Version2.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out"/>
      <sheetName val="Building Projections"/>
      <sheetName val="Elec Use"/>
      <sheetName val="Elec Breakdown"/>
      <sheetName val="LPG, Kerosene Use"/>
      <sheetName val="Biomass Use"/>
      <sheetName val="Conversion Factors"/>
      <sheetName val="BCEU-urban-residential-heating"/>
      <sheetName val="BCEU-urban-residential-cooling"/>
      <sheetName val="BCEU-urban-residential-lighting"/>
      <sheetName val="BCEU-urban-residential-appl"/>
      <sheetName val="BCEU-urban-residential-other"/>
      <sheetName val="BCEU-rural-residential-heating"/>
      <sheetName val="BCEU-rural-residential-cooling"/>
      <sheetName val="BCEU-rural-residential-lighting"/>
      <sheetName val="BCEU-rural-residential-appl"/>
      <sheetName val="BCEU-rural-residential-other"/>
      <sheetName val="BCEU-commercial-heating"/>
      <sheetName val="BCEU-commercial-cooling"/>
      <sheetName val="BCEU-commercial-lighting"/>
      <sheetName val="BCEU-commercial-appl"/>
      <sheetName val="BCEU-commercial-oth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SS V2 Main Sheet"/>
      <sheetName val="Preferences"/>
      <sheetName val="Structure of the model"/>
      <sheetName val="I.a"/>
      <sheetName val="I.b"/>
      <sheetName val="I.c"/>
      <sheetName val="I.d"/>
      <sheetName val="I.e"/>
      <sheetName val="II"/>
      <sheetName val="III"/>
      <sheetName val="IV.a"/>
      <sheetName val="IV.b"/>
      <sheetName val="IV.c.1"/>
      <sheetName val="IV.c.2"/>
      <sheetName val="IV.d"/>
      <sheetName val="IV.e"/>
      <sheetName val="IV.f"/>
      <sheetName val="V.a"/>
      <sheetName val="V.b"/>
      <sheetName val="V.c"/>
      <sheetName val="V.d"/>
      <sheetName val="V.e"/>
      <sheetName val="VI"/>
      <sheetName val="VII.a"/>
      <sheetName val="VII.b"/>
      <sheetName val="VII.C"/>
      <sheetName val="VIII"/>
      <sheetName val="GDP"/>
      <sheetName val="IX"/>
      <sheetName val="X.a"/>
      <sheetName val="X.b"/>
      <sheetName val="XI"/>
      <sheetName val="XII.a"/>
      <sheetName val="XII.b"/>
      <sheetName val="XIII.a"/>
      <sheetName val="XV.a"/>
      <sheetName val="XV.b"/>
      <sheetName val="XV.c"/>
      <sheetName val="XVI"/>
      <sheetName val="XVII.a"/>
      <sheetName val="XVII.b"/>
      <sheetName val="XIV"/>
      <sheetName val="Intermediate output"/>
      <sheetName val="Charts"/>
      <sheetName val="Control"/>
      <sheetName val="Global assumptions"/>
      <sheetName val="2012 Baseline"/>
      <sheetName val="Dispatch"/>
      <sheetName val="2012"/>
      <sheetName val="2017"/>
      <sheetName val="2022"/>
      <sheetName val="2027"/>
      <sheetName val="2032"/>
      <sheetName val="2037"/>
      <sheetName val="2042"/>
      <sheetName val="2047"/>
      <sheetName val="Conversions"/>
      <sheetName val="Constants"/>
      <sheetName val="Land Use"/>
      <sheetName val="CostAbsolute"/>
      <sheetName val="Flow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indiaenergy.gov.in/iess/docs/IESS_Version3.xlsx" TargetMode="External"/><Relationship Id="rId2" Type="http://schemas.openxmlformats.org/officeDocument/2006/relationships/hyperlink" Target="http://indiaenergy.gov.in/iess/docs/Building%20Envelope-documentation.pdf" TargetMode="External"/><Relationship Id="rId1" Type="http://schemas.openxmlformats.org/officeDocument/2006/relationships/hyperlink" Target="http://indiaenergy.gov.in/iess/docs/Residential-Lighting_Appliances-documentation.pdf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://www.gbpn.org/sites/default/files/08.%20INDIA%20Baseline_TR_low.pdf" TargetMode="External"/><Relationship Id="rId4" Type="http://schemas.openxmlformats.org/officeDocument/2006/relationships/hyperlink" Target="http://www.moef.nic.in/downloads/public-information/Residentialpowerconsumption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3"/>
  <sheetViews>
    <sheetView tabSelected="1" topLeftCell="A15" workbookViewId="0">
      <selection activeCell="D26" sqref="D26"/>
    </sheetView>
  </sheetViews>
  <sheetFormatPr defaultRowHeight="14.45"/>
  <cols>
    <col min="2" max="2" width="83.5703125" customWidth="1"/>
    <col min="4" max="4" width="69.85546875" customWidth="1"/>
  </cols>
  <sheetData>
    <row r="1" spans="1:2">
      <c r="A1" s="1" t="s">
        <v>0</v>
      </c>
    </row>
    <row r="3" spans="1:2">
      <c r="A3" s="1" t="s">
        <v>1</v>
      </c>
      <c r="B3" s="2" t="s">
        <v>2</v>
      </c>
    </row>
    <row r="4" spans="1:2">
      <c r="B4" t="s">
        <v>3</v>
      </c>
    </row>
    <row r="5" spans="1:2">
      <c r="B5" s="3">
        <v>2023</v>
      </c>
    </row>
    <row r="6" spans="1:2">
      <c r="B6" t="s">
        <v>4</v>
      </c>
    </row>
    <row r="7" spans="1:2">
      <c r="B7" s="5" t="s">
        <v>5</v>
      </c>
    </row>
    <row r="8" spans="1:2">
      <c r="B8" t="s">
        <v>6</v>
      </c>
    </row>
    <row r="10" spans="1:2">
      <c r="B10" s="2" t="s">
        <v>7</v>
      </c>
    </row>
    <row r="11" spans="1:2">
      <c r="B11" t="s">
        <v>3</v>
      </c>
    </row>
    <row r="12" spans="1:2">
      <c r="B12" s="3">
        <v>2023</v>
      </c>
    </row>
    <row r="13" spans="1:2">
      <c r="B13" t="s">
        <v>8</v>
      </c>
    </row>
    <row r="14" spans="1:2">
      <c r="B14" s="5" t="s">
        <v>9</v>
      </c>
    </row>
    <row r="15" spans="1:2">
      <c r="B15" t="s">
        <v>10</v>
      </c>
    </row>
    <row r="16" spans="1:2">
      <c r="B16" t="s">
        <v>11</v>
      </c>
    </row>
    <row r="17" spans="2:4">
      <c r="B17" s="2" t="s">
        <v>12</v>
      </c>
      <c r="D17" s="2" t="s">
        <v>13</v>
      </c>
    </row>
    <row r="18" spans="2:4">
      <c r="B18" t="s">
        <v>3</v>
      </c>
      <c r="D18" t="s">
        <v>14</v>
      </c>
    </row>
    <row r="19" spans="2:4">
      <c r="B19" s="3">
        <v>2023</v>
      </c>
      <c r="D19" s="3" t="s">
        <v>15</v>
      </c>
    </row>
    <row r="20" spans="2:4">
      <c r="B20" t="s">
        <v>16</v>
      </c>
      <c r="D20" t="s">
        <v>17</v>
      </c>
    </row>
    <row r="21" spans="2:4" ht="15">
      <c r="B21" s="5" t="s">
        <v>18</v>
      </c>
      <c r="D21" s="5" t="s">
        <v>19</v>
      </c>
    </row>
    <row r="22" spans="2:4">
      <c r="B22" t="s">
        <v>20</v>
      </c>
    </row>
    <row r="24" spans="2:4">
      <c r="B24" s="2" t="s">
        <v>21</v>
      </c>
    </row>
    <row r="25" spans="2:4">
      <c r="B25" s="36" t="s">
        <v>22</v>
      </c>
    </row>
    <row r="27" spans="2:4">
      <c r="B27" s="2" t="s">
        <v>23</v>
      </c>
    </row>
    <row r="28" spans="2:4">
      <c r="B28" t="s">
        <v>24</v>
      </c>
    </row>
    <row r="29" spans="2:4">
      <c r="B29" s="3">
        <v>2008</v>
      </c>
    </row>
    <row r="30" spans="2:4">
      <c r="B30" t="s">
        <v>25</v>
      </c>
    </row>
    <row r="31" spans="2:4">
      <c r="B31" s="5" t="s">
        <v>26</v>
      </c>
    </row>
    <row r="32" spans="2:4">
      <c r="B32" t="s">
        <v>27</v>
      </c>
    </row>
    <row r="34" spans="1:2">
      <c r="B34" s="2" t="s">
        <v>28</v>
      </c>
    </row>
    <row r="35" spans="1:2">
      <c r="B35" t="s">
        <v>29</v>
      </c>
    </row>
    <row r="36" spans="1:2">
      <c r="B36" s="3">
        <v>2014</v>
      </c>
    </row>
    <row r="37" spans="1:2">
      <c r="B37" t="s">
        <v>30</v>
      </c>
    </row>
    <row r="38" spans="1:2">
      <c r="B38" s="5" t="s">
        <v>31</v>
      </c>
    </row>
    <row r="39" spans="1:2">
      <c r="B39" t="s">
        <v>32</v>
      </c>
    </row>
    <row r="41" spans="1:2">
      <c r="A41" s="1" t="s">
        <v>33</v>
      </c>
    </row>
    <row r="42" spans="1:2">
      <c r="A42" t="s">
        <v>34</v>
      </c>
    </row>
    <row r="43" spans="1:2">
      <c r="A43" t="s">
        <v>35</v>
      </c>
    </row>
    <row r="45" spans="1:2">
      <c r="A45" t="s">
        <v>36</v>
      </c>
    </row>
    <row r="46" spans="1:2">
      <c r="A46" t="s">
        <v>37</v>
      </c>
    </row>
    <row r="47" spans="1:2">
      <c r="A47" t="s">
        <v>38</v>
      </c>
    </row>
    <row r="48" spans="1:2">
      <c r="A48" t="s">
        <v>39</v>
      </c>
    </row>
    <row r="49" spans="1:1">
      <c r="A49" t="s">
        <v>40</v>
      </c>
    </row>
    <row r="51" spans="1:1">
      <c r="A51" t="s">
        <v>41</v>
      </c>
    </row>
    <row r="53" spans="1:1">
      <c r="A53" t="s">
        <v>42</v>
      </c>
    </row>
  </sheetData>
  <hyperlinks>
    <hyperlink ref="B7" r:id="rId1" xr:uid="{00000000-0004-0000-0000-000000000000}"/>
    <hyperlink ref="B14" r:id="rId2" xr:uid="{00000000-0004-0000-0000-000001000000}"/>
    <hyperlink ref="B21" r:id="rId3" xr:uid="{00000000-0004-0000-0000-000002000000}"/>
    <hyperlink ref="B31" r:id="rId4" xr:uid="{00000000-0004-0000-0000-000003000000}"/>
    <hyperlink ref="B38" r:id="rId5" xr:uid="{00000000-0004-0000-0000-000004000000}"/>
  </hyperlinks>
  <pageMargins left="0.7" right="0.7" top="0.75" bottom="0.75" header="0.3" footer="0.3"/>
  <pageSetup orientation="portrait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H37"/>
  <sheetViews>
    <sheetView workbookViewId="0">
      <selection activeCell="H41" sqref="H41"/>
    </sheetView>
  </sheetViews>
  <sheetFormatPr defaultColWidth="9.140625" defaultRowHeight="14.45"/>
  <cols>
    <col min="1" max="1" width="23.85546875" customWidth="1"/>
    <col min="2" max="2" width="12" customWidth="1"/>
    <col min="3" max="6" width="9.28515625" bestFit="1" customWidth="1"/>
    <col min="7" max="7" width="17.28515625" customWidth="1"/>
    <col min="8" max="8" width="14" customWidth="1"/>
    <col min="9" max="9" width="15.140625" customWidth="1"/>
    <col min="10" max="10" width="13.5703125" customWidth="1"/>
    <col min="11" max="11" width="12.85546875" customWidth="1"/>
    <col min="12" max="12" width="13" customWidth="1"/>
    <col min="13" max="13" width="13.5703125" customWidth="1"/>
    <col min="14" max="14" width="12.85546875" customWidth="1"/>
    <col min="15" max="15" width="12" bestFit="1" customWidth="1"/>
    <col min="16" max="40" width="9.28515625" bestFit="1" customWidth="1"/>
  </cols>
  <sheetData>
    <row r="1" spans="1:60">
      <c r="A1" s="12" t="s">
        <v>43</v>
      </c>
      <c r="B1" s="13"/>
      <c r="C1" s="13"/>
      <c r="D1" s="14"/>
      <c r="E1" s="13"/>
      <c r="F1" s="13"/>
      <c r="G1" s="13"/>
      <c r="H1" s="13"/>
      <c r="I1" s="13"/>
      <c r="J1" s="13"/>
      <c r="K1" s="13"/>
      <c r="L1" s="13"/>
      <c r="M1" s="13"/>
    </row>
    <row r="2" spans="1:60">
      <c r="A2" s="12"/>
      <c r="B2" s="13"/>
      <c r="C2" s="13"/>
      <c r="D2" s="14"/>
      <c r="E2" s="13"/>
      <c r="F2" s="13"/>
      <c r="G2" s="13"/>
      <c r="H2" s="13"/>
      <c r="I2" s="13"/>
      <c r="J2" s="13"/>
      <c r="K2" s="13"/>
      <c r="L2" s="13"/>
      <c r="M2" s="15" t="s">
        <v>44</v>
      </c>
    </row>
    <row r="3" spans="1:60" ht="15">
      <c r="A3" s="16"/>
      <c r="B3" s="16" t="s">
        <v>45</v>
      </c>
      <c r="C3" s="16" t="s">
        <v>46</v>
      </c>
      <c r="D3" s="17">
        <v>2020</v>
      </c>
      <c r="E3" s="17">
        <v>2022</v>
      </c>
      <c r="F3" s="17">
        <v>2023</v>
      </c>
      <c r="G3" s="17">
        <v>2027</v>
      </c>
      <c r="H3" s="17">
        <v>2032</v>
      </c>
      <c r="I3" s="17">
        <v>2037</v>
      </c>
      <c r="J3" s="17">
        <v>2042</v>
      </c>
      <c r="K3" s="17">
        <v>2047</v>
      </c>
      <c r="L3" s="17">
        <v>2050</v>
      </c>
      <c r="M3" s="17">
        <v>2055</v>
      </c>
      <c r="N3" s="17">
        <v>2060</v>
      </c>
      <c r="O3" s="17">
        <v>2065</v>
      </c>
      <c r="P3" s="17">
        <v>2070</v>
      </c>
      <c r="Q3" s="17"/>
      <c r="R3" s="18">
        <v>2065</v>
      </c>
    </row>
    <row r="4" spans="1:60" ht="15">
      <c r="A4" s="19"/>
      <c r="B4" s="20" t="s">
        <v>47</v>
      </c>
      <c r="C4" s="19"/>
      <c r="D4" s="21">
        <v>112.15989733333332</v>
      </c>
      <c r="E4" s="21">
        <v>119.89051238597743</v>
      </c>
      <c r="F4" s="21">
        <v>123.86955445555256</v>
      </c>
      <c r="G4" s="21">
        <v>140.51692744970799</v>
      </c>
      <c r="H4" s="21">
        <v>162.89153532043878</v>
      </c>
      <c r="I4" s="21">
        <v>186.75369742922874</v>
      </c>
      <c r="J4" s="21">
        <v>211.82321252343263</v>
      </c>
      <c r="K4" s="21">
        <v>238.10598826979472</v>
      </c>
      <c r="L4" s="21">
        <v>248.39925823886949</v>
      </c>
      <c r="M4" s="21">
        <v>264.79731670059425</v>
      </c>
      <c r="N4" s="21">
        <v>280.25103243586284</v>
      </c>
      <c r="O4" s="21">
        <v>294.55589995504101</v>
      </c>
      <c r="P4" s="21">
        <v>307.44985276301935</v>
      </c>
      <c r="Q4" s="21"/>
      <c r="R4" s="21"/>
    </row>
    <row r="5" spans="1:60" ht="15">
      <c r="A5" s="22"/>
      <c r="B5" s="22" t="s">
        <v>48</v>
      </c>
      <c r="C5" s="23"/>
      <c r="D5" s="24">
        <v>195.00987359999999</v>
      </c>
      <c r="E5" s="24">
        <v>197.37819601232101</v>
      </c>
      <c r="F5" s="24">
        <v>198.48987163024364</v>
      </c>
      <c r="G5" s="24">
        <v>202.38494931001969</v>
      </c>
      <c r="H5" s="24">
        <v>205.85713345257022</v>
      </c>
      <c r="I5" s="24">
        <v>207.47254138653551</v>
      </c>
      <c r="J5" s="24">
        <v>207.04441434819415</v>
      </c>
      <c r="K5" s="24">
        <v>204.75080839895011</v>
      </c>
      <c r="L5" s="24">
        <v>198.85635977819433</v>
      </c>
      <c r="M5" s="24">
        <v>188.02225380880682</v>
      </c>
      <c r="N5" s="24">
        <v>176.20505484514612</v>
      </c>
      <c r="O5" s="24">
        <v>163.55569918533783</v>
      </c>
      <c r="P5" s="24">
        <v>150.20290863538057</v>
      </c>
      <c r="Q5" s="24"/>
      <c r="R5" s="24"/>
    </row>
    <row r="7" spans="1:60" ht="15">
      <c r="A7" s="1" t="s">
        <v>49</v>
      </c>
    </row>
    <row r="8" spans="1:60" ht="15">
      <c r="B8">
        <v>2020</v>
      </c>
      <c r="C8">
        <v>2021</v>
      </c>
      <c r="D8">
        <v>2014</v>
      </c>
      <c r="E8">
        <v>2015</v>
      </c>
      <c r="F8">
        <v>2016</v>
      </c>
      <c r="G8">
        <v>2017</v>
      </c>
      <c r="H8">
        <v>2018</v>
      </c>
      <c r="I8">
        <v>2019</v>
      </c>
      <c r="J8">
        <v>2020</v>
      </c>
      <c r="K8">
        <v>2021</v>
      </c>
      <c r="L8">
        <v>2022</v>
      </c>
      <c r="M8">
        <v>2023</v>
      </c>
      <c r="N8">
        <v>2024</v>
      </c>
      <c r="O8">
        <v>2025</v>
      </c>
      <c r="P8">
        <v>2026</v>
      </c>
      <c r="Q8">
        <v>2027</v>
      </c>
      <c r="R8">
        <v>2028</v>
      </c>
      <c r="S8">
        <v>2029</v>
      </c>
      <c r="T8">
        <v>2030</v>
      </c>
      <c r="U8">
        <v>2031</v>
      </c>
      <c r="V8">
        <v>2032</v>
      </c>
      <c r="W8">
        <v>2033</v>
      </c>
      <c r="X8">
        <v>2034</v>
      </c>
      <c r="Y8">
        <v>2035</v>
      </c>
      <c r="Z8">
        <v>2036</v>
      </c>
      <c r="AA8">
        <v>2037</v>
      </c>
      <c r="AB8">
        <v>2038</v>
      </c>
      <c r="AC8">
        <v>2039</v>
      </c>
      <c r="AD8">
        <v>2040</v>
      </c>
      <c r="AE8">
        <v>2041</v>
      </c>
      <c r="AF8">
        <v>2042</v>
      </c>
      <c r="AG8">
        <v>2043</v>
      </c>
      <c r="AH8">
        <v>2044</v>
      </c>
      <c r="AI8">
        <v>2045</v>
      </c>
      <c r="AJ8">
        <v>2046</v>
      </c>
      <c r="AK8">
        <v>2047</v>
      </c>
      <c r="AL8">
        <v>2048</v>
      </c>
      <c r="AM8">
        <v>2049</v>
      </c>
      <c r="AN8">
        <v>2050</v>
      </c>
      <c r="AO8">
        <v>2051</v>
      </c>
      <c r="AP8">
        <v>2052</v>
      </c>
      <c r="AQ8">
        <v>2053</v>
      </c>
      <c r="AR8">
        <v>2054</v>
      </c>
      <c r="AS8">
        <v>2055</v>
      </c>
      <c r="AT8">
        <v>2056</v>
      </c>
      <c r="AU8">
        <v>2057</v>
      </c>
      <c r="AV8">
        <v>2058</v>
      </c>
      <c r="AW8">
        <v>2059</v>
      </c>
      <c r="AX8">
        <v>2060</v>
      </c>
      <c r="AY8">
        <v>2061</v>
      </c>
      <c r="AZ8">
        <v>2062</v>
      </c>
      <c r="BA8">
        <v>2063</v>
      </c>
      <c r="BB8">
        <v>2064</v>
      </c>
      <c r="BC8">
        <v>2065</v>
      </c>
      <c r="BD8">
        <v>2066</v>
      </c>
      <c r="BE8">
        <v>2067</v>
      </c>
      <c r="BF8">
        <v>2068</v>
      </c>
      <c r="BG8">
        <v>2069</v>
      </c>
      <c r="BH8">
        <v>2070</v>
      </c>
    </row>
    <row r="9" spans="1:60" ht="15">
      <c r="A9" t="s">
        <v>50</v>
      </c>
      <c r="B9" s="25">
        <f>TREND($D4:$E4,$D$3:$E$3,B$8)</f>
        <v>112.1598973333339</v>
      </c>
      <c r="C9" s="25">
        <f>TREND($D4:$E4,$D$3:$E$3,C$8)</f>
        <v>116.02520485965579</v>
      </c>
      <c r="D9" s="25">
        <f>TREND($D4:$E4,$D$3:$E$3,D$8)</f>
        <v>88.968052175401681</v>
      </c>
      <c r="E9" s="25">
        <f>TREND($D4:$E4,$D$3:$E$3,E$8)</f>
        <v>92.833359701723566</v>
      </c>
      <c r="F9" s="25">
        <f>TREND($D4:$E4,$D$3:$E$3,F$8)</f>
        <v>96.698667228045451</v>
      </c>
      <c r="G9" s="25">
        <f>TREND($D4:$E4,$D$3:$E$3,G$8)</f>
        <v>100.56397475436734</v>
      </c>
      <c r="H9" s="25">
        <f>TREND($E4:$F4,$E$3:$F$3,H$8)</f>
        <v>103.9743441076771</v>
      </c>
      <c r="I9" s="25">
        <f>TREND($E4:$F4,$E$3:$F$3,I$8)</f>
        <v>107.95338617725247</v>
      </c>
      <c r="J9" s="21">
        <v>112.15989733333332</v>
      </c>
      <c r="K9" s="25">
        <f>TREND($E4:$F4,$E$3:$F$3,K$8)</f>
        <v>115.9114703164023</v>
      </c>
      <c r="L9" s="21">
        <v>119.89051238597743</v>
      </c>
      <c r="M9" s="21">
        <v>123.86955445555256</v>
      </c>
      <c r="N9" s="25">
        <f>TREND($F4:$G4,$F$3:$G$3,N$8)</f>
        <v>128.03139770409143</v>
      </c>
      <c r="O9" s="25">
        <f t="shared" ref="O9:P9" si="0">TREND($F4:$G4,$F$3:$G$3,O$8)</f>
        <v>132.19324095263073</v>
      </c>
      <c r="P9" s="25">
        <f t="shared" si="0"/>
        <v>136.35508420116821</v>
      </c>
      <c r="Q9" s="25">
        <f>TREND($F4:$H4,$F$3:$H$3,Q$8)</f>
        <v>140.97884629076725</v>
      </c>
      <c r="R9" s="25">
        <f>TREND($G4:$H4,$G$3:$H$3,R$8)</f>
        <v>144.99184902385241</v>
      </c>
      <c r="S9" s="25">
        <f t="shared" ref="S9:U9" si="1">TREND($G4:$H4,$G$3:$H$3,S$8)</f>
        <v>149.46677059799913</v>
      </c>
      <c r="T9" s="25">
        <f t="shared" si="1"/>
        <v>153.94169217214585</v>
      </c>
      <c r="U9" s="25">
        <f t="shared" si="1"/>
        <v>158.41661374629075</v>
      </c>
      <c r="V9" s="25">
        <f>TREND($H4:$I4,$H$3:$I$3,V$8)</f>
        <v>162.89153532043747</v>
      </c>
      <c r="W9" s="25">
        <f>TREND($H4:$I4,$H$3:$I$3,W$8)</f>
        <v>167.66396774219538</v>
      </c>
      <c r="X9" s="25">
        <f t="shared" ref="X9:Z9" si="2">TREND($H4:$I4,$H$3:$I$3,X$8)</f>
        <v>172.43640016395329</v>
      </c>
      <c r="Y9" s="25">
        <f t="shared" si="2"/>
        <v>177.20883258571121</v>
      </c>
      <c r="Z9" s="25">
        <f t="shared" si="2"/>
        <v>181.98126500746912</v>
      </c>
      <c r="AA9" s="25">
        <f>TREND($I4:$J4,$I$3:$J$3,AA$8)</f>
        <v>186.75369742923067</v>
      </c>
      <c r="AB9" s="25">
        <f>TREND($I4:$J4,$I$3:$J$3,AB$8)</f>
        <v>191.76760044807088</v>
      </c>
      <c r="AC9" s="25">
        <f t="shared" ref="AC9:AE9" si="3">TREND($I4:$J4,$I$3:$J$3,AC$8)</f>
        <v>196.78150346691109</v>
      </c>
      <c r="AD9" s="25">
        <f t="shared" si="3"/>
        <v>201.79540648575312</v>
      </c>
      <c r="AE9" s="25">
        <f t="shared" si="3"/>
        <v>206.80930950459333</v>
      </c>
      <c r="AF9" s="25">
        <f>TREND($J4:$K4,$J$3:$K$3,AF$8)</f>
        <v>211.82321252343354</v>
      </c>
      <c r="AG9" s="25">
        <f>TREND($J4:$K4,$J$3:$K$3,AG$8)</f>
        <v>217.0797676727052</v>
      </c>
      <c r="AH9" s="25">
        <f t="shared" ref="AH9:AJ9" si="4">TREND($J4:$K4,$J$3:$K$3,AH$8)</f>
        <v>222.33632282197686</v>
      </c>
      <c r="AI9" s="25">
        <f t="shared" si="4"/>
        <v>227.59287797125035</v>
      </c>
      <c r="AJ9" s="25">
        <f t="shared" si="4"/>
        <v>232.84943312052201</v>
      </c>
      <c r="AK9" s="25">
        <f>TREND($K4:$L4,$K$3:$L$3,AK$8)</f>
        <v>238.10598826979458</v>
      </c>
      <c r="AL9" s="25">
        <f>TREND($K4:$L4,$K$3:$L$3,AL$8)</f>
        <v>241.53707825948641</v>
      </c>
      <c r="AM9" s="25">
        <f>TREND($K4:$L4,$K$3:$L$3,AM$8)</f>
        <v>244.96816824917823</v>
      </c>
      <c r="AN9" s="25">
        <f>TREND($K4:$L4,$K$3:$L$3,AN$8)</f>
        <v>248.39925823886915</v>
      </c>
      <c r="AO9" s="25">
        <f>TREND($L4:$M4,$L$3:$M$3,AO$8)</f>
        <v>251.67886993121465</v>
      </c>
      <c r="AP9" s="25">
        <f t="shared" ref="AP9:AT9" si="5">TREND($L4:$M4,$L$3:$M$3,AP$8)</f>
        <v>254.95848162356015</v>
      </c>
      <c r="AQ9" s="25">
        <f t="shared" si="5"/>
        <v>258.23809331590473</v>
      </c>
      <c r="AR9" s="25">
        <f t="shared" si="5"/>
        <v>261.51770500824932</v>
      </c>
      <c r="AS9" s="21">
        <v>264.79731670059425</v>
      </c>
      <c r="AT9" s="25">
        <f>TREND($M4:$N4,$M$3:$N$3,AT$8)</f>
        <v>267.88805984764804</v>
      </c>
      <c r="AU9" s="25">
        <f t="shared" ref="AU9:AY9" si="6">TREND($M4:$N4,$M$3:$N$3,AU$8)</f>
        <v>270.97880299470216</v>
      </c>
      <c r="AV9" s="25">
        <f t="shared" si="6"/>
        <v>274.06954614175538</v>
      </c>
      <c r="AW9" s="25">
        <f t="shared" si="6"/>
        <v>277.16028928880951</v>
      </c>
      <c r="AX9" s="21">
        <v>280.25103243586284</v>
      </c>
      <c r="AY9" s="25">
        <f>TREND($N4:$O4,$N$3:$O$3,AY$8)</f>
        <v>283.11200593969807</v>
      </c>
      <c r="AZ9" s="25">
        <f t="shared" ref="AZ9:BD9" si="7">TREND($N4:$O4,$N$3:$O$3,AZ$8)</f>
        <v>285.97297944353431</v>
      </c>
      <c r="BA9" s="25">
        <f t="shared" si="7"/>
        <v>288.83395294736965</v>
      </c>
      <c r="BB9" s="25">
        <f t="shared" si="7"/>
        <v>291.69492645120499</v>
      </c>
      <c r="BC9" s="21">
        <v>294.55589995504101</v>
      </c>
      <c r="BD9" s="25">
        <f>TREND($O4:$P4,$O$3:$P$3,BD$8)</f>
        <v>297.13469051663651</v>
      </c>
      <c r="BE9" s="25">
        <f t="shared" ref="BE9:BG9" si="8">TREND($O4:$P4,$O$3:$P$3,BE$8)</f>
        <v>299.71348107823178</v>
      </c>
      <c r="BF9" s="25">
        <f t="shared" si="8"/>
        <v>302.29227163982796</v>
      </c>
      <c r="BG9" s="25">
        <f t="shared" si="8"/>
        <v>304.87106220142323</v>
      </c>
      <c r="BH9" s="21">
        <v>307.44985276301935</v>
      </c>
    </row>
    <row r="10" spans="1:60" ht="15">
      <c r="A10" t="s">
        <v>51</v>
      </c>
      <c r="B10" s="4">
        <f>B9*10^6</f>
        <v>112159897.33333389</v>
      </c>
      <c r="C10" s="4">
        <f t="shared" ref="C10:BH10" si="9">C9*10^6</f>
        <v>116025204.85965578</v>
      </c>
      <c r="D10" s="4">
        <f t="shared" si="9"/>
        <v>88968052.175401688</v>
      </c>
      <c r="E10" s="4">
        <f t="shared" si="9"/>
        <v>92833359.701723561</v>
      </c>
      <c r="F10" s="4">
        <f t="shared" si="9"/>
        <v>96698667.228045449</v>
      </c>
      <c r="G10" s="4">
        <f t="shared" si="9"/>
        <v>100563974.75436734</v>
      </c>
      <c r="H10" s="4">
        <f t="shared" si="9"/>
        <v>103974344.1076771</v>
      </c>
      <c r="I10" s="4">
        <f t="shared" si="9"/>
        <v>107953386.17725247</v>
      </c>
      <c r="J10" s="4">
        <f t="shared" si="9"/>
        <v>112159897.33333331</v>
      </c>
      <c r="K10" s="4">
        <f t="shared" si="9"/>
        <v>115911470.3164023</v>
      </c>
      <c r="L10" s="4">
        <f t="shared" si="9"/>
        <v>119890512.38597743</v>
      </c>
      <c r="M10" s="4">
        <f t="shared" si="9"/>
        <v>123869554.45555256</v>
      </c>
      <c r="N10" s="4">
        <f t="shared" si="9"/>
        <v>128031397.70409143</v>
      </c>
      <c r="O10" s="4">
        <f t="shared" si="9"/>
        <v>132193240.95263073</v>
      </c>
      <c r="P10" s="4">
        <f t="shared" si="9"/>
        <v>136355084.20116821</v>
      </c>
      <c r="Q10" s="4">
        <f t="shared" si="9"/>
        <v>140978846.29076725</v>
      </c>
      <c r="R10" s="4">
        <f t="shared" si="9"/>
        <v>144991849.02385241</v>
      </c>
      <c r="S10" s="4">
        <f t="shared" si="9"/>
        <v>149466770.59799913</v>
      </c>
      <c r="T10" s="4">
        <f t="shared" si="9"/>
        <v>153941692.17214584</v>
      </c>
      <c r="U10" s="4">
        <f t="shared" si="9"/>
        <v>158416613.74629074</v>
      </c>
      <c r="V10" s="4">
        <f t="shared" si="9"/>
        <v>162891535.32043746</v>
      </c>
      <c r="W10" s="4">
        <f t="shared" si="9"/>
        <v>167663967.74219537</v>
      </c>
      <c r="X10" s="4">
        <f t="shared" si="9"/>
        <v>172436400.1639533</v>
      </c>
      <c r="Y10" s="4">
        <f t="shared" si="9"/>
        <v>177208832.58571121</v>
      </c>
      <c r="Z10" s="4">
        <f t="shared" si="9"/>
        <v>181981265.00746912</v>
      </c>
      <c r="AA10" s="4">
        <f t="shared" si="9"/>
        <v>186753697.42923066</v>
      </c>
      <c r="AB10" s="4">
        <f t="shared" si="9"/>
        <v>191767600.44807088</v>
      </c>
      <c r="AC10" s="4">
        <f t="shared" si="9"/>
        <v>196781503.46691108</v>
      </c>
      <c r="AD10" s="4">
        <f t="shared" si="9"/>
        <v>201795406.48575312</v>
      </c>
      <c r="AE10" s="4">
        <f t="shared" si="9"/>
        <v>206809309.50459334</v>
      </c>
      <c r="AF10" s="4">
        <f t="shared" si="9"/>
        <v>211823212.52343354</v>
      </c>
      <c r="AG10" s="4">
        <f t="shared" si="9"/>
        <v>217079767.6727052</v>
      </c>
      <c r="AH10" s="4">
        <f t="shared" si="9"/>
        <v>222336322.82197687</v>
      </c>
      <c r="AI10" s="4">
        <f t="shared" si="9"/>
        <v>227592877.97125036</v>
      </c>
      <c r="AJ10" s="4">
        <f t="shared" si="9"/>
        <v>232849433.12052202</v>
      </c>
      <c r="AK10" s="4">
        <f t="shared" si="9"/>
        <v>238105988.26979458</v>
      </c>
      <c r="AL10" s="4">
        <f t="shared" si="9"/>
        <v>241537078.25948641</v>
      </c>
      <c r="AM10" s="4">
        <f t="shared" si="9"/>
        <v>244968168.24917823</v>
      </c>
      <c r="AN10" s="4">
        <f t="shared" si="9"/>
        <v>248399258.23886916</v>
      </c>
      <c r="AO10" s="4">
        <f t="shared" si="9"/>
        <v>251678869.93121466</v>
      </c>
      <c r="AP10" s="4">
        <f t="shared" si="9"/>
        <v>254958481.62356016</v>
      </c>
      <c r="AQ10" s="4">
        <f t="shared" si="9"/>
        <v>258238093.31590474</v>
      </c>
      <c r="AR10" s="4">
        <f t="shared" si="9"/>
        <v>261517705.00824931</v>
      </c>
      <c r="AS10" s="4">
        <f t="shared" si="9"/>
        <v>264797316.70059425</v>
      </c>
      <c r="AT10" s="4">
        <f t="shared" si="9"/>
        <v>267888059.84764802</v>
      </c>
      <c r="AU10" s="4">
        <f t="shared" si="9"/>
        <v>270978802.99470216</v>
      </c>
      <c r="AV10" s="4">
        <f t="shared" si="9"/>
        <v>274069546.1417554</v>
      </c>
      <c r="AW10" s="4">
        <f t="shared" si="9"/>
        <v>277160289.28880954</v>
      </c>
      <c r="AX10" s="4">
        <f t="shared" si="9"/>
        <v>280251032.43586284</v>
      </c>
      <c r="AY10" s="4">
        <f t="shared" si="9"/>
        <v>283112005.93969804</v>
      </c>
      <c r="AZ10" s="4">
        <f t="shared" si="9"/>
        <v>285972979.44353431</v>
      </c>
      <c r="BA10" s="4">
        <f t="shared" si="9"/>
        <v>288833952.94736964</v>
      </c>
      <c r="BB10" s="4">
        <f t="shared" si="9"/>
        <v>291694926.45120502</v>
      </c>
      <c r="BC10" s="4">
        <f t="shared" si="9"/>
        <v>294555899.95504099</v>
      </c>
      <c r="BD10" s="4">
        <f t="shared" si="9"/>
        <v>297134690.51663649</v>
      </c>
      <c r="BE10" s="4">
        <f t="shared" si="9"/>
        <v>299713481.07823175</v>
      </c>
      <c r="BF10" s="4">
        <f t="shared" si="9"/>
        <v>302292271.63982797</v>
      </c>
      <c r="BG10" s="4">
        <f t="shared" si="9"/>
        <v>304871062.20142323</v>
      </c>
      <c r="BH10" s="4">
        <f t="shared" si="9"/>
        <v>307449852.76301932</v>
      </c>
    </row>
    <row r="11" spans="1:60" ht="15">
      <c r="A11" t="s">
        <v>52</v>
      </c>
      <c r="B11" s="25"/>
      <c r="C11" s="4">
        <f>C10-B10</f>
        <v>3865307.526321888</v>
      </c>
      <c r="D11" s="4">
        <f t="shared" ref="D11" si="10">D10-C10</f>
        <v>-27057152.684254095</v>
      </c>
      <c r="E11" s="4">
        <f t="shared" ref="E11" si="11">E10-D10</f>
        <v>3865307.5263218731</v>
      </c>
      <c r="F11" s="4">
        <f t="shared" ref="F11" si="12">F10-E10</f>
        <v>3865307.526321888</v>
      </c>
      <c r="G11" s="4">
        <f t="shared" ref="G11" si="13">G10-F10</f>
        <v>3865307.526321888</v>
      </c>
      <c r="H11" s="4">
        <f t="shared" ref="H11" si="14">H10-G10</f>
        <v>3410369.3533097655</v>
      </c>
      <c r="I11" s="4">
        <f t="shared" ref="I11" si="15">I10-H10</f>
        <v>3979042.0695753694</v>
      </c>
      <c r="J11" s="4">
        <f t="shared" ref="J11" si="16">J10-I10</f>
        <v>4206511.156080842</v>
      </c>
      <c r="K11" s="4">
        <f t="shared" ref="K11" si="17">K10-J10</f>
        <v>3751572.9830689877</v>
      </c>
      <c r="L11" s="4">
        <f t="shared" ref="L11" si="18">L10-K10</f>
        <v>3979042.0695751309</v>
      </c>
      <c r="M11" s="4">
        <f>M10-L10</f>
        <v>3979042.0695751309</v>
      </c>
      <c r="N11" s="4">
        <f t="shared" ref="N11" si="19">N10-M10</f>
        <v>4161843.2485388666</v>
      </c>
      <c r="O11" s="4">
        <f t="shared" ref="O11" si="20">O10-N10</f>
        <v>4161843.2485392988</v>
      </c>
      <c r="P11" s="4">
        <f t="shared" ref="P11" si="21">P10-O10</f>
        <v>4161843.2485374808</v>
      </c>
      <c r="Q11" s="4">
        <f t="shared" ref="Q11" si="22">Q10-P10</f>
        <v>4623762.0895990431</v>
      </c>
      <c r="R11" s="4">
        <f>R10-Q10</f>
        <v>4013002.7330851555</v>
      </c>
      <c r="S11" s="4">
        <f t="shared" ref="S11" si="23">S10-R10</f>
        <v>4474921.5741467178</v>
      </c>
      <c r="T11" s="4">
        <f t="shared" ref="T11" si="24">T10-S10</f>
        <v>4474921.5741467178</v>
      </c>
      <c r="U11" s="4">
        <f t="shared" ref="U11" si="25">U10-T10</f>
        <v>4474921.5741448998</v>
      </c>
      <c r="V11" s="4">
        <f t="shared" ref="V11" si="26">V10-U10</f>
        <v>4474921.5741467178</v>
      </c>
      <c r="W11" s="4">
        <f t="shared" ref="W11" si="27">W10-V10</f>
        <v>4772432.4217579067</v>
      </c>
      <c r="X11" s="4">
        <f t="shared" ref="X11" si="28">X10-W10</f>
        <v>4772432.4217579365</v>
      </c>
      <c r="Y11" s="4">
        <f t="shared" ref="Y11" si="29">Y10-X10</f>
        <v>4772432.4217579067</v>
      </c>
      <c r="Z11" s="4">
        <f t="shared" ref="Z11" si="30">Z10-Y10</f>
        <v>4772432.4217579067</v>
      </c>
      <c r="AA11" s="4">
        <f t="shared" ref="AA11" si="31">AA10-Z10</f>
        <v>4772432.4217615426</v>
      </c>
      <c r="AB11" s="4">
        <f t="shared" ref="AB11" si="32">AB10-AA10</f>
        <v>5013903.0188402236</v>
      </c>
      <c r="AC11" s="4">
        <f t="shared" ref="AC11" si="33">AC10-AB10</f>
        <v>5013903.0188401937</v>
      </c>
      <c r="AD11" s="4">
        <f t="shared" ref="AD11" si="34">AD10-AC10</f>
        <v>5013903.0188420415</v>
      </c>
      <c r="AE11" s="4">
        <f t="shared" ref="AE11" si="35">AE10-AD10</f>
        <v>5013903.0188402236</v>
      </c>
      <c r="AF11" s="4">
        <f t="shared" ref="AF11" si="36">AF10-AE10</f>
        <v>5013903.0188401937</v>
      </c>
      <c r="AG11" s="4">
        <f t="shared" ref="AG11" si="37">AG10-AF10</f>
        <v>5256555.149271667</v>
      </c>
      <c r="AH11" s="4">
        <f t="shared" ref="AH11" si="38">AH10-AG10</f>
        <v>5256555.149271667</v>
      </c>
      <c r="AI11" s="4">
        <f t="shared" ref="AI11" si="39">AI10-AH10</f>
        <v>5256555.1492734849</v>
      </c>
      <c r="AJ11" s="4">
        <f t="shared" ref="AJ11" si="40">AJ10-AI10</f>
        <v>5256555.149271667</v>
      </c>
      <c r="AK11" s="4">
        <f t="shared" ref="AK11" si="41">AK10-AJ10</f>
        <v>5256555.1492725611</v>
      </c>
      <c r="AL11" s="4">
        <f t="shared" ref="AL11" si="42">AL10-AK10</f>
        <v>3431089.9896918237</v>
      </c>
      <c r="AM11" s="4">
        <f t="shared" ref="AM11" si="43">AM10-AL10</f>
        <v>3431089.9896918237</v>
      </c>
      <c r="AN11" s="4">
        <f t="shared" ref="AN11" si="44">AN10-AM10</f>
        <v>3431089.9896909297</v>
      </c>
      <c r="AO11" s="4">
        <f t="shared" ref="AO11" si="45">AO10-AN10</f>
        <v>3279611.6923455</v>
      </c>
      <c r="AP11" s="4">
        <f t="shared" ref="AP11" si="46">AP10-AO10</f>
        <v>3279611.6923455</v>
      </c>
      <c r="AQ11" s="4">
        <f t="shared" ref="AQ11" si="47">AQ10-AP10</f>
        <v>3279611.6923445761</v>
      </c>
      <c r="AR11" s="4">
        <f t="shared" ref="AR11" si="48">AR10-AQ10</f>
        <v>3279611.6923445761</v>
      </c>
      <c r="AS11" s="4">
        <f t="shared" ref="AS11" si="49">AS10-AR10</f>
        <v>3279611.6923449337</v>
      </c>
      <c r="AT11" s="4">
        <f t="shared" ref="AT11" si="50">AT10-AS10</f>
        <v>3090743.1470537782</v>
      </c>
      <c r="AU11" s="4">
        <f t="shared" ref="AU11" si="51">AU10-AT10</f>
        <v>3090743.1470541358</v>
      </c>
      <c r="AV11" s="4">
        <f t="shared" ref="AV11" si="52">AV10-AU10</f>
        <v>3090743.1470532417</v>
      </c>
      <c r="AW11" s="4">
        <f t="shared" ref="AW11" si="53">AW10-AV10</f>
        <v>3090743.1470541358</v>
      </c>
      <c r="AX11" s="4">
        <f t="shared" ref="AX11" si="54">AX10-AW10</f>
        <v>3090743.1470533013</v>
      </c>
      <c r="AY11" s="4">
        <f t="shared" ref="AY11" si="55">AY10-AX10</f>
        <v>2860973.5038352013</v>
      </c>
      <c r="AZ11" s="4">
        <f t="shared" ref="AZ11" si="56">AZ10-AY10</f>
        <v>2860973.5038362741</v>
      </c>
      <c r="BA11" s="4">
        <f t="shared" ref="BA11" si="57">BA10-AZ10</f>
        <v>2860973.5038353205</v>
      </c>
      <c r="BB11" s="4">
        <f t="shared" ref="BB11" si="58">BB10-BA10</f>
        <v>2860973.5038353801</v>
      </c>
      <c r="BC11" s="4">
        <f t="shared" ref="BC11" si="59">BC10-BB10</f>
        <v>2860973.5038359761</v>
      </c>
      <c r="BD11" s="4">
        <f t="shared" ref="BD11" si="60">BD10-BC10</f>
        <v>2578790.5615954995</v>
      </c>
      <c r="BE11" s="4">
        <f t="shared" ref="BE11" si="61">BE10-BD10</f>
        <v>2578790.5615952611</v>
      </c>
      <c r="BF11" s="4">
        <f t="shared" ref="BF11" si="62">BF10-BE10</f>
        <v>2578790.5615962148</v>
      </c>
      <c r="BG11" s="4">
        <f t="shared" ref="BG11" si="63">BG10-BF10</f>
        <v>2578790.5615952611</v>
      </c>
      <c r="BH11" s="4">
        <f t="shared" ref="BH11" si="64">BH10-BG10</f>
        <v>2578790.5615960956</v>
      </c>
    </row>
    <row r="12" spans="1:60" ht="15"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</row>
    <row r="13" spans="1:60" ht="15">
      <c r="A13" t="s">
        <v>53</v>
      </c>
      <c r="B13" s="25">
        <f>TREND($D5:$E5,$D$3:$E$3,B$8)</f>
        <v>195.00987359999999</v>
      </c>
      <c r="C13" s="25">
        <f>TREND($D5:$E5,$D$3:$E$3,C$8)</f>
        <v>196.19403480616029</v>
      </c>
      <c r="D13" s="25">
        <f>TREND($D5:$E5,$D$3:$E$3,D$8)</f>
        <v>187.90490636303684</v>
      </c>
      <c r="E13" s="25">
        <f>TREND($D5:$E5,$D$3:$E$3,E$8)</f>
        <v>189.0890675691976</v>
      </c>
      <c r="F13" s="25">
        <f>TREND($D5:$E5,$D$3:$E$3,F$8)</f>
        <v>190.27322877535789</v>
      </c>
      <c r="G13" s="25">
        <f>TREND($D5:$E5,$D$3:$E$3,G$8)</f>
        <v>191.45738998151819</v>
      </c>
      <c r="H13" s="25">
        <f>TREND($E5:$F5,$E$3:$F$3,H$8)</f>
        <v>192.93149354063053</v>
      </c>
      <c r="I13" s="25">
        <f>TREND($E5:$F5,$E$3:$F$3,I$8)</f>
        <v>194.04316915855316</v>
      </c>
      <c r="J13" s="25">
        <f>TREND($E5:$F5,$E$3:$F$3,J$8)</f>
        <v>195.15484477647578</v>
      </c>
      <c r="K13" s="25">
        <f>TREND($E5:$F5,$E$3:$F$3,K$8)</f>
        <v>196.26652039439841</v>
      </c>
      <c r="L13" s="25">
        <f>TREND($E5:$F5,$E$3:$F$3,L$8)</f>
        <v>197.37819601232104</v>
      </c>
      <c r="M13" s="25">
        <f>TREND($F5:$H5,$F$3:$H$3,M$8)</f>
        <v>198.71883277076313</v>
      </c>
      <c r="N13" s="25">
        <f>TREND($F5:$H5,$F$3:$H$3,N$8)</f>
        <v>199.5323293923434</v>
      </c>
      <c r="O13" s="25">
        <f>TREND($F5:$H5,$F$3:$H$3,O$8)</f>
        <v>200.34582601392367</v>
      </c>
      <c r="P13" s="25">
        <f>TREND($F5:$H5,$F$3:$H$3,P$8)</f>
        <v>201.15932263550417</v>
      </c>
      <c r="Q13" s="25">
        <f>TREND($F5:$H5,$F$3:$H$3,Q$8)</f>
        <v>201.97281925708444</v>
      </c>
      <c r="R13" s="25">
        <f>TREND($H5:$I5,$H$3:$I$3,R$8)</f>
        <v>204.56480710539802</v>
      </c>
      <c r="S13" s="25">
        <f>TREND($H5:$I5,$H$3:$I$3,S$8)</f>
        <v>204.88788869219104</v>
      </c>
      <c r="T13" s="25">
        <f>TREND($H5:$I5,$H$3:$I$3,T$8)</f>
        <v>205.21097027898418</v>
      </c>
      <c r="U13" s="25">
        <f>TREND($H5:$I5,$H$3:$I$3,U$8)</f>
        <v>205.5340518657772</v>
      </c>
      <c r="V13" s="25">
        <f>TREND($H5:$I5,$H$3:$I$3,V$8)</f>
        <v>205.85713345257022</v>
      </c>
      <c r="W13" s="25">
        <f>TREND($I5:$J5,$I$3:$J$3,W$8)</f>
        <v>207.81504301720861</v>
      </c>
      <c r="X13" s="25">
        <f>TREND($I5:$J5,$I$3:$J$3,X$8)</f>
        <v>207.72941760954035</v>
      </c>
      <c r="Y13" s="25">
        <f>TREND($I5:$J5,$I$3:$J$3,Y$8)</f>
        <v>207.64379220187206</v>
      </c>
      <c r="Z13" s="25">
        <f>TREND($I5:$J5,$I$3:$J$3,Z$8)</f>
        <v>207.5581667942038</v>
      </c>
      <c r="AA13" s="25">
        <f>TREND($I5:$J5,$I$3:$J$3,AA$8)</f>
        <v>207.47254138653551</v>
      </c>
      <c r="AB13" s="25">
        <f>TREND($J5:$K5,$J$3:$K$3,AB$8)</f>
        <v>208.8792991075893</v>
      </c>
      <c r="AC13" s="25">
        <f>TREND($J5:$K5,$J$3:$K$3,AC$8)</f>
        <v>208.4205779177405</v>
      </c>
      <c r="AD13" s="25">
        <f>TREND($J5:$K5,$J$3:$K$3,AD$8)</f>
        <v>207.9618567278917</v>
      </c>
      <c r="AE13" s="25">
        <f>TREND($J5:$K5,$J$3:$K$3,AE$8)</f>
        <v>207.5031355380429</v>
      </c>
      <c r="AF13" s="25">
        <f>TREND($J5:$K5,$J$3:$K$3,AF$8)</f>
        <v>207.0444143481941</v>
      </c>
      <c r="AG13" s="25">
        <f>TREND($K5:$L5,$K$3:$L$3,AG$8)</f>
        <v>212.61007322662408</v>
      </c>
      <c r="AH13" s="25">
        <f>TREND($K5:$L5,$K$3:$L$3,AH$8)</f>
        <v>210.6452570197057</v>
      </c>
      <c r="AI13" s="25">
        <f>TREND($K5:$L5,$K$3:$L$3,AI$8)</f>
        <v>208.68044081278686</v>
      </c>
      <c r="AJ13" s="25">
        <f>TREND($K5:$L5,$K$3:$L$3,AJ$8)</f>
        <v>206.71562460586847</v>
      </c>
      <c r="AK13" s="25">
        <f>TREND($K5:$L5,$K$3:$L$3,AK$8)</f>
        <v>204.75080839894963</v>
      </c>
      <c r="AL13" s="25">
        <f>TREND($K5:$L5,$K$3:$L$3,AL$8)</f>
        <v>202.78599219203124</v>
      </c>
      <c r="AM13" s="25">
        <f>TREND($K5:$L5,$K$3:$L$3,AM$8)</f>
        <v>200.82117598511286</v>
      </c>
      <c r="AN13" s="25">
        <f>TREND($K5:$L5,$K$3:$L$3,AN$8)</f>
        <v>198.85635977819402</v>
      </c>
      <c r="AO13" s="25">
        <f>TREND($L5:$M5,$L$3:$M$3,AO$8)</f>
        <v>196.68953858431723</v>
      </c>
      <c r="AP13" s="25">
        <f t="shared" ref="AP13:AT13" si="65">TREND($L5:$M5,$L$3:$M$3,AP$8)</f>
        <v>194.52271739043954</v>
      </c>
      <c r="AQ13" s="25">
        <f t="shared" si="65"/>
        <v>192.35589619656184</v>
      </c>
      <c r="AR13" s="25">
        <f t="shared" si="65"/>
        <v>190.18907500268415</v>
      </c>
      <c r="AS13" s="24">
        <v>188.02225380880682</v>
      </c>
      <c r="AT13" s="25">
        <f>TREND($M5:$N5,$M$3:$N$3,AT$8)</f>
        <v>185.65881401607476</v>
      </c>
      <c r="AU13" s="25">
        <f t="shared" ref="AU13:AY13" si="66">TREND($M5:$N5,$M$3:$N$3,AU$8)</f>
        <v>183.29537422334306</v>
      </c>
      <c r="AV13" s="25">
        <f t="shared" si="66"/>
        <v>180.93193443061045</v>
      </c>
      <c r="AW13" s="25">
        <f t="shared" si="66"/>
        <v>178.56849463787876</v>
      </c>
      <c r="AX13" s="24">
        <v>176.20505484514612</v>
      </c>
      <c r="AY13" s="25">
        <f>TREND($N5:$O5,$N$3:$O$3,AY$8)</f>
        <v>173.6751837131842</v>
      </c>
      <c r="AZ13" s="25">
        <f t="shared" ref="AZ13:BD13" si="67">TREND($N5:$O5,$N$3:$O$3,AZ$8)</f>
        <v>171.14531258122315</v>
      </c>
      <c r="BA13" s="25">
        <f t="shared" si="67"/>
        <v>168.6154414492612</v>
      </c>
      <c r="BB13" s="25">
        <f t="shared" si="67"/>
        <v>166.08557031729924</v>
      </c>
      <c r="BC13" s="24">
        <v>163.55569918533783</v>
      </c>
      <c r="BD13" s="25">
        <f>TREND($O5:$P5,$O$3:$P$3,BD$8)</f>
        <v>160.88514107534593</v>
      </c>
      <c r="BE13" s="25">
        <f t="shared" ref="BE13:BG13" si="68">TREND($O5:$P5,$O$3:$P$3,BE$8)</f>
        <v>158.21458296535457</v>
      </c>
      <c r="BF13" s="25">
        <f t="shared" si="68"/>
        <v>155.5440248553632</v>
      </c>
      <c r="BG13" s="25">
        <f t="shared" si="68"/>
        <v>152.87346674537184</v>
      </c>
      <c r="BH13" s="24">
        <v>150.20290863538057</v>
      </c>
    </row>
    <row r="14" spans="1:60" ht="15">
      <c r="A14" t="s">
        <v>54</v>
      </c>
      <c r="B14" s="4">
        <f>B13*10^6</f>
        <v>195009873.59999999</v>
      </c>
      <c r="C14" s="4">
        <f t="shared" ref="C14:BH14" si="69">C13*10^6</f>
        <v>196194034.8061603</v>
      </c>
      <c r="D14" s="4">
        <f t="shared" si="69"/>
        <v>187904906.36303684</v>
      </c>
      <c r="E14" s="4">
        <f t="shared" si="69"/>
        <v>189089067.5691976</v>
      </c>
      <c r="F14" s="4">
        <f t="shared" si="69"/>
        <v>190273228.7753579</v>
      </c>
      <c r="G14" s="4">
        <f t="shared" si="69"/>
        <v>191457389.98151818</v>
      </c>
      <c r="H14" s="4">
        <f t="shared" si="69"/>
        <v>192931493.54063052</v>
      </c>
      <c r="I14" s="4">
        <f t="shared" si="69"/>
        <v>194043169.15855315</v>
      </c>
      <c r="J14" s="4">
        <f t="shared" si="69"/>
        <v>195154844.77647579</v>
      </c>
      <c r="K14" s="4">
        <f t="shared" si="69"/>
        <v>196266520.39439842</v>
      </c>
      <c r="L14" s="4">
        <f t="shared" si="69"/>
        <v>197378196.01232105</v>
      </c>
      <c r="M14" s="4">
        <f t="shared" si="69"/>
        <v>198718832.77076313</v>
      </c>
      <c r="N14" s="4">
        <f t="shared" si="69"/>
        <v>199532329.3923434</v>
      </c>
      <c r="O14" s="4">
        <f t="shared" si="69"/>
        <v>200345826.01392367</v>
      </c>
      <c r="P14" s="4">
        <f t="shared" si="69"/>
        <v>201159322.63550416</v>
      </c>
      <c r="Q14" s="4">
        <f t="shared" si="69"/>
        <v>201972819.25708443</v>
      </c>
      <c r="R14" s="4">
        <f t="shared" si="69"/>
        <v>204564807.10539803</v>
      </c>
      <c r="S14" s="4">
        <f t="shared" si="69"/>
        <v>204887888.69219103</v>
      </c>
      <c r="T14" s="4">
        <f t="shared" si="69"/>
        <v>205210970.27898419</v>
      </c>
      <c r="U14" s="4">
        <f t="shared" si="69"/>
        <v>205534051.86577719</v>
      </c>
      <c r="V14" s="4">
        <f t="shared" si="69"/>
        <v>205857133.45257023</v>
      </c>
      <c r="W14" s="4">
        <f t="shared" si="69"/>
        <v>207815043.01720861</v>
      </c>
      <c r="X14" s="4">
        <f t="shared" si="69"/>
        <v>207729417.60954034</v>
      </c>
      <c r="Y14" s="4">
        <f t="shared" si="69"/>
        <v>207643792.20187205</v>
      </c>
      <c r="Z14" s="4">
        <f t="shared" si="69"/>
        <v>207558166.79420379</v>
      </c>
      <c r="AA14" s="4">
        <f t="shared" si="69"/>
        <v>207472541.38653553</v>
      </c>
      <c r="AB14" s="4">
        <f t="shared" si="69"/>
        <v>208879299.1075893</v>
      </c>
      <c r="AC14" s="4">
        <f t="shared" si="69"/>
        <v>208420577.91774049</v>
      </c>
      <c r="AD14" s="4">
        <f t="shared" si="69"/>
        <v>207961856.72789171</v>
      </c>
      <c r="AE14" s="4">
        <f t="shared" si="69"/>
        <v>207503135.5380429</v>
      </c>
      <c r="AF14" s="4">
        <f t="shared" si="69"/>
        <v>207044414.34819409</v>
      </c>
      <c r="AG14" s="4">
        <f t="shared" si="69"/>
        <v>212610073.22662407</v>
      </c>
      <c r="AH14" s="4">
        <f t="shared" si="69"/>
        <v>210645257.01970568</v>
      </c>
      <c r="AI14" s="4">
        <f t="shared" si="69"/>
        <v>208680440.81278685</v>
      </c>
      <c r="AJ14" s="4">
        <f t="shared" si="69"/>
        <v>206715624.60586846</v>
      </c>
      <c r="AK14" s="4">
        <f t="shared" si="69"/>
        <v>204750808.39894962</v>
      </c>
      <c r="AL14" s="4">
        <f t="shared" si="69"/>
        <v>202785992.19203123</v>
      </c>
      <c r="AM14" s="4">
        <f t="shared" si="69"/>
        <v>200821175.98511285</v>
      </c>
      <c r="AN14" s="4">
        <f t="shared" si="69"/>
        <v>198856359.77819401</v>
      </c>
      <c r="AO14" s="4">
        <f t="shared" si="69"/>
        <v>196689538.58431724</v>
      </c>
      <c r="AP14" s="4">
        <f t="shared" si="69"/>
        <v>194522717.39043954</v>
      </c>
      <c r="AQ14" s="4">
        <f t="shared" si="69"/>
        <v>192355896.19656184</v>
      </c>
      <c r="AR14" s="4">
        <f t="shared" si="69"/>
        <v>190189075.00268415</v>
      </c>
      <c r="AS14" s="4">
        <f t="shared" si="69"/>
        <v>188022253.80880684</v>
      </c>
      <c r="AT14" s="4">
        <f t="shared" si="69"/>
        <v>185658814.01607475</v>
      </c>
      <c r="AU14" s="4">
        <f t="shared" si="69"/>
        <v>183295374.22334307</v>
      </c>
      <c r="AV14" s="4">
        <f t="shared" si="69"/>
        <v>180931934.43061045</v>
      </c>
      <c r="AW14" s="4">
        <f t="shared" si="69"/>
        <v>178568494.63787875</v>
      </c>
      <c r="AX14" s="4">
        <f t="shared" si="69"/>
        <v>176205054.84514612</v>
      </c>
      <c r="AY14" s="4">
        <f t="shared" si="69"/>
        <v>173675183.71318421</v>
      </c>
      <c r="AZ14" s="4">
        <f t="shared" si="69"/>
        <v>171145312.58122316</v>
      </c>
      <c r="BA14" s="4">
        <f t="shared" si="69"/>
        <v>168615441.44926119</v>
      </c>
      <c r="BB14" s="4">
        <f t="shared" si="69"/>
        <v>166085570.31729925</v>
      </c>
      <c r="BC14" s="4">
        <f t="shared" si="69"/>
        <v>163555699.18533784</v>
      </c>
      <c r="BD14" s="4">
        <f t="shared" si="69"/>
        <v>160885141.07534593</v>
      </c>
      <c r="BE14" s="4">
        <f t="shared" si="69"/>
        <v>158214582.96535456</v>
      </c>
      <c r="BF14" s="4">
        <f t="shared" si="69"/>
        <v>155544024.85536319</v>
      </c>
      <c r="BG14" s="4">
        <f t="shared" si="69"/>
        <v>152873466.74537185</v>
      </c>
      <c r="BH14" s="4">
        <f t="shared" si="69"/>
        <v>150202908.63538057</v>
      </c>
    </row>
    <row r="15" spans="1:60" ht="15">
      <c r="A15" t="s">
        <v>52</v>
      </c>
      <c r="C15" s="4">
        <f>C14-B14</f>
        <v>1184161.2061603069</v>
      </c>
      <c r="D15" s="4">
        <f t="shared" ref="D15:AO15" si="70">D14-C14</f>
        <v>-8289128.4431234598</v>
      </c>
      <c r="E15" s="4">
        <f t="shared" si="70"/>
        <v>1184161.206160754</v>
      </c>
      <c r="F15" s="4">
        <f t="shared" si="70"/>
        <v>1184161.2061603069</v>
      </c>
      <c r="G15" s="4">
        <f t="shared" si="70"/>
        <v>1184161.2061602771</v>
      </c>
      <c r="H15" s="4">
        <f t="shared" si="70"/>
        <v>1474103.5591123402</v>
      </c>
      <c r="I15" s="4">
        <f t="shared" si="70"/>
        <v>1111675.6179226339</v>
      </c>
      <c r="J15" s="4">
        <f t="shared" si="70"/>
        <v>1111675.6179226339</v>
      </c>
      <c r="K15" s="4">
        <f t="shared" si="70"/>
        <v>1111675.6179226339</v>
      </c>
      <c r="L15" s="4">
        <f t="shared" si="70"/>
        <v>1111675.6179226339</v>
      </c>
      <c r="M15" s="4">
        <f>M14-L14</f>
        <v>1340636.7584420741</v>
      </c>
      <c r="N15" s="4">
        <f t="shared" si="70"/>
        <v>813496.62158027291</v>
      </c>
      <c r="O15" s="4">
        <f t="shared" si="70"/>
        <v>813496.62158027291</v>
      </c>
      <c r="P15" s="4">
        <f t="shared" si="70"/>
        <v>813496.62158048153</v>
      </c>
      <c r="Q15" s="4">
        <f t="shared" si="70"/>
        <v>813496.62158027291</v>
      </c>
      <c r="R15" s="4">
        <f>R14-Q14</f>
        <v>2591987.8483135998</v>
      </c>
      <c r="S15" s="4">
        <f t="shared" si="70"/>
        <v>323081.58679300547</v>
      </c>
      <c r="T15" s="4">
        <f t="shared" si="70"/>
        <v>323081.58679315448</v>
      </c>
      <c r="U15" s="4">
        <f t="shared" si="70"/>
        <v>323081.58679300547</v>
      </c>
      <c r="V15" s="4">
        <f t="shared" si="70"/>
        <v>323081.58679303527</v>
      </c>
      <c r="W15" s="4">
        <f t="shared" si="70"/>
        <v>1957909.5646383762</v>
      </c>
      <c r="X15" s="4">
        <f t="shared" si="70"/>
        <v>-85625.40766826272</v>
      </c>
      <c r="Y15" s="4">
        <f t="shared" si="70"/>
        <v>-85625.407668292522</v>
      </c>
      <c r="Z15" s="4">
        <f t="shared" si="70"/>
        <v>-85625.40766826272</v>
      </c>
      <c r="AA15" s="4">
        <f t="shared" si="70"/>
        <v>-85625.40766826272</v>
      </c>
      <c r="AB15" s="4">
        <f t="shared" si="70"/>
        <v>1406757.7210537791</v>
      </c>
      <c r="AC15" s="4">
        <f t="shared" si="70"/>
        <v>-458721.18984881043</v>
      </c>
      <c r="AD15" s="4">
        <f t="shared" si="70"/>
        <v>-458721.18984878063</v>
      </c>
      <c r="AE15" s="4">
        <f t="shared" si="70"/>
        <v>-458721.18984881043</v>
      </c>
      <c r="AF15" s="4">
        <f t="shared" si="70"/>
        <v>-458721.18984881043</v>
      </c>
      <c r="AG15" s="4">
        <f t="shared" si="70"/>
        <v>5565658.8784299791</v>
      </c>
      <c r="AH15" s="4">
        <f t="shared" si="70"/>
        <v>-1964816.2069183886</v>
      </c>
      <c r="AI15" s="4">
        <f t="shared" si="70"/>
        <v>-1964816.2069188356</v>
      </c>
      <c r="AJ15" s="4">
        <f t="shared" si="70"/>
        <v>-1964816.2069183886</v>
      </c>
      <c r="AK15" s="4">
        <f t="shared" si="70"/>
        <v>-1964816.2069188356</v>
      </c>
      <c r="AL15" s="4">
        <f t="shared" si="70"/>
        <v>-1964816.2069183886</v>
      </c>
      <c r="AM15" s="4">
        <f t="shared" si="70"/>
        <v>-1964816.2069183886</v>
      </c>
      <c r="AN15" s="4">
        <f t="shared" si="70"/>
        <v>-1964816.2069188356</v>
      </c>
      <c r="AO15" s="4">
        <f t="shared" si="70"/>
        <v>-2166821.1938767731</v>
      </c>
      <c r="AP15" s="4">
        <f t="shared" ref="AP15" si="71">AP14-AO14</f>
        <v>-2166821.193877697</v>
      </c>
      <c r="AQ15" s="4">
        <f t="shared" ref="AQ15" si="72">AQ14-AP14</f>
        <v>-2166821.193877697</v>
      </c>
      <c r="AR15" s="4">
        <f t="shared" ref="AR15" si="73">AR14-AQ14</f>
        <v>-2166821.193877697</v>
      </c>
      <c r="AS15" s="4">
        <f t="shared" ref="AS15" si="74">AS14-AR14</f>
        <v>-2166821.1938773096</v>
      </c>
      <c r="AT15" s="4">
        <f t="shared" ref="AT15" si="75">AT14-AS14</f>
        <v>-2363439.7927320898</v>
      </c>
      <c r="AU15" s="4">
        <f t="shared" ref="AU15" si="76">AU14-AT14</f>
        <v>-2363439.7927316725</v>
      </c>
      <c r="AV15" s="4">
        <f t="shared" ref="AV15" si="77">AV14-AU14</f>
        <v>-2363439.7927326262</v>
      </c>
      <c r="AW15" s="4">
        <f t="shared" ref="AW15" si="78">AW14-AV14</f>
        <v>-2363439.7927317023</v>
      </c>
      <c r="AX15" s="4">
        <f t="shared" ref="AX15" si="79">AX14-AW14</f>
        <v>-2363439.7927326262</v>
      </c>
      <c r="AY15" s="4">
        <f t="shared" ref="AY15" si="80">AY14-AX14</f>
        <v>-2529871.1319619119</v>
      </c>
      <c r="AZ15" s="4">
        <f t="shared" ref="AZ15" si="81">AZ14-AY14</f>
        <v>-2529871.1319610476</v>
      </c>
      <c r="BA15" s="4">
        <f t="shared" ref="BA15" si="82">BA14-AZ14</f>
        <v>-2529871.1319619715</v>
      </c>
      <c r="BB15" s="4">
        <f t="shared" ref="BB15" si="83">BB14-BA14</f>
        <v>-2529871.1319619417</v>
      </c>
      <c r="BC15" s="4">
        <f t="shared" ref="BC15" si="84">BC14-BB14</f>
        <v>-2529871.1319614053</v>
      </c>
      <c r="BD15" s="4">
        <f t="shared" ref="BD15" si="85">BD14-BC14</f>
        <v>-2670558.1099919081</v>
      </c>
      <c r="BE15" s="4">
        <f t="shared" ref="BE15" si="86">BE14-BD14</f>
        <v>-2670558.1099913716</v>
      </c>
      <c r="BF15" s="4">
        <f t="shared" ref="BF15" si="87">BF14-BE14</f>
        <v>-2670558.1099913716</v>
      </c>
      <c r="BG15" s="4">
        <f t="shared" ref="BG15" si="88">BG14-BF14</f>
        <v>-2670558.1099913418</v>
      </c>
      <c r="BH15" s="4">
        <f t="shared" ref="BH15" si="89">BH14-BG14</f>
        <v>-2670558.1099912822</v>
      </c>
    </row>
    <row r="18" spans="1:60" ht="15">
      <c r="A18" s="26" t="s">
        <v>55</v>
      </c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8" t="s">
        <v>56</v>
      </c>
    </row>
    <row r="19" spans="1:60" ht="15">
      <c r="A19" s="29" t="s">
        <v>45</v>
      </c>
      <c r="B19" s="29"/>
      <c r="C19" s="29"/>
      <c r="D19" s="29" t="s">
        <v>46</v>
      </c>
      <c r="E19" s="29" t="s">
        <v>57</v>
      </c>
      <c r="F19" s="29" t="s">
        <v>58</v>
      </c>
      <c r="G19" s="30">
        <v>2012</v>
      </c>
      <c r="H19" s="30">
        <v>2017</v>
      </c>
      <c r="I19" s="30">
        <v>2022</v>
      </c>
      <c r="J19" s="30">
        <v>2027</v>
      </c>
      <c r="K19" s="30">
        <v>2032</v>
      </c>
      <c r="L19" s="30">
        <v>2037</v>
      </c>
      <c r="M19" s="30">
        <v>2042</v>
      </c>
      <c r="N19" s="30">
        <v>2047</v>
      </c>
    </row>
    <row r="20" spans="1:60" ht="15">
      <c r="A20" s="31" t="s">
        <v>59</v>
      </c>
      <c r="B20" s="31"/>
      <c r="C20" s="31"/>
      <c r="D20" s="31"/>
      <c r="E20" s="31"/>
      <c r="F20" s="31"/>
      <c r="G20" s="48">
        <v>0.61422409895865659</v>
      </c>
      <c r="H20" s="48">
        <v>0.69288690743992332</v>
      </c>
      <c r="I20" s="48">
        <v>0.80537861618714401</v>
      </c>
      <c r="J20" s="48">
        <v>0.98494483566857749</v>
      </c>
      <c r="K20" s="48">
        <v>1.2465303548898861</v>
      </c>
      <c r="L20" s="48">
        <v>1.6580494192338158</v>
      </c>
      <c r="M20" s="48">
        <v>2.1418191080387508</v>
      </c>
      <c r="N20" s="48">
        <v>2.7810169793207402</v>
      </c>
    </row>
    <row r="21" spans="1:60" ht="15">
      <c r="A21" s="48"/>
      <c r="B21" s="48"/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</row>
    <row r="22" spans="1:60" ht="15">
      <c r="A22" s="32" t="s">
        <v>60</v>
      </c>
      <c r="B22" s="33"/>
      <c r="C22" s="34"/>
      <c r="D22" s="33"/>
      <c r="E22" s="33"/>
      <c r="F22" s="33"/>
      <c r="G22" s="33">
        <v>1215947696.8037</v>
      </c>
      <c r="H22" s="33">
        <v>1293560155.5197299</v>
      </c>
      <c r="I22" s="33">
        <v>1383591897.89131</v>
      </c>
      <c r="J22" s="33">
        <v>1453466914.90909</v>
      </c>
      <c r="K22" s="33">
        <v>1533937577.53791</v>
      </c>
      <c r="L22" s="33">
        <v>1592149418.74388</v>
      </c>
      <c r="M22" s="33">
        <v>1659579084.9869099</v>
      </c>
      <c r="N22" s="33">
        <v>1704172882.39362</v>
      </c>
    </row>
    <row r="23" spans="1:60" ht="15">
      <c r="A23" s="32" t="s">
        <v>61</v>
      </c>
      <c r="B23" s="33"/>
      <c r="C23" s="34"/>
      <c r="D23" s="33" t="s">
        <v>62</v>
      </c>
      <c r="E23" s="33"/>
      <c r="F23" s="33"/>
      <c r="G23" s="33">
        <v>7.4686437845010639E-2</v>
      </c>
      <c r="H23" s="33">
        <v>8.9629089574557189E-2</v>
      </c>
      <c r="I23" s="33">
        <v>0.11143153280914476</v>
      </c>
      <c r="J23" s="33">
        <v>0.14315847316548483</v>
      </c>
      <c r="K23" s="33">
        <v>0.19120997529072631</v>
      </c>
      <c r="L23" s="33">
        <v>0.26398624190817477</v>
      </c>
      <c r="M23" s="33">
        <v>0.35545181955264299</v>
      </c>
      <c r="N23" s="33">
        <v>0.47393337216346249</v>
      </c>
      <c r="O23" s="4"/>
    </row>
    <row r="25" spans="1:60" ht="15">
      <c r="A25" s="1" t="s">
        <v>63</v>
      </c>
    </row>
    <row r="26" spans="1:60" ht="15">
      <c r="B26">
        <v>2012</v>
      </c>
      <c r="C26">
        <v>2013</v>
      </c>
      <c r="D26">
        <v>2014</v>
      </c>
      <c r="E26">
        <v>2015</v>
      </c>
      <c r="F26">
        <v>2016</v>
      </c>
      <c r="G26">
        <v>2017</v>
      </c>
      <c r="H26">
        <v>2018</v>
      </c>
      <c r="I26">
        <v>2019</v>
      </c>
      <c r="J26">
        <v>2020</v>
      </c>
      <c r="K26">
        <v>2021</v>
      </c>
      <c r="L26">
        <v>2022</v>
      </c>
      <c r="M26">
        <v>2023</v>
      </c>
      <c r="N26">
        <v>2024</v>
      </c>
      <c r="O26">
        <v>2025</v>
      </c>
      <c r="P26">
        <v>2026</v>
      </c>
      <c r="Q26">
        <v>2027</v>
      </c>
      <c r="R26">
        <v>2028</v>
      </c>
      <c r="S26">
        <v>2029</v>
      </c>
      <c r="T26">
        <v>2030</v>
      </c>
      <c r="U26">
        <v>2031</v>
      </c>
      <c r="V26">
        <v>2032</v>
      </c>
      <c r="W26">
        <v>2033</v>
      </c>
      <c r="X26">
        <v>2034</v>
      </c>
      <c r="Y26">
        <v>2035</v>
      </c>
      <c r="Z26">
        <v>2036</v>
      </c>
      <c r="AA26">
        <v>2037</v>
      </c>
      <c r="AB26">
        <v>2038</v>
      </c>
      <c r="AC26">
        <v>2039</v>
      </c>
      <c r="AD26">
        <v>2040</v>
      </c>
      <c r="AE26">
        <v>2041</v>
      </c>
      <c r="AF26">
        <v>2042</v>
      </c>
      <c r="AG26">
        <v>2043</v>
      </c>
      <c r="AH26">
        <v>2044</v>
      </c>
      <c r="AI26">
        <v>2045</v>
      </c>
      <c r="AJ26">
        <v>2046</v>
      </c>
      <c r="AK26">
        <v>2047</v>
      </c>
      <c r="AL26">
        <v>2048</v>
      </c>
      <c r="AM26">
        <v>2049</v>
      </c>
      <c r="AN26">
        <v>2050</v>
      </c>
      <c r="AO26">
        <v>2051</v>
      </c>
      <c r="AP26">
        <v>2052</v>
      </c>
      <c r="AQ26">
        <v>2053</v>
      </c>
      <c r="AR26">
        <v>2054</v>
      </c>
      <c r="AS26">
        <v>2055</v>
      </c>
      <c r="AT26">
        <v>2056</v>
      </c>
      <c r="AU26">
        <v>2057</v>
      </c>
      <c r="AV26">
        <v>2058</v>
      </c>
      <c r="AW26">
        <v>2059</v>
      </c>
      <c r="AX26">
        <v>2060</v>
      </c>
      <c r="AY26">
        <v>2061</v>
      </c>
      <c r="AZ26">
        <v>2062</v>
      </c>
      <c r="BA26">
        <v>2063</v>
      </c>
      <c r="BB26">
        <v>2064</v>
      </c>
      <c r="BC26">
        <v>2065</v>
      </c>
      <c r="BD26">
        <v>2066</v>
      </c>
      <c r="BE26">
        <v>2067</v>
      </c>
      <c r="BF26">
        <v>2068</v>
      </c>
      <c r="BG26">
        <v>2069</v>
      </c>
      <c r="BH26">
        <v>2070</v>
      </c>
    </row>
    <row r="27" spans="1:60" ht="15">
      <c r="A27" t="s">
        <v>64</v>
      </c>
      <c r="B27" s="35">
        <f>0.0003541248*B26^2-1.4263696642*B26+1436.389731348</f>
        <v>8.2151348799698098E-2</v>
      </c>
      <c r="C27" s="35">
        <f>0.0003541248*C26^2-1.4263696642*C26+1436.389731348</f>
        <v>8.1134004599562104E-2</v>
      </c>
      <c r="D27" s="35">
        <f t="shared" ref="D27:AN27" si="90">0.0003541248*D26^2-1.4263696642*D26+1436.389731348</f>
        <v>8.0824909999819283E-2</v>
      </c>
      <c r="E27" s="35">
        <f t="shared" si="90"/>
        <v>8.1224064999560142E-2</v>
      </c>
      <c r="F27" s="35">
        <f t="shared" si="90"/>
        <v>8.23314695994668E-2</v>
      </c>
      <c r="G27" s="35">
        <f t="shared" si="90"/>
        <v>8.4147123799766632E-2</v>
      </c>
      <c r="H27" s="35">
        <f t="shared" si="90"/>
        <v>8.6671027599777517E-2</v>
      </c>
      <c r="I27" s="35">
        <f t="shared" si="90"/>
        <v>8.9903180999499455E-2</v>
      </c>
      <c r="J27" s="35">
        <f t="shared" si="90"/>
        <v>9.384358399984194E-2</v>
      </c>
      <c r="K27" s="35">
        <f t="shared" si="90"/>
        <v>9.8492236599668104E-2</v>
      </c>
      <c r="L27" s="35">
        <f t="shared" si="90"/>
        <v>0.10384913879966007</v>
      </c>
      <c r="M27" s="35">
        <f t="shared" si="90"/>
        <v>0.10991429059936308</v>
      </c>
      <c r="N27" s="35">
        <f t="shared" si="90"/>
        <v>0.11668769199968665</v>
      </c>
      <c r="O27" s="35">
        <f t="shared" si="90"/>
        <v>0.12416934299972127</v>
      </c>
      <c r="P27" s="35">
        <f t="shared" si="90"/>
        <v>0.13235924359946694</v>
      </c>
      <c r="Q27" s="35">
        <f t="shared" si="90"/>
        <v>0.14125739379983315</v>
      </c>
      <c r="R27" s="35">
        <f t="shared" si="90"/>
        <v>0.15086379359968305</v>
      </c>
      <c r="S27" s="35">
        <f t="shared" si="90"/>
        <v>0.16117844299947137</v>
      </c>
      <c r="T27" s="35">
        <f t="shared" si="90"/>
        <v>0.17220134199988024</v>
      </c>
      <c r="U27" s="35">
        <f t="shared" si="90"/>
        <v>0.18393249059977279</v>
      </c>
      <c r="V27" s="35">
        <f t="shared" si="90"/>
        <v>0.19637188879960377</v>
      </c>
      <c r="W27" s="35">
        <f t="shared" si="90"/>
        <v>0.20951953659937317</v>
      </c>
      <c r="X27" s="35">
        <f t="shared" si="90"/>
        <v>0.22337543399976312</v>
      </c>
      <c r="Y27" s="35">
        <f t="shared" si="90"/>
        <v>0.23793958099963675</v>
      </c>
      <c r="Z27" s="35">
        <f t="shared" si="90"/>
        <v>0.2532119775994488</v>
      </c>
      <c r="AA27" s="35">
        <f t="shared" si="90"/>
        <v>0.2691926237998814</v>
      </c>
      <c r="AB27" s="35">
        <f t="shared" si="90"/>
        <v>0.28588151959957031</v>
      </c>
      <c r="AC27" s="35">
        <f t="shared" si="90"/>
        <v>0.30327866499965239</v>
      </c>
      <c r="AD27" s="35">
        <f t="shared" si="90"/>
        <v>0.32138405999990027</v>
      </c>
      <c r="AE27" s="35">
        <f t="shared" si="90"/>
        <v>0.34019770459963183</v>
      </c>
      <c r="AF27" s="35">
        <f t="shared" si="90"/>
        <v>0.35971959879952919</v>
      </c>
      <c r="AG27" s="35">
        <f t="shared" si="90"/>
        <v>0.37994974259936498</v>
      </c>
      <c r="AH27" s="35">
        <f t="shared" si="90"/>
        <v>0.40088813599982132</v>
      </c>
      <c r="AI27" s="35">
        <f t="shared" si="90"/>
        <v>0.42253477899953396</v>
      </c>
      <c r="AJ27" s="35">
        <f t="shared" si="90"/>
        <v>0.4448896715994124</v>
      </c>
      <c r="AK27" s="35">
        <f t="shared" si="90"/>
        <v>0.46795281379991138</v>
      </c>
      <c r="AL27" s="35">
        <f t="shared" si="90"/>
        <v>0.49172420559966667</v>
      </c>
      <c r="AM27" s="35">
        <f t="shared" si="90"/>
        <v>0.51620384699958777</v>
      </c>
      <c r="AN27" s="35">
        <f t="shared" si="90"/>
        <v>0.54139173799990203</v>
      </c>
      <c r="AO27" s="35">
        <f t="shared" ref="AO27:BH27" si="91">0.0003541248*AO26^2-1.4263696642*AO26+1436.389731348</f>
        <v>0.56728787859969998</v>
      </c>
      <c r="AP27" s="35">
        <f t="shared" si="91"/>
        <v>0.59389226879966373</v>
      </c>
      <c r="AQ27" s="35">
        <f t="shared" si="91"/>
        <v>0.62120490859979327</v>
      </c>
      <c r="AR27" s="35">
        <f t="shared" si="91"/>
        <v>0.64922579799986124</v>
      </c>
      <c r="AS27" s="35">
        <f t="shared" si="91"/>
        <v>0.67795493699964027</v>
      </c>
      <c r="AT27" s="35">
        <f t="shared" si="91"/>
        <v>0.70739232559958509</v>
      </c>
      <c r="AU27" s="35">
        <f t="shared" si="91"/>
        <v>0.73753796379969572</v>
      </c>
      <c r="AV27" s="35">
        <f t="shared" si="91"/>
        <v>0.76839185159974477</v>
      </c>
      <c r="AW27" s="35">
        <f t="shared" si="91"/>
        <v>0.79995398899950487</v>
      </c>
      <c r="AX27" s="35">
        <f t="shared" si="91"/>
        <v>0.83222437599988552</v>
      </c>
      <c r="AY27" s="35">
        <f t="shared" si="91"/>
        <v>0.86520301259974985</v>
      </c>
      <c r="AZ27" s="35">
        <f t="shared" si="91"/>
        <v>0.89888989879955261</v>
      </c>
      <c r="BA27" s="35">
        <f t="shared" si="91"/>
        <v>0.93328503459997592</v>
      </c>
      <c r="BB27" s="35">
        <f t="shared" si="91"/>
        <v>0.96838841999965553</v>
      </c>
      <c r="BC27" s="35">
        <f t="shared" si="91"/>
        <v>1.0042000549995009</v>
      </c>
      <c r="BD27" s="35">
        <f t="shared" si="91"/>
        <v>1.0407199395995121</v>
      </c>
      <c r="BE27" s="35">
        <f t="shared" si="91"/>
        <v>1.0779480737996892</v>
      </c>
      <c r="BF27" s="35">
        <f t="shared" si="91"/>
        <v>1.1158844575995772</v>
      </c>
      <c r="BG27" s="35">
        <f t="shared" si="91"/>
        <v>1.1545290909994037</v>
      </c>
      <c r="BH27" s="35">
        <f t="shared" si="91"/>
        <v>1.1938819739998507</v>
      </c>
    </row>
    <row r="28" spans="1:60" ht="15">
      <c r="A28" t="s">
        <v>65</v>
      </c>
      <c r="B28" s="4">
        <f>B27*10^10</f>
        <v>821513487.99698102</v>
      </c>
      <c r="C28" s="4">
        <f t="shared" ref="C28:AN28" si="92">C27*10^10</f>
        <v>811340045.99562109</v>
      </c>
      <c r="D28" s="4">
        <f t="shared" si="92"/>
        <v>808249099.99819279</v>
      </c>
      <c r="E28" s="4">
        <f t="shared" si="92"/>
        <v>812240649.99560142</v>
      </c>
      <c r="F28" s="4">
        <f t="shared" si="92"/>
        <v>823314695.99466801</v>
      </c>
      <c r="G28" s="4">
        <f t="shared" si="92"/>
        <v>841471237.99766636</v>
      </c>
      <c r="H28" s="4">
        <f t="shared" si="92"/>
        <v>866710275.9977752</v>
      </c>
      <c r="I28" s="4">
        <f t="shared" si="92"/>
        <v>899031809.99499452</v>
      </c>
      <c r="J28" s="4">
        <f t="shared" si="92"/>
        <v>938435839.9984194</v>
      </c>
      <c r="K28" s="4">
        <f t="shared" si="92"/>
        <v>984922365.99668109</v>
      </c>
      <c r="L28" s="4">
        <f t="shared" si="92"/>
        <v>1038491387.9966006</v>
      </c>
      <c r="M28" s="4">
        <f t="shared" si="92"/>
        <v>1099142905.9936309</v>
      </c>
      <c r="N28" s="4">
        <f t="shared" si="92"/>
        <v>1166876919.9968665</v>
      </c>
      <c r="O28" s="4">
        <f t="shared" si="92"/>
        <v>1241693429.9972126</v>
      </c>
      <c r="P28" s="4">
        <f t="shared" si="92"/>
        <v>1323592435.9946694</v>
      </c>
      <c r="Q28" s="4">
        <f t="shared" si="92"/>
        <v>1412573937.9983315</v>
      </c>
      <c r="R28" s="4">
        <f t="shared" si="92"/>
        <v>1508637935.9968305</v>
      </c>
      <c r="S28" s="4">
        <f t="shared" si="92"/>
        <v>1611784429.9947138</v>
      </c>
      <c r="T28" s="4">
        <f t="shared" si="92"/>
        <v>1722013419.9988024</v>
      </c>
      <c r="U28" s="4">
        <f t="shared" si="92"/>
        <v>1839324905.9977279</v>
      </c>
      <c r="V28" s="4">
        <f t="shared" si="92"/>
        <v>1963718887.9960377</v>
      </c>
      <c r="W28" s="4">
        <f t="shared" si="92"/>
        <v>2095195365.9937317</v>
      </c>
      <c r="X28" s="4">
        <f t="shared" si="92"/>
        <v>2233754339.9976311</v>
      </c>
      <c r="Y28" s="4">
        <f t="shared" si="92"/>
        <v>2379395809.9963675</v>
      </c>
      <c r="Z28" s="4">
        <f t="shared" si="92"/>
        <v>2532119775.9944882</v>
      </c>
      <c r="AA28" s="4">
        <f t="shared" si="92"/>
        <v>2691926237.9988141</v>
      </c>
      <c r="AB28" s="4">
        <f t="shared" si="92"/>
        <v>2858815195.9957032</v>
      </c>
      <c r="AC28" s="4">
        <f t="shared" si="92"/>
        <v>3032786649.9965239</v>
      </c>
      <c r="AD28" s="4">
        <f t="shared" si="92"/>
        <v>3213840599.9990029</v>
      </c>
      <c r="AE28" s="4">
        <f t="shared" si="92"/>
        <v>3401977045.9963183</v>
      </c>
      <c r="AF28" s="4">
        <f t="shared" si="92"/>
        <v>3597195987.9952917</v>
      </c>
      <c r="AG28" s="4">
        <f t="shared" si="92"/>
        <v>3799497425.99365</v>
      </c>
      <c r="AH28" s="4">
        <f t="shared" si="92"/>
        <v>4008881359.9982133</v>
      </c>
      <c r="AI28" s="4">
        <f t="shared" si="92"/>
        <v>4225347789.9953394</v>
      </c>
      <c r="AJ28" s="4">
        <f t="shared" si="92"/>
        <v>4448896715.9941244</v>
      </c>
      <c r="AK28" s="4">
        <f t="shared" si="92"/>
        <v>4679528137.999114</v>
      </c>
      <c r="AL28" s="4">
        <f t="shared" si="92"/>
        <v>4917242055.9966669</v>
      </c>
      <c r="AM28" s="4">
        <f t="shared" si="92"/>
        <v>5162038469.9958773</v>
      </c>
      <c r="AN28" s="4">
        <f t="shared" si="92"/>
        <v>5413917379.9990206</v>
      </c>
      <c r="AO28" s="4">
        <f t="shared" ref="AO28:BH28" si="93">AO27*10^10</f>
        <v>5672878785.9969997</v>
      </c>
      <c r="AP28" s="4">
        <f t="shared" si="93"/>
        <v>5938922687.9966373</v>
      </c>
      <c r="AQ28" s="4">
        <f t="shared" si="93"/>
        <v>6212049085.9979324</v>
      </c>
      <c r="AR28" s="4">
        <f t="shared" si="93"/>
        <v>6492257979.9986124</v>
      </c>
      <c r="AS28" s="4">
        <f t="shared" si="93"/>
        <v>6779549369.9964027</v>
      </c>
      <c r="AT28" s="4">
        <f t="shared" si="93"/>
        <v>7073923255.9958506</v>
      </c>
      <c r="AU28" s="4">
        <f t="shared" si="93"/>
        <v>7375379637.9969568</v>
      </c>
      <c r="AV28" s="4">
        <f t="shared" si="93"/>
        <v>7683918515.997448</v>
      </c>
      <c r="AW28" s="4">
        <f t="shared" si="93"/>
        <v>7999539889.9950485</v>
      </c>
      <c r="AX28" s="4">
        <f t="shared" si="93"/>
        <v>8322243759.9988556</v>
      </c>
      <c r="AY28" s="4">
        <f t="shared" si="93"/>
        <v>8652030125.9974995</v>
      </c>
      <c r="AZ28" s="4">
        <f t="shared" si="93"/>
        <v>8988898987.9955254</v>
      </c>
      <c r="BA28" s="4">
        <f t="shared" si="93"/>
        <v>9332850345.9997597</v>
      </c>
      <c r="BB28" s="4">
        <f t="shared" si="93"/>
        <v>9683884199.9965553</v>
      </c>
      <c r="BC28" s="4">
        <f t="shared" si="93"/>
        <v>10042000549.995008</v>
      </c>
      <c r="BD28" s="4">
        <f t="shared" si="93"/>
        <v>10407199395.995121</v>
      </c>
      <c r="BE28" s="4">
        <f t="shared" si="93"/>
        <v>10779480737.996891</v>
      </c>
      <c r="BF28" s="4">
        <f t="shared" si="93"/>
        <v>11158844575.995771</v>
      </c>
      <c r="BG28" s="4">
        <f t="shared" si="93"/>
        <v>11545290909.994038</v>
      </c>
      <c r="BH28" s="4">
        <f t="shared" si="93"/>
        <v>11938819739.998507</v>
      </c>
    </row>
    <row r="29" spans="1:60" ht="15">
      <c r="A29" t="s">
        <v>66</v>
      </c>
      <c r="C29" s="4">
        <f>C28-B28</f>
        <v>-10173442.00135994</v>
      </c>
      <c r="D29" s="4">
        <f t="shared" ref="D29:AN29" si="94">D28-C28</f>
        <v>-3090945.997428298</v>
      </c>
      <c r="E29" s="4">
        <f t="shared" si="94"/>
        <v>3991549.9974086285</v>
      </c>
      <c r="F29" s="4">
        <f t="shared" si="94"/>
        <v>11074045.999066591</v>
      </c>
      <c r="G29" s="4">
        <f t="shared" si="94"/>
        <v>18156542.002998352</v>
      </c>
      <c r="H29" s="4">
        <f t="shared" si="94"/>
        <v>25239038.000108838</v>
      </c>
      <c r="I29" s="4">
        <f t="shared" si="94"/>
        <v>32321533.997219324</v>
      </c>
      <c r="J29" s="4">
        <f t="shared" si="94"/>
        <v>39404030.003424883</v>
      </c>
      <c r="K29" s="4">
        <f t="shared" si="94"/>
        <v>46486525.99826169</v>
      </c>
      <c r="L29" s="4">
        <f t="shared" si="94"/>
        <v>53569021.999919534</v>
      </c>
      <c r="M29" s="4">
        <f>M28-L28</f>
        <v>60651517.997030258</v>
      </c>
      <c r="N29" s="4">
        <f t="shared" si="94"/>
        <v>67734014.003235579</v>
      </c>
      <c r="O29" s="4">
        <f t="shared" si="94"/>
        <v>74816510.000346184</v>
      </c>
      <c r="P29" s="4">
        <f t="shared" si="94"/>
        <v>81899005.997456789</v>
      </c>
      <c r="Q29" s="4">
        <f t="shared" si="94"/>
        <v>88981502.003662109</v>
      </c>
      <c r="R29" s="4">
        <f>R28-Q28</f>
        <v>96063997.998498917</v>
      </c>
      <c r="S29" s="4">
        <f t="shared" si="94"/>
        <v>103146493.99788332</v>
      </c>
      <c r="T29" s="4">
        <f t="shared" si="94"/>
        <v>110228990.00408864</v>
      </c>
      <c r="U29" s="4">
        <f t="shared" si="94"/>
        <v>117311485.99892545</v>
      </c>
      <c r="V29" s="4">
        <f t="shared" si="94"/>
        <v>124393981.99830985</v>
      </c>
      <c r="W29" s="4">
        <f t="shared" si="94"/>
        <v>131476477.99769402</v>
      </c>
      <c r="X29" s="4">
        <f t="shared" si="94"/>
        <v>138558974.00389934</v>
      </c>
      <c r="Y29" s="4">
        <f t="shared" si="94"/>
        <v>145641469.99873638</v>
      </c>
      <c r="Z29" s="4">
        <f t="shared" si="94"/>
        <v>152723965.99812078</v>
      </c>
      <c r="AA29" s="4">
        <f t="shared" si="94"/>
        <v>159806462.00432587</v>
      </c>
      <c r="AB29" s="4">
        <f t="shared" si="94"/>
        <v>166888957.99688911</v>
      </c>
      <c r="AC29" s="4">
        <f t="shared" si="94"/>
        <v>173971454.00082064</v>
      </c>
      <c r="AD29" s="4">
        <f t="shared" si="94"/>
        <v>181053950.00247908</v>
      </c>
      <c r="AE29" s="4">
        <f t="shared" si="94"/>
        <v>188136445.99731541</v>
      </c>
      <c r="AF29" s="4">
        <f t="shared" si="94"/>
        <v>195218941.99897337</v>
      </c>
      <c r="AG29" s="4">
        <f t="shared" si="94"/>
        <v>202301437.99835825</v>
      </c>
      <c r="AH29" s="4">
        <f t="shared" si="94"/>
        <v>209383934.00456333</v>
      </c>
      <c r="AI29" s="4">
        <f t="shared" si="94"/>
        <v>216466429.9971261</v>
      </c>
      <c r="AJ29" s="4">
        <f t="shared" si="94"/>
        <v>223548925.99878502</v>
      </c>
      <c r="AK29" s="4">
        <f t="shared" si="94"/>
        <v>230631422.00498962</v>
      </c>
      <c r="AL29" s="4">
        <f t="shared" si="94"/>
        <v>237713917.99755287</v>
      </c>
      <c r="AM29" s="4">
        <f t="shared" si="94"/>
        <v>244796413.99921036</v>
      </c>
      <c r="AN29" s="4">
        <f t="shared" si="94"/>
        <v>251878910.00314331</v>
      </c>
      <c r="AO29" s="4">
        <f t="shared" ref="AO29" si="95">AO28-AN28</f>
        <v>258961405.99797916</v>
      </c>
      <c r="AP29" s="4">
        <f t="shared" ref="AP29" si="96">AP28-AO28</f>
        <v>266043901.9996376</v>
      </c>
      <c r="AQ29" s="4">
        <f t="shared" ref="AQ29" si="97">AQ28-AP28</f>
        <v>273126398.00129509</v>
      </c>
      <c r="AR29" s="4">
        <f t="shared" ref="AR29" si="98">AR28-AQ28</f>
        <v>280208894.00067997</v>
      </c>
      <c r="AS29" s="4">
        <f t="shared" ref="AS29" si="99">AS28-AR28</f>
        <v>287291389.99779034</v>
      </c>
      <c r="AT29" s="4">
        <f t="shared" ref="AT29" si="100">AT28-AS28</f>
        <v>294373885.99944782</v>
      </c>
      <c r="AU29" s="4">
        <f t="shared" ref="AU29" si="101">AU28-AT28</f>
        <v>301456382.00110626</v>
      </c>
      <c r="AV29" s="4">
        <f t="shared" ref="AV29" si="102">AV28-AU28</f>
        <v>308538878.00049114</v>
      </c>
      <c r="AW29" s="4">
        <f t="shared" ref="AW29" si="103">AW28-AV28</f>
        <v>315621373.99760056</v>
      </c>
      <c r="AX29" s="4">
        <f t="shared" ref="AX29" si="104">AX28-AW28</f>
        <v>322703870.00380707</v>
      </c>
      <c r="AY29" s="4">
        <f t="shared" ref="AY29" si="105">AY28-AX28</f>
        <v>329786365.99864388</v>
      </c>
      <c r="AZ29" s="4">
        <f t="shared" ref="AZ29" si="106">AZ28-AY28</f>
        <v>336868861.99802589</v>
      </c>
      <c r="BA29" s="4">
        <f t="shared" ref="BA29" si="107">BA28-AZ28</f>
        <v>343951358.00423431</v>
      </c>
      <c r="BB29" s="4">
        <f t="shared" ref="BB29" si="108">BB28-BA28</f>
        <v>351033853.99679565</v>
      </c>
      <c r="BC29" s="4">
        <f t="shared" ref="BC29" si="109">BC28-BB28</f>
        <v>358116349.99845314</v>
      </c>
      <c r="BD29" s="4">
        <f t="shared" ref="BD29" si="110">BD28-BC28</f>
        <v>365198846.00011253</v>
      </c>
      <c r="BE29" s="4">
        <f t="shared" ref="BE29" si="111">BE28-BD28</f>
        <v>372281342.00177002</v>
      </c>
      <c r="BF29" s="4">
        <f t="shared" ref="BF29" si="112">BF28-BE28</f>
        <v>379363837.99888039</v>
      </c>
      <c r="BG29" s="4">
        <f t="shared" ref="BG29" si="113">BG28-BF28</f>
        <v>386446333.99826622</v>
      </c>
      <c r="BH29" s="4">
        <f t="shared" ref="BH29" si="114">BH28-BG28</f>
        <v>393528830.00446892</v>
      </c>
    </row>
    <row r="37" spans="8:8" ht="15">
      <c r="H37" s="50" t="s">
        <v>67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9"/>
  <sheetViews>
    <sheetView topLeftCell="A17" workbookViewId="0">
      <selection activeCell="E20" sqref="E20"/>
    </sheetView>
  </sheetViews>
  <sheetFormatPr defaultRowHeight="14.45"/>
  <cols>
    <col min="1" max="1" width="22.5703125" customWidth="1"/>
    <col min="2" max="7" width="15.42578125" customWidth="1"/>
  </cols>
  <sheetData>
    <row r="1" spans="1:7">
      <c r="A1" s="2" t="s">
        <v>68</v>
      </c>
      <c r="B1" s="7"/>
      <c r="C1" s="7"/>
      <c r="D1" s="7"/>
      <c r="E1" s="7"/>
      <c r="F1" s="7"/>
      <c r="G1" s="7"/>
    </row>
    <row r="2" spans="1:7">
      <c r="A2" t="s">
        <v>69</v>
      </c>
      <c r="B2" s="49" t="s">
        <v>70</v>
      </c>
      <c r="C2" s="49"/>
      <c r="D2" s="49" t="s">
        <v>71</v>
      </c>
      <c r="E2" s="49"/>
      <c r="F2" s="49" t="s">
        <v>72</v>
      </c>
      <c r="G2" s="49"/>
    </row>
    <row r="3" spans="1:7">
      <c r="B3" t="s">
        <v>73</v>
      </c>
      <c r="C3" t="s">
        <v>74</v>
      </c>
      <c r="D3" t="s">
        <v>73</v>
      </c>
      <c r="E3" t="s">
        <v>74</v>
      </c>
      <c r="F3" t="s">
        <v>73</v>
      </c>
      <c r="G3" t="s">
        <v>74</v>
      </c>
    </row>
    <row r="4" spans="1:7">
      <c r="A4" t="s">
        <v>75</v>
      </c>
      <c r="B4" s="41">
        <v>50</v>
      </c>
      <c r="C4" s="41">
        <v>75.400000000000006</v>
      </c>
      <c r="D4" s="43">
        <f>'Building Projections'!F4</f>
        <v>123.86955445555256</v>
      </c>
      <c r="E4" s="43">
        <f>'Building Projections'!F5</f>
        <v>198.48987163024364</v>
      </c>
      <c r="F4" s="42">
        <f>B4/$D$4</f>
        <v>0.40365043871971967</v>
      </c>
      <c r="G4" s="42">
        <f>C4/$E$4</f>
        <v>0.3798682490986679</v>
      </c>
    </row>
    <row r="5" spans="1:7">
      <c r="A5" t="s">
        <v>76</v>
      </c>
      <c r="B5" s="41">
        <v>61.4</v>
      </c>
      <c r="C5" s="41">
        <v>65.099999999999994</v>
      </c>
      <c r="D5" s="41"/>
      <c r="E5" s="41"/>
      <c r="F5" s="42">
        <f t="shared" ref="F5:F19" si="0">B5/$D$4</f>
        <v>0.49568273874781577</v>
      </c>
      <c r="G5" s="42">
        <f t="shared" ref="G5:G19" si="1">C5/$E$4</f>
        <v>0.3279764325772318</v>
      </c>
    </row>
    <row r="6" spans="1:7">
      <c r="A6" t="s">
        <v>77</v>
      </c>
      <c r="B6" s="41">
        <v>97.8</v>
      </c>
      <c r="C6" s="41">
        <v>130.69999999999999</v>
      </c>
      <c r="D6" s="41"/>
      <c r="E6" s="41"/>
      <c r="F6" s="42">
        <f t="shared" si="0"/>
        <v>0.78954025813577167</v>
      </c>
      <c r="G6" s="42">
        <f t="shared" si="1"/>
        <v>0.65847188537395074</v>
      </c>
    </row>
    <row r="7" spans="1:7">
      <c r="A7" t="s">
        <v>78</v>
      </c>
      <c r="B7" s="41">
        <v>19.5</v>
      </c>
      <c r="C7" s="41">
        <v>8</v>
      </c>
      <c r="D7" s="41"/>
      <c r="E7" s="41"/>
      <c r="F7" s="42">
        <f t="shared" si="0"/>
        <v>0.15742367110069069</v>
      </c>
      <c r="G7" s="42">
        <f t="shared" si="1"/>
        <v>4.0304323511794998E-2</v>
      </c>
    </row>
    <row r="8" spans="1:7">
      <c r="A8" t="s">
        <v>79</v>
      </c>
      <c r="B8" s="41">
        <v>11</v>
      </c>
      <c r="C8" s="41">
        <v>1.3</v>
      </c>
      <c r="D8" s="41"/>
      <c r="E8" s="41"/>
      <c r="F8" s="42">
        <f t="shared" si="0"/>
        <v>8.8803096518338329E-2</v>
      </c>
      <c r="G8" s="42">
        <f t="shared" si="1"/>
        <v>6.5494525706666874E-3</v>
      </c>
    </row>
    <row r="9" spans="1:7">
      <c r="B9" s="41"/>
      <c r="C9" s="41"/>
      <c r="D9" s="41"/>
      <c r="E9" s="41"/>
      <c r="F9" s="42"/>
      <c r="G9" s="42"/>
    </row>
    <row r="10" spans="1:7">
      <c r="A10" t="s">
        <v>80</v>
      </c>
      <c r="B10" s="41">
        <v>76.099999999999994</v>
      </c>
      <c r="C10" s="41">
        <v>57</v>
      </c>
      <c r="D10" s="41"/>
      <c r="E10" s="41"/>
      <c r="F10" s="42">
        <f t="shared" si="0"/>
        <v>0.61435596773141332</v>
      </c>
      <c r="G10" s="42">
        <f t="shared" si="1"/>
        <v>0.28716830502153939</v>
      </c>
    </row>
    <row r="11" spans="1:7">
      <c r="A11" t="s">
        <v>81</v>
      </c>
      <c r="B11" s="41">
        <v>41.2</v>
      </c>
      <c r="C11" s="41">
        <v>9.5</v>
      </c>
      <c r="F11" s="42">
        <f t="shared" si="0"/>
        <v>0.33260796150504907</v>
      </c>
      <c r="G11" s="42">
        <f t="shared" si="1"/>
        <v>4.7861384170256559E-2</v>
      </c>
    </row>
    <row r="12" spans="1:7">
      <c r="A12" t="s">
        <v>82</v>
      </c>
      <c r="B12" s="41">
        <v>21.8</v>
      </c>
      <c r="C12" s="41">
        <v>0</v>
      </c>
      <c r="F12" s="42">
        <f t="shared" si="0"/>
        <v>0.17599159128179778</v>
      </c>
      <c r="G12" s="42">
        <f t="shared" si="1"/>
        <v>0</v>
      </c>
    </row>
    <row r="13" spans="1:7">
      <c r="A13" t="s">
        <v>83</v>
      </c>
      <c r="B13" s="41">
        <v>21.1</v>
      </c>
      <c r="C13" s="41">
        <v>0</v>
      </c>
      <c r="F13" s="42">
        <f t="shared" si="0"/>
        <v>0.17034048513972172</v>
      </c>
      <c r="G13" s="42">
        <f t="shared" si="1"/>
        <v>0</v>
      </c>
    </row>
    <row r="14" spans="1:7">
      <c r="A14" t="s">
        <v>84</v>
      </c>
      <c r="B14" s="41">
        <v>28.9</v>
      </c>
      <c r="C14" s="41">
        <v>0</v>
      </c>
      <c r="F14" s="42">
        <f t="shared" si="0"/>
        <v>0.23330995357999798</v>
      </c>
      <c r="G14" s="42">
        <f t="shared" si="1"/>
        <v>0</v>
      </c>
    </row>
    <row r="15" spans="1:7">
      <c r="F15" s="42"/>
      <c r="G15" s="42"/>
    </row>
    <row r="16" spans="1:7">
      <c r="A16" t="s">
        <v>85</v>
      </c>
      <c r="B16" s="41">
        <v>78.099999999999994</v>
      </c>
      <c r="C16">
        <v>0</v>
      </c>
      <c r="F16" s="42">
        <f t="shared" si="0"/>
        <v>0.63050198528020207</v>
      </c>
      <c r="G16" s="42">
        <f t="shared" si="1"/>
        <v>0</v>
      </c>
    </row>
    <row r="17" spans="1:7">
      <c r="A17" t="s">
        <v>86</v>
      </c>
      <c r="B17" s="41">
        <v>344.7</v>
      </c>
      <c r="C17" s="41">
        <v>384.3</v>
      </c>
      <c r="F17" s="42">
        <f t="shared" si="0"/>
        <v>2.7827661245337474</v>
      </c>
      <c r="G17" s="42">
        <f t="shared" si="1"/>
        <v>1.9361189406978523</v>
      </c>
    </row>
    <row r="18" spans="1:7">
      <c r="A18" t="s">
        <v>87</v>
      </c>
      <c r="B18" s="41">
        <v>61.8</v>
      </c>
      <c r="C18" s="41">
        <v>33.5</v>
      </c>
      <c r="F18" s="42">
        <f t="shared" si="0"/>
        <v>0.49891194225757352</v>
      </c>
      <c r="G18" s="42">
        <f t="shared" si="1"/>
        <v>0.16877435470564156</v>
      </c>
    </row>
    <row r="19" spans="1:7">
      <c r="A19" t="s">
        <v>88</v>
      </c>
      <c r="B19" s="41">
        <v>17.5</v>
      </c>
      <c r="C19" s="41">
        <v>2.6</v>
      </c>
      <c r="F19" s="42">
        <f t="shared" si="0"/>
        <v>0.14127765355190189</v>
      </c>
      <c r="G19" s="42">
        <f t="shared" si="1"/>
        <v>1.3098905141333375E-2</v>
      </c>
    </row>
  </sheetData>
  <mergeCells count="3">
    <mergeCell ref="B2:C2"/>
    <mergeCell ref="D2:E2"/>
    <mergeCell ref="F2:G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7"/>
  <sheetViews>
    <sheetView workbookViewId="0">
      <selection activeCell="B2" sqref="B2"/>
    </sheetView>
  </sheetViews>
  <sheetFormatPr defaultRowHeight="14.45"/>
  <cols>
    <col min="1" max="1" width="23.5703125" customWidth="1"/>
    <col min="2" max="2" width="15.85546875" customWidth="1"/>
  </cols>
  <sheetData>
    <row r="1" spans="1:2">
      <c r="A1" s="1" t="s">
        <v>89</v>
      </c>
      <c r="B1" s="6" t="s">
        <v>90</v>
      </c>
    </row>
    <row r="2" spans="1:2">
      <c r="A2" t="s">
        <v>91</v>
      </c>
      <c r="B2" s="10">
        <v>19</v>
      </c>
    </row>
    <row r="3" spans="1:2">
      <c r="A3" t="s">
        <v>92</v>
      </c>
      <c r="B3" s="10">
        <v>15.833333333333334</v>
      </c>
    </row>
    <row r="4" spans="1:2">
      <c r="A4" t="s">
        <v>93</v>
      </c>
      <c r="B4" s="10">
        <v>51.81818181818182</v>
      </c>
    </row>
    <row r="5" spans="1:2">
      <c r="A5" t="s">
        <v>94</v>
      </c>
      <c r="B5" s="10">
        <v>9.1324200913242013</v>
      </c>
    </row>
    <row r="6" spans="1:2">
      <c r="A6" t="s">
        <v>95</v>
      </c>
      <c r="B6" s="10">
        <v>13.533333333333333</v>
      </c>
    </row>
    <row r="7" spans="1:2">
      <c r="A7" t="s">
        <v>96</v>
      </c>
      <c r="B7" s="10">
        <v>15.4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2"/>
  <sheetViews>
    <sheetView topLeftCell="A22" workbookViewId="0">
      <selection activeCell="D14" sqref="D14"/>
    </sheetView>
  </sheetViews>
  <sheetFormatPr defaultRowHeight="14.45"/>
  <cols>
    <col min="1" max="1" width="29.140625" customWidth="1"/>
    <col min="2" max="2" width="19.28515625" customWidth="1"/>
    <col min="3" max="3" width="22" customWidth="1"/>
    <col min="4" max="4" width="22.42578125" customWidth="1"/>
    <col min="5" max="5" width="19.7109375" customWidth="1"/>
    <col min="6" max="6" width="15" customWidth="1"/>
    <col min="7" max="7" width="24" customWidth="1"/>
    <col min="8" max="8" width="25.7109375" customWidth="1"/>
    <col min="9" max="9" width="27.28515625" style="37" customWidth="1"/>
  </cols>
  <sheetData>
    <row r="1" spans="1:3">
      <c r="A1" s="2" t="s">
        <v>97</v>
      </c>
      <c r="B1" s="7"/>
      <c r="C1" s="7"/>
    </row>
    <row r="2" spans="1:3">
      <c r="A2" s="1" t="s">
        <v>98</v>
      </c>
      <c r="B2" s="1" t="s">
        <v>99</v>
      </c>
      <c r="C2" s="6" t="s">
        <v>100</v>
      </c>
    </row>
    <row r="3" spans="1:3">
      <c r="A3" t="s">
        <v>101</v>
      </c>
      <c r="B3" t="s">
        <v>102</v>
      </c>
      <c r="C3">
        <v>15</v>
      </c>
    </row>
    <row r="4" spans="1:3">
      <c r="A4" t="s">
        <v>101</v>
      </c>
      <c r="B4" t="s">
        <v>103</v>
      </c>
      <c r="C4">
        <v>700</v>
      </c>
    </row>
    <row r="5" spans="1:3">
      <c r="A5" t="s">
        <v>104</v>
      </c>
      <c r="B5" t="s">
        <v>102</v>
      </c>
      <c r="C5">
        <v>800</v>
      </c>
    </row>
    <row r="6" spans="1:3">
      <c r="A6" t="s">
        <v>104</v>
      </c>
      <c r="B6" t="s">
        <v>103</v>
      </c>
      <c r="C6">
        <v>1400</v>
      </c>
    </row>
    <row r="7" spans="1:3">
      <c r="A7" t="s">
        <v>105</v>
      </c>
      <c r="B7" t="s">
        <v>102</v>
      </c>
      <c r="C7">
        <v>10000</v>
      </c>
    </row>
    <row r="8" spans="1:3">
      <c r="A8" t="s">
        <v>105</v>
      </c>
      <c r="B8" t="s">
        <v>103</v>
      </c>
      <c r="C8">
        <v>16000</v>
      </c>
    </row>
    <row r="9" spans="1:3">
      <c r="A9" t="s">
        <v>106</v>
      </c>
      <c r="B9" t="s">
        <v>102</v>
      </c>
      <c r="C9">
        <v>17000</v>
      </c>
    </row>
    <row r="10" spans="1:3">
      <c r="A10" t="s">
        <v>106</v>
      </c>
      <c r="B10" t="s">
        <v>103</v>
      </c>
      <c r="C10">
        <v>24000</v>
      </c>
    </row>
    <row r="11" spans="1:3">
      <c r="A11" t="s">
        <v>107</v>
      </c>
      <c r="B11" t="s">
        <v>102</v>
      </c>
      <c r="C11">
        <v>25000</v>
      </c>
    </row>
    <row r="12" spans="1:3">
      <c r="A12" t="s">
        <v>107</v>
      </c>
      <c r="B12" t="s">
        <v>103</v>
      </c>
      <c r="C12">
        <v>35000</v>
      </c>
    </row>
    <row r="14" spans="1:3">
      <c r="A14" s="2" t="s">
        <v>108</v>
      </c>
      <c r="B14" s="7"/>
      <c r="C14" s="7"/>
    </row>
    <row r="15" spans="1:3">
      <c r="A15" s="1" t="s">
        <v>109</v>
      </c>
      <c r="C15" s="6" t="s">
        <v>110</v>
      </c>
    </row>
    <row r="16" spans="1:3">
      <c r="A16" t="s">
        <v>111</v>
      </c>
      <c r="C16">
        <v>250</v>
      </c>
    </row>
    <row r="17" spans="1:3">
      <c r="A17" t="s">
        <v>112</v>
      </c>
      <c r="C17">
        <v>700</v>
      </c>
    </row>
    <row r="18" spans="1:3">
      <c r="A18" t="s">
        <v>113</v>
      </c>
      <c r="C18">
        <v>1300</v>
      </c>
    </row>
    <row r="32" spans="1:3" customFormat="1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43"/>
  <sheetViews>
    <sheetView workbookViewId="0">
      <selection activeCell="C9" sqref="C9"/>
    </sheetView>
  </sheetViews>
  <sheetFormatPr defaultRowHeight="14.45"/>
  <sheetData>
    <row r="1" spans="1:3">
      <c r="A1" s="1" t="s">
        <v>28</v>
      </c>
    </row>
    <row r="2" spans="1:3">
      <c r="A2">
        <v>105.9</v>
      </c>
      <c r="B2" t="s">
        <v>114</v>
      </c>
    </row>
    <row r="5" spans="1:3">
      <c r="A5" s="1" t="s">
        <v>115</v>
      </c>
    </row>
    <row r="6" spans="1:3">
      <c r="A6" t="s">
        <v>116</v>
      </c>
    </row>
    <row r="7" spans="1:3">
      <c r="A7" t="s">
        <v>117</v>
      </c>
      <c r="C7">
        <f>A2</f>
        <v>105.9</v>
      </c>
    </row>
    <row r="8" spans="1:3">
      <c r="A8" t="s">
        <v>118</v>
      </c>
      <c r="C8">
        <f>C7</f>
        <v>105.9</v>
      </c>
    </row>
    <row r="9" spans="1:3">
      <c r="A9" t="s">
        <v>119</v>
      </c>
      <c r="C9">
        <f>C8</f>
        <v>105.9</v>
      </c>
    </row>
    <row r="10" spans="1:3">
      <c r="A10" t="s">
        <v>120</v>
      </c>
      <c r="C10">
        <f>C9/2</f>
        <v>52.95</v>
      </c>
    </row>
    <row r="11" spans="1:3">
      <c r="A11" t="s">
        <v>121</v>
      </c>
      <c r="C11" s="25">
        <f>SQRT(C10)</f>
        <v>7.2766750648905578</v>
      </c>
    </row>
    <row r="12" spans="1:3">
      <c r="A12" t="s">
        <v>122</v>
      </c>
      <c r="C12" s="25">
        <f>2*C11</f>
        <v>14.553350129781116</v>
      </c>
    </row>
    <row r="14" spans="1:3">
      <c r="A14" t="s">
        <v>123</v>
      </c>
    </row>
    <row r="15" spans="1:3">
      <c r="A15">
        <v>3</v>
      </c>
      <c r="B15" t="s">
        <v>124</v>
      </c>
      <c r="C15" t="s">
        <v>103</v>
      </c>
    </row>
    <row r="17" spans="1:2">
      <c r="A17" t="s">
        <v>125</v>
      </c>
    </row>
    <row r="18" spans="1:2">
      <c r="A18" s="10">
        <f>(2*C11+2*C12)*A15</f>
        <v>130.98015116803003</v>
      </c>
      <c r="B18" t="s">
        <v>126</v>
      </c>
    </row>
    <row r="20" spans="1:2">
      <c r="A20" t="s">
        <v>127</v>
      </c>
    </row>
    <row r="21" spans="1:2">
      <c r="A21" t="s">
        <v>128</v>
      </c>
    </row>
    <row r="22" spans="1:2">
      <c r="A22" t="s">
        <v>129</v>
      </c>
    </row>
    <row r="23" spans="1:2">
      <c r="A23" t="s">
        <v>130</v>
      </c>
    </row>
    <row r="25" spans="1:2">
      <c r="A25" s="11">
        <v>4</v>
      </c>
      <c r="B25" t="s">
        <v>131</v>
      </c>
    </row>
    <row r="26" spans="1:2">
      <c r="A26" s="45">
        <f>A18-A25</f>
        <v>126.98015116803003</v>
      </c>
      <c r="B26" t="s">
        <v>132</v>
      </c>
    </row>
    <row r="27" spans="1:2">
      <c r="A27" s="45">
        <f>A2</f>
        <v>105.9</v>
      </c>
      <c r="B27" t="s">
        <v>133</v>
      </c>
    </row>
    <row r="30" spans="1:2">
      <c r="A30" s="1" t="s">
        <v>134</v>
      </c>
    </row>
    <row r="31" spans="1:2">
      <c r="A31" t="s">
        <v>135</v>
      </c>
    </row>
    <row r="33" spans="1:2">
      <c r="A33" t="s">
        <v>136</v>
      </c>
    </row>
    <row r="34" spans="1:2">
      <c r="A34">
        <v>3</v>
      </c>
      <c r="B34" t="s">
        <v>137</v>
      </c>
    </row>
    <row r="35" spans="1:2">
      <c r="A35">
        <v>3</v>
      </c>
      <c r="B35" t="s">
        <v>138</v>
      </c>
    </row>
    <row r="36" spans="1:2">
      <c r="A36">
        <v>4</v>
      </c>
      <c r="B36" t="s">
        <v>139</v>
      </c>
    </row>
    <row r="37" spans="1:2">
      <c r="A37">
        <v>4</v>
      </c>
      <c r="B37" t="s">
        <v>140</v>
      </c>
    </row>
    <row r="38" spans="1:2">
      <c r="A38">
        <v>2</v>
      </c>
      <c r="B38" t="s">
        <v>141</v>
      </c>
    </row>
    <row r="39" spans="1:2">
      <c r="A39">
        <v>1</v>
      </c>
      <c r="B39" t="s">
        <v>142</v>
      </c>
    </row>
    <row r="40" spans="1:2">
      <c r="A40" s="11">
        <f>SUM(A34:A39)</f>
        <v>17</v>
      </c>
      <c r="B40" t="s">
        <v>143</v>
      </c>
    </row>
    <row r="42" spans="1:2">
      <c r="A42" t="s">
        <v>144</v>
      </c>
    </row>
    <row r="43" spans="1:2">
      <c r="A43" s="11">
        <f>A40/2</f>
        <v>8.5</v>
      </c>
      <c r="B43" t="s">
        <v>145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55"/>
  <sheetViews>
    <sheetView topLeftCell="A34" workbookViewId="0">
      <selection activeCell="C6" sqref="C6"/>
    </sheetView>
  </sheetViews>
  <sheetFormatPr defaultRowHeight="14.45"/>
  <cols>
    <col min="1" max="1" width="23" customWidth="1"/>
    <col min="2" max="2" width="19.140625" customWidth="1"/>
    <col min="3" max="4" width="14.5703125" customWidth="1"/>
    <col min="5" max="5" width="17.5703125" customWidth="1"/>
    <col min="6" max="6" width="22.42578125" customWidth="1"/>
    <col min="7" max="7" width="25" customWidth="1"/>
  </cols>
  <sheetData>
    <row r="1" spans="1:7">
      <c r="A1" s="2" t="s">
        <v>146</v>
      </c>
      <c r="B1" s="7"/>
      <c r="C1" s="7"/>
      <c r="D1" s="7"/>
      <c r="E1" s="7"/>
      <c r="F1" s="7"/>
      <c r="G1" s="44"/>
    </row>
    <row r="2" spans="1:7" ht="29.1">
      <c r="A2" s="8" t="s">
        <v>147</v>
      </c>
      <c r="B2" s="9" t="s">
        <v>100</v>
      </c>
      <c r="C2" s="9" t="s">
        <v>148</v>
      </c>
      <c r="D2" s="9" t="s">
        <v>149</v>
      </c>
      <c r="E2" s="46" t="s">
        <v>150</v>
      </c>
      <c r="F2" s="46" t="s">
        <v>151</v>
      </c>
      <c r="G2" s="9" t="s">
        <v>152</v>
      </c>
    </row>
    <row r="3" spans="1:7">
      <c r="A3" t="s">
        <v>107</v>
      </c>
      <c r="B3">
        <f>AVERAGE('Component Costs'!C11:C12)</f>
        <v>30000</v>
      </c>
      <c r="C3" s="42">
        <f>'Appliances per Household'!F19</f>
        <v>0.14127765355190189</v>
      </c>
      <c r="D3" s="42">
        <f>'Appliances per Household'!G19</f>
        <v>1.3098905141333375E-2</v>
      </c>
      <c r="E3" s="10">
        <f t="shared" ref="E3:F10" si="0">$B3*C3</f>
        <v>4238.3296065570566</v>
      </c>
      <c r="F3" s="10">
        <f t="shared" si="0"/>
        <v>392.96715424000126</v>
      </c>
      <c r="G3" s="37" t="s">
        <v>92</v>
      </c>
    </row>
    <row r="4" spans="1:7">
      <c r="A4" t="s">
        <v>104</v>
      </c>
      <c r="B4">
        <f>AVERAGE('Component Costs'!C5:C6)</f>
        <v>1100</v>
      </c>
      <c r="C4" s="42">
        <f>'Appliances per Household'!F17</f>
        <v>2.7827661245337474</v>
      </c>
      <c r="D4" s="42">
        <f>'Appliances per Household'!G17</f>
        <v>1.9361189406978523</v>
      </c>
      <c r="E4" s="10">
        <f t="shared" si="0"/>
        <v>3061.0427369871222</v>
      </c>
      <c r="F4" s="10">
        <f t="shared" si="0"/>
        <v>2129.7308347676376</v>
      </c>
      <c r="G4" s="37" t="s">
        <v>92</v>
      </c>
    </row>
    <row r="5" spans="1:7">
      <c r="A5" t="s">
        <v>111</v>
      </c>
      <c r="B5">
        <f>'Component Costs'!C16</f>
        <v>250</v>
      </c>
      <c r="C5" s="10">
        <f>'Envelope Lighting Calcs'!$A26</f>
        <v>126.98015116803003</v>
      </c>
      <c r="D5" s="10">
        <f>'Envelope Lighting Calcs'!$A26</f>
        <v>126.98015116803003</v>
      </c>
      <c r="E5" s="10">
        <f t="shared" si="0"/>
        <v>31745.037792007508</v>
      </c>
      <c r="F5" s="10">
        <f t="shared" si="0"/>
        <v>31745.037792007508</v>
      </c>
      <c r="G5" s="37" t="s">
        <v>93</v>
      </c>
    </row>
    <row r="6" spans="1:7">
      <c r="A6" t="s">
        <v>112</v>
      </c>
      <c r="B6">
        <f>'Component Costs'!C17</f>
        <v>700</v>
      </c>
      <c r="C6" s="10">
        <f>'Envelope Lighting Calcs'!$A27</f>
        <v>105.9</v>
      </c>
      <c r="D6" s="10">
        <f>'Envelope Lighting Calcs'!$A27</f>
        <v>105.9</v>
      </c>
      <c r="E6" s="10">
        <f t="shared" si="0"/>
        <v>74130</v>
      </c>
      <c r="F6" s="10">
        <f t="shared" si="0"/>
        <v>74130</v>
      </c>
      <c r="G6" s="37" t="s">
        <v>93</v>
      </c>
    </row>
    <row r="7" spans="1:7">
      <c r="A7" t="s">
        <v>113</v>
      </c>
      <c r="B7">
        <f>'Component Costs'!C18</f>
        <v>1300</v>
      </c>
      <c r="C7">
        <f>'Envelope Lighting Calcs'!$A25</f>
        <v>4</v>
      </c>
      <c r="D7">
        <f>'Envelope Lighting Calcs'!$A25</f>
        <v>4</v>
      </c>
      <c r="E7" s="10">
        <f t="shared" si="0"/>
        <v>5200</v>
      </c>
      <c r="F7" s="10">
        <f t="shared" si="0"/>
        <v>5200</v>
      </c>
      <c r="G7" s="37" t="s">
        <v>93</v>
      </c>
    </row>
    <row r="8" spans="1:7">
      <c r="A8" t="s">
        <v>101</v>
      </c>
      <c r="B8" s="10">
        <f>AVERAGE('Component Costs'!C3:C4)</f>
        <v>357.5</v>
      </c>
      <c r="C8">
        <f>'Envelope Lighting Calcs'!A40</f>
        <v>17</v>
      </c>
      <c r="D8">
        <f>'Envelope Lighting Calcs'!A43</f>
        <v>8.5</v>
      </c>
      <c r="E8" s="10">
        <f t="shared" si="0"/>
        <v>6077.5</v>
      </c>
      <c r="F8" s="10">
        <f t="shared" si="0"/>
        <v>3038.75</v>
      </c>
      <c r="G8" s="37" t="s">
        <v>94</v>
      </c>
    </row>
    <row r="9" spans="1:7">
      <c r="A9" t="s">
        <v>106</v>
      </c>
      <c r="B9">
        <f>AVERAGE('Component Costs'!C9:C10)</f>
        <v>20500</v>
      </c>
      <c r="C9" s="42">
        <f>'Appliances per Household'!F10</f>
        <v>0.61435596773141332</v>
      </c>
      <c r="D9" s="42">
        <f>'Appliances per Household'!G10</f>
        <v>0.28716830502153939</v>
      </c>
      <c r="E9" s="10">
        <f t="shared" si="0"/>
        <v>12594.297338493972</v>
      </c>
      <c r="F9" s="10">
        <f t="shared" si="0"/>
        <v>5886.9502529415577</v>
      </c>
      <c r="G9" s="37" t="s">
        <v>95</v>
      </c>
    </row>
    <row r="10" spans="1:7">
      <c r="A10" t="s">
        <v>105</v>
      </c>
      <c r="B10">
        <f>AVERAGE('Component Costs'!C7:C8)</f>
        <v>13000</v>
      </c>
      <c r="C10" s="42">
        <f>'Appliances per Household'!F6</f>
        <v>0.78954025813577167</v>
      </c>
      <c r="D10" s="42">
        <f>'Appliances per Household'!G6</f>
        <v>0.65847188537395074</v>
      </c>
      <c r="E10" s="10">
        <f t="shared" si="0"/>
        <v>10264.023355765032</v>
      </c>
      <c r="F10" s="10">
        <f t="shared" si="0"/>
        <v>8560.1345098613601</v>
      </c>
      <c r="G10" s="37" t="s">
        <v>95</v>
      </c>
    </row>
    <row r="11" spans="1:7">
      <c r="G11" s="37"/>
    </row>
    <row r="12" spans="1:7">
      <c r="A12" s="1" t="s">
        <v>153</v>
      </c>
      <c r="G12" s="37"/>
    </row>
    <row r="13" spans="1:7">
      <c r="A13" s="8" t="s">
        <v>147</v>
      </c>
      <c r="B13" s="6" t="s">
        <v>154</v>
      </c>
      <c r="G13" s="37"/>
    </row>
    <row r="14" spans="1:7">
      <c r="A14" t="s">
        <v>75</v>
      </c>
      <c r="B14" s="10">
        <f>B8</f>
        <v>357.5</v>
      </c>
      <c r="C14" s="42">
        <f>'Appliances per Household'!F4</f>
        <v>0.40365043871971967</v>
      </c>
      <c r="D14" s="42">
        <f>'Appliances per Household'!G4</f>
        <v>0.3798682490986679</v>
      </c>
      <c r="E14" s="10">
        <f t="shared" ref="E14:E22" si="1">$B14*C14</f>
        <v>144.30503184229977</v>
      </c>
      <c r="F14" s="10">
        <f t="shared" ref="F14:F23" si="2">$B14*D14</f>
        <v>135.80289905277377</v>
      </c>
      <c r="G14" s="37" t="s">
        <v>96</v>
      </c>
    </row>
    <row r="15" spans="1:7">
      <c r="A15" t="s">
        <v>76</v>
      </c>
      <c r="B15">
        <f>B4/2</f>
        <v>550</v>
      </c>
      <c r="C15" s="42">
        <f>'Appliances per Household'!F5</f>
        <v>0.49568273874781577</v>
      </c>
      <c r="D15" s="42">
        <f>'Appliances per Household'!G5</f>
        <v>0.3279764325772318</v>
      </c>
      <c r="E15" s="10">
        <f t="shared" si="1"/>
        <v>272.62550631129869</v>
      </c>
      <c r="F15" s="10">
        <f t="shared" si="2"/>
        <v>180.3870379174775</v>
      </c>
      <c r="G15" s="37" t="s">
        <v>96</v>
      </c>
    </row>
    <row r="16" spans="1:7">
      <c r="A16" t="s">
        <v>78</v>
      </c>
      <c r="B16">
        <f>B4</f>
        <v>1100</v>
      </c>
      <c r="C16" s="42">
        <f>'Appliances per Household'!F7</f>
        <v>0.15742367110069069</v>
      </c>
      <c r="D16" s="42">
        <f>'Appliances per Household'!G7</f>
        <v>4.0304323511794998E-2</v>
      </c>
      <c r="E16" s="10">
        <f t="shared" si="1"/>
        <v>173.16603821075975</v>
      </c>
      <c r="F16" s="10">
        <f t="shared" si="2"/>
        <v>44.334755862974497</v>
      </c>
      <c r="G16" s="37" t="s">
        <v>96</v>
      </c>
    </row>
    <row r="17" spans="1:7">
      <c r="A17" t="s">
        <v>155</v>
      </c>
      <c r="B17">
        <f>B9</f>
        <v>20500</v>
      </c>
      <c r="C17" s="42">
        <f>'Appliances per Household'!F8</f>
        <v>8.8803096518338329E-2</v>
      </c>
      <c r="D17" s="42">
        <f>'Appliances per Household'!G8</f>
        <v>6.5494525706666874E-3</v>
      </c>
      <c r="E17" s="10">
        <f t="shared" si="1"/>
        <v>1820.4634786259357</v>
      </c>
      <c r="F17" s="10">
        <f t="shared" si="2"/>
        <v>134.2637776986671</v>
      </c>
      <c r="G17" s="37" t="s">
        <v>96</v>
      </c>
    </row>
    <row r="18" spans="1:7">
      <c r="A18" t="s">
        <v>81</v>
      </c>
      <c r="B18">
        <f>B3</f>
        <v>30000</v>
      </c>
      <c r="C18" s="42">
        <f>'Appliances per Household'!F11</f>
        <v>0.33260796150504907</v>
      </c>
      <c r="D18" s="42">
        <f>'Appliances per Household'!G11</f>
        <v>4.7861384170256559E-2</v>
      </c>
      <c r="E18" s="10">
        <f t="shared" si="1"/>
        <v>9978.2388451514726</v>
      </c>
      <c r="F18" s="10">
        <f t="shared" si="2"/>
        <v>1435.8415251076967</v>
      </c>
      <c r="G18" s="37" t="s">
        <v>95</v>
      </c>
    </row>
    <row r="19" spans="1:7">
      <c r="A19" t="s">
        <v>82</v>
      </c>
      <c r="B19">
        <f>B3</f>
        <v>30000</v>
      </c>
      <c r="C19" s="42">
        <f>'Appliances per Household'!F12</f>
        <v>0.17599159128179778</v>
      </c>
      <c r="D19" s="42">
        <f>'Appliances per Household'!G12</f>
        <v>0</v>
      </c>
      <c r="E19" s="10">
        <f t="shared" si="1"/>
        <v>5279.7477384539334</v>
      </c>
      <c r="F19" s="10">
        <f t="shared" si="2"/>
        <v>0</v>
      </c>
      <c r="G19" s="37" t="s">
        <v>95</v>
      </c>
    </row>
    <row r="20" spans="1:7">
      <c r="A20" t="s">
        <v>83</v>
      </c>
      <c r="B20">
        <f>B8*2</f>
        <v>715</v>
      </c>
      <c r="C20" s="42">
        <f>'Appliances per Household'!F13</f>
        <v>0.17034048513972172</v>
      </c>
      <c r="D20" s="42">
        <f>'Appliances per Household'!G13</f>
        <v>0</v>
      </c>
      <c r="E20" s="10">
        <f t="shared" si="1"/>
        <v>121.79344687490104</v>
      </c>
      <c r="F20" s="10">
        <f t="shared" si="2"/>
        <v>0</v>
      </c>
      <c r="G20" s="37" t="s">
        <v>95</v>
      </c>
    </row>
    <row r="21" spans="1:7">
      <c r="A21" t="s">
        <v>84</v>
      </c>
      <c r="B21">
        <f>B8*3</f>
        <v>1072.5</v>
      </c>
      <c r="C21" s="42">
        <f>'Appliances per Household'!F14</f>
        <v>0.23330995357999798</v>
      </c>
      <c r="D21" s="42">
        <f>'Appliances per Household'!G14</f>
        <v>0</v>
      </c>
      <c r="E21" s="10">
        <f t="shared" si="1"/>
        <v>250.22492521454782</v>
      </c>
      <c r="F21" s="10">
        <f t="shared" si="2"/>
        <v>0</v>
      </c>
      <c r="G21" s="37" t="s">
        <v>95</v>
      </c>
    </row>
    <row r="22" spans="1:7">
      <c r="A22" t="s">
        <v>85</v>
      </c>
      <c r="B22">
        <f>B9</f>
        <v>20500</v>
      </c>
      <c r="C22" s="42">
        <f>'Appliances per Household'!F16</f>
        <v>0.63050198528020207</v>
      </c>
      <c r="D22" s="42">
        <f>'Appliances per Household'!G16</f>
        <v>0</v>
      </c>
      <c r="E22" s="10">
        <f t="shared" si="1"/>
        <v>12925.290698244142</v>
      </c>
      <c r="F22" s="10">
        <f t="shared" si="2"/>
        <v>0</v>
      </c>
      <c r="G22" s="37" t="s">
        <v>95</v>
      </c>
    </row>
    <row r="23" spans="1:7">
      <c r="A23" t="s">
        <v>87</v>
      </c>
      <c r="B23">
        <f>B9</f>
        <v>20500</v>
      </c>
      <c r="C23" s="42">
        <f>'Appliances per Household'!F18</f>
        <v>0.49891194225757352</v>
      </c>
      <c r="D23" s="42">
        <f>'Appliances per Household'!G18</f>
        <v>0.16877435470564156</v>
      </c>
      <c r="E23" s="10">
        <f>$B23*C23</f>
        <v>10227.694816280256</v>
      </c>
      <c r="F23" s="10">
        <f t="shared" si="2"/>
        <v>3459.8742714656519</v>
      </c>
      <c r="G23" s="37" t="s">
        <v>92</v>
      </c>
    </row>
    <row r="27" spans="1:7">
      <c r="A27" s="2" t="s">
        <v>156</v>
      </c>
      <c r="B27" s="7"/>
      <c r="C27" s="7"/>
      <c r="D27" s="7"/>
      <c r="E27" s="7"/>
      <c r="F27" s="7"/>
      <c r="G27" s="7"/>
    </row>
    <row r="28" spans="1:7">
      <c r="A28" t="s">
        <v>157</v>
      </c>
    </row>
    <row r="29" spans="1:7">
      <c r="A29" t="s">
        <v>158</v>
      </c>
    </row>
    <row r="30" spans="1:7">
      <c r="A30" t="s">
        <v>159</v>
      </c>
    </row>
    <row r="31" spans="1:7">
      <c r="A31" t="s">
        <v>160</v>
      </c>
    </row>
    <row r="32" spans="1:7">
      <c r="A32" t="s">
        <v>161</v>
      </c>
    </row>
    <row r="34" spans="1:6" ht="29.1">
      <c r="A34" s="8" t="s">
        <v>147</v>
      </c>
      <c r="B34" s="9" t="s">
        <v>100</v>
      </c>
      <c r="C34" s="9" t="s">
        <v>162</v>
      </c>
      <c r="D34" s="9" t="s">
        <v>163</v>
      </c>
      <c r="E34" s="46" t="s">
        <v>164</v>
      </c>
      <c r="F34" s="9" t="s">
        <v>152</v>
      </c>
    </row>
    <row r="35" spans="1:6">
      <c r="A35" t="s">
        <v>107</v>
      </c>
      <c r="B35">
        <f>B3</f>
        <v>30000</v>
      </c>
      <c r="C35" s="42">
        <f>C3*10</f>
        <v>1.4127765355190189</v>
      </c>
      <c r="D35">
        <f>C35/'Envelope Lighting Calcs'!$A$2</f>
        <v>1.3340666057781104E-2</v>
      </c>
      <c r="E35" s="42">
        <f>B35*D35</f>
        <v>400.21998173343309</v>
      </c>
      <c r="F35" s="37" t="s">
        <v>92</v>
      </c>
    </row>
    <row r="36" spans="1:6">
      <c r="A36" t="s">
        <v>104</v>
      </c>
      <c r="B36">
        <f t="shared" ref="B36:C42" si="3">B4</f>
        <v>1100</v>
      </c>
      <c r="C36" s="42">
        <f>C4</f>
        <v>2.7827661245337474</v>
      </c>
      <c r="D36">
        <f>C36/'Envelope Lighting Calcs'!$A$2</f>
        <v>2.627730051495512E-2</v>
      </c>
      <c r="E36" s="42">
        <f t="shared" ref="E36:E42" si="4">B36*D36</f>
        <v>28.905030566450634</v>
      </c>
      <c r="F36" s="37" t="s">
        <v>92</v>
      </c>
    </row>
    <row r="37" spans="1:6">
      <c r="A37" t="s">
        <v>111</v>
      </c>
      <c r="B37">
        <f t="shared" si="3"/>
        <v>250</v>
      </c>
      <c r="C37" s="42">
        <f>C5</f>
        <v>126.98015116803003</v>
      </c>
      <c r="D37">
        <f>C37/'Envelope Lighting Calcs'!$A$2</f>
        <v>1.1990571403968842</v>
      </c>
      <c r="E37" s="42">
        <f t="shared" si="4"/>
        <v>299.76428509922101</v>
      </c>
      <c r="F37" s="37" t="s">
        <v>93</v>
      </c>
    </row>
    <row r="38" spans="1:6">
      <c r="A38" t="s">
        <v>112</v>
      </c>
      <c r="B38">
        <f t="shared" si="3"/>
        <v>700</v>
      </c>
      <c r="C38" s="42">
        <f t="shared" si="3"/>
        <v>105.9</v>
      </c>
      <c r="D38" s="10">
        <f>C38/'Envelope Lighting Calcs'!$A$2</f>
        <v>1</v>
      </c>
      <c r="E38" s="42">
        <f t="shared" si="4"/>
        <v>700</v>
      </c>
      <c r="F38" s="37" t="s">
        <v>93</v>
      </c>
    </row>
    <row r="39" spans="1:6">
      <c r="A39" t="s">
        <v>113</v>
      </c>
      <c r="B39">
        <f t="shared" si="3"/>
        <v>1300</v>
      </c>
      <c r="C39" s="42">
        <f t="shared" si="3"/>
        <v>4</v>
      </c>
      <c r="D39">
        <f>C39/'Envelope Lighting Calcs'!$A$2</f>
        <v>3.7771482530689328E-2</v>
      </c>
      <c r="E39" s="42">
        <f t="shared" si="4"/>
        <v>49.10292728989613</v>
      </c>
      <c r="F39" s="37" t="s">
        <v>93</v>
      </c>
    </row>
    <row r="40" spans="1:6">
      <c r="A40" t="s">
        <v>101</v>
      </c>
      <c r="B40">
        <f t="shared" si="3"/>
        <v>357.5</v>
      </c>
      <c r="C40" s="42">
        <f t="shared" si="3"/>
        <v>17</v>
      </c>
      <c r="D40">
        <f>C40/'Envelope Lighting Calcs'!$A$2</f>
        <v>0.16052880075542963</v>
      </c>
      <c r="E40" s="42">
        <f t="shared" si="4"/>
        <v>57.389046270066096</v>
      </c>
      <c r="F40" s="37" t="s">
        <v>94</v>
      </c>
    </row>
    <row r="41" spans="1:6">
      <c r="A41" t="s">
        <v>106</v>
      </c>
      <c r="B41">
        <f t="shared" si="3"/>
        <v>20500</v>
      </c>
      <c r="C41" s="42">
        <f t="shared" si="3"/>
        <v>0.61435596773141332</v>
      </c>
      <c r="D41">
        <f>C41/'Envelope Lighting Calcs'!$A$2</f>
        <v>5.801283925697954E-3</v>
      </c>
      <c r="E41" s="42">
        <f t="shared" si="4"/>
        <v>118.92632047680806</v>
      </c>
      <c r="F41" s="37" t="s">
        <v>95</v>
      </c>
    </row>
    <row r="42" spans="1:6">
      <c r="A42" t="s">
        <v>105</v>
      </c>
      <c r="B42">
        <f t="shared" si="3"/>
        <v>13000</v>
      </c>
      <c r="C42" s="42">
        <f>C10/4</f>
        <v>0.19738506453394292</v>
      </c>
      <c r="D42">
        <f>C42/'Envelope Lighting Calcs'!$A$2</f>
        <v>1.8638816292157025E-3</v>
      </c>
      <c r="E42" s="42">
        <f t="shared" si="4"/>
        <v>24.230461179804134</v>
      </c>
      <c r="F42" s="37" t="s">
        <v>95</v>
      </c>
    </row>
    <row r="44" spans="1:6">
      <c r="A44" s="1" t="s">
        <v>153</v>
      </c>
    </row>
    <row r="45" spans="1:6">
      <c r="A45" s="8" t="s">
        <v>147</v>
      </c>
      <c r="B45" s="6" t="s">
        <v>154</v>
      </c>
    </row>
    <row r="46" spans="1:6">
      <c r="A46" t="s">
        <v>75</v>
      </c>
      <c r="B46">
        <f t="shared" ref="B46:C55" si="5">B14</f>
        <v>357.5</v>
      </c>
      <c r="C46" s="42">
        <f>C14/10</f>
        <v>4.036504387197197E-2</v>
      </c>
      <c r="D46">
        <f>C46/'Envelope Lighting Calcs'!$A$2</f>
        <v>3.8116188736517437E-4</v>
      </c>
      <c r="E46" s="42">
        <f t="shared" ref="E46:E55" si="6">B46*D46</f>
        <v>0.13626537473304984</v>
      </c>
      <c r="F46" s="37" t="s">
        <v>96</v>
      </c>
    </row>
    <row r="47" spans="1:6">
      <c r="A47" t="s">
        <v>76</v>
      </c>
      <c r="B47">
        <f t="shared" si="5"/>
        <v>550</v>
      </c>
      <c r="C47" s="42">
        <f>C15/10</f>
        <v>4.9568273874781577E-2</v>
      </c>
      <c r="D47">
        <f>C47/'Envelope Lighting Calcs'!$A$2</f>
        <v>4.6806679768443413E-4</v>
      </c>
      <c r="E47" s="42">
        <f t="shared" si="6"/>
        <v>0.2574367387264388</v>
      </c>
      <c r="F47" s="37" t="s">
        <v>96</v>
      </c>
    </row>
    <row r="48" spans="1:6">
      <c r="A48" t="s">
        <v>78</v>
      </c>
      <c r="B48">
        <f t="shared" si="5"/>
        <v>1100</v>
      </c>
      <c r="C48" s="42">
        <f>C16/10</f>
        <v>1.5742367110069069E-2</v>
      </c>
      <c r="D48">
        <f>C48/'Envelope Lighting Calcs'!$A$2</f>
        <v>1.4865313607241801E-4</v>
      </c>
      <c r="E48" s="42">
        <f t="shared" si="6"/>
        <v>0.16351844967965981</v>
      </c>
      <c r="F48" s="37" t="s">
        <v>96</v>
      </c>
    </row>
    <row r="49" spans="1:6">
      <c r="A49" t="s">
        <v>155</v>
      </c>
      <c r="B49">
        <f t="shared" si="5"/>
        <v>20500</v>
      </c>
      <c r="C49" s="42">
        <f>C17*20</f>
        <v>1.7760619303667666</v>
      </c>
      <c r="D49">
        <f>C49/'Envelope Lighting Calcs'!$A$2</f>
        <v>1.6771123044067672E-2</v>
      </c>
      <c r="E49" s="42">
        <f t="shared" si="6"/>
        <v>343.80802240338727</v>
      </c>
      <c r="F49" s="37" t="s">
        <v>96</v>
      </c>
    </row>
    <row r="50" spans="1:6">
      <c r="A50" t="s">
        <v>81</v>
      </c>
      <c r="B50">
        <f t="shared" si="5"/>
        <v>30000</v>
      </c>
      <c r="C50" s="42">
        <f>C18/20</f>
        <v>1.6630398075252455E-2</v>
      </c>
      <c r="D50">
        <f>C50/'Envelope Lighting Calcs'!$A$2</f>
        <v>1.5703869759445187E-4</v>
      </c>
      <c r="E50" s="42">
        <f t="shared" si="6"/>
        <v>4.7111609278335562</v>
      </c>
      <c r="F50" s="37" t="s">
        <v>95</v>
      </c>
    </row>
    <row r="51" spans="1:6">
      <c r="A51" t="s">
        <v>82</v>
      </c>
      <c r="B51">
        <f t="shared" si="5"/>
        <v>30000</v>
      </c>
      <c r="C51" s="42">
        <f>C19/10</f>
        <v>1.7599159128179779E-2</v>
      </c>
      <c r="D51">
        <f>C51/'Envelope Lighting Calcs'!$A$2</f>
        <v>1.6618658289121603E-4</v>
      </c>
      <c r="E51" s="42">
        <f t="shared" si="6"/>
        <v>4.9855974867364807</v>
      </c>
      <c r="F51" s="37" t="s">
        <v>95</v>
      </c>
    </row>
    <row r="52" spans="1:6">
      <c r="A52" t="s">
        <v>83</v>
      </c>
      <c r="B52">
        <f t="shared" si="5"/>
        <v>715</v>
      </c>
      <c r="C52" s="42">
        <f>C20/10</f>
        <v>1.7034048513972173E-2</v>
      </c>
      <c r="D52">
        <f>C52/'Envelope Lighting Calcs'!$A$2</f>
        <v>1.608503164681036E-4</v>
      </c>
      <c r="E52" s="42">
        <f t="shared" si="6"/>
        <v>0.11500797627469407</v>
      </c>
      <c r="F52" s="37" t="s">
        <v>95</v>
      </c>
    </row>
    <row r="53" spans="1:6">
      <c r="A53" t="s">
        <v>84</v>
      </c>
      <c r="B53">
        <f t="shared" si="5"/>
        <v>1072.5</v>
      </c>
      <c r="C53" s="42">
        <f>C21/10</f>
        <v>2.3330995357999797E-2</v>
      </c>
      <c r="D53">
        <f>C53/'Envelope Lighting Calcs'!$A$2</f>
        <v>2.2031157089707077E-4</v>
      </c>
      <c r="E53" s="42">
        <f t="shared" si="6"/>
        <v>0.2362841597871084</v>
      </c>
      <c r="F53" s="37" t="s">
        <v>95</v>
      </c>
    </row>
    <row r="54" spans="1:6">
      <c r="A54" t="s">
        <v>85</v>
      </c>
      <c r="B54">
        <f t="shared" si="5"/>
        <v>20500</v>
      </c>
      <c r="C54" s="42">
        <f>C22</f>
        <v>0.63050198528020207</v>
      </c>
      <c r="D54">
        <f>C54/'Envelope Lighting Calcs'!$A$2</f>
        <v>5.9537486806440229E-3</v>
      </c>
      <c r="E54" s="42">
        <f t="shared" si="6"/>
        <v>122.05184795320247</v>
      </c>
      <c r="F54" s="37" t="s">
        <v>95</v>
      </c>
    </row>
    <row r="55" spans="1:6">
      <c r="A55" t="s">
        <v>87</v>
      </c>
      <c r="B55">
        <f t="shared" si="5"/>
        <v>20500</v>
      </c>
      <c r="C55" s="42">
        <f t="shared" si="5"/>
        <v>0.49891194225757352</v>
      </c>
      <c r="D55">
        <f>C55/'Envelope Lighting Calcs'!$A$2</f>
        <v>4.7111609278335555E-3</v>
      </c>
      <c r="E55" s="42">
        <f t="shared" si="6"/>
        <v>96.578799020587894</v>
      </c>
      <c r="F55" s="37" t="s">
        <v>92</v>
      </c>
    </row>
  </sheetData>
  <pageMargins left="0.7" right="0.7" top="0.75" bottom="0.75" header="0.3" footer="0.3"/>
  <ignoredErrors>
    <ignoredError sqref="B4:B10" formulaRange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C85"/>
  <sheetViews>
    <sheetView topLeftCell="AD73" zoomScale="80" zoomScaleNormal="80" workbookViewId="0">
      <selection activeCell="AI80" sqref="AI80:BC85"/>
    </sheetView>
  </sheetViews>
  <sheetFormatPr defaultRowHeight="14.45"/>
  <cols>
    <col min="1" max="1" width="26.7109375" customWidth="1"/>
    <col min="2" max="2" width="13.5703125" customWidth="1"/>
    <col min="3" max="3" width="9.140625" customWidth="1"/>
    <col min="34" max="35" width="9.28515625" bestFit="1" customWidth="1"/>
  </cols>
  <sheetData>
    <row r="1" spans="1:55">
      <c r="A1" s="1" t="s">
        <v>165</v>
      </c>
      <c r="B1" s="36" t="s">
        <v>166</v>
      </c>
    </row>
    <row r="2" spans="1:55">
      <c r="A2">
        <v>2012</v>
      </c>
      <c r="B2">
        <v>54.77</v>
      </c>
    </row>
    <row r="3" spans="1:55">
      <c r="A3" s="39" t="s">
        <v>167</v>
      </c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/>
      <c r="AE3" s="40"/>
      <c r="AF3" s="40"/>
      <c r="AG3" s="40"/>
      <c r="AH3" s="40"/>
      <c r="AI3" s="40"/>
    </row>
    <row r="4" spans="1:55">
      <c r="A4" s="2" t="s">
        <v>168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</row>
    <row r="5" spans="1:55">
      <c r="B5" s="38">
        <v>2017</v>
      </c>
      <c r="C5" s="38">
        <v>2018</v>
      </c>
      <c r="D5" s="38">
        <v>2019</v>
      </c>
      <c r="E5" s="38">
        <v>2020</v>
      </c>
      <c r="F5" s="38">
        <v>2021</v>
      </c>
      <c r="G5" s="38">
        <v>2022</v>
      </c>
      <c r="H5" s="38">
        <v>2023</v>
      </c>
      <c r="I5" s="38">
        <v>2024</v>
      </c>
      <c r="J5" s="38">
        <v>2025</v>
      </c>
      <c r="K5" s="38">
        <v>2026</v>
      </c>
      <c r="L5" s="38">
        <v>2027</v>
      </c>
      <c r="M5" s="38">
        <v>2028</v>
      </c>
      <c r="N5" s="38">
        <v>2029</v>
      </c>
      <c r="O5" s="38">
        <v>2030</v>
      </c>
      <c r="P5" s="38">
        <v>2031</v>
      </c>
      <c r="Q5" s="38">
        <v>2032</v>
      </c>
      <c r="R5" s="38">
        <v>2033</v>
      </c>
      <c r="S5" s="38">
        <v>2034</v>
      </c>
      <c r="T5" s="38">
        <v>2035</v>
      </c>
      <c r="U5" s="38">
        <v>2036</v>
      </c>
      <c r="V5" s="38">
        <v>2037</v>
      </c>
      <c r="W5" s="38">
        <v>2038</v>
      </c>
      <c r="X5" s="38">
        <v>2039</v>
      </c>
      <c r="Y5" s="38">
        <v>2040</v>
      </c>
      <c r="Z5" s="38">
        <v>2041</v>
      </c>
      <c r="AA5" s="38">
        <v>2042</v>
      </c>
      <c r="AB5" s="38">
        <v>2043</v>
      </c>
      <c r="AC5" s="38">
        <v>2044</v>
      </c>
      <c r="AD5" s="38">
        <v>2045</v>
      </c>
      <c r="AE5" s="38">
        <v>2046</v>
      </c>
      <c r="AF5" s="38">
        <v>2047</v>
      </c>
      <c r="AG5" s="38">
        <v>2048</v>
      </c>
      <c r="AH5" s="38">
        <v>2049</v>
      </c>
      <c r="AI5" s="38">
        <v>2050</v>
      </c>
      <c r="AJ5">
        <v>2051</v>
      </c>
      <c r="AK5">
        <v>2052</v>
      </c>
      <c r="AL5">
        <v>2053</v>
      </c>
      <c r="AM5">
        <v>2054</v>
      </c>
      <c r="AN5">
        <v>2055</v>
      </c>
      <c r="AO5">
        <v>2056</v>
      </c>
      <c r="AP5">
        <v>2057</v>
      </c>
      <c r="AQ5">
        <v>2058</v>
      </c>
      <c r="AR5">
        <v>2059</v>
      </c>
      <c r="AS5">
        <v>2060</v>
      </c>
      <c r="AT5">
        <v>2061</v>
      </c>
      <c r="AU5">
        <v>2062</v>
      </c>
      <c r="AV5">
        <v>2063</v>
      </c>
      <c r="AW5">
        <v>2064</v>
      </c>
      <c r="AX5">
        <v>2065</v>
      </c>
      <c r="AY5">
        <v>2066</v>
      </c>
      <c r="AZ5">
        <v>2067</v>
      </c>
      <c r="BA5">
        <v>2068</v>
      </c>
      <c r="BB5">
        <v>2069</v>
      </c>
      <c r="BC5">
        <v>2070</v>
      </c>
    </row>
    <row r="6" spans="1:55">
      <c r="A6" t="s">
        <v>91</v>
      </c>
      <c r="B6" s="4">
        <f>'Building Projections'!G$11+(1/'Component Lifetimes'!$B2)*'Building Projections'!F$10</f>
        <v>8954711.0646400694</v>
      </c>
      <c r="C6" s="4">
        <f>'Building Projections'!H$11+(1/'Component Lifetimes'!$B2)*'Building Projections'!G$10</f>
        <v>8703210.1298554149</v>
      </c>
      <c r="D6" s="4">
        <f>'Building Projections'!I$11+(1/'Component Lifetimes'!$B2)*'Building Projections'!H$10</f>
        <v>9451375.9699794278</v>
      </c>
      <c r="E6" s="4">
        <f>'Building Projections'!J$11+(1/'Component Lifetimes'!$B2)*'Building Projections'!I$10</f>
        <v>9888268.3233046569</v>
      </c>
      <c r="F6" s="4">
        <f>'Building Projections'!K$11+(1/'Component Lifetimes'!$B2)*'Building Projections'!J$10</f>
        <v>9654725.4742970578</v>
      </c>
      <c r="G6" s="4">
        <f>'Building Projections'!L$11+(1/'Component Lifetimes'!$B2)*'Building Projections'!K$10</f>
        <v>10079645.77043841</v>
      </c>
      <c r="H6" s="4">
        <f>'Building Projections'!M$11+(1/'Component Lifetimes'!$B2)*'Building Projections'!L$10</f>
        <v>10289069.037258154</v>
      </c>
      <c r="I6" s="4">
        <f>'Building Projections'!N$11+(1/'Component Lifetimes'!$B2)*'Building Projections'!M$10</f>
        <v>10681293.483041633</v>
      </c>
      <c r="J6" s="4">
        <f>'Building Projections'!O$11+(1/'Component Lifetimes'!$B2)*'Building Projections'!N$10</f>
        <v>10900337.86454411</v>
      </c>
      <c r="K6" s="4">
        <f>'Building Projections'!P$11+(1/'Component Lifetimes'!$B2)*'Building Projections'!O$10</f>
        <v>11119382.24604436</v>
      </c>
      <c r="L6" s="4">
        <f>'Building Projections'!Q$11+(1/'Component Lifetimes'!$B2)*'Building Projections'!P$10</f>
        <v>11800345.468607895</v>
      </c>
      <c r="M6" s="4">
        <f>'Building Projections'!R$11+(1/'Component Lifetimes'!$B2)*'Building Projections'!Q$10</f>
        <v>11432942.011546589</v>
      </c>
      <c r="N6" s="4">
        <f>'Building Projections'!S$11+(1/'Component Lifetimes'!$B2)*'Building Projections'!R$10</f>
        <v>12106071.522770528</v>
      </c>
      <c r="O6" s="4">
        <f>'Building Projections'!T$11+(1/'Component Lifetimes'!$B2)*'Building Projections'!S$10</f>
        <v>12341593.710883513</v>
      </c>
      <c r="P6" s="4">
        <f>'Building Projections'!U$11+(1/'Component Lifetimes'!$B2)*'Building Projections'!T$10</f>
        <v>12577115.89899468</v>
      </c>
      <c r="Q6" s="4">
        <f>'Building Projections'!V$11+(1/'Component Lifetimes'!$B2)*'Building Projections'!U$10</f>
        <v>12812638.087109387</v>
      </c>
      <c r="R6" s="4">
        <f>'Building Projections'!W$11+(1/'Component Lifetimes'!$B2)*'Building Projections'!V$10</f>
        <v>13345671.122833561</v>
      </c>
      <c r="S6" s="4">
        <f>'Building Projections'!X$11+(1/'Component Lifetimes'!$B2)*'Building Projections'!W$10</f>
        <v>13596851.776610324</v>
      </c>
      <c r="T6" s="4">
        <f>'Building Projections'!Y$11+(1/'Component Lifetimes'!$B2)*'Building Projections'!X$10</f>
        <v>13848032.430387028</v>
      </c>
      <c r="U6" s="4">
        <f>'Building Projections'!Z$11+(1/'Component Lifetimes'!$B2)*'Building Projections'!Y$10</f>
        <v>14099213.084163759</v>
      </c>
      <c r="V6" s="4">
        <f>'Building Projections'!AA$11+(1/'Component Lifetimes'!$B2)*'Building Projections'!Z$10</f>
        <v>14350393.737944128</v>
      </c>
      <c r="W6" s="4">
        <f>'Building Projections'!AB$11+(1/'Component Lifetimes'!$B2)*'Building Projections'!AA$10</f>
        <v>14843044.988799732</v>
      </c>
      <c r="X6" s="4">
        <f>'Building Projections'!AC$11+(1/'Component Lifetimes'!$B2)*'Building Projections'!AB$10</f>
        <v>15106934.621370239</v>
      </c>
      <c r="Y6" s="4">
        <f>'Building Projections'!AD$11+(1/'Component Lifetimes'!$B2)*'Building Projections'!AC$10</f>
        <v>15370824.253942624</v>
      </c>
      <c r="Z6" s="4">
        <f>'Building Projections'!AE$11+(1/'Component Lifetimes'!$B2)*'Building Projections'!AD$10</f>
        <v>15634713.886511439</v>
      </c>
      <c r="AA6" s="4">
        <f>'Building Projections'!AF$11+(1/'Component Lifetimes'!$B2)*'Building Projections'!AE$10</f>
        <v>15898603.519081948</v>
      </c>
      <c r="AB6" s="4">
        <f>'Building Projections'!AG$11+(1/'Component Lifetimes'!$B2)*'Building Projections'!AF$10</f>
        <v>16405145.282083958</v>
      </c>
      <c r="AC6" s="4">
        <f>'Building Projections'!AH$11+(1/'Component Lifetimes'!$B2)*'Building Projections'!AG$10</f>
        <v>16681806.079414045</v>
      </c>
      <c r="AD6" s="4">
        <f>'Building Projections'!AI$11+(1/'Component Lifetimes'!$B2)*'Building Projections'!AH$10</f>
        <v>16958466.87674595</v>
      </c>
      <c r="AE6" s="4">
        <f>'Building Projections'!AJ$11+(1/'Component Lifetimes'!$B2)*'Building Projections'!AI$10</f>
        <v>17235127.674074315</v>
      </c>
      <c r="AF6" s="4">
        <f>'Building Projections'!AK$11+(1/'Component Lifetimes'!$B2)*'Building Projections'!AJ$10</f>
        <v>17511788.471405298</v>
      </c>
      <c r="AG6" s="4">
        <f>'Building Projections'!AL$11+(1/'Component Lifetimes'!$B2)*'Building Projections'!AK$10</f>
        <v>15962984.109154696</v>
      </c>
      <c r="AH6" s="4">
        <f>'Building Projections'!AM$11+(1/'Component Lifetimes'!$B2)*'Building Projections'!AL$10</f>
        <v>16143567.792822687</v>
      </c>
      <c r="AI6" s="4">
        <f>'Building Projections'!AN$11+(1/'Component Lifetimes'!$B2)*'Building Projections'!AM$10</f>
        <v>16324151.476489782</v>
      </c>
      <c r="AJ6" s="4">
        <f>'Building Projections'!AO$11+(1/'Component Lifetimes'!$B2)*'Building Projections'!AN$10</f>
        <v>16353256.862812297</v>
      </c>
      <c r="AK6" s="4">
        <f>'Building Projections'!AP$11+(1/'Component Lifetimes'!$B2)*'Building Projections'!AO$10</f>
        <v>16525868.004514692</v>
      </c>
      <c r="AL6" s="4">
        <f>'Building Projections'!AQ$11+(1/'Component Lifetimes'!$B2)*'Building Projections'!AP$10</f>
        <v>16698479.146216163</v>
      </c>
      <c r="AM6" s="4">
        <f>'Building Projections'!AR$11+(1/'Component Lifetimes'!$B2)*'Building Projections'!AQ$10</f>
        <v>16871090.287918508</v>
      </c>
      <c r="AN6" s="4">
        <f>'Building Projections'!AS$11+(1/'Component Lifetimes'!$B2)*'Building Projections'!AR$10</f>
        <v>17043701.429621212</v>
      </c>
      <c r="AO6" s="4">
        <f>'Building Projections'!AT$11+(1/'Component Lifetimes'!$B2)*'Building Projections'!AS$10</f>
        <v>17027444.026032422</v>
      </c>
      <c r="AP6" s="4">
        <f>'Building Projections'!AU$11+(1/'Component Lifetimes'!$B2)*'Building Projections'!AT$10</f>
        <v>17190114.717982978</v>
      </c>
      <c r="AQ6" s="4">
        <f>'Building Projections'!AV$11+(1/'Component Lifetimes'!$B2)*'Building Projections'!AU$10</f>
        <v>17352785.4099323</v>
      </c>
      <c r="AR6" s="4">
        <f>'Building Projections'!AW$11+(1/'Component Lifetimes'!$B2)*'Building Projections'!AV$10</f>
        <v>17515456.101883367</v>
      </c>
      <c r="AS6" s="4">
        <f>'Building Projections'!AX$11+(1/'Component Lifetimes'!$B2)*'Building Projections'!AW$10</f>
        <v>17678126.793832749</v>
      </c>
      <c r="AT6" s="4">
        <f>'Building Projections'!AY$11+(1/'Component Lifetimes'!$B2)*'Building Projections'!AX$10</f>
        <v>17611027.842564821</v>
      </c>
      <c r="AU6" s="4">
        <f>'Building Projections'!AZ$11+(1/'Component Lifetimes'!$B2)*'Building Projections'!AY$10</f>
        <v>17761605.395399328</v>
      </c>
      <c r="AV6" s="4">
        <f>'Building Projections'!BA$11+(1/'Component Lifetimes'!$B2)*'Building Projections'!AZ$10</f>
        <v>17912182.948231861</v>
      </c>
      <c r="AW6" s="4">
        <f>'Building Projections'!BB$11+(1/'Component Lifetimes'!$B2)*'Building Projections'!BA$10</f>
        <v>18062760.501065359</v>
      </c>
      <c r="AX6" s="4">
        <f>'Building Projections'!BC$11+(1/'Component Lifetimes'!$B2)*'Building Projections'!BB$10</f>
        <v>18213338.053899396</v>
      </c>
      <c r="AY6" s="4">
        <f>'Building Projections'!BD$11+(1/'Component Lifetimes'!$B2)*'Building Projections'!BC$10</f>
        <v>18081732.664492391</v>
      </c>
      <c r="AZ6" s="4">
        <f>'Building Projections'!BE$11+(1/'Component Lifetimes'!$B2)*'Building Projections'!BD$10</f>
        <v>18217458.483523495</v>
      </c>
      <c r="BA6" s="4">
        <f>'Building Projections'!BF$11+(1/'Component Lifetimes'!$B2)*'Building Projections'!BE$10</f>
        <v>18353184.302555777</v>
      </c>
      <c r="BB6" s="4">
        <f>'Building Projections'!BG$11+(1/'Component Lifetimes'!$B2)*'Building Projections'!BF$10</f>
        <v>18488910.121586204</v>
      </c>
      <c r="BC6" s="4">
        <f>'Building Projections'!BH$11+(1/'Component Lifetimes'!$B2)*'Building Projections'!BG$10</f>
        <v>18624635.94061837</v>
      </c>
    </row>
    <row r="7" spans="1:55">
      <c r="A7" t="s">
        <v>92</v>
      </c>
      <c r="B7" s="4">
        <f>'Building Projections'!G$11+(1/'Component Lifetimes'!$B3)*'Building Projections'!F$10</f>
        <v>9972591.772303706</v>
      </c>
      <c r="C7" s="4">
        <f>'Building Projections'!H$11+(1/'Component Lifetimes'!$B3)*'Building Projections'!G$10</f>
        <v>9761778.2851645444</v>
      </c>
      <c r="D7" s="4">
        <f>'Building Projections'!I$11+(1/'Component Lifetimes'!$B3)*'Building Projections'!H$10</f>
        <v>10545842.750060238</v>
      </c>
      <c r="E7" s="4">
        <f>'Building Projections'!J$11+(1/'Component Lifetimes'!$B3)*'Building Projections'!I$10</f>
        <v>11024619.756749419</v>
      </c>
      <c r="F7" s="4">
        <f>'Building Projections'!K$11+(1/'Component Lifetimes'!$B3)*'Building Projections'!J$10</f>
        <v>10835355.97254267</v>
      </c>
      <c r="G7" s="4">
        <f>'Building Projections'!L$11+(1/'Component Lifetimes'!$B3)*'Building Projections'!K$10</f>
        <v>11299766.510611065</v>
      </c>
      <c r="H7" s="4">
        <f>'Building Projections'!M$11+(1/'Component Lifetimes'!$B3)*'Building Projections'!L$10</f>
        <v>11551074.430794759</v>
      </c>
      <c r="I7" s="4">
        <f>'Building Projections'!N$11+(1/'Component Lifetimes'!$B3)*'Building Projections'!M$10</f>
        <v>11985183.529942187</v>
      </c>
      <c r="J7" s="4">
        <f>'Building Projections'!O$11+(1/'Component Lifetimes'!$B3)*'Building Projections'!N$10</f>
        <v>12248036.787745073</v>
      </c>
      <c r="K7" s="4">
        <f>'Building Projections'!P$11+(1/'Component Lifetimes'!$B3)*'Building Projections'!O$10</f>
        <v>12510890.045545738</v>
      </c>
      <c r="L7" s="4">
        <f>'Building Projections'!Q$11+(1/'Component Lifetimes'!$B3)*'Building Projections'!P$10</f>
        <v>13235662.144409668</v>
      </c>
      <c r="M7" s="4">
        <f>'Building Projections'!R$11+(1/'Component Lifetimes'!$B3)*'Building Projections'!Q$10</f>
        <v>12916929.867238877</v>
      </c>
      <c r="N7" s="4">
        <f>'Building Projections'!S$11+(1/'Component Lifetimes'!$B3)*'Building Projections'!R$10</f>
        <v>13632301.51249529</v>
      </c>
      <c r="O7" s="4">
        <f>'Building Projections'!T$11+(1/'Component Lifetimes'!$B3)*'Building Projections'!S$10</f>
        <v>13914928.138230873</v>
      </c>
      <c r="P7" s="4">
        <f>'Building Projections'!U$11+(1/'Component Lifetimes'!$B3)*'Building Projections'!T$10</f>
        <v>14197554.763964638</v>
      </c>
      <c r="Q7" s="4">
        <f>'Building Projections'!V$11+(1/'Component Lifetimes'!$B3)*'Building Projections'!U$10</f>
        <v>14480181.389701923</v>
      </c>
      <c r="R7" s="4">
        <f>'Building Projections'!W$11+(1/'Component Lifetimes'!$B3)*'Building Projections'!V$10</f>
        <v>15060318.863048693</v>
      </c>
      <c r="S7" s="4">
        <f>'Building Projections'!X$11+(1/'Component Lifetimes'!$B3)*'Building Projections'!W$10</f>
        <v>15361735.647580802</v>
      </c>
      <c r="T7" s="4">
        <f>'Building Projections'!Y$11+(1/'Component Lifetimes'!$B3)*'Building Projections'!X$10</f>
        <v>15663152.432112852</v>
      </c>
      <c r="U7" s="4">
        <f>'Building Projections'!Z$11+(1/'Component Lifetimes'!$B3)*'Building Projections'!Y$10</f>
        <v>15964569.216644932</v>
      </c>
      <c r="V7" s="4">
        <f>'Building Projections'!AA$11+(1/'Component Lifetimes'!$B3)*'Building Projections'!Z$10</f>
        <v>16265986.001180645</v>
      </c>
      <c r="W7" s="4">
        <f>'Building Projections'!AB$11+(1/'Component Lifetimes'!$B3)*'Building Projections'!AA$10</f>
        <v>16808873.382791635</v>
      </c>
      <c r="X7" s="4">
        <f>'Building Projections'!AC$11+(1/'Component Lifetimes'!$B3)*'Building Projections'!AB$10</f>
        <v>17125540.941876248</v>
      </c>
      <c r="Y7" s="4">
        <f>'Building Projections'!AD$11+(1/'Component Lifetimes'!$B3)*'Building Projections'!AC$10</f>
        <v>17442208.500962742</v>
      </c>
      <c r="Z7" s="4">
        <f>'Building Projections'!AE$11+(1/'Component Lifetimes'!$B3)*'Building Projections'!AD$10</f>
        <v>17758876.060045682</v>
      </c>
      <c r="AA7" s="4">
        <f>'Building Projections'!AF$11+(1/'Component Lifetimes'!$B3)*'Building Projections'!AE$10</f>
        <v>18075543.619130298</v>
      </c>
      <c r="AB7" s="4">
        <f>'Building Projections'!AG$11+(1/'Component Lifetimes'!$B3)*'Building Projections'!AF$10</f>
        <v>18634863.308646418</v>
      </c>
      <c r="AC7" s="4">
        <f>'Building Projections'!AH$11+(1/'Component Lifetimes'!$B3)*'Building Projections'!AG$10</f>
        <v>18966856.26544252</v>
      </c>
      <c r="AD7" s="4">
        <f>'Building Projections'!AI$11+(1/'Component Lifetimes'!$B3)*'Building Projections'!AH$10</f>
        <v>19298849.222240448</v>
      </c>
      <c r="AE7" s="4">
        <f>'Building Projections'!AJ$11+(1/'Component Lifetimes'!$B3)*'Building Projections'!AI$10</f>
        <v>19630842.179034848</v>
      </c>
      <c r="AF7" s="4">
        <f>'Building Projections'!AK$11+(1/'Component Lifetimes'!$B3)*'Building Projections'!AJ$10</f>
        <v>19962835.135831848</v>
      </c>
      <c r="AG7" s="4">
        <f>'Building Projections'!AL$11+(1/'Component Lifetimes'!$B3)*'Building Projections'!AK$10</f>
        <v>18469362.933047272</v>
      </c>
      <c r="AH7" s="4">
        <f>'Building Projections'!AM$11+(1/'Component Lifetimes'!$B3)*'Building Projections'!AL$10</f>
        <v>18686063.35344886</v>
      </c>
      <c r="AI7" s="4">
        <f>'Building Projections'!AN$11+(1/'Component Lifetimes'!$B3)*'Building Projections'!AM$10</f>
        <v>18902763.773849554</v>
      </c>
      <c r="AJ7" s="4">
        <f>'Building Projections'!AO$11+(1/'Component Lifetimes'!$B3)*'Building Projections'!AN$10</f>
        <v>18967985.896905661</v>
      </c>
      <c r="AK7" s="4">
        <f>'Building Projections'!AP$11+(1/'Component Lifetimes'!$B3)*'Building Projections'!AO$10</f>
        <v>19175119.266948532</v>
      </c>
      <c r="AL7" s="4">
        <f>'Building Projections'!AQ$11+(1/'Component Lifetimes'!$B3)*'Building Projections'!AP$10</f>
        <v>19382252.63699048</v>
      </c>
      <c r="AM7" s="4">
        <f>'Building Projections'!AR$11+(1/'Component Lifetimes'!$B3)*'Building Projections'!AQ$10</f>
        <v>19589386.007033296</v>
      </c>
      <c r="AN7" s="4">
        <f>'Building Projections'!AS$11+(1/'Component Lifetimes'!$B3)*'Building Projections'!AR$10</f>
        <v>19796519.377076469</v>
      </c>
      <c r="AO7" s="4">
        <f>'Building Projections'!AT$11+(1/'Component Lifetimes'!$B3)*'Building Projections'!AS$10</f>
        <v>19814784.201828152</v>
      </c>
      <c r="AP7" s="4">
        <f>'Building Projections'!AU$11+(1/'Component Lifetimes'!$B3)*'Building Projections'!AT$10</f>
        <v>20009989.03216875</v>
      </c>
      <c r="AQ7" s="4">
        <f>'Building Projections'!AV$11+(1/'Component Lifetimes'!$B3)*'Building Projections'!AU$10</f>
        <v>20205193.862508114</v>
      </c>
      <c r="AR7" s="4">
        <f>'Building Projections'!AW$11+(1/'Component Lifetimes'!$B3)*'Building Projections'!AV$10</f>
        <v>20400398.692849215</v>
      </c>
      <c r="AS7" s="4">
        <f>'Building Projections'!AX$11+(1/'Component Lifetimes'!$B3)*'Building Projections'!AW$10</f>
        <v>20595603.523188639</v>
      </c>
      <c r="AT7" s="4">
        <f>'Building Projections'!AY$11+(1/'Component Lifetimes'!$B3)*'Building Projections'!AX$10</f>
        <v>20561038.71031075</v>
      </c>
      <c r="AU7" s="4">
        <f>'Building Projections'!AZ$11+(1/'Component Lifetimes'!$B3)*'Building Projections'!AY$10</f>
        <v>20741731.773711942</v>
      </c>
      <c r="AV7" s="4">
        <f>'Building Projections'!BA$11+(1/'Component Lifetimes'!$B3)*'Building Projections'!AZ$10</f>
        <v>20922424.837111171</v>
      </c>
      <c r="AW7" s="4">
        <f>'Building Projections'!BB$11+(1/'Component Lifetimes'!$B3)*'Building Projections'!BA$10</f>
        <v>21103117.900511358</v>
      </c>
      <c r="AX7" s="4">
        <f>'Building Projections'!BC$11+(1/'Component Lifetimes'!$B3)*'Building Projections'!BB$10</f>
        <v>21283810.963912085</v>
      </c>
      <c r="AY7" s="4">
        <f>'Building Projections'!BD$11+(1/'Component Lifetimes'!$B3)*'Building Projections'!BC$10</f>
        <v>21182321.085071772</v>
      </c>
      <c r="AZ7" s="4">
        <f>'Building Projections'!BE$11+(1/'Component Lifetimes'!$B3)*'Building Projections'!BD$10</f>
        <v>21345192.067909144</v>
      </c>
      <c r="BA7" s="4">
        <f>'Building Projections'!BF$11+(1/'Component Lifetimes'!$B3)*'Building Projections'!BE$10</f>
        <v>21508063.050747696</v>
      </c>
      <c r="BB7" s="4">
        <f>'Building Projections'!BG$11+(1/'Component Lifetimes'!$B3)*'Building Projections'!BF$10</f>
        <v>21670934.033584397</v>
      </c>
      <c r="BC7" s="4">
        <f>'Building Projections'!BH$11+(1/'Component Lifetimes'!$B3)*'Building Projections'!BG$10</f>
        <v>21833805.016422827</v>
      </c>
    </row>
    <row r="8" spans="1:55">
      <c r="A8" t="s">
        <v>93</v>
      </c>
      <c r="B8" s="4">
        <f>'Building Projections'!G$11+(1/'Component Lifetimes'!$B4)*'Building Projections'!F$10</f>
        <v>5731422.1570385545</v>
      </c>
      <c r="C8" s="4">
        <f>'Building Projections'!H$11+(1/'Component Lifetimes'!$B4)*'Building Projections'!G$10</f>
        <v>5351077.6380431708</v>
      </c>
      <c r="D8" s="4">
        <f>'Building Projections'!I$11+(1/'Component Lifetimes'!$B4)*'Building Projections'!H$10</f>
        <v>5985564.4997235239</v>
      </c>
      <c r="E8" s="4">
        <f>'Building Projections'!J$11+(1/'Component Lifetimes'!$B4)*'Building Projections'!I$10</f>
        <v>6289822.1173962411</v>
      </c>
      <c r="F8" s="4">
        <f>'Building Projections'!K$11+(1/'Component Lifetimes'!$B4)*'Building Projections'!J$10</f>
        <v>5916062.2298526131</v>
      </c>
      <c r="G8" s="4">
        <f>'Building Projections'!L$11+(1/'Component Lifetimes'!$B4)*'Building Projections'!K$10</f>
        <v>6215930.0932250004</v>
      </c>
      <c r="H8" s="4">
        <f>'Building Projections'!M$11+(1/'Component Lifetimes'!$B4)*'Building Projections'!L$10</f>
        <v>6292718.6243922394</v>
      </c>
      <c r="I8" s="4">
        <f>'Building Projections'!N$11+(1/'Component Lifetimes'!$B4)*'Building Projections'!M$10</f>
        <v>6552308.334523214</v>
      </c>
      <c r="J8" s="4">
        <f>'Building Projections'!O$11+(1/'Component Lifetimes'!$B4)*'Building Projections'!N$10</f>
        <v>6632624.6077410635</v>
      </c>
      <c r="K8" s="4">
        <f>'Building Projections'!P$11+(1/'Component Lifetimes'!$B4)*'Building Projections'!O$10</f>
        <v>6712940.8809566703</v>
      </c>
      <c r="L8" s="4">
        <f>'Building Projections'!Q$11+(1/'Component Lifetimes'!$B4)*'Building Projections'!P$10</f>
        <v>7255175.9952356229</v>
      </c>
      <c r="M8" s="4">
        <f>'Building Projections'!R$11+(1/'Component Lifetimes'!$B4)*'Building Projections'!Q$10</f>
        <v>6733647.1351876818</v>
      </c>
      <c r="N8" s="4">
        <f>'Building Projections'!S$11+(1/'Component Lifetimes'!$B4)*'Building Projections'!R$10</f>
        <v>7273009.8886421155</v>
      </c>
      <c r="O8" s="4">
        <f>'Building Projections'!T$11+(1/'Component Lifetimes'!$B4)*'Building Projections'!S$10</f>
        <v>7359368.0242835432</v>
      </c>
      <c r="P8" s="4">
        <f>'Building Projections'!U$11+(1/'Component Lifetimes'!$B4)*'Building Projections'!T$10</f>
        <v>7445726.159923153</v>
      </c>
      <c r="Q8" s="4">
        <f>'Building Projections'!V$11+(1/'Component Lifetimes'!$B4)*'Building Projections'!U$10</f>
        <v>7532084.2955663633</v>
      </c>
      <c r="R8" s="4">
        <f>'Building Projections'!W$11+(1/'Component Lifetimes'!$B4)*'Building Projections'!V$10</f>
        <v>7915953.2788189808</v>
      </c>
      <c r="S8" s="4">
        <f>'Building Projections'!X$11+(1/'Component Lifetimes'!$B4)*'Building Projections'!W$10</f>
        <v>8008052.8518704791</v>
      </c>
      <c r="T8" s="4">
        <f>'Building Projections'!Y$11+(1/'Component Lifetimes'!$B4)*'Building Projections'!X$10</f>
        <v>8100152.4249219187</v>
      </c>
      <c r="U8" s="4">
        <f>'Building Projections'!Z$11+(1/'Component Lifetimes'!$B4)*'Building Projections'!Y$10</f>
        <v>8192251.9979733862</v>
      </c>
      <c r="V8" s="4">
        <f>'Building Projections'!AA$11+(1/'Component Lifetimes'!$B4)*'Building Projections'!Z$10</f>
        <v>8284351.5710284906</v>
      </c>
      <c r="W8" s="4">
        <f>'Building Projections'!AB$11+(1/'Component Lifetimes'!$B4)*'Building Projections'!AA$10</f>
        <v>8617921.7411587108</v>
      </c>
      <c r="X8" s="4">
        <f>'Building Projections'!AC$11+(1/'Component Lifetimes'!$B4)*'Building Projections'!AB$10</f>
        <v>8714681.2731012106</v>
      </c>
      <c r="Y8" s="4">
        <f>'Building Projections'!AD$11+(1/'Component Lifetimes'!$B4)*'Building Projections'!AC$10</f>
        <v>8811440.8050455898</v>
      </c>
      <c r="Z8" s="4">
        <f>'Building Projections'!AE$11+(1/'Component Lifetimes'!$B4)*'Building Projections'!AD$10</f>
        <v>8908200.3369863369</v>
      </c>
      <c r="AA8" s="4">
        <f>'Building Projections'!AF$11+(1/'Component Lifetimes'!$B4)*'Building Projections'!AE$10</f>
        <v>9004959.8689288385</v>
      </c>
      <c r="AB8" s="4">
        <f>'Building Projections'!AG$11+(1/'Component Lifetimes'!$B4)*'Building Projections'!AF$10</f>
        <v>9344371.5313028414</v>
      </c>
      <c r="AC8" s="4">
        <f>'Building Projections'!AH$11+(1/'Component Lifetimes'!$B4)*'Building Projections'!AG$10</f>
        <v>9445813.8236572072</v>
      </c>
      <c r="AD8" s="4">
        <f>'Building Projections'!AI$11+(1/'Component Lifetimes'!$B4)*'Building Projections'!AH$10</f>
        <v>9547256.1160133891</v>
      </c>
      <c r="AE8" s="4">
        <f>'Building Projections'!AJ$11+(1/'Component Lifetimes'!$B4)*'Building Projections'!AI$10</f>
        <v>9648698.4083659723</v>
      </c>
      <c r="AF8" s="4">
        <f>'Building Projections'!AK$11+(1/'Component Lifetimes'!$B4)*'Building Projections'!AJ$10</f>
        <v>9750140.7007212322</v>
      </c>
      <c r="AG8" s="4">
        <f>'Building Projections'!AL$11+(1/'Component Lifetimes'!$B4)*'Building Projections'!AK$10</f>
        <v>8026117.8334948774</v>
      </c>
      <c r="AH8" s="4">
        <f>'Building Projections'!AM$11+(1/'Component Lifetimes'!$B4)*'Building Projections'!AL$10</f>
        <v>8092331.8508398077</v>
      </c>
      <c r="AI8" s="4">
        <f>'Building Projections'!AN$11+(1/'Component Lifetimes'!$B4)*'Building Projections'!AM$10</f>
        <v>8158545.8681838429</v>
      </c>
      <c r="AJ8" s="4">
        <f>'Building Projections'!AO$11+(1/'Component Lifetimes'!$B4)*'Building Projections'!AN$10</f>
        <v>8073281.5881833257</v>
      </c>
      <c r="AK8" s="4">
        <f>'Building Projections'!AP$11+(1/'Component Lifetimes'!$B4)*'Building Projections'!AO$10</f>
        <v>8136572.3401408708</v>
      </c>
      <c r="AL8" s="4">
        <f>'Building Projections'!AQ$11+(1/'Component Lifetimes'!$B4)*'Building Projections'!AP$10</f>
        <v>8199863.092097492</v>
      </c>
      <c r="AM8" s="4">
        <f>'Building Projections'!AR$11+(1/'Component Lifetimes'!$B4)*'Building Projections'!AQ$10</f>
        <v>8263153.8440550184</v>
      </c>
      <c r="AN8" s="4">
        <f>'Building Projections'!AS$11+(1/'Component Lifetimes'!$B4)*'Building Projections'!AR$10</f>
        <v>8326444.5960129034</v>
      </c>
      <c r="AO8" s="4">
        <f>'Building Projections'!AT$11+(1/'Component Lifetimes'!$B4)*'Building Projections'!AS$10</f>
        <v>8200866.8026792817</v>
      </c>
      <c r="AP8" s="4">
        <f>'Building Projections'!AU$11+(1/'Component Lifetimes'!$B4)*'Building Projections'!AT$10</f>
        <v>8260512.723061379</v>
      </c>
      <c r="AQ8" s="4">
        <f>'Building Projections'!AV$11+(1/'Component Lifetimes'!$B4)*'Building Projections'!AU$10</f>
        <v>8320158.6434422312</v>
      </c>
      <c r="AR8" s="4">
        <f>'Building Projections'!AW$11+(1/'Component Lifetimes'!$B4)*'Building Projections'!AV$10</f>
        <v>8379804.5638248548</v>
      </c>
      <c r="AS8" s="4">
        <f>'Building Projections'!AX$11+(1/'Component Lifetimes'!$B4)*'Building Projections'!AW$10</f>
        <v>8439450.4842057675</v>
      </c>
      <c r="AT8" s="4">
        <f>'Building Projections'!AY$11+(1/'Component Lifetimes'!$B4)*'Building Projections'!AX$10</f>
        <v>8269326.7613693969</v>
      </c>
      <c r="AU8" s="4">
        <f>'Building Projections'!AZ$11+(1/'Component Lifetimes'!$B4)*'Building Projections'!AY$10</f>
        <v>8324538.5307427282</v>
      </c>
      <c r="AV8" s="4">
        <f>'Building Projections'!BA$11+(1/'Component Lifetimes'!$B4)*'Building Projections'!AZ$10</f>
        <v>8379750.3001140533</v>
      </c>
      <c r="AW8" s="4">
        <f>'Building Projections'!BB$11+(1/'Component Lifetimes'!$B4)*'Building Projections'!BA$10</f>
        <v>8434962.0694863722</v>
      </c>
      <c r="AX8" s="4">
        <f>'Building Projections'!BC$11+(1/'Component Lifetimes'!$B4)*'Building Projections'!BB$10</f>
        <v>8490173.8388592303</v>
      </c>
      <c r="AY8" s="4">
        <f>'Building Projections'!BD$11+(1/'Component Lifetimes'!$B4)*'Building Projections'!BC$10</f>
        <v>8263202.6659910278</v>
      </c>
      <c r="AZ8" s="4">
        <f>'Building Projections'!BE$11+(1/'Component Lifetimes'!$B4)*'Building Projections'!BD$10</f>
        <v>8312968.7996356143</v>
      </c>
      <c r="BA8" s="4">
        <f>'Building Projections'!BF$11+(1/'Component Lifetimes'!$B4)*'Building Projections'!BE$10</f>
        <v>8362734.9332813891</v>
      </c>
      <c r="BB8" s="4">
        <f>'Building Projections'!BG$11+(1/'Component Lifetimes'!$B4)*'Building Projections'!BF$10</f>
        <v>8412501.0669252761</v>
      </c>
      <c r="BC8" s="4">
        <f>'Building Projections'!BH$11+(1/'Component Lifetimes'!$B4)*'Building Projections'!BG$10</f>
        <v>8462267.2005709298</v>
      </c>
    </row>
    <row r="9" spans="1:55">
      <c r="A9" t="s">
        <v>94</v>
      </c>
      <c r="B9" s="4">
        <f>'Building Projections'!G$11+(1/'Component Lifetimes'!$B5)*'Building Projections'!F$10</f>
        <v>14453811.587792864</v>
      </c>
      <c r="C9" s="4">
        <f>'Building Projections'!H$11+(1/'Component Lifetimes'!$B5)*'Building Projections'!G$10</f>
        <v>14422124.588912988</v>
      </c>
      <c r="D9" s="4">
        <f>'Building Projections'!I$11+(1/'Component Lifetimes'!$B5)*'Building Projections'!H$10</f>
        <v>15364232.749366011</v>
      </c>
      <c r="E9" s="4">
        <f>'Building Projections'!J$11+(1/'Component Lifetimes'!$B5)*'Building Projections'!I$10</f>
        <v>16027406.942489987</v>
      </c>
      <c r="F9" s="4">
        <f>'Building Projections'!K$11+(1/'Component Lifetimes'!$B5)*'Building Projections'!J$10</f>
        <v>16033081.741068985</v>
      </c>
      <c r="G9" s="4">
        <f>'Building Projections'!L$11+(1/'Component Lifetimes'!$B5)*'Building Projections'!K$10</f>
        <v>16671348.069221184</v>
      </c>
      <c r="H9" s="4">
        <f>'Building Projections'!M$11+(1/'Component Lifetimes'!$B5)*'Building Projections'!L$10</f>
        <v>17107053.175839663</v>
      </c>
      <c r="I9" s="4">
        <f>'Building Projections'!N$11+(1/'Component Lifetimes'!$B5)*'Building Projections'!M$10</f>
        <v>17725559.46142187</v>
      </c>
      <c r="J9" s="4">
        <f>'Building Projections'!O$11+(1/'Component Lifetimes'!$B5)*'Building Projections'!N$10</f>
        <v>18181281.297137313</v>
      </c>
      <c r="K9" s="4">
        <f>'Building Projections'!P$11+(1/'Component Lifetimes'!$B5)*'Building Projections'!O$10</f>
        <v>18637003.132850546</v>
      </c>
      <c r="L9" s="4">
        <f>'Building Projections'!Q$11+(1/'Component Lifetimes'!$B5)*'Building Projections'!P$10</f>
        <v>19554643.809626963</v>
      </c>
      <c r="M9" s="4">
        <f>'Building Projections'!R$11+(1/'Component Lifetimes'!$B5)*'Building Projections'!Q$10</f>
        <v>19450186.401924171</v>
      </c>
      <c r="N9" s="4">
        <f>'Building Projections'!S$11+(1/'Component Lifetimes'!$B5)*'Building Projections'!R$10</f>
        <v>20351529.042258557</v>
      </c>
      <c r="O9" s="4">
        <f>'Building Projections'!T$11+(1/'Component Lifetimes'!$B5)*'Building Projections'!S$10</f>
        <v>20841532.954627622</v>
      </c>
      <c r="P9" s="4">
        <f>'Building Projections'!U$11+(1/'Component Lifetimes'!$B5)*'Building Projections'!T$10</f>
        <v>21331536.866994869</v>
      </c>
      <c r="Q9" s="4">
        <f>'Building Projections'!V$11+(1/'Component Lifetimes'!$B5)*'Building Projections'!U$10</f>
        <v>21821540.779365554</v>
      </c>
      <c r="R9" s="4">
        <f>'Building Projections'!W$11+(1/'Component Lifetimes'!$B5)*'Building Projections'!V$10</f>
        <v>22609055.539345808</v>
      </c>
      <c r="S9" s="4">
        <f>'Building Projections'!X$11+(1/'Component Lifetimes'!$B5)*'Building Projections'!W$10</f>
        <v>23131636.88952833</v>
      </c>
      <c r="T9" s="4">
        <f>'Building Projections'!Y$11+(1/'Component Lifetimes'!$B5)*'Building Projections'!X$10</f>
        <v>23654218.239710793</v>
      </c>
      <c r="U9" s="4">
        <f>'Building Projections'!Z$11+(1/'Component Lifetimes'!$B5)*'Building Projections'!Y$10</f>
        <v>24176799.589893285</v>
      </c>
      <c r="V9" s="4">
        <f>'Building Projections'!AA$11+(1/'Component Lifetimes'!$B5)*'Building Projections'!Z$10</f>
        <v>24699380.94007941</v>
      </c>
      <c r="W9" s="4">
        <f>'Building Projections'!AB$11+(1/'Component Lifetimes'!$B5)*'Building Projections'!AA$10</f>
        <v>25463432.887340982</v>
      </c>
      <c r="X9" s="4">
        <f>'Building Projections'!AC$11+(1/'Component Lifetimes'!$B5)*'Building Projections'!AB$10</f>
        <v>26012455.267903954</v>
      </c>
      <c r="Y9" s="4">
        <f>'Building Projections'!AD$11+(1/'Component Lifetimes'!$B5)*'Building Projections'!AC$10</f>
        <v>26561477.648468804</v>
      </c>
      <c r="Z9" s="4">
        <f>'Building Projections'!AE$11+(1/'Component Lifetimes'!$B5)*'Building Projections'!AD$10</f>
        <v>27110500.029030189</v>
      </c>
      <c r="AA9" s="4">
        <f>'Building Projections'!AF$11+(1/'Component Lifetimes'!$B5)*'Building Projections'!AE$10</f>
        <v>27659522.409593165</v>
      </c>
      <c r="AB9" s="4">
        <f>'Building Projections'!AG$11+(1/'Component Lifetimes'!$B5)*'Building Projections'!AF$10</f>
        <v>28451196.92058764</v>
      </c>
      <c r="AC9" s="4">
        <f>'Building Projections'!AH$11+(1/'Component Lifetimes'!$B5)*'Building Projections'!AG$10</f>
        <v>29026789.709432885</v>
      </c>
      <c r="AD9" s="4">
        <f>'Building Projections'!AI$11+(1/'Component Lifetimes'!$B5)*'Building Projections'!AH$10</f>
        <v>29602382.498279952</v>
      </c>
      <c r="AE9" s="4">
        <f>'Building Projections'!AJ$11+(1/'Component Lifetimes'!$B5)*'Building Projections'!AI$10</f>
        <v>30177975.28712358</v>
      </c>
      <c r="AF9" s="4">
        <f>'Building Projections'!AK$11+(1/'Component Lifetimes'!$B5)*'Building Projections'!AJ$10</f>
        <v>30753568.075969722</v>
      </c>
      <c r="AG9" s="4">
        <f>'Building Projections'!AL$11+(1/'Component Lifetimes'!$B5)*'Building Projections'!AK$10</f>
        <v>29503695.70523433</v>
      </c>
      <c r="AH9" s="4">
        <f>'Building Projections'!AM$11+(1/'Component Lifetimes'!$B5)*'Building Projections'!AL$10</f>
        <v>29879400.059105586</v>
      </c>
      <c r="AI9" s="4">
        <f>'Building Projections'!AN$11+(1/'Component Lifetimes'!$B5)*'Building Projections'!AM$10</f>
        <v>30255104.412975945</v>
      </c>
      <c r="AJ9" s="4">
        <f>'Building Projections'!AO$11+(1/'Component Lifetimes'!$B5)*'Building Projections'!AN$10</f>
        <v>30479330.469501674</v>
      </c>
      <c r="AK9" s="4">
        <f>'Building Projections'!AP$11+(1/'Component Lifetimes'!$B5)*'Building Projections'!AO$10</f>
        <v>30838447.949813504</v>
      </c>
      <c r="AL9" s="4">
        <f>'Building Projections'!AQ$11+(1/'Component Lifetimes'!$B5)*'Building Projections'!AP$10</f>
        <v>31197565.430124413</v>
      </c>
      <c r="AM9" s="4">
        <f>'Building Projections'!AR$11+(1/'Component Lifetimes'!$B5)*'Building Projections'!AQ$10</f>
        <v>31556682.910436146</v>
      </c>
      <c r="AN9" s="4">
        <f>'Building Projections'!AS$11+(1/'Component Lifetimes'!$B5)*'Building Projections'!AR$10</f>
        <v>31915800.390748233</v>
      </c>
      <c r="AO9" s="4">
        <f>'Building Projections'!AT$11+(1/'Component Lifetimes'!$B5)*'Building Projections'!AS$10</f>
        <v>32086049.325768847</v>
      </c>
      <c r="AP9" s="4">
        <f>'Building Projections'!AU$11+(1/'Component Lifetimes'!$B5)*'Building Projections'!AT$10</f>
        <v>32424485.700371593</v>
      </c>
      <c r="AQ9" s="4">
        <f>'Building Projections'!AV$11+(1/'Component Lifetimes'!$B5)*'Building Projections'!AU$10</f>
        <v>32762922.074973129</v>
      </c>
      <c r="AR9" s="4">
        <f>'Building Projections'!AW$11+(1/'Component Lifetimes'!$B5)*'Building Projections'!AV$10</f>
        <v>33101358.449576352</v>
      </c>
      <c r="AS9" s="4">
        <f>'Building Projections'!AX$11+(1/'Component Lifetimes'!$B5)*'Building Projections'!AW$10</f>
        <v>33439794.824177947</v>
      </c>
      <c r="AT9" s="4">
        <f>'Building Projections'!AY$11+(1/'Component Lifetimes'!$B5)*'Building Projections'!AX$10</f>
        <v>33548461.555562183</v>
      </c>
      <c r="AU9" s="4">
        <f>'Building Projections'!AZ$11+(1/'Component Lifetimes'!$B5)*'Building Projections'!AY$10</f>
        <v>33861738.15423321</v>
      </c>
      <c r="AV9" s="4">
        <f>'Building Projections'!BA$11+(1/'Component Lifetimes'!$B5)*'Building Projections'!AZ$10</f>
        <v>34175014.752902329</v>
      </c>
      <c r="AW9" s="4">
        <f>'Building Projections'!BB$11+(1/'Component Lifetimes'!$B5)*'Building Projections'!BA$10</f>
        <v>34488291.35157235</v>
      </c>
      <c r="AX9" s="4">
        <f>'Building Projections'!BC$11+(1/'Component Lifetimes'!$B5)*'Building Projections'!BB$10</f>
        <v>34801567.950242922</v>
      </c>
      <c r="AY9" s="4">
        <f>'Building Projections'!BD$11+(1/'Component Lifetimes'!$B5)*'Building Projections'!BC$10</f>
        <v>34832661.606672488</v>
      </c>
      <c r="AZ9" s="4">
        <f>'Building Projections'!BE$11+(1/'Component Lifetimes'!$B5)*'Building Projections'!BD$10</f>
        <v>35115039.17316696</v>
      </c>
      <c r="BA9" s="4">
        <f>'Building Projections'!BF$11+(1/'Component Lifetimes'!$B5)*'Building Projections'!BE$10</f>
        <v>35397416.739662588</v>
      </c>
      <c r="BB9" s="4">
        <f>'Building Projections'!BG$11+(1/'Component Lifetimes'!$B5)*'Building Projections'!BF$10</f>
        <v>35679794.306156427</v>
      </c>
      <c r="BC9" s="4">
        <f>'Building Projections'!BH$11+(1/'Component Lifetimes'!$B5)*'Building Projections'!BG$10</f>
        <v>35962171.872651935</v>
      </c>
    </row>
    <row r="10" spans="1:55">
      <c r="A10" t="s">
        <v>95</v>
      </c>
      <c r="B10" s="4">
        <f>'Building Projections'!G$11+(1/'Component Lifetimes'!$B6)*'Building Projections'!F$10</f>
        <v>11010529.242679927</v>
      </c>
      <c r="C10" s="4">
        <f>'Building Projections'!H$11+(1/'Component Lifetimes'!$B6)*'Building Projections'!G$10</f>
        <v>10841204.926292574</v>
      </c>
      <c r="D10" s="4">
        <f>'Building Projections'!I$11+(1/'Component Lifetimes'!$B6)*'Building Projections'!H$10</f>
        <v>11661875.378024418</v>
      </c>
      <c r="E10" s="4">
        <f>'Building Projections'!J$11+(1/'Component Lifetimes'!$B6)*'Building Projections'!I$10</f>
        <v>12183362.351444326</v>
      </c>
      <c r="F10" s="4">
        <f>'Building Projections'!K$11+(1/'Component Lifetimes'!$B6)*'Building Projections'!J$10</f>
        <v>12039250.12592613</v>
      </c>
      <c r="G10" s="4">
        <f>'Building Projections'!L$11+(1/'Component Lifetimes'!$B6)*'Building Projections'!K$10</f>
        <v>12543929.03876742</v>
      </c>
      <c r="H10" s="4">
        <f>'Building Projections'!M$11+(1/'Component Lifetimes'!$B6)*'Building Projections'!L$10</f>
        <v>12837946.925681839</v>
      </c>
      <c r="I10" s="4">
        <f>'Building Projections'!N$11+(1/'Component Lifetimes'!$B6)*'Building Projections'!M$10</f>
        <v>13314765.991559993</v>
      </c>
      <c r="J10" s="4">
        <f>'Building Projections'!O$11+(1/'Component Lifetimes'!$B6)*'Building Projections'!N$10</f>
        <v>13622291.354752952</v>
      </c>
      <c r="K10" s="4">
        <f>'Building Projections'!P$11+(1/'Component Lifetimes'!$B6)*'Building Projections'!O$10</f>
        <v>13929816.717943693</v>
      </c>
      <c r="L10" s="4">
        <f>'Building Projections'!Q$11+(1/'Component Lifetimes'!$B6)*'Building Projections'!P$10</f>
        <v>14699260.922197681</v>
      </c>
      <c r="M10" s="4">
        <f>'Building Projections'!R$11+(1/'Component Lifetimes'!$B6)*'Building Projections'!Q$10</f>
        <v>14430158.862944806</v>
      </c>
      <c r="N10" s="4">
        <f>'Building Projections'!S$11+(1/'Component Lifetimes'!$B6)*'Building Projections'!R$10</f>
        <v>15188604.999554532</v>
      </c>
      <c r="O10" s="4">
        <f>'Building Projections'!T$11+(1/'Component Lifetimes'!$B6)*'Building Projections'!S$10</f>
        <v>15519264.229171285</v>
      </c>
      <c r="P10" s="4">
        <f>'Building Projections'!U$11+(1/'Component Lifetimes'!$B6)*'Building Projections'!T$10</f>
        <v>15849923.458786219</v>
      </c>
      <c r="Q10" s="4">
        <f>'Building Projections'!V$11+(1/'Component Lifetimes'!$B6)*'Building Projections'!U$10</f>
        <v>16180582.688404655</v>
      </c>
      <c r="R10" s="4">
        <f>'Building Projections'!W$11+(1/'Component Lifetimes'!$B6)*'Building Projections'!V$10</f>
        <v>16808752.7656326</v>
      </c>
      <c r="S10" s="4">
        <f>'Building Projections'!X$11+(1/'Component Lifetimes'!$B6)*'Building Projections'!W$10</f>
        <v>17161395.555417694</v>
      </c>
      <c r="T10" s="4">
        <f>'Building Projections'!Y$11+(1/'Component Lifetimes'!$B6)*'Building Projections'!X$10</f>
        <v>17514038.345202733</v>
      </c>
      <c r="U10" s="4">
        <f>'Building Projections'!Z$11+(1/'Component Lifetimes'!$B6)*'Building Projections'!Y$10</f>
        <v>17866681.134987801</v>
      </c>
      <c r="V10" s="4">
        <f>'Building Projections'!AA$11+(1/'Component Lifetimes'!$B6)*'Building Projections'!Z$10</f>
        <v>18219323.924776502</v>
      </c>
      <c r="W10" s="4">
        <f>'Building Projections'!AB$11+(1/'Component Lifetimes'!$B6)*'Building Projections'!AA$10</f>
        <v>18813437.31164052</v>
      </c>
      <c r="X10" s="4">
        <f>'Building Projections'!AC$11+(1/'Component Lifetimes'!$B6)*'Building Projections'!AB$10</f>
        <v>19183922.756382376</v>
      </c>
      <c r="Y10" s="4">
        <f>'Building Projections'!AD$11+(1/'Component Lifetimes'!$B6)*'Building Projections'!AC$10</f>
        <v>19554408.201126114</v>
      </c>
      <c r="Z10" s="4">
        <f>'Building Projections'!AE$11+(1/'Component Lifetimes'!$B6)*'Building Projections'!AD$10</f>
        <v>19924893.64586632</v>
      </c>
      <c r="AA10" s="4">
        <f>'Building Projections'!AF$11+(1/'Component Lifetimes'!$B6)*'Building Projections'!AE$10</f>
        <v>20295379.090608176</v>
      </c>
      <c r="AB10" s="4">
        <f>'Building Projections'!AG$11+(1/'Component Lifetimes'!$B6)*'Building Projections'!AF$10</f>
        <v>20908516.665781535</v>
      </c>
      <c r="AC10" s="4">
        <f>'Building Projections'!AH$11+(1/'Component Lifetimes'!$B6)*'Building Projections'!AG$10</f>
        <v>21296932.070900131</v>
      </c>
      <c r="AD10" s="4">
        <f>'Building Projections'!AI$11+(1/'Component Lifetimes'!$B6)*'Building Projections'!AH$10</f>
        <v>21685347.476020545</v>
      </c>
      <c r="AE10" s="4">
        <f>'Building Projections'!AJ$11+(1/'Component Lifetimes'!$B6)*'Building Projections'!AI$10</f>
        <v>22073762.881137457</v>
      </c>
      <c r="AF10" s="4">
        <f>'Building Projections'!AK$11+(1/'Component Lifetimes'!$B6)*'Building Projections'!AJ$10</f>
        <v>22462178.28625695</v>
      </c>
      <c r="AG10" s="4">
        <f>'Building Projections'!AL$11+(1/'Component Lifetimes'!$B6)*'Building Projections'!AK$10</f>
        <v>21025128.531794872</v>
      </c>
      <c r="AH10" s="4">
        <f>'Building Projections'!AM$11+(1/'Component Lifetimes'!$B6)*'Building Projections'!AL$10</f>
        <v>21278657.348767176</v>
      </c>
      <c r="AI10" s="4">
        <f>'Building Projections'!AN$11+(1/'Component Lifetimes'!$B6)*'Building Projections'!AM$10</f>
        <v>21532186.165738583</v>
      </c>
      <c r="AJ10" s="4">
        <f>'Building Projections'!AO$11+(1/'Component Lifetimes'!$B6)*'Building Projections'!AN$10</f>
        <v>21634236.68536539</v>
      </c>
      <c r="AK10" s="4">
        <f>'Building Projections'!AP$11+(1/'Component Lifetimes'!$B6)*'Building Projections'!AO$10</f>
        <v>21876572.524701264</v>
      </c>
      <c r="AL10" s="4">
        <f>'Building Projections'!AQ$11+(1/'Component Lifetimes'!$B6)*'Building Projections'!AP$10</f>
        <v>22118908.364036214</v>
      </c>
      <c r="AM10" s="4">
        <f>'Building Projections'!AR$11+(1/'Component Lifetimes'!$B6)*'Building Projections'!AQ$10</f>
        <v>22361244.20337202</v>
      </c>
      <c r="AN10" s="4">
        <f>'Building Projections'!AS$11+(1/'Component Lifetimes'!$B6)*'Building Projections'!AR$10</f>
        <v>22603580.042708185</v>
      </c>
      <c r="AO10" s="4">
        <f>'Building Projections'!AT$11+(1/'Component Lifetimes'!$B6)*'Building Projections'!AS$10</f>
        <v>22657047.336752862</v>
      </c>
      <c r="AP10" s="4">
        <f>'Building Projections'!AU$11+(1/'Component Lifetimes'!$B6)*'Building Projections'!AT$10</f>
        <v>22885427.372249804</v>
      </c>
      <c r="AQ10" s="4">
        <f>'Building Projections'!AV$11+(1/'Component Lifetimes'!$B6)*'Building Projections'!AU$10</f>
        <v>23113807.407745522</v>
      </c>
      <c r="AR10" s="4">
        <f>'Building Projections'!AW$11+(1/'Component Lifetimes'!$B6)*'Building Projections'!AV$10</f>
        <v>23342187.44324296</v>
      </c>
      <c r="AS10" s="4">
        <f>'Building Projections'!AX$11+(1/'Component Lifetimes'!$B6)*'Building Projections'!AW$10</f>
        <v>23570567.478738736</v>
      </c>
      <c r="AT10" s="4">
        <f>'Building Projections'!AY$11+(1/'Component Lifetimes'!$B6)*'Building Projections'!AX$10</f>
        <v>23569177.871017188</v>
      </c>
      <c r="AU10" s="4">
        <f>'Building Projections'!AZ$11+(1/'Component Lifetimes'!$B6)*'Building Projections'!AY$10</f>
        <v>23780579.85406027</v>
      </c>
      <c r="AV10" s="4">
        <f>'Building Projections'!BA$11+(1/'Component Lifetimes'!$B6)*'Building Projections'!AZ$10</f>
        <v>23991981.837101404</v>
      </c>
      <c r="AW10" s="4">
        <f>'Building Projections'!BB$11+(1/'Component Lifetimes'!$B6)*'Building Projections'!BA$10</f>
        <v>24203383.820143484</v>
      </c>
      <c r="AX10" s="4">
        <f>'Building Projections'!BC$11+(1/'Component Lifetimes'!$B6)*'Building Projections'!BB$10</f>
        <v>24414785.803186104</v>
      </c>
      <c r="AY10" s="4">
        <f>'Building Projections'!BD$11+(1/'Component Lifetimes'!$B6)*'Building Projections'!BC$10</f>
        <v>24344004.843987692</v>
      </c>
      <c r="AZ10" s="4">
        <f>'Building Projections'!BE$11+(1/'Component Lifetimes'!$B6)*'Building Projections'!BD$10</f>
        <v>24534555.870706335</v>
      </c>
      <c r="BA10" s="4">
        <f>'Building Projections'!BF$11+(1/'Component Lifetimes'!$B6)*'Building Projections'!BE$10</f>
        <v>24725106.897426151</v>
      </c>
      <c r="BB10" s="4">
        <f>'Building Projections'!BG$11+(1/'Component Lifetimes'!$B6)*'Building Projections'!BF$10</f>
        <v>24915657.924144126</v>
      </c>
      <c r="BC10" s="4">
        <f>'Building Projections'!BH$11+(1/'Component Lifetimes'!$B6)*'Building Projections'!BG$10</f>
        <v>25106208.950863823</v>
      </c>
    </row>
    <row r="11" spans="1:55">
      <c r="A11" t="s">
        <v>96</v>
      </c>
      <c r="B11" s="4">
        <f>'Building Projections'!G$11+(1/'Component Lifetimes'!$B7)*'Building Projections'!F$10</f>
        <v>10144441.761909254</v>
      </c>
      <c r="C11" s="4">
        <f>'Building Projections'!H$11+(1/'Component Lifetimes'!$B7)*'Building Projections'!G$10</f>
        <v>9940497.5841128379</v>
      </c>
      <c r="D11" s="4">
        <f>'Building Projections'!I$11+(1/'Component Lifetimes'!$B7)*'Building Projections'!H$10</f>
        <v>10730622.855788168</v>
      </c>
      <c r="E11" s="4">
        <f>'Building Projections'!J$11+(1/'Component Lifetimes'!$B7)*'Building Projections'!I$10</f>
        <v>11216471.297460873</v>
      </c>
      <c r="F11" s="4">
        <f>'Building Projections'!K$11+(1/'Component Lifetimes'!$B7)*'Building Projections'!J$10</f>
        <v>11034683.199519202</v>
      </c>
      <c r="G11" s="4">
        <f>'Building Projections'!L$11+(1/'Component Lifetimes'!$B7)*'Building Projections'!K$10</f>
        <v>11505760.921289565</v>
      </c>
      <c r="H11" s="4">
        <f>'Building Projections'!M$11+(1/'Component Lifetimes'!$B7)*'Building Projections'!L$10</f>
        <v>11764140.276456781</v>
      </c>
      <c r="I11" s="4">
        <f>'Building Projections'!N$11+(1/'Component Lifetimes'!$B7)*'Building Projections'!M$10</f>
        <v>12205320.810587734</v>
      </c>
      <c r="J11" s="4">
        <f>'Building Projections'!O$11+(1/'Component Lifetimes'!$B7)*'Building Projections'!N$10</f>
        <v>12475570.372181598</v>
      </c>
      <c r="K11" s="4">
        <f>'Building Projections'!P$11+(1/'Component Lifetimes'!$B7)*'Building Projections'!O$10</f>
        <v>12745819.933773242</v>
      </c>
      <c r="L11" s="4">
        <f>'Building Projections'!Q$11+(1/'Component Lifetimes'!$B7)*'Building Projections'!P$10</f>
        <v>13477988.336428147</v>
      </c>
      <c r="M11" s="4">
        <f>'Building Projections'!R$11+(1/'Component Lifetimes'!$B7)*'Building Projections'!Q$10</f>
        <v>13167473.271446664</v>
      </c>
      <c r="N11" s="4">
        <f>'Building Projections'!S$11+(1/'Component Lifetimes'!$B7)*'Building Projections'!R$10</f>
        <v>13889976.705565704</v>
      </c>
      <c r="O11" s="4">
        <f>'Building Projections'!T$11+(1/'Component Lifetimes'!$B7)*'Building Projections'!S$10</f>
        <v>14180556.028562244</v>
      </c>
      <c r="P11" s="4">
        <f>'Building Projections'!U$11+(1/'Component Lifetimes'!$B7)*'Building Projections'!T$10</f>
        <v>14471135.351556966</v>
      </c>
      <c r="Q11" s="4">
        <f>'Building Projections'!V$11+(1/'Component Lifetimes'!$B7)*'Building Projections'!U$10</f>
        <v>14761714.674555207</v>
      </c>
      <c r="R11" s="4">
        <f>'Building Projections'!W$11+(1/'Component Lifetimes'!$B7)*'Building Projections'!V$10</f>
        <v>15349804.845162936</v>
      </c>
      <c r="S11" s="4">
        <f>'Building Projections'!X$11+(1/'Component Lifetimes'!$B7)*'Building Projections'!W$10</f>
        <v>15659703.054368025</v>
      </c>
      <c r="T11" s="4">
        <f>'Building Projections'!Y$11+(1/'Component Lifetimes'!$B7)*'Building Projections'!X$10</f>
        <v>15969601.263573056</v>
      </c>
      <c r="U11" s="4">
        <f>'Building Projections'!Z$11+(1/'Component Lifetimes'!$B7)*'Building Projections'!Y$10</f>
        <v>16279499.472778114</v>
      </c>
      <c r="V11" s="4">
        <f>'Building Projections'!AA$11+(1/'Component Lifetimes'!$B7)*'Building Projections'!Z$10</f>
        <v>16589397.681986809</v>
      </c>
      <c r="W11" s="4">
        <f>'Building Projections'!AB$11+(1/'Component Lifetimes'!$B7)*'Building Projections'!AA$10</f>
        <v>17140766.488270786</v>
      </c>
      <c r="X11" s="4">
        <f>'Building Projections'!AC$11+(1/'Component Lifetimes'!$B7)*'Building Projections'!AB$10</f>
        <v>17466344.606377263</v>
      </c>
      <c r="Y11" s="4">
        <f>'Building Projections'!AD$11+(1/'Component Lifetimes'!$B7)*'Building Projections'!AC$10</f>
        <v>17791922.724485617</v>
      </c>
      <c r="Z11" s="4">
        <f>'Building Projections'!AE$11+(1/'Component Lifetimes'!$B7)*'Building Projections'!AD$10</f>
        <v>18117500.842590425</v>
      </c>
      <c r="AA11" s="4">
        <f>'Building Projections'!AF$11+(1/'Component Lifetimes'!$B7)*'Building Projections'!AE$10</f>
        <v>18443078.960696902</v>
      </c>
      <c r="AB11" s="4">
        <f>'Building Projections'!AG$11+(1/'Component Lifetimes'!$B7)*'Building Projections'!AF$10</f>
        <v>19011309.209234882</v>
      </c>
      <c r="AC11" s="4">
        <f>'Building Projections'!AH$11+(1/'Component Lifetimes'!$B7)*'Building Projections'!AG$10</f>
        <v>19352643.95918759</v>
      </c>
      <c r="AD11" s="4">
        <f>'Building Projections'!AI$11+(1/'Component Lifetimes'!$B7)*'Building Projections'!AH$10</f>
        <v>19693978.709142111</v>
      </c>
      <c r="AE11" s="4">
        <f>'Building Projections'!AJ$11+(1/'Component Lifetimes'!$B7)*'Building Projections'!AI$10</f>
        <v>20035313.459093116</v>
      </c>
      <c r="AF11" s="4">
        <f>'Building Projections'!AK$11+(1/'Component Lifetimes'!$B7)*'Building Projections'!AJ$10</f>
        <v>20376648.209046718</v>
      </c>
      <c r="AG11" s="4">
        <f>'Building Projections'!AL$11+(1/'Component Lifetimes'!$B7)*'Building Projections'!AK$10</f>
        <v>18892517.799418744</v>
      </c>
      <c r="AH11" s="4">
        <f>'Building Projections'!AM$11+(1/'Component Lifetimes'!$B7)*'Building Projections'!AL$10</f>
        <v>19115315.850697435</v>
      </c>
      <c r="AI11" s="4">
        <f>'Building Projections'!AN$11+(1/'Component Lifetimes'!$B7)*'Building Projections'!AM$10</f>
        <v>19338113.901975229</v>
      </c>
      <c r="AJ11" s="4">
        <f>'Building Projections'!AO$11+(1/'Component Lifetimes'!$B7)*'Building Projections'!AN$10</f>
        <v>19409433.655908432</v>
      </c>
      <c r="AK11" s="4">
        <f>'Building Projections'!AP$11+(1/'Component Lifetimes'!$B7)*'Building Projections'!AO$10</f>
        <v>19622395.454112686</v>
      </c>
      <c r="AL11" s="4">
        <f>'Building Projections'!AQ$11+(1/'Component Lifetimes'!$B7)*'Building Projections'!AP$10</f>
        <v>19835357.252316013</v>
      </c>
      <c r="AM11" s="4">
        <f>'Building Projections'!AR$11+(1/'Component Lifetimes'!$B7)*'Building Projections'!AQ$10</f>
        <v>20048319.050520204</v>
      </c>
      <c r="AN11" s="4">
        <f>'Building Projections'!AS$11+(1/'Component Lifetimes'!$B7)*'Building Projections'!AR$10</f>
        <v>20261280.848724756</v>
      </c>
      <c r="AO11" s="4">
        <f>'Building Projections'!AT$11+(1/'Component Lifetimes'!$B7)*'Building Projections'!AS$10</f>
        <v>20285374.101637818</v>
      </c>
      <c r="AP11" s="4">
        <f>'Building Projections'!AU$11+(1/'Component Lifetimes'!$B7)*'Building Projections'!AT$10</f>
        <v>20486071.708589721</v>
      </c>
      <c r="AQ11" s="4">
        <f>'Building Projections'!AV$11+(1/'Component Lifetimes'!$B7)*'Building Projections'!AU$10</f>
        <v>20686769.315540392</v>
      </c>
      <c r="AR11" s="4">
        <f>'Building Projections'!AW$11+(1/'Component Lifetimes'!$B7)*'Building Projections'!AV$10</f>
        <v>20887466.922492798</v>
      </c>
      <c r="AS11" s="4">
        <f>'Building Projections'!AX$11+(1/'Component Lifetimes'!$B7)*'Building Projections'!AW$10</f>
        <v>21088164.529443529</v>
      </c>
      <c r="AT11" s="4">
        <f>'Building Projections'!AY$11+(1/'Component Lifetimes'!$B7)*'Building Projections'!AX$10</f>
        <v>21059092.493176941</v>
      </c>
      <c r="AU11" s="4">
        <f>'Building Projections'!AZ$11+(1/'Component Lifetimes'!$B7)*'Building Projections'!AY$10</f>
        <v>21244869.993427053</v>
      </c>
      <c r="AV11" s="4">
        <f>'Building Projections'!BA$11+(1/'Component Lifetimes'!$B7)*'Building Projections'!AZ$10</f>
        <v>21430647.49367521</v>
      </c>
      <c r="AW11" s="4">
        <f>'Building Projections'!BB$11+(1/'Component Lifetimes'!$B7)*'Building Projections'!BA$10</f>
        <v>21616424.993924316</v>
      </c>
      <c r="AX11" s="4">
        <f>'Building Projections'!BC$11+(1/'Component Lifetimes'!$B7)*'Building Projections'!BB$10</f>
        <v>21802202.494173963</v>
      </c>
      <c r="AY11" s="4">
        <f>'Building Projections'!BD$11+(1/'Component Lifetimes'!$B7)*'Building Projections'!BC$10</f>
        <v>21705797.052182574</v>
      </c>
      <c r="AZ11" s="4">
        <f>'Building Projections'!BE$11+(1/'Component Lifetimes'!$B7)*'Building Projections'!BD$10</f>
        <v>21873250.984753475</v>
      </c>
      <c r="BA11" s="4">
        <f>'Building Projections'!BF$11+(1/'Component Lifetimes'!$B7)*'Building Projections'!BE$10</f>
        <v>22040704.917325549</v>
      </c>
      <c r="BB11" s="4">
        <f>'Building Projections'!BG$11+(1/'Component Lifetimes'!$B7)*'Building Projections'!BF$10</f>
        <v>22208158.849895775</v>
      </c>
      <c r="BC11" s="4">
        <f>'Building Projections'!BH$11+(1/'Component Lifetimes'!$B7)*'Building Projections'!BG$10</f>
        <v>22375612.78246773</v>
      </c>
    </row>
    <row r="13" spans="1:55">
      <c r="A13" s="2" t="s">
        <v>169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</row>
    <row r="14" spans="1:55">
      <c r="B14" s="38">
        <v>2017</v>
      </c>
      <c r="C14" s="38">
        <v>2018</v>
      </c>
      <c r="D14" s="38">
        <v>2019</v>
      </c>
      <c r="E14" s="38">
        <v>2020</v>
      </c>
      <c r="F14" s="38">
        <v>2021</v>
      </c>
      <c r="G14" s="38">
        <v>2022</v>
      </c>
      <c r="H14" s="38">
        <v>2023</v>
      </c>
      <c r="I14" s="38">
        <v>2024</v>
      </c>
      <c r="J14" s="38">
        <v>2025</v>
      </c>
      <c r="K14" s="38">
        <v>2026</v>
      </c>
      <c r="L14" s="38">
        <v>2027</v>
      </c>
      <c r="M14" s="38">
        <v>2028</v>
      </c>
      <c r="N14" s="38">
        <v>2029</v>
      </c>
      <c r="O14" s="38">
        <v>2030</v>
      </c>
      <c r="P14" s="38">
        <v>2031</v>
      </c>
      <c r="Q14" s="38">
        <v>2032</v>
      </c>
      <c r="R14" s="38">
        <v>2033</v>
      </c>
      <c r="S14" s="38">
        <v>2034</v>
      </c>
      <c r="T14" s="38">
        <v>2035</v>
      </c>
      <c r="U14" s="38">
        <v>2036</v>
      </c>
      <c r="V14" s="38">
        <v>2037</v>
      </c>
      <c r="W14" s="38">
        <v>2038</v>
      </c>
      <c r="X14" s="38">
        <v>2039</v>
      </c>
      <c r="Y14" s="38">
        <v>2040</v>
      </c>
      <c r="Z14" s="38">
        <v>2041</v>
      </c>
      <c r="AA14" s="38">
        <v>2042</v>
      </c>
      <c r="AB14" s="38">
        <v>2043</v>
      </c>
      <c r="AC14" s="38">
        <v>2044</v>
      </c>
      <c r="AD14" s="38">
        <v>2045</v>
      </c>
      <c r="AE14" s="38">
        <v>2046</v>
      </c>
      <c r="AF14" s="38">
        <v>2047</v>
      </c>
      <c r="AG14" s="38">
        <v>2048</v>
      </c>
      <c r="AH14" s="38">
        <v>2049</v>
      </c>
      <c r="AI14" s="38">
        <v>2050</v>
      </c>
      <c r="AJ14">
        <v>2051</v>
      </c>
      <c r="AK14">
        <v>2052</v>
      </c>
      <c r="AL14">
        <v>2053</v>
      </c>
      <c r="AM14">
        <v>2054</v>
      </c>
      <c r="AN14">
        <v>2055</v>
      </c>
      <c r="AO14">
        <v>2056</v>
      </c>
      <c r="AP14">
        <v>2057</v>
      </c>
      <c r="AQ14">
        <v>2058</v>
      </c>
      <c r="AR14">
        <v>2059</v>
      </c>
      <c r="AS14">
        <v>2060</v>
      </c>
      <c r="AT14">
        <v>2061</v>
      </c>
      <c r="AU14">
        <v>2062</v>
      </c>
      <c r="AV14">
        <v>2063</v>
      </c>
      <c r="AW14">
        <v>2064</v>
      </c>
      <c r="AX14">
        <v>2065</v>
      </c>
      <c r="AY14">
        <v>2066</v>
      </c>
      <c r="AZ14">
        <v>2067</v>
      </c>
      <c r="BA14">
        <v>2068</v>
      </c>
      <c r="BB14">
        <v>2069</v>
      </c>
      <c r="BC14">
        <v>2070</v>
      </c>
    </row>
    <row r="15" spans="1:55">
      <c r="A15" t="s">
        <v>91</v>
      </c>
      <c r="B15">
        <f>SUMIFS('Calculations 1'!$E$3:$E$23,'Calculations 1'!$G$3:$G$23,$A15)*B6</f>
        <v>0</v>
      </c>
      <c r="C15">
        <f>SUMIFS('Calculations 1'!$E$3:$E$23,'Calculations 1'!$G$3:$G$23,$A15)*C6</f>
        <v>0</v>
      </c>
      <c r="D15">
        <f>SUMIFS('Calculations 1'!$E$3:$E$23,'Calculations 1'!$G$3:$G$23,$A15)*D6</f>
        <v>0</v>
      </c>
      <c r="E15">
        <f>SUMIFS('Calculations 1'!$E$3:$E$23,'Calculations 1'!$G$3:$G$23,$A15)*E6</f>
        <v>0</v>
      </c>
      <c r="F15">
        <f>SUMIFS('Calculations 1'!$E$3:$E$23,'Calculations 1'!$G$3:$G$23,$A15)*F6</f>
        <v>0</v>
      </c>
      <c r="G15">
        <f>SUMIFS('Calculations 1'!$E$3:$E$23,'Calculations 1'!$G$3:$G$23,$A15)*G6</f>
        <v>0</v>
      </c>
      <c r="H15">
        <f>SUMIFS('Calculations 1'!$E$3:$E$23,'Calculations 1'!$G$3:$G$23,$A15)*H6</f>
        <v>0</v>
      </c>
      <c r="I15">
        <f>SUMIFS('Calculations 1'!$E$3:$E$23,'Calculations 1'!$G$3:$G$23,$A15)*I6</f>
        <v>0</v>
      </c>
      <c r="J15">
        <f>SUMIFS('Calculations 1'!$E$3:$E$23,'Calculations 1'!$G$3:$G$23,$A15)*J6</f>
        <v>0</v>
      </c>
      <c r="K15">
        <f>SUMIFS('Calculations 1'!$E$3:$E$23,'Calculations 1'!$G$3:$G$23,$A15)*K6</f>
        <v>0</v>
      </c>
      <c r="L15">
        <f>SUMIFS('Calculations 1'!$E$3:$E$23,'Calculations 1'!$G$3:$G$23,$A15)*L6</f>
        <v>0</v>
      </c>
      <c r="M15">
        <f>SUMIFS('Calculations 1'!$E$3:$E$23,'Calculations 1'!$G$3:$G$23,$A15)*M6</f>
        <v>0</v>
      </c>
      <c r="N15">
        <f>SUMIFS('Calculations 1'!$E$3:$E$23,'Calculations 1'!$G$3:$G$23,$A15)*N6</f>
        <v>0</v>
      </c>
      <c r="O15">
        <f>SUMIFS('Calculations 1'!$E$3:$E$23,'Calculations 1'!$G$3:$G$23,$A15)*O6</f>
        <v>0</v>
      </c>
      <c r="P15">
        <f>SUMIFS('Calculations 1'!$E$3:$E$23,'Calculations 1'!$G$3:$G$23,$A15)*P6</f>
        <v>0</v>
      </c>
      <c r="Q15">
        <f>SUMIFS('Calculations 1'!$E$3:$E$23,'Calculations 1'!$G$3:$G$23,$A15)*Q6</f>
        <v>0</v>
      </c>
      <c r="R15">
        <f>SUMIFS('Calculations 1'!$E$3:$E$23,'Calculations 1'!$G$3:$G$23,$A15)*R6</f>
        <v>0</v>
      </c>
      <c r="S15">
        <f>SUMIFS('Calculations 1'!$E$3:$E$23,'Calculations 1'!$G$3:$G$23,$A15)*S6</f>
        <v>0</v>
      </c>
      <c r="T15">
        <f>SUMIFS('Calculations 1'!$E$3:$E$23,'Calculations 1'!$G$3:$G$23,$A15)*T6</f>
        <v>0</v>
      </c>
      <c r="U15">
        <f>SUMIFS('Calculations 1'!$E$3:$E$23,'Calculations 1'!$G$3:$G$23,$A15)*U6</f>
        <v>0</v>
      </c>
      <c r="V15">
        <f>SUMIFS('Calculations 1'!$E$3:$E$23,'Calculations 1'!$G$3:$G$23,$A15)*V6</f>
        <v>0</v>
      </c>
      <c r="W15">
        <f>SUMIFS('Calculations 1'!$E$3:$E$23,'Calculations 1'!$G$3:$G$23,$A15)*W6</f>
        <v>0</v>
      </c>
      <c r="X15">
        <f>SUMIFS('Calculations 1'!$E$3:$E$23,'Calculations 1'!$G$3:$G$23,$A15)*X6</f>
        <v>0</v>
      </c>
      <c r="Y15">
        <f>SUMIFS('Calculations 1'!$E$3:$E$23,'Calculations 1'!$G$3:$G$23,$A15)*Y6</f>
        <v>0</v>
      </c>
      <c r="Z15">
        <f>SUMIFS('Calculations 1'!$E$3:$E$23,'Calculations 1'!$G$3:$G$23,$A15)*Z6</f>
        <v>0</v>
      </c>
      <c r="AA15">
        <f>SUMIFS('Calculations 1'!$E$3:$E$23,'Calculations 1'!$G$3:$G$23,$A15)*AA6</f>
        <v>0</v>
      </c>
      <c r="AB15">
        <f>SUMIFS('Calculations 1'!$E$3:$E$23,'Calculations 1'!$G$3:$G$23,$A15)*AB6</f>
        <v>0</v>
      </c>
      <c r="AC15">
        <f>SUMIFS('Calculations 1'!$E$3:$E$23,'Calculations 1'!$G$3:$G$23,$A15)*AC6</f>
        <v>0</v>
      </c>
      <c r="AD15">
        <f>SUMIFS('Calculations 1'!$E$3:$E$23,'Calculations 1'!$G$3:$G$23,$A15)*AD6</f>
        <v>0</v>
      </c>
      <c r="AE15">
        <f>SUMIFS('Calculations 1'!$E$3:$E$23,'Calculations 1'!$G$3:$G$23,$A15)*AE6</f>
        <v>0</v>
      </c>
      <c r="AF15">
        <f>SUMIFS('Calculations 1'!$E$3:$E$23,'Calculations 1'!$G$3:$G$23,$A15)*AF6</f>
        <v>0</v>
      </c>
      <c r="AG15">
        <f>SUMIFS('Calculations 1'!$E$3:$E$23,'Calculations 1'!$G$3:$G$23,$A15)*AG6</f>
        <v>0</v>
      </c>
      <c r="AH15">
        <f>SUMIFS('Calculations 1'!$E$3:$E$23,'Calculations 1'!$G$3:$G$23,$A15)*AH6</f>
        <v>0</v>
      </c>
      <c r="AI15">
        <f>SUMIFS('Calculations 1'!$E$3:$E$23,'Calculations 1'!$G$3:$G$23,$A15)*AI6</f>
        <v>0</v>
      </c>
      <c r="AJ15">
        <f>SUMIFS('Calculations 1'!$E$3:$E$23,'Calculations 1'!$G$3:$G$23,$A15)*AJ6</f>
        <v>0</v>
      </c>
      <c r="AK15">
        <f>SUMIFS('Calculations 1'!$E$3:$E$23,'Calculations 1'!$G$3:$G$23,$A15)*AK6</f>
        <v>0</v>
      </c>
      <c r="AL15">
        <f>SUMIFS('Calculations 1'!$E$3:$E$23,'Calculations 1'!$G$3:$G$23,$A15)*AL6</f>
        <v>0</v>
      </c>
      <c r="AM15">
        <f>SUMIFS('Calculations 1'!$E$3:$E$23,'Calculations 1'!$G$3:$G$23,$A15)*AM6</f>
        <v>0</v>
      </c>
      <c r="AN15">
        <f>SUMIFS('Calculations 1'!$E$3:$E$23,'Calculations 1'!$G$3:$G$23,$A15)*AN6</f>
        <v>0</v>
      </c>
      <c r="AO15">
        <f>SUMIFS('Calculations 1'!$E$3:$E$23,'Calculations 1'!$G$3:$G$23,$A15)*AO6</f>
        <v>0</v>
      </c>
      <c r="AP15">
        <f>SUMIFS('Calculations 1'!$E$3:$E$23,'Calculations 1'!$G$3:$G$23,$A15)*AP6</f>
        <v>0</v>
      </c>
      <c r="AQ15">
        <f>SUMIFS('Calculations 1'!$E$3:$E$23,'Calculations 1'!$G$3:$G$23,$A15)*AQ6</f>
        <v>0</v>
      </c>
      <c r="AR15">
        <f>SUMIFS('Calculations 1'!$E$3:$E$23,'Calculations 1'!$G$3:$G$23,$A15)*AR6</f>
        <v>0</v>
      </c>
      <c r="AS15">
        <f>SUMIFS('Calculations 1'!$E$3:$E$23,'Calculations 1'!$G$3:$G$23,$A15)*AS6</f>
        <v>0</v>
      </c>
      <c r="AT15">
        <f>SUMIFS('Calculations 1'!$E$3:$E$23,'Calculations 1'!$G$3:$G$23,$A15)*AT6</f>
        <v>0</v>
      </c>
      <c r="AU15">
        <f>SUMIFS('Calculations 1'!$E$3:$E$23,'Calculations 1'!$G$3:$G$23,$A15)*AU6</f>
        <v>0</v>
      </c>
      <c r="AV15">
        <f>SUMIFS('Calculations 1'!$E$3:$E$23,'Calculations 1'!$G$3:$G$23,$A15)*AV6</f>
        <v>0</v>
      </c>
      <c r="AW15">
        <f>SUMIFS('Calculations 1'!$E$3:$E$23,'Calculations 1'!$G$3:$G$23,$A15)*AW6</f>
        <v>0</v>
      </c>
      <c r="AX15">
        <f>SUMIFS('Calculations 1'!$E$3:$E$23,'Calculations 1'!$G$3:$G$23,$A15)*AX6</f>
        <v>0</v>
      </c>
      <c r="AY15">
        <f>SUMIFS('Calculations 1'!$E$3:$E$23,'Calculations 1'!$G$3:$G$23,$A15)*AY6</f>
        <v>0</v>
      </c>
      <c r="AZ15">
        <f>SUMIFS('Calculations 1'!$E$3:$E$23,'Calculations 1'!$G$3:$G$23,$A15)*AZ6</f>
        <v>0</v>
      </c>
      <c r="BA15">
        <f>SUMIFS('Calculations 1'!$E$3:$E$23,'Calculations 1'!$G$3:$G$23,$A15)*BA6</f>
        <v>0</v>
      </c>
      <c r="BB15">
        <f>SUMIFS('Calculations 1'!$E$3:$E$23,'Calculations 1'!$G$3:$G$23,$A15)*BB6</f>
        <v>0</v>
      </c>
      <c r="BC15">
        <f>SUMIFS('Calculations 1'!$E$3:$E$23,'Calculations 1'!$G$3:$G$23,$A15)*BC6</f>
        <v>0</v>
      </c>
    </row>
    <row r="16" spans="1:55">
      <c r="A16" t="s">
        <v>92</v>
      </c>
      <c r="B16" s="4">
        <f>SUMIFS('Calculations 1'!$E$3:$E$23,'Calculations 1'!$G$3:$G$23,$A16)*B7</f>
        <v>174790285750.67966</v>
      </c>
      <c r="C16" s="4">
        <f>SUMIFS('Calculations 1'!$E$3:$E$23,'Calculations 1'!$G$3:$G$23,$A16)*C7</f>
        <v>171095343603.39481</v>
      </c>
      <c r="D16" s="4">
        <f>SUMIFS('Calculations 1'!$E$3:$E$23,'Calculations 1'!$G$3:$G$23,$A16)*D7</f>
        <v>184837694137.25342</v>
      </c>
      <c r="E16" s="4">
        <f>SUMIFS('Calculations 1'!$E$3:$E$23,'Calculations 1'!$G$3:$G$23,$A16)*E7</f>
        <v>193229250888.07443</v>
      </c>
      <c r="F16" s="4">
        <f>SUMIFS('Calculations 1'!$E$3:$E$23,'Calculations 1'!$G$3:$G$23,$A16)*F7</f>
        <v>189912011831.3602</v>
      </c>
      <c r="G16" s="4">
        <f>SUMIFS('Calculations 1'!$E$3:$E$23,'Calculations 1'!$G$3:$G$23,$A16)*G7</f>
        <v>198051766521.81516</v>
      </c>
      <c r="H16" s="4">
        <f>SUMIFS('Calculations 1'!$E$3:$E$23,'Calculations 1'!$G$3:$G$23,$A16)*H7</f>
        <v>202456457316.67056</v>
      </c>
      <c r="I16" s="4">
        <f>SUMIFS('Calculations 1'!$E$3:$E$23,'Calculations 1'!$G$3:$G$23,$A16)*I7</f>
        <v>210065116652.11841</v>
      </c>
      <c r="J16" s="4">
        <f>SUMIFS('Calculations 1'!$E$3:$E$23,'Calculations 1'!$G$3:$G$23,$A16)*J7</f>
        <v>214672163354.80826</v>
      </c>
      <c r="K16" s="4">
        <f>SUMIFS('Calculations 1'!$E$3:$E$23,'Calculations 1'!$G$3:$G$23,$A16)*K7</f>
        <v>219279210057.45917</v>
      </c>
      <c r="L16" s="4">
        <f>SUMIFS('Calculations 1'!$E$3:$E$23,'Calculations 1'!$G$3:$G$23,$A16)*L7</f>
        <v>231982339309.81418</v>
      </c>
      <c r="M16" s="4">
        <f>SUMIFS('Calculations 1'!$E$3:$E$23,'Calculations 1'!$G$3:$G$23,$A16)*M7</f>
        <v>226395897281.83795</v>
      </c>
      <c r="N16" s="4">
        <f>SUMIFS('Calculations 1'!$E$3:$E$23,'Calculations 1'!$G$3:$G$23,$A16)*N7</f>
        <v>238934264152.4812</v>
      </c>
      <c r="O16" s="4">
        <f>SUMIFS('Calculations 1'!$E$3:$E$23,'Calculations 1'!$G$3:$G$23,$A16)*O7</f>
        <v>243887880002.90332</v>
      </c>
      <c r="P16" s="4">
        <f>SUMIFS('Calculations 1'!$E$3:$E$23,'Calculations 1'!$G$3:$G$23,$A16)*P7</f>
        <v>248841495853.29361</v>
      </c>
      <c r="Q16" s="4">
        <f>SUMIFS('Calculations 1'!$E$3:$E$23,'Calculations 1'!$G$3:$G$23,$A16)*Q7</f>
        <v>253795111703.74557</v>
      </c>
      <c r="R16" s="4">
        <f>SUMIFS('Calculations 1'!$E$3:$E$23,'Calculations 1'!$G$3:$G$23,$A16)*R7</f>
        <v>263963220161.02527</v>
      </c>
      <c r="S16" s="4">
        <f>SUMIFS('Calculations 1'!$E$3:$E$23,'Calculations 1'!$G$3:$G$23,$A16)*S7</f>
        <v>269246172386.61786</v>
      </c>
      <c r="T16" s="4">
        <f>SUMIFS('Calculations 1'!$E$3:$E$23,'Calculations 1'!$G$3:$G$23,$A16)*T7</f>
        <v>274529124612.20944</v>
      </c>
      <c r="U16" s="4">
        <f>SUMIFS('Calculations 1'!$E$3:$E$23,'Calculations 1'!$G$3:$G$23,$A16)*U7</f>
        <v>279812076837.80151</v>
      </c>
      <c r="V16" s="4">
        <f>SUMIFS('Calculations 1'!$E$3:$E$23,'Calculations 1'!$G$3:$G$23,$A16)*V7</f>
        <v>285095029063.45728</v>
      </c>
      <c r="W16" s="4">
        <f>SUMIFS('Calculations 1'!$E$3:$E$23,'Calculations 1'!$G$3:$G$23,$A16)*W7</f>
        <v>294610252661.17438</v>
      </c>
      <c r="X16" s="4">
        <f>SUMIFS('Calculations 1'!$E$3:$E$23,'Calculations 1'!$G$3:$G$23,$A16)*X7</f>
        <v>300160506236.58801</v>
      </c>
      <c r="Y16" s="4">
        <f>SUMIFS('Calculations 1'!$E$3:$E$23,'Calculations 1'!$G$3:$G$23,$A16)*Y7</f>
        <v>305710759812.03467</v>
      </c>
      <c r="Z16" s="4">
        <f>SUMIFS('Calculations 1'!$E$3:$E$23,'Calculations 1'!$G$3:$G$23,$A16)*Z7</f>
        <v>311261013387.41907</v>
      </c>
      <c r="AA16" s="4">
        <f>SUMIFS('Calculations 1'!$E$3:$E$23,'Calculations 1'!$G$3:$G$23,$A16)*AA7</f>
        <v>316811266962.83282</v>
      </c>
      <c r="AB16" s="4">
        <f>SUMIFS('Calculations 1'!$E$3:$E$23,'Calculations 1'!$G$3:$G$23,$A16)*AB7</f>
        <v>326614500724.79401</v>
      </c>
      <c r="AC16" s="4">
        <f>SUMIFS('Calculations 1'!$E$3:$E$23,'Calculations 1'!$G$3:$G$23,$A16)*AC7</f>
        <v>332433363575.14795</v>
      </c>
      <c r="AD16" s="4">
        <f>SUMIFS('Calculations 1'!$E$3:$E$23,'Calculations 1'!$G$3:$G$23,$A16)*AD7</f>
        <v>338252226425.53394</v>
      </c>
      <c r="AE16" s="4">
        <f>SUMIFS('Calculations 1'!$E$3:$E$23,'Calculations 1'!$G$3:$G$23,$A16)*AE7</f>
        <v>344071089275.85809</v>
      </c>
      <c r="AF16" s="4">
        <f>SUMIFS('Calculations 1'!$E$3:$E$23,'Calculations 1'!$G$3:$G$23,$A16)*AF7</f>
        <v>349889952126.22778</v>
      </c>
      <c r="AG16" s="4">
        <f>SUMIFS('Calculations 1'!$E$3:$E$23,'Calculations 1'!$G$3:$G$23,$A16)*AG7</f>
        <v>323713764526.69159</v>
      </c>
      <c r="AH16" s="4">
        <f>SUMIFS('Calculations 1'!$E$3:$E$23,'Calculations 1'!$G$3:$G$23,$A16)*AH7</f>
        <v>327511887348.63239</v>
      </c>
      <c r="AI16" s="4">
        <f>SUMIFS('Calculations 1'!$E$3:$E$23,'Calculations 1'!$G$3:$G$23,$A16)*AI7</f>
        <v>331310010170.55756</v>
      </c>
      <c r="AJ16" s="4">
        <f>SUMIFS('Calculations 1'!$E$3:$E$23,'Calculations 1'!$G$3:$G$23,$A16)*AJ7</f>
        <v>332453162701.66827</v>
      </c>
      <c r="AK16" s="4">
        <f>SUMIFS('Calculations 1'!$E$3:$E$23,'Calculations 1'!$G$3:$G$23,$A16)*AK7</f>
        <v>336083603189.45044</v>
      </c>
      <c r="AL16" s="4">
        <f>SUMIFS('Calculations 1'!$E$3:$E$23,'Calculations 1'!$G$3:$G$23,$A16)*AL7</f>
        <v>339714043677.21643</v>
      </c>
      <c r="AM16" s="4">
        <f>SUMIFS('Calculations 1'!$E$3:$E$23,'Calculations 1'!$G$3:$G$23,$A16)*AM7</f>
        <v>343344484164.99762</v>
      </c>
      <c r="AN16" s="4">
        <f>SUMIFS('Calculations 1'!$E$3:$E$23,'Calculations 1'!$G$3:$G$23,$A16)*AN7</f>
        <v>346974924652.7851</v>
      </c>
      <c r="AO16" s="4">
        <f>SUMIFS('Calculations 1'!$E$3:$E$23,'Calculations 1'!$G$3:$G$23,$A16)*AO7</f>
        <v>347295053462.8703</v>
      </c>
      <c r="AP16" s="4">
        <f>SUMIFS('Calculations 1'!$E$3:$E$23,'Calculations 1'!$G$3:$G$23,$A16)*AP7</f>
        <v>350716421634.17206</v>
      </c>
      <c r="AQ16" s="4">
        <f>SUMIFS('Calculations 1'!$E$3:$E$23,'Calculations 1'!$G$3:$G$23,$A16)*AQ7</f>
        <v>354137789805.45227</v>
      </c>
      <c r="AR16" s="4">
        <f>SUMIFS('Calculations 1'!$E$3:$E$23,'Calculations 1'!$G$3:$G$23,$A16)*AR7</f>
        <v>357559157976.76288</v>
      </c>
      <c r="AS16" s="4">
        <f>SUMIFS('Calculations 1'!$E$3:$E$23,'Calculations 1'!$G$3:$G$23,$A16)*AS7</f>
        <v>360980526148.04407</v>
      </c>
      <c r="AT16" s="4">
        <f>SUMIFS('Calculations 1'!$E$3:$E$23,'Calculations 1'!$G$3:$G$23,$A16)*AT7</f>
        <v>360374706351.36652</v>
      </c>
      <c r="AU16" s="4">
        <f>SUMIFS('Calculations 1'!$E$3:$E$23,'Calculations 1'!$G$3:$G$23,$A16)*AU7</f>
        <v>363541725808.91364</v>
      </c>
      <c r="AV16" s="4">
        <f>SUMIFS('Calculations 1'!$E$3:$E$23,'Calculations 1'!$G$3:$G$23,$A16)*AV7</f>
        <v>366708745266.42633</v>
      </c>
      <c r="AW16" s="4">
        <f>SUMIFS('Calculations 1'!$E$3:$E$23,'Calculations 1'!$G$3:$G$23,$A16)*AW7</f>
        <v>369875764723.95587</v>
      </c>
      <c r="AX16" s="4">
        <f>SUMIFS('Calculations 1'!$E$3:$E$23,'Calculations 1'!$G$3:$G$23,$A16)*AX7</f>
        <v>373042784181.49481</v>
      </c>
      <c r="AY16" s="4">
        <f>SUMIFS('Calculations 1'!$E$3:$E$23,'Calculations 1'!$G$3:$G$23,$A16)*AY7</f>
        <v>371263964259.01819</v>
      </c>
      <c r="AZ16" s="4">
        <f>SUMIFS('Calculations 1'!$E$3:$E$23,'Calculations 1'!$G$3:$G$23,$A16)*AZ7</f>
        <v>374118614913.5954</v>
      </c>
      <c r="BA16" s="4">
        <f>SUMIFS('Calculations 1'!$E$3:$E$23,'Calculations 1'!$G$3:$G$23,$A16)*BA7</f>
        <v>376973265568.19336</v>
      </c>
      <c r="BB16" s="4">
        <f>SUMIFS('Calculations 1'!$E$3:$E$23,'Calculations 1'!$G$3:$G$23,$A16)*BB7</f>
        <v>379827916222.75879</v>
      </c>
      <c r="BC16" s="4">
        <f>SUMIFS('Calculations 1'!$E$3:$E$23,'Calculations 1'!$G$3:$G$23,$A16)*BC7</f>
        <v>382682566877.35455</v>
      </c>
    </row>
    <row r="17" spans="1:55">
      <c r="A17" t="s">
        <v>93</v>
      </c>
      <c r="B17" s="4">
        <f>SUMIFS('Calculations 1'!$E$3:$E$23,'Calculations 1'!$G$3:$G$23,$A17)*B8</f>
        <v>636617932695.00671</v>
      </c>
      <c r="C17" s="4">
        <f>SUMIFS('Calculations 1'!$E$3:$E$23,'Calculations 1'!$G$3:$G$23,$A17)*C8</f>
        <v>594371150873.61145</v>
      </c>
      <c r="D17" s="4">
        <f>SUMIFS('Calculations 1'!$E$3:$E$23,'Calculations 1'!$G$3:$G$23,$A17)*D8</f>
        <v>664846803013.28894</v>
      </c>
      <c r="E17" s="4">
        <f>SUMIFS('Calculations 1'!$E$3:$E$23,'Calculations 1'!$G$3:$G$23,$A17)*E8</f>
        <v>698642229394.79224</v>
      </c>
      <c r="F17" s="4">
        <f>SUMIFS('Calculations 1'!$E$3:$E$23,'Calculations 1'!$G$3:$G$23,$A17)*F8</f>
        <v>657126835760.74719</v>
      </c>
      <c r="G17" s="4">
        <f>SUMIFS('Calculations 1'!$E$3:$E$23,'Calculations 1'!$G$3:$G$23,$A17)*G8</f>
        <v>690434670017.44373</v>
      </c>
      <c r="H17" s="4">
        <f>SUMIFS('Calculations 1'!$E$3:$E$23,'Calculations 1'!$G$3:$G$23,$A17)*H8</f>
        <v>698963959018.83752</v>
      </c>
      <c r="I17" s="4">
        <f>SUMIFS('Calculations 1'!$E$3:$E$23,'Calculations 1'!$G$3:$G$23,$A17)*I8</f>
        <v>727797895882.05176</v>
      </c>
      <c r="J17" s="4">
        <f>SUMIFS('Calculations 1'!$E$3:$E$23,'Calculations 1'!$G$3:$G$23,$A17)*J8</f>
        <v>736719028965.0376</v>
      </c>
      <c r="K17" s="4">
        <f>SUMIFS('Calculations 1'!$E$3:$E$23,'Calculations 1'!$G$3:$G$23,$A17)*K8</f>
        <v>745640162047.77429</v>
      </c>
      <c r="L17" s="4">
        <f>SUMIFS('Calculations 1'!$E$3:$E$23,'Calculations 1'!$G$3:$G$23,$A17)*L8</f>
        <v>805868947858.46252</v>
      </c>
      <c r="M17" s="4">
        <f>SUMIFS('Calculations 1'!$E$3:$E$23,'Calculations 1'!$G$3:$G$23,$A17)*M8</f>
        <v>747940110019.01489</v>
      </c>
      <c r="N17" s="4">
        <f>SUMIFS('Calculations 1'!$E$3:$E$23,'Calculations 1'!$G$3:$G$23,$A17)*N8</f>
        <v>807849848242.56738</v>
      </c>
      <c r="O17" s="4">
        <f>SUMIFS('Calculations 1'!$E$3:$E$23,'Calculations 1'!$G$3:$G$23,$A17)*O8</f>
        <v>817442081422.58618</v>
      </c>
      <c r="P17" s="4">
        <f>SUMIFS('Calculations 1'!$E$3:$E$23,'Calculations 1'!$G$3:$G$23,$A17)*P8</f>
        <v>827034314602.4032</v>
      </c>
      <c r="Q17" s="4">
        <f>SUMIFS('Calculations 1'!$E$3:$E$23,'Calculations 1'!$G$3:$G$23,$A17)*Q8</f>
        <v>836626547782.62012</v>
      </c>
      <c r="R17" s="4">
        <f>SUMIFS('Calculations 1'!$E$3:$E$23,'Calculations 1'!$G$3:$G$23,$A17)*R8</f>
        <v>879264809604.58411</v>
      </c>
      <c r="S17" s="4">
        <f>SUMIFS('Calculations 1'!$E$3:$E$23,'Calculations 1'!$G$3:$G$23,$A17)*S8</f>
        <v>889494773161.90698</v>
      </c>
      <c r="T17" s="4">
        <f>SUMIFS('Calculations 1'!$E$3:$E$23,'Calculations 1'!$G$3:$G$23,$A17)*T8</f>
        <v>899724736719.22339</v>
      </c>
      <c r="U17" s="4">
        <f>SUMIFS('Calculations 1'!$E$3:$E$23,'Calculations 1'!$G$3:$G$23,$A17)*U8</f>
        <v>909954700276.54297</v>
      </c>
      <c r="V17" s="4">
        <f>SUMIFS('Calculations 1'!$E$3:$E$23,'Calculations 1'!$G$3:$G$23,$A17)*V8</f>
        <v>920184663834.26636</v>
      </c>
      <c r="W17" s="4">
        <f>SUMIFS('Calculations 1'!$E$3:$E$23,'Calculations 1'!$G$3:$G$23,$A17)*W8</f>
        <v>957235983087.76697</v>
      </c>
      <c r="X17" s="4">
        <f>SUMIFS('Calculations 1'!$E$3:$E$23,'Calculations 1'!$G$3:$G$23,$A17)*X8</f>
        <v>967983551755.01709</v>
      </c>
      <c r="Y17" s="4">
        <f>SUMIFS('Calculations 1'!$E$3:$E$23,'Calculations 1'!$G$3:$G$23,$A17)*Y8</f>
        <v>978731120422.47595</v>
      </c>
      <c r="Z17" s="4">
        <f>SUMIFS('Calculations 1'!$E$3:$E$23,'Calculations 1'!$G$3:$G$23,$A17)*Z8</f>
        <v>989478689089.53137</v>
      </c>
      <c r="AA17" s="4">
        <f>SUMIFS('Calculations 1'!$E$3:$E$23,'Calculations 1'!$G$3:$G$23,$A17)*AA8</f>
        <v>1000226257756.7817</v>
      </c>
      <c r="AB17" s="4">
        <f>SUMIFS('Calculations 1'!$E$3:$E$23,'Calculations 1'!$G$3:$G$23,$A17)*AB8</f>
        <v>1037926420982.0222</v>
      </c>
      <c r="AC17" s="4">
        <f>SUMIFS('Calculations 1'!$E$3:$E$23,'Calculations 1'!$G$3:$G$23,$A17)*AC8</f>
        <v>1049194127438.9912</v>
      </c>
      <c r="AD17" s="4">
        <f>SUMIFS('Calculations 1'!$E$3:$E$23,'Calculations 1'!$G$3:$G$23,$A17)*AD8</f>
        <v>1060461833896.162</v>
      </c>
      <c r="AE17" s="4">
        <f>SUMIFS('Calculations 1'!$E$3:$E$23,'Calculations 1'!$G$3:$G$23,$A17)*AE8</f>
        <v>1071729540352.9331</v>
      </c>
      <c r="AF17" s="4">
        <f>SUMIFS('Calculations 1'!$E$3:$E$23,'Calculations 1'!$G$3:$G$23,$A17)*AF8</f>
        <v>1082997246810.0015</v>
      </c>
      <c r="AG17" s="4">
        <f>SUMIFS('Calculations 1'!$E$3:$E$23,'Calculations 1'!$G$3:$G$23,$A17)*AG8</f>
        <v>891501341678.54895</v>
      </c>
      <c r="AH17" s="4">
        <f>SUMIFS('Calculations 1'!$E$3:$E$23,'Calculations 1'!$G$3:$G$23,$A17)*AH8</f>
        <v>898856066157.49768</v>
      </c>
      <c r="AI17" s="4">
        <f>SUMIFS('Calculations 1'!$E$3:$E$23,'Calculations 1'!$G$3:$G$23,$A17)*AI8</f>
        <v>906210790636.34705</v>
      </c>
      <c r="AJ17" s="4">
        <f>SUMIFS('Calculations 1'!$E$3:$E$23,'Calculations 1'!$G$3:$G$23,$A17)*AJ8</f>
        <v>896740057512.98132</v>
      </c>
      <c r="AK17" s="4">
        <f>SUMIFS('Calculations 1'!$E$3:$E$23,'Calculations 1'!$G$3:$G$23,$A17)*AK8</f>
        <v>903770080178.55017</v>
      </c>
      <c r="AL17" s="4">
        <f>SUMIFS('Calculations 1'!$E$3:$E$23,'Calculations 1'!$G$3:$G$23,$A17)*AL8</f>
        <v>910800102844.01648</v>
      </c>
      <c r="AM17" s="4">
        <f>SUMIFS('Calculations 1'!$E$3:$E$23,'Calculations 1'!$G$3:$G$23,$A17)*AM8</f>
        <v>917830125509.58325</v>
      </c>
      <c r="AN17" s="4">
        <f>SUMIFS('Calculations 1'!$E$3:$E$23,'Calculations 1'!$G$3:$G$23,$A17)*AN8</f>
        <v>924860148175.18994</v>
      </c>
      <c r="AO17" s="4">
        <f>SUMIFS('Calculations 1'!$E$3:$E$23,'Calculations 1'!$G$3:$G$23,$A17)*AO8</f>
        <v>910911590034.82104</v>
      </c>
      <c r="AP17" s="4">
        <f>SUMIFS('Calculations 1'!$E$3:$E$23,'Calculations 1'!$G$3:$G$23,$A17)*AP8</f>
        <v>917536762895.40161</v>
      </c>
      <c r="AQ17" s="4">
        <f>SUMIFS('Calculations 1'!$E$3:$E$23,'Calculations 1'!$G$3:$G$23,$A17)*AQ8</f>
        <v>924161935755.84375</v>
      </c>
      <c r="AR17" s="4">
        <f>SUMIFS('Calculations 1'!$E$3:$E$23,'Calculations 1'!$G$3:$G$23,$A17)*AR8</f>
        <v>930787108616.48279</v>
      </c>
      <c r="AS17" s="4">
        <f>SUMIFS('Calculations 1'!$E$3:$E$23,'Calculations 1'!$G$3:$G$23,$A17)*AS8</f>
        <v>937412281476.93176</v>
      </c>
      <c r="AT17" s="4">
        <f>SUMIFS('Calculations 1'!$E$3:$E$23,'Calculations 1'!$G$3:$G$23,$A17)*AT8</f>
        <v>918515782533.56482</v>
      </c>
      <c r="AU17" s="4">
        <f>SUMIFS('Calculations 1'!$E$3:$E$23,'Calculations 1'!$G$3:$G$23,$A17)*AU8</f>
        <v>924648431903.27124</v>
      </c>
      <c r="AV17" s="4">
        <f>SUMIFS('Calculations 1'!$E$3:$E$23,'Calculations 1'!$G$3:$G$23,$A17)*AV8</f>
        <v>930781081272.75476</v>
      </c>
      <c r="AW17" s="4">
        <f>SUMIFS('Calculations 1'!$E$3:$E$23,'Calculations 1'!$G$3:$G$23,$A17)*AW8</f>
        <v>936913730642.34863</v>
      </c>
      <c r="AX17" s="4">
        <f>SUMIFS('Calculations 1'!$E$3:$E$23,'Calculations 1'!$G$3:$G$23,$A17)*AX8</f>
        <v>943046380012.00244</v>
      </c>
      <c r="AY17" s="4">
        <f>SUMIFS('Calculations 1'!$E$3:$E$23,'Calculations 1'!$G$3:$G$23,$A17)*AY8</f>
        <v>917835548407.97058</v>
      </c>
      <c r="AZ17" s="4">
        <f>SUMIFS('Calculations 1'!$E$3:$E$23,'Calculations 1'!$G$3:$G$23,$A17)*AZ8</f>
        <v>923363323583.30518</v>
      </c>
      <c r="BA17" s="4">
        <f>SUMIFS('Calculations 1'!$E$3:$E$23,'Calculations 1'!$G$3:$G$23,$A17)*BA8</f>
        <v>928891098758.77173</v>
      </c>
      <c r="BB17" s="4">
        <f>SUMIFS('Calculations 1'!$E$3:$E$23,'Calculations 1'!$G$3:$G$23,$A17)*BB8</f>
        <v>934418873934.02856</v>
      </c>
      <c r="BC17" s="4">
        <f>SUMIFS('Calculations 1'!$E$3:$E$23,'Calculations 1'!$G$3:$G$23,$A17)*BC8</f>
        <v>939946649109.48169</v>
      </c>
    </row>
    <row r="18" spans="1:55">
      <c r="A18" t="s">
        <v>94</v>
      </c>
      <c r="B18" s="4">
        <f>SUMIFS('Calculations 1'!$E$3:$E$23,'Calculations 1'!$G$3:$G$23,$A18)*B9</f>
        <v>87843039924.811127</v>
      </c>
      <c r="C18" s="4">
        <f>SUMIFS('Calculations 1'!$E$3:$E$23,'Calculations 1'!$G$3:$G$23,$A18)*C9</f>
        <v>87650462189.118683</v>
      </c>
      <c r="D18" s="4">
        <f>SUMIFS('Calculations 1'!$E$3:$E$23,'Calculations 1'!$G$3:$G$23,$A18)*D9</f>
        <v>93376124534.271942</v>
      </c>
      <c r="E18" s="4">
        <f>SUMIFS('Calculations 1'!$E$3:$E$23,'Calculations 1'!$G$3:$G$23,$A18)*E9</f>
        <v>97406565692.982895</v>
      </c>
      <c r="F18" s="4">
        <f>SUMIFS('Calculations 1'!$E$3:$E$23,'Calculations 1'!$G$3:$G$23,$A18)*F9</f>
        <v>97441054281.346756</v>
      </c>
      <c r="G18" s="4">
        <f>SUMIFS('Calculations 1'!$E$3:$E$23,'Calculations 1'!$G$3:$G$23,$A18)*G9</f>
        <v>101320117890.69174</v>
      </c>
      <c r="H18" s="4">
        <f>SUMIFS('Calculations 1'!$E$3:$E$23,'Calculations 1'!$G$3:$G$23,$A18)*H9</f>
        <v>103968115676.16554</v>
      </c>
      <c r="I18" s="4">
        <f>SUMIFS('Calculations 1'!$E$3:$E$23,'Calculations 1'!$G$3:$G$23,$A18)*I9</f>
        <v>107727087626.79141</v>
      </c>
      <c r="J18" s="4">
        <f>SUMIFS('Calculations 1'!$E$3:$E$23,'Calculations 1'!$G$3:$G$23,$A18)*J9</f>
        <v>110496737083.35202</v>
      </c>
      <c r="K18" s="4">
        <f>SUMIFS('Calculations 1'!$E$3:$E$23,'Calculations 1'!$G$3:$G$23,$A18)*K9</f>
        <v>113266386539.8992</v>
      </c>
      <c r="L18" s="4">
        <f>SUMIFS('Calculations 1'!$E$3:$E$23,'Calculations 1'!$G$3:$G$23,$A18)*L9</f>
        <v>118843347753.00787</v>
      </c>
      <c r="M18" s="4">
        <f>SUMIFS('Calculations 1'!$E$3:$E$23,'Calculations 1'!$G$3:$G$23,$A18)*M9</f>
        <v>118208507857.69415</v>
      </c>
      <c r="N18" s="4">
        <f>SUMIFS('Calculations 1'!$E$3:$E$23,'Calculations 1'!$G$3:$G$23,$A18)*N9</f>
        <v>123686417754.32639</v>
      </c>
      <c r="O18" s="4">
        <f>SUMIFS('Calculations 1'!$E$3:$E$23,'Calculations 1'!$G$3:$G$23,$A18)*O9</f>
        <v>126664416531.74937</v>
      </c>
      <c r="P18" s="4">
        <f>SUMIFS('Calculations 1'!$E$3:$E$23,'Calculations 1'!$G$3:$G$23,$A18)*P9</f>
        <v>129642415309.16132</v>
      </c>
      <c r="Q18" s="4">
        <f>SUMIFS('Calculations 1'!$E$3:$E$23,'Calculations 1'!$G$3:$G$23,$A18)*Q9</f>
        <v>132620414086.59416</v>
      </c>
      <c r="R18" s="4">
        <f>SUMIFS('Calculations 1'!$E$3:$E$23,'Calculations 1'!$G$3:$G$23,$A18)*R9</f>
        <v>137406535040.37415</v>
      </c>
      <c r="S18" s="4">
        <f>SUMIFS('Calculations 1'!$E$3:$E$23,'Calculations 1'!$G$3:$G$23,$A18)*S9</f>
        <v>140582523196.10843</v>
      </c>
      <c r="T18" s="4">
        <f>SUMIFS('Calculations 1'!$E$3:$E$23,'Calculations 1'!$G$3:$G$23,$A18)*T9</f>
        <v>143758511351.84235</v>
      </c>
      <c r="U18" s="4">
        <f>SUMIFS('Calculations 1'!$E$3:$E$23,'Calculations 1'!$G$3:$G$23,$A18)*U9</f>
        <v>146934499507.57645</v>
      </c>
      <c r="V18" s="4">
        <f>SUMIFS('Calculations 1'!$E$3:$E$23,'Calculations 1'!$G$3:$G$23,$A18)*V9</f>
        <v>150110487663.33261</v>
      </c>
      <c r="W18" s="4">
        <f>SUMIFS('Calculations 1'!$E$3:$E$23,'Calculations 1'!$G$3:$G$23,$A18)*W9</f>
        <v>154754013372.81482</v>
      </c>
      <c r="X18" s="4">
        <f>SUMIFS('Calculations 1'!$E$3:$E$23,'Calculations 1'!$G$3:$G$23,$A18)*X9</f>
        <v>158090696890.68628</v>
      </c>
      <c r="Y18" s="4">
        <f>SUMIFS('Calculations 1'!$E$3:$E$23,'Calculations 1'!$G$3:$G$23,$A18)*Y9</f>
        <v>161427380408.56915</v>
      </c>
      <c r="Z18" s="4">
        <f>SUMIFS('Calculations 1'!$E$3:$E$23,'Calculations 1'!$G$3:$G$23,$A18)*Z9</f>
        <v>164764063926.43097</v>
      </c>
      <c r="AA18" s="4">
        <f>SUMIFS('Calculations 1'!$E$3:$E$23,'Calculations 1'!$G$3:$G$23,$A18)*AA9</f>
        <v>168100747444.30246</v>
      </c>
      <c r="AB18" s="4">
        <f>SUMIFS('Calculations 1'!$E$3:$E$23,'Calculations 1'!$G$3:$G$23,$A18)*AB9</f>
        <v>172912149284.87137</v>
      </c>
      <c r="AC18" s="4">
        <f>SUMIFS('Calculations 1'!$E$3:$E$23,'Calculations 1'!$G$3:$G$23,$A18)*AC9</f>
        <v>176410314459.07837</v>
      </c>
      <c r="AD18" s="4">
        <f>SUMIFS('Calculations 1'!$E$3:$E$23,'Calculations 1'!$G$3:$G$23,$A18)*AD9</f>
        <v>179908479633.29642</v>
      </c>
      <c r="AE18" s="4">
        <f>SUMIFS('Calculations 1'!$E$3:$E$23,'Calculations 1'!$G$3:$G$23,$A18)*AE9</f>
        <v>183406644807.49356</v>
      </c>
      <c r="AF18" s="4">
        <f>SUMIFS('Calculations 1'!$E$3:$E$23,'Calculations 1'!$G$3:$G$23,$A18)*AF9</f>
        <v>186904809981.70599</v>
      </c>
      <c r="AG18" s="4">
        <f>SUMIFS('Calculations 1'!$E$3:$E$23,'Calculations 1'!$G$3:$G$23,$A18)*AG9</f>
        <v>179308710648.56165</v>
      </c>
      <c r="AH18" s="4">
        <f>SUMIFS('Calculations 1'!$E$3:$E$23,'Calculations 1'!$G$3:$G$23,$A18)*AH9</f>
        <v>181592053859.2142</v>
      </c>
      <c r="AI18" s="4">
        <f>SUMIFS('Calculations 1'!$E$3:$E$23,'Calculations 1'!$G$3:$G$23,$A18)*AI9</f>
        <v>183875397069.8613</v>
      </c>
      <c r="AJ18" s="4">
        <f>SUMIFS('Calculations 1'!$E$3:$E$23,'Calculations 1'!$G$3:$G$23,$A18)*AJ9</f>
        <v>185238130928.39642</v>
      </c>
      <c r="AK18" s="4">
        <f>SUMIFS('Calculations 1'!$E$3:$E$23,'Calculations 1'!$G$3:$G$23,$A18)*AK9</f>
        <v>187420667414.99158</v>
      </c>
      <c r="AL18" s="4">
        <f>SUMIFS('Calculations 1'!$E$3:$E$23,'Calculations 1'!$G$3:$G$23,$A18)*AL9</f>
        <v>189603203901.58112</v>
      </c>
      <c r="AM18" s="4">
        <f>SUMIFS('Calculations 1'!$E$3:$E$23,'Calculations 1'!$G$3:$G$23,$A18)*AM9</f>
        <v>191785740388.17569</v>
      </c>
      <c r="AN18" s="4">
        <f>SUMIFS('Calculations 1'!$E$3:$E$23,'Calculations 1'!$G$3:$G$23,$A18)*AN9</f>
        <v>193968276874.77237</v>
      </c>
      <c r="AO18" s="4">
        <f>SUMIFS('Calculations 1'!$E$3:$E$23,'Calculations 1'!$G$3:$G$23,$A18)*AO9</f>
        <v>195002964777.36017</v>
      </c>
      <c r="AP18" s="4">
        <f>SUMIFS('Calculations 1'!$E$3:$E$23,'Calculations 1'!$G$3:$G$23,$A18)*AP9</f>
        <v>197059811844.00836</v>
      </c>
      <c r="AQ18" s="4">
        <f>SUMIFS('Calculations 1'!$E$3:$E$23,'Calculations 1'!$G$3:$G$23,$A18)*AQ9</f>
        <v>199116658910.6492</v>
      </c>
      <c r="AR18" s="4">
        <f>SUMIFS('Calculations 1'!$E$3:$E$23,'Calculations 1'!$G$3:$G$23,$A18)*AR9</f>
        <v>201173505977.30029</v>
      </c>
      <c r="AS18" s="4">
        <f>SUMIFS('Calculations 1'!$E$3:$E$23,'Calculations 1'!$G$3:$G$23,$A18)*AS9</f>
        <v>203230353043.94147</v>
      </c>
      <c r="AT18" s="4">
        <f>SUMIFS('Calculations 1'!$E$3:$E$23,'Calculations 1'!$G$3:$G$23,$A18)*AT9</f>
        <v>203890775103.92917</v>
      </c>
      <c r="AU18" s="4">
        <f>SUMIFS('Calculations 1'!$E$3:$E$23,'Calculations 1'!$G$3:$G$23,$A18)*AU9</f>
        <v>205794713632.35233</v>
      </c>
      <c r="AV18" s="4">
        <f>SUMIFS('Calculations 1'!$E$3:$E$23,'Calculations 1'!$G$3:$G$23,$A18)*AV9</f>
        <v>207698652160.76392</v>
      </c>
      <c r="AW18" s="4">
        <f>SUMIFS('Calculations 1'!$E$3:$E$23,'Calculations 1'!$G$3:$G$23,$A18)*AW9</f>
        <v>209602590689.18097</v>
      </c>
      <c r="AX18" s="4">
        <f>SUMIFS('Calculations 1'!$E$3:$E$23,'Calculations 1'!$G$3:$G$23,$A18)*AX9</f>
        <v>211506529217.60135</v>
      </c>
      <c r="AY18" s="4">
        <f>SUMIFS('Calculations 1'!$E$3:$E$23,'Calculations 1'!$G$3:$G$23,$A18)*AY9</f>
        <v>211695500914.55203</v>
      </c>
      <c r="AZ18" s="4">
        <f>SUMIFS('Calculations 1'!$E$3:$E$23,'Calculations 1'!$G$3:$G$23,$A18)*AZ9</f>
        <v>213411650574.92221</v>
      </c>
      <c r="BA18" s="4">
        <f>SUMIFS('Calculations 1'!$E$3:$E$23,'Calculations 1'!$G$3:$G$23,$A18)*BA9</f>
        <v>215127800235.29938</v>
      </c>
      <c r="BB18" s="4">
        <f>SUMIFS('Calculations 1'!$E$3:$E$23,'Calculations 1'!$G$3:$G$23,$A18)*BB9</f>
        <v>216843949895.66568</v>
      </c>
      <c r="BC18" s="4">
        <f>SUMIFS('Calculations 1'!$E$3:$E$23,'Calculations 1'!$G$3:$G$23,$A18)*BC9</f>
        <v>218560099556.04214</v>
      </c>
    </row>
    <row r="19" spans="1:55">
      <c r="A19" t="s">
        <v>95</v>
      </c>
      <c r="B19" s="4">
        <f>SUMIFS('Calculations 1'!$E$3:$E$23,'Calculations 1'!$G$3:$G$23,$A19)*B10</f>
        <v>566091126273.76086</v>
      </c>
      <c r="C19" s="4">
        <f>SUMIFS('Calculations 1'!$E$3:$E$23,'Calculations 1'!$G$3:$G$23,$A19)*C10</f>
        <v>557385550832.60059</v>
      </c>
      <c r="D19" s="4">
        <f>SUMIFS('Calculations 1'!$E$3:$E$23,'Calculations 1'!$G$3:$G$23,$A19)*D10</f>
        <v>599579186586.2439</v>
      </c>
      <c r="E19" s="4">
        <f>SUMIFS('Calculations 1'!$E$3:$E$23,'Calculations 1'!$G$3:$G$23,$A19)*E10</f>
        <v>626390717768.23804</v>
      </c>
      <c r="F19" s="4">
        <f>SUMIFS('Calculations 1'!$E$3:$E$23,'Calculations 1'!$G$3:$G$23,$A19)*F10</f>
        <v>618981387094.36047</v>
      </c>
      <c r="G19" s="4">
        <f>SUMIFS('Calculations 1'!$E$3:$E$23,'Calculations 1'!$G$3:$G$23,$A19)*G10</f>
        <v>644928755098.20825</v>
      </c>
      <c r="H19" s="4">
        <f>SUMIFS('Calculations 1'!$E$3:$E$23,'Calculations 1'!$G$3:$G$23,$A19)*H10</f>
        <v>660045277935.53394</v>
      </c>
      <c r="I19" s="4">
        <f>SUMIFS('Calculations 1'!$E$3:$E$23,'Calculations 1'!$G$3:$G$23,$A19)*I10</f>
        <v>684560270456.09961</v>
      </c>
      <c r="J19" s="4">
        <f>SUMIFS('Calculations 1'!$E$3:$E$23,'Calculations 1'!$G$3:$G$23,$A19)*J10</f>
        <v>700371261496.64258</v>
      </c>
      <c r="K19" s="4">
        <f>SUMIFS('Calculations 1'!$E$3:$E$23,'Calculations 1'!$G$3:$G$23,$A19)*K10</f>
        <v>716182252537.07153</v>
      </c>
      <c r="L19" s="4">
        <f>SUMIFS('Calculations 1'!$E$3:$E$23,'Calculations 1'!$G$3:$G$23,$A19)*L10</f>
        <v>755742161655.93066</v>
      </c>
      <c r="M19" s="4">
        <f>SUMIFS('Calculations 1'!$E$3:$E$23,'Calculations 1'!$G$3:$G$23,$A19)*M10</f>
        <v>741906651622.99329</v>
      </c>
      <c r="N19" s="4">
        <f>SUMIFS('Calculations 1'!$E$3:$E$23,'Calculations 1'!$G$3:$G$23,$A19)*N10</f>
        <v>780901110311.4187</v>
      </c>
      <c r="O19" s="4">
        <f>SUMIFS('Calculations 1'!$E$3:$E$23,'Calculations 1'!$G$3:$G$23,$A19)*O10</f>
        <v>797901497084.92517</v>
      </c>
      <c r="P19" s="4">
        <f>SUMIFS('Calculations 1'!$E$3:$E$23,'Calculations 1'!$G$3:$G$23,$A19)*P10</f>
        <v>814901883858.33813</v>
      </c>
      <c r="Q19" s="4">
        <f>SUMIFS('Calculations 1'!$E$3:$E$23,'Calculations 1'!$G$3:$G$23,$A19)*Q10</f>
        <v>831902270631.93103</v>
      </c>
      <c r="R19" s="4">
        <f>SUMIFS('Calculations 1'!$E$3:$E$23,'Calculations 1'!$G$3:$G$23,$A19)*R10</f>
        <v>864198765983.94653</v>
      </c>
      <c r="S19" s="4">
        <f>SUMIFS('Calculations 1'!$E$3:$E$23,'Calculations 1'!$G$3:$G$23,$A19)*S10</f>
        <v>882329407085.91565</v>
      </c>
      <c r="T19" s="4">
        <f>SUMIFS('Calculations 1'!$E$3:$E$23,'Calculations 1'!$G$3:$G$23,$A19)*T10</f>
        <v>900460048187.88184</v>
      </c>
      <c r="U19" s="4">
        <f>SUMIFS('Calculations 1'!$E$3:$E$23,'Calculations 1'!$G$3:$G$23,$A19)*U10</f>
        <v>918590689289.84961</v>
      </c>
      <c r="V19" s="4">
        <f>SUMIFS('Calculations 1'!$E$3:$E$23,'Calculations 1'!$G$3:$G$23,$A19)*V10</f>
        <v>936721330392.00403</v>
      </c>
      <c r="W19" s="4">
        <f>SUMIFS('Calculations 1'!$E$3:$E$23,'Calculations 1'!$G$3:$G$23,$A19)*W10</f>
        <v>967266848131.5592</v>
      </c>
      <c r="X19" s="4">
        <f>SUMIFS('Calculations 1'!$E$3:$E$23,'Calculations 1'!$G$3:$G$23,$A19)*X10</f>
        <v>986314844650.10852</v>
      </c>
      <c r="Y19" s="4">
        <f>SUMIFS('Calculations 1'!$E$3:$E$23,'Calculations 1'!$G$3:$G$23,$A19)*Y10</f>
        <v>1005362841168.7545</v>
      </c>
      <c r="Z19" s="4">
        <f>SUMIFS('Calculations 1'!$E$3:$E$23,'Calculations 1'!$G$3:$G$23,$A19)*Z10</f>
        <v>1024410837687.219</v>
      </c>
      <c r="AA19" s="4">
        <f>SUMIFS('Calculations 1'!$E$3:$E$23,'Calculations 1'!$G$3:$G$23,$A19)*AA10</f>
        <v>1043458834205.7683</v>
      </c>
      <c r="AB19" s="4">
        <f>SUMIFS('Calculations 1'!$E$3:$E$23,'Calculations 1'!$G$3:$G$23,$A19)*AB10</f>
        <v>1074982454264.3958</v>
      </c>
      <c r="AC19" s="4">
        <f>SUMIFS('Calculations 1'!$E$3:$E$23,'Calculations 1'!$G$3:$G$23,$A19)*AC10</f>
        <v>1094952294886.8932</v>
      </c>
      <c r="AD19" s="4">
        <f>SUMIFS('Calculations 1'!$E$3:$E$23,'Calculations 1'!$G$3:$G$23,$A19)*AD10</f>
        <v>1114922135509.4841</v>
      </c>
      <c r="AE19" s="4">
        <f>SUMIFS('Calculations 1'!$E$3:$E$23,'Calculations 1'!$G$3:$G$23,$A19)*AE10</f>
        <v>1134891976131.8948</v>
      </c>
      <c r="AF19" s="4">
        <f>SUMIFS('Calculations 1'!$E$3:$E$23,'Calculations 1'!$G$3:$G$23,$A19)*AF10</f>
        <v>1154861816754.4385</v>
      </c>
      <c r="AG19" s="4">
        <f>SUMIFS('Calculations 1'!$E$3:$E$23,'Calculations 1'!$G$3:$G$23,$A19)*AG10</f>
        <v>1080977892005.2529</v>
      </c>
      <c r="AH19" s="4">
        <f>SUMIFS('Calculations 1'!$E$3:$E$23,'Calculations 1'!$G$3:$G$23,$A19)*AH10</f>
        <v>1094012725334.2795</v>
      </c>
      <c r="AI19" s="4">
        <f>SUMIFS('Calculations 1'!$E$3:$E$23,'Calculations 1'!$G$3:$G$23,$A19)*AI10</f>
        <v>1107047558663.26</v>
      </c>
      <c r="AJ19" s="4">
        <f>SUMIFS('Calculations 1'!$E$3:$E$23,'Calculations 1'!$G$3:$G$23,$A19)*AJ10</f>
        <v>1112294344927.4868</v>
      </c>
      <c r="AK19" s="4">
        <f>SUMIFS('Calculations 1'!$E$3:$E$23,'Calculations 1'!$G$3:$G$23,$A19)*AK10</f>
        <v>1124753706798.52</v>
      </c>
      <c r="AL19" s="4">
        <f>SUMIFS('Calculations 1'!$E$3:$E$23,'Calculations 1'!$G$3:$G$23,$A19)*AL10</f>
        <v>1137213068669.5056</v>
      </c>
      <c r="AM19" s="4">
        <f>SUMIFS('Calculations 1'!$E$3:$E$23,'Calculations 1'!$G$3:$G$23,$A19)*AM10</f>
        <v>1149672430540.5354</v>
      </c>
      <c r="AN19" s="4">
        <f>SUMIFS('Calculations 1'!$E$3:$E$23,'Calculations 1'!$G$3:$G$23,$A19)*AN10</f>
        <v>1162131792411.5835</v>
      </c>
      <c r="AO19" s="4">
        <f>SUMIFS('Calculations 1'!$E$3:$E$23,'Calculations 1'!$G$3:$G$23,$A19)*AO10</f>
        <v>1164880739354.7727</v>
      </c>
      <c r="AP19" s="4">
        <f>SUMIFS('Calculations 1'!$E$3:$E$23,'Calculations 1'!$G$3:$G$23,$A19)*AP10</f>
        <v>1176622582881.4004</v>
      </c>
      <c r="AQ19" s="4">
        <f>SUMIFS('Calculations 1'!$E$3:$E$23,'Calculations 1'!$G$3:$G$23,$A19)*AQ10</f>
        <v>1188364426407.9651</v>
      </c>
      <c r="AR19" s="4">
        <f>SUMIFS('Calculations 1'!$E$3:$E$23,'Calculations 1'!$G$3:$G$23,$A19)*AR10</f>
        <v>1200106269934.6182</v>
      </c>
      <c r="AS19" s="4">
        <f>SUMIFS('Calculations 1'!$E$3:$E$23,'Calculations 1'!$G$3:$G$23,$A19)*AS10</f>
        <v>1211848113461.186</v>
      </c>
      <c r="AT19" s="4">
        <f>SUMIFS('Calculations 1'!$E$3:$E$23,'Calculations 1'!$G$3:$G$23,$A19)*AT10</f>
        <v>1211776668702.9158</v>
      </c>
      <c r="AU19" s="4">
        <f>SUMIFS('Calculations 1'!$E$3:$E$23,'Calculations 1'!$G$3:$G$23,$A19)*AU10</f>
        <v>1222645609154.3411</v>
      </c>
      <c r="AV19" s="4">
        <f>SUMIFS('Calculations 1'!$E$3:$E$23,'Calculations 1'!$G$3:$G$23,$A19)*AV10</f>
        <v>1233514549605.666</v>
      </c>
      <c r="AW19" s="4">
        <f>SUMIFS('Calculations 1'!$E$3:$E$23,'Calculations 1'!$G$3:$G$23,$A19)*AW10</f>
        <v>1244383490057.0398</v>
      </c>
      <c r="AX19" s="4">
        <f>SUMIFS('Calculations 1'!$E$3:$E$23,'Calculations 1'!$G$3:$G$23,$A19)*AX10</f>
        <v>1255252430508.4414</v>
      </c>
      <c r="AY19" s="4">
        <f>SUMIFS('Calculations 1'!$E$3:$E$23,'Calculations 1'!$G$3:$G$23,$A19)*AY10</f>
        <v>1251613325427.4568</v>
      </c>
      <c r="AZ19" s="4">
        <f>SUMIFS('Calculations 1'!$E$3:$E$23,'Calculations 1'!$G$3:$G$23,$A19)*AZ10</f>
        <v>1261410242809.9243</v>
      </c>
      <c r="BA19" s="4">
        <f>SUMIFS('Calculations 1'!$E$3:$E$23,'Calculations 1'!$G$3:$G$23,$A19)*BA10</f>
        <v>1271207160192.4521</v>
      </c>
      <c r="BB19" s="4">
        <f>SUMIFS('Calculations 1'!$E$3:$E$23,'Calculations 1'!$G$3:$G$23,$A19)*BB10</f>
        <v>1281004077574.8855</v>
      </c>
      <c r="BC19" s="4">
        <f>SUMIFS('Calculations 1'!$E$3:$E$23,'Calculations 1'!$G$3:$G$23,$A19)*BC10</f>
        <v>1290800994957.4072</v>
      </c>
    </row>
    <row r="20" spans="1:55">
      <c r="A20" t="s">
        <v>96</v>
      </c>
      <c r="B20" s="4">
        <f>SUMIFS('Calculations 1'!$E$3:$E$23,'Calculations 1'!$G$3:$G$23,$A20)*B11</f>
        <v>24453786091.433804</v>
      </c>
      <c r="C20" s="4">
        <f>SUMIFS('Calculations 1'!$E$3:$E$23,'Calculations 1'!$G$3:$G$23,$A20)*C11</f>
        <v>23962166402.989925</v>
      </c>
      <c r="D20" s="4">
        <f>SUMIFS('Calculations 1'!$E$3:$E$23,'Calculations 1'!$G$3:$G$23,$A20)*D11</f>
        <v>25866810821.328827</v>
      </c>
      <c r="E20" s="4">
        <f>SUMIFS('Calculations 1'!$E$3:$E$23,'Calculations 1'!$G$3:$G$23,$A20)*E11</f>
        <v>27037977667.604332</v>
      </c>
      <c r="F20" s="4">
        <f>SUMIFS('Calculations 1'!$E$3:$E$23,'Calculations 1'!$G$3:$G$23,$A20)*F11</f>
        <v>26599766540.233479</v>
      </c>
      <c r="G20" s="4">
        <f>SUMIFS('Calculations 1'!$E$3:$E$23,'Calculations 1'!$G$3:$G$23,$A20)*G11</f>
        <v>27735327679.128948</v>
      </c>
      <c r="H20" s="4">
        <f>SUMIFS('Calculations 1'!$E$3:$E$23,'Calculations 1'!$G$3:$G$23,$A20)*H11</f>
        <v>28358166631.729187</v>
      </c>
      <c r="I20" s="4">
        <f>SUMIFS('Calculations 1'!$E$3:$E$23,'Calculations 1'!$G$3:$G$23,$A20)*I11</f>
        <v>29421658804.344543</v>
      </c>
      <c r="J20" s="4">
        <f>SUMIFS('Calculations 1'!$E$3:$E$23,'Calculations 1'!$G$3:$G$23,$A20)*J11</f>
        <v>30073111602.401352</v>
      </c>
      <c r="K20" s="4">
        <f>SUMIFS('Calculations 1'!$E$3:$E$23,'Calculations 1'!$G$3:$G$23,$A20)*K11</f>
        <v>30724564400.452808</v>
      </c>
      <c r="L20" s="4">
        <f>SUMIFS('Calculations 1'!$E$3:$E$23,'Calculations 1'!$G$3:$G$23,$A20)*L11</f>
        <v>32489500305.418774</v>
      </c>
      <c r="M20" s="4">
        <f>SUMIFS('Calculations 1'!$E$3:$E$23,'Calculations 1'!$G$3:$G$23,$A20)*M11</f>
        <v>31740985093.301693</v>
      </c>
      <c r="N20" s="4">
        <f>SUMIFS('Calculations 1'!$E$3:$E$23,'Calculations 1'!$G$3:$G$23,$A20)*N11</f>
        <v>33482623011.182362</v>
      </c>
      <c r="O20" s="4">
        <f>SUMIFS('Calculations 1'!$E$3:$E$23,'Calculations 1'!$G$3:$G$23,$A20)*O11</f>
        <v>34183081920.003944</v>
      </c>
      <c r="P20" s="4">
        <f>SUMIFS('Calculations 1'!$E$3:$E$23,'Calculations 1'!$G$3:$G$23,$A20)*P11</f>
        <v>34883540828.821144</v>
      </c>
      <c r="Q20" s="4">
        <f>SUMIFS('Calculations 1'!$E$3:$E$23,'Calculations 1'!$G$3:$G$23,$A20)*Q11</f>
        <v>35583999737.646828</v>
      </c>
      <c r="R20" s="4">
        <f>SUMIFS('Calculations 1'!$E$3:$E$23,'Calculations 1'!$G$3:$G$23,$A20)*R11</f>
        <v>37001626411.64624</v>
      </c>
      <c r="S20" s="4">
        <f>SUMIFS('Calculations 1'!$E$3:$E$23,'Calculations 1'!$G$3:$G$23,$A20)*S11</f>
        <v>37748654655.869057</v>
      </c>
      <c r="T20" s="4">
        <f>SUMIFS('Calculations 1'!$E$3:$E$23,'Calculations 1'!$G$3:$G$23,$A20)*T11</f>
        <v>38495682900.091728</v>
      </c>
      <c r="U20" s="4">
        <f>SUMIFS('Calculations 1'!$E$3:$E$23,'Calculations 1'!$G$3:$G$23,$A20)*U11</f>
        <v>39242711144.314468</v>
      </c>
      <c r="V20" s="4">
        <f>SUMIFS('Calculations 1'!$E$3:$E$23,'Calculations 1'!$G$3:$G$23,$A20)*V11</f>
        <v>39989739388.545975</v>
      </c>
      <c r="W20" s="4">
        <f>SUMIFS('Calculations 1'!$E$3:$E$23,'Calculations 1'!$G$3:$G$23,$A20)*W11</f>
        <v>41318847008.541809</v>
      </c>
      <c r="X20" s="4">
        <f>SUMIFS('Calculations 1'!$E$3:$E$23,'Calculations 1'!$G$3:$G$23,$A20)*X11</f>
        <v>42103672614.828194</v>
      </c>
      <c r="Y20" s="4">
        <f>SUMIFS('Calculations 1'!$E$3:$E$23,'Calculations 1'!$G$3:$G$23,$A20)*Y11</f>
        <v>42888498221.11911</v>
      </c>
      <c r="Z20" s="4">
        <f>SUMIFS('Calculations 1'!$E$3:$E$23,'Calculations 1'!$G$3:$G$23,$A20)*Z11</f>
        <v>43673323827.401466</v>
      </c>
      <c r="AA20" s="4">
        <f>SUMIFS('Calculations 1'!$E$3:$E$23,'Calculations 1'!$G$3:$G$23,$A20)*AA11</f>
        <v>44458149433.687859</v>
      </c>
      <c r="AB20" s="4">
        <f>SUMIFS('Calculations 1'!$E$3:$E$23,'Calculations 1'!$G$3:$G$23,$A20)*AB11</f>
        <v>45827902572.850716</v>
      </c>
      <c r="AC20" s="4">
        <f>SUMIFS('Calculations 1'!$E$3:$E$23,'Calculations 1'!$G$3:$G$23,$A20)*AC11</f>
        <v>46650710486.466812</v>
      </c>
      <c r="AD20" s="4">
        <f>SUMIFS('Calculations 1'!$E$3:$E$23,'Calculations 1'!$G$3:$G$23,$A20)*AD11</f>
        <v>47473518400.08728</v>
      </c>
      <c r="AE20" s="4">
        <f>SUMIFS('Calculations 1'!$E$3:$E$23,'Calculations 1'!$G$3:$G$23,$A20)*AE11</f>
        <v>48296326313.699272</v>
      </c>
      <c r="AF20" s="4">
        <f>SUMIFS('Calculations 1'!$E$3:$E$23,'Calculations 1'!$G$3:$G$23,$A20)*AF11</f>
        <v>49119134227.317528</v>
      </c>
      <c r="AG20" s="4">
        <f>SUMIFS('Calculations 1'!$E$3:$E$23,'Calculations 1'!$G$3:$G$23,$A20)*AG11</f>
        <v>45541548745.471954</v>
      </c>
      <c r="AH20" s="4">
        <f>SUMIFS('Calculations 1'!$E$3:$E$23,'Calculations 1'!$G$3:$G$23,$A20)*AH11</f>
        <v>46078616828.214043</v>
      </c>
      <c r="AI20" s="4">
        <f>SUMIFS('Calculations 1'!$E$3:$E$23,'Calculations 1'!$G$3:$G$23,$A20)*AI11</f>
        <v>46615684910.953972</v>
      </c>
      <c r="AJ20" s="4">
        <f>SUMIFS('Calculations 1'!$E$3:$E$23,'Calculations 1'!$G$3:$G$23,$A20)*AJ11</f>
        <v>46787605460.917091</v>
      </c>
      <c r="AK20" s="4">
        <f>SUMIFS('Calculations 1'!$E$3:$E$23,'Calculations 1'!$G$3:$G$23,$A20)*AK11</f>
        <v>47300962664.907166</v>
      </c>
      <c r="AL20" s="4">
        <f>SUMIFS('Calculations 1'!$E$3:$E$23,'Calculations 1'!$G$3:$G$23,$A20)*AL11</f>
        <v>47814319868.895012</v>
      </c>
      <c r="AM20" s="4">
        <f>SUMIFS('Calculations 1'!$E$3:$E$23,'Calculations 1'!$G$3:$G$23,$A20)*AM11</f>
        <v>48327677072.884941</v>
      </c>
      <c r="AN20" s="4">
        <f>SUMIFS('Calculations 1'!$E$3:$E$23,'Calculations 1'!$G$3:$G$23,$A20)*AN11</f>
        <v>48841034276.875732</v>
      </c>
      <c r="AO20" s="4">
        <f>SUMIFS('Calculations 1'!$E$3:$E$23,'Calculations 1'!$G$3:$G$23,$A20)*AO11</f>
        <v>48899112509.942741</v>
      </c>
      <c r="AP20" s="4">
        <f>SUMIFS('Calculations 1'!$E$3:$E$23,'Calculations 1'!$G$3:$G$23,$A20)*AP11</f>
        <v>49382906144.393143</v>
      </c>
      <c r="AQ20" s="4">
        <f>SUMIFS('Calculations 1'!$E$3:$E$23,'Calculations 1'!$G$3:$G$23,$A20)*AQ11</f>
        <v>49866699778.840569</v>
      </c>
      <c r="AR20" s="4">
        <f>SUMIFS('Calculations 1'!$E$3:$E$23,'Calculations 1'!$G$3:$G$23,$A20)*AR11</f>
        <v>50350493413.292183</v>
      </c>
      <c r="AS20" s="4">
        <f>SUMIFS('Calculations 1'!$E$3:$E$23,'Calculations 1'!$G$3:$G$23,$A20)*AS11</f>
        <v>50834287047.739754</v>
      </c>
      <c r="AT20" s="4">
        <f>SUMIFS('Calculations 1'!$E$3:$E$23,'Calculations 1'!$G$3:$G$23,$A20)*AT11</f>
        <v>50764207158.398293</v>
      </c>
      <c r="AU20" s="4">
        <f>SUMIFS('Calculations 1'!$E$3:$E$23,'Calculations 1'!$G$3:$G$23,$A20)*AU11</f>
        <v>51212034979.617157</v>
      </c>
      <c r="AV20" s="4">
        <f>SUMIFS('Calculations 1'!$E$3:$E$23,'Calculations 1'!$G$3:$G$23,$A20)*AV11</f>
        <v>51659862800.831314</v>
      </c>
      <c r="AW20" s="4">
        <f>SUMIFS('Calculations 1'!$E$3:$E$23,'Calculations 1'!$G$3:$G$23,$A20)*AW11</f>
        <v>52107690622.04776</v>
      </c>
      <c r="AX20" s="4">
        <f>SUMIFS('Calculations 1'!$E$3:$E$23,'Calculations 1'!$G$3:$G$23,$A20)*AX11</f>
        <v>52555518443.265511</v>
      </c>
      <c r="AY20" s="4">
        <f>SUMIFS('Calculations 1'!$E$3:$E$23,'Calculations 1'!$G$3:$G$23,$A20)*AY11</f>
        <v>52323127335.717384</v>
      </c>
      <c r="AZ20" s="4">
        <f>SUMIFS('Calculations 1'!$E$3:$E$23,'Calculations 1'!$G$3:$G$23,$A20)*AZ11</f>
        <v>52726785096.623833</v>
      </c>
      <c r="BA20" s="4">
        <f>SUMIFS('Calculations 1'!$E$3:$E$23,'Calculations 1'!$G$3:$G$23,$A20)*BA11</f>
        <v>53130442857.533112</v>
      </c>
      <c r="BB20" s="4">
        <f>SUMIFS('Calculations 1'!$E$3:$E$23,'Calculations 1'!$G$3:$G$23,$A20)*BB11</f>
        <v>53534100618.437943</v>
      </c>
      <c r="BC20" s="4">
        <f>SUMIFS('Calculations 1'!$E$3:$E$23,'Calculations 1'!$G$3:$G$23,$A20)*BC11</f>
        <v>53937758379.346931</v>
      </c>
    </row>
    <row r="21" spans="1:55"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</row>
    <row r="22" spans="1:55">
      <c r="A22" s="2" t="s">
        <v>170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</row>
    <row r="23" spans="1:55">
      <c r="B23" s="38">
        <v>2017</v>
      </c>
      <c r="C23" s="38">
        <v>2018</v>
      </c>
      <c r="D23" s="38">
        <v>2019</v>
      </c>
      <c r="E23" s="38">
        <v>2020</v>
      </c>
      <c r="F23" s="38">
        <v>2021</v>
      </c>
      <c r="G23" s="38">
        <v>2022</v>
      </c>
      <c r="H23" s="38">
        <v>2023</v>
      </c>
      <c r="I23" s="38">
        <v>2024</v>
      </c>
      <c r="J23" s="38">
        <v>2025</v>
      </c>
      <c r="K23" s="38">
        <v>2026</v>
      </c>
      <c r="L23" s="38">
        <v>2027</v>
      </c>
      <c r="M23" s="38">
        <v>2028</v>
      </c>
      <c r="N23" s="38">
        <v>2029</v>
      </c>
      <c r="O23" s="38">
        <v>2030</v>
      </c>
      <c r="P23" s="38">
        <v>2031</v>
      </c>
      <c r="Q23" s="38">
        <v>2032</v>
      </c>
      <c r="R23" s="38">
        <v>2033</v>
      </c>
      <c r="S23" s="38">
        <v>2034</v>
      </c>
      <c r="T23" s="38">
        <v>2035</v>
      </c>
      <c r="U23" s="38">
        <v>2036</v>
      </c>
      <c r="V23" s="38">
        <v>2037</v>
      </c>
      <c r="W23" s="38">
        <v>2038</v>
      </c>
      <c r="X23" s="38">
        <v>2039</v>
      </c>
      <c r="Y23" s="38">
        <v>2040</v>
      </c>
      <c r="Z23" s="38">
        <v>2041</v>
      </c>
      <c r="AA23" s="38">
        <v>2042</v>
      </c>
      <c r="AB23" s="38">
        <v>2043</v>
      </c>
      <c r="AC23" s="38">
        <v>2044</v>
      </c>
      <c r="AD23" s="38">
        <v>2045</v>
      </c>
      <c r="AE23" s="38">
        <v>2046</v>
      </c>
      <c r="AF23" s="38">
        <v>2047</v>
      </c>
      <c r="AG23" s="38">
        <v>2048</v>
      </c>
      <c r="AH23" s="38">
        <v>2049</v>
      </c>
      <c r="AI23" s="38">
        <v>2050</v>
      </c>
      <c r="AJ23">
        <v>2051</v>
      </c>
      <c r="AK23">
        <v>2052</v>
      </c>
      <c r="AL23">
        <v>2053</v>
      </c>
      <c r="AM23">
        <v>2054</v>
      </c>
      <c r="AN23">
        <v>2055</v>
      </c>
      <c r="AO23">
        <v>2056</v>
      </c>
      <c r="AP23">
        <v>2057</v>
      </c>
      <c r="AQ23">
        <v>2058</v>
      </c>
      <c r="AR23">
        <v>2059</v>
      </c>
      <c r="AS23">
        <v>2060</v>
      </c>
      <c r="AT23">
        <v>2061</v>
      </c>
      <c r="AU23">
        <v>2062</v>
      </c>
      <c r="AV23">
        <v>2063</v>
      </c>
      <c r="AW23">
        <v>2064</v>
      </c>
      <c r="AX23">
        <v>2065</v>
      </c>
      <c r="AY23">
        <v>2066</v>
      </c>
      <c r="AZ23">
        <v>2067</v>
      </c>
      <c r="BA23">
        <v>2068</v>
      </c>
      <c r="BB23">
        <v>2069</v>
      </c>
      <c r="BC23">
        <v>2070</v>
      </c>
    </row>
    <row r="24" spans="1:55">
      <c r="A24" t="s">
        <v>91</v>
      </c>
      <c r="B24" s="47">
        <f>B15</f>
        <v>0</v>
      </c>
      <c r="C24" s="47">
        <f t="shared" ref="C24:AI24" si="0">C15</f>
        <v>0</v>
      </c>
      <c r="D24" s="47">
        <f t="shared" si="0"/>
        <v>0</v>
      </c>
      <c r="E24" s="47">
        <f t="shared" si="0"/>
        <v>0</v>
      </c>
      <c r="F24" s="47">
        <f t="shared" si="0"/>
        <v>0</v>
      </c>
      <c r="G24" s="47">
        <f t="shared" si="0"/>
        <v>0</v>
      </c>
      <c r="H24" s="47">
        <f t="shared" si="0"/>
        <v>0</v>
      </c>
      <c r="I24" s="47">
        <f t="shared" si="0"/>
        <v>0</v>
      </c>
      <c r="J24" s="47">
        <f t="shared" si="0"/>
        <v>0</v>
      </c>
      <c r="K24" s="47">
        <f t="shared" si="0"/>
        <v>0</v>
      </c>
      <c r="L24" s="47">
        <f t="shared" si="0"/>
        <v>0</v>
      </c>
      <c r="M24" s="47">
        <f t="shared" si="0"/>
        <v>0</v>
      </c>
      <c r="N24" s="47">
        <f t="shared" si="0"/>
        <v>0</v>
      </c>
      <c r="O24" s="47">
        <f t="shared" si="0"/>
        <v>0</v>
      </c>
      <c r="P24" s="47">
        <f t="shared" si="0"/>
        <v>0</v>
      </c>
      <c r="Q24" s="47">
        <f t="shared" si="0"/>
        <v>0</v>
      </c>
      <c r="R24" s="47">
        <f t="shared" si="0"/>
        <v>0</v>
      </c>
      <c r="S24" s="47">
        <f t="shared" si="0"/>
        <v>0</v>
      </c>
      <c r="T24" s="47">
        <f t="shared" si="0"/>
        <v>0</v>
      </c>
      <c r="U24" s="47">
        <f t="shared" si="0"/>
        <v>0</v>
      </c>
      <c r="V24" s="47">
        <f t="shared" si="0"/>
        <v>0</v>
      </c>
      <c r="W24" s="47">
        <f t="shared" si="0"/>
        <v>0</v>
      </c>
      <c r="X24" s="47">
        <f t="shared" si="0"/>
        <v>0</v>
      </c>
      <c r="Y24" s="47">
        <f t="shared" si="0"/>
        <v>0</v>
      </c>
      <c r="Z24" s="47">
        <f t="shared" si="0"/>
        <v>0</v>
      </c>
      <c r="AA24" s="47">
        <f t="shared" si="0"/>
        <v>0</v>
      </c>
      <c r="AB24" s="47">
        <f t="shared" si="0"/>
        <v>0</v>
      </c>
      <c r="AC24" s="47">
        <f t="shared" si="0"/>
        <v>0</v>
      </c>
      <c r="AD24" s="47">
        <f t="shared" si="0"/>
        <v>0</v>
      </c>
      <c r="AE24" s="47">
        <f t="shared" si="0"/>
        <v>0</v>
      </c>
      <c r="AF24" s="47">
        <f t="shared" si="0"/>
        <v>0</v>
      </c>
      <c r="AG24" s="47">
        <f t="shared" si="0"/>
        <v>0</v>
      </c>
      <c r="AH24" s="47">
        <f t="shared" si="0"/>
        <v>0</v>
      </c>
      <c r="AI24" s="47">
        <f t="shared" si="0"/>
        <v>0</v>
      </c>
      <c r="AJ24" s="47">
        <f t="shared" ref="AJ24:BC24" si="1">AJ15</f>
        <v>0</v>
      </c>
      <c r="AK24" s="47">
        <f t="shared" si="1"/>
        <v>0</v>
      </c>
      <c r="AL24" s="47">
        <f t="shared" si="1"/>
        <v>0</v>
      </c>
      <c r="AM24" s="47">
        <f t="shared" si="1"/>
        <v>0</v>
      </c>
      <c r="AN24" s="47">
        <f t="shared" si="1"/>
        <v>0</v>
      </c>
      <c r="AO24" s="47">
        <f t="shared" si="1"/>
        <v>0</v>
      </c>
      <c r="AP24" s="47">
        <f t="shared" si="1"/>
        <v>0</v>
      </c>
      <c r="AQ24" s="47">
        <f t="shared" si="1"/>
        <v>0</v>
      </c>
      <c r="AR24" s="47">
        <f t="shared" si="1"/>
        <v>0</v>
      </c>
      <c r="AS24" s="47">
        <f t="shared" si="1"/>
        <v>0</v>
      </c>
      <c r="AT24" s="47">
        <f t="shared" si="1"/>
        <v>0</v>
      </c>
      <c r="AU24" s="47">
        <f t="shared" si="1"/>
        <v>0</v>
      </c>
      <c r="AV24" s="47">
        <f t="shared" si="1"/>
        <v>0</v>
      </c>
      <c r="AW24" s="47">
        <f t="shared" si="1"/>
        <v>0</v>
      </c>
      <c r="AX24" s="47">
        <f t="shared" si="1"/>
        <v>0</v>
      </c>
      <c r="AY24" s="47">
        <f t="shared" si="1"/>
        <v>0</v>
      </c>
      <c r="AZ24" s="47">
        <f t="shared" si="1"/>
        <v>0</v>
      </c>
      <c r="BA24" s="47">
        <f t="shared" si="1"/>
        <v>0</v>
      </c>
      <c r="BB24" s="47">
        <f t="shared" si="1"/>
        <v>0</v>
      </c>
      <c r="BC24" s="47">
        <f t="shared" si="1"/>
        <v>0</v>
      </c>
    </row>
    <row r="25" spans="1:55">
      <c r="A25" t="s">
        <v>92</v>
      </c>
      <c r="B25" s="4">
        <f>B16/$B$2</f>
        <v>3191350844.452796</v>
      </c>
      <c r="C25" s="4">
        <f>C16/$B$2</f>
        <v>3123887960.6243343</v>
      </c>
      <c r="D25" s="4">
        <f t="shared" ref="D25:AI29" si="2">D16/$B$2</f>
        <v>3374798140.1726017</v>
      </c>
      <c r="E25" s="4">
        <f t="shared" si="2"/>
        <v>3528012614.3522806</v>
      </c>
      <c r="F25" s="4">
        <f t="shared" si="2"/>
        <v>3467445897.9616613</v>
      </c>
      <c r="G25" s="4">
        <f t="shared" si="2"/>
        <v>3616062927.1830406</v>
      </c>
      <c r="H25" s="4">
        <f t="shared" si="2"/>
        <v>3696484522.8532143</v>
      </c>
      <c r="I25" s="4">
        <f t="shared" si="2"/>
        <v>3835404722.5144858</v>
      </c>
      <c r="J25" s="4">
        <f t="shared" si="2"/>
        <v>3919520966.8579192</v>
      </c>
      <c r="K25" s="4">
        <f t="shared" si="2"/>
        <v>4003637211.2006416</v>
      </c>
      <c r="L25" s="4">
        <f t="shared" si="2"/>
        <v>4235573111.3714471</v>
      </c>
      <c r="M25" s="4">
        <f t="shared" si="2"/>
        <v>4133574900.1613646</v>
      </c>
      <c r="N25" s="4">
        <f t="shared" si="2"/>
        <v>4362502540.6697311</v>
      </c>
      <c r="O25" s="4">
        <f t="shared" si="2"/>
        <v>4452946503.6133528</v>
      </c>
      <c r="P25" s="4">
        <f t="shared" si="2"/>
        <v>4543390466.5563917</v>
      </c>
      <c r="Q25" s="4">
        <f t="shared" si="2"/>
        <v>4633834429.5005579</v>
      </c>
      <c r="R25" s="4">
        <f t="shared" si="2"/>
        <v>4819485487.6944542</v>
      </c>
      <c r="S25" s="4">
        <f t="shared" si="2"/>
        <v>4915942530.3381023</v>
      </c>
      <c r="T25" s="4">
        <f t="shared" si="2"/>
        <v>5012399572.9817314</v>
      </c>
      <c r="U25" s="4">
        <f t="shared" si="2"/>
        <v>5108856615.62537</v>
      </c>
      <c r="V25" s="4">
        <f t="shared" si="2"/>
        <v>5205313658.2701712</v>
      </c>
      <c r="W25" s="4">
        <f t="shared" si="2"/>
        <v>5379044233.3608608</v>
      </c>
      <c r="X25" s="4">
        <f t="shared" si="2"/>
        <v>5480381709.6327915</v>
      </c>
      <c r="Y25" s="4">
        <f t="shared" si="2"/>
        <v>5581719185.9053249</v>
      </c>
      <c r="Z25" s="4">
        <f t="shared" si="2"/>
        <v>5683056662.1767216</v>
      </c>
      <c r="AA25" s="4">
        <f t="shared" si="2"/>
        <v>5784394138.4486542</v>
      </c>
      <c r="AB25" s="4">
        <f t="shared" si="2"/>
        <v>5963383252.2328644</v>
      </c>
      <c r="AC25" s="4">
        <f t="shared" si="2"/>
        <v>6069625042.4529476</v>
      </c>
      <c r="AD25" s="4">
        <f t="shared" si="2"/>
        <v>6175866832.6736155</v>
      </c>
      <c r="AE25" s="4">
        <f t="shared" si="2"/>
        <v>6282108622.8931541</v>
      </c>
      <c r="AF25" s="4">
        <f t="shared" si="2"/>
        <v>6388350413.1135254</v>
      </c>
      <c r="AG25" s="4">
        <f t="shared" si="2"/>
        <v>5910421116.0615587</v>
      </c>
      <c r="AH25" s="4">
        <f t="shared" si="2"/>
        <v>5979767890.2434244</v>
      </c>
      <c r="AI25" s="4">
        <f t="shared" si="2"/>
        <v>6049114664.425005</v>
      </c>
      <c r="AJ25" s="4">
        <f t="shared" ref="AJ25:BC25" si="3">AJ16/$B$2</f>
        <v>6069986538.2813263</v>
      </c>
      <c r="AK25" s="4">
        <f t="shared" si="3"/>
        <v>6136271739.8110352</v>
      </c>
      <c r="AL25" s="4">
        <f t="shared" si="3"/>
        <v>6202556941.3404493</v>
      </c>
      <c r="AM25" s="4">
        <f t="shared" si="3"/>
        <v>6268842142.870141</v>
      </c>
      <c r="AN25" s="4">
        <f t="shared" si="3"/>
        <v>6335127344.3999462</v>
      </c>
      <c r="AO25" s="4">
        <f t="shared" si="3"/>
        <v>6340972310.806469</v>
      </c>
      <c r="AP25" s="4">
        <f t="shared" si="3"/>
        <v>6403440234.3285017</v>
      </c>
      <c r="AQ25" s="4">
        <f t="shared" si="3"/>
        <v>6465908157.8501415</v>
      </c>
      <c r="AR25" s="4">
        <f t="shared" si="3"/>
        <v>6528376081.3723364</v>
      </c>
      <c r="AS25" s="4">
        <f t="shared" si="3"/>
        <v>6590844004.8939943</v>
      </c>
      <c r="AT25" s="4">
        <f t="shared" si="3"/>
        <v>6579782843.7350101</v>
      </c>
      <c r="AU25" s="4">
        <f t="shared" si="3"/>
        <v>6637606825.0668907</v>
      </c>
      <c r="AV25" s="4">
        <f t="shared" si="3"/>
        <v>6695430806.3981438</v>
      </c>
      <c r="AW25" s="4">
        <f t="shared" si="3"/>
        <v>6753254787.7297029</v>
      </c>
      <c r="AX25" s="4">
        <f t="shared" si="3"/>
        <v>6811078769.0614347</v>
      </c>
      <c r="AY25" s="4">
        <f t="shared" si="3"/>
        <v>6778600771.57236</v>
      </c>
      <c r="AZ25" s="4">
        <f t="shared" si="3"/>
        <v>6830721470.0309544</v>
      </c>
      <c r="BA25" s="4">
        <f t="shared" si="3"/>
        <v>6882842168.4899273</v>
      </c>
      <c r="BB25" s="4">
        <f t="shared" si="3"/>
        <v>6934962866.948307</v>
      </c>
      <c r="BC25" s="4">
        <f t="shared" si="3"/>
        <v>6987083565.4072399</v>
      </c>
    </row>
    <row r="26" spans="1:55">
      <c r="A26" t="s">
        <v>93</v>
      </c>
      <c r="B26" s="4">
        <f t="shared" ref="B26:Q29" si="4">B17/$B$2</f>
        <v>11623478778.437223</v>
      </c>
      <c r="C26" s="4">
        <f t="shared" si="4"/>
        <v>10852129831.543024</v>
      </c>
      <c r="D26" s="4">
        <f t="shared" si="4"/>
        <v>12138886306.614733</v>
      </c>
      <c r="E26" s="4">
        <f t="shared" si="4"/>
        <v>12755928964.666645</v>
      </c>
      <c r="F26" s="4">
        <f t="shared" si="4"/>
        <v>11997933828.021675</v>
      </c>
      <c r="G26" s="4">
        <f t="shared" si="4"/>
        <v>12606073945.909142</v>
      </c>
      <c r="H26" s="4">
        <f t="shared" si="4"/>
        <v>12761803159.007441</v>
      </c>
      <c r="I26" s="4">
        <f t="shared" si="4"/>
        <v>13288258095.34511</v>
      </c>
      <c r="J26" s="4">
        <f t="shared" si="4"/>
        <v>13451141664.506802</v>
      </c>
      <c r="K26" s="4">
        <f t="shared" si="4"/>
        <v>13614025233.663944</v>
      </c>
      <c r="L26" s="4">
        <f t="shared" si="4"/>
        <v>14713692675.8894</v>
      </c>
      <c r="M26" s="4">
        <f t="shared" si="4"/>
        <v>13656018075.936003</v>
      </c>
      <c r="N26" s="4">
        <f t="shared" si="4"/>
        <v>14749860292.90793</v>
      </c>
      <c r="O26" s="4">
        <f t="shared" si="4"/>
        <v>14924996922.084829</v>
      </c>
      <c r="P26" s="4">
        <f t="shared" si="4"/>
        <v>15100133551.258045</v>
      </c>
      <c r="Q26" s="4">
        <f t="shared" si="4"/>
        <v>15275270180.438562</v>
      </c>
      <c r="R26" s="4">
        <f t="shared" si="2"/>
        <v>16053766835.942743</v>
      </c>
      <c r="S26" s="4">
        <f t="shared" si="2"/>
        <v>16240547255.10146</v>
      </c>
      <c r="T26" s="4">
        <f t="shared" si="2"/>
        <v>16427327674.260057</v>
      </c>
      <c r="U26" s="4">
        <f t="shared" si="2"/>
        <v>16614108093.418713</v>
      </c>
      <c r="V26" s="4">
        <f t="shared" si="2"/>
        <v>16800888512.584742</v>
      </c>
      <c r="W26" s="4">
        <f t="shared" si="2"/>
        <v>17477377817.925266</v>
      </c>
      <c r="X26" s="4">
        <f t="shared" si="2"/>
        <v>17673608759.448914</v>
      </c>
      <c r="Y26" s="4">
        <f t="shared" si="2"/>
        <v>17869839700.976372</v>
      </c>
      <c r="Z26" s="4">
        <f t="shared" si="2"/>
        <v>18066070642.496464</v>
      </c>
      <c r="AA26" s="4">
        <f t="shared" si="2"/>
        <v>18262301584.020115</v>
      </c>
      <c r="AB26" s="4">
        <f t="shared" si="2"/>
        <v>18950637593.244881</v>
      </c>
      <c r="AC26" s="4">
        <f t="shared" si="2"/>
        <v>19156365299.232994</v>
      </c>
      <c r="AD26" s="4">
        <f t="shared" si="2"/>
        <v>19362093005.224792</v>
      </c>
      <c r="AE26" s="4">
        <f t="shared" si="2"/>
        <v>19567820711.209293</v>
      </c>
      <c r="AF26" s="4">
        <f t="shared" si="2"/>
        <v>19773548417.199223</v>
      </c>
      <c r="AG26" s="4">
        <f t="shared" si="2"/>
        <v>16277183525.261072</v>
      </c>
      <c r="AH26" s="4">
        <f t="shared" si="2"/>
        <v>16411467339.008537</v>
      </c>
      <c r="AI26" s="4">
        <f t="shared" si="2"/>
        <v>16545751152.75419</v>
      </c>
      <c r="AJ26" s="4">
        <f t="shared" ref="AJ26:BC26" si="5">AJ17/$B$2</f>
        <v>16372832892.331226</v>
      </c>
      <c r="AK26" s="4">
        <f t="shared" si="5"/>
        <v>16501188244.998177</v>
      </c>
      <c r="AL26" s="4">
        <f t="shared" si="5"/>
        <v>16629543597.663254</v>
      </c>
      <c r="AM26" s="4">
        <f t="shared" si="5"/>
        <v>16757898950.330166</v>
      </c>
      <c r="AN26" s="4">
        <f t="shared" si="5"/>
        <v>16886254302.997807</v>
      </c>
      <c r="AO26" s="4">
        <f t="shared" si="5"/>
        <v>16631579149.805021</v>
      </c>
      <c r="AP26" s="4">
        <f t="shared" si="5"/>
        <v>16752542685.692926</v>
      </c>
      <c r="AQ26" s="4">
        <f t="shared" si="5"/>
        <v>16873506221.578304</v>
      </c>
      <c r="AR26" s="4">
        <f t="shared" si="5"/>
        <v>16994469757.467276</v>
      </c>
      <c r="AS26" s="4">
        <f t="shared" si="5"/>
        <v>17115433293.352779</v>
      </c>
      <c r="AT26" s="4">
        <f t="shared" si="5"/>
        <v>16770417793.200014</v>
      </c>
      <c r="AU26" s="4">
        <f t="shared" si="5"/>
        <v>16882388751.200861</v>
      </c>
      <c r="AV26" s="4">
        <f t="shared" si="5"/>
        <v>16994359709.197639</v>
      </c>
      <c r="AW26" s="4">
        <f t="shared" si="5"/>
        <v>17106330667.196432</v>
      </c>
      <c r="AX26" s="4">
        <f t="shared" si="5"/>
        <v>17218301625.19632</v>
      </c>
      <c r="AY26" s="4">
        <f t="shared" si="5"/>
        <v>16757997962.533695</v>
      </c>
      <c r="AZ26" s="4">
        <f t="shared" si="5"/>
        <v>16858925024.343712</v>
      </c>
      <c r="BA26" s="4">
        <f t="shared" si="5"/>
        <v>16959852086.156137</v>
      </c>
      <c r="BB26" s="4">
        <f t="shared" si="5"/>
        <v>17060779147.964735</v>
      </c>
      <c r="BC26" s="4">
        <f t="shared" si="5"/>
        <v>17161706209.776915</v>
      </c>
    </row>
    <row r="27" spans="1:55">
      <c r="A27" t="s">
        <v>94</v>
      </c>
      <c r="B27" s="4">
        <f t="shared" si="4"/>
        <v>1603853202.9361169</v>
      </c>
      <c r="C27" s="4">
        <f t="shared" si="4"/>
        <v>1600337085.7973101</v>
      </c>
      <c r="D27" s="4">
        <f t="shared" si="4"/>
        <v>1704877205.2998345</v>
      </c>
      <c r="E27" s="4">
        <f t="shared" si="4"/>
        <v>1778465687.292001</v>
      </c>
      <c r="F27" s="4">
        <f t="shared" si="4"/>
        <v>1779095385.8197324</v>
      </c>
      <c r="G27" s="4">
        <f t="shared" si="4"/>
        <v>1849919990.7009628</v>
      </c>
      <c r="H27" s="4">
        <f t="shared" si="4"/>
        <v>1898267585.834682</v>
      </c>
      <c r="I27" s="4">
        <f t="shared" si="4"/>
        <v>1966899536.7316306</v>
      </c>
      <c r="J27" s="4">
        <f t="shared" si="4"/>
        <v>2017468268.8214719</v>
      </c>
      <c r="K27" s="4">
        <f t="shared" si="4"/>
        <v>2068037000.911068</v>
      </c>
      <c r="L27" s="4">
        <f t="shared" si="4"/>
        <v>2169862109.7865229</v>
      </c>
      <c r="M27" s="4">
        <f t="shared" si="4"/>
        <v>2158271094.7178044</v>
      </c>
      <c r="N27" s="4">
        <f t="shared" si="4"/>
        <v>2258287707.7656817</v>
      </c>
      <c r="O27" s="4">
        <f t="shared" si="4"/>
        <v>2312660517.2859116</v>
      </c>
      <c r="P27" s="4">
        <f t="shared" si="4"/>
        <v>2367033326.8059397</v>
      </c>
      <c r="Q27" s="4">
        <f t="shared" si="4"/>
        <v>2421406136.3263493</v>
      </c>
      <c r="R27" s="4">
        <f t="shared" si="2"/>
        <v>2508791948.8839536</v>
      </c>
      <c r="S27" s="4">
        <f t="shared" si="2"/>
        <v>2566779682.2367797</v>
      </c>
      <c r="T27" s="4">
        <f t="shared" si="2"/>
        <v>2624767415.5895991</v>
      </c>
      <c r="U27" s="4">
        <f t="shared" si="2"/>
        <v>2682755148.9424219</v>
      </c>
      <c r="V27" s="4">
        <f t="shared" si="2"/>
        <v>2740742882.2956471</v>
      </c>
      <c r="W27" s="4">
        <f t="shared" si="2"/>
        <v>2825525166.5659084</v>
      </c>
      <c r="X27" s="4">
        <f t="shared" si="2"/>
        <v>2886446903.2442265</v>
      </c>
      <c r="Y27" s="4">
        <f t="shared" si="2"/>
        <v>2947368639.9227524</v>
      </c>
      <c r="Z27" s="4">
        <f t="shared" si="2"/>
        <v>3008290376.600894</v>
      </c>
      <c r="AA27" s="4">
        <f t="shared" si="2"/>
        <v>3069212113.279212</v>
      </c>
      <c r="AB27" s="4">
        <f t="shared" si="2"/>
        <v>3157059508.5789914</v>
      </c>
      <c r="AC27" s="4">
        <f t="shared" si="2"/>
        <v>3220929604.8763623</v>
      </c>
      <c r="AD27" s="4">
        <f t="shared" si="2"/>
        <v>3284799701.1739349</v>
      </c>
      <c r="AE27" s="4">
        <f t="shared" si="2"/>
        <v>3348669797.4711256</v>
      </c>
      <c r="AF27" s="4">
        <f t="shared" si="2"/>
        <v>3412539893.7685957</v>
      </c>
      <c r="AG27" s="4">
        <f t="shared" si="2"/>
        <v>3273849016.771255</v>
      </c>
      <c r="AH27" s="4">
        <f t="shared" si="2"/>
        <v>3315538686.4928646</v>
      </c>
      <c r="AI27" s="4">
        <f t="shared" si="2"/>
        <v>3357228356.2143745</v>
      </c>
      <c r="AJ27" s="4">
        <f t="shared" ref="AJ27:BC27" si="6">AJ18/$B$2</f>
        <v>3382109383.3923025</v>
      </c>
      <c r="AK27" s="4">
        <f t="shared" si="6"/>
        <v>3421958506.7553692</v>
      </c>
      <c r="AL27" s="4">
        <f t="shared" si="6"/>
        <v>3461807630.1183333</v>
      </c>
      <c r="AM27" s="4">
        <f t="shared" si="6"/>
        <v>3501656753.481389</v>
      </c>
      <c r="AN27" s="4">
        <f t="shared" si="6"/>
        <v>3541505876.8444834</v>
      </c>
      <c r="AO27" s="4">
        <f t="shared" si="6"/>
        <v>3560397385.0166178</v>
      </c>
      <c r="AP27" s="4">
        <f t="shared" si="6"/>
        <v>3597951649.5163112</v>
      </c>
      <c r="AQ27" s="4">
        <f t="shared" si="6"/>
        <v>3635505914.0158696</v>
      </c>
      <c r="AR27" s="4">
        <f t="shared" si="6"/>
        <v>3673060178.5156159</v>
      </c>
      <c r="AS27" s="4">
        <f t="shared" si="6"/>
        <v>3710614443.0151811</v>
      </c>
      <c r="AT27" s="4">
        <f t="shared" si="6"/>
        <v>3722672541.609077</v>
      </c>
      <c r="AU27" s="4">
        <f t="shared" si="6"/>
        <v>3757434975.9421639</v>
      </c>
      <c r="AV27" s="4">
        <f t="shared" si="6"/>
        <v>3792197410.2750392</v>
      </c>
      <c r="AW27" s="4">
        <f t="shared" si="6"/>
        <v>3826959844.6080146</v>
      </c>
      <c r="AX27" s="4">
        <f t="shared" si="6"/>
        <v>3861722278.9410505</v>
      </c>
      <c r="AY27" s="4">
        <f t="shared" si="6"/>
        <v>3865172556.4095678</v>
      </c>
      <c r="AZ27" s="4">
        <f t="shared" si="6"/>
        <v>3896506309.5658607</v>
      </c>
      <c r="BA27" s="4">
        <f t="shared" si="6"/>
        <v>3927840062.7222815</v>
      </c>
      <c r="BB27" s="4">
        <f t="shared" si="6"/>
        <v>3959173815.8785043</v>
      </c>
      <c r="BC27" s="4">
        <f t="shared" si="6"/>
        <v>3990507569.0349121</v>
      </c>
    </row>
    <row r="28" spans="1:55">
      <c r="A28" t="s">
        <v>95</v>
      </c>
      <c r="B28" s="4">
        <f t="shared" si="4"/>
        <v>10335788319.769232</v>
      </c>
      <c r="C28" s="4">
        <f t="shared" si="4"/>
        <v>10176840438.791319</v>
      </c>
      <c r="D28" s="4">
        <f t="shared" si="4"/>
        <v>10947219035.717434</v>
      </c>
      <c r="E28" s="4">
        <f t="shared" si="4"/>
        <v>11436748544.243893</v>
      </c>
      <c r="F28" s="4">
        <f t="shared" si="4"/>
        <v>11301467721.277349</v>
      </c>
      <c r="G28" s="4">
        <f t="shared" si="4"/>
        <v>11775219191.130331</v>
      </c>
      <c r="H28" s="4">
        <f t="shared" si="4"/>
        <v>12051219242.934708</v>
      </c>
      <c r="I28" s="4">
        <f t="shared" si="4"/>
        <v>12498818156.949053</v>
      </c>
      <c r="J28" s="4">
        <f t="shared" si="4"/>
        <v>12787497927.636343</v>
      </c>
      <c r="K28" s="4">
        <f t="shared" si="4"/>
        <v>13076177698.321554</v>
      </c>
      <c r="L28" s="4">
        <f t="shared" si="4"/>
        <v>13798469265.216919</v>
      </c>
      <c r="M28" s="4">
        <f t="shared" si="4"/>
        <v>13545858163.64786</v>
      </c>
      <c r="N28" s="4">
        <f t="shared" si="4"/>
        <v>14257825640.15736</v>
      </c>
      <c r="O28" s="4">
        <f t="shared" si="4"/>
        <v>14568221600.966316</v>
      </c>
      <c r="P28" s="4">
        <f t="shared" si="4"/>
        <v>14878617561.773563</v>
      </c>
      <c r="Q28" s="4">
        <f t="shared" si="4"/>
        <v>15189013522.584097</v>
      </c>
      <c r="R28" s="4">
        <f t="shared" si="2"/>
        <v>15778688442.284946</v>
      </c>
      <c r="S28" s="4">
        <f t="shared" si="2"/>
        <v>16109720779.366726</v>
      </c>
      <c r="T28" s="4">
        <f t="shared" si="2"/>
        <v>16440753116.448454</v>
      </c>
      <c r="U28" s="4">
        <f t="shared" si="2"/>
        <v>16771785453.530209</v>
      </c>
      <c r="V28" s="4">
        <f t="shared" si="2"/>
        <v>17102817790.615374</v>
      </c>
      <c r="W28" s="4">
        <f t="shared" si="2"/>
        <v>17660523062.471409</v>
      </c>
      <c r="X28" s="4">
        <f t="shared" si="2"/>
        <v>18008304631.186935</v>
      </c>
      <c r="Y28" s="4">
        <f t="shared" si="2"/>
        <v>18356086199.904224</v>
      </c>
      <c r="Z28" s="4">
        <f t="shared" si="2"/>
        <v>18703867768.618202</v>
      </c>
      <c r="AA28" s="4">
        <f t="shared" si="2"/>
        <v>19051649337.333729</v>
      </c>
      <c r="AB28" s="4">
        <f t="shared" si="2"/>
        <v>19627212968.12846</v>
      </c>
      <c r="AC28" s="4">
        <f t="shared" si="2"/>
        <v>19991825723.697155</v>
      </c>
      <c r="AD28" s="4">
        <f t="shared" si="2"/>
        <v>20356438479.267555</v>
      </c>
      <c r="AE28" s="4">
        <f t="shared" si="2"/>
        <v>20721051234.834667</v>
      </c>
      <c r="AF28" s="4">
        <f t="shared" si="2"/>
        <v>21085663990.404205</v>
      </c>
      <c r="AG28" s="4">
        <f t="shared" si="2"/>
        <v>19736678692.810898</v>
      </c>
      <c r="AH28" s="4">
        <f t="shared" si="2"/>
        <v>19974670902.579506</v>
      </c>
      <c r="AI28" s="4">
        <f t="shared" si="2"/>
        <v>20212663112.347271</v>
      </c>
      <c r="AJ28" s="4">
        <f t="shared" ref="AJ28:BC28" si="7">AJ19/$B$2</f>
        <v>20308459830.700871</v>
      </c>
      <c r="AK28" s="4">
        <f t="shared" si="7"/>
        <v>20535944984.453533</v>
      </c>
      <c r="AL28" s="4">
        <f t="shared" si="7"/>
        <v>20763430138.205322</v>
      </c>
      <c r="AM28" s="4">
        <f t="shared" si="7"/>
        <v>20990915291.95792</v>
      </c>
      <c r="AN28" s="4">
        <f t="shared" si="7"/>
        <v>21218400445.710854</v>
      </c>
      <c r="AO28" s="4">
        <f t="shared" si="7"/>
        <v>21268591187.781132</v>
      </c>
      <c r="AP28" s="4">
        <f t="shared" si="7"/>
        <v>21482975769.24229</v>
      </c>
      <c r="AQ28" s="4">
        <f t="shared" si="7"/>
        <v>21697360350.702301</v>
      </c>
      <c r="AR28" s="4">
        <f t="shared" si="7"/>
        <v>21911744932.163925</v>
      </c>
      <c r="AS28" s="4">
        <f t="shared" si="7"/>
        <v>22126129513.623989</v>
      </c>
      <c r="AT28" s="4">
        <f t="shared" si="7"/>
        <v>22124825063.043922</v>
      </c>
      <c r="AU28" s="4">
        <f t="shared" si="7"/>
        <v>22323272031.300732</v>
      </c>
      <c r="AV28" s="4">
        <f t="shared" si="7"/>
        <v>22521718999.555706</v>
      </c>
      <c r="AW28" s="4">
        <f t="shared" si="7"/>
        <v>22720165967.811569</v>
      </c>
      <c r="AX28" s="4">
        <f t="shared" si="7"/>
        <v>22918612936.067944</v>
      </c>
      <c r="AY28" s="4">
        <f t="shared" si="7"/>
        <v>22852169534.917961</v>
      </c>
      <c r="AZ28" s="4">
        <f t="shared" si="7"/>
        <v>23031043323.168236</v>
      </c>
      <c r="BA28" s="4">
        <f t="shared" si="7"/>
        <v>23209917111.419609</v>
      </c>
      <c r="BB28" s="4">
        <f t="shared" si="7"/>
        <v>23388790899.669262</v>
      </c>
      <c r="BC28" s="4">
        <f t="shared" si="7"/>
        <v>23567664687.920525</v>
      </c>
    </row>
    <row r="29" spans="1:55">
      <c r="A29" t="s">
        <v>96</v>
      </c>
      <c r="B29" s="4">
        <f t="shared" si="4"/>
        <v>446481396.59364253</v>
      </c>
      <c r="C29" s="4">
        <f t="shared" si="4"/>
        <v>437505320.48548335</v>
      </c>
      <c r="D29" s="4">
        <f t="shared" si="4"/>
        <v>472280643.07702804</v>
      </c>
      <c r="E29" s="4">
        <f t="shared" si="4"/>
        <v>493664007.07694596</v>
      </c>
      <c r="F29" s="4">
        <f t="shared" si="4"/>
        <v>485663073.58469009</v>
      </c>
      <c r="G29" s="4">
        <f t="shared" si="4"/>
        <v>506396342.5073753</v>
      </c>
      <c r="H29" s="4">
        <f t="shared" si="4"/>
        <v>517768242.31749469</v>
      </c>
      <c r="I29" s="4">
        <f t="shared" si="4"/>
        <v>537185663.7638222</v>
      </c>
      <c r="J29" s="4">
        <f t="shared" si="4"/>
        <v>549080000.04384422</v>
      </c>
      <c r="K29" s="4">
        <f t="shared" si="4"/>
        <v>560974336.32376862</v>
      </c>
      <c r="L29" s="4">
        <f t="shared" si="4"/>
        <v>593198837.05347407</v>
      </c>
      <c r="M29" s="4">
        <f t="shared" si="4"/>
        <v>579532318.66535866</v>
      </c>
      <c r="N29" s="4">
        <f t="shared" si="4"/>
        <v>611331440.77382433</v>
      </c>
      <c r="O29" s="4">
        <f t="shared" si="4"/>
        <v>624120538.98126602</v>
      </c>
      <c r="P29" s="4">
        <f t="shared" si="4"/>
        <v>636909637.18862772</v>
      </c>
      <c r="Q29" s="4">
        <f t="shared" si="4"/>
        <v>649698735.39614439</v>
      </c>
      <c r="R29" s="4">
        <f t="shared" si="2"/>
        <v>675582004.95976329</v>
      </c>
      <c r="S29" s="4">
        <f t="shared" si="2"/>
        <v>689221374.0344907</v>
      </c>
      <c r="T29" s="4">
        <f t="shared" si="2"/>
        <v>702860743.10921538</v>
      </c>
      <c r="U29" s="4">
        <f t="shared" si="2"/>
        <v>716500112.18394136</v>
      </c>
      <c r="V29" s="4">
        <f t="shared" si="2"/>
        <v>730139481.25882733</v>
      </c>
      <c r="W29" s="4">
        <f t="shared" si="2"/>
        <v>754406554.83917856</v>
      </c>
      <c r="X29" s="4">
        <f t="shared" si="2"/>
        <v>768736034.59609628</v>
      </c>
      <c r="Y29" s="4">
        <f t="shared" si="2"/>
        <v>783065514.35309672</v>
      </c>
      <c r="Z29" s="4">
        <f t="shared" si="2"/>
        <v>797394994.10994089</v>
      </c>
      <c r="AA29" s="4">
        <f t="shared" si="2"/>
        <v>811724473.86685884</v>
      </c>
      <c r="AB29" s="4">
        <f t="shared" si="2"/>
        <v>836733660.26749527</v>
      </c>
      <c r="AC29" s="4">
        <f t="shared" si="2"/>
        <v>851756627.46881151</v>
      </c>
      <c r="AD29" s="4">
        <f t="shared" si="2"/>
        <v>866779594.67020774</v>
      </c>
      <c r="AE29" s="4">
        <f t="shared" si="2"/>
        <v>881802561.87144911</v>
      </c>
      <c r="AF29" s="4">
        <f t="shared" si="2"/>
        <v>896825529.07280493</v>
      </c>
      <c r="AG29" s="4">
        <f t="shared" si="2"/>
        <v>831505363.25491965</v>
      </c>
      <c r="AH29" s="4">
        <f t="shared" si="2"/>
        <v>841311243.89654994</v>
      </c>
      <c r="AI29" s="4">
        <f t="shared" si="2"/>
        <v>851117124.53814077</v>
      </c>
      <c r="AJ29" s="4">
        <f t="shared" ref="AJ29:BC29" si="8">AJ20/$B$2</f>
        <v>854256079.25720441</v>
      </c>
      <c r="AK29" s="4">
        <f t="shared" si="8"/>
        <v>863629042.6311332</v>
      </c>
      <c r="AL29" s="4">
        <f t="shared" si="8"/>
        <v>873002006.00502121</v>
      </c>
      <c r="AM29" s="4">
        <f t="shared" si="8"/>
        <v>882374969.37894726</v>
      </c>
      <c r="AN29" s="4">
        <f t="shared" si="8"/>
        <v>891747932.75288904</v>
      </c>
      <c r="AO29" s="4">
        <f t="shared" si="8"/>
        <v>892808335.03638375</v>
      </c>
      <c r="AP29" s="4">
        <f t="shared" si="8"/>
        <v>901641521.71614277</v>
      </c>
      <c r="AQ29" s="4">
        <f t="shared" si="8"/>
        <v>910474708.39584744</v>
      </c>
      <c r="AR29" s="4">
        <f t="shared" si="8"/>
        <v>919307895.07562864</v>
      </c>
      <c r="AS29" s="4">
        <f t="shared" si="8"/>
        <v>928141081.75533593</v>
      </c>
      <c r="AT29" s="4">
        <f t="shared" si="8"/>
        <v>926861551.18492401</v>
      </c>
      <c r="AU29" s="4">
        <f t="shared" si="8"/>
        <v>935038067.91340435</v>
      </c>
      <c r="AV29" s="4">
        <f t="shared" si="8"/>
        <v>943214584.64179862</v>
      </c>
      <c r="AW29" s="4">
        <f t="shared" si="8"/>
        <v>951391101.37023473</v>
      </c>
      <c r="AX29" s="4">
        <f t="shared" si="8"/>
        <v>959567618.09869468</v>
      </c>
      <c r="AY29" s="4">
        <f t="shared" si="8"/>
        <v>955324581.62712038</v>
      </c>
      <c r="AZ29" s="4">
        <f t="shared" si="8"/>
        <v>962694633.86203814</v>
      </c>
      <c r="BA29" s="4">
        <f t="shared" si="8"/>
        <v>970064686.09700763</v>
      </c>
      <c r="BB29" s="4">
        <f t="shared" si="8"/>
        <v>977434738.33189595</v>
      </c>
      <c r="BC29" s="4">
        <f t="shared" si="8"/>
        <v>984804790.56686008</v>
      </c>
    </row>
    <row r="31" spans="1:55">
      <c r="A31" s="39" t="s">
        <v>171</v>
      </c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</row>
    <row r="32" spans="1:55">
      <c r="A32" s="2" t="s">
        <v>168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</row>
    <row r="33" spans="1:55">
      <c r="B33" s="38">
        <v>2017</v>
      </c>
      <c r="C33" s="38">
        <v>2018</v>
      </c>
      <c r="D33" s="38">
        <v>2019</v>
      </c>
      <c r="E33" s="38">
        <v>2020</v>
      </c>
      <c r="F33" s="38">
        <v>2021</v>
      </c>
      <c r="G33" s="38">
        <v>2022</v>
      </c>
      <c r="H33" s="38">
        <v>2023</v>
      </c>
      <c r="I33" s="38">
        <v>2024</v>
      </c>
      <c r="J33" s="38">
        <v>2025</v>
      </c>
      <c r="K33" s="38">
        <v>2026</v>
      </c>
      <c r="L33" s="38">
        <v>2027</v>
      </c>
      <c r="M33" s="38">
        <v>2028</v>
      </c>
      <c r="N33" s="38">
        <v>2029</v>
      </c>
      <c r="O33" s="38">
        <v>2030</v>
      </c>
      <c r="P33" s="38">
        <v>2031</v>
      </c>
      <c r="Q33" s="38">
        <v>2032</v>
      </c>
      <c r="R33" s="38">
        <v>2033</v>
      </c>
      <c r="S33" s="38">
        <v>2034</v>
      </c>
      <c r="T33" s="38">
        <v>2035</v>
      </c>
      <c r="U33" s="38">
        <v>2036</v>
      </c>
      <c r="V33" s="38">
        <v>2037</v>
      </c>
      <c r="W33" s="38">
        <v>2038</v>
      </c>
      <c r="X33" s="38">
        <v>2039</v>
      </c>
      <c r="Y33" s="38">
        <v>2040</v>
      </c>
      <c r="Z33" s="38">
        <v>2041</v>
      </c>
      <c r="AA33" s="38">
        <v>2042</v>
      </c>
      <c r="AB33" s="38">
        <v>2043</v>
      </c>
      <c r="AC33" s="38">
        <v>2044</v>
      </c>
      <c r="AD33" s="38">
        <v>2045</v>
      </c>
      <c r="AE33" s="38">
        <v>2046</v>
      </c>
      <c r="AF33" s="38">
        <v>2047</v>
      </c>
      <c r="AG33" s="38">
        <v>2048</v>
      </c>
      <c r="AH33" s="38">
        <v>2049</v>
      </c>
      <c r="AI33" s="38">
        <v>2050</v>
      </c>
      <c r="AJ33">
        <v>2051</v>
      </c>
      <c r="AK33">
        <v>2052</v>
      </c>
      <c r="AL33">
        <v>2053</v>
      </c>
      <c r="AM33">
        <v>2054</v>
      </c>
      <c r="AN33">
        <v>2055</v>
      </c>
      <c r="AO33">
        <v>2056</v>
      </c>
      <c r="AP33">
        <v>2057</v>
      </c>
      <c r="AQ33">
        <v>2058</v>
      </c>
      <c r="AR33">
        <v>2059</v>
      </c>
      <c r="AS33">
        <v>2060</v>
      </c>
      <c r="AT33">
        <v>2061</v>
      </c>
      <c r="AU33">
        <v>2062</v>
      </c>
      <c r="AV33">
        <v>2063</v>
      </c>
      <c r="AW33">
        <v>2064</v>
      </c>
      <c r="AX33">
        <v>2065</v>
      </c>
      <c r="AY33">
        <v>2066</v>
      </c>
      <c r="AZ33">
        <v>2067</v>
      </c>
      <c r="BA33">
        <v>2068</v>
      </c>
      <c r="BB33">
        <v>2069</v>
      </c>
      <c r="BC33">
        <v>2070</v>
      </c>
    </row>
    <row r="34" spans="1:55">
      <c r="A34" t="s">
        <v>91</v>
      </c>
      <c r="B34" s="4">
        <f>'Building Projections'!G$15+(1/'Component Lifetimes'!$B2)*'Building Projections'!F$14</f>
        <v>11198541.668021219</v>
      </c>
      <c r="C34" s="4">
        <f>'Building Projections'!H$15+(1/'Component Lifetimes'!$B2)*'Building Projections'!G$14</f>
        <v>11550808.294981718</v>
      </c>
      <c r="D34" s="4">
        <f>'Building Projections'!I$15+(1/'Component Lifetimes'!$B2)*'Building Projections'!H$14</f>
        <v>11265964.751640029</v>
      </c>
      <c r="E34" s="4">
        <f>'Building Projections'!J$15+(1/'Component Lifetimes'!$B2)*'Building Projections'!I$14</f>
        <v>11324473.994688589</v>
      </c>
      <c r="F34" s="4">
        <f>'Building Projections'!K$15+(1/'Component Lifetimes'!$B2)*'Building Projections'!J$14</f>
        <v>11382983.237737149</v>
      </c>
      <c r="G34" s="4">
        <f>'Building Projections'!L$15+(1/'Component Lifetimes'!$B2)*'Building Projections'!K$14</f>
        <v>11441492.480785709</v>
      </c>
      <c r="H34" s="4">
        <f>'Building Projections'!M$15+(1/'Component Lifetimes'!$B2)*'Building Projections'!L$14</f>
        <v>11728962.864353707</v>
      </c>
      <c r="I34" s="4">
        <f>'Building Projections'!N$15+(1/'Component Lifetimes'!$B2)*'Building Projections'!M$14</f>
        <v>11272382.556883594</v>
      </c>
      <c r="J34" s="4">
        <f>'Building Projections'!O$15+(1/'Component Lifetimes'!$B2)*'Building Projections'!N$14</f>
        <v>11315198.168545714</v>
      </c>
      <c r="K34" s="4">
        <f>'Building Projections'!P$15+(1/'Component Lifetimes'!$B2)*'Building Projections'!O$14</f>
        <v>11358013.780208042</v>
      </c>
      <c r="L34" s="4">
        <f>'Building Projections'!Q$15+(1/'Component Lifetimes'!$B2)*'Building Projections'!P$14</f>
        <v>11400829.391869964</v>
      </c>
      <c r="M34" s="4">
        <f>'Building Projections'!R$15+(1/'Component Lifetimes'!$B2)*'Building Projections'!Q$14</f>
        <v>13222136.230265411</v>
      </c>
      <c r="N34" s="4">
        <f>'Building Projections'!S$15+(1/'Component Lifetimes'!$B2)*'Building Projections'!R$14</f>
        <v>11089650.381813955</v>
      </c>
      <c r="O34" s="4">
        <f>'Building Projections'!T$15+(1/'Component Lifetimes'!$B2)*'Building Projections'!S$14</f>
        <v>11106654.67585584</v>
      </c>
      <c r="P34" s="4">
        <f>'Building Projections'!U$15+(1/'Component Lifetimes'!$B2)*'Building Projections'!T$14</f>
        <v>11123658.969897436</v>
      </c>
      <c r="Q34" s="4">
        <f>'Building Projections'!V$15+(1/'Component Lifetimes'!$B2)*'Building Projections'!U$14</f>
        <v>11140663.263939204</v>
      </c>
      <c r="R34" s="4">
        <f>'Building Projections'!W$15+(1/'Component Lifetimes'!$B2)*'Building Projections'!V$14</f>
        <v>12792495.535826283</v>
      </c>
      <c r="S34" s="4">
        <f>'Building Projections'!X$15+(1/'Component Lifetimes'!$B2)*'Building Projections'!W$14</f>
        <v>10852008.435342716</v>
      </c>
      <c r="T34" s="4">
        <f>'Building Projections'!Y$15+(1/'Component Lifetimes'!$B2)*'Building Projections'!X$14</f>
        <v>10847501.834939094</v>
      </c>
      <c r="U34" s="4">
        <f>'Building Projections'!Z$15+(1/'Component Lifetimes'!$B2)*'Building Projections'!Y$14</f>
        <v>10842995.234535528</v>
      </c>
      <c r="V34" s="4">
        <f>'Building Projections'!AA$15+(1/'Component Lifetimes'!$B2)*'Building Projections'!Z$14</f>
        <v>10838488.634131936</v>
      </c>
      <c r="W34" s="4">
        <f>'Building Projections'!AB$15+(1/'Component Lifetimes'!$B2)*'Building Projections'!AA$14</f>
        <v>12326365.162450384</v>
      </c>
      <c r="X34" s="4">
        <f>'Building Projections'!AC$15+(1/'Component Lifetimes'!$B2)*'Building Projections'!AB$14</f>
        <v>10534926.131603258</v>
      </c>
      <c r="Y34" s="4">
        <f>'Building Projections'!AD$15+(1/'Component Lifetimes'!$B2)*'Building Projections'!AC$14</f>
        <v>10510782.911084929</v>
      </c>
      <c r="Z34" s="4">
        <f>'Building Projections'!AE$15+(1/'Component Lifetimes'!$B2)*'Building Projections'!AD$14</f>
        <v>10486639.690566542</v>
      </c>
      <c r="AA34" s="4">
        <f>'Building Projections'!AF$15+(1/'Component Lifetimes'!$B2)*'Building Projections'!AE$14</f>
        <v>10462496.470048184</v>
      </c>
      <c r="AB34" s="4">
        <f>'Building Projections'!AG$15+(1/'Component Lifetimes'!$B2)*'Building Projections'!AF$14</f>
        <v>16462733.317808615</v>
      </c>
      <c r="AC34" s="4">
        <f>'Building Projections'!AH$15+(1/'Component Lifetimes'!$B2)*'Building Projections'!AG$14</f>
        <v>9225187.6471144576</v>
      </c>
      <c r="AD34" s="4">
        <f>'Building Projections'!AI$15+(1/'Component Lifetimes'!$B2)*'Building Projections'!AH$14</f>
        <v>9121776.267802516</v>
      </c>
      <c r="AE34" s="4">
        <f>'Building Projections'!AJ$15+(1/'Component Lifetimes'!$B2)*'Building Projections'!AI$14</f>
        <v>9018364.8884914443</v>
      </c>
      <c r="AF34" s="4">
        <f>'Building Projections'!AK$15+(1/'Component Lifetimes'!$B2)*'Building Projections'!AJ$14</f>
        <v>8914953.5091795046</v>
      </c>
      <c r="AG34" s="4">
        <f>'Building Projections'!AL$15+(1/'Component Lifetimes'!$B2)*'Building Projections'!AK$14</f>
        <v>8811542.1298684329</v>
      </c>
      <c r="AH34" s="4">
        <f>'Building Projections'!AM$15+(1/'Component Lifetimes'!$B2)*'Building Projections'!AL$14</f>
        <v>8708130.7505569384</v>
      </c>
      <c r="AI34" s="4">
        <f>'Building Projections'!AN$15+(1/'Component Lifetimes'!$B2)*'Building Projections'!AM$14</f>
        <v>8604719.3712449986</v>
      </c>
      <c r="AJ34" s="4">
        <f>'Building Projections'!AO$15+(1/'Component Lifetimes'!$B2)*'Building Projections'!AN$14</f>
        <v>8299303.0049755424</v>
      </c>
      <c r="AK34" s="4">
        <f>'Building Projections'!AP$15+(1/'Component Lifetimes'!$B2)*'Building Projections'!AO$14</f>
        <v>8185259.7842442617</v>
      </c>
      <c r="AL34" s="4">
        <f>'Building Projections'!AQ$15+(1/'Component Lifetimes'!$B2)*'Building Projections'!AP$14</f>
        <v>8071216.5635138564</v>
      </c>
      <c r="AM34" s="4">
        <f>'Building Projections'!AR$15+(1/'Component Lifetimes'!$B2)*'Building Projections'!AQ$14</f>
        <v>7957173.3427834529</v>
      </c>
      <c r="AN34" s="4">
        <f>'Building Projections'!AS$15+(1/'Component Lifetimes'!$B2)*'Building Projections'!AR$14</f>
        <v>7843130.1220534351</v>
      </c>
      <c r="AO34" s="4">
        <f>'Building Projections'!AT$15+(1/'Component Lifetimes'!$B2)*'Building Projections'!AS$14</f>
        <v>7532468.3024682701</v>
      </c>
      <c r="AP34" s="4">
        <f>'Building Projections'!AU$15+(1/'Component Lifetimes'!$B2)*'Building Projections'!AT$14</f>
        <v>7408076.7344301548</v>
      </c>
      <c r="AQ34" s="4">
        <f>'Building Projections'!AV$15+(1/'Component Lifetimes'!$B2)*'Building Projections'!AU$14</f>
        <v>7283685.1663906928</v>
      </c>
      <c r="AR34" s="4">
        <f>'Building Projections'!AW$15+(1/'Component Lifetimes'!$B2)*'Building Projections'!AV$14</f>
        <v>7159293.5983530581</v>
      </c>
      <c r="AS34" s="4">
        <f>'Building Projections'!AX$15+(1/'Component Lifetimes'!$B2)*'Building Projections'!AW$14</f>
        <v>7034902.0303136222</v>
      </c>
      <c r="AT34" s="4">
        <f>'Building Projections'!AY$15+(1/'Component Lifetimes'!$B2)*'Building Projections'!AX$14</f>
        <v>6744079.1230457779</v>
      </c>
      <c r="AU34" s="4">
        <f>'Building Projections'!AZ$15+(1/'Component Lifetimes'!$B2)*'Building Projections'!AY$14</f>
        <v>6610928.0108381212</v>
      </c>
      <c r="AV34" s="4">
        <f>'Building Projections'!BA$15+(1/'Component Lifetimes'!$B2)*'Building Projections'!AZ$14</f>
        <v>6477776.898628721</v>
      </c>
      <c r="AW34" s="4">
        <f>'Building Projections'!BB$15+(1/'Component Lifetimes'!$B2)*'Building Projections'!BA$14</f>
        <v>6344625.7864202261</v>
      </c>
      <c r="AX34" s="4">
        <f>'Building Projections'!BC$15+(1/'Component Lifetimes'!$B2)*'Building Projections'!BB$14</f>
        <v>6211474.6742122397</v>
      </c>
      <c r="AY34" s="4">
        <f>'Building Projections'!BD$15+(1/'Component Lifetimes'!$B2)*'Building Projections'!BC$14</f>
        <v>5937636.5839732401</v>
      </c>
      <c r="AZ34" s="4">
        <f>'Building Projections'!BE$15+(1/'Component Lifetimes'!$B2)*'Building Projections'!BD$14</f>
        <v>5797080.8939742036</v>
      </c>
      <c r="BA34" s="4">
        <f>'Building Projections'!BF$15+(1/'Component Lifetimes'!$B2)*'Building Projections'!BE$14</f>
        <v>5656525.2039746577</v>
      </c>
      <c r="BB34" s="4">
        <f>'Building Projections'!BG$15+(1/'Component Lifetimes'!$B2)*'Building Projections'!BF$14</f>
        <v>5515969.5139751416</v>
      </c>
      <c r="BC34" s="4">
        <f>'Building Projections'!BH$15+(1/'Component Lifetimes'!$B2)*'Building Projections'!BG$14</f>
        <v>5375413.8239756571</v>
      </c>
    </row>
    <row r="35" spans="1:55">
      <c r="A35" t="s">
        <v>92</v>
      </c>
      <c r="B35" s="4">
        <f>'Building Projections'!G$15+(1/'Component Lifetimes'!$B3)*'Building Projections'!F$14</f>
        <v>13201417.760393409</v>
      </c>
      <c r="C35" s="4">
        <f>'Building Projections'!H$15+(1/'Component Lifetimes'!$B3)*'Building Projections'!G$14</f>
        <v>13566149.242155595</v>
      </c>
      <c r="D35" s="4">
        <f>'Building Projections'!I$15+(1/'Component Lifetimes'!$B3)*'Building Projections'!H$14</f>
        <v>13296822.578383509</v>
      </c>
      <c r="E35" s="4">
        <f>'Building Projections'!J$15+(1/'Component Lifetimes'!$B3)*'Building Projections'!I$14</f>
        <v>13367033.670041781</v>
      </c>
      <c r="F35" s="4">
        <f>'Building Projections'!K$15+(1/'Component Lifetimes'!$B3)*'Building Projections'!J$14</f>
        <v>13437244.761700053</v>
      </c>
      <c r="G35" s="4">
        <f>'Building Projections'!L$15+(1/'Component Lifetimes'!$B3)*'Building Projections'!K$14</f>
        <v>13507455.853358325</v>
      </c>
      <c r="H35" s="4">
        <f>'Building Projections'!M$15+(1/'Component Lifetimes'!$B3)*'Building Projections'!L$14</f>
        <v>13806628.085536037</v>
      </c>
      <c r="I35" s="4">
        <f>'Building Projections'!N$15+(1/'Component Lifetimes'!$B3)*'Building Projections'!M$14</f>
        <v>13364159.743944261</v>
      </c>
      <c r="J35" s="4">
        <f>'Building Projections'!O$15+(1/'Component Lifetimes'!$B3)*'Building Projections'!N$14</f>
        <v>13415538.477938805</v>
      </c>
      <c r="K35" s="4">
        <f>'Building Projections'!P$15+(1/'Component Lifetimes'!$B3)*'Building Projections'!O$14</f>
        <v>13466917.211933557</v>
      </c>
      <c r="L35" s="4">
        <f>'Building Projections'!Q$15+(1/'Component Lifetimes'!$B3)*'Building Projections'!P$14</f>
        <v>13518295.945927905</v>
      </c>
      <c r="M35" s="4">
        <f>'Building Projections'!R$15+(1/'Component Lifetimes'!$B3)*'Building Projections'!Q$14</f>
        <v>15348165.906655775</v>
      </c>
      <c r="N35" s="4">
        <f>'Building Projections'!S$15+(1/'Component Lifetimes'!$B3)*'Building Projections'!R$14</f>
        <v>13242964.140818145</v>
      </c>
      <c r="O35" s="4">
        <f>'Building Projections'!T$15+(1/'Component Lifetimes'!$B3)*'Building Projections'!S$14</f>
        <v>13263369.293668378</v>
      </c>
      <c r="P35" s="4">
        <f>'Building Projections'!U$15+(1/'Component Lifetimes'!$B3)*'Building Projections'!T$14</f>
        <v>13283774.446518322</v>
      </c>
      <c r="Q35" s="4">
        <f>'Building Projections'!V$15+(1/'Component Lifetimes'!$B3)*'Building Projections'!U$14</f>
        <v>13304179.599368438</v>
      </c>
      <c r="R35" s="4">
        <f>'Building Projections'!W$15+(1/'Component Lifetimes'!$B3)*'Building Projections'!V$14</f>
        <v>14959412.730063865</v>
      </c>
      <c r="S35" s="4">
        <f>'Building Projections'!X$15+(1/'Component Lifetimes'!$B3)*'Building Projections'!W$14</f>
        <v>13039535.203944912</v>
      </c>
      <c r="T35" s="4">
        <f>'Building Projections'!Y$15+(1/'Component Lifetimes'!$B3)*'Building Projections'!X$14</f>
        <v>13034127.283460572</v>
      </c>
      <c r="U35" s="4">
        <f>'Building Projections'!Z$15+(1/'Component Lifetimes'!$B3)*'Building Projections'!Y$14</f>
        <v>13028719.362976288</v>
      </c>
      <c r="V35" s="4">
        <f>'Building Projections'!AA$15+(1/'Component Lifetimes'!$B3)*'Building Projections'!Z$14</f>
        <v>13023311.442491977</v>
      </c>
      <c r="W35" s="4">
        <f>'Building Projections'!AB$15+(1/'Component Lifetimes'!$B3)*'Building Projections'!AA$14</f>
        <v>14510286.650729708</v>
      </c>
      <c r="X35" s="4">
        <f>'Building Projections'!AC$15+(1/'Component Lifetimes'!$B3)*'Building Projections'!AB$14</f>
        <v>12733655.595893672</v>
      </c>
      <c r="Y35" s="4">
        <f>'Building Projections'!AD$15+(1/'Component Lifetimes'!$B3)*'Building Projections'!AC$14</f>
        <v>12704683.731271671</v>
      </c>
      <c r="Z35" s="4">
        <f>'Building Projections'!AE$15+(1/'Component Lifetimes'!$B3)*'Building Projections'!AD$14</f>
        <v>12675711.866649615</v>
      </c>
      <c r="AA35" s="4">
        <f>'Building Projections'!AF$15+(1/'Component Lifetimes'!$B3)*'Building Projections'!AE$14</f>
        <v>12646740.002027584</v>
      </c>
      <c r="AB35" s="4">
        <f>'Building Projections'!AG$15+(1/'Component Lifetimes'!$B3)*'Building Projections'!AF$14</f>
        <v>18642148.205684341</v>
      </c>
      <c r="AC35" s="4">
        <f>'Building Projections'!AH$15+(1/'Component Lifetimes'!$B3)*'Building Projections'!AG$14</f>
        <v>11463188.417921027</v>
      </c>
      <c r="AD35" s="4">
        <f>'Building Projections'!AI$15+(1/'Component Lifetimes'!$B3)*'Building Projections'!AH$14</f>
        <v>11339094.762746787</v>
      </c>
      <c r="AE35" s="4">
        <f>'Building Projections'!AJ$15+(1/'Component Lifetimes'!$B3)*'Building Projections'!AI$14</f>
        <v>11215001.107573412</v>
      </c>
      <c r="AF35" s="4">
        <f>'Building Projections'!AK$15+(1/'Component Lifetimes'!$B3)*'Building Projections'!AJ$14</f>
        <v>11090907.452399172</v>
      </c>
      <c r="AG35" s="4">
        <f>'Building Projections'!AL$15+(1/'Component Lifetimes'!$B3)*'Building Projections'!AK$14</f>
        <v>10966813.797225799</v>
      </c>
      <c r="AH35" s="4">
        <f>'Building Projections'!AM$15+(1/'Component Lifetimes'!$B3)*'Building Projections'!AL$14</f>
        <v>10842720.142052006</v>
      </c>
      <c r="AI35" s="4">
        <f>'Building Projections'!AN$15+(1/'Component Lifetimes'!$B3)*'Building Projections'!AM$14</f>
        <v>10718626.486877766</v>
      </c>
      <c r="AJ35" s="4">
        <f>'Building Projections'!AO$15+(1/'Component Lifetimes'!$B3)*'Building Projections'!AN$14</f>
        <v>10392527.844746007</v>
      </c>
      <c r="AK35" s="4">
        <f>'Building Projections'!AP$15+(1/'Component Lifetimes'!$B3)*'Building Projections'!AO$14</f>
        <v>10255675.979868656</v>
      </c>
      <c r="AL35" s="4">
        <f>'Building Projections'!AQ$15+(1/'Component Lifetimes'!$B3)*'Building Projections'!AP$14</f>
        <v>10118824.11499217</v>
      </c>
      <c r="AM35" s="4">
        <f>'Building Projections'!AR$15+(1/'Component Lifetimes'!$B3)*'Building Projections'!AQ$14</f>
        <v>9981972.2501156833</v>
      </c>
      <c r="AN35" s="4">
        <f>'Building Projections'!AS$15+(1/'Component Lifetimes'!$B3)*'Building Projections'!AR$14</f>
        <v>9845120.3852395844</v>
      </c>
      <c r="AO35" s="4">
        <f>'Building Projections'!AT$15+(1/'Component Lifetimes'!$B3)*'Building Projections'!AS$14</f>
        <v>9511649.921508342</v>
      </c>
      <c r="AP35" s="4">
        <f>'Building Projections'!AU$15+(1/'Component Lifetimes'!$B3)*'Building Projections'!AT$14</f>
        <v>9362380.0398625229</v>
      </c>
      <c r="AQ35" s="4">
        <f>'Building Projections'!AV$15+(1/'Component Lifetimes'!$B3)*'Building Projections'!AU$14</f>
        <v>9213110.158215357</v>
      </c>
      <c r="AR35" s="4">
        <f>'Building Projections'!AW$15+(1/'Component Lifetimes'!$B3)*'Building Projections'!AV$14</f>
        <v>9063840.2765700109</v>
      </c>
      <c r="AS35" s="4">
        <f>'Building Projections'!AX$15+(1/'Component Lifetimes'!$B3)*'Building Projections'!AW$14</f>
        <v>8914570.394922873</v>
      </c>
      <c r="AT35" s="4">
        <f>'Building Projections'!AY$15+(1/'Component Lifetimes'!$B3)*'Building Projections'!AX$14</f>
        <v>8598869.1740473174</v>
      </c>
      <c r="AU35" s="4">
        <f>'Building Projections'!AZ$15+(1/'Component Lifetimes'!$B3)*'Building Projections'!AY$14</f>
        <v>8439087.8393979557</v>
      </c>
      <c r="AV35" s="4">
        <f>'Building Projections'!BA$15+(1/'Component Lifetimes'!$B3)*'Building Projections'!AZ$14</f>
        <v>8279306.5047468599</v>
      </c>
      <c r="AW35" s="4">
        <f>'Building Projections'!BB$15+(1/'Component Lifetimes'!$B3)*'Building Projections'!BA$14</f>
        <v>8119525.17009666</v>
      </c>
      <c r="AX35" s="4">
        <f>'Building Projections'!BC$15+(1/'Component Lifetimes'!$B3)*'Building Projections'!BB$14</f>
        <v>7959743.8354469687</v>
      </c>
      <c r="AY35" s="4">
        <f>'Building Projections'!BD$15+(1/'Component Lifetimes'!$B3)*'Building Projections'!BC$14</f>
        <v>7659275.5227662716</v>
      </c>
      <c r="AZ35" s="4">
        <f>'Building Projections'!BE$15+(1/'Component Lifetimes'!$B3)*'Building Projections'!BD$14</f>
        <v>7490608.6947673187</v>
      </c>
      <c r="BA35" s="4">
        <f>'Building Projections'!BF$15+(1/'Component Lifetimes'!$B3)*'Building Projections'!BE$14</f>
        <v>7321941.8667678647</v>
      </c>
      <c r="BB35" s="4">
        <f>'Building Projections'!BG$15+(1/'Component Lifetimes'!$B3)*'Building Projections'!BF$14</f>
        <v>7153275.0387684386</v>
      </c>
      <c r="BC35" s="4">
        <f>'Building Projections'!BH$15+(1/'Component Lifetimes'!$B3)*'Building Projections'!BG$14</f>
        <v>6984608.2107690461</v>
      </c>
    </row>
    <row r="36" spans="1:55">
      <c r="A36" t="s">
        <v>93</v>
      </c>
      <c r="B36" s="4">
        <f>'Building Projections'!G$15+(1/'Component Lifetimes'!$B4)*'Building Projections'!F$14</f>
        <v>4856100.7088426221</v>
      </c>
      <c r="C36" s="4">
        <f>'Building Projections'!H$15+(1/'Component Lifetimes'!$B4)*'Building Projections'!G$14</f>
        <v>5168895.2955977786</v>
      </c>
      <c r="D36" s="4">
        <f>'Building Projections'!I$15+(1/'Component Lifetimes'!$B4)*'Building Projections'!H$14</f>
        <v>4834914.9669523463</v>
      </c>
      <c r="E36" s="4">
        <f>'Building Projections'!J$15+(1/'Component Lifetimes'!$B4)*'Building Projections'!I$14</f>
        <v>4856368.3560701516</v>
      </c>
      <c r="F36" s="4">
        <f>'Building Projections'!K$15+(1/'Component Lifetimes'!$B4)*'Building Projections'!J$14</f>
        <v>4877821.7451879568</v>
      </c>
      <c r="G36" s="4">
        <f>'Building Projections'!L$15+(1/'Component Lifetimes'!$B4)*'Building Projections'!K$14</f>
        <v>4899275.1343057621</v>
      </c>
      <c r="H36" s="4">
        <f>'Building Projections'!M$15+(1/'Component Lifetimes'!$B4)*'Building Projections'!L$14</f>
        <v>5149689.6639430076</v>
      </c>
      <c r="I36" s="4">
        <f>'Building Projections'!N$15+(1/'Component Lifetimes'!$B4)*'Building Projections'!M$14</f>
        <v>4648421.4645248242</v>
      </c>
      <c r="J36" s="4">
        <f>'Building Projections'!O$15+(1/'Component Lifetimes'!$B4)*'Building Projections'!N$14</f>
        <v>4664120.5221342687</v>
      </c>
      <c r="K36" s="4">
        <f>'Building Projections'!P$15+(1/'Component Lifetimes'!$B4)*'Building Projections'!O$14</f>
        <v>4679819.5797439218</v>
      </c>
      <c r="L36" s="4">
        <f>'Building Projections'!Q$15+(1/'Component Lifetimes'!$B4)*'Building Projections'!P$14</f>
        <v>4695518.6373531604</v>
      </c>
      <c r="M36" s="4">
        <f>'Building Projections'!R$15+(1/'Component Lifetimes'!$B4)*'Building Projections'!Q$14</f>
        <v>6489708.9216959309</v>
      </c>
      <c r="N36" s="4">
        <f>'Building Projections'!S$15+(1/'Component Lifetimes'!$B4)*'Building Projections'!R$14</f>
        <v>4270823.4783006869</v>
      </c>
      <c r="O36" s="4">
        <f>'Building Projections'!T$15+(1/'Component Lifetimes'!$B4)*'Building Projections'!S$14</f>
        <v>4277058.3861161396</v>
      </c>
      <c r="P36" s="4">
        <f>'Building Projections'!U$15+(1/'Component Lifetimes'!$B4)*'Building Projections'!T$14</f>
        <v>4283293.293931297</v>
      </c>
      <c r="Q36" s="4">
        <f>'Building Projections'!V$15+(1/'Component Lifetimes'!$B4)*'Building Projections'!U$14</f>
        <v>4289528.2017466305</v>
      </c>
      <c r="R36" s="4">
        <f>'Building Projections'!W$15+(1/'Component Lifetimes'!$B4)*'Building Projections'!V$14</f>
        <v>5930591.087407276</v>
      </c>
      <c r="S36" s="4">
        <f>'Building Projections'!X$15+(1/'Component Lifetimes'!$B4)*'Building Projections'!W$14</f>
        <v>3924840.3347690967</v>
      </c>
      <c r="T36" s="4">
        <f>'Building Projections'!Y$15+(1/'Component Lifetimes'!$B4)*'Building Projections'!X$14</f>
        <v>3923187.9146210826</v>
      </c>
      <c r="U36" s="4">
        <f>'Building Projections'!Z$15+(1/'Component Lifetimes'!$B4)*'Building Projections'!Y$14</f>
        <v>3921535.4944731281</v>
      </c>
      <c r="V36" s="4">
        <f>'Building Projections'!AA$15+(1/'Component Lifetimes'!$B4)*'Building Projections'!Z$14</f>
        <v>3919883.0743251438</v>
      </c>
      <c r="W36" s="4">
        <f>'Building Projections'!AB$15+(1/'Component Lifetimes'!$B4)*'Building Projections'!AA$14</f>
        <v>5410613.7828992018</v>
      </c>
      <c r="X36" s="4">
        <f>'Building Projections'!AC$15+(1/'Component Lifetimes'!$B4)*'Building Projections'!AB$14</f>
        <v>3572282.8280169484</v>
      </c>
      <c r="Y36" s="4">
        <f>'Building Projections'!AD$15+(1/'Component Lifetimes'!$B4)*'Building Projections'!AC$14</f>
        <v>3563430.3138269135</v>
      </c>
      <c r="Z36" s="4">
        <f>'Building Projections'!AE$15+(1/'Component Lifetimes'!$B4)*'Building Projections'!AD$14</f>
        <v>3554577.7996368194</v>
      </c>
      <c r="AA36" s="4">
        <f>'Building Projections'!AF$15+(1/'Component Lifetimes'!$B4)*'Building Projections'!AE$14</f>
        <v>3545725.2854467547</v>
      </c>
      <c r="AB36" s="4">
        <f>'Building Projections'!AG$15+(1/'Component Lifetimes'!$B4)*'Building Projections'!AF$14</f>
        <v>9561252.8395354785</v>
      </c>
      <c r="AC36" s="4">
        <f>'Building Projections'!AH$15+(1/'Component Lifetimes'!$B4)*'Building Projections'!AG$14</f>
        <v>2138185.2062269882</v>
      </c>
      <c r="AD36" s="4">
        <f>'Building Projections'!AI$15+(1/'Component Lifetimes'!$B4)*'Building Projections'!AH$14</f>
        <v>2100267.7004789934</v>
      </c>
      <c r="AE36" s="4">
        <f>'Building Projections'!AJ$15+(1/'Component Lifetimes'!$B4)*'Building Projections'!AI$14</f>
        <v>2062350.1947318842</v>
      </c>
      <c r="AF36" s="4">
        <f>'Building Projections'!AK$15+(1/'Component Lifetimes'!$B4)*'Building Projections'!AJ$14</f>
        <v>2024432.6889838893</v>
      </c>
      <c r="AG36" s="4">
        <f>'Building Projections'!AL$15+(1/'Component Lifetimes'!$B4)*'Building Projections'!AK$14</f>
        <v>1986515.1832367796</v>
      </c>
      <c r="AH36" s="4">
        <f>'Building Projections'!AM$15+(1/'Component Lifetimes'!$B4)*'Building Projections'!AL$14</f>
        <v>1948597.6774892318</v>
      </c>
      <c r="AI36" s="4">
        <f>'Building Projections'!AN$15+(1/'Component Lifetimes'!$B4)*'Building Projections'!AM$14</f>
        <v>1910680.1717412369</v>
      </c>
      <c r="AJ36" s="4">
        <f>'Building Projections'!AO$15+(1/'Component Lifetimes'!$B4)*'Building Projections'!AN$14</f>
        <v>1670757.6790357432</v>
      </c>
      <c r="AK36" s="4">
        <f>'Building Projections'!AP$15+(1/'Component Lifetimes'!$B4)*'Building Projections'!AO$14</f>
        <v>1628941.8314336883</v>
      </c>
      <c r="AL36" s="4">
        <f>'Building Projections'!AQ$15+(1/'Component Lifetimes'!$B4)*'Building Projections'!AP$14</f>
        <v>1587125.98383254</v>
      </c>
      <c r="AM36" s="4">
        <f>'Building Projections'!AR$15+(1/'Component Lifetimes'!$B4)*'Building Projections'!AQ$14</f>
        <v>1545310.1362313912</v>
      </c>
      <c r="AN36" s="4">
        <f>'Building Projections'!AS$15+(1/'Component Lifetimes'!$B4)*'Building Projections'!AR$14</f>
        <v>1503494.2886306304</v>
      </c>
      <c r="AO36" s="4">
        <f>'Building Projections'!AT$15+(1/'Component Lifetimes'!$B4)*'Building Projections'!AS$14</f>
        <v>1265059.8421747088</v>
      </c>
      <c r="AP36" s="4">
        <f>'Building Projections'!AU$15+(1/'Component Lifetimes'!$B4)*'Building Projections'!AT$14</f>
        <v>1219449.6005609981</v>
      </c>
      <c r="AQ36" s="4">
        <f>'Building Projections'!AV$15+(1/'Component Lifetimes'!$B4)*'Building Projections'!AU$14</f>
        <v>1173839.3589459243</v>
      </c>
      <c r="AR36" s="4">
        <f>'Building Projections'!AW$15+(1/'Component Lifetimes'!$B4)*'Building Projections'!AV$14</f>
        <v>1128229.11733271</v>
      </c>
      <c r="AS36" s="4">
        <f>'Building Projections'!AX$15+(1/'Component Lifetimes'!$B4)*'Building Projections'!AW$14</f>
        <v>1082618.8757176655</v>
      </c>
      <c r="AT36" s="4">
        <f>'Building Projections'!AY$15+(1/'Component Lifetimes'!$B4)*'Building Projections'!AX$14</f>
        <v>870577.29487424158</v>
      </c>
      <c r="AU36" s="4">
        <f>'Building Projections'!AZ$15+(1/'Component Lifetimes'!$B4)*'Building Projections'!AY$14</f>
        <v>821755.22039864771</v>
      </c>
      <c r="AV36" s="4">
        <f>'Building Projections'!BA$15+(1/'Component Lifetimes'!$B4)*'Building Projections'!AZ$14</f>
        <v>772933.14592128247</v>
      </c>
      <c r="AW36" s="4">
        <f>'Building Projections'!BB$15+(1/'Component Lifetimes'!$B4)*'Building Projections'!BA$14</f>
        <v>724111.07144485321</v>
      </c>
      <c r="AX36" s="4">
        <f>'Building Projections'!BC$15+(1/'Component Lifetimes'!$B4)*'Building Projections'!BB$14</f>
        <v>675288.99696893105</v>
      </c>
      <c r="AY36" s="4">
        <f>'Building Projections'!BD$15+(1/'Component Lifetimes'!$B4)*'Building Projections'!BC$14</f>
        <v>485779.94446198037</v>
      </c>
      <c r="AZ36" s="4">
        <f>'Building Projections'!BE$15+(1/'Component Lifetimes'!$B4)*'Building Projections'!BD$14</f>
        <v>434242.85812933976</v>
      </c>
      <c r="BA36" s="4">
        <f>'Building Projections'!BF$15+(1/'Component Lifetimes'!$B4)*'Building Projections'!BE$14</f>
        <v>382705.77179617248</v>
      </c>
      <c r="BB36" s="4">
        <f>'Building Projections'!BG$15+(1/'Component Lifetimes'!$B4)*'Building Projections'!BF$14</f>
        <v>331168.68546303548</v>
      </c>
      <c r="BC36" s="4">
        <f>'Building Projections'!BH$15+(1/'Component Lifetimes'!$B4)*'Building Projections'!BG$14</f>
        <v>279631.59912992921</v>
      </c>
    </row>
    <row r="37" spans="1:55">
      <c r="A37" t="s">
        <v>94</v>
      </c>
      <c r="B37" s="4">
        <f>'Building Projections'!G$15+(1/'Component Lifetimes'!$B5)*'Building Projections'!F$14</f>
        <v>22019079.757061966</v>
      </c>
      <c r="C37" s="4">
        <f>'Building Projections'!H$15+(1/'Component Lifetimes'!$B5)*'Building Projections'!G$14</f>
        <v>22438687.762088582</v>
      </c>
      <c r="D37" s="4">
        <f>'Building Projections'!I$15+(1/'Component Lifetimes'!$B5)*'Building Projections'!H$14</f>
        <v>22237674.160621677</v>
      </c>
      <c r="E37" s="4">
        <f>'Building Projections'!J$15+(1/'Component Lifetimes'!$B5)*'Building Projections'!I$14</f>
        <v>22359402.640784204</v>
      </c>
      <c r="F37" s="4">
        <f>'Building Projections'!K$15+(1/'Component Lifetimes'!$B5)*'Building Projections'!J$14</f>
        <v>22481131.120946731</v>
      </c>
      <c r="G37" s="4">
        <f>'Building Projections'!L$15+(1/'Component Lifetimes'!$B5)*'Building Projections'!K$14</f>
        <v>22602859.601109263</v>
      </c>
      <c r="H37" s="4">
        <f>'Building Projections'!M$15+(1/'Component Lifetimes'!$B5)*'Building Projections'!L$14</f>
        <v>22953549.22179123</v>
      </c>
      <c r="I37" s="4">
        <f>'Building Projections'!N$15+(1/'Component Lifetimes'!$B5)*'Building Projections'!M$14</f>
        <v>22573208.809978835</v>
      </c>
      <c r="J37" s="4">
        <f>'Building Projections'!O$15+(1/'Component Lifetimes'!$B5)*'Building Projections'!N$14</f>
        <v>22662286.690041874</v>
      </c>
      <c r="K37" s="4">
        <f>'Building Projections'!P$15+(1/'Component Lifetimes'!$B5)*'Building Projections'!O$14</f>
        <v>22751364.570105124</v>
      </c>
      <c r="L37" s="4">
        <f>'Building Projections'!Q$15+(1/'Component Lifetimes'!$B5)*'Building Projections'!P$14</f>
        <v>22840442.450167976</v>
      </c>
      <c r="M37" s="4">
        <f>'Building Projections'!R$15+(1/'Component Lifetimes'!$B5)*'Building Projections'!Q$14</f>
        <v>24708011.556964345</v>
      </c>
      <c r="N37" s="4">
        <f>'Building Projections'!S$15+(1/'Component Lifetimes'!$B5)*'Building Projections'!R$14</f>
        <v>22722927.96483409</v>
      </c>
      <c r="O37" s="4">
        <f>'Building Projections'!T$15+(1/'Component Lifetimes'!$B5)*'Building Projections'!S$14</f>
        <v>22758305.398588073</v>
      </c>
      <c r="P37" s="4">
        <f>'Building Projections'!U$15+(1/'Component Lifetimes'!$B5)*'Building Projections'!T$14</f>
        <v>22793682.832341775</v>
      </c>
      <c r="Q37" s="4">
        <f>'Building Projections'!V$15+(1/'Component Lifetimes'!$B5)*'Building Projections'!U$14</f>
        <v>22829060.266095638</v>
      </c>
      <c r="R37" s="4">
        <f>'Building Projections'!W$15+(1/'Component Lifetimes'!$B5)*'Building Projections'!V$14</f>
        <v>24499265.677694816</v>
      </c>
      <c r="S37" s="4">
        <f>'Building Projections'!X$15+(1/'Component Lifetimes'!$B5)*'Building Projections'!W$14</f>
        <v>22670121.80271608</v>
      </c>
      <c r="T37" s="4">
        <f>'Building Projections'!Y$15+(1/'Component Lifetimes'!$B5)*'Building Projections'!X$14</f>
        <v>22660745.820576373</v>
      </c>
      <c r="U37" s="4">
        <f>'Building Projections'!Z$15+(1/'Component Lifetimes'!$B5)*'Building Projections'!Y$14</f>
        <v>22651369.838436726</v>
      </c>
      <c r="V37" s="4">
        <f>'Building Projections'!AA$15+(1/'Component Lifetimes'!$B5)*'Building Projections'!Z$14</f>
        <v>22641993.856297053</v>
      </c>
      <c r="W37" s="4">
        <f>'Building Projections'!AB$15+(1/'Component Lifetimes'!$B5)*'Building Projections'!AA$14</f>
        <v>24125001.002879418</v>
      </c>
      <c r="X37" s="4">
        <f>'Building Projections'!AC$15+(1/'Component Lifetimes'!$B5)*'Building Projections'!AB$14</f>
        <v>22413562.062432218</v>
      </c>
      <c r="Y37" s="4">
        <f>'Building Projections'!AD$15+(1/'Component Lifetimes'!$B5)*'Building Projections'!AC$14</f>
        <v>22363332.092143804</v>
      </c>
      <c r="Z37" s="4">
        <f>'Building Projections'!AE$15+(1/'Component Lifetimes'!$B5)*'Building Projections'!AD$14</f>
        <v>22313102.121855333</v>
      </c>
      <c r="AA37" s="4">
        <f>'Building Projections'!AF$15+(1/'Component Lifetimes'!$B5)*'Building Projections'!AE$14</f>
        <v>22262872.151566889</v>
      </c>
      <c r="AB37" s="4">
        <f>'Building Projections'!AG$15+(1/'Component Lifetimes'!$B5)*'Building Projections'!AF$14</f>
        <v>28237022.249557231</v>
      </c>
      <c r="AC37" s="4">
        <f>'Building Projections'!AH$15+(1/'Component Lifetimes'!$B5)*'Building Projections'!AG$14</f>
        <v>21315986.811396949</v>
      </c>
      <c r="AD37" s="4">
        <f>'Building Projections'!AI$15+(1/'Component Lifetimes'!$B5)*'Building Projections'!AH$14</f>
        <v>21100839.436738938</v>
      </c>
      <c r="AE37" s="4">
        <f>'Building Projections'!AJ$15+(1/'Component Lifetimes'!$B5)*'Building Projections'!AI$14</f>
        <v>20885692.062081773</v>
      </c>
      <c r="AF37" s="4">
        <f>'Building Projections'!AK$15+(1/'Component Lifetimes'!$B5)*'Building Projections'!AJ$14</f>
        <v>20670544.687423762</v>
      </c>
      <c r="AG37" s="4">
        <f>'Building Projections'!AL$15+(1/'Component Lifetimes'!$B5)*'Building Projections'!AK$14</f>
        <v>20455397.312766597</v>
      </c>
      <c r="AH37" s="4">
        <f>'Building Projections'!AM$15+(1/'Component Lifetimes'!$B5)*'Building Projections'!AL$14</f>
        <v>20240249.938109033</v>
      </c>
      <c r="AI37" s="4">
        <f>'Building Projections'!AN$15+(1/'Component Lifetimes'!$B5)*'Building Projections'!AM$14</f>
        <v>20025102.563451022</v>
      </c>
      <c r="AJ37" s="4">
        <f>'Building Projections'!AO$15+(1/'Component Lifetimes'!$B5)*'Building Projections'!AN$14</f>
        <v>19607950.201835472</v>
      </c>
      <c r="AK37" s="4">
        <f>'Building Projections'!AP$15+(1/'Component Lifetimes'!$B5)*'Building Projections'!AO$14</f>
        <v>19370683.281105042</v>
      </c>
      <c r="AL37" s="4">
        <f>'Building Projections'!AQ$15+(1/'Component Lifetimes'!$B5)*'Building Projections'!AP$14</f>
        <v>19133416.360375434</v>
      </c>
      <c r="AM37" s="4">
        <f>'Building Projections'!AR$15+(1/'Component Lifetimes'!$B5)*'Building Projections'!AQ$14</f>
        <v>18896149.439645823</v>
      </c>
      <c r="AN37" s="4">
        <f>'Building Projections'!AS$15+(1/'Component Lifetimes'!$B5)*'Building Projections'!AR$14</f>
        <v>18658882.518916603</v>
      </c>
      <c r="AO37" s="4">
        <f>'Building Projections'!AT$15+(1/'Component Lifetimes'!$B5)*'Building Projections'!AS$14</f>
        <v>18224996.99933226</v>
      </c>
      <c r="AP37" s="4">
        <f>'Building Projections'!AU$15+(1/'Component Lifetimes'!$B5)*'Building Projections'!AT$14</f>
        <v>17966200.342028514</v>
      </c>
      <c r="AQ37" s="4">
        <f>'Building Projections'!AV$15+(1/'Component Lifetimes'!$B5)*'Building Projections'!AU$14</f>
        <v>17707403.684723441</v>
      </c>
      <c r="AR37" s="4">
        <f>'Building Projections'!AW$15+(1/'Component Lifetimes'!$B5)*'Building Projections'!AV$14</f>
        <v>17448607.027420141</v>
      </c>
      <c r="AS37" s="4">
        <f>'Building Projections'!AX$15+(1/'Component Lifetimes'!$B5)*'Building Projections'!AW$14</f>
        <v>17189810.370115098</v>
      </c>
      <c r="AT37" s="4">
        <f>'Building Projections'!AY$15+(1/'Component Lifetimes'!$B5)*'Building Projections'!AX$14</f>
        <v>16764582.373581588</v>
      </c>
      <c r="AU37" s="4">
        <f>'Building Projections'!AZ$15+(1/'Component Lifetimes'!$B5)*'Building Projections'!AY$14</f>
        <v>16487561.484632622</v>
      </c>
      <c r="AV37" s="4">
        <f>'Building Projections'!BA$15+(1/'Component Lifetimes'!$B5)*'Building Projections'!AZ$14</f>
        <v>16210540.595681965</v>
      </c>
      <c r="AW37" s="4">
        <f>'Building Projections'!BB$15+(1/'Component Lifetimes'!$B5)*'Building Projections'!BA$14</f>
        <v>15933519.706732158</v>
      </c>
      <c r="AX37" s="4">
        <f>'Building Projections'!BC$15+(1/'Component Lifetimes'!$B5)*'Building Projections'!BB$14</f>
        <v>15656498.817782864</v>
      </c>
      <c r="AY37" s="4">
        <f>'Building Projections'!BD$15+(1/'Component Lifetimes'!$B5)*'Building Projections'!BC$14</f>
        <v>15238790.950802587</v>
      </c>
      <c r="AZ37" s="4">
        <f>'Building Projections'!BE$15+(1/'Component Lifetimes'!$B5)*'Building Projections'!BD$14</f>
        <v>14946364.837759007</v>
      </c>
      <c r="BA37" s="4">
        <f>'Building Projections'!BF$15+(1/'Component Lifetimes'!$B5)*'Building Projections'!BE$14</f>
        <v>14653938.724714953</v>
      </c>
      <c r="BB37" s="4">
        <f>'Building Projections'!BG$15+(1/'Component Lifetimes'!$B5)*'Building Projections'!BF$14</f>
        <v>14361512.611670926</v>
      </c>
      <c r="BC37" s="4">
        <f>'Building Projections'!BH$15+(1/'Component Lifetimes'!$B5)*'Building Projections'!BG$14</f>
        <v>14069086.498626934</v>
      </c>
    </row>
    <row r="38" spans="1:55">
      <c r="A38" t="s">
        <v>95</v>
      </c>
      <c r="B38" s="4">
        <f>'Building Projections'!G$15+(1/'Component Lifetimes'!$B6)*'Building Projections'!F$14</f>
        <v>15243759.391531551</v>
      </c>
      <c r="C38" s="4">
        <f>'Building Projections'!H$15+(1/'Component Lifetimes'!$B6)*'Building Projections'!G$14</f>
        <v>15621201.340997921</v>
      </c>
      <c r="D38" s="4">
        <f>'Building Projections'!I$15+(1/'Component Lifetimes'!$B6)*'Building Projections'!H$14</f>
        <v>15367697.308117008</v>
      </c>
      <c r="E38" s="4">
        <f>'Building Projections'!J$15+(1/'Component Lifetimes'!$B6)*'Building Projections'!I$14</f>
        <v>15449840.82668272</v>
      </c>
      <c r="F38" s="4">
        <f>'Building Projections'!K$15+(1/'Component Lifetimes'!$B6)*'Building Projections'!J$14</f>
        <v>15531984.345248433</v>
      </c>
      <c r="G38" s="4">
        <f>'Building Projections'!L$15+(1/'Component Lifetimes'!$B6)*'Building Projections'!K$14</f>
        <v>15614127.863814143</v>
      </c>
      <c r="H38" s="4">
        <f>'Building Projections'!M$15+(1/'Component Lifetimes'!$B6)*'Building Projections'!L$14</f>
        <v>15925232.522899296</v>
      </c>
      <c r="I38" s="4">
        <f>'Building Projections'!N$15+(1/'Component Lifetimes'!$B6)*'Building Projections'!M$14</f>
        <v>15497154.215479027</v>
      </c>
      <c r="J38" s="4">
        <f>'Building Projections'!O$15+(1/'Component Lifetimes'!$B6)*'Building Projections'!N$14</f>
        <v>15557264.803280525</v>
      </c>
      <c r="K38" s="4">
        <f>'Building Projections'!P$15+(1/'Component Lifetimes'!$B6)*'Building Projections'!O$14</f>
        <v>15617375.391082233</v>
      </c>
      <c r="L38" s="4">
        <f>'Building Projections'!Q$15+(1/'Component Lifetimes'!$B6)*'Building Projections'!P$14</f>
        <v>15677485.978883537</v>
      </c>
      <c r="M38" s="4">
        <f>'Building Projections'!R$15+(1/'Component Lifetimes'!$B6)*'Building Projections'!Q$14</f>
        <v>17516087.793418363</v>
      </c>
      <c r="N38" s="4">
        <f>'Building Projections'!S$15+(1/'Component Lifetimes'!$B6)*'Building Projections'!R$14</f>
        <v>15438707.727585964</v>
      </c>
      <c r="O38" s="4">
        <f>'Building Projections'!T$15+(1/'Component Lifetimes'!$B6)*'Building Projections'!S$14</f>
        <v>15462580.751240769</v>
      </c>
      <c r="P38" s="4">
        <f>'Building Projections'!U$15+(1/'Component Lifetimes'!$B6)*'Building Projections'!T$14</f>
        <v>15486453.774895286</v>
      </c>
      <c r="Q38" s="4">
        <f>'Building Projections'!V$15+(1/'Component Lifetimes'!$B6)*'Building Projections'!U$14</f>
        <v>15510326.798549972</v>
      </c>
      <c r="R38" s="4">
        <f>'Building Projections'!W$15+(1/'Component Lifetimes'!$B6)*'Building Projections'!V$14</f>
        <v>17169027.800049972</v>
      </c>
      <c r="S38" s="4">
        <f>'Building Projections'!X$15+(1/'Component Lifetimes'!$B6)*'Building Projections'!W$14</f>
        <v>15270165.948283114</v>
      </c>
      <c r="T38" s="4">
        <f>'Building Projections'!Y$15+(1/'Component Lifetimes'!$B6)*'Building Projections'!X$14</f>
        <v>15263838.947716463</v>
      </c>
      <c r="U38" s="4">
        <f>'Building Projections'!Z$15+(1/'Component Lifetimes'!$B6)*'Building Projections'!Y$14</f>
        <v>15257511.947149871</v>
      </c>
      <c r="V38" s="4">
        <f>'Building Projections'!AA$15+(1/'Component Lifetimes'!$B6)*'Building Projections'!Z$14</f>
        <v>15251184.946583251</v>
      </c>
      <c r="W38" s="4">
        <f>'Building Projections'!AB$15+(1/'Component Lifetimes'!$B6)*'Building Projections'!AA$14</f>
        <v>16737241.074738672</v>
      </c>
      <c r="X38" s="4">
        <f>'Building Projections'!AC$15+(1/'Component Lifetimes'!$B6)*'Building Projections'!AB$14</f>
        <v>14975709.778692273</v>
      </c>
      <c r="Y38" s="4">
        <f>'Building Projections'!AD$15+(1/'Component Lifetimes'!$B6)*'Building Projections'!AC$14</f>
        <v>14941814.124269977</v>
      </c>
      <c r="Z38" s="4">
        <f>'Building Projections'!AE$15+(1/'Component Lifetimes'!$B6)*'Building Projections'!AD$14</f>
        <v>14907918.469847623</v>
      </c>
      <c r="AA38" s="4">
        <f>'Building Projections'!AF$15+(1/'Component Lifetimes'!$B6)*'Building Projections'!AE$14</f>
        <v>14874022.815425297</v>
      </c>
      <c r="AB38" s="4">
        <f>'Building Projections'!AG$15+(1/'Component Lifetimes'!$B6)*'Building Projections'!AF$14</f>
        <v>20864507.229281761</v>
      </c>
      <c r="AC38" s="4">
        <f>'Building Projections'!AH$15+(1/'Component Lifetimes'!$B6)*'Building Projections'!AG$14</f>
        <v>13745287.726083392</v>
      </c>
      <c r="AD38" s="4">
        <f>'Building Projections'!AI$15+(1/'Component Lifetimes'!$B6)*'Building Projections'!AH$14</f>
        <v>13600104.262517547</v>
      </c>
      <c r="AE38" s="4">
        <f>'Building Projections'!AJ$15+(1/'Component Lifetimes'!$B6)*'Building Projections'!AI$14</f>
        <v>13454920.798952563</v>
      </c>
      <c r="AF38" s="4">
        <f>'Building Projections'!AK$15+(1/'Component Lifetimes'!$B6)*'Building Projections'!AJ$14</f>
        <v>13309737.335386718</v>
      </c>
      <c r="AG38" s="4">
        <f>'Building Projections'!AL$15+(1/'Component Lifetimes'!$B6)*'Building Projections'!AK$14</f>
        <v>13164553.871821733</v>
      </c>
      <c r="AH38" s="4">
        <f>'Building Projections'!AM$15+(1/'Component Lifetimes'!$B6)*'Building Projections'!AL$14</f>
        <v>13019370.408256335</v>
      </c>
      <c r="AI38" s="4">
        <f>'Building Projections'!AN$15+(1/'Component Lifetimes'!$B6)*'Building Projections'!AM$14</f>
        <v>12874186.94469049</v>
      </c>
      <c r="AJ38" s="4">
        <f>'Building Projections'!AO$15+(1/'Component Lifetimes'!$B6)*'Building Projections'!AN$14</f>
        <v>12526998.494167121</v>
      </c>
      <c r="AK38" s="4">
        <f>'Building Projections'!AP$15+(1/'Component Lifetimes'!$B6)*'Building Projections'!AO$14</f>
        <v>12366888.553731952</v>
      </c>
      <c r="AL38" s="4">
        <f>'Building Projections'!AQ$15+(1/'Component Lifetimes'!$B6)*'Building Projections'!AP$14</f>
        <v>12206778.613297639</v>
      </c>
      <c r="AM38" s="4">
        <f>'Building Projections'!AR$15+(1/'Component Lifetimes'!$B6)*'Building Projections'!AQ$14</f>
        <v>12046668.672863327</v>
      </c>
      <c r="AN38" s="4">
        <f>'Building Projections'!AS$15+(1/'Component Lifetimes'!$B6)*'Building Projections'!AR$14</f>
        <v>11886558.732429402</v>
      </c>
      <c r="AO38" s="4">
        <f>'Building Projections'!AT$15+(1/'Component Lifetimes'!$B6)*'Building Projections'!AS$14</f>
        <v>11529830.193140337</v>
      </c>
      <c r="AP38" s="4">
        <f>'Building Projections'!AU$15+(1/'Component Lifetimes'!$B6)*'Building Projections'!AT$14</f>
        <v>11355191.784810798</v>
      </c>
      <c r="AQ38" s="4">
        <f>'Building Projections'!AV$15+(1/'Component Lifetimes'!$B6)*'Building Projections'!AU$14</f>
        <v>11180553.376479918</v>
      </c>
      <c r="AR38" s="4">
        <f>'Building Projections'!AW$15+(1/'Component Lifetimes'!$B6)*'Building Projections'!AV$14</f>
        <v>11005914.968150845</v>
      </c>
      <c r="AS38" s="4">
        <f>'Building Projections'!AX$15+(1/'Component Lifetimes'!$B6)*'Building Projections'!AW$14</f>
        <v>10831276.559819993</v>
      </c>
      <c r="AT38" s="4">
        <f>'Building Projections'!AY$15+(1/'Component Lifetimes'!$B6)*'Building Projections'!AX$14</f>
        <v>10490206.81226071</v>
      </c>
      <c r="AU38" s="4">
        <f>'Building Projections'!AZ$15+(1/'Component Lifetimes'!$B6)*'Building Projections'!AY$14</f>
        <v>10303270.521722516</v>
      </c>
      <c r="AV38" s="4">
        <f>'Building Projections'!BA$15+(1/'Component Lifetimes'!$B6)*'Building Projections'!AZ$14</f>
        <v>10116334.231182598</v>
      </c>
      <c r="AW38" s="4">
        <f>'Building Projections'!BB$15+(1/'Component Lifetimes'!$B6)*'Building Projections'!BA$14</f>
        <v>9929397.9406435657</v>
      </c>
      <c r="AX38" s="4">
        <f>'Building Projections'!BC$15+(1/'Component Lifetimes'!$B6)*'Building Projections'!BB$14</f>
        <v>9742461.6501050424</v>
      </c>
      <c r="AY38" s="4">
        <f>'Building Projections'!BD$15+(1/'Component Lifetimes'!$B6)*'Building Projections'!BC$14</f>
        <v>9414838.3815355189</v>
      </c>
      <c r="AZ38" s="4">
        <f>'Building Projections'!BE$15+(1/'Component Lifetimes'!$B6)*'Building Projections'!BD$14</f>
        <v>9217506.5014873929</v>
      </c>
      <c r="BA38" s="4">
        <f>'Building Projections'!BF$15+(1/'Component Lifetimes'!$B6)*'Building Projections'!BE$14</f>
        <v>9020174.6214387696</v>
      </c>
      <c r="BB38" s="4">
        <f>'Building Projections'!BG$15+(1/'Component Lifetimes'!$B6)*'Building Projections'!BF$14</f>
        <v>8822842.7413901761</v>
      </c>
      <c r="BC38" s="4">
        <f>'Building Projections'!BH$15+(1/'Component Lifetimes'!$B6)*'Building Projections'!BG$14</f>
        <v>8625510.8613416143</v>
      </c>
    </row>
    <row r="39" spans="1:55">
      <c r="A39" t="s">
        <v>96</v>
      </c>
      <c r="B39" s="4">
        <f>'Building Projections'!G$15+(1/'Component Lifetimes'!$B7)*'Building Projections'!F$14</f>
        <v>13539565.672092607</v>
      </c>
      <c r="C39" s="4">
        <f>'Building Projections'!H$15+(1/'Component Lifetimes'!$B7)*'Building Projections'!G$14</f>
        <v>13906401.609860273</v>
      </c>
      <c r="D39" s="4">
        <f>'Building Projections'!I$15+(1/'Component Lifetimes'!$B7)*'Building Projections'!H$14</f>
        <v>13639694.679002536</v>
      </c>
      <c r="E39" s="4">
        <f>'Building Projections'!J$15+(1/'Component Lifetimes'!$B7)*'Building Projections'!I$14</f>
        <v>13711881.407439072</v>
      </c>
      <c r="F39" s="4">
        <f>'Building Projections'!K$15+(1/'Component Lifetimes'!$B7)*'Building Projections'!J$14</f>
        <v>13784068.135875605</v>
      </c>
      <c r="G39" s="4">
        <f>'Building Projections'!L$15+(1/'Component Lifetimes'!$B7)*'Building Projections'!K$14</f>
        <v>13856254.86431214</v>
      </c>
      <c r="H39" s="4">
        <f>'Building Projections'!M$15+(1/'Component Lifetimes'!$B7)*'Building Projections'!L$14</f>
        <v>14157402.733268116</v>
      </c>
      <c r="I39" s="4">
        <f>'Building Projections'!N$15+(1/'Component Lifetimes'!$B7)*'Building Projections'!M$14</f>
        <v>13717316.931370085</v>
      </c>
      <c r="J39" s="4">
        <f>'Building Projections'!O$15+(1/'Component Lifetimes'!$B7)*'Building Projections'!N$14</f>
        <v>13770141.387316857</v>
      </c>
      <c r="K39" s="4">
        <f>'Building Projections'!P$15+(1/'Component Lifetimes'!$B7)*'Building Projections'!O$14</f>
        <v>13822965.843263837</v>
      </c>
      <c r="L39" s="4">
        <f>'Building Projections'!Q$15+(1/'Component Lifetimes'!$B7)*'Building Projections'!P$14</f>
        <v>13875790.299210412</v>
      </c>
      <c r="M39" s="4">
        <f>'Building Projections'!R$15+(1/'Component Lifetimes'!$B7)*'Building Projections'!Q$14</f>
        <v>15707105.981890509</v>
      </c>
      <c r="N39" s="4">
        <f>'Building Projections'!S$15+(1/'Component Lifetimes'!$B7)*'Building Projections'!R$14</f>
        <v>13606510.619611058</v>
      </c>
      <c r="O39" s="4">
        <f>'Building Projections'!T$15+(1/'Component Lifetimes'!$B7)*'Building Projections'!S$14</f>
        <v>13627489.943428935</v>
      </c>
      <c r="P39" s="4">
        <f>'Building Projections'!U$15+(1/'Component Lifetimes'!$B7)*'Building Projections'!T$14</f>
        <v>13648469.267246524</v>
      </c>
      <c r="Q39" s="4">
        <f>'Building Projections'!V$15+(1/'Component Lifetimes'!$B7)*'Building Projections'!U$14</f>
        <v>13669448.59106428</v>
      </c>
      <c r="R39" s="4">
        <f>'Building Projections'!W$15+(1/'Component Lifetimes'!$B7)*'Building Projections'!V$14</f>
        <v>15325255.892727351</v>
      </c>
      <c r="S39" s="4">
        <f>'Building Projections'!X$15+(1/'Component Lifetimes'!$B7)*'Building Projections'!W$14</f>
        <v>13408857.90513749</v>
      </c>
      <c r="T39" s="4">
        <f>'Building Projections'!Y$15+(1/'Component Lifetimes'!$B7)*'Building Projections'!X$14</f>
        <v>13403297.81373043</v>
      </c>
      <c r="U39" s="4">
        <f>'Building Projections'!Z$15+(1/'Component Lifetimes'!$B7)*'Building Projections'!Y$14</f>
        <v>13397737.722323427</v>
      </c>
      <c r="V39" s="4">
        <f>'Building Projections'!AA$15+(1/'Component Lifetimes'!$B7)*'Building Projections'!Z$14</f>
        <v>13392177.630916398</v>
      </c>
      <c r="W39" s="4">
        <f>'Building Projections'!AB$15+(1/'Component Lifetimes'!$B7)*'Building Projections'!AA$14</f>
        <v>14879000.668231409</v>
      </c>
      <c r="X39" s="4">
        <f>'Building Projections'!AC$15+(1/'Component Lifetimes'!$B7)*'Building Projections'!AB$14</f>
        <v>13104869.66129335</v>
      </c>
      <c r="Y39" s="4">
        <f>'Building Projections'!AD$15+(1/'Component Lifetimes'!$B7)*'Building Projections'!AC$14</f>
        <v>13075082.571043458</v>
      </c>
      <c r="Z39" s="4">
        <f>'Building Projections'!AE$15+(1/'Component Lifetimes'!$B7)*'Building Projections'!AD$14</f>
        <v>13045295.480793508</v>
      </c>
      <c r="AA39" s="4">
        <f>'Building Projections'!AF$15+(1/'Component Lifetimes'!$B7)*'Building Projections'!AE$14</f>
        <v>13015508.390543584</v>
      </c>
      <c r="AB39" s="4">
        <f>'Building Projections'!AG$15+(1/'Component Lifetimes'!$B7)*'Building Projections'!AF$14</f>
        <v>19010101.368572451</v>
      </c>
      <c r="AC39" s="4">
        <f>'Building Projections'!AH$15+(1/'Component Lifetimes'!$B7)*'Building Projections'!AG$14</f>
        <v>11841032.703901354</v>
      </c>
      <c r="AD39" s="4">
        <f>'Building Projections'!AI$15+(1/'Component Lifetimes'!$B7)*'Building Projections'!AH$14</f>
        <v>11713447.235919194</v>
      </c>
      <c r="AE39" s="4">
        <f>'Building Projections'!AJ$15+(1/'Component Lifetimes'!$B7)*'Building Projections'!AI$14</f>
        <v>11585861.767937899</v>
      </c>
      <c r="AF39" s="4">
        <f>'Building Projections'!AK$15+(1/'Component Lifetimes'!$B7)*'Building Projections'!AJ$14</f>
        <v>11458276.299955739</v>
      </c>
      <c r="AG39" s="4">
        <f>'Building Projections'!AL$15+(1/'Component Lifetimes'!$B7)*'Building Projections'!AK$14</f>
        <v>11330690.831974443</v>
      </c>
      <c r="AH39" s="4">
        <f>'Building Projections'!AM$15+(1/'Component Lifetimes'!$B7)*'Building Projections'!AL$14</f>
        <v>11203105.36399273</v>
      </c>
      <c r="AI39" s="4">
        <f>'Building Projections'!AN$15+(1/'Component Lifetimes'!$B7)*'Building Projections'!AM$14</f>
        <v>11075519.896010568</v>
      </c>
      <c r="AJ39" s="4">
        <f>'Building Projections'!AO$15+(1/'Component Lifetimes'!$B7)*'Building Projections'!AN$14</f>
        <v>10745929.441070888</v>
      </c>
      <c r="AK39" s="4">
        <f>'Building Projections'!AP$15+(1/'Component Lifetimes'!$B7)*'Building Projections'!AO$14</f>
        <v>10605226.766142901</v>
      </c>
      <c r="AL39" s="4">
        <f>'Building Projections'!AQ$15+(1/'Component Lifetimes'!$B7)*'Building Projections'!AP$14</f>
        <v>10464524.091215778</v>
      </c>
      <c r="AM39" s="4">
        <f>'Building Projections'!AR$15+(1/'Component Lifetimes'!$B7)*'Building Projections'!AQ$14</f>
        <v>10323821.416288655</v>
      </c>
      <c r="AN39" s="4">
        <f>'Building Projections'!AS$15+(1/'Component Lifetimes'!$B7)*'Building Projections'!AR$14</f>
        <v>10183118.74136192</v>
      </c>
      <c r="AO39" s="4">
        <f>'Building Projections'!AT$15+(1/'Component Lifetimes'!$B7)*'Building Projections'!AS$14</f>
        <v>9845797.4675800409</v>
      </c>
      <c r="AP39" s="4">
        <f>'Building Projections'!AU$15+(1/'Component Lifetimes'!$B7)*'Building Projections'!AT$14</f>
        <v>9692327.3511692844</v>
      </c>
      <c r="AQ39" s="4">
        <f>'Building Projections'!AV$15+(1/'Component Lifetimes'!$B7)*'Building Projections'!AU$14</f>
        <v>9538857.2347571831</v>
      </c>
      <c r="AR39" s="4">
        <f>'Building Projections'!AW$15+(1/'Component Lifetimes'!$B7)*'Building Projections'!AV$14</f>
        <v>9385387.1183468979</v>
      </c>
      <c r="AS39" s="4">
        <f>'Building Projections'!AX$15+(1/'Component Lifetimes'!$B7)*'Building Projections'!AW$14</f>
        <v>9231917.0019348245</v>
      </c>
      <c r="AT39" s="4">
        <f>'Building Projections'!AY$15+(1/'Component Lifetimes'!$B7)*'Building Projections'!AX$14</f>
        <v>8912015.5462943278</v>
      </c>
      <c r="AU39" s="4">
        <f>'Building Projections'!AZ$15+(1/'Component Lifetimes'!$B7)*'Building Projections'!AY$14</f>
        <v>8747738.2000638992</v>
      </c>
      <c r="AV39" s="4">
        <f>'Building Projections'!BA$15+(1/'Component Lifetimes'!$B7)*'Building Projections'!AZ$14</f>
        <v>8583460.8538317382</v>
      </c>
      <c r="AW39" s="4">
        <f>'Building Projections'!BB$15+(1/'Component Lifetimes'!$B7)*'Building Projections'!BA$14</f>
        <v>8419183.5076004714</v>
      </c>
      <c r="AX39" s="4">
        <f>'Building Projections'!BC$15+(1/'Component Lifetimes'!$B7)*'Building Projections'!BB$14</f>
        <v>8254906.161369713</v>
      </c>
      <c r="AY39" s="4">
        <f>'Building Projections'!BD$15+(1/'Component Lifetimes'!$B7)*'Building Projections'!BC$14</f>
        <v>7949941.8371079508</v>
      </c>
      <c r="AZ39" s="4">
        <f>'Building Projections'!BE$15+(1/'Component Lifetimes'!$B7)*'Building Projections'!BD$14</f>
        <v>7776528.9728232976</v>
      </c>
      <c r="BA39" s="4">
        <f>'Building Projections'!BF$15+(1/'Component Lifetimes'!$B7)*'Building Projections'!BE$14</f>
        <v>7603116.1085381452</v>
      </c>
      <c r="BB39" s="4">
        <f>'Building Projections'!BG$15+(1/'Component Lifetimes'!$B7)*'Building Projections'!BF$14</f>
        <v>7429703.2442530207</v>
      </c>
      <c r="BC39" s="4">
        <f>'Building Projections'!BH$15+(1/'Component Lifetimes'!$B7)*'Building Projections'!BG$14</f>
        <v>7256290.3799679279</v>
      </c>
    </row>
    <row r="41" spans="1:55">
      <c r="A41" s="2" t="s">
        <v>169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</row>
    <row r="42" spans="1:55">
      <c r="B42" s="38">
        <v>2017</v>
      </c>
      <c r="C42" s="38">
        <v>2018</v>
      </c>
      <c r="D42" s="38">
        <v>2019</v>
      </c>
      <c r="E42" s="38">
        <v>2020</v>
      </c>
      <c r="F42" s="38">
        <v>2021</v>
      </c>
      <c r="G42" s="38">
        <v>2022</v>
      </c>
      <c r="H42" s="38">
        <v>2023</v>
      </c>
      <c r="I42" s="38">
        <v>2024</v>
      </c>
      <c r="J42" s="38">
        <v>2025</v>
      </c>
      <c r="K42" s="38">
        <v>2026</v>
      </c>
      <c r="L42" s="38">
        <v>2027</v>
      </c>
      <c r="M42" s="38">
        <v>2028</v>
      </c>
      <c r="N42" s="38">
        <v>2029</v>
      </c>
      <c r="O42" s="38">
        <v>2030</v>
      </c>
      <c r="P42" s="38">
        <v>2031</v>
      </c>
      <c r="Q42" s="38">
        <v>2032</v>
      </c>
      <c r="R42" s="38">
        <v>2033</v>
      </c>
      <c r="S42" s="38">
        <v>2034</v>
      </c>
      <c r="T42" s="38">
        <v>2035</v>
      </c>
      <c r="U42" s="38">
        <v>2036</v>
      </c>
      <c r="V42" s="38">
        <v>2037</v>
      </c>
      <c r="W42" s="38">
        <v>2038</v>
      </c>
      <c r="X42" s="38">
        <v>2039</v>
      </c>
      <c r="Y42" s="38">
        <v>2040</v>
      </c>
      <c r="Z42" s="38">
        <v>2041</v>
      </c>
      <c r="AA42" s="38">
        <v>2042</v>
      </c>
      <c r="AB42" s="38">
        <v>2043</v>
      </c>
      <c r="AC42" s="38">
        <v>2044</v>
      </c>
      <c r="AD42" s="38">
        <v>2045</v>
      </c>
      <c r="AE42" s="38">
        <v>2046</v>
      </c>
      <c r="AF42" s="38">
        <v>2047</v>
      </c>
      <c r="AG42" s="38">
        <v>2048</v>
      </c>
      <c r="AH42" s="38">
        <v>2049</v>
      </c>
      <c r="AI42" s="38">
        <v>2050</v>
      </c>
      <c r="AJ42">
        <v>2051</v>
      </c>
      <c r="AK42">
        <v>2052</v>
      </c>
      <c r="AL42">
        <v>2053</v>
      </c>
      <c r="AM42">
        <v>2054</v>
      </c>
      <c r="AN42">
        <v>2055</v>
      </c>
      <c r="AO42">
        <v>2056</v>
      </c>
      <c r="AP42">
        <v>2057</v>
      </c>
      <c r="AQ42">
        <v>2058</v>
      </c>
      <c r="AR42">
        <v>2059</v>
      </c>
      <c r="AS42">
        <v>2060</v>
      </c>
      <c r="AT42">
        <v>2061</v>
      </c>
      <c r="AU42">
        <v>2062</v>
      </c>
      <c r="AV42">
        <v>2063</v>
      </c>
      <c r="AW42">
        <v>2064</v>
      </c>
      <c r="AX42">
        <v>2065</v>
      </c>
      <c r="AY42">
        <v>2066</v>
      </c>
      <c r="AZ42">
        <v>2067</v>
      </c>
      <c r="BA42">
        <v>2068</v>
      </c>
      <c r="BB42">
        <v>2069</v>
      </c>
      <c r="BC42">
        <v>2070</v>
      </c>
    </row>
    <row r="43" spans="1:55">
      <c r="A43" t="s">
        <v>91</v>
      </c>
      <c r="B43">
        <f>SUMIFS('Calculations 1'!$F$3:$F$23,'Calculations 1'!$G$3:$G$23,$A43)*B34</f>
        <v>0</v>
      </c>
      <c r="C43">
        <f>SUMIFS('Calculations 1'!$F$3:$F$23,'Calculations 1'!$G$3:$G$23,$A43)*C34</f>
        <v>0</v>
      </c>
      <c r="D43">
        <f>SUMIFS('Calculations 1'!$F$3:$F$23,'Calculations 1'!$G$3:$G$23,$A43)*D34</f>
        <v>0</v>
      </c>
      <c r="E43">
        <f>SUMIFS('Calculations 1'!$F$3:$F$23,'Calculations 1'!$G$3:$G$23,$A43)*E34</f>
        <v>0</v>
      </c>
      <c r="F43">
        <f>SUMIFS('Calculations 1'!$F$3:$F$23,'Calculations 1'!$G$3:$G$23,$A43)*F34</f>
        <v>0</v>
      </c>
      <c r="G43">
        <f>SUMIFS('Calculations 1'!$F$3:$F$23,'Calculations 1'!$G$3:$G$23,$A43)*G34</f>
        <v>0</v>
      </c>
      <c r="H43">
        <f>SUMIFS('Calculations 1'!$F$3:$F$23,'Calculations 1'!$G$3:$G$23,$A43)*H34</f>
        <v>0</v>
      </c>
      <c r="I43">
        <f>SUMIFS('Calculations 1'!$F$3:$F$23,'Calculations 1'!$G$3:$G$23,$A43)*I34</f>
        <v>0</v>
      </c>
      <c r="J43">
        <f>SUMIFS('Calculations 1'!$F$3:$F$23,'Calculations 1'!$G$3:$G$23,$A43)*J34</f>
        <v>0</v>
      </c>
      <c r="K43">
        <f>SUMIFS('Calculations 1'!$F$3:$F$23,'Calculations 1'!$G$3:$G$23,$A43)*K34</f>
        <v>0</v>
      </c>
      <c r="L43">
        <f>SUMIFS('Calculations 1'!$F$3:$F$23,'Calculations 1'!$G$3:$G$23,$A43)*L34</f>
        <v>0</v>
      </c>
      <c r="M43">
        <f>SUMIFS('Calculations 1'!$F$3:$F$23,'Calculations 1'!$G$3:$G$23,$A43)*M34</f>
        <v>0</v>
      </c>
      <c r="N43">
        <f>SUMIFS('Calculations 1'!$F$3:$F$23,'Calculations 1'!$G$3:$G$23,$A43)*N34</f>
        <v>0</v>
      </c>
      <c r="O43">
        <f>SUMIFS('Calculations 1'!$F$3:$F$23,'Calculations 1'!$G$3:$G$23,$A43)*O34</f>
        <v>0</v>
      </c>
      <c r="P43">
        <f>SUMIFS('Calculations 1'!$F$3:$F$23,'Calculations 1'!$G$3:$G$23,$A43)*P34</f>
        <v>0</v>
      </c>
      <c r="Q43">
        <f>SUMIFS('Calculations 1'!$F$3:$F$23,'Calculations 1'!$G$3:$G$23,$A43)*Q34</f>
        <v>0</v>
      </c>
      <c r="R43">
        <f>SUMIFS('Calculations 1'!$F$3:$F$23,'Calculations 1'!$G$3:$G$23,$A43)*R34</f>
        <v>0</v>
      </c>
      <c r="S43">
        <f>SUMIFS('Calculations 1'!$F$3:$F$23,'Calculations 1'!$G$3:$G$23,$A43)*S34</f>
        <v>0</v>
      </c>
      <c r="T43">
        <f>SUMIFS('Calculations 1'!$F$3:$F$23,'Calculations 1'!$G$3:$G$23,$A43)*T34</f>
        <v>0</v>
      </c>
      <c r="U43">
        <f>SUMIFS('Calculations 1'!$F$3:$F$23,'Calculations 1'!$G$3:$G$23,$A43)*U34</f>
        <v>0</v>
      </c>
      <c r="V43">
        <f>SUMIFS('Calculations 1'!$F$3:$F$23,'Calculations 1'!$G$3:$G$23,$A43)*V34</f>
        <v>0</v>
      </c>
      <c r="W43">
        <f>SUMIFS('Calculations 1'!$F$3:$F$23,'Calculations 1'!$G$3:$G$23,$A43)*W34</f>
        <v>0</v>
      </c>
      <c r="X43">
        <f>SUMIFS('Calculations 1'!$F$3:$F$23,'Calculations 1'!$G$3:$G$23,$A43)*X34</f>
        <v>0</v>
      </c>
      <c r="Y43">
        <f>SUMIFS('Calculations 1'!$F$3:$F$23,'Calculations 1'!$G$3:$G$23,$A43)*Y34</f>
        <v>0</v>
      </c>
      <c r="Z43">
        <f>SUMIFS('Calculations 1'!$F$3:$F$23,'Calculations 1'!$G$3:$G$23,$A43)*Z34</f>
        <v>0</v>
      </c>
      <c r="AA43">
        <f>SUMIFS('Calculations 1'!$F$3:$F$23,'Calculations 1'!$G$3:$G$23,$A43)*AA34</f>
        <v>0</v>
      </c>
      <c r="AB43">
        <f>SUMIFS('Calculations 1'!$F$3:$F$23,'Calculations 1'!$G$3:$G$23,$A43)*AB34</f>
        <v>0</v>
      </c>
      <c r="AC43">
        <f>SUMIFS('Calculations 1'!$F$3:$F$23,'Calculations 1'!$G$3:$G$23,$A43)*AC34</f>
        <v>0</v>
      </c>
      <c r="AD43">
        <f>SUMIFS('Calculations 1'!$F$3:$F$23,'Calculations 1'!$G$3:$G$23,$A43)*AD34</f>
        <v>0</v>
      </c>
      <c r="AE43">
        <f>SUMIFS('Calculations 1'!$F$3:$F$23,'Calculations 1'!$G$3:$G$23,$A43)*AE34</f>
        <v>0</v>
      </c>
      <c r="AF43">
        <f>SUMIFS('Calculations 1'!$F$3:$F$23,'Calculations 1'!$G$3:$G$23,$A43)*AF34</f>
        <v>0</v>
      </c>
      <c r="AG43">
        <f>SUMIFS('Calculations 1'!$F$3:$F$23,'Calculations 1'!$G$3:$G$23,$A43)*AG34</f>
        <v>0</v>
      </c>
      <c r="AH43">
        <f>SUMIFS('Calculations 1'!$F$3:$F$23,'Calculations 1'!$G$3:$G$23,$A43)*AH34</f>
        <v>0</v>
      </c>
      <c r="AI43">
        <f>SUMIFS('Calculations 1'!$F$3:$F$23,'Calculations 1'!$G$3:$G$23,$A43)*AI34</f>
        <v>0</v>
      </c>
      <c r="AJ43">
        <f>SUMIFS('Calculations 1'!$F$3:$F$23,'Calculations 1'!$G$3:$G$23,$A43)*AJ34</f>
        <v>0</v>
      </c>
      <c r="AK43">
        <f>SUMIFS('Calculations 1'!$F$3:$F$23,'Calculations 1'!$G$3:$G$23,$A43)*AK34</f>
        <v>0</v>
      </c>
      <c r="AL43">
        <f>SUMIFS('Calculations 1'!$F$3:$F$23,'Calculations 1'!$G$3:$G$23,$A43)*AL34</f>
        <v>0</v>
      </c>
      <c r="AM43">
        <f>SUMIFS('Calculations 1'!$F$3:$F$23,'Calculations 1'!$G$3:$G$23,$A43)*AM34</f>
        <v>0</v>
      </c>
      <c r="AN43">
        <f>SUMIFS('Calculations 1'!$F$3:$F$23,'Calculations 1'!$G$3:$G$23,$A43)*AN34</f>
        <v>0</v>
      </c>
      <c r="AO43">
        <f>SUMIFS('Calculations 1'!$F$3:$F$23,'Calculations 1'!$G$3:$G$23,$A43)*AO34</f>
        <v>0</v>
      </c>
      <c r="AP43">
        <f>SUMIFS('Calculations 1'!$F$3:$F$23,'Calculations 1'!$G$3:$G$23,$A43)*AP34</f>
        <v>0</v>
      </c>
      <c r="AQ43">
        <f>SUMIFS('Calculations 1'!$F$3:$F$23,'Calculations 1'!$G$3:$G$23,$A43)*AQ34</f>
        <v>0</v>
      </c>
      <c r="AR43">
        <f>SUMIFS('Calculations 1'!$F$3:$F$23,'Calculations 1'!$G$3:$G$23,$A43)*AR34</f>
        <v>0</v>
      </c>
      <c r="AS43">
        <f>SUMIFS('Calculations 1'!$F$3:$F$23,'Calculations 1'!$G$3:$G$23,$A43)*AS34</f>
        <v>0</v>
      </c>
      <c r="AT43">
        <f>SUMIFS('Calculations 1'!$F$3:$F$23,'Calculations 1'!$G$3:$G$23,$A43)*AT34</f>
        <v>0</v>
      </c>
      <c r="AU43">
        <f>SUMIFS('Calculations 1'!$F$3:$F$23,'Calculations 1'!$G$3:$G$23,$A43)*AU34</f>
        <v>0</v>
      </c>
      <c r="AV43">
        <f>SUMIFS('Calculations 1'!$F$3:$F$23,'Calculations 1'!$G$3:$G$23,$A43)*AV34</f>
        <v>0</v>
      </c>
      <c r="AW43">
        <f>SUMIFS('Calculations 1'!$F$3:$F$23,'Calculations 1'!$G$3:$G$23,$A43)*AW34</f>
        <v>0</v>
      </c>
      <c r="AX43">
        <f>SUMIFS('Calculations 1'!$F$3:$F$23,'Calculations 1'!$G$3:$G$23,$A43)*AX34</f>
        <v>0</v>
      </c>
      <c r="AY43">
        <f>SUMIFS('Calculations 1'!$F$3:$F$23,'Calculations 1'!$G$3:$G$23,$A43)*AY34</f>
        <v>0</v>
      </c>
      <c r="AZ43">
        <f>SUMIFS('Calculations 1'!$F$3:$F$23,'Calculations 1'!$G$3:$G$23,$A43)*AZ34</f>
        <v>0</v>
      </c>
      <c r="BA43">
        <f>SUMIFS('Calculations 1'!$F$3:$F$23,'Calculations 1'!$G$3:$G$23,$A43)*BA34</f>
        <v>0</v>
      </c>
      <c r="BB43">
        <f>SUMIFS('Calculations 1'!$F$3:$F$23,'Calculations 1'!$G$3:$G$23,$A43)*BB34</f>
        <v>0</v>
      </c>
      <c r="BC43">
        <f>SUMIFS('Calculations 1'!$F$3:$F$23,'Calculations 1'!$G$3:$G$23,$A43)*BC34</f>
        <v>0</v>
      </c>
    </row>
    <row r="44" spans="1:55">
      <c r="A44" t="s">
        <v>92</v>
      </c>
      <c r="B44" s="4">
        <f>SUMIFS('Calculations 1'!$F$3:$F$23,'Calculations 1'!$G$3:$G$23,$A44)*B35</f>
        <v>78978435692.249054</v>
      </c>
      <c r="C44" s="4">
        <f>SUMIFS('Calculations 1'!$F$3:$F$23,'Calculations 1'!$G$3:$G$23,$A44)*C35</f>
        <v>81160468137.560822</v>
      </c>
      <c r="D44" s="4">
        <f>SUMIFS('Calculations 1'!$F$3:$F$23,'Calculations 1'!$G$3:$G$23,$A44)*D35</f>
        <v>79549201909.872116</v>
      </c>
      <c r="E44" s="4">
        <f>SUMIFS('Calculations 1'!$F$3:$F$23,'Calculations 1'!$G$3:$G$23,$A44)*E35</f>
        <v>79969244839.204453</v>
      </c>
      <c r="F44" s="4">
        <f>SUMIFS('Calculations 1'!$F$3:$F$23,'Calculations 1'!$G$3:$G$23,$A44)*F35</f>
        <v>80389287768.536774</v>
      </c>
      <c r="G44" s="4">
        <f>SUMIFS('Calculations 1'!$F$3:$F$23,'Calculations 1'!$G$3:$G$23,$A44)*G35</f>
        <v>80809330697.869095</v>
      </c>
      <c r="H44" s="4">
        <f>SUMIFS('Calculations 1'!$F$3:$F$23,'Calculations 1'!$G$3:$G$23,$A44)*H35</f>
        <v>82599150195.199356</v>
      </c>
      <c r="I44" s="4">
        <f>SUMIFS('Calculations 1'!$F$3:$F$23,'Calculations 1'!$G$3:$G$23,$A44)*I35</f>
        <v>79952051368.65477</v>
      </c>
      <c r="J44" s="4">
        <f>SUMIFS('Calculations 1'!$F$3:$F$23,'Calculations 1'!$G$3:$G$23,$A44)*J35</f>
        <v>80259428357.428772</v>
      </c>
      <c r="K44" s="4">
        <f>SUMIFS('Calculations 1'!$F$3:$F$23,'Calculations 1'!$G$3:$G$23,$A44)*K35</f>
        <v>80566805346.20401</v>
      </c>
      <c r="L44" s="4">
        <f>SUMIFS('Calculations 1'!$F$3:$F$23,'Calculations 1'!$G$3:$G$23,$A44)*L35</f>
        <v>80874182334.976837</v>
      </c>
      <c r="M44" s="4">
        <f>SUMIFS('Calculations 1'!$F$3:$F$23,'Calculations 1'!$G$3:$G$23,$A44)*M35</f>
        <v>91821511602.300735</v>
      </c>
      <c r="N44" s="4">
        <f>SUMIFS('Calculations 1'!$F$3:$F$23,'Calculations 1'!$G$3:$G$23,$A44)*N35</f>
        <v>79226989915.301147</v>
      </c>
      <c r="O44" s="4">
        <f>SUMIFS('Calculations 1'!$F$3:$F$23,'Calculations 1'!$G$3:$G$23,$A44)*O35</f>
        <v>79349065216.713669</v>
      </c>
      <c r="P44" s="4">
        <f>SUMIFS('Calculations 1'!$F$3:$F$23,'Calculations 1'!$G$3:$G$23,$A44)*P35</f>
        <v>79471140518.124466</v>
      </c>
      <c r="Q44" s="4">
        <f>SUMIFS('Calculations 1'!$F$3:$F$23,'Calculations 1'!$G$3:$G$23,$A44)*Q35</f>
        <v>79593215819.536285</v>
      </c>
      <c r="R44" s="4">
        <f>SUMIFS('Calculations 1'!$F$3:$F$23,'Calculations 1'!$G$3:$G$23,$A44)*R35</f>
        <v>89495767631.851105</v>
      </c>
      <c r="S44" s="4">
        <f>SUMIFS('Calculations 1'!$F$3:$F$23,'Calculations 1'!$G$3:$G$23,$A44)*S35</f>
        <v>78009961600.58577</v>
      </c>
      <c r="T44" s="4">
        <f>SUMIFS('Calculations 1'!$F$3:$F$23,'Calculations 1'!$G$3:$G$23,$A44)*T35</f>
        <v>77977608325.509308</v>
      </c>
      <c r="U44" s="4">
        <f>SUMIFS('Calculations 1'!$F$3:$F$23,'Calculations 1'!$G$3:$G$23,$A44)*U35</f>
        <v>77945255050.433182</v>
      </c>
      <c r="V44" s="4">
        <f>SUMIFS('Calculations 1'!$F$3:$F$23,'Calculations 1'!$G$3:$G$23,$A44)*V35</f>
        <v>77912901775.356903</v>
      </c>
      <c r="W44" s="4">
        <f>SUMIFS('Calculations 1'!$F$3:$F$23,'Calculations 1'!$G$3:$G$23,$A44)*W35</f>
        <v>86808838408.171448</v>
      </c>
      <c r="X44" s="4">
        <f>SUMIFS('Calculations 1'!$F$3:$F$23,'Calculations 1'!$G$3:$G$23,$A44)*X35</f>
        <v>76180014742.413971</v>
      </c>
      <c r="Y44" s="4">
        <f>SUMIFS('Calculations 1'!$F$3:$F$23,'Calculations 1'!$G$3:$G$23,$A44)*Y35</f>
        <v>76006688468.792206</v>
      </c>
      <c r="Z44" s="4">
        <f>SUMIFS('Calculations 1'!$F$3:$F$23,'Calculations 1'!$G$3:$G$23,$A44)*Z35</f>
        <v>75833362195.170105</v>
      </c>
      <c r="AA44" s="4">
        <f>SUMIFS('Calculations 1'!$F$3:$F$23,'Calculations 1'!$G$3:$G$23,$A44)*AA35</f>
        <v>75660035921.548157</v>
      </c>
      <c r="AB44" s="4">
        <f>SUMIFS('Calculations 1'!$F$3:$F$23,'Calculations 1'!$G$3:$G$23,$A44)*AB35</f>
        <v>111527998730.95908</v>
      </c>
      <c r="AC44" s="4">
        <f>SUMIFS('Calculations 1'!$F$3:$F$23,'Calculations 1'!$G$3:$G$23,$A44)*AC35</f>
        <v>68579353045.633049</v>
      </c>
      <c r="AD44" s="4">
        <f>SUMIFS('Calculations 1'!$F$3:$F$23,'Calculations 1'!$G$3:$G$23,$A44)*AD35</f>
        <v>67836953786.4869</v>
      </c>
      <c r="AE44" s="4">
        <f>SUMIFS('Calculations 1'!$F$3:$F$23,'Calculations 1'!$G$3:$G$23,$A44)*AE35</f>
        <v>67094554527.345932</v>
      </c>
      <c r="AF44" s="4">
        <f>SUMIFS('Calculations 1'!$F$3:$F$23,'Calculations 1'!$G$3:$G$23,$A44)*AF35</f>
        <v>66352155268.199783</v>
      </c>
      <c r="AG44" s="4">
        <f>SUMIFS('Calculations 1'!$F$3:$F$23,'Calculations 1'!$G$3:$G$23,$A44)*AG35</f>
        <v>65609756009.058823</v>
      </c>
      <c r="AH44" s="4">
        <f>SUMIFS('Calculations 1'!$F$3:$F$23,'Calculations 1'!$G$3:$G$23,$A44)*AH35</f>
        <v>64867356749.915352</v>
      </c>
      <c r="AI44" s="4">
        <f>SUMIFS('Calculations 1'!$F$3:$F$23,'Calculations 1'!$G$3:$G$23,$A44)*AI35</f>
        <v>64124957490.769203</v>
      </c>
      <c r="AJ44" s="4">
        <f>SUMIFS('Calculations 1'!$F$3:$F$23,'Calculations 1'!$G$3:$G$23,$A44)*AJ35</f>
        <v>62174048800.173737</v>
      </c>
      <c r="AK44" s="4">
        <f>SUMIFS('Calculations 1'!$F$3:$F$23,'Calculations 1'!$G$3:$G$23,$A44)*AK35</f>
        <v>61355322629.564461</v>
      </c>
      <c r="AL44" s="4">
        <f>SUMIFS('Calculations 1'!$F$3:$F$23,'Calculations 1'!$G$3:$G$23,$A44)*AL35</f>
        <v>60536596458.96035</v>
      </c>
      <c r="AM44" s="4">
        <f>SUMIFS('Calculations 1'!$F$3:$F$23,'Calculations 1'!$G$3:$G$23,$A44)*AM35</f>
        <v>59717870288.356247</v>
      </c>
      <c r="AN44" s="4">
        <f>SUMIFS('Calculations 1'!$F$3:$F$23,'Calculations 1'!$G$3:$G$23,$A44)*AN35</f>
        <v>58899144117.754456</v>
      </c>
      <c r="AO44" s="4">
        <f>SUMIFS('Calculations 1'!$F$3:$F$23,'Calculations 1'!$G$3:$G$23,$A44)*AO35</f>
        <v>56904132971.748764</v>
      </c>
      <c r="AP44" s="4">
        <f>SUMIFS('Calculations 1'!$F$3:$F$23,'Calculations 1'!$G$3:$G$23,$A44)*AP35</f>
        <v>56011115118.490356</v>
      </c>
      <c r="AQ44" s="4">
        <f>SUMIFS('Calculations 1'!$F$3:$F$23,'Calculations 1'!$G$3:$G$23,$A44)*AQ35</f>
        <v>55118097265.223885</v>
      </c>
      <c r="AR44" s="4">
        <f>SUMIFS('Calculations 1'!$F$3:$F$23,'Calculations 1'!$G$3:$G$23,$A44)*AR35</f>
        <v>54225079411.968307</v>
      </c>
      <c r="AS44" s="4">
        <f>SUMIFS('Calculations 1'!$F$3:$F$23,'Calculations 1'!$G$3:$G$23,$A44)*AS35</f>
        <v>53332061558.702011</v>
      </c>
      <c r="AT44" s="4">
        <f>SUMIFS('Calculations 1'!$F$3:$F$23,'Calculations 1'!$G$3:$G$23,$A44)*AT35</f>
        <v>51443356192.09436</v>
      </c>
      <c r="AU44" s="4">
        <f>SUMIFS('Calculations 1'!$F$3:$F$23,'Calculations 1'!$G$3:$G$23,$A44)*AU35</f>
        <v>50487452811.679688</v>
      </c>
      <c r="AV44" s="4">
        <f>SUMIFS('Calculations 1'!$F$3:$F$23,'Calculations 1'!$G$3:$G$23,$A44)*AV35</f>
        <v>49531549431.254646</v>
      </c>
      <c r="AW44" s="4">
        <f>SUMIFS('Calculations 1'!$F$3:$F$23,'Calculations 1'!$G$3:$G$23,$A44)*AW35</f>
        <v>48575646050.834961</v>
      </c>
      <c r="AX44" s="4">
        <f>SUMIFS('Calculations 1'!$F$3:$F$23,'Calculations 1'!$G$3:$G$23,$A44)*AX35</f>
        <v>47619742670.418312</v>
      </c>
      <c r="AY44" s="4">
        <f>SUMIFS('Calculations 1'!$F$3:$F$23,'Calculations 1'!$G$3:$G$23,$A44)*AY35</f>
        <v>45822169277.823563</v>
      </c>
      <c r="AZ44" s="4">
        <f>SUMIFS('Calculations 1'!$F$3:$F$23,'Calculations 1'!$G$3:$G$23,$A44)*AZ35</f>
        <v>44813107791.375008</v>
      </c>
      <c r="BA44" s="4">
        <f>SUMIFS('Calculations 1'!$F$3:$F$23,'Calculations 1'!$G$3:$G$23,$A44)*BA35</f>
        <v>43804046304.923454</v>
      </c>
      <c r="BB44" s="4">
        <f>SUMIFS('Calculations 1'!$F$3:$F$23,'Calculations 1'!$G$3:$G$23,$A44)*BB35</f>
        <v>42794984818.472069</v>
      </c>
      <c r="BC44" s="4">
        <f>SUMIFS('Calculations 1'!$F$3:$F$23,'Calculations 1'!$G$3:$G$23,$A44)*BC35</f>
        <v>41785923332.020882</v>
      </c>
    </row>
    <row r="45" spans="1:55">
      <c r="A45" t="s">
        <v>93</v>
      </c>
      <c r="B45" s="4">
        <f>SUMIFS('Calculations 1'!$F$3:$F$23,'Calculations 1'!$G$3:$G$23,$A45)*B36</f>
        <v>539391569756.48871</v>
      </c>
      <c r="C45" s="4">
        <f>SUMIFS('Calculations 1'!$F$3:$F$23,'Calculations 1'!$G$3:$G$23,$A45)*C36</f>
        <v>574135240301.45313</v>
      </c>
      <c r="D45" s="4">
        <f>SUMIFS('Calculations 1'!$F$3:$F$23,'Calculations 1'!$G$3:$G$23,$A45)*D36</f>
        <v>537038362675.37463</v>
      </c>
      <c r="E45" s="4">
        <f>SUMIFS('Calculations 1'!$F$3:$F$23,'Calculations 1'!$G$3:$G$23,$A45)*E36</f>
        <v>539421298682.40149</v>
      </c>
      <c r="F45" s="4">
        <f>SUMIFS('Calculations 1'!$F$3:$F$23,'Calculations 1'!$G$3:$G$23,$A45)*F36</f>
        <v>541804234689.42834</v>
      </c>
      <c r="G45" s="4">
        <f>SUMIFS('Calculations 1'!$F$3:$F$23,'Calculations 1'!$G$3:$G$23,$A45)*G36</f>
        <v>544187170696.4552</v>
      </c>
      <c r="H45" s="4">
        <f>SUMIFS('Calculations 1'!$F$3:$F$23,'Calculations 1'!$G$3:$G$23,$A45)*H36</f>
        <v>572001974039.58008</v>
      </c>
      <c r="I45" s="4">
        <f>SUMIFS('Calculations 1'!$F$3:$F$23,'Calculations 1'!$G$3:$G$23,$A45)*I36</f>
        <v>516323589845.27374</v>
      </c>
      <c r="J45" s="4">
        <f>SUMIFS('Calculations 1'!$F$3:$F$23,'Calculations 1'!$G$3:$G$23,$A45)*J36</f>
        <v>518067363262.54169</v>
      </c>
      <c r="K45" s="4">
        <f>SUMIFS('Calculations 1'!$F$3:$F$23,'Calculations 1'!$G$3:$G$23,$A45)*K36</f>
        <v>519811136679.83282</v>
      </c>
      <c r="L45" s="4">
        <f>SUMIFS('Calculations 1'!$F$3:$F$23,'Calculations 1'!$G$3:$G$23,$A45)*L36</f>
        <v>521554910097.07788</v>
      </c>
      <c r="M45" s="4">
        <f>SUMIFS('Calculations 1'!$F$3:$F$23,'Calculations 1'!$G$3:$G$23,$A45)*M36</f>
        <v>720844663736.50378</v>
      </c>
      <c r="N45" s="4">
        <f>SUMIFS('Calculations 1'!$F$3:$F$23,'Calculations 1'!$G$3:$G$23,$A45)*N36</f>
        <v>474381879255.24176</v>
      </c>
      <c r="O45" s="4">
        <f>SUMIFS('Calculations 1'!$F$3:$F$23,'Calculations 1'!$G$3:$G$23,$A45)*O36</f>
        <v>475074421876.47284</v>
      </c>
      <c r="P45" s="4">
        <f>SUMIFS('Calculations 1'!$F$3:$F$23,'Calculations 1'!$G$3:$G$23,$A45)*P36</f>
        <v>475766964497.67114</v>
      </c>
      <c r="Q45" s="4">
        <f>SUMIFS('Calculations 1'!$F$3:$F$23,'Calculations 1'!$G$3:$G$23,$A45)*Q36</f>
        <v>476459507118.88898</v>
      </c>
      <c r="R45" s="4">
        <f>SUMIFS('Calculations 1'!$F$3:$F$23,'Calculations 1'!$G$3:$G$23,$A45)*R36</f>
        <v>658740629162.70605</v>
      </c>
      <c r="S45" s="4">
        <f>SUMIFS('Calculations 1'!$F$3:$F$23,'Calculations 1'!$G$3:$G$23,$A45)*S36</f>
        <v>435951788512.07281</v>
      </c>
      <c r="T45" s="4">
        <f>SUMIFS('Calculations 1'!$F$3:$F$23,'Calculations 1'!$G$3:$G$23,$A45)*T36</f>
        <v>435768245881.6839</v>
      </c>
      <c r="U45" s="4">
        <f>SUMIFS('Calculations 1'!$F$3:$F$23,'Calculations 1'!$G$3:$G$23,$A45)*U36</f>
        <v>435584703251.30157</v>
      </c>
      <c r="V45" s="4">
        <f>SUMIFS('Calculations 1'!$F$3:$F$23,'Calculations 1'!$G$3:$G$23,$A45)*V36</f>
        <v>435401160620.91595</v>
      </c>
      <c r="W45" s="4">
        <f>SUMIFS('Calculations 1'!$F$3:$F$23,'Calculations 1'!$G$3:$G$23,$A45)*W36</f>
        <v>600984130413.4856</v>
      </c>
      <c r="X45" s="4">
        <f>SUMIFS('Calculations 1'!$F$3:$F$23,'Calculations 1'!$G$3:$G$23,$A45)*X36</f>
        <v>396791450125.72205</v>
      </c>
      <c r="Y45" s="4">
        <f>SUMIFS('Calculations 1'!$F$3:$F$23,'Calculations 1'!$G$3:$G$23,$A45)*Y36</f>
        <v>395808156777.50958</v>
      </c>
      <c r="Z45" s="4">
        <f>SUMIFS('Calculations 1'!$F$3:$F$23,'Calculations 1'!$G$3:$G$23,$A45)*Z36</f>
        <v>394824863429.29065</v>
      </c>
      <c r="AA45" s="4">
        <f>SUMIFS('Calculations 1'!$F$3:$F$23,'Calculations 1'!$G$3:$G$23,$A45)*AA36</f>
        <v>393841570081.07489</v>
      </c>
      <c r="AB45" s="4">
        <f>SUMIFS('Calculations 1'!$F$3:$F$23,'Calculations 1'!$G$3:$G$23,$A45)*AB36</f>
        <v>1062016520490.3424</v>
      </c>
      <c r="AC45" s="4">
        <f>SUMIFS('Calculations 1'!$F$3:$F$23,'Calculations 1'!$G$3:$G$23,$A45)*AC36</f>
        <v>237499002587.97409</v>
      </c>
      <c r="AD45" s="4">
        <f>SUMIFS('Calculations 1'!$F$3:$F$23,'Calculations 1'!$G$3:$G$23,$A45)*AD36</f>
        <v>233287314204.0369</v>
      </c>
      <c r="AE45" s="4">
        <f>SUMIFS('Calculations 1'!$F$3:$F$23,'Calculations 1'!$G$3:$G$23,$A45)*AE36</f>
        <v>229075625820.19809</v>
      </c>
      <c r="AF45" s="4">
        <f>SUMIFS('Calculations 1'!$F$3:$F$23,'Calculations 1'!$G$3:$G$23,$A45)*AF36</f>
        <v>224863937436.26089</v>
      </c>
      <c r="AG45" s="4">
        <f>SUMIFS('Calculations 1'!$F$3:$F$23,'Calculations 1'!$G$3:$G$23,$A45)*AG36</f>
        <v>220652249052.42203</v>
      </c>
      <c r="AH45" s="4">
        <f>SUMIFS('Calculations 1'!$F$3:$F$23,'Calculations 1'!$G$3:$G$23,$A45)*AH36</f>
        <v>216440560668.53448</v>
      </c>
      <c r="AI45" s="4">
        <f>SUMIFS('Calculations 1'!$F$3:$F$23,'Calculations 1'!$G$3:$G$23,$A45)*AI36</f>
        <v>212228872284.59729</v>
      </c>
      <c r="AJ45" s="4">
        <f>SUMIFS('Calculations 1'!$F$3:$F$23,'Calculations 1'!$G$3:$G$23,$A45)*AJ36</f>
        <v>185579472340.18195</v>
      </c>
      <c r="AK45" s="4">
        <f>SUMIFS('Calculations 1'!$F$3:$F$23,'Calculations 1'!$G$3:$G$23,$A45)*AK36</f>
        <v>180934775487.47885</v>
      </c>
      <c r="AL45" s="4">
        <f>SUMIFS('Calculations 1'!$F$3:$F$23,'Calculations 1'!$G$3:$G$23,$A45)*AL36</f>
        <v>176290078634.8765</v>
      </c>
      <c r="AM45" s="4">
        <f>SUMIFS('Calculations 1'!$F$3:$F$23,'Calculations 1'!$G$3:$G$23,$A45)*AM36</f>
        <v>171645381782.27405</v>
      </c>
      <c r="AN45" s="4">
        <f>SUMIFS('Calculations 1'!$F$3:$F$23,'Calculations 1'!$G$3:$G$23,$A45)*AN36</f>
        <v>167000684929.71472</v>
      </c>
      <c r="AO45" s="4">
        <f>SUMIFS('Calculations 1'!$F$3:$F$23,'Calculations 1'!$G$3:$G$23,$A45)*AO36</f>
        <v>140516569778.70685</v>
      </c>
      <c r="AP45" s="4">
        <f>SUMIFS('Calculations 1'!$F$3:$F$23,'Calculations 1'!$G$3:$G$23,$A45)*AP36</f>
        <v>135450410467.76132</v>
      </c>
      <c r="AQ45" s="4">
        <f>SUMIFS('Calculations 1'!$F$3:$F$23,'Calculations 1'!$G$3:$G$23,$A45)*AQ36</f>
        <v>130384251156.66441</v>
      </c>
      <c r="AR45" s="4">
        <f>SUMIFS('Calculations 1'!$F$3:$F$23,'Calculations 1'!$G$3:$G$23,$A45)*AR36</f>
        <v>125318091845.77403</v>
      </c>
      <c r="AS45" s="4">
        <f>SUMIFS('Calculations 1'!$F$3:$F$23,'Calculations 1'!$G$3:$G$23,$A45)*AS36</f>
        <v>120251932534.68039</v>
      </c>
      <c r="AT45" s="4">
        <f>SUMIFS('Calculations 1'!$F$3:$F$23,'Calculations 1'!$G$3:$G$23,$A45)*AT36</f>
        <v>96699405929.02005</v>
      </c>
      <c r="AU45" s="4">
        <f>SUMIFS('Calculations 1'!$F$3:$F$23,'Calculations 1'!$G$3:$G$23,$A45)*AU36</f>
        <v>91276492161.55925</v>
      </c>
      <c r="AV45" s="4">
        <f>SUMIFS('Calculations 1'!$F$3:$F$23,'Calculations 1'!$G$3:$G$23,$A45)*AV36</f>
        <v>85853578393.901703</v>
      </c>
      <c r="AW45" s="4">
        <f>SUMIFS('Calculations 1'!$F$3:$F$23,'Calculations 1'!$G$3:$G$23,$A45)*AW36</f>
        <v>80430664626.348114</v>
      </c>
      <c r="AX45" s="4">
        <f>SUMIFS('Calculations 1'!$F$3:$F$23,'Calculations 1'!$G$3:$G$23,$A45)*AX36</f>
        <v>75007750858.850861</v>
      </c>
      <c r="AY45" s="4">
        <f>SUMIFS('Calculations 1'!$F$3:$F$23,'Calculations 1'!$G$3:$G$23,$A45)*AY36</f>
        <v>53958025689.713783</v>
      </c>
      <c r="AZ45" s="4">
        <f>SUMIFS('Calculations 1'!$F$3:$F$23,'Calculations 1'!$G$3:$G$23,$A45)*AZ36</f>
        <v>48233541877.625771</v>
      </c>
      <c r="BA45" s="4">
        <f>SUMIFS('Calculations 1'!$F$3:$F$23,'Calculations 1'!$G$3:$G$23,$A45)*BA36</f>
        <v>42509058065.479263</v>
      </c>
      <c r="BB45" s="4">
        <f>SUMIFS('Calculations 1'!$F$3:$F$23,'Calculations 1'!$G$3:$G$23,$A45)*BB36</f>
        <v>36784574253.336113</v>
      </c>
      <c r="BC45" s="4">
        <f>SUMIFS('Calculations 1'!$F$3:$F$23,'Calculations 1'!$G$3:$G$23,$A45)*BC36</f>
        <v>31060090441.196381</v>
      </c>
    </row>
    <row r="46" spans="1:55">
      <c r="A46" t="s">
        <v>94</v>
      </c>
      <c r="B46" s="4">
        <f>SUMIFS('Calculations 1'!$F$3:$F$23,'Calculations 1'!$G$3:$G$23,$A46)*B37</f>
        <v>66910478611.772049</v>
      </c>
      <c r="C46" s="4">
        <f>SUMIFS('Calculations 1'!$F$3:$F$23,'Calculations 1'!$G$3:$G$23,$A46)*C37</f>
        <v>68185562437.046677</v>
      </c>
      <c r="D46" s="4">
        <f>SUMIFS('Calculations 1'!$F$3:$F$23,'Calculations 1'!$G$3:$G$23,$A46)*D37</f>
        <v>67574732355.589119</v>
      </c>
      <c r="E46" s="4">
        <f>SUMIFS('Calculations 1'!$F$3:$F$23,'Calculations 1'!$G$3:$G$23,$A46)*E37</f>
        <v>67944634774.682999</v>
      </c>
      <c r="F46" s="4">
        <f>SUMIFS('Calculations 1'!$F$3:$F$23,'Calculations 1'!$G$3:$G$23,$A46)*F37</f>
        <v>68314537193.776878</v>
      </c>
      <c r="G46" s="4">
        <f>SUMIFS('Calculations 1'!$F$3:$F$23,'Calculations 1'!$G$3:$G$23,$A46)*G37</f>
        <v>68684439612.870773</v>
      </c>
      <c r="H46" s="4">
        <f>SUMIFS('Calculations 1'!$F$3:$F$23,'Calculations 1'!$G$3:$G$23,$A46)*H37</f>
        <v>69750097697.718094</v>
      </c>
      <c r="I46" s="4">
        <f>SUMIFS('Calculations 1'!$F$3:$F$23,'Calculations 1'!$G$3:$G$23,$A46)*I37</f>
        <v>68594338271.323189</v>
      </c>
      <c r="J46" s="4">
        <f>SUMIFS('Calculations 1'!$F$3:$F$23,'Calculations 1'!$G$3:$G$23,$A46)*J37</f>
        <v>68865023679.364746</v>
      </c>
      <c r="K46" s="4">
        <f>SUMIFS('Calculations 1'!$F$3:$F$23,'Calculations 1'!$G$3:$G$23,$A46)*K37</f>
        <v>69135709087.406952</v>
      </c>
      <c r="L46" s="4">
        <f>SUMIFS('Calculations 1'!$F$3:$F$23,'Calculations 1'!$G$3:$G$23,$A46)*L37</f>
        <v>69406394495.447937</v>
      </c>
      <c r="M46" s="4">
        <f>SUMIFS('Calculations 1'!$F$3:$F$23,'Calculations 1'!$G$3:$G$23,$A46)*M37</f>
        <v>75081470118.725403</v>
      </c>
      <c r="N46" s="4">
        <f>SUMIFS('Calculations 1'!$F$3:$F$23,'Calculations 1'!$G$3:$G$23,$A46)*N37</f>
        <v>69049297353.139587</v>
      </c>
      <c r="O46" s="4">
        <f>SUMIFS('Calculations 1'!$F$3:$F$23,'Calculations 1'!$G$3:$G$23,$A46)*O37</f>
        <v>69156800529.959503</v>
      </c>
      <c r="P46" s="4">
        <f>SUMIFS('Calculations 1'!$F$3:$F$23,'Calculations 1'!$G$3:$G$23,$A46)*P37</f>
        <v>69264303706.778564</v>
      </c>
      <c r="Q46" s="4">
        <f>SUMIFS('Calculations 1'!$F$3:$F$23,'Calculations 1'!$G$3:$G$23,$A46)*Q37</f>
        <v>69371806883.598114</v>
      </c>
      <c r="R46" s="4">
        <f>SUMIFS('Calculations 1'!$F$3:$F$23,'Calculations 1'!$G$3:$G$23,$A46)*R37</f>
        <v>74447143578.095123</v>
      </c>
      <c r="S46" s="4">
        <f>SUMIFS('Calculations 1'!$F$3:$F$23,'Calculations 1'!$G$3:$G$23,$A46)*S37</f>
        <v>68888832628.003494</v>
      </c>
      <c r="T46" s="4">
        <f>SUMIFS('Calculations 1'!$F$3:$F$23,'Calculations 1'!$G$3:$G$23,$A46)*T37</f>
        <v>68860341362.276459</v>
      </c>
      <c r="U46" s="4">
        <f>SUMIFS('Calculations 1'!$F$3:$F$23,'Calculations 1'!$G$3:$G$23,$A46)*U37</f>
        <v>68831850096.549606</v>
      </c>
      <c r="V46" s="4">
        <f>SUMIFS('Calculations 1'!$F$3:$F$23,'Calculations 1'!$G$3:$G$23,$A46)*V37</f>
        <v>68803358830.822678</v>
      </c>
      <c r="W46" s="4">
        <f>SUMIFS('Calculations 1'!$F$3:$F$23,'Calculations 1'!$G$3:$G$23,$A46)*W37</f>
        <v>73309846797.499832</v>
      </c>
      <c r="X46" s="4">
        <f>SUMIFS('Calculations 1'!$F$3:$F$23,'Calculations 1'!$G$3:$G$23,$A46)*X37</f>
        <v>68109211717.215904</v>
      </c>
      <c r="Y46" s="4">
        <f>SUMIFS('Calculations 1'!$F$3:$F$23,'Calculations 1'!$G$3:$G$23,$A46)*Y37</f>
        <v>67956575395.001984</v>
      </c>
      <c r="Z46" s="4">
        <f>SUMIFS('Calculations 1'!$F$3:$F$23,'Calculations 1'!$G$3:$G$23,$A46)*Z37</f>
        <v>67803939072.787895</v>
      </c>
      <c r="AA46" s="4">
        <f>SUMIFS('Calculations 1'!$F$3:$F$23,'Calculations 1'!$G$3:$G$23,$A46)*AA37</f>
        <v>67651302750.573883</v>
      </c>
      <c r="AB46" s="4">
        <f>SUMIFS('Calculations 1'!$F$3:$F$23,'Calculations 1'!$G$3:$G$23,$A46)*AB37</f>
        <v>85805251360.842041</v>
      </c>
      <c r="AC46" s="4">
        <f>SUMIFS('Calculations 1'!$F$3:$F$23,'Calculations 1'!$G$3:$G$23,$A46)*AC37</f>
        <v>64773954923.132477</v>
      </c>
      <c r="AD46" s="4">
        <f>SUMIFS('Calculations 1'!$F$3:$F$23,'Calculations 1'!$G$3:$G$23,$A46)*AD37</f>
        <v>64120175838.39045</v>
      </c>
      <c r="AE46" s="4">
        <f>SUMIFS('Calculations 1'!$F$3:$F$23,'Calculations 1'!$G$3:$G$23,$A46)*AE37</f>
        <v>63466396753.650986</v>
      </c>
      <c r="AF46" s="4">
        <f>SUMIFS('Calculations 1'!$F$3:$F$23,'Calculations 1'!$G$3:$G$23,$A46)*AF37</f>
        <v>62812617668.908958</v>
      </c>
      <c r="AG46" s="4">
        <f>SUMIFS('Calculations 1'!$F$3:$F$23,'Calculations 1'!$G$3:$G$23,$A46)*AG37</f>
        <v>62158838584.169495</v>
      </c>
      <c r="AH46" s="4">
        <f>SUMIFS('Calculations 1'!$F$3:$F$23,'Calculations 1'!$G$3:$G$23,$A46)*AH37</f>
        <v>61505059499.428825</v>
      </c>
      <c r="AI46" s="4">
        <f>SUMIFS('Calculations 1'!$F$3:$F$23,'Calculations 1'!$G$3:$G$23,$A46)*AI37</f>
        <v>60851280414.68679</v>
      </c>
      <c r="AJ46" s="4">
        <f>SUMIFS('Calculations 1'!$F$3:$F$23,'Calculations 1'!$G$3:$G$23,$A46)*AJ37</f>
        <v>59583658675.827538</v>
      </c>
      <c r="AK46" s="4">
        <f>SUMIFS('Calculations 1'!$F$3:$F$23,'Calculations 1'!$G$3:$G$23,$A46)*AK37</f>
        <v>58862663820.457947</v>
      </c>
      <c r="AL46" s="4">
        <f>SUMIFS('Calculations 1'!$F$3:$F$23,'Calculations 1'!$G$3:$G$23,$A46)*AL37</f>
        <v>58141668965.090851</v>
      </c>
      <c r="AM46" s="4">
        <f>SUMIFS('Calculations 1'!$F$3:$F$23,'Calculations 1'!$G$3:$G$23,$A46)*AM37</f>
        <v>57420674109.723747</v>
      </c>
      <c r="AN46" s="4">
        <f>SUMIFS('Calculations 1'!$F$3:$F$23,'Calculations 1'!$G$3:$G$23,$A46)*AN37</f>
        <v>56699679254.357826</v>
      </c>
      <c r="AO46" s="4">
        <f>SUMIFS('Calculations 1'!$F$3:$F$23,'Calculations 1'!$G$3:$G$23,$A46)*AO37</f>
        <v>55381209631.720909</v>
      </c>
      <c r="AP46" s="4">
        <f>SUMIFS('Calculations 1'!$F$3:$F$23,'Calculations 1'!$G$3:$G$23,$A46)*AP37</f>
        <v>54594791289.339142</v>
      </c>
      <c r="AQ46" s="4">
        <f>SUMIFS('Calculations 1'!$F$3:$F$23,'Calculations 1'!$G$3:$G$23,$A46)*AQ37</f>
        <v>53808372946.953354</v>
      </c>
      <c r="AR46" s="4">
        <f>SUMIFS('Calculations 1'!$F$3:$F$23,'Calculations 1'!$G$3:$G$23,$A46)*AR37</f>
        <v>53021954604.572952</v>
      </c>
      <c r="AS46" s="4">
        <f>SUMIFS('Calculations 1'!$F$3:$F$23,'Calculations 1'!$G$3:$G$23,$A46)*AS37</f>
        <v>52235536262.187256</v>
      </c>
      <c r="AT46" s="4">
        <f>SUMIFS('Calculations 1'!$F$3:$F$23,'Calculations 1'!$G$3:$G$23,$A46)*AT37</f>
        <v>50943374687.721054</v>
      </c>
      <c r="AU46" s="4">
        <f>SUMIFS('Calculations 1'!$F$3:$F$23,'Calculations 1'!$G$3:$G$23,$A46)*AU37</f>
        <v>50101577461.427383</v>
      </c>
      <c r="AV46" s="4">
        <f>SUMIFS('Calculations 1'!$F$3:$F$23,'Calculations 1'!$G$3:$G$23,$A46)*AV37</f>
        <v>49259780235.128571</v>
      </c>
      <c r="AW46" s="4">
        <f>SUMIFS('Calculations 1'!$F$3:$F$23,'Calculations 1'!$G$3:$G$23,$A46)*AW37</f>
        <v>48417983008.832344</v>
      </c>
      <c r="AX46" s="4">
        <f>SUMIFS('Calculations 1'!$F$3:$F$23,'Calculations 1'!$G$3:$G$23,$A46)*AX37</f>
        <v>47576185782.537682</v>
      </c>
      <c r="AY46" s="4">
        <f>SUMIFS('Calculations 1'!$F$3:$F$23,'Calculations 1'!$G$3:$G$23,$A46)*AY37</f>
        <v>46306876001.751358</v>
      </c>
      <c r="AZ46" s="4">
        <f>SUMIFS('Calculations 1'!$F$3:$F$23,'Calculations 1'!$G$3:$G$23,$A46)*AZ37</f>
        <v>45418266150.740181</v>
      </c>
      <c r="BA46" s="4">
        <f>SUMIFS('Calculations 1'!$F$3:$F$23,'Calculations 1'!$G$3:$G$23,$A46)*BA37</f>
        <v>44529656299.727562</v>
      </c>
      <c r="BB46" s="4">
        <f>SUMIFS('Calculations 1'!$F$3:$F$23,'Calculations 1'!$G$3:$G$23,$A46)*BB37</f>
        <v>43641046448.715027</v>
      </c>
      <c r="BC46" s="4">
        <f>SUMIFS('Calculations 1'!$F$3:$F$23,'Calculations 1'!$G$3:$G$23,$A46)*BC37</f>
        <v>42752436597.702599</v>
      </c>
    </row>
    <row r="47" spans="1:55">
      <c r="A47" t="s">
        <v>95</v>
      </c>
      <c r="B47" s="4">
        <f>SUMIFS('Calculations 1'!$F$3:$F$23,'Calculations 1'!$G$3:$G$23,$A47)*B38</f>
        <v>242115506766.34079</v>
      </c>
      <c r="C47" s="4">
        <f>SUMIFS('Calculations 1'!$F$3:$F$23,'Calculations 1'!$G$3:$G$23,$A47)*C38</f>
        <v>248110389427.68045</v>
      </c>
      <c r="D47" s="4">
        <f>SUMIFS('Calculations 1'!$F$3:$F$23,'Calculations 1'!$G$3:$G$23,$A47)*D38</f>
        <v>244084003559.74481</v>
      </c>
      <c r="E47" s="4">
        <f>SUMIFS('Calculations 1'!$F$3:$F$23,'Calculations 1'!$G$3:$G$23,$A47)*E38</f>
        <v>245388683010.15366</v>
      </c>
      <c r="F47" s="4">
        <f>SUMIFS('Calculations 1'!$F$3:$F$23,'Calculations 1'!$G$3:$G$23,$A47)*F38</f>
        <v>246693362460.56247</v>
      </c>
      <c r="G47" s="4">
        <f>SUMIFS('Calculations 1'!$F$3:$F$23,'Calculations 1'!$G$3:$G$23,$A47)*G38</f>
        <v>247998041910.97128</v>
      </c>
      <c r="H47" s="4">
        <f>SUMIFS('Calculations 1'!$F$3:$F$23,'Calculations 1'!$G$3:$G$23,$A47)*H38</f>
        <v>252939294279.04633</v>
      </c>
      <c r="I47" s="4">
        <f>SUMIFS('Calculations 1'!$F$3:$F$23,'Calculations 1'!$G$3:$G$23,$A47)*I38</f>
        <v>246140158076.83667</v>
      </c>
      <c r="J47" s="4">
        <f>SUMIFS('Calculations 1'!$F$3:$F$23,'Calculations 1'!$G$3:$G$23,$A47)*J38</f>
        <v>247094890112.0108</v>
      </c>
      <c r="K47" s="4">
        <f>SUMIFS('Calculations 1'!$F$3:$F$23,'Calculations 1'!$G$3:$G$23,$A47)*K38</f>
        <v>248049622147.18832</v>
      </c>
      <c r="L47" s="4">
        <f>SUMIFS('Calculations 1'!$F$3:$F$23,'Calculations 1'!$G$3:$G$23,$A47)*L38</f>
        <v>249004354182.35941</v>
      </c>
      <c r="M47" s="4">
        <f>SUMIFS('Calculations 1'!$F$3:$F$23,'Calculations 1'!$G$3:$G$23,$A47)*M38</f>
        <v>278206731275.43475</v>
      </c>
      <c r="N47" s="4">
        <f>SUMIFS('Calculations 1'!$F$3:$F$23,'Calculations 1'!$G$3:$G$23,$A47)*N38</f>
        <v>245211856817.84387</v>
      </c>
      <c r="O47" s="4">
        <f>SUMIFS('Calculations 1'!$F$3:$F$23,'Calculations 1'!$G$3:$G$23,$A47)*O38</f>
        <v>245591030292.82269</v>
      </c>
      <c r="P47" s="4">
        <f>SUMIFS('Calculations 1'!$F$3:$F$23,'Calculations 1'!$G$3:$G$23,$A47)*P38</f>
        <v>245970203767.79694</v>
      </c>
      <c r="Q47" s="4">
        <f>SUMIFS('Calculations 1'!$F$3:$F$23,'Calculations 1'!$G$3:$G$23,$A47)*Q38</f>
        <v>246349377242.77386</v>
      </c>
      <c r="R47" s="4">
        <f>SUMIFS('Calculations 1'!$F$3:$F$23,'Calculations 1'!$G$3:$G$23,$A47)*R38</f>
        <v>272694402983.28186</v>
      </c>
      <c r="S47" s="4">
        <f>SUMIFS('Calculations 1'!$F$3:$F$23,'Calculations 1'!$G$3:$G$23,$A47)*S38</f>
        <v>242534920160.74341</v>
      </c>
      <c r="T47" s="4">
        <f>SUMIFS('Calculations 1'!$F$3:$F$23,'Calculations 1'!$G$3:$G$23,$A47)*T38</f>
        <v>242434428877.11972</v>
      </c>
      <c r="U47" s="4">
        <f>SUMIFS('Calculations 1'!$F$3:$F$23,'Calculations 1'!$G$3:$G$23,$A47)*U38</f>
        <v>242333937593.49698</v>
      </c>
      <c r="V47" s="4">
        <f>SUMIFS('Calculations 1'!$F$3:$F$23,'Calculations 1'!$G$3:$G$23,$A47)*V38</f>
        <v>242233446309.87378</v>
      </c>
      <c r="W47" s="4">
        <f>SUMIFS('Calculations 1'!$F$3:$F$23,'Calculations 1'!$G$3:$G$23,$A47)*W38</f>
        <v>265836366253.06418</v>
      </c>
      <c r="X47" s="4">
        <f>SUMIFS('Calculations 1'!$F$3:$F$23,'Calculations 1'!$G$3:$G$23,$A47)*X38</f>
        <v>237858094524.11157</v>
      </c>
      <c r="Y47" s="4">
        <f>SUMIFS('Calculations 1'!$F$3:$F$23,'Calculations 1'!$G$3:$G$23,$A47)*Y38</f>
        <v>237319732343.44174</v>
      </c>
      <c r="Z47" s="4">
        <f>SUMIFS('Calculations 1'!$F$3:$F$23,'Calculations 1'!$G$3:$G$23,$A47)*Z38</f>
        <v>236781370162.77103</v>
      </c>
      <c r="AA47" s="4">
        <f>SUMIFS('Calculations 1'!$F$3:$F$23,'Calculations 1'!$G$3:$G$23,$A47)*AA38</f>
        <v>236243007982.10071</v>
      </c>
      <c r="AB47" s="4">
        <f>SUMIFS('Calculations 1'!$F$3:$F$23,'Calculations 1'!$G$3:$G$23,$A47)*AB38</f>
        <v>331389430356.26038</v>
      </c>
      <c r="AC47" s="4">
        <f>SUMIFS('Calculations 1'!$F$3:$F$23,'Calculations 1'!$G$3:$G$23,$A47)*AC38</f>
        <v>218315391759.50504</v>
      </c>
      <c r="AD47" s="4">
        <f>SUMIFS('Calculations 1'!$F$3:$F$23,'Calculations 1'!$G$3:$G$23,$A47)*AD38</f>
        <v>216009453509.46518</v>
      </c>
      <c r="AE47" s="4">
        <f>SUMIFS('Calculations 1'!$F$3:$F$23,'Calculations 1'!$G$3:$G$23,$A47)*AE38</f>
        <v>213703515259.43896</v>
      </c>
      <c r="AF47" s="4">
        <f>SUMIFS('Calculations 1'!$F$3:$F$23,'Calculations 1'!$G$3:$G$23,$A47)*AF38</f>
        <v>211397577009.39908</v>
      </c>
      <c r="AG47" s="4">
        <f>SUMIFS('Calculations 1'!$F$3:$F$23,'Calculations 1'!$G$3:$G$23,$A47)*AG38</f>
        <v>209091638759.37289</v>
      </c>
      <c r="AH47" s="4">
        <f>SUMIFS('Calculations 1'!$F$3:$F$23,'Calculations 1'!$G$3:$G$23,$A47)*AH38</f>
        <v>206785700509.34012</v>
      </c>
      <c r="AI47" s="4">
        <f>SUMIFS('Calculations 1'!$F$3:$F$23,'Calculations 1'!$G$3:$G$23,$A47)*AI38</f>
        <v>204479762259.30023</v>
      </c>
      <c r="AJ47" s="4">
        <f>SUMIFS('Calculations 1'!$F$3:$F$23,'Calculations 1'!$G$3:$G$23,$A47)*AJ38</f>
        <v>198965393691.62366</v>
      </c>
      <c r="AK47" s="4">
        <f>SUMIFS('Calculations 1'!$F$3:$F$23,'Calculations 1'!$G$3:$G$23,$A47)*AK38</f>
        <v>196422379309.7301</v>
      </c>
      <c r="AL47" s="4">
        <f>SUMIFS('Calculations 1'!$F$3:$F$23,'Calculations 1'!$G$3:$G$23,$A47)*AL38</f>
        <v>193879364927.85016</v>
      </c>
      <c r="AM47" s="4">
        <f>SUMIFS('Calculations 1'!$F$3:$F$23,'Calculations 1'!$G$3:$G$23,$A47)*AM38</f>
        <v>191336350545.97021</v>
      </c>
      <c r="AN47" s="4">
        <f>SUMIFS('Calculations 1'!$F$3:$F$23,'Calculations 1'!$G$3:$G$23,$A47)*AN38</f>
        <v>188793336164.09644</v>
      </c>
      <c r="AO47" s="4">
        <f>SUMIFS('Calculations 1'!$F$3:$F$23,'Calculations 1'!$G$3:$G$23,$A47)*AO38</f>
        <v>183127443069.7742</v>
      </c>
      <c r="AP47" s="4">
        <f>SUMIFS('Calculations 1'!$F$3:$F$23,'Calculations 1'!$G$3:$G$23,$A47)*AP38</f>
        <v>180353674103.2381</v>
      </c>
      <c r="AQ47" s="4">
        <f>SUMIFS('Calculations 1'!$F$3:$F$23,'Calculations 1'!$G$3:$G$23,$A47)*AQ38</f>
        <v>177579905136.68069</v>
      </c>
      <c r="AR47" s="4">
        <f>SUMIFS('Calculations 1'!$F$3:$F$23,'Calculations 1'!$G$3:$G$23,$A47)*AR38</f>
        <v>174806136170.15198</v>
      </c>
      <c r="AS47" s="4">
        <f>SUMIFS('Calculations 1'!$F$3:$F$23,'Calculations 1'!$G$3:$G$23,$A47)*AS38</f>
        <v>172032367203.59503</v>
      </c>
      <c r="AT47" s="4">
        <f>SUMIFS('Calculations 1'!$F$3:$F$23,'Calculations 1'!$G$3:$G$23,$A47)*AT38</f>
        <v>166615181544.07465</v>
      </c>
      <c r="AU47" s="4">
        <f>SUMIFS('Calculations 1'!$F$3:$F$23,'Calculations 1'!$G$3:$G$23,$A47)*AU38</f>
        <v>163646086220.92108</v>
      </c>
      <c r="AV47" s="4">
        <f>SUMIFS('Calculations 1'!$F$3:$F$23,'Calculations 1'!$G$3:$G$23,$A47)*AV38</f>
        <v>160676990897.74011</v>
      </c>
      <c r="AW47" s="4">
        <f>SUMIFS('Calculations 1'!$F$3:$F$23,'Calculations 1'!$G$3:$G$23,$A47)*AW38</f>
        <v>157707895574.57321</v>
      </c>
      <c r="AX47" s="4">
        <f>SUMIFS('Calculations 1'!$F$3:$F$23,'Calculations 1'!$G$3:$G$23,$A47)*AX38</f>
        <v>154738800251.4144</v>
      </c>
      <c r="AY47" s="4">
        <f>SUMIFS('Calculations 1'!$F$3:$F$23,'Calculations 1'!$G$3:$G$23,$A47)*AY38</f>
        <v>149535184026.52032</v>
      </c>
      <c r="AZ47" s="4">
        <f>SUMIFS('Calculations 1'!$F$3:$F$23,'Calculations 1'!$G$3:$G$23,$A47)*AZ38</f>
        <v>146400976321.46112</v>
      </c>
      <c r="BA47" s="4">
        <f>SUMIFS('Calculations 1'!$F$3:$F$23,'Calculations 1'!$G$3:$G$23,$A47)*BA38</f>
        <v>143266768616.39401</v>
      </c>
      <c r="BB47" s="4">
        <f>SUMIFS('Calculations 1'!$F$3:$F$23,'Calculations 1'!$G$3:$G$23,$A47)*BB38</f>
        <v>140132560911.32739</v>
      </c>
      <c r="BC47" s="4">
        <f>SUMIFS('Calculations 1'!$F$3:$F$23,'Calculations 1'!$G$3:$G$23,$A47)*BC38</f>
        <v>136998353206.26126</v>
      </c>
    </row>
    <row r="48" spans="1:55">
      <c r="A48" t="s">
        <v>96</v>
      </c>
      <c r="B48" s="4">
        <f>SUMIFS('Calculations 1'!$F$3:$F$23,'Calculations 1'!$G$3:$G$23,$A48)*B39</f>
        <v>6699220990.5608206</v>
      </c>
      <c r="C48" s="4">
        <f>SUMIFS('Calculations 1'!$F$3:$F$23,'Calculations 1'!$G$3:$G$23,$A48)*C39</f>
        <v>6880727183.1450167</v>
      </c>
      <c r="D48" s="4">
        <f>SUMIFS('Calculations 1'!$F$3:$F$23,'Calculations 1'!$G$3:$G$23,$A48)*D39</f>
        <v>6748763668.7456617</v>
      </c>
      <c r="E48" s="4">
        <f>SUMIFS('Calculations 1'!$F$3:$F$23,'Calculations 1'!$G$3:$G$23,$A48)*E39</f>
        <v>6784480829.7014761</v>
      </c>
      <c r="F48" s="4">
        <f>SUMIFS('Calculations 1'!$F$3:$F$23,'Calculations 1'!$G$3:$G$23,$A48)*F39</f>
        <v>6820197990.6572895</v>
      </c>
      <c r="G48" s="4">
        <f>SUMIFS('Calculations 1'!$F$3:$F$23,'Calculations 1'!$G$3:$G$23,$A48)*G39</f>
        <v>6855915151.6131039</v>
      </c>
      <c r="H48" s="4">
        <f>SUMIFS('Calculations 1'!$F$3:$F$23,'Calculations 1'!$G$3:$G$23,$A48)*H39</f>
        <v>7004919645.0977697</v>
      </c>
      <c r="I48" s="4">
        <f>SUMIFS('Calculations 1'!$F$3:$F$23,'Calculations 1'!$G$3:$G$23,$A48)*I39</f>
        <v>6787170264.2738419</v>
      </c>
      <c r="J48" s="4">
        <f>SUMIFS('Calculations 1'!$F$3:$F$23,'Calculations 1'!$G$3:$G$23,$A48)*J39</f>
        <v>6813307196.0384245</v>
      </c>
      <c r="K48" s="4">
        <f>SUMIFS('Calculations 1'!$F$3:$F$23,'Calculations 1'!$G$3:$G$23,$A48)*K39</f>
        <v>6839444127.8031101</v>
      </c>
      <c r="L48" s="4">
        <f>SUMIFS('Calculations 1'!$F$3:$F$23,'Calculations 1'!$G$3:$G$23,$A48)*L39</f>
        <v>6865581059.5675955</v>
      </c>
      <c r="M48" s="4">
        <f>SUMIFS('Calculations 1'!$F$3:$F$23,'Calculations 1'!$G$3:$G$23,$A48)*M39</f>
        <v>7771694945.2619495</v>
      </c>
      <c r="N48" s="4">
        <f>SUMIFS('Calculations 1'!$F$3:$F$23,'Calculations 1'!$G$3:$G$23,$A48)*N39</f>
        <v>6732344578.7533131</v>
      </c>
      <c r="O48" s="4">
        <f>SUMIFS('Calculations 1'!$F$3:$F$23,'Calculations 1'!$G$3:$G$23,$A48)*O39</f>
        <v>6742724906.2979536</v>
      </c>
      <c r="P48" s="4">
        <f>SUMIFS('Calculations 1'!$F$3:$F$23,'Calculations 1'!$G$3:$G$23,$A48)*P39</f>
        <v>6753105233.8424511</v>
      </c>
      <c r="Q48" s="4">
        <f>SUMIFS('Calculations 1'!$F$3:$F$23,'Calculations 1'!$G$3:$G$23,$A48)*Q39</f>
        <v>6763485561.3870325</v>
      </c>
      <c r="R48" s="4">
        <f>SUMIFS('Calculations 1'!$F$3:$F$23,'Calculations 1'!$G$3:$G$23,$A48)*R39</f>
        <v>7582759923.6724434</v>
      </c>
      <c r="S48" s="4">
        <f>SUMIFS('Calculations 1'!$F$3:$F$23,'Calculations 1'!$G$3:$G$23,$A48)*S39</f>
        <v>6634548294.4624596</v>
      </c>
      <c r="T48" s="4">
        <f>SUMIFS('Calculations 1'!$F$3:$F$23,'Calculations 1'!$G$3:$G$23,$A48)*T39</f>
        <v>6631797225.3391418</v>
      </c>
      <c r="U48" s="4">
        <f>SUMIFS('Calculations 1'!$F$3:$F$23,'Calculations 1'!$G$3:$G$23,$A48)*U39</f>
        <v>6629046156.2158537</v>
      </c>
      <c r="V48" s="4">
        <f>SUMIFS('Calculations 1'!$F$3:$F$23,'Calculations 1'!$G$3:$G$23,$A48)*V39</f>
        <v>6626295087.0925522</v>
      </c>
      <c r="W48" s="4">
        <f>SUMIFS('Calculations 1'!$F$3:$F$23,'Calculations 1'!$G$3:$G$23,$A48)*W39</f>
        <v>7361957983.6772299</v>
      </c>
      <c r="X48" s="4">
        <f>SUMIFS('Calculations 1'!$F$3:$F$23,'Calculations 1'!$G$3:$G$23,$A48)*X39</f>
        <v>6484138416.2311411</v>
      </c>
      <c r="Y48" s="4">
        <f>SUMIFS('Calculations 1'!$F$3:$F$23,'Calculations 1'!$G$3:$G$23,$A48)*Y39</f>
        <v>6469400107.4048014</v>
      </c>
      <c r="Z48" s="4">
        <f>SUMIFS('Calculations 1'!$F$3:$F$23,'Calculations 1'!$G$3:$G$23,$A48)*Z39</f>
        <v>6454661798.578433</v>
      </c>
      <c r="AA48" s="4">
        <f>SUMIFS('Calculations 1'!$F$3:$F$23,'Calculations 1'!$G$3:$G$23,$A48)*AA39</f>
        <v>6439923489.7520781</v>
      </c>
      <c r="AB48" s="4">
        <f>SUMIFS('Calculations 1'!$F$3:$F$23,'Calculations 1'!$G$3:$G$23,$A48)*AB39</f>
        <v>9405978980.8122063</v>
      </c>
      <c r="AC48" s="4">
        <f>SUMIFS('Calculations 1'!$F$3:$F$23,'Calculations 1'!$G$3:$G$23,$A48)*AC39</f>
        <v>5858806461.0814743</v>
      </c>
      <c r="AD48" s="4">
        <f>SUMIFS('Calculations 1'!$F$3:$F$23,'Calculations 1'!$G$3:$G$23,$A48)*AD39</f>
        <v>5795678642.5164852</v>
      </c>
      <c r="AE48" s="4">
        <f>SUMIFS('Calculations 1'!$F$3:$F$23,'Calculations 1'!$G$3:$G$23,$A48)*AE39</f>
        <v>5732550823.9519243</v>
      </c>
      <c r="AF48" s="4">
        <f>SUMIFS('Calculations 1'!$F$3:$F$23,'Calculations 1'!$G$3:$G$23,$A48)*AF39</f>
        <v>5669423005.3869362</v>
      </c>
      <c r="AG48" s="4">
        <f>SUMIFS('Calculations 1'!$F$3:$F$23,'Calculations 1'!$G$3:$G$23,$A48)*AG39</f>
        <v>5606295186.8223743</v>
      </c>
      <c r="AH48" s="4">
        <f>SUMIFS('Calculations 1'!$F$3:$F$23,'Calculations 1'!$G$3:$G$23,$A48)*AH39</f>
        <v>5543167368.2576075</v>
      </c>
      <c r="AI48" s="4">
        <f>SUMIFS('Calculations 1'!$F$3:$F$23,'Calculations 1'!$G$3:$G$23,$A48)*AI39</f>
        <v>5480039549.6926174</v>
      </c>
      <c r="AJ48" s="4">
        <f>SUMIFS('Calculations 1'!$F$3:$F$23,'Calculations 1'!$G$3:$G$23,$A48)*AJ39</f>
        <v>5316961992.5911026</v>
      </c>
      <c r="AK48" s="4">
        <f>SUMIFS('Calculations 1'!$F$3:$F$23,'Calculations 1'!$G$3:$G$23,$A48)*AK39</f>
        <v>5247343931.2637377</v>
      </c>
      <c r="AL48" s="4">
        <f>SUMIFS('Calculations 1'!$F$3:$F$23,'Calculations 1'!$G$3:$G$23,$A48)*AL39</f>
        <v>5177725869.9368</v>
      </c>
      <c r="AM48" s="4">
        <f>SUMIFS('Calculations 1'!$F$3:$F$23,'Calculations 1'!$G$3:$G$23,$A48)*AM39</f>
        <v>5108107808.6098633</v>
      </c>
      <c r="AN48" s="4">
        <f>SUMIFS('Calculations 1'!$F$3:$F$23,'Calculations 1'!$G$3:$G$23,$A48)*AN39</f>
        <v>5038489747.2831173</v>
      </c>
      <c r="AO48" s="4">
        <f>SUMIFS('Calculations 1'!$F$3:$F$23,'Calculations 1'!$G$3:$G$23,$A48)*AO39</f>
        <v>4871587070.150712</v>
      </c>
      <c r="AP48" s="4">
        <f>SUMIFS('Calculations 1'!$F$3:$F$23,'Calculations 1'!$G$3:$G$23,$A48)*AP39</f>
        <v>4795651825.9794827</v>
      </c>
      <c r="AQ48" s="4">
        <f>SUMIFS('Calculations 1'!$F$3:$F$23,'Calculations 1'!$G$3:$G$23,$A48)*AQ39</f>
        <v>4719716581.8075867</v>
      </c>
      <c r="AR48" s="4">
        <f>SUMIFS('Calculations 1'!$F$3:$F$23,'Calculations 1'!$G$3:$G$23,$A48)*AR39</f>
        <v>4643781337.636591</v>
      </c>
      <c r="AS48" s="4">
        <f>SUMIFS('Calculations 1'!$F$3:$F$23,'Calculations 1'!$G$3:$G$23,$A48)*AS39</f>
        <v>4567846093.4647093</v>
      </c>
      <c r="AT48" s="4">
        <f>SUMIFS('Calculations 1'!$F$3:$F$23,'Calculations 1'!$G$3:$G$23,$A48)*AT39</f>
        <v>4409562541.5074215</v>
      </c>
      <c r="AU48" s="4">
        <f>SUMIFS('Calculations 1'!$F$3:$F$23,'Calculations 1'!$G$3:$G$23,$A48)*AU39</f>
        <v>4328280004.6230297</v>
      </c>
      <c r="AV48" s="4">
        <f>SUMIFS('Calculations 1'!$F$3:$F$23,'Calculations 1'!$G$3:$G$23,$A48)*AV39</f>
        <v>4246997467.7377806</v>
      </c>
      <c r="AW48" s="4">
        <f>SUMIFS('Calculations 1'!$F$3:$F$23,'Calculations 1'!$G$3:$G$23,$A48)*AW39</f>
        <v>4165714930.8529739</v>
      </c>
      <c r="AX48" s="4">
        <f>SUMIFS('Calculations 1'!$F$3:$F$23,'Calculations 1'!$G$3:$G$23,$A48)*AX39</f>
        <v>4084432393.9684186</v>
      </c>
      <c r="AY48" s="4">
        <f>SUMIFS('Calculations 1'!$F$3:$F$23,'Calculations 1'!$G$3:$G$23,$A48)*AY39</f>
        <v>3933539562.4001493</v>
      </c>
      <c r="AZ48" s="4">
        <f>SUMIFS('Calculations 1'!$F$3:$F$23,'Calculations 1'!$G$3:$G$23,$A48)*AZ39</f>
        <v>3847736876.510191</v>
      </c>
      <c r="BA48" s="4">
        <f>SUMIFS('Calculations 1'!$F$3:$F$23,'Calculations 1'!$G$3:$G$23,$A48)*BA39</f>
        <v>3761934190.6199856</v>
      </c>
      <c r="BB48" s="4">
        <f>SUMIFS('Calculations 1'!$F$3:$F$23,'Calculations 1'!$G$3:$G$23,$A48)*BB39</f>
        <v>3676131504.729794</v>
      </c>
      <c r="BC48" s="4">
        <f>SUMIFS('Calculations 1'!$F$3:$F$23,'Calculations 1'!$G$3:$G$23,$A48)*BC39</f>
        <v>3590328818.8396182</v>
      </c>
    </row>
    <row r="49" spans="1:55"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</row>
    <row r="50" spans="1:55">
      <c r="A50" s="2" t="s">
        <v>170</v>
      </c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</row>
    <row r="51" spans="1:55">
      <c r="B51" s="38">
        <v>2017</v>
      </c>
      <c r="C51" s="38">
        <v>2018</v>
      </c>
      <c r="D51" s="38">
        <v>2019</v>
      </c>
      <c r="E51" s="38">
        <v>2020</v>
      </c>
      <c r="F51" s="38">
        <v>2021</v>
      </c>
      <c r="G51" s="38">
        <v>2022</v>
      </c>
      <c r="H51" s="38">
        <v>2023</v>
      </c>
      <c r="I51" s="38">
        <v>2024</v>
      </c>
      <c r="J51" s="38">
        <v>2025</v>
      </c>
      <c r="K51" s="38">
        <v>2026</v>
      </c>
      <c r="L51" s="38">
        <v>2027</v>
      </c>
      <c r="M51" s="38">
        <v>2028</v>
      </c>
      <c r="N51" s="38">
        <v>2029</v>
      </c>
      <c r="O51" s="38">
        <v>2030</v>
      </c>
      <c r="P51" s="38">
        <v>2031</v>
      </c>
      <c r="Q51" s="38">
        <v>2032</v>
      </c>
      <c r="R51" s="38">
        <v>2033</v>
      </c>
      <c r="S51" s="38">
        <v>2034</v>
      </c>
      <c r="T51" s="38">
        <v>2035</v>
      </c>
      <c r="U51" s="38">
        <v>2036</v>
      </c>
      <c r="V51" s="38">
        <v>2037</v>
      </c>
      <c r="W51" s="38">
        <v>2038</v>
      </c>
      <c r="X51" s="38">
        <v>2039</v>
      </c>
      <c r="Y51" s="38">
        <v>2040</v>
      </c>
      <c r="Z51" s="38">
        <v>2041</v>
      </c>
      <c r="AA51" s="38">
        <v>2042</v>
      </c>
      <c r="AB51" s="38">
        <v>2043</v>
      </c>
      <c r="AC51" s="38">
        <v>2044</v>
      </c>
      <c r="AD51" s="38">
        <v>2045</v>
      </c>
      <c r="AE51" s="38">
        <v>2046</v>
      </c>
      <c r="AF51" s="38">
        <v>2047</v>
      </c>
      <c r="AG51" s="38">
        <v>2048</v>
      </c>
      <c r="AH51" s="38">
        <v>2049</v>
      </c>
      <c r="AI51" s="38">
        <v>2050</v>
      </c>
      <c r="AJ51">
        <v>2051</v>
      </c>
      <c r="AK51">
        <v>2052</v>
      </c>
      <c r="AL51">
        <v>2053</v>
      </c>
      <c r="AM51">
        <v>2054</v>
      </c>
      <c r="AN51">
        <v>2055</v>
      </c>
      <c r="AO51">
        <v>2056</v>
      </c>
      <c r="AP51">
        <v>2057</v>
      </c>
      <c r="AQ51">
        <v>2058</v>
      </c>
      <c r="AR51">
        <v>2059</v>
      </c>
      <c r="AS51">
        <v>2060</v>
      </c>
      <c r="AT51">
        <v>2061</v>
      </c>
      <c r="AU51">
        <v>2062</v>
      </c>
      <c r="AV51">
        <v>2063</v>
      </c>
      <c r="AW51">
        <v>2064</v>
      </c>
      <c r="AX51">
        <v>2065</v>
      </c>
      <c r="AY51">
        <v>2066</v>
      </c>
      <c r="AZ51">
        <v>2067</v>
      </c>
      <c r="BA51">
        <v>2068</v>
      </c>
      <c r="BB51">
        <v>2069</v>
      </c>
      <c r="BC51">
        <v>2070</v>
      </c>
    </row>
    <row r="52" spans="1:55">
      <c r="A52" t="s">
        <v>91</v>
      </c>
      <c r="B52">
        <f>B43</f>
        <v>0</v>
      </c>
      <c r="C52">
        <f t="shared" ref="C52:AI52" si="9">C43</f>
        <v>0</v>
      </c>
      <c r="D52">
        <f t="shared" si="9"/>
        <v>0</v>
      </c>
      <c r="E52">
        <f t="shared" si="9"/>
        <v>0</v>
      </c>
      <c r="F52">
        <f t="shared" si="9"/>
        <v>0</v>
      </c>
      <c r="G52">
        <f t="shared" si="9"/>
        <v>0</v>
      </c>
      <c r="H52">
        <f t="shared" si="9"/>
        <v>0</v>
      </c>
      <c r="I52">
        <f t="shared" si="9"/>
        <v>0</v>
      </c>
      <c r="J52">
        <f t="shared" si="9"/>
        <v>0</v>
      </c>
      <c r="K52">
        <f t="shared" si="9"/>
        <v>0</v>
      </c>
      <c r="L52">
        <f t="shared" si="9"/>
        <v>0</v>
      </c>
      <c r="M52">
        <f t="shared" si="9"/>
        <v>0</v>
      </c>
      <c r="N52">
        <f t="shared" si="9"/>
        <v>0</v>
      </c>
      <c r="O52">
        <f t="shared" si="9"/>
        <v>0</v>
      </c>
      <c r="P52">
        <f t="shared" si="9"/>
        <v>0</v>
      </c>
      <c r="Q52">
        <f t="shared" si="9"/>
        <v>0</v>
      </c>
      <c r="R52">
        <f t="shared" si="9"/>
        <v>0</v>
      </c>
      <c r="S52">
        <f t="shared" si="9"/>
        <v>0</v>
      </c>
      <c r="T52">
        <f t="shared" si="9"/>
        <v>0</v>
      </c>
      <c r="U52">
        <f t="shared" si="9"/>
        <v>0</v>
      </c>
      <c r="V52">
        <f t="shared" si="9"/>
        <v>0</v>
      </c>
      <c r="W52">
        <f t="shared" si="9"/>
        <v>0</v>
      </c>
      <c r="X52">
        <f t="shared" si="9"/>
        <v>0</v>
      </c>
      <c r="Y52">
        <f t="shared" si="9"/>
        <v>0</v>
      </c>
      <c r="Z52">
        <f t="shared" si="9"/>
        <v>0</v>
      </c>
      <c r="AA52">
        <f t="shared" si="9"/>
        <v>0</v>
      </c>
      <c r="AB52">
        <f t="shared" si="9"/>
        <v>0</v>
      </c>
      <c r="AC52">
        <f t="shared" si="9"/>
        <v>0</v>
      </c>
      <c r="AD52">
        <f t="shared" si="9"/>
        <v>0</v>
      </c>
      <c r="AE52">
        <f t="shared" si="9"/>
        <v>0</v>
      </c>
      <c r="AF52">
        <f t="shared" si="9"/>
        <v>0</v>
      </c>
      <c r="AG52">
        <f t="shared" si="9"/>
        <v>0</v>
      </c>
      <c r="AH52">
        <f t="shared" si="9"/>
        <v>0</v>
      </c>
      <c r="AI52">
        <f t="shared" si="9"/>
        <v>0</v>
      </c>
      <c r="AJ52">
        <f t="shared" ref="AJ52:BC52" si="10">AJ43</f>
        <v>0</v>
      </c>
      <c r="AK52">
        <f t="shared" si="10"/>
        <v>0</v>
      </c>
      <c r="AL52">
        <f t="shared" si="10"/>
        <v>0</v>
      </c>
      <c r="AM52">
        <f t="shared" si="10"/>
        <v>0</v>
      </c>
      <c r="AN52">
        <f t="shared" si="10"/>
        <v>0</v>
      </c>
      <c r="AO52">
        <f t="shared" si="10"/>
        <v>0</v>
      </c>
      <c r="AP52">
        <f t="shared" si="10"/>
        <v>0</v>
      </c>
      <c r="AQ52">
        <f t="shared" si="10"/>
        <v>0</v>
      </c>
      <c r="AR52">
        <f t="shared" si="10"/>
        <v>0</v>
      </c>
      <c r="AS52">
        <f t="shared" si="10"/>
        <v>0</v>
      </c>
      <c r="AT52">
        <f t="shared" si="10"/>
        <v>0</v>
      </c>
      <c r="AU52">
        <f t="shared" si="10"/>
        <v>0</v>
      </c>
      <c r="AV52">
        <f t="shared" si="10"/>
        <v>0</v>
      </c>
      <c r="AW52">
        <f t="shared" si="10"/>
        <v>0</v>
      </c>
      <c r="AX52">
        <f t="shared" si="10"/>
        <v>0</v>
      </c>
      <c r="AY52">
        <f t="shared" si="10"/>
        <v>0</v>
      </c>
      <c r="AZ52">
        <f t="shared" si="10"/>
        <v>0</v>
      </c>
      <c r="BA52">
        <f t="shared" si="10"/>
        <v>0</v>
      </c>
      <c r="BB52">
        <f t="shared" si="10"/>
        <v>0</v>
      </c>
      <c r="BC52">
        <f t="shared" si="10"/>
        <v>0</v>
      </c>
    </row>
    <row r="53" spans="1:55">
      <c r="A53" t="s">
        <v>92</v>
      </c>
      <c r="B53" s="4">
        <f>B44/$B$2</f>
        <v>1442001747.1654017</v>
      </c>
      <c r="C53" s="4">
        <f t="shared" ref="C53:AI57" si="11">C44/$B$2</f>
        <v>1481841667.6567614</v>
      </c>
      <c r="D53" s="4">
        <f t="shared" si="11"/>
        <v>1452422894.100276</v>
      </c>
      <c r="E53" s="4">
        <f t="shared" si="11"/>
        <v>1460092109.534498</v>
      </c>
      <c r="F53" s="4">
        <f t="shared" si="11"/>
        <v>1467761324.9687195</v>
      </c>
      <c r="G53" s="4">
        <f t="shared" si="11"/>
        <v>1475430540.4029412</v>
      </c>
      <c r="H53" s="4">
        <f t="shared" si="11"/>
        <v>1508109370.0054655</v>
      </c>
      <c r="I53" s="4">
        <f t="shared" si="11"/>
        <v>1459778188.2171767</v>
      </c>
      <c r="J53" s="4">
        <f t="shared" si="11"/>
        <v>1465390329.6956139</v>
      </c>
      <c r="K53" s="4">
        <f t="shared" si="11"/>
        <v>1471002471.1740735</v>
      </c>
      <c r="L53" s="4">
        <f t="shared" si="11"/>
        <v>1476614612.6524892</v>
      </c>
      <c r="M53" s="4">
        <f t="shared" si="11"/>
        <v>1676492817.2777202</v>
      </c>
      <c r="N53" s="4">
        <f t="shared" si="11"/>
        <v>1446539892.5561647</v>
      </c>
      <c r="O53" s="4">
        <f t="shared" si="11"/>
        <v>1448768764.227016</v>
      </c>
      <c r="P53" s="4">
        <f t="shared" si="11"/>
        <v>1450997635.8978357</v>
      </c>
      <c r="Q53" s="4">
        <f t="shared" si="11"/>
        <v>1453226507.5686741</v>
      </c>
      <c r="R53" s="4">
        <f t="shared" si="11"/>
        <v>1634028987.2530782</v>
      </c>
      <c r="S53" s="4">
        <f t="shared" si="11"/>
        <v>1424319182.0446551</v>
      </c>
      <c r="T53" s="4">
        <f t="shared" si="11"/>
        <v>1423728470.4310627</v>
      </c>
      <c r="U53" s="4">
        <f t="shared" si="11"/>
        <v>1423137758.8174763</v>
      </c>
      <c r="V53" s="4">
        <f t="shared" si="11"/>
        <v>1422547047.2038872</v>
      </c>
      <c r="W53" s="4">
        <f t="shared" si="11"/>
        <v>1584970575.2815673</v>
      </c>
      <c r="X53" s="4">
        <f t="shared" si="11"/>
        <v>1390907700.2449145</v>
      </c>
      <c r="Y53" s="4">
        <f t="shared" si="11"/>
        <v>1387743079.5835714</v>
      </c>
      <c r="Z53" s="4">
        <f t="shared" si="11"/>
        <v>1384578458.9222221</v>
      </c>
      <c r="AA53" s="4">
        <f t="shared" si="11"/>
        <v>1381413838.2608755</v>
      </c>
      <c r="AB53" s="4">
        <f t="shared" si="11"/>
        <v>2036297219.8458841</v>
      </c>
      <c r="AC53" s="4">
        <f t="shared" si="11"/>
        <v>1252133522.8342714</v>
      </c>
      <c r="AD53" s="4">
        <f t="shared" si="11"/>
        <v>1238578670.5584607</v>
      </c>
      <c r="AE53" s="4">
        <f t="shared" si="11"/>
        <v>1225023818.2827446</v>
      </c>
      <c r="AF53" s="4">
        <f t="shared" si="11"/>
        <v>1211468966.0069342</v>
      </c>
      <c r="AG53" s="4">
        <f t="shared" si="11"/>
        <v>1197914113.7312181</v>
      </c>
      <c r="AH53" s="4">
        <f t="shared" si="11"/>
        <v>1184359261.4554565</v>
      </c>
      <c r="AI53" s="4">
        <f t="shared" si="11"/>
        <v>1170804409.1796458</v>
      </c>
      <c r="AJ53" s="4">
        <f t="shared" ref="AJ53:BC53" si="12">AJ44/$B$2</f>
        <v>1135184385.6157336</v>
      </c>
      <c r="AK53" s="4">
        <f t="shared" si="12"/>
        <v>1120235943.5743008</v>
      </c>
      <c r="AL53" s="4">
        <f t="shared" si="12"/>
        <v>1105287501.5329623</v>
      </c>
      <c r="AM53" s="4">
        <f t="shared" si="12"/>
        <v>1090339059.4916239</v>
      </c>
      <c r="AN53" s="4">
        <f t="shared" si="12"/>
        <v>1075390617.4503279</v>
      </c>
      <c r="AO53" s="4">
        <f t="shared" si="12"/>
        <v>1038965363.7346861</v>
      </c>
      <c r="AP53" s="4">
        <f t="shared" si="12"/>
        <v>1022660491.4823873</v>
      </c>
      <c r="AQ53" s="4">
        <f t="shared" si="12"/>
        <v>1006355619.2299412</v>
      </c>
      <c r="AR53" s="4">
        <f t="shared" si="12"/>
        <v>990050746.97769403</v>
      </c>
      <c r="AS53" s="4">
        <f t="shared" si="12"/>
        <v>973745874.7252512</v>
      </c>
      <c r="AT53" s="4">
        <f t="shared" si="12"/>
        <v>939261570.05832314</v>
      </c>
      <c r="AU53" s="4">
        <f t="shared" si="12"/>
        <v>921808523.12725365</v>
      </c>
      <c r="AV53" s="4">
        <f t="shared" si="12"/>
        <v>904355476.19599497</v>
      </c>
      <c r="AW53" s="4">
        <f t="shared" si="12"/>
        <v>886902429.26483405</v>
      </c>
      <c r="AX53" s="4">
        <f t="shared" si="12"/>
        <v>869449382.33372843</v>
      </c>
      <c r="AY53" s="4">
        <f t="shared" si="12"/>
        <v>836628980.78918314</v>
      </c>
      <c r="AZ53" s="4">
        <f t="shared" si="12"/>
        <v>818205364.09302545</v>
      </c>
      <c r="BA53" s="4">
        <f t="shared" si="12"/>
        <v>799781747.39681304</v>
      </c>
      <c r="BB53" s="4">
        <f t="shared" si="12"/>
        <v>781358130.70060372</v>
      </c>
      <c r="BC53" s="4">
        <f t="shared" si="12"/>
        <v>762934514.00439799</v>
      </c>
    </row>
    <row r="54" spans="1:55">
      <c r="A54" t="s">
        <v>93</v>
      </c>
      <c r="B54" s="4">
        <f t="shared" ref="B54:Q57" si="13">B45/$B$2</f>
        <v>9848303263.7664547</v>
      </c>
      <c r="C54" s="4">
        <f t="shared" si="13"/>
        <v>10482659125.460163</v>
      </c>
      <c r="D54" s="4">
        <f t="shared" si="13"/>
        <v>9805338007.5839806</v>
      </c>
      <c r="E54" s="4">
        <f t="shared" si="13"/>
        <v>9848846059.5654831</v>
      </c>
      <c r="F54" s="4">
        <f t="shared" si="13"/>
        <v>9892354111.5469837</v>
      </c>
      <c r="G54" s="4">
        <f t="shared" si="13"/>
        <v>9935862163.5284863</v>
      </c>
      <c r="H54" s="4">
        <f t="shared" si="13"/>
        <v>10443709586.262188</v>
      </c>
      <c r="I54" s="4">
        <f t="shared" si="13"/>
        <v>9427124152.7345943</v>
      </c>
      <c r="J54" s="4">
        <f t="shared" si="13"/>
        <v>9458962265.1550426</v>
      </c>
      <c r="K54" s="4">
        <f t="shared" si="13"/>
        <v>9490800377.5759144</v>
      </c>
      <c r="L54" s="4">
        <f t="shared" si="13"/>
        <v>9522638489.9959431</v>
      </c>
      <c r="M54" s="4">
        <f t="shared" si="13"/>
        <v>13161304797.087891</v>
      </c>
      <c r="N54" s="4">
        <f t="shared" si="13"/>
        <v>8661345248.4068241</v>
      </c>
      <c r="O54" s="4">
        <f t="shared" si="13"/>
        <v>8673989809.685463</v>
      </c>
      <c r="P54" s="4">
        <f t="shared" si="13"/>
        <v>8686634370.9635048</v>
      </c>
      <c r="Q54" s="4">
        <f t="shared" si="13"/>
        <v>8699278932.2419014</v>
      </c>
      <c r="R54" s="4">
        <f t="shared" si="11"/>
        <v>12027398743.156948</v>
      </c>
      <c r="S54" s="4">
        <f t="shared" si="11"/>
        <v>7959682098.0842209</v>
      </c>
      <c r="T54" s="4">
        <f t="shared" si="11"/>
        <v>7956330945.4388142</v>
      </c>
      <c r="U54" s="4">
        <f t="shared" si="11"/>
        <v>7952979792.7935286</v>
      </c>
      <c r="V54" s="4">
        <f t="shared" si="11"/>
        <v>7949628640.1481819</v>
      </c>
      <c r="W54" s="4">
        <f t="shared" si="11"/>
        <v>10972870739.702127</v>
      </c>
      <c r="X54" s="4">
        <f t="shared" si="11"/>
        <v>7244685961.7623158</v>
      </c>
      <c r="Y54" s="4">
        <f t="shared" si="11"/>
        <v>7226732824.1283464</v>
      </c>
      <c r="Z54" s="4">
        <f t="shared" si="11"/>
        <v>7208779686.4942598</v>
      </c>
      <c r="AA54" s="4">
        <f t="shared" si="11"/>
        <v>7190826548.8602314</v>
      </c>
      <c r="AB54" s="4">
        <f t="shared" si="11"/>
        <v>19390478738.184086</v>
      </c>
      <c r="AC54" s="4">
        <f t="shared" si="11"/>
        <v>4336297290.2679214</v>
      </c>
      <c r="AD54" s="4">
        <f t="shared" si="11"/>
        <v>4259399565.5292473</v>
      </c>
      <c r="AE54" s="4">
        <f t="shared" si="11"/>
        <v>4182501840.7923694</v>
      </c>
      <c r="AF54" s="4">
        <f t="shared" si="11"/>
        <v>4105604116.0536952</v>
      </c>
      <c r="AG54" s="4">
        <f t="shared" si="11"/>
        <v>4028706391.3168159</v>
      </c>
      <c r="AH54" s="4">
        <f t="shared" si="11"/>
        <v>3951808666.5790482</v>
      </c>
      <c r="AI54" s="4">
        <f t="shared" si="11"/>
        <v>3874910941.840374</v>
      </c>
      <c r="AJ54" s="4">
        <f t="shared" ref="AJ54:BC54" si="14">AJ45/$B$2</f>
        <v>3388341653.0980816</v>
      </c>
      <c r="AK54" s="4">
        <f t="shared" si="14"/>
        <v>3303537985.8951769</v>
      </c>
      <c r="AL54" s="4">
        <f t="shared" si="14"/>
        <v>3218734318.6941113</v>
      </c>
      <c r="AM54" s="4">
        <f t="shared" si="14"/>
        <v>3133930651.4930444</v>
      </c>
      <c r="AN54" s="4">
        <f t="shared" si="14"/>
        <v>3049126984.2927647</v>
      </c>
      <c r="AO54" s="4">
        <f t="shared" si="14"/>
        <v>2565575493.4947386</v>
      </c>
      <c r="AP54" s="4">
        <f t="shared" si="14"/>
        <v>2473076692.8566976</v>
      </c>
      <c r="AQ54" s="4">
        <f t="shared" si="14"/>
        <v>2380577892.2158918</v>
      </c>
      <c r="AR54" s="4">
        <f t="shared" si="14"/>
        <v>2288079091.5788574</v>
      </c>
      <c r="AS54" s="4">
        <f t="shared" si="14"/>
        <v>2195580290.9381118</v>
      </c>
      <c r="AT54" s="4">
        <f t="shared" si="14"/>
        <v>1765554243.7286844</v>
      </c>
      <c r="AU54" s="4">
        <f t="shared" si="14"/>
        <v>1666541759.3857813</v>
      </c>
      <c r="AV54" s="4">
        <f t="shared" si="14"/>
        <v>1567529275.0392861</v>
      </c>
      <c r="AW54" s="4">
        <f t="shared" si="14"/>
        <v>1468516790.6946888</v>
      </c>
      <c r="AX54" s="4">
        <f t="shared" si="14"/>
        <v>1369504306.3511202</v>
      </c>
      <c r="AY54" s="4">
        <f t="shared" si="14"/>
        <v>985174834.57574916</v>
      </c>
      <c r="AZ54" s="4">
        <f t="shared" si="14"/>
        <v>880656232.93090689</v>
      </c>
      <c r="BA54" s="4">
        <f t="shared" si="14"/>
        <v>776137631.28499651</v>
      </c>
      <c r="BB54" s="4">
        <f t="shared" si="14"/>
        <v>671619029.63914752</v>
      </c>
      <c r="BC54" s="4">
        <f t="shared" si="14"/>
        <v>567100427.993361</v>
      </c>
    </row>
    <row r="55" spans="1:55">
      <c r="A55" t="s">
        <v>94</v>
      </c>
      <c r="B55" s="4">
        <f t="shared" si="13"/>
        <v>1221662928.8254893</v>
      </c>
      <c r="C55" s="4">
        <f t="shared" si="13"/>
        <v>1244943626.7490721</v>
      </c>
      <c r="D55" s="4">
        <f t="shared" si="13"/>
        <v>1233790986.9561641</v>
      </c>
      <c r="E55" s="4">
        <f t="shared" si="13"/>
        <v>1240544728.4039254</v>
      </c>
      <c r="F55" s="4">
        <f t="shared" si="13"/>
        <v>1247298469.8516865</v>
      </c>
      <c r="G55" s="4">
        <f t="shared" si="13"/>
        <v>1254052211.299448</v>
      </c>
      <c r="H55" s="4">
        <f t="shared" si="13"/>
        <v>1273509178.3406625</v>
      </c>
      <c r="I55" s="4">
        <f t="shared" si="13"/>
        <v>1252407125.6403723</v>
      </c>
      <c r="J55" s="4">
        <f t="shared" si="13"/>
        <v>1257349345.9807329</v>
      </c>
      <c r="K55" s="4">
        <f t="shared" si="13"/>
        <v>1262291566.3211055</v>
      </c>
      <c r="L55" s="4">
        <f t="shared" si="13"/>
        <v>1267233786.6614559</v>
      </c>
      <c r="M55" s="4">
        <f t="shared" si="13"/>
        <v>1370850285.1693518</v>
      </c>
      <c r="N55" s="4">
        <f t="shared" si="13"/>
        <v>1260713846.1409454</v>
      </c>
      <c r="O55" s="4">
        <f t="shared" si="13"/>
        <v>1262676657.4759815</v>
      </c>
      <c r="P55" s="4">
        <f t="shared" si="13"/>
        <v>1264639468.8110015</v>
      </c>
      <c r="Q55" s="4">
        <f t="shared" si="13"/>
        <v>1266602280.1460309</v>
      </c>
      <c r="R55" s="4">
        <f t="shared" si="11"/>
        <v>1359268643.0179865</v>
      </c>
      <c r="S55" s="4">
        <f t="shared" si="11"/>
        <v>1257784053.8251505</v>
      </c>
      <c r="T55" s="4">
        <f t="shared" si="11"/>
        <v>1257263855.4368534</v>
      </c>
      <c r="U55" s="4">
        <f t="shared" si="11"/>
        <v>1256743657.0485594</v>
      </c>
      <c r="V55" s="4">
        <f t="shared" si="11"/>
        <v>1256223458.6602643</v>
      </c>
      <c r="W55" s="4">
        <f t="shared" si="11"/>
        <v>1338503684.4531646</v>
      </c>
      <c r="X55" s="4">
        <f t="shared" si="11"/>
        <v>1243549602.2862132</v>
      </c>
      <c r="Y55" s="4">
        <f t="shared" si="11"/>
        <v>1240762742.285959</v>
      </c>
      <c r="Z55" s="4">
        <f t="shared" si="11"/>
        <v>1237975882.2857018</v>
      </c>
      <c r="AA55" s="4">
        <f t="shared" si="11"/>
        <v>1235189022.2854459</v>
      </c>
      <c r="AB55" s="4">
        <f t="shared" si="11"/>
        <v>1566646911.8284104</v>
      </c>
      <c r="AC55" s="4">
        <f t="shared" si="11"/>
        <v>1182653914.9741185</v>
      </c>
      <c r="AD55" s="4">
        <f t="shared" si="11"/>
        <v>1170717104.9550931</v>
      </c>
      <c r="AE55" s="4">
        <f t="shared" si="11"/>
        <v>1158780294.9361143</v>
      </c>
      <c r="AF55" s="4">
        <f t="shared" si="11"/>
        <v>1146843484.9170887</v>
      </c>
      <c r="AG55" s="4">
        <f t="shared" si="11"/>
        <v>1134906674.8981102</v>
      </c>
      <c r="AH55" s="4">
        <f t="shared" si="11"/>
        <v>1122969864.8791094</v>
      </c>
      <c r="AI55" s="4">
        <f t="shared" si="11"/>
        <v>1111033054.8600838</v>
      </c>
      <c r="AJ55" s="4">
        <f t="shared" ref="AJ55:BC55" si="15">AJ46/$B$2</f>
        <v>1087888600.9827924</v>
      </c>
      <c r="AK55" s="4">
        <f t="shared" si="15"/>
        <v>1074724553.9612551</v>
      </c>
      <c r="AL55" s="4">
        <f t="shared" si="15"/>
        <v>1061560506.9397635</v>
      </c>
      <c r="AM55" s="4">
        <f t="shared" si="15"/>
        <v>1048396459.9182718</v>
      </c>
      <c r="AN55" s="4">
        <f t="shared" si="15"/>
        <v>1035232412.8968016</v>
      </c>
      <c r="AO55" s="4">
        <f t="shared" si="15"/>
        <v>1011159569.6863412</v>
      </c>
      <c r="AP55" s="4">
        <f t="shared" si="15"/>
        <v>996801009.4821825</v>
      </c>
      <c r="AQ55" s="4">
        <f t="shared" si="15"/>
        <v>982442449.27795053</v>
      </c>
      <c r="AR55" s="4">
        <f t="shared" si="15"/>
        <v>968083889.0738169</v>
      </c>
      <c r="AS55" s="4">
        <f t="shared" si="15"/>
        <v>953725328.86958647</v>
      </c>
      <c r="AT55" s="4">
        <f t="shared" si="15"/>
        <v>930132822.48897302</v>
      </c>
      <c r="AU55" s="4">
        <f t="shared" si="15"/>
        <v>914763145.1785171</v>
      </c>
      <c r="AV55" s="4">
        <f t="shared" si="15"/>
        <v>899393467.86796725</v>
      </c>
      <c r="AW55" s="4">
        <f t="shared" si="15"/>
        <v>884023790.55746472</v>
      </c>
      <c r="AX55" s="4">
        <f t="shared" si="15"/>
        <v>868654113.24699068</v>
      </c>
      <c r="AY55" s="4">
        <f t="shared" si="15"/>
        <v>845478838.81233072</v>
      </c>
      <c r="AZ55" s="4">
        <f t="shared" si="15"/>
        <v>829254448.61676431</v>
      </c>
      <c r="BA55" s="4">
        <f t="shared" si="15"/>
        <v>813030058.42117143</v>
      </c>
      <c r="BB55" s="4">
        <f t="shared" si="15"/>
        <v>796805668.2255801</v>
      </c>
      <c r="BC55" s="4">
        <f t="shared" si="15"/>
        <v>780581278.02999079</v>
      </c>
    </row>
    <row r="56" spans="1:55">
      <c r="A56" t="s">
        <v>95</v>
      </c>
      <c r="B56" s="4">
        <f t="shared" si="13"/>
        <v>4420586210.8150587</v>
      </c>
      <c r="C56" s="4">
        <f t="shared" si="13"/>
        <v>4530041800.7610083</v>
      </c>
      <c r="D56" s="4">
        <f t="shared" si="13"/>
        <v>4456527360.9593716</v>
      </c>
      <c r="E56" s="4">
        <f t="shared" si="13"/>
        <v>4480348420.8536358</v>
      </c>
      <c r="F56" s="4">
        <f t="shared" si="13"/>
        <v>4504169480.7478991</v>
      </c>
      <c r="G56" s="4">
        <f t="shared" si="13"/>
        <v>4527990540.6421633</v>
      </c>
      <c r="H56" s="4">
        <f t="shared" si="13"/>
        <v>4618208769.0167303</v>
      </c>
      <c r="I56" s="4">
        <f t="shared" si="13"/>
        <v>4494068980.7711639</v>
      </c>
      <c r="J56" s="4">
        <f t="shared" si="13"/>
        <v>4511500641.0810804</v>
      </c>
      <c r="K56" s="4">
        <f t="shared" si="13"/>
        <v>4528932301.3910589</v>
      </c>
      <c r="L56" s="4">
        <f t="shared" si="13"/>
        <v>4546363961.7009201</v>
      </c>
      <c r="M56" s="4">
        <f t="shared" si="13"/>
        <v>5079545942.5859909</v>
      </c>
      <c r="N56" s="4">
        <f t="shared" si="13"/>
        <v>4477119898.0800409</v>
      </c>
      <c r="O56" s="4">
        <f t="shared" si="13"/>
        <v>4484042912.0471554</v>
      </c>
      <c r="P56" s="4">
        <f t="shared" si="13"/>
        <v>4490965926.014185</v>
      </c>
      <c r="Q56" s="4">
        <f t="shared" si="13"/>
        <v>4497888939.9812641</v>
      </c>
      <c r="R56" s="4">
        <f t="shared" si="11"/>
        <v>4978900912.6032839</v>
      </c>
      <c r="S56" s="4">
        <f t="shared" si="11"/>
        <v>4428243932.0931787</v>
      </c>
      <c r="T56" s="4">
        <f t="shared" si="11"/>
        <v>4426409145.0998669</v>
      </c>
      <c r="U56" s="4">
        <f t="shared" si="11"/>
        <v>4424574358.1065722</v>
      </c>
      <c r="V56" s="4">
        <f t="shared" si="11"/>
        <v>4422739571.1132698</v>
      </c>
      <c r="W56" s="4">
        <f t="shared" si="11"/>
        <v>4853685708.4729624</v>
      </c>
      <c r="X56" s="4">
        <f t="shared" si="11"/>
        <v>4342853652.0743389</v>
      </c>
      <c r="Y56" s="4">
        <f t="shared" si="11"/>
        <v>4333024143.5720596</v>
      </c>
      <c r="Z56" s="4">
        <f t="shared" si="11"/>
        <v>4323194635.0697651</v>
      </c>
      <c r="AA56" s="4">
        <f t="shared" si="11"/>
        <v>4313365126.5674763</v>
      </c>
      <c r="AB56" s="4">
        <f t="shared" si="11"/>
        <v>6050564731.7191963</v>
      </c>
      <c r="AC56" s="4">
        <f t="shared" si="11"/>
        <v>3986039652.3553958</v>
      </c>
      <c r="AD56" s="4">
        <f t="shared" si="11"/>
        <v>3943937438.5514913</v>
      </c>
      <c r="AE56" s="4">
        <f t="shared" si="11"/>
        <v>3901835224.7478356</v>
      </c>
      <c r="AF56" s="4">
        <f t="shared" si="11"/>
        <v>3859733010.9439301</v>
      </c>
      <c r="AG56" s="4">
        <f t="shared" si="11"/>
        <v>3817630797.1402755</v>
      </c>
      <c r="AH56" s="4">
        <f t="shared" si="11"/>
        <v>3775528583.3365002</v>
      </c>
      <c r="AI56" s="4">
        <f t="shared" si="11"/>
        <v>3733426369.5325947</v>
      </c>
      <c r="AJ56" s="4">
        <f t="shared" ref="AJ56:BC56" si="16">AJ47/$B$2</f>
        <v>3632744087.8514452</v>
      </c>
      <c r="AK56" s="4">
        <f t="shared" si="16"/>
        <v>3586313297.6032515</v>
      </c>
      <c r="AL56" s="4">
        <f t="shared" si="16"/>
        <v>3539882507.3553066</v>
      </c>
      <c r="AM56" s="4">
        <f t="shared" si="16"/>
        <v>3493451717.1073618</v>
      </c>
      <c r="AN56" s="4">
        <f t="shared" si="16"/>
        <v>3447020926.8595295</v>
      </c>
      <c r="AO56" s="4">
        <f t="shared" si="16"/>
        <v>3343572084.5312066</v>
      </c>
      <c r="AP56" s="4">
        <f t="shared" si="16"/>
        <v>3292928137.7257276</v>
      </c>
      <c r="AQ56" s="4">
        <f t="shared" si="16"/>
        <v>3242284190.9198589</v>
      </c>
      <c r="AR56" s="4">
        <f t="shared" si="16"/>
        <v>3191640244.1145148</v>
      </c>
      <c r="AS56" s="4">
        <f t="shared" si="16"/>
        <v>3140996297.3086548</v>
      </c>
      <c r="AT56" s="4">
        <f t="shared" si="16"/>
        <v>3042088397.7373495</v>
      </c>
      <c r="AU56" s="4">
        <f t="shared" si="16"/>
        <v>2987878149.0034885</v>
      </c>
      <c r="AV56" s="4">
        <f t="shared" si="16"/>
        <v>2933667900.2691274</v>
      </c>
      <c r="AW56" s="4">
        <f t="shared" si="16"/>
        <v>2879457651.5350227</v>
      </c>
      <c r="AX56" s="4">
        <f t="shared" si="16"/>
        <v>2825247402.8010659</v>
      </c>
      <c r="AY56" s="4">
        <f t="shared" si="16"/>
        <v>2730238890.387444</v>
      </c>
      <c r="AZ56" s="4">
        <f t="shared" si="16"/>
        <v>2673013991.6279187</v>
      </c>
      <c r="BA56" s="4">
        <f t="shared" si="16"/>
        <v>2615789092.8682489</v>
      </c>
      <c r="BB56" s="4">
        <f t="shared" si="16"/>
        <v>2558564194.1085882</v>
      </c>
      <c r="BC56" s="4">
        <f t="shared" si="16"/>
        <v>2501339295.3489366</v>
      </c>
    </row>
    <row r="57" spans="1:55">
      <c r="A57" t="s">
        <v>96</v>
      </c>
      <c r="B57" s="4">
        <f t="shared" si="13"/>
        <v>122315519.27260946</v>
      </c>
      <c r="C57" s="4">
        <f t="shared" si="13"/>
        <v>125629490.28930101</v>
      </c>
      <c r="D57" s="4">
        <f t="shared" si="13"/>
        <v>123220077.93948624</v>
      </c>
      <c r="E57" s="4">
        <f t="shared" si="13"/>
        <v>123872207.95511185</v>
      </c>
      <c r="F57" s="4">
        <f t="shared" si="13"/>
        <v>124524337.97073743</v>
      </c>
      <c r="G57" s="4">
        <f t="shared" si="13"/>
        <v>125176467.98636304</v>
      </c>
      <c r="H57" s="4">
        <f t="shared" si="13"/>
        <v>127897017.43833795</v>
      </c>
      <c r="I57" s="4">
        <f t="shared" si="13"/>
        <v>123921312.11016691</v>
      </c>
      <c r="J57" s="4">
        <f t="shared" si="13"/>
        <v>124398524.66748995</v>
      </c>
      <c r="K57" s="4">
        <f t="shared" si="13"/>
        <v>124875737.22481486</v>
      </c>
      <c r="L57" s="4">
        <f t="shared" si="13"/>
        <v>125352949.78213611</v>
      </c>
      <c r="M57" s="4">
        <f t="shared" si="13"/>
        <v>141896931.62793407</v>
      </c>
      <c r="N57" s="4">
        <f t="shared" si="13"/>
        <v>122920295.39443697</v>
      </c>
      <c r="O57" s="4">
        <f t="shared" si="13"/>
        <v>123109821.1849179</v>
      </c>
      <c r="P57" s="4">
        <f t="shared" si="13"/>
        <v>123299346.97539622</v>
      </c>
      <c r="Q57" s="4">
        <f t="shared" si="13"/>
        <v>123488872.76587607</v>
      </c>
      <c r="R57" s="4">
        <f t="shared" si="11"/>
        <v>138447323.7844156</v>
      </c>
      <c r="S57" s="4">
        <f t="shared" si="11"/>
        <v>121134714.15852582</v>
      </c>
      <c r="T57" s="4">
        <f t="shared" si="11"/>
        <v>121084484.66932885</v>
      </c>
      <c r="U57" s="4">
        <f t="shared" si="11"/>
        <v>121034255.18013243</v>
      </c>
      <c r="V57" s="4">
        <f t="shared" si="11"/>
        <v>120984025.69093576</v>
      </c>
      <c r="W57" s="4">
        <f t="shared" si="11"/>
        <v>134415884.31033832</v>
      </c>
      <c r="X57" s="4">
        <f t="shared" si="11"/>
        <v>118388504.95218442</v>
      </c>
      <c r="Y57" s="4">
        <f t="shared" si="11"/>
        <v>118119410.39628996</v>
      </c>
      <c r="Z57" s="4">
        <f t="shared" si="11"/>
        <v>117850315.84039497</v>
      </c>
      <c r="AA57" s="4">
        <f t="shared" si="11"/>
        <v>117581221.28450023</v>
      </c>
      <c r="AB57" s="4">
        <f t="shared" si="11"/>
        <v>171735968.24561268</v>
      </c>
      <c r="AC57" s="4">
        <f t="shared" si="11"/>
        <v>106971087.47638258</v>
      </c>
      <c r="AD57" s="4">
        <f t="shared" si="11"/>
        <v>105818488.99975324</v>
      </c>
      <c r="AE57" s="4">
        <f t="shared" si="11"/>
        <v>104665890.52313171</v>
      </c>
      <c r="AF57" s="4">
        <f t="shared" si="11"/>
        <v>103513292.0465024</v>
      </c>
      <c r="AG57" s="4">
        <f t="shared" si="11"/>
        <v>102360693.56988084</v>
      </c>
      <c r="AH57" s="4">
        <f t="shared" si="11"/>
        <v>101208095.09325556</v>
      </c>
      <c r="AI57" s="4">
        <f t="shared" si="11"/>
        <v>100055496.6166262</v>
      </c>
      <c r="AJ57" s="4">
        <f t="shared" ref="AJ57:BC57" si="17">AJ48/$B$2</f>
        <v>97077998.769236848</v>
      </c>
      <c r="AK57" s="4">
        <f t="shared" si="17"/>
        <v>95806900.333462432</v>
      </c>
      <c r="AL57" s="4">
        <f t="shared" si="17"/>
        <v>94535801.89769581</v>
      </c>
      <c r="AM57" s="4">
        <f t="shared" si="17"/>
        <v>93264703.461929217</v>
      </c>
      <c r="AN57" s="4">
        <f t="shared" si="17"/>
        <v>91993605.026166096</v>
      </c>
      <c r="AO57" s="4">
        <f t="shared" si="17"/>
        <v>88946267.484950006</v>
      </c>
      <c r="AP57" s="4">
        <f t="shared" si="17"/>
        <v>87559828.84753482</v>
      </c>
      <c r="AQ57" s="4">
        <f t="shared" si="17"/>
        <v>86173390.210107476</v>
      </c>
      <c r="AR57" s="4">
        <f t="shared" si="17"/>
        <v>84786951.572696567</v>
      </c>
      <c r="AS57" s="4">
        <f t="shared" si="17"/>
        <v>83400512.935269475</v>
      </c>
      <c r="AT57" s="4">
        <f t="shared" si="17"/>
        <v>80510544.851331413</v>
      </c>
      <c r="AU57" s="4">
        <f t="shared" si="17"/>
        <v>79026474.431678459</v>
      </c>
      <c r="AV57" s="4">
        <f t="shared" si="17"/>
        <v>77542404.012009859</v>
      </c>
      <c r="AW57" s="4">
        <f t="shared" si="17"/>
        <v>76058333.59234935</v>
      </c>
      <c r="AX57" s="4">
        <f t="shared" si="17"/>
        <v>74574263.172693416</v>
      </c>
      <c r="AY57" s="4">
        <f t="shared" si="17"/>
        <v>71819236.121967301</v>
      </c>
      <c r="AZ57" s="4">
        <f t="shared" si="17"/>
        <v>70252636.050943777</v>
      </c>
      <c r="BA57" s="4">
        <f t="shared" si="17"/>
        <v>68686035.979915738</v>
      </c>
      <c r="BB57" s="4">
        <f t="shared" si="17"/>
        <v>67119435.908887967</v>
      </c>
      <c r="BC57" s="4">
        <f t="shared" si="17"/>
        <v>65552835.837860473</v>
      </c>
    </row>
    <row r="59" spans="1:55">
      <c r="A59" s="39" t="s">
        <v>172</v>
      </c>
      <c r="B59" s="40"/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  <c r="AF59" s="40"/>
      <c r="AG59" s="40"/>
      <c r="AH59" s="40"/>
      <c r="AI59" s="40"/>
    </row>
    <row r="60" spans="1:55">
      <c r="A60" s="2" t="s">
        <v>173</v>
      </c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</row>
    <row r="61" spans="1:55">
      <c r="B61" s="38">
        <v>2017</v>
      </c>
      <c r="C61" s="38">
        <v>2018</v>
      </c>
      <c r="D61" s="38">
        <v>2019</v>
      </c>
      <c r="E61" s="38">
        <v>2020</v>
      </c>
      <c r="F61" s="38">
        <v>2021</v>
      </c>
      <c r="G61" s="38">
        <v>2022</v>
      </c>
      <c r="H61" s="38">
        <v>2023</v>
      </c>
      <c r="I61" s="38">
        <v>2024</v>
      </c>
      <c r="J61" s="38">
        <v>2025</v>
      </c>
      <c r="K61" s="38">
        <v>2026</v>
      </c>
      <c r="L61" s="38">
        <v>2027</v>
      </c>
      <c r="M61" s="38">
        <v>2028</v>
      </c>
      <c r="N61" s="38">
        <v>2029</v>
      </c>
      <c r="O61" s="38">
        <v>2030</v>
      </c>
      <c r="P61" s="38">
        <v>2031</v>
      </c>
      <c r="Q61" s="38">
        <v>2032</v>
      </c>
      <c r="R61" s="38">
        <v>2033</v>
      </c>
      <c r="S61" s="38">
        <v>2034</v>
      </c>
      <c r="T61" s="38">
        <v>2035</v>
      </c>
      <c r="U61" s="38">
        <v>2036</v>
      </c>
      <c r="V61" s="38">
        <v>2037</v>
      </c>
      <c r="W61" s="38">
        <v>2038</v>
      </c>
      <c r="X61" s="38">
        <v>2039</v>
      </c>
      <c r="Y61" s="38">
        <v>2040</v>
      </c>
      <c r="Z61" s="38">
        <v>2041</v>
      </c>
      <c r="AA61" s="38">
        <v>2042</v>
      </c>
      <c r="AB61" s="38">
        <v>2043</v>
      </c>
      <c r="AC61" s="38">
        <v>2044</v>
      </c>
      <c r="AD61" s="38">
        <v>2045</v>
      </c>
      <c r="AE61" s="38">
        <v>2046</v>
      </c>
      <c r="AF61" s="38">
        <v>2047</v>
      </c>
      <c r="AG61" s="38">
        <v>2048</v>
      </c>
      <c r="AH61" s="38">
        <v>2049</v>
      </c>
      <c r="AI61" s="38">
        <v>2050</v>
      </c>
      <c r="AJ61">
        <v>2051</v>
      </c>
      <c r="AK61">
        <v>2052</v>
      </c>
      <c r="AL61">
        <v>2053</v>
      </c>
      <c r="AM61">
        <v>2054</v>
      </c>
      <c r="AN61">
        <v>2055</v>
      </c>
      <c r="AO61">
        <v>2056</v>
      </c>
      <c r="AP61">
        <v>2057</v>
      </c>
      <c r="AQ61">
        <v>2058</v>
      </c>
      <c r="AR61">
        <v>2059</v>
      </c>
      <c r="AS61">
        <v>2060</v>
      </c>
      <c r="AT61">
        <v>2061</v>
      </c>
      <c r="AU61">
        <v>2062</v>
      </c>
      <c r="AV61">
        <v>2063</v>
      </c>
      <c r="AW61">
        <v>2064</v>
      </c>
      <c r="AX61">
        <v>2065</v>
      </c>
      <c r="AY61">
        <v>2066</v>
      </c>
      <c r="AZ61">
        <v>2067</v>
      </c>
      <c r="BA61">
        <v>2068</v>
      </c>
      <c r="BB61">
        <v>2069</v>
      </c>
      <c r="BC61">
        <v>2070</v>
      </c>
    </row>
    <row r="62" spans="1:55">
      <c r="A62" t="s">
        <v>91</v>
      </c>
      <c r="B62" s="4">
        <f>'Building Projections'!G$29+(1/'Component Lifetimes'!$B2)*'Building Projections'!F$28</f>
        <v>61488894.423770353</v>
      </c>
      <c r="C62" s="4">
        <f>'Building Projections'!H$29+(1/'Component Lifetimes'!$B2)*'Building Projections'!G$28</f>
        <v>69526997.894722849</v>
      </c>
      <c r="D62" s="4">
        <f>'Building Projections'!I$29+(1/'Component Lifetimes'!$B2)*'Building Projections'!H$28</f>
        <v>77937864.312891692</v>
      </c>
      <c r="E62" s="4">
        <f>'Building Projections'!J$29+(1/'Component Lifetimes'!$B2)*'Building Projections'!I$28</f>
        <v>86721493.687371969</v>
      </c>
      <c r="F62" s="4">
        <f>'Building Projections'!K$29+(1/'Component Lifetimes'!$B2)*'Building Projections'!J$28</f>
        <v>95877885.998178497</v>
      </c>
      <c r="G62" s="4">
        <f>'Building Projections'!L$29+(1/'Component Lifetimes'!$B2)*'Building Projections'!K$28</f>
        <v>105407041.26290274</v>
      </c>
      <c r="H62" s="4">
        <f>'Building Projections'!M$29+(1/'Component Lifetimes'!$B2)*'Building Projections'!L$28</f>
        <v>115308959.47053555</v>
      </c>
      <c r="I62" s="4">
        <f>'Building Projections'!N$29+(1/'Component Lifetimes'!$B2)*'Building Projections'!M$28</f>
        <v>125583640.63447931</v>
      </c>
      <c r="J62" s="4">
        <f>'Building Projections'!O$29+(1/'Component Lifetimes'!$B2)*'Building Projections'!N$28</f>
        <v>136231084.73702335</v>
      </c>
      <c r="K62" s="4">
        <f>'Building Projections'!P$29+(1/'Component Lifetimes'!$B2)*'Building Projections'!O$28</f>
        <v>147251291.78678375</v>
      </c>
      <c r="L62" s="4">
        <f>'Building Projections'!Q$29+(1/'Component Lifetimes'!$B2)*'Building Projections'!P$28</f>
        <v>158644261.79285523</v>
      </c>
      <c r="M62" s="4">
        <f>'Building Projections'!R$29+(1/'Component Lifetimes'!$B2)*'Building Projections'!Q$28</f>
        <v>170409994.73525321</v>
      </c>
      <c r="N62" s="4">
        <f>'Building Projections'!S$29+(1/'Component Lifetimes'!$B2)*'Building Projections'!R$28</f>
        <v>182548490.62929544</v>
      </c>
      <c r="O62" s="4">
        <f>'Building Projections'!T$29+(1/'Component Lifetimes'!$B2)*'Building Projections'!S$28</f>
        <v>195059749.47749463</v>
      </c>
      <c r="P62" s="4">
        <f>'Building Projections'!U$29+(1/'Component Lifetimes'!$B2)*'Building Projections'!T$28</f>
        <v>207943771.26202029</v>
      </c>
      <c r="Q62" s="4">
        <f>'Building Projections'!V$29+(1/'Component Lifetimes'!$B2)*'Building Projections'!U$28</f>
        <v>221200555.99819025</v>
      </c>
      <c r="R62" s="4">
        <f>'Building Projections'!W$29+(1/'Component Lifetimes'!$B2)*'Building Projections'!V$28</f>
        <v>234830103.681696</v>
      </c>
      <c r="S62" s="4">
        <f>'Building Projections'!X$29+(1/'Component Lifetimes'!$B2)*'Building Projections'!W$28</f>
        <v>248832414.31935889</v>
      </c>
      <c r="T62" s="4">
        <f>'Building Projections'!Y$29+(1/'Component Lifetimes'!$B2)*'Building Projections'!X$28</f>
        <v>263207487.89334852</v>
      </c>
      <c r="U62" s="4">
        <f>'Building Projections'!Z$29+(1/'Component Lifetimes'!$B2)*'Building Projections'!Y$28</f>
        <v>277955324.41898221</v>
      </c>
      <c r="V62" s="4">
        <f>'Building Projections'!AA$29+(1/'Component Lifetimes'!$B2)*'Building Projections'!Z$28</f>
        <v>293075923.8987726</v>
      </c>
      <c r="W62" s="4">
        <f>'Building Projections'!AB$29+(1/'Component Lifetimes'!$B2)*'Building Projections'!AA$28</f>
        <v>308569286.31261617</v>
      </c>
      <c r="X62" s="4">
        <f>'Building Projections'!AC$29+(1/'Component Lifetimes'!$B2)*'Building Projections'!AB$28</f>
        <v>324435411.68480504</v>
      </c>
      <c r="Y62" s="4">
        <f>'Building Projections'!AD$29+(1/'Component Lifetimes'!$B2)*'Building Projections'!AC$28</f>
        <v>340674300.00229609</v>
      </c>
      <c r="Z62" s="4">
        <f>'Building Projections'!AE$29+(1/'Component Lifetimes'!$B2)*'Building Projections'!AD$28</f>
        <v>357285951.2604208</v>
      </c>
      <c r="AA62" s="4">
        <f>'Building Projections'!AF$29+(1/'Component Lifetimes'!$B2)*'Building Projections'!AE$28</f>
        <v>374270365.47246379</v>
      </c>
      <c r="AB62" s="4">
        <f>'Building Projections'!AG$29+(1/'Component Lifetimes'!$B2)*'Building Projections'!AF$28</f>
        <v>391627542.6296894</v>
      </c>
      <c r="AC62" s="4">
        <f>'Building Projections'!AH$29+(1/'Component Lifetimes'!$B2)*'Building Projections'!AG$28</f>
        <v>409357482.74107122</v>
      </c>
      <c r="AD62" s="4">
        <f>'Building Projections'!AI$29+(1/'Component Lifetimes'!$B2)*'Building Projections'!AH$28</f>
        <v>427460185.7865057</v>
      </c>
      <c r="AE62" s="4">
        <f>'Building Projections'!AJ$29+(1/'Component Lifetimes'!$B2)*'Building Projections'!AI$28</f>
        <v>445935651.7880134</v>
      </c>
      <c r="AF62" s="4">
        <f>'Building Projections'!AK$29+(1/'Component Lifetimes'!$B2)*'Building Projections'!AJ$28</f>
        <v>464783880.74152243</v>
      </c>
      <c r="AG62" s="4">
        <f>'Building Projections'!AL$29+(1/'Component Lifetimes'!$B2)*'Building Projections'!AK$28</f>
        <v>484004872.62908518</v>
      </c>
      <c r="AH62" s="4">
        <f>'Building Projections'!AM$29+(1/'Component Lifetimes'!$B2)*'Building Projections'!AL$28</f>
        <v>503598627.47271913</v>
      </c>
      <c r="AI62" s="4">
        <f>'Building Projections'!AN$29+(1/'Component Lifetimes'!$B2)*'Building Projections'!AM$28</f>
        <v>523565145.26608419</v>
      </c>
      <c r="AJ62" s="4">
        <f>'Building Projections'!AO$29+(1/'Component Lifetimes'!$B2)*'Building Projections'!AN$28</f>
        <v>543904425.99792767</v>
      </c>
      <c r="AK62" s="4">
        <f>'Building Projections'!AP$29+(1/'Component Lifetimes'!$B2)*'Building Projections'!AO$28</f>
        <v>564616469.68369019</v>
      </c>
      <c r="AL62" s="4">
        <f>'Building Projections'!AQ$29+(1/'Component Lifetimes'!$B2)*'Building Projections'!AP$28</f>
        <v>585701276.31690764</v>
      </c>
      <c r="AM62" s="4">
        <f>'Building Projections'!AR$29+(1/'Component Lifetimes'!$B2)*'Building Projections'!AQ$28</f>
        <v>607158845.89530802</v>
      </c>
      <c r="AN62" s="4">
        <f>'Building Projections'!AS$29+(1/'Component Lifetimes'!$B2)*'Building Projections'!AR$28</f>
        <v>628989178.41876984</v>
      </c>
      <c r="AO62" s="4">
        <f>'Building Projections'!AT$29+(1/'Component Lifetimes'!$B2)*'Building Projections'!AS$28</f>
        <v>651192273.89399529</v>
      </c>
      <c r="AP62" s="4">
        <f>'Building Projections'!AU$29+(1/'Component Lifetimes'!$B2)*'Building Projections'!AT$28</f>
        <v>673768132.31667733</v>
      </c>
      <c r="AQ62" s="4">
        <f>'Building Projections'!AV$29+(1/'Component Lifetimes'!$B2)*'Building Projections'!AU$28</f>
        <v>696716753.68454146</v>
      </c>
      <c r="AR62" s="4">
        <f>'Building Projections'!AW$29+(1/'Component Lifetimes'!$B2)*'Building Projections'!AV$28</f>
        <v>720038137.99746621</v>
      </c>
      <c r="AS62" s="4">
        <f>'Building Projections'!AX$29+(1/'Component Lifetimes'!$B2)*'Building Projections'!AW$28</f>
        <v>743732285.26670432</v>
      </c>
      <c r="AT62" s="4">
        <f>'Building Projections'!AY$29+(1/'Component Lifetimes'!$B2)*'Building Projections'!AX$28</f>
        <v>767799195.47226787</v>
      </c>
      <c r="AU62" s="4">
        <f>'Building Projections'!AZ$29+(1/'Component Lifetimes'!$B2)*'Building Projections'!AY$28</f>
        <v>792238868.62947321</v>
      </c>
      <c r="AV62" s="4">
        <f>'Building Projections'!BA$29+(1/'Component Lifetimes'!$B2)*'Building Projections'!AZ$28</f>
        <v>817051304.74084091</v>
      </c>
      <c r="AW62" s="4">
        <f>'Building Projections'!BB$29+(1/'Component Lifetimes'!$B2)*'Building Projections'!BA$28</f>
        <v>842236503.78625667</v>
      </c>
      <c r="AX62" s="4">
        <f>'Building Projections'!BC$29+(1/'Component Lifetimes'!$B2)*'Building Projections'!BB$28</f>
        <v>867794465.78774548</v>
      </c>
      <c r="AY62" s="4">
        <f>'Building Projections'!BD$29+(1/'Component Lifetimes'!$B2)*'Building Projections'!BC$28</f>
        <v>893725190.73669195</v>
      </c>
      <c r="AZ62" s="4">
        <f>'Building Projections'!BE$29+(1/'Component Lifetimes'!$B2)*'Building Projections'!BD$28</f>
        <v>920028678.63309216</v>
      </c>
      <c r="BA62" s="4">
        <f>'Building Projections'!BF$29+(1/'Component Lifetimes'!$B2)*'Building Projections'!BE$28</f>
        <v>946704929.4724009</v>
      </c>
      <c r="BB62" s="4">
        <f>'Building Projections'!BG$29+(1/'Component Lifetimes'!$B2)*'Building Projections'!BF$28</f>
        <v>973753943.2612015</v>
      </c>
      <c r="BC62" s="4">
        <f>'Building Projections'!BH$29+(1/'Component Lifetimes'!$B2)*'Building Projections'!BG$28</f>
        <v>1001175720.004155</v>
      </c>
    </row>
    <row r="63" spans="1:55">
      <c r="A63" t="s">
        <v>92</v>
      </c>
      <c r="B63" s="4">
        <f>'Building Projections'!G$29+(1/'Component Lifetimes'!$B3)*'Building Projections'!F$28</f>
        <v>70155364.907924756</v>
      </c>
      <c r="C63" s="4">
        <f>'Building Projections'!H$29+(1/'Component Lifetimes'!$B3)*'Building Projections'!G$28</f>
        <v>78384589.873645663</v>
      </c>
      <c r="D63" s="4">
        <f>'Building Projections'!I$29+(1/'Component Lifetimes'!$B3)*'Building Projections'!H$28</f>
        <v>87061130.376026183</v>
      </c>
      <c r="E63" s="4">
        <f>'Building Projections'!J$29+(1/'Component Lifetimes'!$B3)*'Building Projections'!I$28</f>
        <v>96184986.424161375</v>
      </c>
      <c r="F63" s="4">
        <f>'Building Projections'!K$29+(1/'Component Lifetimes'!$B3)*'Building Projections'!J$28</f>
        <v>105756157.99816187</v>
      </c>
      <c r="G63" s="4">
        <f>'Building Projections'!L$29+(1/'Component Lifetimes'!$B3)*'Building Projections'!K$28</f>
        <v>115774645.11549939</v>
      </c>
      <c r="H63" s="4">
        <f>'Building Projections'!M$29+(1/'Component Lifetimes'!$B3)*'Building Projections'!L$28</f>
        <v>126240447.76523662</v>
      </c>
      <c r="I63" s="4">
        <f>'Building Projections'!N$29+(1/'Component Lifetimes'!$B3)*'Building Projections'!M$28</f>
        <v>137153565.96072805</v>
      </c>
      <c r="J63" s="4">
        <f>'Building Projections'!O$29+(1/'Component Lifetimes'!$B3)*'Building Projections'!N$28</f>
        <v>148513999.68435881</v>
      </c>
      <c r="K63" s="4">
        <f>'Building Projections'!P$29+(1/'Component Lifetimes'!$B3)*'Building Projections'!O$28</f>
        <v>160321748.94464916</v>
      </c>
      <c r="L63" s="4">
        <f>'Building Projections'!Q$29+(1/'Component Lifetimes'!$B3)*'Building Projections'!P$28</f>
        <v>172576813.75069386</v>
      </c>
      <c r="M63" s="4">
        <f>'Building Projections'!R$29+(1/'Component Lifetimes'!$B3)*'Building Projections'!Q$28</f>
        <v>185279194.08260405</v>
      </c>
      <c r="N63" s="4">
        <f>'Building Projections'!S$29+(1/'Component Lifetimes'!$B3)*'Building Projections'!R$28</f>
        <v>198428889.95557788</v>
      </c>
      <c r="O63" s="4">
        <f>'Building Projections'!T$29+(1/'Component Lifetimes'!$B3)*'Building Projections'!S$28</f>
        <v>212025901.37217581</v>
      </c>
      <c r="P63" s="4">
        <f>'Building Projections'!U$29+(1/'Component Lifetimes'!$B3)*'Building Projections'!T$28</f>
        <v>226070228.31463927</v>
      </c>
      <c r="Q63" s="4">
        <f>'Building Projections'!V$29+(1/'Component Lifetimes'!$B3)*'Building Projections'!U$28</f>
        <v>240561870.79816633</v>
      </c>
      <c r="R63" s="4">
        <f>'Building Projections'!W$29+(1/'Component Lifetimes'!$B3)*'Building Projections'!V$28</f>
        <v>255500828.81849641</v>
      </c>
      <c r="S63" s="4">
        <f>'Building Projections'!X$29+(1/'Component Lifetimes'!$B3)*'Building Projections'!W$28</f>
        <v>270887102.38245082</v>
      </c>
      <c r="T63" s="4">
        <f>'Building Projections'!Y$29+(1/'Component Lifetimes'!$B3)*'Building Projections'!X$28</f>
        <v>286720691.47227097</v>
      </c>
      <c r="U63" s="4">
        <f>'Building Projections'!Z$29+(1/'Component Lifetimes'!$B3)*'Building Projections'!Y$28</f>
        <v>303001596.10315454</v>
      </c>
      <c r="V63" s="4">
        <f>'Building Projections'!AA$29+(1/'Component Lifetimes'!$B3)*'Building Projections'!Z$28</f>
        <v>319729816.27766198</v>
      </c>
      <c r="W63" s="4">
        <f>'Building Projections'!AB$29+(1/'Component Lifetimes'!$B3)*'Building Projections'!AA$28</f>
        <v>336905351.97576159</v>
      </c>
      <c r="X63" s="4">
        <f>'Building Projections'!AC$29+(1/'Component Lifetimes'!$B3)*'Building Projections'!AB$28</f>
        <v>354528203.2216019</v>
      </c>
      <c r="Y63" s="4">
        <f>'Building Projections'!AD$29+(1/'Component Lifetimes'!$B3)*'Building Projections'!AC$28</f>
        <v>372598370.00225949</v>
      </c>
      <c r="Z63" s="4">
        <f>'Building Projections'!AE$29+(1/'Component Lifetimes'!$B3)*'Building Projections'!AD$28</f>
        <v>391115852.31304193</v>
      </c>
      <c r="AA63" s="4">
        <f>'Building Projections'!AF$29+(1/'Component Lifetimes'!$B3)*'Building Projections'!AE$28</f>
        <v>410080650.16716194</v>
      </c>
      <c r="AB63" s="4">
        <f>'Building Projections'!AG$29+(1/'Component Lifetimes'!$B3)*'Building Projections'!AF$28</f>
        <v>429492763.55595565</v>
      </c>
      <c r="AC63" s="4">
        <f>'Building Projections'!AH$29+(1/'Component Lifetimes'!$B3)*'Building Projections'!AG$28</f>
        <v>449352192.4883728</v>
      </c>
      <c r="AD63" s="4">
        <f>'Building Projections'!AI$29+(1/'Component Lifetimes'!$B3)*'Building Projections'!AH$28</f>
        <v>469658936.94438171</v>
      </c>
      <c r="AE63" s="4">
        <f>'Building Projections'!AJ$29+(1/'Component Lifetimes'!$B3)*'Building Projections'!AI$28</f>
        <v>490412996.94585907</v>
      </c>
      <c r="AF63" s="4">
        <f>'Building Projections'!AK$29+(1/'Component Lifetimes'!$B3)*'Building Projections'!AJ$28</f>
        <v>511614372.48882908</v>
      </c>
      <c r="AG63" s="4">
        <f>'Building Projections'!AL$29+(1/'Component Lifetimes'!$B3)*'Building Projections'!AK$28</f>
        <v>533263063.55539167</v>
      </c>
      <c r="AH63" s="4">
        <f>'Building Projections'!AM$29+(1/'Component Lifetimes'!$B3)*'Building Projections'!AL$28</f>
        <v>555359070.16742086</v>
      </c>
      <c r="AI63" s="4">
        <f>'Building Projections'!AN$29+(1/'Component Lifetimes'!$B3)*'Building Projections'!AM$28</f>
        <v>577902392.31867242</v>
      </c>
      <c r="AJ63" s="4">
        <f>'Building Projections'!AO$29+(1/'Component Lifetimes'!$B3)*'Building Projections'!AN$28</f>
        <v>600893029.99791729</v>
      </c>
      <c r="AK63" s="4">
        <f>'Building Projections'!AP$29+(1/'Component Lifetimes'!$B3)*'Building Projections'!AO$28</f>
        <v>624330983.22050071</v>
      </c>
      <c r="AL63" s="4">
        <f>'Building Projections'!AQ$29+(1/'Component Lifetimes'!$B3)*'Building Projections'!AP$28</f>
        <v>648216251.98003006</v>
      </c>
      <c r="AM63" s="4">
        <f>'Building Projections'!AR$29+(1/'Component Lifetimes'!$B3)*'Building Projections'!AQ$28</f>
        <v>672548836.27423358</v>
      </c>
      <c r="AN63" s="4">
        <f>'Building Projections'!AS$29+(1/'Component Lifetimes'!$B3)*'Building Projections'!AR$28</f>
        <v>697328736.10296583</v>
      </c>
      <c r="AO63" s="4">
        <f>'Building Projections'!AT$29+(1/'Component Lifetimes'!$B3)*'Building Projections'!AS$28</f>
        <v>722555951.47290492</v>
      </c>
      <c r="AP63" s="4">
        <f>'Building Projections'!AU$29+(1/'Component Lifetimes'!$B3)*'Building Projections'!AT$28</f>
        <v>748230482.3797915</v>
      </c>
      <c r="AQ63" s="4">
        <f>'Building Projections'!AV$29+(1/'Component Lifetimes'!$B3)*'Building Projections'!AU$28</f>
        <v>774352328.82135153</v>
      </c>
      <c r="AR63" s="4">
        <f>'Building Projections'!AW$29+(1/'Component Lifetimes'!$B3)*'Building Projections'!AV$28</f>
        <v>800921490.79743934</v>
      </c>
      <c r="AS63" s="4">
        <f>'Building Projections'!AX$29+(1/'Component Lifetimes'!$B3)*'Building Projections'!AW$28</f>
        <v>827937968.31928384</v>
      </c>
      <c r="AT63" s="4">
        <f>'Building Projections'!AY$29+(1/'Component Lifetimes'!$B3)*'Building Projections'!AX$28</f>
        <v>855401761.36699271</v>
      </c>
      <c r="AU63" s="4">
        <f>'Building Projections'!AZ$29+(1/'Component Lifetimes'!$B3)*'Building Projections'!AY$28</f>
        <v>883312869.95576274</v>
      </c>
      <c r="AV63" s="4">
        <f>'Building Projections'!BA$29+(1/'Component Lifetimes'!$B3)*'Building Projections'!AZ$28</f>
        <v>911671294.0881623</v>
      </c>
      <c r="AW63" s="4">
        <f>'Building Projections'!BB$29+(1/'Component Lifetimes'!$B3)*'Building Projections'!BA$28</f>
        <v>940477033.74414897</v>
      </c>
      <c r="AX63" s="4">
        <f>'Building Projections'!BC$29+(1/'Component Lifetimes'!$B3)*'Building Projections'!BB$28</f>
        <v>969730088.94560397</v>
      </c>
      <c r="AY63" s="4">
        <f>'Building Projections'!BD$29+(1/'Component Lifetimes'!$B3)*'Building Projections'!BC$28</f>
        <v>999430459.68400788</v>
      </c>
      <c r="AZ63" s="4">
        <f>'Building Projections'!BE$29+(1/'Component Lifetimes'!$B3)*'Building Projections'!BD$28</f>
        <v>1029578145.9593567</v>
      </c>
      <c r="BA63" s="4">
        <f>'Building Projections'!BF$29+(1/'Component Lifetimes'!$B3)*'Building Projections'!BE$28</f>
        <v>1060173147.7671051</v>
      </c>
      <c r="BB63" s="4">
        <f>'Building Projections'!BG$29+(1/'Component Lifetimes'!$B3)*'Building Projections'!BF$28</f>
        <v>1091215465.1137886</v>
      </c>
      <c r="BC63" s="4">
        <f>'Building Projections'!BH$29+(1/'Component Lifetimes'!$B3)*'Building Projections'!BG$28</f>
        <v>1122705098.0040922</v>
      </c>
    </row>
    <row r="64" spans="1:55">
      <c r="A64" t="s">
        <v>93</v>
      </c>
      <c r="B64" s="4">
        <f>'Building Projections'!G$29+(1/'Component Lifetimes'!$B4)*'Building Projections'!F$28</f>
        <v>34045071.223948084</v>
      </c>
      <c r="C64" s="4">
        <f>'Building Projections'!H$29+(1/'Component Lifetimes'!$B4)*'Building Projections'!G$28</f>
        <v>41477956.628133982</v>
      </c>
      <c r="D64" s="4">
        <f>'Building Projections'!I$29+(1/'Component Lifetimes'!$B4)*'Building Projections'!H$28</f>
        <v>49047521.779632531</v>
      </c>
      <c r="E64" s="4">
        <f>'Building Projections'!J$29+(1/'Component Lifetimes'!$B4)*'Building Projections'!I$28</f>
        <v>56753766.687538818</v>
      </c>
      <c r="F64" s="4">
        <f>'Building Projections'!K$29+(1/'Component Lifetimes'!$B4)*'Building Projections'!J$28</f>
        <v>64596691.331564523</v>
      </c>
      <c r="G64" s="4">
        <f>'Building Projections'!L$29+(1/'Component Lifetimes'!$B4)*'Building Projections'!K$28</f>
        <v>72576295.729680046</v>
      </c>
      <c r="H64" s="4">
        <f>'Building Projections'!M$29+(1/'Component Lifetimes'!$B4)*'Building Projections'!L$28</f>
        <v>80692579.870648861</v>
      </c>
      <c r="I64" s="4">
        <f>'Building Projections'!N$29+(1/'Component Lifetimes'!$B4)*'Building Projections'!M$28</f>
        <v>88945543.768024951</v>
      </c>
      <c r="J64" s="4">
        <f>'Building Projections'!O$29+(1/'Component Lifetimes'!$B4)*'Building Projections'!N$28</f>
        <v>97335187.403794482</v>
      </c>
      <c r="K64" s="4">
        <f>'Building Projections'!P$29+(1/'Component Lifetimes'!$B4)*'Building Projections'!O$28</f>
        <v>105861510.78687668</v>
      </c>
      <c r="L64" s="4">
        <f>'Building Projections'!Q$29+(1/'Component Lifetimes'!$B4)*'Building Projections'!P$28</f>
        <v>114524513.92636625</v>
      </c>
      <c r="M64" s="4">
        <f>'Building Projections'!R$29+(1/'Component Lifetimes'!$B4)*'Building Projections'!Q$28</f>
        <v>123324196.80197549</v>
      </c>
      <c r="N64" s="4">
        <f>'Building Projections'!S$29+(1/'Component Lifetimes'!$B4)*'Building Projections'!R$28</f>
        <v>132260559.4294011</v>
      </c>
      <c r="O64" s="4">
        <f>'Building Projections'!T$29+(1/'Component Lifetimes'!$B4)*'Building Projections'!S$28</f>
        <v>141333601.81100416</v>
      </c>
      <c r="P64" s="4">
        <f>'Building Projections'!U$29+(1/'Component Lifetimes'!$B4)*'Building Projections'!T$28</f>
        <v>150543323.92872691</v>
      </c>
      <c r="Q64" s="4">
        <f>'Building Projections'!V$29+(1/'Component Lifetimes'!$B4)*'Building Projections'!U$28</f>
        <v>159889725.79826599</v>
      </c>
      <c r="R64" s="4">
        <f>'Building Projections'!W$29+(1/'Component Lifetimes'!$B4)*'Building Projections'!V$28</f>
        <v>169372807.4151614</v>
      </c>
      <c r="S64" s="4">
        <f>'Building Projections'!X$29+(1/'Component Lifetimes'!$B4)*'Building Projections'!W$28</f>
        <v>178992568.7862345</v>
      </c>
      <c r="T64" s="4">
        <f>'Building Projections'!Y$29+(1/'Component Lifetimes'!$B4)*'Building Projections'!X$28</f>
        <v>188749009.89342749</v>
      </c>
      <c r="U64" s="4">
        <f>'Building Projections'!Z$29+(1/'Component Lifetimes'!$B4)*'Building Projections'!Y$28</f>
        <v>198642130.75243664</v>
      </c>
      <c r="V64" s="4">
        <f>'Building Projections'!AA$29+(1/'Component Lifetimes'!$B4)*'Building Projections'!Z$28</f>
        <v>208671931.365623</v>
      </c>
      <c r="W64" s="4">
        <f>'Building Projections'!AB$29+(1/'Component Lifetimes'!$B4)*'Building Projections'!AA$28</f>
        <v>218838411.71265572</v>
      </c>
      <c r="X64" s="4">
        <f>'Building Projections'!AC$29+(1/'Component Lifetimes'!$B4)*'Building Projections'!AB$28</f>
        <v>229141571.81828159</v>
      </c>
      <c r="Y64" s="4">
        <f>'Building Projections'!AD$29+(1/'Component Lifetimes'!$B4)*'Building Projections'!AC$28</f>
        <v>239581411.66907865</v>
      </c>
      <c r="Z64" s="4">
        <f>'Building Projections'!AE$29+(1/'Component Lifetimes'!$B4)*'Building Projections'!AD$28</f>
        <v>250157931.26045406</v>
      </c>
      <c r="AA64" s="4">
        <f>'Building Projections'!AF$29+(1/'Component Lifetimes'!$B4)*'Building Projections'!AE$28</f>
        <v>260871130.60591987</v>
      </c>
      <c r="AB64" s="4">
        <f>'Building Projections'!AG$29+(1/'Component Lifetimes'!$B4)*'Building Projections'!AF$28</f>
        <v>271721009.696513</v>
      </c>
      <c r="AC64" s="4">
        <f>'Building Projections'!AH$29+(1/'Component Lifetimes'!$B4)*'Building Projections'!AG$28</f>
        <v>282707568.54128289</v>
      </c>
      <c r="AD64" s="4">
        <f>'Building Projections'!AI$29+(1/'Component Lifetimes'!$B4)*'Building Projections'!AH$28</f>
        <v>293830807.11989868</v>
      </c>
      <c r="AE64" s="4">
        <f>'Building Projections'!AJ$29+(1/'Component Lifetimes'!$B4)*'Building Projections'!AI$28</f>
        <v>305090725.45483541</v>
      </c>
      <c r="AF64" s="4">
        <f>'Building Projections'!AK$29+(1/'Component Lifetimes'!$B4)*'Building Projections'!AJ$28</f>
        <v>316487323.54171836</v>
      </c>
      <c r="AG64" s="4">
        <f>'Building Projections'!AL$29+(1/'Component Lifetimes'!$B4)*'Building Projections'!AK$28</f>
        <v>328020601.3624481</v>
      </c>
      <c r="AH64" s="4">
        <f>'Building Projections'!AM$29+(1/'Component Lifetimes'!$B4)*'Building Projections'!AL$28</f>
        <v>339690558.93949693</v>
      </c>
      <c r="AI64" s="4">
        <f>'Building Projections'!AN$29+(1/'Component Lifetimes'!$B4)*'Building Projections'!AM$28</f>
        <v>351497196.26622164</v>
      </c>
      <c r="AJ64" s="4">
        <f>'Building Projections'!AO$29+(1/'Component Lifetimes'!$B4)*'Building Projections'!AN$28</f>
        <v>363440513.33129358</v>
      </c>
      <c r="AK64" s="4">
        <f>'Building Projections'!AP$29+(1/'Component Lifetimes'!$B4)*'Building Projections'!AO$28</f>
        <v>375520510.15045691</v>
      </c>
      <c r="AL64" s="4">
        <f>'Building Projections'!AQ$29+(1/'Component Lifetimes'!$B4)*'Building Projections'!AP$28</f>
        <v>387737186.71701968</v>
      </c>
      <c r="AM64" s="4">
        <f>'Building Projections'!AR$29+(1/'Component Lifetimes'!$B4)*'Building Projections'!AQ$28</f>
        <v>400090543.02871025</v>
      </c>
      <c r="AN64" s="4">
        <f>'Building Projections'!AS$29+(1/'Component Lifetimes'!$B4)*'Building Projections'!AR$28</f>
        <v>412580579.08548284</v>
      </c>
      <c r="AO64" s="4">
        <f>'Building Projections'!AT$29+(1/'Component Lifetimes'!$B4)*'Building Projections'!AS$28</f>
        <v>425207294.89411527</v>
      </c>
      <c r="AP64" s="4">
        <f>'Building Projections'!AU$29+(1/'Component Lifetimes'!$B4)*'Building Projections'!AT$28</f>
        <v>437970690.450149</v>
      </c>
      <c r="AQ64" s="4">
        <f>'Building Projections'!AV$29+(1/'Component Lifetimes'!$B4)*'Building Projections'!AU$28</f>
        <v>450870765.75130963</v>
      </c>
      <c r="AR64" s="4">
        <f>'Building Projections'!AW$29+(1/'Component Lifetimes'!$B4)*'Building Projections'!AV$28</f>
        <v>463907520.79755127</v>
      </c>
      <c r="AS64" s="4">
        <f>'Building Projections'!AX$29+(1/'Component Lifetimes'!$B4)*'Building Projections'!AW$28</f>
        <v>477080955.60020274</v>
      </c>
      <c r="AT64" s="4">
        <f>'Building Projections'!AY$29+(1/'Component Lifetimes'!$B4)*'Building Projections'!AX$28</f>
        <v>490391070.13897264</v>
      </c>
      <c r="AU64" s="4">
        <f>'Building Projections'!AZ$29+(1/'Component Lifetimes'!$B4)*'Building Projections'!AY$28</f>
        <v>503837864.42955661</v>
      </c>
      <c r="AV64" s="4">
        <f>'Building Projections'!BA$29+(1/'Component Lifetimes'!$B4)*'Building Projections'!AZ$28</f>
        <v>517421338.47432339</v>
      </c>
      <c r="AW64" s="4">
        <f>'Building Projections'!BB$29+(1/'Component Lifetimes'!$B4)*'Building Projections'!BA$28</f>
        <v>531141492.25293136</v>
      </c>
      <c r="AX64" s="4">
        <f>'Building Projections'!BC$29+(1/'Component Lifetimes'!$B4)*'Building Projections'!BB$28</f>
        <v>544998325.78786039</v>
      </c>
      <c r="AY64" s="4">
        <f>'Building Projections'!BD$29+(1/'Component Lifetimes'!$B4)*'Building Projections'!BC$28</f>
        <v>558991839.07019162</v>
      </c>
      <c r="AZ64" s="4">
        <f>'Building Projections'!BE$29+(1/'Component Lifetimes'!$B4)*'Building Projections'!BD$28</f>
        <v>573122032.09992146</v>
      </c>
      <c r="BA64" s="4">
        <f>'Building Projections'!BF$29+(1/'Component Lifetimes'!$B4)*'Building Projections'!BE$28</f>
        <v>587388904.87250459</v>
      </c>
      <c r="BB64" s="4">
        <f>'Building Projections'!BG$29+(1/'Component Lifetimes'!$B4)*'Building Projections'!BF$28</f>
        <v>601792457.39467585</v>
      </c>
      <c r="BC64" s="4">
        <f>'Building Projections'!BH$29+(1/'Component Lifetimes'!$B4)*'Building Projections'!BG$28</f>
        <v>616332689.67102051</v>
      </c>
    </row>
    <row r="65" spans="1:55">
      <c r="A65" t="s">
        <v>94</v>
      </c>
      <c r="B65" s="4">
        <f>'Building Projections'!G$29+(1/'Component Lifetimes'!$B5)*'Building Projections'!F$28</f>
        <v>108309501.21441449</v>
      </c>
      <c r="C65" s="4">
        <f>'Building Projections'!H$29+(1/'Component Lifetimes'!$B5)*'Building Projections'!G$28</f>
        <v>117380138.5608533</v>
      </c>
      <c r="D65" s="4">
        <f>'Building Projections'!I$29+(1/'Component Lifetimes'!$B5)*'Building Projections'!H$28</f>
        <v>127226309.21897571</v>
      </c>
      <c r="E65" s="4">
        <f>'Building Projections'!J$29+(1/'Component Lifetimes'!$B5)*'Building Projections'!I$28</f>
        <v>137848013.19787678</v>
      </c>
      <c r="F65" s="4">
        <f>'Building Projections'!K$29+(1/'Component Lifetimes'!$B5)*'Building Projections'!J$28</f>
        <v>149245250.47808862</v>
      </c>
      <c r="G65" s="4">
        <f>'Building Projections'!L$29+(1/'Component Lifetimes'!$B5)*'Building Projections'!K$28</f>
        <v>161418021.07655612</v>
      </c>
      <c r="H65" s="4">
        <f>'Building Projections'!M$29+(1/'Component Lifetimes'!$B5)*'Building Projections'!L$28</f>
        <v>174366324.98265803</v>
      </c>
      <c r="I65" s="4">
        <f>'Building Projections'!N$29+(1/'Component Lifetimes'!$B5)*'Building Projections'!M$28</f>
        <v>188090162.20953816</v>
      </c>
      <c r="J65" s="4">
        <f>'Building Projections'!O$29+(1/'Component Lifetimes'!$B5)*'Building Projections'!N$28</f>
        <v>202589532.74000305</v>
      </c>
      <c r="K65" s="4">
        <f>'Building Projections'!P$29+(1/'Component Lifetimes'!$B5)*'Building Projections'!O$28</f>
        <v>217864436.58215156</v>
      </c>
      <c r="L65" s="4">
        <f>'Building Projections'!Q$29+(1/'Component Lifetimes'!$B5)*'Building Projections'!P$28</f>
        <v>233914873.74507841</v>
      </c>
      <c r="M65" s="4">
        <f>'Building Projections'!R$29+(1/'Component Lifetimes'!$B5)*'Building Projections'!Q$28</f>
        <v>250740844.20931622</v>
      </c>
      <c r="N65" s="4">
        <f>'Building Projections'!S$29+(1/'Component Lifetimes'!$B5)*'Building Projections'!R$28</f>
        <v>268342347.98953626</v>
      </c>
      <c r="O65" s="4">
        <f>'Building Projections'!T$29+(1/'Component Lifetimes'!$B5)*'Building Projections'!S$28</f>
        <v>286719385.0885098</v>
      </c>
      <c r="P65" s="4">
        <f>'Building Projections'!U$29+(1/'Component Lifetimes'!$B5)*'Building Projections'!T$28</f>
        <v>305871955.48879433</v>
      </c>
      <c r="Q65" s="4">
        <f>'Building Projections'!V$29+(1/'Component Lifetimes'!$B5)*'Building Projections'!U$28</f>
        <v>325800059.20506108</v>
      </c>
      <c r="R65" s="4">
        <f>'Building Projections'!W$29+(1/'Component Lifetimes'!$B5)*'Building Projections'!V$28</f>
        <v>346503696.23326015</v>
      </c>
      <c r="S65" s="4">
        <f>'Building Projections'!X$29+(1/'Component Lifetimes'!$B5)*'Building Projections'!W$28</f>
        <v>367982866.58021295</v>
      </c>
      <c r="T65" s="4">
        <f>'Building Projections'!Y$29+(1/'Component Lifetimes'!$B5)*'Building Projections'!X$28</f>
        <v>390237570.228477</v>
      </c>
      <c r="U65" s="4">
        <f>'Building Projections'!Z$29+(1/'Component Lifetimes'!$B5)*'Building Projections'!Y$28</f>
        <v>413267807.19272304</v>
      </c>
      <c r="V65" s="4">
        <f>'Building Projections'!AA$29+(1/'Component Lifetimes'!$B5)*'Building Projections'!Z$28</f>
        <v>437073577.47572231</v>
      </c>
      <c r="W65" s="4">
        <f>'Building Projections'!AB$29+(1/'Component Lifetimes'!$B5)*'Building Projections'!AA$28</f>
        <v>461654881.05775928</v>
      </c>
      <c r="X65" s="4">
        <f>'Building Projections'!AC$29+(1/'Component Lifetimes'!$B5)*'Building Projections'!AB$28</f>
        <v>487011717.96235013</v>
      </c>
      <c r="Y65" s="4">
        <f>'Building Projections'!AD$29+(1/'Component Lifetimes'!$B5)*'Building Projections'!AC$28</f>
        <v>513144088.17709845</v>
      </c>
      <c r="Z65" s="4">
        <f>'Building Projections'!AE$29+(1/'Component Lifetimes'!$B5)*'Building Projections'!AD$28</f>
        <v>540051991.69720626</v>
      </c>
      <c r="AA65" s="4">
        <f>'Building Projections'!AF$29+(1/'Component Lifetimes'!$B5)*'Building Projections'!AE$28</f>
        <v>567735428.53557014</v>
      </c>
      <c r="AB65" s="4">
        <f>'Building Projections'!AG$29+(1/'Component Lifetimes'!$B5)*'Building Projections'!AF$28</f>
        <v>596194398.68384266</v>
      </c>
      <c r="AC65" s="4">
        <f>'Building Projections'!AH$29+(1/'Component Lifetimes'!$B5)*'Building Projections'!AG$28</f>
        <v>625428902.15086794</v>
      </c>
      <c r="AD65" s="4">
        <f>'Building Projections'!AI$29+(1/'Component Lifetimes'!$B5)*'Building Projections'!AH$28</f>
        <v>655438938.91693044</v>
      </c>
      <c r="AE65" s="4">
        <f>'Building Projections'!AJ$29+(1/'Component Lifetimes'!$B5)*'Building Projections'!AI$28</f>
        <v>686224509.00327468</v>
      </c>
      <c r="AF65" s="4">
        <f>'Building Projections'!AK$29+(1/'Component Lifetimes'!$B5)*'Building Projections'!AJ$28</f>
        <v>717785612.40634632</v>
      </c>
      <c r="AG65" s="4">
        <f>'Building Projections'!AL$29+(1/'Component Lifetimes'!$B5)*'Building Projections'!AK$28</f>
        <v>750122249.1084559</v>
      </c>
      <c r="AH65" s="4">
        <f>'Building Projections'!AM$29+(1/'Component Lifetimes'!$B5)*'Building Projections'!AL$28</f>
        <v>783234419.13084543</v>
      </c>
      <c r="AI65" s="4">
        <f>'Building Projections'!AN$29+(1/'Component Lifetimes'!$B5)*'Building Projections'!AM$28</f>
        <v>817122122.4676919</v>
      </c>
      <c r="AJ65" s="4">
        <f>'Building Projections'!AO$29+(1/'Component Lifetimes'!$B5)*'Building Projections'!AN$28</f>
        <v>851785359.10787189</v>
      </c>
      <c r="AK65" s="4">
        <f>'Building Projections'!AP$29+(1/'Component Lifetimes'!$B5)*'Building Projections'!AO$28</f>
        <v>887224129.06630909</v>
      </c>
      <c r="AL65" s="4">
        <f>'Building Projections'!AQ$29+(1/'Component Lifetimes'!$B5)*'Building Projections'!AP$28</f>
        <v>923438432.33692694</v>
      </c>
      <c r="AM65" s="4">
        <f>'Building Projections'!AR$29+(1/'Component Lifetimes'!$B5)*'Building Projections'!AQ$28</f>
        <v>960428268.91745353</v>
      </c>
      <c r="AN65" s="4">
        <f>'Building Projections'!AS$29+(1/'Component Lifetimes'!$B5)*'Building Projections'!AR$28</f>
        <v>998193638.80763841</v>
      </c>
      <c r="AO65" s="4">
        <f>'Building Projections'!AT$29+(1/'Component Lifetimes'!$B5)*'Building Projections'!AS$28</f>
        <v>1036734542.0140539</v>
      </c>
      <c r="AP65" s="4">
        <f>'Building Projections'!AU$29+(1/'Component Lifetimes'!$B5)*'Building Projections'!AT$28</f>
        <v>1076050978.5326519</v>
      </c>
      <c r="AQ65" s="4">
        <f>'Building Projections'!AV$29+(1/'Component Lifetimes'!$B5)*'Building Projections'!AU$28</f>
        <v>1116142948.3611579</v>
      </c>
      <c r="AR65" s="4">
        <f>'Building Projections'!AW$29+(1/'Component Lifetimes'!$B5)*'Building Projections'!AV$28</f>
        <v>1157010451.499321</v>
      </c>
      <c r="AS65" s="4">
        <f>'Building Projections'!AX$29+(1/'Component Lifetimes'!$B5)*'Building Projections'!AW$28</f>
        <v>1198653487.9582648</v>
      </c>
      <c r="AT65" s="4">
        <f>'Building Projections'!AY$29+(1/'Component Lifetimes'!$B5)*'Building Projections'!AX$28</f>
        <v>1241072057.7185187</v>
      </c>
      <c r="AU65" s="4">
        <f>'Building Projections'!AZ$29+(1/'Component Lifetimes'!$B5)*'Building Projections'!AY$28</f>
        <v>1284266160.7947521</v>
      </c>
      <c r="AV65" s="4">
        <f>'Building Projections'!BA$29+(1/'Component Lifetimes'!$B5)*'Building Projections'!AZ$28</f>
        <v>1328235797.1897445</v>
      </c>
      <c r="AW65" s="4">
        <f>'Building Projections'!BB$29+(1/'Component Lifetimes'!$B5)*'Building Projections'!BA$28</f>
        <v>1372980966.8837695</v>
      </c>
      <c r="AX65" s="4">
        <f>'Building Projections'!BC$29+(1/'Component Lifetimes'!$B5)*'Building Projections'!BB$28</f>
        <v>1418501669.8980761</v>
      </c>
      <c r="AY65" s="4">
        <f>'Building Projections'!BD$29+(1/'Component Lifetimes'!$B5)*'Building Projections'!BC$28</f>
        <v>1464797906.224566</v>
      </c>
      <c r="AZ65" s="4">
        <f>'Building Projections'!BE$29+(1/'Component Lifetimes'!$B5)*'Building Projections'!BD$28</f>
        <v>1511869675.8632357</v>
      </c>
      <c r="BA65" s="4">
        <f>'Building Projections'!BF$29+(1/'Component Lifetimes'!$B5)*'Building Projections'!BE$28</f>
        <v>1559716978.80954</v>
      </c>
      <c r="BB65" s="4">
        <f>'Building Projections'!BG$29+(1/'Component Lifetimes'!$B5)*'Building Projections'!BF$28</f>
        <v>1608339815.0698032</v>
      </c>
      <c r="BC65" s="4">
        <f>'Building Projections'!BH$29+(1/'Component Lifetimes'!$B5)*'Building Projections'!BG$28</f>
        <v>1657738184.6488161</v>
      </c>
    </row>
    <row r="66" spans="1:55">
      <c r="A66" t="s">
        <v>95</v>
      </c>
      <c r="B66" s="4">
        <f>'Building Projections'!G$29+(1/'Component Lifetimes'!$B6)*'Building Projections'!F$28</f>
        <v>78992603.283392549</v>
      </c>
      <c r="C66" s="4">
        <f>'Building Projections'!H$29+(1/'Component Lifetimes'!$B6)*'Building Projections'!G$28</f>
        <v>87416715.684665471</v>
      </c>
      <c r="D66" s="4">
        <f>'Building Projections'!I$29+(1/'Component Lifetimes'!$B6)*'Building Projections'!H$28</f>
        <v>96364165.228582025</v>
      </c>
      <c r="E66" s="4">
        <f>'Building Projections'!J$29+(1/'Component Lifetimes'!$B6)*'Building Projections'!I$28</f>
        <v>105834951.92423728</v>
      </c>
      <c r="F66" s="4">
        <f>'Building Projections'!K$29+(1/'Component Lifetimes'!$B6)*'Building Projections'!J$28</f>
        <v>115829075.75183949</v>
      </c>
      <c r="G66" s="4">
        <f>'Building Projections'!L$29+(1/'Component Lifetimes'!$B6)*'Building Projections'!K$28</f>
        <v>126346536.72873834</v>
      </c>
      <c r="H66" s="4">
        <f>'Building Projections'!M$29+(1/'Component Lifetimes'!$B6)*'Building Projections'!L$28</f>
        <v>137387334.84406972</v>
      </c>
      <c r="I66" s="4">
        <f>'Building Projections'!N$29+(1/'Component Lifetimes'!$B6)*'Building Projections'!M$28</f>
        <v>148951470.11113936</v>
      </c>
      <c r="J66" s="4">
        <f>'Building Projections'!O$29+(1/'Component Lifetimes'!$B6)*'Building Projections'!N$28</f>
        <v>161038942.51242992</v>
      </c>
      <c r="K66" s="4">
        <f>'Building Projections'!P$29+(1/'Component Lifetimes'!$B6)*'Building Projections'!O$28</f>
        <v>173649752.05636412</v>
      </c>
      <c r="L66" s="4">
        <f>'Building Projections'!Q$29+(1/'Component Lifetimes'!$B6)*'Building Projections'!P$28</f>
        <v>186783898.75203669</v>
      </c>
      <c r="M66" s="4">
        <f>'Building Projections'!R$29+(1/'Component Lifetimes'!$B6)*'Building Projections'!Q$28</f>
        <v>200441382.57965642</v>
      </c>
      <c r="N66" s="4">
        <f>'Building Projections'!S$29+(1/'Component Lifetimes'!$B6)*'Building Projections'!R$28</f>
        <v>214622203.55429935</v>
      </c>
      <c r="O66" s="4">
        <f>'Building Projections'!T$29+(1/'Component Lifetimes'!$B6)*'Building Projections'!S$28</f>
        <v>229326361.67857489</v>
      </c>
      <c r="P66" s="4">
        <f>'Building Projections'!U$29+(1/'Component Lifetimes'!$B6)*'Building Projections'!T$28</f>
        <v>244553856.93479756</v>
      </c>
      <c r="Q66" s="4">
        <f>'Building Projections'!V$29+(1/'Component Lifetimes'!$B6)*'Building Projections'!U$28</f>
        <v>260304689.33804345</v>
      </c>
      <c r="R66" s="4">
        <f>'Building Projections'!W$29+(1/'Component Lifetimes'!$B6)*'Building Projections'!V$28</f>
        <v>276578858.88410079</v>
      </c>
      <c r="S66" s="4">
        <f>'Building Projections'!X$29+(1/'Component Lifetimes'!$B6)*'Building Projections'!W$28</f>
        <v>293376365.57979083</v>
      </c>
      <c r="T66" s="4">
        <f>'Building Projections'!Y$29+(1/'Component Lifetimes'!$B6)*'Building Projections'!X$28</f>
        <v>310697209.40742838</v>
      </c>
      <c r="U66" s="4">
        <f>'Building Projections'!Z$29+(1/'Component Lifetimes'!$B6)*'Building Projections'!Y$28</f>
        <v>328541390.38208884</v>
      </c>
      <c r="V66" s="4">
        <f>'Building Projections'!AA$29+(1/'Component Lifetimes'!$B6)*'Building Projections'!Z$28</f>
        <v>346908908.50638163</v>
      </c>
      <c r="W66" s="4">
        <f>'Building Projections'!AB$29+(1/'Component Lifetimes'!$B6)*'Building Projections'!AA$28</f>
        <v>365799763.76034832</v>
      </c>
      <c r="X66" s="4">
        <f>'Building Projections'!AC$29+(1/'Component Lifetimes'!$B6)*'Building Projections'!AB$28</f>
        <v>385213956.1679908</v>
      </c>
      <c r="Y66" s="4">
        <f>'Building Projections'!AD$29+(1/'Component Lifetimes'!$B6)*'Building Projections'!AC$28</f>
        <v>405151485.71650791</v>
      </c>
      <c r="Z66" s="4">
        <f>'Building Projections'!AE$29+(1/'Component Lifetimes'!$B6)*'Building Projections'!AD$28</f>
        <v>425612352.40118265</v>
      </c>
      <c r="AA66" s="4">
        <f>'Building Projections'!AF$29+(1/'Component Lifetimes'!$B6)*'Building Projections'!AE$28</f>
        <v>446596556.23515451</v>
      </c>
      <c r="AB66" s="4">
        <f>'Building Projections'!AG$29+(1/'Component Lifetimes'!$B6)*'Building Projections'!AF$28</f>
        <v>468104097.20983303</v>
      </c>
      <c r="AC66" s="4">
        <f>'Building Projections'!AH$29+(1/'Component Lifetimes'!$B6)*'Building Projections'!AG$28</f>
        <v>490134975.3341434</v>
      </c>
      <c r="AD66" s="4">
        <f>'Building Projections'!AI$29+(1/'Component Lifetimes'!$B6)*'Building Projections'!AH$28</f>
        <v>512689190.58812714</v>
      </c>
      <c r="AE66" s="4">
        <f>'Building Projections'!AJ$29+(1/'Component Lifetimes'!$B6)*'Building Projections'!AI$28</f>
        <v>535766742.99351454</v>
      </c>
      <c r="AF66" s="4">
        <f>'Building Projections'!AK$29+(1/'Component Lifetimes'!$B6)*'Building Projections'!AJ$28</f>
        <v>559367632.54642749</v>
      </c>
      <c r="AG66" s="4">
        <f>'Building Projections'!AL$29+(1/'Component Lifetimes'!$B6)*'Building Projections'!AK$28</f>
        <v>583491859.22901452</v>
      </c>
      <c r="AH66" s="4">
        <f>'Building Projections'!AM$29+(1/'Component Lifetimes'!$B6)*'Building Projections'!AL$28</f>
        <v>608139423.06300354</v>
      </c>
      <c r="AI66" s="4">
        <f>'Building Projections'!AN$29+(1/'Component Lifetimes'!$B6)*'Building Projections'!AM$28</f>
        <v>633310324.04224753</v>
      </c>
      <c r="AJ66" s="4">
        <f>'Building Projections'!AO$29+(1/'Component Lifetimes'!$B6)*'Building Projections'!AN$28</f>
        <v>659004562.15554237</v>
      </c>
      <c r="AK66" s="4">
        <f>'Building Projections'!AP$29+(1/'Component Lifetimes'!$B6)*'Building Projections'!AO$28</f>
        <v>685222137.41813517</v>
      </c>
      <c r="AL66" s="4">
        <f>'Building Projections'!AQ$29+(1/'Component Lifetimes'!$B6)*'Building Projections'!AP$28</f>
        <v>711963049.82370675</v>
      </c>
      <c r="AM66" s="4">
        <f>'Building Projections'!AR$29+(1/'Component Lifetimes'!$B6)*'Building Projections'!AQ$28</f>
        <v>739227299.36998534</v>
      </c>
      <c r="AN66" s="4">
        <f>'Building Projections'!AS$29+(1/'Component Lifetimes'!$B6)*'Building Projections'!AR$28</f>
        <v>767014886.05680108</v>
      </c>
      <c r="AO66" s="4">
        <f>'Building Projections'!AT$29+(1/'Component Lifetimes'!$B6)*'Building Projections'!AS$28</f>
        <v>795325809.89080763</v>
      </c>
      <c r="AP66" s="4">
        <f>'Building Projections'!AU$29+(1/'Component Lifetimes'!$B6)*'Building Projections'!AT$28</f>
        <v>824160070.86779475</v>
      </c>
      <c r="AQ66" s="4">
        <f>'Building Projections'!AV$29+(1/'Component Lifetimes'!$B6)*'Building Projections'!AU$28</f>
        <v>853517668.98548806</v>
      </c>
      <c r="AR66" s="4">
        <f>'Building Projections'!AW$29+(1/'Component Lifetimes'!$B6)*'Building Projections'!AV$28</f>
        <v>883398604.24371743</v>
      </c>
      <c r="AS66" s="4">
        <f>'Building Projections'!AX$29+(1/'Component Lifetimes'!$B6)*'Building Projections'!AW$28</f>
        <v>913802876.6536876</v>
      </c>
      <c r="AT66" s="4">
        <f>'Building Projections'!AY$29+(1/'Component Lifetimes'!$B6)*'Building Projections'!AX$28</f>
        <v>944730486.19560373</v>
      </c>
      <c r="AU66" s="4">
        <f>'Building Projections'!AZ$29+(1/'Component Lifetimes'!$B6)*'Building Projections'!AY$28</f>
        <v>976181432.88454068</v>
      </c>
      <c r="AV66" s="4">
        <f>'Building Projections'!BA$29+(1/'Component Lifetimes'!$B6)*'Building Projections'!AZ$28</f>
        <v>1008155716.7231156</v>
      </c>
      <c r="AW66" s="4">
        <f>'Building Projections'!BB$29+(1/'Component Lifetimes'!$B6)*'Building Projections'!BA$28</f>
        <v>1040653337.6913593</v>
      </c>
      <c r="AX66" s="4">
        <f>'Building Projections'!BC$29+(1/'Component Lifetimes'!$B6)*'Building Projections'!BB$28</f>
        <v>1073674295.8110065</v>
      </c>
      <c r="AY66" s="4">
        <f>'Building Projections'!BD$29+(1/'Component Lifetimes'!$B6)*'Building Projections'!BC$28</f>
        <v>1107218591.0736353</v>
      </c>
      <c r="AZ66" s="4">
        <f>'Building Projections'!BE$29+(1/'Component Lifetimes'!$B6)*'Building Projections'!BD$28</f>
        <v>1141286223.4792421</v>
      </c>
      <c r="BA66" s="4">
        <f>'Building Projections'!BF$29+(1/'Component Lifetimes'!$B6)*'Building Projections'!BE$28</f>
        <v>1175877193.0232811</v>
      </c>
      <c r="BB66" s="4">
        <f>'Building Projections'!BG$29+(1/'Component Lifetimes'!$B6)*'Building Projections'!BF$28</f>
        <v>1210991499.7122395</v>
      </c>
      <c r="BC66" s="4">
        <f>'Building Projections'!BH$29+(1/'Component Lifetimes'!$B6)*'Building Projections'!BG$28</f>
        <v>1246629143.5508265</v>
      </c>
    </row>
    <row r="67" spans="1:55">
      <c r="A67" t="s">
        <v>96</v>
      </c>
      <c r="B67" s="4">
        <f>'Building Projections'!G$29+(1/'Component Lifetimes'!$B7)*'Building Projections'!F$28</f>
        <v>71618535.249405354</v>
      </c>
      <c r="C67" s="4">
        <f>'Building Projections'!H$29+(1/'Component Lifetimes'!$B7)*'Building Projections'!G$28</f>
        <v>79880027.480476782</v>
      </c>
      <c r="D67" s="4">
        <f>'Building Projections'!I$29+(1/'Component Lifetimes'!$B7)*'Building Projections'!H$28</f>
        <v>88601422.049022913</v>
      </c>
      <c r="E67" s="4">
        <f>'Building Projections'!J$29+(1/'Component Lifetimes'!$B7)*'Building Projections'!I$28</f>
        <v>97782718.964138806</v>
      </c>
      <c r="F67" s="4">
        <f>'Building Projections'!K$29+(1/'Component Lifetimes'!$B7)*'Building Projections'!J$28</f>
        <v>107423918.20595126</v>
      </c>
      <c r="G67" s="4">
        <f>'Building Projections'!L$29+(1/'Component Lifetimes'!$B7)*'Building Projections'!K$28</f>
        <v>117525019.79191181</v>
      </c>
      <c r="H67" s="4">
        <f>'Building Projections'!M$29+(1/'Component Lifetimes'!$B7)*'Building Projections'!L$28</f>
        <v>128086023.71109523</v>
      </c>
      <c r="I67" s="4">
        <f>'Building Projections'!N$29+(1/'Component Lifetimes'!$B7)*'Building Projections'!M$28</f>
        <v>139106929.97684795</v>
      </c>
      <c r="J67" s="4">
        <f>'Building Projections'!O$29+(1/'Component Lifetimes'!$B7)*'Building Projections'!N$28</f>
        <v>150587738.57157129</v>
      </c>
      <c r="K67" s="4">
        <f>'Building Projections'!P$29+(1/'Component Lifetimes'!$B7)*'Building Projections'!O$28</f>
        <v>162528449.50376928</v>
      </c>
      <c r="L67" s="4">
        <f>'Building Projections'!Q$29+(1/'Component Lifetimes'!$B7)*'Building Projections'!P$28</f>
        <v>174929062.78253675</v>
      </c>
      <c r="M67" s="4">
        <f>'Building Projections'!R$29+(1/'Component Lifetimes'!$B7)*'Building Projections'!Q$28</f>
        <v>187789578.38800097</v>
      </c>
      <c r="N67" s="4">
        <f>'Building Projections'!S$29+(1/'Component Lifetimes'!$B7)*'Building Projections'!R$28</f>
        <v>201109996.33533984</v>
      </c>
      <c r="O67" s="4">
        <f>'Building Projections'!T$29+(1/'Component Lifetimes'!$B7)*'Building Projections'!S$28</f>
        <v>214890316.62712198</v>
      </c>
      <c r="P67" s="4">
        <f>'Building Projections'!U$29+(1/'Component Lifetimes'!$B7)*'Building Projections'!T$28</f>
        <v>229130539.24560094</v>
      </c>
      <c r="Q67" s="4">
        <f>'Building Projections'!V$29+(1/'Component Lifetimes'!$B7)*'Building Projections'!U$28</f>
        <v>243830664.20595449</v>
      </c>
      <c r="R67" s="4">
        <f>'Building Projections'!W$29+(1/'Component Lifetimes'!$B7)*'Building Projections'!V$28</f>
        <v>258990691.50393021</v>
      </c>
      <c r="S67" s="4">
        <f>'Building Projections'!X$29+(1/'Component Lifetimes'!$B7)*'Building Projections'!W$28</f>
        <v>274610621.14634943</v>
      </c>
      <c r="T67" s="4">
        <f>'Building Projections'!Y$29+(1/'Component Lifetimes'!$B7)*'Building Projections'!X$28</f>
        <v>290690453.11546564</v>
      </c>
      <c r="U67" s="4">
        <f>'Building Projections'!Z$29+(1/'Component Lifetimes'!$B7)*'Building Projections'!Y$28</f>
        <v>307230187.42645633</v>
      </c>
      <c r="V67" s="4">
        <f>'Building Projections'!AA$29+(1/'Component Lifetimes'!$B7)*'Building Projections'!Z$28</f>
        <v>324229824.08188999</v>
      </c>
      <c r="W67" s="4">
        <f>'Building Projections'!AB$29+(1/'Component Lifetimes'!$B7)*'Building Projections'!AA$28</f>
        <v>341689363.06174719</v>
      </c>
      <c r="X67" s="4">
        <f>'Building Projections'!AC$29+(1/'Component Lifetimes'!$B7)*'Building Projections'!AB$28</f>
        <v>359608804.39015198</v>
      </c>
      <c r="Y67" s="4">
        <f>'Building Projections'!AD$29+(1/'Component Lifetimes'!$B7)*'Building Projections'!AC$28</f>
        <v>377988148.05420136</v>
      </c>
      <c r="Z67" s="4">
        <f>'Building Projections'!AE$29+(1/'Component Lifetimes'!$B7)*'Building Projections'!AD$28</f>
        <v>396827394.04919869</v>
      </c>
      <c r="AA67" s="4">
        <f>'Building Projections'!AF$29+(1/'Component Lifetimes'!$B7)*'Building Projections'!AE$28</f>
        <v>416126542.38834465</v>
      </c>
      <c r="AB67" s="4">
        <f>'Building Projections'!AG$29+(1/'Component Lifetimes'!$B7)*'Building Projections'!AF$28</f>
        <v>435885593.06298757</v>
      </c>
      <c r="AC67" s="4">
        <f>'Building Projections'!AH$29+(1/'Component Lifetimes'!$B7)*'Building Projections'!AG$28</f>
        <v>456104546.08207303</v>
      </c>
      <c r="AD67" s="4">
        <f>'Building Projections'!AI$29+(1/'Component Lifetimes'!$B7)*'Building Projections'!AH$28</f>
        <v>476783401.42558146</v>
      </c>
      <c r="AE67" s="4">
        <f>'Building Projections'!AJ$29+(1/'Component Lifetimes'!$B7)*'Building Projections'!AI$28</f>
        <v>497922159.11536545</v>
      </c>
      <c r="AF67" s="4">
        <f>'Building Projections'!AK$29+(1/'Component Lifetimes'!$B7)*'Building Projections'!AJ$28</f>
        <v>519520819.14746523</v>
      </c>
      <c r="AG67" s="4">
        <f>'Building Projections'!AL$29+(1/'Component Lifetimes'!$B7)*'Building Projections'!AK$28</f>
        <v>541579381.50398874</v>
      </c>
      <c r="AH67" s="4">
        <f>'Building Projections'!AM$29+(1/'Component Lifetimes'!$B7)*'Building Projections'!AL$28</f>
        <v>564097846.20678616</v>
      </c>
      <c r="AI67" s="4">
        <f>'Building Projections'!AN$29+(1/'Component Lifetimes'!$B7)*'Building Projections'!AM$28</f>
        <v>587076213.24962878</v>
      </c>
      <c r="AJ67" s="4">
        <f>'Building Projections'!AO$29+(1/'Component Lifetimes'!$B7)*'Building Projections'!AN$28</f>
        <v>610514482.62129211</v>
      </c>
      <c r="AK67" s="4">
        <f>'Building Projections'!AP$29+(1/'Component Lifetimes'!$B7)*'Building Projections'!AO$28</f>
        <v>634412654.33710504</v>
      </c>
      <c r="AL67" s="4">
        <f>'Building Projections'!AQ$29+(1/'Component Lifetimes'!$B7)*'Building Projections'!AP$28</f>
        <v>658770728.39068711</v>
      </c>
      <c r="AM67" s="4">
        <f>'Building Projections'!AR$29+(1/'Component Lifetimes'!$B7)*'Building Projections'!AQ$28</f>
        <v>683588704.77976644</v>
      </c>
      <c r="AN67" s="4">
        <f>'Building Projections'!AS$29+(1/'Component Lifetimes'!$B7)*'Building Projections'!AR$28</f>
        <v>708866583.50419378</v>
      </c>
      <c r="AO67" s="4">
        <f>'Building Projections'!AT$29+(1/'Component Lifetimes'!$B7)*'Building Projections'!AS$28</f>
        <v>734604364.57064271</v>
      </c>
      <c r="AP67" s="4">
        <f>'Building Projections'!AU$29+(1/'Component Lifetimes'!$B7)*'Building Projections'!AT$28</f>
        <v>760802047.97486281</v>
      </c>
      <c r="AQ67" s="4">
        <f>'Building Projections'!AV$29+(1/'Component Lifetimes'!$B7)*'Building Projections'!AU$28</f>
        <v>787459633.71457922</v>
      </c>
      <c r="AR67" s="4">
        <f>'Building Projections'!AW$29+(1/'Component Lifetimes'!$B7)*'Building Projections'!AV$28</f>
        <v>814577121.78964257</v>
      </c>
      <c r="AS67" s="4">
        <f>'Building Projections'!AX$29+(1/'Component Lifetimes'!$B7)*'Building Projections'!AW$28</f>
        <v>842154512.21127772</v>
      </c>
      <c r="AT67" s="4">
        <f>'Building Projections'!AY$29+(1/'Component Lifetimes'!$B7)*'Building Projections'!AX$28</f>
        <v>870191804.95960844</v>
      </c>
      <c r="AU67" s="4">
        <f>'Building Projections'!AZ$29+(1/'Component Lifetimes'!$B7)*'Building Projections'!AY$28</f>
        <v>898689000.04981148</v>
      </c>
      <c r="AV67" s="4">
        <f>'Building Projections'!BA$29+(1/'Component Lifetimes'!$B7)*'Building Projections'!AZ$28</f>
        <v>927646097.48446321</v>
      </c>
      <c r="AW67" s="4">
        <f>'Building Projections'!BB$29+(1/'Component Lifetimes'!$B7)*'Building Projections'!BA$28</f>
        <v>957063097.24353325</v>
      </c>
      <c r="AX67" s="4">
        <f>'Building Projections'!BC$29+(1/'Component Lifetimes'!$B7)*'Building Projections'!BB$28</f>
        <v>986939999.34887874</v>
      </c>
      <c r="AY67" s="4">
        <f>'Building Projections'!BD$29+(1/'Component Lifetimes'!$B7)*'Building Projections'!BC$28</f>
        <v>1017276803.7919961</v>
      </c>
      <c r="AZ67" s="4">
        <f>'Building Projections'!BE$29+(1/'Component Lifetimes'!$B7)*'Building Projections'!BD$28</f>
        <v>1048073510.5728817</v>
      </c>
      <c r="BA67" s="4">
        <f>'Building Projections'!BF$29+(1/'Component Lifetimes'!$B7)*'Building Projections'!BE$28</f>
        <v>1079330119.6869903</v>
      </c>
      <c r="BB67" s="4">
        <f>'Building Projections'!BG$29+(1/'Component Lifetimes'!$B7)*'Building Projections'!BF$28</f>
        <v>1111046631.1408486</v>
      </c>
      <c r="BC67" s="4">
        <f>'Building Projections'!BH$29+(1/'Component Lifetimes'!$B7)*'Building Projections'!BG$28</f>
        <v>1143223044.9391465</v>
      </c>
    </row>
    <row r="69" spans="1:55">
      <c r="A69" s="2" t="s">
        <v>174</v>
      </c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</row>
    <row r="70" spans="1:55">
      <c r="B70" s="38">
        <v>2017</v>
      </c>
      <c r="C70" s="38">
        <v>2018</v>
      </c>
      <c r="D70" s="38">
        <v>2019</v>
      </c>
      <c r="E70" s="38">
        <v>2020</v>
      </c>
      <c r="F70" s="38">
        <v>2021</v>
      </c>
      <c r="G70" s="38">
        <v>2022</v>
      </c>
      <c r="H70" s="38">
        <v>2023</v>
      </c>
      <c r="I70" s="38">
        <v>2024</v>
      </c>
      <c r="J70" s="38">
        <v>2025</v>
      </c>
      <c r="K70" s="38">
        <v>2026</v>
      </c>
      <c r="L70" s="38">
        <v>2027</v>
      </c>
      <c r="M70" s="38">
        <v>2028</v>
      </c>
      <c r="N70" s="38">
        <v>2029</v>
      </c>
      <c r="O70" s="38">
        <v>2030</v>
      </c>
      <c r="P70" s="38">
        <v>2031</v>
      </c>
      <c r="Q70" s="38">
        <v>2032</v>
      </c>
      <c r="R70" s="38">
        <v>2033</v>
      </c>
      <c r="S70" s="38">
        <v>2034</v>
      </c>
      <c r="T70" s="38">
        <v>2035</v>
      </c>
      <c r="U70" s="38">
        <v>2036</v>
      </c>
      <c r="V70" s="38">
        <v>2037</v>
      </c>
      <c r="W70" s="38">
        <v>2038</v>
      </c>
      <c r="X70" s="38">
        <v>2039</v>
      </c>
      <c r="Y70" s="38">
        <v>2040</v>
      </c>
      <c r="Z70" s="38">
        <v>2041</v>
      </c>
      <c r="AA70" s="38">
        <v>2042</v>
      </c>
      <c r="AB70" s="38">
        <v>2043</v>
      </c>
      <c r="AC70" s="38">
        <v>2044</v>
      </c>
      <c r="AD70" s="38">
        <v>2045</v>
      </c>
      <c r="AE70" s="38">
        <v>2046</v>
      </c>
      <c r="AF70" s="38">
        <v>2047</v>
      </c>
      <c r="AG70" s="38">
        <v>2048</v>
      </c>
      <c r="AH70" s="38">
        <v>2049</v>
      </c>
      <c r="AI70" s="38">
        <v>2050</v>
      </c>
      <c r="AJ70">
        <v>2051</v>
      </c>
      <c r="AK70">
        <v>2052</v>
      </c>
      <c r="AL70">
        <v>2053</v>
      </c>
      <c r="AM70">
        <v>2054</v>
      </c>
      <c r="AN70">
        <v>2055</v>
      </c>
      <c r="AO70">
        <v>2056</v>
      </c>
      <c r="AP70">
        <v>2057</v>
      </c>
      <c r="AQ70">
        <v>2058</v>
      </c>
      <c r="AR70">
        <v>2059</v>
      </c>
      <c r="AS70">
        <v>2060</v>
      </c>
      <c r="AT70">
        <v>2061</v>
      </c>
      <c r="AU70">
        <v>2062</v>
      </c>
      <c r="AV70">
        <v>2063</v>
      </c>
      <c r="AW70">
        <v>2064</v>
      </c>
      <c r="AX70">
        <v>2065</v>
      </c>
      <c r="AY70">
        <v>2066</v>
      </c>
      <c r="AZ70">
        <v>2067</v>
      </c>
      <c r="BA70">
        <v>2068</v>
      </c>
      <c r="BB70">
        <v>2069</v>
      </c>
      <c r="BC70">
        <v>2070</v>
      </c>
    </row>
    <row r="71" spans="1:55">
      <c r="A71" t="s">
        <v>91</v>
      </c>
      <c r="B71">
        <f>SUMIFS('Calculations 1'!$E$35:$E$55,'Calculations 1'!$F$35:$F$55,$A71)*B62</f>
        <v>0</v>
      </c>
      <c r="C71">
        <f>SUMIFS('Calculations 1'!$E$35:$E$55,'Calculations 1'!$F$35:$F$55,$A71)*C62</f>
        <v>0</v>
      </c>
      <c r="D71">
        <f>SUMIFS('Calculations 1'!$E$35:$E$55,'Calculations 1'!$F$35:$F$55,$A71)*D62</f>
        <v>0</v>
      </c>
      <c r="E71">
        <f>SUMIFS('Calculations 1'!$E$35:$E$55,'Calculations 1'!$F$35:$F$55,$A71)*E62</f>
        <v>0</v>
      </c>
      <c r="F71">
        <f>SUMIFS('Calculations 1'!$E$35:$E$55,'Calculations 1'!$F$35:$F$55,$A71)*F62</f>
        <v>0</v>
      </c>
      <c r="G71">
        <f>SUMIFS('Calculations 1'!$E$35:$E$55,'Calculations 1'!$F$35:$F$55,$A71)*G62</f>
        <v>0</v>
      </c>
      <c r="H71">
        <f>SUMIFS('Calculations 1'!$E$35:$E$55,'Calculations 1'!$F$35:$F$55,$A71)*H62</f>
        <v>0</v>
      </c>
      <c r="I71">
        <f>SUMIFS('Calculations 1'!$E$35:$E$55,'Calculations 1'!$F$35:$F$55,$A71)*I62</f>
        <v>0</v>
      </c>
      <c r="J71">
        <f>SUMIFS('Calculations 1'!$E$35:$E$55,'Calculations 1'!$F$35:$F$55,$A71)*J62</f>
        <v>0</v>
      </c>
      <c r="K71">
        <f>SUMIFS('Calculations 1'!$E$35:$E$55,'Calculations 1'!$F$35:$F$55,$A71)*K62</f>
        <v>0</v>
      </c>
      <c r="L71">
        <f>SUMIFS('Calculations 1'!$E$35:$E$55,'Calculations 1'!$F$35:$F$55,$A71)*L62</f>
        <v>0</v>
      </c>
      <c r="M71">
        <f>SUMIFS('Calculations 1'!$E$35:$E$55,'Calculations 1'!$F$35:$F$55,$A71)*M62</f>
        <v>0</v>
      </c>
      <c r="N71">
        <f>SUMIFS('Calculations 1'!$E$35:$E$55,'Calculations 1'!$F$35:$F$55,$A71)*N62</f>
        <v>0</v>
      </c>
      <c r="O71">
        <f>SUMIFS('Calculations 1'!$E$35:$E$55,'Calculations 1'!$F$35:$F$55,$A71)*O62</f>
        <v>0</v>
      </c>
      <c r="P71">
        <f>SUMIFS('Calculations 1'!$E$35:$E$55,'Calculations 1'!$F$35:$F$55,$A71)*P62</f>
        <v>0</v>
      </c>
      <c r="Q71">
        <f>SUMIFS('Calculations 1'!$E$35:$E$55,'Calculations 1'!$F$35:$F$55,$A71)*Q62</f>
        <v>0</v>
      </c>
      <c r="R71">
        <f>SUMIFS('Calculations 1'!$E$35:$E$55,'Calculations 1'!$F$35:$F$55,$A71)*R62</f>
        <v>0</v>
      </c>
      <c r="S71">
        <f>SUMIFS('Calculations 1'!$E$35:$E$55,'Calculations 1'!$F$35:$F$55,$A71)*S62</f>
        <v>0</v>
      </c>
      <c r="T71">
        <f>SUMIFS('Calculations 1'!$E$35:$E$55,'Calculations 1'!$F$35:$F$55,$A71)*T62</f>
        <v>0</v>
      </c>
      <c r="U71">
        <f>SUMIFS('Calculations 1'!$E$35:$E$55,'Calculations 1'!$F$35:$F$55,$A71)*U62</f>
        <v>0</v>
      </c>
      <c r="V71">
        <f>SUMIFS('Calculations 1'!$E$35:$E$55,'Calculations 1'!$F$35:$F$55,$A71)*V62</f>
        <v>0</v>
      </c>
      <c r="W71">
        <f>SUMIFS('Calculations 1'!$E$35:$E$55,'Calculations 1'!$F$35:$F$55,$A71)*W62</f>
        <v>0</v>
      </c>
      <c r="X71">
        <f>SUMIFS('Calculations 1'!$E$35:$E$55,'Calculations 1'!$F$35:$F$55,$A71)*X62</f>
        <v>0</v>
      </c>
      <c r="Y71">
        <f>SUMIFS('Calculations 1'!$E$35:$E$55,'Calculations 1'!$F$35:$F$55,$A71)*Y62</f>
        <v>0</v>
      </c>
      <c r="Z71">
        <f>SUMIFS('Calculations 1'!$E$35:$E$55,'Calculations 1'!$F$35:$F$55,$A71)*Z62</f>
        <v>0</v>
      </c>
      <c r="AA71">
        <f>SUMIFS('Calculations 1'!$E$35:$E$55,'Calculations 1'!$F$35:$F$55,$A71)*AA62</f>
        <v>0</v>
      </c>
      <c r="AB71">
        <f>SUMIFS('Calculations 1'!$E$35:$E$55,'Calculations 1'!$F$35:$F$55,$A71)*AB62</f>
        <v>0</v>
      </c>
      <c r="AC71">
        <f>SUMIFS('Calculations 1'!$E$35:$E$55,'Calculations 1'!$F$35:$F$55,$A71)*AC62</f>
        <v>0</v>
      </c>
      <c r="AD71">
        <f>SUMIFS('Calculations 1'!$E$35:$E$55,'Calculations 1'!$F$35:$F$55,$A71)*AD62</f>
        <v>0</v>
      </c>
      <c r="AE71">
        <f>SUMIFS('Calculations 1'!$E$35:$E$55,'Calculations 1'!$F$35:$F$55,$A71)*AE62</f>
        <v>0</v>
      </c>
      <c r="AF71">
        <f>SUMIFS('Calculations 1'!$E$35:$E$55,'Calculations 1'!$F$35:$F$55,$A71)*AF62</f>
        <v>0</v>
      </c>
      <c r="AG71">
        <f>SUMIFS('Calculations 1'!$E$35:$E$55,'Calculations 1'!$F$35:$F$55,$A71)*AG62</f>
        <v>0</v>
      </c>
      <c r="AH71">
        <f>SUMIFS('Calculations 1'!$E$35:$E$55,'Calculations 1'!$F$35:$F$55,$A71)*AH62</f>
        <v>0</v>
      </c>
      <c r="AI71">
        <f>SUMIFS('Calculations 1'!$E$35:$E$55,'Calculations 1'!$F$35:$F$55,$A71)*AI62</f>
        <v>0</v>
      </c>
      <c r="AJ71">
        <f>SUMIFS('Calculations 1'!$E$35:$E$55,'Calculations 1'!$F$35:$F$55,$A71)*AJ62</f>
        <v>0</v>
      </c>
      <c r="AK71">
        <f>SUMIFS('Calculations 1'!$E$35:$E$55,'Calculations 1'!$F$35:$F$55,$A71)*AK62</f>
        <v>0</v>
      </c>
      <c r="AL71">
        <f>SUMIFS('Calculations 1'!$E$35:$E$55,'Calculations 1'!$F$35:$F$55,$A71)*AL62</f>
        <v>0</v>
      </c>
      <c r="AM71">
        <f>SUMIFS('Calculations 1'!$E$35:$E$55,'Calculations 1'!$F$35:$F$55,$A71)*AM62</f>
        <v>0</v>
      </c>
      <c r="AN71">
        <f>SUMIFS('Calculations 1'!$E$35:$E$55,'Calculations 1'!$F$35:$F$55,$A71)*AN62</f>
        <v>0</v>
      </c>
      <c r="AO71">
        <f>SUMIFS('Calculations 1'!$E$35:$E$55,'Calculations 1'!$F$35:$F$55,$A71)*AO62</f>
        <v>0</v>
      </c>
      <c r="AP71">
        <f>SUMIFS('Calculations 1'!$E$35:$E$55,'Calculations 1'!$F$35:$F$55,$A71)*AP62</f>
        <v>0</v>
      </c>
      <c r="AQ71">
        <f>SUMIFS('Calculations 1'!$E$35:$E$55,'Calculations 1'!$F$35:$F$55,$A71)*AQ62</f>
        <v>0</v>
      </c>
      <c r="AR71">
        <f>SUMIFS('Calculations 1'!$E$35:$E$55,'Calculations 1'!$F$35:$F$55,$A71)*AR62</f>
        <v>0</v>
      </c>
      <c r="AS71">
        <f>SUMIFS('Calculations 1'!$E$35:$E$55,'Calculations 1'!$F$35:$F$55,$A71)*AS62</f>
        <v>0</v>
      </c>
      <c r="AT71">
        <f>SUMIFS('Calculations 1'!$E$35:$E$55,'Calculations 1'!$F$35:$F$55,$A71)*AT62</f>
        <v>0</v>
      </c>
      <c r="AU71">
        <f>SUMIFS('Calculations 1'!$E$35:$E$55,'Calculations 1'!$F$35:$F$55,$A71)*AU62</f>
        <v>0</v>
      </c>
      <c r="AV71">
        <f>SUMIFS('Calculations 1'!$E$35:$E$55,'Calculations 1'!$F$35:$F$55,$A71)*AV62</f>
        <v>0</v>
      </c>
      <c r="AW71">
        <f>SUMIFS('Calculations 1'!$E$35:$E$55,'Calculations 1'!$F$35:$F$55,$A71)*AW62</f>
        <v>0</v>
      </c>
      <c r="AX71">
        <f>SUMIFS('Calculations 1'!$E$35:$E$55,'Calculations 1'!$F$35:$F$55,$A71)*AX62</f>
        <v>0</v>
      </c>
      <c r="AY71">
        <f>SUMIFS('Calculations 1'!$E$35:$E$55,'Calculations 1'!$F$35:$F$55,$A71)*AY62</f>
        <v>0</v>
      </c>
      <c r="AZ71">
        <f>SUMIFS('Calculations 1'!$E$35:$E$55,'Calculations 1'!$F$35:$F$55,$A71)*AZ62</f>
        <v>0</v>
      </c>
      <c r="BA71">
        <f>SUMIFS('Calculations 1'!$E$35:$E$55,'Calculations 1'!$F$35:$F$55,$A71)*BA62</f>
        <v>0</v>
      </c>
      <c r="BB71">
        <f>SUMIFS('Calculations 1'!$E$35:$E$55,'Calculations 1'!$F$35:$F$55,$A71)*BB62</f>
        <v>0</v>
      </c>
      <c r="BC71">
        <f>SUMIFS('Calculations 1'!$E$35:$E$55,'Calculations 1'!$F$35:$F$55,$A71)*BC62</f>
        <v>0</v>
      </c>
    </row>
    <row r="72" spans="1:55">
      <c r="A72" t="s">
        <v>92</v>
      </c>
      <c r="B72" s="4">
        <f>SUMIFS('Calculations 1'!$E$35:$E$55,'Calculations 1'!$F$35:$F$55,$A72)*B63</f>
        <v>36880942716.674515</v>
      </c>
      <c r="C72" s="4">
        <f>SUMIFS('Calculations 1'!$E$35:$E$55,'Calculations 1'!$F$35:$F$55,$A72)*C63</f>
        <v>41207077645.367577</v>
      </c>
      <c r="D72" s="4">
        <f>SUMIFS('Calculations 1'!$E$35:$E$55,'Calculations 1'!$F$35:$F$55,$A72)*D63</f>
        <v>45768368056.545456</v>
      </c>
      <c r="E72" s="4">
        <f>SUMIFS('Calculations 1'!$E$35:$E$55,'Calculations 1'!$F$35:$F$55,$A72)*E63</f>
        <v>50564813954.989464</v>
      </c>
      <c r="F72" s="4">
        <f>SUMIFS('Calculations 1'!$E$35:$E$55,'Calculations 1'!$F$35:$F$55,$A72)*F63</f>
        <v>55596415330.243675</v>
      </c>
      <c r="G72" s="4">
        <f>SUMIFS('Calculations 1'!$E$35:$E$55,'Calculations 1'!$F$35:$F$55,$A72)*G63</f>
        <v>60863172191.493065</v>
      </c>
      <c r="H72" s="4">
        <f>SUMIFS('Calculations 1'!$E$35:$E$55,'Calculations 1'!$F$35:$F$55,$A72)*H63</f>
        <v>66365084532.987808</v>
      </c>
      <c r="I72" s="4">
        <f>SUMIFS('Calculations 1'!$E$35:$E$55,'Calculations 1'!$F$35:$F$55,$A72)*I63</f>
        <v>72102152361.748444</v>
      </c>
      <c r="J72" s="4">
        <f>SUMIFS('Calculations 1'!$E$35:$E$55,'Calculations 1'!$F$35:$F$55,$A72)*J63</f>
        <v>78074375668.514755</v>
      </c>
      <c r="K72" s="4">
        <f>SUMIFS('Calculations 1'!$E$35:$E$55,'Calculations 1'!$F$35:$F$55,$A72)*K63</f>
        <v>84281754457.765869</v>
      </c>
      <c r="L72" s="4">
        <f>SUMIFS('Calculations 1'!$E$35:$E$55,'Calculations 1'!$F$35:$F$55,$A72)*L63</f>
        <v>90724288734.282944</v>
      </c>
      <c r="M72" s="4">
        <f>SUMIFS('Calculations 1'!$E$35:$E$55,'Calculations 1'!$F$35:$F$55,$A72)*M63</f>
        <v>97401978487.610336</v>
      </c>
      <c r="N72" s="4">
        <f>SUMIFS('Calculations 1'!$E$35:$E$55,'Calculations 1'!$F$35:$F$55,$A72)*N63</f>
        <v>104314823725.73775</v>
      </c>
      <c r="O72" s="4">
        <f>SUMIFS('Calculations 1'!$E$35:$E$55,'Calculations 1'!$F$35:$F$55,$A72)*O63</f>
        <v>111462824450.01125</v>
      </c>
      <c r="P72" s="4">
        <f>SUMIFS('Calculations 1'!$E$35:$E$55,'Calculations 1'!$F$35:$F$55,$A72)*P63</f>
        <v>118845980651.09508</v>
      </c>
      <c r="Q72" s="4">
        <f>SUMIFS('Calculations 1'!$E$35:$E$55,'Calculations 1'!$F$35:$F$55,$A72)*Q63</f>
        <v>126464292336.97893</v>
      </c>
      <c r="R72" s="4">
        <f>SUMIFS('Calculations 1'!$E$35:$E$55,'Calculations 1'!$F$35:$F$55,$A72)*R63</f>
        <v>134317759505.42297</v>
      </c>
      <c r="S72" s="4">
        <f>SUMIFS('Calculations 1'!$E$35:$E$55,'Calculations 1'!$F$35:$F$55,$A72)*S63</f>
        <v>142406382160.01321</v>
      </c>
      <c r="T72" s="4">
        <f>SUMIFS('Calculations 1'!$E$35:$E$55,'Calculations 1'!$F$35:$F$55,$A72)*T63</f>
        <v>150730160291.41391</v>
      </c>
      <c r="U72" s="4">
        <f>SUMIFS('Calculations 1'!$E$35:$E$55,'Calculations 1'!$F$35:$F$55,$A72)*U63</f>
        <v>159289093907.61453</v>
      </c>
      <c r="V72" s="4">
        <f>SUMIFS('Calculations 1'!$E$35:$E$55,'Calculations 1'!$F$35:$F$55,$A72)*V63</f>
        <v>168083183009.96109</v>
      </c>
      <c r="W72" s="4">
        <f>SUMIFS('Calculations 1'!$E$35:$E$55,'Calculations 1'!$F$35:$F$55,$A72)*W63</f>
        <v>177112427587.92288</v>
      </c>
      <c r="X72" s="4">
        <f>SUMIFS('Calculations 1'!$E$35:$E$55,'Calculations 1'!$F$35:$F$55,$A72)*X63</f>
        <v>186376827654.19485</v>
      </c>
      <c r="Y72" s="4">
        <f>SUMIFS('Calculations 1'!$E$35:$E$55,'Calculations 1'!$F$35:$F$55,$A72)*Y63</f>
        <v>195876383201.98312</v>
      </c>
      <c r="Z72" s="4">
        <f>SUMIFS('Calculations 1'!$E$35:$E$55,'Calculations 1'!$F$35:$F$55,$A72)*Z63</f>
        <v>205611094228.82086</v>
      </c>
      <c r="AA72" s="4">
        <f>SUMIFS('Calculations 1'!$E$35:$E$55,'Calculations 1'!$F$35:$F$55,$A72)*AA63</f>
        <v>215580960741.65405</v>
      </c>
      <c r="AB72" s="4">
        <f>SUMIFS('Calculations 1'!$E$35:$E$55,'Calculations 1'!$F$35:$F$55,$A72)*AB63</f>
        <v>225785982735.92807</v>
      </c>
      <c r="AC72" s="4">
        <f>SUMIFS('Calculations 1'!$E$35:$E$55,'Calculations 1'!$F$35:$F$55,$A72)*AC63</f>
        <v>236226160216.34781</v>
      </c>
      <c r="AD72" s="4">
        <f>SUMIFS('Calculations 1'!$E$35:$E$55,'Calculations 1'!$F$35:$F$55,$A72)*AD63</f>
        <v>246901493172.38257</v>
      </c>
      <c r="AE72" s="4">
        <f>SUMIFS('Calculations 1'!$E$35:$E$55,'Calculations 1'!$F$35:$F$55,$A72)*AE63</f>
        <v>257811981615.53296</v>
      </c>
      <c r="AF72" s="4">
        <f>SUMIFS('Calculations 1'!$E$35:$E$55,'Calculations 1'!$F$35:$F$55,$A72)*AF63</f>
        <v>268957625543.70892</v>
      </c>
      <c r="AG72" s="4">
        <f>SUMIFS('Calculations 1'!$E$35:$E$55,'Calculations 1'!$F$35:$F$55,$A72)*AG63</f>
        <v>280338424947.50031</v>
      </c>
      <c r="AH72" s="4">
        <f>SUMIFS('Calculations 1'!$E$35:$E$55,'Calculations 1'!$F$35:$F$55,$A72)*AH63</f>
        <v>291954379838.40643</v>
      </c>
      <c r="AI72" s="4">
        <f>SUMIFS('Calculations 1'!$E$35:$E$55,'Calculations 1'!$F$35:$F$55,$A72)*AI63</f>
        <v>303805490213.14459</v>
      </c>
      <c r="AJ72" s="4">
        <f>SUMIFS('Calculations 1'!$E$35:$E$55,'Calculations 1'!$F$35:$F$55,$A72)*AJ63</f>
        <v>315891756065.81165</v>
      </c>
      <c r="AK72" s="4">
        <f>SUMIFS('Calculations 1'!$E$35:$E$55,'Calculations 1'!$F$35:$F$55,$A72)*AK63</f>
        <v>328213177404.47467</v>
      </c>
      <c r="AL72" s="4">
        <f>SUMIFS('Calculations 1'!$E$35:$E$55,'Calculations 1'!$F$35:$F$55,$A72)*AL63</f>
        <v>340769754225.77307</v>
      </c>
      <c r="AM72" s="4">
        <f>SUMIFS('Calculations 1'!$E$35:$E$55,'Calculations 1'!$F$35:$F$55,$A72)*AM63</f>
        <v>353561486528.51251</v>
      </c>
      <c r="AN72" s="4">
        <f>SUMIFS('Calculations 1'!$E$35:$E$55,'Calculations 1'!$F$35:$F$55,$A72)*AN63</f>
        <v>366588374312.61652</v>
      </c>
      <c r="AO72" s="4">
        <f>SUMIFS('Calculations 1'!$E$35:$E$55,'Calculations 1'!$F$35:$F$55,$A72)*AO63</f>
        <v>379850417581.59589</v>
      </c>
      <c r="AP72" s="4">
        <f>SUMIFS('Calculations 1'!$E$35:$E$55,'Calculations 1'!$F$35:$F$55,$A72)*AP63</f>
        <v>393347616333.21143</v>
      </c>
      <c r="AQ72" s="4">
        <f>SUMIFS('Calculations 1'!$E$35:$E$55,'Calculations 1'!$F$35:$F$55,$A72)*AQ63</f>
        <v>407079970566.26764</v>
      </c>
      <c r="AR72" s="4">
        <f>SUMIFS('Calculations 1'!$E$35:$E$55,'Calculations 1'!$F$35:$F$55,$A72)*AR63</f>
        <v>421047480280.68793</v>
      </c>
      <c r="AS72" s="4">
        <f>SUMIFS('Calculations 1'!$E$35:$E$55,'Calculations 1'!$F$35:$F$55,$A72)*AS63</f>
        <v>435250145482.37549</v>
      </c>
      <c r="AT72" s="4">
        <f>SUMIFS('Calculations 1'!$E$35:$E$55,'Calculations 1'!$F$35:$F$55,$A72)*AT63</f>
        <v>449687966160.87268</v>
      </c>
      <c r="AU72" s="4">
        <f>SUMIFS('Calculations 1'!$E$35:$E$55,'Calculations 1'!$F$35:$F$55,$A72)*AU63</f>
        <v>464360942324.16864</v>
      </c>
      <c r="AV72" s="4">
        <f>SUMIFS('Calculations 1'!$E$35:$E$55,'Calculations 1'!$F$35:$F$55,$A72)*AV63</f>
        <v>479269073973.61353</v>
      </c>
      <c r="AW72" s="4">
        <f>SUMIFS('Calculations 1'!$E$35:$E$55,'Calculations 1'!$F$35:$F$55,$A72)*AW63</f>
        <v>494412361098.67096</v>
      </c>
      <c r="AX72" s="4">
        <f>SUMIFS('Calculations 1'!$E$35:$E$55,'Calculations 1'!$F$35:$F$55,$A72)*AX63</f>
        <v>509790803710.84399</v>
      </c>
      <c r="AY72" s="4">
        <f>SUMIFS('Calculations 1'!$E$35:$E$55,'Calculations 1'!$F$35:$F$55,$A72)*AY63</f>
        <v>525404401805.65399</v>
      </c>
      <c r="AZ72" s="4">
        <f>SUMIFS('Calculations 1'!$E$35:$E$55,'Calculations 1'!$F$35:$F$55,$A72)*AZ63</f>
        <v>541253155383.09869</v>
      </c>
      <c r="BA72" s="4">
        <f>SUMIFS('Calculations 1'!$E$35:$E$55,'Calculations 1'!$F$35:$F$55,$A72)*BA63</f>
        <v>557337064440.78882</v>
      </c>
      <c r="BB72" s="4">
        <f>SUMIFS('Calculations 1'!$E$35:$E$55,'Calculations 1'!$F$35:$F$55,$A72)*BB63</f>
        <v>573656128982.15991</v>
      </c>
      <c r="BC72" s="4">
        <f>SUMIFS('Calculations 1'!$E$35:$E$55,'Calculations 1'!$F$35:$F$55,$A72)*BC63</f>
        <v>590210349009.67493</v>
      </c>
    </row>
    <row r="73" spans="1:55">
      <c r="A73" t="s">
        <v>93</v>
      </c>
      <c r="B73" s="4">
        <f>SUMIFS('Calculations 1'!$E$35:$E$55,'Calculations 1'!$F$35:$F$55,$A73)*B64</f>
        <v>35708758950.251373</v>
      </c>
      <c r="C73" s="4">
        <f>SUMIFS('Calculations 1'!$E$35:$E$55,'Calculations 1'!$F$35:$F$55,$A73)*C64</f>
        <v>43504868744.147598</v>
      </c>
      <c r="D73" s="4">
        <f>SUMIFS('Calculations 1'!$E$35:$E$55,'Calculations 1'!$F$35:$F$55,$A73)*D64</f>
        <v>51444337443.597687</v>
      </c>
      <c r="E73" s="4">
        <f>SUMIFS('Calculations 1'!$E$35:$E$55,'Calculations 1'!$F$35:$F$55,$A73)*E64</f>
        <v>59527165058.141182</v>
      </c>
      <c r="F73" s="4">
        <f>SUMIFS('Calculations 1'!$E$35:$E$55,'Calculations 1'!$F$35:$F$55,$A73)*F64</f>
        <v>67753351566.498329</v>
      </c>
      <c r="G73" s="4">
        <f>SUMIFS('Calculations 1'!$E$35:$E$55,'Calculations 1'!$F$35:$F$55,$A73)*G64</f>
        <v>76122896987.5177</v>
      </c>
      <c r="H73" s="4">
        <f>SUMIFS('Calculations 1'!$E$35:$E$55,'Calculations 1'!$F$35:$F$55,$A73)*H64</f>
        <v>84635801309.413666</v>
      </c>
      <c r="I73" s="4">
        <f>SUMIFS('Calculations 1'!$E$35:$E$55,'Calculations 1'!$F$35:$F$55,$A73)*I64</f>
        <v>93292064546.402542</v>
      </c>
      <c r="J73" s="4">
        <f>SUMIFS('Calculations 1'!$E$35:$E$55,'Calculations 1'!$F$35:$F$55,$A73)*J64</f>
        <v>102091686679.59023</v>
      </c>
      <c r="K73" s="4">
        <f>SUMIFS('Calculations 1'!$E$35:$E$55,'Calculations 1'!$F$35:$F$55,$A73)*K64</f>
        <v>111034667718.3318</v>
      </c>
      <c r="L73" s="4">
        <f>SUMIFS('Calculations 1'!$E$35:$E$55,'Calculations 1'!$F$35:$F$55,$A73)*L64</f>
        <v>120121007672.1664</v>
      </c>
      <c r="M73" s="4">
        <f>SUMIFS('Calculations 1'!$E$35:$E$55,'Calculations 1'!$F$35:$F$55,$A73)*M64</f>
        <v>129350706519.81491</v>
      </c>
      <c r="N73" s="4">
        <f>SUMIFS('Calculations 1'!$E$35:$E$55,'Calculations 1'!$F$35:$F$55,$A73)*N64</f>
        <v>138723764277.74109</v>
      </c>
      <c r="O73" s="4">
        <f>SUMIFS('Calculations 1'!$E$35:$E$55,'Calculations 1'!$F$35:$F$55,$A73)*O64</f>
        <v>148240180948.42142</v>
      </c>
      <c r="P73" s="4">
        <f>SUMIFS('Calculations 1'!$E$35:$E$55,'Calculations 1'!$F$35:$F$55,$A73)*P64</f>
        <v>157899956512.91568</v>
      </c>
      <c r="Q73" s="4">
        <f>SUMIFS('Calculations 1'!$E$35:$E$55,'Calculations 1'!$F$35:$F$55,$A73)*Q64</f>
        <v>167703090987.68756</v>
      </c>
      <c r="R73" s="4">
        <f>SUMIFS('Calculations 1'!$E$35:$E$55,'Calculations 1'!$F$35:$F$55,$A73)*R64</f>
        <v>177649584368.05914</v>
      </c>
      <c r="S73" s="4">
        <f>SUMIFS('Calculations 1'!$E$35:$E$55,'Calculations 1'!$F$35:$F$55,$A73)*S64</f>
        <v>187739436661.18509</v>
      </c>
      <c r="T73" s="4">
        <f>SUMIFS('Calculations 1'!$E$35:$E$55,'Calculations 1'!$F$35:$F$55,$A73)*T64</f>
        <v>197972647848.12518</v>
      </c>
      <c r="U73" s="4">
        <f>SUMIFS('Calculations 1'!$E$35:$E$55,'Calculations 1'!$F$35:$F$55,$A73)*U64</f>
        <v>208349217945.34274</v>
      </c>
      <c r="V73" s="4">
        <f>SUMIFS('Calculations 1'!$E$35:$E$55,'Calculations 1'!$F$35:$F$55,$A73)*V64</f>
        <v>218869146955.31418</v>
      </c>
      <c r="W73" s="4">
        <f>SUMIFS('Calculations 1'!$E$35:$E$55,'Calculations 1'!$F$35:$F$55,$A73)*W64</f>
        <v>229532434856.71515</v>
      </c>
      <c r="X73" s="4">
        <f>SUMIFS('Calculations 1'!$E$35:$E$55,'Calculations 1'!$F$35:$F$55,$A73)*X64</f>
        <v>240339081675.50171</v>
      </c>
      <c r="Y73" s="4">
        <f>SUMIFS('Calculations 1'!$E$35:$E$55,'Calculations 1'!$F$35:$F$55,$A73)*Y64</f>
        <v>251289087397.59604</v>
      </c>
      <c r="Z73" s="4">
        <f>SUMIFS('Calculations 1'!$E$35:$E$55,'Calculations 1'!$F$35:$F$55,$A73)*Z64</f>
        <v>262382452018.18085</v>
      </c>
      <c r="AA73" s="4">
        <f>SUMIFS('Calculations 1'!$E$35:$E$55,'Calculations 1'!$F$35:$F$55,$A73)*AA64</f>
        <v>273619175551.4285</v>
      </c>
      <c r="AB73" s="4">
        <f>SUMIFS('Calculations 1'!$E$35:$E$55,'Calculations 1'!$F$35:$F$55,$A73)*AB64</f>
        <v>284999257987.93787</v>
      </c>
      <c r="AC73" s="4">
        <f>SUMIFS('Calculations 1'!$E$35:$E$55,'Calculations 1'!$F$35:$F$55,$A73)*AC64</f>
        <v>296522699337.20068</v>
      </c>
      <c r="AD73" s="4">
        <f>SUMIFS('Calculations 1'!$E$35:$E$55,'Calculations 1'!$F$35:$F$55,$A73)*AD64</f>
        <v>308189499577.89252</v>
      </c>
      <c r="AE73" s="4">
        <f>SUMIFS('Calculations 1'!$E$35:$E$55,'Calculations 1'!$F$35:$F$55,$A73)*AE64</f>
        <v>319999658733.58667</v>
      </c>
      <c r="AF73" s="4">
        <f>SUMIFS('Calculations 1'!$E$35:$E$55,'Calculations 1'!$F$35:$F$55,$A73)*AF64</f>
        <v>331953176799.69476</v>
      </c>
      <c r="AG73" s="4">
        <f>SUMIFS('Calculations 1'!$E$35:$E$55,'Calculations 1'!$F$35:$F$55,$A73)*AG64</f>
        <v>344050053757.23279</v>
      </c>
      <c r="AH73" s="4">
        <f>SUMIFS('Calculations 1'!$E$35:$E$55,'Calculations 1'!$F$35:$F$55,$A73)*AH64</f>
        <v>356290289629.77124</v>
      </c>
      <c r="AI73" s="4">
        <f>SUMIFS('Calculations 1'!$E$35:$E$55,'Calculations 1'!$F$35:$F$55,$A73)*AI64</f>
        <v>368673884410.34229</v>
      </c>
      <c r="AJ73" s="4">
        <f>SUMIFS('Calculations 1'!$E$35:$E$55,'Calculations 1'!$F$35:$F$55,$A73)*AJ64</f>
        <v>381200838087.06366</v>
      </c>
      <c r="AK73" s="4">
        <f>SUMIFS('Calculations 1'!$E$35:$E$55,'Calculations 1'!$F$35:$F$55,$A73)*AK64</f>
        <v>393871150676.44891</v>
      </c>
      <c r="AL73" s="4">
        <f>SUMIFS('Calculations 1'!$E$35:$E$55,'Calculations 1'!$F$35:$F$55,$A73)*AL64</f>
        <v>406684822171.47906</v>
      </c>
      <c r="AM73" s="4">
        <f>SUMIFS('Calculations 1'!$E$35:$E$55,'Calculations 1'!$F$35:$F$55,$A73)*AM64</f>
        <v>419641852569.77148</v>
      </c>
      <c r="AN73" s="4">
        <f>SUMIFS('Calculations 1'!$E$35:$E$55,'Calculations 1'!$F$35:$F$55,$A73)*AN64</f>
        <v>432742241871.27808</v>
      </c>
      <c r="AO73" s="4">
        <f>SUMIFS('Calculations 1'!$E$35:$E$55,'Calculations 1'!$F$35:$F$55,$A73)*AO64</f>
        <v>445985990083.10797</v>
      </c>
      <c r="AP73" s="4">
        <f>SUMIFS('Calculations 1'!$E$35:$E$55,'Calculations 1'!$F$35:$F$55,$A73)*AP64</f>
        <v>459373097200.58472</v>
      </c>
      <c r="AQ73" s="4">
        <f>SUMIFS('Calculations 1'!$E$35:$E$55,'Calculations 1'!$F$35:$F$55,$A73)*AQ64</f>
        <v>472903563221.32275</v>
      </c>
      <c r="AR73" s="4">
        <f>SUMIFS('Calculations 1'!$E$35:$E$55,'Calculations 1'!$F$35:$F$55,$A73)*AR64</f>
        <v>486577388145.27399</v>
      </c>
      <c r="AS73" s="4">
        <f>SUMIFS('Calculations 1'!$E$35:$E$55,'Calculations 1'!$F$35:$F$55,$A73)*AS64</f>
        <v>500394571984.32086</v>
      </c>
      <c r="AT73" s="4">
        <f>SUMIFS('Calculations 1'!$E$35:$E$55,'Calculations 1'!$F$35:$F$55,$A73)*AT64</f>
        <v>514355114717.1803</v>
      </c>
      <c r="AU73" s="4">
        <f>SUMIFS('Calculations 1'!$E$35:$E$55,'Calculations 1'!$F$35:$F$55,$A73)*AU64</f>
        <v>528459016360.315</v>
      </c>
      <c r="AV73" s="4">
        <f>SUMIFS('Calculations 1'!$E$35:$E$55,'Calculations 1'!$F$35:$F$55,$A73)*AV64</f>
        <v>542706276916.20947</v>
      </c>
      <c r="AW73" s="4">
        <f>SUMIFS('Calculations 1'!$E$35:$E$55,'Calculations 1'!$F$35:$F$55,$A73)*AW64</f>
        <v>557096896363.52795</v>
      </c>
      <c r="AX73" s="4">
        <f>SUMIFS('Calculations 1'!$E$35:$E$55,'Calculations 1'!$F$35:$F$55,$A73)*AX64</f>
        <v>571630874725.849</v>
      </c>
      <c r="AY73" s="4">
        <f>SUMIFS('Calculations 1'!$E$35:$E$55,'Calculations 1'!$F$35:$F$55,$A73)*AY64</f>
        <v>586308211993.81787</v>
      </c>
      <c r="AZ73" s="4">
        <f>SUMIFS('Calculations 1'!$E$35:$E$55,'Calculations 1'!$F$35:$F$55,$A73)*AZ64</f>
        <v>601128908167.43079</v>
      </c>
      <c r="BA73" s="4">
        <f>SUMIFS('Calculations 1'!$E$35:$E$55,'Calculations 1'!$F$35:$F$55,$A73)*BA64</f>
        <v>616092963241.92017</v>
      </c>
      <c r="BB73" s="4">
        <f>SUMIFS('Calculations 1'!$E$35:$E$55,'Calculations 1'!$F$35:$F$55,$A73)*BB64</f>
        <v>631200377224.35022</v>
      </c>
      <c r="BC73" s="4">
        <f>SUMIFS('Calculations 1'!$E$35:$E$55,'Calculations 1'!$F$35:$F$55,$A73)*BC64</f>
        <v>646451150119.53015</v>
      </c>
    </row>
    <row r="74" spans="1:55">
      <c r="A74" t="s">
        <v>94</v>
      </c>
      <c r="B74" s="4">
        <f>SUMIFS('Calculations 1'!$E$35:$E$55,'Calculations 1'!$F$35:$F$55,$A74)*B65</f>
        <v>6215778976.6818132</v>
      </c>
      <c r="C74" s="4">
        <f>SUMIFS('Calculations 1'!$E$35:$E$55,'Calculations 1'!$F$35:$F$55,$A74)*C65</f>
        <v>6736334203.0555801</v>
      </c>
      <c r="D74" s="4">
        <f>SUMIFS('Calculations 1'!$E$35:$E$55,'Calculations 1'!$F$35:$F$55,$A74)*D65</f>
        <v>7301396546.5375338</v>
      </c>
      <c r="E74" s="4">
        <f>SUMIFS('Calculations 1'!$E$35:$E$55,'Calculations 1'!$F$35:$F$55,$A74)*E65</f>
        <v>7910966007.6496325</v>
      </c>
      <c r="F74" s="4">
        <f>SUMIFS('Calculations 1'!$E$35:$E$55,'Calculations 1'!$F$35:$F$55,$A74)*F65</f>
        <v>8565042585.2746315</v>
      </c>
      <c r="G74" s="4">
        <f>SUMIFS('Calculations 1'!$E$35:$E$55,'Calculations 1'!$F$35:$F$55,$A74)*G65</f>
        <v>9263626280.3849831</v>
      </c>
      <c r="H74" s="4">
        <f>SUMIFS('Calculations 1'!$E$35:$E$55,'Calculations 1'!$F$35:$F$55,$A74)*H65</f>
        <v>10006717092.371143</v>
      </c>
      <c r="I74" s="4">
        <f>SUMIFS('Calculations 1'!$E$35:$E$55,'Calculations 1'!$F$35:$F$55,$A74)*I65</f>
        <v>10794315021.987423</v>
      </c>
      <c r="J74" s="4">
        <f>SUMIFS('Calculations 1'!$E$35:$E$55,'Calculations 1'!$F$35:$F$55,$A74)*J65</f>
        <v>11626420068.247105</v>
      </c>
      <c r="K74" s="4">
        <f>SUMIFS('Calculations 1'!$E$35:$E$55,'Calculations 1'!$F$35:$F$55,$A74)*K65</f>
        <v>12503032231.614977</v>
      </c>
      <c r="L74" s="4">
        <f>SUMIFS('Calculations 1'!$E$35:$E$55,'Calculations 1'!$F$35:$F$55,$A74)*L65</f>
        <v>13424151512.612974</v>
      </c>
      <c r="M74" s="4">
        <f>SUMIFS('Calculations 1'!$E$35:$E$55,'Calculations 1'!$F$35:$F$55,$A74)*M65</f>
        <v>14389777910.123884</v>
      </c>
      <c r="N74" s="4">
        <f>SUMIFS('Calculations 1'!$E$35:$E$55,'Calculations 1'!$F$35:$F$55,$A74)*N65</f>
        <v>15399911424.989674</v>
      </c>
      <c r="O74" s="4">
        <f>SUMIFS('Calculations 1'!$E$35:$E$55,'Calculations 1'!$F$35:$F$55,$A74)*O65</f>
        <v>16454552057.369389</v>
      </c>
      <c r="P74" s="4">
        <f>SUMIFS('Calculations 1'!$E$35:$E$55,'Calculations 1'!$F$35:$F$55,$A74)*P65</f>
        <v>17553699806.262016</v>
      </c>
      <c r="Q74" s="4">
        <f>SUMIFS('Calculations 1'!$E$35:$E$55,'Calculations 1'!$F$35:$F$55,$A74)*Q65</f>
        <v>18697354672.509525</v>
      </c>
      <c r="R74" s="4">
        <f>SUMIFS('Calculations 1'!$E$35:$E$55,'Calculations 1'!$F$35:$F$55,$A74)*R65</f>
        <v>19885516655.879494</v>
      </c>
      <c r="S74" s="4">
        <f>SUMIFS('Calculations 1'!$E$35:$E$55,'Calculations 1'!$F$35:$F$55,$A74)*S65</f>
        <v>21118185756.763401</v>
      </c>
      <c r="T74" s="4">
        <f>SUMIFS('Calculations 1'!$E$35:$E$55,'Calculations 1'!$F$35:$F$55,$A74)*T65</f>
        <v>22395361974.160233</v>
      </c>
      <c r="U74" s="4">
        <f>SUMIFS('Calculations 1'!$E$35:$E$55,'Calculations 1'!$F$35:$F$55,$A74)*U65</f>
        <v>23717045308.911938</v>
      </c>
      <c r="V74" s="4">
        <f>SUMIFS('Calculations 1'!$E$35:$E$55,'Calculations 1'!$F$35:$F$55,$A74)*V65</f>
        <v>25083235761.177547</v>
      </c>
      <c r="W74" s="4">
        <f>SUMIFS('Calculations 1'!$E$35:$E$55,'Calculations 1'!$F$35:$F$55,$A74)*W65</f>
        <v>26493933329.825607</v>
      </c>
      <c r="X74" s="4">
        <f>SUMIFS('Calculations 1'!$E$35:$E$55,'Calculations 1'!$F$35:$F$55,$A74)*X65</f>
        <v>27949138016.205692</v>
      </c>
      <c r="Y74" s="4">
        <f>SUMIFS('Calculations 1'!$E$35:$E$55,'Calculations 1'!$F$35:$F$55,$A74)*Y65</f>
        <v>29448849819.60638</v>
      </c>
      <c r="Z74" s="4">
        <f>SUMIFS('Calculations 1'!$E$35:$E$55,'Calculations 1'!$F$35:$F$55,$A74)*Z65</f>
        <v>30993068739.752319</v>
      </c>
      <c r="AA74" s="4">
        <f>SUMIFS('Calculations 1'!$E$35:$E$55,'Calculations 1'!$F$35:$F$55,$A74)*AA65</f>
        <v>32581794777.38364</v>
      </c>
      <c r="AB74" s="4">
        <f>SUMIFS('Calculations 1'!$E$35:$E$55,'Calculations 1'!$F$35:$F$55,$A74)*AB65</f>
        <v>34215027932.021278</v>
      </c>
      <c r="AC74" s="4">
        <f>SUMIFS('Calculations 1'!$E$35:$E$55,'Calculations 1'!$F$35:$F$55,$A74)*AC65</f>
        <v>35892768204.172798</v>
      </c>
      <c r="AD74" s="4">
        <f>SUMIFS('Calculations 1'!$E$35:$E$55,'Calculations 1'!$F$35:$F$55,$A74)*AD65</f>
        <v>37615015592.706749</v>
      </c>
      <c r="AE74" s="4">
        <f>SUMIFS('Calculations 1'!$E$35:$E$55,'Calculations 1'!$F$35:$F$55,$A74)*AE65</f>
        <v>39381770098.842316</v>
      </c>
      <c r="AF74" s="4">
        <f>SUMIFS('Calculations 1'!$E$35:$E$55,'Calculations 1'!$F$35:$F$55,$A74)*AF65</f>
        <v>41193031722.375542</v>
      </c>
      <c r="AG74" s="4">
        <f>SUMIFS('Calculations 1'!$E$35:$E$55,'Calculations 1'!$F$35:$F$55,$A74)*AG65</f>
        <v>43048800462.291222</v>
      </c>
      <c r="AH74" s="4">
        <f>SUMIFS('Calculations 1'!$E$35:$E$55,'Calculations 1'!$F$35:$F$55,$A74)*AH65</f>
        <v>44949076319.808434</v>
      </c>
      <c r="AI74" s="4">
        <f>SUMIFS('Calculations 1'!$E$35:$E$55,'Calculations 1'!$F$35:$F$55,$A74)*AI65</f>
        <v>46893859294.592987</v>
      </c>
      <c r="AJ74" s="4">
        <f>SUMIFS('Calculations 1'!$E$35:$E$55,'Calculations 1'!$F$35:$F$55,$A74)*AJ65</f>
        <v>48883149386.006523</v>
      </c>
      <c r="AK74" s="4">
        <f>SUMIFS('Calculations 1'!$E$35:$E$55,'Calculations 1'!$F$35:$F$55,$A74)*AK65</f>
        <v>50916946594.90551</v>
      </c>
      <c r="AL74" s="4">
        <f>SUMIFS('Calculations 1'!$E$35:$E$55,'Calculations 1'!$F$35:$F$55,$A74)*AL65</f>
        <v>52995250920.9412</v>
      </c>
      <c r="AM74" s="4">
        <f>SUMIFS('Calculations 1'!$E$35:$E$55,'Calculations 1'!$F$35:$F$55,$A74)*AM65</f>
        <v>55118062363.983223</v>
      </c>
      <c r="AN74" s="4">
        <f>SUMIFS('Calculations 1'!$E$35:$E$55,'Calculations 1'!$F$35:$F$55,$A74)*AN65</f>
        <v>57285380924.017204</v>
      </c>
      <c r="AO74" s="4">
        <f>SUMIFS('Calculations 1'!$E$35:$E$55,'Calculations 1'!$F$35:$F$55,$A74)*AO65</f>
        <v>59497206601.420326</v>
      </c>
      <c r="AP74" s="4">
        <f>SUMIFS('Calculations 1'!$E$35:$E$55,'Calculations 1'!$F$35:$F$55,$A74)*AP65</f>
        <v>61753539395.960258</v>
      </c>
      <c r="AQ74" s="4">
        <f>SUMIFS('Calculations 1'!$E$35:$E$55,'Calculations 1'!$F$35:$F$55,$A74)*AQ65</f>
        <v>64054379307.506485</v>
      </c>
      <c r="AR74" s="4">
        <f>SUMIFS('Calculations 1'!$E$35:$E$55,'Calculations 1'!$F$35:$F$55,$A74)*AR65</f>
        <v>66399726336.044594</v>
      </c>
      <c r="AS74" s="4">
        <f>SUMIFS('Calculations 1'!$E$35:$E$55,'Calculations 1'!$F$35:$F$55,$A74)*AS65</f>
        <v>68789580482.212967</v>
      </c>
      <c r="AT74" s="4">
        <f>SUMIFS('Calculations 1'!$E$35:$E$55,'Calculations 1'!$F$35:$F$55,$A74)*AT65</f>
        <v>71223941744.894211</v>
      </c>
      <c r="AU74" s="4">
        <f>SUMIFS('Calculations 1'!$E$35:$E$55,'Calculations 1'!$F$35:$F$55,$A74)*AU65</f>
        <v>73702810124.930176</v>
      </c>
      <c r="AV74" s="4">
        <f>SUMIFS('Calculations 1'!$E$35:$E$55,'Calculations 1'!$F$35:$F$55,$A74)*AV65</f>
        <v>76226185622.480377</v>
      </c>
      <c r="AW74" s="4">
        <f>SUMIFS('Calculations 1'!$E$35:$E$55,'Calculations 1'!$F$35:$F$55,$A74)*AW65</f>
        <v>78794068236.412735</v>
      </c>
      <c r="AX74" s="4">
        <f>SUMIFS('Calculations 1'!$E$35:$E$55,'Calculations 1'!$F$35:$F$55,$A74)*AX65</f>
        <v>81406457967.946716</v>
      </c>
      <c r="AY74" s="4">
        <f>SUMIFS('Calculations 1'!$E$35:$E$55,'Calculations 1'!$F$35:$F$55,$A74)*AY65</f>
        <v>84063354816.617554</v>
      </c>
      <c r="AZ74" s="4">
        <f>SUMIFS('Calculations 1'!$E$35:$E$55,'Calculations 1'!$F$35:$F$55,$A74)*AZ65</f>
        <v>86764758782.425064</v>
      </c>
      <c r="BA74" s="4">
        <f>SUMIFS('Calculations 1'!$E$35:$E$55,'Calculations 1'!$F$35:$F$55,$A74)*BA65</f>
        <v>89510669865.108398</v>
      </c>
      <c r="BB74" s="4">
        <f>SUMIFS('Calculations 1'!$E$35:$E$55,'Calculations 1'!$F$35:$F$55,$A74)*BB65</f>
        <v>92301088065.030487</v>
      </c>
      <c r="BC74" s="4">
        <f>SUMIFS('Calculations 1'!$E$35:$E$55,'Calculations 1'!$F$35:$F$55,$A74)*BC65</f>
        <v>95136013382.466278</v>
      </c>
    </row>
    <row r="75" spans="1:55">
      <c r="A75" t="s">
        <v>95</v>
      </c>
      <c r="B75" s="4">
        <f>SUMIFS('Calculations 1'!$E$35:$E$55,'Calculations 1'!$F$35:$F$55,$A75)*B66</f>
        <v>21743241737.017822</v>
      </c>
      <c r="C75" s="4">
        <f>SUMIFS('Calculations 1'!$E$35:$E$55,'Calculations 1'!$F$35:$F$55,$A75)*C66</f>
        <v>24062034949.890656</v>
      </c>
      <c r="D75" s="4">
        <f>SUMIFS('Calculations 1'!$E$35:$E$55,'Calculations 1'!$F$35:$F$55,$A75)*D66</f>
        <v>26524880207.252224</v>
      </c>
      <c r="E75" s="4">
        <f>SUMIFS('Calculations 1'!$E$35:$E$55,'Calculations 1'!$F$35:$F$55,$A75)*E66</f>
        <v>29131777511.606018</v>
      </c>
      <c r="F75" s="4">
        <f>SUMIFS('Calculations 1'!$E$35:$E$55,'Calculations 1'!$F$35:$F$55,$A75)*F66</f>
        <v>31882726857.504215</v>
      </c>
      <c r="G75" s="4">
        <f>SUMIFS('Calculations 1'!$E$35:$E$55,'Calculations 1'!$F$35:$F$55,$A75)*G66</f>
        <v>34777728249.722443</v>
      </c>
      <c r="H75" s="4">
        <f>SUMIFS('Calculations 1'!$E$35:$E$55,'Calculations 1'!$F$35:$F$55,$A75)*H66</f>
        <v>37816781685.270271</v>
      </c>
      <c r="I75" s="4">
        <f>SUMIFS('Calculations 1'!$E$35:$E$55,'Calculations 1'!$F$35:$F$55,$A75)*I66</f>
        <v>40999887167.810196</v>
      </c>
      <c r="J75" s="4">
        <f>SUMIFS('Calculations 1'!$E$35:$E$55,'Calculations 1'!$F$35:$F$55,$A75)*J66</f>
        <v>44327044692.520462</v>
      </c>
      <c r="K75" s="4">
        <f>SUMIFS('Calculations 1'!$E$35:$E$55,'Calculations 1'!$F$35:$F$55,$A75)*K66</f>
        <v>47798254261.71946</v>
      </c>
      <c r="L75" s="4">
        <f>SUMIFS('Calculations 1'!$E$35:$E$55,'Calculations 1'!$F$35:$F$55,$A75)*L66</f>
        <v>51413515877.910591</v>
      </c>
      <c r="M75" s="4">
        <f>SUMIFS('Calculations 1'!$E$35:$E$55,'Calculations 1'!$F$35:$F$55,$A75)*M66</f>
        <v>55172829535.646187</v>
      </c>
      <c r="N75" s="4">
        <f>SUMIFS('Calculations 1'!$E$35:$E$55,'Calculations 1'!$F$35:$F$55,$A75)*N66</f>
        <v>59076195239.076027</v>
      </c>
      <c r="O75" s="4">
        <f>SUMIFS('Calculations 1'!$E$35:$E$55,'Calculations 1'!$F$35:$F$55,$A75)*O66</f>
        <v>63123612988.918373</v>
      </c>
      <c r="P75" s="4">
        <f>SUMIFS('Calculations 1'!$E$35:$E$55,'Calculations 1'!$F$35:$F$55,$A75)*P66</f>
        <v>67315082780.305168</v>
      </c>
      <c r="Q75" s="4">
        <f>SUMIFS('Calculations 1'!$E$35:$E$55,'Calculations 1'!$F$35:$F$55,$A75)*Q66</f>
        <v>71650604617.38623</v>
      </c>
      <c r="R75" s="4">
        <f>SUMIFS('Calculations 1'!$E$35:$E$55,'Calculations 1'!$F$35:$F$55,$A75)*R66</f>
        <v>76130178499.002213</v>
      </c>
      <c r="S75" s="4">
        <f>SUMIFS('Calculations 1'!$E$35:$E$55,'Calculations 1'!$F$35:$F$55,$A75)*S66</f>
        <v>80753804427.030716</v>
      </c>
      <c r="T75" s="4">
        <f>SUMIFS('Calculations 1'!$E$35:$E$55,'Calculations 1'!$F$35:$F$55,$A75)*T66</f>
        <v>85521482396.60379</v>
      </c>
      <c r="U75" s="4">
        <f>SUMIFS('Calculations 1'!$E$35:$E$55,'Calculations 1'!$F$35:$F$55,$A75)*U66</f>
        <v>90433212411.871033</v>
      </c>
      <c r="V75" s="4">
        <f>SUMIFS('Calculations 1'!$E$35:$E$55,'Calculations 1'!$F$35:$F$55,$A75)*V66</f>
        <v>95488994473.550705</v>
      </c>
      <c r="W75" s="4">
        <f>SUMIFS('Calculations 1'!$E$35:$E$55,'Calculations 1'!$F$35:$F$55,$A75)*W66</f>
        <v>100688828576.14909</v>
      </c>
      <c r="X75" s="4">
        <f>SUMIFS('Calculations 1'!$E$35:$E$55,'Calculations 1'!$F$35:$F$55,$A75)*X66</f>
        <v>106032714726.27292</v>
      </c>
      <c r="Y75" s="4">
        <f>SUMIFS('Calculations 1'!$E$35:$E$55,'Calculations 1'!$F$35:$F$55,$A75)*Y66</f>
        <v>111520652920.39854</v>
      </c>
      <c r="Z75" s="4">
        <f>SUMIFS('Calculations 1'!$E$35:$E$55,'Calculations 1'!$F$35:$F$55,$A75)*Z66</f>
        <v>117152643157.22758</v>
      </c>
      <c r="AA75" s="4">
        <f>SUMIFS('Calculations 1'!$E$35:$E$55,'Calculations 1'!$F$35:$F$55,$A75)*AA66</f>
        <v>122928685440.3768</v>
      </c>
      <c r="AB75" s="4">
        <f>SUMIFS('Calculations 1'!$E$35:$E$55,'Calculations 1'!$F$35:$F$55,$A75)*AB66</f>
        <v>128848779767.48158</v>
      </c>
      <c r="AC75" s="4">
        <f>SUMIFS('Calculations 1'!$E$35:$E$55,'Calculations 1'!$F$35:$F$55,$A75)*AC66</f>
        <v>134912926140.99866</v>
      </c>
      <c r="AD75" s="4">
        <f>SUMIFS('Calculations 1'!$E$35:$E$55,'Calculations 1'!$F$35:$F$55,$A75)*AD66</f>
        <v>141121124555.43433</v>
      </c>
      <c r="AE75" s="4">
        <f>SUMIFS('Calculations 1'!$E$35:$E$55,'Calculations 1'!$F$35:$F$55,$A75)*AE66</f>
        <v>147473375016.76999</v>
      </c>
      <c r="AF75" s="4">
        <f>SUMIFS('Calculations 1'!$E$35:$E$55,'Calculations 1'!$F$35:$F$55,$A75)*AF66</f>
        <v>153969677523.93817</v>
      </c>
      <c r="AG75" s="4">
        <f>SUMIFS('Calculations 1'!$E$35:$E$55,'Calculations 1'!$F$35:$F$55,$A75)*AG66</f>
        <v>160610032072.02515</v>
      </c>
      <c r="AH75" s="4">
        <f>SUMIFS('Calculations 1'!$E$35:$E$55,'Calculations 1'!$F$35:$F$55,$A75)*AH66</f>
        <v>167394438667.01166</v>
      </c>
      <c r="AI75" s="4">
        <f>SUMIFS('Calculations 1'!$E$35:$E$55,'Calculations 1'!$F$35:$F$55,$A75)*AI66</f>
        <v>174322897307.20569</v>
      </c>
      <c r="AJ75" s="4">
        <f>SUMIFS('Calculations 1'!$E$35:$E$55,'Calculations 1'!$F$35:$F$55,$A75)*AJ66</f>
        <v>181395407989.52322</v>
      </c>
      <c r="AK75" s="4">
        <f>SUMIFS('Calculations 1'!$E$35:$E$55,'Calculations 1'!$F$35:$F$55,$A75)*AK66</f>
        <v>188611970718.16116</v>
      </c>
      <c r="AL75" s="4">
        <f>SUMIFS('Calculations 1'!$E$35:$E$55,'Calculations 1'!$F$35:$F$55,$A75)*AL66</f>
        <v>195972585491.3801</v>
      </c>
      <c r="AM75" s="4">
        <f>SUMIFS('Calculations 1'!$E$35:$E$55,'Calculations 1'!$F$35:$F$55,$A75)*AM66</f>
        <v>203477252308.55472</v>
      </c>
      <c r="AN75" s="4">
        <f>SUMIFS('Calculations 1'!$E$35:$E$55,'Calculations 1'!$F$35:$F$55,$A75)*AN66</f>
        <v>211125971169.63824</v>
      </c>
      <c r="AO75" s="4">
        <f>SUMIFS('Calculations 1'!$E$35:$E$55,'Calculations 1'!$F$35:$F$55,$A75)*AO66</f>
        <v>218918742076.46213</v>
      </c>
      <c r="AP75" s="4">
        <f>SUMIFS('Calculations 1'!$E$35:$E$55,'Calculations 1'!$F$35:$F$55,$A75)*AP66</f>
        <v>226855565027.86752</v>
      </c>
      <c r="AQ75" s="4">
        <f>SUMIFS('Calculations 1'!$E$35:$E$55,'Calculations 1'!$F$35:$F$55,$A75)*AQ66</f>
        <v>234936440023.22836</v>
      </c>
      <c r="AR75" s="4">
        <f>SUMIFS('Calculations 1'!$E$35:$E$55,'Calculations 1'!$F$35:$F$55,$A75)*AR66</f>
        <v>243161367062.4978</v>
      </c>
      <c r="AS75" s="4">
        <f>SUMIFS('Calculations 1'!$E$35:$E$55,'Calculations 1'!$F$35:$F$55,$A75)*AS66</f>
        <v>251530346148.76007</v>
      </c>
      <c r="AT75" s="4">
        <f>SUMIFS('Calculations 1'!$E$35:$E$55,'Calculations 1'!$F$35:$F$55,$A75)*AT66</f>
        <v>260043377276.56644</v>
      </c>
      <c r="AU75" s="4">
        <f>SUMIFS('Calculations 1'!$E$35:$E$55,'Calculations 1'!$F$35:$F$55,$A75)*AU66</f>
        <v>268700460450.06641</v>
      </c>
      <c r="AV75" s="4">
        <f>SUMIFS('Calculations 1'!$E$35:$E$55,'Calculations 1'!$F$35:$F$55,$A75)*AV66</f>
        <v>277501595669.98035</v>
      </c>
      <c r="AW75" s="4">
        <f>SUMIFS('Calculations 1'!$E$35:$E$55,'Calculations 1'!$F$35:$F$55,$A75)*AW66</f>
        <v>286446782930.81165</v>
      </c>
      <c r="AX75" s="4">
        <f>SUMIFS('Calculations 1'!$E$35:$E$55,'Calculations 1'!$F$35:$F$55,$A75)*AX66</f>
        <v>295536022238.54291</v>
      </c>
      <c r="AY75" s="4">
        <f>SUMIFS('Calculations 1'!$E$35:$E$55,'Calculations 1'!$F$35:$F$55,$A75)*AY66</f>
        <v>304769313590.8559</v>
      </c>
      <c r="AZ75" s="4">
        <f>SUMIFS('Calculations 1'!$E$35:$E$55,'Calculations 1'!$F$35:$F$55,$A75)*AZ66</f>
        <v>314146656987.74963</v>
      </c>
      <c r="BA75" s="4">
        <f>SUMIFS('Calculations 1'!$E$35:$E$55,'Calculations 1'!$F$35:$F$55,$A75)*BA66</f>
        <v>323668052427.97296</v>
      </c>
      <c r="BB75" s="4">
        <f>SUMIFS('Calculations 1'!$E$35:$E$55,'Calculations 1'!$F$35:$F$55,$A75)*BB66</f>
        <v>333333499913.3114</v>
      </c>
      <c r="BC75" s="4">
        <f>SUMIFS('Calculations 1'!$E$35:$E$55,'Calculations 1'!$F$35:$F$55,$A75)*BC66</f>
        <v>343142999445.06128</v>
      </c>
    </row>
    <row r="76" spans="1:55">
      <c r="A76" t="s">
        <v>96</v>
      </c>
      <c r="B76" s="4">
        <f>SUMIFS('Calculations 1'!$E$35:$E$55,'Calculations 1'!$F$35:$F$55,$A76)*B67</f>
        <v>24662934292.068211</v>
      </c>
      <c r="C76" s="4">
        <f>SUMIFS('Calculations 1'!$E$35:$E$55,'Calculations 1'!$F$35:$F$55,$A76)*C67</f>
        <v>27507905071.487194</v>
      </c>
      <c r="D76" s="4">
        <f>SUMIFS('Calculations 1'!$E$35:$E$55,'Calculations 1'!$F$35:$F$55,$A76)*D67</f>
        <v>30511250231.091526</v>
      </c>
      <c r="E76" s="4">
        <f>SUMIFS('Calculations 1'!$E$35:$E$55,'Calculations 1'!$F$35:$F$55,$A76)*E67</f>
        <v>33672969774.013229</v>
      </c>
      <c r="F76" s="4">
        <f>SUMIFS('Calculations 1'!$E$35:$E$55,'Calculations 1'!$F$35:$F$55,$A76)*F67</f>
        <v>36993063693.408669</v>
      </c>
      <c r="G76" s="4">
        <f>SUMIFS('Calculations 1'!$E$35:$E$55,'Calculations 1'!$F$35:$F$55,$A76)*G67</f>
        <v>40471531995.287537</v>
      </c>
      <c r="H76" s="4">
        <f>SUMIFS('Calculations 1'!$E$35:$E$55,'Calculations 1'!$F$35:$F$55,$A76)*H67</f>
        <v>44108374675.887573</v>
      </c>
      <c r="I76" s="4">
        <f>SUMIFS('Calculations 1'!$E$35:$E$55,'Calculations 1'!$F$35:$F$55,$A76)*I67</f>
        <v>47903591739.804817</v>
      </c>
      <c r="J76" s="4">
        <f>SUMIFS('Calculations 1'!$E$35:$E$55,'Calculations 1'!$F$35:$F$55,$A76)*J67</f>
        <v>51857183180.978905</v>
      </c>
      <c r="K76" s="4">
        <f>SUMIFS('Calculations 1'!$E$35:$E$55,'Calculations 1'!$F$35:$F$55,$A76)*K67</f>
        <v>55969149002.338326</v>
      </c>
      <c r="L76" s="4">
        <f>SUMIFS('Calculations 1'!$E$35:$E$55,'Calculations 1'!$F$35:$F$55,$A76)*L67</f>
        <v>60239489207.015022</v>
      </c>
      <c r="M76" s="4">
        <f>SUMIFS('Calculations 1'!$E$35:$E$55,'Calculations 1'!$F$35:$F$55,$A76)*M67</f>
        <v>64668203788.165512</v>
      </c>
      <c r="N76" s="4">
        <f>SUMIFS('Calculations 1'!$E$35:$E$55,'Calculations 1'!$F$35:$F$55,$A76)*N67</f>
        <v>69255292751.016541</v>
      </c>
      <c r="O76" s="4">
        <f>SUMIFS('Calculations 1'!$E$35:$E$55,'Calculations 1'!$F$35:$F$55,$A76)*O67</f>
        <v>74000756096.452652</v>
      </c>
      <c r="P76" s="4">
        <f>SUMIFS('Calculations 1'!$E$35:$E$55,'Calculations 1'!$F$35:$F$55,$A76)*P67</f>
        <v>78904593818.362579</v>
      </c>
      <c r="Q76" s="4">
        <f>SUMIFS('Calculations 1'!$E$35:$E$55,'Calculations 1'!$F$35:$F$55,$A76)*Q67</f>
        <v>83966805921.973038</v>
      </c>
      <c r="R76" s="4">
        <f>SUMIFS('Calculations 1'!$E$35:$E$55,'Calculations 1'!$F$35:$F$55,$A76)*R67</f>
        <v>89187392405.819611</v>
      </c>
      <c r="S76" s="4">
        <f>SUMIFS('Calculations 1'!$E$35:$E$55,'Calculations 1'!$F$35:$F$55,$A76)*S67</f>
        <v>94566353272.251358</v>
      </c>
      <c r="T76" s="4">
        <f>SUMIFS('Calculations 1'!$E$35:$E$55,'Calculations 1'!$F$35:$F$55,$A76)*T67</f>
        <v>100103688515.15698</v>
      </c>
      <c r="U76" s="4">
        <f>SUMIFS('Calculations 1'!$E$35:$E$55,'Calculations 1'!$F$35:$F$55,$A76)*U67</f>
        <v>105799398139.76308</v>
      </c>
      <c r="V76" s="4">
        <f>SUMIFS('Calculations 1'!$E$35:$E$55,'Calculations 1'!$F$35:$F$55,$A76)*V67</f>
        <v>111653482146.95416</v>
      </c>
      <c r="W76" s="4">
        <f>SUMIFS('Calculations 1'!$E$35:$E$55,'Calculations 1'!$F$35:$F$55,$A76)*W67</f>
        <v>117665940529.83623</v>
      </c>
      <c r="X76" s="4">
        <f>SUMIFS('Calculations 1'!$E$35:$E$55,'Calculations 1'!$F$35:$F$55,$A76)*X67</f>
        <v>123836773296.71675</v>
      </c>
      <c r="Y76" s="4">
        <f>SUMIFS('Calculations 1'!$E$35:$E$55,'Calculations 1'!$F$35:$F$55,$A76)*Y67</f>
        <v>130165980443.1524</v>
      </c>
      <c r="Z76" s="4">
        <f>SUMIFS('Calculations 1'!$E$35:$E$55,'Calculations 1'!$F$35:$F$55,$A76)*Z67</f>
        <v>136653561967.52582</v>
      </c>
      <c r="AA76" s="4">
        <f>SUMIFS('Calculations 1'!$E$35:$E$55,'Calculations 1'!$F$35:$F$55,$A76)*AA67</f>
        <v>143299517874.38284</v>
      </c>
      <c r="AB76" s="4">
        <f>SUMIFS('Calculations 1'!$E$35:$E$55,'Calculations 1'!$F$35:$F$55,$A76)*AB67</f>
        <v>150103848160.74417</v>
      </c>
      <c r="AC76" s="4">
        <f>SUMIFS('Calculations 1'!$E$35:$E$55,'Calculations 1'!$F$35:$F$55,$A76)*AC67</f>
        <v>157066552829.69031</v>
      </c>
      <c r="AD76" s="4">
        <f>SUMIFS('Calculations 1'!$E$35:$E$55,'Calculations 1'!$F$35:$F$55,$A76)*AD67</f>
        <v>164187631874.32724</v>
      </c>
      <c r="AE76" s="4">
        <f>SUMIFS('Calculations 1'!$E$35:$E$55,'Calculations 1'!$F$35:$F$55,$A76)*AE67</f>
        <v>171467085302.18024</v>
      </c>
      <c r="AF76" s="4">
        <f>SUMIFS('Calculations 1'!$E$35:$E$55,'Calculations 1'!$F$35:$F$55,$A76)*AF67</f>
        <v>178904913111.88568</v>
      </c>
      <c r="AG76" s="4">
        <f>SUMIFS('Calculations 1'!$E$35:$E$55,'Calculations 1'!$F$35:$F$55,$A76)*AG67</f>
        <v>186501115297.2822</v>
      </c>
      <c r="AH76" s="4">
        <f>SUMIFS('Calculations 1'!$E$35:$E$55,'Calculations 1'!$F$35:$F$55,$A76)*AH67</f>
        <v>194255691865.89417</v>
      </c>
      <c r="AI76" s="4">
        <f>SUMIFS('Calculations 1'!$E$35:$E$55,'Calculations 1'!$F$35:$F$55,$A76)*AI67</f>
        <v>202168642815.57669</v>
      </c>
      <c r="AJ76" s="4">
        <f>SUMIFS('Calculations 1'!$E$35:$E$55,'Calculations 1'!$F$35:$F$55,$A76)*AJ67</f>
        <v>210239968142.46442</v>
      </c>
      <c r="AK76" s="4">
        <f>SUMIFS('Calculations 1'!$E$35:$E$55,'Calculations 1'!$F$35:$F$55,$A76)*AK67</f>
        <v>218469667851.83612</v>
      </c>
      <c r="AL76" s="4">
        <f>SUMIFS('Calculations 1'!$E$35:$E$55,'Calculations 1'!$F$35:$F$55,$A76)*AL67</f>
        <v>226857741941.49454</v>
      </c>
      <c r="AM76" s="4">
        <f>SUMIFS('Calculations 1'!$E$35:$E$55,'Calculations 1'!$F$35:$F$55,$A76)*AM67</f>
        <v>235404190410.65735</v>
      </c>
      <c r="AN76" s="4">
        <f>SUMIFS('Calculations 1'!$E$35:$E$55,'Calculations 1'!$F$35:$F$55,$A76)*AN67</f>
        <v>244109013259.27316</v>
      </c>
      <c r="AO76" s="4">
        <f>SUMIFS('Calculations 1'!$E$35:$E$55,'Calculations 1'!$F$35:$F$55,$A76)*AO67</f>
        <v>252972210489.64014</v>
      </c>
      <c r="AP76" s="4">
        <f>SUMIFS('Calculations 1'!$E$35:$E$55,'Calculations 1'!$F$35:$F$55,$A76)*AP67</f>
        <v>261993782100.29453</v>
      </c>
      <c r="AQ76" s="4">
        <f>SUMIFS('Calculations 1'!$E$35:$E$55,'Calculations 1'!$F$35:$F$55,$A76)*AQ67</f>
        <v>271173728090.45297</v>
      </c>
      <c r="AR76" s="4">
        <f>SUMIFS('Calculations 1'!$E$35:$E$55,'Calculations 1'!$F$35:$F$55,$A76)*AR67</f>
        <v>280512048460.06403</v>
      </c>
      <c r="AS76" s="4">
        <f>SUMIFS('Calculations 1'!$E$35:$E$55,'Calculations 1'!$F$35:$F$55,$A76)*AS67</f>
        <v>290008743212.99316</v>
      </c>
      <c r="AT76" s="4">
        <f>SUMIFS('Calculations 1'!$E$35:$E$55,'Calculations 1'!$F$35:$F$55,$A76)*AT67</f>
        <v>299663812342.39569</v>
      </c>
      <c r="AU76" s="4">
        <f>SUMIFS('Calculations 1'!$E$35:$E$55,'Calculations 1'!$F$35:$F$55,$A76)*AU67</f>
        <v>309477255853.49799</v>
      </c>
      <c r="AV76" s="4">
        <f>SUMIFS('Calculations 1'!$E$35:$E$55,'Calculations 1'!$F$35:$F$55,$A76)*AV67</f>
        <v>319449073747.18719</v>
      </c>
      <c r="AW76" s="4">
        <f>SUMIFS('Calculations 1'!$E$35:$E$55,'Calculations 1'!$F$35:$F$55,$A76)*AW67</f>
        <v>329579266016.56561</v>
      </c>
      <c r="AX76" s="4">
        <f>SUMIFS('Calculations 1'!$E$35:$E$55,'Calculations 1'!$F$35:$F$55,$A76)*AX67</f>
        <v>339867832669.16003</v>
      </c>
      <c r="AY76" s="4">
        <f>SUMIFS('Calculations 1'!$E$35:$E$55,'Calculations 1'!$F$35:$F$55,$A76)*AY67</f>
        <v>350314773702.04218</v>
      </c>
      <c r="AZ76" s="4">
        <f>SUMIFS('Calculations 1'!$E$35:$E$55,'Calculations 1'!$F$35:$F$55,$A76)*AZ67</f>
        <v>360920089115.21069</v>
      </c>
      <c r="BA76" s="4">
        <f>SUMIFS('Calculations 1'!$E$35:$E$55,'Calculations 1'!$F$35:$F$55,$A76)*BA67</f>
        <v>371683778907.1004</v>
      </c>
      <c r="BB76" s="4">
        <f>SUMIFS('Calculations 1'!$E$35:$E$55,'Calculations 1'!$F$35:$F$55,$A76)*BB67</f>
        <v>382605843079.95898</v>
      </c>
      <c r="BC76" s="4">
        <f>SUMIFS('Calculations 1'!$E$35:$E$55,'Calculations 1'!$F$35:$F$55,$A76)*BC67</f>
        <v>393686281635.40131</v>
      </c>
    </row>
    <row r="78" spans="1:55">
      <c r="A78" s="2" t="s">
        <v>175</v>
      </c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</row>
    <row r="79" spans="1:55">
      <c r="B79" s="38">
        <v>2017</v>
      </c>
      <c r="C79" s="38">
        <v>2018</v>
      </c>
      <c r="D79" s="38">
        <v>2019</v>
      </c>
      <c r="E79" s="38">
        <v>2020</v>
      </c>
      <c r="F79" s="38">
        <v>2021</v>
      </c>
      <c r="G79" s="38">
        <v>2022</v>
      </c>
      <c r="H79" s="38">
        <v>2023</v>
      </c>
      <c r="I79" s="38">
        <v>2024</v>
      </c>
      <c r="J79" s="38">
        <v>2025</v>
      </c>
      <c r="K79" s="38">
        <v>2026</v>
      </c>
      <c r="L79" s="38">
        <v>2027</v>
      </c>
      <c r="M79" s="38">
        <v>2028</v>
      </c>
      <c r="N79" s="38">
        <v>2029</v>
      </c>
      <c r="O79" s="38">
        <v>2030</v>
      </c>
      <c r="P79" s="38">
        <v>2031</v>
      </c>
      <c r="Q79" s="38">
        <v>2032</v>
      </c>
      <c r="R79" s="38">
        <v>2033</v>
      </c>
      <c r="S79" s="38">
        <v>2034</v>
      </c>
      <c r="T79" s="38">
        <v>2035</v>
      </c>
      <c r="U79" s="38">
        <v>2036</v>
      </c>
      <c r="V79" s="38">
        <v>2037</v>
      </c>
      <c r="W79" s="38">
        <v>2038</v>
      </c>
      <c r="X79" s="38">
        <v>2039</v>
      </c>
      <c r="Y79" s="38">
        <v>2040</v>
      </c>
      <c r="Z79" s="38">
        <v>2041</v>
      </c>
      <c r="AA79" s="38">
        <v>2042</v>
      </c>
      <c r="AB79" s="38">
        <v>2043</v>
      </c>
      <c r="AC79" s="38">
        <v>2044</v>
      </c>
      <c r="AD79" s="38">
        <v>2045</v>
      </c>
      <c r="AE79" s="38">
        <v>2046</v>
      </c>
      <c r="AF79" s="38">
        <v>2047</v>
      </c>
      <c r="AG79" s="38">
        <v>2048</v>
      </c>
      <c r="AH79" s="38">
        <v>2049</v>
      </c>
      <c r="AI79" s="38">
        <v>2050</v>
      </c>
      <c r="AJ79">
        <v>2051</v>
      </c>
      <c r="AK79">
        <v>2052</v>
      </c>
      <c r="AL79">
        <v>2053</v>
      </c>
      <c r="AM79">
        <v>2054</v>
      </c>
      <c r="AN79">
        <v>2055</v>
      </c>
      <c r="AO79">
        <v>2056</v>
      </c>
      <c r="AP79">
        <v>2057</v>
      </c>
      <c r="AQ79">
        <v>2058</v>
      </c>
      <c r="AR79">
        <v>2059</v>
      </c>
      <c r="AS79">
        <v>2060</v>
      </c>
      <c r="AT79">
        <v>2061</v>
      </c>
      <c r="AU79">
        <v>2062</v>
      </c>
      <c r="AV79">
        <v>2063</v>
      </c>
      <c r="AW79">
        <v>2064</v>
      </c>
      <c r="AX79">
        <v>2065</v>
      </c>
      <c r="AY79">
        <v>2066</v>
      </c>
      <c r="AZ79">
        <v>2067</v>
      </c>
      <c r="BA79">
        <v>2068</v>
      </c>
      <c r="BB79">
        <v>2069</v>
      </c>
      <c r="BC79">
        <v>2070</v>
      </c>
    </row>
    <row r="80" spans="1:55">
      <c r="A80" t="s">
        <v>91</v>
      </c>
      <c r="B80">
        <f>B71</f>
        <v>0</v>
      </c>
      <c r="C80">
        <f t="shared" ref="C80:AI80" si="18">C71</f>
        <v>0</v>
      </c>
      <c r="D80">
        <f t="shared" si="18"/>
        <v>0</v>
      </c>
      <c r="E80">
        <f t="shared" si="18"/>
        <v>0</v>
      </c>
      <c r="F80">
        <f t="shared" si="18"/>
        <v>0</v>
      </c>
      <c r="G80">
        <f t="shared" si="18"/>
        <v>0</v>
      </c>
      <c r="H80">
        <f t="shared" si="18"/>
        <v>0</v>
      </c>
      <c r="I80">
        <f t="shared" si="18"/>
        <v>0</v>
      </c>
      <c r="J80">
        <f t="shared" si="18"/>
        <v>0</v>
      </c>
      <c r="K80">
        <f t="shared" si="18"/>
        <v>0</v>
      </c>
      <c r="L80">
        <f t="shared" si="18"/>
        <v>0</v>
      </c>
      <c r="M80">
        <f t="shared" si="18"/>
        <v>0</v>
      </c>
      <c r="N80">
        <f t="shared" si="18"/>
        <v>0</v>
      </c>
      <c r="O80">
        <f t="shared" si="18"/>
        <v>0</v>
      </c>
      <c r="P80">
        <f t="shared" si="18"/>
        <v>0</v>
      </c>
      <c r="Q80">
        <f t="shared" si="18"/>
        <v>0</v>
      </c>
      <c r="R80">
        <f t="shared" si="18"/>
        <v>0</v>
      </c>
      <c r="S80">
        <f t="shared" si="18"/>
        <v>0</v>
      </c>
      <c r="T80">
        <f t="shared" si="18"/>
        <v>0</v>
      </c>
      <c r="U80">
        <f t="shared" si="18"/>
        <v>0</v>
      </c>
      <c r="V80">
        <f t="shared" si="18"/>
        <v>0</v>
      </c>
      <c r="W80">
        <f t="shared" si="18"/>
        <v>0</v>
      </c>
      <c r="X80">
        <f t="shared" si="18"/>
        <v>0</v>
      </c>
      <c r="Y80">
        <f t="shared" si="18"/>
        <v>0</v>
      </c>
      <c r="Z80">
        <f t="shared" si="18"/>
        <v>0</v>
      </c>
      <c r="AA80">
        <f t="shared" si="18"/>
        <v>0</v>
      </c>
      <c r="AB80">
        <f t="shared" si="18"/>
        <v>0</v>
      </c>
      <c r="AC80">
        <f t="shared" si="18"/>
        <v>0</v>
      </c>
      <c r="AD80">
        <f t="shared" si="18"/>
        <v>0</v>
      </c>
      <c r="AE80">
        <f t="shared" si="18"/>
        <v>0</v>
      </c>
      <c r="AF80">
        <f t="shared" si="18"/>
        <v>0</v>
      </c>
      <c r="AG80">
        <f t="shared" si="18"/>
        <v>0</v>
      </c>
      <c r="AH80">
        <f t="shared" si="18"/>
        <v>0</v>
      </c>
      <c r="AI80">
        <f t="shared" si="18"/>
        <v>0</v>
      </c>
      <c r="AJ80">
        <f t="shared" ref="AJ80:BC80" si="19">AJ71</f>
        <v>0</v>
      </c>
      <c r="AK80">
        <f t="shared" si="19"/>
        <v>0</v>
      </c>
      <c r="AL80">
        <f t="shared" si="19"/>
        <v>0</v>
      </c>
      <c r="AM80">
        <f t="shared" si="19"/>
        <v>0</v>
      </c>
      <c r="AN80">
        <f t="shared" si="19"/>
        <v>0</v>
      </c>
      <c r="AO80">
        <f t="shared" si="19"/>
        <v>0</v>
      </c>
      <c r="AP80">
        <f t="shared" si="19"/>
        <v>0</v>
      </c>
      <c r="AQ80">
        <f t="shared" si="19"/>
        <v>0</v>
      </c>
      <c r="AR80">
        <f t="shared" si="19"/>
        <v>0</v>
      </c>
      <c r="AS80">
        <f t="shared" si="19"/>
        <v>0</v>
      </c>
      <c r="AT80">
        <f t="shared" si="19"/>
        <v>0</v>
      </c>
      <c r="AU80">
        <f t="shared" si="19"/>
        <v>0</v>
      </c>
      <c r="AV80">
        <f t="shared" si="19"/>
        <v>0</v>
      </c>
      <c r="AW80">
        <f t="shared" si="19"/>
        <v>0</v>
      </c>
      <c r="AX80">
        <f t="shared" si="19"/>
        <v>0</v>
      </c>
      <c r="AY80">
        <f t="shared" si="19"/>
        <v>0</v>
      </c>
      <c r="AZ80">
        <f t="shared" si="19"/>
        <v>0</v>
      </c>
      <c r="BA80">
        <f t="shared" si="19"/>
        <v>0</v>
      </c>
      <c r="BB80">
        <f t="shared" si="19"/>
        <v>0</v>
      </c>
      <c r="BC80">
        <f t="shared" si="19"/>
        <v>0</v>
      </c>
    </row>
    <row r="81" spans="1:55">
      <c r="A81" t="s">
        <v>92</v>
      </c>
      <c r="B81" s="4">
        <f>B72/$B$2</f>
        <v>673378541.47662067</v>
      </c>
      <c r="C81" s="4">
        <f t="shared" ref="C81:AI85" si="20">C72/$B$2</f>
        <v>752365850.74616718</v>
      </c>
      <c r="D81" s="4">
        <f t="shared" si="20"/>
        <v>835646668.91629457</v>
      </c>
      <c r="E81" s="4">
        <f t="shared" si="20"/>
        <v>923220996.07430089</v>
      </c>
      <c r="F81" s="4">
        <f t="shared" si="20"/>
        <v>1015088832.0292801</v>
      </c>
      <c r="G81" s="4">
        <f t="shared" si="20"/>
        <v>1111250176.9489331</v>
      </c>
      <c r="H81" s="4">
        <f t="shared" si="20"/>
        <v>1211705030.7282784</v>
      </c>
      <c r="I81" s="4">
        <f t="shared" si="20"/>
        <v>1316453393.4954982</v>
      </c>
      <c r="J81" s="4">
        <f t="shared" si="20"/>
        <v>1425495265.0815182</v>
      </c>
      <c r="K81" s="4">
        <f t="shared" si="20"/>
        <v>1538830645.5681188</v>
      </c>
      <c r="L81" s="4">
        <f t="shared" si="20"/>
        <v>1656459535.0425951</v>
      </c>
      <c r="M81" s="4">
        <f t="shared" si="20"/>
        <v>1778381933.3140466</v>
      </c>
      <c r="N81" s="4">
        <f t="shared" si="20"/>
        <v>1904597840.5283501</v>
      </c>
      <c r="O81" s="4">
        <f t="shared" si="20"/>
        <v>2035107256.7100828</v>
      </c>
      <c r="P81" s="4">
        <f t="shared" si="20"/>
        <v>2169910181.6887908</v>
      </c>
      <c r="Q81" s="4">
        <f t="shared" si="20"/>
        <v>2309006615.6103511</v>
      </c>
      <c r="R81" s="4">
        <f t="shared" si="20"/>
        <v>2452396558.4338684</v>
      </c>
      <c r="S81" s="4">
        <f t="shared" si="20"/>
        <v>2600080010.2248168</v>
      </c>
      <c r="T81" s="4">
        <f t="shared" si="20"/>
        <v>2752056970.8127422</v>
      </c>
      <c r="U81" s="4">
        <f t="shared" si="20"/>
        <v>2908327440.3435187</v>
      </c>
      <c r="V81" s="4">
        <f t="shared" si="20"/>
        <v>3068891418.8417215</v>
      </c>
      <c r="W81" s="4">
        <f t="shared" si="20"/>
        <v>3233748906.1150789</v>
      </c>
      <c r="X81" s="4">
        <f t="shared" si="20"/>
        <v>3402899902.3953776</v>
      </c>
      <c r="Y81" s="4">
        <f t="shared" si="20"/>
        <v>3576344407.5585742</v>
      </c>
      <c r="Z81" s="4">
        <f t="shared" si="20"/>
        <v>3754082421.5596285</v>
      </c>
      <c r="AA81" s="4">
        <f t="shared" si="20"/>
        <v>3936113944.5253615</v>
      </c>
      <c r="AB81" s="4">
        <f t="shared" si="20"/>
        <v>4122438976.3726139</v>
      </c>
      <c r="AC81" s="4">
        <f t="shared" si="20"/>
        <v>4313057517.1872883</v>
      </c>
      <c r="AD81" s="4">
        <f t="shared" si="20"/>
        <v>4507969566.7771139</v>
      </c>
      <c r="AE81" s="4">
        <f t="shared" si="20"/>
        <v>4707175125.3520708</v>
      </c>
      <c r="AF81" s="4">
        <f t="shared" si="20"/>
        <v>4910674192.8739986</v>
      </c>
      <c r="AG81" s="4">
        <f t="shared" si="20"/>
        <v>5118466769.1710844</v>
      </c>
      <c r="AH81" s="4">
        <f t="shared" si="20"/>
        <v>5330552854.4532852</v>
      </c>
      <c r="AI81" s="4">
        <f t="shared" si="20"/>
        <v>5546932448.6606646</v>
      </c>
      <c r="AJ81" s="4">
        <f t="shared" ref="AJ81:BC81" si="21">AJ72/$B$2</f>
        <v>5767605551.685441</v>
      </c>
      <c r="AK81" s="4">
        <f t="shared" si="21"/>
        <v>5992572163.6749067</v>
      </c>
      <c r="AL81" s="4">
        <f t="shared" si="21"/>
        <v>6221832284.5677023</v>
      </c>
      <c r="AM81" s="4">
        <f t="shared" si="21"/>
        <v>6455385914.342021</v>
      </c>
      <c r="AN81" s="4">
        <f t="shared" si="21"/>
        <v>6693233052.9964666</v>
      </c>
      <c r="AO81" s="4">
        <f t="shared" si="21"/>
        <v>6935373700.5951405</v>
      </c>
      <c r="AP81" s="4">
        <f t="shared" si="21"/>
        <v>7181807857.0971594</v>
      </c>
      <c r="AQ81" s="4">
        <f t="shared" si="21"/>
        <v>7432535522.4806938</v>
      </c>
      <c r="AR81" s="4">
        <f t="shared" si="21"/>
        <v>7687556696.7443476</v>
      </c>
      <c r="AS81" s="4">
        <f t="shared" si="21"/>
        <v>7946871379.9959002</v>
      </c>
      <c r="AT81" s="4">
        <f t="shared" si="21"/>
        <v>8210479572.0444155</v>
      </c>
      <c r="AU81" s="4">
        <f t="shared" si="21"/>
        <v>8478381273.0357609</v>
      </c>
      <c r="AV81" s="4">
        <f t="shared" si="21"/>
        <v>8750576482.9945869</v>
      </c>
      <c r="AW81" s="4">
        <f t="shared" si="21"/>
        <v>9027065201.7285175</v>
      </c>
      <c r="AX81" s="4">
        <f t="shared" si="21"/>
        <v>9307847429.4475803</v>
      </c>
      <c r="AY81" s="4">
        <f t="shared" si="21"/>
        <v>9592923166.0700016</v>
      </c>
      <c r="AZ81" s="4">
        <f t="shared" si="21"/>
        <v>9882292411.5957394</v>
      </c>
      <c r="BA81" s="4">
        <f t="shared" si="21"/>
        <v>10175955165.981173</v>
      </c>
      <c r="BB81" s="4">
        <f t="shared" si="21"/>
        <v>10473911429.289024</v>
      </c>
      <c r="BC81" s="4">
        <f t="shared" si="21"/>
        <v>10776161201.564266</v>
      </c>
    </row>
    <row r="82" spans="1:55">
      <c r="A82" t="s">
        <v>93</v>
      </c>
      <c r="B82" s="4">
        <f t="shared" ref="B82:Q85" si="22">B73/$B$2</f>
        <v>651976610.37523043</v>
      </c>
      <c r="C82" s="4">
        <f t="shared" si="22"/>
        <v>794319312.47302532</v>
      </c>
      <c r="D82" s="4">
        <f t="shared" si="22"/>
        <v>939279485.91560495</v>
      </c>
      <c r="E82" s="4">
        <f t="shared" si="22"/>
        <v>1086857130.8771441</v>
      </c>
      <c r="F82" s="4">
        <f t="shared" si="22"/>
        <v>1237052246.9691131</v>
      </c>
      <c r="G82" s="4">
        <f t="shared" si="22"/>
        <v>1389864834.5356526</v>
      </c>
      <c r="H82" s="4">
        <f t="shared" si="22"/>
        <v>1545294893.3615787</v>
      </c>
      <c r="I82" s="4">
        <f t="shared" si="22"/>
        <v>1703342423.706455</v>
      </c>
      <c r="J82" s="4">
        <f t="shared" si="22"/>
        <v>1864007425.2253098</v>
      </c>
      <c r="K82" s="4">
        <f t="shared" si="22"/>
        <v>2027289898.0889502</v>
      </c>
      <c r="L82" s="4">
        <f t="shared" si="22"/>
        <v>2193189842.4715428</v>
      </c>
      <c r="M82" s="4">
        <f t="shared" si="22"/>
        <v>2361707257.98457</v>
      </c>
      <c r="N82" s="4">
        <f t="shared" si="22"/>
        <v>2532842144.9286304</v>
      </c>
      <c r="O82" s="4">
        <f t="shared" si="22"/>
        <v>2706594503.3489394</v>
      </c>
      <c r="P82" s="4">
        <f t="shared" si="22"/>
        <v>2882964332.8996835</v>
      </c>
      <c r="Q82" s="4">
        <f t="shared" si="22"/>
        <v>3061951633.8814597</v>
      </c>
      <c r="R82" s="4">
        <f t="shared" si="20"/>
        <v>3243556406.2088575</v>
      </c>
      <c r="S82" s="4">
        <f t="shared" si="20"/>
        <v>3427778650.0125084</v>
      </c>
      <c r="T82" s="4">
        <f t="shared" si="20"/>
        <v>3614618364.9465981</v>
      </c>
      <c r="U82" s="4">
        <f t="shared" si="20"/>
        <v>3804075551.311717</v>
      </c>
      <c r="V82" s="4">
        <f t="shared" si="20"/>
        <v>3996150209.1530795</v>
      </c>
      <c r="W82" s="4">
        <f t="shared" si="20"/>
        <v>4190842338.0813427</v>
      </c>
      <c r="X82" s="4">
        <f t="shared" si="20"/>
        <v>4388151938.5704165</v>
      </c>
      <c r="Y82" s="4">
        <f t="shared" si="20"/>
        <v>4588079010.363265</v>
      </c>
      <c r="Z82" s="4">
        <f t="shared" si="20"/>
        <v>4790623553.3719339</v>
      </c>
      <c r="AA82" s="4">
        <f t="shared" si="20"/>
        <v>4995785567.8551846</v>
      </c>
      <c r="AB82" s="4">
        <f t="shared" si="20"/>
        <v>5203565053.6413698</v>
      </c>
      <c r="AC82" s="4">
        <f t="shared" si="20"/>
        <v>5413962010.9037914</v>
      </c>
      <c r="AD82" s="4">
        <f t="shared" si="20"/>
        <v>5626976439.2531042</v>
      </c>
      <c r="AE82" s="4">
        <f t="shared" si="20"/>
        <v>5842608339.1197128</v>
      </c>
      <c r="AF82" s="4">
        <f t="shared" si="20"/>
        <v>6060857710.4198418</v>
      </c>
      <c r="AG82" s="4">
        <f t="shared" si="20"/>
        <v>6281724552.806879</v>
      </c>
      <c r="AH82" s="4">
        <f t="shared" si="20"/>
        <v>6505208866.7111778</v>
      </c>
      <c r="AI82" s="4">
        <f t="shared" si="20"/>
        <v>6731310652.0055189</v>
      </c>
      <c r="AJ82" s="4">
        <f t="shared" ref="AJ82:BC82" si="23">AJ73/$B$2</f>
        <v>6960029908.4729528</v>
      </c>
      <c r="AK82" s="4">
        <f t="shared" si="23"/>
        <v>7191366636.4149876</v>
      </c>
      <c r="AL82" s="4">
        <f t="shared" si="23"/>
        <v>7425320835.7034702</v>
      </c>
      <c r="AM82" s="4">
        <f t="shared" si="23"/>
        <v>7661892506.2948961</v>
      </c>
      <c r="AN82" s="4">
        <f t="shared" si="23"/>
        <v>7901081648.1883888</v>
      </c>
      <c r="AO82" s="4">
        <f t="shared" si="23"/>
        <v>8142888261.5137472</v>
      </c>
      <c r="AP82" s="4">
        <f t="shared" si="23"/>
        <v>8387312346.1855888</v>
      </c>
      <c r="AQ82" s="4">
        <f t="shared" si="23"/>
        <v>8634353902.1603565</v>
      </c>
      <c r="AR82" s="4">
        <f t="shared" si="23"/>
        <v>8884012929.4371719</v>
      </c>
      <c r="AS82" s="4">
        <f t="shared" si="23"/>
        <v>9136289428.2329903</v>
      </c>
      <c r="AT82" s="4">
        <f t="shared" si="23"/>
        <v>9391183398.1592159</v>
      </c>
      <c r="AU82" s="4">
        <f t="shared" si="23"/>
        <v>9648694839.5164318</v>
      </c>
      <c r="AV82" s="4">
        <f t="shared" si="23"/>
        <v>9908823752.3499985</v>
      </c>
      <c r="AW82" s="4">
        <f t="shared" si="23"/>
        <v>10171570136.270365</v>
      </c>
      <c r="AX82" s="4">
        <f t="shared" si="23"/>
        <v>10436933991.708033</v>
      </c>
      <c r="AY82" s="4">
        <f t="shared" si="23"/>
        <v>10704915318.492201</v>
      </c>
      <c r="AZ82" s="4">
        <f t="shared" si="23"/>
        <v>10975514116.622801</v>
      </c>
      <c r="BA82" s="4">
        <f t="shared" si="23"/>
        <v>11248730386.012783</v>
      </c>
      <c r="BB82" s="4">
        <f t="shared" si="23"/>
        <v>11524564126.79113</v>
      </c>
      <c r="BC82" s="4">
        <f t="shared" si="23"/>
        <v>11803015339.045647</v>
      </c>
    </row>
    <row r="83" spans="1:55">
      <c r="A83" t="s">
        <v>94</v>
      </c>
      <c r="B83" s="4">
        <f t="shared" si="22"/>
        <v>113488752.54120527</v>
      </c>
      <c r="C83" s="4">
        <f t="shared" si="22"/>
        <v>122993138.63530363</v>
      </c>
      <c r="D83" s="4">
        <f t="shared" si="22"/>
        <v>133310143.26342036</v>
      </c>
      <c r="E83" s="4">
        <f t="shared" si="22"/>
        <v>144439766.43508548</v>
      </c>
      <c r="F83" s="4">
        <f t="shared" si="22"/>
        <v>156382008.12990016</v>
      </c>
      <c r="G83" s="4">
        <f t="shared" si="22"/>
        <v>169136868.36561954</v>
      </c>
      <c r="H83" s="4">
        <f t="shared" si="22"/>
        <v>182704347.13111454</v>
      </c>
      <c r="I83" s="4">
        <f t="shared" si="22"/>
        <v>197084444.44015741</v>
      </c>
      <c r="J83" s="4">
        <f t="shared" si="22"/>
        <v>212277160.27473259</v>
      </c>
      <c r="K83" s="4">
        <f t="shared" si="22"/>
        <v>228282494.64332619</v>
      </c>
      <c r="L83" s="4">
        <f t="shared" si="22"/>
        <v>245100447.55546784</v>
      </c>
      <c r="M83" s="4">
        <f t="shared" si="22"/>
        <v>262731018.99075922</v>
      </c>
      <c r="N83" s="4">
        <f t="shared" si="22"/>
        <v>281174208.96457314</v>
      </c>
      <c r="O83" s="4">
        <f t="shared" si="22"/>
        <v>300430017.47981352</v>
      </c>
      <c r="P83" s="4">
        <f t="shared" si="22"/>
        <v>320498444.51820368</v>
      </c>
      <c r="Q83" s="4">
        <f t="shared" si="22"/>
        <v>341379490.09511638</v>
      </c>
      <c r="R83" s="4">
        <f t="shared" si="20"/>
        <v>363073154.20630807</v>
      </c>
      <c r="S83" s="4">
        <f t="shared" si="20"/>
        <v>385579436.85892642</v>
      </c>
      <c r="T83" s="4">
        <f t="shared" si="20"/>
        <v>408898338.03469473</v>
      </c>
      <c r="U83" s="4">
        <f t="shared" si="20"/>
        <v>433029857.74898553</v>
      </c>
      <c r="V83" s="4">
        <f t="shared" si="20"/>
        <v>457973996.00470233</v>
      </c>
      <c r="W83" s="4">
        <f t="shared" si="20"/>
        <v>483730752.78118688</v>
      </c>
      <c r="X83" s="4">
        <f t="shared" si="20"/>
        <v>510300128.10307997</v>
      </c>
      <c r="Y83" s="4">
        <f t="shared" si="20"/>
        <v>537682121.95739233</v>
      </c>
      <c r="Z83" s="4">
        <f t="shared" si="20"/>
        <v>565876734.33909655</v>
      </c>
      <c r="AA83" s="4">
        <f t="shared" si="20"/>
        <v>594883965.26170599</v>
      </c>
      <c r="AB83" s="4">
        <f t="shared" si="20"/>
        <v>624703814.71647394</v>
      </c>
      <c r="AC83" s="4">
        <f t="shared" si="20"/>
        <v>655336282.71266747</v>
      </c>
      <c r="AD83" s="4">
        <f t="shared" si="20"/>
        <v>686781369.22962844</v>
      </c>
      <c r="AE83" s="4">
        <f t="shared" si="20"/>
        <v>719039074.28961682</v>
      </c>
      <c r="AF83" s="4">
        <f t="shared" si="20"/>
        <v>752109397.88890886</v>
      </c>
      <c r="AG83" s="4">
        <f t="shared" si="20"/>
        <v>785992340.00896871</v>
      </c>
      <c r="AH83" s="4">
        <f t="shared" si="20"/>
        <v>820687900.67205465</v>
      </c>
      <c r="AI83" s="4">
        <f t="shared" si="20"/>
        <v>856196079.87206471</v>
      </c>
      <c r="AJ83" s="4">
        <f t="shared" ref="AJ83:BC83" si="24">AJ74/$B$2</f>
        <v>892516877.5973438</v>
      </c>
      <c r="AK83" s="4">
        <f t="shared" si="24"/>
        <v>929650293.86352944</v>
      </c>
      <c r="AL83" s="4">
        <f t="shared" si="24"/>
        <v>967596328.66425407</v>
      </c>
      <c r="AM83" s="4">
        <f t="shared" si="24"/>
        <v>1006354981.9971374</v>
      </c>
      <c r="AN83" s="4">
        <f t="shared" si="24"/>
        <v>1045926253.8619171</v>
      </c>
      <c r="AO83" s="4">
        <f t="shared" si="24"/>
        <v>1086310144.2654798</v>
      </c>
      <c r="AP83" s="4">
        <f t="shared" si="24"/>
        <v>1127506653.2035832</v>
      </c>
      <c r="AQ83" s="4">
        <f t="shared" si="24"/>
        <v>1169515780.6738448</v>
      </c>
      <c r="AR83" s="4">
        <f t="shared" si="24"/>
        <v>1212337526.6760013</v>
      </c>
      <c r="AS83" s="4">
        <f t="shared" si="24"/>
        <v>1255971891.2217083</v>
      </c>
      <c r="AT83" s="4">
        <f t="shared" si="24"/>
        <v>1300418874.2905643</v>
      </c>
      <c r="AU83" s="4">
        <f t="shared" si="24"/>
        <v>1345678475.8979399</v>
      </c>
      <c r="AV83" s="4">
        <f t="shared" si="24"/>
        <v>1391750696.0467477</v>
      </c>
      <c r="AW83" s="4">
        <f t="shared" si="24"/>
        <v>1438635534.7163179</v>
      </c>
      <c r="AX83" s="4">
        <f t="shared" si="24"/>
        <v>1486332991.9289157</v>
      </c>
      <c r="AY83" s="4">
        <f t="shared" si="24"/>
        <v>1534843067.6760552</v>
      </c>
      <c r="AZ83" s="4">
        <f t="shared" si="24"/>
        <v>1584165761.9577334</v>
      </c>
      <c r="BA83" s="4">
        <f t="shared" si="24"/>
        <v>1634301074.7691875</v>
      </c>
      <c r="BB83" s="4">
        <f t="shared" si="24"/>
        <v>1685249006.1170437</v>
      </c>
      <c r="BC83" s="4">
        <f t="shared" si="24"/>
        <v>1737009556.0063224</v>
      </c>
    </row>
    <row r="84" spans="1:55">
      <c r="A84" t="s">
        <v>95</v>
      </c>
      <c r="B84" s="4">
        <f t="shared" si="22"/>
        <v>396991815.53802848</v>
      </c>
      <c r="C84" s="4">
        <f t="shared" si="22"/>
        <v>439328737.44551128</v>
      </c>
      <c r="D84" s="4">
        <f t="shared" si="22"/>
        <v>484295786.14665371</v>
      </c>
      <c r="E84" s="4">
        <f t="shared" si="22"/>
        <v>531892961.68716478</v>
      </c>
      <c r="F84" s="4">
        <f t="shared" si="22"/>
        <v>582120263.96757734</v>
      </c>
      <c r="G84" s="4">
        <f t="shared" si="22"/>
        <v>634977693.07508564</v>
      </c>
      <c r="H84" s="4">
        <f t="shared" si="22"/>
        <v>690465248.95508981</v>
      </c>
      <c r="I84" s="4">
        <f t="shared" si="22"/>
        <v>748582931.67446041</v>
      </c>
      <c r="J84" s="4">
        <f t="shared" si="22"/>
        <v>809330741.14516079</v>
      </c>
      <c r="K84" s="4">
        <f t="shared" si="22"/>
        <v>872708677.40952086</v>
      </c>
      <c r="L84" s="4">
        <f t="shared" si="22"/>
        <v>938716740.51324797</v>
      </c>
      <c r="M84" s="4">
        <f t="shared" si="22"/>
        <v>1007354930.3568776</v>
      </c>
      <c r="N84" s="4">
        <f t="shared" si="22"/>
        <v>1078623247.0161772</v>
      </c>
      <c r="O84" s="4">
        <f t="shared" si="22"/>
        <v>1152521690.504261</v>
      </c>
      <c r="P84" s="4">
        <f t="shared" si="22"/>
        <v>1229050260.7322469</v>
      </c>
      <c r="Q84" s="4">
        <f t="shared" si="22"/>
        <v>1308208957.7759035</v>
      </c>
      <c r="R84" s="4">
        <f t="shared" si="20"/>
        <v>1389997781.6140625</v>
      </c>
      <c r="S84" s="4">
        <f t="shared" si="20"/>
        <v>1474416732.2810063</v>
      </c>
      <c r="T84" s="4">
        <f t="shared" si="20"/>
        <v>1561465809.6878543</v>
      </c>
      <c r="U84" s="4">
        <f t="shared" si="20"/>
        <v>1651145013.9103711</v>
      </c>
      <c r="V84" s="4">
        <f t="shared" si="20"/>
        <v>1743454344.9616706</v>
      </c>
      <c r="W84" s="4">
        <f t="shared" si="20"/>
        <v>1838393802.7414477</v>
      </c>
      <c r="X84" s="4">
        <f t="shared" si="20"/>
        <v>1935963387.3703289</v>
      </c>
      <c r="Y84" s="4">
        <f t="shared" si="20"/>
        <v>2036163098.7839792</v>
      </c>
      <c r="Z84" s="4">
        <f t="shared" si="20"/>
        <v>2138992936.9586923</v>
      </c>
      <c r="AA84" s="4">
        <f t="shared" si="20"/>
        <v>2244452901.9605036</v>
      </c>
      <c r="AB84" s="4">
        <f t="shared" si="20"/>
        <v>2352542993.7462401</v>
      </c>
      <c r="AC84" s="4">
        <f t="shared" si="20"/>
        <v>2463263212.3607569</v>
      </c>
      <c r="AD84" s="4">
        <f t="shared" si="20"/>
        <v>2576613557.7037487</v>
      </c>
      <c r="AE84" s="4">
        <f t="shared" si="20"/>
        <v>2692594029.8844256</v>
      </c>
      <c r="AF84" s="4">
        <f t="shared" si="20"/>
        <v>2811204628.883297</v>
      </c>
      <c r="AG84" s="4">
        <f t="shared" si="20"/>
        <v>2932445354.6106472</v>
      </c>
      <c r="AH84" s="4">
        <f t="shared" si="20"/>
        <v>3056316207.1756735</v>
      </c>
      <c r="AI84" s="4">
        <f t="shared" si="20"/>
        <v>3182817186.5474834</v>
      </c>
      <c r="AJ84" s="4">
        <f t="shared" ref="AJ84:BC84" si="25">AJ75/$B$2</f>
        <v>3311948292.6697683</v>
      </c>
      <c r="AK84" s="4">
        <f t="shared" si="25"/>
        <v>3443709525.6191554</v>
      </c>
      <c r="AL84" s="4">
        <f t="shared" si="25"/>
        <v>3578100885.3638868</v>
      </c>
      <c r="AM84" s="4">
        <f t="shared" si="25"/>
        <v>3715122371.8925452</v>
      </c>
      <c r="AN84" s="4">
        <f t="shared" si="25"/>
        <v>3854773985.2042766</v>
      </c>
      <c r="AO84" s="4">
        <f t="shared" si="25"/>
        <v>3997055725.33252</v>
      </c>
      <c r="AP84" s="4">
        <f t="shared" si="25"/>
        <v>4141967592.2561169</v>
      </c>
      <c r="AQ84" s="4">
        <f t="shared" si="25"/>
        <v>4289509585.9636359</v>
      </c>
      <c r="AR84" s="4">
        <f t="shared" si="25"/>
        <v>4439681706.4542227</v>
      </c>
      <c r="AS84" s="4">
        <f t="shared" si="25"/>
        <v>4592483953.7841892</v>
      </c>
      <c r="AT84" s="4">
        <f t="shared" si="25"/>
        <v>4747916327.8540516</v>
      </c>
      <c r="AU84" s="4">
        <f t="shared" si="25"/>
        <v>4905978828.7395725</v>
      </c>
      <c r="AV84" s="4">
        <f t="shared" si="25"/>
        <v>5066671456.4539042</v>
      </c>
      <c r="AW84" s="4">
        <f t="shared" si="25"/>
        <v>5229994210.8966885</v>
      </c>
      <c r="AX84" s="4">
        <f t="shared" si="25"/>
        <v>5395947092.1771574</v>
      </c>
      <c r="AY84" s="4">
        <f t="shared" si="25"/>
        <v>5564530100.2529831</v>
      </c>
      <c r="AZ84" s="4">
        <f t="shared" si="25"/>
        <v>5735743235.1241484</v>
      </c>
      <c r="BA84" s="4">
        <f t="shared" si="25"/>
        <v>5909586496.7678099</v>
      </c>
      <c r="BB84" s="4">
        <f t="shared" si="25"/>
        <v>6086059885.216567</v>
      </c>
      <c r="BC84" s="4">
        <f t="shared" si="25"/>
        <v>6265163400.4940891</v>
      </c>
    </row>
    <row r="85" spans="1:55">
      <c r="A85" t="s">
        <v>96</v>
      </c>
      <c r="B85" s="4">
        <f t="shared" si="22"/>
        <v>450300060.10714275</v>
      </c>
      <c r="C85" s="4">
        <f t="shared" si="22"/>
        <v>502244021.75437635</v>
      </c>
      <c r="D85" s="4">
        <f t="shared" si="22"/>
        <v>557079609.84282494</v>
      </c>
      <c r="E85" s="4">
        <f t="shared" si="22"/>
        <v>614806824.42967367</v>
      </c>
      <c r="F85" s="4">
        <f t="shared" si="22"/>
        <v>675425665.38997018</v>
      </c>
      <c r="G85" s="4">
        <f t="shared" si="22"/>
        <v>738936132.83344042</v>
      </c>
      <c r="H85" s="4">
        <f t="shared" si="22"/>
        <v>805338226.69139254</v>
      </c>
      <c r="I85" s="4">
        <f t="shared" si="22"/>
        <v>874631947.04774177</v>
      </c>
      <c r="J85" s="4">
        <f t="shared" si="22"/>
        <v>946817293.79183686</v>
      </c>
      <c r="K85" s="4">
        <f t="shared" si="22"/>
        <v>1021894266.9771466</v>
      </c>
      <c r="L85" s="4">
        <f t="shared" si="22"/>
        <v>1099862866.6608548</v>
      </c>
      <c r="M85" s="4">
        <f t="shared" si="22"/>
        <v>1180723092.7180119</v>
      </c>
      <c r="N85" s="4">
        <f t="shared" si="22"/>
        <v>1264474945.2440486</v>
      </c>
      <c r="O85" s="4">
        <f t="shared" si="22"/>
        <v>1351118424.255115</v>
      </c>
      <c r="P85" s="4">
        <f t="shared" si="22"/>
        <v>1440653529.6396308</v>
      </c>
      <c r="Q85" s="4">
        <f t="shared" si="22"/>
        <v>1533080261.493026</v>
      </c>
      <c r="R85" s="4">
        <f t="shared" si="20"/>
        <v>1628398619.7885633</v>
      </c>
      <c r="S85" s="4">
        <f t="shared" si="20"/>
        <v>1726608604.5691319</v>
      </c>
      <c r="T85" s="4">
        <f t="shared" si="20"/>
        <v>1827710215.723151</v>
      </c>
      <c r="U85" s="4">
        <f t="shared" si="20"/>
        <v>1931703453.3460484</v>
      </c>
      <c r="V85" s="4">
        <f t="shared" si="20"/>
        <v>2038588317.453974</v>
      </c>
      <c r="W85" s="4">
        <f t="shared" si="20"/>
        <v>2148364807.9210558</v>
      </c>
      <c r="X85" s="4">
        <f t="shared" si="20"/>
        <v>2261032924.898973</v>
      </c>
      <c r="Y85" s="4">
        <f t="shared" si="20"/>
        <v>2376592668.3065987</v>
      </c>
      <c r="Z85" s="4">
        <f t="shared" si="20"/>
        <v>2495044038.1144023</v>
      </c>
      <c r="AA85" s="4">
        <f t="shared" si="20"/>
        <v>2616387034.4053831</v>
      </c>
      <c r="AB85" s="4">
        <f t="shared" si="20"/>
        <v>2740621657.1251445</v>
      </c>
      <c r="AC85" s="4">
        <f t="shared" si="20"/>
        <v>2867747906.3299308</v>
      </c>
      <c r="AD85" s="4">
        <f t="shared" si="20"/>
        <v>2997765781.8938694</v>
      </c>
      <c r="AE85" s="4">
        <f t="shared" si="20"/>
        <v>3130675283.9543586</v>
      </c>
      <c r="AF85" s="4">
        <f t="shared" si="20"/>
        <v>3266476412.4865012</v>
      </c>
      <c r="AG85" s="4">
        <f t="shared" si="20"/>
        <v>3405169167.3778014</v>
      </c>
      <c r="AH85" s="4">
        <f t="shared" si="20"/>
        <v>3546753548.7656407</v>
      </c>
      <c r="AI85" s="4">
        <f t="shared" si="20"/>
        <v>3691229556.610858</v>
      </c>
      <c r="AJ85" s="4">
        <f t="shared" ref="AJ85:BC85" si="26">AJ76/$B$2</f>
        <v>3838597190.8428774</v>
      </c>
      <c r="AK85" s="4">
        <f t="shared" si="26"/>
        <v>3988856451.5580812</v>
      </c>
      <c r="AL85" s="4">
        <f t="shared" si="26"/>
        <v>4142007338.7163506</v>
      </c>
      <c r="AM85" s="4">
        <f t="shared" si="26"/>
        <v>4298049852.3034019</v>
      </c>
      <c r="AN85" s="4">
        <f t="shared" si="26"/>
        <v>4456983992.3182974</v>
      </c>
      <c r="AO85" s="4">
        <f t="shared" si="26"/>
        <v>4618809758.8029966</v>
      </c>
      <c r="AP85" s="4">
        <f t="shared" si="26"/>
        <v>4783527151.7307739</v>
      </c>
      <c r="AQ85" s="4">
        <f t="shared" si="26"/>
        <v>4951136171.087328</v>
      </c>
      <c r="AR85" s="4">
        <f t="shared" si="26"/>
        <v>5121636816.8717184</v>
      </c>
      <c r="AS85" s="4">
        <f t="shared" si="26"/>
        <v>5295029089.1545219</v>
      </c>
      <c r="AT85" s="4">
        <f t="shared" si="26"/>
        <v>5471312987.8107662</v>
      </c>
      <c r="AU85" s="4">
        <f t="shared" si="26"/>
        <v>5650488512.9358768</v>
      </c>
      <c r="AV85" s="4">
        <f t="shared" si="26"/>
        <v>5832555664.5460501</v>
      </c>
      <c r="AW85" s="4">
        <f t="shared" si="26"/>
        <v>6017514442.5153475</v>
      </c>
      <c r="AX85" s="4">
        <f t="shared" si="26"/>
        <v>6205364846.9811945</v>
      </c>
      <c r="AY85" s="4">
        <f t="shared" si="26"/>
        <v>6396106877.8901253</v>
      </c>
      <c r="AZ85" s="4">
        <f t="shared" si="26"/>
        <v>6589740535.242116</v>
      </c>
      <c r="BA85" s="4">
        <f t="shared" si="26"/>
        <v>6786265819.0085878</v>
      </c>
      <c r="BB85" s="4">
        <f t="shared" si="26"/>
        <v>6985682729.2305813</v>
      </c>
      <c r="BC85" s="4">
        <f t="shared" si="26"/>
        <v>7187991265.9375801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3"/>
  </sheetPr>
  <dimension ref="A1:AY7"/>
  <sheetViews>
    <sheetView topLeftCell="AN1" workbookViewId="0">
      <selection activeCell="AY3" sqref="AY3"/>
    </sheetView>
  </sheetViews>
  <sheetFormatPr defaultRowHeight="14.45"/>
  <cols>
    <col min="1" max="1" width="24.85546875" customWidth="1"/>
    <col min="2" max="4" width="8.5703125" bestFit="1" customWidth="1"/>
    <col min="5" max="5" width="9.28515625" bestFit="1" customWidth="1"/>
    <col min="12" max="12" width="9.28515625" bestFit="1" customWidth="1"/>
  </cols>
  <sheetData>
    <row r="1" spans="1:51">
      <c r="A1" t="s">
        <v>176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  <c r="AF1">
        <v>2051</v>
      </c>
      <c r="AG1">
        <v>2052</v>
      </c>
      <c r="AH1">
        <v>2053</v>
      </c>
      <c r="AI1">
        <v>2054</v>
      </c>
      <c r="AJ1">
        <v>2055</v>
      </c>
      <c r="AK1">
        <v>2056</v>
      </c>
      <c r="AL1">
        <v>2057</v>
      </c>
      <c r="AM1">
        <v>2058</v>
      </c>
      <c r="AN1">
        <v>2059</v>
      </c>
      <c r="AO1">
        <v>2060</v>
      </c>
      <c r="AP1">
        <v>2061</v>
      </c>
      <c r="AQ1">
        <v>2062</v>
      </c>
      <c r="AR1">
        <v>2063</v>
      </c>
      <c r="AS1">
        <v>2064</v>
      </c>
      <c r="AT1">
        <v>2065</v>
      </c>
      <c r="AU1">
        <v>2066</v>
      </c>
      <c r="AV1">
        <v>2067</v>
      </c>
      <c r="AW1">
        <v>2068</v>
      </c>
      <c r="AX1">
        <v>2069</v>
      </c>
      <c r="AY1">
        <v>2070</v>
      </c>
    </row>
    <row r="2" spans="1:51">
      <c r="A2" t="s">
        <v>91</v>
      </c>
      <c r="B2" s="4">
        <f>'Calculations 2'!F24</f>
        <v>0</v>
      </c>
      <c r="C2" s="4">
        <f>'Calculations 2'!G24</f>
        <v>0</v>
      </c>
      <c r="D2" s="4">
        <f>'Calculations 2'!H24</f>
        <v>0</v>
      </c>
      <c r="E2" s="4">
        <f>'Calculations 2'!I24</f>
        <v>0</v>
      </c>
      <c r="F2" s="4">
        <f>'Calculations 2'!J24</f>
        <v>0</v>
      </c>
      <c r="G2" s="4">
        <f>'Calculations 2'!K24</f>
        <v>0</v>
      </c>
      <c r="H2" s="4">
        <f>'Calculations 2'!L24</f>
        <v>0</v>
      </c>
      <c r="I2" s="4">
        <f>'Calculations 2'!M24</f>
        <v>0</v>
      </c>
      <c r="J2" s="4">
        <f>'Calculations 2'!N24</f>
        <v>0</v>
      </c>
      <c r="K2" s="4">
        <f>'Calculations 2'!O24</f>
        <v>0</v>
      </c>
      <c r="L2" s="4">
        <f>'Calculations 2'!P24</f>
        <v>0</v>
      </c>
      <c r="M2" s="4">
        <f>'Calculations 2'!Q24</f>
        <v>0</v>
      </c>
      <c r="N2" s="4">
        <f>'Calculations 2'!R24</f>
        <v>0</v>
      </c>
      <c r="O2" s="4">
        <f>'Calculations 2'!S24</f>
        <v>0</v>
      </c>
      <c r="P2" s="4">
        <f>'Calculations 2'!T24</f>
        <v>0</v>
      </c>
      <c r="Q2" s="4">
        <f>'Calculations 2'!U24</f>
        <v>0</v>
      </c>
      <c r="R2" s="4">
        <f>'Calculations 2'!V24</f>
        <v>0</v>
      </c>
      <c r="S2" s="4">
        <f>'Calculations 2'!W24</f>
        <v>0</v>
      </c>
      <c r="T2" s="4">
        <f>'Calculations 2'!X24</f>
        <v>0</v>
      </c>
      <c r="U2" s="4">
        <f>'Calculations 2'!Y24</f>
        <v>0</v>
      </c>
      <c r="V2" s="4">
        <f>'Calculations 2'!Z24</f>
        <v>0</v>
      </c>
      <c r="W2" s="4">
        <f>'Calculations 2'!AA24</f>
        <v>0</v>
      </c>
      <c r="X2" s="4">
        <f>'Calculations 2'!AB24</f>
        <v>0</v>
      </c>
      <c r="Y2" s="4">
        <f>'Calculations 2'!AC24</f>
        <v>0</v>
      </c>
      <c r="Z2" s="4">
        <f>'Calculations 2'!AD24</f>
        <v>0</v>
      </c>
      <c r="AA2" s="4">
        <f>'Calculations 2'!AE24</f>
        <v>0</v>
      </c>
      <c r="AB2" s="4">
        <f>'Calculations 2'!AF24</f>
        <v>0</v>
      </c>
      <c r="AC2" s="4">
        <f>'Calculations 2'!AG24</f>
        <v>0</v>
      </c>
      <c r="AD2" s="4">
        <f>'Calculations 2'!AH24</f>
        <v>0</v>
      </c>
      <c r="AE2" s="4">
        <f>'Calculations 2'!AI24</f>
        <v>0</v>
      </c>
      <c r="AF2" s="4">
        <f>'Calculations 2'!AJ24</f>
        <v>0</v>
      </c>
      <c r="AG2" s="4">
        <f>'Calculations 2'!AK24</f>
        <v>0</v>
      </c>
      <c r="AH2" s="4">
        <f>'Calculations 2'!AL24</f>
        <v>0</v>
      </c>
      <c r="AI2" s="4">
        <f>'Calculations 2'!AM24</f>
        <v>0</v>
      </c>
      <c r="AJ2" s="4">
        <f>'Calculations 2'!AN24</f>
        <v>0</v>
      </c>
      <c r="AK2" s="4">
        <f>'Calculations 2'!AO24</f>
        <v>0</v>
      </c>
      <c r="AL2" s="4">
        <f>'Calculations 2'!AP24</f>
        <v>0</v>
      </c>
      <c r="AM2" s="4">
        <f>'Calculations 2'!AQ24</f>
        <v>0</v>
      </c>
      <c r="AN2" s="4">
        <f>'Calculations 2'!AR24</f>
        <v>0</v>
      </c>
      <c r="AO2" s="4">
        <f>'Calculations 2'!AS24</f>
        <v>0</v>
      </c>
      <c r="AP2" s="4">
        <f>'Calculations 2'!AT24</f>
        <v>0</v>
      </c>
      <c r="AQ2" s="4">
        <f>'Calculations 2'!AU24</f>
        <v>0</v>
      </c>
      <c r="AR2" s="4">
        <f>'Calculations 2'!AV24</f>
        <v>0</v>
      </c>
      <c r="AS2" s="4">
        <f>'Calculations 2'!AW24</f>
        <v>0</v>
      </c>
      <c r="AT2" s="4">
        <f>'Calculations 2'!AX24</f>
        <v>0</v>
      </c>
      <c r="AU2" s="4">
        <f>'Calculations 2'!AY24</f>
        <v>0</v>
      </c>
      <c r="AV2" s="4">
        <f>'Calculations 2'!AZ24</f>
        <v>0</v>
      </c>
      <c r="AW2" s="4">
        <f>'Calculations 2'!BA24</f>
        <v>0</v>
      </c>
      <c r="AX2" s="4">
        <f>'Calculations 2'!BB24</f>
        <v>0</v>
      </c>
      <c r="AY2" s="4">
        <f>'Calculations 2'!BC24</f>
        <v>0</v>
      </c>
    </row>
    <row r="3" spans="1:51">
      <c r="A3" t="s">
        <v>92</v>
      </c>
      <c r="B3" s="4">
        <f>'Calculations 2'!F25</f>
        <v>3467445897.9616613</v>
      </c>
      <c r="C3" s="4">
        <f>'Calculations 2'!G25</f>
        <v>3616062927.1830406</v>
      </c>
      <c r="D3" s="4">
        <f>'Calculations 2'!H25</f>
        <v>3696484522.8532143</v>
      </c>
      <c r="E3" s="4">
        <f>'Calculations 2'!I25</f>
        <v>3835404722.5144858</v>
      </c>
      <c r="F3" s="4">
        <f>'Calculations 2'!J25</f>
        <v>3919520966.8579192</v>
      </c>
      <c r="G3" s="4">
        <f>'Calculations 2'!K25</f>
        <v>4003637211.2006416</v>
      </c>
      <c r="H3" s="4">
        <f>'Calculations 2'!L25</f>
        <v>4235573111.3714471</v>
      </c>
      <c r="I3" s="4">
        <f>'Calculations 2'!M25</f>
        <v>4133574900.1613646</v>
      </c>
      <c r="J3" s="4">
        <f>'Calculations 2'!N25</f>
        <v>4362502540.6697311</v>
      </c>
      <c r="K3" s="4">
        <f>'Calculations 2'!O25</f>
        <v>4452946503.6133528</v>
      </c>
      <c r="L3" s="4">
        <f>'Calculations 2'!P25</f>
        <v>4543390466.5563917</v>
      </c>
      <c r="M3" s="4">
        <f>'Calculations 2'!Q25</f>
        <v>4633834429.5005579</v>
      </c>
      <c r="N3" s="4">
        <f>'Calculations 2'!R25</f>
        <v>4819485487.6944542</v>
      </c>
      <c r="O3" s="4">
        <f>'Calculations 2'!S25</f>
        <v>4915942530.3381023</v>
      </c>
      <c r="P3" s="4">
        <f>'Calculations 2'!T25</f>
        <v>5012399572.9817314</v>
      </c>
      <c r="Q3" s="4">
        <f>'Calculations 2'!U25</f>
        <v>5108856615.62537</v>
      </c>
      <c r="R3" s="4">
        <f>'Calculations 2'!V25</f>
        <v>5205313658.2701712</v>
      </c>
      <c r="S3" s="4">
        <f>'Calculations 2'!W25</f>
        <v>5379044233.3608608</v>
      </c>
      <c r="T3" s="4">
        <f>'Calculations 2'!X25</f>
        <v>5480381709.6327915</v>
      </c>
      <c r="U3" s="4">
        <f>'Calculations 2'!Y25</f>
        <v>5581719185.9053249</v>
      </c>
      <c r="V3" s="4">
        <f>'Calculations 2'!Z25</f>
        <v>5683056662.1767216</v>
      </c>
      <c r="W3" s="4">
        <f>'Calculations 2'!AA25</f>
        <v>5784394138.4486542</v>
      </c>
      <c r="X3" s="4">
        <f>'Calculations 2'!AB25</f>
        <v>5963383252.2328644</v>
      </c>
      <c r="Y3" s="4">
        <f>'Calculations 2'!AC25</f>
        <v>6069625042.4529476</v>
      </c>
      <c r="Z3" s="4">
        <f>'Calculations 2'!AD25</f>
        <v>6175866832.6736155</v>
      </c>
      <c r="AA3" s="4">
        <f>'Calculations 2'!AE25</f>
        <v>6282108622.8931541</v>
      </c>
      <c r="AB3" s="4">
        <f>'Calculations 2'!AF25</f>
        <v>6388350413.1135254</v>
      </c>
      <c r="AC3" s="4">
        <f>'Calculations 2'!AG25</f>
        <v>5910421116.0615587</v>
      </c>
      <c r="AD3" s="4">
        <f>'Calculations 2'!AH25</f>
        <v>5979767890.2434244</v>
      </c>
      <c r="AE3" s="4">
        <f>'Calculations 2'!AI25</f>
        <v>6049114664.425005</v>
      </c>
      <c r="AF3" s="4">
        <f>'Calculations 2'!AJ25</f>
        <v>6069986538.2813263</v>
      </c>
      <c r="AG3" s="4">
        <f>'Calculations 2'!AK25</f>
        <v>6136271739.8110352</v>
      </c>
      <c r="AH3" s="4">
        <f>'Calculations 2'!AL25</f>
        <v>6202556941.3404493</v>
      </c>
      <c r="AI3" s="4">
        <f>'Calculations 2'!AM25</f>
        <v>6268842142.870141</v>
      </c>
      <c r="AJ3" s="4">
        <f>'Calculations 2'!AN25</f>
        <v>6335127344.3999462</v>
      </c>
      <c r="AK3" s="4">
        <f>'Calculations 2'!AO25</f>
        <v>6340972310.806469</v>
      </c>
      <c r="AL3" s="4">
        <f>'Calculations 2'!AP25</f>
        <v>6403440234.3285017</v>
      </c>
      <c r="AM3" s="4">
        <f>'Calculations 2'!AQ25</f>
        <v>6465908157.8501415</v>
      </c>
      <c r="AN3" s="4">
        <f>'Calculations 2'!AR25</f>
        <v>6528376081.3723364</v>
      </c>
      <c r="AO3" s="4">
        <f>'Calculations 2'!AS25</f>
        <v>6590844004.8939943</v>
      </c>
      <c r="AP3" s="4">
        <f>'Calculations 2'!AT25</f>
        <v>6579782843.7350101</v>
      </c>
      <c r="AQ3" s="4">
        <f>'Calculations 2'!AU25</f>
        <v>6637606825.0668907</v>
      </c>
      <c r="AR3" s="4">
        <f>'Calculations 2'!AV25</f>
        <v>6695430806.3981438</v>
      </c>
      <c r="AS3" s="4">
        <f>'Calculations 2'!AW25</f>
        <v>6753254787.7297029</v>
      </c>
      <c r="AT3" s="4">
        <f>'Calculations 2'!AX25</f>
        <v>6811078769.0614347</v>
      </c>
      <c r="AU3" s="4">
        <f>'Calculations 2'!AY25</f>
        <v>6778600771.57236</v>
      </c>
      <c r="AV3" s="4">
        <f>'Calculations 2'!AZ25</f>
        <v>6830721470.0309544</v>
      </c>
      <c r="AW3" s="4">
        <f>'Calculations 2'!BA25</f>
        <v>6882842168.4899273</v>
      </c>
      <c r="AX3" s="4">
        <f>'Calculations 2'!BB25</f>
        <v>6934962866.948307</v>
      </c>
      <c r="AY3" s="4">
        <f>'Calculations 2'!BC25</f>
        <v>6987083565.4072399</v>
      </c>
    </row>
    <row r="4" spans="1:51">
      <c r="A4" t="s">
        <v>93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1</v>
      </c>
      <c r="AD4" s="4">
        <v>2</v>
      </c>
      <c r="AE4" s="4">
        <v>3</v>
      </c>
      <c r="AF4" s="4">
        <v>4</v>
      </c>
      <c r="AG4" s="4">
        <v>5</v>
      </c>
      <c r="AH4" s="4">
        <v>6</v>
      </c>
      <c r="AI4" s="4">
        <v>7</v>
      </c>
      <c r="AJ4" s="4">
        <v>8</v>
      </c>
      <c r="AK4" s="4">
        <v>9</v>
      </c>
      <c r="AL4" s="4">
        <v>10</v>
      </c>
      <c r="AM4" s="4">
        <v>11</v>
      </c>
      <c r="AN4" s="4">
        <v>12</v>
      </c>
      <c r="AO4" s="4">
        <v>13</v>
      </c>
      <c r="AP4" s="4">
        <v>14</v>
      </c>
      <c r="AQ4" s="4">
        <v>15</v>
      </c>
      <c r="AR4" s="4">
        <v>16</v>
      </c>
      <c r="AS4" s="4">
        <v>17</v>
      </c>
      <c r="AT4" s="4">
        <v>18</v>
      </c>
      <c r="AU4" s="4">
        <v>19</v>
      </c>
      <c r="AV4" s="4">
        <v>20</v>
      </c>
      <c r="AW4" s="4">
        <v>21</v>
      </c>
      <c r="AX4" s="4">
        <v>22</v>
      </c>
      <c r="AY4" s="4">
        <v>23</v>
      </c>
    </row>
    <row r="5" spans="1:51">
      <c r="A5" t="s">
        <v>94</v>
      </c>
      <c r="B5" s="4">
        <f>'Calculations 2'!F27</f>
        <v>1779095385.8197324</v>
      </c>
      <c r="C5" s="4">
        <f>'Calculations 2'!G27</f>
        <v>1849919990.7009628</v>
      </c>
      <c r="D5" s="4">
        <f>'Calculations 2'!H27</f>
        <v>1898267585.834682</v>
      </c>
      <c r="E5" s="4">
        <f>'Calculations 2'!I27</f>
        <v>1966899536.7316306</v>
      </c>
      <c r="F5" s="4">
        <f>'Calculations 2'!J27</f>
        <v>2017468268.8214719</v>
      </c>
      <c r="G5" s="4">
        <f>'Calculations 2'!K27</f>
        <v>2068037000.911068</v>
      </c>
      <c r="H5" s="4">
        <f>'Calculations 2'!L27</f>
        <v>2169862109.7865229</v>
      </c>
      <c r="I5" s="4">
        <f>'Calculations 2'!M27</f>
        <v>2158271094.7178044</v>
      </c>
      <c r="J5" s="4">
        <f>'Calculations 2'!N27</f>
        <v>2258287707.7656817</v>
      </c>
      <c r="K5" s="4">
        <f>'Calculations 2'!O27</f>
        <v>2312660517.2859116</v>
      </c>
      <c r="L5" s="4">
        <f>'Calculations 2'!P27</f>
        <v>2367033326.8059397</v>
      </c>
      <c r="M5" s="4">
        <f>'Calculations 2'!Q27</f>
        <v>2421406136.3263493</v>
      </c>
      <c r="N5" s="4">
        <f>'Calculations 2'!R27</f>
        <v>2508791948.8839536</v>
      </c>
      <c r="O5" s="4">
        <f>'Calculations 2'!S27</f>
        <v>2566779682.2367797</v>
      </c>
      <c r="P5" s="4">
        <f>'Calculations 2'!T27</f>
        <v>2624767415.5895991</v>
      </c>
      <c r="Q5" s="4">
        <f>'Calculations 2'!U27</f>
        <v>2682755148.9424219</v>
      </c>
      <c r="R5" s="4">
        <f>'Calculations 2'!V27</f>
        <v>2740742882.2956471</v>
      </c>
      <c r="S5" s="4">
        <f>'Calculations 2'!W27</f>
        <v>2825525166.5659084</v>
      </c>
      <c r="T5" s="4">
        <f>'Calculations 2'!X27</f>
        <v>2886446903.2442265</v>
      </c>
      <c r="U5" s="4">
        <f>'Calculations 2'!Y27</f>
        <v>2947368639.9227524</v>
      </c>
      <c r="V5" s="4">
        <f>'Calculations 2'!Z27</f>
        <v>3008290376.600894</v>
      </c>
      <c r="W5" s="4">
        <f>'Calculations 2'!AA27</f>
        <v>3069212113.279212</v>
      </c>
      <c r="X5" s="4">
        <f>'Calculations 2'!AB27</f>
        <v>3157059508.5789914</v>
      </c>
      <c r="Y5" s="4">
        <f>'Calculations 2'!AC27</f>
        <v>3220929604.8763623</v>
      </c>
      <c r="Z5" s="4">
        <f>'Calculations 2'!AD27</f>
        <v>3284799701.1739349</v>
      </c>
      <c r="AA5" s="4">
        <f>'Calculations 2'!AE27</f>
        <v>3348669797.4711256</v>
      </c>
      <c r="AB5" s="4">
        <f>'Calculations 2'!AF27</f>
        <v>3412539893.7685957</v>
      </c>
      <c r="AC5" s="4">
        <f>'Calculations 2'!AG27</f>
        <v>3273849016.771255</v>
      </c>
      <c r="AD5" s="4">
        <f>'Calculations 2'!AH27</f>
        <v>3315538686.4928646</v>
      </c>
      <c r="AE5" s="4">
        <f>'Calculations 2'!AI27</f>
        <v>3357228356.2143745</v>
      </c>
      <c r="AF5" s="4">
        <f>'Calculations 2'!AJ27</f>
        <v>3382109383.3923025</v>
      </c>
      <c r="AG5" s="4">
        <f>'Calculations 2'!AK27</f>
        <v>3421958506.7553692</v>
      </c>
      <c r="AH5" s="4">
        <f>'Calculations 2'!AL27</f>
        <v>3461807630.1183333</v>
      </c>
      <c r="AI5" s="4">
        <f>'Calculations 2'!AM27</f>
        <v>3501656753.481389</v>
      </c>
      <c r="AJ5" s="4">
        <f>'Calculations 2'!AN27</f>
        <v>3541505876.8444834</v>
      </c>
      <c r="AK5" s="4">
        <f>'Calculations 2'!AO27</f>
        <v>3560397385.0166178</v>
      </c>
      <c r="AL5" s="4">
        <f>'Calculations 2'!AP27</f>
        <v>3597951649.5163112</v>
      </c>
      <c r="AM5" s="4">
        <f>'Calculations 2'!AQ27</f>
        <v>3635505914.0158696</v>
      </c>
      <c r="AN5" s="4">
        <f>'Calculations 2'!AR27</f>
        <v>3673060178.5156159</v>
      </c>
      <c r="AO5" s="4">
        <f>'Calculations 2'!AS27</f>
        <v>3710614443.0151811</v>
      </c>
      <c r="AP5" s="4">
        <f>'Calculations 2'!AT27</f>
        <v>3722672541.609077</v>
      </c>
      <c r="AQ5" s="4">
        <f>'Calculations 2'!AU27</f>
        <v>3757434975.9421639</v>
      </c>
      <c r="AR5" s="4">
        <f>'Calculations 2'!AV27</f>
        <v>3792197410.2750392</v>
      </c>
      <c r="AS5" s="4">
        <f>'Calculations 2'!AW27</f>
        <v>3826959844.6080146</v>
      </c>
      <c r="AT5" s="4">
        <f>'Calculations 2'!AX27</f>
        <v>3861722278.9410505</v>
      </c>
      <c r="AU5" s="4">
        <f>'Calculations 2'!AY27</f>
        <v>3865172556.4095678</v>
      </c>
      <c r="AV5" s="4">
        <f>'Calculations 2'!AZ27</f>
        <v>3896506309.5658607</v>
      </c>
      <c r="AW5" s="4">
        <f>'Calculations 2'!BA27</f>
        <v>3927840062.7222815</v>
      </c>
      <c r="AX5" s="4">
        <f>'Calculations 2'!BB27</f>
        <v>3959173815.8785043</v>
      </c>
      <c r="AY5" s="4">
        <f>'Calculations 2'!BC27</f>
        <v>3990507569.0349121</v>
      </c>
    </row>
    <row r="6" spans="1:51">
      <c r="A6" t="s">
        <v>95</v>
      </c>
      <c r="B6" s="4">
        <f>'Calculations 2'!F28</f>
        <v>11301467721.277349</v>
      </c>
      <c r="C6" s="4">
        <f>'Calculations 2'!G28</f>
        <v>11775219191.130331</v>
      </c>
      <c r="D6" s="4">
        <f>'Calculations 2'!H28</f>
        <v>12051219242.934708</v>
      </c>
      <c r="E6" s="4">
        <f>'Calculations 2'!I28</f>
        <v>12498818156.949053</v>
      </c>
      <c r="F6" s="4">
        <f>'Calculations 2'!J28</f>
        <v>12787497927.636343</v>
      </c>
      <c r="G6" s="4">
        <f>'Calculations 2'!K28</f>
        <v>13076177698.321554</v>
      </c>
      <c r="H6" s="4">
        <f>'Calculations 2'!L28</f>
        <v>13798469265.216919</v>
      </c>
      <c r="I6" s="4">
        <f>'Calculations 2'!M28</f>
        <v>13545858163.64786</v>
      </c>
      <c r="J6" s="4">
        <f>'Calculations 2'!N28</f>
        <v>14257825640.15736</v>
      </c>
      <c r="K6" s="4">
        <f>'Calculations 2'!O28</f>
        <v>14568221600.966316</v>
      </c>
      <c r="L6" s="4">
        <f>'Calculations 2'!P28</f>
        <v>14878617561.773563</v>
      </c>
      <c r="M6" s="4">
        <f>'Calculations 2'!Q28</f>
        <v>15189013522.584097</v>
      </c>
      <c r="N6" s="4">
        <f>'Calculations 2'!R28</f>
        <v>15778688442.284946</v>
      </c>
      <c r="O6" s="4">
        <f>'Calculations 2'!S28</f>
        <v>16109720779.366726</v>
      </c>
      <c r="P6" s="4">
        <f>'Calculations 2'!T28</f>
        <v>16440753116.448454</v>
      </c>
      <c r="Q6" s="4">
        <f>'Calculations 2'!U28</f>
        <v>16771785453.530209</v>
      </c>
      <c r="R6" s="4">
        <f>'Calculations 2'!V28</f>
        <v>17102817790.615374</v>
      </c>
      <c r="S6" s="4">
        <f>'Calculations 2'!W28</f>
        <v>17660523062.471409</v>
      </c>
      <c r="T6" s="4">
        <f>'Calculations 2'!X28</f>
        <v>18008304631.186935</v>
      </c>
      <c r="U6" s="4">
        <f>'Calculations 2'!Y28</f>
        <v>18356086199.904224</v>
      </c>
      <c r="V6" s="4">
        <f>'Calculations 2'!Z28</f>
        <v>18703867768.618202</v>
      </c>
      <c r="W6" s="4">
        <f>'Calculations 2'!AA28</f>
        <v>19051649337.333729</v>
      </c>
      <c r="X6" s="4">
        <f>'Calculations 2'!AB28</f>
        <v>19627212968.12846</v>
      </c>
      <c r="Y6" s="4">
        <f>'Calculations 2'!AC28</f>
        <v>19991825723.697155</v>
      </c>
      <c r="Z6" s="4">
        <f>'Calculations 2'!AD28</f>
        <v>20356438479.267555</v>
      </c>
      <c r="AA6" s="4">
        <f>'Calculations 2'!AE28</f>
        <v>20721051234.834667</v>
      </c>
      <c r="AB6" s="4">
        <f>'Calculations 2'!AF28</f>
        <v>21085663990.404205</v>
      </c>
      <c r="AC6" s="4">
        <f>'Calculations 2'!AG28</f>
        <v>19736678692.810898</v>
      </c>
      <c r="AD6" s="4">
        <f>'Calculations 2'!AH28</f>
        <v>19974670902.579506</v>
      </c>
      <c r="AE6" s="4">
        <f>'Calculations 2'!AI28</f>
        <v>20212663112.347271</v>
      </c>
      <c r="AF6" s="4">
        <f>'Calculations 2'!AJ28</f>
        <v>20308459830.700871</v>
      </c>
      <c r="AG6" s="4">
        <f>'Calculations 2'!AK28</f>
        <v>20535944984.453533</v>
      </c>
      <c r="AH6" s="4">
        <f>'Calculations 2'!AL28</f>
        <v>20763430138.205322</v>
      </c>
      <c r="AI6" s="4">
        <f>'Calculations 2'!AM28</f>
        <v>20990915291.95792</v>
      </c>
      <c r="AJ6" s="4">
        <f>'Calculations 2'!AN28</f>
        <v>21218400445.710854</v>
      </c>
      <c r="AK6" s="4">
        <f>'Calculations 2'!AO28</f>
        <v>21268591187.781132</v>
      </c>
      <c r="AL6" s="4">
        <f>'Calculations 2'!AP28</f>
        <v>21482975769.24229</v>
      </c>
      <c r="AM6" s="4">
        <f>'Calculations 2'!AQ28</f>
        <v>21697360350.702301</v>
      </c>
      <c r="AN6" s="4">
        <f>'Calculations 2'!AR28</f>
        <v>21911744932.163925</v>
      </c>
      <c r="AO6" s="4">
        <f>'Calculations 2'!AS28</f>
        <v>22126129513.623989</v>
      </c>
      <c r="AP6" s="4">
        <f>'Calculations 2'!AT28</f>
        <v>22124825063.043922</v>
      </c>
      <c r="AQ6" s="4">
        <f>'Calculations 2'!AU28</f>
        <v>22323272031.300732</v>
      </c>
      <c r="AR6" s="4">
        <f>'Calculations 2'!AV28</f>
        <v>22521718999.555706</v>
      </c>
      <c r="AS6" s="4">
        <f>'Calculations 2'!AW28</f>
        <v>22720165967.811569</v>
      </c>
      <c r="AT6" s="4">
        <f>'Calculations 2'!AX28</f>
        <v>22918612936.067944</v>
      </c>
      <c r="AU6" s="4">
        <f>'Calculations 2'!AY28</f>
        <v>22852169534.917961</v>
      </c>
      <c r="AV6" s="4">
        <f>'Calculations 2'!AZ28</f>
        <v>23031043323.168236</v>
      </c>
      <c r="AW6" s="4">
        <f>'Calculations 2'!BA28</f>
        <v>23209917111.419609</v>
      </c>
      <c r="AX6" s="4">
        <f>'Calculations 2'!BB28</f>
        <v>23388790899.669262</v>
      </c>
      <c r="AY6" s="4">
        <f>'Calculations 2'!BC28</f>
        <v>23567664687.920525</v>
      </c>
    </row>
    <row r="7" spans="1:51">
      <c r="A7" t="s">
        <v>96</v>
      </c>
      <c r="B7" s="4">
        <f>'Calculations 2'!F29</f>
        <v>485663073.58469009</v>
      </c>
      <c r="C7" s="4">
        <f>'Calculations 2'!G29</f>
        <v>506396342.5073753</v>
      </c>
      <c r="D7" s="4">
        <f>'Calculations 2'!H29</f>
        <v>517768242.31749469</v>
      </c>
      <c r="E7" s="4">
        <f>'Calculations 2'!I29</f>
        <v>537185663.7638222</v>
      </c>
      <c r="F7" s="4">
        <f>'Calculations 2'!J29</f>
        <v>549080000.04384422</v>
      </c>
      <c r="G7" s="4">
        <f>'Calculations 2'!K29</f>
        <v>560974336.32376862</v>
      </c>
      <c r="H7" s="4">
        <f>'Calculations 2'!L29</f>
        <v>593198837.05347407</v>
      </c>
      <c r="I7" s="4">
        <f>'Calculations 2'!M29</f>
        <v>579532318.66535866</v>
      </c>
      <c r="J7" s="4">
        <f>'Calculations 2'!N29</f>
        <v>611331440.77382433</v>
      </c>
      <c r="K7" s="4">
        <f>'Calculations 2'!O29</f>
        <v>624120538.98126602</v>
      </c>
      <c r="L7" s="4">
        <f>'Calculations 2'!P29</f>
        <v>636909637.18862772</v>
      </c>
      <c r="M7" s="4">
        <f>'Calculations 2'!Q29</f>
        <v>649698735.39614439</v>
      </c>
      <c r="N7" s="4">
        <f>'Calculations 2'!R29</f>
        <v>675582004.95976329</v>
      </c>
      <c r="O7" s="4">
        <f>'Calculations 2'!S29</f>
        <v>689221374.0344907</v>
      </c>
      <c r="P7" s="4">
        <f>'Calculations 2'!T29</f>
        <v>702860743.10921538</v>
      </c>
      <c r="Q7" s="4">
        <f>'Calculations 2'!U29</f>
        <v>716500112.18394136</v>
      </c>
      <c r="R7" s="4">
        <f>'Calculations 2'!V29</f>
        <v>730139481.25882733</v>
      </c>
      <c r="S7" s="4">
        <f>'Calculations 2'!W29</f>
        <v>754406554.83917856</v>
      </c>
      <c r="T7" s="4">
        <f>'Calculations 2'!X29</f>
        <v>768736034.59609628</v>
      </c>
      <c r="U7" s="4">
        <f>'Calculations 2'!Y29</f>
        <v>783065514.35309672</v>
      </c>
      <c r="V7" s="4">
        <f>'Calculations 2'!Z29</f>
        <v>797394994.10994089</v>
      </c>
      <c r="W7" s="4">
        <f>'Calculations 2'!AA29</f>
        <v>811724473.86685884</v>
      </c>
      <c r="X7" s="4">
        <f>'Calculations 2'!AB29</f>
        <v>836733660.26749527</v>
      </c>
      <c r="Y7" s="4">
        <f>'Calculations 2'!AC29</f>
        <v>851756627.46881151</v>
      </c>
      <c r="Z7" s="4">
        <f>'Calculations 2'!AD29</f>
        <v>866779594.67020774</v>
      </c>
      <c r="AA7" s="4">
        <f>'Calculations 2'!AE29</f>
        <v>881802561.87144911</v>
      </c>
      <c r="AB7" s="4">
        <f>'Calculations 2'!AF29</f>
        <v>896825529.07280493</v>
      </c>
      <c r="AC7" s="4">
        <f>'Calculations 2'!AG29</f>
        <v>831505363.25491965</v>
      </c>
      <c r="AD7" s="4">
        <f>'Calculations 2'!AH29</f>
        <v>841311243.89654994</v>
      </c>
      <c r="AE7" s="4">
        <f>'Calculations 2'!AI29</f>
        <v>851117124.53814077</v>
      </c>
      <c r="AF7" s="4">
        <f>'Calculations 2'!AJ29</f>
        <v>854256079.25720441</v>
      </c>
      <c r="AG7" s="4">
        <f>'Calculations 2'!AK29</f>
        <v>863629042.6311332</v>
      </c>
      <c r="AH7" s="4">
        <f>'Calculations 2'!AL29</f>
        <v>873002006.00502121</v>
      </c>
      <c r="AI7" s="4">
        <f>'Calculations 2'!AM29</f>
        <v>882374969.37894726</v>
      </c>
      <c r="AJ7" s="4">
        <f>'Calculations 2'!AN29</f>
        <v>891747932.75288904</v>
      </c>
      <c r="AK7" s="4">
        <f>'Calculations 2'!AO29</f>
        <v>892808335.03638375</v>
      </c>
      <c r="AL7" s="4">
        <f>'Calculations 2'!AP29</f>
        <v>901641521.71614277</v>
      </c>
      <c r="AM7" s="4">
        <f>'Calculations 2'!AQ29</f>
        <v>910474708.39584744</v>
      </c>
      <c r="AN7" s="4">
        <f>'Calculations 2'!AR29</f>
        <v>919307895.07562864</v>
      </c>
      <c r="AO7" s="4">
        <f>'Calculations 2'!AS29</f>
        <v>928141081.75533593</v>
      </c>
      <c r="AP7" s="4">
        <f>'Calculations 2'!AT29</f>
        <v>926861551.18492401</v>
      </c>
      <c r="AQ7" s="4">
        <f>'Calculations 2'!AU29</f>
        <v>935038067.91340435</v>
      </c>
      <c r="AR7" s="4">
        <f>'Calculations 2'!AV29</f>
        <v>943214584.64179862</v>
      </c>
      <c r="AS7" s="4">
        <f>'Calculations 2'!AW29</f>
        <v>951391101.37023473</v>
      </c>
      <c r="AT7" s="4">
        <f>'Calculations 2'!AX29</f>
        <v>959567618.09869468</v>
      </c>
      <c r="AU7" s="4">
        <f>'Calculations 2'!AY29</f>
        <v>955324581.62712038</v>
      </c>
      <c r="AV7" s="4">
        <f>'Calculations 2'!AZ29</f>
        <v>962694633.86203814</v>
      </c>
      <c r="AW7" s="4">
        <f>'Calculations 2'!BA29</f>
        <v>970064686.09700763</v>
      </c>
      <c r="AX7" s="4">
        <f>'Calculations 2'!BB29</f>
        <v>977434738.33189595</v>
      </c>
      <c r="AY7" s="4">
        <f>'Calculations 2'!BC29</f>
        <v>984804790.56686008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3"/>
  </sheetPr>
  <dimension ref="A1:AY7"/>
  <sheetViews>
    <sheetView topLeftCell="AI1" workbookViewId="0">
      <selection activeCell="AE2" sqref="AE2:AY7"/>
    </sheetView>
  </sheetViews>
  <sheetFormatPr defaultColWidth="9.140625" defaultRowHeight="14.45"/>
  <cols>
    <col min="1" max="1" width="24.85546875" customWidth="1"/>
    <col min="2" max="4" width="8.5703125" bestFit="1" customWidth="1"/>
  </cols>
  <sheetData>
    <row r="1" spans="1:51">
      <c r="A1" t="s">
        <v>176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  <c r="AF1">
        <v>2051</v>
      </c>
      <c r="AG1">
        <v>2052</v>
      </c>
      <c r="AH1">
        <v>2053</v>
      </c>
      <c r="AI1">
        <v>2054</v>
      </c>
      <c r="AJ1">
        <v>2055</v>
      </c>
      <c r="AK1">
        <v>2056</v>
      </c>
      <c r="AL1">
        <v>2057</v>
      </c>
      <c r="AM1">
        <v>2058</v>
      </c>
      <c r="AN1">
        <v>2059</v>
      </c>
      <c r="AO1">
        <v>2060</v>
      </c>
      <c r="AP1">
        <v>2061</v>
      </c>
      <c r="AQ1">
        <v>2062</v>
      </c>
      <c r="AR1">
        <v>2063</v>
      </c>
      <c r="AS1">
        <v>2064</v>
      </c>
      <c r="AT1">
        <v>2065</v>
      </c>
      <c r="AU1">
        <v>2066</v>
      </c>
      <c r="AV1">
        <v>2067</v>
      </c>
      <c r="AW1">
        <v>2068</v>
      </c>
      <c r="AX1">
        <v>2069</v>
      </c>
      <c r="AY1">
        <v>2070</v>
      </c>
    </row>
    <row r="2" spans="1:51">
      <c r="A2" t="s">
        <v>91</v>
      </c>
      <c r="B2">
        <f>'Calculations 2'!F52</f>
        <v>0</v>
      </c>
      <c r="C2">
        <f>'Calculations 2'!G52</f>
        <v>0</v>
      </c>
      <c r="D2">
        <f>'Calculations 2'!H52</f>
        <v>0</v>
      </c>
      <c r="E2">
        <f>'Calculations 2'!I52</f>
        <v>0</v>
      </c>
      <c r="F2">
        <f>'Calculations 2'!J52</f>
        <v>0</v>
      </c>
      <c r="G2">
        <f>'Calculations 2'!K52</f>
        <v>0</v>
      </c>
      <c r="H2">
        <f>'Calculations 2'!L52</f>
        <v>0</v>
      </c>
      <c r="I2">
        <f>'Calculations 2'!M52</f>
        <v>0</v>
      </c>
      <c r="J2">
        <f>'Calculations 2'!N52</f>
        <v>0</v>
      </c>
      <c r="K2">
        <f>'Calculations 2'!O52</f>
        <v>0</v>
      </c>
      <c r="L2">
        <f>'Calculations 2'!P52</f>
        <v>0</v>
      </c>
      <c r="M2">
        <f>'Calculations 2'!Q52</f>
        <v>0</v>
      </c>
      <c r="N2">
        <f>'Calculations 2'!R52</f>
        <v>0</v>
      </c>
      <c r="O2">
        <f>'Calculations 2'!S52</f>
        <v>0</v>
      </c>
      <c r="P2">
        <f>'Calculations 2'!T52</f>
        <v>0</v>
      </c>
      <c r="Q2">
        <f>'Calculations 2'!U52</f>
        <v>0</v>
      </c>
      <c r="R2">
        <f>'Calculations 2'!V52</f>
        <v>0</v>
      </c>
      <c r="S2">
        <f>'Calculations 2'!W52</f>
        <v>0</v>
      </c>
      <c r="T2">
        <f>'Calculations 2'!X52</f>
        <v>0</v>
      </c>
      <c r="U2">
        <f>'Calculations 2'!Y52</f>
        <v>0</v>
      </c>
      <c r="V2">
        <f>'Calculations 2'!Z52</f>
        <v>0</v>
      </c>
      <c r="W2">
        <f>'Calculations 2'!AA52</f>
        <v>0</v>
      </c>
      <c r="X2">
        <f>'Calculations 2'!AB52</f>
        <v>0</v>
      </c>
      <c r="Y2">
        <f>'Calculations 2'!AC52</f>
        <v>0</v>
      </c>
      <c r="Z2">
        <f>'Calculations 2'!AD52</f>
        <v>0</v>
      </c>
      <c r="AA2">
        <f>'Calculations 2'!AE52</f>
        <v>0</v>
      </c>
      <c r="AB2">
        <f>'Calculations 2'!AF52</f>
        <v>0</v>
      </c>
      <c r="AC2">
        <f>'Calculations 2'!AG52</f>
        <v>0</v>
      </c>
      <c r="AD2">
        <f>'Calculations 2'!AH52</f>
        <v>0</v>
      </c>
      <c r="AE2">
        <f>'Calculations 2'!AI52</f>
        <v>0</v>
      </c>
      <c r="AF2">
        <f>'Calculations 2'!AJ52</f>
        <v>0</v>
      </c>
      <c r="AG2">
        <f>'Calculations 2'!AK52</f>
        <v>0</v>
      </c>
      <c r="AH2">
        <f>'Calculations 2'!AL52</f>
        <v>0</v>
      </c>
      <c r="AI2">
        <f>'Calculations 2'!AM52</f>
        <v>0</v>
      </c>
      <c r="AJ2">
        <f>'Calculations 2'!AN52</f>
        <v>0</v>
      </c>
      <c r="AK2">
        <f>'Calculations 2'!AO52</f>
        <v>0</v>
      </c>
      <c r="AL2">
        <f>'Calculations 2'!AP52</f>
        <v>0</v>
      </c>
      <c r="AM2">
        <f>'Calculations 2'!AQ52</f>
        <v>0</v>
      </c>
      <c r="AN2">
        <f>'Calculations 2'!AR52</f>
        <v>0</v>
      </c>
      <c r="AO2">
        <f>'Calculations 2'!AS52</f>
        <v>0</v>
      </c>
      <c r="AP2">
        <f>'Calculations 2'!AT52</f>
        <v>0</v>
      </c>
      <c r="AQ2">
        <f>'Calculations 2'!AU52</f>
        <v>0</v>
      </c>
      <c r="AR2">
        <f>'Calculations 2'!AV52</f>
        <v>0</v>
      </c>
      <c r="AS2">
        <f>'Calculations 2'!AW52</f>
        <v>0</v>
      </c>
      <c r="AT2">
        <f>'Calculations 2'!AX52</f>
        <v>0</v>
      </c>
      <c r="AU2">
        <f>'Calculations 2'!AY52</f>
        <v>0</v>
      </c>
      <c r="AV2">
        <f>'Calculations 2'!AZ52</f>
        <v>0</v>
      </c>
      <c r="AW2">
        <f>'Calculations 2'!BA52</f>
        <v>0</v>
      </c>
      <c r="AX2">
        <f>'Calculations 2'!BB52</f>
        <v>0</v>
      </c>
      <c r="AY2">
        <f>'Calculations 2'!BC52</f>
        <v>0</v>
      </c>
    </row>
    <row r="3" spans="1:51">
      <c r="A3" t="s">
        <v>92</v>
      </c>
      <c r="B3">
        <f>'Calculations 2'!F53</f>
        <v>1467761324.9687195</v>
      </c>
      <c r="C3">
        <f>'Calculations 2'!G53</f>
        <v>1475430540.4029412</v>
      </c>
      <c r="D3">
        <f>'Calculations 2'!H53</f>
        <v>1508109370.0054655</v>
      </c>
      <c r="E3">
        <f>'Calculations 2'!I53</f>
        <v>1459778188.2171767</v>
      </c>
      <c r="F3">
        <f>'Calculations 2'!J53</f>
        <v>1465390329.6956139</v>
      </c>
      <c r="G3">
        <f>'Calculations 2'!K53</f>
        <v>1471002471.1740735</v>
      </c>
      <c r="H3">
        <f>'Calculations 2'!L53</f>
        <v>1476614612.6524892</v>
      </c>
      <c r="I3">
        <f>'Calculations 2'!M53</f>
        <v>1676492817.2777202</v>
      </c>
      <c r="J3">
        <f>'Calculations 2'!N53</f>
        <v>1446539892.5561647</v>
      </c>
      <c r="K3">
        <f>'Calculations 2'!O53</f>
        <v>1448768764.227016</v>
      </c>
      <c r="L3">
        <f>'Calculations 2'!P53</f>
        <v>1450997635.8978357</v>
      </c>
      <c r="M3">
        <f>'Calculations 2'!Q53</f>
        <v>1453226507.5686741</v>
      </c>
      <c r="N3">
        <f>'Calculations 2'!R53</f>
        <v>1634028987.2530782</v>
      </c>
      <c r="O3">
        <f>'Calculations 2'!S53</f>
        <v>1424319182.0446551</v>
      </c>
      <c r="P3">
        <f>'Calculations 2'!T53</f>
        <v>1423728470.4310627</v>
      </c>
      <c r="Q3">
        <f>'Calculations 2'!U53</f>
        <v>1423137758.8174763</v>
      </c>
      <c r="R3">
        <f>'Calculations 2'!V53</f>
        <v>1422547047.2038872</v>
      </c>
      <c r="S3">
        <f>'Calculations 2'!W53</f>
        <v>1584970575.2815673</v>
      </c>
      <c r="T3">
        <f>'Calculations 2'!X53</f>
        <v>1390907700.2449145</v>
      </c>
      <c r="U3">
        <f>'Calculations 2'!Y53</f>
        <v>1387743079.5835714</v>
      </c>
      <c r="V3">
        <f>'Calculations 2'!Z53</f>
        <v>1384578458.9222221</v>
      </c>
      <c r="W3">
        <f>'Calculations 2'!AA53</f>
        <v>1381413838.2608755</v>
      </c>
      <c r="X3">
        <f>'Calculations 2'!AB53</f>
        <v>2036297219.8458841</v>
      </c>
      <c r="Y3">
        <f>'Calculations 2'!AC53</f>
        <v>1252133522.8342714</v>
      </c>
      <c r="Z3">
        <f>'Calculations 2'!AD53</f>
        <v>1238578670.5584607</v>
      </c>
      <c r="AA3">
        <f>'Calculations 2'!AE53</f>
        <v>1225023818.2827446</v>
      </c>
      <c r="AB3">
        <f>'Calculations 2'!AF53</f>
        <v>1211468966.0069342</v>
      </c>
      <c r="AC3">
        <f>'Calculations 2'!AG53</f>
        <v>1197914113.7312181</v>
      </c>
      <c r="AD3">
        <f>'Calculations 2'!AH53</f>
        <v>1184359261.4554565</v>
      </c>
      <c r="AE3">
        <f>'Calculations 2'!AI53</f>
        <v>1170804409.1796458</v>
      </c>
      <c r="AF3">
        <f>'Calculations 2'!AJ53</f>
        <v>1135184385.6157336</v>
      </c>
      <c r="AG3">
        <f>'Calculations 2'!AK53</f>
        <v>1120235943.5743008</v>
      </c>
      <c r="AH3">
        <f>'Calculations 2'!AL53</f>
        <v>1105287501.5329623</v>
      </c>
      <c r="AI3">
        <f>'Calculations 2'!AM53</f>
        <v>1090339059.4916239</v>
      </c>
      <c r="AJ3">
        <f>'Calculations 2'!AN53</f>
        <v>1075390617.4503279</v>
      </c>
      <c r="AK3">
        <f>'Calculations 2'!AO53</f>
        <v>1038965363.7346861</v>
      </c>
      <c r="AL3">
        <f>'Calculations 2'!AP53</f>
        <v>1022660491.4823873</v>
      </c>
      <c r="AM3">
        <f>'Calculations 2'!AQ53</f>
        <v>1006355619.2299412</v>
      </c>
      <c r="AN3">
        <f>'Calculations 2'!AR53</f>
        <v>990050746.97769403</v>
      </c>
      <c r="AO3">
        <f>'Calculations 2'!AS53</f>
        <v>973745874.7252512</v>
      </c>
      <c r="AP3">
        <f>'Calculations 2'!AT53</f>
        <v>939261570.05832314</v>
      </c>
      <c r="AQ3">
        <f>'Calculations 2'!AU53</f>
        <v>921808523.12725365</v>
      </c>
      <c r="AR3">
        <f>'Calculations 2'!AV53</f>
        <v>904355476.19599497</v>
      </c>
      <c r="AS3">
        <f>'Calculations 2'!AW53</f>
        <v>886902429.26483405</v>
      </c>
      <c r="AT3">
        <f>'Calculations 2'!AX53</f>
        <v>869449382.33372843</v>
      </c>
      <c r="AU3">
        <f>'Calculations 2'!AY53</f>
        <v>836628980.78918314</v>
      </c>
      <c r="AV3">
        <f>'Calculations 2'!AZ53</f>
        <v>818205364.09302545</v>
      </c>
      <c r="AW3">
        <f>'Calculations 2'!BA53</f>
        <v>799781747.39681304</v>
      </c>
      <c r="AX3">
        <f>'Calculations 2'!BB53</f>
        <v>781358130.70060372</v>
      </c>
      <c r="AY3">
        <f>'Calculations 2'!BC53</f>
        <v>762934514.00439799</v>
      </c>
    </row>
    <row r="4" spans="1:51">
      <c r="A4" t="s">
        <v>93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1</v>
      </c>
      <c r="AD4" s="4">
        <v>2</v>
      </c>
      <c r="AE4" s="4">
        <v>3</v>
      </c>
      <c r="AF4" s="4">
        <v>4</v>
      </c>
      <c r="AG4" s="4">
        <v>5</v>
      </c>
      <c r="AH4" s="4">
        <v>6</v>
      </c>
      <c r="AI4" s="4">
        <v>7</v>
      </c>
      <c r="AJ4" s="4">
        <v>8</v>
      </c>
      <c r="AK4" s="4">
        <v>9</v>
      </c>
      <c r="AL4" s="4">
        <v>10</v>
      </c>
      <c r="AM4" s="4">
        <v>11</v>
      </c>
      <c r="AN4" s="4">
        <v>12</v>
      </c>
      <c r="AO4" s="4">
        <v>13</v>
      </c>
      <c r="AP4" s="4">
        <v>14</v>
      </c>
      <c r="AQ4" s="4">
        <v>15</v>
      </c>
      <c r="AR4" s="4">
        <v>16</v>
      </c>
      <c r="AS4" s="4">
        <v>17</v>
      </c>
      <c r="AT4" s="4">
        <v>18</v>
      </c>
      <c r="AU4" s="4">
        <v>19</v>
      </c>
      <c r="AV4" s="4">
        <v>20</v>
      </c>
      <c r="AW4" s="4">
        <v>21</v>
      </c>
      <c r="AX4" s="4">
        <v>22</v>
      </c>
      <c r="AY4" s="4">
        <v>23</v>
      </c>
    </row>
    <row r="5" spans="1:51">
      <c r="A5" t="s">
        <v>94</v>
      </c>
      <c r="B5">
        <f>'Calculations 2'!F55</f>
        <v>1247298469.8516865</v>
      </c>
      <c r="C5">
        <f>'Calculations 2'!G55</f>
        <v>1254052211.299448</v>
      </c>
      <c r="D5">
        <f>'Calculations 2'!H55</f>
        <v>1273509178.3406625</v>
      </c>
      <c r="E5">
        <f>'Calculations 2'!I55</f>
        <v>1252407125.6403723</v>
      </c>
      <c r="F5">
        <f>'Calculations 2'!J55</f>
        <v>1257349345.9807329</v>
      </c>
      <c r="G5">
        <f>'Calculations 2'!K55</f>
        <v>1262291566.3211055</v>
      </c>
      <c r="H5">
        <f>'Calculations 2'!L55</f>
        <v>1267233786.6614559</v>
      </c>
      <c r="I5">
        <f>'Calculations 2'!M55</f>
        <v>1370850285.1693518</v>
      </c>
      <c r="J5">
        <f>'Calculations 2'!N55</f>
        <v>1260713846.1409454</v>
      </c>
      <c r="K5">
        <f>'Calculations 2'!O55</f>
        <v>1262676657.4759815</v>
      </c>
      <c r="L5">
        <f>'Calculations 2'!P55</f>
        <v>1264639468.8110015</v>
      </c>
      <c r="M5">
        <f>'Calculations 2'!Q55</f>
        <v>1266602280.1460309</v>
      </c>
      <c r="N5">
        <f>'Calculations 2'!R55</f>
        <v>1359268643.0179865</v>
      </c>
      <c r="O5">
        <f>'Calculations 2'!S55</f>
        <v>1257784053.8251505</v>
      </c>
      <c r="P5">
        <f>'Calculations 2'!T55</f>
        <v>1257263855.4368534</v>
      </c>
      <c r="Q5">
        <f>'Calculations 2'!U55</f>
        <v>1256743657.0485594</v>
      </c>
      <c r="R5">
        <f>'Calculations 2'!V55</f>
        <v>1256223458.6602643</v>
      </c>
      <c r="S5">
        <f>'Calculations 2'!W55</f>
        <v>1338503684.4531646</v>
      </c>
      <c r="T5">
        <f>'Calculations 2'!X55</f>
        <v>1243549602.2862132</v>
      </c>
      <c r="U5">
        <f>'Calculations 2'!Y55</f>
        <v>1240762742.285959</v>
      </c>
      <c r="V5">
        <f>'Calculations 2'!Z55</f>
        <v>1237975882.2857018</v>
      </c>
      <c r="W5">
        <f>'Calculations 2'!AA55</f>
        <v>1235189022.2854459</v>
      </c>
      <c r="X5">
        <f>'Calculations 2'!AB55</f>
        <v>1566646911.8284104</v>
      </c>
      <c r="Y5">
        <f>'Calculations 2'!AC55</f>
        <v>1182653914.9741185</v>
      </c>
      <c r="Z5">
        <f>'Calculations 2'!AD55</f>
        <v>1170717104.9550931</v>
      </c>
      <c r="AA5">
        <f>'Calculations 2'!AE55</f>
        <v>1158780294.9361143</v>
      </c>
      <c r="AB5">
        <f>'Calculations 2'!AF55</f>
        <v>1146843484.9170887</v>
      </c>
      <c r="AC5">
        <f>'Calculations 2'!AG55</f>
        <v>1134906674.8981102</v>
      </c>
      <c r="AD5">
        <f>'Calculations 2'!AH55</f>
        <v>1122969864.8791094</v>
      </c>
      <c r="AE5">
        <f>'Calculations 2'!AI55</f>
        <v>1111033054.8600838</v>
      </c>
      <c r="AF5">
        <f>'Calculations 2'!AJ55</f>
        <v>1087888600.9827924</v>
      </c>
      <c r="AG5">
        <f>'Calculations 2'!AK55</f>
        <v>1074724553.9612551</v>
      </c>
      <c r="AH5">
        <f>'Calculations 2'!AL55</f>
        <v>1061560506.9397635</v>
      </c>
      <c r="AI5">
        <f>'Calculations 2'!AM55</f>
        <v>1048396459.9182718</v>
      </c>
      <c r="AJ5">
        <f>'Calculations 2'!AN55</f>
        <v>1035232412.8968016</v>
      </c>
      <c r="AK5">
        <f>'Calculations 2'!AO55</f>
        <v>1011159569.6863412</v>
      </c>
      <c r="AL5">
        <f>'Calculations 2'!AP55</f>
        <v>996801009.4821825</v>
      </c>
      <c r="AM5">
        <f>'Calculations 2'!AQ55</f>
        <v>982442449.27795053</v>
      </c>
      <c r="AN5">
        <f>'Calculations 2'!AR55</f>
        <v>968083889.0738169</v>
      </c>
      <c r="AO5">
        <f>'Calculations 2'!AS55</f>
        <v>953725328.86958647</v>
      </c>
      <c r="AP5">
        <f>'Calculations 2'!AT55</f>
        <v>930132822.48897302</v>
      </c>
      <c r="AQ5">
        <f>'Calculations 2'!AU55</f>
        <v>914763145.1785171</v>
      </c>
      <c r="AR5">
        <f>'Calculations 2'!AV55</f>
        <v>899393467.86796725</v>
      </c>
      <c r="AS5">
        <f>'Calculations 2'!AW55</f>
        <v>884023790.55746472</v>
      </c>
      <c r="AT5">
        <f>'Calculations 2'!AX55</f>
        <v>868654113.24699068</v>
      </c>
      <c r="AU5">
        <f>'Calculations 2'!AY55</f>
        <v>845478838.81233072</v>
      </c>
      <c r="AV5">
        <f>'Calculations 2'!AZ55</f>
        <v>829254448.61676431</v>
      </c>
      <c r="AW5">
        <f>'Calculations 2'!BA55</f>
        <v>813030058.42117143</v>
      </c>
      <c r="AX5">
        <f>'Calculations 2'!BB55</f>
        <v>796805668.2255801</v>
      </c>
      <c r="AY5">
        <f>'Calculations 2'!BC55</f>
        <v>780581278.02999079</v>
      </c>
    </row>
    <row r="6" spans="1:51">
      <c r="A6" t="s">
        <v>95</v>
      </c>
      <c r="B6">
        <f>'Calculations 2'!F56</f>
        <v>4504169480.7478991</v>
      </c>
      <c r="C6">
        <f>'Calculations 2'!G56</f>
        <v>4527990540.6421633</v>
      </c>
      <c r="D6">
        <f>'Calculations 2'!H56</f>
        <v>4618208769.0167303</v>
      </c>
      <c r="E6">
        <f>'Calculations 2'!I56</f>
        <v>4494068980.7711639</v>
      </c>
      <c r="F6">
        <f>'Calculations 2'!J56</f>
        <v>4511500641.0810804</v>
      </c>
      <c r="G6">
        <f>'Calculations 2'!K56</f>
        <v>4528932301.3910589</v>
      </c>
      <c r="H6">
        <f>'Calculations 2'!L56</f>
        <v>4546363961.7009201</v>
      </c>
      <c r="I6">
        <f>'Calculations 2'!M56</f>
        <v>5079545942.5859909</v>
      </c>
      <c r="J6">
        <f>'Calculations 2'!N56</f>
        <v>4477119898.0800409</v>
      </c>
      <c r="K6">
        <f>'Calculations 2'!O56</f>
        <v>4484042912.0471554</v>
      </c>
      <c r="L6">
        <f>'Calculations 2'!P56</f>
        <v>4490965926.014185</v>
      </c>
      <c r="M6">
        <f>'Calculations 2'!Q56</f>
        <v>4497888939.9812641</v>
      </c>
      <c r="N6">
        <f>'Calculations 2'!R56</f>
        <v>4978900912.6032839</v>
      </c>
      <c r="O6">
        <f>'Calculations 2'!S56</f>
        <v>4428243932.0931787</v>
      </c>
      <c r="P6">
        <f>'Calculations 2'!T56</f>
        <v>4426409145.0998669</v>
      </c>
      <c r="Q6">
        <f>'Calculations 2'!U56</f>
        <v>4424574358.1065722</v>
      </c>
      <c r="R6">
        <f>'Calculations 2'!V56</f>
        <v>4422739571.1132698</v>
      </c>
      <c r="S6">
        <f>'Calculations 2'!W56</f>
        <v>4853685708.4729624</v>
      </c>
      <c r="T6">
        <f>'Calculations 2'!X56</f>
        <v>4342853652.0743389</v>
      </c>
      <c r="U6">
        <f>'Calculations 2'!Y56</f>
        <v>4333024143.5720596</v>
      </c>
      <c r="V6">
        <f>'Calculations 2'!Z56</f>
        <v>4323194635.0697651</v>
      </c>
      <c r="W6">
        <f>'Calculations 2'!AA56</f>
        <v>4313365126.5674763</v>
      </c>
      <c r="X6">
        <f>'Calculations 2'!AB56</f>
        <v>6050564731.7191963</v>
      </c>
      <c r="Y6">
        <f>'Calculations 2'!AC56</f>
        <v>3986039652.3553958</v>
      </c>
      <c r="Z6">
        <f>'Calculations 2'!AD56</f>
        <v>3943937438.5514913</v>
      </c>
      <c r="AA6">
        <f>'Calculations 2'!AE56</f>
        <v>3901835224.7478356</v>
      </c>
      <c r="AB6">
        <f>'Calculations 2'!AF56</f>
        <v>3859733010.9439301</v>
      </c>
      <c r="AC6">
        <f>'Calculations 2'!AG56</f>
        <v>3817630797.1402755</v>
      </c>
      <c r="AD6">
        <f>'Calculations 2'!AH56</f>
        <v>3775528583.3365002</v>
      </c>
      <c r="AE6">
        <f>'Calculations 2'!AI56</f>
        <v>3733426369.5325947</v>
      </c>
      <c r="AF6">
        <f>'Calculations 2'!AJ56</f>
        <v>3632744087.8514452</v>
      </c>
      <c r="AG6">
        <f>'Calculations 2'!AK56</f>
        <v>3586313297.6032515</v>
      </c>
      <c r="AH6">
        <f>'Calculations 2'!AL56</f>
        <v>3539882507.3553066</v>
      </c>
      <c r="AI6">
        <f>'Calculations 2'!AM56</f>
        <v>3493451717.1073618</v>
      </c>
      <c r="AJ6">
        <f>'Calculations 2'!AN56</f>
        <v>3447020926.8595295</v>
      </c>
      <c r="AK6">
        <f>'Calculations 2'!AO56</f>
        <v>3343572084.5312066</v>
      </c>
      <c r="AL6">
        <f>'Calculations 2'!AP56</f>
        <v>3292928137.7257276</v>
      </c>
      <c r="AM6">
        <f>'Calculations 2'!AQ56</f>
        <v>3242284190.9198589</v>
      </c>
      <c r="AN6">
        <f>'Calculations 2'!AR56</f>
        <v>3191640244.1145148</v>
      </c>
      <c r="AO6">
        <f>'Calculations 2'!AS56</f>
        <v>3140996297.3086548</v>
      </c>
      <c r="AP6">
        <f>'Calculations 2'!AT56</f>
        <v>3042088397.7373495</v>
      </c>
      <c r="AQ6">
        <f>'Calculations 2'!AU56</f>
        <v>2987878149.0034885</v>
      </c>
      <c r="AR6">
        <f>'Calculations 2'!AV56</f>
        <v>2933667900.2691274</v>
      </c>
      <c r="AS6">
        <f>'Calculations 2'!AW56</f>
        <v>2879457651.5350227</v>
      </c>
      <c r="AT6">
        <f>'Calculations 2'!AX56</f>
        <v>2825247402.8010659</v>
      </c>
      <c r="AU6">
        <f>'Calculations 2'!AY56</f>
        <v>2730238890.387444</v>
      </c>
      <c r="AV6">
        <f>'Calculations 2'!AZ56</f>
        <v>2673013991.6279187</v>
      </c>
      <c r="AW6">
        <f>'Calculations 2'!BA56</f>
        <v>2615789092.8682489</v>
      </c>
      <c r="AX6">
        <f>'Calculations 2'!BB56</f>
        <v>2558564194.1085882</v>
      </c>
      <c r="AY6">
        <f>'Calculations 2'!BC56</f>
        <v>2501339295.3489366</v>
      </c>
    </row>
    <row r="7" spans="1:51">
      <c r="A7" t="s">
        <v>96</v>
      </c>
      <c r="B7" s="4">
        <f>'Calculations 2'!F57</f>
        <v>124524337.97073743</v>
      </c>
      <c r="C7" s="4">
        <f>'Calculations 2'!G57</f>
        <v>125176467.98636304</v>
      </c>
      <c r="D7" s="4">
        <f>'Calculations 2'!H57</f>
        <v>127897017.43833795</v>
      </c>
      <c r="E7" s="4">
        <f>'Calculations 2'!I57</f>
        <v>123921312.11016691</v>
      </c>
      <c r="F7" s="4">
        <f>'Calculations 2'!J57</f>
        <v>124398524.66748995</v>
      </c>
      <c r="G7" s="4">
        <f>'Calculations 2'!K57</f>
        <v>124875737.22481486</v>
      </c>
      <c r="H7" s="4">
        <f>'Calculations 2'!L57</f>
        <v>125352949.78213611</v>
      </c>
      <c r="I7" s="4">
        <f>'Calculations 2'!M57</f>
        <v>141896931.62793407</v>
      </c>
      <c r="J7" s="4">
        <f>'Calculations 2'!N57</f>
        <v>122920295.39443697</v>
      </c>
      <c r="K7" s="4">
        <f>'Calculations 2'!O57</f>
        <v>123109821.1849179</v>
      </c>
      <c r="L7" s="4">
        <f>'Calculations 2'!P57</f>
        <v>123299346.97539622</v>
      </c>
      <c r="M7" s="4">
        <f>'Calculations 2'!Q57</f>
        <v>123488872.76587607</v>
      </c>
      <c r="N7" s="4">
        <f>'Calculations 2'!R57</f>
        <v>138447323.7844156</v>
      </c>
      <c r="O7" s="4">
        <f>'Calculations 2'!S57</f>
        <v>121134714.15852582</v>
      </c>
      <c r="P7" s="4">
        <f>'Calculations 2'!T57</f>
        <v>121084484.66932885</v>
      </c>
      <c r="Q7" s="4">
        <f>'Calculations 2'!U57</f>
        <v>121034255.18013243</v>
      </c>
      <c r="R7" s="4">
        <f>'Calculations 2'!V57</f>
        <v>120984025.69093576</v>
      </c>
      <c r="S7" s="4">
        <f>'Calculations 2'!W57</f>
        <v>134415884.31033832</v>
      </c>
      <c r="T7" s="4">
        <f>'Calculations 2'!X57</f>
        <v>118388504.95218442</v>
      </c>
      <c r="U7" s="4">
        <f>'Calculations 2'!Y57</f>
        <v>118119410.39628996</v>
      </c>
      <c r="V7" s="4">
        <f>'Calculations 2'!Z57</f>
        <v>117850315.84039497</v>
      </c>
      <c r="W7" s="4">
        <f>'Calculations 2'!AA57</f>
        <v>117581221.28450023</v>
      </c>
      <c r="X7" s="4">
        <f>'Calculations 2'!AB57</f>
        <v>171735968.24561268</v>
      </c>
      <c r="Y7" s="4">
        <f>'Calculations 2'!AC57</f>
        <v>106971087.47638258</v>
      </c>
      <c r="Z7" s="4">
        <f>'Calculations 2'!AD57</f>
        <v>105818488.99975324</v>
      </c>
      <c r="AA7" s="4">
        <f>'Calculations 2'!AE57</f>
        <v>104665890.52313171</v>
      </c>
      <c r="AB7" s="4">
        <f>'Calculations 2'!AF57</f>
        <v>103513292.0465024</v>
      </c>
      <c r="AC7" s="4">
        <f>'Calculations 2'!AG57</f>
        <v>102360693.56988084</v>
      </c>
      <c r="AD7" s="4">
        <f>'Calculations 2'!AH57</f>
        <v>101208095.09325556</v>
      </c>
      <c r="AE7" s="4">
        <f>'Calculations 2'!AI57</f>
        <v>100055496.6166262</v>
      </c>
      <c r="AF7" s="4">
        <f>'Calculations 2'!AJ57</f>
        <v>97077998.769236848</v>
      </c>
      <c r="AG7" s="4">
        <f>'Calculations 2'!AK57</f>
        <v>95806900.333462432</v>
      </c>
      <c r="AH7" s="4">
        <f>'Calculations 2'!AL57</f>
        <v>94535801.89769581</v>
      </c>
      <c r="AI7" s="4">
        <f>'Calculations 2'!AM57</f>
        <v>93264703.461929217</v>
      </c>
      <c r="AJ7" s="4">
        <f>'Calculations 2'!AN57</f>
        <v>91993605.026166096</v>
      </c>
      <c r="AK7" s="4">
        <f>'Calculations 2'!AO57</f>
        <v>88946267.484950006</v>
      </c>
      <c r="AL7" s="4">
        <f>'Calculations 2'!AP57</f>
        <v>87559828.84753482</v>
      </c>
      <c r="AM7" s="4">
        <f>'Calculations 2'!AQ57</f>
        <v>86173390.210107476</v>
      </c>
      <c r="AN7" s="4">
        <f>'Calculations 2'!AR57</f>
        <v>84786951.572696567</v>
      </c>
      <c r="AO7" s="4">
        <f>'Calculations 2'!AS57</f>
        <v>83400512.935269475</v>
      </c>
      <c r="AP7" s="4">
        <f>'Calculations 2'!AT57</f>
        <v>80510544.851331413</v>
      </c>
      <c r="AQ7" s="4">
        <f>'Calculations 2'!AU57</f>
        <v>79026474.431678459</v>
      </c>
      <c r="AR7" s="4">
        <f>'Calculations 2'!AV57</f>
        <v>77542404.012009859</v>
      </c>
      <c r="AS7" s="4">
        <f>'Calculations 2'!AW57</f>
        <v>76058333.59234935</v>
      </c>
      <c r="AT7" s="4">
        <f>'Calculations 2'!AX57</f>
        <v>74574263.172693416</v>
      </c>
      <c r="AU7" s="4">
        <f>'Calculations 2'!AY57</f>
        <v>71819236.121967301</v>
      </c>
      <c r="AV7" s="4">
        <f>'Calculations 2'!AZ57</f>
        <v>70252636.050943777</v>
      </c>
      <c r="AW7" s="4">
        <f>'Calculations 2'!BA57</f>
        <v>68686035.979915738</v>
      </c>
      <c r="AX7" s="4">
        <f>'Calculations 2'!BB57</f>
        <v>67119435.908887967</v>
      </c>
      <c r="AY7" s="4">
        <f>'Calculations 2'!BC57</f>
        <v>65552835.837860473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3"/>
  </sheetPr>
  <dimension ref="A1:AY7"/>
  <sheetViews>
    <sheetView workbookViewId="0">
      <selection activeCell="AE2" sqref="AE2:AY7"/>
    </sheetView>
  </sheetViews>
  <sheetFormatPr defaultRowHeight="14.45"/>
  <cols>
    <col min="1" max="1" width="24.85546875" customWidth="1"/>
    <col min="2" max="2" width="9.28515625" bestFit="1" customWidth="1"/>
    <col min="3" max="4" width="8.5703125" bestFit="1" customWidth="1"/>
  </cols>
  <sheetData>
    <row r="1" spans="1:51">
      <c r="A1" t="s">
        <v>176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  <c r="AF1">
        <v>2051</v>
      </c>
      <c r="AG1">
        <v>2052</v>
      </c>
      <c r="AH1">
        <v>2053</v>
      </c>
      <c r="AI1">
        <v>2054</v>
      </c>
      <c r="AJ1">
        <v>2055</v>
      </c>
      <c r="AK1">
        <v>2056</v>
      </c>
      <c r="AL1">
        <v>2057</v>
      </c>
      <c r="AM1">
        <v>2058</v>
      </c>
      <c r="AN1">
        <v>2059</v>
      </c>
      <c r="AO1">
        <v>2060</v>
      </c>
      <c r="AP1">
        <v>2061</v>
      </c>
      <c r="AQ1">
        <v>2062</v>
      </c>
      <c r="AR1">
        <v>2063</v>
      </c>
      <c r="AS1">
        <v>2064</v>
      </c>
      <c r="AT1">
        <v>2065</v>
      </c>
      <c r="AU1">
        <v>2066</v>
      </c>
      <c r="AV1">
        <v>2067</v>
      </c>
      <c r="AW1">
        <v>2068</v>
      </c>
      <c r="AX1">
        <v>2069</v>
      </c>
      <c r="AY1">
        <v>2070</v>
      </c>
    </row>
    <row r="2" spans="1:51">
      <c r="A2" t="s">
        <v>91</v>
      </c>
      <c r="B2">
        <f>'Calculations 2'!F80</f>
        <v>0</v>
      </c>
      <c r="C2">
        <f>'Calculations 2'!G80</f>
        <v>0</v>
      </c>
      <c r="D2">
        <f>'Calculations 2'!H80</f>
        <v>0</v>
      </c>
      <c r="E2">
        <f>'Calculations 2'!I80</f>
        <v>0</v>
      </c>
      <c r="F2">
        <f>'Calculations 2'!J80</f>
        <v>0</v>
      </c>
      <c r="G2">
        <f>'Calculations 2'!K80</f>
        <v>0</v>
      </c>
      <c r="H2">
        <f>'Calculations 2'!L80</f>
        <v>0</v>
      </c>
      <c r="I2">
        <f>'Calculations 2'!M80</f>
        <v>0</v>
      </c>
      <c r="J2">
        <f>'Calculations 2'!N80</f>
        <v>0</v>
      </c>
      <c r="K2">
        <f>'Calculations 2'!O80</f>
        <v>0</v>
      </c>
      <c r="L2">
        <f>'Calculations 2'!P80</f>
        <v>0</v>
      </c>
      <c r="M2">
        <f>'Calculations 2'!Q80</f>
        <v>0</v>
      </c>
      <c r="N2">
        <f>'Calculations 2'!R80</f>
        <v>0</v>
      </c>
      <c r="O2">
        <f>'Calculations 2'!S80</f>
        <v>0</v>
      </c>
      <c r="P2">
        <f>'Calculations 2'!T80</f>
        <v>0</v>
      </c>
      <c r="Q2">
        <f>'Calculations 2'!U80</f>
        <v>0</v>
      </c>
      <c r="R2">
        <f>'Calculations 2'!V80</f>
        <v>0</v>
      </c>
      <c r="S2">
        <f>'Calculations 2'!W80</f>
        <v>0</v>
      </c>
      <c r="T2">
        <f>'Calculations 2'!X80</f>
        <v>0</v>
      </c>
      <c r="U2">
        <f>'Calculations 2'!Y80</f>
        <v>0</v>
      </c>
      <c r="V2">
        <f>'Calculations 2'!Z80</f>
        <v>0</v>
      </c>
      <c r="W2">
        <f>'Calculations 2'!AA80</f>
        <v>0</v>
      </c>
      <c r="X2">
        <f>'Calculations 2'!AB80</f>
        <v>0</v>
      </c>
      <c r="Y2">
        <f>'Calculations 2'!AC80</f>
        <v>0</v>
      </c>
      <c r="Z2">
        <f>'Calculations 2'!AD80</f>
        <v>0</v>
      </c>
      <c r="AA2">
        <f>'Calculations 2'!AE80</f>
        <v>0</v>
      </c>
      <c r="AB2">
        <f>'Calculations 2'!AF80</f>
        <v>0</v>
      </c>
      <c r="AC2">
        <f>'Calculations 2'!AG80</f>
        <v>0</v>
      </c>
      <c r="AD2">
        <f>'Calculations 2'!AH80</f>
        <v>0</v>
      </c>
      <c r="AE2">
        <f>'Calculations 2'!AI80</f>
        <v>0</v>
      </c>
      <c r="AF2">
        <f>'Calculations 2'!AJ80</f>
        <v>0</v>
      </c>
      <c r="AG2">
        <f>'Calculations 2'!AK80</f>
        <v>0</v>
      </c>
      <c r="AH2">
        <f>'Calculations 2'!AL80</f>
        <v>0</v>
      </c>
      <c r="AI2">
        <f>'Calculations 2'!AM80</f>
        <v>0</v>
      </c>
      <c r="AJ2">
        <f>'Calculations 2'!AN80</f>
        <v>0</v>
      </c>
      <c r="AK2">
        <f>'Calculations 2'!AO80</f>
        <v>0</v>
      </c>
      <c r="AL2">
        <f>'Calculations 2'!AP80</f>
        <v>0</v>
      </c>
      <c r="AM2">
        <f>'Calculations 2'!AQ80</f>
        <v>0</v>
      </c>
      <c r="AN2">
        <f>'Calculations 2'!AR80</f>
        <v>0</v>
      </c>
      <c r="AO2">
        <f>'Calculations 2'!AS80</f>
        <v>0</v>
      </c>
      <c r="AP2">
        <f>'Calculations 2'!AT80</f>
        <v>0</v>
      </c>
      <c r="AQ2">
        <f>'Calculations 2'!AU80</f>
        <v>0</v>
      </c>
      <c r="AR2">
        <f>'Calculations 2'!AV80</f>
        <v>0</v>
      </c>
      <c r="AS2">
        <f>'Calculations 2'!AW80</f>
        <v>0</v>
      </c>
      <c r="AT2">
        <f>'Calculations 2'!AX80</f>
        <v>0</v>
      </c>
      <c r="AU2">
        <f>'Calculations 2'!AY80</f>
        <v>0</v>
      </c>
      <c r="AV2">
        <f>'Calculations 2'!AZ80</f>
        <v>0</v>
      </c>
      <c r="AW2">
        <f>'Calculations 2'!BA80</f>
        <v>0</v>
      </c>
      <c r="AX2">
        <f>'Calculations 2'!BB80</f>
        <v>0</v>
      </c>
      <c r="AY2">
        <f>'Calculations 2'!BC80</f>
        <v>0</v>
      </c>
    </row>
    <row r="3" spans="1:51">
      <c r="A3" t="s">
        <v>92</v>
      </c>
      <c r="B3" s="4">
        <f>'Calculations 2'!F81</f>
        <v>1015088832.0292801</v>
      </c>
      <c r="C3">
        <f>'Calculations 2'!G81</f>
        <v>1111250176.9489331</v>
      </c>
      <c r="D3">
        <f>'Calculations 2'!H81</f>
        <v>1211705030.7282784</v>
      </c>
      <c r="E3">
        <f>'Calculations 2'!I81</f>
        <v>1316453393.4954982</v>
      </c>
      <c r="F3">
        <f>'Calculations 2'!J81</f>
        <v>1425495265.0815182</v>
      </c>
      <c r="G3">
        <f>'Calculations 2'!K81</f>
        <v>1538830645.5681188</v>
      </c>
      <c r="H3">
        <f>'Calculations 2'!L81</f>
        <v>1656459535.0425951</v>
      </c>
      <c r="I3">
        <f>'Calculations 2'!M81</f>
        <v>1778381933.3140466</v>
      </c>
      <c r="J3">
        <f>'Calculations 2'!N81</f>
        <v>1904597840.5283501</v>
      </c>
      <c r="K3">
        <f>'Calculations 2'!O81</f>
        <v>2035107256.7100828</v>
      </c>
      <c r="L3">
        <f>'Calculations 2'!P81</f>
        <v>2169910181.6887908</v>
      </c>
      <c r="M3">
        <f>'Calculations 2'!Q81</f>
        <v>2309006615.6103511</v>
      </c>
      <c r="N3">
        <f>'Calculations 2'!R81</f>
        <v>2452396558.4338684</v>
      </c>
      <c r="O3">
        <f>'Calculations 2'!S81</f>
        <v>2600080010.2248168</v>
      </c>
      <c r="P3">
        <f>'Calculations 2'!T81</f>
        <v>2752056970.8127422</v>
      </c>
      <c r="Q3">
        <f>'Calculations 2'!U81</f>
        <v>2908327440.3435187</v>
      </c>
      <c r="R3">
        <f>'Calculations 2'!V81</f>
        <v>3068891418.8417215</v>
      </c>
      <c r="S3">
        <f>'Calculations 2'!W81</f>
        <v>3233748906.1150789</v>
      </c>
      <c r="T3">
        <f>'Calculations 2'!X81</f>
        <v>3402899902.3953776</v>
      </c>
      <c r="U3">
        <f>'Calculations 2'!Y81</f>
        <v>3576344407.5585742</v>
      </c>
      <c r="V3">
        <f>'Calculations 2'!Z81</f>
        <v>3754082421.5596285</v>
      </c>
      <c r="W3">
        <f>'Calculations 2'!AA81</f>
        <v>3936113944.5253615</v>
      </c>
      <c r="X3">
        <f>'Calculations 2'!AB81</f>
        <v>4122438976.3726139</v>
      </c>
      <c r="Y3">
        <f>'Calculations 2'!AC81</f>
        <v>4313057517.1872883</v>
      </c>
      <c r="Z3">
        <f>'Calculations 2'!AD81</f>
        <v>4507969566.7771139</v>
      </c>
      <c r="AA3">
        <f>'Calculations 2'!AE81</f>
        <v>4707175125.3520708</v>
      </c>
      <c r="AB3">
        <f>'Calculations 2'!AF81</f>
        <v>4910674192.8739986</v>
      </c>
      <c r="AC3">
        <f>'Calculations 2'!AG81</f>
        <v>5118466769.1710844</v>
      </c>
      <c r="AD3">
        <f>'Calculations 2'!AH81</f>
        <v>5330552854.4532852</v>
      </c>
      <c r="AE3">
        <f>'Calculations 2'!AI81</f>
        <v>5546932448.6606646</v>
      </c>
      <c r="AF3">
        <f>'Calculations 2'!AJ81</f>
        <v>5767605551.685441</v>
      </c>
      <c r="AG3">
        <f>'Calculations 2'!AK81</f>
        <v>5992572163.6749067</v>
      </c>
      <c r="AH3">
        <f>'Calculations 2'!AL81</f>
        <v>6221832284.5677023</v>
      </c>
      <c r="AI3">
        <f>'Calculations 2'!AM81</f>
        <v>6455385914.342021</v>
      </c>
      <c r="AJ3">
        <f>'Calculations 2'!AN81</f>
        <v>6693233052.9964666</v>
      </c>
      <c r="AK3">
        <f>'Calculations 2'!AO81</f>
        <v>6935373700.5951405</v>
      </c>
      <c r="AL3">
        <f>'Calculations 2'!AP81</f>
        <v>7181807857.0971594</v>
      </c>
      <c r="AM3">
        <f>'Calculations 2'!AQ81</f>
        <v>7432535522.4806938</v>
      </c>
      <c r="AN3">
        <f>'Calculations 2'!AR81</f>
        <v>7687556696.7443476</v>
      </c>
      <c r="AO3">
        <f>'Calculations 2'!AS81</f>
        <v>7946871379.9959002</v>
      </c>
      <c r="AP3">
        <f>'Calculations 2'!AT81</f>
        <v>8210479572.0444155</v>
      </c>
      <c r="AQ3">
        <f>'Calculations 2'!AU81</f>
        <v>8478381273.0357609</v>
      </c>
      <c r="AR3">
        <f>'Calculations 2'!AV81</f>
        <v>8750576482.9945869</v>
      </c>
      <c r="AS3">
        <f>'Calculations 2'!AW81</f>
        <v>9027065201.7285175</v>
      </c>
      <c r="AT3">
        <f>'Calculations 2'!AX81</f>
        <v>9307847429.4475803</v>
      </c>
      <c r="AU3">
        <f>'Calculations 2'!AY81</f>
        <v>9592923166.0700016</v>
      </c>
      <c r="AV3">
        <f>'Calculations 2'!AZ81</f>
        <v>9882292411.5957394</v>
      </c>
      <c r="AW3">
        <f>'Calculations 2'!BA81</f>
        <v>10175955165.981173</v>
      </c>
      <c r="AX3">
        <f>'Calculations 2'!BB81</f>
        <v>10473911429.289024</v>
      </c>
      <c r="AY3">
        <f>'Calculations 2'!BC81</f>
        <v>10776161201.564266</v>
      </c>
    </row>
    <row r="4" spans="1:51">
      <c r="A4" t="s">
        <v>93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1</v>
      </c>
      <c r="AD4" s="4">
        <v>2</v>
      </c>
      <c r="AE4" s="4">
        <v>3</v>
      </c>
      <c r="AF4" s="4">
        <v>4</v>
      </c>
      <c r="AG4" s="4">
        <v>5</v>
      </c>
      <c r="AH4" s="4">
        <v>6</v>
      </c>
      <c r="AI4" s="4">
        <v>7</v>
      </c>
      <c r="AJ4" s="4">
        <v>8</v>
      </c>
      <c r="AK4" s="4">
        <v>9</v>
      </c>
      <c r="AL4" s="4">
        <v>10</v>
      </c>
      <c r="AM4" s="4">
        <v>11</v>
      </c>
      <c r="AN4" s="4">
        <v>12</v>
      </c>
      <c r="AO4" s="4">
        <v>13</v>
      </c>
      <c r="AP4" s="4">
        <v>14</v>
      </c>
      <c r="AQ4" s="4">
        <v>15</v>
      </c>
      <c r="AR4" s="4">
        <v>16</v>
      </c>
      <c r="AS4" s="4">
        <v>17</v>
      </c>
      <c r="AT4" s="4">
        <v>18</v>
      </c>
      <c r="AU4" s="4">
        <v>19</v>
      </c>
      <c r="AV4" s="4">
        <v>20</v>
      </c>
      <c r="AW4" s="4">
        <v>21</v>
      </c>
      <c r="AX4" s="4">
        <v>22</v>
      </c>
      <c r="AY4" s="4">
        <v>23</v>
      </c>
    </row>
    <row r="5" spans="1:51">
      <c r="A5" t="s">
        <v>94</v>
      </c>
      <c r="B5">
        <f>'Calculations 2'!F83</f>
        <v>156382008.12990016</v>
      </c>
      <c r="C5">
        <f>'Calculations 2'!G83</f>
        <v>169136868.36561954</v>
      </c>
      <c r="D5">
        <f>'Calculations 2'!H83</f>
        <v>182704347.13111454</v>
      </c>
      <c r="E5">
        <f>'Calculations 2'!I83</f>
        <v>197084444.44015741</v>
      </c>
      <c r="F5">
        <f>'Calculations 2'!J83</f>
        <v>212277160.27473259</v>
      </c>
      <c r="G5">
        <f>'Calculations 2'!K83</f>
        <v>228282494.64332619</v>
      </c>
      <c r="H5">
        <f>'Calculations 2'!L83</f>
        <v>245100447.55546784</v>
      </c>
      <c r="I5">
        <f>'Calculations 2'!M83</f>
        <v>262731018.99075922</v>
      </c>
      <c r="J5">
        <f>'Calculations 2'!N83</f>
        <v>281174208.96457314</v>
      </c>
      <c r="K5">
        <f>'Calculations 2'!O83</f>
        <v>300430017.47981352</v>
      </c>
      <c r="L5">
        <f>'Calculations 2'!P83</f>
        <v>320498444.51820368</v>
      </c>
      <c r="M5">
        <f>'Calculations 2'!Q83</f>
        <v>341379490.09511638</v>
      </c>
      <c r="N5">
        <f>'Calculations 2'!R83</f>
        <v>363073154.20630807</v>
      </c>
      <c r="O5">
        <f>'Calculations 2'!S83</f>
        <v>385579436.85892642</v>
      </c>
      <c r="P5">
        <f>'Calculations 2'!T83</f>
        <v>408898338.03469473</v>
      </c>
      <c r="Q5">
        <f>'Calculations 2'!U83</f>
        <v>433029857.74898553</v>
      </c>
      <c r="R5">
        <f>'Calculations 2'!V83</f>
        <v>457973996.00470233</v>
      </c>
      <c r="S5">
        <f>'Calculations 2'!W83</f>
        <v>483730752.78118688</v>
      </c>
      <c r="T5">
        <f>'Calculations 2'!X83</f>
        <v>510300128.10307997</v>
      </c>
      <c r="U5">
        <f>'Calculations 2'!Y83</f>
        <v>537682121.95739233</v>
      </c>
      <c r="V5">
        <f>'Calculations 2'!Z83</f>
        <v>565876734.33909655</v>
      </c>
      <c r="W5">
        <f>'Calculations 2'!AA83</f>
        <v>594883965.26170599</v>
      </c>
      <c r="X5">
        <f>'Calculations 2'!AB83</f>
        <v>624703814.71647394</v>
      </c>
      <c r="Y5">
        <f>'Calculations 2'!AC83</f>
        <v>655336282.71266747</v>
      </c>
      <c r="Z5">
        <f>'Calculations 2'!AD83</f>
        <v>686781369.22962844</v>
      </c>
      <c r="AA5">
        <f>'Calculations 2'!AE83</f>
        <v>719039074.28961682</v>
      </c>
      <c r="AB5">
        <f>'Calculations 2'!AF83</f>
        <v>752109397.88890886</v>
      </c>
      <c r="AC5">
        <f>'Calculations 2'!AG83</f>
        <v>785992340.00896871</v>
      </c>
      <c r="AD5">
        <f>'Calculations 2'!AH83</f>
        <v>820687900.67205465</v>
      </c>
      <c r="AE5">
        <f>'Calculations 2'!AI83</f>
        <v>856196079.87206471</v>
      </c>
      <c r="AF5">
        <f>'Calculations 2'!AJ83</f>
        <v>892516877.5973438</v>
      </c>
      <c r="AG5">
        <f>'Calculations 2'!AK83</f>
        <v>929650293.86352944</v>
      </c>
      <c r="AH5">
        <f>'Calculations 2'!AL83</f>
        <v>967596328.66425407</v>
      </c>
      <c r="AI5">
        <f>'Calculations 2'!AM83</f>
        <v>1006354981.9971374</v>
      </c>
      <c r="AJ5">
        <f>'Calculations 2'!AN83</f>
        <v>1045926253.8619171</v>
      </c>
      <c r="AK5">
        <f>'Calculations 2'!AO83</f>
        <v>1086310144.2654798</v>
      </c>
      <c r="AL5">
        <f>'Calculations 2'!AP83</f>
        <v>1127506653.2035832</v>
      </c>
      <c r="AM5">
        <f>'Calculations 2'!AQ83</f>
        <v>1169515780.6738448</v>
      </c>
      <c r="AN5">
        <f>'Calculations 2'!AR83</f>
        <v>1212337526.6760013</v>
      </c>
      <c r="AO5">
        <f>'Calculations 2'!AS83</f>
        <v>1255971891.2217083</v>
      </c>
      <c r="AP5">
        <f>'Calculations 2'!AT83</f>
        <v>1300418874.2905643</v>
      </c>
      <c r="AQ5">
        <f>'Calculations 2'!AU83</f>
        <v>1345678475.8979399</v>
      </c>
      <c r="AR5">
        <f>'Calculations 2'!AV83</f>
        <v>1391750696.0467477</v>
      </c>
      <c r="AS5">
        <f>'Calculations 2'!AW83</f>
        <v>1438635534.7163179</v>
      </c>
      <c r="AT5">
        <f>'Calculations 2'!AX83</f>
        <v>1486332991.9289157</v>
      </c>
      <c r="AU5">
        <f>'Calculations 2'!AY83</f>
        <v>1534843067.6760552</v>
      </c>
      <c r="AV5">
        <f>'Calculations 2'!AZ83</f>
        <v>1584165761.9577334</v>
      </c>
      <c r="AW5">
        <f>'Calculations 2'!BA83</f>
        <v>1634301074.7691875</v>
      </c>
      <c r="AX5">
        <f>'Calculations 2'!BB83</f>
        <v>1685249006.1170437</v>
      </c>
      <c r="AY5">
        <f>'Calculations 2'!BC83</f>
        <v>1737009556.0063224</v>
      </c>
    </row>
    <row r="6" spans="1:51">
      <c r="A6" t="s">
        <v>95</v>
      </c>
      <c r="B6">
        <f>'Calculations 2'!F84</f>
        <v>582120263.96757734</v>
      </c>
      <c r="C6">
        <f>'Calculations 2'!G84</f>
        <v>634977693.07508564</v>
      </c>
      <c r="D6">
        <f>'Calculations 2'!H84</f>
        <v>690465248.95508981</v>
      </c>
      <c r="E6">
        <f>'Calculations 2'!I84</f>
        <v>748582931.67446041</v>
      </c>
      <c r="F6">
        <f>'Calculations 2'!J84</f>
        <v>809330741.14516079</v>
      </c>
      <c r="G6">
        <f>'Calculations 2'!K84</f>
        <v>872708677.40952086</v>
      </c>
      <c r="H6">
        <f>'Calculations 2'!L84</f>
        <v>938716740.51324797</v>
      </c>
      <c r="I6">
        <f>'Calculations 2'!M84</f>
        <v>1007354930.3568776</v>
      </c>
      <c r="J6">
        <f>'Calculations 2'!N84</f>
        <v>1078623247.0161772</v>
      </c>
      <c r="K6">
        <f>'Calculations 2'!O84</f>
        <v>1152521690.504261</v>
      </c>
      <c r="L6">
        <f>'Calculations 2'!P84</f>
        <v>1229050260.7322469</v>
      </c>
      <c r="M6">
        <f>'Calculations 2'!Q84</f>
        <v>1308208957.7759035</v>
      </c>
      <c r="N6">
        <f>'Calculations 2'!R84</f>
        <v>1389997781.6140625</v>
      </c>
      <c r="O6">
        <f>'Calculations 2'!S84</f>
        <v>1474416732.2810063</v>
      </c>
      <c r="P6">
        <f>'Calculations 2'!T84</f>
        <v>1561465809.6878543</v>
      </c>
      <c r="Q6">
        <f>'Calculations 2'!U84</f>
        <v>1651145013.9103711</v>
      </c>
      <c r="R6">
        <f>'Calculations 2'!V84</f>
        <v>1743454344.9616706</v>
      </c>
      <c r="S6">
        <f>'Calculations 2'!W84</f>
        <v>1838393802.7414477</v>
      </c>
      <c r="T6">
        <f>'Calculations 2'!X84</f>
        <v>1935963387.3703289</v>
      </c>
      <c r="U6">
        <f>'Calculations 2'!Y84</f>
        <v>2036163098.7839792</v>
      </c>
      <c r="V6">
        <f>'Calculations 2'!Z84</f>
        <v>2138992936.9586923</v>
      </c>
      <c r="W6">
        <f>'Calculations 2'!AA84</f>
        <v>2244452901.9605036</v>
      </c>
      <c r="X6">
        <f>'Calculations 2'!AB84</f>
        <v>2352542993.7462401</v>
      </c>
      <c r="Y6">
        <f>'Calculations 2'!AC84</f>
        <v>2463263212.3607569</v>
      </c>
      <c r="Z6">
        <f>'Calculations 2'!AD84</f>
        <v>2576613557.7037487</v>
      </c>
      <c r="AA6">
        <f>'Calculations 2'!AE84</f>
        <v>2692594029.8844256</v>
      </c>
      <c r="AB6">
        <f>'Calculations 2'!AF84</f>
        <v>2811204628.883297</v>
      </c>
      <c r="AC6">
        <f>'Calculations 2'!AG84</f>
        <v>2932445354.6106472</v>
      </c>
      <c r="AD6">
        <f>'Calculations 2'!AH84</f>
        <v>3056316207.1756735</v>
      </c>
      <c r="AE6">
        <f>'Calculations 2'!AI84</f>
        <v>3182817186.5474834</v>
      </c>
      <c r="AF6">
        <f>'Calculations 2'!AJ84</f>
        <v>3311948292.6697683</v>
      </c>
      <c r="AG6">
        <f>'Calculations 2'!AK84</f>
        <v>3443709525.6191554</v>
      </c>
      <c r="AH6">
        <f>'Calculations 2'!AL84</f>
        <v>3578100885.3638868</v>
      </c>
      <c r="AI6">
        <f>'Calculations 2'!AM84</f>
        <v>3715122371.8925452</v>
      </c>
      <c r="AJ6">
        <f>'Calculations 2'!AN84</f>
        <v>3854773985.2042766</v>
      </c>
      <c r="AK6">
        <f>'Calculations 2'!AO84</f>
        <v>3997055725.33252</v>
      </c>
      <c r="AL6">
        <f>'Calculations 2'!AP84</f>
        <v>4141967592.2561169</v>
      </c>
      <c r="AM6">
        <f>'Calculations 2'!AQ84</f>
        <v>4289509585.9636359</v>
      </c>
      <c r="AN6">
        <f>'Calculations 2'!AR84</f>
        <v>4439681706.4542227</v>
      </c>
      <c r="AO6">
        <f>'Calculations 2'!AS84</f>
        <v>4592483953.7841892</v>
      </c>
      <c r="AP6">
        <f>'Calculations 2'!AT84</f>
        <v>4747916327.8540516</v>
      </c>
      <c r="AQ6">
        <f>'Calculations 2'!AU84</f>
        <v>4905978828.7395725</v>
      </c>
      <c r="AR6">
        <f>'Calculations 2'!AV84</f>
        <v>5066671456.4539042</v>
      </c>
      <c r="AS6">
        <f>'Calculations 2'!AW84</f>
        <v>5229994210.8966885</v>
      </c>
      <c r="AT6">
        <f>'Calculations 2'!AX84</f>
        <v>5395947092.1771574</v>
      </c>
      <c r="AU6">
        <f>'Calculations 2'!AY84</f>
        <v>5564530100.2529831</v>
      </c>
      <c r="AV6">
        <f>'Calculations 2'!AZ84</f>
        <v>5735743235.1241484</v>
      </c>
      <c r="AW6">
        <f>'Calculations 2'!BA84</f>
        <v>5909586496.7678099</v>
      </c>
      <c r="AX6">
        <f>'Calculations 2'!BB84</f>
        <v>6086059885.216567</v>
      </c>
      <c r="AY6">
        <f>'Calculations 2'!BC84</f>
        <v>6265163400.4940891</v>
      </c>
    </row>
    <row r="7" spans="1:51">
      <c r="A7" t="s">
        <v>96</v>
      </c>
      <c r="B7">
        <f>'Calculations 2'!F85</f>
        <v>675425665.38997018</v>
      </c>
      <c r="C7">
        <f>'Calculations 2'!G85</f>
        <v>738936132.83344042</v>
      </c>
      <c r="D7">
        <f>'Calculations 2'!H85</f>
        <v>805338226.69139254</v>
      </c>
      <c r="E7">
        <f>'Calculations 2'!I85</f>
        <v>874631947.04774177</v>
      </c>
      <c r="F7">
        <f>'Calculations 2'!J85</f>
        <v>946817293.79183686</v>
      </c>
      <c r="G7">
        <f>'Calculations 2'!K85</f>
        <v>1021894266.9771466</v>
      </c>
      <c r="H7">
        <f>'Calculations 2'!L85</f>
        <v>1099862866.6608548</v>
      </c>
      <c r="I7">
        <f>'Calculations 2'!M85</f>
        <v>1180723092.7180119</v>
      </c>
      <c r="J7">
        <f>'Calculations 2'!N85</f>
        <v>1264474945.2440486</v>
      </c>
      <c r="K7">
        <f>'Calculations 2'!O85</f>
        <v>1351118424.255115</v>
      </c>
      <c r="L7">
        <f>'Calculations 2'!P85</f>
        <v>1440653529.6396308</v>
      </c>
      <c r="M7">
        <f>'Calculations 2'!Q85</f>
        <v>1533080261.493026</v>
      </c>
      <c r="N7">
        <f>'Calculations 2'!R85</f>
        <v>1628398619.7885633</v>
      </c>
      <c r="O7">
        <f>'Calculations 2'!S85</f>
        <v>1726608604.5691319</v>
      </c>
      <c r="P7">
        <f>'Calculations 2'!T85</f>
        <v>1827710215.723151</v>
      </c>
      <c r="Q7">
        <f>'Calculations 2'!U85</f>
        <v>1931703453.3460484</v>
      </c>
      <c r="R7">
        <f>'Calculations 2'!V85</f>
        <v>2038588317.453974</v>
      </c>
      <c r="S7">
        <f>'Calculations 2'!W85</f>
        <v>2148364807.9210558</v>
      </c>
      <c r="T7">
        <f>'Calculations 2'!X85</f>
        <v>2261032924.898973</v>
      </c>
      <c r="U7">
        <f>'Calculations 2'!Y85</f>
        <v>2376592668.3065987</v>
      </c>
      <c r="V7">
        <f>'Calculations 2'!Z85</f>
        <v>2495044038.1144023</v>
      </c>
      <c r="W7">
        <f>'Calculations 2'!AA85</f>
        <v>2616387034.4053831</v>
      </c>
      <c r="X7">
        <f>'Calculations 2'!AB85</f>
        <v>2740621657.1251445</v>
      </c>
      <c r="Y7">
        <f>'Calculations 2'!AC85</f>
        <v>2867747906.3299308</v>
      </c>
      <c r="Z7">
        <f>'Calculations 2'!AD85</f>
        <v>2997765781.8938694</v>
      </c>
      <c r="AA7">
        <f>'Calculations 2'!AE85</f>
        <v>3130675283.9543586</v>
      </c>
      <c r="AB7">
        <f>'Calculations 2'!AF85</f>
        <v>3266476412.4865012</v>
      </c>
      <c r="AC7">
        <f>'Calculations 2'!AG85</f>
        <v>3405169167.3778014</v>
      </c>
      <c r="AD7">
        <f>'Calculations 2'!AH85</f>
        <v>3546753548.7656407</v>
      </c>
      <c r="AE7">
        <f>'Calculations 2'!AI85</f>
        <v>3691229556.610858</v>
      </c>
      <c r="AF7">
        <f>'Calculations 2'!AJ85</f>
        <v>3838597190.8428774</v>
      </c>
      <c r="AG7">
        <f>'Calculations 2'!AK85</f>
        <v>3988856451.5580812</v>
      </c>
      <c r="AH7">
        <f>'Calculations 2'!AL85</f>
        <v>4142007338.7163506</v>
      </c>
      <c r="AI7">
        <f>'Calculations 2'!AM85</f>
        <v>4298049852.3034019</v>
      </c>
      <c r="AJ7">
        <f>'Calculations 2'!AN85</f>
        <v>4456983992.3182974</v>
      </c>
      <c r="AK7">
        <f>'Calculations 2'!AO85</f>
        <v>4618809758.8029966</v>
      </c>
      <c r="AL7">
        <f>'Calculations 2'!AP85</f>
        <v>4783527151.7307739</v>
      </c>
      <c r="AM7">
        <f>'Calculations 2'!AQ85</f>
        <v>4951136171.087328</v>
      </c>
      <c r="AN7">
        <f>'Calculations 2'!AR85</f>
        <v>5121636816.8717184</v>
      </c>
      <c r="AO7">
        <f>'Calculations 2'!AS85</f>
        <v>5295029089.1545219</v>
      </c>
      <c r="AP7">
        <f>'Calculations 2'!AT85</f>
        <v>5471312987.8107662</v>
      </c>
      <c r="AQ7">
        <f>'Calculations 2'!AU85</f>
        <v>5650488512.9358768</v>
      </c>
      <c r="AR7">
        <f>'Calculations 2'!AV85</f>
        <v>5832555664.5460501</v>
      </c>
      <c r="AS7">
        <f>'Calculations 2'!AW85</f>
        <v>6017514442.5153475</v>
      </c>
      <c r="AT7">
        <f>'Calculations 2'!AX85</f>
        <v>6205364846.9811945</v>
      </c>
      <c r="AU7">
        <f>'Calculations 2'!AY85</f>
        <v>6396106877.8901253</v>
      </c>
      <c r="AV7">
        <f>'Calculations 2'!AZ85</f>
        <v>6589740535.242116</v>
      </c>
      <c r="AW7">
        <f>'Calculations 2'!BA85</f>
        <v>6786265819.0085878</v>
      </c>
      <c r="AX7">
        <f>'Calculations 2'!BB85</f>
        <v>6985682729.2305813</v>
      </c>
      <c r="AY7">
        <f>'Calculations 2'!BC85</f>
        <v>7187991265.9375801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51C7805F896F47A4F48569C73A0799" ma:contentTypeVersion="4" ma:contentTypeDescription="Create a new document." ma:contentTypeScope="" ma:versionID="7abd873f26c83d98889b6bc5171c7cdd">
  <xsd:schema xmlns:xsd="http://www.w3.org/2001/XMLSchema" xmlns:xs="http://www.w3.org/2001/XMLSchema" xmlns:p="http://schemas.microsoft.com/office/2006/metadata/properties" xmlns:ns2="f3083de3-5d4e-49f2-a3cd-0aeb079e6739" targetNamespace="http://schemas.microsoft.com/office/2006/metadata/properties" ma:root="true" ma:fieldsID="295384f30983e71c631053ca9b14fb23" ns2:_="">
    <xsd:import namespace="f3083de3-5d4e-49f2-a3cd-0aeb079e67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083de3-5d4e-49f2-a3cd-0aeb079e67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BD3CCBA-FF6F-4BC7-B215-7E4BA3E87DD0}"/>
</file>

<file path=customXml/itemProps2.xml><?xml version="1.0" encoding="utf-8"?>
<ds:datastoreItem xmlns:ds="http://schemas.openxmlformats.org/officeDocument/2006/customXml" ds:itemID="{7A5758CE-CD1E-4E9D-B261-556F7AA32E53}"/>
</file>

<file path=customXml/itemProps3.xml><?xml version="1.0" encoding="utf-8"?>
<ds:datastoreItem xmlns:ds="http://schemas.openxmlformats.org/officeDocument/2006/customXml" ds:itemID="{DF09E4AB-4AD4-414B-B8D5-91D7A8D16C6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Kevin Jarzomski</dc:creator>
  <cp:keywords/>
  <dc:description/>
  <cp:lastModifiedBy>Richa Richa</cp:lastModifiedBy>
  <cp:revision/>
  <dcterms:created xsi:type="dcterms:W3CDTF">2015-06-22T19:19:55Z</dcterms:created>
  <dcterms:modified xsi:type="dcterms:W3CDTF">2024-10-04T06:49:57Z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0x010100A251C7805F896F47A4F48569C73A0799</vt:lpwstr>
  </property>
</Properties>
</file>