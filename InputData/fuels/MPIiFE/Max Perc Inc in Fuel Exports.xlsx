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1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Fuels updated files/"/>
    </mc:Choice>
  </mc:AlternateContent>
  <xr:revisionPtr revIDLastSave="36" documentId="11_BAE6435658E4090588FFFCC1881613E063D12F96" xr6:coauthVersionLast="47" xr6:coauthVersionMax="47" xr10:uidLastSave="{2B3015BE-67B3-4BEA-8FBF-69ACD53EB78A}"/>
  <bookViews>
    <workbookView xWindow="-110" yWindow="-110" windowWidth="19420" windowHeight="10420" activeTab="1" xr2:uid="{00000000-000D-0000-FFFF-FFFF00000000}"/>
  </bookViews>
  <sheets>
    <sheet name="About" sheetId="1" r:id="rId1"/>
    <sheet name="India trends" sheetId="3" r:id="rId2"/>
    <sheet name="MPIiF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" l="1"/>
  <c r="F39" i="3"/>
  <c r="E39" i="3"/>
  <c r="C39" i="3"/>
  <c r="G38" i="3"/>
  <c r="F38" i="3"/>
  <c r="C38" i="3"/>
  <c r="H37" i="3"/>
  <c r="E37" i="3"/>
  <c r="E38" i="3" s="1"/>
  <c r="H36" i="3"/>
  <c r="E36" i="3"/>
  <c r="H35" i="3"/>
  <c r="E35" i="3"/>
  <c r="H34" i="3"/>
  <c r="E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M20" i="3"/>
  <c r="L20" i="3"/>
  <c r="I20" i="3"/>
  <c r="G20" i="3"/>
  <c r="D20" i="3"/>
  <c r="C20" i="3"/>
  <c r="M19" i="3"/>
  <c r="L19" i="3"/>
  <c r="K19" i="3"/>
  <c r="I19" i="3"/>
  <c r="C19" i="3"/>
  <c r="N18" i="3"/>
  <c r="N20" i="3" s="1"/>
  <c r="K18" i="3"/>
  <c r="K20" i="3" s="1"/>
  <c r="H18" i="3"/>
  <c r="E18" i="3"/>
  <c r="E20" i="3" s="1"/>
  <c r="N17" i="3"/>
  <c r="K17" i="3"/>
  <c r="H17" i="3"/>
  <c r="E17" i="3"/>
  <c r="N16" i="3"/>
  <c r="K16" i="3"/>
  <c r="H16" i="3"/>
  <c r="E16" i="3"/>
  <c r="N15" i="3"/>
  <c r="K15" i="3"/>
  <c r="H15" i="3"/>
  <c r="E15" i="3"/>
  <c r="N14" i="3"/>
  <c r="K14" i="3"/>
  <c r="H14" i="3"/>
  <c r="E14" i="3"/>
  <c r="N13" i="3"/>
  <c r="K13" i="3"/>
  <c r="H13" i="3"/>
  <c r="E13" i="3"/>
  <c r="N12" i="3"/>
  <c r="K12" i="3"/>
  <c r="H12" i="3"/>
  <c r="E12" i="3"/>
  <c r="N11" i="3"/>
  <c r="K11" i="3"/>
  <c r="H11" i="3"/>
  <c r="E11" i="3"/>
  <c r="N10" i="3"/>
  <c r="K10" i="3"/>
  <c r="H10" i="3"/>
  <c r="E10" i="3"/>
  <c r="N9" i="3"/>
  <c r="K9" i="3"/>
  <c r="H9" i="3"/>
  <c r="E9" i="3"/>
  <c r="N8" i="3"/>
  <c r="K8" i="3"/>
  <c r="H8" i="3"/>
  <c r="E8" i="3"/>
  <c r="E19" i="3" l="1"/>
</calcChain>
</file>

<file path=xl/sharedStrings.xml><?xml version="1.0" encoding="utf-8"?>
<sst xmlns="http://schemas.openxmlformats.org/spreadsheetml/2006/main" count="147" uniqueCount="100">
  <si>
    <t>MPIiFE Maximum Percentage Increase in Fuel Exports</t>
  </si>
  <si>
    <t>Source:</t>
  </si>
  <si>
    <t>Ministry of Statistics and Programme Implementation</t>
  </si>
  <si>
    <t>Energy Statistics 2023</t>
  </si>
  <si>
    <t>https://www.mospi.gov.in/publication/energy-statistics-india-2023</t>
  </si>
  <si>
    <t>Table 4.1; Page 42</t>
  </si>
  <si>
    <t>Notes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</si>
  <si>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</si>
  <si>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</si>
  <si>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</si>
  <si>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</si>
  <si>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Alternatively, it may represent a legislative cap on exports.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</si>
  <si>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</si>
  <si>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</si>
  <si>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Calibri"/>
        <family val="2"/>
        <scheme val="minor"/>
      </rPr>
      <t>fuels/PoFDCtAE</t>
    </r>
    <r>
      <rPr>
        <sz val="11"/>
        <color theme="1"/>
        <rFont val="Calibri"/>
        <family val="2"/>
        <scheme val="minor"/>
      </rPr>
      <t>.</t>
    </r>
  </si>
  <si>
    <t>For the U.S., we do not wish to impose a cap (we limit</t>
  </si>
  <si>
    <t>changes in exports using fuels/PoFDCtAE), so we pick</t>
  </si>
  <si>
    <t>an arbitrarily high percentage.</t>
  </si>
  <si>
    <t>For India, in the historic trends from 2011-12 to 2021-22,</t>
  </si>
  <si>
    <t xml:space="preserve">there is a net positive CAGR in exports for petroleum products </t>
  </si>
  <si>
    <t xml:space="preserve">and electricity. In case of petroleum products, this is because </t>
  </si>
  <si>
    <t xml:space="preserve">of value addition to imported crude oil. </t>
  </si>
  <si>
    <t xml:space="preserve">In the case of coal, there is a net negative CAGR in the same </t>
  </si>
  <si>
    <t>period. Coal supplies for thermal power plants have been a cause for</t>
  </si>
  <si>
    <t xml:space="preserve">concern in the recent years, with decline in plant performance due </t>
  </si>
  <si>
    <t xml:space="preserve">to shortage of coal. Imports have been on rise, with not much increase in </t>
  </si>
  <si>
    <t xml:space="preserve">domestic coal production. Hence, it is not considered feasible for exports </t>
  </si>
  <si>
    <t>to grow significantly in the sector. There are no natural gas and crude oil exports</t>
  </si>
  <si>
    <t xml:space="preserve">due to domestic shortages. MoPnG has communicated  </t>
  </si>
  <si>
    <t>the presence of a roadmap to reduce oil import dependence.</t>
  </si>
  <si>
    <t xml:space="preserve">Various policy announcements to reduce fuel import dependence and </t>
  </si>
  <si>
    <t xml:space="preserve">boost domestic production (e.g. Make in India), along with exemption of </t>
  </si>
  <si>
    <t xml:space="preserve">taxes on export of fuels imply a focus towards increasing exports in the </t>
  </si>
  <si>
    <t xml:space="preserve">medium to long-term. Based on recent trends, growth in exports is still </t>
  </si>
  <si>
    <t xml:space="preserve">building slowly in the sectors with a net positive CAGR in the past decade. </t>
  </si>
  <si>
    <t>Hence, it is not relevant/necessary to impose a cap on fuel exports</t>
  </si>
  <si>
    <t>in India and we pick an arbitrarily high percentage.</t>
  </si>
  <si>
    <t xml:space="preserve">Table 4.1: Yearwise Foreign Trade in Coal, Crude Oil,  Petroleum Products(total), Natural Gas and Electricity </t>
  </si>
  <si>
    <t xml:space="preserve">                                            (Million Tonnes)</t>
  </si>
  <si>
    <t>Year</t>
  </si>
  <si>
    <t>Coal</t>
  </si>
  <si>
    <t>Lignite</t>
  </si>
  <si>
    <t>Crude Oil</t>
  </si>
  <si>
    <t>Petroleum Products</t>
  </si>
  <si>
    <t>Gross</t>
  </si>
  <si>
    <t>Exports</t>
  </si>
  <si>
    <t>Net</t>
  </si>
  <si>
    <t>Imports</t>
  </si>
  <si>
    <t>4=(2)-(3)</t>
  </si>
  <si>
    <t>7=(5)-(6)</t>
  </si>
  <si>
    <t>10=(8)-(9)</t>
  </si>
  <si>
    <t>13=(11)-(12)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</si>
  <si>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</si>
  <si>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</si>
  <si>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</si>
  <si>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</si>
  <si>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</si>
  <si>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</si>
  <si>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</si>
  <si>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2018-19 </t>
  </si>
  <si>
    <t xml:space="preserve">2019-20 </t>
  </si>
  <si>
    <t xml:space="preserve">2020-21 </t>
  </si>
  <si>
    <t>2021-22 (P)</t>
  </si>
  <si>
    <t>Growth rate of 2021-22 over 2020-21(%)</t>
  </si>
  <si>
    <t>-</t>
  </si>
  <si>
    <t>CAGR 2012-13 to 2021-22   (%)</t>
  </si>
  <si>
    <t xml:space="preserve">Table 4.1 (Contd): Yearwise Foreign Trade in Coal, Crude Oil,  Petroleum Products, Natural Gas and Electricity 
</t>
  </si>
  <si>
    <t>Natural Gas (BCM)</t>
  </si>
  <si>
    <t>Electricity(Gwh)</t>
  </si>
  <si>
    <t>Gross Imports</t>
  </si>
  <si>
    <t>Net Imports</t>
  </si>
  <si>
    <t>2020-21</t>
  </si>
  <si>
    <t>(P): Provisional.</t>
  </si>
  <si>
    <t xml:space="preserve">Sources: </t>
  </si>
  <si>
    <t xml:space="preserve">1.  Office of Coal Controller, Ministry of Coal, </t>
  </si>
  <si>
    <t>2.  Ministry of Petroleum &amp; Natural Gas.</t>
  </si>
  <si>
    <t>3.  Central Electricity Authority</t>
  </si>
  <si>
    <t>Source: Energy Statistics 2023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</si>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</sst>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_);_(* \(#,##0\);_(* &quot;-&quot;??_);_(@_)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8"/>
      <color indexed="8"/>
      <name val="Times New Roman"/>
      <family val="1"/>
    </font>
    <font>
      <sz val="10"/>
      <color theme="1"/>
      <name val="Calibri"/>
      <family val="2"/>
      <scheme val="minor"/>
    </font>
    <font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i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2" fontId="6" fillId="4" borderId="14" xfId="1" applyNumberFormat="1" applyFont="1" applyFill="1" applyBorder="1" applyAlignment="1"/>
    <xf numFmtId="2" fontId="6" fillId="4" borderId="14" xfId="1" applyNumberFormat="1" applyFont="1" applyFill="1" applyBorder="1" applyAlignment="1">
      <alignment horizontal="center"/>
    </xf>
    <xf numFmtId="2" fontId="6" fillId="4" borderId="12" xfId="1" applyNumberFormat="1" applyFont="1" applyFill="1" applyBorder="1" applyAlignment="1">
      <alignment horizontal="center"/>
    </xf>
    <xf numFmtId="2" fontId="6" fillId="4" borderId="14" xfId="0" applyNumberFormat="1" applyFont="1" applyFill="1" applyBorder="1"/>
    <xf numFmtId="2" fontId="6" fillId="4" borderId="12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left" vertical="center" wrapText="1"/>
    </xf>
    <xf numFmtId="2" fontId="4" fillId="4" borderId="15" xfId="1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2" fontId="3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5" borderId="0" xfId="0" applyFont="1" applyFill="1" applyAlignment="1">
      <alignment vertical="center" wrapText="1"/>
    </xf>
    <xf numFmtId="1" fontId="9" fillId="5" borderId="0" xfId="0" applyNumberFormat="1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/>
    </xf>
    <xf numFmtId="1" fontId="0" fillId="0" borderId="0" xfId="0" applyNumberFormat="1"/>
    <xf numFmtId="2" fontId="4" fillId="4" borderId="13" xfId="1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/>
    </xf>
    <xf numFmtId="0" fontId="0" fillId="3" borderId="0" xfId="0" applyFill="1"/>
    <xf numFmtId="165" fontId="11" fillId="3" borderId="0" xfId="1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11" fillId="3" borderId="12" xfId="0" applyFont="1" applyFill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3" fillId="3" borderId="10" xfId="0" applyFont="1" applyFill="1" applyBorder="1"/>
    <xf numFmtId="0" fontId="0" fillId="3" borderId="12" xfId="0" applyFill="1" applyBorder="1"/>
    <xf numFmtId="0" fontId="6" fillId="3" borderId="0" xfId="0" applyFont="1" applyFill="1" applyAlignment="1">
      <alignment horizontal="left"/>
    </xf>
    <xf numFmtId="0" fontId="12" fillId="3" borderId="4" xfId="0" applyFont="1" applyFill="1" applyBorder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0" fontId="10" fillId="0" borderId="0" xfId="0" applyFont="1"/>
    <xf numFmtId="0" fontId="1" fillId="6" borderId="0" xfId="0" applyFont="1" applyFill="1"/>
    <xf numFmtId="0" fontId="0" fillId="0" borderId="0" xfId="0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4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spi.gov.in/publication/energy-statistics-india-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11" workbookViewId="0">
      <selection activeCell="F4" sqref="F4"/>
    </sheetView>
  </sheetViews>
  <sheetFormatPr defaultRowHeight="14.45"/>
  <sheetData>
    <row r="1" spans="1:7">
      <c r="A1" s="1" t="s">
        <v>0</v>
      </c>
    </row>
    <row r="3" spans="1:7">
      <c r="A3" s="1" t="s">
        <v>1</v>
      </c>
      <c r="B3" s="55" t="s">
        <v>2</v>
      </c>
      <c r="C3" s="55"/>
      <c r="D3" s="55"/>
      <c r="E3" s="55"/>
      <c r="F3" s="55"/>
      <c r="G3" s="55"/>
    </row>
    <row r="4" spans="1:7">
      <c r="B4" s="56">
        <v>2023</v>
      </c>
    </row>
    <row r="5" spans="1:7">
      <c r="B5" t="s">
        <v>3</v>
      </c>
    </row>
    <row r="6" spans="1:7">
      <c r="B6" t="s">
        <v>4</v>
      </c>
    </row>
    <row r="7" spans="1:7">
      <c r="B7" t="s">
        <v>5</v>
      </c>
    </row>
    <row r="9" spans="1:7">
      <c r="A9" s="1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42D0-4141-4ABB-998E-87F3C4B0CD72}">
  <dimension ref="A2:N49"/>
  <sheetViews>
    <sheetView tabSelected="1" topLeftCell="A22" workbookViewId="0">
      <selection activeCell="A48" sqref="A48"/>
    </sheetView>
  </sheetViews>
  <sheetFormatPr defaultRowHeight="14.45"/>
  <cols>
    <col min="2" max="2" width="11.7109375" customWidth="1"/>
  </cols>
  <sheetData>
    <row r="2" spans="2:14" ht="15">
      <c r="B2" s="67" t="s">
        <v>37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</row>
    <row r="3" spans="2:14">
      <c r="B3" s="70" t="s">
        <v>38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</row>
    <row r="4" spans="2:14">
      <c r="B4" s="6" t="s">
        <v>39</v>
      </c>
      <c r="C4" s="73" t="s">
        <v>40</v>
      </c>
      <c r="D4" s="74"/>
      <c r="E4" s="75"/>
      <c r="F4" s="73" t="s">
        <v>41</v>
      </c>
      <c r="G4" s="74"/>
      <c r="H4" s="75"/>
      <c r="I4" s="76" t="s">
        <v>42</v>
      </c>
      <c r="J4" s="77"/>
      <c r="K4" s="78"/>
      <c r="L4" s="76" t="s">
        <v>43</v>
      </c>
      <c r="M4" s="77"/>
      <c r="N4" s="78"/>
    </row>
    <row r="5" spans="2:14">
      <c r="B5" s="9"/>
      <c r="C5" s="6" t="s">
        <v>44</v>
      </c>
      <c r="D5" s="10" t="s">
        <v>45</v>
      </c>
      <c r="E5" s="11" t="s">
        <v>46</v>
      </c>
      <c r="F5" s="6" t="s">
        <v>44</v>
      </c>
      <c r="G5" s="10" t="s">
        <v>45</v>
      </c>
      <c r="H5" s="11" t="s">
        <v>46</v>
      </c>
      <c r="I5" s="7" t="s">
        <v>44</v>
      </c>
      <c r="J5" s="10" t="s">
        <v>45</v>
      </c>
      <c r="K5" s="10" t="s">
        <v>46</v>
      </c>
      <c r="L5" s="7" t="s">
        <v>44</v>
      </c>
      <c r="M5" s="10" t="s">
        <v>45</v>
      </c>
      <c r="N5" s="12" t="s">
        <v>46</v>
      </c>
    </row>
    <row r="6" spans="2:14">
      <c r="B6" s="9"/>
      <c r="C6" s="9" t="s">
        <v>47</v>
      </c>
      <c r="D6" s="13"/>
      <c r="E6" s="11" t="s">
        <v>47</v>
      </c>
      <c r="F6" s="9" t="s">
        <v>47</v>
      </c>
      <c r="G6" s="13"/>
      <c r="H6" s="11" t="s">
        <v>47</v>
      </c>
      <c r="I6" s="14" t="s">
        <v>47</v>
      </c>
      <c r="J6" s="15"/>
      <c r="K6" s="15" t="s">
        <v>47</v>
      </c>
      <c r="L6" s="16" t="s">
        <v>47</v>
      </c>
      <c r="M6" s="13"/>
      <c r="N6" s="17" t="s">
        <v>47</v>
      </c>
    </row>
    <row r="7" spans="2:14">
      <c r="B7" s="18">
        <v>1</v>
      </c>
      <c r="C7" s="18">
        <v>2</v>
      </c>
      <c r="D7" s="19">
        <v>3</v>
      </c>
      <c r="E7" s="8" t="s">
        <v>48</v>
      </c>
      <c r="F7" s="19">
        <v>5</v>
      </c>
      <c r="G7" s="19">
        <v>6</v>
      </c>
      <c r="H7" s="20" t="s">
        <v>49</v>
      </c>
      <c r="I7" s="20">
        <v>8</v>
      </c>
      <c r="J7" s="20">
        <v>9</v>
      </c>
      <c r="K7" s="21" t="s">
        <v>50</v>
      </c>
      <c r="L7" s="20">
        <v>11</v>
      </c>
      <c r="M7" s="20">
        <v>12</v>
      </c>
      <c r="N7" s="22" t="s">
        <v>51</v>
      </c>
    </row>
    <row r="8" spans="2:14">
      <c r="B8" s="23" t="s">
        <v>52</v>
      </c>
      <c r="C8" s="23">
        <v>102.85262600000003</v>
      </c>
      <c r="D8" s="23">
        <v>2.0146999999999995</v>
      </c>
      <c r="E8" s="23">
        <f>C8-D8</f>
        <v>100.83792600000002</v>
      </c>
      <c r="F8" s="23">
        <v>2.0000000000000002E-5</v>
      </c>
      <c r="G8" s="23">
        <v>0</v>
      </c>
      <c r="H8" s="23">
        <f>F8-G8</f>
        <v>2.0000000000000002E-5</v>
      </c>
      <c r="I8" s="23">
        <v>171.729154097221</v>
      </c>
      <c r="J8" s="23">
        <v>0</v>
      </c>
      <c r="K8" s="23">
        <f t="shared" ref="K8:K18" si="0">I8-J8</f>
        <v>171.729154097221</v>
      </c>
      <c r="L8" s="23">
        <v>15.849370446253001</v>
      </c>
      <c r="M8" s="23">
        <v>60.837340519999998</v>
      </c>
      <c r="N8" s="23">
        <f t="shared" ref="N8:N18" si="1">L8-M8</f>
        <v>-44.987970073746993</v>
      </c>
    </row>
    <row r="9" spans="2:14">
      <c r="B9" s="23" t="s">
        <v>53</v>
      </c>
      <c r="C9" s="24">
        <v>145.78544500000001</v>
      </c>
      <c r="D9" s="24">
        <v>2.4429620000000001</v>
      </c>
      <c r="E9" s="24">
        <f t="shared" ref="E9:E18" si="2">C9-D9</f>
        <v>143.34248300000002</v>
      </c>
      <c r="F9" s="24">
        <v>5.5000000000000003E-4</v>
      </c>
      <c r="G9" s="24">
        <v>6.9059999999999996E-2</v>
      </c>
      <c r="H9" s="24">
        <f t="shared" ref="H9:H18" si="3">F9-G9</f>
        <v>-6.8510000000000001E-2</v>
      </c>
      <c r="I9" s="24">
        <v>184.79524788937999</v>
      </c>
      <c r="J9" s="24">
        <v>0</v>
      </c>
      <c r="K9" s="24">
        <f t="shared" si="0"/>
        <v>184.79524788937999</v>
      </c>
      <c r="L9" s="24">
        <v>16.354119653000001</v>
      </c>
      <c r="M9" s="24">
        <v>63.407761975930008</v>
      </c>
      <c r="N9" s="24">
        <f t="shared" si="1"/>
        <v>-47.053642322930003</v>
      </c>
    </row>
    <row r="10" spans="2:14">
      <c r="B10" s="23" t="s">
        <v>54</v>
      </c>
      <c r="C10" s="24">
        <v>166.85702300000003</v>
      </c>
      <c r="D10" s="24">
        <v>2.1880830000000002</v>
      </c>
      <c r="E10" s="24">
        <f t="shared" si="2"/>
        <v>164.66894000000002</v>
      </c>
      <c r="F10" s="24">
        <v>1.2700000000000001E-3</v>
      </c>
      <c r="G10" s="24">
        <v>1.9400000000000001E-3</v>
      </c>
      <c r="H10" s="24">
        <f t="shared" si="3"/>
        <v>-6.7000000000000002E-4</v>
      </c>
      <c r="I10" s="24">
        <v>189.23820178337502</v>
      </c>
      <c r="J10" s="24">
        <v>0</v>
      </c>
      <c r="K10" s="24">
        <f t="shared" si="0"/>
        <v>189.23820178337502</v>
      </c>
      <c r="L10" s="24">
        <v>16.697004688</v>
      </c>
      <c r="M10" s="24">
        <v>67.864014699800009</v>
      </c>
      <c r="N10" s="24">
        <f t="shared" si="1"/>
        <v>-51.167010011800009</v>
      </c>
    </row>
    <row r="11" spans="2:14">
      <c r="B11" s="23" t="s">
        <v>55</v>
      </c>
      <c r="C11" s="24">
        <v>217.78279499999999</v>
      </c>
      <c r="D11" s="24">
        <v>1.238375</v>
      </c>
      <c r="E11" s="24">
        <f t="shared" si="2"/>
        <v>216.54442</v>
      </c>
      <c r="F11" s="24">
        <v>6.4000000000000005E-4</v>
      </c>
      <c r="G11" s="24">
        <v>2.8500000000000001E-3</v>
      </c>
      <c r="H11" s="24">
        <f t="shared" si="3"/>
        <v>-2.2100000000000002E-3</v>
      </c>
      <c r="I11" s="24">
        <v>189.43485654402394</v>
      </c>
      <c r="J11" s="24">
        <v>0</v>
      </c>
      <c r="K11" s="24">
        <f t="shared" si="0"/>
        <v>189.43485654402394</v>
      </c>
      <c r="L11" s="24">
        <v>21.301161557</v>
      </c>
      <c r="M11" s="24">
        <v>63.931857026299994</v>
      </c>
      <c r="N11" s="24">
        <f t="shared" si="1"/>
        <v>-42.630695469299994</v>
      </c>
    </row>
    <row r="12" spans="2:14">
      <c r="B12" s="23" t="s">
        <v>56</v>
      </c>
      <c r="C12" s="24">
        <v>203.94926100000001</v>
      </c>
      <c r="D12" s="24">
        <v>1.575186</v>
      </c>
      <c r="E12" s="24">
        <f t="shared" si="2"/>
        <v>202.374075</v>
      </c>
      <c r="F12" s="24">
        <v>1.0499999999999999E-3</v>
      </c>
      <c r="G12" s="24">
        <v>5.1000000000000004E-4</v>
      </c>
      <c r="H12" s="24">
        <f t="shared" si="3"/>
        <v>5.399999999999999E-4</v>
      </c>
      <c r="I12" s="24">
        <v>202.85049173136341</v>
      </c>
      <c r="J12" s="24">
        <v>0</v>
      </c>
      <c r="K12" s="24">
        <f t="shared" si="0"/>
        <v>202.85049173136341</v>
      </c>
      <c r="L12" s="24">
        <v>29.455754196099996</v>
      </c>
      <c r="M12" s="24">
        <v>60.538562213000006</v>
      </c>
      <c r="N12" s="24">
        <f t="shared" si="1"/>
        <v>-31.08280801690001</v>
      </c>
    </row>
    <row r="13" spans="2:14">
      <c r="B13" s="23" t="s">
        <v>57</v>
      </c>
      <c r="C13" s="24">
        <v>190.95304599999997</v>
      </c>
      <c r="D13" s="24">
        <v>1.7726470000000003</v>
      </c>
      <c r="E13" s="24">
        <f t="shared" si="2"/>
        <v>189.18039899999997</v>
      </c>
      <c r="F13" s="24">
        <v>1.9120000000000002E-2</v>
      </c>
      <c r="G13" s="24">
        <v>5.3800000000000002E-3</v>
      </c>
      <c r="H13" s="24">
        <f t="shared" si="3"/>
        <v>1.3740000000000002E-2</v>
      </c>
      <c r="I13" s="24">
        <v>213.93202953023484</v>
      </c>
      <c r="J13" s="24">
        <v>0</v>
      </c>
      <c r="K13" s="24">
        <f t="shared" si="0"/>
        <v>213.93202953023484</v>
      </c>
      <c r="L13" s="24">
        <v>36.287331375000001</v>
      </c>
      <c r="M13" s="24">
        <v>65.51346949068099</v>
      </c>
      <c r="N13" s="24">
        <f t="shared" si="1"/>
        <v>-29.226138115680989</v>
      </c>
    </row>
    <row r="14" spans="2:14">
      <c r="B14" s="23" t="s">
        <v>58</v>
      </c>
      <c r="C14" s="25">
        <v>208.24867299999997</v>
      </c>
      <c r="D14" s="25">
        <v>1.5036539999999996</v>
      </c>
      <c r="E14" s="25">
        <f t="shared" si="2"/>
        <v>206.74501899999996</v>
      </c>
      <c r="F14" s="25">
        <v>1.0410000000000001E-2</v>
      </c>
      <c r="G14" s="25">
        <v>4.4099999999999999E-3</v>
      </c>
      <c r="H14" s="25">
        <f t="shared" si="3"/>
        <v>6.000000000000001E-3</v>
      </c>
      <c r="I14" s="25">
        <v>220.43279203083119</v>
      </c>
      <c r="J14" s="25">
        <v>0</v>
      </c>
      <c r="K14" s="25">
        <f t="shared" si="0"/>
        <v>220.43279203083119</v>
      </c>
      <c r="L14" s="25">
        <v>35.460834880927038</v>
      </c>
      <c r="M14" s="25">
        <v>66.832729412250004</v>
      </c>
      <c r="N14" s="25">
        <f t="shared" si="1"/>
        <v>-31.371894531322965</v>
      </c>
    </row>
    <row r="15" spans="2:14">
      <c r="B15" s="26" t="s">
        <v>59</v>
      </c>
      <c r="C15" s="27">
        <v>235.34801299999992</v>
      </c>
      <c r="D15" s="27">
        <v>1.3063739999999995</v>
      </c>
      <c r="E15" s="27">
        <f t="shared" si="2"/>
        <v>234.04163899999992</v>
      </c>
      <c r="F15" s="27">
        <v>1.9369999999999998E-2</v>
      </c>
      <c r="G15" s="27">
        <v>7.8939999999999996E-2</v>
      </c>
      <c r="H15" s="27">
        <f t="shared" si="3"/>
        <v>-5.9569999999999998E-2</v>
      </c>
      <c r="I15" s="27">
        <v>226.49761635146419</v>
      </c>
      <c r="J15" s="27">
        <v>0</v>
      </c>
      <c r="K15" s="27">
        <f t="shared" si="0"/>
        <v>226.49761635146419</v>
      </c>
      <c r="L15" s="27">
        <v>33.348324303199995</v>
      </c>
      <c r="M15" s="27">
        <v>61.095732773732657</v>
      </c>
      <c r="N15" s="27">
        <f t="shared" si="1"/>
        <v>-27.747408470532662</v>
      </c>
    </row>
    <row r="16" spans="2:14">
      <c r="B16" s="26" t="s">
        <v>60</v>
      </c>
      <c r="C16" s="27">
        <v>248.53658099999998</v>
      </c>
      <c r="D16" s="27">
        <v>1.0297700000000001</v>
      </c>
      <c r="E16" s="27">
        <f t="shared" si="2"/>
        <v>247.50681099999997</v>
      </c>
      <c r="F16" s="27">
        <v>5.425E-2</v>
      </c>
      <c r="G16" s="27">
        <v>9.2660000000000006E-2</v>
      </c>
      <c r="H16" s="27">
        <f t="shared" si="3"/>
        <v>-3.8410000000000007E-2</v>
      </c>
      <c r="I16" s="27">
        <v>226.95466551568416</v>
      </c>
      <c r="J16" s="27">
        <v>0</v>
      </c>
      <c r="K16" s="27">
        <f t="shared" si="0"/>
        <v>226.95466551568416</v>
      </c>
      <c r="L16" s="27">
        <v>43.787610787399998</v>
      </c>
      <c r="M16" s="27">
        <v>65.685236175397193</v>
      </c>
      <c r="N16" s="27">
        <f t="shared" si="1"/>
        <v>-21.897625387997195</v>
      </c>
    </row>
    <row r="17" spans="2:14">
      <c r="B17" s="26" t="s">
        <v>61</v>
      </c>
      <c r="C17" s="27">
        <v>215.25111500000006</v>
      </c>
      <c r="D17" s="27">
        <v>2.9451880000000008</v>
      </c>
      <c r="E17" s="27">
        <f t="shared" si="2"/>
        <v>212.30592700000005</v>
      </c>
      <c r="F17" s="27">
        <v>1.8859999999999998E-2</v>
      </c>
      <c r="G17" s="27">
        <v>0.18739</v>
      </c>
      <c r="H17" s="27">
        <f t="shared" si="3"/>
        <v>-0.16853000000000001</v>
      </c>
      <c r="I17" s="27">
        <v>196.46086094549045</v>
      </c>
      <c r="J17" s="27">
        <v>0</v>
      </c>
      <c r="K17" s="27">
        <f t="shared" si="0"/>
        <v>196.46086094549045</v>
      </c>
      <c r="L17" s="27">
        <v>43.247663142000007</v>
      </c>
      <c r="M17" s="27">
        <v>56.768700356004253</v>
      </c>
      <c r="N17" s="27">
        <f t="shared" si="1"/>
        <v>-13.521037214004245</v>
      </c>
    </row>
    <row r="18" spans="2:14">
      <c r="B18" s="26" t="s">
        <v>62</v>
      </c>
      <c r="C18" s="27">
        <v>208.934</v>
      </c>
      <c r="D18" s="27">
        <v>1.169</v>
      </c>
      <c r="E18" s="27">
        <f t="shared" si="2"/>
        <v>207.76499999999999</v>
      </c>
      <c r="F18" s="27">
        <v>6.7699999999999996E-2</v>
      </c>
      <c r="G18" s="27">
        <v>1.7600000000000001E-2</v>
      </c>
      <c r="H18" s="27">
        <f t="shared" si="3"/>
        <v>5.0099999999999992E-2</v>
      </c>
      <c r="I18" s="27">
        <v>211.97987243623956</v>
      </c>
      <c r="J18" s="27">
        <v>0</v>
      </c>
      <c r="K18" s="27">
        <f t="shared" si="0"/>
        <v>211.97987243623956</v>
      </c>
      <c r="L18" s="27">
        <v>42.061691697999997</v>
      </c>
      <c r="M18" s="27">
        <v>62.712741283085158</v>
      </c>
      <c r="N18" s="27">
        <f t="shared" si="1"/>
        <v>-20.651049585085161</v>
      </c>
    </row>
    <row r="19" spans="2:14" ht="51.95">
      <c r="B19" s="28" t="s">
        <v>63</v>
      </c>
      <c r="C19" s="29">
        <f>+(C18-C17)/C17*100</f>
        <v>-2.9347652856525537</v>
      </c>
      <c r="D19" s="29" t="s">
        <v>64</v>
      </c>
      <c r="E19" s="29">
        <f t="shared" ref="E19:I19" si="4">+(E18-E17)/E17*100</f>
        <v>-2.1388602118489453</v>
      </c>
      <c r="F19" s="29" t="s">
        <v>64</v>
      </c>
      <c r="G19" s="29" t="s">
        <v>64</v>
      </c>
      <c r="H19" s="29" t="s">
        <v>64</v>
      </c>
      <c r="I19" s="29">
        <f t="shared" si="4"/>
        <v>7.8992891592055958</v>
      </c>
      <c r="J19" s="29" t="s">
        <v>64</v>
      </c>
      <c r="K19" s="29">
        <f t="shared" ref="K19:M19" si="5">+(K18-K17)/K17*100</f>
        <v>7.8992891592055958</v>
      </c>
      <c r="L19" s="29">
        <f t="shared" si="5"/>
        <v>-2.7422786755112631</v>
      </c>
      <c r="M19" s="29">
        <f t="shared" si="5"/>
        <v>10.470630628858887</v>
      </c>
      <c r="N19" s="29" t="s">
        <v>64</v>
      </c>
    </row>
    <row r="20" spans="2:14" ht="39">
      <c r="B20" s="28" t="s">
        <v>65</v>
      </c>
      <c r="C20" s="29">
        <f>((C18/C9)^(1/9)-1)*100</f>
        <v>4.0797177425300424</v>
      </c>
      <c r="D20" s="29">
        <f t="shared" ref="D20:N20" si="6">((D18/D9)^(1/9)-1)*100</f>
        <v>-7.863207610873002</v>
      </c>
      <c r="E20" s="29">
        <f t="shared" si="6"/>
        <v>4.2103439894769279</v>
      </c>
      <c r="F20" s="29" t="s">
        <v>64</v>
      </c>
      <c r="G20" s="29">
        <f t="shared" si="6"/>
        <v>-14.09236006681417</v>
      </c>
      <c r="H20" s="29" t="s">
        <v>64</v>
      </c>
      <c r="I20" s="29">
        <f t="shared" si="6"/>
        <v>1.5366071884427512</v>
      </c>
      <c r="J20" s="29" t="s">
        <v>64</v>
      </c>
      <c r="K20" s="29">
        <f t="shared" si="6"/>
        <v>1.5366071884427512</v>
      </c>
      <c r="L20" s="29">
        <f t="shared" si="6"/>
        <v>11.066834965535488</v>
      </c>
      <c r="M20" s="29">
        <f t="shared" si="6"/>
        <v>-0.12238777101329923</v>
      </c>
      <c r="N20" s="29">
        <f t="shared" si="6"/>
        <v>-8.7440927877327272</v>
      </c>
    </row>
    <row r="21" spans="2:14" ht="15"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2:14" ht="20.100000000000001">
      <c r="B22" s="57" t="s">
        <v>66</v>
      </c>
      <c r="C22" s="58"/>
      <c r="D22" s="58"/>
      <c r="E22" s="58"/>
      <c r="F22" s="58"/>
      <c r="G22" s="58"/>
      <c r="H22" s="59"/>
      <c r="I22" s="32"/>
      <c r="J22" s="32"/>
      <c r="K22" s="32"/>
      <c r="L22" s="33"/>
      <c r="M22" s="34"/>
      <c r="N22" s="35"/>
    </row>
    <row r="23" spans="2:14" ht="20.100000000000001">
      <c r="B23" s="60"/>
      <c r="C23" s="61"/>
      <c r="D23" s="61"/>
      <c r="E23" s="61"/>
      <c r="F23" s="61"/>
      <c r="G23" s="61"/>
      <c r="H23" s="62"/>
      <c r="I23" s="32"/>
      <c r="J23" s="32"/>
      <c r="K23" s="32"/>
      <c r="L23" s="33"/>
      <c r="M23" s="34"/>
      <c r="N23" s="35"/>
    </row>
    <row r="24" spans="2:14">
      <c r="B24" s="6" t="s">
        <v>39</v>
      </c>
      <c r="C24" s="63" t="s">
        <v>67</v>
      </c>
      <c r="D24" s="64"/>
      <c r="E24" s="65"/>
      <c r="F24" s="63" t="s">
        <v>68</v>
      </c>
      <c r="G24" s="66"/>
      <c r="H24" s="65"/>
      <c r="K24" s="32"/>
      <c r="M24" s="34"/>
      <c r="N24" s="32"/>
    </row>
    <row r="25" spans="2:14" ht="26.1">
      <c r="B25" s="9"/>
      <c r="C25" s="37" t="s">
        <v>69</v>
      </c>
      <c r="D25" s="38" t="s">
        <v>45</v>
      </c>
      <c r="E25" s="12" t="s">
        <v>70</v>
      </c>
      <c r="F25" s="36" t="s">
        <v>69</v>
      </c>
      <c r="G25" s="38" t="s">
        <v>45</v>
      </c>
      <c r="H25" s="12" t="s">
        <v>70</v>
      </c>
      <c r="K25" s="32"/>
      <c r="N25" s="32"/>
    </row>
    <row r="26" spans="2:14">
      <c r="B26" s="18">
        <v>1</v>
      </c>
      <c r="C26" s="39">
        <v>11</v>
      </c>
      <c r="D26" s="39">
        <v>12</v>
      </c>
      <c r="E26" s="39">
        <v>13</v>
      </c>
      <c r="F26" s="39">
        <v>14</v>
      </c>
      <c r="G26" s="39">
        <v>15</v>
      </c>
      <c r="H26" s="39">
        <v>16</v>
      </c>
      <c r="K26" s="32"/>
      <c r="N26" s="32"/>
    </row>
    <row r="27" spans="2:14">
      <c r="B27" s="23" t="s">
        <v>52</v>
      </c>
      <c r="C27" s="23">
        <v>17.997333624870201</v>
      </c>
      <c r="D27" s="23">
        <v>0</v>
      </c>
      <c r="E27" s="23">
        <f>C27-D27</f>
        <v>17.997333624870201</v>
      </c>
      <c r="F27" s="23">
        <v>5252.7</v>
      </c>
      <c r="G27" s="23">
        <v>134.75</v>
      </c>
      <c r="H27" s="23">
        <f>F27-G27</f>
        <v>5117.95</v>
      </c>
      <c r="K27" s="32"/>
      <c r="N27" s="32"/>
    </row>
    <row r="28" spans="2:14">
      <c r="B28" s="23" t="s">
        <v>53</v>
      </c>
      <c r="C28" s="24">
        <v>17.614399539818521</v>
      </c>
      <c r="D28" s="24">
        <v>0</v>
      </c>
      <c r="E28" s="24">
        <f>C28-D28</f>
        <v>17.614399539818521</v>
      </c>
      <c r="F28" s="24">
        <v>4794.5</v>
      </c>
      <c r="G28" s="24">
        <v>153.53</v>
      </c>
      <c r="H28" s="24">
        <f t="shared" ref="H28:H37" si="7">F28-G28</f>
        <v>4640.97</v>
      </c>
      <c r="K28" s="32"/>
      <c r="N28" s="32"/>
    </row>
    <row r="29" spans="2:14">
      <c r="B29" s="23" t="s">
        <v>54</v>
      </c>
      <c r="C29" s="24">
        <v>17.800797802276925</v>
      </c>
      <c r="D29" s="24">
        <v>0</v>
      </c>
      <c r="E29" s="24">
        <f t="shared" ref="E29:E37" si="8">C29-D29</f>
        <v>17.800797802276925</v>
      </c>
      <c r="F29" s="24">
        <v>5597.9</v>
      </c>
      <c r="G29" s="24">
        <v>1651</v>
      </c>
      <c r="H29" s="24">
        <f t="shared" si="7"/>
        <v>3946.8999999999996</v>
      </c>
      <c r="K29" s="32"/>
      <c r="N29" s="32"/>
    </row>
    <row r="30" spans="2:14">
      <c r="B30" s="23" t="s">
        <v>55</v>
      </c>
      <c r="C30" s="24">
        <v>18.606529815330337</v>
      </c>
      <c r="D30" s="24">
        <v>0</v>
      </c>
      <c r="E30" s="24">
        <f t="shared" si="8"/>
        <v>18.606529815330337</v>
      </c>
      <c r="F30" s="24">
        <v>5007.74</v>
      </c>
      <c r="G30" s="24">
        <v>4432.7602800000004</v>
      </c>
      <c r="H30" s="24">
        <f t="shared" si="7"/>
        <v>574.97971999999936</v>
      </c>
      <c r="K30" s="32"/>
      <c r="N30" s="32"/>
    </row>
    <row r="31" spans="2:14">
      <c r="B31" s="23" t="s">
        <v>56</v>
      </c>
      <c r="C31" s="24">
        <v>21.388273157442317</v>
      </c>
      <c r="D31" s="24">
        <v>0</v>
      </c>
      <c r="E31" s="24">
        <f t="shared" si="8"/>
        <v>21.388273157442317</v>
      </c>
      <c r="F31" s="24">
        <v>5244.21</v>
      </c>
      <c r="G31" s="24">
        <v>5150.3000452999995</v>
      </c>
      <c r="H31" s="24">
        <f t="shared" si="7"/>
        <v>93.909954700000526</v>
      </c>
      <c r="K31" s="32"/>
      <c r="N31" s="32"/>
    </row>
    <row r="32" spans="2:14">
      <c r="B32" s="23" t="s">
        <v>57</v>
      </c>
      <c r="C32" s="24">
        <v>24.848992618968182</v>
      </c>
      <c r="D32" s="24">
        <v>0</v>
      </c>
      <c r="E32" s="24">
        <f t="shared" si="8"/>
        <v>24.848992618968182</v>
      </c>
      <c r="F32" s="24">
        <v>5617.3</v>
      </c>
      <c r="G32" s="24">
        <v>6710.1867269999993</v>
      </c>
      <c r="H32" s="24">
        <f t="shared" si="7"/>
        <v>-1092.8867269999992</v>
      </c>
      <c r="K32" s="32"/>
      <c r="N32" s="32"/>
    </row>
    <row r="33" spans="1:14">
      <c r="B33" s="23" t="s">
        <v>58</v>
      </c>
      <c r="C33" s="25">
        <v>27.438951466006877</v>
      </c>
      <c r="D33" s="25">
        <v>0</v>
      </c>
      <c r="E33" s="25">
        <f t="shared" si="8"/>
        <v>27.438951466006877</v>
      </c>
      <c r="F33" s="25">
        <v>5072.08</v>
      </c>
      <c r="G33" s="25">
        <v>7202.86</v>
      </c>
      <c r="H33" s="25">
        <f t="shared" si="7"/>
        <v>-2130.7799999999997</v>
      </c>
      <c r="K33" s="32"/>
      <c r="N33" s="32"/>
    </row>
    <row r="34" spans="1:14">
      <c r="B34" s="26" t="s">
        <v>59</v>
      </c>
      <c r="C34" s="27">
        <v>28.740457768307444</v>
      </c>
      <c r="D34" s="27">
        <v>0</v>
      </c>
      <c r="E34" s="27">
        <f t="shared" si="8"/>
        <v>28.740457768307444</v>
      </c>
      <c r="F34" s="27">
        <v>4395.8599999999997</v>
      </c>
      <c r="G34" s="27">
        <v>8468.9389699999992</v>
      </c>
      <c r="H34" s="27">
        <f t="shared" si="7"/>
        <v>-4073.0789699999996</v>
      </c>
      <c r="K34" s="32"/>
      <c r="N34" s="32"/>
    </row>
    <row r="35" spans="1:14">
      <c r="B35" s="26" t="s">
        <v>60</v>
      </c>
      <c r="C35" s="27">
        <v>33.886686048486638</v>
      </c>
      <c r="D35" s="27">
        <v>0</v>
      </c>
      <c r="E35" s="27">
        <f t="shared" si="8"/>
        <v>33.886686048486638</v>
      </c>
      <c r="F35" s="27">
        <v>6350.6</v>
      </c>
      <c r="G35" s="27">
        <v>9490.91</v>
      </c>
      <c r="H35" s="27">
        <f t="shared" si="7"/>
        <v>-3140.3099999999995</v>
      </c>
      <c r="K35" s="32"/>
      <c r="N35" s="32"/>
    </row>
    <row r="36" spans="1:14">
      <c r="B36" s="26" t="s">
        <v>71</v>
      </c>
      <c r="C36" s="27">
        <v>33.031366325346504</v>
      </c>
      <c r="D36" s="27">
        <v>0</v>
      </c>
      <c r="E36" s="27">
        <f t="shared" si="8"/>
        <v>33.031366325346504</v>
      </c>
      <c r="F36" s="27">
        <v>9547.7000000000007</v>
      </c>
      <c r="G36" s="27">
        <v>9573.5519540000005</v>
      </c>
      <c r="H36" s="27">
        <f t="shared" si="7"/>
        <v>-25.851953999999751</v>
      </c>
      <c r="K36" s="32"/>
      <c r="L36" s="40"/>
      <c r="N36" s="32"/>
    </row>
    <row r="37" spans="1:14">
      <c r="B37" s="26" t="s">
        <v>62</v>
      </c>
      <c r="C37" s="27">
        <v>30.776102336565117</v>
      </c>
      <c r="D37" s="27">
        <v>0</v>
      </c>
      <c r="E37" s="27">
        <f t="shared" si="8"/>
        <v>30.776102336565117</v>
      </c>
      <c r="F37" s="27">
        <v>7596.71</v>
      </c>
      <c r="G37" s="27">
        <v>9231.6299999999992</v>
      </c>
      <c r="H37" s="27">
        <f t="shared" si="7"/>
        <v>-1634.9199999999992</v>
      </c>
      <c r="K37" s="32"/>
    </row>
    <row r="38" spans="1:14" ht="65.099999999999994">
      <c r="B38" s="28" t="s">
        <v>63</v>
      </c>
      <c r="C38" s="29">
        <f t="shared" ref="C38:G38" si="9">+(C37-C36)/C36*100</f>
        <v>-6.8276436601740498</v>
      </c>
      <c r="D38" s="29" t="s">
        <v>64</v>
      </c>
      <c r="E38" s="29">
        <f t="shared" si="9"/>
        <v>-6.8276436601740498</v>
      </c>
      <c r="F38" s="29">
        <f t="shared" si="9"/>
        <v>-20.434135969919463</v>
      </c>
      <c r="G38" s="29">
        <f t="shared" si="9"/>
        <v>-3.5715265937125893</v>
      </c>
      <c r="H38" s="29" t="s">
        <v>64</v>
      </c>
      <c r="K38" s="32"/>
      <c r="N38" s="32"/>
    </row>
    <row r="39" spans="1:14" ht="51.95">
      <c r="B39" s="28" t="s">
        <v>65</v>
      </c>
      <c r="C39" s="41">
        <f>((C37/C28)^(1/9)-1)*100</f>
        <v>6.3964918035506857</v>
      </c>
      <c r="D39" s="29" t="s">
        <v>64</v>
      </c>
      <c r="E39" s="41">
        <f t="shared" ref="E39:G39" si="10">((E37/E28)^(1/9)-1)*100</f>
        <v>6.3964918035506857</v>
      </c>
      <c r="F39" s="41">
        <f t="shared" si="10"/>
        <v>5.2468571889327631</v>
      </c>
      <c r="G39" s="41">
        <f t="shared" si="10"/>
        <v>57.643521108011718</v>
      </c>
      <c r="H39" s="29" t="s">
        <v>64</v>
      </c>
      <c r="K39" s="32"/>
      <c r="N39" s="32"/>
    </row>
    <row r="40" spans="1:14">
      <c r="B40" s="42" t="s">
        <v>72</v>
      </c>
      <c r="C40" s="43"/>
      <c r="D40" s="44"/>
      <c r="E40" s="45"/>
      <c r="F40" s="45"/>
      <c r="G40" s="45"/>
      <c r="H40" s="46"/>
      <c r="N40" s="32"/>
    </row>
    <row r="41" spans="1:14">
      <c r="B41" s="47" t="s">
        <v>73</v>
      </c>
      <c r="C41" s="45"/>
      <c r="D41" s="45"/>
      <c r="E41" s="45"/>
      <c r="F41" s="45"/>
      <c r="G41" s="45"/>
      <c r="H41" s="46"/>
      <c r="N41" s="32"/>
    </row>
    <row r="42" spans="1:14">
      <c r="B42" s="48" t="s">
        <v>74</v>
      </c>
      <c r="C42" s="45"/>
      <c r="D42" s="45"/>
      <c r="E42" s="43"/>
      <c r="F42" s="43"/>
      <c r="G42" s="43"/>
      <c r="H42" s="49"/>
      <c r="N42" s="32"/>
    </row>
    <row r="43" spans="1:14">
      <c r="B43" s="47" t="s">
        <v>75</v>
      </c>
      <c r="C43" s="50"/>
      <c r="D43" s="50"/>
      <c r="E43" s="43"/>
      <c r="F43" s="43"/>
      <c r="G43" s="43"/>
      <c r="H43" s="49"/>
      <c r="N43" s="32"/>
    </row>
    <row r="44" spans="1:14">
      <c r="B44" s="51" t="s">
        <v>76</v>
      </c>
      <c r="C44" s="52"/>
      <c r="D44" s="52"/>
      <c r="E44" s="52"/>
      <c r="F44" s="52"/>
      <c r="G44" s="52"/>
      <c r="H44" s="53"/>
      <c r="N44" s="32"/>
    </row>
    <row r="47" spans="1:14">
      <c r="A47" s="54" t="s">
        <v>77</v>
      </c>
    </row>
    <row r="48" spans="1:14" ht="15">
      <c r="A48" s="79" t="s">
        <v>4</v>
      </c>
    </row>
    <row r="49" spans="1:1">
      <c r="A49" s="54" t="s">
        <v>5</v>
      </c>
    </row>
  </sheetData>
  <mergeCells count="9">
    <mergeCell ref="B22:H23"/>
    <mergeCell ref="C24:E24"/>
    <mergeCell ref="F24:H24"/>
    <mergeCell ref="B2:N2"/>
    <mergeCell ref="B3:N3"/>
    <mergeCell ref="C4:E4"/>
    <mergeCell ref="F4:H4"/>
    <mergeCell ref="I4:K4"/>
    <mergeCell ref="L4:N4"/>
  </mergeCells>
  <hyperlinks>
    <hyperlink ref="A48" r:id="rId1" xr:uid="{8E5EACB5-85BA-4E8F-BAC4-8CF280EF8D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workbookViewId="0">
      <selection activeCell="B22" sqref="B22"/>
    </sheetView>
  </sheetViews>
  <sheetFormatPr defaultRowHeight="14.45"/>
  <cols>
    <col min="1" max="1" width="36.7109375" customWidth="1"/>
  </cols>
  <sheetData>
    <row r="1" spans="1:55">
      <c r="A1" s="2" t="s">
        <v>78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 s="3">
        <v>2051</v>
      </c>
      <c r="AK1" s="3">
        <v>2052</v>
      </c>
      <c r="AL1" s="3">
        <v>2053</v>
      </c>
      <c r="AM1" s="3">
        <v>2054</v>
      </c>
      <c r="AN1" s="3">
        <v>2055</v>
      </c>
      <c r="AO1" s="3">
        <v>2056</v>
      </c>
      <c r="AP1" s="3">
        <v>2057</v>
      </c>
      <c r="AQ1" s="3">
        <v>2058</v>
      </c>
      <c r="AR1" s="3">
        <v>2059</v>
      </c>
      <c r="AS1" s="3">
        <v>2060</v>
      </c>
      <c r="AT1" s="3">
        <v>2061</v>
      </c>
      <c r="AU1" s="3">
        <v>2062</v>
      </c>
      <c r="AV1" s="3">
        <v>2063</v>
      </c>
      <c r="AW1" s="3">
        <v>2064</v>
      </c>
      <c r="AX1" s="3">
        <v>2065</v>
      </c>
      <c r="AY1" s="3">
        <v>2066</v>
      </c>
      <c r="AZ1" s="3">
        <v>2067</v>
      </c>
      <c r="BA1" s="3">
        <v>2068</v>
      </c>
      <c r="BB1" s="3">
        <v>2069</v>
      </c>
      <c r="BC1" s="3">
        <v>2070</v>
      </c>
    </row>
    <row r="2" spans="1:55">
      <c r="A2" s="5" t="s">
        <v>79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55">
      <c r="A3" t="s">
        <v>80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55">
      <c r="A4" t="s">
        <v>81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55">
      <c r="A5" t="s">
        <v>82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55">
      <c r="A6" s="4" t="s">
        <v>83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55">
      <c r="A7" s="4" t="s">
        <v>84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55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55">
      <c r="A9" t="s">
        <v>86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55">
      <c r="A10" t="s">
        <v>87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55">
      <c r="A11" t="s">
        <v>88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55">
      <c r="A12" t="s">
        <v>89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55">
      <c r="A13" t="s">
        <v>90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55">
      <c r="A14" t="s">
        <v>91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55">
      <c r="A15" s="4" t="s">
        <v>92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55">
      <c r="A16" s="4" t="s">
        <v>93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>
      <c r="A17" t="s">
        <v>94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>
      <c r="A18" t="s">
        <v>95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>
      <c r="A19" t="s">
        <v>96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>
      <c r="A20" t="s">
        <v>97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>
      <c r="A21" t="s">
        <v>98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>
      <c r="A22" t="s">
        <v>99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E34F3-CC89-4669-8AAD-EA6F9A01F9A0}"/>
</file>

<file path=customXml/itemProps2.xml><?xml version="1.0" encoding="utf-8"?>
<ds:datastoreItem xmlns:ds="http://schemas.openxmlformats.org/officeDocument/2006/customXml" ds:itemID="{829479C9-386B-4EF8-BBC4-61E15B3416DF}"/>
</file>

<file path=customXml/itemProps3.xml><?xml version="1.0" encoding="utf-8"?>
<ds:datastoreItem xmlns:ds="http://schemas.openxmlformats.org/officeDocument/2006/customXml" ds:itemID="{60B28B12-AC1F-4A73-A7ED-EFB69E6AD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2019-08-28T22:20:52Z</dcterms:created>
  <dcterms:modified xsi:type="dcterms:W3CDTF">2024-02-27T06:25:45Z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