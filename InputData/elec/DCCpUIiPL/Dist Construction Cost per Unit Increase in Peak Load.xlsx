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sheets/sheet3.xml" ContentType="application/vnd.openxmlformats-officedocument.spreadsheetml.worksheet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0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ahajan\Documents\eps-us\InputData\elec\DCCpUIiPL\"/>
    </mc:Choice>
  </mc:AlternateContent>
  <xr:revisionPtr revIDLastSave="219" documentId="13_ncr:1_{2EF75B90-D7D7-4A65-9AEA-9707D06A6E9B}" xr6:coauthVersionLast="47" xr6:coauthVersionMax="47" xr10:uidLastSave="{D446C138-6B19-45AE-A20A-E98DBDF96AC3}"/>
  <bookViews>
    <workbookView xWindow="-28920" yWindow="-120" windowWidth="29040" windowHeight="17640" activeTab="2" xr2:uid="{00000000-000D-0000-FFFF-FFFF00000000}"/>
  </bookViews>
  <sheets>
    <sheet name="About" sheetId="1" r:id="rId1"/>
    <sheet name="Calcs" sheetId="4" r:id="rId2"/>
    <sheet name="DCCpUIiPL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2010_Output_Pechan_Utility_Boile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003_to_2005_inflator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_d2">'[1]County-to-Node'!$A$3:$C$2624</definedName>
    <definedName name="Acadia" hidden="1">{"calspreads",#N/A,FALSE,"Sheet1";"curves",#N/A,FALSE,"Sheet1";"libor",#N/A,FALSE,"Sheet1"}</definedName>
    <definedName name="AEO2013ER_NEL">'[2]AEO 2017 without CPP M'!$A$5:$AR$27</definedName>
    <definedName name="AEOCosts">#REF!</definedName>
    <definedName name="afdasdfa" hidden="1">{"calspreads",#N/A,FALSE,"Sheet1";"curves",#N/A,FALSE,"Sheet1";"libor",#N/A,FALSE,"Sheet1"}</definedName>
    <definedName name="ALBA2007">'[3]Supply Data'!$B$2:$J$2300</definedName>
    <definedName name="Alberta">#REF!</definedName>
    <definedName name="ALLOWPRICE">#REF!</definedName>
    <definedName name="analysis_year">#REF!</definedName>
    <definedName name="annualavg">'[4]AnnualAvg 2003$ per MMBtu'!$A$2:$W$85</definedName>
    <definedName name="as" hidden="1">{"calspreads",#N/A,FALSE,"Sheet1";"curves",#N/A,FALSE,"Sheet1";"libor",#N/A,FALSE,"Sheet1"}</definedName>
    <definedName name="asdfasdf">#REF!</definedName>
    <definedName name="CAIR_Share">#REF!</definedName>
    <definedName name="CAIR_State">#REF!</definedName>
    <definedName name="CAN_DR">'[5]Regions-CCOST Scalar'!#REF!</definedName>
    <definedName name="CanadaWindProfile">'[6]Canada Wind Profile'!$A$1:$Z$133</definedName>
    <definedName name="Capacity">[7]Parameters!$C$3</definedName>
    <definedName name="Capacity2">[7]Parameters!$C$3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DR">[3]Key!$L$2:$M$194</definedName>
    <definedName name="ck_310_Tm_master2">#REF!</definedName>
    <definedName name="ck_310_Tm_master2_ICF">#REF!</definedName>
    <definedName name="Clear10">#REF!</definedName>
    <definedName name="Clear9">#REF!</definedName>
    <definedName name="COALPRICE">#REF!</definedName>
    <definedName name="CoalRegion">#REF!</definedName>
    <definedName name="COALTYPE">'[8]Assumps-CoalTypes'!$A$7:$L$50</definedName>
    <definedName name="COALTYPES">'[9]Assumps-CoalTypes'!$A$6:$K$31</definedName>
    <definedName name="COALTYPESOLD">#REF!</definedName>
    <definedName name="ColumnOffset">'[2]Net Imports for Generation'!#REF!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ontigRange">#REF!</definedName>
    <definedName name="ContingencyFactorTable">[10]ContingencyFactors!$A$2:$D$22</definedName>
    <definedName name="Country_Map">#REF!</definedName>
    <definedName name="CountryMap">#REF!</definedName>
    <definedName name="CPNMatching">#REF!</definedName>
    <definedName name="CSR">[3]Key!$I$2:$J$35</definedName>
    <definedName name="CSR_Total">[3]Key!$A$2:$B$86</definedName>
    <definedName name="ct_icr">#REF!</definedName>
    <definedName name="d" hidden="1">{"calspreads",#N/A,FALSE,"Sheet1";"curves",#N/A,FALSE,"Sheet1";"libor",#N/A,FALSE,"Sheet1"}</definedName>
    <definedName name="_xlnm.Database">#REF!</definedName>
    <definedName name="DeepBase">#REF!</definedName>
    <definedName name="discount_rate">#REF!</definedName>
    <definedName name="Dollar_Convert">#REF!</definedName>
    <definedName name="downtime_for_ipm">#REF!</definedName>
    <definedName name="dq_stq_facility_costs">[11]DQ_STQ_Facility_Level_Costs!$A:$IV</definedName>
    <definedName name="ESCAL">'[8]Assumps-Escalation'!$J$49:$AD$91</definedName>
    <definedName name="ExtraPlants">#REF!</definedName>
    <definedName name="F860_COOLING_STATUS">#REF!</definedName>
    <definedName name="F860_NOXCONTROL">#REF!</definedName>
    <definedName name="fda">'[12]Valid Load Zones'!$A$1:$A$8</definedName>
    <definedName name="fds" hidden="1">{"calspreads",#N/A,FALSE,"Sheet1";"curves",#N/A,FALSE,"Sheet1";"libor",#N/A,FALSE,"Sheet1"}</definedName>
    <definedName name="FirstYear">'[13]Gas Price Basis Delivered'!$D$7</definedName>
    <definedName name="fom_for_ipm">#REF!</definedName>
    <definedName name="FOR">'[14]macro setup'!$F$12</definedName>
    <definedName name="FossilRange">#REF!</definedName>
    <definedName name="fuck">'[15]Data Validation List'!#REF!</definedName>
    <definedName name="FuelType">#REF!</definedName>
    <definedName name="gas">#REF!</definedName>
    <definedName name="GasSpots">[16]Matchings!$J$3:$J$73</definedName>
    <definedName name="HeatContent">#REF!</definedName>
    <definedName name="hfaskjd">#REF!</definedName>
    <definedName name="HTML_CodePage" hidden="1">437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'[17]Data Validation List'!#REF!</definedName>
    <definedName name="LoadZones">'[18]Valid Load Zones'!$A$1:$A$8</definedName>
    <definedName name="lookup">#REF!</definedName>
    <definedName name="MILLRATES">'[8]Assumps-TransportRates'!$A$71:$P$125</definedName>
    <definedName name="Model_Regions">#REF!</definedName>
    <definedName name="monitor_markup">[19]Assumptions!$H$4</definedName>
    <definedName name="ne_06">#REF!</definedName>
    <definedName name="NEEDS_For_Parsing">#REF!</definedName>
    <definedName name="NEEDS617_Population">#REF!</definedName>
    <definedName name="NEMSmap">'[20]macro setup'!$W$3:$Y$50</definedName>
    <definedName name="NetEnergy4Load">#REF!</definedName>
    <definedName name="No_Coal_cblink">#REF!</definedName>
    <definedName name="nominal_disc_rate">#REF!</definedName>
    <definedName name="non_ct_icr">#REF!</definedName>
    <definedName name="ok" hidden="1">{"calspreads",#N/A,FALSE,"Sheet1";"curves",#N/A,FALSE,"Sheet1";"libor",#N/A,FALSE,"Sheet1"}</definedName>
    <definedName name="option">#REF!</definedName>
    <definedName name="option_vlookup">#REF!</definedName>
    <definedName name="P_III_2_CA">#REF!</definedName>
    <definedName name="P_IV_7">#REF!</definedName>
    <definedName name="penalty_for_ipm">#REF!</definedName>
    <definedName name="_xlnm.Print_Titles">#N/A</definedName>
    <definedName name="Profile">#REF!</definedName>
    <definedName name="ProfileTable">[10]Profiles!$A:$J</definedName>
    <definedName name="promulgation_year">#REF!</definedName>
    <definedName name="ProvinceList">#REF!</definedName>
    <definedName name="PSGases">[16]Matchings!$L$3:$L$39</definedName>
    <definedName name="PSRegions">[16]Matchings!$B$3:$B$65</definedName>
    <definedName name="qr_MTEP_App_ABC_Projects">#REF!</definedName>
    <definedName name="qryUnitsModeledIdentity">#REF!</definedName>
    <definedName name="real_disc_rate">#REF!</definedName>
    <definedName name="reg_06">#REF!</definedName>
    <definedName name="Region">#REF!</definedName>
    <definedName name="RegionNames">#REF!</definedName>
    <definedName name="Run_Acronym">#REF!</definedName>
    <definedName name="run_page">#REF!</definedName>
    <definedName name="S">'[9]Assumps-TransportRates'!$A$9:A$50</definedName>
    <definedName name="sa">#REF!</definedName>
    <definedName name="ScheduleName">[10]Setup!$C$11</definedName>
    <definedName name="sd_06">#REF!</definedName>
    <definedName name="seasonalavg">#REF!</definedName>
    <definedName name="seasons">#REF!</definedName>
    <definedName name="ShallowBase">#REF!</definedName>
    <definedName name="SliceTable">#REF!</definedName>
    <definedName name="SO2EmissionCostChartData">#REF!</definedName>
    <definedName name="SO2EmissionsChartData">#REF!</definedName>
    <definedName name="sreg_06">#REF!</definedName>
    <definedName name="STARTINGRATES">'[8]Assumps-TransportRates'!$A$9:A$63</definedName>
    <definedName name="StateList">#REF!</definedName>
    <definedName name="Sum_Emiss">[21]Summary!#REF!</definedName>
    <definedName name="Sum_NatEmiss">[21]Summary!#REF!</definedName>
    <definedName name="Supply">'[3]Supply Data'!$B$2:$K$2300</definedName>
    <definedName name="Sys_Report">[21]Setup!$V$13</definedName>
    <definedName name="SystemOutput">#REF!,#REF!,#REF!,#REF!,#REF!</definedName>
    <definedName name="Table_1">#REF!</definedName>
    <definedName name="Table2">#REF!</definedName>
    <definedName name="Tbl_Cap">#REF!</definedName>
    <definedName name="tblBuildUnitRenewableGenerationProfiles">#REF!</definedName>
    <definedName name="tech_costs">#REF!</definedName>
    <definedName name="temp">'[22]Supply Regions LIST'!#REF!</definedName>
    <definedName name="TitleChange">#REF!</definedName>
    <definedName name="Tm_310_master2">#REF!</definedName>
    <definedName name="Tm_616_Population">#REF!</definedName>
    <definedName name="TransAreas">[16]Matchings!$E$3:$E$65</definedName>
    <definedName name="Turndown_Cap">[7]Parameters!$C$3 * [7]Parameters!$C$5</definedName>
    <definedName name="Turndown_cap2">[7]Parameters!$C$3 * [7]Parameters!$C$5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A_DR">'[5]Regions-CCOST Scalar'!#REF!</definedName>
    <definedName name="UserInputList">#REF!</definedName>
    <definedName name="vlookup_base">#REF!</definedName>
    <definedName name="vom_for_ipm">#REF!</definedName>
    <definedName name="wd_06">#REF!</definedName>
    <definedName name="wrn.Output.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hidden="1">{"calspreads",#N/A,FALSE,"Sheet1";"curves",#N/A,FALSE,"Sheet1";"libor",#N/A,FALSE,"Sheet1"}</definedName>
    <definedName name="Years">'[2]AEO 2017 without CPP M'!$5:$5</definedName>
    <definedName name="z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4" l="1"/>
  <c r="H9" i="4"/>
  <c r="H10" i="4"/>
  <c r="H8" i="4"/>
  <c r="E9" i="4"/>
  <c r="E8" i="4"/>
  <c r="A16" i="1"/>
  <c r="A14" i="4"/>
  <c r="A15" i="4" s="1"/>
  <c r="G10" i="4"/>
  <c r="J10" i="4" s="1"/>
  <c r="G8" i="4"/>
  <c r="J8" i="4" s="1"/>
  <c r="G9" i="4"/>
  <c r="J9" i="4" s="1"/>
  <c r="D9" i="4"/>
  <c r="D10" i="4"/>
  <c r="D8" i="4"/>
  <c r="A16" i="4" l="1"/>
  <c r="B2" i="3" s="1"/>
</calcChain>
</file>

<file path=xl/sharedStrings.xml><?xml version="1.0" encoding="utf-8"?>
<sst xmlns="http://schemas.openxmlformats.org/spreadsheetml/2006/main" count="35" uniqueCount="34">
  <si>
    <t>DCCpUIiPL Dist Construction Cost per Unit Increase in Peak Load</t>
  </si>
  <si>
    <t>Sources:</t>
  </si>
  <si>
    <t>Distribution utilties annual expense 2021, 2022 and 2023</t>
  </si>
  <si>
    <t>Power Finance Corporation of India</t>
  </si>
  <si>
    <t>Report on performance of distribution utilities 2022-23</t>
  </si>
  <si>
    <t>https://pfcindia.com/ensite/DocumentRepository/ckfinder/files/Operations/Performance_Reports_of_State_Power_Utilities/Report%20Database%202022-23%20-%20updated%20up%20to%20April%202024EntityApr.pdf</t>
  </si>
  <si>
    <t>Page 19-24, DISCOM annual expenses</t>
  </si>
  <si>
    <t>Note:</t>
  </si>
  <si>
    <t xml:space="preserve">For the India version, we divide the increase in annual DISCOM expenditure </t>
  </si>
  <si>
    <t>with the corresponding increase in peak load to estimate additional constuction costs incurred by DISCOM</t>
  </si>
  <si>
    <t>as a result of peak load increasing.</t>
  </si>
  <si>
    <t>We adjust 2024 rupees to 2012 dollars using the following conversion factor:</t>
  </si>
  <si>
    <t>See "cpi.xlsx" in the InputData folder for source information.</t>
  </si>
  <si>
    <t>Average cost of supply</t>
  </si>
  <si>
    <t>Source:</t>
  </si>
  <si>
    <t>Total expenses (Cr 2023 INR)</t>
  </si>
  <si>
    <t>power procurement expenses (Cr 2023 INR)</t>
  </si>
  <si>
    <t>balance expenses (Cr 2023 INR)</t>
  </si>
  <si>
    <t>Difference in expenses(Cr 2024 INR)</t>
  </si>
  <si>
    <t>Peak load met(MW)</t>
  </si>
  <si>
    <t>Increase in peak load met</t>
  </si>
  <si>
    <t>Expenses in relation to peak load (Cr 2023 INR/MW)</t>
  </si>
  <si>
    <t>Check other</t>
  </si>
  <si>
    <t xml:space="preserve">Average </t>
  </si>
  <si>
    <t>2022-23</t>
  </si>
  <si>
    <t>2021-22</t>
  </si>
  <si>
    <t>2020-21</t>
  </si>
  <si>
    <t>2019-20</t>
  </si>
  <si>
    <t>Average dist. construction cost per unit increase in peak load</t>
  </si>
  <si>
    <t>Units</t>
  </si>
  <si>
    <t>Cr 2023 INR/MW</t>
  </si>
  <si>
    <t>2023 INR/MW</t>
  </si>
  <si>
    <t>Cost per Unit Increase in Peak Load (2012 $ / MWh)</t>
  </si>
  <si>
    <t>Transmission 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</si>
</sst>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000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rgb="FF333333"/>
      <name val="Open Sans"/>
      <family val="2"/>
      <charset val="1"/>
    </font>
    <font>
      <sz val="11"/>
      <color rgb="FF242424"/>
      <name val="Aptos Narrow"/>
      <charset val="1"/>
    </font>
    <font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0" fontId="6" fillId="0" borderId="0"/>
    <xf numFmtId="43" fontId="7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0" fillId="0" borderId="0" xfId="0" applyAlignment="1">
      <alignment wrapText="1"/>
    </xf>
    <xf numFmtId="0" fontId="0" fillId="2" borderId="0" xfId="0" applyFill="1"/>
    <xf numFmtId="3" fontId="0" fillId="0" borderId="0" xfId="0" applyNumberFormat="1"/>
    <xf numFmtId="2" fontId="8" fillId="0" borderId="0" xfId="0" applyNumberFormat="1" applyFont="1"/>
    <xf numFmtId="164" fontId="0" fillId="0" borderId="0" xfId="0" applyNumberFormat="1"/>
    <xf numFmtId="0" fontId="1" fillId="3" borderId="0" xfId="0" applyFont="1" applyFill="1"/>
    <xf numFmtId="2" fontId="1" fillId="3" borderId="0" xfId="0" applyNumberFormat="1" applyFont="1" applyFill="1"/>
    <xf numFmtId="0" fontId="9" fillId="0" borderId="0" xfId="0" applyFont="1"/>
    <xf numFmtId="0" fontId="10" fillId="0" borderId="0" xfId="0" applyFont="1"/>
  </cellXfs>
  <cellStyles count="10">
    <cellStyle name="Body: normal cell" xfId="5" xr:uid="{00000000-0005-0000-0000-000000000000}"/>
    <cellStyle name="Comma 2" xfId="9" xr:uid="{E9C02DA1-2BF2-4644-855A-47DCB845F6EA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Normal 2" xfId="8" xr:uid="{6960A5EA-6187-4883-89DE-0E90B98A716B}"/>
    <cellStyle name="Parent row" xfId="6" xr:uid="{00000000-0005-0000-0000-000006000000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8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customXml" Target="../customXml/item3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sharedStrings" Target="sharedStrings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styles" Target="styles.xml"/><Relationship Id="rId30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tmodel\CodeD902\Reference9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0183/AT%20HOME/EPA%20v6.17%20Design/Electricity%20Demand/Energy%20Forecast%20AEO2017%20without%20CPP%20-%20AEO%20Regional%20Approach%20v6.17_01-27-17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14843\My%20Documents\Multiclient\2007\Coal%20Results%20Internat%20New%20CDR%204P%20M3%20Shany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16369\Local%20Settings\Temporary%20Internet%20Files\OLK77\Sebastian\Entegra%20Power%20Group\EEA1007_SeasonalPriceDifferential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10183\AT%20HOME\New%20folder%20(3)\NREL%20Cost%20Analysis%2003-31-1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NehaS\_Projects\EPAV6.20\Potential%20Units\FE_Implementation\New%20Solar%20PV\Template\From%20Potential%20Template%208-11-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ERHARDT\Capstone%20MachGen%20II\Globals%20and%20Calibration\Starts%20Macro\Suez-Machgen%204.0%2032408\Millenium%20-%20Starts%20Macro%20(based%20on%204.0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s\EPAV5.12\Coal%20Assumption%20Update\coaltransport-EPA-May2012ver11c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s\EPAV5.12\Coal%20Assumption%20Update\OLDcoaltransport-NERA-Nov2011ver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Staff\Soo%20Ra%20Kim\Potential%20Unit%20Update%20AEO%202013\Conventional\ECO%20Master%20Potential%20EPA5.13%2007-01-13%20(Non%20Renewable)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RD\TYCHE%20Contract\Assignments\WA%200-05%20(316(b))\Ph4_Supporting_Analyses\Data_Supporting_All_Analyses\EPA\PhIV_Compliance_Costs_by_Option\P4%20I&amp;E%20All%20S2%20Compliance%20Costs_7-31-08_Adj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NonPriceRetirements_PermanentDeLists\NPR_Tracking_WorkingDocument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rojects\Wholesale%20Power\2011-%20ARCLIGHT-FRC\Market%20Assumptions\Wholesale-GMM0711a_rundate08.10.1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jects\EPAV4.0%20AEO%202009\Potential%20Units\Renewables\Wind\AEO%202008\Wind%20RM%20AEO2008%2006100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10183\AT%20HOME\EPA%20v5.12%20Design\Retrofits\Retrofit%20Cost%20Check\V412_RetrofitCostCheck_v8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xchange.icfconsulting.com/Documents%20and%20Settings/BOLKW/Local%20Settings/Temp/CPN%20-%20Comparison%20of%20CPN%20June30%20Fwds%20to%20PROSYM%20Results%20v6%2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EPA%205.12\Retrofit%20checks\ReferenceKey_v512_PF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CM\Internal%20Documentation\NonPriceRetirements_PermanentDeLists\NPR_Tracking_WorkingDocument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RD\TYCHE%20Contract\Assignments\WA%200-05%20(316(b))\Ph4_Supporting_Analyses\All_Ph_IV_Analyses\Cost_Analyses_Using_PhIV_IPM_Baseline\Cost_Analysis\Private_Costs_Assessmen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jects\EPAV4.0%20AEO%202009\Potential%20Units\Renewables\Solar\Solar%20RM%20040808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hared\SSR\EPA412_BC_33b\output\SSR_1-2_EPA412(10-10-12)%20EXCEL2010_EPA412_BC_32-2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EPAV3.1\Fuel%20Demand%20Region\Reference1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FileList"/>
      <sheetName val="NetworkMap"/>
      <sheetName val="L48 Demand Nodes"/>
      <sheetName val="County-to-Node"/>
      <sheetName val="Node Names"/>
      <sheetName val="Supply Regions"/>
      <sheetName val="SupplyRegion Map"/>
      <sheetName val="PlotDiscountCurves"/>
      <sheetName val="DC_Calc"/>
      <sheetName val="Network Link Names"/>
      <sheetName val="Output Variables"/>
      <sheetName val="Aggregate Regions"/>
      <sheetName val="Census Regions"/>
      <sheetName val="Demand Regions"/>
      <sheetName val="NERC Regions"/>
      <sheetName val="GD Locations"/>
      <sheetName val="Storage Regions"/>
    </sheetNames>
    <sheetDataSet>
      <sheetData sheetId="0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AEO2017 without CPP"/>
      <sheetName val="AEO 2017 without CPP M"/>
      <sheetName val="AEO 2017 withoutCPP NEL by NEMS"/>
      <sheetName val="AEO2017woCPP NetImports by NEMS"/>
      <sheetName val="Net Imports for Generation"/>
      <sheetName val="bnvnotes"/>
      <sheetName val="IPM to AEORegion Ratios"/>
      <sheetName val="EPA617AEO2017noCPP NEL Projecti"/>
      <sheetName val="tblEnergyGrowthForecastSchedule"/>
      <sheetName val="tblEnergyGrowthForecast"/>
      <sheetName val="tblModelRegionScena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"/>
      <sheetName val="Europe"/>
      <sheetName val="CDR Pivot"/>
      <sheetName val="Imp and Exp"/>
      <sheetName val="US Prod Data"/>
      <sheetName val="2006 Int Flows"/>
      <sheetName val="Int Prod Data"/>
      <sheetName val="Price Data"/>
      <sheetName val="Supply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asonalAvg 2003$ per MMBtu"/>
      <sheetName val="AnnualAvg 2003$ per MMBtu"/>
      <sheetName val="SeasonalDiff 2003$ per MMBtu"/>
      <sheetName val="Comparison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s-CCOST Scalar"/>
      <sheetName val="Table 4-16"/>
      <sheetName val="Notes"/>
      <sheetName val="NREL Solar PV CF"/>
      <sheetName val="Wind - Onshore"/>
      <sheetName val="Wind - Offshore"/>
      <sheetName val="Solar - PV"/>
      <sheetName val="Solar - CSP"/>
      <sheetName val="UnitDefinitionEPA514_BC_2k"/>
      <sheetName val="Construction Profiles"/>
      <sheetName val="Lookup"/>
      <sheetName val="Capital Escalation Scalars"/>
      <sheetName val="SolarTh"/>
      <sheetName val="SolarPV"/>
      <sheetName val="Wind"/>
      <sheetName val="Offshore Wind"/>
      <sheetName val="NREL SolarThermalProfiles"/>
      <sheetName val="SolarThermal C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Canada Wind Profile"/>
      <sheetName val="Wind Profile"/>
      <sheetName val="Offshore Wind Profile"/>
      <sheetName val="Solar Profile"/>
      <sheetName val="v512 FIPS5 IPM Region Mapping"/>
      <sheetName val="ToSooRa 12-24-12"/>
      <sheetName val="ToSooRa 01-08-13"/>
      <sheetName val="biomass region"/>
      <sheetName val="Sheet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  <sheetName val="Parameters"/>
      <sheetName val="Menus"/>
      <sheetName val="Gas Input"/>
      <sheetName val="Energy Prices"/>
      <sheetName val="Gas Prices"/>
      <sheetName val="Generation"/>
      <sheetName val="Starts"/>
      <sheetName val="Margin"/>
      <sheetName val="Duration"/>
      <sheetName val="Frequency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s-CoalTypes"/>
      <sheetName val="Assumps-Escalation"/>
      <sheetName val="Assumps-TransportRates"/>
      <sheetName val="Transport Rate Calcs-Detail"/>
      <sheetName val="Transp Rate Calcs-Sum1-Formulas"/>
      <sheetName val="Transp Rate Calcs-Sum2-Formulas"/>
      <sheetName val="Transp Rate Calcs-Sum1-HARDCODE"/>
      <sheetName val="Transp Rate Calcs-Sum2-HARDCODE"/>
      <sheetName val="Sheet5"/>
      <sheetName val="Sheet4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s-CoalTypes"/>
      <sheetName val="Assumps-Escalation"/>
      <sheetName val="Assumps-TransportRates"/>
      <sheetName val="Transport Rate Calcs-Detail"/>
      <sheetName val="Transport Rate Calcs-Summary"/>
      <sheetName val="Sheet5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EPA'sCC and CT updated costs"/>
      <sheetName val="CDN CPI"/>
      <sheetName val="Setup"/>
      <sheetName val="Inputs"/>
      <sheetName val="deleted on 01-15-13"/>
      <sheetName val="Capital escalation 2"/>
      <sheetName val="tblCapitalEsc.ScalarsUnitPot."/>
      <sheetName val="tblCapitalEscalationSchedules"/>
      <sheetName val="tblCapitalEscalationScalars"/>
      <sheetName val="Regions"/>
      <sheetName val="email"/>
      <sheetName val="Profiles"/>
      <sheetName val="ContingencyFactors"/>
      <sheetName val="AEO2008 Availability Data"/>
      <sheetName val="SubTypes_OLD"/>
      <sheetName val="SubTypes"/>
      <sheetName val="Hydro Final"/>
      <sheetName val="Landfill Gas Final"/>
      <sheetName val="Geo Final"/>
      <sheetName val="Onshore Wind CapitalCosts"/>
      <sheetName val="Offshore DeepWater CapCosts"/>
      <sheetName val="Offshore ShallowWater CapCosts"/>
      <sheetName val="Wind Canada Final"/>
      <sheetName val="Canada Wind Profile"/>
      <sheetName val="Wind Profile"/>
      <sheetName val="Offshore Wind Profile"/>
      <sheetName val="Wind RMs"/>
      <sheetName val="Solar thermal costs"/>
      <sheetName val="Solar Profile"/>
      <sheetName val="ToAccess_BldUntRenewGenProfiles"/>
      <sheetName val="Solar RMs"/>
      <sheetName val="ToAccess_BuildCumulativeSchedul"/>
      <sheetName val="ToAccess_BuildUnitSchedules"/>
      <sheetName val="total number of plants check"/>
      <sheetName val="ToAccess_BuildUnits"/>
      <sheetName val="ToAccess_BuildFinancialSch"/>
      <sheetName val="ToAccess_BuildFinancialSch(F)"/>
      <sheetName val="ToAccess_DiscRateSchedules"/>
      <sheetName val="ToAccess_DiscountRates"/>
      <sheetName val="ToAccess_BuildUnitScheduleUnits"/>
      <sheetName val="BuildUnitScheduleUnits"/>
      <sheetName val="ToAccess_BuildCumBounds"/>
      <sheetName val="ToAccess_CumBoundsDetails"/>
      <sheetName val="ToAccess_VOM"/>
      <sheetName val="ToAccess_MaintenanceOutageBuild"/>
      <sheetName val="ToAc_FuelDemandRegionBuildUnits"/>
      <sheetName val="Conversion of year dolla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Q_STQ_Final_Costs"/>
      <sheetName val="DQ_STQ_Facility_Level_Costs"/>
      <sheetName val="DQ_Final_Costs"/>
      <sheetName val="DQ_Facility_Level_Costs"/>
      <sheetName val="CUR_Adjustment"/>
      <sheetName val="Original_Data--&gt;"/>
      <sheetName val="S2Run"/>
      <sheetName val="Model Fac. I&amp;E All Costs -S2"/>
      <sheetName val="No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nal Spreadsheet"/>
      <sheetName val="External Spreadsheet"/>
      <sheetName val="Valid Load Zones"/>
      <sheetName val="Sheet1"/>
    </sheetNames>
    <sheetDataSet>
      <sheetData sheetId="0"/>
      <sheetData sheetId="1"/>
      <sheetData sheetId="2"/>
      <sheetData sheetId="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s"/>
      <sheetName val="Gas Price Basis Delivered RunYr"/>
      <sheetName val="Henry Hub RunYr"/>
      <sheetName val="IPM Run Year Mapping"/>
      <sheetName val="Seasonal Differential"/>
      <sheetName val="Gas Price Basis Delivered"/>
      <sheetName val="Henry Hub"/>
      <sheetName val="Gas Price Delivered"/>
      <sheetName val="Gas Prices Basis (Pure)"/>
      <sheetName val="GMM + Offline"/>
      <sheetName val="Offline (NEPOOL+)"/>
      <sheetName val="Mapping"/>
      <sheetName val="Mapping - Ventyx"/>
      <sheetName val="LDC"/>
      <sheetName val="Tax"/>
      <sheetName val="Ventyx 2006$"/>
      <sheetName val="Ventyx Nom$"/>
      <sheetName val="Bloomberg 2006$"/>
      <sheetName val="Bloomberg Nom$"/>
      <sheetName val="SeasonalDiff 2006$"/>
      <sheetName val="GMM SeasonalDiff 2006$"/>
      <sheetName val="GMM Seasonal 2006$"/>
      <sheetName val="GMM Basis 2006$"/>
      <sheetName val="GMM 2006$"/>
      <sheetName val="GMM Raw Seasonal Data"/>
      <sheetName val="GMM Raw Annual Data"/>
      <sheetName val="Inflation"/>
      <sheetName val="Table of Contents NEPOOL"/>
      <sheetName val="Methodology"/>
      <sheetName val="Hist. NEPOOL Pipeline Prices"/>
      <sheetName val="GMM Basis Differentials"/>
      <sheetName val="NEPOOL Basis and Delivered"/>
      <sheetName val="Output W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cro setup"/>
      <sheetName val="(Step1)"/>
      <sheetName val="WindData-FromAEO2008"/>
      <sheetName val="CF Data"/>
      <sheetName val="Loadshapes"/>
      <sheetName val="(Step2)"/>
      <sheetName val="CFs"/>
      <sheetName val="Sorted CFs"/>
      <sheetName val="Wind RMs"/>
      <sheetName val="Wind Profil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Notes"/>
      <sheetName val="Ck-dat file"/>
      <sheetName val="All units (back up)"/>
      <sheetName val="Fr JZ - JZ Edited Fuels"/>
      <sheetName val="Reverse fuels to pre-JZ-Edit"/>
      <sheetName val="Blank 3"/>
      <sheetName val="Main-Retrofit Costs Check"/>
      <sheetName val="Ck-Front End fuels"/>
      <sheetName val="CK-BC_2m fuel"/>
      <sheetName val="Input-NOx RedFac"/>
      <sheetName val="Input-MedianSO2Content"/>
      <sheetName val="Input-VOM Adder"/>
      <sheetName val="Input-dat file"/>
      <sheetName val="blank 1"/>
      <sheetName val="Input-AppBinOptions"/>
      <sheetName val="Ref-Equation ID"/>
      <sheetName val="Non DLL Cost Equations"/>
      <sheetName val="ACI"/>
      <sheetName val="Particulate Control"/>
      <sheetName val="SNCR - FBC"/>
      <sheetName val="SNCR Tangential - Non FBC"/>
      <sheetName val="SCR"/>
      <sheetName val="Dry FGD"/>
      <sheetName val="Wet FGD"/>
      <sheetName val="DSI-FF"/>
      <sheetName val="Input-DollarConversion"/>
      <sheetName val="Blank 2"/>
      <sheetName val="Ref-Index Definitions"/>
      <sheetName val="Ref-2nd stage rules"/>
      <sheetName val="Ref-FuelGradeKey"/>
      <sheetName val="Ref-Tier-1 Combo Definition"/>
      <sheetName val="Data Validation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sByGroup"/>
      <sheetName val="PlantsByGroup Market Prices"/>
      <sheetName val="Market Price Summary"/>
      <sheetName val="Power Summary"/>
      <sheetName val="Gas Summary"/>
      <sheetName val="NY spots"/>
      <sheetName val="SPPnth adjustment"/>
      <sheetName val="CPN Elec Peak Fwds"/>
      <sheetName val="CPN Elec Off-Pk Fwds"/>
      <sheetName val="CPN Gas Fwds"/>
      <sheetName val="Prosym Elec Peak"/>
      <sheetName val="Prosym Elec Off-Pk"/>
      <sheetName val="Prosym Capc Price"/>
      <sheetName val="Prosym LICAP"/>
      <sheetName val="Prosym Final Capc Price"/>
      <sheetName val="Prosym Capc Spread"/>
      <sheetName val="Prosym Gas"/>
      <sheetName val="PA Inflation"/>
      <sheetName val="Matchings"/>
      <sheetName val="CPN Matching"/>
      <sheetName val="Comparisons"/>
      <sheetName val="Comparisons - Annual"/>
      <sheetName val="Gas Price Basis Delivered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LL Input Variables"/>
      <sheetName val="DLL EquIDs"/>
      <sheetName val="Hg EMFs v5.12"/>
      <sheetName val="Index Key"/>
      <sheetName val="BurnerType"/>
      <sheetName val="Particulate"/>
      <sheetName val="PostComb"/>
      <sheetName val="FuelGroup"/>
      <sheetName val="NEEDS-Retrofit Index"/>
      <sheetName val="2nd stage rules"/>
      <sheetName val="Retrofit Options Key v512"/>
      <sheetName val="Retrofit Options Key v411"/>
      <sheetName val="Data Validation List"/>
      <sheetName val="Key to Emission Contro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nal Spreadsheet"/>
      <sheetName val="External Spreadsheet"/>
      <sheetName val="Valid Load Zones"/>
      <sheetName val="Sheet1"/>
    </sheetNames>
    <sheetDataSet>
      <sheetData sheetId="0"/>
      <sheetData sheetId="1"/>
      <sheetData sheetId="2"/>
      <sheetData sheetId="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 Info"/>
      <sheetName val="Tables_4Compar"/>
      <sheetName val="Tables"/>
      <sheetName val="Summary_PreTax"/>
      <sheetName val="Summary_AfterTax"/>
      <sheetName val="Summary_RetiredFacilities"/>
      <sheetName val="Private_Costs _AnalysisYear"/>
      <sheetName val="Private_Costs _PromulgationYear"/>
      <sheetName val="Private_Costs _ComplianceYear"/>
      <sheetName val="ICR_Costs"/>
      <sheetName val="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 setup"/>
      <sheetName val="(Step1)"/>
      <sheetName val="Solar CFs AEO 2007"/>
      <sheetName val="CF Data"/>
      <sheetName val="(Step2)"/>
      <sheetName val="CFs"/>
      <sheetName val="Sorted CFs"/>
      <sheetName val="Solar RMs"/>
      <sheetName val="Solar Profile"/>
    </sheetNames>
    <sheetDataSet>
      <sheetData sheetId="0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hat's new"/>
      <sheetName val="Setup"/>
      <sheetName val="NPV"/>
      <sheetName val="Nox policy cost Map"/>
      <sheetName val="Final Wholesale Price"/>
      <sheetName val="Create LoadShape"/>
      <sheetName val="Input - Coal Supply"/>
      <sheetName val="input - Collapse Tables"/>
      <sheetName val="Gen&amp;Cap Summary"/>
      <sheetName val="Cap_Summary"/>
      <sheetName val="PlantType"/>
      <sheetName val="Summary"/>
      <sheetName val="ToAccess"/>
      <sheetName val="NEW UNITS Table"/>
      <sheetName val="state list abb"/>
      <sheetName val="State Emissions Data"/>
      <sheetName val="Emission R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FileList"/>
      <sheetName val="NetworkMap"/>
      <sheetName val="Node Names"/>
      <sheetName val="LNG Facilities"/>
      <sheetName val="L48 Demand Nodes MAP"/>
      <sheetName val="L48 Demand Nodes LIST"/>
      <sheetName val="Supply Regions MAP"/>
      <sheetName val="Supply Regions LIST"/>
      <sheetName val="DC_Calc"/>
      <sheetName val="Network Link Names"/>
      <sheetName val="Output Variables"/>
      <sheetName val="Aggregate Regions"/>
      <sheetName val="Census Regions"/>
      <sheetName val="Demand Regions"/>
      <sheetName val="NERC Regions"/>
      <sheetName val="GD Locations"/>
      <sheetName val="Storage Regions"/>
      <sheetName val="PlotDiscountCurve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fcindia.com/ensite/DocumentRepository/ckfinder/files/Operations/Performance_Reports_of_State_Power_Utilities/Report%20Database%202022-23%20-%20updated%20up%20to%20April%202024EntityApr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fcindia.com/ensite/DocumentRepository/ckfinder/files/Operations/Performance_Reports_of_State_Power_Utilities/Report%20Database%202022-23%20-%20updated%20up%20to%20April%202024EntityApr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>
      <selection activeCell="L19" sqref="L19"/>
    </sheetView>
  </sheetViews>
  <sheetFormatPr defaultRowHeight="15"/>
  <cols>
    <col min="1" max="1" width="12.5703125" bestFit="1" customWidth="1"/>
    <col min="2" max="2" width="44.5703125" customWidth="1"/>
  </cols>
  <sheetData>
    <row r="1" spans="1:2">
      <c r="A1" s="1" t="s">
        <v>0</v>
      </c>
    </row>
    <row r="3" spans="1:2">
      <c r="A3" s="1" t="s">
        <v>1</v>
      </c>
      <c r="B3" s="6" t="s">
        <v>2</v>
      </c>
    </row>
    <row r="4" spans="1:2">
      <c r="A4" s="1"/>
      <c r="B4" t="s">
        <v>3</v>
      </c>
    </row>
    <row r="5" spans="1:2">
      <c r="A5" s="1"/>
      <c r="B5" s="2">
        <v>2024</v>
      </c>
    </row>
    <row r="6" spans="1:2" ht="30.75">
      <c r="A6" s="1"/>
      <c r="B6" s="5" t="s">
        <v>4</v>
      </c>
    </row>
    <row r="7" spans="1:2">
      <c r="A7" s="1"/>
      <c r="B7" s="3" t="s">
        <v>5</v>
      </c>
    </row>
    <row r="8" spans="1:2">
      <c r="A8" s="1"/>
      <c r="B8" t="s">
        <v>6</v>
      </c>
    </row>
    <row r="9" spans="1:2">
      <c r="A9" s="1"/>
    </row>
    <row r="10" spans="1:2">
      <c r="A10" s="1" t="s">
        <v>7</v>
      </c>
    </row>
    <row r="11" spans="1:2">
      <c r="A11" t="s">
        <v>8</v>
      </c>
    </row>
    <row r="12" spans="1:2">
      <c r="A12" s="12" t="s">
        <v>9</v>
      </c>
    </row>
    <row r="13" spans="1:2">
      <c r="A13" s="13" t="s">
        <v>10</v>
      </c>
    </row>
    <row r="14" spans="1:2">
      <c r="A14" s="1"/>
    </row>
    <row r="15" spans="1:2">
      <c r="A15" t="s">
        <v>11</v>
      </c>
    </row>
    <row r="16" spans="1:2">
      <c r="A16" s="9">
        <f>1/55.77/1.902</f>
        <v>9.4273328925112473E-3</v>
      </c>
    </row>
    <row r="17" spans="1:1">
      <c r="A17" t="s">
        <v>12</v>
      </c>
    </row>
  </sheetData>
  <hyperlinks>
    <hyperlink ref="B7" r:id="rId1" xr:uid="{9E744AD7-7DD1-4C34-9446-62415B2A0475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6D5D9-60A7-4FDD-A970-ED89EFC3CCE7}">
  <dimension ref="A1:K16"/>
  <sheetViews>
    <sheetView workbookViewId="0">
      <selection activeCell="H8" sqref="H8"/>
    </sheetView>
  </sheetViews>
  <sheetFormatPr defaultRowHeight="15"/>
  <cols>
    <col min="1" max="1" width="41.42578125" customWidth="1"/>
    <col min="2" max="2" width="27.42578125" customWidth="1"/>
    <col min="3" max="3" width="40.5703125" customWidth="1"/>
    <col min="4" max="5" width="27" customWidth="1"/>
    <col min="6" max="6" width="18.28515625" customWidth="1"/>
    <col min="7" max="7" width="32.28515625" customWidth="1"/>
  </cols>
  <sheetData>
    <row r="1" spans="1:11">
      <c r="A1" t="s">
        <v>13</v>
      </c>
    </row>
    <row r="2" spans="1:11">
      <c r="A2" t="s">
        <v>14</v>
      </c>
      <c r="B2" s="3" t="s">
        <v>5</v>
      </c>
    </row>
    <row r="7" spans="1:11">
      <c r="B7" t="s">
        <v>15</v>
      </c>
      <c r="C7" t="s">
        <v>16</v>
      </c>
      <c r="D7" t="s">
        <v>17</v>
      </c>
      <c r="E7" s="10" t="s">
        <v>18</v>
      </c>
      <c r="F7" t="s">
        <v>19</v>
      </c>
      <c r="G7" s="10" t="s">
        <v>20</v>
      </c>
      <c r="H7" t="s">
        <v>21</v>
      </c>
      <c r="I7" t="s">
        <v>22</v>
      </c>
      <c r="K7" t="s">
        <v>23</v>
      </c>
    </row>
    <row r="8" spans="1:11" ht="16.5">
      <c r="A8" t="s">
        <v>24</v>
      </c>
      <c r="B8">
        <v>1023587</v>
      </c>
      <c r="C8">
        <v>790927</v>
      </c>
      <c r="D8">
        <f>B8-C8</f>
        <v>232660</v>
      </c>
      <c r="E8" s="10">
        <f>D8-D9</f>
        <v>30561</v>
      </c>
      <c r="F8" s="8">
        <v>207231</v>
      </c>
      <c r="G8" s="11">
        <f>F8-F9</f>
        <v>6692</v>
      </c>
      <c r="H8">
        <f>E8/F8</f>
        <v>0.14747310971814062</v>
      </c>
      <c r="I8" s="7">
        <v>49846</v>
      </c>
      <c r="J8">
        <f>I8/G8</f>
        <v>7.4485953377166769</v>
      </c>
      <c r="K8">
        <f>AVERAGE(H8:H9)</f>
        <v>0.11934115047388838</v>
      </c>
    </row>
    <row r="9" spans="1:11">
      <c r="A9" t="s">
        <v>25</v>
      </c>
      <c r="B9">
        <v>839216</v>
      </c>
      <c r="C9">
        <v>637117</v>
      </c>
      <c r="D9">
        <f t="shared" ref="D9:D10" si="0">B9-C9</f>
        <v>202099</v>
      </c>
      <c r="E9" s="10">
        <f>D9-D10</f>
        <v>18291</v>
      </c>
      <c r="F9">
        <v>200539</v>
      </c>
      <c r="G9" s="10">
        <f>F9-F10</f>
        <v>11144</v>
      </c>
      <c r="H9">
        <f t="shared" ref="H9:H10" si="1">E9/F9</f>
        <v>9.1209191229636125E-2</v>
      </c>
      <c r="I9" s="7">
        <v>41502</v>
      </c>
      <c r="J9">
        <f t="shared" ref="J9:J10" si="2">I9/G9</f>
        <v>3.7241564967695622</v>
      </c>
    </row>
    <row r="10" spans="1:11">
      <c r="A10" t="s">
        <v>26</v>
      </c>
      <c r="B10">
        <v>768830</v>
      </c>
      <c r="C10">
        <v>585022</v>
      </c>
      <c r="D10">
        <f t="shared" si="0"/>
        <v>183808</v>
      </c>
      <c r="E10" s="10"/>
      <c r="F10">
        <v>189395</v>
      </c>
      <c r="G10" s="10">
        <f>F10-F11</f>
        <v>6862</v>
      </c>
      <c r="H10">
        <f t="shared" si="1"/>
        <v>0</v>
      </c>
      <c r="I10" s="7">
        <v>32913</v>
      </c>
      <c r="J10">
        <f t="shared" si="2"/>
        <v>4.7964150393471288</v>
      </c>
    </row>
    <row r="11" spans="1:11">
      <c r="A11" t="s">
        <v>27</v>
      </c>
      <c r="C11" s="7"/>
      <c r="F11">
        <v>182533</v>
      </c>
    </row>
    <row r="12" spans="1:11" ht="30.75">
      <c r="A12" s="5" t="s">
        <v>28</v>
      </c>
      <c r="B12" t="s">
        <v>29</v>
      </c>
      <c r="C12" s="7"/>
    </row>
    <row r="13" spans="1:11">
      <c r="A13">
        <v>0.11934115047388838</v>
      </c>
      <c r="B13" t="s">
        <v>30</v>
      </c>
    </row>
    <row r="14" spans="1:11">
      <c r="A14">
        <f>A13*10^7</f>
        <v>1193411.5047388838</v>
      </c>
      <c r="B14" t="s">
        <v>31</v>
      </c>
    </row>
    <row r="15" spans="1:11">
      <c r="A15">
        <f>A14/55.77/1.902</f>
        <v>11250.68753292622</v>
      </c>
    </row>
    <row r="16" spans="1:11">
      <c r="A16" s="10">
        <f>A14*About!A16</f>
        <v>11250.687532926222</v>
      </c>
    </row>
  </sheetData>
  <hyperlinks>
    <hyperlink ref="B2" r:id="rId1" xr:uid="{ABC3053E-0F95-4005-A97B-64A00D8F1E9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3"/>
  <sheetViews>
    <sheetView tabSelected="1" workbookViewId="0">
      <selection activeCell="F7" sqref="F7"/>
    </sheetView>
  </sheetViews>
  <sheetFormatPr defaultRowHeight="15"/>
  <cols>
    <col min="1" max="1" width="24.85546875" customWidth="1"/>
    <col min="2" max="2" width="24.5703125" customWidth="1"/>
  </cols>
  <sheetData>
    <row r="1" spans="1:2">
      <c r="B1" t="s">
        <v>32</v>
      </c>
    </row>
    <row r="2" spans="1:2">
      <c r="A2" t="s">
        <v>33</v>
      </c>
      <c r="B2" s="4">
        <f>Calcs!A16</f>
        <v>11250.687532926222</v>
      </c>
    </row>
    <row r="3" spans="1:2">
      <c r="B3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8344FAC-7A3E-4835-B613-8F7F9E9C03A9}"/>
</file>

<file path=customXml/itemProps2.xml><?xml version="1.0" encoding="utf-8"?>
<ds:datastoreItem xmlns:ds="http://schemas.openxmlformats.org/officeDocument/2006/customXml" ds:itemID="{F34B1B1C-B09A-42DE-944F-C206D8658E2C}"/>
</file>

<file path=customXml/itemProps3.xml><?xml version="1.0" encoding="utf-8"?>
<ds:datastoreItem xmlns:ds="http://schemas.openxmlformats.org/officeDocument/2006/customXml" ds:itemID="{659CFA04-E09F-4A78-B1F0-F0B850752B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Devadathan Biju</cp:lastModifiedBy>
  <cp:revision/>
  <dcterms:created xsi:type="dcterms:W3CDTF">2015-07-06T21:06:03Z</dcterms:created>
  <dcterms:modified xsi:type="dcterms:W3CDTF">2024-10-21T07:09:06Z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