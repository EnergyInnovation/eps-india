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indst/indst/CtIEPpUESoS/"/>
    </mc:Choice>
  </mc:AlternateContent>
  <xr:revisionPtr revIDLastSave="26" documentId="13_ncr:1_{CF7C685B-61BD-4F1A-ADF7-4A836B777C3F}" xr6:coauthVersionLast="47" xr6:coauthVersionMax="47" xr10:uidLastSave="{47924627-A92D-41DC-B60C-1403275DFA5D}"/>
  <bookViews>
    <workbookView xWindow="43095" yWindow="1080" windowWidth="14610" windowHeight="15585" firstSheet="7" activeTab="8" xr2:uid="{00000000-000D-0000-FFFF-FFFF00000000}"/>
  </bookViews>
  <sheets>
    <sheet name="About" sheetId="1" r:id="rId1"/>
    <sheet name="early retirement" sheetId="4" r:id="rId2"/>
    <sheet name="cogen and WHR" sheetId="6" r:id="rId3"/>
    <sheet name="efficiency" sheetId="10" r:id="rId4"/>
    <sheet name="shift to electricity" sheetId="8" r:id="rId5"/>
    <sheet name="shift to hydrogen" sheetId="5" r:id="rId6"/>
    <sheet name="substitute fuels for coal" sheetId="9" r:id="rId7"/>
    <sheet name="India cost adjustment" sheetId="11" r:id="rId8"/>
    <sheet name="CtIEPpUESoS" sheetId="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C7" i="3"/>
  <c r="C6" i="3"/>
  <c r="C5" i="3"/>
  <c r="C4" i="3"/>
  <c r="C2" i="3"/>
  <c r="B7" i="3"/>
  <c r="B6" i="3"/>
  <c r="B5" i="3"/>
  <c r="B4" i="3"/>
  <c r="B2" i="3"/>
  <c r="B25" i="11"/>
  <c r="A53" i="8" l="1"/>
  <c r="C42" i="8"/>
  <c r="A46" i="8" s="1"/>
  <c r="D42" i="8"/>
  <c r="A3" i="10"/>
  <c r="M4" i="10"/>
  <c r="B4" i="10"/>
  <c r="B5" i="10" s="1"/>
  <c r="C2" i="10"/>
  <c r="D2" i="10" s="1"/>
  <c r="A23" i="9"/>
  <c r="A17" i="9"/>
  <c r="B11" i="9"/>
  <c r="A20" i="9" s="1"/>
  <c r="A26" i="9" s="1"/>
  <c r="C9" i="8"/>
  <c r="D9" i="8" s="1"/>
  <c r="B9" i="8"/>
  <c r="D7" i="8"/>
  <c r="D8" i="8"/>
  <c r="D6" i="8"/>
  <c r="A20" i="8" l="1"/>
  <c r="E2" i="10"/>
  <c r="F2" i="10" s="1"/>
  <c r="G2" i="10" s="1"/>
  <c r="H2" i="10" s="1"/>
  <c r="I2" i="10" s="1"/>
  <c r="J2" i="10" s="1"/>
  <c r="K2" i="10" s="1"/>
  <c r="L2" i="10" s="1"/>
  <c r="M2" i="10" s="1"/>
  <c r="A2" i="10" l="1"/>
  <c r="C7" i="5"/>
  <c r="D21" i="5"/>
  <c r="C21" i="5"/>
  <c r="A24" i="5" s="1"/>
  <c r="C18" i="5"/>
  <c r="C17" i="5"/>
  <c r="B4" i="6" l="1"/>
  <c r="D25" i="6" l="1"/>
  <c r="E25" i="6" s="1"/>
  <c r="B29" i="6" s="1"/>
  <c r="A17" i="4" l="1"/>
  <c r="D13" i="4"/>
  <c r="D12" i="4"/>
  <c r="D11" i="4"/>
  <c r="D14" i="4" l="1"/>
  <c r="A2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Gabe Mantegna</author>
  </authors>
  <commentList>
    <comment ref="C17" authorId="0" shapeId="0" xr:uid="{00000000-0006-0000-0300-000001000000}">
      <text>
        <r>
          <rPr>
            <b/>
            <sz val="10"/>
            <color rgb="FF000000"/>
            <rFont val="Tahoma"/>
            <family val="2"/>
          </rPr>
          <t>Gabe Mantegna: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Hydrogen boilers estimated to cost 1.5x the cost of building a natural gas boiler by mid-century when manufacturing capacity has scaled </t>
        </r>
      </text>
    </comment>
  </commentList>
</comments>
</file>

<file path=xl/sharedStrings.xml><?xml version="1.0" encoding="utf-8"?>
<sst xmlns="http://schemas.openxmlformats.org/spreadsheetml/2006/main" count="221" uniqueCount="183">
  <si>
    <t>CtIEPpUESoS Cost to Implement Efficiency Policy per Unit Energy Saved or Shifted</t>
  </si>
  <si>
    <t>Source:</t>
  </si>
  <si>
    <t>early retirement of equipment</t>
  </si>
  <si>
    <t>substitute other fuels for coal: conversion costs per unit capacity</t>
  </si>
  <si>
    <t>Alex MacCurdy et al.</t>
  </si>
  <si>
    <t>Babcock and Wilcox</t>
  </si>
  <si>
    <t>Dual Baselines for Industrial Retrofits that Trigger Energy Codes</t>
  </si>
  <si>
    <t>Natural Gas Conversions of Existing Coal-Fired Boilers</t>
  </si>
  <si>
    <t>http://aceee.org/files/proceedings/2013/data/papers/3_166.pdf</t>
  </si>
  <si>
    <t>http://www.babcock.com/library/Documents/MS-14.pdf</t>
  </si>
  <si>
    <t>Page 3-8, Table 4</t>
  </si>
  <si>
    <t>Page 2, "Financial Considerations," paragraph 1</t>
  </si>
  <si>
    <t>cogeneration and WHR: total cost</t>
  </si>
  <si>
    <t>Rocky Mountain Institute</t>
  </si>
  <si>
    <t>McKinsey</t>
  </si>
  <si>
    <t>Reinventing Fire: Bold Business Solutions for the New Energy Era</t>
  </si>
  <si>
    <t>Unlocking Energy Efficiency in the U.S. Economy</t>
  </si>
  <si>
    <t>http://www.rmi.org/RFGraph-Cumulative_2010_value_capital_investment_fuel_savings</t>
  </si>
  <si>
    <t>https://www.sallan.org/pdf-docs/MCKINSEY_US_energy_efficiency.pdf</t>
  </si>
  <si>
    <t>Cumulative 2010 present value of capital investment and fuel savings</t>
  </si>
  <si>
    <t>Tables 15 and 16</t>
  </si>
  <si>
    <t>cogeneration and WHR: annual energy savings</t>
  </si>
  <si>
    <t>Reinventing Fire</t>
  </si>
  <si>
    <t>http://www.rmi.org/RFGraph-US_industry_energy_saving_potential</t>
  </si>
  <si>
    <t>Book page 127, Figure 4-2 (or see link above)</t>
  </si>
  <si>
    <t>elec and hydrogen shifting (boiler conversion)</t>
  </si>
  <si>
    <t>E3</t>
  </si>
  <si>
    <t>"Achieving Carbon Neutrality in California (Revised Report): 2045 Abatement Cost Estimates"</t>
  </si>
  <si>
    <t>https://ww2.arb.ca.gov/sites/default/files/2020-09/e3_cn_draft_report_supp_data_aug2020.xlsx</t>
  </si>
  <si>
    <t>elec shifting (heat pump)</t>
  </si>
  <si>
    <t>Emerson</t>
  </si>
  <si>
    <t>Industrial Heat Pumps</t>
  </si>
  <si>
    <t>https://climate.emerson.com/documents/vilter-heat-pump-white-paper-en-us-5411194.pdf</t>
  </si>
  <si>
    <t>Notes:</t>
  </si>
  <si>
    <t>This variable supports time series data for adaptation to other regions, but as of EPS 1.5.0, we</t>
  </si>
  <si>
    <t>have only time-invariant data for the U.S.</t>
  </si>
  <si>
    <t>For fuel type shifting we take an average of electric boiler conversion and hydrogen boiler conversion.</t>
  </si>
  <si>
    <t>We assume the majority of energy and costs will be from boiler conversion instead of process heaters.</t>
  </si>
  <si>
    <t>All costs are per BTU of energy saved or shifted per year.  That is, it is the cost to buy equipment that</t>
  </si>
  <si>
    <t>achieves this energy savings/shifting annually.</t>
  </si>
  <si>
    <t>We assume the "proper installation and use of equipment" has no investment cost, as it is a different</t>
  </si>
  <si>
    <t>way of doing things that are already done, rather than doing or buying something new.</t>
  </si>
  <si>
    <t>We do not model costs of R&amp;D per unit of energy saved/shifted as a result of that R&amp;D investment.</t>
  </si>
  <si>
    <t>Currency Year</t>
  </si>
  <si>
    <t>MacCurdy et al. do not specify the year of the currency in Table 4.  We assume it to be the year of the</t>
  </si>
  <si>
    <t xml:space="preserve">publication, which is 2013.  RMI currency is in 2010 dollars.  </t>
  </si>
  <si>
    <t>Babcock and Wilcox do not specify the year of their dollar figures, so we assume it is the year of publication (2010).</t>
  </si>
  <si>
    <t>We adjust the dollars to 2012 dollars using the following conversion factors:</t>
  </si>
  <si>
    <t>2013 to 2012, MacCurdy et al.</t>
  </si>
  <si>
    <t>2010 to 2012, RMI and Babcock and Wilcox</t>
  </si>
  <si>
    <t>See "cpi.xlsx" in the InputData folder for source information.</t>
  </si>
  <si>
    <t>Early Retirement of Equipment</t>
  </si>
  <si>
    <t>Methodology Notes:</t>
  </si>
  <si>
    <t>We estimate the cost of industrial equipment replacement per unit energy saved</t>
  </si>
  <si>
    <t>via industrial motors, because of the availability of data.</t>
  </si>
  <si>
    <t>Motors (and chillers) seem to be the focus of industrial equipment</t>
  </si>
  <si>
    <t>early retirement programs- for instance, see Southern California</t>
  </si>
  <si>
    <t>Edison's program, at:</t>
  </si>
  <si>
    <t>https://www.sce.com/SC3/b-rs/large-business/spc/calculating-energy-savings.htm</t>
  </si>
  <si>
    <t>So this seems like a reasonable means of estimation.</t>
  </si>
  <si>
    <t>Motor Horsepower</t>
  </si>
  <si>
    <t>Annual Energy Savings (Super Premium Motor vs. Rewind Existing Motor) (kWh)</t>
  </si>
  <si>
    <t>Incremental Cost (cost of replacement above cost of rewinding) ($)</t>
  </si>
  <si>
    <t>Investment per Unit Annual Energy Savings ($/kWh)</t>
  </si>
  <si>
    <t>21-50</t>
  </si>
  <si>
    <t>51-100</t>
  </si>
  <si>
    <t>101-200</t>
  </si>
  <si>
    <t>Average</t>
  </si>
  <si>
    <t>kWh per BTU (pure unit conversion, no efficiency loss)</t>
  </si>
  <si>
    <t>Investment per Unit Annual Energy Savings ($/BTU)</t>
  </si>
  <si>
    <t>Cogeneration and Waste Heat Recovery, Equipment Efficiency Standards</t>
  </si>
  <si>
    <t>Annual energy savings achievable in 2050 (BTU)</t>
  </si>
  <si>
    <t>CHP &amp; waste heat</t>
  </si>
  <si>
    <t>Total investment cost to achieve those annual savings in 2050</t>
  </si>
  <si>
    <t>The graph used appears below.  To correspond to the total energy savings found above, we want to use the set of pink bars that</t>
  </si>
  <si>
    <t>correspond to investment over the 2010-2050 period.  We assume the key inside the rightmost blue bar applies to all bars, so</t>
  </si>
  <si>
    <t>light pink corresponds to CHP Waste Heat and midtone pink corresponds to efficiency technology.</t>
  </si>
  <si>
    <t>Since RMI only provides a numerical value for the hight of the complete pink bar, not values for each of the three shades of</t>
  </si>
  <si>
    <t>pink that compose it, we muse use pixel-based measurement to obtain our data from the graph.</t>
  </si>
  <si>
    <t>Note on pixel measurement of this bar graph:</t>
  </si>
  <si>
    <t>RMI's graph was made in Excel.  For this type of graph (namely, white lines separating stacked bars),</t>
  </si>
  <si>
    <t>Excel replaces an equal number of rows of colored pixels</t>
  </si>
  <si>
    <t>with white pixels from the upper and lower bar segments at each junction, with an extra row of the bottom bar at each junction replaced if there</t>
  </si>
  <si>
    <t>are an odd number of lines of white pixel rows to be applied (which is based on zoom level and graph settings).  The top of the uppermost bar</t>
  </si>
  <si>
    <t>segment is covered with the same number of rows of white pixels as the top of any other bar segment (half of a gap, rounding up).</t>
  </si>
  <si>
    <t>Therefore, to correctly measure any bar segment except the bottom one, you can measure the colored part plus one complete white gap</t>
  </si>
  <si>
    <t>between bar segments.  To correctly measure the bottom bar segment, include only half of one white gap, rounding up.</t>
  </si>
  <si>
    <t>Cumulative Cost of Upgrades (2009 $)</t>
  </si>
  <si>
    <t>2010-2050, total (pixels)</t>
  </si>
  <si>
    <t>2010-2050, this policy (pixels)</t>
  </si>
  <si>
    <t>Investment, total (2009 $)</t>
  </si>
  <si>
    <t>Investment, this policy (2009 $)</t>
  </si>
  <si>
    <t>Cost per Unit Energy Saved Annually ($/BTU)</t>
  </si>
  <si>
    <t>Tbtu/year</t>
  </si>
  <si>
    <t>2009 to 2012 USD</t>
  </si>
  <si>
    <t>We assume outlays are uniform in each year and that savings also accrue uniformly.</t>
  </si>
  <si>
    <t>McKinsey used a 7 percent discount rate in their main scenario</t>
  </si>
  <si>
    <t>Example 1: Industrial Heat Pump</t>
  </si>
  <si>
    <t>Emerson Industrial heat pump case studies:</t>
  </si>
  <si>
    <t>Annual heat delivered (MMbtu)</t>
  </si>
  <si>
    <t>Capital Cost (USD)</t>
  </si>
  <si>
    <t>$/annual BTU</t>
  </si>
  <si>
    <t>Case Study 1</t>
  </si>
  <si>
    <t>Case Study 2</t>
  </si>
  <si>
    <t>Case Study 3</t>
  </si>
  <si>
    <t>Simple average</t>
  </si>
  <si>
    <t>This is the cost per unit heat delivered via heat pump.</t>
  </si>
  <si>
    <t>We want the cost per unit energy saved or shifted.</t>
  </si>
  <si>
    <t>Therefore, we need to take into account the difference in efficiency of heat use.</t>
  </si>
  <si>
    <t>From variable indst/PIFURfE</t>
  </si>
  <si>
    <t>Percent reduction in fuel use from switching from fossil fuels to heat pump is:</t>
  </si>
  <si>
    <t>Therefore, the capital cost per unit energy saved (not per unit energy delivered) is:</t>
  </si>
  <si>
    <t>Example 2: Industrial Electric Boiler</t>
  </si>
  <si>
    <t>Electric Boiler Conversion</t>
  </si>
  <si>
    <t>Industrial Boiler Inputs</t>
  </si>
  <si>
    <t>General Inputs</t>
  </si>
  <si>
    <t>Input Name</t>
  </si>
  <si>
    <t>Units</t>
  </si>
  <si>
    <t>Value</t>
  </si>
  <si>
    <t>Equipment Lifetime</t>
  </si>
  <si>
    <t>yr</t>
  </si>
  <si>
    <t>Discount Rate</t>
  </si>
  <si>
    <t>%</t>
  </si>
  <si>
    <t>Natural Gas Price</t>
  </si>
  <si>
    <t>$/MMBtu</t>
  </si>
  <si>
    <t>Electricity Emissions Intensity</t>
  </si>
  <si>
    <t>kg CO2e/kWh</t>
  </si>
  <si>
    <t>Natural Gas Emissions Intensity</t>
  </si>
  <si>
    <t>kg CO2e/MMBtu</t>
  </si>
  <si>
    <t>Electric Boiler</t>
  </si>
  <si>
    <t>Natural Gas Boiler</t>
  </si>
  <si>
    <t>Boiler Purchase Price</t>
  </si>
  <si>
    <t>$</t>
  </si>
  <si>
    <t>Boiler Efficiency</t>
  </si>
  <si>
    <t>Hourly Service Demand</t>
  </si>
  <si>
    <t>MMBtu/hr</t>
  </si>
  <si>
    <t>Annual Operating Hours</t>
  </si>
  <si>
    <t>hr/yr</t>
  </si>
  <si>
    <t>Annual Service Demand</t>
  </si>
  <si>
    <t>MMBtu/yr</t>
  </si>
  <si>
    <t>Investment per Unit Energy Converted in First Year ($/BTU)</t>
  </si>
  <si>
    <t>$/BTU</t>
  </si>
  <si>
    <t>Hydrogen Boiler Conversion</t>
  </si>
  <si>
    <t>Synthetic Natural Gas Price (Conservative)</t>
  </si>
  <si>
    <t>Synthetic Natural Gas Price (Optimistic)</t>
  </si>
  <si>
    <t>Hydrogen Price (Conservative)</t>
  </si>
  <si>
    <t>Hydrogen Price (Optimistic)</t>
  </si>
  <si>
    <t>Hydrogen Storage and Delivery Cost</t>
  </si>
  <si>
    <t>$/MMBTU</t>
  </si>
  <si>
    <t>Hydrogen Boiler Conservative</t>
  </si>
  <si>
    <t>Hydrogen Boiler Optimistic</t>
  </si>
  <si>
    <t>Natural Gas Boiler Pice</t>
  </si>
  <si>
    <t>H2 Boiler Price</t>
  </si>
  <si>
    <t>H2 Boiler Efficiency</t>
  </si>
  <si>
    <t>Substitute Other Fuels for Coal</t>
  </si>
  <si>
    <t>We estimate the cost of converting coal equipment to use other fuel types</t>
  </si>
  <si>
    <t>via the conversion of coal-fired biolers to natural gas, because of the</t>
  </si>
  <si>
    <t>availability of data.</t>
  </si>
  <si>
    <t>Typical Pulverized Coal to Natural Gas Conversions</t>
  </si>
  <si>
    <t>Estimate</t>
  </si>
  <si>
    <t>Cost per Unit Capacity ($/kW)</t>
  </si>
  <si>
    <t>Low</t>
  </si>
  <si>
    <t>High</t>
  </si>
  <si>
    <t>Avg</t>
  </si>
  <si>
    <t>Industrial Boiler Capacity Factor</t>
  </si>
  <si>
    <t>Hours per Year</t>
  </si>
  <si>
    <t>Investment Cost per Unit Annual Energy Converted ($/kWh)</t>
  </si>
  <si>
    <t>Investment per Unit Energy Converted ($/BTU)</t>
  </si>
  <si>
    <t>Cost ($/BTU)</t>
  </si>
  <si>
    <t>early eqpt retirement</t>
  </si>
  <si>
    <t>proper installation and use of eqpt</t>
  </si>
  <si>
    <t>cogeneration and waste heat recovery</t>
  </si>
  <si>
    <t>eqpt efficiency stds</t>
  </si>
  <si>
    <t>shift to electricity</t>
  </si>
  <si>
    <t>shift to hydrogen</t>
  </si>
  <si>
    <t>research and development</t>
  </si>
  <si>
    <t>Share of spending for construction and misc</t>
  </si>
  <si>
    <t>Share of spending for machinery</t>
  </si>
  <si>
    <t>Calculated India multiplier</t>
  </si>
  <si>
    <t>For India, we adjust the US costs. We use the ratio of India:US power plant costs to adjust costs for machinery, and</t>
  </si>
  <si>
    <t>the ratio of GDP per capita to adjust costs for construction and other business sector services.</t>
  </si>
  <si>
    <t>India:US cost adjustment, power plants</t>
  </si>
  <si>
    <t>India:US cost adjustment, GDP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</si>
</sst>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&quot;$&quot;#,##0.000"/>
    <numFmt numFmtId="166" formatCode="0.000E+00"/>
    <numFmt numFmtId="167" formatCode="0.0E+00"/>
    <numFmt numFmtId="168" formatCode="#,##0.000"/>
    <numFmt numFmtId="169" formatCode="0.0"/>
    <numFmt numFmtId="170" formatCode="&quot;$&quot;#,##0.00"/>
    <numFmt numFmtId="171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7" fillId="0" borderId="1" applyNumberFormat="0" applyProtection="0">
      <alignment wrapText="1"/>
    </xf>
    <xf numFmtId="0" fontId="6" fillId="0" borderId="2" applyNumberFormat="0" applyFont="0" applyProtection="0">
      <alignment wrapText="1"/>
    </xf>
    <xf numFmtId="0" fontId="7" fillId="0" borderId="3" applyNumberFormat="0" applyProtection="0">
      <alignment wrapText="1"/>
    </xf>
    <xf numFmtId="0" fontId="6" fillId="0" borderId="4" applyNumberFormat="0" applyProtection="0">
      <alignment vertical="top" wrapText="1"/>
    </xf>
    <xf numFmtId="0" fontId="2" fillId="4" borderId="5" applyNumberFormat="0" applyFont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0" fillId="0" borderId="0" xfId="0" quotePrefix="1" applyAlignment="1">
      <alignment horizontal="left"/>
    </xf>
    <xf numFmtId="0" fontId="3" fillId="0" borderId="0" xfId="2"/>
    <xf numFmtId="0" fontId="1" fillId="2" borderId="0" xfId="0" applyFont="1" applyFill="1" applyAlignment="1">
      <alignment wrapText="1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/>
    <xf numFmtId="165" fontId="1" fillId="2" borderId="0" xfId="0" applyNumberFormat="1" applyFont="1" applyFill="1" applyAlignment="1">
      <alignment horizontal="left"/>
    </xf>
    <xf numFmtId="0" fontId="0" fillId="2" borderId="0" xfId="0" applyFill="1"/>
    <xf numFmtId="1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4" fillId="0" borderId="0" xfId="0" applyFont="1"/>
    <xf numFmtId="166" fontId="0" fillId="0" borderId="0" xfId="0" applyNumberFormat="1" applyAlignment="1">
      <alignment horizontal="left"/>
    </xf>
    <xf numFmtId="11" fontId="0" fillId="3" borderId="0" xfId="0" applyNumberFormat="1" applyFill="1" applyAlignment="1">
      <alignment horizontal="left"/>
    </xf>
    <xf numFmtId="11" fontId="0" fillId="0" borderId="0" xfId="0" applyNumberFormat="1"/>
    <xf numFmtId="167" fontId="0" fillId="0" borderId="0" xfId="0" applyNumberFormat="1" applyAlignment="1">
      <alignment horizontal="left"/>
    </xf>
    <xf numFmtId="166" fontId="0" fillId="3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8" fontId="0" fillId="0" borderId="0" xfId="0" applyNumberFormat="1"/>
    <xf numFmtId="2" fontId="1" fillId="0" borderId="0" xfId="0" applyNumberFormat="1" applyFont="1"/>
    <xf numFmtId="0" fontId="1" fillId="4" borderId="5" xfId="9" applyFont="1"/>
    <xf numFmtId="0" fontId="0" fillId="4" borderId="5" xfId="9" applyFont="1"/>
    <xf numFmtId="9" fontId="0" fillId="4" borderId="5" xfId="9" applyNumberFormat="1" applyFont="1"/>
    <xf numFmtId="170" fontId="0" fillId="4" borderId="5" xfId="9" applyNumberFormat="1" applyFont="1"/>
    <xf numFmtId="164" fontId="0" fillId="4" borderId="5" xfId="9" applyNumberFormat="1" applyFont="1"/>
    <xf numFmtId="9" fontId="0" fillId="4" borderId="5" xfId="10" applyFont="1" applyFill="1" applyBorder="1"/>
    <xf numFmtId="169" fontId="0" fillId="4" borderId="5" xfId="9" applyNumberFormat="1" applyFont="1"/>
    <xf numFmtId="3" fontId="0" fillId="4" borderId="5" xfId="9" applyNumberFormat="1" applyFont="1"/>
    <xf numFmtId="0" fontId="10" fillId="0" borderId="0" xfId="0" applyFont="1"/>
    <xf numFmtId="2" fontId="0" fillId="4" borderId="5" xfId="9" applyNumberFormat="1" applyFont="1"/>
    <xf numFmtId="0" fontId="1" fillId="0" borderId="0" xfId="0" applyFont="1" applyAlignment="1">
      <alignment horizontal="right"/>
    </xf>
    <xf numFmtId="6" fontId="0" fillId="0" borderId="0" xfId="0" applyNumberFormat="1"/>
    <xf numFmtId="0" fontId="1" fillId="0" borderId="0" xfId="0" applyFont="1" applyAlignment="1">
      <alignment horizontal="right" wrapText="1"/>
    </xf>
    <xf numFmtId="11" fontId="0" fillId="5" borderId="0" xfId="0" applyNumberFormat="1" applyFill="1"/>
    <xf numFmtId="171" fontId="0" fillId="0" borderId="0" xfId="0" applyNumberFormat="1"/>
    <xf numFmtId="11" fontId="0" fillId="6" borderId="0" xfId="0" applyNumberFormat="1" applyFill="1"/>
    <xf numFmtId="0" fontId="1" fillId="7" borderId="0" xfId="0" applyFont="1" applyFill="1" applyAlignment="1">
      <alignment horizontal="left"/>
    </xf>
    <xf numFmtId="0" fontId="0" fillId="7" borderId="0" xfId="0" applyFill="1"/>
    <xf numFmtId="6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6" fontId="4" fillId="0" borderId="0" xfId="0" applyNumberFormat="1" applyFont="1" applyAlignment="1">
      <alignment horizontal="left"/>
    </xf>
    <xf numFmtId="165" fontId="0" fillId="0" borderId="0" xfId="1" applyNumberFormat="1" applyFont="1" applyAlignment="1">
      <alignment horizontal="left"/>
    </xf>
    <xf numFmtId="166" fontId="0" fillId="0" borderId="0" xfId="0" applyNumberFormat="1"/>
    <xf numFmtId="0" fontId="1" fillId="8" borderId="0" xfId="0" applyFont="1" applyFill="1"/>
    <xf numFmtId="0" fontId="0" fillId="8" borderId="0" xfId="0" applyFill="1"/>
    <xf numFmtId="11" fontId="0" fillId="5" borderId="0" xfId="0" applyNumberFormat="1" applyFill="1" applyAlignment="1">
      <alignment horizontal="left"/>
    </xf>
  </cellXfs>
  <cellStyles count="11">
    <cellStyle name="Body: normal cell" xfId="6" xr:uid="{00000000-0005-0000-0000-000000000000}"/>
    <cellStyle name="Currency" xfId="1" builtinId="4"/>
    <cellStyle name="Font: Calibri, 9pt regular" xfId="4" xr:uid="{00000000-0005-0000-0000-000002000000}"/>
    <cellStyle name="Footnotes: top row" xfId="8" xr:uid="{00000000-0005-0000-0000-000003000000}"/>
    <cellStyle name="Header: bottom row" xfId="5" xr:uid="{00000000-0005-0000-0000-000004000000}"/>
    <cellStyle name="Hyperlink" xfId="2" builtinId="8"/>
    <cellStyle name="Normal" xfId="0" builtinId="0"/>
    <cellStyle name="Note" xfId="9" builtinId="10"/>
    <cellStyle name="Parent row" xfId="7" xr:uid="{00000000-0005-0000-0000-000008000000}"/>
    <cellStyle name="Percent" xfId="10" builtinId="5"/>
    <cellStyle name="Table title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9525</xdr:rowOff>
    </xdr:from>
    <xdr:to>
      <xdr:col>4</xdr:col>
      <xdr:colOff>152400</xdr:colOff>
      <xdr:row>59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81525"/>
          <a:ext cx="7620000" cy="5429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180975</xdr:colOff>
      <xdr:row>28</xdr:row>
      <xdr:rowOff>129654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77A4A-2F0B-9B40-B441-F44633B09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4000500" cy="3558654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10</xdr:row>
      <xdr:rowOff>57150</xdr:rowOff>
    </xdr:from>
    <xdr:to>
      <xdr:col>13</xdr:col>
      <xdr:colOff>237614</xdr:colOff>
      <xdr:row>32</xdr:row>
      <xdr:rowOff>104245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E7B3D1-B516-269F-941C-3CC5A2176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6700" y="1962150"/>
          <a:ext cx="4085714" cy="4238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0</xdr:rowOff>
    </xdr:from>
    <xdr:to>
      <xdr:col>16</xdr:col>
      <xdr:colOff>69850</xdr:colOff>
      <xdr:row>17</xdr:row>
      <xdr:rowOff>131287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9E1751-E762-47E8-81DF-B4E3D50BA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" y="0"/>
          <a:ext cx="8642350" cy="3261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mi.org/RFGraph-US_industry_energy_saving_potential" TargetMode="External"/><Relationship Id="rId2" Type="http://schemas.openxmlformats.org/officeDocument/2006/relationships/hyperlink" Target="http://www.rmi.org/RFGraph-Cumulative_2010_value_capital_investment_fuel_savings" TargetMode="External"/><Relationship Id="rId1" Type="http://schemas.openxmlformats.org/officeDocument/2006/relationships/hyperlink" Target="http://aceee.org/files/proceedings/2013/data/papers/3_166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babcock.com/library/Documents/MS-14.pdf" TargetMode="External"/><Relationship Id="rId4" Type="http://schemas.openxmlformats.org/officeDocument/2006/relationships/hyperlink" Target="https://climate.emerson.com/documents/vilter-heat-pump-white-paper-en-us-541119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e.com/SC3/b-rs/large-business/spc/calculating-energy-savings.ht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opLeftCell="A46" workbookViewId="0">
      <selection activeCell="A65" sqref="A65"/>
    </sheetView>
  </sheetViews>
  <sheetFormatPr defaultRowHeight="15" x14ac:dyDescent="0.25"/>
  <cols>
    <col min="2" max="2" width="81.7109375" customWidth="1"/>
    <col min="4" max="4" width="56.140625" customWidth="1"/>
  </cols>
  <sheetData>
    <row r="1" spans="1:4" x14ac:dyDescent="0.25">
      <c r="A1" s="1" t="s">
        <v>0</v>
      </c>
    </row>
    <row r="3" spans="1:4" x14ac:dyDescent="0.25">
      <c r="A3" s="1" t="s">
        <v>1</v>
      </c>
      <c r="B3" s="8" t="s">
        <v>2</v>
      </c>
      <c r="D3" s="8" t="s">
        <v>3</v>
      </c>
    </row>
    <row r="4" spans="1:4" x14ac:dyDescent="0.25">
      <c r="B4" t="s">
        <v>4</v>
      </c>
      <c r="D4" t="s">
        <v>5</v>
      </c>
    </row>
    <row r="5" spans="1:4" x14ac:dyDescent="0.25">
      <c r="B5" s="2">
        <v>2013</v>
      </c>
      <c r="D5" s="2">
        <v>2010</v>
      </c>
    </row>
    <row r="6" spans="1:4" x14ac:dyDescent="0.25">
      <c r="B6" t="s">
        <v>6</v>
      </c>
      <c r="D6" t="s">
        <v>7</v>
      </c>
    </row>
    <row r="7" spans="1:4" x14ac:dyDescent="0.25">
      <c r="B7" s="3" t="s">
        <v>8</v>
      </c>
      <c r="D7" s="3" t="s">
        <v>9</v>
      </c>
    </row>
    <row r="8" spans="1:4" x14ac:dyDescent="0.25">
      <c r="B8" t="s">
        <v>10</v>
      </c>
      <c r="D8" t="s">
        <v>11</v>
      </c>
    </row>
    <row r="10" spans="1:4" x14ac:dyDescent="0.25">
      <c r="B10" s="8" t="s">
        <v>12</v>
      </c>
      <c r="D10" s="8" t="s">
        <v>3</v>
      </c>
    </row>
    <row r="11" spans="1:4" x14ac:dyDescent="0.25">
      <c r="B11" t="s">
        <v>13</v>
      </c>
      <c r="D11" t="s">
        <v>14</v>
      </c>
    </row>
    <row r="12" spans="1:4" x14ac:dyDescent="0.25">
      <c r="B12" s="5">
        <v>2011</v>
      </c>
      <c r="D12" s="2">
        <v>2009</v>
      </c>
    </row>
    <row r="13" spans="1:4" x14ac:dyDescent="0.25">
      <c r="B13" t="s">
        <v>15</v>
      </c>
      <c r="D13" t="s">
        <v>16</v>
      </c>
    </row>
    <row r="14" spans="1:4" x14ac:dyDescent="0.25">
      <c r="B14" s="3" t="s">
        <v>17</v>
      </c>
      <c r="D14" s="3" t="s">
        <v>18</v>
      </c>
    </row>
    <row r="15" spans="1:4" x14ac:dyDescent="0.25">
      <c r="B15" t="s">
        <v>19</v>
      </c>
      <c r="D15" t="s">
        <v>20</v>
      </c>
    </row>
    <row r="17" spans="2:2" x14ac:dyDescent="0.25">
      <c r="B17" s="8" t="s">
        <v>21</v>
      </c>
    </row>
    <row r="18" spans="2:2" x14ac:dyDescent="0.25">
      <c r="B18" t="s">
        <v>13</v>
      </c>
    </row>
    <row r="19" spans="2:2" x14ac:dyDescent="0.25">
      <c r="B19" s="5">
        <v>2011</v>
      </c>
    </row>
    <row r="20" spans="2:2" x14ac:dyDescent="0.25">
      <c r="B20" t="s">
        <v>22</v>
      </c>
    </row>
    <row r="21" spans="2:2" x14ac:dyDescent="0.25">
      <c r="B21" s="3" t="s">
        <v>23</v>
      </c>
    </row>
    <row r="22" spans="2:2" x14ac:dyDescent="0.25">
      <c r="B22" t="s">
        <v>24</v>
      </c>
    </row>
    <row r="24" spans="2:2" ht="14.25" customHeight="1" x14ac:dyDescent="0.25">
      <c r="B24" s="8" t="s">
        <v>25</v>
      </c>
    </row>
    <row r="25" spans="2:2" ht="14.25" customHeight="1" x14ac:dyDescent="0.25">
      <c r="B25" t="s">
        <v>26</v>
      </c>
    </row>
    <row r="26" spans="2:2" ht="14.25" customHeight="1" x14ac:dyDescent="0.25">
      <c r="B26" t="s">
        <v>27</v>
      </c>
    </row>
    <row r="27" spans="2:2" ht="14.25" customHeight="1" x14ac:dyDescent="0.25">
      <c r="B27" s="2">
        <v>2020</v>
      </c>
    </row>
    <row r="28" spans="2:2" ht="14.25" customHeight="1" x14ac:dyDescent="0.25">
      <c r="B28" s="3" t="s">
        <v>28</v>
      </c>
    </row>
    <row r="30" spans="2:2" x14ac:dyDescent="0.25">
      <c r="B30" s="8" t="s">
        <v>29</v>
      </c>
    </row>
    <row r="31" spans="2:2" x14ac:dyDescent="0.25">
      <c r="B31" t="s">
        <v>30</v>
      </c>
    </row>
    <row r="32" spans="2:2" x14ac:dyDescent="0.25">
      <c r="B32" s="5">
        <v>2011</v>
      </c>
    </row>
    <row r="33" spans="1:2" x14ac:dyDescent="0.25">
      <c r="B33" s="2" t="s">
        <v>31</v>
      </c>
    </row>
    <row r="34" spans="1:2" x14ac:dyDescent="0.25">
      <c r="B34" s="3" t="s">
        <v>32</v>
      </c>
    </row>
    <row r="36" spans="1:2" x14ac:dyDescent="0.25">
      <c r="A36" s="1" t="s">
        <v>33</v>
      </c>
    </row>
    <row r="38" spans="1:2" x14ac:dyDescent="0.25">
      <c r="A38" t="s">
        <v>34</v>
      </c>
    </row>
    <row r="39" spans="1:2" x14ac:dyDescent="0.25">
      <c r="A39" t="s">
        <v>35</v>
      </c>
    </row>
    <row r="41" spans="1:2" x14ac:dyDescent="0.25">
      <c r="A41" t="s">
        <v>36</v>
      </c>
    </row>
    <row r="42" spans="1:2" x14ac:dyDescent="0.25">
      <c r="A42" t="s">
        <v>37</v>
      </c>
    </row>
    <row r="44" spans="1:2" x14ac:dyDescent="0.25">
      <c r="A44" t="s">
        <v>38</v>
      </c>
    </row>
    <row r="45" spans="1:2" x14ac:dyDescent="0.25">
      <c r="A45" t="s">
        <v>39</v>
      </c>
    </row>
    <row r="47" spans="1:2" x14ac:dyDescent="0.25">
      <c r="A47" t="s">
        <v>40</v>
      </c>
    </row>
    <row r="48" spans="1:2" x14ac:dyDescent="0.25">
      <c r="A48" t="s">
        <v>41</v>
      </c>
    </row>
    <row r="50" spans="1:2" x14ac:dyDescent="0.25">
      <c r="A50" t="s">
        <v>42</v>
      </c>
    </row>
    <row r="52" spans="1:2" x14ac:dyDescent="0.25">
      <c r="A52" s="1" t="s">
        <v>43</v>
      </c>
    </row>
    <row r="53" spans="1:2" x14ac:dyDescent="0.25">
      <c r="A53" t="s">
        <v>44</v>
      </c>
    </row>
    <row r="54" spans="1:2" x14ac:dyDescent="0.25">
      <c r="A54" t="s">
        <v>45</v>
      </c>
    </row>
    <row r="55" spans="1:2" x14ac:dyDescent="0.25">
      <c r="A55" t="s">
        <v>46</v>
      </c>
    </row>
    <row r="56" spans="1:2" x14ac:dyDescent="0.25">
      <c r="A56" t="s">
        <v>47</v>
      </c>
    </row>
    <row r="57" spans="1:2" x14ac:dyDescent="0.25">
      <c r="A57">
        <v>0.98699999999999999</v>
      </c>
      <c r="B57" t="s">
        <v>48</v>
      </c>
    </row>
    <row r="58" spans="1:2" x14ac:dyDescent="0.25">
      <c r="A58" s="21">
        <v>1.0549999999999999</v>
      </c>
      <c r="B58" t="s">
        <v>49</v>
      </c>
    </row>
    <row r="59" spans="1:2" x14ac:dyDescent="0.25">
      <c r="A59" t="s">
        <v>50</v>
      </c>
    </row>
    <row r="61" spans="1:2" x14ac:dyDescent="0.25">
      <c r="A61" t="s">
        <v>179</v>
      </c>
    </row>
    <row r="62" spans="1:2" x14ac:dyDescent="0.25">
      <c r="A62" t="s">
        <v>180</v>
      </c>
    </row>
    <row r="64" spans="1:2" x14ac:dyDescent="0.25">
      <c r="A64" t="s">
        <v>181</v>
      </c>
    </row>
    <row r="65" spans="1:1" x14ac:dyDescent="0.25">
      <c r="A65">
        <v>0.50596615326007399</v>
      </c>
    </row>
    <row r="67" spans="1:1" x14ac:dyDescent="0.25">
      <c r="A67" t="s">
        <v>182</v>
      </c>
    </row>
    <row r="68" spans="1:1" x14ac:dyDescent="0.25">
      <c r="A68">
        <v>3.878298458735905E-2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  <hyperlink ref="B34" r:id="rId4" xr:uid="{6376C4F0-B677-4CE5-9217-A9D26BE45B75}"/>
    <hyperlink ref="D7" r:id="rId5" xr:uid="{1577CB84-3B18-4B4B-9741-3317554DFE0F}"/>
  </hyperlinks>
  <pageMargins left="0.7" right="0.7" top="0.75" bottom="0.75" header="0.3" footer="0.3"/>
  <pageSetup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A20" sqref="A20"/>
    </sheetView>
  </sheetViews>
  <sheetFormatPr defaultRowHeight="15" x14ac:dyDescent="0.25"/>
  <cols>
    <col min="1" max="1" width="22.140625" customWidth="1"/>
    <col min="2" max="2" width="28.5703125" customWidth="1"/>
    <col min="3" max="3" width="26.140625" customWidth="1"/>
    <col min="4" max="4" width="23.85546875" customWidth="1"/>
  </cols>
  <sheetData>
    <row r="1" spans="1:4" x14ac:dyDescent="0.25">
      <c r="A1" s="1" t="s">
        <v>51</v>
      </c>
    </row>
    <row r="3" spans="1:4" x14ac:dyDescent="0.25">
      <c r="A3" s="1" t="s">
        <v>52</v>
      </c>
      <c r="B3" t="s">
        <v>53</v>
      </c>
    </row>
    <row r="4" spans="1:4" x14ac:dyDescent="0.25">
      <c r="B4" t="s">
        <v>54</v>
      </c>
    </row>
    <row r="5" spans="1:4" x14ac:dyDescent="0.25">
      <c r="B5" t="s">
        <v>55</v>
      </c>
    </row>
    <row r="6" spans="1:4" x14ac:dyDescent="0.25">
      <c r="B6" t="s">
        <v>56</v>
      </c>
    </row>
    <row r="7" spans="1:4" x14ac:dyDescent="0.25">
      <c r="B7" t="s">
        <v>57</v>
      </c>
      <c r="C7" s="3" t="s">
        <v>58</v>
      </c>
    </row>
    <row r="8" spans="1:4" x14ac:dyDescent="0.25">
      <c r="B8" t="s">
        <v>59</v>
      </c>
    </row>
    <row r="10" spans="1:4" ht="45" x14ac:dyDescent="0.25">
      <c r="A10" s="4" t="s">
        <v>60</v>
      </c>
      <c r="B10" s="4" t="s">
        <v>61</v>
      </c>
      <c r="C10" s="4" t="s">
        <v>62</v>
      </c>
      <c r="D10" s="4" t="s">
        <v>63</v>
      </c>
    </row>
    <row r="11" spans="1:4" x14ac:dyDescent="0.25">
      <c r="A11" t="s">
        <v>64</v>
      </c>
      <c r="B11" s="5">
        <v>4262</v>
      </c>
      <c r="C11" s="6">
        <v>1558</v>
      </c>
      <c r="D11" s="7">
        <f>C11/B11</f>
        <v>0.36555607695917408</v>
      </c>
    </row>
    <row r="12" spans="1:4" x14ac:dyDescent="0.25">
      <c r="A12" t="s">
        <v>65</v>
      </c>
      <c r="B12" s="5">
        <v>8738</v>
      </c>
      <c r="C12" s="6">
        <v>4305</v>
      </c>
      <c r="D12" s="7">
        <f>C12/B12</f>
        <v>0.49267566948958574</v>
      </c>
    </row>
    <row r="13" spans="1:4" x14ac:dyDescent="0.25">
      <c r="A13" t="s">
        <v>66</v>
      </c>
      <c r="B13" s="5">
        <v>13901</v>
      </c>
      <c r="C13" s="6">
        <v>8610</v>
      </c>
      <c r="D13" s="7">
        <f>C13/B13</f>
        <v>0.61937990072656646</v>
      </c>
    </row>
    <row r="14" spans="1:4" x14ac:dyDescent="0.25">
      <c r="A14" s="8" t="s">
        <v>67</v>
      </c>
      <c r="B14" s="8"/>
      <c r="C14" s="8"/>
      <c r="D14" s="9">
        <f>AVERAGE(D11:D13)</f>
        <v>0.49253721572510872</v>
      </c>
    </row>
    <row r="16" spans="1:4" x14ac:dyDescent="0.25">
      <c r="A16" s="8" t="s">
        <v>68</v>
      </c>
      <c r="B16" s="10"/>
    </row>
    <row r="17" spans="1:2" x14ac:dyDescent="0.25">
      <c r="A17" s="11">
        <f>2.93*10^-4</f>
        <v>2.9300000000000002E-4</v>
      </c>
    </row>
    <row r="19" spans="1:2" x14ac:dyDescent="0.25">
      <c r="A19" s="8" t="s">
        <v>69</v>
      </c>
      <c r="B19" s="8"/>
    </row>
    <row r="20" spans="1:2" x14ac:dyDescent="0.25">
      <c r="A20" s="16">
        <f>D14*A17</f>
        <v>1.4431340420745687E-4</v>
      </c>
    </row>
  </sheetData>
  <hyperlinks>
    <hyperlink ref="C7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selection activeCell="C4" sqref="C4"/>
    </sheetView>
  </sheetViews>
  <sheetFormatPr defaultRowHeight="15" x14ac:dyDescent="0.25"/>
  <cols>
    <col min="1" max="1" width="32.140625" customWidth="1"/>
    <col min="2" max="2" width="23.42578125" customWidth="1"/>
    <col min="3" max="3" width="29.5703125" customWidth="1"/>
    <col min="4" max="4" width="26.85546875" customWidth="1"/>
    <col min="5" max="5" width="29.42578125" customWidth="1"/>
    <col min="6" max="6" width="12" bestFit="1" customWidth="1"/>
    <col min="7" max="7" width="9.5703125" bestFit="1" customWidth="1"/>
    <col min="10" max="10" width="12" bestFit="1" customWidth="1"/>
  </cols>
  <sheetData>
    <row r="1" spans="1:2" x14ac:dyDescent="0.25">
      <c r="A1" s="1" t="s">
        <v>70</v>
      </c>
    </row>
    <row r="2" spans="1:2" x14ac:dyDescent="0.25">
      <c r="A2" s="1"/>
    </row>
    <row r="3" spans="1:2" x14ac:dyDescent="0.25">
      <c r="A3" s="8" t="s">
        <v>71</v>
      </c>
      <c r="B3" s="10"/>
    </row>
    <row r="4" spans="1:2" x14ac:dyDescent="0.25">
      <c r="A4" t="s">
        <v>72</v>
      </c>
      <c r="B4" s="18">
        <f>2.4*10^15</f>
        <v>2400000000000000</v>
      </c>
    </row>
    <row r="5" spans="1:2" x14ac:dyDescent="0.25">
      <c r="B5" s="18"/>
    </row>
    <row r="6" spans="1:2" x14ac:dyDescent="0.25">
      <c r="A6" s="1"/>
    </row>
    <row r="7" spans="1:2" x14ac:dyDescent="0.25">
      <c r="A7" s="1" t="s">
        <v>73</v>
      </c>
    </row>
    <row r="8" spans="1:2" x14ac:dyDescent="0.25">
      <c r="A8" t="s">
        <v>74</v>
      </c>
    </row>
    <row r="9" spans="1:2" x14ac:dyDescent="0.25">
      <c r="A9" t="s">
        <v>75</v>
      </c>
    </row>
    <row r="10" spans="1:2" x14ac:dyDescent="0.25">
      <c r="A10" t="s">
        <v>76</v>
      </c>
    </row>
    <row r="11" spans="1:2" x14ac:dyDescent="0.25">
      <c r="A11" t="s">
        <v>77</v>
      </c>
    </row>
    <row r="12" spans="1:2" x14ac:dyDescent="0.25">
      <c r="A12" t="s">
        <v>78</v>
      </c>
    </row>
    <row r="14" spans="1:2" x14ac:dyDescent="0.25">
      <c r="A14" s="14" t="s">
        <v>79</v>
      </c>
    </row>
    <row r="15" spans="1:2" x14ac:dyDescent="0.25">
      <c r="A15" t="s">
        <v>80</v>
      </c>
    </row>
    <row r="16" spans="1:2" x14ac:dyDescent="0.25">
      <c r="A16" t="s">
        <v>81</v>
      </c>
    </row>
    <row r="17" spans="1:7" x14ac:dyDescent="0.25">
      <c r="A17" t="s">
        <v>82</v>
      </c>
    </row>
    <row r="18" spans="1:7" x14ac:dyDescent="0.25">
      <c r="A18" t="s">
        <v>83</v>
      </c>
    </row>
    <row r="19" spans="1:7" x14ac:dyDescent="0.25">
      <c r="A19" t="s">
        <v>84</v>
      </c>
    </row>
    <row r="20" spans="1:7" x14ac:dyDescent="0.25">
      <c r="A20" t="s">
        <v>85</v>
      </c>
    </row>
    <row r="21" spans="1:7" x14ac:dyDescent="0.25">
      <c r="A21" t="s">
        <v>86</v>
      </c>
    </row>
    <row r="23" spans="1:7" x14ac:dyDescent="0.25">
      <c r="A23" s="8" t="s">
        <v>87</v>
      </c>
      <c r="B23" s="10"/>
      <c r="C23" s="10"/>
      <c r="D23" s="10"/>
      <c r="E23" s="10"/>
    </row>
    <row r="24" spans="1:7" x14ac:dyDescent="0.25">
      <c r="B24" t="s">
        <v>88</v>
      </c>
      <c r="C24" t="s">
        <v>89</v>
      </c>
      <c r="D24" t="s">
        <v>90</v>
      </c>
      <c r="E24" t="s">
        <v>91</v>
      </c>
    </row>
    <row r="25" spans="1:7" x14ac:dyDescent="0.25">
      <c r="A25" t="s">
        <v>72</v>
      </c>
      <c r="B25" s="5">
        <v>114</v>
      </c>
      <c r="C25" s="5">
        <v>22</v>
      </c>
      <c r="D25" s="15">
        <f>284*10^9</f>
        <v>284000000000</v>
      </c>
      <c r="E25" s="15">
        <f>(C25/B25)*D25</f>
        <v>54807017543.85965</v>
      </c>
    </row>
    <row r="26" spans="1:7" x14ac:dyDescent="0.25">
      <c r="B26" s="5"/>
      <c r="C26" s="5"/>
      <c r="D26" s="15"/>
      <c r="E26" s="15"/>
    </row>
    <row r="27" spans="1:7" x14ac:dyDescent="0.25">
      <c r="A27" s="5"/>
      <c r="B27" s="5"/>
      <c r="C27" s="15"/>
      <c r="D27" s="15"/>
    </row>
    <row r="28" spans="1:7" x14ac:dyDescent="0.25">
      <c r="A28" s="13" t="s">
        <v>92</v>
      </c>
      <c r="B28" s="20"/>
      <c r="C28" s="15"/>
      <c r="D28" s="15"/>
    </row>
    <row r="29" spans="1:7" x14ac:dyDescent="0.25">
      <c r="A29" t="s">
        <v>72</v>
      </c>
      <c r="B29" s="19">
        <f>E25/B4</f>
        <v>2.2836257309941521E-5</v>
      </c>
      <c r="C29" s="15"/>
      <c r="D29" s="15"/>
    </row>
    <row r="30" spans="1:7" x14ac:dyDescent="0.25">
      <c r="C30" s="15"/>
      <c r="D30" s="15"/>
      <c r="G30" s="45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20BD-F268-461F-B03F-7101039E9E7B}">
  <dimension ref="A1:Q8"/>
  <sheetViews>
    <sheetView workbookViewId="0">
      <selection activeCell="B5" sqref="B5"/>
    </sheetView>
  </sheetViews>
  <sheetFormatPr defaultRowHeight="15" x14ac:dyDescent="0.25"/>
  <cols>
    <col min="1" max="1" width="11.5703125" customWidth="1"/>
  </cols>
  <sheetData>
    <row r="1" spans="1:17" x14ac:dyDescent="0.25">
      <c r="B1">
        <v>2009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</row>
    <row r="2" spans="1:17" x14ac:dyDescent="0.25">
      <c r="A2" s="17">
        <f>NPV(0.07,B2:M2)</f>
        <v>79000000000.000015</v>
      </c>
      <c r="B2" s="17">
        <v>9946257103.7466221</v>
      </c>
      <c r="C2" s="17">
        <f>B2</f>
        <v>9946257103.7466221</v>
      </c>
      <c r="D2" s="17">
        <f t="shared" ref="D2:M2" si="0">C2</f>
        <v>9946257103.7466221</v>
      </c>
      <c r="E2" s="17">
        <f t="shared" si="0"/>
        <v>9946257103.7466221</v>
      </c>
      <c r="F2" s="17">
        <f t="shared" si="0"/>
        <v>9946257103.7466221</v>
      </c>
      <c r="G2" s="17">
        <f t="shared" si="0"/>
        <v>9946257103.7466221</v>
      </c>
      <c r="H2" s="17">
        <f t="shared" si="0"/>
        <v>9946257103.7466221</v>
      </c>
      <c r="I2" s="17">
        <f t="shared" si="0"/>
        <v>9946257103.7466221</v>
      </c>
      <c r="J2" s="17">
        <f t="shared" si="0"/>
        <v>9946257103.7466221</v>
      </c>
      <c r="K2" s="17">
        <f t="shared" si="0"/>
        <v>9946257103.7466221</v>
      </c>
      <c r="L2" s="17">
        <f t="shared" si="0"/>
        <v>9946257103.7466221</v>
      </c>
      <c r="M2" s="17">
        <f t="shared" si="0"/>
        <v>9946257103.7466221</v>
      </c>
    </row>
    <row r="3" spans="1:17" x14ac:dyDescent="0.25">
      <c r="A3">
        <f>51+28</f>
        <v>79</v>
      </c>
    </row>
    <row r="4" spans="1:17" x14ac:dyDescent="0.25">
      <c r="B4">
        <f>M4/COUNT(B1:M1)</f>
        <v>201.66666666666666</v>
      </c>
      <c r="C4" t="s">
        <v>93</v>
      </c>
      <c r="M4">
        <f>1550+870</f>
        <v>2420</v>
      </c>
    </row>
    <row r="5" spans="1:17" x14ac:dyDescent="0.25">
      <c r="B5" s="17">
        <f>B2/(B4*1000000000000)*Q5</f>
        <v>5.2772702980209352E-5</v>
      </c>
      <c r="O5" t="s">
        <v>94</v>
      </c>
      <c r="Q5">
        <v>1.07</v>
      </c>
    </row>
    <row r="7" spans="1:17" x14ac:dyDescent="0.25">
      <c r="A7" t="s">
        <v>95</v>
      </c>
    </row>
    <row r="8" spans="1:17" x14ac:dyDescent="0.25">
      <c r="A8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4B78-0E9B-4A9B-9D3C-65AF6790BABC}">
  <dimension ref="A1:D53"/>
  <sheetViews>
    <sheetView topLeftCell="A21" workbookViewId="0"/>
  </sheetViews>
  <sheetFormatPr defaultColWidth="9.140625" defaultRowHeight="15" x14ac:dyDescent="0.25"/>
  <cols>
    <col min="1" max="1" width="31.85546875" customWidth="1"/>
    <col min="2" max="2" width="22.28515625" customWidth="1"/>
    <col min="3" max="3" width="19.140625" customWidth="1"/>
    <col min="4" max="4" width="20.5703125" customWidth="1"/>
  </cols>
  <sheetData>
    <row r="1" spans="1:4" x14ac:dyDescent="0.25">
      <c r="A1" s="46" t="s">
        <v>97</v>
      </c>
      <c r="B1" s="47"/>
      <c r="C1" s="47"/>
      <c r="D1" s="47"/>
    </row>
    <row r="2" spans="1:4" x14ac:dyDescent="0.25">
      <c r="A2" s="1"/>
    </row>
    <row r="3" spans="1:4" x14ac:dyDescent="0.25">
      <c r="A3" s="1" t="s">
        <v>98</v>
      </c>
    </row>
    <row r="5" spans="1:4" ht="30" x14ac:dyDescent="0.25">
      <c r="B5" s="35" t="s">
        <v>99</v>
      </c>
      <c r="C5" s="35" t="s">
        <v>100</v>
      </c>
      <c r="D5" s="33" t="s">
        <v>101</v>
      </c>
    </row>
    <row r="6" spans="1:4" x14ac:dyDescent="0.25">
      <c r="A6" t="s">
        <v>102</v>
      </c>
      <c r="B6">
        <v>56603</v>
      </c>
      <c r="C6" s="34">
        <v>750000</v>
      </c>
      <c r="D6" s="17">
        <f>C6/(B6*10^6)</f>
        <v>1.3250181085808173E-5</v>
      </c>
    </row>
    <row r="7" spans="1:4" x14ac:dyDescent="0.25">
      <c r="A7" t="s">
        <v>103</v>
      </c>
      <c r="B7">
        <v>25717</v>
      </c>
      <c r="C7" s="34">
        <v>700000</v>
      </c>
      <c r="D7" s="17">
        <f t="shared" ref="D7:D9" si="0">C7/(B7*10^6)</f>
        <v>2.7219349068709415E-5</v>
      </c>
    </row>
    <row r="8" spans="1:4" x14ac:dyDescent="0.25">
      <c r="A8" t="s">
        <v>104</v>
      </c>
      <c r="B8">
        <v>60507</v>
      </c>
      <c r="C8" s="34">
        <v>1250000</v>
      </c>
      <c r="D8" s="17">
        <f t="shared" si="0"/>
        <v>2.0658766754259837E-5</v>
      </c>
    </row>
    <row r="9" spans="1:4" x14ac:dyDescent="0.25">
      <c r="A9" s="1" t="s">
        <v>105</v>
      </c>
      <c r="B9">
        <f>AVERAGE(B6:B8)</f>
        <v>47609</v>
      </c>
      <c r="C9">
        <f>AVERAGE(C6:C8)</f>
        <v>900000</v>
      </c>
      <c r="D9" s="38">
        <f t="shared" si="0"/>
        <v>1.8903988741624482E-5</v>
      </c>
    </row>
    <row r="11" spans="1:4" x14ac:dyDescent="0.25">
      <c r="A11" t="s">
        <v>106</v>
      </c>
    </row>
    <row r="12" spans="1:4" x14ac:dyDescent="0.25">
      <c r="A12" t="s">
        <v>107</v>
      </c>
    </row>
    <row r="13" spans="1:4" x14ac:dyDescent="0.25">
      <c r="A13" t="s">
        <v>108</v>
      </c>
    </row>
    <row r="15" spans="1:4" x14ac:dyDescent="0.25">
      <c r="A15" s="14" t="s">
        <v>109</v>
      </c>
    </row>
    <row r="16" spans="1:4" x14ac:dyDescent="0.25">
      <c r="A16" t="s">
        <v>110</v>
      </c>
    </row>
    <row r="17" spans="1:4" x14ac:dyDescent="0.25">
      <c r="A17" s="37">
        <v>0.67400000000000004</v>
      </c>
    </row>
    <row r="19" spans="1:4" x14ac:dyDescent="0.25">
      <c r="A19" t="s">
        <v>111</v>
      </c>
    </row>
    <row r="20" spans="1:4" x14ac:dyDescent="0.25">
      <c r="A20" s="36">
        <f>D9*(1-A17)</f>
        <v>6.1627003297695804E-6</v>
      </c>
    </row>
    <row r="23" spans="1:4" x14ac:dyDescent="0.25">
      <c r="A23" s="46" t="s">
        <v>112</v>
      </c>
      <c r="B23" s="47"/>
      <c r="C23" s="47"/>
      <c r="D23" s="47"/>
    </row>
    <row r="25" spans="1:4" x14ac:dyDescent="0.25">
      <c r="A25" s="22" t="s">
        <v>113</v>
      </c>
    </row>
    <row r="27" spans="1:4" x14ac:dyDescent="0.25">
      <c r="A27" s="1" t="s">
        <v>114</v>
      </c>
    </row>
    <row r="28" spans="1:4" x14ac:dyDescent="0.25">
      <c r="A28" s="1" t="s">
        <v>115</v>
      </c>
    </row>
    <row r="29" spans="1:4" x14ac:dyDescent="0.25">
      <c r="A29" s="23" t="s">
        <v>116</v>
      </c>
      <c r="B29" s="23" t="s">
        <v>117</v>
      </c>
      <c r="C29" s="23" t="s">
        <v>118</v>
      </c>
    </row>
    <row r="30" spans="1:4" x14ac:dyDescent="0.25">
      <c r="A30" s="24" t="s">
        <v>119</v>
      </c>
      <c r="B30" s="24" t="s">
        <v>120</v>
      </c>
      <c r="C30" s="24">
        <v>25</v>
      </c>
    </row>
    <row r="31" spans="1:4" x14ac:dyDescent="0.25">
      <c r="A31" s="24" t="s">
        <v>121</v>
      </c>
      <c r="B31" s="24" t="s">
        <v>122</v>
      </c>
      <c r="C31" s="25">
        <v>0.05</v>
      </c>
    </row>
    <row r="32" spans="1:4" x14ac:dyDescent="0.25">
      <c r="A32" s="24" t="s">
        <v>123</v>
      </c>
      <c r="B32" s="24" t="s">
        <v>124</v>
      </c>
      <c r="C32" s="26">
        <v>6.5242598122280206</v>
      </c>
      <c r="D32" s="31"/>
    </row>
    <row r="33" spans="1:4" x14ac:dyDescent="0.25">
      <c r="A33" s="24" t="s">
        <v>125</v>
      </c>
      <c r="B33" s="24" t="s">
        <v>126</v>
      </c>
      <c r="C33" s="32">
        <v>6.3954140084752677E-3</v>
      </c>
    </row>
    <row r="34" spans="1:4" x14ac:dyDescent="0.25">
      <c r="A34" s="24" t="s">
        <v>127</v>
      </c>
      <c r="B34" s="24" t="s">
        <v>128</v>
      </c>
      <c r="C34" s="32">
        <v>52.826854199999993</v>
      </c>
    </row>
    <row r="36" spans="1:4" x14ac:dyDescent="0.25">
      <c r="A36" s="1" t="s">
        <v>114</v>
      </c>
    </row>
    <row r="37" spans="1:4" x14ac:dyDescent="0.25">
      <c r="A37" s="23" t="s">
        <v>116</v>
      </c>
      <c r="B37" s="23" t="s">
        <v>117</v>
      </c>
      <c r="C37" s="23" t="s">
        <v>129</v>
      </c>
      <c r="D37" s="23" t="s">
        <v>130</v>
      </c>
    </row>
    <row r="38" spans="1:4" x14ac:dyDescent="0.25">
      <c r="A38" s="24" t="s">
        <v>131</v>
      </c>
      <c r="B38" s="24" t="s">
        <v>132</v>
      </c>
      <c r="C38" s="27">
        <v>53860</v>
      </c>
      <c r="D38" s="27">
        <v>87540</v>
      </c>
    </row>
    <row r="39" spans="1:4" x14ac:dyDescent="0.25">
      <c r="A39" s="24" t="s">
        <v>133</v>
      </c>
      <c r="B39" s="24" t="s">
        <v>122</v>
      </c>
      <c r="C39" s="25">
        <v>1</v>
      </c>
      <c r="D39" s="28">
        <v>0.8</v>
      </c>
    </row>
    <row r="40" spans="1:4" x14ac:dyDescent="0.25">
      <c r="A40" s="24" t="s">
        <v>134</v>
      </c>
      <c r="B40" s="24" t="s">
        <v>135</v>
      </c>
      <c r="C40" s="29">
        <v>3.3475000000000001</v>
      </c>
      <c r="D40" s="29">
        <v>3.3475000000000001</v>
      </c>
    </row>
    <row r="41" spans="1:4" x14ac:dyDescent="0.25">
      <c r="A41" s="24" t="s">
        <v>136</v>
      </c>
      <c r="B41" s="24" t="s">
        <v>137</v>
      </c>
      <c r="C41" s="30">
        <v>5280</v>
      </c>
      <c r="D41" s="30">
        <v>5280</v>
      </c>
    </row>
    <row r="42" spans="1:4" x14ac:dyDescent="0.25">
      <c r="A42" s="24" t="s">
        <v>138</v>
      </c>
      <c r="B42" s="24" t="s">
        <v>139</v>
      </c>
      <c r="C42" s="30">
        <f>C40*C41</f>
        <v>17674.8</v>
      </c>
      <c r="D42" s="30">
        <f>D40*D41</f>
        <v>17674.8</v>
      </c>
    </row>
    <row r="43" spans="1:4" x14ac:dyDescent="0.25">
      <c r="A43" s="12"/>
    </row>
    <row r="45" spans="1:4" x14ac:dyDescent="0.25">
      <c r="A45" s="8" t="s">
        <v>140</v>
      </c>
      <c r="B45" s="8"/>
    </row>
    <row r="46" spans="1:4" x14ac:dyDescent="0.25">
      <c r="A46" s="36">
        <f>C38/(C42*10^6)</f>
        <v>3.047276348247222E-6</v>
      </c>
    </row>
    <row r="51" spans="1:4" x14ac:dyDescent="0.25">
      <c r="A51" s="46" t="s">
        <v>67</v>
      </c>
      <c r="B51" s="47"/>
      <c r="C51" s="47"/>
      <c r="D51" s="47"/>
    </row>
    <row r="53" spans="1:4" x14ac:dyDescent="0.25">
      <c r="A53" s="36">
        <f>AVERAGE(A20,A46)</f>
        <v>4.604988339008401E-6</v>
      </c>
      <c r="B53" t="s">
        <v>141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topLeftCell="A16" workbookViewId="0">
      <selection activeCell="A24" sqref="A24"/>
    </sheetView>
  </sheetViews>
  <sheetFormatPr defaultRowHeight="15" x14ac:dyDescent="0.25"/>
  <cols>
    <col min="1" max="1" width="43" customWidth="1"/>
    <col min="2" max="2" width="33.7109375" customWidth="1"/>
    <col min="3" max="3" width="15.42578125" bestFit="1" customWidth="1"/>
    <col min="4" max="4" width="22.5703125" bestFit="1" customWidth="1"/>
    <col min="6" max="6" width="13.85546875" bestFit="1" customWidth="1"/>
  </cols>
  <sheetData>
    <row r="1" spans="1:4" x14ac:dyDescent="0.25">
      <c r="A1" s="1" t="s">
        <v>142</v>
      </c>
    </row>
    <row r="2" spans="1:4" x14ac:dyDescent="0.25">
      <c r="A2" s="1"/>
    </row>
    <row r="3" spans="1:4" x14ac:dyDescent="0.25">
      <c r="A3" s="1" t="s">
        <v>115</v>
      </c>
    </row>
    <row r="4" spans="1:4" x14ac:dyDescent="0.25">
      <c r="A4" s="23" t="s">
        <v>116</v>
      </c>
      <c r="B4" s="23" t="s">
        <v>117</v>
      </c>
      <c r="C4" s="23" t="s">
        <v>118</v>
      </c>
    </row>
    <row r="5" spans="1:4" x14ac:dyDescent="0.25">
      <c r="A5" s="24" t="s">
        <v>119</v>
      </c>
      <c r="B5" s="24" t="s">
        <v>120</v>
      </c>
      <c r="C5" s="24">
        <v>25</v>
      </c>
    </row>
    <row r="6" spans="1:4" x14ac:dyDescent="0.25">
      <c r="A6" s="24" t="s">
        <v>121</v>
      </c>
      <c r="B6" s="24" t="s">
        <v>122</v>
      </c>
      <c r="C6" s="25">
        <v>0.05</v>
      </c>
    </row>
    <row r="7" spans="1:4" x14ac:dyDescent="0.25">
      <c r="A7" s="24" t="s">
        <v>123</v>
      </c>
      <c r="B7" s="24" t="s">
        <v>124</v>
      </c>
      <c r="C7" s="26">
        <f>'shift to electricity'!C32</f>
        <v>6.5242598122280206</v>
      </c>
    </row>
    <row r="8" spans="1:4" x14ac:dyDescent="0.25">
      <c r="A8" s="24" t="s">
        <v>143</v>
      </c>
      <c r="B8" s="24" t="s">
        <v>124</v>
      </c>
      <c r="C8" s="27">
        <v>44</v>
      </c>
    </row>
    <row r="9" spans="1:4" x14ac:dyDescent="0.25">
      <c r="A9" s="24" t="s">
        <v>144</v>
      </c>
      <c r="B9" s="24" t="s">
        <v>124</v>
      </c>
      <c r="C9" s="27">
        <v>34</v>
      </c>
    </row>
    <row r="10" spans="1:4" x14ac:dyDescent="0.25">
      <c r="A10" s="24" t="s">
        <v>145</v>
      </c>
      <c r="B10" s="24" t="s">
        <v>124</v>
      </c>
      <c r="C10" s="27">
        <v>21</v>
      </c>
    </row>
    <row r="11" spans="1:4" x14ac:dyDescent="0.25">
      <c r="A11" s="24" t="s">
        <v>146</v>
      </c>
      <c r="B11" s="24" t="s">
        <v>124</v>
      </c>
      <c r="C11" s="27">
        <v>15</v>
      </c>
    </row>
    <row r="12" spans="1:4" x14ac:dyDescent="0.25">
      <c r="A12" s="24" t="s">
        <v>147</v>
      </c>
      <c r="B12" s="24" t="s">
        <v>148</v>
      </c>
      <c r="C12" s="27">
        <v>4</v>
      </c>
    </row>
    <row r="14" spans="1:4" x14ac:dyDescent="0.25">
      <c r="A14" s="1" t="s">
        <v>114</v>
      </c>
    </row>
    <row r="15" spans="1:4" x14ac:dyDescent="0.25">
      <c r="A15" s="23" t="s">
        <v>116</v>
      </c>
      <c r="B15" s="23" t="s">
        <v>117</v>
      </c>
      <c r="C15" s="23" t="s">
        <v>149</v>
      </c>
      <c r="D15" s="23" t="s">
        <v>150</v>
      </c>
    </row>
    <row r="16" spans="1:4" x14ac:dyDescent="0.25">
      <c r="A16" s="24" t="s">
        <v>151</v>
      </c>
      <c r="B16" s="24" t="s">
        <v>132</v>
      </c>
      <c r="C16" s="27">
        <v>87540</v>
      </c>
      <c r="D16" s="27">
        <v>87540</v>
      </c>
    </row>
    <row r="17" spans="1:4" x14ac:dyDescent="0.25">
      <c r="A17" s="24" t="s">
        <v>152</v>
      </c>
      <c r="B17" s="24" t="s">
        <v>132</v>
      </c>
      <c r="C17" s="27">
        <f>C16*1.5</f>
        <v>131310</v>
      </c>
      <c r="D17" s="27">
        <v>87540</v>
      </c>
    </row>
    <row r="18" spans="1:4" x14ac:dyDescent="0.25">
      <c r="A18" s="24" t="s">
        <v>153</v>
      </c>
      <c r="B18" s="24" t="s">
        <v>122</v>
      </c>
      <c r="C18" s="25">
        <f>D18</f>
        <v>0.8</v>
      </c>
      <c r="D18" s="28">
        <v>0.8</v>
      </c>
    </row>
    <row r="19" spans="1:4" x14ac:dyDescent="0.25">
      <c r="A19" s="24" t="s">
        <v>134</v>
      </c>
      <c r="B19" s="24" t="s">
        <v>135</v>
      </c>
      <c r="C19" s="29">
        <v>3.3475000000000001</v>
      </c>
      <c r="D19" s="29">
        <v>3.3475000000000001</v>
      </c>
    </row>
    <row r="20" spans="1:4" x14ac:dyDescent="0.25">
      <c r="A20" s="24" t="s">
        <v>136</v>
      </c>
      <c r="B20" s="24" t="s">
        <v>137</v>
      </c>
      <c r="C20" s="30">
        <v>5280</v>
      </c>
      <c r="D20" s="30">
        <v>5280</v>
      </c>
    </row>
    <row r="21" spans="1:4" x14ac:dyDescent="0.25">
      <c r="A21" s="24" t="s">
        <v>138</v>
      </c>
      <c r="B21" s="24" t="s">
        <v>139</v>
      </c>
      <c r="C21" s="30">
        <f>C19*C20</f>
        <v>17674.8</v>
      </c>
      <c r="D21" s="30">
        <f>D19*D20</f>
        <v>17674.8</v>
      </c>
    </row>
    <row r="23" spans="1:4" x14ac:dyDescent="0.25">
      <c r="A23" s="8" t="s">
        <v>140</v>
      </c>
    </row>
    <row r="24" spans="1:4" x14ac:dyDescent="0.25">
      <c r="A24" s="48">
        <f>AVERAGE(C17:D17)/(AVERAGE(C21:D21)*10^6)</f>
        <v>6.1910177201439334E-6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6099-D878-4CA6-905E-BCE566C93FAD}">
  <dimension ref="A1:C26"/>
  <sheetViews>
    <sheetView workbookViewId="0">
      <selection activeCell="B9" sqref="B9"/>
    </sheetView>
  </sheetViews>
  <sheetFormatPr defaultColWidth="8.7109375" defaultRowHeight="15" x14ac:dyDescent="0.25"/>
  <cols>
    <col min="1" max="1" width="21.28515625" customWidth="1"/>
    <col min="2" max="2" width="33.7109375" customWidth="1"/>
    <col min="3" max="3" width="8.7109375" customWidth="1"/>
  </cols>
  <sheetData>
    <row r="1" spans="1:3" x14ac:dyDescent="0.25">
      <c r="A1" s="1" t="s">
        <v>154</v>
      </c>
    </row>
    <row r="3" spans="1:3" x14ac:dyDescent="0.25">
      <c r="A3" s="8" t="s">
        <v>52</v>
      </c>
      <c r="B3" t="s">
        <v>155</v>
      </c>
    </row>
    <row r="4" spans="1:3" x14ac:dyDescent="0.25">
      <c r="B4" t="s">
        <v>156</v>
      </c>
    </row>
    <row r="5" spans="1:3" x14ac:dyDescent="0.25">
      <c r="A5" s="35"/>
      <c r="B5" t="s">
        <v>157</v>
      </c>
      <c r="C5" s="35"/>
    </row>
    <row r="6" spans="1:3" x14ac:dyDescent="0.25">
      <c r="A6" s="12"/>
      <c r="C6" s="12"/>
    </row>
    <row r="7" spans="1:3" x14ac:dyDescent="0.25">
      <c r="A7" s="39" t="s">
        <v>158</v>
      </c>
      <c r="B7" s="40"/>
      <c r="C7" s="12"/>
    </row>
    <row r="8" spans="1:3" x14ac:dyDescent="0.25">
      <c r="A8" s="13" t="s">
        <v>159</v>
      </c>
      <c r="B8" s="8" t="s">
        <v>160</v>
      </c>
      <c r="C8" s="12"/>
    </row>
    <row r="9" spans="1:3" x14ac:dyDescent="0.25">
      <c r="A9" s="5" t="s">
        <v>161</v>
      </c>
      <c r="B9" s="41">
        <v>50</v>
      </c>
      <c r="C9" s="12"/>
    </row>
    <row r="10" spans="1:3" x14ac:dyDescent="0.25">
      <c r="A10" s="5" t="s">
        <v>162</v>
      </c>
      <c r="B10" s="41">
        <v>75</v>
      </c>
      <c r="C10" s="12"/>
    </row>
    <row r="11" spans="1:3" x14ac:dyDescent="0.25">
      <c r="A11" s="42" t="s">
        <v>163</v>
      </c>
      <c r="B11" s="43">
        <f>AVERAGE(B9:B10)</f>
        <v>62.5</v>
      </c>
    </row>
    <row r="13" spans="1:3" x14ac:dyDescent="0.25">
      <c r="A13" s="8" t="s">
        <v>164</v>
      </c>
      <c r="B13" s="10"/>
    </row>
    <row r="14" spans="1:3" x14ac:dyDescent="0.25">
      <c r="A14" s="5">
        <v>0.47</v>
      </c>
    </row>
    <row r="16" spans="1:3" x14ac:dyDescent="0.25">
      <c r="A16" s="8" t="s">
        <v>165</v>
      </c>
    </row>
    <row r="17" spans="1:2" x14ac:dyDescent="0.25">
      <c r="A17" s="5">
        <f>24*365</f>
        <v>8760</v>
      </c>
    </row>
    <row r="19" spans="1:2" x14ac:dyDescent="0.25">
      <c r="A19" s="8" t="s">
        <v>166</v>
      </c>
      <c r="B19" s="10"/>
    </row>
    <row r="20" spans="1:2" x14ac:dyDescent="0.25">
      <c r="A20" s="44">
        <f>B11/(A17*A14)</f>
        <v>1.5180219566695814E-2</v>
      </c>
    </row>
    <row r="22" spans="1:2" x14ac:dyDescent="0.25">
      <c r="A22" s="8" t="s">
        <v>68</v>
      </c>
      <c r="B22" s="10"/>
    </row>
    <row r="23" spans="1:2" x14ac:dyDescent="0.25">
      <c r="A23" s="11">
        <f>2.93*10^-4</f>
        <v>2.9300000000000002E-4</v>
      </c>
    </row>
    <row r="25" spans="1:2" x14ac:dyDescent="0.25">
      <c r="A25" s="8" t="s">
        <v>167</v>
      </c>
      <c r="B25" s="8"/>
    </row>
    <row r="26" spans="1:2" x14ac:dyDescent="0.25">
      <c r="A26" s="16">
        <f>A20*A23</f>
        <v>4.4478043330418734E-6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E265-4924-4EE6-97CE-01F06756A9F9}">
  <dimension ref="A22:B25"/>
  <sheetViews>
    <sheetView workbookViewId="0">
      <selection activeCell="B25" sqref="B25"/>
    </sheetView>
  </sheetViews>
  <sheetFormatPr defaultRowHeight="15" x14ac:dyDescent="0.25"/>
  <cols>
    <col min="1" max="1" width="40.42578125" bestFit="1" customWidth="1"/>
  </cols>
  <sheetData>
    <row r="22" spans="1:2" x14ac:dyDescent="0.25">
      <c r="A22" t="s">
        <v>176</v>
      </c>
      <c r="B22">
        <v>0.5</v>
      </c>
    </row>
    <row r="23" spans="1:2" x14ac:dyDescent="0.25">
      <c r="A23" t="s">
        <v>177</v>
      </c>
      <c r="B23">
        <v>0.5</v>
      </c>
    </row>
    <row r="25" spans="1:2" x14ac:dyDescent="0.25">
      <c r="A25" t="s">
        <v>178</v>
      </c>
      <c r="B25">
        <f>B22*About!A65+'India cost adjustment'!B23*About!A68</f>
        <v>0.27237456892371653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Y8"/>
  <sheetViews>
    <sheetView tabSelected="1" workbookViewId="0">
      <selection activeCell="B2" sqref="B2"/>
    </sheetView>
  </sheetViews>
  <sheetFormatPr defaultRowHeight="15" x14ac:dyDescent="0.25"/>
  <cols>
    <col min="1" max="1" width="36.140625" customWidth="1"/>
    <col min="14" max="14" width="11" bestFit="1" customWidth="1"/>
  </cols>
  <sheetData>
    <row r="1" spans="1:51" x14ac:dyDescent="0.25">
      <c r="A1" s="1" t="s">
        <v>168</v>
      </c>
      <c r="B1" s="1">
        <v>2021</v>
      </c>
      <c r="C1" s="33">
        <v>2022</v>
      </c>
      <c r="D1" s="1">
        <v>2023</v>
      </c>
      <c r="E1" s="33">
        <v>2024</v>
      </c>
      <c r="F1" s="1">
        <v>2025</v>
      </c>
      <c r="G1" s="33">
        <v>2026</v>
      </c>
      <c r="H1" s="1">
        <v>2027</v>
      </c>
      <c r="I1" s="33">
        <v>2028</v>
      </c>
      <c r="J1" s="1">
        <v>2029</v>
      </c>
      <c r="K1" s="33">
        <v>2030</v>
      </c>
      <c r="L1" s="1">
        <v>2031</v>
      </c>
      <c r="M1" s="33">
        <v>2032</v>
      </c>
      <c r="N1" s="1">
        <v>2033</v>
      </c>
      <c r="O1" s="33">
        <v>2034</v>
      </c>
      <c r="P1" s="1">
        <v>2035</v>
      </c>
      <c r="Q1" s="33">
        <v>2036</v>
      </c>
      <c r="R1" s="1">
        <v>2037</v>
      </c>
      <c r="S1" s="33">
        <v>2038</v>
      </c>
      <c r="T1" s="1">
        <v>2039</v>
      </c>
      <c r="U1" s="33">
        <v>2040</v>
      </c>
      <c r="V1" s="1">
        <v>2041</v>
      </c>
      <c r="W1" s="33">
        <v>2042</v>
      </c>
      <c r="X1" s="1">
        <v>2043</v>
      </c>
      <c r="Y1" s="33">
        <v>2044</v>
      </c>
      <c r="Z1" s="1">
        <v>2045</v>
      </c>
      <c r="AA1" s="33">
        <v>2046</v>
      </c>
      <c r="AB1" s="1">
        <v>2047</v>
      </c>
      <c r="AC1" s="33">
        <v>2048</v>
      </c>
      <c r="AD1" s="1">
        <v>2049</v>
      </c>
      <c r="AE1" s="33">
        <v>2050</v>
      </c>
      <c r="AF1" s="33">
        <v>2051</v>
      </c>
      <c r="AG1" s="33">
        <v>2052</v>
      </c>
      <c r="AH1" s="33">
        <v>2053</v>
      </c>
      <c r="AI1" s="33">
        <v>2054</v>
      </c>
      <c r="AJ1" s="33">
        <v>2055</v>
      </c>
      <c r="AK1" s="33">
        <v>2056</v>
      </c>
      <c r="AL1" s="33">
        <v>2057</v>
      </c>
      <c r="AM1" s="33">
        <v>2058</v>
      </c>
      <c r="AN1" s="33">
        <v>2059</v>
      </c>
      <c r="AO1" s="33">
        <v>2060</v>
      </c>
      <c r="AP1" s="33">
        <v>2061</v>
      </c>
      <c r="AQ1" s="33">
        <v>2062</v>
      </c>
      <c r="AR1" s="33">
        <v>2063</v>
      </c>
      <c r="AS1" s="33">
        <v>2064</v>
      </c>
      <c r="AT1" s="33">
        <v>2065</v>
      </c>
      <c r="AU1" s="33">
        <v>2066</v>
      </c>
      <c r="AV1" s="33">
        <v>2067</v>
      </c>
      <c r="AW1" s="33">
        <v>2068</v>
      </c>
      <c r="AX1" s="33">
        <v>2069</v>
      </c>
      <c r="AY1" s="33">
        <v>2070</v>
      </c>
    </row>
    <row r="2" spans="1:51" x14ac:dyDescent="0.25">
      <c r="A2" t="s">
        <v>169</v>
      </c>
      <c r="B2" s="17">
        <f>'early retirement'!A20*About!$A$57*'India cost adjustment'!$B$25</f>
        <v>3.8796306344528161E-5</v>
      </c>
      <c r="C2" s="17">
        <f>$B2</f>
        <v>3.8796306344528161E-5</v>
      </c>
      <c r="D2" s="17">
        <f t="shared" ref="D2:AY2" si="0">$B2</f>
        <v>3.8796306344528161E-5</v>
      </c>
      <c r="E2" s="17">
        <f t="shared" si="0"/>
        <v>3.8796306344528161E-5</v>
      </c>
      <c r="F2" s="17">
        <f t="shared" si="0"/>
        <v>3.8796306344528161E-5</v>
      </c>
      <c r="G2" s="17">
        <f t="shared" si="0"/>
        <v>3.8796306344528161E-5</v>
      </c>
      <c r="H2" s="17">
        <f t="shared" si="0"/>
        <v>3.8796306344528161E-5</v>
      </c>
      <c r="I2" s="17">
        <f t="shared" si="0"/>
        <v>3.8796306344528161E-5</v>
      </c>
      <c r="J2" s="17">
        <f t="shared" si="0"/>
        <v>3.8796306344528161E-5</v>
      </c>
      <c r="K2" s="17">
        <f t="shared" si="0"/>
        <v>3.8796306344528161E-5</v>
      </c>
      <c r="L2" s="17">
        <f t="shared" si="0"/>
        <v>3.8796306344528161E-5</v>
      </c>
      <c r="M2" s="17">
        <f t="shared" si="0"/>
        <v>3.8796306344528161E-5</v>
      </c>
      <c r="N2" s="17">
        <f t="shared" si="0"/>
        <v>3.8796306344528161E-5</v>
      </c>
      <c r="O2" s="17">
        <f t="shared" si="0"/>
        <v>3.8796306344528161E-5</v>
      </c>
      <c r="P2" s="17">
        <f t="shared" si="0"/>
        <v>3.8796306344528161E-5</v>
      </c>
      <c r="Q2" s="17">
        <f t="shared" si="0"/>
        <v>3.8796306344528161E-5</v>
      </c>
      <c r="R2" s="17">
        <f t="shared" si="0"/>
        <v>3.8796306344528161E-5</v>
      </c>
      <c r="S2" s="17">
        <f t="shared" si="0"/>
        <v>3.8796306344528161E-5</v>
      </c>
      <c r="T2" s="17">
        <f t="shared" si="0"/>
        <v>3.8796306344528161E-5</v>
      </c>
      <c r="U2" s="17">
        <f t="shared" si="0"/>
        <v>3.8796306344528161E-5</v>
      </c>
      <c r="V2" s="17">
        <f t="shared" si="0"/>
        <v>3.8796306344528161E-5</v>
      </c>
      <c r="W2" s="17">
        <f t="shared" si="0"/>
        <v>3.8796306344528161E-5</v>
      </c>
      <c r="X2" s="17">
        <f t="shared" si="0"/>
        <v>3.8796306344528161E-5</v>
      </c>
      <c r="Y2" s="17">
        <f t="shared" si="0"/>
        <v>3.8796306344528161E-5</v>
      </c>
      <c r="Z2" s="17">
        <f t="shared" si="0"/>
        <v>3.8796306344528161E-5</v>
      </c>
      <c r="AA2" s="17">
        <f t="shared" si="0"/>
        <v>3.8796306344528161E-5</v>
      </c>
      <c r="AB2" s="17">
        <f t="shared" si="0"/>
        <v>3.8796306344528161E-5</v>
      </c>
      <c r="AC2" s="17">
        <f t="shared" si="0"/>
        <v>3.8796306344528161E-5</v>
      </c>
      <c r="AD2" s="17">
        <f t="shared" si="0"/>
        <v>3.8796306344528161E-5</v>
      </c>
      <c r="AE2" s="17">
        <f t="shared" si="0"/>
        <v>3.8796306344528161E-5</v>
      </c>
      <c r="AF2" s="17">
        <f t="shared" si="0"/>
        <v>3.8796306344528161E-5</v>
      </c>
      <c r="AG2" s="17">
        <f t="shared" si="0"/>
        <v>3.8796306344528161E-5</v>
      </c>
      <c r="AH2" s="17">
        <f t="shared" si="0"/>
        <v>3.8796306344528161E-5</v>
      </c>
      <c r="AI2" s="17">
        <f t="shared" si="0"/>
        <v>3.8796306344528161E-5</v>
      </c>
      <c r="AJ2" s="17">
        <f t="shared" si="0"/>
        <v>3.8796306344528161E-5</v>
      </c>
      <c r="AK2" s="17">
        <f t="shared" si="0"/>
        <v>3.8796306344528161E-5</v>
      </c>
      <c r="AL2" s="17">
        <f t="shared" si="0"/>
        <v>3.8796306344528161E-5</v>
      </c>
      <c r="AM2" s="17">
        <f t="shared" si="0"/>
        <v>3.8796306344528161E-5</v>
      </c>
      <c r="AN2" s="17">
        <f t="shared" si="0"/>
        <v>3.8796306344528161E-5</v>
      </c>
      <c r="AO2" s="17">
        <f t="shared" si="0"/>
        <v>3.8796306344528161E-5</v>
      </c>
      <c r="AP2" s="17">
        <f t="shared" si="0"/>
        <v>3.8796306344528161E-5</v>
      </c>
      <c r="AQ2" s="17">
        <f t="shared" si="0"/>
        <v>3.8796306344528161E-5</v>
      </c>
      <c r="AR2" s="17">
        <f t="shared" si="0"/>
        <v>3.8796306344528161E-5</v>
      </c>
      <c r="AS2" s="17">
        <f t="shared" si="0"/>
        <v>3.8796306344528161E-5</v>
      </c>
      <c r="AT2" s="17">
        <f t="shared" si="0"/>
        <v>3.8796306344528161E-5</v>
      </c>
      <c r="AU2" s="17">
        <f t="shared" si="0"/>
        <v>3.8796306344528161E-5</v>
      </c>
      <c r="AV2" s="17">
        <f t="shared" si="0"/>
        <v>3.8796306344528161E-5</v>
      </c>
      <c r="AW2" s="17">
        <f t="shared" si="0"/>
        <v>3.8796306344528161E-5</v>
      </c>
      <c r="AX2" s="17">
        <f t="shared" si="0"/>
        <v>3.8796306344528161E-5</v>
      </c>
      <c r="AY2" s="17">
        <f t="shared" si="0"/>
        <v>3.8796306344528161E-5</v>
      </c>
    </row>
    <row r="3" spans="1:51" x14ac:dyDescent="0.25">
      <c r="A3" t="s">
        <v>170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171</v>
      </c>
      <c r="B4" s="17">
        <f>'cogen and WHR'!B29*About!$A$58*'India cost adjustment'!$B$25</f>
        <v>6.5621166063608434E-6</v>
      </c>
      <c r="C4" s="17">
        <f>$B4</f>
        <v>6.5621166063608434E-6</v>
      </c>
      <c r="D4" s="17">
        <f t="shared" ref="D4:AY7" si="1">$B4</f>
        <v>6.5621166063608434E-6</v>
      </c>
      <c r="E4" s="17">
        <f t="shared" si="1"/>
        <v>6.5621166063608434E-6</v>
      </c>
      <c r="F4" s="17">
        <f t="shared" si="1"/>
        <v>6.5621166063608434E-6</v>
      </c>
      <c r="G4" s="17">
        <f t="shared" si="1"/>
        <v>6.5621166063608434E-6</v>
      </c>
      <c r="H4" s="17">
        <f t="shared" si="1"/>
        <v>6.5621166063608434E-6</v>
      </c>
      <c r="I4" s="17">
        <f t="shared" si="1"/>
        <v>6.5621166063608434E-6</v>
      </c>
      <c r="J4" s="17">
        <f t="shared" si="1"/>
        <v>6.5621166063608434E-6</v>
      </c>
      <c r="K4" s="17">
        <f t="shared" si="1"/>
        <v>6.5621166063608434E-6</v>
      </c>
      <c r="L4" s="17">
        <f t="shared" si="1"/>
        <v>6.5621166063608434E-6</v>
      </c>
      <c r="M4" s="17">
        <f t="shared" si="1"/>
        <v>6.5621166063608434E-6</v>
      </c>
      <c r="N4" s="17">
        <f t="shared" si="1"/>
        <v>6.5621166063608434E-6</v>
      </c>
      <c r="O4" s="17">
        <f t="shared" si="1"/>
        <v>6.5621166063608434E-6</v>
      </c>
      <c r="P4" s="17">
        <f t="shared" si="1"/>
        <v>6.5621166063608434E-6</v>
      </c>
      <c r="Q4" s="17">
        <f t="shared" si="1"/>
        <v>6.5621166063608434E-6</v>
      </c>
      <c r="R4" s="17">
        <f t="shared" si="1"/>
        <v>6.5621166063608434E-6</v>
      </c>
      <c r="S4" s="17">
        <f t="shared" si="1"/>
        <v>6.5621166063608434E-6</v>
      </c>
      <c r="T4" s="17">
        <f t="shared" si="1"/>
        <v>6.5621166063608434E-6</v>
      </c>
      <c r="U4" s="17">
        <f t="shared" si="1"/>
        <v>6.5621166063608434E-6</v>
      </c>
      <c r="V4" s="17">
        <f t="shared" si="1"/>
        <v>6.5621166063608434E-6</v>
      </c>
      <c r="W4" s="17">
        <f t="shared" si="1"/>
        <v>6.5621166063608434E-6</v>
      </c>
      <c r="X4" s="17">
        <f t="shared" si="1"/>
        <v>6.5621166063608434E-6</v>
      </c>
      <c r="Y4" s="17">
        <f t="shared" si="1"/>
        <v>6.5621166063608434E-6</v>
      </c>
      <c r="Z4" s="17">
        <f t="shared" si="1"/>
        <v>6.5621166063608434E-6</v>
      </c>
      <c r="AA4" s="17">
        <f t="shared" si="1"/>
        <v>6.5621166063608434E-6</v>
      </c>
      <c r="AB4" s="17">
        <f t="shared" si="1"/>
        <v>6.5621166063608434E-6</v>
      </c>
      <c r="AC4" s="17">
        <f t="shared" si="1"/>
        <v>6.5621166063608434E-6</v>
      </c>
      <c r="AD4" s="17">
        <f t="shared" si="1"/>
        <v>6.5621166063608434E-6</v>
      </c>
      <c r="AE4" s="17">
        <f t="shared" si="1"/>
        <v>6.5621166063608434E-6</v>
      </c>
      <c r="AF4" s="17">
        <f t="shared" si="1"/>
        <v>6.5621166063608434E-6</v>
      </c>
      <c r="AG4" s="17">
        <f t="shared" si="1"/>
        <v>6.5621166063608434E-6</v>
      </c>
      <c r="AH4" s="17">
        <f t="shared" si="1"/>
        <v>6.5621166063608434E-6</v>
      </c>
      <c r="AI4" s="17">
        <f t="shared" si="1"/>
        <v>6.5621166063608434E-6</v>
      </c>
      <c r="AJ4" s="17">
        <f t="shared" si="1"/>
        <v>6.5621166063608434E-6</v>
      </c>
      <c r="AK4" s="17">
        <f t="shared" si="1"/>
        <v>6.5621166063608434E-6</v>
      </c>
      <c r="AL4" s="17">
        <f t="shared" si="1"/>
        <v>6.5621166063608434E-6</v>
      </c>
      <c r="AM4" s="17">
        <f t="shared" si="1"/>
        <v>6.5621166063608434E-6</v>
      </c>
      <c r="AN4" s="17">
        <f t="shared" si="1"/>
        <v>6.5621166063608434E-6</v>
      </c>
      <c r="AO4" s="17">
        <f t="shared" si="1"/>
        <v>6.5621166063608434E-6</v>
      </c>
      <c r="AP4" s="17">
        <f t="shared" si="1"/>
        <v>6.5621166063608434E-6</v>
      </c>
      <c r="AQ4" s="17">
        <f t="shared" si="1"/>
        <v>6.5621166063608434E-6</v>
      </c>
      <c r="AR4" s="17">
        <f t="shared" si="1"/>
        <v>6.5621166063608434E-6</v>
      </c>
      <c r="AS4" s="17">
        <f t="shared" si="1"/>
        <v>6.5621166063608434E-6</v>
      </c>
      <c r="AT4" s="17">
        <f t="shared" si="1"/>
        <v>6.5621166063608434E-6</v>
      </c>
      <c r="AU4" s="17">
        <f t="shared" si="1"/>
        <v>6.5621166063608434E-6</v>
      </c>
      <c r="AV4" s="17">
        <f t="shared" si="1"/>
        <v>6.5621166063608434E-6</v>
      </c>
      <c r="AW4" s="17">
        <f t="shared" si="1"/>
        <v>6.5621166063608434E-6</v>
      </c>
      <c r="AX4" s="17">
        <f t="shared" si="1"/>
        <v>6.5621166063608434E-6</v>
      </c>
      <c r="AY4" s="17">
        <f t="shared" si="1"/>
        <v>6.5621166063608434E-6</v>
      </c>
    </row>
    <row r="5" spans="1:51" x14ac:dyDescent="0.25">
      <c r="A5" t="s">
        <v>172</v>
      </c>
      <c r="B5" s="17">
        <f>efficiency!B5*'India cost adjustment'!$B$25</f>
        <v>1.4373942225173853E-5</v>
      </c>
      <c r="C5" s="17">
        <f>$B5</f>
        <v>1.4373942225173853E-5</v>
      </c>
      <c r="D5" s="17">
        <f t="shared" si="1"/>
        <v>1.4373942225173853E-5</v>
      </c>
      <c r="E5" s="17">
        <f t="shared" si="1"/>
        <v>1.4373942225173853E-5</v>
      </c>
      <c r="F5" s="17">
        <f t="shared" si="1"/>
        <v>1.4373942225173853E-5</v>
      </c>
      <c r="G5" s="17">
        <f t="shared" si="1"/>
        <v>1.4373942225173853E-5</v>
      </c>
      <c r="H5" s="17">
        <f t="shared" si="1"/>
        <v>1.4373942225173853E-5</v>
      </c>
      <c r="I5" s="17">
        <f t="shared" si="1"/>
        <v>1.4373942225173853E-5</v>
      </c>
      <c r="J5" s="17">
        <f t="shared" si="1"/>
        <v>1.4373942225173853E-5</v>
      </c>
      <c r="K5" s="17">
        <f t="shared" si="1"/>
        <v>1.4373942225173853E-5</v>
      </c>
      <c r="L5" s="17">
        <f t="shared" si="1"/>
        <v>1.4373942225173853E-5</v>
      </c>
      <c r="M5" s="17">
        <f t="shared" si="1"/>
        <v>1.4373942225173853E-5</v>
      </c>
      <c r="N5" s="17">
        <f t="shared" si="1"/>
        <v>1.4373942225173853E-5</v>
      </c>
      <c r="O5" s="17">
        <f t="shared" si="1"/>
        <v>1.4373942225173853E-5</v>
      </c>
      <c r="P5" s="17">
        <f t="shared" si="1"/>
        <v>1.4373942225173853E-5</v>
      </c>
      <c r="Q5" s="17">
        <f t="shared" si="1"/>
        <v>1.4373942225173853E-5</v>
      </c>
      <c r="R5" s="17">
        <f t="shared" si="1"/>
        <v>1.4373942225173853E-5</v>
      </c>
      <c r="S5" s="17">
        <f t="shared" si="1"/>
        <v>1.4373942225173853E-5</v>
      </c>
      <c r="T5" s="17">
        <f t="shared" si="1"/>
        <v>1.4373942225173853E-5</v>
      </c>
      <c r="U5" s="17">
        <f t="shared" si="1"/>
        <v>1.4373942225173853E-5</v>
      </c>
      <c r="V5" s="17">
        <f t="shared" si="1"/>
        <v>1.4373942225173853E-5</v>
      </c>
      <c r="W5" s="17">
        <f t="shared" si="1"/>
        <v>1.4373942225173853E-5</v>
      </c>
      <c r="X5" s="17">
        <f t="shared" si="1"/>
        <v>1.4373942225173853E-5</v>
      </c>
      <c r="Y5" s="17">
        <f t="shared" si="1"/>
        <v>1.4373942225173853E-5</v>
      </c>
      <c r="Z5" s="17">
        <f t="shared" si="1"/>
        <v>1.4373942225173853E-5</v>
      </c>
      <c r="AA5" s="17">
        <f t="shared" si="1"/>
        <v>1.4373942225173853E-5</v>
      </c>
      <c r="AB5" s="17">
        <f t="shared" si="1"/>
        <v>1.4373942225173853E-5</v>
      </c>
      <c r="AC5" s="17">
        <f t="shared" si="1"/>
        <v>1.4373942225173853E-5</v>
      </c>
      <c r="AD5" s="17">
        <f t="shared" si="1"/>
        <v>1.4373942225173853E-5</v>
      </c>
      <c r="AE5" s="17">
        <f t="shared" si="1"/>
        <v>1.4373942225173853E-5</v>
      </c>
      <c r="AF5" s="17">
        <f t="shared" si="1"/>
        <v>1.4373942225173853E-5</v>
      </c>
      <c r="AG5" s="17">
        <f t="shared" si="1"/>
        <v>1.4373942225173853E-5</v>
      </c>
      <c r="AH5" s="17">
        <f t="shared" si="1"/>
        <v>1.4373942225173853E-5</v>
      </c>
      <c r="AI5" s="17">
        <f t="shared" si="1"/>
        <v>1.4373942225173853E-5</v>
      </c>
      <c r="AJ5" s="17">
        <f t="shared" si="1"/>
        <v>1.4373942225173853E-5</v>
      </c>
      <c r="AK5" s="17">
        <f t="shared" si="1"/>
        <v>1.4373942225173853E-5</v>
      </c>
      <c r="AL5" s="17">
        <f t="shared" si="1"/>
        <v>1.4373942225173853E-5</v>
      </c>
      <c r="AM5" s="17">
        <f t="shared" si="1"/>
        <v>1.4373942225173853E-5</v>
      </c>
      <c r="AN5" s="17">
        <f t="shared" si="1"/>
        <v>1.4373942225173853E-5</v>
      </c>
      <c r="AO5" s="17">
        <f t="shared" si="1"/>
        <v>1.4373942225173853E-5</v>
      </c>
      <c r="AP5" s="17">
        <f t="shared" si="1"/>
        <v>1.4373942225173853E-5</v>
      </c>
      <c r="AQ5" s="17">
        <f t="shared" si="1"/>
        <v>1.4373942225173853E-5</v>
      </c>
      <c r="AR5" s="17">
        <f t="shared" si="1"/>
        <v>1.4373942225173853E-5</v>
      </c>
      <c r="AS5" s="17">
        <f t="shared" si="1"/>
        <v>1.4373942225173853E-5</v>
      </c>
      <c r="AT5" s="17">
        <f t="shared" si="1"/>
        <v>1.4373942225173853E-5</v>
      </c>
      <c r="AU5" s="17">
        <f t="shared" si="1"/>
        <v>1.4373942225173853E-5</v>
      </c>
      <c r="AV5" s="17">
        <f t="shared" si="1"/>
        <v>1.4373942225173853E-5</v>
      </c>
      <c r="AW5" s="17">
        <f t="shared" si="1"/>
        <v>1.4373942225173853E-5</v>
      </c>
      <c r="AX5" s="17">
        <f t="shared" si="1"/>
        <v>1.4373942225173853E-5</v>
      </c>
      <c r="AY5" s="17">
        <f t="shared" si="1"/>
        <v>1.4373942225173853E-5</v>
      </c>
    </row>
    <row r="6" spans="1:51" x14ac:dyDescent="0.25">
      <c r="A6" t="s">
        <v>173</v>
      </c>
      <c r="B6" s="17">
        <f>'shift to electricity'!A53*'India cost adjustment'!$B$25</f>
        <v>1.2542817137361547E-6</v>
      </c>
      <c r="C6" s="17">
        <f>$B6</f>
        <v>1.2542817137361547E-6</v>
      </c>
      <c r="D6" s="17">
        <f t="shared" si="1"/>
        <v>1.2542817137361547E-6</v>
      </c>
      <c r="E6" s="17">
        <f t="shared" si="1"/>
        <v>1.2542817137361547E-6</v>
      </c>
      <c r="F6" s="17">
        <f t="shared" si="1"/>
        <v>1.2542817137361547E-6</v>
      </c>
      <c r="G6" s="17">
        <f t="shared" si="1"/>
        <v>1.2542817137361547E-6</v>
      </c>
      <c r="H6" s="17">
        <f t="shared" si="1"/>
        <v>1.2542817137361547E-6</v>
      </c>
      <c r="I6" s="17">
        <f t="shared" si="1"/>
        <v>1.2542817137361547E-6</v>
      </c>
      <c r="J6" s="17">
        <f t="shared" si="1"/>
        <v>1.2542817137361547E-6</v>
      </c>
      <c r="K6" s="17">
        <f t="shared" si="1"/>
        <v>1.2542817137361547E-6</v>
      </c>
      <c r="L6" s="17">
        <f t="shared" si="1"/>
        <v>1.2542817137361547E-6</v>
      </c>
      <c r="M6" s="17">
        <f t="shared" si="1"/>
        <v>1.2542817137361547E-6</v>
      </c>
      <c r="N6" s="17">
        <f t="shared" si="1"/>
        <v>1.2542817137361547E-6</v>
      </c>
      <c r="O6" s="17">
        <f t="shared" si="1"/>
        <v>1.2542817137361547E-6</v>
      </c>
      <c r="P6" s="17">
        <f t="shared" si="1"/>
        <v>1.2542817137361547E-6</v>
      </c>
      <c r="Q6" s="17">
        <f t="shared" si="1"/>
        <v>1.2542817137361547E-6</v>
      </c>
      <c r="R6" s="17">
        <f t="shared" si="1"/>
        <v>1.2542817137361547E-6</v>
      </c>
      <c r="S6" s="17">
        <f t="shared" si="1"/>
        <v>1.2542817137361547E-6</v>
      </c>
      <c r="T6" s="17">
        <f t="shared" si="1"/>
        <v>1.2542817137361547E-6</v>
      </c>
      <c r="U6" s="17">
        <f t="shared" si="1"/>
        <v>1.2542817137361547E-6</v>
      </c>
      <c r="V6" s="17">
        <f t="shared" si="1"/>
        <v>1.2542817137361547E-6</v>
      </c>
      <c r="W6" s="17">
        <f t="shared" si="1"/>
        <v>1.2542817137361547E-6</v>
      </c>
      <c r="X6" s="17">
        <f t="shared" si="1"/>
        <v>1.2542817137361547E-6</v>
      </c>
      <c r="Y6" s="17">
        <f t="shared" si="1"/>
        <v>1.2542817137361547E-6</v>
      </c>
      <c r="Z6" s="17">
        <f t="shared" si="1"/>
        <v>1.2542817137361547E-6</v>
      </c>
      <c r="AA6" s="17">
        <f t="shared" si="1"/>
        <v>1.2542817137361547E-6</v>
      </c>
      <c r="AB6" s="17">
        <f t="shared" si="1"/>
        <v>1.2542817137361547E-6</v>
      </c>
      <c r="AC6" s="17">
        <f t="shared" si="1"/>
        <v>1.2542817137361547E-6</v>
      </c>
      <c r="AD6" s="17">
        <f t="shared" si="1"/>
        <v>1.2542817137361547E-6</v>
      </c>
      <c r="AE6" s="17">
        <f t="shared" si="1"/>
        <v>1.2542817137361547E-6</v>
      </c>
      <c r="AF6" s="17">
        <f t="shared" si="1"/>
        <v>1.2542817137361547E-6</v>
      </c>
      <c r="AG6" s="17">
        <f t="shared" si="1"/>
        <v>1.2542817137361547E-6</v>
      </c>
      <c r="AH6" s="17">
        <f t="shared" si="1"/>
        <v>1.2542817137361547E-6</v>
      </c>
      <c r="AI6" s="17">
        <f t="shared" si="1"/>
        <v>1.2542817137361547E-6</v>
      </c>
      <c r="AJ6" s="17">
        <f t="shared" si="1"/>
        <v>1.2542817137361547E-6</v>
      </c>
      <c r="AK6" s="17">
        <f t="shared" si="1"/>
        <v>1.2542817137361547E-6</v>
      </c>
      <c r="AL6" s="17">
        <f t="shared" si="1"/>
        <v>1.2542817137361547E-6</v>
      </c>
      <c r="AM6" s="17">
        <f t="shared" si="1"/>
        <v>1.2542817137361547E-6</v>
      </c>
      <c r="AN6" s="17">
        <f t="shared" si="1"/>
        <v>1.2542817137361547E-6</v>
      </c>
      <c r="AO6" s="17">
        <f t="shared" si="1"/>
        <v>1.2542817137361547E-6</v>
      </c>
      <c r="AP6" s="17">
        <f t="shared" si="1"/>
        <v>1.2542817137361547E-6</v>
      </c>
      <c r="AQ6" s="17">
        <f t="shared" si="1"/>
        <v>1.2542817137361547E-6</v>
      </c>
      <c r="AR6" s="17">
        <f t="shared" si="1"/>
        <v>1.2542817137361547E-6</v>
      </c>
      <c r="AS6" s="17">
        <f t="shared" si="1"/>
        <v>1.2542817137361547E-6</v>
      </c>
      <c r="AT6" s="17">
        <f t="shared" si="1"/>
        <v>1.2542817137361547E-6</v>
      </c>
      <c r="AU6" s="17">
        <f t="shared" si="1"/>
        <v>1.2542817137361547E-6</v>
      </c>
      <c r="AV6" s="17">
        <f t="shared" si="1"/>
        <v>1.2542817137361547E-6</v>
      </c>
      <c r="AW6" s="17">
        <f t="shared" si="1"/>
        <v>1.2542817137361547E-6</v>
      </c>
      <c r="AX6" s="17">
        <f t="shared" si="1"/>
        <v>1.2542817137361547E-6</v>
      </c>
      <c r="AY6" s="17">
        <f t="shared" si="1"/>
        <v>1.2542817137361547E-6</v>
      </c>
    </row>
    <row r="7" spans="1:51" x14ac:dyDescent="0.25">
      <c r="A7" t="s">
        <v>174</v>
      </c>
      <c r="B7" s="17">
        <f>'shift to hydrogen'!A24</f>
        <v>6.1910177201439334E-6</v>
      </c>
      <c r="C7" s="17">
        <f>$B7</f>
        <v>6.1910177201439334E-6</v>
      </c>
      <c r="D7" s="17">
        <f t="shared" si="1"/>
        <v>6.1910177201439334E-6</v>
      </c>
      <c r="E7" s="17">
        <f t="shared" si="1"/>
        <v>6.1910177201439334E-6</v>
      </c>
      <c r="F7" s="17">
        <f t="shared" si="1"/>
        <v>6.1910177201439334E-6</v>
      </c>
      <c r="G7" s="17">
        <f t="shared" si="1"/>
        <v>6.1910177201439334E-6</v>
      </c>
      <c r="H7" s="17">
        <f t="shared" si="1"/>
        <v>6.1910177201439334E-6</v>
      </c>
      <c r="I7" s="17">
        <f t="shared" si="1"/>
        <v>6.1910177201439334E-6</v>
      </c>
      <c r="J7" s="17">
        <f t="shared" si="1"/>
        <v>6.1910177201439334E-6</v>
      </c>
      <c r="K7" s="17">
        <f t="shared" si="1"/>
        <v>6.1910177201439334E-6</v>
      </c>
      <c r="L7" s="17">
        <f t="shared" si="1"/>
        <v>6.1910177201439334E-6</v>
      </c>
      <c r="M7" s="17">
        <f t="shared" si="1"/>
        <v>6.1910177201439334E-6</v>
      </c>
      <c r="N7" s="17">
        <f t="shared" si="1"/>
        <v>6.1910177201439334E-6</v>
      </c>
      <c r="O7" s="17">
        <f t="shared" si="1"/>
        <v>6.1910177201439334E-6</v>
      </c>
      <c r="P7" s="17">
        <f t="shared" si="1"/>
        <v>6.1910177201439334E-6</v>
      </c>
      <c r="Q7" s="17">
        <f t="shared" si="1"/>
        <v>6.1910177201439334E-6</v>
      </c>
      <c r="R7" s="17">
        <f t="shared" si="1"/>
        <v>6.1910177201439334E-6</v>
      </c>
      <c r="S7" s="17">
        <f t="shared" si="1"/>
        <v>6.1910177201439334E-6</v>
      </c>
      <c r="T7" s="17">
        <f t="shared" si="1"/>
        <v>6.1910177201439334E-6</v>
      </c>
      <c r="U7" s="17">
        <f t="shared" si="1"/>
        <v>6.1910177201439334E-6</v>
      </c>
      <c r="V7" s="17">
        <f t="shared" si="1"/>
        <v>6.1910177201439334E-6</v>
      </c>
      <c r="W7" s="17">
        <f t="shared" si="1"/>
        <v>6.1910177201439334E-6</v>
      </c>
      <c r="X7" s="17">
        <f t="shared" si="1"/>
        <v>6.1910177201439334E-6</v>
      </c>
      <c r="Y7" s="17">
        <f t="shared" si="1"/>
        <v>6.1910177201439334E-6</v>
      </c>
      <c r="Z7" s="17">
        <f t="shared" si="1"/>
        <v>6.1910177201439334E-6</v>
      </c>
      <c r="AA7" s="17">
        <f t="shared" si="1"/>
        <v>6.1910177201439334E-6</v>
      </c>
      <c r="AB7" s="17">
        <f t="shared" si="1"/>
        <v>6.1910177201439334E-6</v>
      </c>
      <c r="AC7" s="17">
        <f t="shared" si="1"/>
        <v>6.1910177201439334E-6</v>
      </c>
      <c r="AD7" s="17">
        <f t="shared" si="1"/>
        <v>6.1910177201439334E-6</v>
      </c>
      <c r="AE7" s="17">
        <f t="shared" si="1"/>
        <v>6.1910177201439334E-6</v>
      </c>
      <c r="AF7" s="17">
        <f t="shared" si="1"/>
        <v>6.1910177201439334E-6</v>
      </c>
      <c r="AG7" s="17">
        <f t="shared" si="1"/>
        <v>6.1910177201439334E-6</v>
      </c>
      <c r="AH7" s="17">
        <f t="shared" si="1"/>
        <v>6.1910177201439334E-6</v>
      </c>
      <c r="AI7" s="17">
        <f t="shared" si="1"/>
        <v>6.1910177201439334E-6</v>
      </c>
      <c r="AJ7" s="17">
        <f t="shared" si="1"/>
        <v>6.1910177201439334E-6</v>
      </c>
      <c r="AK7" s="17">
        <f t="shared" si="1"/>
        <v>6.1910177201439334E-6</v>
      </c>
      <c r="AL7" s="17">
        <f t="shared" si="1"/>
        <v>6.1910177201439334E-6</v>
      </c>
      <c r="AM7" s="17">
        <f t="shared" si="1"/>
        <v>6.1910177201439334E-6</v>
      </c>
      <c r="AN7" s="17">
        <f t="shared" si="1"/>
        <v>6.1910177201439334E-6</v>
      </c>
      <c r="AO7" s="17">
        <f t="shared" si="1"/>
        <v>6.1910177201439334E-6</v>
      </c>
      <c r="AP7" s="17">
        <f t="shared" si="1"/>
        <v>6.1910177201439334E-6</v>
      </c>
      <c r="AQ7" s="17">
        <f t="shared" si="1"/>
        <v>6.1910177201439334E-6</v>
      </c>
      <c r="AR7" s="17">
        <f t="shared" si="1"/>
        <v>6.1910177201439334E-6</v>
      </c>
      <c r="AS7" s="17">
        <f t="shared" si="1"/>
        <v>6.1910177201439334E-6</v>
      </c>
      <c r="AT7" s="17">
        <f t="shared" si="1"/>
        <v>6.1910177201439334E-6</v>
      </c>
      <c r="AU7" s="17">
        <f t="shared" si="1"/>
        <v>6.1910177201439334E-6</v>
      </c>
      <c r="AV7" s="17">
        <f t="shared" si="1"/>
        <v>6.1910177201439334E-6</v>
      </c>
      <c r="AW7" s="17">
        <f t="shared" si="1"/>
        <v>6.1910177201439334E-6</v>
      </c>
      <c r="AX7" s="17">
        <f t="shared" si="1"/>
        <v>6.1910177201439334E-6</v>
      </c>
      <c r="AY7" s="17">
        <f t="shared" si="1"/>
        <v>6.1910177201439334E-6</v>
      </c>
    </row>
    <row r="8" spans="1:51" x14ac:dyDescent="0.25">
      <c r="A8" t="s">
        <v>175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6E5932-0BA5-4E4B-8FC8-2417A875F708}"/>
</file>

<file path=customXml/itemProps2.xml><?xml version="1.0" encoding="utf-8"?>
<ds:datastoreItem xmlns:ds="http://schemas.openxmlformats.org/officeDocument/2006/customXml" ds:itemID="{CA5ACD59-1404-4FC7-8443-66AB8E7150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2DB4BE-784C-48F8-BBCE-641ADDA95B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early retirement</vt:lpstr>
      <vt:lpstr>cogen and WHR</vt:lpstr>
      <vt:lpstr>efficiency</vt:lpstr>
      <vt:lpstr>shift to electricity</vt:lpstr>
      <vt:lpstr>shift to hydrogen</vt:lpstr>
      <vt:lpstr>substitute fuels for coal</vt:lpstr>
      <vt:lpstr>India cost adjustment</vt:lpstr>
      <vt:lpstr>CtIEPpUESoS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Mary Francis Swint</cp:lastModifiedBy>
  <cp:revision/>
  <dcterms:created xsi:type="dcterms:W3CDTF">2015-06-29T21:21:54Z</dcterms:created>
  <dcterms:modified xsi:type="dcterms:W3CDTF">2024-07-09T17:27:37Z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