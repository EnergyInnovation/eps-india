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uti.Dayal\Downloads\"/>
    </mc:Choice>
  </mc:AlternateContent>
  <xr:revisionPtr revIDLastSave="0" documentId="13_ncr:1_{02B74D24-E223-452A-B099-6C797D8A645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1" r:id="rId1"/>
    <sheet name="India_Data" sheetId="4" r:id="rId2"/>
    <sheet name="Data" sheetId="2" r:id="rId3"/>
    <sheet name="PPRiFUfICaWHR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5" i="3"/>
  <c r="B11" i="3"/>
  <c r="B9" i="4"/>
  <c r="C4" i="4"/>
  <c r="N39" i="4" s="1"/>
  <c r="B4" i="4"/>
  <c r="B7" i="4" s="1"/>
  <c r="B10" i="3"/>
  <c r="B12" i="3"/>
  <c r="B13" i="3"/>
  <c r="B16" i="3"/>
  <c r="B17" i="3"/>
  <c r="B18" i="3"/>
  <c r="B19" i="3"/>
  <c r="B20" i="3"/>
  <c r="B21" i="3"/>
  <c r="B22" i="3"/>
  <c r="B23" i="3"/>
  <c r="B8" i="3"/>
  <c r="B5" i="2"/>
  <c r="B7" i="2" s="1"/>
  <c r="C7" i="4" l="1"/>
  <c r="B8" i="4" s="1"/>
  <c r="B10" i="4" s="1"/>
  <c r="B9" i="3"/>
  <c r="B7" i="3"/>
  <c r="B6" i="3"/>
</calcChain>
</file>

<file path=xl/sharedStrings.xml><?xml version="1.0" encoding="utf-8"?>
<sst xmlns="http://schemas.openxmlformats.org/spreadsheetml/2006/main" count="79" uniqueCount="76">
  <si>
    <t>PPRiFUfICaWHR Potential Perc Reduction in Fuel Use from Increased Cogen and Waste Heat Recovery</t>
  </si>
  <si>
    <t>Source:</t>
  </si>
  <si>
    <t>Rocky Mountain Institute</t>
  </si>
  <si>
    <t>Reinventing Fire</t>
  </si>
  <si>
    <t>http://www.rmi.org/RFGraph-US_industry_energy_saving_potential</t>
  </si>
  <si>
    <t>Book page 127, Figure 4-2 (or see link above)</t>
  </si>
  <si>
    <t>Notes:</t>
  </si>
  <si>
    <t>We do not apply this potential to non-manufacturing indutries due to their lack of large, heat-generating,</t>
  </si>
  <si>
    <t>stationary equipment compared to other industries.</t>
  </si>
  <si>
    <t>Item</t>
  </si>
  <si>
    <t>Energy Use (quadrillion BTU/yr)</t>
  </si>
  <si>
    <t>2050 business-as-usual</t>
  </si>
  <si>
    <t>CHP waste heat</t>
  </si>
  <si>
    <t>Percentage Savings in 2050</t>
  </si>
  <si>
    <t>Model End Year</t>
  </si>
  <si>
    <t>Percentage Savings in 2030 (model end year)</t>
  </si>
  <si>
    <t>Unit: dimensionless</t>
  </si>
  <si>
    <t>Pot Perc Red in Fuel Use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</si>
  <si>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</si>
  <si>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</si>
  <si>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</si>
  <si>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</si>
  <si>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</si>
  <si>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</si>
  <si>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</si>
  <si>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</si>
  <si>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</si>
  <si>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</si>
  <si>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</si>
  <si>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</si>
  <si>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</si>
  <si>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</si>
  <si>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</si>
  <si>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</si>
  <si>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</si>
  <si>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</si>
  <si>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</si>
  <si>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</si>
  <si>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</si>
  <si>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</si>
  <si>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</si>
  <si>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</si>
  <si>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</si>
  <si>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WHR was first only applied to cement and Iron and Steel.</t>
  </si>
  <si>
    <t>More recently, low temperature WHR systems is found to have potential in the fertilizer sector</t>
  </si>
  <si>
    <t xml:space="preserve">Further, AEEE report mentions that technology is not a barrier for WHR uptake, and hence, </t>
  </si>
  <si>
    <t>WHR has been applied to Chemicals sector as well</t>
  </si>
  <si>
    <t>Waste heat recovery related calculations</t>
  </si>
  <si>
    <t>IEA, WBCSD</t>
  </si>
  <si>
    <t xml:space="preserve">Technology Roadmap: Low-Carbon Technology for the Indian Cement Industry </t>
  </si>
  <si>
    <t>https://www.iea.org/publications/freepublications/publication/2012_Cement_in_India_Roadmap.pdf</t>
  </si>
  <si>
    <t>Table 2 Page 15</t>
  </si>
  <si>
    <t>Cogeneration figure</t>
  </si>
  <si>
    <t>IEA</t>
  </si>
  <si>
    <t>Combined Heat and Power</t>
  </si>
  <si>
    <t>https://www.iea.org/publications/freepublications/publication/chp_report.pdf</t>
  </si>
  <si>
    <t>Page 4</t>
  </si>
  <si>
    <t>Waste heat recovery</t>
  </si>
  <si>
    <t>Cement</t>
  </si>
  <si>
    <t>Clinker</t>
  </si>
  <si>
    <t xml:space="preserve">Total demand for energy in 2050 </t>
  </si>
  <si>
    <t>Units</t>
  </si>
  <si>
    <t>kWh*1000000</t>
  </si>
  <si>
    <t>kcal*1000000</t>
  </si>
  <si>
    <t>Conversion factor (to PJ)</t>
  </si>
  <si>
    <t>In PJ</t>
  </si>
  <si>
    <t>Total (cement + clinker)</t>
  </si>
  <si>
    <t>Total savings</t>
  </si>
  <si>
    <t>Percentage savings</t>
  </si>
  <si>
    <t>Cogeneration</t>
  </si>
  <si>
    <t>"CHP can reduce CO2 emissions arising from new generation in 2015 by more than 4% (170 Mt /
year), while in 2030 this saving increases to more than 10% (950 Mt / year) – equivalent to one and a half times India’s total annual emissions of CO2 from power generation. "</t>
  </si>
  <si>
    <t>Source: https://www.iea.org/publications/freepublications/publication/chp_report.pdf</t>
  </si>
  <si>
    <t>Source: https://shaktifoundation.in/wp-content/uploads/2017/06/PAT-Pulse-II_May-2016_for-website1.pdf</t>
  </si>
  <si>
    <t>Page 10</t>
  </si>
  <si>
    <t>Page 12</t>
  </si>
  <si>
    <t>A common factor was applied to the sectors for CHP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</si>
</sst>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2"/>
    <xf numFmtId="0" fontId="2" fillId="2" borderId="0" xfId="0" applyFont="1" applyFill="1"/>
    <xf numFmtId="164" fontId="0" fillId="0" borderId="0" xfId="1" applyNumberFormat="1" applyFont="1"/>
    <xf numFmtId="0" fontId="0" fillId="3" borderId="0" xfId="0" applyFill="1"/>
    <xf numFmtId="164" fontId="0" fillId="3" borderId="0" xfId="1" applyNumberFormat="1" applyFont="1" applyFill="1"/>
    <xf numFmtId="0" fontId="0" fillId="0" borderId="0" xfId="1" applyNumberFormat="1" applyFont="1"/>
    <xf numFmtId="0" fontId="2" fillId="2" borderId="0" xfId="0" applyFont="1" applyFill="1" applyAlignment="1">
      <alignment horizontal="right"/>
    </xf>
    <xf numFmtId="165" fontId="0" fillId="0" borderId="0" xfId="0" applyNumberFormat="1"/>
    <xf numFmtId="0" fontId="0" fillId="0" borderId="0" xfId="0" applyAlignment="1">
      <alignment horizontal="right" wrapText="1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center"/>
    </xf>
    <xf numFmtId="2" fontId="0" fillId="0" borderId="0" xfId="0" applyNumberFormat="1"/>
    <xf numFmtId="10" fontId="0" fillId="0" borderId="0" xfId="0" applyNumberFormat="1" applyAlignment="1">
      <alignment horizontal="left" indent="12"/>
    </xf>
    <xf numFmtId="9" fontId="0" fillId="0" borderId="0" xfId="0" applyNumberFormat="1"/>
    <xf numFmtId="0" fontId="0" fillId="0" borderId="0" xfId="0" applyAlignment="1">
      <alignment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1066800</xdr:colOff>
      <xdr:row>15</xdr:row>
      <xdr:rowOff>127000</xdr:rowOff>
    </xdr:from>
    <xdr:to>
      <xdr:col>11</xdr:col>
      <xdr:colOff>592137</xdr:colOff>
      <xdr:row>34</xdr:row>
      <xdr:rowOff>898525</xdr:rowOff>
    </xdr:to>
    <xdr:pic>
      <xdr:nvPicPr>
        <xdr:cNvPr id="2" name="Picture 1" descr="Screen Shot 2018-04-12 at 4.40.16 am.png">
          <a:extLst>
            <a:ext uri="{FF2B5EF4-FFF2-40B4-BE49-F238E27FC236}">
              <a16:creationId xmlns:a16="http://schemas.microsoft.com/office/drawing/2014/main" id="{B4A36F98-3BB9-44B0-B3B2-187295830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0" y="2889250"/>
          <a:ext cx="7405687" cy="5292725"/>
        </a:xfrm>
        <a:prstGeom prst="rect">
          <a:avLst/>
        </a:prstGeom>
      </xdr:spPr>
    </xdr:pic>
    <xdr:clientData/>
  </xdr:twoCellAnchor>
  <xdr:twoCellAnchor editAs="oneCell">
    <xdr:from>
      <xdr:col>0</xdr:col>
      <xdr:colOff>88900</xdr:colOff>
      <xdr:row>16</xdr:row>
      <xdr:rowOff>38100</xdr:rowOff>
    </xdr:from>
    <xdr:to>
      <xdr:col>3</xdr:col>
      <xdr:colOff>655638</xdr:colOff>
      <xdr:row>34</xdr:row>
      <xdr:rowOff>885825</xdr:rowOff>
    </xdr:to>
    <xdr:pic>
      <xdr:nvPicPr>
        <xdr:cNvPr id="3" name="Picture 2" descr="Screen Shot 2018-04-12 at 5.10.16 am.png">
          <a:extLst>
            <a:ext uri="{FF2B5EF4-FFF2-40B4-BE49-F238E27FC236}">
              <a16:creationId xmlns:a16="http://schemas.microsoft.com/office/drawing/2014/main" id="{2B1212B7-B129-4570-BBCF-C16464884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2984500"/>
          <a:ext cx="7310438" cy="518477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37</xdr:row>
      <xdr:rowOff>66675</xdr:rowOff>
    </xdr:from>
    <xdr:to>
      <xdr:col>3</xdr:col>
      <xdr:colOff>690563</xdr:colOff>
      <xdr:row>40</xdr:row>
      <xdr:rowOff>76691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07D30A-8A68-40A3-BF82-93E7551C6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8848725"/>
          <a:ext cx="7358063" cy="56246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44</xdr:row>
      <xdr:rowOff>123825</xdr:rowOff>
    </xdr:from>
    <xdr:to>
      <xdr:col>2</xdr:col>
      <xdr:colOff>285750</xdr:colOff>
      <xdr:row>56</xdr:row>
      <xdr:rowOff>126477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76CA297-6E5F-4CCF-985C-D27B5374D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75" y="10194925"/>
          <a:ext cx="5476875" cy="22124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ea.org/publications/freepublications/publication/2012_Cement_in_India_Roadmap.pdf" TargetMode="External"/><Relationship Id="rId2" Type="http://schemas.openxmlformats.org/officeDocument/2006/relationships/hyperlink" Target="https://www.iea.org/publications/freepublications/publication/chp_report.pdf" TargetMode="External"/><Relationship Id="rId1" Type="http://schemas.openxmlformats.org/officeDocument/2006/relationships/hyperlink" Target="http://www.rmi.org/RFGraph-US_industry_energy_saving_potential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topLeftCell="A22" workbookViewId="0">
      <selection activeCell="A30" sqref="A30"/>
    </sheetView>
  </sheetViews>
  <sheetFormatPr defaultRowHeight="14.5" x14ac:dyDescent="0.35"/>
  <cols>
    <col min="2" max="2" width="41.1796875" customWidth="1"/>
    <col min="3" max="3" width="29.81640625" customWidth="1"/>
  </cols>
  <sheetData>
    <row r="1" spans="1:2" x14ac:dyDescent="0.35">
      <c r="A1" s="1" t="s">
        <v>0</v>
      </c>
    </row>
    <row r="3" spans="1:2" x14ac:dyDescent="0.35">
      <c r="A3" s="1" t="s">
        <v>1</v>
      </c>
      <c r="B3" t="s">
        <v>2</v>
      </c>
    </row>
    <row r="4" spans="1:2" x14ac:dyDescent="0.35">
      <c r="B4" s="2">
        <v>2011</v>
      </c>
    </row>
    <row r="5" spans="1:2" x14ac:dyDescent="0.35">
      <c r="B5" t="s">
        <v>3</v>
      </c>
    </row>
    <row r="6" spans="1:2" x14ac:dyDescent="0.35">
      <c r="B6" s="3" t="s">
        <v>4</v>
      </c>
    </row>
    <row r="7" spans="1:2" x14ac:dyDescent="0.35">
      <c r="B7" t="s">
        <v>5</v>
      </c>
    </row>
    <row r="9" spans="1:2" x14ac:dyDescent="0.35">
      <c r="B9" s="4" t="s">
        <v>47</v>
      </c>
    </row>
    <row r="10" spans="1:2" x14ac:dyDescent="0.35">
      <c r="B10" t="s">
        <v>48</v>
      </c>
    </row>
    <row r="11" spans="1:2" x14ac:dyDescent="0.35">
      <c r="B11" s="2">
        <v>2013</v>
      </c>
    </row>
    <row r="12" spans="1:2" x14ac:dyDescent="0.35">
      <c r="B12" t="s">
        <v>49</v>
      </c>
    </row>
    <row r="13" spans="1:2" x14ac:dyDescent="0.35">
      <c r="B13" s="3" t="s">
        <v>50</v>
      </c>
    </row>
    <row r="14" spans="1:2" x14ac:dyDescent="0.35">
      <c r="B14" t="s">
        <v>51</v>
      </c>
    </row>
    <row r="16" spans="1:2" x14ac:dyDescent="0.35">
      <c r="B16" s="4" t="s">
        <v>52</v>
      </c>
    </row>
    <row r="17" spans="1:2" x14ac:dyDescent="0.35">
      <c r="B17" t="s">
        <v>53</v>
      </c>
    </row>
    <row r="18" spans="1:2" x14ac:dyDescent="0.35">
      <c r="B18" s="2">
        <v>2008</v>
      </c>
    </row>
    <row r="19" spans="1:2" x14ac:dyDescent="0.35">
      <c r="B19" t="s">
        <v>54</v>
      </c>
    </row>
    <row r="20" spans="1:2" x14ac:dyDescent="0.35">
      <c r="B20" s="3" t="s">
        <v>55</v>
      </c>
    </row>
    <row r="21" spans="1:2" x14ac:dyDescent="0.35">
      <c r="B21" t="s">
        <v>56</v>
      </c>
    </row>
    <row r="24" spans="1:2" x14ac:dyDescent="0.35">
      <c r="A24" s="1" t="s">
        <v>6</v>
      </c>
    </row>
    <row r="25" spans="1:2" x14ac:dyDescent="0.35">
      <c r="A25" t="s">
        <v>7</v>
      </c>
    </row>
    <row r="26" spans="1:2" x14ac:dyDescent="0.35">
      <c r="A26" t="s">
        <v>8</v>
      </c>
    </row>
    <row r="28" spans="1:2" x14ac:dyDescent="0.35">
      <c r="A28" s="1"/>
    </row>
    <row r="29" spans="1:2" x14ac:dyDescent="0.35">
      <c r="A29" t="s">
        <v>75</v>
      </c>
    </row>
    <row r="30" spans="1:2" x14ac:dyDescent="0.35">
      <c r="A30" t="s">
        <v>43</v>
      </c>
    </row>
    <row r="31" spans="1:2" x14ac:dyDescent="0.35">
      <c r="A31" t="s">
        <v>44</v>
      </c>
    </row>
    <row r="32" spans="1:2" x14ac:dyDescent="0.35">
      <c r="A32" t="s">
        <v>45</v>
      </c>
    </row>
    <row r="33" spans="1:1" x14ac:dyDescent="0.35">
      <c r="A33" t="s">
        <v>46</v>
      </c>
    </row>
  </sheetData>
  <hyperlinks>
    <hyperlink ref="B6" r:id="rId1" xr:uid="{00000000-0004-0000-0000-000000000000}"/>
    <hyperlink ref="B20" r:id="rId2" xr:uid="{B81713A0-4545-4E9B-8BFD-77AD53FA00E3}"/>
    <hyperlink ref="B13" r:id="rId3" xr:uid="{271B33F3-1C44-42E7-A303-4A8F098386AE}"/>
  </hyperlinks>
  <pageMargins left="0.7" right="0.7" top="0.75" bottom="0.75" header="0.3" footer="0.3"/>
  <pageSetup orientation="portrait" horizontalDpi="1200" verticalDpi="12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1F63-2862-464B-BB67-A91F3F3894E4}">
  <dimension ref="A1:N59"/>
  <sheetViews>
    <sheetView workbookViewId="0">
      <selection activeCell="B10" sqref="B10"/>
    </sheetView>
  </sheetViews>
  <sheetFormatPr defaultColWidth="8.81640625" defaultRowHeight="14.5" x14ac:dyDescent="0.35"/>
  <cols>
    <col min="1" max="1" width="45.36328125" customWidth="1"/>
    <col min="2" max="2" width="29.36328125" customWidth="1"/>
    <col min="3" max="3" width="21.81640625" customWidth="1"/>
    <col min="4" max="4" width="38.7265625" customWidth="1"/>
    <col min="10" max="10" width="14" customWidth="1"/>
    <col min="11" max="11" width="16" customWidth="1"/>
    <col min="12" max="12" width="13.36328125" customWidth="1"/>
  </cols>
  <sheetData>
    <row r="1" spans="1:3" x14ac:dyDescent="0.35">
      <c r="A1" s="4" t="s">
        <v>9</v>
      </c>
      <c r="B1" s="9" t="s">
        <v>10</v>
      </c>
    </row>
    <row r="2" spans="1:3" x14ac:dyDescent="0.35">
      <c r="A2" t="s">
        <v>57</v>
      </c>
    </row>
    <row r="3" spans="1:3" x14ac:dyDescent="0.35">
      <c r="B3" s="13" t="s">
        <v>58</v>
      </c>
      <c r="C3" s="13" t="s">
        <v>59</v>
      </c>
    </row>
    <row r="4" spans="1:3" x14ac:dyDescent="0.35">
      <c r="A4" s="14" t="s">
        <v>60</v>
      </c>
      <c r="B4" s="13">
        <f>(780*71+1361*70)/2</f>
        <v>75325</v>
      </c>
      <c r="C4" s="13">
        <f>(0.58*780*680*1000+0.58*1361*678*1000)/2</f>
        <v>421415820</v>
      </c>
    </row>
    <row r="5" spans="1:3" x14ac:dyDescent="0.35">
      <c r="A5" s="14" t="s">
        <v>61</v>
      </c>
      <c r="B5" s="13" t="s">
        <v>62</v>
      </c>
      <c r="C5" s="13" t="s">
        <v>63</v>
      </c>
    </row>
    <row r="6" spans="1:3" s="13" customFormat="1" x14ac:dyDescent="0.35">
      <c r="A6" s="14" t="s">
        <v>64</v>
      </c>
      <c r="B6" s="15">
        <v>3.6E-9</v>
      </c>
      <c r="C6" s="15">
        <v>4.1839999999999999E-12</v>
      </c>
    </row>
    <row r="7" spans="1:3" x14ac:dyDescent="0.35">
      <c r="A7" s="14" t="s">
        <v>65</v>
      </c>
      <c r="B7" s="13">
        <f>B4*1000000*3.6/1000000000</f>
        <v>271.17</v>
      </c>
      <c r="C7" s="15">
        <f>C4*1000000*4.18/1000000000000</f>
        <v>1761.5181276000001</v>
      </c>
    </row>
    <row r="8" spans="1:3" x14ac:dyDescent="0.35">
      <c r="A8" s="14" t="s">
        <v>66</v>
      </c>
      <c r="B8" s="16">
        <f>B7+C7</f>
        <v>2032.6881276000001</v>
      </c>
    </row>
    <row r="9" spans="1:3" x14ac:dyDescent="0.35">
      <c r="A9" s="14" t="s">
        <v>67</v>
      </c>
      <c r="B9">
        <f>(20+39)/2</f>
        <v>29.5</v>
      </c>
    </row>
    <row r="10" spans="1:3" x14ac:dyDescent="0.35">
      <c r="A10" s="14" t="s">
        <v>68</v>
      </c>
      <c r="B10" s="17">
        <f>B9/B8</f>
        <v>1.4512801840797252E-2</v>
      </c>
    </row>
    <row r="11" spans="1:3" x14ac:dyDescent="0.35">
      <c r="A11" s="14"/>
    </row>
    <row r="12" spans="1:3" x14ac:dyDescent="0.35">
      <c r="A12" s="2" t="s">
        <v>69</v>
      </c>
      <c r="B12" s="18">
        <v>0.04</v>
      </c>
    </row>
    <row r="13" spans="1:3" x14ac:dyDescent="0.35">
      <c r="A13" s="14"/>
    </row>
    <row r="14" spans="1:3" x14ac:dyDescent="0.35">
      <c r="A14" s="14"/>
    </row>
    <row r="34" spans="1:14" ht="95.15" customHeight="1" x14ac:dyDescent="0.35"/>
    <row r="35" spans="1:14" ht="89.15" customHeight="1" x14ac:dyDescent="0.35">
      <c r="A35" s="19" t="s">
        <v>70</v>
      </c>
      <c r="C35" s="19"/>
      <c r="D35" s="19"/>
    </row>
    <row r="36" spans="1:14" x14ac:dyDescent="0.35">
      <c r="A36" t="s">
        <v>71</v>
      </c>
    </row>
    <row r="38" spans="1:14" x14ac:dyDescent="0.35">
      <c r="C38" s="19"/>
    </row>
    <row r="39" spans="1:14" x14ac:dyDescent="0.35">
      <c r="N39">
        <f>C4*4.18/1000000</f>
        <v>1761.5181275999998</v>
      </c>
    </row>
    <row r="42" spans="1:14" x14ac:dyDescent="0.35">
      <c r="A42" t="s">
        <v>72</v>
      </c>
    </row>
    <row r="43" spans="1:14" x14ac:dyDescent="0.35">
      <c r="A43" t="s">
        <v>73</v>
      </c>
    </row>
    <row r="58" spans="1:1" x14ac:dyDescent="0.35">
      <c r="A58" t="s">
        <v>72</v>
      </c>
    </row>
    <row r="59" spans="1:1" x14ac:dyDescent="0.35">
      <c r="A59" t="s">
        <v>74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 x14ac:dyDescent="0.35"/>
  <cols>
    <col min="1" max="1" width="45.54296875" customWidth="1"/>
    <col min="2" max="2" width="29.54296875" customWidth="1"/>
  </cols>
  <sheetData>
    <row r="1" spans="1:2" x14ac:dyDescent="0.35">
      <c r="A1" s="4" t="s">
        <v>9</v>
      </c>
      <c r="B1" s="9" t="s">
        <v>10</v>
      </c>
    </row>
    <row r="2" spans="1:2" x14ac:dyDescent="0.35">
      <c r="A2" t="s">
        <v>11</v>
      </c>
      <c r="B2">
        <v>30.5</v>
      </c>
    </row>
    <row r="3" spans="1:2" x14ac:dyDescent="0.35">
      <c r="A3" t="s">
        <v>12</v>
      </c>
      <c r="B3">
        <v>-2.4</v>
      </c>
    </row>
    <row r="5" spans="1:2" x14ac:dyDescent="0.35">
      <c r="A5" t="s">
        <v>13</v>
      </c>
      <c r="B5" s="5">
        <f>-B3/B2</f>
        <v>7.8688524590163927E-2</v>
      </c>
    </row>
    <row r="6" spans="1:2" x14ac:dyDescent="0.35">
      <c r="A6" t="s">
        <v>14</v>
      </c>
      <c r="B6" s="8">
        <v>2050</v>
      </c>
    </row>
    <row r="7" spans="1:2" x14ac:dyDescent="0.35">
      <c r="A7" s="6" t="s">
        <v>15</v>
      </c>
      <c r="B7" s="7">
        <f>B5*(B6-2010)/(2050-2010)</f>
        <v>7.8688524590163927E-2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6"/>
  <sheetViews>
    <sheetView workbookViewId="0">
      <selection activeCell="B17" sqref="B17"/>
    </sheetView>
  </sheetViews>
  <sheetFormatPr defaultRowHeight="14.5" x14ac:dyDescent="0.35"/>
  <cols>
    <col min="1" max="1" width="47.81640625" customWidth="1"/>
    <col min="2" max="2" width="23.7265625" customWidth="1"/>
  </cols>
  <sheetData>
    <row r="1" spans="1:2" x14ac:dyDescent="0.35">
      <c r="A1" s="12" t="s">
        <v>16</v>
      </c>
      <c r="B1" s="11" t="s">
        <v>17</v>
      </c>
    </row>
    <row r="2" spans="1:2" x14ac:dyDescent="0.35">
      <c r="A2" t="s">
        <v>18</v>
      </c>
      <c r="B2">
        <v>0</v>
      </c>
    </row>
    <row r="3" spans="1:2" x14ac:dyDescent="0.35">
      <c r="A3" t="s">
        <v>19</v>
      </c>
      <c r="B3">
        <v>0</v>
      </c>
    </row>
    <row r="4" spans="1:2" x14ac:dyDescent="0.35">
      <c r="A4" t="s">
        <v>20</v>
      </c>
      <c r="B4">
        <v>0</v>
      </c>
    </row>
    <row r="5" spans="1:2" x14ac:dyDescent="0.35">
      <c r="A5" t="s">
        <v>21</v>
      </c>
      <c r="B5">
        <v>0</v>
      </c>
    </row>
    <row r="6" spans="1:2" x14ac:dyDescent="0.35">
      <c r="A6" t="s">
        <v>22</v>
      </c>
      <c r="B6" s="10">
        <f>Data!B$7</f>
        <v>7.8688524590163927E-2</v>
      </c>
    </row>
    <row r="7" spans="1:2" x14ac:dyDescent="0.35">
      <c r="A7" t="s">
        <v>23</v>
      </c>
      <c r="B7" s="10">
        <f>Data!B$7</f>
        <v>7.8688524590163927E-2</v>
      </c>
    </row>
    <row r="8" spans="1:2" x14ac:dyDescent="0.35">
      <c r="A8" t="s">
        <v>24</v>
      </c>
      <c r="B8" s="10">
        <f>Data!B$7</f>
        <v>7.8688524590163927E-2</v>
      </c>
    </row>
    <row r="9" spans="1:2" x14ac:dyDescent="0.35">
      <c r="A9" t="s">
        <v>25</v>
      </c>
      <c r="B9" s="10">
        <f>Data!B$7</f>
        <v>7.8688524590163927E-2</v>
      </c>
    </row>
    <row r="10" spans="1:2" x14ac:dyDescent="0.35">
      <c r="A10" t="s">
        <v>26</v>
      </c>
      <c r="B10" s="10">
        <f>Data!B$7</f>
        <v>7.8688524590163927E-2</v>
      </c>
    </row>
    <row r="11" spans="1:2" x14ac:dyDescent="0.35">
      <c r="A11" t="s">
        <v>27</v>
      </c>
      <c r="B11" s="10">
        <f>India_Data!B10+India_Data!B12</f>
        <v>5.4512801840797251E-2</v>
      </c>
    </row>
    <row r="12" spans="1:2" x14ac:dyDescent="0.35">
      <c r="A12" t="s">
        <v>28</v>
      </c>
      <c r="B12" s="10">
        <f>Data!B$7</f>
        <v>7.8688524590163927E-2</v>
      </c>
    </row>
    <row r="13" spans="1:2" x14ac:dyDescent="0.35">
      <c r="A13" t="s">
        <v>29</v>
      </c>
      <c r="B13" s="10">
        <f>Data!B$7</f>
        <v>7.8688524590163927E-2</v>
      </c>
    </row>
    <row r="14" spans="1:2" x14ac:dyDescent="0.35">
      <c r="A14" t="s">
        <v>30</v>
      </c>
      <c r="B14" s="10">
        <f>India_Data!B10+India_Data!B12</f>
        <v>5.4512801840797251E-2</v>
      </c>
    </row>
    <row r="15" spans="1:2" x14ac:dyDescent="0.35">
      <c r="A15" t="s">
        <v>31</v>
      </c>
      <c r="B15" s="10">
        <f>India_Data!B10+India_Data!B12</f>
        <v>5.4512801840797251E-2</v>
      </c>
    </row>
    <row r="16" spans="1:2" x14ac:dyDescent="0.35">
      <c r="A16" t="s">
        <v>32</v>
      </c>
      <c r="B16" s="10">
        <f>Data!B$7</f>
        <v>7.8688524590163927E-2</v>
      </c>
    </row>
    <row r="17" spans="1:2" x14ac:dyDescent="0.35">
      <c r="A17" t="s">
        <v>33</v>
      </c>
      <c r="B17" s="10">
        <f>Data!B$7</f>
        <v>7.8688524590163927E-2</v>
      </c>
    </row>
    <row r="18" spans="1:2" x14ac:dyDescent="0.35">
      <c r="A18" t="s">
        <v>34</v>
      </c>
      <c r="B18" s="10">
        <f>Data!B$7</f>
        <v>7.8688524590163927E-2</v>
      </c>
    </row>
    <row r="19" spans="1:2" x14ac:dyDescent="0.35">
      <c r="A19" t="s">
        <v>35</v>
      </c>
      <c r="B19" s="10">
        <f>Data!B$7</f>
        <v>7.8688524590163927E-2</v>
      </c>
    </row>
    <row r="20" spans="1:2" x14ac:dyDescent="0.35">
      <c r="A20" t="s">
        <v>36</v>
      </c>
      <c r="B20" s="10">
        <f>Data!B$7</f>
        <v>7.8688524590163927E-2</v>
      </c>
    </row>
    <row r="21" spans="1:2" x14ac:dyDescent="0.35">
      <c r="A21" t="s">
        <v>37</v>
      </c>
      <c r="B21" s="10">
        <f>Data!B$7</f>
        <v>7.8688524590163927E-2</v>
      </c>
    </row>
    <row r="22" spans="1:2" x14ac:dyDescent="0.35">
      <c r="A22" t="s">
        <v>38</v>
      </c>
      <c r="B22" s="10">
        <f>Data!B$7</f>
        <v>7.8688524590163927E-2</v>
      </c>
    </row>
    <row r="23" spans="1:2" x14ac:dyDescent="0.35">
      <c r="A23" t="s">
        <v>39</v>
      </c>
      <c r="B23" s="10">
        <f>Data!B$7</f>
        <v>7.8688524590163927E-2</v>
      </c>
    </row>
    <row r="24" spans="1:2" x14ac:dyDescent="0.35">
      <c r="A24" t="s">
        <v>40</v>
      </c>
      <c r="B24">
        <v>0</v>
      </c>
    </row>
    <row r="25" spans="1:2" x14ac:dyDescent="0.35">
      <c r="A25" t="s">
        <v>41</v>
      </c>
      <c r="B25">
        <v>0</v>
      </c>
    </row>
    <row r="26" spans="1:2" x14ac:dyDescent="0.35">
      <c r="A26" t="s">
        <v>42</v>
      </c>
      <c r="B2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3FB785-574A-429E-88AA-8E141D162A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BAF54A-837B-4066-B6CA-8F31B367E39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C99C85E-15D0-4A54-994D-9E757C985C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India_Data</vt:lpstr>
      <vt:lpstr>Data</vt:lpstr>
      <vt:lpstr>PPRiFUfICaWHR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Shruti Dayal</cp:lastModifiedBy>
  <cp:revision/>
  <dcterms:created xsi:type="dcterms:W3CDTF">2014-03-25T01:31:56Z</dcterms:created>
  <dcterms:modified xsi:type="dcterms:W3CDTF">2023-11-01T05:23:20Z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