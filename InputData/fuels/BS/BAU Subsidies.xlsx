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autoCompressPictures="0" defaultThemeVersion="124226"/>
  <mc:AlternateContent xmlns:mc="http://schemas.openxmlformats.org/markup-compatibility/2006">
    <mc:Choice Requires="x15">
      <x15ac:absPath xmlns:x15ac="http://schemas.microsoft.com/office/spreadsheetml/2010/11/ac" url="https://energyinnovation.sharepoint.com/sites/IndiaEPS/Shared Documents/Completed EPS Variables/fuels/BS/"/>
    </mc:Choice>
  </mc:AlternateContent>
  <xr:revisionPtr revIDLastSave="239" documentId="13_ncr:1_{87925996-9495-41FA-BFEC-C2E7F19D9EDA}" xr6:coauthVersionLast="47" xr6:coauthVersionMax="47" xr10:uidLastSave="{E095FA9A-C586-457C-B014-345E24E793C3}"/>
  <bookViews>
    <workbookView xWindow="-110" yWindow="-110" windowWidth="19420" windowHeight="10420" firstSheet="6" activeTab="7" xr2:uid="{00000000-000D-0000-FFFF-FFFF00000000}"/>
  </bookViews>
  <sheets>
    <sheet name="About" sheetId="1" r:id="rId1"/>
    <sheet name="Conversion Factors" sheetId="17" r:id="rId2"/>
    <sheet name="NatGas Calculations" sheetId="19" r:id="rId3"/>
    <sheet name="LPG" sheetId="16" r:id="rId4"/>
    <sheet name="Electricity" sheetId="20" r:id="rId5"/>
    <sheet name="RE" sheetId="26" r:id="rId6"/>
    <sheet name="Coal_Indirect" sheetId="22" r:id="rId7"/>
    <sheet name="BS-BSfTFpEUP" sheetId="10" r:id="rId8"/>
    <sheet name="BS-BSpUEO" sheetId="11" r:id="rId9"/>
    <sheet name="BS-BSpUECB" sheetId="25" r:id="rId10"/>
    <sheet name="BS-DoSpUEO" sheetId="27" r:id="rId11"/>
  </sheets>
  <externalReferences>
    <externalReference r:id="rId12"/>
  </externalReferences>
  <definedNames>
    <definedName name="dollars_2022_2012">[1]About!$A$103</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8" i="16" l="1"/>
  <c r="B7" i="16"/>
  <c r="B11" i="19"/>
  <c r="K33" i="26" l="1"/>
  <c r="J33" i="26"/>
  <c r="I33" i="26"/>
  <c r="H33" i="26"/>
  <c r="G33" i="26"/>
  <c r="F33" i="26"/>
  <c r="E33" i="26"/>
  <c r="D33" i="26"/>
  <c r="C33" i="26"/>
  <c r="B9" i="22"/>
  <c r="F8" i="22"/>
  <c r="F7" i="22"/>
  <c r="G5" i="22"/>
  <c r="AE22" i="10" l="1"/>
  <c r="AD22" i="10"/>
  <c r="AC22" i="10"/>
  <c r="AB22" i="10"/>
  <c r="AA22" i="10"/>
  <c r="Z22" i="10"/>
  <c r="Y22" i="10"/>
  <c r="X22" i="10"/>
  <c r="W22" i="10"/>
  <c r="V22" i="10"/>
  <c r="U22" i="10"/>
  <c r="T22" i="10"/>
  <c r="S22" i="10"/>
  <c r="R22" i="10"/>
  <c r="Q22" i="10"/>
  <c r="AE21" i="10"/>
  <c r="AD21" i="10"/>
  <c r="AC21" i="10"/>
  <c r="AB21" i="10"/>
  <c r="AA21" i="10"/>
  <c r="Z21" i="10"/>
  <c r="Y21" i="10"/>
  <c r="X21" i="10"/>
  <c r="W21" i="10"/>
  <c r="V21" i="10"/>
  <c r="U21" i="10"/>
  <c r="T21" i="10"/>
  <c r="S21" i="10"/>
  <c r="R21" i="10"/>
  <c r="Q21" i="10"/>
  <c r="C27" i="20" l="1"/>
  <c r="B7" i="20" s="1"/>
  <c r="C7" i="20" s="1"/>
  <c r="D7" i="20" s="1"/>
  <c r="E7" i="20" s="1"/>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B10" i="10"/>
  <c r="E5" i="22"/>
  <c r="E6" i="22" s="1"/>
  <c r="E9" i="22" s="1"/>
  <c r="F9" i="22" s="1"/>
  <c r="G9" i="22" s="1"/>
  <c r="H9" i="22" s="1"/>
  <c r="I9" i="22" s="1"/>
  <c r="J9" i="22" s="1"/>
  <c r="K9" i="22" s="1"/>
  <c r="L9" i="22" s="1"/>
  <c r="M9" i="22" s="1"/>
  <c r="N9" i="22" s="1"/>
  <c r="O9" i="22" s="1"/>
  <c r="P9" i="22" s="1"/>
  <c r="Q9" i="22" s="1"/>
  <c r="R9" i="22" s="1"/>
  <c r="S9" i="22" s="1"/>
  <c r="T9" i="22" s="1"/>
  <c r="U9" i="22" s="1"/>
  <c r="V9" i="22" s="1"/>
  <c r="W9" i="22" s="1"/>
  <c r="X9" i="22" s="1"/>
  <c r="Y9" i="22" s="1"/>
  <c r="Z9" i="22" s="1"/>
  <c r="AA9" i="22" s="1"/>
  <c r="AB9" i="22" s="1"/>
  <c r="AC9" i="22" s="1"/>
  <c r="AD9" i="22" s="1"/>
  <c r="AE9" i="22" s="1"/>
  <c r="AF9" i="22" s="1"/>
  <c r="AG9" i="22" s="1"/>
  <c r="AH9" i="22" s="1"/>
  <c r="AI9" i="22" s="1"/>
  <c r="AJ9" i="22" s="1"/>
  <c r="AK9" i="22" s="1"/>
  <c r="AL9" i="22" s="1"/>
  <c r="AM9" i="22" s="1"/>
  <c r="E8" i="22"/>
  <c r="D5" i="22"/>
  <c r="D6" i="22" s="1"/>
  <c r="D9" i="22" s="1"/>
  <c r="D8" i="22"/>
  <c r="C5" i="22"/>
  <c r="C6" i="22" s="1"/>
  <c r="C9" i="22" s="1"/>
  <c r="C8" i="22"/>
  <c r="E7" i="22"/>
  <c r="D7" i="22"/>
  <c r="C7" i="22"/>
  <c r="F5" i="22"/>
  <c r="F6" i="22" s="1"/>
  <c r="B3" i="10"/>
  <c r="B17" i="10" s="1"/>
  <c r="C3" i="10"/>
  <c r="C17" i="10" s="1"/>
  <c r="D3" i="10"/>
  <c r="D17" i="10" s="1"/>
  <c r="E3" i="10"/>
  <c r="E17" i="10" s="1"/>
  <c r="F3" i="10"/>
  <c r="F17" i="10"/>
  <c r="G3" i="10"/>
  <c r="G17" i="10" s="1"/>
  <c r="H3" i="10"/>
  <c r="H17" i="10" s="1"/>
  <c r="I3" i="10"/>
  <c r="I17" i="10" s="1"/>
  <c r="J3" i="10"/>
  <c r="J17" i="10" s="1"/>
  <c r="K3" i="10"/>
  <c r="K17" i="10" s="1"/>
  <c r="L3" i="10"/>
  <c r="L17" i="10" s="1"/>
  <c r="M3" i="10"/>
  <c r="M17" i="10" s="1"/>
  <c r="N3" i="10"/>
  <c r="N17" i="10" s="1"/>
  <c r="O3" i="10"/>
  <c r="O17" i="10" s="1"/>
  <c r="P3" i="10"/>
  <c r="Q3" i="10"/>
  <c r="R3" i="10"/>
  <c r="S3" i="10"/>
  <c r="T3" i="10"/>
  <c r="U3" i="10"/>
  <c r="V3" i="10"/>
  <c r="W3" i="10"/>
  <c r="X3" i="10"/>
  <c r="Y3" i="10"/>
  <c r="Z3" i="10"/>
  <c r="AA3" i="10"/>
  <c r="AB3" i="10"/>
  <c r="AC3" i="10"/>
  <c r="AD3" i="10"/>
  <c r="AE3" i="10"/>
  <c r="B4" i="19"/>
  <c r="B8" i="19" s="1"/>
  <c r="B9" i="19" s="1"/>
  <c r="B6" i="16"/>
  <c r="B63" i="17"/>
  <c r="B64" i="17" s="1"/>
  <c r="B72" i="17"/>
  <c r="B73" i="17" s="1"/>
  <c r="B68" i="17"/>
  <c r="B57" i="17"/>
  <c r="B58" i="17" s="1"/>
  <c r="B51" i="17"/>
  <c r="B52" i="17" s="1"/>
  <c r="B53" i="17" s="1"/>
  <c r="B46" i="17"/>
  <c r="B38" i="17"/>
  <c r="B37" i="17"/>
  <c r="R2" i="10"/>
  <c r="S2" i="10"/>
  <c r="T2" i="10"/>
  <c r="U2" i="10"/>
  <c r="V2" i="10"/>
  <c r="W2" i="10"/>
  <c r="X2" i="10"/>
  <c r="Y2" i="10"/>
  <c r="Z2" i="10"/>
  <c r="AA2" i="10"/>
  <c r="AB2" i="10"/>
  <c r="AC2" i="10"/>
  <c r="AD2" i="10"/>
  <c r="AE2" i="10"/>
  <c r="R5" i="10"/>
  <c r="S5" i="10"/>
  <c r="T5" i="10"/>
  <c r="U5" i="10"/>
  <c r="V5" i="10"/>
  <c r="W5" i="10"/>
  <c r="X5" i="10"/>
  <c r="Y5" i="10"/>
  <c r="Z5" i="10"/>
  <c r="AA5" i="10"/>
  <c r="AB5" i="10"/>
  <c r="AC5" i="10"/>
  <c r="AD5" i="10"/>
  <c r="AE5" i="10"/>
  <c r="R6" i="10"/>
  <c r="S6" i="10"/>
  <c r="T6" i="10"/>
  <c r="U6" i="10"/>
  <c r="V6" i="10"/>
  <c r="W6" i="10"/>
  <c r="X6" i="10"/>
  <c r="Y6" i="10"/>
  <c r="Z6" i="10"/>
  <c r="AA6" i="10"/>
  <c r="AB6" i="10"/>
  <c r="AC6" i="10"/>
  <c r="AD6" i="10"/>
  <c r="AE6" i="10"/>
  <c r="R7" i="10"/>
  <c r="S7" i="10"/>
  <c r="T7" i="10"/>
  <c r="U7" i="10"/>
  <c r="V7" i="10"/>
  <c r="W7" i="10"/>
  <c r="X7" i="10"/>
  <c r="Y7" i="10"/>
  <c r="Z7" i="10"/>
  <c r="AA7" i="10"/>
  <c r="AB7" i="10"/>
  <c r="AC7" i="10"/>
  <c r="AD7" i="10"/>
  <c r="AE7" i="10"/>
  <c r="R8" i="10"/>
  <c r="S8" i="10"/>
  <c r="T8" i="10"/>
  <c r="U8" i="10"/>
  <c r="V8" i="10"/>
  <c r="W8" i="10"/>
  <c r="X8" i="10"/>
  <c r="Y8" i="10"/>
  <c r="Z8" i="10"/>
  <c r="AA8" i="10"/>
  <c r="AB8" i="10"/>
  <c r="AC8" i="10"/>
  <c r="AD8" i="10"/>
  <c r="AE8" i="10"/>
  <c r="R12" i="10"/>
  <c r="S12" i="10"/>
  <c r="T12" i="10"/>
  <c r="U12" i="10"/>
  <c r="V12" i="10"/>
  <c r="W12" i="10"/>
  <c r="X12" i="10"/>
  <c r="Y12" i="10"/>
  <c r="Z12" i="10"/>
  <c r="AA12" i="10"/>
  <c r="AB12" i="10"/>
  <c r="AC12" i="10"/>
  <c r="AD12" i="10"/>
  <c r="AE12" i="10"/>
  <c r="R13" i="10"/>
  <c r="S13" i="10"/>
  <c r="T13" i="10"/>
  <c r="U13" i="10"/>
  <c r="V13" i="10"/>
  <c r="W13" i="10"/>
  <c r="X13" i="10"/>
  <c r="Y13" i="10"/>
  <c r="Z13" i="10"/>
  <c r="AA13" i="10"/>
  <c r="AB13" i="10"/>
  <c r="AC13" i="10"/>
  <c r="AD13" i="10"/>
  <c r="AE13" i="10"/>
  <c r="Q5" i="10"/>
  <c r="Q6" i="10"/>
  <c r="Q7" i="10"/>
  <c r="Q8" i="10"/>
  <c r="Q12" i="10"/>
  <c r="Q13" i="10"/>
  <c r="Q2" i="10"/>
  <c r="B39" i="17" l="1"/>
  <c r="B41" i="17" s="1"/>
  <c r="B42" i="17" s="1"/>
  <c r="B9" i="16"/>
  <c r="B10" i="19"/>
  <c r="F7" i="20"/>
  <c r="F4" i="10" l="1"/>
  <c r="B4" i="10"/>
  <c r="B20" i="10"/>
  <c r="C20" i="10" s="1"/>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AC20" i="10" s="1"/>
  <c r="AD20" i="10" s="1"/>
  <c r="AE20" i="10" s="1"/>
  <c r="O4" i="10"/>
  <c r="V4" i="10"/>
  <c r="Y4" i="10"/>
  <c r="X4" i="10"/>
  <c r="AA4" i="10"/>
  <c r="S4" i="10"/>
  <c r="L4" i="10"/>
  <c r="H4" i="10"/>
  <c r="Q4" i="10"/>
  <c r="AC4" i="10"/>
  <c r="I4" i="10"/>
  <c r="N4" i="10"/>
  <c r="J4" i="10"/>
  <c r="K4" i="10"/>
  <c r="AE4" i="10"/>
  <c r="M4" i="10"/>
  <c r="G4" i="10"/>
  <c r="W4" i="10"/>
  <c r="D4" i="10"/>
  <c r="T4" i="10"/>
  <c r="Z4" i="10"/>
  <c r="U4" i="10"/>
  <c r="E4" i="10"/>
  <c r="P4" i="10"/>
  <c r="AB4" i="10"/>
  <c r="C4" i="10"/>
  <c r="R4" i="10"/>
  <c r="AD4" i="10"/>
</calcChain>
</file>

<file path=xl/sharedStrings.xml><?xml version="1.0" encoding="utf-8"?>
<sst xmlns="http://schemas.openxmlformats.org/spreadsheetml/2006/main" count="578" uniqueCount="234">
  <si>
    <t>BS BAU Subsidy for Thermal Fuels per Energy Unit Produced</t>
  </si>
  <si>
    <t>BS BAU Subsidy per Unit Electricity Output</t>
  </si>
  <si>
    <t>BS BAU Subsidy per Unit Electricity Capacity Built</t>
  </si>
  <si>
    <t>Source</t>
  </si>
  <si>
    <t>Discontinuation of Wind Generation Incentive</t>
  </si>
  <si>
    <t>CEEW-IISD</t>
  </si>
  <si>
    <t>Mapping India's Energy Policy 2022</t>
  </si>
  <si>
    <t>https://www.iisd.org/story/mapping-india-energy-policy-2022-update</t>
  </si>
  <si>
    <t>Annex A1.4</t>
  </si>
  <si>
    <t xml:space="preserve">Natural Gas Production </t>
  </si>
  <si>
    <t>Domestic LPG Subsidy</t>
  </si>
  <si>
    <t>Ministry of Petroleum and Natural Gas</t>
  </si>
  <si>
    <t>Ministry of Petroleum and Natural Gas (PPAC)</t>
  </si>
  <si>
    <t>Indian Petroleum and Natural Gas Statistics 2021-22</t>
  </si>
  <si>
    <t>Snapshot of India's oil and gas data</t>
  </si>
  <si>
    <t>https://mopng.gov.in/files/TableManagements/IPNG-2021-22_L.pdf</t>
  </si>
  <si>
    <t>https://ppac.gov.in/uploads/whatsnew/1700660621_MRR-October23_Final_upload.pdf</t>
  </si>
  <si>
    <t>Table V.1, Page 125</t>
  </si>
  <si>
    <t xml:space="preserve">Natural Gas Subsidies </t>
  </si>
  <si>
    <t xml:space="preserve">Coal Indirect Subsidies </t>
  </si>
  <si>
    <t>Table IV.7, Page 105</t>
  </si>
  <si>
    <t>Annex A1.1</t>
  </si>
  <si>
    <t>Notes</t>
  </si>
  <si>
    <t xml:space="preserve">There are two fuels in India that get direct consumer subsidy i.e.LPG Natural Gas (which are accounted in this variable). </t>
  </si>
  <si>
    <t>Natural gas subsidy is only provided for the North-East states, and thus the NE subsidy was divided by the total consumption of natural gas in the country to arrive at a country-level subsidy.</t>
  </si>
  <si>
    <t>Data for coal subsidy is provided for future reference but not included in the calculations because they are not direct subsidies.</t>
  </si>
  <si>
    <t xml:space="preserve">Since India has a capacity target for renewables, the subsidies by way of state-level feed-in-tariffs or Viability Gap funding are not accounted for, </t>
  </si>
  <si>
    <t>but instead the phased capacity construction over the years is force fed into the model in the BAU Policy Mandated Capacity Construction variable of the Electricity sector.</t>
  </si>
  <si>
    <t xml:space="preserve">Until 2017, a generation-based incentive for wind was available. It is discontinued now as wind technology </t>
  </si>
  <si>
    <t>is mature, and the government is also moving towards competitive auctions for wind, like solar.</t>
  </si>
  <si>
    <t>Domestic LPG is considered as it constitutes most (~90%) of the consumption in India.</t>
  </si>
  <si>
    <t>Currency</t>
  </si>
  <si>
    <t>India Inflation Rates</t>
  </si>
  <si>
    <t>See scaling-factors.xlsx for source info</t>
  </si>
  <si>
    <t>Year</t>
  </si>
  <si>
    <t>Rate</t>
  </si>
  <si>
    <t>Value Indexed to 2012</t>
  </si>
  <si>
    <t>Rupees per dollar</t>
  </si>
  <si>
    <t>Source: Economic Survey (30.01.2023) 
https://www.indiabudget.gov.in/economicsurvey/doc/stat/tab54.pdf</t>
  </si>
  <si>
    <t>Fuel-Independent Conversion Factors</t>
  </si>
  <si>
    <t>liters per barrel</t>
  </si>
  <si>
    <t>BTU/kcal</t>
  </si>
  <si>
    <t>BTU/kWh (unit conversion, not a heat rate)</t>
  </si>
  <si>
    <t>Energy in Biomass</t>
  </si>
  <si>
    <t>Wood wastes</t>
  </si>
  <si>
    <t>kcal/kg</t>
  </si>
  <si>
    <t>Cowdung</t>
  </si>
  <si>
    <t>Average of biomass fuels</t>
  </si>
  <si>
    <t>BTU/kg</t>
  </si>
  <si>
    <t>BTU/ton</t>
  </si>
  <si>
    <t>Energy in Jet Fuel / Kerosene</t>
  </si>
  <si>
    <t>BTU/barrel</t>
  </si>
  <si>
    <t>BTU/liter</t>
  </si>
  <si>
    <t>Energy in Petroleum Gasoline</t>
  </si>
  <si>
    <t>barrels/ton</t>
  </si>
  <si>
    <t>kcal/barrel</t>
  </si>
  <si>
    <t>Energy in Petroleum Diesel</t>
  </si>
  <si>
    <t>million BTU/barrel</t>
  </si>
  <si>
    <t>million BTU/l</t>
  </si>
  <si>
    <t>BTU/l</t>
  </si>
  <si>
    <t>Energy in LPG</t>
  </si>
  <si>
    <t>kg/cylinder</t>
  </si>
  <si>
    <t>kcal/cylinder</t>
  </si>
  <si>
    <t>BTU/cylinder</t>
  </si>
  <si>
    <t>Natural Gas</t>
  </si>
  <si>
    <t>trillion BTU / billion cubic m</t>
  </si>
  <si>
    <t>BTU / thousand cubic m</t>
  </si>
  <si>
    <t>Coal</t>
  </si>
  <si>
    <t xml:space="preserve">Natural Gas </t>
  </si>
  <si>
    <t>2021-22</t>
  </si>
  <si>
    <t>Unit</t>
  </si>
  <si>
    <t>Northeast Total Consumption Subsidy</t>
  </si>
  <si>
    <t>Crores</t>
  </si>
  <si>
    <t xml:space="preserve">Rs </t>
  </si>
  <si>
    <t>Total consumption of Natural Gas</t>
  </si>
  <si>
    <t>Million Metric Standard Cubic Meters</t>
  </si>
  <si>
    <t>Conversions</t>
  </si>
  <si>
    <t>Rs/MMSCM</t>
  </si>
  <si>
    <t>Rs/thousand metric cubic meter</t>
  </si>
  <si>
    <t>Rs/BTU</t>
  </si>
  <si>
    <t>USD/BTU</t>
  </si>
  <si>
    <t>Source: Indian Petroleum &amp; Nat Gas Statistics, 2021-22</t>
  </si>
  <si>
    <t>Subsidy per selling unit (Rs per Litre/Cylinder ) of sensitive petroleum products</t>
  </si>
  <si>
    <t>Domestic LPG</t>
  </si>
  <si>
    <t>Total Subsidy</t>
  </si>
  <si>
    <t>(2021 rs/liter/cl)</t>
  </si>
  <si>
    <t>2021 Rs/cyl</t>
  </si>
  <si>
    <t>2021 Rs/BTU</t>
  </si>
  <si>
    <t>2012 Rs/BTU</t>
  </si>
  <si>
    <t>LPG Subsidy</t>
  </si>
  <si>
    <t>2012 USD/BTU</t>
  </si>
  <si>
    <t>Source: Snapshot of India's Oil and Gas data October 2023</t>
  </si>
  <si>
    <t>Table 25, page 35</t>
  </si>
  <si>
    <t>Hydro ($subsidy)</t>
  </si>
  <si>
    <t>Hydro (MWh)</t>
  </si>
  <si>
    <t>hydro ($/MWh)</t>
  </si>
  <si>
    <t>onshore wind ($ subsidy)</t>
  </si>
  <si>
    <t>-</t>
  </si>
  <si>
    <t>onshore wind (MWh)</t>
  </si>
  <si>
    <t>onshore wind ($/MWh)</t>
  </si>
  <si>
    <t>solar PV ($subsidy)</t>
  </si>
  <si>
    <t>solar PV (MWh)</t>
  </si>
  <si>
    <t>solar PV ($/MWh)</t>
  </si>
  <si>
    <t>solar thermal ($subsidy)</t>
  </si>
  <si>
    <t>solar thermal (MWh)</t>
  </si>
  <si>
    <t>solar thermal ($/MWh)</t>
  </si>
  <si>
    <t>biomass ($subsidy)</t>
  </si>
  <si>
    <t>biomass (MWh)</t>
  </si>
  <si>
    <t>biomass ($/MWh)</t>
  </si>
  <si>
    <t>geothermal ($Subsidy)</t>
  </si>
  <si>
    <t>geothermal (MWh)</t>
  </si>
  <si>
    <t>geothermal ($/MWh)</t>
  </si>
  <si>
    <t>https://www.pressreader.com/india/the-hindu-business-line/20180203/281728384962385</t>
  </si>
  <si>
    <t>GBI at INR 0.5/kWh was discontinued last year, but may be reintroduced</t>
  </si>
  <si>
    <t>For all other RE sources, the target figures for capacity addition will be checked with the capacity additions in the model, and caliberated accordingly, so subsidy values may not be required</t>
  </si>
  <si>
    <t>http://pib.nic.in/newsite/PrintRelease.aspx?relid=78829</t>
  </si>
  <si>
    <t>Generation based incentive for Wind</t>
  </si>
  <si>
    <t>INR/KWh</t>
  </si>
  <si>
    <t>Central Government Support to Renewable Energy (RE) sector (in INR crore)</t>
  </si>
  <si>
    <t>Subsidy</t>
  </si>
  <si>
    <t>SDG 12.c.1 category</t>
  </si>
  <si>
    <t>FY 2014</t>
  </si>
  <si>
    <t>FY 2015</t>
  </si>
  <si>
    <t>FY 2016</t>
  </si>
  <si>
    <t>FY 2017</t>
  </si>
  <si>
    <t>FY 2018</t>
  </si>
  <si>
    <t>FY 2019</t>
  </si>
  <si>
    <t>FY 2020</t>
  </si>
  <si>
    <t>FY 2021</t>
  </si>
  <si>
    <t>FY 2022</t>
  </si>
  <si>
    <t>Viability Gap Funding (VGF) under JNNSM Phase II</t>
  </si>
  <si>
    <t>Direct transfer of government funds</t>
  </si>
  <si>
    <t>Off-Grid and Decentralized Solar Application Scheme</t>
  </si>
  <si>
    <t>not available</t>
  </si>
  <si>
    <t>Scheme for development of solar parks and Ultra Mega Solar Power projects</t>
  </si>
  <si>
    <t>not applicable</t>
  </si>
  <si>
    <t>Support for research and development activities</t>
  </si>
  <si>
    <t>Grid-Connected Solar Photovoltaic (PV) Rooftop and Small Solar Power Programme</t>
  </si>
  <si>
    <t>National Biogas and Manure Management Programme (NBMMP)</t>
  </si>
  <si>
    <t>Scheme for setting up of over 300 MW of solar power projects by defence establishments</t>
  </si>
  <si>
    <t>Central Public Sector Undertakings (CPSUs) under JNNSM Phase II</t>
  </si>
  <si>
    <t>MNRE small hydro incentive schemes</t>
  </si>
  <si>
    <t>Financing and non-financing schemes: IREDA and other organizations</t>
  </si>
  <si>
    <t xml:space="preserve">Tax expenditure, other revenue foregone, and under-pricing of goods </t>
  </si>
  <si>
    <t>Canal Bank/Canal Top Scheme</t>
  </si>
  <si>
    <t>Support for grid-interactive biomass power and bagasse cogeneration in sugar mills</t>
  </si>
  <si>
    <t>Biomass gasifier program</t>
  </si>
  <si>
    <t>not applicabe</t>
  </si>
  <si>
    <t>Small Wind Energy and Hybrid Systems (SWES) program</t>
  </si>
  <si>
    <t>Capital subsidy scheme for promoting solar PV water pumping systems for irrigation purposes</t>
  </si>
  <si>
    <t>Biogas power (off-grid) program for decentralized power generation applications and thermal applications</t>
  </si>
  <si>
    <t>Implementation of wind resource assessment in uncovered/new areas under the NCEF scheme and subsequent development</t>
  </si>
  <si>
    <t>Scheme for installation of solar charging stations with LED lanterns</t>
  </si>
  <si>
    <t>Akshay Urja Shops Programme</t>
  </si>
  <si>
    <t>Accelerated depreciation for solar and wind projects</t>
  </si>
  <si>
    <t>Tax breaks on excise and customs duty: Solar</t>
  </si>
  <si>
    <t>Tax breaks on excise and customs duty: Wind</t>
  </si>
  <si>
    <t>Waiver of inter-state transmission charges and losses on transmission of electricity generated from solar and wind  plants</t>
  </si>
  <si>
    <t>Generation-based incentive (GBI) for grid -interactive wind power projects</t>
  </si>
  <si>
    <t>Induced transfers (price support)</t>
  </si>
  <si>
    <t>GBI for small solar power generation</t>
  </si>
  <si>
    <t xml:space="preserve">Market development and promotion of solar concentrator-based process heat applications </t>
  </si>
  <si>
    <t>Lower GST and customs duty: Solar</t>
  </si>
  <si>
    <t>Lower GST and customs duty: Wind</t>
  </si>
  <si>
    <t>Pradhan Mantri Kisan Urja Suraksha evam Utthaan Mahabhiyan (PM-KUSUM)</t>
  </si>
  <si>
    <t>Capital infusion for development of RE sector</t>
  </si>
  <si>
    <t>Total</t>
  </si>
  <si>
    <t>Central Government Support to Renewable Energy Sector (in USD million)</t>
  </si>
  <si>
    <t>Subsidy (in INR crores)</t>
  </si>
  <si>
    <t>Concessional custom duty rates on import of coal</t>
  </si>
  <si>
    <t>Concessional excise duty rates on coal production</t>
  </si>
  <si>
    <t>Concessional duty rebates on coal mining equipment</t>
  </si>
  <si>
    <t>Total in $</t>
  </si>
  <si>
    <t>Coal consumption (million tonnes)</t>
  </si>
  <si>
    <t>Coal consumption (in BTU)</t>
  </si>
  <si>
    <t>$/BTU</t>
  </si>
  <si>
    <t>$/MWh</t>
  </si>
  <si>
    <t>Coal #</t>
  </si>
  <si>
    <t xml:space="preserve">Lignite </t>
  </si>
  <si>
    <t>(Million Tonnes)</t>
  </si>
  <si>
    <t>2012-13</t>
  </si>
  <si>
    <t>2013-14</t>
  </si>
  <si>
    <t>2014-15</t>
  </si>
  <si>
    <t>2015-16</t>
  </si>
  <si>
    <t>2016-17</t>
  </si>
  <si>
    <t>2017-18</t>
  </si>
  <si>
    <t>2018-19</t>
  </si>
  <si>
    <t>2019-20</t>
  </si>
  <si>
    <t>2020-21</t>
  </si>
  <si>
    <t>2021-22 (P)</t>
  </si>
  <si>
    <t>Growth rate of 2021-22 over 2020-21 (%)</t>
  </si>
  <si>
    <t>CAGR 2012-13 to 2021-22 (P) (%)</t>
  </si>
  <si>
    <t>Conversion Rates</t>
  </si>
  <si>
    <t>electricity</t>
  </si>
  <si>
    <t>hard coal ($/BTU)</t>
  </si>
  <si>
    <t>natural gas ($/BTU)</t>
  </si>
  <si>
    <t>nuclear</t>
  </si>
  <si>
    <t>hydro</t>
  </si>
  <si>
    <t>wind</t>
  </si>
  <si>
    <t>solar</t>
  </si>
  <si>
    <t>biomass ($/BTU)</t>
  </si>
  <si>
    <t>petroleum gasoline ($/BTU)</t>
  </si>
  <si>
    <t>petroleum diesel ($/BTU)</t>
  </si>
  <si>
    <t>biofuel gasoline</t>
  </si>
  <si>
    <t>biofuel diesel</t>
  </si>
  <si>
    <t>jet fuel ($/BTU)</t>
  </si>
  <si>
    <t>heat</t>
  </si>
  <si>
    <t>geothermal</t>
  </si>
  <si>
    <t>lignite ($/BTU)</t>
  </si>
  <si>
    <t>crude oil</t>
  </si>
  <si>
    <t>heavy fuel oil</t>
  </si>
  <si>
    <t>LPG propane or butane</t>
  </si>
  <si>
    <t>municipal solid waste</t>
  </si>
  <si>
    <t>hydrogen</t>
  </si>
  <si>
    <t>hard coal</t>
  </si>
  <si>
    <t>natural gas steam turbine</t>
  </si>
  <si>
    <t>natural gas combined cycle</t>
  </si>
  <si>
    <t>onshore wind</t>
  </si>
  <si>
    <t>solar PV</t>
  </si>
  <si>
    <t>solar thermal</t>
  </si>
  <si>
    <t>biomass</t>
  </si>
  <si>
    <t>petroleum</t>
  </si>
  <si>
    <t>natural gas peaker</t>
  </si>
  <si>
    <t>lignite</t>
  </si>
  <si>
    <t>offshore wind</t>
  </si>
  <si>
    <t>heavy or residual fuel oil</t>
  </si>
  <si>
    <t>hard coal w CCS</t>
  </si>
  <si>
    <t>natural gas combined cycle w CCS</t>
  </si>
  <si>
    <t>biomass w CCS</t>
  </si>
  <si>
    <t>lignite w CCS</t>
  </si>
  <si>
    <t>small modular reactor</t>
  </si>
  <si>
    <t>hydrogen combustion turbine</t>
  </si>
  <si>
    <t>hydrogen combined cycle</t>
  </si>
  <si>
    <t>% of capital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</si>
</sst>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0.000"/>
    <numFmt numFmtId="166" formatCode="0.0"/>
  </numFmts>
  <fonts count="22"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sz val="11"/>
      <color theme="1"/>
      <name val="Calibri"/>
      <family val="2"/>
      <scheme val="minor"/>
    </font>
    <font>
      <i/>
      <sz val="11"/>
      <color theme="1"/>
      <name val="Calibri"/>
      <family val="2"/>
      <scheme val="minor"/>
    </font>
    <font>
      <b/>
      <sz val="10"/>
      <color indexed="8"/>
      <name val="Times New Roman"/>
      <family val="1"/>
    </font>
    <font>
      <sz val="10"/>
      <color indexed="8"/>
      <name val="Times New Roman"/>
      <family val="1"/>
    </font>
    <font>
      <b/>
      <sz val="11"/>
      <color rgb="FF000000"/>
      <name val="Calibri"/>
      <family val="2"/>
    </font>
    <font>
      <sz val="11"/>
      <color rgb="FF000000"/>
      <name val="Calibri"/>
      <family val="2"/>
    </font>
    <font>
      <u/>
      <sz val="11"/>
      <color theme="11"/>
      <name val="Calibri"/>
      <family val="2"/>
      <scheme val="minor"/>
    </font>
    <font>
      <sz val="10"/>
      <color theme="1"/>
      <name val="Calibri"/>
      <family val="2"/>
      <scheme val="minor"/>
    </font>
    <font>
      <sz val="10"/>
      <name val="Arial"/>
      <family val="2"/>
    </font>
    <font>
      <b/>
      <u/>
      <sz val="16"/>
      <name val="Times New Roman"/>
      <family val="1"/>
    </font>
    <font>
      <sz val="10"/>
      <color theme="1"/>
      <name val="Times New Roman"/>
      <family val="1"/>
    </font>
    <font>
      <b/>
      <sz val="10"/>
      <name val="Times New Roman"/>
      <family val="1"/>
    </font>
    <font>
      <b/>
      <sz val="8"/>
      <name val="Arial"/>
      <family val="2"/>
    </font>
    <font>
      <sz val="8"/>
      <name val="Arial"/>
      <family val="2"/>
    </font>
    <font>
      <sz val="8"/>
      <name val="Calibri"/>
      <family val="2"/>
    </font>
    <font>
      <sz val="11"/>
      <color rgb="FF00000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6" tint="0.79998168889431442"/>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20">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164" fontId="6"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4" fillId="0" borderId="0"/>
  </cellStyleXfs>
  <cellXfs count="64">
    <xf numFmtId="0" fontId="0" fillId="0" borderId="0" xfId="0"/>
    <xf numFmtId="0" fontId="1" fillId="0" borderId="0" xfId="0" applyFont="1"/>
    <xf numFmtId="0" fontId="2" fillId="0" borderId="0" xfId="1"/>
    <xf numFmtId="0" fontId="0" fillId="0" borderId="0" xfId="0" applyAlignment="1">
      <alignment horizontal="left"/>
    </xf>
    <xf numFmtId="0" fontId="1" fillId="2" borderId="0" xfId="0" applyFont="1" applyFill="1"/>
    <xf numFmtId="11" fontId="0" fillId="0" borderId="0" xfId="0" applyNumberFormat="1"/>
    <xf numFmtId="165" fontId="0" fillId="0" borderId="0" xfId="0" applyNumberFormat="1"/>
    <xf numFmtId="0" fontId="0" fillId="2" borderId="0" xfId="0" applyFill="1"/>
    <xf numFmtId="0" fontId="2" fillId="0" borderId="0" xfId="1" applyAlignment="1" applyProtection="1"/>
    <xf numFmtId="0" fontId="0" fillId="0" borderId="0" xfId="0" applyAlignment="1">
      <alignment horizontal="right"/>
    </xf>
    <xf numFmtId="1" fontId="0" fillId="0" borderId="0" xfId="0" applyNumberFormat="1"/>
    <xf numFmtId="11" fontId="0" fillId="2" borderId="0" xfId="0" applyNumberFormat="1" applyFill="1"/>
    <xf numFmtId="0" fontId="0" fillId="3" borderId="0" xfId="0" applyFill="1"/>
    <xf numFmtId="0" fontId="7" fillId="3" borderId="0" xfId="0" applyFont="1" applyFill="1" applyAlignment="1">
      <alignment wrapText="1"/>
    </xf>
    <xf numFmtId="0" fontId="1" fillId="3" borderId="0" xfId="0" applyFont="1" applyFill="1"/>
    <xf numFmtId="0" fontId="7" fillId="3" borderId="0" xfId="0" applyFont="1" applyFill="1"/>
    <xf numFmtId="0" fontId="2" fillId="3" borderId="0" xfId="1" applyFill="1" applyAlignment="1" applyProtection="1"/>
    <xf numFmtId="0" fontId="0" fillId="3" borderId="0" xfId="0" applyFill="1" applyAlignment="1">
      <alignment horizontal="right"/>
    </xf>
    <xf numFmtId="10" fontId="0" fillId="3" borderId="0" xfId="0" applyNumberFormat="1" applyFill="1"/>
    <xf numFmtId="165" fontId="0" fillId="3" borderId="0" xfId="0" applyNumberFormat="1" applyFill="1"/>
    <xf numFmtId="9" fontId="0" fillId="3" borderId="0" xfId="0" applyNumberFormat="1" applyFill="1"/>
    <xf numFmtId="11" fontId="0" fillId="3" borderId="0" xfId="0" applyNumberFormat="1" applyFill="1"/>
    <xf numFmtId="0" fontId="1" fillId="2" borderId="0" xfId="0" applyFont="1" applyFill="1" applyAlignment="1">
      <alignment horizontal="right"/>
    </xf>
    <xf numFmtId="4" fontId="0" fillId="0" borderId="0" xfId="0" applyNumberFormat="1"/>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7" xfId="0" applyFont="1" applyBorder="1" applyAlignment="1">
      <alignment horizontal="center"/>
    </xf>
    <xf numFmtId="2" fontId="9" fillId="0" borderId="8" xfId="0" applyNumberFormat="1" applyFont="1" applyBorder="1"/>
    <xf numFmtId="0" fontId="8" fillId="4" borderId="10" xfId="0" applyFont="1" applyFill="1" applyBorder="1" applyAlignment="1">
      <alignment horizontal="left" vertical="center" wrapText="1"/>
    </xf>
    <xf numFmtId="2" fontId="8" fillId="0" borderId="7" xfId="8" applyNumberFormat="1" applyFont="1" applyBorder="1" applyAlignment="1">
      <alignment horizontal="right" vertical="center"/>
    </xf>
    <xf numFmtId="0" fontId="8" fillId="4" borderId="11" xfId="0" applyFont="1" applyFill="1" applyBorder="1" applyAlignment="1">
      <alignment horizontal="left" vertical="center" wrapText="1"/>
    </xf>
    <xf numFmtId="2" fontId="8" fillId="4" borderId="11" xfId="8" applyNumberFormat="1" applyFont="1" applyFill="1" applyBorder="1" applyAlignment="1">
      <alignment horizontal="right" vertical="center"/>
    </xf>
    <xf numFmtId="0" fontId="10" fillId="0" borderId="0" xfId="0" applyFont="1"/>
    <xf numFmtId="0" fontId="11" fillId="0" borderId="0" xfId="0" applyFont="1"/>
    <xf numFmtId="0" fontId="13" fillId="0" borderId="0" xfId="0" applyFont="1"/>
    <xf numFmtId="0" fontId="16" fillId="0" borderId="0" xfId="0" applyFont="1"/>
    <xf numFmtId="0" fontId="17" fillId="0" borderId="0" xfId="19" applyFont="1"/>
    <xf numFmtId="2" fontId="9" fillId="0" borderId="7" xfId="0" applyNumberFormat="1" applyFont="1" applyBorder="1"/>
    <xf numFmtId="2" fontId="9" fillId="4" borderId="7" xfId="0" applyNumberFormat="1" applyFont="1" applyFill="1" applyBorder="1"/>
    <xf numFmtId="0" fontId="8" fillId="4" borderId="7" xfId="0" applyFont="1" applyFill="1" applyBorder="1" applyAlignment="1">
      <alignment horizontal="left" vertical="center" wrapText="1"/>
    </xf>
    <xf numFmtId="4" fontId="9" fillId="0" borderId="7" xfId="8" applyNumberFormat="1" applyFont="1" applyFill="1" applyBorder="1" applyAlignment="1">
      <alignment horizontal="right"/>
    </xf>
    <xf numFmtId="4" fontId="9" fillId="0" borderId="7" xfId="8" applyNumberFormat="1" applyFont="1" applyBorder="1" applyAlignment="1">
      <alignment horizontal="right"/>
    </xf>
    <xf numFmtId="1" fontId="19" fillId="0" borderId="7" xfId="0" applyNumberFormat="1" applyFont="1" applyBorder="1" applyAlignment="1">
      <alignment horizontal="right" vertical="center"/>
    </xf>
    <xf numFmtId="1" fontId="19" fillId="0" borderId="7" xfId="0" applyNumberFormat="1" applyFont="1" applyBorder="1" applyAlignment="1">
      <alignment horizontal="right" vertical="center" wrapText="1"/>
    </xf>
    <xf numFmtId="0" fontId="0" fillId="0" borderId="7" xfId="0" applyBorder="1"/>
    <xf numFmtId="166" fontId="18" fillId="0" borderId="7" xfId="0" applyNumberFormat="1" applyFont="1" applyBorder="1" applyAlignment="1">
      <alignment horizontal="left" vertical="center"/>
    </xf>
    <xf numFmtId="166" fontId="18" fillId="0" borderId="7" xfId="0" applyNumberFormat="1" applyFont="1" applyBorder="1" applyAlignment="1">
      <alignment horizontal="left" vertical="center" wrapText="1"/>
    </xf>
    <xf numFmtId="1" fontId="18" fillId="0" borderId="7" xfId="0" applyNumberFormat="1" applyFont="1" applyBorder="1" applyAlignment="1">
      <alignment horizontal="right" vertical="center"/>
    </xf>
    <xf numFmtId="166" fontId="19" fillId="0" borderId="7" xfId="0" applyNumberFormat="1" applyFont="1" applyBorder="1" applyAlignment="1">
      <alignment horizontal="left" vertical="center"/>
    </xf>
    <xf numFmtId="166" fontId="19" fillId="0" borderId="7" xfId="0" applyNumberFormat="1" applyFont="1" applyBorder="1" applyAlignment="1">
      <alignment vertical="center"/>
    </xf>
    <xf numFmtId="1" fontId="19" fillId="0" borderId="7" xfId="0" applyNumberFormat="1" applyFont="1" applyBorder="1" applyAlignment="1">
      <alignment horizontal="right"/>
    </xf>
    <xf numFmtId="0" fontId="19" fillId="0" borderId="7" xfId="0" applyFont="1" applyBorder="1" applyAlignment="1">
      <alignment wrapText="1"/>
    </xf>
    <xf numFmtId="0" fontId="19" fillId="0" borderId="7" xfId="0" applyFont="1" applyBorder="1"/>
    <xf numFmtId="0" fontId="19" fillId="0" borderId="7" xfId="0" applyFont="1" applyBorder="1" applyAlignment="1">
      <alignment horizontal="left" vertical="center" wrapText="1"/>
    </xf>
    <xf numFmtId="166" fontId="20" fillId="0" borderId="7" xfId="0" applyNumberFormat="1" applyFont="1" applyBorder="1" applyAlignment="1">
      <alignment horizontal="right" vertical="center"/>
    </xf>
    <xf numFmtId="166" fontId="18" fillId="0" borderId="7" xfId="0" applyNumberFormat="1" applyFont="1" applyBorder="1" applyAlignment="1">
      <alignment vertical="center"/>
    </xf>
    <xf numFmtId="166" fontId="18" fillId="0" borderId="7" xfId="0" applyNumberFormat="1" applyFont="1" applyBorder="1" applyAlignment="1">
      <alignment horizontal="center" vertical="center"/>
    </xf>
    <xf numFmtId="0" fontId="15" fillId="0" borderId="0" xfId="19" applyFont="1"/>
    <xf numFmtId="0" fontId="21" fillId="0" borderId="0" xfId="0" applyFont="1" applyAlignment="1">
      <alignment vertical="center"/>
    </xf>
    <xf numFmtId="0" fontId="8" fillId="0" borderId="9" xfId="0" applyFont="1" applyBorder="1" applyAlignment="1">
      <alignment horizontal="center" vertical="center" wrapText="1"/>
    </xf>
    <xf numFmtId="0" fontId="8" fillId="0" borderId="6" xfId="0" applyFont="1" applyBorder="1" applyAlignment="1">
      <alignment horizontal="center" vertical="center" wrapText="1"/>
    </xf>
    <xf numFmtId="0" fontId="11" fillId="0" borderId="0" xfId="0" applyFont="1" applyAlignment="1"/>
  </cellXfs>
  <cellStyles count="20">
    <cellStyle name="Body: normal cell" xfId="5" xr:uid="{00000000-0005-0000-0000-000000000000}"/>
    <cellStyle name="Comma" xfId="8" builtinId="3"/>
    <cellStyle name="Followed Hyperlink" xfId="13"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4" builtinId="9" hidden="1"/>
    <cellStyle name="Followed Hyperlink" xfId="11" builtinId="9" hidden="1"/>
    <cellStyle name="Followed Hyperlink" xfId="12" builtinId="9" hidden="1"/>
    <cellStyle name="Followed Hyperlink" xfId="10" builtinId="9" hidden="1"/>
    <cellStyle name="Followed Hyperlink" xfId="9" builtinId="9" hidden="1"/>
    <cellStyle name="Font: Calibri, 9pt regular" xfId="2" xr:uid="{00000000-0005-0000-0000-00000C000000}"/>
    <cellStyle name="Footnotes: top row" xfId="7" xr:uid="{00000000-0005-0000-0000-00000D000000}"/>
    <cellStyle name="Header: bottom row" xfId="3" xr:uid="{00000000-0005-0000-0000-00000E000000}"/>
    <cellStyle name="Hyperlink" xfId="1" builtinId="8"/>
    <cellStyle name="Normal" xfId="0" builtinId="0"/>
    <cellStyle name="Normal 4" xfId="19" xr:uid="{7BE7F7DE-F253-4575-9F66-77BE05BB63C4}"/>
    <cellStyle name="Parent row" xfId="6" xr:uid="{00000000-0005-0000-0000-000011000000}"/>
    <cellStyle name="Table title" xfId="4"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101601</xdr:colOff>
      <xdr:row>0</xdr:row>
      <xdr:rowOff>176911</xdr:rowOff>
    </xdr:from>
    <xdr:to>
      <xdr:col>13</xdr:col>
      <xdr:colOff>457201</xdr:colOff>
      <xdr:row>21</xdr:row>
      <xdr:rowOff>37307</xdr:rowOff>
    </xdr:to>
    <xdr:pic>
      <xdr:nvPicPr>
        <xdr:cNvPr id="3" name="Picture 2">
          <a:extLst>
            <a:ext uri="{FF2B5EF4-FFF2-40B4-BE49-F238E27FC236}">
              <a16:creationId xmlns:a16="http://schemas.microsoft.com/office/drawing/2014/main" id="{31BBBCEF-15E6-FD6E-A8DC-9AD84E69594A}"/>
            </a:ext>
          </a:extLst>
        </xdr:cNvPr>
        <xdr:cNvPicPr>
          <a:picLocks noChangeAspect="1"/>
        </xdr:cNvPicPr>
      </xdr:nvPicPr>
      <xdr:blipFill>
        <a:blip xmlns:r="http://schemas.openxmlformats.org/officeDocument/2006/relationships" r:embed="rId1"/>
        <a:stretch>
          <a:fillRect/>
        </a:stretch>
      </xdr:blipFill>
      <xdr:spPr>
        <a:xfrm>
          <a:off x="6610351" y="176911"/>
          <a:ext cx="5899150" cy="37275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254001</xdr:colOff>
      <xdr:row>0</xdr:row>
      <xdr:rowOff>150157</xdr:rowOff>
    </xdr:from>
    <xdr:to>
      <xdr:col>8</xdr:col>
      <xdr:colOff>215901</xdr:colOff>
      <xdr:row>11</xdr:row>
      <xdr:rowOff>72633</xdr:rowOff>
    </xdr:to>
    <xdr:pic>
      <xdr:nvPicPr>
        <xdr:cNvPr id="4" name="Picture 3">
          <a:extLst>
            <a:ext uri="{FF2B5EF4-FFF2-40B4-BE49-F238E27FC236}">
              <a16:creationId xmlns:a16="http://schemas.microsoft.com/office/drawing/2014/main" id="{8B4509B0-C0DE-F71D-84A5-1DBC2EBD9FF8}"/>
            </a:ext>
          </a:extLst>
        </xdr:cNvPr>
        <xdr:cNvPicPr>
          <a:picLocks noChangeAspect="1"/>
        </xdr:cNvPicPr>
      </xdr:nvPicPr>
      <xdr:blipFill>
        <a:blip xmlns:r="http://schemas.openxmlformats.org/officeDocument/2006/relationships" r:embed="rId1"/>
        <a:stretch>
          <a:fillRect/>
        </a:stretch>
      </xdr:blipFill>
      <xdr:spPr>
        <a:xfrm>
          <a:off x="5689601" y="150157"/>
          <a:ext cx="3060700" cy="20179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mahajan\Documents\eps-us\InputData\fuels\BFPaT\BAU%20Fuel%20Prices%20and%20Taxes.xlsx" TargetMode="External"/><Relationship Id="rId1" Type="http://schemas.openxmlformats.org/officeDocument/2006/relationships/externalLinkPath" Target="https://energyinnovation-my.sharepoint.com/Users/mmahajan/Documents/eps-us/InputData/fuels/BFPaT/BAU%20Fuel%20Prices%20and%20Tax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EO 2023 Table 2"/>
      <sheetName val="AEO 2022 Table 2"/>
      <sheetName val="Gas Futures"/>
      <sheetName val="Henry Hub Historicals"/>
      <sheetName val="NG Sector Price Historicals"/>
      <sheetName val="Historical Monthly Gas Cons"/>
      <sheetName val="NG Calcs"/>
      <sheetName val="AEO 2023 Table 3"/>
      <sheetName val="AEO 2022 Table 3"/>
      <sheetName val="AEO 2023 Table 12"/>
      <sheetName val="AEO 2022 Table 12"/>
      <sheetName val="AEO 2023 Table 57"/>
      <sheetName val="AEO 2022 Table 57"/>
      <sheetName val="AEO Table 57"/>
      <sheetName val="STEO"/>
      <sheetName val="Hard Coal and Lig Multipliers"/>
      <sheetName val="Hydrogen"/>
      <sheetName val="Transp Charging"/>
      <sheetName val="Other Fuels"/>
      <sheetName val="Inflation Reduction Act"/>
      <sheetName val="Tax Percentages"/>
      <sheetName val="Pretax &gt;"/>
      <sheetName val="BFPaT-pretax-electricity"/>
      <sheetName val="BFPaT-pretax-coal"/>
      <sheetName val="BFPaT-pretax-natgas"/>
      <sheetName val="BFPaT-pretax-nuclear"/>
      <sheetName val="BFPaT-pretax-hydro"/>
      <sheetName val="BFPaT-pretax-wind"/>
      <sheetName val="BFPaT-pretax-solar"/>
      <sheetName val="BFPaT-pretax-biomass"/>
      <sheetName val="BFPaT-pretax-petgas"/>
      <sheetName val="BFPaT-pretax-petdies"/>
      <sheetName val="BFPaT-pretax-biogas"/>
      <sheetName val="BFPaT-pretax-biodies"/>
      <sheetName val="BFPaT-pretax-jetkerosene"/>
      <sheetName val="BFPaT-pretax-heat"/>
      <sheetName val="BFPaT-pretax-geothermal"/>
      <sheetName val="BFPaT-pretax-lignite"/>
      <sheetName val="BFPaT-pretax-crude"/>
      <sheetName val="BFPaT-pretax-heavyfueloil"/>
      <sheetName val="BFPaT-pretax-lpgpropbut"/>
      <sheetName val="BFPaT-pretax-msw"/>
      <sheetName val="BFPaT-pretax-hydrogen"/>
      <sheetName val="Summary_pretax"/>
      <sheetName val="Fuel Tax &gt;"/>
      <sheetName val="BFPaT-fueltax-electricity"/>
      <sheetName val="BFPaT-fueltax-coal"/>
      <sheetName val="BFPaT-fueltax-natgas"/>
      <sheetName val="BFPaT-fueltax-nuclear"/>
      <sheetName val="BFPaT-fueltax-hydro"/>
      <sheetName val="BFPaT-fueltax-wind"/>
      <sheetName val="BFPaT-fueltax-solar"/>
      <sheetName val="BFPaT-fueltax-biomass"/>
      <sheetName val="BFPaT-fueltax-petgas"/>
      <sheetName val="BFPaT-fueltax-petdies"/>
      <sheetName val="BFPaT-fueltax-biogas"/>
      <sheetName val="BFPaT-fueltax-biodies"/>
      <sheetName val="BFPaT-fueltax-jetkerosene"/>
      <sheetName val="BFPaT-fueltax-heat"/>
      <sheetName val="BFPaT-fueltax-geothermal"/>
      <sheetName val="BFPaT-fueltax-lignite"/>
      <sheetName val="BFPaT-fueltax-crude"/>
      <sheetName val="BFPaT-fueltax-heavyfueloil"/>
      <sheetName val="BFPaT-fueltax-lpgpropbut"/>
      <sheetName val="BFPaT-fueltax-msw"/>
      <sheetName val="BFPaT-fueltax-hydrogen"/>
      <sheetName val="Summary_ta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mopng.gov.in/files/TableManagements/IPNG-2021-22_L.pdf" TargetMode="External"/><Relationship Id="rId1" Type="http://schemas.openxmlformats.org/officeDocument/2006/relationships/hyperlink" Target="https://mopng.gov.in/files/TableManagements/IPNG-2021-22_L.pdf"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hyperlink" Target="http://pib.nic.in/newsite/PrintRelease.aspx?relid=78829" TargetMode="External"/><Relationship Id="rId1" Type="http://schemas.openxmlformats.org/officeDocument/2006/relationships/hyperlink" Target="https://www.pressreader.com/india/the-hindu-business-line/20180203/2817283849623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workbookViewId="0">
      <selection activeCell="A3" sqref="A3"/>
    </sheetView>
  </sheetViews>
  <sheetFormatPr defaultColWidth="8.81640625" defaultRowHeight="14.5" x14ac:dyDescent="0.35"/>
  <cols>
    <col min="1" max="1" width="18.26953125" customWidth="1"/>
    <col min="2" max="2" width="78.26953125" customWidth="1"/>
    <col min="4" max="4" width="70.26953125" customWidth="1"/>
  </cols>
  <sheetData>
    <row r="1" spans="1:4" x14ac:dyDescent="0.35">
      <c r="A1" s="1" t="s">
        <v>0</v>
      </c>
    </row>
    <row r="2" spans="1:4" x14ac:dyDescent="0.35">
      <c r="A2" s="1" t="s">
        <v>1</v>
      </c>
    </row>
    <row r="3" spans="1:4" x14ac:dyDescent="0.35">
      <c r="A3" s="1" t="s">
        <v>2</v>
      </c>
    </row>
    <row r="5" spans="1:4" x14ac:dyDescent="0.35">
      <c r="A5" s="1" t="s">
        <v>3</v>
      </c>
      <c r="B5" s="4" t="s">
        <v>4</v>
      </c>
    </row>
    <row r="6" spans="1:4" x14ac:dyDescent="0.35">
      <c r="B6" t="s">
        <v>5</v>
      </c>
    </row>
    <row r="7" spans="1:4" x14ac:dyDescent="0.35">
      <c r="B7" t="s">
        <v>6</v>
      </c>
    </row>
    <row r="8" spans="1:4" x14ac:dyDescent="0.35">
      <c r="B8" s="8" t="s">
        <v>7</v>
      </c>
    </row>
    <row r="9" spans="1:4" x14ac:dyDescent="0.35">
      <c r="B9" t="s">
        <v>8</v>
      </c>
    </row>
    <row r="10" spans="1:4" x14ac:dyDescent="0.35">
      <c r="B10" s="4" t="s">
        <v>9</v>
      </c>
      <c r="D10" s="4" t="s">
        <v>10</v>
      </c>
    </row>
    <row r="11" spans="1:4" x14ac:dyDescent="0.35">
      <c r="B11" t="s">
        <v>11</v>
      </c>
      <c r="D11" t="s">
        <v>12</v>
      </c>
    </row>
    <row r="12" spans="1:4" x14ac:dyDescent="0.35">
      <c r="B12" s="3">
        <v>2021</v>
      </c>
      <c r="D12" s="3">
        <v>2023</v>
      </c>
    </row>
    <row r="13" spans="1:4" x14ac:dyDescent="0.35">
      <c r="B13" t="s">
        <v>13</v>
      </c>
      <c r="D13" t="s">
        <v>14</v>
      </c>
    </row>
    <row r="14" spans="1:4" x14ac:dyDescent="0.35">
      <c r="B14" s="8" t="s">
        <v>15</v>
      </c>
      <c r="D14" s="2" t="s">
        <v>16</v>
      </c>
    </row>
    <row r="15" spans="1:4" x14ac:dyDescent="0.35">
      <c r="B15" t="s">
        <v>17</v>
      </c>
    </row>
    <row r="17" spans="1:4" x14ac:dyDescent="0.35">
      <c r="B17" s="4" t="s">
        <v>18</v>
      </c>
      <c r="D17" s="4" t="s">
        <v>19</v>
      </c>
    </row>
    <row r="18" spans="1:4" x14ac:dyDescent="0.35">
      <c r="B18" t="s">
        <v>11</v>
      </c>
      <c r="D18" t="s">
        <v>5</v>
      </c>
    </row>
    <row r="19" spans="1:4" x14ac:dyDescent="0.35">
      <c r="B19" s="3">
        <v>2021</v>
      </c>
      <c r="D19" s="3">
        <v>2022</v>
      </c>
    </row>
    <row r="20" spans="1:4" x14ac:dyDescent="0.35">
      <c r="B20" t="s">
        <v>13</v>
      </c>
      <c r="D20" t="s">
        <v>6</v>
      </c>
    </row>
    <row r="21" spans="1:4" x14ac:dyDescent="0.35">
      <c r="B21" s="8" t="s">
        <v>15</v>
      </c>
      <c r="D21" s="8" t="s">
        <v>7</v>
      </c>
    </row>
    <row r="22" spans="1:4" x14ac:dyDescent="0.35">
      <c r="B22" t="s">
        <v>20</v>
      </c>
      <c r="D22" t="s">
        <v>21</v>
      </c>
    </row>
    <row r="23" spans="1:4" x14ac:dyDescent="0.35">
      <c r="A23" s="1" t="s">
        <v>22</v>
      </c>
    </row>
    <row r="24" spans="1:4" x14ac:dyDescent="0.35">
      <c r="A24" t="s">
        <v>23</v>
      </c>
    </row>
    <row r="25" spans="1:4" x14ac:dyDescent="0.35">
      <c r="A25" t="s">
        <v>24</v>
      </c>
    </row>
    <row r="26" spans="1:4" x14ac:dyDescent="0.35">
      <c r="A26" t="s">
        <v>25</v>
      </c>
    </row>
    <row r="27" spans="1:4" x14ac:dyDescent="0.35">
      <c r="A27" t="s">
        <v>26</v>
      </c>
    </row>
    <row r="28" spans="1:4" x14ac:dyDescent="0.35">
      <c r="A28" t="s">
        <v>27</v>
      </c>
    </row>
    <row r="30" spans="1:4" x14ac:dyDescent="0.35">
      <c r="A30" t="s">
        <v>28</v>
      </c>
    </row>
    <row r="31" spans="1:4" x14ac:dyDescent="0.35">
      <c r="A31" t="s">
        <v>29</v>
      </c>
    </row>
    <row r="33" spans="1:1" x14ac:dyDescent="0.35">
      <c r="A33" t="s">
        <v>30</v>
      </c>
    </row>
  </sheetData>
  <hyperlinks>
    <hyperlink ref="B14" r:id="rId1" xr:uid="{C6BC71A6-0534-453A-8A7B-60478D9AA12D}"/>
    <hyperlink ref="B21" r:id="rId2" xr:uid="{C1E40E26-7A75-4E14-881A-721DC1BE1161}"/>
  </hyperlinks>
  <pageMargins left="0.7" right="0.7" top="0.75" bottom="0.75" header="0.3" footer="0.3"/>
  <pageSetup orientation="portrait" horizontalDpi="1200" verticalDpi="120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C73"/>
  <sheetViews>
    <sheetView topLeftCell="A5" workbookViewId="0">
      <selection activeCell="B20" sqref="B20"/>
    </sheetView>
  </sheetViews>
  <sheetFormatPr defaultColWidth="8.81640625" defaultRowHeight="14.5" x14ac:dyDescent="0.35"/>
  <cols>
    <col min="1" max="1" width="26" customWidth="1"/>
    <col min="2" max="2" width="21.26953125" customWidth="1"/>
    <col min="3" max="3" width="24.7265625" customWidth="1"/>
  </cols>
  <sheetData>
    <row r="1" spans="1:3" x14ac:dyDescent="0.35">
      <c r="A1" s="4" t="s">
        <v>31</v>
      </c>
      <c r="B1" s="7"/>
      <c r="C1" s="7"/>
    </row>
    <row r="2" spans="1:3" x14ac:dyDescent="0.35">
      <c r="A2" s="14" t="s">
        <v>32</v>
      </c>
      <c r="B2" s="15" t="s">
        <v>33</v>
      </c>
      <c r="C2" s="16"/>
    </row>
    <row r="3" spans="1:3" x14ac:dyDescent="0.35">
      <c r="A3" s="17" t="s">
        <v>34</v>
      </c>
      <c r="B3" s="17" t="s">
        <v>35</v>
      </c>
      <c r="C3" s="17" t="s">
        <v>36</v>
      </c>
    </row>
    <row r="4" spans="1:3" x14ac:dyDescent="0.35">
      <c r="A4" s="12">
        <v>2010</v>
      </c>
      <c r="B4" s="18">
        <v>9.4700000000000006E-2</v>
      </c>
      <c r="C4" s="19">
        <v>0.84470208721577789</v>
      </c>
    </row>
    <row r="5" spans="1:3" x14ac:dyDescent="0.35">
      <c r="A5" s="12">
        <v>2011</v>
      </c>
      <c r="B5" s="18">
        <v>6.4899999999999999E-2</v>
      </c>
      <c r="C5" s="19">
        <v>0.8995232526760818</v>
      </c>
    </row>
    <row r="6" spans="1:3" x14ac:dyDescent="0.35">
      <c r="A6" s="12">
        <v>2012</v>
      </c>
      <c r="B6" s="18">
        <v>0.11169999999999999</v>
      </c>
      <c r="C6" s="12">
        <v>1</v>
      </c>
    </row>
    <row r="7" spans="1:3" x14ac:dyDescent="0.35">
      <c r="A7" s="12">
        <v>2013</v>
      </c>
      <c r="B7" s="18">
        <v>9.1300000000000006E-2</v>
      </c>
      <c r="C7" s="19">
        <v>1.0912999999999999</v>
      </c>
    </row>
    <row r="8" spans="1:3" x14ac:dyDescent="0.35">
      <c r="A8" s="12">
        <v>2014</v>
      </c>
      <c r="B8" s="18">
        <v>5.8599999999999999E-2</v>
      </c>
      <c r="C8" s="19">
        <v>1.1552501799999999</v>
      </c>
    </row>
    <row r="9" spans="1:3" x14ac:dyDescent="0.35">
      <c r="A9" s="12">
        <v>2015</v>
      </c>
      <c r="B9" s="18">
        <v>6.3200000000000006E-2</v>
      </c>
      <c r="C9" s="19">
        <v>1.2282619913759998</v>
      </c>
    </row>
    <row r="10" spans="1:3" x14ac:dyDescent="0.35">
      <c r="A10" s="12">
        <v>2016</v>
      </c>
      <c r="B10" s="18">
        <v>2.23E-2</v>
      </c>
      <c r="C10" s="19">
        <v>1.2556522337836846</v>
      </c>
    </row>
    <row r="11" spans="1:3" x14ac:dyDescent="0.35">
      <c r="A11" s="12">
        <v>2017</v>
      </c>
      <c r="B11" s="20">
        <v>0.04</v>
      </c>
      <c r="C11" s="19">
        <v>1.3058783231350322</v>
      </c>
    </row>
    <row r="12" spans="1:3" x14ac:dyDescent="0.35">
      <c r="A12" s="12">
        <v>2018</v>
      </c>
      <c r="B12" s="18">
        <v>5.2400000000000002E-2</v>
      </c>
      <c r="C12" s="12">
        <v>1.3740000000000001</v>
      </c>
    </row>
    <row r="13" spans="1:3" x14ac:dyDescent="0.35">
      <c r="A13" s="12">
        <v>2019</v>
      </c>
      <c r="B13" s="18">
        <v>7.6600000000000001E-2</v>
      </c>
      <c r="C13" s="19">
        <v>1.5278163662570656</v>
      </c>
    </row>
    <row r="14" spans="1:3" x14ac:dyDescent="0.35">
      <c r="A14" s="12">
        <v>2020</v>
      </c>
      <c r="B14" s="18">
        <v>5.5800000000000002E-2</v>
      </c>
      <c r="C14" s="19">
        <v>1.6448470999123568</v>
      </c>
    </row>
    <row r="15" spans="1:3" x14ac:dyDescent="0.35">
      <c r="A15" s="12">
        <v>2021</v>
      </c>
      <c r="B15" s="18">
        <v>4.8899999999999999E-2</v>
      </c>
      <c r="C15" s="19">
        <v>1.7366295680874664</v>
      </c>
    </row>
    <row r="16" spans="1:3" x14ac:dyDescent="0.35">
      <c r="A16" s="12"/>
      <c r="B16" s="18"/>
      <c r="C16" s="12"/>
    </row>
    <row r="17" spans="1:3" x14ac:dyDescent="0.35">
      <c r="A17" s="14" t="s">
        <v>37</v>
      </c>
      <c r="B17" s="15" t="s">
        <v>33</v>
      </c>
      <c r="C17" s="12"/>
    </row>
    <row r="18" spans="1:3" x14ac:dyDescent="0.35">
      <c r="A18" s="12">
        <v>2010</v>
      </c>
      <c r="B18" s="12">
        <v>44.81</v>
      </c>
      <c r="C18" s="12"/>
    </row>
    <row r="19" spans="1:3" x14ac:dyDescent="0.35">
      <c r="A19" s="12">
        <v>2011</v>
      </c>
      <c r="B19" s="12">
        <v>53.26</v>
      </c>
      <c r="C19" s="12"/>
    </row>
    <row r="20" spans="1:3" x14ac:dyDescent="0.35">
      <c r="A20" s="12">
        <v>2012</v>
      </c>
      <c r="B20" s="12">
        <v>54.77</v>
      </c>
      <c r="C20" s="12"/>
    </row>
    <row r="21" spans="1:3" x14ac:dyDescent="0.35">
      <c r="A21" s="12">
        <v>2013</v>
      </c>
      <c r="B21" s="12">
        <v>61.89</v>
      </c>
      <c r="C21" s="12"/>
    </row>
    <row r="22" spans="1:3" x14ac:dyDescent="0.35">
      <c r="A22" s="12">
        <v>2014</v>
      </c>
      <c r="B22" s="12">
        <v>63.33</v>
      </c>
      <c r="C22" s="12"/>
    </row>
    <row r="23" spans="1:3" x14ac:dyDescent="0.35">
      <c r="A23" s="12">
        <v>2015</v>
      </c>
      <c r="B23" s="12">
        <v>66.319999999999993</v>
      </c>
      <c r="C23" s="12"/>
    </row>
    <row r="24" spans="1:3" x14ac:dyDescent="0.35">
      <c r="A24" s="12">
        <v>2016</v>
      </c>
      <c r="B24" s="12">
        <v>67.95</v>
      </c>
      <c r="C24" s="12"/>
    </row>
    <row r="25" spans="1:3" x14ac:dyDescent="0.35">
      <c r="A25" s="12">
        <v>2017</v>
      </c>
      <c r="B25" s="12">
        <v>63.92</v>
      </c>
      <c r="C25" s="12"/>
    </row>
    <row r="26" spans="1:3" x14ac:dyDescent="0.35">
      <c r="A26" s="12">
        <v>2018</v>
      </c>
      <c r="B26" s="12">
        <v>68.66</v>
      </c>
      <c r="C26" s="12"/>
    </row>
    <row r="27" spans="1:3" x14ac:dyDescent="0.35">
      <c r="A27" s="12">
        <v>2019</v>
      </c>
      <c r="B27" s="12">
        <v>70.897000000000006</v>
      </c>
      <c r="C27" s="12"/>
    </row>
    <row r="28" spans="1:3" x14ac:dyDescent="0.35">
      <c r="A28" s="12">
        <v>2020</v>
      </c>
      <c r="B28" s="12">
        <v>74.224999999999994</v>
      </c>
      <c r="C28" s="12"/>
    </row>
    <row r="29" spans="1:3" x14ac:dyDescent="0.35">
      <c r="A29" s="12">
        <v>2021</v>
      </c>
      <c r="B29" s="12">
        <v>74.504000000000005</v>
      </c>
      <c r="C29" s="12"/>
    </row>
    <row r="30" spans="1:3" x14ac:dyDescent="0.35">
      <c r="A30" s="12" t="s">
        <v>38</v>
      </c>
      <c r="B30" s="12"/>
      <c r="C30" s="12"/>
    </row>
    <row r="31" spans="1:3" x14ac:dyDescent="0.35">
      <c r="A31" s="4" t="s">
        <v>39</v>
      </c>
      <c r="B31" s="7"/>
      <c r="C31" s="7"/>
    </row>
    <row r="32" spans="1:3" x14ac:dyDescent="0.35">
      <c r="A32" s="12" t="s">
        <v>40</v>
      </c>
      <c r="B32" s="12">
        <v>158.9873</v>
      </c>
      <c r="C32" s="12"/>
    </row>
    <row r="33" spans="1:3" x14ac:dyDescent="0.35">
      <c r="A33" s="12" t="s">
        <v>41</v>
      </c>
      <c r="B33" s="12">
        <v>3.9656699999999998</v>
      </c>
      <c r="C33" s="12"/>
    </row>
    <row r="34" spans="1:3" ht="29" x14ac:dyDescent="0.35">
      <c r="A34" s="13" t="s">
        <v>42</v>
      </c>
      <c r="B34" s="12">
        <v>3412.14</v>
      </c>
      <c r="C34" s="12"/>
    </row>
    <row r="36" spans="1:3" x14ac:dyDescent="0.35">
      <c r="A36" s="4" t="s">
        <v>43</v>
      </c>
      <c r="B36" s="7"/>
      <c r="C36" s="7"/>
    </row>
    <row r="37" spans="1:3" x14ac:dyDescent="0.35">
      <c r="A37" t="s">
        <v>44</v>
      </c>
      <c r="B37">
        <f>AVERAGE(2500,3850)</f>
        <v>3175</v>
      </c>
      <c r="C37" t="s">
        <v>45</v>
      </c>
    </row>
    <row r="38" spans="1:3" x14ac:dyDescent="0.35">
      <c r="A38" t="s">
        <v>46</v>
      </c>
      <c r="B38">
        <f>AVERAGE(3140,3290)</f>
        <v>3215</v>
      </c>
      <c r="C38" t="s">
        <v>45</v>
      </c>
    </row>
    <row r="39" spans="1:3" x14ac:dyDescent="0.35">
      <c r="A39" t="s">
        <v>47</v>
      </c>
      <c r="B39">
        <f>AVERAGE(B37:B38)</f>
        <v>3195</v>
      </c>
      <c r="C39" t="s">
        <v>45</v>
      </c>
    </row>
    <row r="40" spans="1:3" x14ac:dyDescent="0.35">
      <c r="B40" s="6">
        <v>3.9656699999999998</v>
      </c>
      <c r="C40" t="s">
        <v>41</v>
      </c>
    </row>
    <row r="41" spans="1:3" x14ac:dyDescent="0.35">
      <c r="B41" s="10">
        <f>B39*B40</f>
        <v>12670.315649999999</v>
      </c>
      <c r="C41" t="s">
        <v>48</v>
      </c>
    </row>
    <row r="42" spans="1:3" x14ac:dyDescent="0.35">
      <c r="B42" s="5">
        <f>B41*1000</f>
        <v>12670315.649999999</v>
      </c>
      <c r="C42" t="s">
        <v>49</v>
      </c>
    </row>
    <row r="44" spans="1:3" x14ac:dyDescent="0.35">
      <c r="A44" s="4" t="s">
        <v>50</v>
      </c>
      <c r="B44" s="7"/>
      <c r="C44" s="7"/>
    </row>
    <row r="45" spans="1:3" x14ac:dyDescent="0.35">
      <c r="B45">
        <v>5670000</v>
      </c>
      <c r="C45" t="s">
        <v>51</v>
      </c>
    </row>
    <row r="46" spans="1:3" x14ac:dyDescent="0.35">
      <c r="B46" s="10">
        <f>B45/B32</f>
        <v>35663.225930624649</v>
      </c>
      <c r="C46" t="s">
        <v>52</v>
      </c>
    </row>
    <row r="48" spans="1:3" x14ac:dyDescent="0.35">
      <c r="A48" s="4" t="s">
        <v>53</v>
      </c>
      <c r="B48" s="7"/>
      <c r="C48" s="7"/>
    </row>
    <row r="49" spans="1:3" x14ac:dyDescent="0.35">
      <c r="B49">
        <v>10700</v>
      </c>
      <c r="C49" t="s">
        <v>45</v>
      </c>
    </row>
    <row r="50" spans="1:3" x14ac:dyDescent="0.35">
      <c r="B50">
        <v>8.5299999999999994</v>
      </c>
      <c r="C50" t="s">
        <v>54</v>
      </c>
    </row>
    <row r="51" spans="1:3" x14ac:dyDescent="0.35">
      <c r="B51" s="5">
        <f>B49*1000/B50</f>
        <v>1254396.248534584</v>
      </c>
      <c r="C51" t="s">
        <v>55</v>
      </c>
    </row>
    <row r="52" spans="1:3" x14ac:dyDescent="0.35">
      <c r="B52" s="5">
        <f>B51*B33</f>
        <v>4974521.5709261429</v>
      </c>
      <c r="C52" t="s">
        <v>51</v>
      </c>
    </row>
    <row r="53" spans="1:3" x14ac:dyDescent="0.35">
      <c r="B53" s="5">
        <f>B52/B32</f>
        <v>31288.798356385338</v>
      </c>
      <c r="C53" t="s">
        <v>52</v>
      </c>
    </row>
    <row r="55" spans="1:3" x14ac:dyDescent="0.35">
      <c r="A55" s="4" t="s">
        <v>56</v>
      </c>
      <c r="B55" s="7"/>
      <c r="C55" s="7"/>
    </row>
    <row r="56" spans="1:3" x14ac:dyDescent="0.35">
      <c r="B56">
        <v>5.8170000000000002</v>
      </c>
      <c r="C56" t="s">
        <v>57</v>
      </c>
    </row>
    <row r="57" spans="1:3" x14ac:dyDescent="0.35">
      <c r="B57">
        <f>B56/B32</f>
        <v>3.6587828084381581E-2</v>
      </c>
      <c r="C57" t="s">
        <v>58</v>
      </c>
    </row>
    <row r="58" spans="1:3" x14ac:dyDescent="0.35">
      <c r="B58" s="5">
        <f>B57*10^6</f>
        <v>36587.828084381581</v>
      </c>
      <c r="C58" t="s">
        <v>59</v>
      </c>
    </row>
    <row r="59" spans="1:3" x14ac:dyDescent="0.35">
      <c r="B59" s="5"/>
    </row>
    <row r="60" spans="1:3" x14ac:dyDescent="0.35">
      <c r="A60" s="4" t="s">
        <v>60</v>
      </c>
      <c r="B60" s="11"/>
      <c r="C60" s="7"/>
    </row>
    <row r="61" spans="1:3" x14ac:dyDescent="0.35">
      <c r="A61" s="12"/>
      <c r="B61" s="12">
        <v>14.2</v>
      </c>
      <c r="C61" s="12" t="s">
        <v>61</v>
      </c>
    </row>
    <row r="62" spans="1:3" x14ac:dyDescent="0.35">
      <c r="A62" s="12"/>
      <c r="B62" s="12">
        <v>11300</v>
      </c>
      <c r="C62" s="12" t="s">
        <v>45</v>
      </c>
    </row>
    <row r="63" spans="1:3" x14ac:dyDescent="0.35">
      <c r="A63" s="12"/>
      <c r="B63" s="12">
        <f>B61*B62</f>
        <v>160460</v>
      </c>
      <c r="C63" s="12" t="s">
        <v>62</v>
      </c>
    </row>
    <row r="64" spans="1:3" x14ac:dyDescent="0.35">
      <c r="A64" s="12"/>
      <c r="B64" s="21">
        <f>B63*B33</f>
        <v>636331.40819999995</v>
      </c>
      <c r="C64" s="12" t="s">
        <v>63</v>
      </c>
    </row>
    <row r="66" spans="1:3" x14ac:dyDescent="0.35">
      <c r="A66" s="4" t="s">
        <v>64</v>
      </c>
      <c r="B66" s="7"/>
      <c r="C66" s="7"/>
    </row>
    <row r="67" spans="1:3" x14ac:dyDescent="0.35">
      <c r="A67" s="12"/>
      <c r="B67" s="12">
        <v>36</v>
      </c>
      <c r="C67" s="12" t="s">
        <v>65</v>
      </c>
    </row>
    <row r="68" spans="1:3" x14ac:dyDescent="0.35">
      <c r="A68" s="12"/>
      <c r="B68" s="12">
        <f>B67*10^6</f>
        <v>36000000</v>
      </c>
      <c r="C68" s="12" t="s">
        <v>66</v>
      </c>
    </row>
    <row r="70" spans="1:3" x14ac:dyDescent="0.35">
      <c r="A70" s="4" t="s">
        <v>67</v>
      </c>
      <c r="B70" s="7"/>
      <c r="C70" s="7"/>
    </row>
    <row r="71" spans="1:3" x14ac:dyDescent="0.35">
      <c r="B71">
        <v>6500</v>
      </c>
      <c r="C71" t="s">
        <v>45</v>
      </c>
    </row>
    <row r="72" spans="1:3" x14ac:dyDescent="0.35">
      <c r="B72">
        <f>B33*B71</f>
        <v>25776.855</v>
      </c>
      <c r="C72" t="s">
        <v>48</v>
      </c>
    </row>
    <row r="73" spans="1:3" x14ac:dyDescent="0.35">
      <c r="B73">
        <f>B72*1000</f>
        <v>25776855</v>
      </c>
      <c r="C73" t="s">
        <v>49</v>
      </c>
    </row>
  </sheetData>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workbookViewId="0">
      <selection activeCell="B12" sqref="B12"/>
    </sheetView>
  </sheetViews>
  <sheetFormatPr defaultColWidth="8.81640625" defaultRowHeight="14.5" x14ac:dyDescent="0.35"/>
  <cols>
    <col min="1" max="1" width="35.1796875" customWidth="1"/>
    <col min="2" max="2" width="15.7265625" customWidth="1"/>
    <col min="3" max="3" width="33.453125" style="9" customWidth="1"/>
  </cols>
  <sheetData>
    <row r="1" spans="1:3" x14ac:dyDescent="0.35">
      <c r="A1" s="4" t="s">
        <v>68</v>
      </c>
      <c r="B1" s="4"/>
      <c r="C1" s="22"/>
    </row>
    <row r="2" spans="1:3" x14ac:dyDescent="0.35">
      <c r="B2" s="9" t="s">
        <v>69</v>
      </c>
      <c r="C2" s="9" t="s">
        <v>70</v>
      </c>
    </row>
    <row r="3" spans="1:3" x14ac:dyDescent="0.35">
      <c r="A3" t="s">
        <v>71</v>
      </c>
      <c r="B3">
        <v>405</v>
      </c>
      <c r="C3" s="9" t="s">
        <v>72</v>
      </c>
    </row>
    <row r="4" spans="1:3" x14ac:dyDescent="0.35">
      <c r="B4" s="5">
        <f>B3*10^7</f>
        <v>4050000000</v>
      </c>
      <c r="C4" s="9" t="s">
        <v>73</v>
      </c>
    </row>
    <row r="6" spans="1:3" x14ac:dyDescent="0.35">
      <c r="A6" t="s">
        <v>74</v>
      </c>
      <c r="B6">
        <v>61491</v>
      </c>
      <c r="C6" s="9" t="s">
        <v>75</v>
      </c>
    </row>
    <row r="7" spans="1:3" x14ac:dyDescent="0.35">
      <c r="C7" s="3"/>
    </row>
    <row r="8" spans="1:3" x14ac:dyDescent="0.35">
      <c r="A8" t="s">
        <v>76</v>
      </c>
      <c r="B8" s="5">
        <f>B4/B6</f>
        <v>65863.29706786359</v>
      </c>
      <c r="C8" s="9" t="s">
        <v>77</v>
      </c>
    </row>
    <row r="9" spans="1:3" x14ac:dyDescent="0.35">
      <c r="B9" s="5">
        <f>B8/1000</f>
        <v>65.863297067863584</v>
      </c>
      <c r="C9" s="9" t="s">
        <v>78</v>
      </c>
    </row>
    <row r="10" spans="1:3" x14ac:dyDescent="0.35">
      <c r="B10" s="5">
        <f>B9/'Conversion Factors'!B68</f>
        <v>1.8295360296628773E-6</v>
      </c>
      <c r="C10" s="9" t="s">
        <v>79</v>
      </c>
    </row>
    <row r="11" spans="1:3" x14ac:dyDescent="0.35">
      <c r="B11" s="5">
        <f>B10/'Conversion Factors'!B29</f>
        <v>2.4556212145158342E-8</v>
      </c>
      <c r="C11" s="9" t="s">
        <v>80</v>
      </c>
    </row>
    <row r="19" spans="3:5" x14ac:dyDescent="0.35">
      <c r="C19"/>
    </row>
    <row r="22" spans="3:5" x14ac:dyDescent="0.35">
      <c r="E22" s="36" t="s">
        <v>81</v>
      </c>
    </row>
    <row r="23" spans="3:5" x14ac:dyDescent="0.35">
      <c r="E23" s="36" t="s">
        <v>17</v>
      </c>
    </row>
    <row r="24" spans="3:5" x14ac:dyDescent="0.35">
      <c r="E24" s="36"/>
    </row>
  </sheetData>
  <pageMargins left="0.7" right="0.7" top="0.75" bottom="0.75" header="0.3" footer="0.3"/>
  <pageSetup paperSize="9" orientation="portrait" r:id="rId1"/>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4"/>
  <sheetViews>
    <sheetView workbookViewId="0">
      <selection activeCell="B9" sqref="B9"/>
    </sheetView>
  </sheetViews>
  <sheetFormatPr defaultColWidth="8.81640625" defaultRowHeight="14.5" x14ac:dyDescent="0.35"/>
  <cols>
    <col min="1" max="1" width="13.81640625" customWidth="1"/>
    <col min="2" max="2" width="19.81640625" customWidth="1"/>
    <col min="3" max="3" width="36.453125" customWidth="1"/>
    <col min="4" max="4" width="7.7265625" customWidth="1"/>
    <col min="5" max="5" width="14.1796875" customWidth="1"/>
    <col min="6" max="6" width="12.1796875" customWidth="1"/>
    <col min="8" max="8" width="9.1796875" bestFit="1" customWidth="1"/>
    <col min="11" max="11" width="22.26953125" customWidth="1"/>
  </cols>
  <sheetData>
    <row r="1" spans="1:17" ht="20" x14ac:dyDescent="0.4">
      <c r="A1" t="s">
        <v>82</v>
      </c>
      <c r="E1" s="59"/>
      <c r="F1" s="59"/>
      <c r="G1" s="59"/>
      <c r="H1" s="59"/>
      <c r="I1" s="59"/>
      <c r="J1" s="59"/>
      <c r="K1" s="59"/>
    </row>
    <row r="2" spans="1:17" x14ac:dyDescent="0.35">
      <c r="A2" s="4" t="s">
        <v>83</v>
      </c>
      <c r="B2" s="4"/>
      <c r="C2" s="4"/>
      <c r="D2" s="4"/>
      <c r="E2" s="38"/>
      <c r="F2" s="37"/>
      <c r="G2" s="37"/>
      <c r="H2" s="37"/>
      <c r="I2" s="37"/>
      <c r="J2" s="37"/>
      <c r="K2" s="37"/>
    </row>
    <row r="3" spans="1:17" x14ac:dyDescent="0.35">
      <c r="B3" t="s">
        <v>84</v>
      </c>
      <c r="C3" t="s">
        <v>70</v>
      </c>
      <c r="E3" s="38"/>
      <c r="F3" s="37"/>
      <c r="G3" s="37"/>
      <c r="H3" s="37"/>
      <c r="I3" s="37"/>
      <c r="J3" s="37"/>
      <c r="K3" s="37"/>
      <c r="M3" s="5"/>
      <c r="N3" s="5"/>
    </row>
    <row r="4" spans="1:17" x14ac:dyDescent="0.35">
      <c r="B4" s="23">
        <v>242</v>
      </c>
      <c r="C4" t="s">
        <v>85</v>
      </c>
      <c r="E4" s="38"/>
      <c r="F4" s="37"/>
      <c r="G4" s="37"/>
      <c r="H4" s="37"/>
      <c r="I4" s="37"/>
      <c r="J4" s="37"/>
      <c r="K4" s="37"/>
      <c r="P4" s="5"/>
      <c r="Q4" s="5"/>
    </row>
    <row r="5" spans="1:17" x14ac:dyDescent="0.35">
      <c r="E5" s="38"/>
      <c r="F5" s="37"/>
      <c r="G5" s="37"/>
      <c r="H5" s="37"/>
      <c r="I5" s="37"/>
      <c r="J5" s="37"/>
      <c r="K5" s="37"/>
    </row>
    <row r="6" spans="1:17" x14ac:dyDescent="0.35">
      <c r="B6">
        <f>B4</f>
        <v>242</v>
      </c>
      <c r="C6" t="s">
        <v>86</v>
      </c>
    </row>
    <row r="7" spans="1:17" x14ac:dyDescent="0.35">
      <c r="B7" s="5">
        <f>B6/'Conversion Factors'!B64</f>
        <v>3.8030497454863806E-4</v>
      </c>
      <c r="C7" t="s">
        <v>87</v>
      </c>
    </row>
    <row r="8" spans="1:17" x14ac:dyDescent="0.35">
      <c r="B8" s="5">
        <f>B7/'Conversion Factors'!$C$15</f>
        <v>2.1899026800946636E-4</v>
      </c>
      <c r="C8" t="s">
        <v>88</v>
      </c>
    </row>
    <row r="9" spans="1:17" x14ac:dyDescent="0.35">
      <c r="A9" t="s">
        <v>89</v>
      </c>
      <c r="B9" s="5">
        <f>B8/'Conversion Factors'!$B$20</f>
        <v>3.9983616580147224E-6</v>
      </c>
      <c r="C9" t="s">
        <v>90</v>
      </c>
    </row>
    <row r="13" spans="1:17" x14ac:dyDescent="0.35">
      <c r="E13" t="s">
        <v>91</v>
      </c>
    </row>
    <row r="14" spans="1:17" x14ac:dyDescent="0.35">
      <c r="E14" t="s">
        <v>92</v>
      </c>
    </row>
  </sheetData>
  <pageMargins left="0.7" right="0.7" top="0.75" bottom="0.75" header="0.3" footer="0.3"/>
  <pageSetup orientation="portrait" horizontalDpi="1200" verticalDpi="1200"/>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27"/>
  <sheetViews>
    <sheetView topLeftCell="A14" workbookViewId="0"/>
  </sheetViews>
  <sheetFormatPr defaultColWidth="10.81640625" defaultRowHeight="14.5" x14ac:dyDescent="0.35"/>
  <cols>
    <col min="1" max="1" width="50.453125" bestFit="1" customWidth="1"/>
    <col min="2" max="2" width="62.81640625" customWidth="1"/>
    <col min="3" max="4" width="12.7265625" customWidth="1"/>
    <col min="5" max="5" width="14" customWidth="1"/>
    <col min="6" max="6" width="12.7265625" customWidth="1"/>
  </cols>
  <sheetData>
    <row r="1" spans="1:39" x14ac:dyDescent="0.35">
      <c r="A1" s="1" t="s">
        <v>34</v>
      </c>
      <c r="B1">
        <v>2013</v>
      </c>
      <c r="C1">
        <v>2014</v>
      </c>
      <c r="D1">
        <v>2015</v>
      </c>
      <c r="E1">
        <v>2016</v>
      </c>
      <c r="F1">
        <v>2017</v>
      </c>
      <c r="G1">
        <v>2018</v>
      </c>
      <c r="H1">
        <v>2019</v>
      </c>
      <c r="I1">
        <v>2020</v>
      </c>
      <c r="J1">
        <v>2021</v>
      </c>
      <c r="K1">
        <v>2022</v>
      </c>
      <c r="L1">
        <v>2023</v>
      </c>
      <c r="M1">
        <v>2024</v>
      </c>
      <c r="N1">
        <v>2025</v>
      </c>
      <c r="O1">
        <v>2026</v>
      </c>
      <c r="P1">
        <v>2027</v>
      </c>
      <c r="Q1">
        <v>2028</v>
      </c>
      <c r="R1">
        <v>2029</v>
      </c>
      <c r="S1">
        <v>2030</v>
      </c>
      <c r="T1">
        <v>2031</v>
      </c>
      <c r="U1">
        <v>2032</v>
      </c>
      <c r="V1">
        <v>2033</v>
      </c>
      <c r="W1">
        <v>2034</v>
      </c>
      <c r="X1">
        <v>2035</v>
      </c>
      <c r="Y1">
        <v>2036</v>
      </c>
      <c r="Z1">
        <v>2037</v>
      </c>
      <c r="AA1">
        <v>2038</v>
      </c>
      <c r="AB1">
        <v>2039</v>
      </c>
      <c r="AC1">
        <v>2040</v>
      </c>
      <c r="AD1">
        <v>2041</v>
      </c>
      <c r="AE1">
        <v>2042</v>
      </c>
      <c r="AF1">
        <v>2043</v>
      </c>
      <c r="AG1">
        <v>2044</v>
      </c>
      <c r="AH1">
        <v>2045</v>
      </c>
      <c r="AI1">
        <v>2046</v>
      </c>
      <c r="AJ1">
        <v>2047</v>
      </c>
      <c r="AK1">
        <v>2048</v>
      </c>
      <c r="AL1">
        <v>2049</v>
      </c>
      <c r="AM1">
        <v>2050</v>
      </c>
    </row>
    <row r="2" spans="1:39" x14ac:dyDescent="0.35">
      <c r="A2" t="s">
        <v>93</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row>
    <row r="3" spans="1:39" x14ac:dyDescent="0.35">
      <c r="A3" t="s">
        <v>94</v>
      </c>
      <c r="B3" s="10">
        <v>0</v>
      </c>
      <c r="C3" s="10">
        <v>0</v>
      </c>
      <c r="D3" s="10">
        <v>0</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row>
    <row r="4" spans="1:39" x14ac:dyDescent="0.35">
      <c r="A4" t="s">
        <v>95</v>
      </c>
      <c r="B4" s="10">
        <v>0</v>
      </c>
      <c r="C4" s="10">
        <v>0</v>
      </c>
      <c r="D4" s="10">
        <v>0</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row>
    <row r="5" spans="1:39" x14ac:dyDescent="0.35">
      <c r="A5" t="s">
        <v>96</v>
      </c>
      <c r="B5" s="10">
        <v>0</v>
      </c>
      <c r="C5" s="10" t="s">
        <v>97</v>
      </c>
      <c r="D5" s="10" t="s">
        <v>97</v>
      </c>
      <c r="E5" s="10" t="s">
        <v>97</v>
      </c>
      <c r="F5" s="10" t="s">
        <v>97</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row>
    <row r="6" spans="1:39" x14ac:dyDescent="0.35">
      <c r="A6" t="s">
        <v>98</v>
      </c>
      <c r="B6" s="10">
        <v>0</v>
      </c>
      <c r="C6" s="10">
        <v>0</v>
      </c>
      <c r="D6" s="10">
        <v>0</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row>
    <row r="7" spans="1:39" x14ac:dyDescent="0.35">
      <c r="A7" t="s">
        <v>99</v>
      </c>
      <c r="B7" s="10">
        <f>C27/'Conversion Factors'!B20*1000</f>
        <v>9.1290852656563803</v>
      </c>
      <c r="C7" s="10">
        <f>B7</f>
        <v>9.1290852656563803</v>
      </c>
      <c r="D7" s="10">
        <f>C7</f>
        <v>9.1290852656563803</v>
      </c>
      <c r="E7" s="10">
        <f>D7</f>
        <v>9.1290852656563803</v>
      </c>
      <c r="F7" s="10">
        <f>E7</f>
        <v>9.1290852656563803</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row>
    <row r="8" spans="1:39" x14ac:dyDescent="0.35">
      <c r="A8" t="s">
        <v>100</v>
      </c>
      <c r="B8" s="10">
        <v>0</v>
      </c>
      <c r="C8" s="10">
        <v>0</v>
      </c>
      <c r="D8" s="10">
        <v>0</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row>
    <row r="9" spans="1:39" x14ac:dyDescent="0.35">
      <c r="A9" t="s">
        <v>101</v>
      </c>
      <c r="B9" s="10">
        <v>0</v>
      </c>
      <c r="C9" s="10">
        <v>0</v>
      </c>
      <c r="D9" s="10">
        <v>0</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row>
    <row r="10" spans="1:39" x14ac:dyDescent="0.35">
      <c r="A10" t="s">
        <v>102</v>
      </c>
      <c r="B10" s="10">
        <v>0</v>
      </c>
      <c r="C10" s="10">
        <v>0</v>
      </c>
      <c r="D10" s="10">
        <v>0</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row>
    <row r="11" spans="1:39" x14ac:dyDescent="0.35">
      <c r="A11" t="s">
        <v>103</v>
      </c>
      <c r="B11" s="10">
        <v>0</v>
      </c>
      <c r="C11" s="10">
        <v>0</v>
      </c>
      <c r="D11" s="10">
        <v>0</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row>
    <row r="12" spans="1:39" x14ac:dyDescent="0.35">
      <c r="A12" t="s">
        <v>104</v>
      </c>
      <c r="B12" s="10">
        <v>0</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row>
    <row r="13" spans="1:39" x14ac:dyDescent="0.35">
      <c r="A13" t="s">
        <v>105</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row>
    <row r="14" spans="1:39" x14ac:dyDescent="0.35">
      <c r="A14" t="s">
        <v>106</v>
      </c>
      <c r="B14" s="10">
        <v>0</v>
      </c>
      <c r="C14" s="10">
        <v>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row>
    <row r="15" spans="1:39" x14ac:dyDescent="0.35">
      <c r="A15" t="s">
        <v>107</v>
      </c>
      <c r="B15" s="10">
        <v>0</v>
      </c>
      <c r="C15" s="10">
        <v>0</v>
      </c>
      <c r="D15" s="10">
        <v>0</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row>
    <row r="16" spans="1:39" x14ac:dyDescent="0.35">
      <c r="A16" t="s">
        <v>108</v>
      </c>
      <c r="B16" s="10">
        <v>0</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row>
    <row r="17" spans="1:39" x14ac:dyDescent="0.35">
      <c r="A17" t="s">
        <v>109</v>
      </c>
      <c r="B17" s="10">
        <v>0</v>
      </c>
      <c r="C17" s="10">
        <v>0</v>
      </c>
      <c r="D17" s="10">
        <v>0</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row>
    <row r="18" spans="1:39" x14ac:dyDescent="0.35">
      <c r="A18" t="s">
        <v>110</v>
      </c>
      <c r="B18" s="10">
        <v>0</v>
      </c>
      <c r="C18" s="10">
        <v>0</v>
      </c>
      <c r="D18" s="10">
        <v>0</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row>
    <row r="19" spans="1:39" x14ac:dyDescent="0.35">
      <c r="A19" t="s">
        <v>111</v>
      </c>
      <c r="B19" s="10">
        <v>0</v>
      </c>
      <c r="C19" s="10">
        <v>0</v>
      </c>
      <c r="D19" s="10">
        <v>0</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row>
    <row r="23" spans="1:39" x14ac:dyDescent="0.35">
      <c r="A23" s="2" t="s">
        <v>112</v>
      </c>
    </row>
    <row r="24" spans="1:39" x14ac:dyDescent="0.35">
      <c r="A24" t="s">
        <v>113</v>
      </c>
    </row>
    <row r="25" spans="1:39" x14ac:dyDescent="0.35">
      <c r="A25" t="s">
        <v>114</v>
      </c>
    </row>
    <row r="26" spans="1:39" x14ac:dyDescent="0.35">
      <c r="A26" s="2" t="s">
        <v>115</v>
      </c>
    </row>
    <row r="27" spans="1:39" x14ac:dyDescent="0.35">
      <c r="A27" t="s">
        <v>116</v>
      </c>
      <c r="B27" t="s">
        <v>117</v>
      </c>
      <c r="C27">
        <f>0.5</f>
        <v>0.5</v>
      </c>
    </row>
  </sheetData>
  <hyperlinks>
    <hyperlink ref="A23" r:id="rId1" xr:uid="{00000000-0004-0000-0400-000000000000}"/>
    <hyperlink ref="A26" r:id="rId2" xr:uid="{00000000-0004-0000-0400-000001000000}"/>
  </hyperlinks>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D324C-E5ED-4582-AC68-650657F56FB9}">
  <dimension ref="A1:K69"/>
  <sheetViews>
    <sheetView workbookViewId="0">
      <selection activeCell="A4" sqref="A4"/>
    </sheetView>
  </sheetViews>
  <sheetFormatPr defaultColWidth="10.81640625" defaultRowHeight="14.5" x14ac:dyDescent="0.35"/>
  <cols>
    <col min="1" max="1" width="22.54296875" customWidth="1"/>
  </cols>
  <sheetData>
    <row r="1" spans="1:11" x14ac:dyDescent="0.35">
      <c r="A1" s="46" t="s">
        <v>118</v>
      </c>
      <c r="B1" s="46"/>
      <c r="C1" s="46"/>
      <c r="D1" s="46"/>
      <c r="E1" s="46"/>
      <c r="F1" s="46"/>
      <c r="G1" s="46"/>
      <c r="H1" s="46"/>
      <c r="I1" s="46"/>
      <c r="J1" s="46"/>
      <c r="K1" s="46"/>
    </row>
    <row r="2" spans="1:11" ht="21" x14ac:dyDescent="0.35">
      <c r="A2" s="47" t="s">
        <v>119</v>
      </c>
      <c r="B2" s="48" t="s">
        <v>120</v>
      </c>
      <c r="C2" s="49" t="s">
        <v>121</v>
      </c>
      <c r="D2" s="49" t="s">
        <v>122</v>
      </c>
      <c r="E2" s="49" t="s">
        <v>123</v>
      </c>
      <c r="F2" s="49" t="s">
        <v>124</v>
      </c>
      <c r="G2" s="49" t="s">
        <v>125</v>
      </c>
      <c r="H2" s="49" t="s">
        <v>126</v>
      </c>
      <c r="I2" s="49" t="s">
        <v>127</v>
      </c>
      <c r="J2" s="49" t="s">
        <v>128</v>
      </c>
      <c r="K2" s="49" t="s">
        <v>129</v>
      </c>
    </row>
    <row r="3" spans="1:11" x14ac:dyDescent="0.35">
      <c r="A3" s="50" t="s">
        <v>130</v>
      </c>
      <c r="B3" s="51" t="s">
        <v>131</v>
      </c>
      <c r="C3" s="44">
        <v>148.35</v>
      </c>
      <c r="D3" s="44">
        <v>148.35</v>
      </c>
      <c r="E3" s="44">
        <v>148.35</v>
      </c>
      <c r="F3" s="44">
        <v>148.35</v>
      </c>
      <c r="G3" s="44">
        <v>210.89599999999999</v>
      </c>
      <c r="H3" s="44">
        <v>398.44499999999999</v>
      </c>
      <c r="I3" s="44">
        <v>343.5777521</v>
      </c>
      <c r="J3" s="44">
        <v>226.9632</v>
      </c>
      <c r="K3" s="44">
        <v>167.35</v>
      </c>
    </row>
    <row r="4" spans="1:11" x14ac:dyDescent="0.35">
      <c r="A4" s="50" t="s">
        <v>132</v>
      </c>
      <c r="B4" s="51" t="s">
        <v>131</v>
      </c>
      <c r="C4" s="45" t="s">
        <v>133</v>
      </c>
      <c r="D4" s="44">
        <v>224.27043939999999</v>
      </c>
      <c r="E4" s="44">
        <v>684.47633310000003</v>
      </c>
      <c r="F4" s="44">
        <v>548.83000000000004</v>
      </c>
      <c r="G4" s="44">
        <v>888.64</v>
      </c>
      <c r="H4" s="44">
        <v>620.89</v>
      </c>
      <c r="I4" s="44">
        <v>460.32</v>
      </c>
      <c r="J4" s="44">
        <v>149.43</v>
      </c>
      <c r="K4" s="44">
        <v>210</v>
      </c>
    </row>
    <row r="5" spans="1:11" x14ac:dyDescent="0.35">
      <c r="A5" s="50" t="s">
        <v>134</v>
      </c>
      <c r="B5" s="51" t="s">
        <v>131</v>
      </c>
      <c r="C5" s="44" t="s">
        <v>135</v>
      </c>
      <c r="D5" s="44">
        <v>172.75</v>
      </c>
      <c r="E5" s="44">
        <v>370.29</v>
      </c>
      <c r="F5" s="44">
        <v>540.04</v>
      </c>
      <c r="G5" s="44">
        <v>358.71</v>
      </c>
      <c r="H5" s="44">
        <v>612.99</v>
      </c>
      <c r="I5" s="44">
        <v>291.7</v>
      </c>
      <c r="J5" s="44">
        <v>68.183455699999996</v>
      </c>
      <c r="K5" s="44">
        <v>207.33</v>
      </c>
    </row>
    <row r="6" spans="1:11" x14ac:dyDescent="0.35">
      <c r="A6" s="50" t="s">
        <v>136</v>
      </c>
      <c r="B6" s="51" t="s">
        <v>131</v>
      </c>
      <c r="C6" s="44">
        <v>146.94</v>
      </c>
      <c r="D6" s="44">
        <v>131.63399999999999</v>
      </c>
      <c r="E6" s="44">
        <v>92.254000000000005</v>
      </c>
      <c r="F6" s="44">
        <v>258.83100000000002</v>
      </c>
      <c r="G6" s="44">
        <v>111.56</v>
      </c>
      <c r="H6" s="44">
        <v>44.43</v>
      </c>
      <c r="I6" s="44">
        <v>51.7</v>
      </c>
      <c r="J6" s="44">
        <v>67.319999999999993</v>
      </c>
      <c r="K6" s="44">
        <v>67.5</v>
      </c>
    </row>
    <row r="7" spans="1:11" x14ac:dyDescent="0.35">
      <c r="A7" s="50" t="s">
        <v>137</v>
      </c>
      <c r="B7" s="51" t="s">
        <v>131</v>
      </c>
      <c r="C7" s="44">
        <v>1.5381886</v>
      </c>
      <c r="D7" s="44">
        <v>3.6823999999999999</v>
      </c>
      <c r="E7" s="44">
        <v>4.0157543999999996</v>
      </c>
      <c r="F7" s="44">
        <v>499.6</v>
      </c>
      <c r="G7" s="44">
        <v>622.38</v>
      </c>
      <c r="H7" s="44">
        <v>446.77</v>
      </c>
      <c r="I7" s="44">
        <v>261.62</v>
      </c>
      <c r="J7" s="44">
        <v>297.22000000000003</v>
      </c>
      <c r="K7" s="44">
        <v>255.55</v>
      </c>
    </row>
    <row r="8" spans="1:11" x14ac:dyDescent="0.35">
      <c r="A8" s="50" t="s">
        <v>138</v>
      </c>
      <c r="B8" s="51" t="s">
        <v>131</v>
      </c>
      <c r="C8" s="44">
        <v>90.26</v>
      </c>
      <c r="D8" s="44">
        <v>122.73</v>
      </c>
      <c r="E8" s="44">
        <v>131.1</v>
      </c>
      <c r="F8" s="44" t="s">
        <v>135</v>
      </c>
      <c r="G8" s="44" t="s">
        <v>135</v>
      </c>
      <c r="H8" s="44" t="s">
        <v>135</v>
      </c>
      <c r="I8" s="44" t="s">
        <v>135</v>
      </c>
      <c r="J8" s="44" t="s">
        <v>135</v>
      </c>
      <c r="K8" s="44" t="s">
        <v>135</v>
      </c>
    </row>
    <row r="9" spans="1:11" x14ac:dyDescent="0.35">
      <c r="A9" s="50" t="s">
        <v>139</v>
      </c>
      <c r="B9" s="51" t="s">
        <v>131</v>
      </c>
      <c r="C9" s="44" t="s">
        <v>135</v>
      </c>
      <c r="D9" s="44" t="s">
        <v>133</v>
      </c>
      <c r="E9" s="44" t="s">
        <v>133</v>
      </c>
      <c r="F9" s="44" t="s">
        <v>133</v>
      </c>
      <c r="G9" s="44">
        <v>27.535632400000001</v>
      </c>
      <c r="H9" s="44">
        <v>58.75</v>
      </c>
      <c r="I9" s="44">
        <v>5.15</v>
      </c>
      <c r="J9" s="44">
        <v>10.895</v>
      </c>
      <c r="K9" s="44">
        <v>0</v>
      </c>
    </row>
    <row r="10" spans="1:11" x14ac:dyDescent="0.35">
      <c r="A10" s="50" t="s">
        <v>140</v>
      </c>
      <c r="B10" s="51" t="s">
        <v>131</v>
      </c>
      <c r="C10" s="44">
        <v>0</v>
      </c>
      <c r="D10" s="44">
        <v>0</v>
      </c>
      <c r="E10" s="44">
        <v>128.75</v>
      </c>
      <c r="F10" s="44">
        <v>304.51</v>
      </c>
      <c r="G10" s="44">
        <v>148.74</v>
      </c>
      <c r="H10" s="44">
        <v>210</v>
      </c>
      <c r="I10" s="44">
        <v>319</v>
      </c>
      <c r="J10" s="44">
        <v>323.05</v>
      </c>
      <c r="K10" s="44">
        <v>27.37</v>
      </c>
    </row>
    <row r="11" spans="1:11" x14ac:dyDescent="0.35">
      <c r="A11" s="50" t="s">
        <v>141</v>
      </c>
      <c r="B11" s="51" t="s">
        <v>131</v>
      </c>
      <c r="C11" s="44">
        <v>114.1222027</v>
      </c>
      <c r="D11" s="44">
        <v>106.49431170000001</v>
      </c>
      <c r="E11" s="44">
        <v>105</v>
      </c>
      <c r="F11" s="45">
        <v>122</v>
      </c>
      <c r="G11" s="45">
        <v>120.41</v>
      </c>
      <c r="H11" s="45">
        <v>137.66999999999999</v>
      </c>
      <c r="I11" s="45">
        <v>77.27</v>
      </c>
      <c r="J11" s="45">
        <v>40.78</v>
      </c>
      <c r="K11" s="45">
        <v>66</v>
      </c>
    </row>
    <row r="12" spans="1:11" x14ac:dyDescent="0.35">
      <c r="A12" s="50" t="s">
        <v>142</v>
      </c>
      <c r="B12" s="51" t="s">
        <v>143</v>
      </c>
      <c r="C12" s="44">
        <v>65.135115999999954</v>
      </c>
      <c r="D12" s="44">
        <v>106.04091393749997</v>
      </c>
      <c r="E12" s="44">
        <v>159.54211287500004</v>
      </c>
      <c r="F12" s="45">
        <v>270.63462900000013</v>
      </c>
      <c r="G12" s="45">
        <v>401.50769062500024</v>
      </c>
      <c r="H12" s="45">
        <v>501.63662687500027</v>
      </c>
      <c r="I12" s="45">
        <v>536.71185162500012</v>
      </c>
      <c r="J12" s="45">
        <v>522.25353914583343</v>
      </c>
      <c r="K12" s="45">
        <v>590.95043041666679</v>
      </c>
    </row>
    <row r="13" spans="1:11" x14ac:dyDescent="0.35">
      <c r="A13" s="50" t="s">
        <v>144</v>
      </c>
      <c r="B13" s="51" t="s">
        <v>131</v>
      </c>
      <c r="C13" s="44" t="s">
        <v>135</v>
      </c>
      <c r="D13" s="44">
        <v>69</v>
      </c>
      <c r="E13" s="44">
        <v>0</v>
      </c>
      <c r="F13" s="44">
        <v>0</v>
      </c>
      <c r="G13" s="44">
        <v>0</v>
      </c>
      <c r="H13" s="44">
        <v>63.79</v>
      </c>
      <c r="I13" s="44">
        <v>11.5</v>
      </c>
      <c r="J13" s="44">
        <v>19.406828999999998</v>
      </c>
      <c r="K13" s="44">
        <v>0</v>
      </c>
    </row>
    <row r="14" spans="1:11" x14ac:dyDescent="0.35">
      <c r="A14" s="50" t="s">
        <v>145</v>
      </c>
      <c r="B14" s="51" t="s">
        <v>131</v>
      </c>
      <c r="C14" s="44">
        <v>5.59</v>
      </c>
      <c r="D14" s="44">
        <v>0</v>
      </c>
      <c r="E14" s="44">
        <v>29</v>
      </c>
      <c r="F14" s="44">
        <v>10.3</v>
      </c>
      <c r="G14" s="44">
        <v>7.79</v>
      </c>
      <c r="H14" s="44">
        <v>6.83</v>
      </c>
      <c r="I14" s="44">
        <v>4.5</v>
      </c>
      <c r="J14" s="44">
        <v>6.22</v>
      </c>
      <c r="K14" s="44">
        <v>56.85</v>
      </c>
    </row>
    <row r="15" spans="1:11" x14ac:dyDescent="0.35">
      <c r="A15" s="50" t="s">
        <v>146</v>
      </c>
      <c r="B15" s="51" t="s">
        <v>131</v>
      </c>
      <c r="C15" s="44">
        <v>0</v>
      </c>
      <c r="D15" s="44">
        <v>14.333333333333334</v>
      </c>
      <c r="E15" s="44">
        <v>14.333333333333334</v>
      </c>
      <c r="F15" s="44">
        <v>14.333333333333334</v>
      </c>
      <c r="G15" s="44" t="s">
        <v>135</v>
      </c>
      <c r="H15" s="44" t="s">
        <v>135</v>
      </c>
      <c r="I15" s="44" t="s">
        <v>135</v>
      </c>
      <c r="J15" s="44" t="s">
        <v>147</v>
      </c>
      <c r="K15" s="44" t="s">
        <v>135</v>
      </c>
    </row>
    <row r="16" spans="1:11" x14ac:dyDescent="0.35">
      <c r="A16" s="50" t="s">
        <v>148</v>
      </c>
      <c r="B16" s="51" t="s">
        <v>131</v>
      </c>
      <c r="C16" s="44">
        <v>5</v>
      </c>
      <c r="D16" s="44">
        <v>10</v>
      </c>
      <c r="E16" s="44">
        <v>3</v>
      </c>
      <c r="F16" s="44">
        <v>10</v>
      </c>
      <c r="G16" s="44" t="s">
        <v>135</v>
      </c>
      <c r="H16" s="44" t="s">
        <v>135</v>
      </c>
      <c r="I16" s="44" t="s">
        <v>135</v>
      </c>
      <c r="J16" s="44" t="s">
        <v>135</v>
      </c>
      <c r="K16" s="44" t="s">
        <v>135</v>
      </c>
    </row>
    <row r="17" spans="1:11" x14ac:dyDescent="0.35">
      <c r="A17" s="50" t="s">
        <v>149</v>
      </c>
      <c r="B17" s="51" t="s">
        <v>131</v>
      </c>
      <c r="C17" s="44">
        <v>0</v>
      </c>
      <c r="D17" s="44">
        <v>5.91</v>
      </c>
      <c r="E17" s="44">
        <v>14.7</v>
      </c>
      <c r="F17" s="45">
        <v>60.71</v>
      </c>
      <c r="G17" s="45">
        <v>9</v>
      </c>
      <c r="H17" s="45">
        <v>0.14000000000000001</v>
      </c>
      <c r="I17" s="45">
        <v>0</v>
      </c>
      <c r="J17" s="45">
        <v>0</v>
      </c>
      <c r="K17" s="45" t="s">
        <v>133</v>
      </c>
    </row>
    <row r="18" spans="1:11" x14ac:dyDescent="0.35">
      <c r="A18" s="50" t="s">
        <v>150</v>
      </c>
      <c r="B18" s="51" t="s">
        <v>131</v>
      </c>
      <c r="C18" s="44">
        <v>5.8482399999999997</v>
      </c>
      <c r="D18" s="44">
        <v>0.43540000000000001</v>
      </c>
      <c r="E18" s="44">
        <v>28.741299999999999</v>
      </c>
      <c r="F18" s="44">
        <v>91.17</v>
      </c>
      <c r="G18" s="44">
        <v>80.92</v>
      </c>
      <c r="H18" s="44">
        <v>46.06</v>
      </c>
      <c r="I18" s="44">
        <v>36.9</v>
      </c>
      <c r="J18" s="44">
        <v>49.269999999999996</v>
      </c>
      <c r="K18" s="44">
        <v>61.48</v>
      </c>
    </row>
    <row r="19" spans="1:11" x14ac:dyDescent="0.35">
      <c r="A19" s="50" t="s">
        <v>151</v>
      </c>
      <c r="B19" s="51" t="s">
        <v>131</v>
      </c>
      <c r="C19" s="44">
        <v>0.89086666666666703</v>
      </c>
      <c r="D19" s="44">
        <v>0.45943333333333342</v>
      </c>
      <c r="E19" s="44">
        <v>1.8020333333333332</v>
      </c>
      <c r="F19" s="45">
        <v>0.98480666666666683</v>
      </c>
      <c r="G19" s="45" t="s">
        <v>133</v>
      </c>
      <c r="H19" s="45" t="s">
        <v>133</v>
      </c>
      <c r="I19" s="45" t="s">
        <v>133</v>
      </c>
      <c r="J19" s="45" t="s">
        <v>133</v>
      </c>
      <c r="K19" s="45" t="s">
        <v>133</v>
      </c>
    </row>
    <row r="20" spans="1:11" x14ac:dyDescent="0.35">
      <c r="A20" s="50" t="s">
        <v>152</v>
      </c>
      <c r="B20" s="51" t="s">
        <v>131</v>
      </c>
      <c r="C20" s="44" t="s">
        <v>135</v>
      </c>
      <c r="D20" s="44" t="s">
        <v>135</v>
      </c>
      <c r="E20" s="44" t="s">
        <v>135</v>
      </c>
      <c r="F20" s="44" t="s">
        <v>135</v>
      </c>
      <c r="G20" s="45" t="s">
        <v>133</v>
      </c>
      <c r="H20" s="45" t="s">
        <v>133</v>
      </c>
      <c r="I20" s="45" t="s">
        <v>133</v>
      </c>
      <c r="J20" s="45" t="s">
        <v>133</v>
      </c>
      <c r="K20" s="45" t="s">
        <v>133</v>
      </c>
    </row>
    <row r="21" spans="1:11" x14ac:dyDescent="0.35">
      <c r="A21" s="50" t="s">
        <v>153</v>
      </c>
      <c r="B21" s="51" t="s">
        <v>131</v>
      </c>
      <c r="C21" s="44">
        <v>1.6955</v>
      </c>
      <c r="D21" s="44">
        <v>1.704</v>
      </c>
      <c r="E21" s="44">
        <v>1.704</v>
      </c>
      <c r="F21" s="44">
        <v>1.704</v>
      </c>
      <c r="G21" s="44" t="s">
        <v>135</v>
      </c>
      <c r="H21" s="44" t="s">
        <v>135</v>
      </c>
      <c r="I21" s="44" t="s">
        <v>135</v>
      </c>
      <c r="J21" s="44" t="s">
        <v>135</v>
      </c>
      <c r="K21" s="44" t="s">
        <v>135</v>
      </c>
    </row>
    <row r="22" spans="1:11" x14ac:dyDescent="0.35">
      <c r="A22" s="50" t="s">
        <v>154</v>
      </c>
      <c r="B22" s="50" t="s">
        <v>143</v>
      </c>
      <c r="C22" s="44">
        <v>1172.5540395772839</v>
      </c>
      <c r="D22" s="44">
        <v>2035.1960576458864</v>
      </c>
      <c r="E22" s="44">
        <v>3309.414822945831</v>
      </c>
      <c r="F22" s="44">
        <v>5421.6922910600224</v>
      </c>
      <c r="G22" s="44">
        <v>5754.0828807931894</v>
      </c>
      <c r="H22" s="44">
        <v>2229.920510926484</v>
      </c>
      <c r="I22" s="44">
        <v>1715.8225751798129</v>
      </c>
      <c r="J22" s="44">
        <v>334.39687798795524</v>
      </c>
      <c r="K22" s="44">
        <v>3506.0487255940302</v>
      </c>
    </row>
    <row r="23" spans="1:11" x14ac:dyDescent="0.35">
      <c r="A23" s="50" t="s">
        <v>155</v>
      </c>
      <c r="B23" s="50" t="s">
        <v>143</v>
      </c>
      <c r="C23" s="44">
        <v>349.02580940392443</v>
      </c>
      <c r="D23" s="44">
        <v>404.79186909689031</v>
      </c>
      <c r="E23" s="44">
        <v>1042.116553698067</v>
      </c>
      <c r="F23" s="44">
        <v>1920.3034482991673</v>
      </c>
      <c r="G23" s="52" t="s">
        <v>135</v>
      </c>
      <c r="H23" s="52" t="s">
        <v>135</v>
      </c>
      <c r="I23" s="52" t="s">
        <v>135</v>
      </c>
      <c r="J23" s="52" t="s">
        <v>135</v>
      </c>
      <c r="K23" s="44" t="s">
        <v>135</v>
      </c>
    </row>
    <row r="24" spans="1:11" x14ac:dyDescent="0.35">
      <c r="A24" s="50" t="s">
        <v>156</v>
      </c>
      <c r="B24" s="50" t="s">
        <v>143</v>
      </c>
      <c r="C24" s="44">
        <v>624.97571945250013</v>
      </c>
      <c r="D24" s="44">
        <v>655.8395297825931</v>
      </c>
      <c r="E24" s="44">
        <v>1382.4259083382578</v>
      </c>
      <c r="F24" s="44">
        <v>2896.0625064525002</v>
      </c>
      <c r="G24" s="52" t="s">
        <v>135</v>
      </c>
      <c r="H24" s="52" t="s">
        <v>135</v>
      </c>
      <c r="I24" s="52" t="s">
        <v>135</v>
      </c>
      <c r="J24" s="52" t="s">
        <v>135</v>
      </c>
      <c r="K24" s="44" t="s">
        <v>135</v>
      </c>
    </row>
    <row r="25" spans="1:11" x14ac:dyDescent="0.35">
      <c r="A25" s="50" t="s">
        <v>157</v>
      </c>
      <c r="B25" s="50" t="s">
        <v>143</v>
      </c>
      <c r="C25" s="44" t="s">
        <v>133</v>
      </c>
      <c r="D25" s="44" t="s">
        <v>133</v>
      </c>
      <c r="E25" s="44" t="s">
        <v>133</v>
      </c>
      <c r="F25" s="44" t="s">
        <v>133</v>
      </c>
      <c r="G25" s="44" t="s">
        <v>133</v>
      </c>
      <c r="H25" s="44" t="s">
        <v>133</v>
      </c>
      <c r="I25" s="44">
        <v>430.44041351015778</v>
      </c>
      <c r="J25" s="44">
        <v>1042.9851472516386</v>
      </c>
      <c r="K25" s="44">
        <v>1085.0478249715713</v>
      </c>
    </row>
    <row r="26" spans="1:11" x14ac:dyDescent="0.35">
      <c r="A26" s="50" t="s">
        <v>158</v>
      </c>
      <c r="B26" s="50" t="s">
        <v>159</v>
      </c>
      <c r="C26" s="44">
        <v>290.89758610000001</v>
      </c>
      <c r="D26" s="44">
        <v>563.8339062</v>
      </c>
      <c r="E26" s="44">
        <v>306.84032030000003</v>
      </c>
      <c r="F26" s="44">
        <v>634.26325870000005</v>
      </c>
      <c r="G26" s="44">
        <v>1368.7252742999999</v>
      </c>
      <c r="H26" s="44">
        <v>991.23539449999998</v>
      </c>
      <c r="I26" s="44">
        <v>1129.933452</v>
      </c>
      <c r="J26" s="44">
        <v>1042.8400000000001</v>
      </c>
      <c r="K26" s="44">
        <v>1085.99</v>
      </c>
    </row>
    <row r="27" spans="1:11" x14ac:dyDescent="0.35">
      <c r="A27" s="50" t="s">
        <v>160</v>
      </c>
      <c r="B27" s="50" t="s">
        <v>159</v>
      </c>
      <c r="C27" s="45">
        <v>99.621870999999999</v>
      </c>
      <c r="D27" s="45">
        <v>128.22820730000001</v>
      </c>
      <c r="E27" s="45">
        <v>197.71202260000001</v>
      </c>
      <c r="F27" s="45">
        <v>144.29065120000001</v>
      </c>
      <c r="G27" s="45">
        <v>112.3970162</v>
      </c>
      <c r="H27" s="45">
        <v>137.59029229999999</v>
      </c>
      <c r="I27" s="45">
        <v>95.925507699999997</v>
      </c>
      <c r="J27" s="45">
        <v>76.98</v>
      </c>
      <c r="K27" s="45">
        <v>91.13</v>
      </c>
    </row>
    <row r="28" spans="1:11" ht="31.5" x14ac:dyDescent="0.35">
      <c r="A28" s="53" t="s">
        <v>161</v>
      </c>
      <c r="B28" s="51" t="s">
        <v>131</v>
      </c>
      <c r="C28" s="44">
        <v>7.5</v>
      </c>
      <c r="D28" s="44">
        <v>8.3000000000000007</v>
      </c>
      <c r="E28" s="44">
        <v>0</v>
      </c>
      <c r="F28" s="44">
        <v>6</v>
      </c>
      <c r="G28" s="44">
        <v>6</v>
      </c>
      <c r="H28" s="45">
        <v>3.76</v>
      </c>
      <c r="I28" s="45">
        <v>0.37</v>
      </c>
      <c r="J28" s="45">
        <v>0</v>
      </c>
      <c r="K28" s="45" t="s">
        <v>135</v>
      </c>
    </row>
    <row r="29" spans="1:11" x14ac:dyDescent="0.35">
      <c r="A29" s="50" t="s">
        <v>162</v>
      </c>
      <c r="B29" s="50" t="s">
        <v>143</v>
      </c>
      <c r="C29" s="44" t="s">
        <v>135</v>
      </c>
      <c r="D29" s="44" t="s">
        <v>135</v>
      </c>
      <c r="E29" s="44" t="s">
        <v>135</v>
      </c>
      <c r="F29" s="44" t="s">
        <v>135</v>
      </c>
      <c r="G29" s="44">
        <v>1954.7080725730832</v>
      </c>
      <c r="H29" s="44">
        <v>318.93073916402471</v>
      </c>
      <c r="I29" s="44">
        <v>299.16147205615323</v>
      </c>
      <c r="J29" s="44">
        <v>233.09700671249405</v>
      </c>
      <c r="K29" s="45">
        <v>757.77041474561179</v>
      </c>
    </row>
    <row r="30" spans="1:11" x14ac:dyDescent="0.35">
      <c r="A30" s="54" t="s">
        <v>163</v>
      </c>
      <c r="B30" s="50" t="s">
        <v>143</v>
      </c>
      <c r="C30" s="44" t="s">
        <v>135</v>
      </c>
      <c r="D30" s="44" t="s">
        <v>135</v>
      </c>
      <c r="E30" s="44" t="s">
        <v>135</v>
      </c>
      <c r="F30" s="44" t="s">
        <v>135</v>
      </c>
      <c r="G30" s="44">
        <v>1276.2929536500001</v>
      </c>
      <c r="H30" s="44">
        <v>878.24631037000063</v>
      </c>
      <c r="I30" s="44">
        <v>1131.9110431199992</v>
      </c>
      <c r="J30" s="44">
        <v>899.07675676000156</v>
      </c>
      <c r="K30" s="45">
        <v>642.79386511599932</v>
      </c>
    </row>
    <row r="31" spans="1:11" ht="56.5" customHeight="1" x14ac:dyDescent="0.35">
      <c r="A31" s="55" t="s">
        <v>164</v>
      </c>
      <c r="B31" s="51" t="s">
        <v>131</v>
      </c>
      <c r="C31" s="44" t="s">
        <v>135</v>
      </c>
      <c r="D31" s="44" t="s">
        <v>135</v>
      </c>
      <c r="E31" s="44" t="s">
        <v>135</v>
      </c>
      <c r="F31" s="44" t="s">
        <v>135</v>
      </c>
      <c r="G31" s="44" t="s">
        <v>135</v>
      </c>
      <c r="H31" s="44" t="s">
        <v>135</v>
      </c>
      <c r="I31" s="44" t="s">
        <v>135</v>
      </c>
      <c r="J31" s="44">
        <v>0</v>
      </c>
      <c r="K31" s="44">
        <v>150</v>
      </c>
    </row>
    <row r="32" spans="1:11" ht="20" x14ac:dyDescent="0.35">
      <c r="A32" s="55" t="s">
        <v>165</v>
      </c>
      <c r="B32" s="51" t="s">
        <v>131</v>
      </c>
      <c r="C32" s="56" t="s">
        <v>135</v>
      </c>
      <c r="D32" s="56" t="s">
        <v>135</v>
      </c>
      <c r="E32" s="56" t="s">
        <v>135</v>
      </c>
      <c r="F32" s="56" t="s">
        <v>135</v>
      </c>
      <c r="G32" s="56" t="s">
        <v>135</v>
      </c>
      <c r="H32" s="56" t="s">
        <v>135</v>
      </c>
      <c r="I32" s="56" t="s">
        <v>135</v>
      </c>
      <c r="J32" s="56" t="s">
        <v>135</v>
      </c>
      <c r="K32" s="44">
        <v>2500</v>
      </c>
    </row>
    <row r="33" spans="1:11" x14ac:dyDescent="0.35">
      <c r="A33" s="57" t="s">
        <v>166</v>
      </c>
      <c r="B33" s="58"/>
      <c r="C33" s="49">
        <f t="shared" ref="C33:K33" si="0">SUM(C3:C32)</f>
        <v>3129.9451395003748</v>
      </c>
      <c r="D33" s="49">
        <f t="shared" si="0"/>
        <v>4913.9838017295369</v>
      </c>
      <c r="E33" s="49">
        <f t="shared" si="0"/>
        <v>8155.5684949238212</v>
      </c>
      <c r="F33" s="49">
        <f t="shared" si="0"/>
        <v>13904.609924711694</v>
      </c>
      <c r="G33" s="49">
        <f t="shared" si="0"/>
        <v>13460.295520541273</v>
      </c>
      <c r="H33" s="49">
        <f t="shared" si="0"/>
        <v>7708.0848741355094</v>
      </c>
      <c r="I33" s="49">
        <f t="shared" si="0"/>
        <v>7203.5140672911239</v>
      </c>
      <c r="J33" s="49">
        <f t="shared" si="0"/>
        <v>5410.3678125579227</v>
      </c>
      <c r="K33" s="49">
        <f t="shared" si="0"/>
        <v>11529.161260843881</v>
      </c>
    </row>
    <row r="36" spans="1:11" x14ac:dyDescent="0.35">
      <c r="A36" t="s">
        <v>167</v>
      </c>
    </row>
    <row r="38" spans="1:11" ht="21" x14ac:dyDescent="0.35">
      <c r="A38" s="47" t="s">
        <v>119</v>
      </c>
      <c r="B38" s="48" t="s">
        <v>120</v>
      </c>
      <c r="C38" s="49" t="s">
        <v>121</v>
      </c>
      <c r="D38" s="49" t="s">
        <v>122</v>
      </c>
      <c r="E38" s="49" t="s">
        <v>123</v>
      </c>
      <c r="F38" s="49" t="s">
        <v>124</v>
      </c>
      <c r="G38" s="49" t="s">
        <v>125</v>
      </c>
      <c r="H38" s="49" t="s">
        <v>126</v>
      </c>
      <c r="I38" s="49" t="s">
        <v>127</v>
      </c>
      <c r="J38" s="49" t="s">
        <v>128</v>
      </c>
      <c r="K38" s="49" t="s">
        <v>129</v>
      </c>
    </row>
    <row r="39" spans="1:11" x14ac:dyDescent="0.35">
      <c r="A39" s="50" t="s">
        <v>130</v>
      </c>
      <c r="B39" s="51" t="s">
        <v>131</v>
      </c>
      <c r="C39" s="51">
        <v>28.379390698661304</v>
      </c>
      <c r="D39" s="51">
        <v>25.940942137716</v>
      </c>
      <c r="E39" s="51">
        <v>24.495696069609064</v>
      </c>
      <c r="F39" s="51">
        <v>23.351473850914264</v>
      </c>
      <c r="G39" s="51">
        <v>31.767189833059433</v>
      </c>
      <c r="H39" s="51">
        <v>57.932074633033672</v>
      </c>
      <c r="I39" s="51">
        <v>48.312019884717557</v>
      </c>
      <c r="J39" s="51">
        <v>32.501969943276251</v>
      </c>
      <c r="K39" s="51">
        <v>22.454045350865425</v>
      </c>
    </row>
    <row r="40" spans="1:11" x14ac:dyDescent="0.35">
      <c r="A40" s="50" t="s">
        <v>132</v>
      </c>
      <c r="B40" s="51" t="s">
        <v>131</v>
      </c>
      <c r="C40" s="51" t="s">
        <v>133</v>
      </c>
      <c r="D40" s="51">
        <v>39.216626165659193</v>
      </c>
      <c r="E40" s="51">
        <v>113.02139684838619</v>
      </c>
      <c r="F40" s="51">
        <v>86.390221729674934</v>
      </c>
      <c r="G40" s="51">
        <v>133.85552866460216</v>
      </c>
      <c r="H40" s="51">
        <v>90.27455688715952</v>
      </c>
      <c r="I40" s="51">
        <v>64.727674761840845</v>
      </c>
      <c r="J40" s="51">
        <v>21.398928851125518</v>
      </c>
      <c r="K40" s="51">
        <v>28.176573192003218</v>
      </c>
    </row>
    <row r="41" spans="1:11" x14ac:dyDescent="0.35">
      <c r="A41" s="50" t="s">
        <v>134</v>
      </c>
      <c r="B41" s="51" t="s">
        <v>131</v>
      </c>
      <c r="C41" s="51" t="s">
        <v>135</v>
      </c>
      <c r="D41" s="51">
        <v>30.207601983757591</v>
      </c>
      <c r="E41" s="51">
        <v>61.142644405901862</v>
      </c>
      <c r="F41" s="51">
        <v>85.006605584413478</v>
      </c>
      <c r="G41" s="51">
        <v>54.032360334082917</v>
      </c>
      <c r="H41" s="51">
        <v>89.125933138333551</v>
      </c>
      <c r="I41" s="51">
        <v>41.017254796726142</v>
      </c>
      <c r="J41" s="51">
        <v>9.764123116831751</v>
      </c>
      <c r="K41" s="51">
        <v>27.818328189990609</v>
      </c>
    </row>
    <row r="42" spans="1:11" x14ac:dyDescent="0.35">
      <c r="A42" s="50" t="s">
        <v>136</v>
      </c>
      <c r="B42" s="51" t="s">
        <v>131</v>
      </c>
      <c r="C42" s="51">
        <v>28.109657359361584</v>
      </c>
      <c r="D42" s="51">
        <v>23.017930416960617</v>
      </c>
      <c r="E42" s="51">
        <v>15.233070072165249</v>
      </c>
      <c r="F42" s="51">
        <v>40.74206490263559</v>
      </c>
      <c r="G42" s="51">
        <v>16.804243313178585</v>
      </c>
      <c r="H42" s="51">
        <v>6.4599181215617865</v>
      </c>
      <c r="I42" s="51">
        <v>7.2697705621897208</v>
      </c>
      <c r="J42" s="51">
        <v>9.6404730660360691</v>
      </c>
      <c r="K42" s="51">
        <v>9.0567556688581785</v>
      </c>
    </row>
    <row r="43" spans="1:11" x14ac:dyDescent="0.35">
      <c r="A43" s="50" t="s">
        <v>137</v>
      </c>
      <c r="B43" s="51" t="s">
        <v>131</v>
      </c>
      <c r="C43" s="51">
        <v>0.29425584932677351</v>
      </c>
      <c r="D43" s="51">
        <v>0.64391591053539199</v>
      </c>
      <c r="E43" s="51">
        <v>0.66308526641452836</v>
      </c>
      <c r="F43" s="51">
        <v>78.641026868330073</v>
      </c>
      <c r="G43" s="51">
        <v>93.748879107709641</v>
      </c>
      <c r="H43" s="51">
        <v>64.958307881390041</v>
      </c>
      <c r="I43" s="51">
        <v>36.787570105997581</v>
      </c>
      <c r="J43" s="51">
        <v>42.563003634688656</v>
      </c>
      <c r="K43" s="51">
        <v>34.288206091506773</v>
      </c>
    </row>
    <row r="44" spans="1:11" x14ac:dyDescent="0.35">
      <c r="A44" s="50" t="s">
        <v>138</v>
      </c>
      <c r="B44" s="51" t="s">
        <v>131</v>
      </c>
      <c r="C44" s="51">
        <v>17.266759719994397</v>
      </c>
      <c r="D44" s="51">
        <v>21.460949299372324</v>
      </c>
      <c r="E44" s="51">
        <v>21.647359317328938</v>
      </c>
      <c r="F44" s="51" t="s">
        <v>135</v>
      </c>
      <c r="G44" s="51" t="s">
        <v>135</v>
      </c>
      <c r="H44" s="51" t="s">
        <v>135</v>
      </c>
      <c r="I44" s="51" t="s">
        <v>135</v>
      </c>
      <c r="J44" s="51" t="s">
        <v>135</v>
      </c>
      <c r="K44" s="51" t="s">
        <v>135</v>
      </c>
    </row>
    <row r="45" spans="1:11" x14ac:dyDescent="0.35">
      <c r="A45" s="50" t="s">
        <v>139</v>
      </c>
      <c r="B45" s="51" t="s">
        <v>131</v>
      </c>
      <c r="C45" s="51" t="s">
        <v>135</v>
      </c>
      <c r="D45" s="51" t="s">
        <v>133</v>
      </c>
      <c r="E45" s="51" t="s">
        <v>133</v>
      </c>
      <c r="F45" s="51" t="s">
        <v>133</v>
      </c>
      <c r="G45" s="51">
        <v>4.1476825621355653</v>
      </c>
      <c r="H45" s="51">
        <v>8.541980410572922</v>
      </c>
      <c r="I45" s="51">
        <v>0.72416476586609413</v>
      </c>
      <c r="J45" s="51">
        <v>1.5602043085927357</v>
      </c>
      <c r="K45" s="51">
        <v>0</v>
      </c>
    </row>
    <row r="46" spans="1:11" x14ac:dyDescent="0.35">
      <c r="A46" s="50" t="s">
        <v>140</v>
      </c>
      <c r="B46" s="51" t="s">
        <v>131</v>
      </c>
      <c r="C46" s="51">
        <v>0</v>
      </c>
      <c r="D46" s="51">
        <v>0</v>
      </c>
      <c r="E46" s="51">
        <v>21.259325035134257</v>
      </c>
      <c r="F46" s="51">
        <v>47.932304026571636</v>
      </c>
      <c r="G46" s="51">
        <v>22.404653553264456</v>
      </c>
      <c r="H46" s="51">
        <v>30.533036361196832</v>
      </c>
      <c r="I46" s="51">
        <v>44.856031128404659</v>
      </c>
      <c r="J46" s="51">
        <v>46.26195519879608</v>
      </c>
      <c r="K46" s="51">
        <v>3.6723467060244195</v>
      </c>
    </row>
    <row r="47" spans="1:11" x14ac:dyDescent="0.35">
      <c r="A47" s="50" t="s">
        <v>141</v>
      </c>
      <c r="B47" s="51" t="s">
        <v>131</v>
      </c>
      <c r="C47" s="51">
        <v>21.831604838659384</v>
      </c>
      <c r="D47" s="51">
        <v>18.621926375501126</v>
      </c>
      <c r="E47" s="51">
        <v>17.337701970400751</v>
      </c>
      <c r="F47" s="51">
        <v>19.20377357473232</v>
      </c>
      <c r="G47" s="51">
        <v>18.137315680708436</v>
      </c>
      <c r="H47" s="51">
        <v>20.016586265933178</v>
      </c>
      <c r="I47" s="51">
        <v>10.865283778344288</v>
      </c>
      <c r="J47" s="51">
        <v>5.8398468751181065</v>
      </c>
      <c r="K47" s="51">
        <v>8.8554944317724402</v>
      </c>
    </row>
    <row r="48" spans="1:11" x14ac:dyDescent="0.35">
      <c r="A48" s="50" t="s">
        <v>142</v>
      </c>
      <c r="B48" s="51" t="s">
        <v>143</v>
      </c>
      <c r="C48" s="51">
        <v>12.460363364790181</v>
      </c>
      <c r="D48" s="51">
        <v>18.54264383338867</v>
      </c>
      <c r="E48" s="51">
        <v>26.343748616712261</v>
      </c>
      <c r="F48" s="51">
        <v>42.600050301620406</v>
      </c>
      <c r="G48" s="51">
        <v>60.478961324622951</v>
      </c>
      <c r="H48" s="51">
        <v>72.935663659440522</v>
      </c>
      <c r="I48" s="51">
        <v>75.469478130014764</v>
      </c>
      <c r="J48" s="51">
        <v>74.788639004418016</v>
      </c>
      <c r="K48" s="51">
        <v>79.290276454671513</v>
      </c>
    </row>
    <row r="49" spans="1:11" x14ac:dyDescent="0.35">
      <c r="A49" s="50" t="s">
        <v>144</v>
      </c>
      <c r="B49" s="51" t="s">
        <v>131</v>
      </c>
      <c r="C49" s="51" t="s">
        <v>135</v>
      </c>
      <c r="D49" s="51">
        <v>12.065554482658603</v>
      </c>
      <c r="E49" s="51">
        <v>0</v>
      </c>
      <c r="F49" s="51">
        <v>0</v>
      </c>
      <c r="G49" s="51">
        <v>0</v>
      </c>
      <c r="H49" s="51">
        <v>9.2747732832416485</v>
      </c>
      <c r="I49" s="51">
        <v>1.6170669529048702</v>
      </c>
      <c r="J49" s="51">
        <v>2.779129712888706</v>
      </c>
      <c r="K49" s="51">
        <v>0</v>
      </c>
    </row>
    <row r="50" spans="1:11" x14ac:dyDescent="0.35">
      <c r="A50" s="50" t="s">
        <v>145</v>
      </c>
      <c r="B50" s="51" t="s">
        <v>131</v>
      </c>
      <c r="C50" s="51">
        <v>1.0693683451669476</v>
      </c>
      <c r="D50" s="51">
        <v>0</v>
      </c>
      <c r="E50" s="51">
        <v>4.7885081632535407</v>
      </c>
      <c r="F50" s="51">
        <v>1.6213021952437947</v>
      </c>
      <c r="G50" s="51">
        <v>1.1734049427183684</v>
      </c>
      <c r="H50" s="51">
        <v>0.993050658795116</v>
      </c>
      <c r="I50" s="51">
        <v>0.63276532939755803</v>
      </c>
      <c r="J50" s="51">
        <v>0.89072701234023099</v>
      </c>
      <c r="K50" s="51">
        <v>7.6278008855494432</v>
      </c>
    </row>
    <row r="51" spans="1:11" x14ac:dyDescent="0.35">
      <c r="A51" s="50" t="s">
        <v>146</v>
      </c>
      <c r="B51" s="51" t="s">
        <v>131</v>
      </c>
      <c r="C51" s="51">
        <v>0</v>
      </c>
      <c r="D51" s="51">
        <v>2.5063712210353621</v>
      </c>
      <c r="E51" s="51">
        <v>2.3667339197689916</v>
      </c>
      <c r="F51" s="51">
        <v>2.2561810483975133</v>
      </c>
      <c r="G51" s="51" t="s">
        <v>135</v>
      </c>
      <c r="H51" s="51" t="s">
        <v>135</v>
      </c>
      <c r="I51" s="51" t="s">
        <v>135</v>
      </c>
      <c r="J51" s="51" t="s">
        <v>147</v>
      </c>
      <c r="K51" s="51" t="s">
        <v>135</v>
      </c>
    </row>
    <row r="52" spans="1:11" x14ac:dyDescent="0.35">
      <c r="A52" s="50" t="s">
        <v>148</v>
      </c>
      <c r="B52" s="51" t="s">
        <v>131</v>
      </c>
      <c r="C52" s="51">
        <v>0.95650120319047194</v>
      </c>
      <c r="D52" s="51">
        <v>1.748631084443276</v>
      </c>
      <c r="E52" s="51">
        <v>0.49536291344002142</v>
      </c>
      <c r="F52" s="51">
        <v>1.5740798012075676</v>
      </c>
      <c r="G52" s="51" t="s">
        <v>135</v>
      </c>
      <c r="H52" s="51" t="s">
        <v>135</v>
      </c>
      <c r="I52" s="51" t="s">
        <v>135</v>
      </c>
      <c r="J52" s="51" t="s">
        <v>135</v>
      </c>
      <c r="K52" s="51" t="s">
        <v>135</v>
      </c>
    </row>
    <row r="53" spans="1:11" x14ac:dyDescent="0.35">
      <c r="A53" s="50" t="s">
        <v>149</v>
      </c>
      <c r="B53" s="51" t="s">
        <v>131</v>
      </c>
      <c r="C53" s="51">
        <v>0</v>
      </c>
      <c r="D53" s="51">
        <v>1.033440970905976</v>
      </c>
      <c r="E53" s="51">
        <v>2.4272782758561049</v>
      </c>
      <c r="F53" s="51">
        <v>9.5562384731311418</v>
      </c>
      <c r="G53" s="51">
        <v>1.3556668144371393</v>
      </c>
      <c r="H53" s="51">
        <v>2.0355357574131223E-2</v>
      </c>
      <c r="I53" s="51">
        <v>0</v>
      </c>
      <c r="J53" s="51">
        <v>0</v>
      </c>
      <c r="K53" s="51" t="s">
        <v>133</v>
      </c>
    </row>
    <row r="54" spans="1:11" x14ac:dyDescent="0.35">
      <c r="A54" s="50" t="s">
        <v>150</v>
      </c>
      <c r="B54" s="51" t="s">
        <v>131</v>
      </c>
      <c r="C54" s="51">
        <v>1.1187697193093289</v>
      </c>
      <c r="D54" s="51">
        <v>7.6135397416660242E-2</v>
      </c>
      <c r="E54" s="51">
        <v>4.7457913680178967</v>
      </c>
      <c r="F54" s="51">
        <v>14.350885547609392</v>
      </c>
      <c r="G54" s="51">
        <v>12.188950958250368</v>
      </c>
      <c r="H54" s="51">
        <v>6.6969126418891722</v>
      </c>
      <c r="I54" s="51">
        <v>5.1886757010599744</v>
      </c>
      <c r="J54" s="51">
        <v>7.0556462858526015</v>
      </c>
      <c r="K54" s="51">
        <v>8.2490272373540847</v>
      </c>
    </row>
    <row r="55" spans="1:11" x14ac:dyDescent="0.35">
      <c r="A55" s="50" t="s">
        <v>151</v>
      </c>
      <c r="B55" s="51" t="s">
        <v>131</v>
      </c>
      <c r="C55" s="51">
        <v>0.17042300770979041</v>
      </c>
      <c r="D55" s="51">
        <v>8.0337940789605586E-2</v>
      </c>
      <c r="E55" s="51">
        <v>0.29755349403867776</v>
      </c>
      <c r="F55" s="51">
        <v>0.15501642820945544</v>
      </c>
      <c r="G55" s="51" t="s">
        <v>133</v>
      </c>
      <c r="H55" s="51" t="s">
        <v>133</v>
      </c>
      <c r="I55" s="51" t="s">
        <v>133</v>
      </c>
      <c r="J55" s="51" t="s">
        <v>133</v>
      </c>
      <c r="K55" s="51" t="s">
        <v>133</v>
      </c>
    </row>
    <row r="56" spans="1:11" x14ac:dyDescent="0.35">
      <c r="A56" s="50" t="s">
        <v>152</v>
      </c>
      <c r="B56" s="51" t="s">
        <v>131</v>
      </c>
      <c r="C56" s="51" t="s">
        <v>135</v>
      </c>
      <c r="D56" s="51" t="s">
        <v>135</v>
      </c>
      <c r="E56" s="51" t="s">
        <v>135</v>
      </c>
      <c r="F56" s="51" t="s">
        <v>135</v>
      </c>
      <c r="G56" s="51" t="s">
        <v>133</v>
      </c>
      <c r="H56" s="51" t="s">
        <v>133</v>
      </c>
      <c r="I56" s="51" t="s">
        <v>133</v>
      </c>
      <c r="J56" s="51" t="s">
        <v>133</v>
      </c>
      <c r="K56" s="51" t="s">
        <v>133</v>
      </c>
    </row>
    <row r="57" spans="1:11" x14ac:dyDescent="0.35">
      <c r="A57" s="50" t="s">
        <v>153</v>
      </c>
      <c r="B57" s="51" t="s">
        <v>131</v>
      </c>
      <c r="C57" s="51">
        <v>0.32434955800188903</v>
      </c>
      <c r="D57" s="51">
        <v>0.29796673678913421</v>
      </c>
      <c r="E57" s="51">
        <v>0.28136613483393219</v>
      </c>
      <c r="F57" s="51">
        <v>0.2682231981257695</v>
      </c>
      <c r="G57" s="51" t="s">
        <v>135</v>
      </c>
      <c r="H57" s="51" t="s">
        <v>135</v>
      </c>
      <c r="I57" s="51" t="s">
        <v>135</v>
      </c>
      <c r="J57" s="51" t="s">
        <v>135</v>
      </c>
      <c r="K57" s="51" t="s">
        <v>135</v>
      </c>
    </row>
    <row r="58" spans="1:11" x14ac:dyDescent="0.35">
      <c r="A58" s="50" t="s">
        <v>154</v>
      </c>
      <c r="B58" s="50" t="s">
        <v>143</v>
      </c>
      <c r="C58" s="51">
        <v>224.30986993230405</v>
      </c>
      <c r="D58" s="51">
        <v>355.8807089336006</v>
      </c>
      <c r="E58" s="51">
        <v>546.45378949201324</v>
      </c>
      <c r="F58" s="51">
        <v>853.41763237203611</v>
      </c>
      <c r="G58" s="51">
        <v>866.73546766802008</v>
      </c>
      <c r="H58" s="51">
        <v>324.22020972712829</v>
      </c>
      <c r="I58" s="51">
        <v>241.26956377142673</v>
      </c>
      <c r="J58" s="51">
        <v>47.886870107091987</v>
      </c>
      <c r="K58" s="51">
        <v>470.42113586395146</v>
      </c>
    </row>
    <row r="59" spans="1:11" x14ac:dyDescent="0.35">
      <c r="A59" s="50" t="s">
        <v>155</v>
      </c>
      <c r="B59" s="50" t="s">
        <v>143</v>
      </c>
      <c r="C59" s="51">
        <v>66.768721327876406</v>
      </c>
      <c r="D59" s="51">
        <v>70.783164503271593</v>
      </c>
      <c r="E59" s="51">
        <v>172.07529739464968</v>
      </c>
      <c r="F59" s="51">
        <v>302.27108701569597</v>
      </c>
      <c r="G59" s="51" t="s">
        <v>135</v>
      </c>
      <c r="H59" s="51" t="s">
        <v>135</v>
      </c>
      <c r="I59" s="51" t="s">
        <v>135</v>
      </c>
      <c r="J59" s="51" t="s">
        <v>135</v>
      </c>
      <c r="K59" s="51" t="s">
        <v>135</v>
      </c>
    </row>
    <row r="60" spans="1:11" x14ac:dyDescent="0.35">
      <c r="A60" s="50" t="s">
        <v>156</v>
      </c>
      <c r="B60" s="50" t="s">
        <v>143</v>
      </c>
      <c r="C60" s="51">
        <v>119.55800552422943</v>
      </c>
      <c r="D60" s="51">
        <v>114.68213881845038</v>
      </c>
      <c r="E60" s="51">
        <v>228.26750852313586</v>
      </c>
      <c r="F60" s="51">
        <v>455.86334944414415</v>
      </c>
      <c r="G60" s="51" t="s">
        <v>135</v>
      </c>
      <c r="H60" s="51" t="s">
        <v>135</v>
      </c>
      <c r="I60" s="51" t="s">
        <v>135</v>
      </c>
      <c r="J60" s="51" t="s">
        <v>135</v>
      </c>
      <c r="K60" s="51" t="s">
        <v>135</v>
      </c>
    </row>
    <row r="61" spans="1:11" x14ac:dyDescent="0.35">
      <c r="A61" s="50" t="s">
        <v>157</v>
      </c>
      <c r="B61" s="50" t="s">
        <v>143</v>
      </c>
      <c r="C61" s="51" t="s">
        <v>133</v>
      </c>
      <c r="D61" s="51" t="s">
        <v>133</v>
      </c>
      <c r="E61" s="51" t="s">
        <v>133</v>
      </c>
      <c r="F61" s="51" t="s">
        <v>133</v>
      </c>
      <c r="G61" s="51" t="s">
        <v>133</v>
      </c>
      <c r="H61" s="51" t="s">
        <v>133</v>
      </c>
      <c r="I61" s="51">
        <v>60.526171120172449</v>
      </c>
      <c r="J61" s="51">
        <v>149.35933185316526</v>
      </c>
      <c r="K61" s="51">
        <v>145.58537836731134</v>
      </c>
    </row>
    <row r="62" spans="1:11" x14ac:dyDescent="0.35">
      <c r="A62" s="50" t="s">
        <v>158</v>
      </c>
      <c r="B62" s="50" t="s">
        <v>159</v>
      </c>
      <c r="C62" s="51">
        <v>55.648778221970787</v>
      </c>
      <c r="D62" s="51">
        <v>98.593749484439428</v>
      </c>
      <c r="E62" s="51">
        <v>50.665771674892461</v>
      </c>
      <c r="F62" s="51">
        <v>99.838098416776006</v>
      </c>
      <c r="G62" s="51">
        <v>206.17060360554231</v>
      </c>
      <c r="H62" s="51">
        <v>144.1210778227323</v>
      </c>
      <c r="I62" s="51">
        <v>158.88504732268879</v>
      </c>
      <c r="J62" s="51">
        <v>149.33854622972453</v>
      </c>
      <c r="K62" s="51">
        <v>145.71179390849321</v>
      </c>
    </row>
    <row r="63" spans="1:11" x14ac:dyDescent="0.35">
      <c r="A63" s="50" t="s">
        <v>160</v>
      </c>
      <c r="B63" s="50" t="s">
        <v>159</v>
      </c>
      <c r="C63" s="51">
        <v>19.057687895117194</v>
      </c>
      <c r="D63" s="51">
        <v>22.42238291872162</v>
      </c>
      <c r="E63" s="51">
        <v>32.646401179085125</v>
      </c>
      <c r="F63" s="51">
        <v>22.71249995570065</v>
      </c>
      <c r="G63" s="51">
        <v>16.930322767121506</v>
      </c>
      <c r="H63" s="51">
        <v>20.004997132112383</v>
      </c>
      <c r="I63" s="51">
        <v>13.488518994981883</v>
      </c>
      <c r="J63" s="51">
        <v>11.023820805458358</v>
      </c>
      <c r="K63" s="51">
        <v>12.227291023748824</v>
      </c>
    </row>
    <row r="64" spans="1:11" ht="31.5" x14ac:dyDescent="0.35">
      <c r="A64" s="53" t="s">
        <v>161</v>
      </c>
      <c r="B64" s="51" t="s">
        <v>131</v>
      </c>
      <c r="C64" s="51">
        <v>1.434751804785708</v>
      </c>
      <c r="D64" s="51">
        <v>1.4513638000879192</v>
      </c>
      <c r="E64" s="51">
        <v>0</v>
      </c>
      <c r="F64" s="51">
        <v>0.94444788072454033</v>
      </c>
      <c r="G64" s="51">
        <v>0.90377787629142614</v>
      </c>
      <c r="H64" s="51">
        <v>0.54668674627666702</v>
      </c>
      <c r="I64" s="51">
        <v>5.2027371528243653E-2</v>
      </c>
      <c r="J64" s="51">
        <v>0</v>
      </c>
      <c r="K64" s="51" t="s">
        <v>135</v>
      </c>
    </row>
    <row r="65" spans="1:11" x14ac:dyDescent="0.35">
      <c r="A65" s="50" t="s">
        <v>162</v>
      </c>
      <c r="B65" s="50" t="s">
        <v>143</v>
      </c>
      <c r="C65" s="51" t="s">
        <v>135</v>
      </c>
      <c r="D65" s="51" t="s">
        <v>135</v>
      </c>
      <c r="E65" s="51" t="s">
        <v>135</v>
      </c>
      <c r="F65" s="51" t="s">
        <v>135</v>
      </c>
      <c r="G65" s="51">
        <v>294.43698509996807</v>
      </c>
      <c r="H65" s="51">
        <v>46.371065979040708</v>
      </c>
      <c r="I65" s="51">
        <v>42.066446090815582</v>
      </c>
      <c r="J65" s="51">
        <v>33.380353757953472</v>
      </c>
      <c r="K65" s="51">
        <v>101.67320739911602</v>
      </c>
    </row>
    <row r="66" spans="1:11" x14ac:dyDescent="0.35">
      <c r="A66" s="54" t="s">
        <v>163</v>
      </c>
      <c r="B66" s="50" t="s">
        <v>143</v>
      </c>
      <c r="C66" s="51" t="s">
        <v>135</v>
      </c>
      <c r="D66" s="51" t="s">
        <v>135</v>
      </c>
      <c r="E66" s="51" t="s">
        <v>135</v>
      </c>
      <c r="F66" s="51" t="s">
        <v>135</v>
      </c>
      <c r="G66" s="51">
        <v>192.24755586258482</v>
      </c>
      <c r="H66" s="51">
        <v>127.69298346959138</v>
      </c>
      <c r="I66" s="51">
        <v>159.16312534412435</v>
      </c>
      <c r="J66" s="51">
        <v>128.7511179121191</v>
      </c>
      <c r="K66" s="51">
        <v>86.246325656245716</v>
      </c>
    </row>
    <row r="67" spans="1:11" ht="30" x14ac:dyDescent="0.35">
      <c r="A67" s="55" t="s">
        <v>164</v>
      </c>
      <c r="B67" s="51" t="s">
        <v>131</v>
      </c>
      <c r="C67" s="51" t="s">
        <v>135</v>
      </c>
      <c r="D67" s="51" t="s">
        <v>135</v>
      </c>
      <c r="E67" s="51" t="s">
        <v>135</v>
      </c>
      <c r="F67" s="51" t="s">
        <v>135</v>
      </c>
      <c r="G67" s="51" t="s">
        <v>135</v>
      </c>
      <c r="H67" s="51" t="s">
        <v>135</v>
      </c>
      <c r="I67" s="51" t="s">
        <v>135</v>
      </c>
      <c r="J67" s="51">
        <v>0</v>
      </c>
      <c r="K67" s="51">
        <v>20.126123708573729</v>
      </c>
    </row>
    <row r="68" spans="1:11" ht="20" x14ac:dyDescent="0.35">
      <c r="A68" s="55" t="s">
        <v>165</v>
      </c>
      <c r="B68" s="51" t="s">
        <v>131</v>
      </c>
      <c r="C68" s="51" t="s">
        <v>135</v>
      </c>
      <c r="D68" s="51" t="s">
        <v>135</v>
      </c>
      <c r="E68" s="51" t="s">
        <v>135</v>
      </c>
      <c r="F68" s="51" t="s">
        <v>135</v>
      </c>
      <c r="G68" s="51" t="s">
        <v>135</v>
      </c>
      <c r="H68" s="51" t="s">
        <v>135</v>
      </c>
      <c r="I68" s="51" t="s">
        <v>135</v>
      </c>
      <c r="J68" s="51" t="s">
        <v>135</v>
      </c>
      <c r="K68" s="51">
        <v>335.43539514289546</v>
      </c>
    </row>
    <row r="69" spans="1:11" x14ac:dyDescent="0.35">
      <c r="A69" s="57" t="s">
        <v>166</v>
      </c>
      <c r="B69" s="58"/>
      <c r="C69" s="57">
        <v>598.75925837045565</v>
      </c>
      <c r="D69" s="57">
        <v>859.2744824155011</v>
      </c>
      <c r="E69" s="57">
        <v>1346.6553901350387</v>
      </c>
      <c r="F69" s="57">
        <v>2188.6965626158944</v>
      </c>
      <c r="G69" s="57">
        <v>2027.5195499682982</v>
      </c>
      <c r="H69" s="57">
        <v>1120.7201701770041</v>
      </c>
      <c r="I69" s="57">
        <v>1012.918655913202</v>
      </c>
      <c r="J69" s="57">
        <v>774.78468767547736</v>
      </c>
      <c r="K69" s="57">
        <v>1546.915505278932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46"/>
  <sheetViews>
    <sheetView workbookViewId="0"/>
  </sheetViews>
  <sheetFormatPr defaultColWidth="10.81640625" defaultRowHeight="14.5" x14ac:dyDescent="0.35"/>
  <cols>
    <col min="1" max="1" width="40.81640625" bestFit="1" customWidth="1"/>
    <col min="2" max="2" width="12.453125" customWidth="1"/>
    <col min="3" max="6" width="11.1796875" bestFit="1" customWidth="1"/>
  </cols>
  <sheetData>
    <row r="1" spans="1:39" x14ac:dyDescent="0.35">
      <c r="A1" s="1" t="s">
        <v>168</v>
      </c>
      <c r="B1" s="1">
        <v>2013</v>
      </c>
      <c r="C1" s="1">
        <v>2014</v>
      </c>
      <c r="D1" s="1">
        <v>2015</v>
      </c>
      <c r="E1" s="1">
        <v>2016</v>
      </c>
      <c r="F1" s="1">
        <v>2017</v>
      </c>
      <c r="G1" s="1">
        <v>2018</v>
      </c>
      <c r="H1" s="1">
        <v>2019</v>
      </c>
      <c r="I1" s="1">
        <v>2020</v>
      </c>
      <c r="J1" s="1">
        <v>2021</v>
      </c>
      <c r="K1" s="1">
        <v>2022</v>
      </c>
      <c r="L1" s="1">
        <v>2023</v>
      </c>
      <c r="M1" s="1">
        <v>2024</v>
      </c>
      <c r="N1" s="1">
        <v>2025</v>
      </c>
      <c r="O1" s="1">
        <v>2026</v>
      </c>
      <c r="P1" s="1">
        <v>2027</v>
      </c>
      <c r="Q1" s="1">
        <v>2028</v>
      </c>
      <c r="R1" s="1">
        <v>2029</v>
      </c>
      <c r="S1" s="1">
        <v>2030</v>
      </c>
      <c r="T1" s="1">
        <v>2031</v>
      </c>
      <c r="U1" s="1">
        <v>2032</v>
      </c>
      <c r="V1" s="1">
        <v>2033</v>
      </c>
      <c r="W1" s="1">
        <v>2034</v>
      </c>
      <c r="X1" s="1">
        <v>2035</v>
      </c>
      <c r="Y1" s="1">
        <v>2036</v>
      </c>
      <c r="Z1" s="1">
        <v>2037</v>
      </c>
      <c r="AA1" s="1">
        <v>2038</v>
      </c>
      <c r="AB1" s="1">
        <v>2039</v>
      </c>
      <c r="AC1" s="1">
        <v>2040</v>
      </c>
      <c r="AD1" s="1">
        <v>2041</v>
      </c>
      <c r="AE1" s="1">
        <v>2042</v>
      </c>
      <c r="AF1" s="1">
        <v>2043</v>
      </c>
      <c r="AG1" s="1">
        <v>2044</v>
      </c>
      <c r="AH1" s="1">
        <v>2045</v>
      </c>
      <c r="AI1" s="1">
        <v>2046</v>
      </c>
      <c r="AJ1" s="1">
        <v>2047</v>
      </c>
      <c r="AK1" s="1">
        <v>2048</v>
      </c>
      <c r="AL1" s="1">
        <v>2049</v>
      </c>
      <c r="AM1" s="1">
        <v>2050</v>
      </c>
    </row>
    <row r="2" spans="1:39" x14ac:dyDescent="0.35">
      <c r="A2" t="s">
        <v>169</v>
      </c>
      <c r="C2">
        <v>7991</v>
      </c>
      <c r="D2">
        <v>7839</v>
      </c>
      <c r="E2">
        <v>6452</v>
      </c>
      <c r="F2">
        <v>7523</v>
      </c>
    </row>
    <row r="3" spans="1:39" x14ac:dyDescent="0.35">
      <c r="A3" t="s">
        <v>170</v>
      </c>
      <c r="C3">
        <v>6215</v>
      </c>
      <c r="D3">
        <v>6526</v>
      </c>
      <c r="E3">
        <v>6886</v>
      </c>
      <c r="F3" s="9">
        <v>6896</v>
      </c>
    </row>
    <row r="4" spans="1:39" x14ac:dyDescent="0.35">
      <c r="A4" t="s">
        <v>171</v>
      </c>
      <c r="C4">
        <v>46</v>
      </c>
      <c r="D4">
        <v>59</v>
      </c>
      <c r="E4">
        <v>35</v>
      </c>
      <c r="F4">
        <v>68</v>
      </c>
      <c r="G4">
        <v>54</v>
      </c>
    </row>
    <row r="5" spans="1:39" x14ac:dyDescent="0.35">
      <c r="A5" t="s">
        <v>166</v>
      </c>
      <c r="C5">
        <f>SUM(C2:C4)</f>
        <v>14252</v>
      </c>
      <c r="D5">
        <f>SUM(D2:D4)</f>
        <v>14424</v>
      </c>
      <c r="E5">
        <f>SUM(E2:E4)</f>
        <v>13373</v>
      </c>
      <c r="F5">
        <f>SUM(F2:F4)</f>
        <v>14487</v>
      </c>
      <c r="G5">
        <f>SUM(G2:G4)</f>
        <v>54</v>
      </c>
    </row>
    <row r="6" spans="1:39" x14ac:dyDescent="0.35">
      <c r="A6" t="s">
        <v>172</v>
      </c>
      <c r="C6">
        <f>C5/C38*10000000</f>
        <v>2250434233.3807044</v>
      </c>
      <c r="D6">
        <f>D5/C39*10000000</f>
        <v>2174909529.5536795</v>
      </c>
      <c r="E6">
        <f>E5/C40*10000000</f>
        <v>1968064753.4952168</v>
      </c>
      <c r="F6">
        <f>F5/C41*10000000</f>
        <v>2266426783.4793491</v>
      </c>
    </row>
    <row r="7" spans="1:39" x14ac:dyDescent="0.35">
      <c r="A7" t="s">
        <v>173</v>
      </c>
      <c r="C7" s="23">
        <f>C24+D24</f>
        <v>998.18999999999994</v>
      </c>
      <c r="D7" s="23">
        <f>C25+D25</f>
        <v>944.82</v>
      </c>
      <c r="E7" s="23">
        <f>C26+D26</f>
        <v>1077.1899999999998</v>
      </c>
      <c r="F7" s="23">
        <f>D26+E26</f>
        <v>49.07</v>
      </c>
    </row>
    <row r="8" spans="1:39" x14ac:dyDescent="0.35">
      <c r="A8" t="s">
        <v>174</v>
      </c>
      <c r="C8" s="5">
        <f>22829550700*1000000</f>
        <v>2.28295507E+16</v>
      </c>
      <c r="D8" s="5">
        <f>23242891000*1000000</f>
        <v>2.3242891E+16</v>
      </c>
      <c r="E8" s="5">
        <f>23377059900*1000000</f>
        <v>2.33770599E+16</v>
      </c>
      <c r="F8" s="5">
        <f>23377059900*1000000</f>
        <v>2.33770599E+16</v>
      </c>
    </row>
    <row r="9" spans="1:39" x14ac:dyDescent="0.35">
      <c r="A9" t="s">
        <v>175</v>
      </c>
      <c r="B9" s="5">
        <f>C9</f>
        <v>9.8575493795447512E-8</v>
      </c>
      <c r="C9" s="5">
        <f>C6/C8</f>
        <v>9.8575493795447512E-8</v>
      </c>
      <c r="D9" s="5">
        <f>D6/D8</f>
        <v>9.3573107129989955E-8</v>
      </c>
      <c r="E9" s="5">
        <f>E6/E8</f>
        <v>8.4187864595205865E-8</v>
      </c>
      <c r="F9" s="5">
        <f t="shared" ref="F9:AM9" si="0">E9</f>
        <v>8.4187864595205865E-8</v>
      </c>
      <c r="G9" s="5">
        <f t="shared" si="0"/>
        <v>8.4187864595205865E-8</v>
      </c>
      <c r="H9" s="5">
        <f t="shared" si="0"/>
        <v>8.4187864595205865E-8</v>
      </c>
      <c r="I9" s="5">
        <f t="shared" si="0"/>
        <v>8.4187864595205865E-8</v>
      </c>
      <c r="J9" s="5">
        <f t="shared" si="0"/>
        <v>8.4187864595205865E-8</v>
      </c>
      <c r="K9" s="5">
        <f t="shared" si="0"/>
        <v>8.4187864595205865E-8</v>
      </c>
      <c r="L9" s="5">
        <f t="shared" si="0"/>
        <v>8.4187864595205865E-8</v>
      </c>
      <c r="M9" s="5">
        <f t="shared" si="0"/>
        <v>8.4187864595205865E-8</v>
      </c>
      <c r="N9" s="5">
        <f t="shared" si="0"/>
        <v>8.4187864595205865E-8</v>
      </c>
      <c r="O9" s="5">
        <f t="shared" si="0"/>
        <v>8.4187864595205865E-8</v>
      </c>
      <c r="P9" s="5">
        <f t="shared" si="0"/>
        <v>8.4187864595205865E-8</v>
      </c>
      <c r="Q9" s="5">
        <f t="shared" si="0"/>
        <v>8.4187864595205865E-8</v>
      </c>
      <c r="R9" s="5">
        <f t="shared" si="0"/>
        <v>8.4187864595205865E-8</v>
      </c>
      <c r="S9" s="5">
        <f t="shared" si="0"/>
        <v>8.4187864595205865E-8</v>
      </c>
      <c r="T9" s="5">
        <f t="shared" si="0"/>
        <v>8.4187864595205865E-8</v>
      </c>
      <c r="U9" s="5">
        <f t="shared" si="0"/>
        <v>8.4187864595205865E-8</v>
      </c>
      <c r="V9" s="5">
        <f t="shared" si="0"/>
        <v>8.4187864595205865E-8</v>
      </c>
      <c r="W9" s="5">
        <f t="shared" si="0"/>
        <v>8.4187864595205865E-8</v>
      </c>
      <c r="X9" s="5">
        <f t="shared" si="0"/>
        <v>8.4187864595205865E-8</v>
      </c>
      <c r="Y9" s="5">
        <f t="shared" si="0"/>
        <v>8.4187864595205865E-8</v>
      </c>
      <c r="Z9" s="5">
        <f t="shared" si="0"/>
        <v>8.4187864595205865E-8</v>
      </c>
      <c r="AA9" s="5">
        <f t="shared" si="0"/>
        <v>8.4187864595205865E-8</v>
      </c>
      <c r="AB9" s="5">
        <f t="shared" si="0"/>
        <v>8.4187864595205865E-8</v>
      </c>
      <c r="AC9" s="5">
        <f t="shared" si="0"/>
        <v>8.4187864595205865E-8</v>
      </c>
      <c r="AD9" s="5">
        <f t="shared" si="0"/>
        <v>8.4187864595205865E-8</v>
      </c>
      <c r="AE9" s="5">
        <f t="shared" si="0"/>
        <v>8.4187864595205865E-8</v>
      </c>
      <c r="AF9" s="5">
        <f t="shared" si="0"/>
        <v>8.4187864595205865E-8</v>
      </c>
      <c r="AG9" s="5">
        <f t="shared" si="0"/>
        <v>8.4187864595205865E-8</v>
      </c>
      <c r="AH9" s="5">
        <f t="shared" si="0"/>
        <v>8.4187864595205865E-8</v>
      </c>
      <c r="AI9" s="5">
        <f t="shared" si="0"/>
        <v>8.4187864595205865E-8</v>
      </c>
      <c r="AJ9" s="5">
        <f t="shared" si="0"/>
        <v>8.4187864595205865E-8</v>
      </c>
      <c r="AK9" s="5">
        <f t="shared" si="0"/>
        <v>8.4187864595205865E-8</v>
      </c>
      <c r="AL9" s="5">
        <f t="shared" si="0"/>
        <v>8.4187864595205865E-8</v>
      </c>
      <c r="AM9" s="5">
        <f t="shared" si="0"/>
        <v>8.4187864595205865E-8</v>
      </c>
    </row>
    <row r="10" spans="1:39" x14ac:dyDescent="0.35">
      <c r="A10" t="s">
        <v>176</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row>
    <row r="11" spans="1:39" x14ac:dyDescent="0.3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row>
    <row r="12" spans="1:39" x14ac:dyDescent="0.3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row>
    <row r="14" spans="1:39" x14ac:dyDescent="0.35">
      <c r="A14" s="24" t="s">
        <v>34</v>
      </c>
      <c r="B14" s="26"/>
      <c r="C14" s="25" t="s">
        <v>177</v>
      </c>
      <c r="D14" s="26" t="s">
        <v>178</v>
      </c>
    </row>
    <row r="15" spans="1:39" x14ac:dyDescent="0.35">
      <c r="A15" s="27"/>
      <c r="B15" s="26"/>
      <c r="C15" s="61" t="s">
        <v>179</v>
      </c>
      <c r="D15" s="62"/>
    </row>
    <row r="16" spans="1:39" x14ac:dyDescent="0.35">
      <c r="A16" s="28">
        <v>1</v>
      </c>
      <c r="B16" s="28"/>
      <c r="C16" s="28">
        <v>2</v>
      </c>
      <c r="D16" s="28">
        <v>3</v>
      </c>
    </row>
    <row r="17" spans="1:11" x14ac:dyDescent="0.35">
      <c r="A17" s="29" t="s">
        <v>180</v>
      </c>
      <c r="B17" s="39"/>
      <c r="C17" s="42">
        <v>713.39</v>
      </c>
      <c r="D17" s="42">
        <v>46.31</v>
      </c>
    </row>
    <row r="18" spans="1:11" x14ac:dyDescent="0.35">
      <c r="A18" s="29" t="s">
        <v>181</v>
      </c>
      <c r="B18" s="39"/>
      <c r="C18" s="42">
        <v>739.34</v>
      </c>
      <c r="D18" s="42">
        <v>43.9</v>
      </c>
    </row>
    <row r="19" spans="1:11" x14ac:dyDescent="0.35">
      <c r="A19" s="29" t="s">
        <v>182</v>
      </c>
      <c r="B19" s="39"/>
      <c r="C19" s="42">
        <v>822.13</v>
      </c>
      <c r="D19" s="42">
        <v>46.95</v>
      </c>
    </row>
    <row r="20" spans="1:11" x14ac:dyDescent="0.35">
      <c r="A20" s="29" t="s">
        <v>183</v>
      </c>
      <c r="B20" s="39"/>
      <c r="C20" s="42">
        <v>836.73</v>
      </c>
      <c r="D20" s="42">
        <v>42.21</v>
      </c>
    </row>
    <row r="21" spans="1:11" x14ac:dyDescent="0.35">
      <c r="A21" s="39" t="s">
        <v>184</v>
      </c>
      <c r="B21" s="39"/>
      <c r="C21" s="42">
        <v>837.22</v>
      </c>
      <c r="D21" s="42">
        <v>43.16</v>
      </c>
    </row>
    <row r="22" spans="1:11" x14ac:dyDescent="0.35">
      <c r="A22" s="40" t="s">
        <v>185</v>
      </c>
      <c r="B22" s="40"/>
      <c r="C22" s="42">
        <v>898.49</v>
      </c>
      <c r="D22" s="42">
        <v>46.32</v>
      </c>
    </row>
    <row r="23" spans="1:11" x14ac:dyDescent="0.35">
      <c r="A23" s="40" t="s">
        <v>186</v>
      </c>
      <c r="B23" s="40"/>
      <c r="C23" s="42">
        <v>968.36</v>
      </c>
      <c r="D23" s="42">
        <v>45.81</v>
      </c>
    </row>
    <row r="24" spans="1:11" x14ac:dyDescent="0.35">
      <c r="A24" s="40" t="s">
        <v>187</v>
      </c>
      <c r="B24" s="40"/>
      <c r="C24" s="42">
        <v>955.92</v>
      </c>
      <c r="D24" s="42">
        <v>42.27</v>
      </c>
    </row>
    <row r="25" spans="1:11" x14ac:dyDescent="0.35">
      <c r="A25" s="40" t="s">
        <v>188</v>
      </c>
      <c r="B25" s="40"/>
      <c r="C25" s="42">
        <v>906.33</v>
      </c>
      <c r="D25" s="42">
        <v>38.49</v>
      </c>
    </row>
    <row r="26" spans="1:11" x14ac:dyDescent="0.35">
      <c r="A26" s="40" t="s">
        <v>189</v>
      </c>
      <c r="B26" s="40"/>
      <c r="C26" s="43">
        <v>1028.1199999999999</v>
      </c>
      <c r="D26" s="43">
        <v>49.07</v>
      </c>
    </row>
    <row r="27" spans="1:11" x14ac:dyDescent="0.35">
      <c r="A27" s="30" t="s">
        <v>190</v>
      </c>
      <c r="B27" s="41"/>
      <c r="C27" s="31">
        <v>13.44</v>
      </c>
      <c r="D27" s="31">
        <v>27.49</v>
      </c>
    </row>
    <row r="28" spans="1:11" x14ac:dyDescent="0.35">
      <c r="A28" s="30" t="s">
        <v>191</v>
      </c>
      <c r="B28" s="32"/>
      <c r="C28" s="33">
        <v>4.1399999999999997</v>
      </c>
      <c r="D28" s="33">
        <v>0.65</v>
      </c>
    </row>
    <row r="31" spans="1:11" x14ac:dyDescent="0.35">
      <c r="A31" s="34" t="s">
        <v>192</v>
      </c>
      <c r="B31" s="34"/>
      <c r="C31" s="35"/>
      <c r="D31" s="35"/>
      <c r="E31" s="35"/>
      <c r="F31" s="35"/>
      <c r="G31" s="35"/>
      <c r="H31" s="35"/>
      <c r="I31" s="35"/>
      <c r="J31" s="35"/>
      <c r="K31" s="35"/>
    </row>
    <row r="32" spans="1:11" x14ac:dyDescent="0.35">
      <c r="A32" s="35"/>
      <c r="B32" s="35"/>
    </row>
    <row r="33" spans="1:4" x14ac:dyDescent="0.35">
      <c r="A33" s="34" t="s">
        <v>37</v>
      </c>
      <c r="B33" s="34"/>
      <c r="C33" s="35"/>
    </row>
    <row r="34" spans="1:4" x14ac:dyDescent="0.35">
      <c r="A34" s="35">
        <v>2010</v>
      </c>
      <c r="B34" s="35"/>
      <c r="C34" s="35">
        <v>44.81</v>
      </c>
      <c r="D34" s="35"/>
    </row>
    <row r="35" spans="1:4" x14ac:dyDescent="0.35">
      <c r="A35" s="35">
        <v>2011</v>
      </c>
      <c r="B35" s="35"/>
      <c r="C35" s="35">
        <v>53.26</v>
      </c>
      <c r="D35" s="63"/>
    </row>
    <row r="36" spans="1:4" x14ac:dyDescent="0.35">
      <c r="A36" s="35">
        <v>2012</v>
      </c>
      <c r="B36" s="35"/>
      <c r="C36" s="35">
        <v>54.77</v>
      </c>
      <c r="D36" s="63"/>
    </row>
    <row r="37" spans="1:4" x14ac:dyDescent="0.35">
      <c r="A37" s="35">
        <v>2013</v>
      </c>
      <c r="B37" s="35"/>
      <c r="C37" s="35">
        <v>61.89</v>
      </c>
      <c r="D37" s="35"/>
    </row>
    <row r="38" spans="1:4" x14ac:dyDescent="0.35">
      <c r="A38" s="35">
        <v>2014</v>
      </c>
      <c r="B38" s="35"/>
      <c r="C38" s="35">
        <v>63.33</v>
      </c>
      <c r="D38" s="35"/>
    </row>
    <row r="39" spans="1:4" x14ac:dyDescent="0.35">
      <c r="A39" s="35">
        <v>2015</v>
      </c>
      <c r="B39" s="35"/>
      <c r="C39" s="35">
        <v>66.319999999999993</v>
      </c>
      <c r="D39" s="35"/>
    </row>
    <row r="40" spans="1:4" x14ac:dyDescent="0.35">
      <c r="A40" s="35">
        <v>2016</v>
      </c>
      <c r="B40" s="35"/>
      <c r="C40" s="35">
        <v>67.95</v>
      </c>
      <c r="D40" s="35"/>
    </row>
    <row r="41" spans="1:4" x14ac:dyDescent="0.35">
      <c r="A41" s="35">
        <v>2017</v>
      </c>
      <c r="B41" s="35"/>
      <c r="C41" s="35">
        <v>63.92</v>
      </c>
      <c r="D41" s="35"/>
    </row>
    <row r="42" spans="1:4" x14ac:dyDescent="0.35">
      <c r="A42" s="35">
        <v>2018</v>
      </c>
      <c r="C42">
        <v>68.66</v>
      </c>
    </row>
    <row r="43" spans="1:4" x14ac:dyDescent="0.35">
      <c r="A43" s="35">
        <v>2019</v>
      </c>
      <c r="C43">
        <v>70.897000000000006</v>
      </c>
    </row>
    <row r="44" spans="1:4" x14ac:dyDescent="0.35">
      <c r="A44" s="35">
        <v>2020</v>
      </c>
      <c r="C44">
        <v>74.224999999999994</v>
      </c>
    </row>
    <row r="45" spans="1:4" x14ac:dyDescent="0.35">
      <c r="A45" s="35">
        <v>2021</v>
      </c>
      <c r="C45">
        <v>74.504000000000005</v>
      </c>
    </row>
    <row r="46" spans="1:4" x14ac:dyDescent="0.35">
      <c r="A46" s="35"/>
    </row>
  </sheetData>
  <mergeCells count="2">
    <mergeCell ref="C15:D15"/>
    <mergeCell ref="D35:D36"/>
  </mergeCells>
  <pageMargins left="0.75" right="0.75" top="1" bottom="1" header="0.5" footer="0.5"/>
  <pageSetup paperSize="9" orientation="portrait" horizontalDpi="0" verticalDpi="0"/>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Y22"/>
  <sheetViews>
    <sheetView tabSelected="1" topLeftCell="AP12" workbookViewId="0">
      <selection activeCell="AU13" sqref="AU13"/>
    </sheetView>
  </sheetViews>
  <sheetFormatPr defaultColWidth="8.81640625" defaultRowHeight="14.5" x14ac:dyDescent="0.35"/>
  <cols>
    <col min="1" max="1" width="26.453125" customWidth="1"/>
  </cols>
  <sheetData>
    <row r="1" spans="1:51" x14ac:dyDescent="0.35">
      <c r="A1" t="s">
        <v>34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5">
      <c r="A2" t="s">
        <v>193</v>
      </c>
      <c r="B2">
        <v>0</v>
      </c>
      <c r="C2">
        <v>0</v>
      </c>
      <c r="D2">
        <v>0</v>
      </c>
      <c r="E2">
        <v>0</v>
      </c>
      <c r="F2">
        <v>0</v>
      </c>
      <c r="G2">
        <v>0</v>
      </c>
      <c r="H2">
        <v>0</v>
      </c>
      <c r="I2">
        <v>0</v>
      </c>
      <c r="J2">
        <v>0</v>
      </c>
      <c r="K2">
        <v>0</v>
      </c>
      <c r="L2">
        <v>0</v>
      </c>
      <c r="M2">
        <v>0</v>
      </c>
      <c r="N2">
        <v>0</v>
      </c>
      <c r="O2">
        <v>0</v>
      </c>
      <c r="P2">
        <v>0</v>
      </c>
      <c r="Q2">
        <f t="shared" ref="Q2:AE2" si="0">TREND($H2:$P2,$G$1:$O$1,P$1)</f>
        <v>0</v>
      </c>
      <c r="R2">
        <f t="shared" si="0"/>
        <v>0</v>
      </c>
      <c r="S2">
        <f t="shared" si="0"/>
        <v>0</v>
      </c>
      <c r="T2">
        <f t="shared" si="0"/>
        <v>0</v>
      </c>
      <c r="U2">
        <f t="shared" si="0"/>
        <v>0</v>
      </c>
      <c r="V2">
        <f t="shared" si="0"/>
        <v>0</v>
      </c>
      <c r="W2">
        <f t="shared" si="0"/>
        <v>0</v>
      </c>
      <c r="X2">
        <f t="shared" si="0"/>
        <v>0</v>
      </c>
      <c r="Y2">
        <f t="shared" si="0"/>
        <v>0</v>
      </c>
      <c r="Z2">
        <f t="shared" si="0"/>
        <v>0</v>
      </c>
      <c r="AA2">
        <f t="shared" si="0"/>
        <v>0</v>
      </c>
      <c r="AB2">
        <f t="shared" si="0"/>
        <v>0</v>
      </c>
      <c r="AC2">
        <f t="shared" si="0"/>
        <v>0</v>
      </c>
      <c r="AD2">
        <f t="shared" si="0"/>
        <v>0</v>
      </c>
      <c r="AE2">
        <f t="shared" si="0"/>
        <v>0</v>
      </c>
    </row>
    <row r="3" spans="1:51" x14ac:dyDescent="0.35">
      <c r="A3" t="s">
        <v>194</v>
      </c>
      <c r="B3">
        <f>0</f>
        <v>0</v>
      </c>
      <c r="C3">
        <f>0</f>
        <v>0</v>
      </c>
      <c r="D3">
        <f>0</f>
        <v>0</v>
      </c>
      <c r="E3">
        <f>0</f>
        <v>0</v>
      </c>
      <c r="F3">
        <f>0</f>
        <v>0</v>
      </c>
      <c r="G3">
        <f>0</f>
        <v>0</v>
      </c>
      <c r="H3">
        <f>0</f>
        <v>0</v>
      </c>
      <c r="I3">
        <f>0</f>
        <v>0</v>
      </c>
      <c r="J3">
        <f>0</f>
        <v>0</v>
      </c>
      <c r="K3">
        <f>0</f>
        <v>0</v>
      </c>
      <c r="L3">
        <f>0</f>
        <v>0</v>
      </c>
      <c r="M3">
        <f>0</f>
        <v>0</v>
      </c>
      <c r="N3">
        <f>0</f>
        <v>0</v>
      </c>
      <c r="O3">
        <f>0</f>
        <v>0</v>
      </c>
      <c r="P3">
        <f>0</f>
        <v>0</v>
      </c>
      <c r="Q3">
        <f>0</f>
        <v>0</v>
      </c>
      <c r="R3">
        <f>0</f>
        <v>0</v>
      </c>
      <c r="S3">
        <f>0</f>
        <v>0</v>
      </c>
      <c r="T3">
        <f>0</f>
        <v>0</v>
      </c>
      <c r="U3">
        <f>0</f>
        <v>0</v>
      </c>
      <c r="V3">
        <f>0</f>
        <v>0</v>
      </c>
      <c r="W3">
        <f>0</f>
        <v>0</v>
      </c>
      <c r="X3">
        <f>0</f>
        <v>0</v>
      </c>
      <c r="Y3">
        <f>0</f>
        <v>0</v>
      </c>
      <c r="Z3">
        <f>0</f>
        <v>0</v>
      </c>
      <c r="AA3">
        <f>0</f>
        <v>0</v>
      </c>
      <c r="AB3">
        <f>0</f>
        <v>0</v>
      </c>
      <c r="AC3">
        <f>0</f>
        <v>0</v>
      </c>
      <c r="AD3">
        <f>0</f>
        <v>0</v>
      </c>
      <c r="AE3">
        <f>0</f>
        <v>0</v>
      </c>
    </row>
    <row r="4" spans="1:51" x14ac:dyDescent="0.35">
      <c r="A4" t="s">
        <v>195</v>
      </c>
      <c r="B4" s="5">
        <f>'NatGas Calculations'!$B11</f>
        <v>2.4556212145158342E-8</v>
      </c>
      <c r="C4" s="5">
        <f>'NatGas Calculations'!$B11</f>
        <v>2.4556212145158342E-8</v>
      </c>
      <c r="D4" s="5">
        <f>'NatGas Calculations'!$B11</f>
        <v>2.4556212145158342E-8</v>
      </c>
      <c r="E4" s="5">
        <f>'NatGas Calculations'!$B11</f>
        <v>2.4556212145158342E-8</v>
      </c>
      <c r="F4" s="5">
        <f>'NatGas Calculations'!$B11</f>
        <v>2.4556212145158342E-8</v>
      </c>
      <c r="G4" s="5">
        <f>'NatGas Calculations'!$B11</f>
        <v>2.4556212145158342E-8</v>
      </c>
      <c r="H4" s="5">
        <f>'NatGas Calculations'!$B11</f>
        <v>2.4556212145158342E-8</v>
      </c>
      <c r="I4" s="5">
        <f>'NatGas Calculations'!$B11</f>
        <v>2.4556212145158342E-8</v>
      </c>
      <c r="J4" s="5">
        <f>'NatGas Calculations'!$B11</f>
        <v>2.4556212145158342E-8</v>
      </c>
      <c r="K4" s="5">
        <f>'NatGas Calculations'!$B11</f>
        <v>2.4556212145158342E-8</v>
      </c>
      <c r="L4" s="5">
        <f>'NatGas Calculations'!$B11</f>
        <v>2.4556212145158342E-8</v>
      </c>
      <c r="M4" s="5">
        <f>'NatGas Calculations'!$B11</f>
        <v>2.4556212145158342E-8</v>
      </c>
      <c r="N4" s="5">
        <f>'NatGas Calculations'!$B11</f>
        <v>2.4556212145158342E-8</v>
      </c>
      <c r="O4" s="5">
        <f>'NatGas Calculations'!$B11</f>
        <v>2.4556212145158342E-8</v>
      </c>
      <c r="P4" s="5">
        <f>'NatGas Calculations'!$B11</f>
        <v>2.4556212145158342E-8</v>
      </c>
      <c r="Q4" s="5">
        <f>'NatGas Calculations'!$B11</f>
        <v>2.4556212145158342E-8</v>
      </c>
      <c r="R4" s="5">
        <f>'NatGas Calculations'!$B11</f>
        <v>2.4556212145158342E-8</v>
      </c>
      <c r="S4" s="5">
        <f>'NatGas Calculations'!$B11</f>
        <v>2.4556212145158342E-8</v>
      </c>
      <c r="T4" s="5">
        <f>'NatGas Calculations'!$B11</f>
        <v>2.4556212145158342E-8</v>
      </c>
      <c r="U4" s="5">
        <f>'NatGas Calculations'!$B11</f>
        <v>2.4556212145158342E-8</v>
      </c>
      <c r="V4" s="5">
        <f>'NatGas Calculations'!$B11</f>
        <v>2.4556212145158342E-8</v>
      </c>
      <c r="W4" s="5">
        <f>'NatGas Calculations'!$B11</f>
        <v>2.4556212145158342E-8</v>
      </c>
      <c r="X4" s="5">
        <f>'NatGas Calculations'!$B11</f>
        <v>2.4556212145158342E-8</v>
      </c>
      <c r="Y4" s="5">
        <f>'NatGas Calculations'!$B11</f>
        <v>2.4556212145158342E-8</v>
      </c>
      <c r="Z4" s="5">
        <f>'NatGas Calculations'!$B11</f>
        <v>2.4556212145158342E-8</v>
      </c>
      <c r="AA4" s="5">
        <f>'NatGas Calculations'!$B11</f>
        <v>2.4556212145158342E-8</v>
      </c>
      <c r="AB4" s="5">
        <f>'NatGas Calculations'!$B11</f>
        <v>2.4556212145158342E-8</v>
      </c>
      <c r="AC4" s="5">
        <f>'NatGas Calculations'!$B11</f>
        <v>2.4556212145158342E-8</v>
      </c>
      <c r="AD4" s="5">
        <f>'NatGas Calculations'!$B11</f>
        <v>2.4556212145158342E-8</v>
      </c>
      <c r="AE4" s="5">
        <f>'NatGas Calculations'!$B11</f>
        <v>2.4556212145158342E-8</v>
      </c>
      <c r="AF4" s="5"/>
      <c r="AG4" s="5"/>
      <c r="AH4" s="5"/>
      <c r="AI4" s="5"/>
      <c r="AJ4" s="5"/>
      <c r="AK4" s="5"/>
      <c r="AL4" s="5"/>
      <c r="AM4" s="5"/>
      <c r="AN4" s="5"/>
      <c r="AO4" s="5"/>
      <c r="AP4" s="5"/>
      <c r="AQ4" s="5"/>
      <c r="AR4" s="5"/>
      <c r="AS4" s="5"/>
      <c r="AT4" s="5"/>
      <c r="AU4" s="5"/>
      <c r="AV4" s="5"/>
      <c r="AW4" s="5"/>
      <c r="AX4" s="5"/>
      <c r="AY4" s="5"/>
    </row>
    <row r="5" spans="1:51" x14ac:dyDescent="0.35">
      <c r="A5" t="s">
        <v>196</v>
      </c>
      <c r="B5">
        <v>0</v>
      </c>
      <c r="C5">
        <v>0</v>
      </c>
      <c r="D5">
        <v>0</v>
      </c>
      <c r="E5">
        <v>0</v>
      </c>
      <c r="F5">
        <v>0</v>
      </c>
      <c r="G5">
        <v>0</v>
      </c>
      <c r="H5">
        <v>0</v>
      </c>
      <c r="I5">
        <v>0</v>
      </c>
      <c r="J5">
        <v>0</v>
      </c>
      <c r="K5">
        <v>0</v>
      </c>
      <c r="L5">
        <v>0</v>
      </c>
      <c r="M5">
        <v>0</v>
      </c>
      <c r="N5">
        <v>0</v>
      </c>
      <c r="O5">
        <v>0</v>
      </c>
      <c r="P5">
        <v>0</v>
      </c>
      <c r="Q5">
        <f t="shared" ref="Q5:AE5" si="1">TREND($H5:$P5,$G$1:$O$1,P$1)</f>
        <v>0</v>
      </c>
      <c r="R5">
        <f t="shared" si="1"/>
        <v>0</v>
      </c>
      <c r="S5">
        <f t="shared" si="1"/>
        <v>0</v>
      </c>
      <c r="T5">
        <f t="shared" si="1"/>
        <v>0</v>
      </c>
      <c r="U5">
        <f t="shared" si="1"/>
        <v>0</v>
      </c>
      <c r="V5">
        <f t="shared" si="1"/>
        <v>0</v>
      </c>
      <c r="W5">
        <f t="shared" si="1"/>
        <v>0</v>
      </c>
      <c r="X5">
        <f t="shared" si="1"/>
        <v>0</v>
      </c>
      <c r="Y5">
        <f t="shared" si="1"/>
        <v>0</v>
      </c>
      <c r="Z5">
        <f t="shared" si="1"/>
        <v>0</v>
      </c>
      <c r="AA5">
        <f t="shared" si="1"/>
        <v>0</v>
      </c>
      <c r="AB5">
        <f t="shared" si="1"/>
        <v>0</v>
      </c>
      <c r="AC5">
        <f t="shared" si="1"/>
        <v>0</v>
      </c>
      <c r="AD5">
        <f t="shared" si="1"/>
        <v>0</v>
      </c>
      <c r="AE5">
        <f t="shared" si="1"/>
        <v>0</v>
      </c>
    </row>
    <row r="6" spans="1:51" x14ac:dyDescent="0.35">
      <c r="A6" t="s">
        <v>197</v>
      </c>
      <c r="B6">
        <v>0</v>
      </c>
      <c r="C6">
        <v>0</v>
      </c>
      <c r="D6">
        <v>0</v>
      </c>
      <c r="E6">
        <v>0</v>
      </c>
      <c r="F6">
        <v>0</v>
      </c>
      <c r="G6">
        <v>0</v>
      </c>
      <c r="H6">
        <v>0</v>
      </c>
      <c r="I6">
        <v>0</v>
      </c>
      <c r="J6">
        <v>0</v>
      </c>
      <c r="K6">
        <v>0</v>
      </c>
      <c r="L6">
        <v>0</v>
      </c>
      <c r="M6">
        <v>0</v>
      </c>
      <c r="N6">
        <v>0</v>
      </c>
      <c r="O6">
        <v>0</v>
      </c>
      <c r="P6">
        <v>0</v>
      </c>
      <c r="Q6">
        <f t="shared" ref="Q6:AE6" si="2">TREND($H6:$P6,$G$1:$O$1,P$1)</f>
        <v>0</v>
      </c>
      <c r="R6">
        <f t="shared" si="2"/>
        <v>0</v>
      </c>
      <c r="S6">
        <f t="shared" si="2"/>
        <v>0</v>
      </c>
      <c r="T6">
        <f t="shared" si="2"/>
        <v>0</v>
      </c>
      <c r="U6">
        <f t="shared" si="2"/>
        <v>0</v>
      </c>
      <c r="V6">
        <f t="shared" si="2"/>
        <v>0</v>
      </c>
      <c r="W6">
        <f t="shared" si="2"/>
        <v>0</v>
      </c>
      <c r="X6">
        <f t="shared" si="2"/>
        <v>0</v>
      </c>
      <c r="Y6">
        <f t="shared" si="2"/>
        <v>0</v>
      </c>
      <c r="Z6">
        <f t="shared" si="2"/>
        <v>0</v>
      </c>
      <c r="AA6">
        <f t="shared" si="2"/>
        <v>0</v>
      </c>
      <c r="AB6">
        <f t="shared" si="2"/>
        <v>0</v>
      </c>
      <c r="AC6">
        <f t="shared" si="2"/>
        <v>0</v>
      </c>
      <c r="AD6">
        <f t="shared" si="2"/>
        <v>0</v>
      </c>
      <c r="AE6">
        <f t="shared" si="2"/>
        <v>0</v>
      </c>
    </row>
    <row r="7" spans="1:51" x14ac:dyDescent="0.35">
      <c r="A7" t="s">
        <v>198</v>
      </c>
      <c r="B7">
        <v>0</v>
      </c>
      <c r="C7">
        <v>0</v>
      </c>
      <c r="D7">
        <v>0</v>
      </c>
      <c r="E7">
        <v>0</v>
      </c>
      <c r="F7">
        <v>0</v>
      </c>
      <c r="G7">
        <v>0</v>
      </c>
      <c r="H7">
        <v>0</v>
      </c>
      <c r="I7">
        <v>0</v>
      </c>
      <c r="J7">
        <v>0</v>
      </c>
      <c r="K7">
        <v>0</v>
      </c>
      <c r="L7">
        <v>0</v>
      </c>
      <c r="M7">
        <v>0</v>
      </c>
      <c r="N7">
        <v>0</v>
      </c>
      <c r="O7">
        <v>0</v>
      </c>
      <c r="P7">
        <v>0</v>
      </c>
      <c r="Q7">
        <f t="shared" ref="Q7:AE7" si="3">TREND($H7:$P7,$G$1:$O$1,P$1)</f>
        <v>0</v>
      </c>
      <c r="R7">
        <f t="shared" si="3"/>
        <v>0</v>
      </c>
      <c r="S7">
        <f t="shared" si="3"/>
        <v>0</v>
      </c>
      <c r="T7">
        <f t="shared" si="3"/>
        <v>0</v>
      </c>
      <c r="U7">
        <f t="shared" si="3"/>
        <v>0</v>
      </c>
      <c r="V7">
        <f t="shared" si="3"/>
        <v>0</v>
      </c>
      <c r="W7">
        <f t="shared" si="3"/>
        <v>0</v>
      </c>
      <c r="X7">
        <f t="shared" si="3"/>
        <v>0</v>
      </c>
      <c r="Y7">
        <f t="shared" si="3"/>
        <v>0</v>
      </c>
      <c r="Z7">
        <f t="shared" si="3"/>
        <v>0</v>
      </c>
      <c r="AA7">
        <f t="shared" si="3"/>
        <v>0</v>
      </c>
      <c r="AB7">
        <f t="shared" si="3"/>
        <v>0</v>
      </c>
      <c r="AC7">
        <f t="shared" si="3"/>
        <v>0</v>
      </c>
      <c r="AD7">
        <f t="shared" si="3"/>
        <v>0</v>
      </c>
      <c r="AE7">
        <f t="shared" si="3"/>
        <v>0</v>
      </c>
    </row>
    <row r="8" spans="1:51" x14ac:dyDescent="0.35">
      <c r="A8" t="s">
        <v>199</v>
      </c>
      <c r="B8">
        <v>0</v>
      </c>
      <c r="C8">
        <v>0</v>
      </c>
      <c r="D8">
        <v>0</v>
      </c>
      <c r="E8">
        <v>0</v>
      </c>
      <c r="F8">
        <v>0</v>
      </c>
      <c r="G8">
        <v>0</v>
      </c>
      <c r="H8">
        <v>0</v>
      </c>
      <c r="I8">
        <v>0</v>
      </c>
      <c r="J8">
        <v>0</v>
      </c>
      <c r="K8">
        <v>0</v>
      </c>
      <c r="L8">
        <v>0</v>
      </c>
      <c r="M8">
        <v>0</v>
      </c>
      <c r="N8">
        <v>0</v>
      </c>
      <c r="O8">
        <v>0</v>
      </c>
      <c r="P8">
        <v>0</v>
      </c>
      <c r="Q8">
        <f t="shared" ref="Q8:AE8" si="4">TREND($H8:$P8,$G$1:$O$1,P$1)</f>
        <v>0</v>
      </c>
      <c r="R8">
        <f t="shared" si="4"/>
        <v>0</v>
      </c>
      <c r="S8">
        <f t="shared" si="4"/>
        <v>0</v>
      </c>
      <c r="T8">
        <f t="shared" si="4"/>
        <v>0</v>
      </c>
      <c r="U8">
        <f t="shared" si="4"/>
        <v>0</v>
      </c>
      <c r="V8">
        <f t="shared" si="4"/>
        <v>0</v>
      </c>
      <c r="W8">
        <f t="shared" si="4"/>
        <v>0</v>
      </c>
      <c r="X8">
        <f t="shared" si="4"/>
        <v>0</v>
      </c>
      <c r="Y8">
        <f t="shared" si="4"/>
        <v>0</v>
      </c>
      <c r="Z8">
        <f t="shared" si="4"/>
        <v>0</v>
      </c>
      <c r="AA8">
        <f t="shared" si="4"/>
        <v>0</v>
      </c>
      <c r="AB8">
        <f t="shared" si="4"/>
        <v>0</v>
      </c>
      <c r="AC8">
        <f t="shared" si="4"/>
        <v>0</v>
      </c>
      <c r="AD8">
        <f t="shared" si="4"/>
        <v>0</v>
      </c>
      <c r="AE8">
        <f t="shared" si="4"/>
        <v>0</v>
      </c>
    </row>
    <row r="9" spans="1:51" x14ac:dyDescent="0.35">
      <c r="A9" t="s">
        <v>200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51" x14ac:dyDescent="0.35">
      <c r="A10" t="s">
        <v>201</v>
      </c>
      <c r="B10">
        <f>0</f>
        <v>0</v>
      </c>
      <c r="C10">
        <f>0</f>
        <v>0</v>
      </c>
      <c r="D10">
        <f>0</f>
        <v>0</v>
      </c>
      <c r="E10">
        <f>0</f>
        <v>0</v>
      </c>
      <c r="F10">
        <f>0</f>
        <v>0</v>
      </c>
      <c r="G10">
        <f>0</f>
        <v>0</v>
      </c>
      <c r="H10">
        <f>0</f>
        <v>0</v>
      </c>
      <c r="I10">
        <f>0</f>
        <v>0</v>
      </c>
      <c r="J10">
        <f>0</f>
        <v>0</v>
      </c>
      <c r="K10">
        <f>0</f>
        <v>0</v>
      </c>
      <c r="L10">
        <f>0</f>
        <v>0</v>
      </c>
      <c r="M10">
        <f>0</f>
        <v>0</v>
      </c>
      <c r="N10">
        <f>0</f>
        <v>0</v>
      </c>
      <c r="O10">
        <f>0</f>
        <v>0</v>
      </c>
      <c r="P10">
        <f>0</f>
        <v>0</v>
      </c>
      <c r="Q10">
        <f>0</f>
        <v>0</v>
      </c>
      <c r="R10">
        <f>0</f>
        <v>0</v>
      </c>
      <c r="S10">
        <f>0</f>
        <v>0</v>
      </c>
      <c r="T10">
        <f>0</f>
        <v>0</v>
      </c>
      <c r="U10">
        <f>0</f>
        <v>0</v>
      </c>
      <c r="V10">
        <f>0</f>
        <v>0</v>
      </c>
      <c r="W10">
        <f>0</f>
        <v>0</v>
      </c>
      <c r="X10">
        <f>0</f>
        <v>0</v>
      </c>
      <c r="Y10">
        <f>0</f>
        <v>0</v>
      </c>
      <c r="Z10">
        <f>0</f>
        <v>0</v>
      </c>
      <c r="AA10">
        <f>0</f>
        <v>0</v>
      </c>
      <c r="AB10">
        <f>0</f>
        <v>0</v>
      </c>
      <c r="AC10">
        <f>0</f>
        <v>0</v>
      </c>
      <c r="AD10">
        <f>0</f>
        <v>0</v>
      </c>
      <c r="AE10">
        <f>0</f>
        <v>0</v>
      </c>
    </row>
    <row r="11" spans="1:51" x14ac:dyDescent="0.35">
      <c r="A11" t="s">
        <v>202</v>
      </c>
      <c r="B11">
        <f>0</f>
        <v>0</v>
      </c>
      <c r="C11">
        <f>0</f>
        <v>0</v>
      </c>
      <c r="D11">
        <f>0</f>
        <v>0</v>
      </c>
      <c r="E11">
        <f>0</f>
        <v>0</v>
      </c>
      <c r="F11">
        <f>0</f>
        <v>0</v>
      </c>
      <c r="G11">
        <f>0</f>
        <v>0</v>
      </c>
      <c r="H11">
        <f>0</f>
        <v>0</v>
      </c>
      <c r="I11">
        <f>0</f>
        <v>0</v>
      </c>
      <c r="J11">
        <f>0</f>
        <v>0</v>
      </c>
      <c r="K11">
        <f>0</f>
        <v>0</v>
      </c>
      <c r="L11">
        <f>0</f>
        <v>0</v>
      </c>
      <c r="M11">
        <f>0</f>
        <v>0</v>
      </c>
      <c r="N11">
        <f>0</f>
        <v>0</v>
      </c>
      <c r="O11">
        <f>0</f>
        <v>0</v>
      </c>
      <c r="P11">
        <f>0</f>
        <v>0</v>
      </c>
      <c r="Q11">
        <f>0</f>
        <v>0</v>
      </c>
      <c r="R11">
        <f>0</f>
        <v>0</v>
      </c>
      <c r="S11">
        <f>0</f>
        <v>0</v>
      </c>
      <c r="T11">
        <f>0</f>
        <v>0</v>
      </c>
      <c r="U11">
        <f>0</f>
        <v>0</v>
      </c>
      <c r="V11">
        <f>0</f>
        <v>0</v>
      </c>
      <c r="W11">
        <f>0</f>
        <v>0</v>
      </c>
      <c r="X11">
        <f>0</f>
        <v>0</v>
      </c>
      <c r="Y11">
        <f>0</f>
        <v>0</v>
      </c>
      <c r="Z11">
        <f>0</f>
        <v>0</v>
      </c>
      <c r="AA11">
        <f>0</f>
        <v>0</v>
      </c>
      <c r="AB11">
        <f>0</f>
        <v>0</v>
      </c>
      <c r="AC11">
        <f>0</f>
        <v>0</v>
      </c>
      <c r="AD11">
        <f>0</f>
        <v>0</v>
      </c>
      <c r="AE11">
        <f>0</f>
        <v>0</v>
      </c>
    </row>
    <row r="12" spans="1:51" x14ac:dyDescent="0.35">
      <c r="A12" t="s">
        <v>203</v>
      </c>
      <c r="B12">
        <v>0</v>
      </c>
      <c r="C12">
        <v>0</v>
      </c>
      <c r="D12">
        <v>0</v>
      </c>
      <c r="E12">
        <v>0</v>
      </c>
      <c r="F12">
        <v>0</v>
      </c>
      <c r="G12">
        <v>0</v>
      </c>
      <c r="H12">
        <v>0</v>
      </c>
      <c r="I12">
        <v>0</v>
      </c>
      <c r="J12">
        <v>0</v>
      </c>
      <c r="K12">
        <v>0</v>
      </c>
      <c r="L12">
        <v>0</v>
      </c>
      <c r="M12">
        <v>0</v>
      </c>
      <c r="N12">
        <v>0</v>
      </c>
      <c r="O12">
        <v>0</v>
      </c>
      <c r="P12">
        <v>0</v>
      </c>
      <c r="Q12">
        <f t="shared" ref="Q12:AE12" si="5">TREND($H12:$P12,$G$1:$O$1,P$1)</f>
        <v>0</v>
      </c>
      <c r="R12">
        <f t="shared" si="5"/>
        <v>0</v>
      </c>
      <c r="S12">
        <f t="shared" si="5"/>
        <v>0</v>
      </c>
      <c r="T12">
        <f t="shared" si="5"/>
        <v>0</v>
      </c>
      <c r="U12">
        <f t="shared" si="5"/>
        <v>0</v>
      </c>
      <c r="V12">
        <f t="shared" si="5"/>
        <v>0</v>
      </c>
      <c r="W12">
        <f t="shared" si="5"/>
        <v>0</v>
      </c>
      <c r="X12">
        <f t="shared" si="5"/>
        <v>0</v>
      </c>
      <c r="Y12">
        <f t="shared" si="5"/>
        <v>0</v>
      </c>
      <c r="Z12">
        <f t="shared" si="5"/>
        <v>0</v>
      </c>
      <c r="AA12">
        <f t="shared" si="5"/>
        <v>0</v>
      </c>
      <c r="AB12">
        <f t="shared" si="5"/>
        <v>0</v>
      </c>
      <c r="AC12">
        <f t="shared" si="5"/>
        <v>0</v>
      </c>
      <c r="AD12">
        <f t="shared" si="5"/>
        <v>0</v>
      </c>
      <c r="AE12">
        <f t="shared" si="5"/>
        <v>0</v>
      </c>
    </row>
    <row r="13" spans="1:51" x14ac:dyDescent="0.35">
      <c r="A13" t="s">
        <v>204</v>
      </c>
      <c r="B13">
        <v>0</v>
      </c>
      <c r="C13">
        <v>0</v>
      </c>
      <c r="D13">
        <v>0</v>
      </c>
      <c r="E13">
        <v>0</v>
      </c>
      <c r="F13">
        <v>0</v>
      </c>
      <c r="G13">
        <v>0</v>
      </c>
      <c r="H13">
        <v>0</v>
      </c>
      <c r="I13">
        <v>0</v>
      </c>
      <c r="J13">
        <v>0</v>
      </c>
      <c r="K13">
        <v>0</v>
      </c>
      <c r="L13">
        <v>0</v>
      </c>
      <c r="M13">
        <v>0</v>
      </c>
      <c r="N13">
        <v>0</v>
      </c>
      <c r="O13">
        <v>0</v>
      </c>
      <c r="P13">
        <v>0</v>
      </c>
      <c r="Q13">
        <f t="shared" ref="Q13:AE13" si="6">TREND($H13:$P13,$G$1:$O$1,P$1)</f>
        <v>0</v>
      </c>
      <c r="R13">
        <f t="shared" si="6"/>
        <v>0</v>
      </c>
      <c r="S13">
        <f t="shared" si="6"/>
        <v>0</v>
      </c>
      <c r="T13">
        <f t="shared" si="6"/>
        <v>0</v>
      </c>
      <c r="U13">
        <f t="shared" si="6"/>
        <v>0</v>
      </c>
      <c r="V13">
        <f t="shared" si="6"/>
        <v>0</v>
      </c>
      <c r="W13">
        <f t="shared" si="6"/>
        <v>0</v>
      </c>
      <c r="X13">
        <f t="shared" si="6"/>
        <v>0</v>
      </c>
      <c r="Y13">
        <f t="shared" si="6"/>
        <v>0</v>
      </c>
      <c r="Z13">
        <f t="shared" si="6"/>
        <v>0</v>
      </c>
      <c r="AA13">
        <f t="shared" si="6"/>
        <v>0</v>
      </c>
      <c r="AB13">
        <f t="shared" si="6"/>
        <v>0</v>
      </c>
      <c r="AC13">
        <f t="shared" si="6"/>
        <v>0</v>
      </c>
      <c r="AD13">
        <f t="shared" si="6"/>
        <v>0</v>
      </c>
      <c r="AE13">
        <f t="shared" si="6"/>
        <v>0</v>
      </c>
    </row>
    <row r="14" spans="1:51" x14ac:dyDescent="0.35">
      <c r="A14" t="s">
        <v>205</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row>
    <row r="15" spans="1:51" x14ac:dyDescent="0.35">
      <c r="A15" t="s">
        <v>206</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51" x14ac:dyDescent="0.35">
      <c r="A16" t="s">
        <v>207</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51" x14ac:dyDescent="0.35">
      <c r="A17" t="s">
        <v>208</v>
      </c>
      <c r="B17">
        <f t="shared" ref="B17:O17" si="7">B3</f>
        <v>0</v>
      </c>
      <c r="C17">
        <f t="shared" si="7"/>
        <v>0</v>
      </c>
      <c r="D17">
        <f t="shared" si="7"/>
        <v>0</v>
      </c>
      <c r="E17">
        <f t="shared" si="7"/>
        <v>0</v>
      </c>
      <c r="F17">
        <f t="shared" si="7"/>
        <v>0</v>
      </c>
      <c r="G17">
        <f t="shared" si="7"/>
        <v>0</v>
      </c>
      <c r="H17">
        <f t="shared" si="7"/>
        <v>0</v>
      </c>
      <c r="I17">
        <f t="shared" si="7"/>
        <v>0</v>
      </c>
      <c r="J17">
        <f t="shared" si="7"/>
        <v>0</v>
      </c>
      <c r="K17">
        <f t="shared" si="7"/>
        <v>0</v>
      </c>
      <c r="L17">
        <f t="shared" si="7"/>
        <v>0</v>
      </c>
      <c r="M17">
        <f t="shared" si="7"/>
        <v>0</v>
      </c>
      <c r="N17">
        <f t="shared" si="7"/>
        <v>0</v>
      </c>
      <c r="O17">
        <f t="shared" si="7"/>
        <v>0</v>
      </c>
      <c r="P17">
        <v>0</v>
      </c>
      <c r="Q17">
        <v>0</v>
      </c>
      <c r="R17">
        <v>0</v>
      </c>
      <c r="S17">
        <v>0</v>
      </c>
      <c r="T17">
        <v>0</v>
      </c>
      <c r="U17">
        <v>0</v>
      </c>
      <c r="V17">
        <v>0</v>
      </c>
      <c r="W17">
        <v>0</v>
      </c>
      <c r="X17">
        <v>0</v>
      </c>
      <c r="Y17">
        <v>0</v>
      </c>
      <c r="Z17">
        <v>0</v>
      </c>
      <c r="AA17">
        <v>0</v>
      </c>
      <c r="AB17">
        <v>0</v>
      </c>
      <c r="AC17">
        <v>0</v>
      </c>
      <c r="AD17">
        <v>0</v>
      </c>
      <c r="AE17">
        <v>0</v>
      </c>
    </row>
    <row r="18" spans="1:51" x14ac:dyDescent="0.35">
      <c r="A18" t="s">
        <v>209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row>
    <row r="19" spans="1:51" x14ac:dyDescent="0.35">
      <c r="A19" t="s">
        <v>210</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51" x14ac:dyDescent="0.35">
      <c r="A20" t="s">
        <v>211</v>
      </c>
      <c r="B20" s="5">
        <f>LPG!B9</f>
        <v>3.9983616580147224E-6</v>
      </c>
      <c r="C20" s="5">
        <f>B20</f>
        <v>3.9983616580147224E-6</v>
      </c>
      <c r="D20" s="5">
        <f t="shared" ref="D20:AE20" si="8">C20</f>
        <v>3.9983616580147224E-6</v>
      </c>
      <c r="E20" s="5">
        <f t="shared" si="8"/>
        <v>3.9983616580147224E-6</v>
      </c>
      <c r="F20" s="5">
        <f t="shared" si="8"/>
        <v>3.9983616580147224E-6</v>
      </c>
      <c r="G20" s="5">
        <f t="shared" si="8"/>
        <v>3.9983616580147224E-6</v>
      </c>
      <c r="H20" s="5">
        <f t="shared" si="8"/>
        <v>3.9983616580147224E-6</v>
      </c>
      <c r="I20" s="5">
        <f t="shared" si="8"/>
        <v>3.9983616580147224E-6</v>
      </c>
      <c r="J20" s="5">
        <f t="shared" si="8"/>
        <v>3.9983616580147224E-6</v>
      </c>
      <c r="K20" s="5">
        <f t="shared" si="8"/>
        <v>3.9983616580147224E-6</v>
      </c>
      <c r="L20" s="5">
        <f t="shared" si="8"/>
        <v>3.9983616580147224E-6</v>
      </c>
      <c r="M20" s="5">
        <f t="shared" si="8"/>
        <v>3.9983616580147224E-6</v>
      </c>
      <c r="N20" s="5">
        <f t="shared" si="8"/>
        <v>3.9983616580147224E-6</v>
      </c>
      <c r="O20" s="5">
        <f t="shared" si="8"/>
        <v>3.9983616580147224E-6</v>
      </c>
      <c r="P20" s="5">
        <f t="shared" si="8"/>
        <v>3.9983616580147224E-6</v>
      </c>
      <c r="Q20" s="5">
        <f t="shared" si="8"/>
        <v>3.9983616580147224E-6</v>
      </c>
      <c r="R20" s="5">
        <f t="shared" si="8"/>
        <v>3.9983616580147224E-6</v>
      </c>
      <c r="S20" s="5">
        <f t="shared" si="8"/>
        <v>3.9983616580147224E-6</v>
      </c>
      <c r="T20" s="5">
        <f t="shared" si="8"/>
        <v>3.9983616580147224E-6</v>
      </c>
      <c r="U20" s="5">
        <f t="shared" si="8"/>
        <v>3.9983616580147224E-6</v>
      </c>
      <c r="V20" s="5">
        <f t="shared" si="8"/>
        <v>3.9983616580147224E-6</v>
      </c>
      <c r="W20" s="5">
        <f t="shared" si="8"/>
        <v>3.9983616580147224E-6</v>
      </c>
      <c r="X20" s="5">
        <f t="shared" si="8"/>
        <v>3.9983616580147224E-6</v>
      </c>
      <c r="Y20" s="5">
        <f t="shared" si="8"/>
        <v>3.9983616580147224E-6</v>
      </c>
      <c r="Z20" s="5">
        <f t="shared" si="8"/>
        <v>3.9983616580147224E-6</v>
      </c>
      <c r="AA20" s="5">
        <f t="shared" si="8"/>
        <v>3.9983616580147224E-6</v>
      </c>
      <c r="AB20" s="5">
        <f t="shared" si="8"/>
        <v>3.9983616580147224E-6</v>
      </c>
      <c r="AC20" s="5">
        <f t="shared" si="8"/>
        <v>3.9983616580147224E-6</v>
      </c>
      <c r="AD20" s="5">
        <f t="shared" si="8"/>
        <v>3.9983616580147224E-6</v>
      </c>
      <c r="AE20" s="5">
        <f t="shared" si="8"/>
        <v>3.9983616580147224E-6</v>
      </c>
      <c r="AF20" s="5"/>
      <c r="AG20" s="5"/>
      <c r="AH20" s="5"/>
      <c r="AI20" s="5"/>
      <c r="AJ20" s="5"/>
      <c r="AK20" s="5"/>
      <c r="AL20" s="5"/>
      <c r="AM20" s="5"/>
      <c r="AN20" s="5"/>
      <c r="AO20" s="5"/>
      <c r="AP20" s="5"/>
      <c r="AQ20" s="5"/>
      <c r="AR20" s="5"/>
      <c r="AS20" s="5"/>
      <c r="AT20" s="5"/>
      <c r="AU20" s="5"/>
      <c r="AV20" s="5"/>
      <c r="AW20" s="5"/>
      <c r="AX20" s="5"/>
      <c r="AY20" s="5"/>
    </row>
    <row r="21" spans="1:51" x14ac:dyDescent="0.35">
      <c r="A21" t="s">
        <v>212</v>
      </c>
      <c r="B21">
        <v>0</v>
      </c>
      <c r="C21">
        <v>0</v>
      </c>
      <c r="D21">
        <v>0</v>
      </c>
      <c r="E21">
        <v>0</v>
      </c>
      <c r="F21">
        <v>0</v>
      </c>
      <c r="G21">
        <v>0</v>
      </c>
      <c r="H21">
        <v>0</v>
      </c>
      <c r="I21">
        <v>0</v>
      </c>
      <c r="J21">
        <v>0</v>
      </c>
      <c r="K21">
        <v>0</v>
      </c>
      <c r="L21">
        <v>0</v>
      </c>
      <c r="M21">
        <v>0</v>
      </c>
      <c r="N21">
        <v>0</v>
      </c>
      <c r="O21">
        <v>0</v>
      </c>
      <c r="P21">
        <v>0</v>
      </c>
      <c r="Q21">
        <f t="shared" ref="Q21:Q22" si="9">TREND($H21:$P21,$G$1:$O$1,P$1)</f>
        <v>0</v>
      </c>
      <c r="R21">
        <f t="shared" ref="R21:R22" si="10">TREND($H21:$P21,$G$1:$O$1,Q$1)</f>
        <v>0</v>
      </c>
      <c r="S21">
        <f t="shared" ref="S21:S22" si="11">TREND($H21:$P21,$G$1:$O$1,R$1)</f>
        <v>0</v>
      </c>
      <c r="T21">
        <f t="shared" ref="T21:T22" si="12">TREND($H21:$P21,$G$1:$O$1,S$1)</f>
        <v>0</v>
      </c>
      <c r="U21">
        <f t="shared" ref="U21:U22" si="13">TREND($H21:$P21,$G$1:$O$1,T$1)</f>
        <v>0</v>
      </c>
      <c r="V21">
        <f t="shared" ref="V21:V22" si="14">TREND($H21:$P21,$G$1:$O$1,U$1)</f>
        <v>0</v>
      </c>
      <c r="W21">
        <f t="shared" ref="W21:W22" si="15">TREND($H21:$P21,$G$1:$O$1,V$1)</f>
        <v>0</v>
      </c>
      <c r="X21">
        <f t="shared" ref="X21:X22" si="16">TREND($H21:$P21,$G$1:$O$1,W$1)</f>
        <v>0</v>
      </c>
      <c r="Y21">
        <f t="shared" ref="Y21:Y22" si="17">TREND($H21:$P21,$G$1:$O$1,X$1)</f>
        <v>0</v>
      </c>
      <c r="Z21">
        <f t="shared" ref="Z21:Z22" si="18">TREND($H21:$P21,$G$1:$O$1,Y$1)</f>
        <v>0</v>
      </c>
      <c r="AA21">
        <f t="shared" ref="AA21:AA22" si="19">TREND($H21:$P21,$G$1:$O$1,Z$1)</f>
        <v>0</v>
      </c>
      <c r="AB21">
        <f t="shared" ref="AB21:AB22" si="20">TREND($H21:$P21,$G$1:$O$1,AA$1)</f>
        <v>0</v>
      </c>
      <c r="AC21">
        <f t="shared" ref="AC21:AC22" si="21">TREND($H21:$P21,$G$1:$O$1,AB$1)</f>
        <v>0</v>
      </c>
      <c r="AD21">
        <f t="shared" ref="AD21:AD22" si="22">TREND($H21:$P21,$G$1:$O$1,AC$1)</f>
        <v>0</v>
      </c>
      <c r="AE21">
        <f t="shared" ref="AE21:AE22" si="23">TREND($H21:$P21,$G$1:$O$1,AD$1)</f>
        <v>0</v>
      </c>
    </row>
    <row r="22" spans="1:51" x14ac:dyDescent="0.35">
      <c r="A22" t="s">
        <v>213</v>
      </c>
      <c r="B22">
        <v>0</v>
      </c>
      <c r="C22">
        <v>0</v>
      </c>
      <c r="D22">
        <v>0</v>
      </c>
      <c r="E22">
        <v>0</v>
      </c>
      <c r="F22">
        <v>0</v>
      </c>
      <c r="G22">
        <v>0</v>
      </c>
      <c r="H22">
        <v>0</v>
      </c>
      <c r="I22">
        <v>0</v>
      </c>
      <c r="J22">
        <v>0</v>
      </c>
      <c r="K22">
        <v>0</v>
      </c>
      <c r="L22">
        <v>0</v>
      </c>
      <c r="M22">
        <v>0</v>
      </c>
      <c r="N22">
        <v>0</v>
      </c>
      <c r="O22">
        <v>0</v>
      </c>
      <c r="P22">
        <v>0</v>
      </c>
      <c r="Q22">
        <f t="shared" si="9"/>
        <v>0</v>
      </c>
      <c r="R22">
        <f t="shared" si="10"/>
        <v>0</v>
      </c>
      <c r="S22">
        <f t="shared" si="11"/>
        <v>0</v>
      </c>
      <c r="T22">
        <f t="shared" si="12"/>
        <v>0</v>
      </c>
      <c r="U22">
        <f t="shared" si="13"/>
        <v>0</v>
      </c>
      <c r="V22">
        <f t="shared" si="14"/>
        <v>0</v>
      </c>
      <c r="W22">
        <f t="shared" si="15"/>
        <v>0</v>
      </c>
      <c r="X22">
        <f t="shared" si="16"/>
        <v>0</v>
      </c>
      <c r="Y22">
        <f t="shared" si="17"/>
        <v>0</v>
      </c>
      <c r="Z22">
        <f t="shared" si="18"/>
        <v>0</v>
      </c>
      <c r="AA22">
        <f t="shared" si="19"/>
        <v>0</v>
      </c>
      <c r="AB22">
        <f t="shared" si="20"/>
        <v>0</v>
      </c>
      <c r="AC22">
        <f t="shared" si="21"/>
        <v>0</v>
      </c>
      <c r="AD22">
        <f t="shared" si="22"/>
        <v>0</v>
      </c>
      <c r="AE22">
        <f t="shared" si="23"/>
        <v>0</v>
      </c>
    </row>
  </sheetData>
  <pageMargins left="0.7" right="0.7" top="0.75" bottom="0.75" header="0.3" footer="0.3"/>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Y25"/>
  <sheetViews>
    <sheetView workbookViewId="0">
      <selection activeCell="AB11" sqref="AB11"/>
    </sheetView>
  </sheetViews>
  <sheetFormatPr defaultColWidth="8.81640625" defaultRowHeight="14.5" x14ac:dyDescent="0.35"/>
  <cols>
    <col min="1" max="1" width="31" customWidth="1"/>
  </cols>
  <sheetData>
    <row r="1" spans="1:51" x14ac:dyDescent="0.35">
      <c r="A1" t="s">
        <v>34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5">
      <c r="A2" t="s">
        <v>214</v>
      </c>
      <c r="B2" s="10">
        <v>0</v>
      </c>
      <c r="C2" s="10">
        <v>0</v>
      </c>
      <c r="D2" s="10">
        <v>0</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c r="AG2" s="10"/>
      <c r="AH2" s="10"/>
      <c r="AI2" s="10"/>
    </row>
    <row r="3" spans="1:51" x14ac:dyDescent="0.35">
      <c r="A3" t="s">
        <v>215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51" x14ac:dyDescent="0.35">
      <c r="A4" t="s">
        <v>216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51" x14ac:dyDescent="0.35">
      <c r="A5" t="s">
        <v>196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51" x14ac:dyDescent="0.35">
      <c r="A6" t="s">
        <v>197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s="10"/>
      <c r="AG6" s="10"/>
      <c r="AH6" s="10"/>
      <c r="AI6" s="10"/>
    </row>
    <row r="7" spans="1:51" x14ac:dyDescent="0.35">
      <c r="A7" t="s">
        <v>217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51" x14ac:dyDescent="0.35">
      <c r="A8" t="s">
        <v>218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51" x14ac:dyDescent="0.35">
      <c r="A9" t="s">
        <v>219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51" x14ac:dyDescent="0.35">
      <c r="A10" t="s">
        <v>220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51" x14ac:dyDescent="0.35">
      <c r="A11" t="s">
        <v>207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51" x14ac:dyDescent="0.35">
      <c r="A12" t="s">
        <v>221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51" x14ac:dyDescent="0.35">
      <c r="A13" t="s">
        <v>222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51" x14ac:dyDescent="0.35">
      <c r="A14" t="s">
        <v>223</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row>
    <row r="15" spans="1:51" x14ac:dyDescent="0.35">
      <c r="A15" t="s">
        <v>224</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51" x14ac:dyDescent="0.35">
      <c r="A16" t="s">
        <v>209</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35">
      <c r="A17" t="s">
        <v>225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35">
      <c r="A18" t="s">
        <v>212</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row>
    <row r="19" spans="1:31" x14ac:dyDescent="0.35">
      <c r="A19" t="s">
        <v>226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35">
      <c r="A20" t="s">
        <v>227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35">
      <c r="A21" t="s">
        <v>228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35">
      <c r="A22" t="s">
        <v>229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35">
      <c r="A23" t="s">
        <v>230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35">
      <c r="A24" t="s">
        <v>231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35">
      <c r="A25" t="s">
        <v>232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Y25"/>
  <sheetViews>
    <sheetView workbookViewId="0"/>
  </sheetViews>
  <sheetFormatPr defaultColWidth="9.1796875" defaultRowHeight="14.5" x14ac:dyDescent="0.35"/>
  <cols>
    <col min="1" max="1" width="28.453125" bestFit="1" customWidth="1"/>
  </cols>
  <sheetData>
    <row r="1" spans="1:51" x14ac:dyDescent="0.35">
      <c r="A1" t="s">
        <v>233</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1" x14ac:dyDescent="0.35">
      <c r="A2" t="s">
        <v>214</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51" x14ac:dyDescent="0.35">
      <c r="A3" t="s">
        <v>215</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51" x14ac:dyDescent="0.35">
      <c r="A4" t="s">
        <v>216</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51" x14ac:dyDescent="0.35">
      <c r="A5" t="s">
        <v>196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51" x14ac:dyDescent="0.35">
      <c r="A6" t="s">
        <v>197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51" x14ac:dyDescent="0.35">
      <c r="A7" t="s">
        <v>217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51" x14ac:dyDescent="0.35">
      <c r="A8" t="s">
        <v>218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51" x14ac:dyDescent="0.35">
      <c r="A9" t="s">
        <v>219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51" x14ac:dyDescent="0.35">
      <c r="A10" t="s">
        <v>220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51" x14ac:dyDescent="0.35">
      <c r="A11" t="s">
        <v>207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51" x14ac:dyDescent="0.35">
      <c r="A12" t="s">
        <v>221</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51" x14ac:dyDescent="0.35">
      <c r="A13" t="s">
        <v>222</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51" x14ac:dyDescent="0.35">
      <c r="A14" t="s">
        <v>223</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row>
    <row r="15" spans="1:51" x14ac:dyDescent="0.35">
      <c r="A15" t="s">
        <v>224</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51" x14ac:dyDescent="0.35">
      <c r="A16" t="s">
        <v>209</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35">
      <c r="A17" t="s">
        <v>225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35">
      <c r="A18" t="s">
        <v>212</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row>
    <row r="19" spans="1:31" x14ac:dyDescent="0.35">
      <c r="A19" t="s">
        <v>226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35">
      <c r="A20" t="s">
        <v>227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35">
      <c r="A21" t="s">
        <v>228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35">
      <c r="A22" t="s">
        <v>229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35">
      <c r="A23" t="s">
        <v>230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35">
      <c r="A24" t="s">
        <v>231</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35">
      <c r="A25" t="s">
        <v>232</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E7B2E-60DC-4676-9083-201900949F6D}">
  <sheetPr>
    <tabColor theme="3"/>
  </sheetPr>
  <dimension ref="A1:AE25"/>
  <sheetViews>
    <sheetView workbookViewId="0">
      <selection activeCell="F19" sqref="F19"/>
    </sheetView>
  </sheetViews>
  <sheetFormatPr defaultRowHeight="14.5" x14ac:dyDescent="0.35"/>
  <cols>
    <col min="1" max="1" width="31.08984375" customWidth="1"/>
  </cols>
  <sheetData>
    <row r="1" spans="1:31" x14ac:dyDescent="0.35">
      <c r="A1" t="s">
        <v>34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35">
      <c r="A2" t="s">
        <v>214</v>
      </c>
      <c r="B2" s="6">
        <v>10</v>
      </c>
      <c r="C2" s="6">
        <v>10</v>
      </c>
      <c r="D2" s="6">
        <v>10</v>
      </c>
      <c r="E2" s="6">
        <v>10</v>
      </c>
      <c r="F2" s="6">
        <v>10</v>
      </c>
      <c r="G2" s="6">
        <v>10</v>
      </c>
      <c r="H2" s="6">
        <v>10</v>
      </c>
      <c r="I2" s="6">
        <v>10</v>
      </c>
      <c r="J2" s="6">
        <v>10</v>
      </c>
      <c r="K2" s="6">
        <v>10</v>
      </c>
      <c r="L2" s="6">
        <v>10</v>
      </c>
      <c r="M2" s="6">
        <v>10</v>
      </c>
      <c r="N2" s="6">
        <v>10</v>
      </c>
      <c r="O2" s="6">
        <v>10</v>
      </c>
      <c r="P2" s="6">
        <v>10</v>
      </c>
      <c r="Q2" s="6">
        <v>10</v>
      </c>
      <c r="R2" s="6">
        <v>10</v>
      </c>
      <c r="S2" s="6">
        <v>10</v>
      </c>
      <c r="T2" s="6">
        <v>10</v>
      </c>
      <c r="U2" s="6">
        <v>10</v>
      </c>
      <c r="V2" s="6">
        <v>10</v>
      </c>
      <c r="W2" s="6">
        <v>10</v>
      </c>
      <c r="X2" s="6">
        <v>10</v>
      </c>
      <c r="Y2" s="6">
        <v>10</v>
      </c>
      <c r="Z2" s="6">
        <v>10</v>
      </c>
      <c r="AA2" s="6">
        <v>10</v>
      </c>
      <c r="AB2" s="6">
        <v>10</v>
      </c>
      <c r="AC2" s="6">
        <v>10</v>
      </c>
      <c r="AD2" s="6">
        <v>10</v>
      </c>
      <c r="AE2" s="6">
        <v>10</v>
      </c>
    </row>
    <row r="3" spans="1:31" x14ac:dyDescent="0.35">
      <c r="A3" t="s">
        <v>215</v>
      </c>
      <c r="B3" s="6">
        <v>10</v>
      </c>
      <c r="C3" s="6">
        <v>10</v>
      </c>
      <c r="D3" s="6">
        <v>10</v>
      </c>
      <c r="E3" s="6">
        <v>10</v>
      </c>
      <c r="F3" s="6">
        <v>10</v>
      </c>
      <c r="G3" s="6">
        <v>10</v>
      </c>
      <c r="H3" s="6">
        <v>10</v>
      </c>
      <c r="I3" s="6">
        <v>10</v>
      </c>
      <c r="J3" s="6">
        <v>10</v>
      </c>
      <c r="K3" s="6">
        <v>10</v>
      </c>
      <c r="L3" s="6">
        <v>10</v>
      </c>
      <c r="M3" s="6">
        <v>10</v>
      </c>
      <c r="N3" s="6">
        <v>10</v>
      </c>
      <c r="O3" s="6">
        <v>10</v>
      </c>
      <c r="P3" s="6">
        <v>10</v>
      </c>
      <c r="Q3" s="6">
        <v>10</v>
      </c>
      <c r="R3" s="6">
        <v>10</v>
      </c>
      <c r="S3" s="6">
        <v>10</v>
      </c>
      <c r="T3" s="6">
        <v>10</v>
      </c>
      <c r="U3" s="6">
        <v>10</v>
      </c>
      <c r="V3" s="6">
        <v>10</v>
      </c>
      <c r="W3" s="6">
        <v>10</v>
      </c>
      <c r="X3" s="6">
        <v>10</v>
      </c>
      <c r="Y3" s="6">
        <v>10</v>
      </c>
      <c r="Z3" s="6">
        <v>10</v>
      </c>
      <c r="AA3" s="6">
        <v>10</v>
      </c>
      <c r="AB3" s="6">
        <v>10</v>
      </c>
      <c r="AC3" s="6">
        <v>10</v>
      </c>
      <c r="AD3" s="6">
        <v>10</v>
      </c>
      <c r="AE3" s="6">
        <v>10</v>
      </c>
    </row>
    <row r="4" spans="1:31" x14ac:dyDescent="0.35">
      <c r="A4" t="s">
        <v>216</v>
      </c>
      <c r="B4" s="6">
        <v>10</v>
      </c>
      <c r="C4" s="6">
        <v>10</v>
      </c>
      <c r="D4" s="6">
        <v>10</v>
      </c>
      <c r="E4" s="6">
        <v>10</v>
      </c>
      <c r="F4" s="6">
        <v>10</v>
      </c>
      <c r="G4" s="6">
        <v>10</v>
      </c>
      <c r="H4" s="6">
        <v>10</v>
      </c>
      <c r="I4" s="6">
        <v>10</v>
      </c>
      <c r="J4" s="6">
        <v>10</v>
      </c>
      <c r="K4" s="6">
        <v>10</v>
      </c>
      <c r="L4" s="6">
        <v>10</v>
      </c>
      <c r="M4" s="6">
        <v>10</v>
      </c>
      <c r="N4" s="6">
        <v>10</v>
      </c>
      <c r="O4" s="6">
        <v>10</v>
      </c>
      <c r="P4" s="6">
        <v>10</v>
      </c>
      <c r="Q4" s="6">
        <v>10</v>
      </c>
      <c r="R4" s="6">
        <v>10</v>
      </c>
      <c r="S4" s="6">
        <v>10</v>
      </c>
      <c r="T4" s="6">
        <v>10</v>
      </c>
      <c r="U4" s="6">
        <v>10</v>
      </c>
      <c r="V4" s="6">
        <v>10</v>
      </c>
      <c r="W4" s="6">
        <v>10</v>
      </c>
      <c r="X4" s="6">
        <v>10</v>
      </c>
      <c r="Y4" s="6">
        <v>10</v>
      </c>
      <c r="Z4" s="6">
        <v>10</v>
      </c>
      <c r="AA4" s="6">
        <v>10</v>
      </c>
      <c r="AB4" s="6">
        <v>10</v>
      </c>
      <c r="AC4" s="6">
        <v>10</v>
      </c>
      <c r="AD4" s="6">
        <v>10</v>
      </c>
      <c r="AE4" s="6">
        <v>10</v>
      </c>
    </row>
    <row r="5" spans="1:31" x14ac:dyDescent="0.35">
      <c r="A5" t="s">
        <v>196</v>
      </c>
      <c r="B5" s="6">
        <v>10</v>
      </c>
      <c r="C5" s="6">
        <v>10</v>
      </c>
      <c r="D5" s="6">
        <v>10</v>
      </c>
      <c r="E5" s="6">
        <v>10</v>
      </c>
      <c r="F5" s="6">
        <v>10</v>
      </c>
      <c r="G5" s="6">
        <v>10</v>
      </c>
      <c r="H5" s="6">
        <v>10</v>
      </c>
      <c r="I5" s="6">
        <v>10</v>
      </c>
      <c r="J5" s="6">
        <v>10</v>
      </c>
      <c r="K5" s="6">
        <v>10</v>
      </c>
      <c r="L5" s="6">
        <v>10</v>
      </c>
      <c r="M5" s="6">
        <v>10</v>
      </c>
      <c r="N5" s="6">
        <v>10</v>
      </c>
      <c r="O5" s="6">
        <v>10</v>
      </c>
      <c r="P5" s="6">
        <v>10</v>
      </c>
      <c r="Q5" s="6">
        <v>10</v>
      </c>
      <c r="R5" s="6">
        <v>10</v>
      </c>
      <c r="S5" s="6">
        <v>10</v>
      </c>
      <c r="T5" s="6">
        <v>10</v>
      </c>
      <c r="U5" s="6">
        <v>10</v>
      </c>
      <c r="V5" s="6">
        <v>10</v>
      </c>
      <c r="W5" s="6">
        <v>10</v>
      </c>
      <c r="X5" s="6">
        <v>10</v>
      </c>
      <c r="Y5" s="6">
        <v>10</v>
      </c>
      <c r="Z5" s="6">
        <v>10</v>
      </c>
      <c r="AA5" s="6">
        <v>10</v>
      </c>
      <c r="AB5" s="6">
        <v>10</v>
      </c>
      <c r="AC5" s="6">
        <v>10</v>
      </c>
      <c r="AD5" s="6">
        <v>10</v>
      </c>
      <c r="AE5" s="6">
        <v>10</v>
      </c>
    </row>
    <row r="6" spans="1:31" x14ac:dyDescent="0.35">
      <c r="A6" t="s">
        <v>197</v>
      </c>
      <c r="B6" s="6">
        <v>10</v>
      </c>
      <c r="C6" s="6">
        <v>10</v>
      </c>
      <c r="D6" s="6">
        <v>10</v>
      </c>
      <c r="E6" s="6">
        <v>10</v>
      </c>
      <c r="F6" s="6">
        <v>10</v>
      </c>
      <c r="G6" s="6">
        <v>10</v>
      </c>
      <c r="H6" s="6">
        <v>10</v>
      </c>
      <c r="I6" s="6">
        <v>10</v>
      </c>
      <c r="J6" s="6">
        <v>10</v>
      </c>
      <c r="K6" s="6">
        <v>10</v>
      </c>
      <c r="L6" s="6">
        <v>10</v>
      </c>
      <c r="M6" s="6">
        <v>10</v>
      </c>
      <c r="N6" s="6">
        <v>10</v>
      </c>
      <c r="O6" s="6">
        <v>10</v>
      </c>
      <c r="P6" s="6">
        <v>10</v>
      </c>
      <c r="Q6" s="6">
        <v>10</v>
      </c>
      <c r="R6" s="6">
        <v>10</v>
      </c>
      <c r="S6" s="6">
        <v>10</v>
      </c>
      <c r="T6" s="6">
        <v>10</v>
      </c>
      <c r="U6" s="6">
        <v>10</v>
      </c>
      <c r="V6" s="6">
        <v>10</v>
      </c>
      <c r="W6" s="6">
        <v>10</v>
      </c>
      <c r="X6" s="6">
        <v>10</v>
      </c>
      <c r="Y6" s="6">
        <v>10</v>
      </c>
      <c r="Z6" s="6">
        <v>10</v>
      </c>
      <c r="AA6" s="6">
        <v>10</v>
      </c>
      <c r="AB6" s="6">
        <v>10</v>
      </c>
      <c r="AC6" s="6">
        <v>10</v>
      </c>
      <c r="AD6" s="6">
        <v>10</v>
      </c>
      <c r="AE6" s="6">
        <v>10</v>
      </c>
    </row>
    <row r="7" spans="1:31" x14ac:dyDescent="0.35">
      <c r="A7" t="s">
        <v>217</v>
      </c>
      <c r="B7" s="6">
        <v>10</v>
      </c>
      <c r="C7" s="6">
        <v>10</v>
      </c>
      <c r="D7" s="6">
        <v>10</v>
      </c>
      <c r="E7" s="6">
        <v>10</v>
      </c>
      <c r="F7" s="6">
        <v>10</v>
      </c>
      <c r="G7" s="6">
        <v>10</v>
      </c>
      <c r="H7" s="6">
        <v>10</v>
      </c>
      <c r="I7" s="6">
        <v>10</v>
      </c>
      <c r="J7" s="6">
        <v>10</v>
      </c>
      <c r="K7" s="6">
        <v>10</v>
      </c>
      <c r="L7" s="6">
        <v>10</v>
      </c>
      <c r="M7" s="6">
        <v>10</v>
      </c>
      <c r="N7" s="6">
        <v>10</v>
      </c>
      <c r="O7" s="6">
        <v>10</v>
      </c>
      <c r="P7" s="6">
        <v>10</v>
      </c>
      <c r="Q7" s="6">
        <v>10</v>
      </c>
      <c r="R7" s="6">
        <v>10</v>
      </c>
      <c r="S7" s="6">
        <v>10</v>
      </c>
      <c r="T7" s="6">
        <v>10</v>
      </c>
      <c r="U7" s="6">
        <v>10</v>
      </c>
      <c r="V7" s="6">
        <v>10</v>
      </c>
      <c r="W7" s="6">
        <v>10</v>
      </c>
      <c r="X7" s="6">
        <v>10</v>
      </c>
      <c r="Y7" s="6">
        <v>10</v>
      </c>
      <c r="Z7" s="6">
        <v>10</v>
      </c>
      <c r="AA7" s="6">
        <v>10</v>
      </c>
      <c r="AB7" s="6">
        <v>10</v>
      </c>
      <c r="AC7" s="6">
        <v>10</v>
      </c>
      <c r="AD7" s="6">
        <v>10</v>
      </c>
      <c r="AE7" s="6">
        <v>10</v>
      </c>
    </row>
    <row r="8" spans="1:31" x14ac:dyDescent="0.35">
      <c r="A8" t="s">
        <v>218</v>
      </c>
      <c r="B8" s="6">
        <v>10</v>
      </c>
      <c r="C8" s="6">
        <v>10</v>
      </c>
      <c r="D8" s="6">
        <v>10</v>
      </c>
      <c r="E8" s="6">
        <v>10</v>
      </c>
      <c r="F8" s="6">
        <v>10</v>
      </c>
      <c r="G8" s="6">
        <v>10</v>
      </c>
      <c r="H8" s="6">
        <v>10</v>
      </c>
      <c r="I8" s="6">
        <v>10</v>
      </c>
      <c r="J8" s="6">
        <v>10</v>
      </c>
      <c r="K8" s="6">
        <v>10</v>
      </c>
      <c r="L8" s="6">
        <v>10</v>
      </c>
      <c r="M8" s="6">
        <v>10</v>
      </c>
      <c r="N8" s="6">
        <v>10</v>
      </c>
      <c r="O8" s="6">
        <v>10</v>
      </c>
      <c r="P8" s="6">
        <v>10</v>
      </c>
      <c r="Q8" s="6">
        <v>10</v>
      </c>
      <c r="R8" s="6">
        <v>10</v>
      </c>
      <c r="S8" s="6">
        <v>10</v>
      </c>
      <c r="T8" s="6">
        <v>10</v>
      </c>
      <c r="U8" s="6">
        <v>10</v>
      </c>
      <c r="V8" s="6">
        <v>10</v>
      </c>
      <c r="W8" s="6">
        <v>10</v>
      </c>
      <c r="X8" s="6">
        <v>10</v>
      </c>
      <c r="Y8" s="6">
        <v>10</v>
      </c>
      <c r="Z8" s="6">
        <v>10</v>
      </c>
      <c r="AA8" s="6">
        <v>10</v>
      </c>
      <c r="AB8" s="6">
        <v>10</v>
      </c>
      <c r="AC8" s="6">
        <v>10</v>
      </c>
      <c r="AD8" s="6">
        <v>10</v>
      </c>
      <c r="AE8" s="6">
        <v>10</v>
      </c>
    </row>
    <row r="9" spans="1:31" x14ac:dyDescent="0.35">
      <c r="A9" t="s">
        <v>219</v>
      </c>
      <c r="B9" s="6">
        <v>10</v>
      </c>
      <c r="C9" s="6">
        <v>10</v>
      </c>
      <c r="D9" s="6">
        <v>10</v>
      </c>
      <c r="E9" s="6">
        <v>10</v>
      </c>
      <c r="F9" s="6">
        <v>10</v>
      </c>
      <c r="G9" s="6">
        <v>10</v>
      </c>
      <c r="H9" s="6">
        <v>10</v>
      </c>
      <c r="I9" s="6">
        <v>10</v>
      </c>
      <c r="J9" s="6">
        <v>10</v>
      </c>
      <c r="K9" s="6">
        <v>10</v>
      </c>
      <c r="L9" s="6">
        <v>10</v>
      </c>
      <c r="M9" s="6">
        <v>10</v>
      </c>
      <c r="N9" s="6">
        <v>10</v>
      </c>
      <c r="O9" s="6">
        <v>10</v>
      </c>
      <c r="P9" s="6">
        <v>10</v>
      </c>
      <c r="Q9" s="6">
        <v>10</v>
      </c>
      <c r="R9" s="6">
        <v>10</v>
      </c>
      <c r="S9" s="6">
        <v>10</v>
      </c>
      <c r="T9" s="6">
        <v>10</v>
      </c>
      <c r="U9" s="6">
        <v>10</v>
      </c>
      <c r="V9" s="6">
        <v>10</v>
      </c>
      <c r="W9" s="6">
        <v>10</v>
      </c>
      <c r="X9" s="6">
        <v>10</v>
      </c>
      <c r="Y9" s="6">
        <v>10</v>
      </c>
      <c r="Z9" s="6">
        <v>10</v>
      </c>
      <c r="AA9" s="6">
        <v>10</v>
      </c>
      <c r="AB9" s="6">
        <v>10</v>
      </c>
      <c r="AC9" s="6">
        <v>10</v>
      </c>
      <c r="AD9" s="6">
        <v>10</v>
      </c>
      <c r="AE9" s="6">
        <v>10</v>
      </c>
    </row>
    <row r="10" spans="1:31" x14ac:dyDescent="0.35">
      <c r="A10" t="s">
        <v>220</v>
      </c>
      <c r="B10" s="6">
        <v>10</v>
      </c>
      <c r="C10" s="6">
        <v>10</v>
      </c>
      <c r="D10" s="6">
        <v>10</v>
      </c>
      <c r="E10" s="6">
        <v>10</v>
      </c>
      <c r="F10" s="6">
        <v>10</v>
      </c>
      <c r="G10" s="6">
        <v>10</v>
      </c>
      <c r="H10" s="6">
        <v>10</v>
      </c>
      <c r="I10" s="6">
        <v>10</v>
      </c>
      <c r="J10" s="6">
        <v>10</v>
      </c>
      <c r="K10" s="6">
        <v>10</v>
      </c>
      <c r="L10" s="6">
        <v>10</v>
      </c>
      <c r="M10" s="6">
        <v>10</v>
      </c>
      <c r="N10" s="6">
        <v>10</v>
      </c>
      <c r="O10" s="6">
        <v>10</v>
      </c>
      <c r="P10" s="6">
        <v>10</v>
      </c>
      <c r="Q10" s="6">
        <v>10</v>
      </c>
      <c r="R10" s="6">
        <v>10</v>
      </c>
      <c r="S10" s="6">
        <v>10</v>
      </c>
      <c r="T10" s="6">
        <v>10</v>
      </c>
      <c r="U10" s="6">
        <v>10</v>
      </c>
      <c r="V10" s="6">
        <v>10</v>
      </c>
      <c r="W10" s="6">
        <v>10</v>
      </c>
      <c r="X10" s="6">
        <v>10</v>
      </c>
      <c r="Y10" s="6">
        <v>10</v>
      </c>
      <c r="Z10" s="6">
        <v>10</v>
      </c>
      <c r="AA10" s="6">
        <v>10</v>
      </c>
      <c r="AB10" s="6">
        <v>10</v>
      </c>
      <c r="AC10" s="6">
        <v>10</v>
      </c>
      <c r="AD10" s="6">
        <v>10</v>
      </c>
      <c r="AE10" s="6">
        <v>10</v>
      </c>
    </row>
    <row r="11" spans="1:31" x14ac:dyDescent="0.35">
      <c r="A11" t="s">
        <v>207</v>
      </c>
      <c r="B11" s="6">
        <v>10</v>
      </c>
      <c r="C11" s="6">
        <v>10</v>
      </c>
      <c r="D11" s="6">
        <v>10</v>
      </c>
      <c r="E11" s="6">
        <v>10</v>
      </c>
      <c r="F11" s="6">
        <v>10</v>
      </c>
      <c r="G11" s="6">
        <v>10</v>
      </c>
      <c r="H11" s="6">
        <v>10</v>
      </c>
      <c r="I11" s="6">
        <v>10</v>
      </c>
      <c r="J11" s="6">
        <v>10</v>
      </c>
      <c r="K11" s="6">
        <v>10</v>
      </c>
      <c r="L11" s="6">
        <v>10</v>
      </c>
      <c r="M11" s="6">
        <v>10</v>
      </c>
      <c r="N11" s="6">
        <v>10</v>
      </c>
      <c r="O11" s="6">
        <v>10</v>
      </c>
      <c r="P11" s="6">
        <v>10</v>
      </c>
      <c r="Q11" s="6">
        <v>10</v>
      </c>
      <c r="R11" s="6">
        <v>10</v>
      </c>
      <c r="S11" s="6">
        <v>10</v>
      </c>
      <c r="T11" s="6">
        <v>10</v>
      </c>
      <c r="U11" s="6">
        <v>10</v>
      </c>
      <c r="V11" s="6">
        <v>10</v>
      </c>
      <c r="W11" s="6">
        <v>10</v>
      </c>
      <c r="X11" s="6">
        <v>10</v>
      </c>
      <c r="Y11" s="6">
        <v>10</v>
      </c>
      <c r="Z11" s="6">
        <v>10</v>
      </c>
      <c r="AA11" s="6">
        <v>10</v>
      </c>
      <c r="AB11" s="6">
        <v>10</v>
      </c>
      <c r="AC11" s="6">
        <v>10</v>
      </c>
      <c r="AD11" s="6">
        <v>10</v>
      </c>
      <c r="AE11" s="6">
        <v>10</v>
      </c>
    </row>
    <row r="12" spans="1:31" x14ac:dyDescent="0.35">
      <c r="A12" t="s">
        <v>221</v>
      </c>
      <c r="B12" s="6">
        <v>10</v>
      </c>
      <c r="C12" s="6">
        <v>10</v>
      </c>
      <c r="D12" s="6">
        <v>10</v>
      </c>
      <c r="E12" s="6">
        <v>10</v>
      </c>
      <c r="F12" s="6">
        <v>10</v>
      </c>
      <c r="G12" s="6">
        <v>10</v>
      </c>
      <c r="H12" s="6">
        <v>10</v>
      </c>
      <c r="I12" s="6">
        <v>10</v>
      </c>
      <c r="J12" s="6">
        <v>10</v>
      </c>
      <c r="K12" s="6">
        <v>10</v>
      </c>
      <c r="L12" s="6">
        <v>10</v>
      </c>
      <c r="M12" s="6">
        <v>10</v>
      </c>
      <c r="N12" s="6">
        <v>10</v>
      </c>
      <c r="O12" s="6">
        <v>10</v>
      </c>
      <c r="P12" s="6">
        <v>10</v>
      </c>
      <c r="Q12" s="6">
        <v>10</v>
      </c>
      <c r="R12" s="6">
        <v>10</v>
      </c>
      <c r="S12" s="6">
        <v>10</v>
      </c>
      <c r="T12" s="6">
        <v>10</v>
      </c>
      <c r="U12" s="6">
        <v>10</v>
      </c>
      <c r="V12" s="6">
        <v>10</v>
      </c>
      <c r="W12" s="6">
        <v>10</v>
      </c>
      <c r="X12" s="6">
        <v>10</v>
      </c>
      <c r="Y12" s="6">
        <v>10</v>
      </c>
      <c r="Z12" s="6">
        <v>10</v>
      </c>
      <c r="AA12" s="6">
        <v>10</v>
      </c>
      <c r="AB12" s="6">
        <v>10</v>
      </c>
      <c r="AC12" s="6">
        <v>10</v>
      </c>
      <c r="AD12" s="6">
        <v>10</v>
      </c>
      <c r="AE12" s="6">
        <v>10</v>
      </c>
    </row>
    <row r="13" spans="1:31" x14ac:dyDescent="0.35">
      <c r="A13" t="s">
        <v>222</v>
      </c>
      <c r="B13" s="6">
        <v>10</v>
      </c>
      <c r="C13" s="6">
        <v>10</v>
      </c>
      <c r="D13" s="6">
        <v>10</v>
      </c>
      <c r="E13" s="6">
        <v>10</v>
      </c>
      <c r="F13" s="6">
        <v>10</v>
      </c>
      <c r="G13" s="6">
        <v>10</v>
      </c>
      <c r="H13" s="6">
        <v>10</v>
      </c>
      <c r="I13" s="6">
        <v>10</v>
      </c>
      <c r="J13" s="6">
        <v>10</v>
      </c>
      <c r="K13" s="6">
        <v>10</v>
      </c>
      <c r="L13" s="6">
        <v>10</v>
      </c>
      <c r="M13" s="6">
        <v>10</v>
      </c>
      <c r="N13" s="6">
        <v>10</v>
      </c>
      <c r="O13" s="6">
        <v>10</v>
      </c>
      <c r="P13" s="6">
        <v>10</v>
      </c>
      <c r="Q13" s="6">
        <v>10</v>
      </c>
      <c r="R13" s="6">
        <v>10</v>
      </c>
      <c r="S13" s="6">
        <v>10</v>
      </c>
      <c r="T13" s="6">
        <v>10</v>
      </c>
      <c r="U13" s="6">
        <v>10</v>
      </c>
      <c r="V13" s="6">
        <v>10</v>
      </c>
      <c r="W13" s="6">
        <v>10</v>
      </c>
      <c r="X13" s="6">
        <v>10</v>
      </c>
      <c r="Y13" s="6">
        <v>10</v>
      </c>
      <c r="Z13" s="6">
        <v>10</v>
      </c>
      <c r="AA13" s="6">
        <v>10</v>
      </c>
      <c r="AB13" s="6">
        <v>10</v>
      </c>
      <c r="AC13" s="6">
        <v>10</v>
      </c>
      <c r="AD13" s="6">
        <v>10</v>
      </c>
      <c r="AE13" s="6">
        <v>10</v>
      </c>
    </row>
    <row r="14" spans="1:31" x14ac:dyDescent="0.35">
      <c r="A14" t="s">
        <v>223</v>
      </c>
      <c r="B14" s="6">
        <v>10</v>
      </c>
      <c r="C14" s="6">
        <v>10</v>
      </c>
      <c r="D14" s="6">
        <v>10</v>
      </c>
      <c r="E14" s="6">
        <v>10</v>
      </c>
      <c r="F14" s="6">
        <v>10</v>
      </c>
      <c r="G14" s="6">
        <v>10</v>
      </c>
      <c r="H14" s="6">
        <v>10</v>
      </c>
      <c r="I14" s="6">
        <v>10</v>
      </c>
      <c r="J14" s="6">
        <v>10</v>
      </c>
      <c r="K14" s="6">
        <v>10</v>
      </c>
      <c r="L14" s="6">
        <v>10</v>
      </c>
      <c r="M14" s="6">
        <v>10</v>
      </c>
      <c r="N14" s="6">
        <v>10</v>
      </c>
      <c r="O14" s="6">
        <v>10</v>
      </c>
      <c r="P14" s="6">
        <v>10</v>
      </c>
      <c r="Q14" s="6">
        <v>10</v>
      </c>
      <c r="R14" s="6">
        <v>10</v>
      </c>
      <c r="S14" s="6">
        <v>10</v>
      </c>
      <c r="T14" s="6">
        <v>10</v>
      </c>
      <c r="U14" s="6">
        <v>10</v>
      </c>
      <c r="V14" s="6">
        <v>10</v>
      </c>
      <c r="W14" s="6">
        <v>10</v>
      </c>
      <c r="X14" s="6">
        <v>10</v>
      </c>
      <c r="Y14" s="6">
        <v>10</v>
      </c>
      <c r="Z14" s="6">
        <v>10</v>
      </c>
      <c r="AA14" s="6">
        <v>10</v>
      </c>
      <c r="AB14" s="6">
        <v>10</v>
      </c>
      <c r="AC14" s="6">
        <v>10</v>
      </c>
      <c r="AD14" s="6">
        <v>10</v>
      </c>
      <c r="AE14" s="6">
        <v>10</v>
      </c>
    </row>
    <row r="15" spans="1:31" x14ac:dyDescent="0.35">
      <c r="A15" t="s">
        <v>224</v>
      </c>
      <c r="B15" s="6">
        <v>10</v>
      </c>
      <c r="C15" s="6">
        <v>10</v>
      </c>
      <c r="D15" s="6">
        <v>10</v>
      </c>
      <c r="E15" s="6">
        <v>10</v>
      </c>
      <c r="F15" s="6">
        <v>10</v>
      </c>
      <c r="G15" s="6">
        <v>10</v>
      </c>
      <c r="H15" s="6">
        <v>10</v>
      </c>
      <c r="I15" s="6">
        <v>10</v>
      </c>
      <c r="J15" s="6">
        <v>10</v>
      </c>
      <c r="K15" s="6">
        <v>10</v>
      </c>
      <c r="L15" s="6">
        <v>10</v>
      </c>
      <c r="M15" s="6">
        <v>10</v>
      </c>
      <c r="N15" s="6">
        <v>10</v>
      </c>
      <c r="O15" s="6">
        <v>10</v>
      </c>
      <c r="P15" s="6">
        <v>10</v>
      </c>
      <c r="Q15" s="6">
        <v>10</v>
      </c>
      <c r="R15" s="6">
        <v>10</v>
      </c>
      <c r="S15" s="6">
        <v>10</v>
      </c>
      <c r="T15" s="6">
        <v>10</v>
      </c>
      <c r="U15" s="6">
        <v>10</v>
      </c>
      <c r="V15" s="6">
        <v>10</v>
      </c>
      <c r="W15" s="6">
        <v>10</v>
      </c>
      <c r="X15" s="6">
        <v>10</v>
      </c>
      <c r="Y15" s="6">
        <v>10</v>
      </c>
      <c r="Z15" s="6">
        <v>10</v>
      </c>
      <c r="AA15" s="6">
        <v>10</v>
      </c>
      <c r="AB15" s="6">
        <v>10</v>
      </c>
      <c r="AC15" s="6">
        <v>10</v>
      </c>
      <c r="AD15" s="6">
        <v>10</v>
      </c>
      <c r="AE15" s="6">
        <v>10</v>
      </c>
    </row>
    <row r="16" spans="1:31" x14ac:dyDescent="0.35">
      <c r="A16" t="s">
        <v>209</v>
      </c>
      <c r="B16" s="6">
        <v>10</v>
      </c>
      <c r="C16" s="6">
        <v>10</v>
      </c>
      <c r="D16" s="6">
        <v>10</v>
      </c>
      <c r="E16" s="6">
        <v>10</v>
      </c>
      <c r="F16" s="6">
        <v>10</v>
      </c>
      <c r="G16" s="6">
        <v>10</v>
      </c>
      <c r="H16" s="6">
        <v>10</v>
      </c>
      <c r="I16" s="6">
        <v>10</v>
      </c>
      <c r="J16" s="6">
        <v>10</v>
      </c>
      <c r="K16" s="6">
        <v>10</v>
      </c>
      <c r="L16" s="6">
        <v>10</v>
      </c>
      <c r="M16" s="6">
        <v>10</v>
      </c>
      <c r="N16" s="6">
        <v>10</v>
      </c>
      <c r="O16" s="6">
        <v>10</v>
      </c>
      <c r="P16" s="6">
        <v>10</v>
      </c>
      <c r="Q16" s="6">
        <v>10</v>
      </c>
      <c r="R16" s="6">
        <v>10</v>
      </c>
      <c r="S16" s="6">
        <v>10</v>
      </c>
      <c r="T16" s="6">
        <v>10</v>
      </c>
      <c r="U16" s="6">
        <v>10</v>
      </c>
      <c r="V16" s="6">
        <v>10</v>
      </c>
      <c r="W16" s="6">
        <v>10</v>
      </c>
      <c r="X16" s="6">
        <v>10</v>
      </c>
      <c r="Y16" s="6">
        <v>10</v>
      </c>
      <c r="Z16" s="6">
        <v>10</v>
      </c>
      <c r="AA16" s="6">
        <v>10</v>
      </c>
      <c r="AB16" s="6">
        <v>10</v>
      </c>
      <c r="AC16" s="6">
        <v>10</v>
      </c>
      <c r="AD16" s="6">
        <v>10</v>
      </c>
      <c r="AE16" s="6">
        <v>10</v>
      </c>
    </row>
    <row r="17" spans="1:31" x14ac:dyDescent="0.35">
      <c r="A17" t="s">
        <v>225</v>
      </c>
      <c r="B17" s="6">
        <v>10</v>
      </c>
      <c r="C17" s="6">
        <v>10</v>
      </c>
      <c r="D17" s="6">
        <v>10</v>
      </c>
      <c r="E17" s="6">
        <v>10</v>
      </c>
      <c r="F17" s="6">
        <v>10</v>
      </c>
      <c r="G17" s="6">
        <v>10</v>
      </c>
      <c r="H17" s="6">
        <v>10</v>
      </c>
      <c r="I17" s="6">
        <v>10</v>
      </c>
      <c r="J17" s="6">
        <v>10</v>
      </c>
      <c r="K17" s="6">
        <v>10</v>
      </c>
      <c r="L17" s="6">
        <v>10</v>
      </c>
      <c r="M17" s="6">
        <v>10</v>
      </c>
      <c r="N17" s="6">
        <v>10</v>
      </c>
      <c r="O17" s="6">
        <v>10</v>
      </c>
      <c r="P17" s="6">
        <v>10</v>
      </c>
      <c r="Q17" s="6">
        <v>10</v>
      </c>
      <c r="R17" s="6">
        <v>10</v>
      </c>
      <c r="S17" s="6">
        <v>10</v>
      </c>
      <c r="T17" s="6">
        <v>10</v>
      </c>
      <c r="U17" s="6">
        <v>10</v>
      </c>
      <c r="V17" s="6">
        <v>10</v>
      </c>
      <c r="W17" s="6">
        <v>10</v>
      </c>
      <c r="X17" s="6">
        <v>10</v>
      </c>
      <c r="Y17" s="6">
        <v>10</v>
      </c>
      <c r="Z17" s="6">
        <v>10</v>
      </c>
      <c r="AA17" s="6">
        <v>10</v>
      </c>
      <c r="AB17" s="6">
        <v>10</v>
      </c>
      <c r="AC17" s="6">
        <v>10</v>
      </c>
      <c r="AD17" s="6">
        <v>10</v>
      </c>
      <c r="AE17" s="6">
        <v>10</v>
      </c>
    </row>
    <row r="18" spans="1:31" x14ac:dyDescent="0.35">
      <c r="A18" t="s">
        <v>212</v>
      </c>
      <c r="B18" s="6">
        <v>10</v>
      </c>
      <c r="C18" s="6">
        <v>10</v>
      </c>
      <c r="D18" s="6">
        <v>10</v>
      </c>
      <c r="E18" s="6">
        <v>10</v>
      </c>
      <c r="F18" s="6">
        <v>10</v>
      </c>
      <c r="G18" s="6">
        <v>10</v>
      </c>
      <c r="H18" s="6">
        <v>10</v>
      </c>
      <c r="I18" s="6">
        <v>10</v>
      </c>
      <c r="J18" s="6">
        <v>10</v>
      </c>
      <c r="K18" s="6">
        <v>10</v>
      </c>
      <c r="L18" s="6">
        <v>10</v>
      </c>
      <c r="M18" s="6">
        <v>10</v>
      </c>
      <c r="N18" s="6">
        <v>10</v>
      </c>
      <c r="O18" s="6">
        <v>10</v>
      </c>
      <c r="P18" s="6">
        <v>10</v>
      </c>
      <c r="Q18" s="6">
        <v>10</v>
      </c>
      <c r="R18" s="6">
        <v>10</v>
      </c>
      <c r="S18" s="6">
        <v>10</v>
      </c>
      <c r="T18" s="6">
        <v>10</v>
      </c>
      <c r="U18" s="6">
        <v>10</v>
      </c>
      <c r="V18" s="6">
        <v>10</v>
      </c>
      <c r="W18" s="6">
        <v>10</v>
      </c>
      <c r="X18" s="6">
        <v>10</v>
      </c>
      <c r="Y18" s="6">
        <v>10</v>
      </c>
      <c r="Z18" s="6">
        <v>10</v>
      </c>
      <c r="AA18" s="6">
        <v>10</v>
      </c>
      <c r="AB18" s="6">
        <v>10</v>
      </c>
      <c r="AC18" s="6">
        <v>10</v>
      </c>
      <c r="AD18" s="6">
        <v>10</v>
      </c>
      <c r="AE18" s="6">
        <v>10</v>
      </c>
    </row>
    <row r="19" spans="1:31" x14ac:dyDescent="0.35">
      <c r="A19" t="s">
        <v>226</v>
      </c>
      <c r="B19" s="6">
        <v>10</v>
      </c>
      <c r="C19" s="6">
        <v>10</v>
      </c>
      <c r="D19" s="6">
        <v>10</v>
      </c>
      <c r="E19" s="6">
        <v>10</v>
      </c>
      <c r="F19" s="6">
        <v>10</v>
      </c>
      <c r="G19" s="6">
        <v>10</v>
      </c>
      <c r="H19" s="6">
        <v>10</v>
      </c>
      <c r="I19" s="6">
        <v>10</v>
      </c>
      <c r="J19" s="6">
        <v>10</v>
      </c>
      <c r="K19" s="6">
        <v>10</v>
      </c>
      <c r="L19" s="6">
        <v>10</v>
      </c>
      <c r="M19" s="6">
        <v>10</v>
      </c>
      <c r="N19" s="6">
        <v>10</v>
      </c>
      <c r="O19" s="6">
        <v>10</v>
      </c>
      <c r="P19" s="6">
        <v>10</v>
      </c>
      <c r="Q19" s="6">
        <v>10</v>
      </c>
      <c r="R19" s="6">
        <v>10</v>
      </c>
      <c r="S19" s="6">
        <v>10</v>
      </c>
      <c r="T19" s="6">
        <v>10</v>
      </c>
      <c r="U19" s="6">
        <v>10</v>
      </c>
      <c r="V19" s="6">
        <v>10</v>
      </c>
      <c r="W19" s="6">
        <v>10</v>
      </c>
      <c r="X19" s="6">
        <v>10</v>
      </c>
      <c r="Y19" s="6">
        <v>10</v>
      </c>
      <c r="Z19" s="6">
        <v>10</v>
      </c>
      <c r="AA19" s="6">
        <v>10</v>
      </c>
      <c r="AB19" s="6">
        <v>10</v>
      </c>
      <c r="AC19" s="6">
        <v>10</v>
      </c>
      <c r="AD19" s="6">
        <v>10</v>
      </c>
      <c r="AE19" s="6">
        <v>10</v>
      </c>
    </row>
    <row r="20" spans="1:31" x14ac:dyDescent="0.35">
      <c r="A20" t="s">
        <v>227</v>
      </c>
      <c r="B20" s="6">
        <v>10</v>
      </c>
      <c r="C20" s="6">
        <v>10</v>
      </c>
      <c r="D20" s="6">
        <v>10</v>
      </c>
      <c r="E20" s="6">
        <v>10</v>
      </c>
      <c r="F20" s="6">
        <v>10</v>
      </c>
      <c r="G20" s="6">
        <v>10</v>
      </c>
      <c r="H20" s="6">
        <v>10</v>
      </c>
      <c r="I20" s="6">
        <v>10</v>
      </c>
      <c r="J20" s="6">
        <v>10</v>
      </c>
      <c r="K20" s="6">
        <v>10</v>
      </c>
      <c r="L20" s="6">
        <v>10</v>
      </c>
      <c r="M20" s="6">
        <v>10</v>
      </c>
      <c r="N20" s="6">
        <v>10</v>
      </c>
      <c r="O20" s="6">
        <v>10</v>
      </c>
      <c r="P20" s="6">
        <v>10</v>
      </c>
      <c r="Q20" s="6">
        <v>10</v>
      </c>
      <c r="R20" s="6">
        <v>10</v>
      </c>
      <c r="S20" s="6">
        <v>10</v>
      </c>
      <c r="T20" s="6">
        <v>10</v>
      </c>
      <c r="U20" s="6">
        <v>10</v>
      </c>
      <c r="V20" s="6">
        <v>10</v>
      </c>
      <c r="W20" s="6">
        <v>10</v>
      </c>
      <c r="X20" s="6">
        <v>10</v>
      </c>
      <c r="Y20" s="6">
        <v>10</v>
      </c>
      <c r="Z20" s="6">
        <v>10</v>
      </c>
      <c r="AA20" s="6">
        <v>10</v>
      </c>
      <c r="AB20" s="6">
        <v>10</v>
      </c>
      <c r="AC20" s="6">
        <v>10</v>
      </c>
      <c r="AD20" s="6">
        <v>10</v>
      </c>
      <c r="AE20" s="6">
        <v>10</v>
      </c>
    </row>
    <row r="21" spans="1:31" x14ac:dyDescent="0.35">
      <c r="A21" t="s">
        <v>228</v>
      </c>
      <c r="B21" s="6">
        <v>10</v>
      </c>
      <c r="C21" s="6">
        <v>10</v>
      </c>
      <c r="D21" s="6">
        <v>10</v>
      </c>
      <c r="E21" s="6">
        <v>10</v>
      </c>
      <c r="F21" s="6">
        <v>10</v>
      </c>
      <c r="G21" s="6">
        <v>10</v>
      </c>
      <c r="H21" s="6">
        <v>10</v>
      </c>
      <c r="I21" s="6">
        <v>10</v>
      </c>
      <c r="J21" s="6">
        <v>10</v>
      </c>
      <c r="K21" s="6">
        <v>10</v>
      </c>
      <c r="L21" s="6">
        <v>10</v>
      </c>
      <c r="M21" s="6">
        <v>10</v>
      </c>
      <c r="N21" s="6">
        <v>10</v>
      </c>
      <c r="O21" s="6">
        <v>10</v>
      </c>
      <c r="P21" s="6">
        <v>10</v>
      </c>
      <c r="Q21" s="6">
        <v>10</v>
      </c>
      <c r="R21" s="6">
        <v>10</v>
      </c>
      <c r="S21" s="6">
        <v>10</v>
      </c>
      <c r="T21" s="6">
        <v>10</v>
      </c>
      <c r="U21" s="6">
        <v>10</v>
      </c>
      <c r="V21" s="6">
        <v>10</v>
      </c>
      <c r="W21" s="6">
        <v>10</v>
      </c>
      <c r="X21" s="6">
        <v>10</v>
      </c>
      <c r="Y21" s="6">
        <v>10</v>
      </c>
      <c r="Z21" s="6">
        <v>10</v>
      </c>
      <c r="AA21" s="6">
        <v>10</v>
      </c>
      <c r="AB21" s="6">
        <v>10</v>
      </c>
      <c r="AC21" s="6">
        <v>10</v>
      </c>
      <c r="AD21" s="6">
        <v>10</v>
      </c>
      <c r="AE21" s="6">
        <v>10</v>
      </c>
    </row>
    <row r="22" spans="1:31" x14ac:dyDescent="0.35">
      <c r="A22" t="s">
        <v>229</v>
      </c>
      <c r="B22" s="6">
        <v>10</v>
      </c>
      <c r="C22" s="6">
        <v>10</v>
      </c>
      <c r="D22" s="6">
        <v>10</v>
      </c>
      <c r="E22" s="6">
        <v>10</v>
      </c>
      <c r="F22" s="6">
        <v>10</v>
      </c>
      <c r="G22" s="6">
        <v>10</v>
      </c>
      <c r="H22" s="6">
        <v>10</v>
      </c>
      <c r="I22" s="6">
        <v>10</v>
      </c>
      <c r="J22" s="6">
        <v>10</v>
      </c>
      <c r="K22" s="6">
        <v>10</v>
      </c>
      <c r="L22" s="6">
        <v>10</v>
      </c>
      <c r="M22" s="6">
        <v>10</v>
      </c>
      <c r="N22" s="6">
        <v>10</v>
      </c>
      <c r="O22" s="6">
        <v>10</v>
      </c>
      <c r="P22" s="6">
        <v>10</v>
      </c>
      <c r="Q22" s="6">
        <v>10</v>
      </c>
      <c r="R22" s="6">
        <v>10</v>
      </c>
      <c r="S22" s="6">
        <v>10</v>
      </c>
      <c r="T22" s="6">
        <v>10</v>
      </c>
      <c r="U22" s="6">
        <v>10</v>
      </c>
      <c r="V22" s="6">
        <v>10</v>
      </c>
      <c r="W22" s="6">
        <v>10</v>
      </c>
      <c r="X22" s="6">
        <v>10</v>
      </c>
      <c r="Y22" s="6">
        <v>10</v>
      </c>
      <c r="Z22" s="6">
        <v>10</v>
      </c>
      <c r="AA22" s="6">
        <v>10</v>
      </c>
      <c r="AB22" s="6">
        <v>10</v>
      </c>
      <c r="AC22" s="6">
        <v>10</v>
      </c>
      <c r="AD22" s="6">
        <v>10</v>
      </c>
      <c r="AE22" s="6">
        <v>10</v>
      </c>
    </row>
    <row r="23" spans="1:31" x14ac:dyDescent="0.35">
      <c r="A23" t="s">
        <v>230</v>
      </c>
      <c r="B23" s="6">
        <v>10</v>
      </c>
      <c r="C23" s="6">
        <v>10</v>
      </c>
      <c r="D23" s="6">
        <v>10</v>
      </c>
      <c r="E23" s="6">
        <v>10</v>
      </c>
      <c r="F23" s="6">
        <v>10</v>
      </c>
      <c r="G23" s="6">
        <v>10</v>
      </c>
      <c r="H23" s="6">
        <v>10</v>
      </c>
      <c r="I23" s="6">
        <v>10</v>
      </c>
      <c r="J23" s="6">
        <v>10</v>
      </c>
      <c r="K23" s="6">
        <v>10</v>
      </c>
      <c r="L23" s="6">
        <v>10</v>
      </c>
      <c r="M23" s="6">
        <v>10</v>
      </c>
      <c r="N23" s="6">
        <v>10</v>
      </c>
      <c r="O23" s="6">
        <v>10</v>
      </c>
      <c r="P23" s="6">
        <v>10</v>
      </c>
      <c r="Q23" s="6">
        <v>10</v>
      </c>
      <c r="R23" s="6">
        <v>10</v>
      </c>
      <c r="S23" s="6">
        <v>10</v>
      </c>
      <c r="T23" s="6">
        <v>10</v>
      </c>
      <c r="U23" s="6">
        <v>10</v>
      </c>
      <c r="V23" s="6">
        <v>10</v>
      </c>
      <c r="W23" s="6">
        <v>10</v>
      </c>
      <c r="X23" s="6">
        <v>10</v>
      </c>
      <c r="Y23" s="6">
        <v>10</v>
      </c>
      <c r="Z23" s="6">
        <v>10</v>
      </c>
      <c r="AA23" s="6">
        <v>10</v>
      </c>
      <c r="AB23" s="6">
        <v>10</v>
      </c>
      <c r="AC23" s="6">
        <v>10</v>
      </c>
      <c r="AD23" s="6">
        <v>10</v>
      </c>
      <c r="AE23" s="6">
        <v>10</v>
      </c>
    </row>
    <row r="24" spans="1:31" x14ac:dyDescent="0.35">
      <c r="A24" s="60" t="s">
        <v>231</v>
      </c>
      <c r="B24" s="6">
        <v>10</v>
      </c>
      <c r="C24" s="6">
        <v>10</v>
      </c>
      <c r="D24" s="6">
        <v>10</v>
      </c>
      <c r="E24" s="6">
        <v>10</v>
      </c>
      <c r="F24" s="6">
        <v>10</v>
      </c>
      <c r="G24" s="6">
        <v>10</v>
      </c>
      <c r="H24" s="6">
        <v>10</v>
      </c>
      <c r="I24" s="6">
        <v>10</v>
      </c>
      <c r="J24" s="6">
        <v>10</v>
      </c>
      <c r="K24" s="6">
        <v>10</v>
      </c>
      <c r="L24" s="6">
        <v>10</v>
      </c>
      <c r="M24" s="6">
        <v>10</v>
      </c>
      <c r="N24" s="6">
        <v>10</v>
      </c>
      <c r="O24" s="6">
        <v>10</v>
      </c>
      <c r="P24" s="6">
        <v>10</v>
      </c>
      <c r="Q24" s="6">
        <v>10</v>
      </c>
      <c r="R24" s="6">
        <v>10</v>
      </c>
      <c r="S24" s="6">
        <v>10</v>
      </c>
      <c r="T24" s="6">
        <v>10</v>
      </c>
      <c r="U24" s="6">
        <v>10</v>
      </c>
      <c r="V24" s="6">
        <v>10</v>
      </c>
      <c r="W24" s="6">
        <v>10</v>
      </c>
      <c r="X24" s="6">
        <v>10</v>
      </c>
      <c r="Y24" s="6">
        <v>10</v>
      </c>
      <c r="Z24" s="6">
        <v>10</v>
      </c>
      <c r="AA24" s="6">
        <v>10</v>
      </c>
      <c r="AB24" s="6">
        <v>10</v>
      </c>
      <c r="AC24" s="6">
        <v>10</v>
      </c>
      <c r="AD24" s="6">
        <v>10</v>
      </c>
      <c r="AE24" s="6">
        <v>10</v>
      </c>
    </row>
    <row r="25" spans="1:31" x14ac:dyDescent="0.35">
      <c r="A25" s="60" t="s">
        <v>232</v>
      </c>
      <c r="B25" s="6">
        <v>10</v>
      </c>
      <c r="C25" s="6">
        <v>10</v>
      </c>
      <c r="D25" s="6">
        <v>10</v>
      </c>
      <c r="E25" s="6">
        <v>10</v>
      </c>
      <c r="F25" s="6">
        <v>10</v>
      </c>
      <c r="G25" s="6">
        <v>10</v>
      </c>
      <c r="H25" s="6">
        <v>10</v>
      </c>
      <c r="I25" s="6">
        <v>10</v>
      </c>
      <c r="J25" s="6">
        <v>10</v>
      </c>
      <c r="K25" s="6">
        <v>10</v>
      </c>
      <c r="L25" s="6">
        <v>10</v>
      </c>
      <c r="M25" s="6">
        <v>10</v>
      </c>
      <c r="N25" s="6">
        <v>10</v>
      </c>
      <c r="O25" s="6">
        <v>10</v>
      </c>
      <c r="P25" s="6">
        <v>10</v>
      </c>
      <c r="Q25" s="6">
        <v>10</v>
      </c>
      <c r="R25" s="6">
        <v>10</v>
      </c>
      <c r="S25" s="6">
        <v>10</v>
      </c>
      <c r="T25" s="6">
        <v>10</v>
      </c>
      <c r="U25" s="6">
        <v>10</v>
      </c>
      <c r="V25" s="6">
        <v>10</v>
      </c>
      <c r="W25" s="6">
        <v>10</v>
      </c>
      <c r="X25" s="6">
        <v>10</v>
      </c>
      <c r="Y25" s="6">
        <v>10</v>
      </c>
      <c r="Z25" s="6">
        <v>10</v>
      </c>
      <c r="AA25" s="6">
        <v>10</v>
      </c>
      <c r="AB25" s="6">
        <v>10</v>
      </c>
      <c r="AC25" s="6">
        <v>10</v>
      </c>
      <c r="AD25" s="6">
        <v>10</v>
      </c>
      <c r="AE25" s="6">
        <v>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251C7805F896F47A4F48569C73A0799" ma:contentTypeVersion="4" ma:contentTypeDescription="Create a new document." ma:contentTypeScope="" ma:versionID="7abd873f26c83d98889b6bc5171c7cdd">
  <xsd:schema xmlns:xsd="http://www.w3.org/2001/XMLSchema" xmlns:xs="http://www.w3.org/2001/XMLSchema" xmlns:p="http://schemas.microsoft.com/office/2006/metadata/properties" xmlns:ns2="f3083de3-5d4e-49f2-a3cd-0aeb079e6739" targetNamespace="http://schemas.microsoft.com/office/2006/metadata/properties" ma:root="true" ma:fieldsID="295384f30983e71c631053ca9b14fb23" ns2:_="">
    <xsd:import namespace="f3083de3-5d4e-49f2-a3cd-0aeb079e67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083de3-5d4e-49f2-a3cd-0aeb079e6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0C43A2-4574-412B-A096-D6F62D4E5350}">
  <ds:schemaRefs>
    <ds:schemaRef ds:uri="http://purl.org/dc/dcmitype/"/>
    <ds:schemaRef ds:uri="f3083de3-5d4e-49f2-a3cd-0aeb079e6739"/>
    <ds:schemaRef ds:uri="http://purl.org/dc/terms/"/>
    <ds:schemaRef ds:uri="http://www.w3.org/XML/1998/namespace"/>
    <ds:schemaRef ds:uri="http://schemas.microsoft.com/office/2006/documentManagement/types"/>
    <ds:schemaRef ds:uri="http://schemas.openxmlformats.org/package/2006/metadata/core-properties"/>
    <ds:schemaRef ds:uri="http://schemas.microsoft.com/office/2006/metadata/properties"/>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378BEAAA-A0F6-4356-860E-58D9ED99F84A}">
  <ds:schemaRefs>
    <ds:schemaRef ds:uri="http://schemas.microsoft.com/sharepoint/v3/contenttype/forms"/>
  </ds:schemaRefs>
</ds:datastoreItem>
</file>

<file path=customXml/itemProps3.xml><?xml version="1.0" encoding="utf-8"?>
<ds:datastoreItem xmlns:ds="http://schemas.openxmlformats.org/officeDocument/2006/customXml" ds:itemID="{222E005B-8F02-4F87-84D2-5F4E0B2791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083de3-5d4e-49f2-a3cd-0aeb079e67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Conversion Factors</vt:lpstr>
      <vt:lpstr>NatGas Calculations</vt:lpstr>
      <vt:lpstr>LPG</vt:lpstr>
      <vt:lpstr>Electricity</vt:lpstr>
      <vt:lpstr>RE</vt:lpstr>
      <vt:lpstr>Coal_Indirect</vt:lpstr>
      <vt:lpstr>BS-BSfTFpEUP</vt:lpstr>
      <vt:lpstr>BS-BSpUEO</vt:lpstr>
      <vt:lpstr>BS-BSpUECB</vt:lpstr>
      <vt:lpstr>BS-DoSpUEO</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Shruti Dayal</cp:lastModifiedBy>
  <cp:revision/>
  <dcterms:created xsi:type="dcterms:W3CDTF">2014-08-21T02:04:37Z</dcterms:created>
  <dcterms:modified xsi:type="dcterms:W3CDTF">2024-07-14T12:09:10Z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0x010100A251C7805F896F47A4F48569C73A0799</vt:lpwstr>
  </property>
</Properties>
</file>