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iaEPS/Shared Documents/Completed EPS Variables/bldgs/bldgs/BCEU/"/>
    </mc:Choice>
  </mc:AlternateContent>
  <xr:revisionPtr revIDLastSave="571" documentId="8_{33378F1C-D9ED-489C-B2E2-450D21180B3B}" xr6:coauthVersionLast="47" xr6:coauthVersionMax="47" xr10:uidLastSave="{E0D384FC-86F8-444E-9520-BC88412A35ED}"/>
  <bookViews>
    <workbookView xWindow="14295" yWindow="0" windowWidth="14610" windowHeight="15585" tabRatio="776" firstSheet="21" activeTab="24" xr2:uid="{00000000-000D-0000-FFFF-FFFF00000000}"/>
  </bookViews>
  <sheets>
    <sheet name="About" sheetId="1" r:id="rId1"/>
    <sheet name="Elec Use" sheetId="28" r:id="rId2"/>
    <sheet name="LPG, Kerosene, Diesel Use" sheetId="35" r:id="rId3"/>
    <sheet name="2015 Activity Data" sheetId="39" r:id="rId4"/>
    <sheet name="2020 Activity Data" sheetId="44" r:id="rId5"/>
    <sheet name="Summed Activity Data" sheetId="40" r:id="rId6"/>
    <sheet name="India Urbanization Trends" sheetId="46" r:id="rId7"/>
    <sheet name="IESS Demand" sheetId="42" r:id="rId8"/>
    <sheet name="Conversion Factors" sheetId="36" r:id="rId9"/>
    <sheet name="Calculations" sheetId="41" r:id="rId10"/>
    <sheet name="BCEU-urban-residential-heating" sheetId="18" r:id="rId11"/>
    <sheet name="BCEU-urban-residential-cooling" sheetId="20" r:id="rId12"/>
    <sheet name="BCEU-urban-residential-lighting" sheetId="11" r:id="rId13"/>
    <sheet name="BCEU-urban-residential-appl" sheetId="12" r:id="rId14"/>
    <sheet name="BCEU-urban-residential-other" sheetId="13" r:id="rId15"/>
    <sheet name="BCEU-rural-residential-heating" sheetId="23" r:id="rId16"/>
    <sheet name="BCEU-rural-residential-cooling" sheetId="24" r:id="rId17"/>
    <sheet name="BCEU-rural-residential-lighting" sheetId="25" r:id="rId18"/>
    <sheet name="BCEU-rural-residential-appl" sheetId="26" r:id="rId19"/>
    <sheet name="BCEU-rural-residential-other" sheetId="27" r:id="rId20"/>
    <sheet name="BCEU-commercial-heating" sheetId="21" r:id="rId21"/>
    <sheet name="BCEU-commercial-cooling" sheetId="14" r:id="rId22"/>
    <sheet name="BCEU-commercial-lighting" sheetId="15" r:id="rId23"/>
    <sheet name="BCEU-commercial-appl" sheetId="16" r:id="rId24"/>
    <sheet name="BCEU-commercial-other" sheetId="17" r:id="rId25"/>
    <sheet name="BCEU-all-envelope" sheetId="45" r:id="rId26"/>
  </sheets>
  <externalReferences>
    <externalReference r:id="rId27"/>
    <externalReference r:id="rId28"/>
  </externalReferences>
  <definedNames>
    <definedName name="_xlnm._FilterDatabase" localSheetId="3" hidden="1">'2015 Activity Data'!$A$1:$AJ$1254</definedName>
    <definedName name="BTU_per_GWh">'Conversion Factors'!$A$3</definedName>
    <definedName name="BTU_per_kg_biomass">'Conversion Factors'!$B$28</definedName>
    <definedName name="BTU_per_PJ">'Conversion Factors'!$A$6</definedName>
    <definedName name="BTU_per_thousand_tons_kerosene">'Conversion Factors'!$A$21</definedName>
    <definedName name="BTU_per_thousand_tons_LPG">'Conversion Factors'!$A$14</definedName>
    <definedName name="Fraction_coal">[1]About!$C$50</definedName>
    <definedName name="Percent_rural">[1]About!$A$77</definedName>
    <definedName name="Percent_urban">[1]About!$A$76</definedName>
    <definedName name="preferences.energyunits">[2]Preferences!$C$3</definedName>
    <definedName name="quadrillion">[1]About!$B$79</definedName>
    <definedName name="Table4">'[1]AEO Table 4'!$C$34:$AI$72</definedName>
    <definedName name="Table5">'[1]AEO Table 5'!$C$31:$AI$58</definedName>
  </definedNames>
  <calcPr calcId="191028"/>
  <pivotCaches>
    <pivotCache cacheId="7106" r:id="rId29"/>
    <pivotCache cacheId="7107" r:id="rId3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" i="17" l="1"/>
  <c r="AG2" i="17"/>
  <c r="AH2" i="17"/>
  <c r="AI2" i="17"/>
  <c r="AJ2" i="17"/>
  <c r="AK2" i="17"/>
  <c r="AL2" i="17"/>
  <c r="AM2" i="17"/>
  <c r="AN2" i="17"/>
  <c r="AO2" i="17"/>
  <c r="AP2" i="17"/>
  <c r="AQ2" i="17"/>
  <c r="AR2" i="17"/>
  <c r="AS2" i="17"/>
  <c r="AT2" i="17"/>
  <c r="AU2" i="17"/>
  <c r="AV2" i="17"/>
  <c r="AW2" i="17"/>
  <c r="AX2" i="17"/>
  <c r="AY2" i="17"/>
  <c r="AC10" i="16"/>
  <c r="AD10" i="16"/>
  <c r="AE10" i="16"/>
  <c r="AF10" i="16"/>
  <c r="AG10" i="16"/>
  <c r="AH10" i="16"/>
  <c r="AI10" i="16"/>
  <c r="AJ10" i="16"/>
  <c r="AK10" i="16"/>
  <c r="AL10" i="16"/>
  <c r="AM10" i="16"/>
  <c r="AN10" i="16"/>
  <c r="AO10" i="16"/>
  <c r="AP10" i="16"/>
  <c r="AQ10" i="16"/>
  <c r="AR10" i="16"/>
  <c r="AS10" i="16"/>
  <c r="AT10" i="16"/>
  <c r="AU10" i="16"/>
  <c r="AV10" i="16"/>
  <c r="AW10" i="16"/>
  <c r="AX10" i="16"/>
  <c r="AY10" i="16"/>
  <c r="AC2" i="16"/>
  <c r="AD2" i="16"/>
  <c r="AE2" i="16"/>
  <c r="AF2" i="16"/>
  <c r="AG2" i="16"/>
  <c r="AH2" i="16"/>
  <c r="AI2" i="16"/>
  <c r="AJ2" i="16"/>
  <c r="AK2" i="16"/>
  <c r="AL2" i="16"/>
  <c r="AM2" i="16"/>
  <c r="AN2" i="16"/>
  <c r="AO2" i="16"/>
  <c r="AP2" i="16"/>
  <c r="AQ2" i="16"/>
  <c r="AR2" i="16"/>
  <c r="AS2" i="16"/>
  <c r="AT2" i="16"/>
  <c r="AU2" i="16"/>
  <c r="AV2" i="16"/>
  <c r="AW2" i="16"/>
  <c r="AX2" i="16"/>
  <c r="AY2" i="16"/>
  <c r="AF2" i="15"/>
  <c r="AG2" i="15"/>
  <c r="AH2" i="15"/>
  <c r="AI2" i="15"/>
  <c r="AJ2" i="15"/>
  <c r="AK2" i="15"/>
  <c r="AL2" i="15"/>
  <c r="AM2" i="15"/>
  <c r="AN2" i="15"/>
  <c r="AO2" i="15"/>
  <c r="AP2" i="15"/>
  <c r="AQ2" i="15"/>
  <c r="AR2" i="15"/>
  <c r="AS2" i="15"/>
  <c r="AT2" i="15"/>
  <c r="AU2" i="15"/>
  <c r="AV2" i="15"/>
  <c r="AW2" i="15"/>
  <c r="AX2" i="15"/>
  <c r="AY2" i="15"/>
  <c r="AF2" i="14"/>
  <c r="AG2" i="14"/>
  <c r="AH2" i="14"/>
  <c r="AI2" i="14"/>
  <c r="AJ2" i="14"/>
  <c r="AK2" i="14"/>
  <c r="AL2" i="14"/>
  <c r="AM2" i="14"/>
  <c r="AN2" i="14"/>
  <c r="AO2" i="14"/>
  <c r="AP2" i="14"/>
  <c r="AQ2" i="14"/>
  <c r="AR2" i="14"/>
  <c r="AS2" i="14"/>
  <c r="AT2" i="14"/>
  <c r="AU2" i="14"/>
  <c r="AV2" i="14"/>
  <c r="AW2" i="14"/>
  <c r="AX2" i="14"/>
  <c r="AY2" i="14"/>
  <c r="AF2" i="27"/>
  <c r="AG2" i="27"/>
  <c r="AH2" i="27"/>
  <c r="AI2" i="27"/>
  <c r="AJ2" i="27"/>
  <c r="AK2" i="27"/>
  <c r="AL2" i="27"/>
  <c r="AM2" i="27"/>
  <c r="AN2" i="27"/>
  <c r="AO2" i="27"/>
  <c r="AP2" i="27"/>
  <c r="AQ2" i="27"/>
  <c r="AR2" i="27"/>
  <c r="AS2" i="27"/>
  <c r="AT2" i="27"/>
  <c r="AU2" i="27"/>
  <c r="AV2" i="27"/>
  <c r="AW2" i="27"/>
  <c r="AX2" i="27"/>
  <c r="AY2" i="27"/>
  <c r="AF2" i="26"/>
  <c r="AG2" i="26"/>
  <c r="AH2" i="26"/>
  <c r="AI2" i="26"/>
  <c r="AJ2" i="26"/>
  <c r="AK2" i="26"/>
  <c r="AL2" i="26"/>
  <c r="AM2" i="26"/>
  <c r="AN2" i="26"/>
  <c r="AO2" i="26"/>
  <c r="AP2" i="26"/>
  <c r="AQ2" i="26"/>
  <c r="AR2" i="26"/>
  <c r="AS2" i="26"/>
  <c r="AT2" i="26"/>
  <c r="AU2" i="26"/>
  <c r="AV2" i="26"/>
  <c r="AW2" i="26"/>
  <c r="AX2" i="26"/>
  <c r="AY2" i="26"/>
  <c r="AF4" i="26"/>
  <c r="AG4" i="26"/>
  <c r="AH4" i="26"/>
  <c r="AI4" i="26"/>
  <c r="AJ4" i="26"/>
  <c r="AK4" i="26"/>
  <c r="AL4" i="26"/>
  <c r="AM4" i="26"/>
  <c r="AN4" i="26"/>
  <c r="AO4" i="26"/>
  <c r="AP4" i="26"/>
  <c r="AQ4" i="26"/>
  <c r="AR4" i="26"/>
  <c r="AS4" i="26"/>
  <c r="AT4" i="26"/>
  <c r="AU4" i="26"/>
  <c r="AV4" i="26"/>
  <c r="AW4" i="26"/>
  <c r="AX4" i="26"/>
  <c r="AY4" i="26"/>
  <c r="AF7" i="26"/>
  <c r="AG7" i="26"/>
  <c r="AH7" i="26"/>
  <c r="AI7" i="26"/>
  <c r="AJ7" i="26"/>
  <c r="AK7" i="26"/>
  <c r="AL7" i="26"/>
  <c r="AM7" i="26"/>
  <c r="AN7" i="26"/>
  <c r="AO7" i="26"/>
  <c r="AP7" i="26"/>
  <c r="AQ7" i="26"/>
  <c r="AR7" i="26"/>
  <c r="AS7" i="26"/>
  <c r="AT7" i="26"/>
  <c r="AU7" i="26"/>
  <c r="AV7" i="26"/>
  <c r="AW7" i="26"/>
  <c r="AX7" i="26"/>
  <c r="AY7" i="26"/>
  <c r="AF8" i="26"/>
  <c r="AG8" i="26"/>
  <c r="AH8" i="26"/>
  <c r="AI8" i="26"/>
  <c r="AJ8" i="26"/>
  <c r="AK8" i="26"/>
  <c r="AL8" i="26"/>
  <c r="AM8" i="26"/>
  <c r="AN8" i="26"/>
  <c r="AO8" i="26"/>
  <c r="AP8" i="26"/>
  <c r="AQ8" i="26"/>
  <c r="AR8" i="26"/>
  <c r="AS8" i="26"/>
  <c r="AT8" i="26"/>
  <c r="AU8" i="26"/>
  <c r="AV8" i="26"/>
  <c r="AW8" i="26"/>
  <c r="AX8" i="26"/>
  <c r="AY8" i="26"/>
  <c r="AF10" i="26"/>
  <c r="AG10" i="26"/>
  <c r="AH10" i="26"/>
  <c r="AI10" i="26"/>
  <c r="AJ10" i="26"/>
  <c r="AK10" i="26"/>
  <c r="AL10" i="26"/>
  <c r="AM10" i="26"/>
  <c r="AN10" i="26"/>
  <c r="AO10" i="26"/>
  <c r="AP10" i="26"/>
  <c r="AQ10" i="26"/>
  <c r="AR10" i="26"/>
  <c r="AS10" i="26"/>
  <c r="AT10" i="26"/>
  <c r="AU10" i="26"/>
  <c r="AV10" i="26"/>
  <c r="AW10" i="26"/>
  <c r="AX10" i="26"/>
  <c r="AY10" i="26"/>
  <c r="AF2" i="25"/>
  <c r="AG2" i="25"/>
  <c r="AH2" i="25"/>
  <c r="AI2" i="25"/>
  <c r="AJ2" i="25"/>
  <c r="AK2" i="25"/>
  <c r="AL2" i="25"/>
  <c r="AM2" i="25"/>
  <c r="AN2" i="25"/>
  <c r="AO2" i="25"/>
  <c r="AP2" i="25"/>
  <c r="AQ2" i="25"/>
  <c r="AR2" i="25"/>
  <c r="AS2" i="25"/>
  <c r="AT2" i="25"/>
  <c r="AU2" i="25"/>
  <c r="AV2" i="25"/>
  <c r="AW2" i="25"/>
  <c r="AX2" i="25"/>
  <c r="AY2" i="25"/>
  <c r="AF2" i="24"/>
  <c r="AG2" i="24"/>
  <c r="AH2" i="24"/>
  <c r="AI2" i="24"/>
  <c r="AJ2" i="24"/>
  <c r="AK2" i="24"/>
  <c r="AL2" i="24"/>
  <c r="AM2" i="24"/>
  <c r="AN2" i="24"/>
  <c r="AO2" i="24"/>
  <c r="AP2" i="24"/>
  <c r="AQ2" i="24"/>
  <c r="AR2" i="24"/>
  <c r="AS2" i="24"/>
  <c r="AT2" i="24"/>
  <c r="AU2" i="24"/>
  <c r="AV2" i="24"/>
  <c r="AW2" i="24"/>
  <c r="AX2" i="24"/>
  <c r="AY2" i="24"/>
  <c r="AL99" i="41"/>
  <c r="AM99" i="41"/>
  <c r="AN99" i="41"/>
  <c r="AO99" i="41"/>
  <c r="AP99" i="41"/>
  <c r="AQ99" i="41"/>
  <c r="AR99" i="41"/>
  <c r="AS99" i="41"/>
  <c r="AT99" i="41"/>
  <c r="AU99" i="41"/>
  <c r="AV99" i="41"/>
  <c r="AW99" i="41"/>
  <c r="AX99" i="41"/>
  <c r="AY99" i="41"/>
  <c r="AZ99" i="41"/>
  <c r="BA99" i="41"/>
  <c r="BB99" i="41"/>
  <c r="BC99" i="41"/>
  <c r="BD99" i="41"/>
  <c r="BE99" i="41"/>
  <c r="AL100" i="41"/>
  <c r="AM100" i="41"/>
  <c r="AN100" i="41"/>
  <c r="AO100" i="41"/>
  <c r="AP100" i="41"/>
  <c r="AQ100" i="41"/>
  <c r="AR100" i="41"/>
  <c r="AS100" i="41"/>
  <c r="AT100" i="41"/>
  <c r="AU100" i="41"/>
  <c r="AV100" i="41"/>
  <c r="AW100" i="41"/>
  <c r="AX100" i="41"/>
  <c r="AY100" i="41"/>
  <c r="AZ100" i="41"/>
  <c r="BA100" i="41"/>
  <c r="BB100" i="41"/>
  <c r="BC100" i="41"/>
  <c r="BD100" i="41"/>
  <c r="BE100" i="41"/>
  <c r="AL135" i="41"/>
  <c r="AM135" i="41"/>
  <c r="AN135" i="41"/>
  <c r="AO135" i="41"/>
  <c r="AP135" i="41"/>
  <c r="AQ135" i="41"/>
  <c r="AR135" i="41"/>
  <c r="AS135" i="41"/>
  <c r="AT135" i="41"/>
  <c r="AU135" i="41"/>
  <c r="AV135" i="41"/>
  <c r="AW135" i="41"/>
  <c r="AX135" i="41"/>
  <c r="AY135" i="41"/>
  <c r="AZ135" i="41"/>
  <c r="BA135" i="41"/>
  <c r="BB135" i="41"/>
  <c r="BC135" i="41"/>
  <c r="BD135" i="41"/>
  <c r="BE135" i="41"/>
  <c r="AL130" i="41"/>
  <c r="AM130" i="41"/>
  <c r="AN130" i="41"/>
  <c r="AO130" i="41"/>
  <c r="AP130" i="41"/>
  <c r="AQ130" i="41"/>
  <c r="AR130" i="41"/>
  <c r="AS130" i="41"/>
  <c r="AT130" i="41"/>
  <c r="AU130" i="41"/>
  <c r="AV130" i="41"/>
  <c r="AW130" i="41"/>
  <c r="AX130" i="41"/>
  <c r="AY130" i="41"/>
  <c r="AZ130" i="41"/>
  <c r="BA130" i="41"/>
  <c r="BB130" i="41"/>
  <c r="BC130" i="41"/>
  <c r="BD130" i="41"/>
  <c r="BE130" i="41"/>
  <c r="AL125" i="41"/>
  <c r="AM125" i="41"/>
  <c r="AN125" i="41"/>
  <c r="AO125" i="41"/>
  <c r="AP125" i="41"/>
  <c r="AQ125" i="41"/>
  <c r="AR125" i="41"/>
  <c r="AS125" i="41"/>
  <c r="AT125" i="41"/>
  <c r="AU125" i="41"/>
  <c r="AV125" i="41"/>
  <c r="AW125" i="41"/>
  <c r="AX125" i="41"/>
  <c r="AY125" i="41"/>
  <c r="AZ125" i="41"/>
  <c r="BA125" i="41"/>
  <c r="BB125" i="41"/>
  <c r="BC125" i="41"/>
  <c r="BD125" i="41"/>
  <c r="BE125" i="41"/>
  <c r="AL85" i="41"/>
  <c r="AM85" i="41"/>
  <c r="AN85" i="41"/>
  <c r="AO85" i="41"/>
  <c r="AP85" i="41"/>
  <c r="AQ85" i="41"/>
  <c r="AR85" i="41"/>
  <c r="AS85" i="41"/>
  <c r="AT85" i="41"/>
  <c r="AU85" i="41"/>
  <c r="AV85" i="41"/>
  <c r="AW85" i="41"/>
  <c r="AX85" i="41"/>
  <c r="AY85" i="41"/>
  <c r="AZ85" i="41"/>
  <c r="BA85" i="41"/>
  <c r="BB85" i="41"/>
  <c r="BC85" i="41"/>
  <c r="BD85" i="41"/>
  <c r="BE85" i="41"/>
  <c r="AL80" i="41"/>
  <c r="AM80" i="41"/>
  <c r="AN80" i="41"/>
  <c r="AO80" i="41"/>
  <c r="AP80" i="41"/>
  <c r="AQ80" i="41"/>
  <c r="AR80" i="41"/>
  <c r="AS80" i="41"/>
  <c r="AT80" i="41"/>
  <c r="AU80" i="41"/>
  <c r="AV80" i="41"/>
  <c r="AW80" i="41"/>
  <c r="AX80" i="41"/>
  <c r="AY80" i="41"/>
  <c r="AZ80" i="41"/>
  <c r="BA80" i="41"/>
  <c r="BB80" i="41"/>
  <c r="BC80" i="41"/>
  <c r="BD80" i="41"/>
  <c r="BE80" i="41"/>
  <c r="AL40" i="41"/>
  <c r="AM40" i="41"/>
  <c r="AN40" i="41"/>
  <c r="AO40" i="41"/>
  <c r="AP40" i="41"/>
  <c r="AQ40" i="41"/>
  <c r="AR40" i="41"/>
  <c r="AS40" i="41"/>
  <c r="AT40" i="41"/>
  <c r="AU40" i="41"/>
  <c r="AV40" i="41"/>
  <c r="AW40" i="41"/>
  <c r="AX40" i="41"/>
  <c r="AY40" i="41"/>
  <c r="AZ40" i="41"/>
  <c r="BA40" i="41"/>
  <c r="BB40" i="41"/>
  <c r="BC40" i="41"/>
  <c r="BD40" i="41"/>
  <c r="BE40" i="41"/>
  <c r="AL35" i="41"/>
  <c r="AM35" i="41"/>
  <c r="AN35" i="41"/>
  <c r="AO35" i="41"/>
  <c r="AP35" i="41"/>
  <c r="AQ35" i="41"/>
  <c r="AR35" i="41"/>
  <c r="AS35" i="41"/>
  <c r="AT35" i="41"/>
  <c r="AU35" i="41"/>
  <c r="AV35" i="41"/>
  <c r="AW35" i="41"/>
  <c r="AX35" i="41"/>
  <c r="AY35" i="41"/>
  <c r="AZ35" i="41"/>
  <c r="BA35" i="41"/>
  <c r="BB35" i="41"/>
  <c r="BC35" i="41"/>
  <c r="BD35" i="41"/>
  <c r="BE35" i="41"/>
  <c r="AR27" i="41"/>
  <c r="AS27" i="41"/>
  <c r="AT27" i="41"/>
  <c r="AU27" i="41"/>
  <c r="AV27" i="41"/>
  <c r="AW27" i="41"/>
  <c r="AX27" i="41"/>
  <c r="AY27" i="41"/>
  <c r="AZ27" i="41"/>
  <c r="BA27" i="41"/>
  <c r="BB27" i="41"/>
  <c r="BC27" i="41"/>
  <c r="BD27" i="41"/>
  <c r="BE27" i="41"/>
  <c r="AL27" i="41"/>
  <c r="AM27" i="41"/>
  <c r="AN27" i="41"/>
  <c r="AO27" i="41"/>
  <c r="AP27" i="41"/>
  <c r="AQ27" i="41"/>
  <c r="AL10" i="41"/>
  <c r="AM10" i="41"/>
  <c r="AN10" i="41"/>
  <c r="AO10" i="41"/>
  <c r="AP10" i="41"/>
  <c r="AQ10" i="41"/>
  <c r="AR10" i="41"/>
  <c r="AS10" i="41"/>
  <c r="AT10" i="41"/>
  <c r="AU10" i="41"/>
  <c r="AV10" i="41"/>
  <c r="AW10" i="41"/>
  <c r="AX10" i="41"/>
  <c r="AY10" i="41"/>
  <c r="AZ10" i="41"/>
  <c r="BA10" i="41"/>
  <c r="BB10" i="41"/>
  <c r="BC10" i="41"/>
  <c r="BD10" i="41"/>
  <c r="BE10" i="41"/>
  <c r="AL11" i="41"/>
  <c r="AM11" i="41"/>
  <c r="AN11" i="41"/>
  <c r="AO11" i="41"/>
  <c r="AP11" i="41"/>
  <c r="AQ11" i="41"/>
  <c r="AR11" i="41"/>
  <c r="AS11" i="41"/>
  <c r="AT11" i="41"/>
  <c r="AU11" i="41"/>
  <c r="AV11" i="41"/>
  <c r="AW11" i="41"/>
  <c r="AX11" i="41"/>
  <c r="AY11" i="41"/>
  <c r="AZ11" i="41"/>
  <c r="BA11" i="41"/>
  <c r="BB11" i="41"/>
  <c r="BC11" i="41"/>
  <c r="BD11" i="41"/>
  <c r="BE11" i="41"/>
  <c r="AL13" i="41"/>
  <c r="AM13" i="41"/>
  <c r="AN13" i="41"/>
  <c r="AO13" i="41"/>
  <c r="AP13" i="41"/>
  <c r="AQ13" i="41"/>
  <c r="AR13" i="41"/>
  <c r="AS13" i="41"/>
  <c r="AT13" i="41"/>
  <c r="AU13" i="41"/>
  <c r="AV13" i="41"/>
  <c r="AW13" i="41"/>
  <c r="AX13" i="41"/>
  <c r="AY13" i="41"/>
  <c r="AZ13" i="41"/>
  <c r="BA13" i="41"/>
  <c r="BB13" i="41"/>
  <c r="BC13" i="41"/>
  <c r="BD13" i="41"/>
  <c r="BE13" i="41"/>
  <c r="AL14" i="41"/>
  <c r="AM14" i="41"/>
  <c r="AN14" i="41"/>
  <c r="AO14" i="41"/>
  <c r="AP14" i="41"/>
  <c r="AQ14" i="41"/>
  <c r="AR14" i="41"/>
  <c r="AS14" i="41"/>
  <c r="AT14" i="41"/>
  <c r="AU14" i="41"/>
  <c r="AV14" i="41"/>
  <c r="AW14" i="41"/>
  <c r="AX14" i="41"/>
  <c r="AY14" i="41"/>
  <c r="AZ14" i="41"/>
  <c r="BA14" i="41"/>
  <c r="BB14" i="41"/>
  <c r="BC14" i="41"/>
  <c r="BD14" i="41"/>
  <c r="BE14" i="41"/>
  <c r="AL15" i="41"/>
  <c r="AM15" i="41"/>
  <c r="AN15" i="41"/>
  <c r="AO15" i="41"/>
  <c r="AP15" i="41"/>
  <c r="AQ15" i="41"/>
  <c r="AR15" i="41"/>
  <c r="AS15" i="41"/>
  <c r="AT15" i="41"/>
  <c r="AU15" i="41"/>
  <c r="AV15" i="41"/>
  <c r="AW15" i="41"/>
  <c r="AX15" i="41"/>
  <c r="AY15" i="41"/>
  <c r="AZ15" i="41"/>
  <c r="BA15" i="41"/>
  <c r="BB15" i="41"/>
  <c r="BC15" i="41"/>
  <c r="BD15" i="41"/>
  <c r="BE15" i="41"/>
  <c r="AL16" i="41"/>
  <c r="AM16" i="41"/>
  <c r="AN16" i="41"/>
  <c r="AO16" i="41"/>
  <c r="AP16" i="41"/>
  <c r="AQ16" i="41"/>
  <c r="AR16" i="41"/>
  <c r="AS16" i="41"/>
  <c r="AT16" i="41"/>
  <c r="AU16" i="41"/>
  <c r="AV16" i="41"/>
  <c r="AW16" i="41"/>
  <c r="AX16" i="41"/>
  <c r="AY16" i="41"/>
  <c r="AZ16" i="41"/>
  <c r="BA16" i="41"/>
  <c r="BB16" i="41"/>
  <c r="BC16" i="41"/>
  <c r="BD16" i="41"/>
  <c r="BE16" i="41"/>
  <c r="AL9" i="41"/>
  <c r="AM9" i="41"/>
  <c r="AN9" i="41"/>
  <c r="AO9" i="41"/>
  <c r="AP9" i="41"/>
  <c r="AQ9" i="41"/>
  <c r="AR9" i="41"/>
  <c r="AS9" i="41"/>
  <c r="AT9" i="41"/>
  <c r="AU9" i="41"/>
  <c r="AV9" i="41"/>
  <c r="AW9" i="41"/>
  <c r="AX9" i="41"/>
  <c r="AY9" i="41"/>
  <c r="AZ9" i="41"/>
  <c r="BA9" i="41"/>
  <c r="BB9" i="41"/>
  <c r="BC9" i="41"/>
  <c r="BD9" i="41"/>
  <c r="BE9" i="41"/>
  <c r="AM8" i="41"/>
  <c r="AN8" i="41"/>
  <c r="AO8" i="41"/>
  <c r="AP8" i="41"/>
  <c r="AQ8" i="41"/>
  <c r="AR8" i="41"/>
  <c r="AS8" i="41"/>
  <c r="AT8" i="41"/>
  <c r="AU8" i="41"/>
  <c r="AV8" i="41"/>
  <c r="AW8" i="41"/>
  <c r="AX8" i="41"/>
  <c r="AY8" i="41"/>
  <c r="AZ8" i="41"/>
  <c r="BA8" i="41"/>
  <c r="BB8" i="41"/>
  <c r="BC8" i="41"/>
  <c r="BD8" i="41"/>
  <c r="BE8" i="41"/>
  <c r="AL8" i="41"/>
  <c r="AR2" i="13"/>
  <c r="AS2" i="13"/>
  <c r="AT2" i="13"/>
  <c r="AU2" i="13"/>
  <c r="AV2" i="13"/>
  <c r="AW2" i="13"/>
  <c r="AX2" i="13"/>
  <c r="AY2" i="13"/>
  <c r="AZ2" i="13"/>
  <c r="AK2" i="13"/>
  <c r="AL2" i="13"/>
  <c r="AM2" i="13"/>
  <c r="AN2" i="13"/>
  <c r="AO2" i="13"/>
  <c r="AP2" i="13"/>
  <c r="AQ2" i="13"/>
  <c r="AG2" i="13"/>
  <c r="AH2" i="13"/>
  <c r="AI2" i="13"/>
  <c r="AJ2" i="13"/>
  <c r="AF2" i="11"/>
  <c r="AG2" i="11"/>
  <c r="AH2" i="11"/>
  <c r="AI2" i="11"/>
  <c r="AJ2" i="11"/>
  <c r="AK2" i="11"/>
  <c r="AL2" i="11"/>
  <c r="AM2" i="11"/>
  <c r="AN2" i="11"/>
  <c r="AO2" i="11"/>
  <c r="AP2" i="11"/>
  <c r="AQ2" i="11"/>
  <c r="AR2" i="11"/>
  <c r="AS2" i="11"/>
  <c r="AT2" i="11"/>
  <c r="AU2" i="11"/>
  <c r="AV2" i="11"/>
  <c r="AW2" i="11"/>
  <c r="AX2" i="11"/>
  <c r="AY2" i="11"/>
  <c r="AL122" i="42"/>
  <c r="AM122" i="42"/>
  <c r="AN122" i="42"/>
  <c r="AO122" i="42"/>
  <c r="AP122" i="42"/>
  <c r="AQ122" i="42"/>
  <c r="AR122" i="42"/>
  <c r="AS122" i="42"/>
  <c r="AT122" i="42"/>
  <c r="AU122" i="42"/>
  <c r="AV122" i="42"/>
  <c r="AW122" i="42"/>
  <c r="AX122" i="42"/>
  <c r="AY122" i="42"/>
  <c r="AZ122" i="42"/>
  <c r="BA122" i="42"/>
  <c r="BB122" i="42"/>
  <c r="BC122" i="42"/>
  <c r="BD122" i="42"/>
  <c r="BE122" i="42"/>
  <c r="AL123" i="42"/>
  <c r="AM123" i="42"/>
  <c r="AN123" i="42"/>
  <c r="AO123" i="42"/>
  <c r="AP123" i="42"/>
  <c r="AQ123" i="42"/>
  <c r="AR123" i="42"/>
  <c r="AS123" i="42"/>
  <c r="AT123" i="42"/>
  <c r="AU123" i="42"/>
  <c r="AV123" i="42"/>
  <c r="AW123" i="42"/>
  <c r="AX123" i="42"/>
  <c r="AY123" i="42"/>
  <c r="AZ123" i="42"/>
  <c r="BA123" i="42"/>
  <c r="BB123" i="42"/>
  <c r="BC123" i="42"/>
  <c r="BD123" i="42"/>
  <c r="BE123" i="42"/>
  <c r="AL124" i="42"/>
  <c r="AM124" i="42"/>
  <c r="AN124" i="42"/>
  <c r="AO124" i="42"/>
  <c r="AP124" i="42"/>
  <c r="AQ124" i="42"/>
  <c r="AR124" i="42"/>
  <c r="AS124" i="42"/>
  <c r="AT124" i="42"/>
  <c r="AU124" i="42"/>
  <c r="AV124" i="42"/>
  <c r="AW124" i="42"/>
  <c r="AX124" i="42"/>
  <c r="AY124" i="42"/>
  <c r="AZ124" i="42"/>
  <c r="BA124" i="42"/>
  <c r="BB124" i="42"/>
  <c r="BC124" i="42"/>
  <c r="BD124" i="42"/>
  <c r="BE124" i="42"/>
  <c r="AL125" i="42"/>
  <c r="AM125" i="42"/>
  <c r="AN125" i="42"/>
  <c r="AO125" i="42"/>
  <c r="AP125" i="42"/>
  <c r="AQ125" i="42"/>
  <c r="AR125" i="42"/>
  <c r="AS125" i="42"/>
  <c r="AT125" i="42"/>
  <c r="AU125" i="42"/>
  <c r="AV125" i="42"/>
  <c r="AW125" i="42"/>
  <c r="AX125" i="42"/>
  <c r="AY125" i="42"/>
  <c r="AZ125" i="42"/>
  <c r="BA125" i="42"/>
  <c r="BB125" i="42"/>
  <c r="BC125" i="42"/>
  <c r="BD125" i="42"/>
  <c r="BE125" i="42"/>
  <c r="AL126" i="42"/>
  <c r="AM126" i="42"/>
  <c r="AN126" i="42"/>
  <c r="AO126" i="42"/>
  <c r="AP126" i="42"/>
  <c r="AQ126" i="42"/>
  <c r="AR126" i="42"/>
  <c r="AS126" i="42"/>
  <c r="AT126" i="42"/>
  <c r="AU126" i="42"/>
  <c r="AV126" i="42"/>
  <c r="AW126" i="42"/>
  <c r="AX126" i="42"/>
  <c r="AY126" i="42"/>
  <c r="AZ126" i="42"/>
  <c r="BA126" i="42"/>
  <c r="BB126" i="42"/>
  <c r="BC126" i="42"/>
  <c r="BD126" i="42"/>
  <c r="BE126" i="42"/>
  <c r="AL127" i="42"/>
  <c r="AM127" i="42"/>
  <c r="AN127" i="42"/>
  <c r="AO127" i="42"/>
  <c r="AP127" i="42"/>
  <c r="AQ127" i="42"/>
  <c r="AR127" i="42"/>
  <c r="AS127" i="42"/>
  <c r="AT127" i="42"/>
  <c r="AU127" i="42"/>
  <c r="AV127" i="42"/>
  <c r="AW127" i="42"/>
  <c r="AX127" i="42"/>
  <c r="AY127" i="42"/>
  <c r="AZ127" i="42"/>
  <c r="BA127" i="42"/>
  <c r="BB127" i="42"/>
  <c r="BC127" i="42"/>
  <c r="BD127" i="42"/>
  <c r="BE127" i="42"/>
  <c r="AL129" i="42"/>
  <c r="AM129" i="42"/>
  <c r="AN129" i="42"/>
  <c r="AO129" i="42"/>
  <c r="AP129" i="42"/>
  <c r="AQ129" i="42"/>
  <c r="AR129" i="42"/>
  <c r="AS129" i="42"/>
  <c r="AT129" i="42"/>
  <c r="AU129" i="42"/>
  <c r="AV129" i="42"/>
  <c r="AW129" i="42"/>
  <c r="AX129" i="42"/>
  <c r="AY129" i="42"/>
  <c r="AZ129" i="42"/>
  <c r="BA129" i="42"/>
  <c r="BB129" i="42"/>
  <c r="BC129" i="42"/>
  <c r="BD129" i="42"/>
  <c r="BE129" i="42"/>
  <c r="AN116" i="42"/>
  <c r="AO116" i="42"/>
  <c r="AP116" i="42"/>
  <c r="AQ116" i="42"/>
  <c r="AR116" i="42"/>
  <c r="AS116" i="42"/>
  <c r="AT116" i="42"/>
  <c r="AU116" i="42"/>
  <c r="AV116" i="42"/>
  <c r="AW116" i="42"/>
  <c r="AX116" i="42"/>
  <c r="AY116" i="42"/>
  <c r="AZ116" i="42"/>
  <c r="BA116" i="42"/>
  <c r="BB116" i="42"/>
  <c r="BC116" i="42"/>
  <c r="BD116" i="42"/>
  <c r="BE116" i="42"/>
  <c r="AN117" i="42"/>
  <c r="AO117" i="42"/>
  <c r="AP117" i="42"/>
  <c r="AQ117" i="42"/>
  <c r="AR117" i="42"/>
  <c r="AS117" i="42"/>
  <c r="AT117" i="42"/>
  <c r="AU117" i="42"/>
  <c r="AV117" i="42"/>
  <c r="AW117" i="42"/>
  <c r="AX117" i="42"/>
  <c r="AY117" i="42"/>
  <c r="AZ117" i="42"/>
  <c r="BA117" i="42"/>
  <c r="BB117" i="42"/>
  <c r="BC117" i="42"/>
  <c r="BD117" i="42"/>
  <c r="BE117" i="42"/>
  <c r="AN118" i="42"/>
  <c r="AO118" i="42"/>
  <c r="AP118" i="42"/>
  <c r="AQ118" i="42"/>
  <c r="AR118" i="42"/>
  <c r="AS118" i="42"/>
  <c r="AT118" i="42"/>
  <c r="AU118" i="42"/>
  <c r="AV118" i="42"/>
  <c r="AW118" i="42"/>
  <c r="AX118" i="42"/>
  <c r="AY118" i="42"/>
  <c r="AZ118" i="42"/>
  <c r="BA118" i="42"/>
  <c r="BB118" i="42"/>
  <c r="BC118" i="42"/>
  <c r="BD118" i="42"/>
  <c r="BE118" i="42"/>
  <c r="AN119" i="42"/>
  <c r="AO119" i="42"/>
  <c r="AP119" i="42"/>
  <c r="AQ119" i="42"/>
  <c r="AR119" i="42"/>
  <c r="AS119" i="42"/>
  <c r="AT119" i="42"/>
  <c r="AU119" i="42"/>
  <c r="AV119" i="42"/>
  <c r="AW119" i="42"/>
  <c r="AX119" i="42"/>
  <c r="AY119" i="42"/>
  <c r="AZ119" i="42"/>
  <c r="BA119" i="42"/>
  <c r="BB119" i="42"/>
  <c r="BC119" i="42"/>
  <c r="BD119" i="42"/>
  <c r="BE119" i="42"/>
  <c r="AL116" i="42"/>
  <c r="AM116" i="42"/>
  <c r="AL117" i="42"/>
  <c r="AM117" i="42"/>
  <c r="AL118" i="42"/>
  <c r="AM118" i="42"/>
  <c r="AL119" i="42"/>
  <c r="AM119" i="42"/>
  <c r="AL6" i="41"/>
  <c r="AM6" i="41"/>
  <c r="AN6" i="41"/>
  <c r="AO6" i="41"/>
  <c r="AP6" i="41"/>
  <c r="AQ6" i="41"/>
  <c r="AR6" i="41"/>
  <c r="AS6" i="41"/>
  <c r="AT6" i="41"/>
  <c r="AU6" i="41"/>
  <c r="AV6" i="41"/>
  <c r="AW6" i="41"/>
  <c r="AX6" i="41"/>
  <c r="AY6" i="41"/>
  <c r="AZ6" i="41"/>
  <c r="BA6" i="41"/>
  <c r="BB6" i="41"/>
  <c r="BC6" i="41"/>
  <c r="BD6" i="41"/>
  <c r="BE6" i="41"/>
  <c r="AK160" i="42"/>
  <c r="AL160" i="42"/>
  <c r="AM160" i="42"/>
  <c r="AN160" i="42"/>
  <c r="AO160" i="42"/>
  <c r="AP160" i="42"/>
  <c r="AQ160" i="42"/>
  <c r="AR160" i="42"/>
  <c r="AS160" i="42"/>
  <c r="AT160" i="42"/>
  <c r="AU160" i="42"/>
  <c r="AV160" i="42"/>
  <c r="AW160" i="42"/>
  <c r="AX160" i="42"/>
  <c r="AY160" i="42"/>
  <c r="AZ160" i="42"/>
  <c r="BA160" i="42"/>
  <c r="BB160" i="42"/>
  <c r="BC160" i="42"/>
  <c r="BD160" i="42"/>
  <c r="AK161" i="42"/>
  <c r="AL161" i="42"/>
  <c r="AM161" i="42"/>
  <c r="AN161" i="42"/>
  <c r="AO161" i="42"/>
  <c r="AP161" i="42"/>
  <c r="AQ161" i="42"/>
  <c r="AR161" i="42"/>
  <c r="AS161" i="42"/>
  <c r="AT161" i="42"/>
  <c r="AU161" i="42"/>
  <c r="AV161" i="42"/>
  <c r="AW161" i="42"/>
  <c r="AX161" i="42"/>
  <c r="AY161" i="42"/>
  <c r="AZ161" i="42"/>
  <c r="BA161" i="42"/>
  <c r="BB161" i="42"/>
  <c r="BC161" i="42"/>
  <c r="BD161" i="42"/>
  <c r="AK162" i="42"/>
  <c r="AL162" i="42"/>
  <c r="AM162" i="42"/>
  <c r="AN162" i="42"/>
  <c r="AO162" i="42"/>
  <c r="AP162" i="42"/>
  <c r="AQ162" i="42"/>
  <c r="AR162" i="42"/>
  <c r="AS162" i="42"/>
  <c r="AT162" i="42"/>
  <c r="AU162" i="42"/>
  <c r="AV162" i="42"/>
  <c r="AW162" i="42"/>
  <c r="AX162" i="42"/>
  <c r="AY162" i="42"/>
  <c r="AZ162" i="42"/>
  <c r="BA162" i="42"/>
  <c r="BB162" i="42"/>
  <c r="BC162" i="42"/>
  <c r="BD162" i="42"/>
  <c r="AK163" i="42"/>
  <c r="AL163" i="42"/>
  <c r="AM163" i="42"/>
  <c r="AN163" i="42"/>
  <c r="AO163" i="42"/>
  <c r="AP163" i="42"/>
  <c r="AQ163" i="42"/>
  <c r="AR163" i="42"/>
  <c r="AS163" i="42"/>
  <c r="AT163" i="42"/>
  <c r="AU163" i="42"/>
  <c r="AV163" i="42"/>
  <c r="AW163" i="42"/>
  <c r="AX163" i="42"/>
  <c r="AY163" i="42"/>
  <c r="AZ163" i="42"/>
  <c r="BA163" i="42"/>
  <c r="BB163" i="42"/>
  <c r="BC163" i="42"/>
  <c r="BD163" i="42"/>
  <c r="AO77" i="42"/>
  <c r="AP77" i="42"/>
  <c r="AQ77" i="42"/>
  <c r="AR77" i="42"/>
  <c r="AS77" i="42"/>
  <c r="AT77" i="42"/>
  <c r="AU77" i="42"/>
  <c r="AV77" i="42"/>
  <c r="AW77" i="42"/>
  <c r="AX77" i="42"/>
  <c r="AY77" i="42"/>
  <c r="AZ77" i="42"/>
  <c r="BA77" i="42"/>
  <c r="BB77" i="42"/>
  <c r="BC77" i="42"/>
  <c r="BD77" i="42"/>
  <c r="BE77" i="42"/>
  <c r="BF77" i="42"/>
  <c r="BG77" i="42"/>
  <c r="BH77" i="42"/>
  <c r="AO78" i="42"/>
  <c r="AP78" i="42"/>
  <c r="AQ78" i="42"/>
  <c r="AR78" i="42"/>
  <c r="AS78" i="42"/>
  <c r="AT78" i="42"/>
  <c r="AU78" i="42"/>
  <c r="AV78" i="42"/>
  <c r="AW78" i="42"/>
  <c r="AX78" i="42"/>
  <c r="AY78" i="42"/>
  <c r="AZ78" i="42"/>
  <c r="BA78" i="42"/>
  <c r="BB78" i="42"/>
  <c r="BC78" i="42"/>
  <c r="BD78" i="42"/>
  <c r="BE78" i="42"/>
  <c r="BF78" i="42"/>
  <c r="BG78" i="42"/>
  <c r="BH78" i="42"/>
  <c r="AN74" i="42"/>
  <c r="AO74" i="42"/>
  <c r="AP74" i="42"/>
  <c r="AQ74" i="42"/>
  <c r="AR74" i="42"/>
  <c r="AS74" i="42"/>
  <c r="AT74" i="42"/>
  <c r="AU74" i="42"/>
  <c r="AV74" i="42"/>
  <c r="AW74" i="42"/>
  <c r="AX74" i="42"/>
  <c r="AY74" i="42"/>
  <c r="AZ74" i="42"/>
  <c r="BA74" i="42"/>
  <c r="BB74" i="42"/>
  <c r="BC74" i="42"/>
  <c r="BD74" i="42"/>
  <c r="BE74" i="42"/>
  <c r="BF74" i="42"/>
  <c r="BG74" i="42"/>
  <c r="BH74" i="42"/>
  <c r="AN75" i="42"/>
  <c r="AO75" i="42"/>
  <c r="AP75" i="42"/>
  <c r="AQ75" i="42"/>
  <c r="AR75" i="42"/>
  <c r="AS75" i="42"/>
  <c r="AT75" i="42"/>
  <c r="AU75" i="42"/>
  <c r="AV75" i="42"/>
  <c r="AW75" i="42"/>
  <c r="AX75" i="42"/>
  <c r="AY75" i="42"/>
  <c r="AZ75" i="42"/>
  <c r="BA75" i="42"/>
  <c r="BB75" i="42"/>
  <c r="BC75" i="42"/>
  <c r="BD75" i="42"/>
  <c r="BE75" i="42"/>
  <c r="BF75" i="42"/>
  <c r="BG75" i="42"/>
  <c r="BH75" i="42"/>
  <c r="AR7" i="12"/>
  <c r="AS7" i="12"/>
  <c r="AT7" i="12"/>
  <c r="AU7" i="12"/>
  <c r="AV7" i="12"/>
  <c r="AW7" i="12"/>
  <c r="AX7" i="12"/>
  <c r="AY7" i="12"/>
  <c r="AZ7" i="12"/>
  <c r="BA7" i="12"/>
  <c r="BB7" i="12"/>
  <c r="BC7" i="12"/>
  <c r="AJ7" i="12"/>
  <c r="AK7" i="12"/>
  <c r="AL7" i="12"/>
  <c r="AM7" i="12"/>
  <c r="AN7" i="12"/>
  <c r="AO7" i="12"/>
  <c r="AP7" i="12"/>
  <c r="AQ7" i="12"/>
  <c r="AF3" i="23"/>
  <c r="AG3" i="23"/>
  <c r="AH3" i="23"/>
  <c r="AI3" i="23"/>
  <c r="AJ3" i="23"/>
  <c r="AK3" i="23"/>
  <c r="AL3" i="23"/>
  <c r="AM3" i="23"/>
  <c r="AN3" i="23"/>
  <c r="AO3" i="23"/>
  <c r="AP3" i="23"/>
  <c r="AQ3" i="23"/>
  <c r="AR3" i="23"/>
  <c r="AS3" i="23"/>
  <c r="AT3" i="23"/>
  <c r="AU3" i="23"/>
  <c r="AV3" i="23"/>
  <c r="AW3" i="23"/>
  <c r="AX3" i="23"/>
  <c r="AY3" i="23"/>
  <c r="AF7" i="23"/>
  <c r="AG7" i="23"/>
  <c r="AH7" i="23"/>
  <c r="AI7" i="23"/>
  <c r="AJ7" i="23"/>
  <c r="AK7" i="23"/>
  <c r="AL7" i="23"/>
  <c r="AM7" i="23"/>
  <c r="AN7" i="23"/>
  <c r="AO7" i="23"/>
  <c r="AP7" i="23"/>
  <c r="AQ7" i="23"/>
  <c r="AR7" i="23"/>
  <c r="AS7" i="23"/>
  <c r="AT7" i="23"/>
  <c r="AU7" i="23"/>
  <c r="AV7" i="23"/>
  <c r="AW7" i="23"/>
  <c r="AX7" i="23"/>
  <c r="AY7" i="23"/>
  <c r="AF8" i="25"/>
  <c r="AG8" i="25"/>
  <c r="AH8" i="25"/>
  <c r="AI8" i="25"/>
  <c r="AJ8" i="25"/>
  <c r="AK8" i="25"/>
  <c r="AL8" i="25"/>
  <c r="AM8" i="25"/>
  <c r="AN8" i="25"/>
  <c r="AO8" i="25"/>
  <c r="AP8" i="25"/>
  <c r="AQ8" i="25"/>
  <c r="AR8" i="25"/>
  <c r="AS8" i="25"/>
  <c r="AT8" i="25"/>
  <c r="AU8" i="25"/>
  <c r="AV8" i="25"/>
  <c r="AW8" i="25"/>
  <c r="AX8" i="25"/>
  <c r="AY8" i="25"/>
  <c r="AY3" i="21"/>
  <c r="AY7" i="21"/>
  <c r="AF3" i="21"/>
  <c r="AG3" i="21"/>
  <c r="AH3" i="21"/>
  <c r="AI3" i="21"/>
  <c r="AJ3" i="21"/>
  <c r="AK3" i="21"/>
  <c r="AL3" i="21"/>
  <c r="AM3" i="21"/>
  <c r="AN3" i="21"/>
  <c r="AO3" i="21"/>
  <c r="AP3" i="21"/>
  <c r="AQ3" i="21"/>
  <c r="AR3" i="21"/>
  <c r="AS3" i="21"/>
  <c r="AT3" i="21"/>
  <c r="AU3" i="21"/>
  <c r="AV3" i="21"/>
  <c r="AW3" i="21"/>
  <c r="AX3" i="21"/>
  <c r="AF7" i="21"/>
  <c r="AG7" i="21"/>
  <c r="AH7" i="21"/>
  <c r="AI7" i="21"/>
  <c r="AJ7" i="21"/>
  <c r="AK7" i="21"/>
  <c r="AL7" i="21"/>
  <c r="AM7" i="21"/>
  <c r="AN7" i="21"/>
  <c r="AO7" i="21"/>
  <c r="AP7" i="21"/>
  <c r="AQ7" i="21"/>
  <c r="AR7" i="21"/>
  <c r="AS7" i="21"/>
  <c r="AT7" i="21"/>
  <c r="AU7" i="21"/>
  <c r="AV7" i="21"/>
  <c r="AW7" i="21"/>
  <c r="AX7" i="21"/>
  <c r="AF8" i="15"/>
  <c r="AG8" i="15"/>
  <c r="AH8" i="15"/>
  <c r="AI8" i="15"/>
  <c r="AJ8" i="15"/>
  <c r="AK8" i="15"/>
  <c r="AL8" i="15"/>
  <c r="AM8" i="15"/>
  <c r="AN8" i="15"/>
  <c r="AO8" i="15"/>
  <c r="AP8" i="15"/>
  <c r="AQ8" i="15"/>
  <c r="AR8" i="15"/>
  <c r="AS8" i="15"/>
  <c r="AT8" i="15"/>
  <c r="AU8" i="15"/>
  <c r="AV8" i="15"/>
  <c r="AW8" i="15"/>
  <c r="AX8" i="15"/>
  <c r="AY8" i="15"/>
  <c r="AC8" i="16"/>
  <c r="AD8" i="16"/>
  <c r="AE8" i="16"/>
  <c r="AF8" i="16"/>
  <c r="AG8" i="16"/>
  <c r="AH8" i="16"/>
  <c r="AI8" i="16"/>
  <c r="AJ8" i="16"/>
  <c r="AK8" i="16"/>
  <c r="AL8" i="16"/>
  <c r="AM8" i="16"/>
  <c r="AN8" i="16"/>
  <c r="AO8" i="16"/>
  <c r="AP8" i="16"/>
  <c r="AQ8" i="16"/>
  <c r="AR8" i="16"/>
  <c r="AS8" i="16"/>
  <c r="AT8" i="16"/>
  <c r="AU8" i="16"/>
  <c r="AV8" i="16"/>
  <c r="AW8" i="16"/>
  <c r="AX8" i="16"/>
  <c r="AY8" i="16"/>
  <c r="AC9" i="16"/>
  <c r="AD9" i="16"/>
  <c r="AE9" i="16"/>
  <c r="AF9" i="16"/>
  <c r="AG9" i="16"/>
  <c r="AH9" i="16"/>
  <c r="AI9" i="16"/>
  <c r="AJ9" i="16"/>
  <c r="AK9" i="16"/>
  <c r="AL9" i="16"/>
  <c r="AM9" i="16"/>
  <c r="AN9" i="16"/>
  <c r="AO9" i="16"/>
  <c r="AP9" i="16"/>
  <c r="AQ9" i="16"/>
  <c r="AR9" i="16"/>
  <c r="AS9" i="16"/>
  <c r="AT9" i="16"/>
  <c r="AU9" i="16"/>
  <c r="AV9" i="16"/>
  <c r="AW9" i="16"/>
  <c r="AX9" i="16"/>
  <c r="AY9" i="16"/>
  <c r="AB9" i="16"/>
  <c r="AC7" i="16"/>
  <c r="AD7" i="16"/>
  <c r="AE7" i="16"/>
  <c r="AF7" i="16"/>
  <c r="AG7" i="16"/>
  <c r="AH7" i="16"/>
  <c r="AI7" i="16"/>
  <c r="AJ7" i="16"/>
  <c r="AK7" i="16"/>
  <c r="AL7" i="16"/>
  <c r="AM7" i="16"/>
  <c r="AN7" i="16"/>
  <c r="AO7" i="16"/>
  <c r="AP7" i="16"/>
  <c r="AQ7" i="16"/>
  <c r="AR7" i="16"/>
  <c r="AS7" i="16"/>
  <c r="AT7" i="16"/>
  <c r="AU7" i="16"/>
  <c r="AV7" i="16"/>
  <c r="AW7" i="16"/>
  <c r="AX7" i="16"/>
  <c r="AY7" i="16"/>
  <c r="D8" i="16"/>
  <c r="E8" i="16"/>
  <c r="F8" i="16"/>
  <c r="G8" i="16"/>
  <c r="H8" i="16"/>
  <c r="I8" i="16"/>
  <c r="J8" i="16"/>
  <c r="K8" i="16"/>
  <c r="L8" i="16"/>
  <c r="M8" i="16"/>
  <c r="N8" i="16"/>
  <c r="O8" i="16"/>
  <c r="P8" i="16"/>
  <c r="Q8" i="16"/>
  <c r="R8" i="16"/>
  <c r="S8" i="16"/>
  <c r="T8" i="16"/>
  <c r="U8" i="16"/>
  <c r="V8" i="16"/>
  <c r="W8" i="16"/>
  <c r="X8" i="16"/>
  <c r="Y8" i="16"/>
  <c r="Z8" i="16"/>
  <c r="AA8" i="16"/>
  <c r="AB8" i="16"/>
  <c r="AF3" i="18"/>
  <c r="AG3" i="18"/>
  <c r="AH3" i="18"/>
  <c r="AI3" i="18"/>
  <c r="AJ3" i="18"/>
  <c r="AK3" i="18"/>
  <c r="AL3" i="18"/>
  <c r="AM3" i="18"/>
  <c r="AN3" i="18"/>
  <c r="AO3" i="18"/>
  <c r="AP3" i="18"/>
  <c r="AQ3" i="18"/>
  <c r="AR3" i="18"/>
  <c r="AS3" i="18"/>
  <c r="AT3" i="18"/>
  <c r="AU3" i="18"/>
  <c r="AV3" i="18"/>
  <c r="AW3" i="18"/>
  <c r="AX3" i="18"/>
  <c r="AY3" i="18"/>
  <c r="AF7" i="18"/>
  <c r="AG7" i="18"/>
  <c r="AH7" i="18"/>
  <c r="AI7" i="18"/>
  <c r="AJ7" i="18"/>
  <c r="AK7" i="18"/>
  <c r="AL7" i="18"/>
  <c r="AM7" i="18"/>
  <c r="AN7" i="18"/>
  <c r="AO7" i="18"/>
  <c r="AP7" i="18"/>
  <c r="AQ7" i="18"/>
  <c r="AR7" i="18"/>
  <c r="AS7" i="18"/>
  <c r="AT7" i="18"/>
  <c r="AU7" i="18"/>
  <c r="AV7" i="18"/>
  <c r="AW7" i="18"/>
  <c r="AX7" i="18"/>
  <c r="AY7" i="18"/>
  <c r="AC8" i="15"/>
  <c r="AD8" i="15"/>
  <c r="AE8" i="15"/>
  <c r="AC7" i="21"/>
  <c r="AD7" i="21"/>
  <c r="AE7" i="21"/>
  <c r="AB3" i="23"/>
  <c r="AC3" i="23"/>
  <c r="AD3" i="23"/>
  <c r="AE3" i="23"/>
  <c r="AB7" i="23"/>
  <c r="AC7" i="23"/>
  <c r="AD7" i="23"/>
  <c r="AE7" i="23"/>
  <c r="AC3" i="18"/>
  <c r="AD3" i="18"/>
  <c r="AE3" i="18"/>
  <c r="AC7" i="18"/>
  <c r="AD7" i="18"/>
  <c r="AE7" i="18"/>
  <c r="I104" i="41" l="1"/>
  <c r="I105" i="41"/>
  <c r="H104" i="41"/>
  <c r="F104" i="41"/>
  <c r="H105" i="41"/>
  <c r="F105" i="41"/>
  <c r="C170" i="42"/>
  <c r="C169" i="42"/>
  <c r="C168" i="42"/>
  <c r="C167" i="42"/>
  <c r="D127" i="42"/>
  <c r="D99" i="41"/>
  <c r="H99" i="41"/>
  <c r="D119" i="42"/>
  <c r="C136" i="42"/>
  <c r="C134" i="42"/>
  <c r="C133" i="42"/>
  <c r="D100" i="41"/>
  <c r="E24" i="35"/>
  <c r="E19" i="35"/>
  <c r="E2" i="35"/>
  <c r="E105" i="41" l="1"/>
  <c r="G104" i="41"/>
  <c r="E104" i="41"/>
  <c r="F100" i="41"/>
  <c r="E100" i="41"/>
  <c r="F99" i="41"/>
  <c r="E99" i="41"/>
  <c r="H18" i="46" l="1"/>
  <c r="G18" i="46"/>
  <c r="F18" i="46"/>
  <c r="E18" i="46"/>
  <c r="D18" i="46"/>
  <c r="C18" i="46"/>
  <c r="B18" i="46"/>
  <c r="G14" i="46" l="1"/>
  <c r="B14" i="46"/>
  <c r="C14" i="46"/>
  <c r="D14" i="46"/>
  <c r="E14" i="46"/>
  <c r="F14" i="46"/>
  <c r="H14" i="46"/>
  <c r="I14" i="46"/>
  <c r="J14" i="46"/>
  <c r="K14" i="46"/>
  <c r="L14" i="46"/>
  <c r="M14" i="46"/>
  <c r="N14" i="46"/>
  <c r="O14" i="46"/>
  <c r="P14" i="46"/>
  <c r="Q14" i="46"/>
  <c r="R14" i="46"/>
  <c r="S14" i="46"/>
  <c r="T14" i="46"/>
  <c r="U14" i="46"/>
  <c r="V14" i="46"/>
  <c r="W14" i="46"/>
  <c r="X14" i="46"/>
  <c r="Y14" i="46"/>
  <c r="Z14" i="46"/>
  <c r="AA14" i="46"/>
  <c r="AB14" i="46"/>
  <c r="AC14" i="46"/>
  <c r="AD14" i="46"/>
  <c r="A14" i="46"/>
  <c r="B11" i="46"/>
  <c r="A11" i="46"/>
  <c r="H161" i="42" l="1"/>
  <c r="D13" i="41" l="1"/>
  <c r="D14" i="41"/>
  <c r="B38" i="40"/>
  <c r="B37" i="40"/>
  <c r="B40" i="40" s="1"/>
  <c r="D122" i="42" l="1"/>
  <c r="D125" i="41" s="1"/>
  <c r="AH127" i="42" l="1"/>
  <c r="AC127" i="42"/>
  <c r="X127" i="42"/>
  <c r="S127" i="42"/>
  <c r="N127" i="42"/>
  <c r="I127" i="42"/>
  <c r="AH124" i="42"/>
  <c r="AC124" i="42"/>
  <c r="X124" i="42"/>
  <c r="S124" i="42"/>
  <c r="N124" i="42"/>
  <c r="I124" i="42"/>
  <c r="D124" i="42"/>
  <c r="AH126" i="42"/>
  <c r="AC126" i="42"/>
  <c r="X126" i="42"/>
  <c r="S126" i="42"/>
  <c r="N126" i="42"/>
  <c r="I126" i="42"/>
  <c r="D126" i="42"/>
  <c r="AH123" i="42"/>
  <c r="AC123" i="42"/>
  <c r="X123" i="42"/>
  <c r="S123" i="42"/>
  <c r="N123" i="42"/>
  <c r="I123" i="42"/>
  <c r="D123" i="42"/>
  <c r="AH125" i="42"/>
  <c r="AC125" i="42"/>
  <c r="X125" i="42"/>
  <c r="S125" i="42"/>
  <c r="N125" i="42"/>
  <c r="I125" i="42"/>
  <c r="D125" i="42"/>
  <c r="AH122" i="42"/>
  <c r="AC122" i="42"/>
  <c r="X122" i="42"/>
  <c r="S122" i="42"/>
  <c r="N122" i="42"/>
  <c r="I122" i="42"/>
  <c r="AK125" i="41" l="1"/>
  <c r="AI10" i="12" s="1"/>
  <c r="H125" i="41"/>
  <c r="M125" i="41"/>
  <c r="R125" i="41"/>
  <c r="W125" i="41"/>
  <c r="AB125" i="41"/>
  <c r="AG125" i="41"/>
  <c r="S129" i="42"/>
  <c r="X129" i="42"/>
  <c r="AC129" i="42"/>
  <c r="AH129" i="42"/>
  <c r="D129" i="42"/>
  <c r="N129" i="42"/>
  <c r="I129" i="42"/>
  <c r="E125" i="42"/>
  <c r="F125" i="42" l="1"/>
  <c r="E130" i="41"/>
  <c r="N27" i="41"/>
  <c r="X27" i="41"/>
  <c r="D27" i="41"/>
  <c r="S27" i="41"/>
  <c r="AH27" i="41"/>
  <c r="I27" i="41"/>
  <c r="AC27" i="41"/>
  <c r="G125" i="42"/>
  <c r="G130" i="41" s="1"/>
  <c r="AH119" i="42"/>
  <c r="AH118" i="42"/>
  <c r="AH117" i="42"/>
  <c r="AH116" i="42"/>
  <c r="AC119" i="42"/>
  <c r="AC118" i="42"/>
  <c r="AC117" i="42"/>
  <c r="AC116" i="42"/>
  <c r="X119" i="42"/>
  <c r="X118" i="42"/>
  <c r="X117" i="42"/>
  <c r="X116" i="42"/>
  <c r="S119" i="42"/>
  <c r="S118" i="42"/>
  <c r="S117" i="42"/>
  <c r="S116" i="42"/>
  <c r="N119" i="42"/>
  <c r="N118" i="42"/>
  <c r="N117" i="42"/>
  <c r="N116" i="42"/>
  <c r="I119" i="42"/>
  <c r="D117" i="42"/>
  <c r="D118" i="42"/>
  <c r="I118" i="42"/>
  <c r="I117" i="42"/>
  <c r="D116" i="42"/>
  <c r="I116" i="42"/>
  <c r="E122" i="42"/>
  <c r="E125" i="41" s="1"/>
  <c r="J122" i="42"/>
  <c r="I125" i="41" s="1"/>
  <c r="Y122" i="42"/>
  <c r="X125" i="41" s="1"/>
  <c r="AI122" i="42"/>
  <c r="AH125" i="41" s="1"/>
  <c r="E123" i="42"/>
  <c r="J123" i="42"/>
  <c r="T123" i="42"/>
  <c r="Y123" i="42"/>
  <c r="E124" i="42"/>
  <c r="O124" i="42"/>
  <c r="T124" i="42"/>
  <c r="J125" i="42"/>
  <c r="J130" i="41" s="1"/>
  <c r="O125" i="42"/>
  <c r="O130" i="41" s="1"/>
  <c r="Y125" i="42"/>
  <c r="Y130" i="41" s="1"/>
  <c r="AI125" i="42"/>
  <c r="AI130" i="41" s="1"/>
  <c r="AC10" i="26" s="1"/>
  <c r="O126" i="42"/>
  <c r="Y126" i="42"/>
  <c r="T3" i="42"/>
  <c r="F130" i="41" l="1"/>
  <c r="I130" i="41"/>
  <c r="N130" i="41"/>
  <c r="S130" i="41"/>
  <c r="X130" i="41"/>
  <c r="AC130" i="41"/>
  <c r="AH130" i="41"/>
  <c r="J129" i="42"/>
  <c r="AI129" i="42"/>
  <c r="Y129" i="42"/>
  <c r="E129" i="42"/>
  <c r="E135" i="41" s="1"/>
  <c r="AH120" i="42"/>
  <c r="P125" i="42"/>
  <c r="P130" i="41" s="1"/>
  <c r="F123" i="42"/>
  <c r="AJ122" i="42"/>
  <c r="AI125" i="41" s="1"/>
  <c r="AG10" i="12" s="1"/>
  <c r="U124" i="42"/>
  <c r="K123" i="42"/>
  <c r="AJ125" i="42"/>
  <c r="AJ130" i="41" s="1"/>
  <c r="AD10" i="26" s="1"/>
  <c r="AD126" i="42"/>
  <c r="Z123" i="42"/>
  <c r="K122" i="42"/>
  <c r="J125" i="41" s="1"/>
  <c r="AD125" i="42"/>
  <c r="AD130" i="41" s="1"/>
  <c r="P124" i="42"/>
  <c r="E126" i="42"/>
  <c r="Z125" i="42"/>
  <c r="Z130" i="41" s="1"/>
  <c r="Z122" i="42"/>
  <c r="Y125" i="41" s="1"/>
  <c r="AI126" i="42"/>
  <c r="P126" i="42"/>
  <c r="AI124" i="42"/>
  <c r="E117" i="42"/>
  <c r="J126" i="42"/>
  <c r="Y124" i="42"/>
  <c r="O122" i="42"/>
  <c r="N125" i="41" s="1"/>
  <c r="J124" i="42"/>
  <c r="AI123" i="42"/>
  <c r="T122" i="42"/>
  <c r="S125" i="41" s="1"/>
  <c r="T126" i="42"/>
  <c r="AD124" i="42"/>
  <c r="F124" i="42"/>
  <c r="O123" i="42"/>
  <c r="T125" i="42"/>
  <c r="T130" i="41" s="1"/>
  <c r="Z126" i="42"/>
  <c r="K125" i="42"/>
  <c r="K130" i="41" s="1"/>
  <c r="U123" i="42"/>
  <c r="AD122" i="42"/>
  <c r="AC125" i="41" s="1"/>
  <c r="F122" i="42"/>
  <c r="AD123" i="42"/>
  <c r="F125" i="41" l="1"/>
  <c r="Y27" i="41"/>
  <c r="AI27" i="41"/>
  <c r="AC3" i="21" s="1"/>
  <c r="J27" i="41"/>
  <c r="E27" i="41"/>
  <c r="F129" i="42"/>
  <c r="AD129" i="42"/>
  <c r="AD135" i="41" s="1"/>
  <c r="AK122" i="42"/>
  <c r="AJ125" i="41" s="1"/>
  <c r="AH10" i="12" s="1"/>
  <c r="AJ129" i="42"/>
  <c r="AJ135" i="41" s="1"/>
  <c r="T129" i="42"/>
  <c r="T135" i="41" s="1"/>
  <c r="K129" i="42"/>
  <c r="K135" i="41" s="1"/>
  <c r="L125" i="42"/>
  <c r="L130" i="41" s="1"/>
  <c r="Z129" i="42"/>
  <c r="Z135" i="41" s="1"/>
  <c r="O129" i="42"/>
  <c r="O135" i="41" s="1"/>
  <c r="G123" i="42"/>
  <c r="L123" i="42"/>
  <c r="U122" i="42"/>
  <c r="T125" i="41" s="1"/>
  <c r="L122" i="42"/>
  <c r="K125" i="41" s="1"/>
  <c r="P123" i="42"/>
  <c r="G124" i="42"/>
  <c r="H124" i="42" s="1"/>
  <c r="V124" i="42"/>
  <c r="Z124" i="42"/>
  <c r="AA122" i="42"/>
  <c r="Z125" i="41" s="1"/>
  <c r="AE126" i="42"/>
  <c r="G122" i="42"/>
  <c r="G125" i="41" s="1"/>
  <c r="AE122" i="42"/>
  <c r="AD125" i="41" s="1"/>
  <c r="AJ126" i="42"/>
  <c r="V123" i="42"/>
  <c r="AE124" i="42"/>
  <c r="AA125" i="42"/>
  <c r="AA130" i="41" s="1"/>
  <c r="AK125" i="42"/>
  <c r="AK130" i="41" s="1"/>
  <c r="AE10" i="26" s="1"/>
  <c r="AE123" i="42"/>
  <c r="AJ124" i="42"/>
  <c r="Q126" i="42"/>
  <c r="AA123" i="42"/>
  <c r="K126" i="42"/>
  <c r="F126" i="42"/>
  <c r="U125" i="42"/>
  <c r="U130" i="41" s="1"/>
  <c r="AE125" i="42"/>
  <c r="AE130" i="41" s="1"/>
  <c r="AJ123" i="42"/>
  <c r="K124" i="42"/>
  <c r="P122" i="42"/>
  <c r="O125" i="41" s="1"/>
  <c r="AA126" i="42"/>
  <c r="U126" i="42"/>
  <c r="Q124" i="42"/>
  <c r="Q125" i="42"/>
  <c r="Q130" i="41" s="1"/>
  <c r="C135" i="42"/>
  <c r="I135" i="41" l="1"/>
  <c r="N135" i="41"/>
  <c r="AH135" i="41"/>
  <c r="AC135" i="41"/>
  <c r="X135" i="41"/>
  <c r="S135" i="41"/>
  <c r="Y135" i="41"/>
  <c r="AI135" i="41"/>
  <c r="J135" i="41"/>
  <c r="F135" i="41"/>
  <c r="H123" i="42"/>
  <c r="H80" i="41" s="1"/>
  <c r="F27" i="41"/>
  <c r="O27" i="41"/>
  <c r="T27" i="41"/>
  <c r="Z27" i="41"/>
  <c r="AJ27" i="41"/>
  <c r="AD3" i="21" s="1"/>
  <c r="M123" i="42"/>
  <c r="K27" i="41"/>
  <c r="AD27" i="41"/>
  <c r="AK129" i="42"/>
  <c r="AK135" i="41" s="1"/>
  <c r="AE129" i="42"/>
  <c r="AE135" i="41" s="1"/>
  <c r="P129" i="42"/>
  <c r="P135" i="41" s="1"/>
  <c r="L129" i="42"/>
  <c r="L135" i="41" s="1"/>
  <c r="G129" i="42"/>
  <c r="G135" i="41" s="1"/>
  <c r="U129" i="42"/>
  <c r="U135" i="41" s="1"/>
  <c r="AA129" i="42"/>
  <c r="AA135" i="41" s="1"/>
  <c r="AF123" i="42"/>
  <c r="Q123" i="42"/>
  <c r="V122" i="42"/>
  <c r="U125" i="41" s="1"/>
  <c r="Q122" i="42"/>
  <c r="P125" i="41" s="1"/>
  <c r="AF126" i="42"/>
  <c r="L124" i="42"/>
  <c r="G126" i="42"/>
  <c r="AB123" i="42"/>
  <c r="AK126" i="42"/>
  <c r="AB122" i="42"/>
  <c r="AA125" i="41" s="1"/>
  <c r="R125" i="42"/>
  <c r="R130" i="41" s="1"/>
  <c r="V126" i="42"/>
  <c r="M122" i="42"/>
  <c r="L125" i="41" s="1"/>
  <c r="AK123" i="42"/>
  <c r="L126" i="42"/>
  <c r="R126" i="42"/>
  <c r="AB125" i="42"/>
  <c r="AB130" i="41" s="1"/>
  <c r="AF122" i="42"/>
  <c r="AE125" i="41" s="1"/>
  <c r="AA124" i="42"/>
  <c r="M125" i="42"/>
  <c r="M130" i="41" s="1"/>
  <c r="R124" i="42"/>
  <c r="V125" i="42"/>
  <c r="V130" i="41" s="1"/>
  <c r="W123" i="42"/>
  <c r="AB126" i="42"/>
  <c r="W124" i="42"/>
  <c r="AF125" i="42"/>
  <c r="AF130" i="41" s="1"/>
  <c r="AK124" i="42"/>
  <c r="AF124" i="42"/>
  <c r="H122" i="42"/>
  <c r="E127" i="42"/>
  <c r="AD127" i="42"/>
  <c r="AI127" i="42"/>
  <c r="Y127" i="42"/>
  <c r="T127" i="42"/>
  <c r="O127" i="42"/>
  <c r="J127" i="42"/>
  <c r="L27" i="41" l="1"/>
  <c r="AA27" i="41"/>
  <c r="P27" i="41"/>
  <c r="U27" i="41"/>
  <c r="AE27" i="41"/>
  <c r="G27" i="41"/>
  <c r="AK27" i="41"/>
  <c r="AE3" i="21" s="1"/>
  <c r="M129" i="42"/>
  <c r="M135" i="41" s="1"/>
  <c r="Q129" i="42"/>
  <c r="Q135" i="41" s="1"/>
  <c r="V129" i="42"/>
  <c r="V135" i="41" s="1"/>
  <c r="AF129" i="42"/>
  <c r="AF135" i="41" s="1"/>
  <c r="AB129" i="42"/>
  <c r="AB135" i="41" s="1"/>
  <c r="H125" i="42"/>
  <c r="H130" i="41" s="1"/>
  <c r="W126" i="42"/>
  <c r="R122" i="42"/>
  <c r="Q125" i="41" s="1"/>
  <c r="AG123" i="42"/>
  <c r="AG126" i="42"/>
  <c r="W125" i="42"/>
  <c r="W130" i="41" s="1"/>
  <c r="M126" i="42"/>
  <c r="W122" i="42"/>
  <c r="V125" i="41" s="1"/>
  <c r="AG124" i="42"/>
  <c r="AG122" i="42"/>
  <c r="AF125" i="41" s="1"/>
  <c r="M124" i="42"/>
  <c r="R123" i="42"/>
  <c r="AJ127" i="42"/>
  <c r="AG125" i="42"/>
  <c r="AG130" i="41" s="1"/>
  <c r="AB124" i="42"/>
  <c r="H126" i="42"/>
  <c r="AE127" i="42"/>
  <c r="P127" i="42"/>
  <c r="U127" i="42"/>
  <c r="F127" i="42"/>
  <c r="G127" i="42" s="1"/>
  <c r="K127" i="42"/>
  <c r="Z127" i="42"/>
  <c r="H129" i="42" l="1"/>
  <c r="H135" i="41" s="1"/>
  <c r="AB27" i="41"/>
  <c r="V3" i="21" s="1"/>
  <c r="M27" i="41"/>
  <c r="G3" i="21" s="1"/>
  <c r="L3" i="18"/>
  <c r="Q3" i="23"/>
  <c r="V27" i="41"/>
  <c r="P3" i="21" s="1"/>
  <c r="AA3" i="18"/>
  <c r="AF27" i="41"/>
  <c r="Z3" i="21" s="1"/>
  <c r="G3" i="23"/>
  <c r="H27" i="41"/>
  <c r="B3" i="21" s="1"/>
  <c r="Q27" i="41"/>
  <c r="K3" i="21" s="1"/>
  <c r="R129" i="42"/>
  <c r="R135" i="41" s="1"/>
  <c r="AG129" i="42"/>
  <c r="AG135" i="41" s="1"/>
  <c r="W129" i="42"/>
  <c r="W135" i="41" s="1"/>
  <c r="AK127" i="42"/>
  <c r="Q127" i="42"/>
  <c r="L127" i="42"/>
  <c r="AA127" i="42"/>
  <c r="V127" i="42"/>
  <c r="AF127" i="42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O7" i="16"/>
  <c r="P7" i="16"/>
  <c r="Q7" i="16"/>
  <c r="R7" i="16"/>
  <c r="S7" i="16"/>
  <c r="T7" i="16"/>
  <c r="U7" i="16"/>
  <c r="V7" i="16"/>
  <c r="W7" i="16"/>
  <c r="X7" i="16"/>
  <c r="Y7" i="16"/>
  <c r="Z7" i="16"/>
  <c r="AA7" i="16"/>
  <c r="AB7" i="16"/>
  <c r="C3" i="21"/>
  <c r="D3" i="21"/>
  <c r="E3" i="21"/>
  <c r="F3" i="21"/>
  <c r="H3" i="21"/>
  <c r="I3" i="21"/>
  <c r="J3" i="21"/>
  <c r="M3" i="21"/>
  <c r="N3" i="21"/>
  <c r="O3" i="21"/>
  <c r="R3" i="21"/>
  <c r="S3" i="21"/>
  <c r="T3" i="21"/>
  <c r="U3" i="21"/>
  <c r="W3" i="21"/>
  <c r="X3" i="21"/>
  <c r="Y3" i="21"/>
  <c r="AB3" i="21"/>
  <c r="B3" i="23"/>
  <c r="C3" i="23"/>
  <c r="D3" i="23"/>
  <c r="E3" i="23"/>
  <c r="F3" i="23"/>
  <c r="H3" i="23"/>
  <c r="I3" i="23"/>
  <c r="J3" i="23"/>
  <c r="K3" i="23"/>
  <c r="L3" i="23"/>
  <c r="M3" i="23"/>
  <c r="N3" i="23"/>
  <c r="O3" i="23"/>
  <c r="P3" i="23"/>
  <c r="R3" i="23"/>
  <c r="S3" i="23"/>
  <c r="T3" i="23"/>
  <c r="U3" i="23"/>
  <c r="V3" i="23"/>
  <c r="W3" i="23"/>
  <c r="X3" i="23"/>
  <c r="Y3" i="23"/>
  <c r="Z3" i="23"/>
  <c r="AA3" i="23"/>
  <c r="B3" i="18"/>
  <c r="C3" i="18"/>
  <c r="D3" i="18"/>
  <c r="E3" i="18"/>
  <c r="F3" i="18"/>
  <c r="G3" i="18"/>
  <c r="H3" i="18"/>
  <c r="I3" i="18"/>
  <c r="J3" i="18"/>
  <c r="K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B3" i="18"/>
  <c r="R27" i="41" l="1"/>
  <c r="L3" i="21" s="1"/>
  <c r="W27" i="41"/>
  <c r="Q3" i="21" s="1"/>
  <c r="AG27" i="41"/>
  <c r="AA3" i="21" s="1"/>
  <c r="M127" i="42"/>
  <c r="H127" i="42"/>
  <c r="AG127" i="42"/>
  <c r="AB127" i="42"/>
  <c r="W127" i="42"/>
  <c r="R127" i="42"/>
  <c r="I100" i="41"/>
  <c r="G100" i="41" s="1"/>
  <c r="H100" i="41" s="1"/>
  <c r="I99" i="41"/>
  <c r="AG163" i="42"/>
  <c r="AG162" i="42"/>
  <c r="AG161" i="42"/>
  <c r="AG160" i="42"/>
  <c r="AB163" i="42"/>
  <c r="AB162" i="42"/>
  <c r="AB161" i="42"/>
  <c r="AB160" i="42"/>
  <c r="W163" i="42"/>
  <c r="W162" i="42"/>
  <c r="W161" i="42"/>
  <c r="W160" i="42"/>
  <c r="R163" i="42"/>
  <c r="R162" i="42"/>
  <c r="R161" i="42"/>
  <c r="R160" i="42"/>
  <c r="M163" i="42"/>
  <c r="M162" i="42"/>
  <c r="M161" i="42"/>
  <c r="M160" i="42"/>
  <c r="H162" i="42"/>
  <c r="H163" i="42"/>
  <c r="H160" i="42"/>
  <c r="D16" i="41" l="1"/>
  <c r="D15" i="41"/>
  <c r="J99" i="41"/>
  <c r="C8" i="25"/>
  <c r="C8" i="26"/>
  <c r="J100" i="41"/>
  <c r="AD100" i="41"/>
  <c r="V100" i="41"/>
  <c r="N100" i="41"/>
  <c r="AG99" i="41"/>
  <c r="Y99" i="41"/>
  <c r="Q99" i="41"/>
  <c r="AE100" i="41"/>
  <c r="W100" i="41"/>
  <c r="O100" i="41"/>
  <c r="AH99" i="41"/>
  <c r="Z99" i="41"/>
  <c r="R99" i="41"/>
  <c r="AC100" i="41"/>
  <c r="AF99" i="41"/>
  <c r="P99" i="41"/>
  <c r="AJ100" i="41"/>
  <c r="AD8" i="26" s="1"/>
  <c r="AB100" i="41"/>
  <c r="T100" i="41"/>
  <c r="L100" i="41"/>
  <c r="AE99" i="41"/>
  <c r="W99" i="41"/>
  <c r="O99" i="41"/>
  <c r="U100" i="41"/>
  <c r="X99" i="41"/>
  <c r="AI100" i="41"/>
  <c r="AC8" i="26" s="1"/>
  <c r="AA100" i="41"/>
  <c r="S100" i="41"/>
  <c r="K100" i="41"/>
  <c r="AD99" i="41"/>
  <c r="V99" i="41"/>
  <c r="N99" i="41"/>
  <c r="AK100" i="41"/>
  <c r="AE8" i="26" s="1"/>
  <c r="M100" i="41"/>
  <c r="AH100" i="41"/>
  <c r="Z100" i="41"/>
  <c r="R100" i="41"/>
  <c r="AK99" i="41"/>
  <c r="AE8" i="25" s="1"/>
  <c r="AC99" i="41"/>
  <c r="U99" i="41"/>
  <c r="M99" i="41"/>
  <c r="AG100" i="41"/>
  <c r="Y100" i="41"/>
  <c r="Q100" i="41"/>
  <c r="AJ99" i="41"/>
  <c r="AD8" i="25" s="1"/>
  <c r="AB99" i="41"/>
  <c r="T99" i="41"/>
  <c r="L99" i="41"/>
  <c r="AF100" i="41"/>
  <c r="X100" i="41"/>
  <c r="P100" i="41"/>
  <c r="AI99" i="41"/>
  <c r="AC8" i="25" s="1"/>
  <c r="AA99" i="41"/>
  <c r="S99" i="41"/>
  <c r="K99" i="41"/>
  <c r="AC163" i="42"/>
  <c r="D163" i="42"/>
  <c r="E16" i="41" s="1"/>
  <c r="AC162" i="42"/>
  <c r="X160" i="42"/>
  <c r="E116" i="42"/>
  <c r="F116" i="42" s="1"/>
  <c r="B74" i="42"/>
  <c r="C74" i="42"/>
  <c r="D74" i="42"/>
  <c r="E74" i="42"/>
  <c r="F74" i="42"/>
  <c r="G74" i="42"/>
  <c r="H74" i="42"/>
  <c r="I74" i="42"/>
  <c r="J74" i="42"/>
  <c r="K74" i="42"/>
  <c r="L74" i="42"/>
  <c r="M74" i="42"/>
  <c r="N74" i="42"/>
  <c r="O74" i="42"/>
  <c r="P74" i="42"/>
  <c r="Q74" i="42"/>
  <c r="R74" i="42"/>
  <c r="S74" i="42"/>
  <c r="T74" i="42"/>
  <c r="U74" i="42"/>
  <c r="V74" i="42"/>
  <c r="W74" i="42"/>
  <c r="X74" i="42"/>
  <c r="Y74" i="42"/>
  <c r="Z74" i="42"/>
  <c r="AA74" i="42"/>
  <c r="AB74" i="42"/>
  <c r="AC74" i="42"/>
  <c r="AD74" i="42"/>
  <c r="AE74" i="42"/>
  <c r="AF74" i="42"/>
  <c r="AG74" i="42"/>
  <c r="AH74" i="42"/>
  <c r="AI74" i="42"/>
  <c r="AJ74" i="42"/>
  <c r="AK74" i="42"/>
  <c r="AL74" i="42"/>
  <c r="AM74" i="42"/>
  <c r="B75" i="42"/>
  <c r="C75" i="42"/>
  <c r="D75" i="42"/>
  <c r="E75" i="42"/>
  <c r="F75" i="42"/>
  <c r="G75" i="42"/>
  <c r="H75" i="42"/>
  <c r="I75" i="42"/>
  <c r="J75" i="42"/>
  <c r="K75" i="42"/>
  <c r="L75" i="42"/>
  <c r="M75" i="42"/>
  <c r="N75" i="42"/>
  <c r="O75" i="42"/>
  <c r="P75" i="42"/>
  <c r="Q75" i="42"/>
  <c r="R75" i="42"/>
  <c r="S75" i="42"/>
  <c r="T75" i="42"/>
  <c r="U75" i="42"/>
  <c r="V75" i="42"/>
  <c r="W75" i="42"/>
  <c r="X75" i="42"/>
  <c r="Y75" i="42"/>
  <c r="Z75" i="42"/>
  <c r="AA75" i="42"/>
  <c r="AB75" i="42"/>
  <c r="AC75" i="42"/>
  <c r="AD75" i="42"/>
  <c r="AE75" i="42"/>
  <c r="AF75" i="42"/>
  <c r="AG75" i="42"/>
  <c r="AH75" i="42"/>
  <c r="AI75" i="42"/>
  <c r="AJ75" i="42"/>
  <c r="AK75" i="42"/>
  <c r="AL75" i="42"/>
  <c r="AM75" i="42"/>
  <c r="E119" i="42"/>
  <c r="E118" i="42"/>
  <c r="F118" i="42" s="1"/>
  <c r="G116" i="42" l="1"/>
  <c r="H116" i="42" s="1"/>
  <c r="AL3" i="41"/>
  <c r="AF2" i="20" s="1"/>
  <c r="AM3" i="41"/>
  <c r="AG2" i="20" s="1"/>
  <c r="AN3" i="41"/>
  <c r="AH2" i="20" s="1"/>
  <c r="AO3" i="41"/>
  <c r="AI2" i="20" s="1"/>
  <c r="AP3" i="41"/>
  <c r="AJ2" i="20" s="1"/>
  <c r="AQ3" i="41"/>
  <c r="AK2" i="20" s="1"/>
  <c r="AR3" i="41"/>
  <c r="AL2" i="20" s="1"/>
  <c r="AS3" i="41"/>
  <c r="AM2" i="20" s="1"/>
  <c r="AT3" i="41"/>
  <c r="AN2" i="20" s="1"/>
  <c r="AU3" i="41"/>
  <c r="AO2" i="20" s="1"/>
  <c r="AV3" i="41"/>
  <c r="AP2" i="20" s="1"/>
  <c r="AW3" i="41"/>
  <c r="AQ2" i="20" s="1"/>
  <c r="AX3" i="41"/>
  <c r="AR2" i="20" s="1"/>
  <c r="AY3" i="41"/>
  <c r="AS2" i="20" s="1"/>
  <c r="AZ3" i="41"/>
  <c r="AT2" i="20" s="1"/>
  <c r="BA3" i="41"/>
  <c r="AU2" i="20" s="1"/>
  <c r="BB3" i="41"/>
  <c r="AV2" i="20" s="1"/>
  <c r="BC3" i="41"/>
  <c r="AW2" i="20" s="1"/>
  <c r="BD3" i="41"/>
  <c r="AX2" i="20" s="1"/>
  <c r="BE3" i="41"/>
  <c r="AY2" i="20" s="1"/>
  <c r="G118" i="42"/>
  <c r="H118" i="42" s="1"/>
  <c r="AL5" i="41"/>
  <c r="AM5" i="41"/>
  <c r="AN5" i="41"/>
  <c r="AO5" i="41"/>
  <c r="AP5" i="41"/>
  <c r="AQ5" i="41"/>
  <c r="AR5" i="41"/>
  <c r="AS5" i="41"/>
  <c r="AT5" i="41"/>
  <c r="AU5" i="41"/>
  <c r="AV5" i="41"/>
  <c r="AW5" i="41"/>
  <c r="AX5" i="41"/>
  <c r="AY5" i="41"/>
  <c r="AZ5" i="41"/>
  <c r="BA5" i="41"/>
  <c r="BB5" i="41"/>
  <c r="BC5" i="41"/>
  <c r="BD5" i="41"/>
  <c r="BE5" i="41"/>
  <c r="Y160" i="42"/>
  <c r="AD162" i="42"/>
  <c r="E163" i="42"/>
  <c r="AD163" i="42"/>
  <c r="AE16" i="41" s="1"/>
  <c r="X77" i="42"/>
  <c r="P78" i="42"/>
  <c r="Z78" i="42"/>
  <c r="B78" i="42"/>
  <c r="R78" i="42"/>
  <c r="AH78" i="42"/>
  <c r="J78" i="42"/>
  <c r="G78" i="42"/>
  <c r="AB78" i="42"/>
  <c r="T77" i="42"/>
  <c r="L78" i="42"/>
  <c r="I10" i="41" s="1"/>
  <c r="D78" i="42"/>
  <c r="T8" i="26"/>
  <c r="Y8" i="15"/>
  <c r="Y8" i="25"/>
  <c r="N8" i="15"/>
  <c r="N8" i="25"/>
  <c r="AB8" i="26"/>
  <c r="AD78" i="42"/>
  <c r="E8" i="15"/>
  <c r="E8" i="25"/>
  <c r="V8" i="15"/>
  <c r="V8" i="25"/>
  <c r="U8" i="26"/>
  <c r="N8" i="26"/>
  <c r="I8" i="26"/>
  <c r="S8" i="15"/>
  <c r="S8" i="25"/>
  <c r="T8" i="15"/>
  <c r="T8" i="25"/>
  <c r="W78" i="42"/>
  <c r="AK78" i="42"/>
  <c r="AH10" i="41" s="1"/>
  <c r="M8" i="15"/>
  <c r="M8" i="25"/>
  <c r="G8" i="15"/>
  <c r="G8" i="25"/>
  <c r="G8" i="26"/>
  <c r="V8" i="26"/>
  <c r="Q8" i="26"/>
  <c r="E8" i="26"/>
  <c r="X8" i="26"/>
  <c r="F8" i="26"/>
  <c r="D8" i="26"/>
  <c r="V78" i="42"/>
  <c r="S10" i="41" s="1"/>
  <c r="U8" i="15"/>
  <c r="U8" i="25"/>
  <c r="K8" i="26"/>
  <c r="O8" i="15"/>
  <c r="O8" i="25"/>
  <c r="Y8" i="26"/>
  <c r="H8" i="26"/>
  <c r="W8" i="26"/>
  <c r="AM78" i="42"/>
  <c r="M8" i="26"/>
  <c r="AB8" i="15"/>
  <c r="AB8" i="25"/>
  <c r="S8" i="26"/>
  <c r="W8" i="15"/>
  <c r="W8" i="25"/>
  <c r="H8" i="15"/>
  <c r="H8" i="25"/>
  <c r="R8" i="15"/>
  <c r="R8" i="25"/>
  <c r="C8" i="15"/>
  <c r="D8" i="15"/>
  <c r="D8" i="25"/>
  <c r="Z8" i="26"/>
  <c r="F8" i="15"/>
  <c r="F8" i="25"/>
  <c r="J8" i="26"/>
  <c r="AA8" i="26"/>
  <c r="P8" i="15"/>
  <c r="P8" i="25"/>
  <c r="O8" i="26"/>
  <c r="I8" i="15"/>
  <c r="I8" i="25"/>
  <c r="J8" i="15"/>
  <c r="J8" i="25"/>
  <c r="K8" i="15"/>
  <c r="K8" i="25"/>
  <c r="AA8" i="15"/>
  <c r="AA8" i="25"/>
  <c r="P8" i="26"/>
  <c r="R8" i="26"/>
  <c r="L8" i="26"/>
  <c r="X8" i="15"/>
  <c r="X8" i="25"/>
  <c r="Q8" i="15"/>
  <c r="Q8" i="25"/>
  <c r="Z8" i="15"/>
  <c r="Z8" i="25"/>
  <c r="L8" i="15"/>
  <c r="L8" i="25"/>
  <c r="N161" i="42"/>
  <c r="AJ78" i="42"/>
  <c r="AE77" i="42"/>
  <c r="W77" i="42"/>
  <c r="V77" i="42"/>
  <c r="N78" i="42"/>
  <c r="F77" i="42"/>
  <c r="U77" i="42"/>
  <c r="M78" i="42"/>
  <c r="E77" i="42"/>
  <c r="N162" i="42"/>
  <c r="AK77" i="42"/>
  <c r="AC77" i="42"/>
  <c r="U78" i="42"/>
  <c r="M77" i="42"/>
  <c r="E78" i="42"/>
  <c r="AA77" i="42"/>
  <c r="K77" i="42"/>
  <c r="C77" i="42"/>
  <c r="N77" i="42"/>
  <c r="O78" i="42"/>
  <c r="AH160" i="42"/>
  <c r="I161" i="42"/>
  <c r="X162" i="42"/>
  <c r="I160" i="42"/>
  <c r="S160" i="42"/>
  <c r="AH161" i="42"/>
  <c r="I162" i="42"/>
  <c r="X163" i="42"/>
  <c r="Y16" i="41" s="1"/>
  <c r="D160" i="42"/>
  <c r="E13" i="41" s="1"/>
  <c r="S161" i="42"/>
  <c r="AH162" i="42"/>
  <c r="I163" i="42"/>
  <c r="J16" i="41" s="1"/>
  <c r="AC160" i="42"/>
  <c r="D161" i="42"/>
  <c r="E14" i="41" s="1"/>
  <c r="S162" i="42"/>
  <c r="AH163" i="42"/>
  <c r="AI16" i="41" s="1"/>
  <c r="AC2" i="17" s="1"/>
  <c r="N160" i="42"/>
  <c r="AC161" i="42"/>
  <c r="D162" i="42"/>
  <c r="E15" i="41" s="1"/>
  <c r="S163" i="42"/>
  <c r="T16" i="41" s="1"/>
  <c r="X161" i="42"/>
  <c r="N163" i="42"/>
  <c r="O16" i="41" s="1"/>
  <c r="AC78" i="42"/>
  <c r="AI78" i="42"/>
  <c r="S77" i="42"/>
  <c r="K78" i="42"/>
  <c r="C78" i="42"/>
  <c r="AA78" i="42"/>
  <c r="X10" i="41" s="1"/>
  <c r="AG78" i="42"/>
  <c r="Y78" i="42"/>
  <c r="Q78" i="42"/>
  <c r="N10" i="41" s="1"/>
  <c r="I78" i="42"/>
  <c r="J119" i="42"/>
  <c r="K119" i="42" s="1"/>
  <c r="L119" i="42" s="1"/>
  <c r="M119" i="42" s="1"/>
  <c r="O77" i="42"/>
  <c r="G77" i="42"/>
  <c r="D3" i="41" s="1"/>
  <c r="AL77" i="42"/>
  <c r="AD77" i="42"/>
  <c r="F78" i="42"/>
  <c r="AL78" i="42"/>
  <c r="AN78" i="42"/>
  <c r="AF78" i="42"/>
  <c r="AC10" i="41" s="1"/>
  <c r="X78" i="42"/>
  <c r="P77" i="42"/>
  <c r="H78" i="42"/>
  <c r="AI118" i="42"/>
  <c r="AJ118" i="42" s="1"/>
  <c r="AK118" i="42" s="1"/>
  <c r="T78" i="42"/>
  <c r="AM77" i="42"/>
  <c r="AD116" i="42"/>
  <c r="AE116" i="42" s="1"/>
  <c r="AF116" i="42" s="1"/>
  <c r="AG116" i="42" s="1"/>
  <c r="D77" i="42"/>
  <c r="AE78" i="42"/>
  <c r="AI77" i="42"/>
  <c r="S78" i="42"/>
  <c r="AB77" i="42"/>
  <c r="AJ77" i="42"/>
  <c r="Y117" i="42"/>
  <c r="Z117" i="42" s="1"/>
  <c r="AA117" i="42" s="1"/>
  <c r="AB117" i="42" s="1"/>
  <c r="AF77" i="42"/>
  <c r="L77" i="42"/>
  <c r="AN77" i="42"/>
  <c r="H77" i="42"/>
  <c r="AH77" i="42"/>
  <c r="Z77" i="42"/>
  <c r="R77" i="42"/>
  <c r="J77" i="42"/>
  <c r="B77" i="42"/>
  <c r="AG77" i="42"/>
  <c r="Y77" i="42"/>
  <c r="Q77" i="42"/>
  <c r="I77" i="42"/>
  <c r="T119" i="42"/>
  <c r="U119" i="42" s="1"/>
  <c r="V119" i="42" s="1"/>
  <c r="W119" i="42" s="1"/>
  <c r="Y119" i="42"/>
  <c r="Z119" i="42" s="1"/>
  <c r="AA119" i="42" s="1"/>
  <c r="AB119" i="42" s="1"/>
  <c r="AI117" i="42"/>
  <c r="AJ117" i="42" s="1"/>
  <c r="AK117" i="42" s="1"/>
  <c r="T118" i="42"/>
  <c r="U118" i="42" s="1"/>
  <c r="V118" i="42" s="1"/>
  <c r="W118" i="42" s="1"/>
  <c r="AD119" i="42"/>
  <c r="AE119" i="42" s="1"/>
  <c r="AF119" i="42" s="1"/>
  <c r="AG119" i="42" s="1"/>
  <c r="O118" i="42"/>
  <c r="P118" i="42" s="1"/>
  <c r="Q118" i="42" s="1"/>
  <c r="R118" i="42" s="1"/>
  <c r="AD118" i="42"/>
  <c r="AE118" i="42" s="1"/>
  <c r="AF118" i="42" s="1"/>
  <c r="AG118" i="42" s="1"/>
  <c r="O117" i="42"/>
  <c r="P117" i="42" s="1"/>
  <c r="Q117" i="42" s="1"/>
  <c r="R117" i="42" s="1"/>
  <c r="J118" i="42"/>
  <c r="K118" i="42" s="1"/>
  <c r="L118" i="42" s="1"/>
  <c r="M118" i="42" s="1"/>
  <c r="J117" i="42"/>
  <c r="K117" i="42" s="1"/>
  <c r="L117" i="42" s="1"/>
  <c r="M117" i="42" s="1"/>
  <c r="T116" i="42"/>
  <c r="U116" i="42" s="1"/>
  <c r="V116" i="42" s="1"/>
  <c r="W116" i="42" s="1"/>
  <c r="J116" i="42"/>
  <c r="K116" i="42" s="1"/>
  <c r="L116" i="42" s="1"/>
  <c r="M116" i="42" s="1"/>
  <c r="F117" i="42"/>
  <c r="O119" i="42"/>
  <c r="P119" i="42" s="1"/>
  <c r="Q119" i="42" s="1"/>
  <c r="R119" i="42" s="1"/>
  <c r="O116" i="42"/>
  <c r="P116" i="42" s="1"/>
  <c r="Q116" i="42" s="1"/>
  <c r="AI116" i="42"/>
  <c r="AJ116" i="42" s="1"/>
  <c r="AK116" i="42" s="1"/>
  <c r="AI119" i="42"/>
  <c r="AJ119" i="42" s="1"/>
  <c r="AK119" i="42" s="1"/>
  <c r="T117" i="42"/>
  <c r="U117" i="42" s="1"/>
  <c r="V117" i="42" s="1"/>
  <c r="W117" i="42" s="1"/>
  <c r="Y118" i="42"/>
  <c r="Z118" i="42" s="1"/>
  <c r="AA118" i="42" s="1"/>
  <c r="AB118" i="42" s="1"/>
  <c r="F119" i="42"/>
  <c r="G119" i="42" s="1"/>
  <c r="H119" i="42" s="1"/>
  <c r="H6" i="41" s="1"/>
  <c r="Y116" i="42"/>
  <c r="Z116" i="42" s="1"/>
  <c r="AA116" i="42" s="1"/>
  <c r="AB116" i="42" s="1"/>
  <c r="AD117" i="42"/>
  <c r="AE117" i="42" s="1"/>
  <c r="AF117" i="42" s="1"/>
  <c r="AG117" i="42" s="1"/>
  <c r="G117" i="42" l="1"/>
  <c r="H117" i="42" s="1"/>
  <c r="AL4" i="41"/>
  <c r="AM4" i="41"/>
  <c r="AN4" i="41"/>
  <c r="AO4" i="41"/>
  <c r="AP4" i="41"/>
  <c r="AQ4" i="41"/>
  <c r="AR4" i="41"/>
  <c r="AS4" i="41"/>
  <c r="AT4" i="41"/>
  <c r="AU4" i="41"/>
  <c r="AV4" i="41"/>
  <c r="AW4" i="41"/>
  <c r="AX4" i="41"/>
  <c r="AY4" i="41"/>
  <c r="AZ4" i="41"/>
  <c r="BA4" i="41"/>
  <c r="BB4" i="41"/>
  <c r="BC4" i="41"/>
  <c r="BD4" i="41"/>
  <c r="BE4" i="41"/>
  <c r="D4" i="41"/>
  <c r="P10" i="41"/>
  <c r="AB10" i="41"/>
  <c r="Q10" i="41"/>
  <c r="U10" i="41"/>
  <c r="AK10" i="41"/>
  <c r="AE2" i="26" s="1"/>
  <c r="AI10" i="41"/>
  <c r="AC2" i="26" s="1"/>
  <c r="V10" i="41"/>
  <c r="AD10" i="41"/>
  <c r="H8" i="41"/>
  <c r="H9" i="41"/>
  <c r="H10" i="41"/>
  <c r="AF10" i="41"/>
  <c r="Z10" i="41"/>
  <c r="L10" i="41"/>
  <c r="R10" i="41"/>
  <c r="J10" i="41"/>
  <c r="K10" i="41"/>
  <c r="AG10" i="41"/>
  <c r="AJ10" i="41"/>
  <c r="AD2" i="26" s="1"/>
  <c r="T10" i="41"/>
  <c r="AA10" i="41"/>
  <c r="Y10" i="41"/>
  <c r="AE10" i="41"/>
  <c r="O10" i="41"/>
  <c r="W10" i="41"/>
  <c r="M10" i="41"/>
  <c r="I16" i="41"/>
  <c r="N16" i="41"/>
  <c r="S16" i="41"/>
  <c r="X16" i="41"/>
  <c r="AC16" i="41"/>
  <c r="AH16" i="41"/>
  <c r="AD16" i="41"/>
  <c r="F3" i="41"/>
  <c r="F5" i="41"/>
  <c r="D2" i="12" s="1"/>
  <c r="F4" i="41"/>
  <c r="F6" i="41"/>
  <c r="N3" i="41"/>
  <c r="H2" i="20" s="1"/>
  <c r="N5" i="41"/>
  <c r="L2" i="12" s="1"/>
  <c r="N4" i="41"/>
  <c r="N6" i="41"/>
  <c r="V3" i="41"/>
  <c r="V5" i="41"/>
  <c r="V4" i="41"/>
  <c r="V6" i="41"/>
  <c r="AD3" i="41"/>
  <c r="AD5" i="41"/>
  <c r="AD4" i="41"/>
  <c r="AD6" i="41"/>
  <c r="G3" i="41"/>
  <c r="G5" i="41"/>
  <c r="G4" i="41"/>
  <c r="G6" i="41"/>
  <c r="O3" i="41"/>
  <c r="O5" i="41"/>
  <c r="O4" i="41"/>
  <c r="O6" i="41"/>
  <c r="W3" i="41"/>
  <c r="W5" i="41"/>
  <c r="W4" i="41"/>
  <c r="W6" i="41"/>
  <c r="AE3" i="41"/>
  <c r="AE5" i="41"/>
  <c r="AE4" i="41"/>
  <c r="AE6" i="41"/>
  <c r="E3" i="41"/>
  <c r="E5" i="41"/>
  <c r="E4" i="41"/>
  <c r="E6" i="41"/>
  <c r="AK3" i="41"/>
  <c r="AE2" i="20" s="1"/>
  <c r="AK5" i="41"/>
  <c r="AI2" i="12" s="1"/>
  <c r="AK4" i="41"/>
  <c r="AE2" i="11" s="1"/>
  <c r="AK6" i="41"/>
  <c r="I3" i="41"/>
  <c r="I5" i="41"/>
  <c r="I4" i="41"/>
  <c r="I6" i="41"/>
  <c r="AC3" i="41"/>
  <c r="AC5" i="41"/>
  <c r="AC4" i="41"/>
  <c r="AC6" i="41"/>
  <c r="AG3" i="41"/>
  <c r="AG5" i="41"/>
  <c r="AG4" i="41"/>
  <c r="AG6" i="41"/>
  <c r="Y3" i="41"/>
  <c r="Y5" i="41"/>
  <c r="Y4" i="41"/>
  <c r="Y6" i="41"/>
  <c r="P8" i="41"/>
  <c r="P9" i="41"/>
  <c r="P11" i="41"/>
  <c r="AF3" i="41"/>
  <c r="AF5" i="41"/>
  <c r="AF4" i="41"/>
  <c r="AF6" i="41"/>
  <c r="AB8" i="41"/>
  <c r="AB9" i="41"/>
  <c r="AB11" i="41"/>
  <c r="AJ3" i="41"/>
  <c r="AD2" i="20" s="1"/>
  <c r="AJ5" i="41"/>
  <c r="AH2" i="12" s="1"/>
  <c r="AJ4" i="41"/>
  <c r="AD2" i="11" s="1"/>
  <c r="AJ6" i="41"/>
  <c r="Q8" i="41"/>
  <c r="Q9" i="41"/>
  <c r="Q11" i="41"/>
  <c r="E8" i="41"/>
  <c r="E10" i="41"/>
  <c r="E9" i="41"/>
  <c r="E11" i="41"/>
  <c r="M3" i="41"/>
  <c r="M5" i="41"/>
  <c r="M4" i="41"/>
  <c r="M6" i="41"/>
  <c r="U8" i="41"/>
  <c r="U9" i="41"/>
  <c r="U11" i="41"/>
  <c r="AC8" i="41"/>
  <c r="AC9" i="41"/>
  <c r="AC11" i="41"/>
  <c r="AK8" i="41"/>
  <c r="AE2" i="24" s="1"/>
  <c r="AK9" i="41"/>
  <c r="AE2" i="25" s="1"/>
  <c r="AK11" i="41"/>
  <c r="AI8" i="41"/>
  <c r="AC2" i="24" s="1"/>
  <c r="AI9" i="41"/>
  <c r="AC2" i="25" s="1"/>
  <c r="AI11" i="41"/>
  <c r="AA3" i="41"/>
  <c r="AA5" i="41"/>
  <c r="AA4" i="41"/>
  <c r="AA6" i="41"/>
  <c r="AI3" i="41"/>
  <c r="AC2" i="20" s="1"/>
  <c r="AI5" i="41"/>
  <c r="AG2" i="12" s="1"/>
  <c r="AI4" i="41"/>
  <c r="AC2" i="11" s="1"/>
  <c r="AI6" i="41"/>
  <c r="D5" i="41"/>
  <c r="D6" i="41"/>
  <c r="L3" i="41"/>
  <c r="L5" i="41"/>
  <c r="L4" i="41"/>
  <c r="L6" i="41"/>
  <c r="F8" i="41"/>
  <c r="F10" i="41"/>
  <c r="F9" i="41"/>
  <c r="F11" i="41"/>
  <c r="N8" i="41"/>
  <c r="N9" i="41"/>
  <c r="N11" i="41"/>
  <c r="V8" i="41"/>
  <c r="V9" i="41"/>
  <c r="V11" i="41"/>
  <c r="AD8" i="41"/>
  <c r="AD9" i="41"/>
  <c r="AD11" i="41"/>
  <c r="X8" i="41"/>
  <c r="X9" i="41"/>
  <c r="X11" i="41"/>
  <c r="H11" i="41"/>
  <c r="P3" i="41"/>
  <c r="P5" i="41"/>
  <c r="P4" i="41"/>
  <c r="P6" i="41"/>
  <c r="AF8" i="41"/>
  <c r="AF9" i="41"/>
  <c r="AF11" i="41"/>
  <c r="Z8" i="41"/>
  <c r="Z9" i="41"/>
  <c r="Z11" i="41"/>
  <c r="L8" i="41"/>
  <c r="L9" i="41"/>
  <c r="L11" i="41"/>
  <c r="K3" i="41"/>
  <c r="K5" i="41"/>
  <c r="K4" i="41"/>
  <c r="K6" i="41"/>
  <c r="H3" i="41"/>
  <c r="H5" i="41"/>
  <c r="H4" i="41"/>
  <c r="B2" i="11" s="1"/>
  <c r="X3" i="41"/>
  <c r="X5" i="41"/>
  <c r="X4" i="41"/>
  <c r="X6" i="41"/>
  <c r="J3" i="41"/>
  <c r="J5" i="41"/>
  <c r="J4" i="41"/>
  <c r="J6" i="41"/>
  <c r="R9" i="41"/>
  <c r="R11" i="41"/>
  <c r="Z3" i="41"/>
  <c r="Z5" i="41"/>
  <c r="Z4" i="41"/>
  <c r="Z6" i="41"/>
  <c r="AH3" i="41"/>
  <c r="AH5" i="41"/>
  <c r="AH4" i="41"/>
  <c r="AH6" i="41"/>
  <c r="J8" i="41"/>
  <c r="J9" i="41"/>
  <c r="J11" i="41"/>
  <c r="R5" i="41"/>
  <c r="R4" i="41"/>
  <c r="R6" i="41"/>
  <c r="K8" i="41"/>
  <c r="K9" i="41"/>
  <c r="K11" i="41"/>
  <c r="S3" i="41"/>
  <c r="S5" i="41"/>
  <c r="S4" i="41"/>
  <c r="S6" i="41"/>
  <c r="T3" i="41"/>
  <c r="T5" i="41"/>
  <c r="T4" i="41"/>
  <c r="T6" i="41"/>
  <c r="AB3" i="41"/>
  <c r="AB5" i="41"/>
  <c r="AB4" i="41"/>
  <c r="AB6" i="41"/>
  <c r="AG8" i="41"/>
  <c r="AG9" i="41"/>
  <c r="AG11" i="41"/>
  <c r="AJ8" i="41"/>
  <c r="AD2" i="24" s="1"/>
  <c r="AJ9" i="41"/>
  <c r="AD2" i="25" s="1"/>
  <c r="AJ11" i="41"/>
  <c r="S8" i="41"/>
  <c r="S9" i="41"/>
  <c r="S11" i="41"/>
  <c r="AH8" i="41"/>
  <c r="AH9" i="41"/>
  <c r="AH11" i="41"/>
  <c r="T8" i="41"/>
  <c r="T9" i="41"/>
  <c r="T11" i="41"/>
  <c r="AA8" i="41"/>
  <c r="AA9" i="41"/>
  <c r="AA11" i="41"/>
  <c r="I8" i="41"/>
  <c r="I9" i="41"/>
  <c r="I11" i="41"/>
  <c r="Q3" i="41"/>
  <c r="Q5" i="41"/>
  <c r="Q4" i="41"/>
  <c r="Q6" i="41"/>
  <c r="Y8" i="41"/>
  <c r="Y9" i="41"/>
  <c r="Y11" i="41"/>
  <c r="D8" i="41"/>
  <c r="D10" i="41"/>
  <c r="D9" i="41"/>
  <c r="D11" i="41"/>
  <c r="G8" i="41"/>
  <c r="G10" i="41"/>
  <c r="G9" i="41"/>
  <c r="G11" i="41"/>
  <c r="AE8" i="41"/>
  <c r="AE9" i="41"/>
  <c r="AE11" i="41"/>
  <c r="O8" i="41"/>
  <c r="O9" i="41"/>
  <c r="O11" i="41"/>
  <c r="W8" i="41"/>
  <c r="W9" i="41"/>
  <c r="W11" i="41"/>
  <c r="M8" i="41"/>
  <c r="M9" i="41"/>
  <c r="M11" i="41"/>
  <c r="U3" i="41"/>
  <c r="U5" i="41"/>
  <c r="U4" i="41"/>
  <c r="U6" i="41"/>
  <c r="F16" i="41"/>
  <c r="F163" i="42"/>
  <c r="AE162" i="42"/>
  <c r="AE163" i="42"/>
  <c r="AF16" i="41" s="1"/>
  <c r="Z160" i="42"/>
  <c r="AD160" i="42"/>
  <c r="E162" i="42"/>
  <c r="AI162" i="42"/>
  <c r="AJ15" i="41" s="1"/>
  <c r="O163" i="42"/>
  <c r="P16" i="41" s="1"/>
  <c r="O161" i="42"/>
  <c r="J162" i="42"/>
  <c r="K15" i="41" s="1"/>
  <c r="AI161" i="42"/>
  <c r="Y161" i="42"/>
  <c r="O162" i="42"/>
  <c r="P15" i="41" s="1"/>
  <c r="T163" i="42"/>
  <c r="U16" i="41" s="1"/>
  <c r="AD161" i="42"/>
  <c r="T161" i="42"/>
  <c r="Y162" i="42"/>
  <c r="Z15" i="41" s="1"/>
  <c r="E161" i="42"/>
  <c r="T160" i="42"/>
  <c r="J163" i="42"/>
  <c r="K16" i="41" s="1"/>
  <c r="O160" i="42"/>
  <c r="E160" i="42"/>
  <c r="J161" i="42"/>
  <c r="K14" i="41" s="1"/>
  <c r="T162" i="42"/>
  <c r="U15" i="41" s="1"/>
  <c r="J160" i="42"/>
  <c r="K13" i="41" s="1"/>
  <c r="AI163" i="42"/>
  <c r="AJ16" i="41" s="1"/>
  <c r="AD2" i="17" s="1"/>
  <c r="Y163" i="42"/>
  <c r="Z16" i="41" s="1"/>
  <c r="AI160" i="42"/>
  <c r="AJ13" i="41" s="1"/>
  <c r="AD2" i="14" s="1"/>
  <c r="R116" i="42"/>
  <c r="G16" i="41" l="1"/>
  <c r="G163" i="42"/>
  <c r="H16" i="41" s="1"/>
  <c r="AC2" i="27"/>
  <c r="AD2" i="13"/>
  <c r="AD2" i="27"/>
  <c r="AE2" i="13"/>
  <c r="AE2" i="27"/>
  <c r="AF2" i="13"/>
  <c r="R8" i="41"/>
  <c r="R3" i="41"/>
  <c r="F13" i="41"/>
  <c r="I13" i="41"/>
  <c r="N13" i="41"/>
  <c r="S13" i="41"/>
  <c r="X13" i="41"/>
  <c r="AC13" i="41"/>
  <c r="AH13" i="41"/>
  <c r="Y13" i="41"/>
  <c r="O13" i="41"/>
  <c r="AD13" i="41"/>
  <c r="T13" i="41"/>
  <c r="J13" i="41"/>
  <c r="AI13" i="41"/>
  <c r="AC2" i="14" s="1"/>
  <c r="Z13" i="41"/>
  <c r="P13" i="41"/>
  <c r="U13" i="41"/>
  <c r="I14" i="41"/>
  <c r="F14" i="41"/>
  <c r="N14" i="41"/>
  <c r="S14" i="41"/>
  <c r="X14" i="41"/>
  <c r="AC14" i="41"/>
  <c r="AH14" i="41"/>
  <c r="Y14" i="41"/>
  <c r="AD14" i="41"/>
  <c r="T14" i="41"/>
  <c r="AI14" i="41"/>
  <c r="AC2" i="15" s="1"/>
  <c r="J14" i="41"/>
  <c r="O14" i="41"/>
  <c r="U14" i="41"/>
  <c r="AE14" i="41"/>
  <c r="Z14" i="41"/>
  <c r="AJ14" i="41"/>
  <c r="AD2" i="15" s="1"/>
  <c r="P14" i="41"/>
  <c r="AH15" i="41"/>
  <c r="AC15" i="41"/>
  <c r="X15" i="41"/>
  <c r="S15" i="41"/>
  <c r="N15" i="41"/>
  <c r="I15" i="41"/>
  <c r="F15" i="41"/>
  <c r="AD15" i="41"/>
  <c r="T15" i="41"/>
  <c r="AI15" i="41"/>
  <c r="J15" i="41"/>
  <c r="Y15" i="41"/>
  <c r="O15" i="41"/>
  <c r="AE15" i="41"/>
  <c r="AE13" i="41"/>
  <c r="AA13" i="41"/>
  <c r="AF15" i="41"/>
  <c r="AF163" i="42"/>
  <c r="AG16" i="41" s="1"/>
  <c r="AF162" i="42"/>
  <c r="AG15" i="41" s="1"/>
  <c r="AA160" i="42"/>
  <c r="AB13" i="41" s="1"/>
  <c r="P160" i="42"/>
  <c r="Q13" i="41" s="1"/>
  <c r="U161" i="42"/>
  <c r="V14" i="41" s="1"/>
  <c r="Z163" i="42"/>
  <c r="AA16" i="41" s="1"/>
  <c r="K161" i="42"/>
  <c r="L14" i="41" s="1"/>
  <c r="U160" i="42"/>
  <c r="V13" i="41" s="1"/>
  <c r="AE161" i="42"/>
  <c r="AF14" i="41" s="1"/>
  <c r="AJ161" i="42"/>
  <c r="AK14" i="41" s="1"/>
  <c r="AE2" i="15" s="1"/>
  <c r="P161" i="42"/>
  <c r="Q14" i="41" s="1"/>
  <c r="P163" i="42"/>
  <c r="Q16" i="41" s="1"/>
  <c r="U162" i="42"/>
  <c r="V15" i="41" s="1"/>
  <c r="AJ162" i="42"/>
  <c r="AK15" i="41" s="1"/>
  <c r="F162" i="42"/>
  <c r="G15" i="41" s="1"/>
  <c r="K160" i="42"/>
  <c r="L13" i="41" s="1"/>
  <c r="P162" i="42"/>
  <c r="Q15" i="41" s="1"/>
  <c r="K163" i="42"/>
  <c r="L16" i="41" s="1"/>
  <c r="AJ163" i="42"/>
  <c r="AK16" i="41" s="1"/>
  <c r="AE2" i="17" s="1"/>
  <c r="F160" i="42"/>
  <c r="G13" i="41" s="1"/>
  <c r="F161" i="42"/>
  <c r="G14" i="41" s="1"/>
  <c r="U163" i="42"/>
  <c r="V16" i="41" s="1"/>
  <c r="K162" i="42"/>
  <c r="L15" i="41" s="1"/>
  <c r="Z162" i="42"/>
  <c r="AA15" i="41" s="1"/>
  <c r="AJ160" i="42"/>
  <c r="AK13" i="41" s="1"/>
  <c r="AE2" i="14" s="1"/>
  <c r="Z161" i="42"/>
  <c r="AA14" i="41" s="1"/>
  <c r="AE160" i="42"/>
  <c r="AF13" i="41" s="1"/>
  <c r="G162" i="42" l="1"/>
  <c r="H15" i="41" s="1"/>
  <c r="AA161" i="42"/>
  <c r="AB14" i="41" s="1"/>
  <c r="V163" i="42"/>
  <c r="W16" i="41" s="1"/>
  <c r="L163" i="42"/>
  <c r="M16" i="41" s="1"/>
  <c r="AA163" i="42"/>
  <c r="AB16" i="41" s="1"/>
  <c r="L161" i="42"/>
  <c r="M14" i="41" s="1"/>
  <c r="AF160" i="42"/>
  <c r="AG13" i="41" s="1"/>
  <c r="L162" i="42"/>
  <c r="M15" i="41" s="1"/>
  <c r="Q161" i="42"/>
  <c r="R14" i="41" s="1"/>
  <c r="Q162" i="42"/>
  <c r="R15" i="41" s="1"/>
  <c r="V161" i="42"/>
  <c r="W14" i="41" s="1"/>
  <c r="G161" i="42"/>
  <c r="H14" i="41" s="1"/>
  <c r="V162" i="42"/>
  <c r="W15" i="41" s="1"/>
  <c r="AF161" i="42"/>
  <c r="AG14" i="41" s="1"/>
  <c r="AA162" i="42"/>
  <c r="AB15" i="41" s="1"/>
  <c r="G160" i="42"/>
  <c r="H13" i="41" s="1"/>
  <c r="L160" i="42"/>
  <c r="M13" i="41" s="1"/>
  <c r="Q163" i="42"/>
  <c r="R16" i="41" s="1"/>
  <c r="V160" i="42"/>
  <c r="W13" i="41" s="1"/>
  <c r="Q160" i="42"/>
  <c r="R13" i="41" s="1"/>
  <c r="B33" i="36"/>
  <c r="B34" i="36" s="1"/>
  <c r="B35" i="36" s="1"/>
  <c r="B25" i="36"/>
  <c r="B26" i="36" s="1"/>
  <c r="B28" i="36" s="1"/>
  <c r="B24" i="36"/>
  <c r="A18" i="36"/>
  <c r="A20" i="36"/>
  <c r="A21" i="36" s="1"/>
  <c r="A11" i="36"/>
  <c r="A13" i="36" s="1"/>
  <c r="A14" i="36" s="1"/>
  <c r="A3" i="36"/>
  <c r="B10" i="12" l="1"/>
  <c r="M10" i="26"/>
  <c r="AF10" i="12"/>
  <c r="AB10" i="26"/>
  <c r="AA10" i="12"/>
  <c r="G10" i="12"/>
  <c r="C10" i="26"/>
  <c r="H10" i="26"/>
  <c r="W10" i="26"/>
  <c r="D130" i="41"/>
  <c r="V10" i="12"/>
  <c r="Q10" i="12"/>
  <c r="R10" i="26"/>
  <c r="L10" i="12"/>
  <c r="M10" i="16"/>
  <c r="H10" i="16"/>
  <c r="AB10" i="16"/>
  <c r="R10" i="16"/>
  <c r="C10" i="16"/>
  <c r="D135" i="41"/>
  <c r="W10" i="16"/>
  <c r="S10" i="26"/>
  <c r="I10" i="26"/>
  <c r="D10" i="26"/>
  <c r="W10" i="12"/>
  <c r="C10" i="12"/>
  <c r="H10" i="12"/>
  <c r="T10" i="26"/>
  <c r="J10" i="26"/>
  <c r="X10" i="26"/>
  <c r="X10" i="12"/>
  <c r="D10" i="12"/>
  <c r="M10" i="12"/>
  <c r="D10" i="16"/>
  <c r="R10" i="12"/>
  <c r="I10" i="12"/>
  <c r="N10" i="26"/>
  <c r="E10" i="26"/>
  <c r="S10" i="16"/>
  <c r="AB10" i="12"/>
  <c r="Y10" i="26"/>
  <c r="Y10" i="12"/>
  <c r="N10" i="16"/>
  <c r="I10" i="16"/>
  <c r="E10" i="16"/>
  <c r="N10" i="12"/>
  <c r="U10" i="26"/>
  <c r="T10" i="16"/>
  <c r="O10" i="26"/>
  <c r="X10" i="16"/>
  <c r="J10" i="12"/>
  <c r="K10" i="26"/>
  <c r="E10" i="12"/>
  <c r="AC10" i="12"/>
  <c r="F10" i="26"/>
  <c r="S10" i="12"/>
  <c r="Z10" i="26"/>
  <c r="AD10" i="12"/>
  <c r="V10" i="26"/>
  <c r="P10" i="26"/>
  <c r="Y10" i="16"/>
  <c r="O10" i="12"/>
  <c r="L10" i="26"/>
  <c r="U10" i="16"/>
  <c r="O10" i="16"/>
  <c r="K10" i="12"/>
  <c r="Z10" i="12"/>
  <c r="F10" i="12"/>
  <c r="J10" i="16"/>
  <c r="T10" i="12"/>
  <c r="G10" i="26"/>
  <c r="F10" i="16"/>
  <c r="B10" i="26"/>
  <c r="P10" i="12"/>
  <c r="AA10" i="26"/>
  <c r="AE10" i="12"/>
  <c r="G10" i="16"/>
  <c r="U10" i="12"/>
  <c r="K10" i="16"/>
  <c r="P10" i="16"/>
  <c r="B10" i="16"/>
  <c r="Q10" i="26"/>
  <c r="V10" i="16"/>
  <c r="Z10" i="16"/>
  <c r="L10" i="16"/>
  <c r="Q10" i="16"/>
  <c r="AA10" i="16"/>
  <c r="E80" i="41"/>
  <c r="C7" i="12" s="1"/>
  <c r="F80" i="41"/>
  <c r="G80" i="41"/>
  <c r="E7" i="12" s="1"/>
  <c r="O80" i="41"/>
  <c r="W80" i="41"/>
  <c r="AE80" i="41"/>
  <c r="AC7" i="12" s="1"/>
  <c r="P80" i="41"/>
  <c r="N7" i="12" s="1"/>
  <c r="X80" i="41"/>
  <c r="V7" i="12" s="1"/>
  <c r="AF80" i="41"/>
  <c r="AD7" i="12" s="1"/>
  <c r="Q80" i="41"/>
  <c r="O7" i="12" s="1"/>
  <c r="F7" i="12"/>
  <c r="I80" i="41"/>
  <c r="J80" i="41"/>
  <c r="R80" i="41"/>
  <c r="P7" i="12" s="1"/>
  <c r="Z80" i="41"/>
  <c r="X7" i="12" s="1"/>
  <c r="AH80" i="41"/>
  <c r="AF7" i="12" s="1"/>
  <c r="K80" i="41"/>
  <c r="I7" i="12" s="1"/>
  <c r="S80" i="41"/>
  <c r="Q7" i="12" s="1"/>
  <c r="AA80" i="41"/>
  <c r="Y7" i="12" s="1"/>
  <c r="AI80" i="41"/>
  <c r="AG7" i="12" s="1"/>
  <c r="U80" i="41"/>
  <c r="AC80" i="41"/>
  <c r="AA7" i="12" s="1"/>
  <c r="V80" i="41"/>
  <c r="T7" i="12" s="1"/>
  <c r="AD80" i="41"/>
  <c r="AB7" i="12" s="1"/>
  <c r="Y80" i="41"/>
  <c r="W7" i="12" s="1"/>
  <c r="L80" i="41"/>
  <c r="J7" i="12" s="1"/>
  <c r="T80" i="41"/>
  <c r="AB80" i="41"/>
  <c r="AJ80" i="41"/>
  <c r="AH7" i="12" s="1"/>
  <c r="M80" i="41"/>
  <c r="K7" i="12" s="1"/>
  <c r="AK80" i="41"/>
  <c r="AI7" i="12" s="1"/>
  <c r="N80" i="41"/>
  <c r="D80" i="41"/>
  <c r="AG80" i="41"/>
  <c r="AE7" i="12" s="1"/>
  <c r="N85" i="41"/>
  <c r="H7" i="26" s="1"/>
  <c r="AC85" i="41"/>
  <c r="S85" i="41"/>
  <c r="X85" i="41"/>
  <c r="R7" i="26" s="1"/>
  <c r="D85" i="41"/>
  <c r="AH85" i="41"/>
  <c r="I85" i="41"/>
  <c r="Y85" i="41"/>
  <c r="S7" i="26" s="1"/>
  <c r="O85" i="41"/>
  <c r="I7" i="26" s="1"/>
  <c r="Z85" i="41"/>
  <c r="E85" i="41"/>
  <c r="T85" i="41"/>
  <c r="N7" i="26" s="1"/>
  <c r="AI85" i="41"/>
  <c r="AC7" i="26" s="1"/>
  <c r="P85" i="41"/>
  <c r="J7" i="26" s="1"/>
  <c r="AD85" i="41"/>
  <c r="X7" i="26" s="1"/>
  <c r="J85" i="41"/>
  <c r="D7" i="26" s="1"/>
  <c r="AJ85" i="41"/>
  <c r="AD7" i="26" s="1"/>
  <c r="F85" i="41"/>
  <c r="U85" i="41"/>
  <c r="Q85" i="41"/>
  <c r="K7" i="26" s="1"/>
  <c r="K85" i="41"/>
  <c r="E7" i="26" s="1"/>
  <c r="AE85" i="41"/>
  <c r="AA85" i="41"/>
  <c r="U7" i="26" s="1"/>
  <c r="AB85" i="41"/>
  <c r="V7" i="26" s="1"/>
  <c r="V85" i="41"/>
  <c r="P7" i="26" s="1"/>
  <c r="L85" i="41"/>
  <c r="F7" i="26" s="1"/>
  <c r="G85" i="41"/>
  <c r="AK85" i="41"/>
  <c r="AE7" i="26" s="1"/>
  <c r="AF85" i="41"/>
  <c r="Z7" i="26" s="1"/>
  <c r="R85" i="41"/>
  <c r="L7" i="26" s="1"/>
  <c r="H85" i="41"/>
  <c r="B7" i="26" s="1"/>
  <c r="W85" i="41"/>
  <c r="Q7" i="26" s="1"/>
  <c r="M85" i="41"/>
  <c r="G7" i="26" s="1"/>
  <c r="AG85" i="41"/>
  <c r="AA7" i="26" s="1"/>
  <c r="D105" i="41"/>
  <c r="D104" i="41"/>
  <c r="G7" i="23"/>
  <c r="O7" i="23"/>
  <c r="W7" i="23"/>
  <c r="F7" i="18"/>
  <c r="N7" i="18"/>
  <c r="V7" i="18"/>
  <c r="I7" i="23"/>
  <c r="Y7" i="23"/>
  <c r="H7" i="18"/>
  <c r="J7" i="23"/>
  <c r="R7" i="23"/>
  <c r="Q7" i="18"/>
  <c r="K7" i="23"/>
  <c r="AA7" i="23"/>
  <c r="J7" i="18"/>
  <c r="Z7" i="18"/>
  <c r="V7" i="23"/>
  <c r="U7" i="18"/>
  <c r="H7" i="23"/>
  <c r="P7" i="23"/>
  <c r="X7" i="23"/>
  <c r="G7" i="18"/>
  <c r="O7" i="18"/>
  <c r="W7" i="18"/>
  <c r="Q7" i="23"/>
  <c r="P7" i="18"/>
  <c r="X7" i="18"/>
  <c r="B7" i="23"/>
  <c r="Z7" i="23"/>
  <c r="I7" i="18"/>
  <c r="Y7" i="18"/>
  <c r="C7" i="23"/>
  <c r="S7" i="23"/>
  <c r="B7" i="18"/>
  <c r="R7" i="18"/>
  <c r="F7" i="23"/>
  <c r="M7" i="18"/>
  <c r="D7" i="23"/>
  <c r="L7" i="23"/>
  <c r="T7" i="23"/>
  <c r="C7" i="18"/>
  <c r="K7" i="18"/>
  <c r="S7" i="18"/>
  <c r="AA7" i="18"/>
  <c r="E7" i="23"/>
  <c r="M7" i="23"/>
  <c r="U7" i="23"/>
  <c r="D7" i="18"/>
  <c r="L7" i="18"/>
  <c r="T7" i="18"/>
  <c r="AB7" i="18"/>
  <c r="N7" i="23"/>
  <c r="E7" i="18"/>
  <c r="M7" i="12"/>
  <c r="U7" i="12"/>
  <c r="AB7" i="26"/>
  <c r="G7" i="12"/>
  <c r="R7" i="12"/>
  <c r="Z7" i="12"/>
  <c r="S7" i="12"/>
  <c r="I7" i="21"/>
  <c r="Q7" i="21"/>
  <c r="Y7" i="21"/>
  <c r="K7" i="21"/>
  <c r="S7" i="21"/>
  <c r="AA7" i="21"/>
  <c r="L7" i="21"/>
  <c r="AB7" i="21"/>
  <c r="E7" i="21"/>
  <c r="U7" i="21"/>
  <c r="B7" i="21"/>
  <c r="J7" i="21"/>
  <c r="R7" i="21"/>
  <c r="Z7" i="21"/>
  <c r="C7" i="21"/>
  <c r="D7" i="21"/>
  <c r="T7" i="21"/>
  <c r="M7" i="21"/>
  <c r="F7" i="21"/>
  <c r="N7" i="21"/>
  <c r="V7" i="21"/>
  <c r="G7" i="21"/>
  <c r="O7" i="21"/>
  <c r="W7" i="21"/>
  <c r="H7" i="21"/>
  <c r="P7" i="21"/>
  <c r="X7" i="21"/>
  <c r="E2" i="14"/>
  <c r="I2" i="14"/>
  <c r="M2" i="14"/>
  <c r="Q2" i="14"/>
  <c r="U2" i="14"/>
  <c r="Y2" i="14"/>
  <c r="D2" i="15"/>
  <c r="H2" i="15"/>
  <c r="L2" i="15"/>
  <c r="P2" i="15"/>
  <c r="T2" i="15"/>
  <c r="X2" i="15"/>
  <c r="AB2" i="15"/>
  <c r="C2" i="16"/>
  <c r="G2" i="16"/>
  <c r="K2" i="16"/>
  <c r="O2" i="16"/>
  <c r="S2" i="16"/>
  <c r="W2" i="16"/>
  <c r="AA2" i="16"/>
  <c r="B2" i="17"/>
  <c r="F2" i="17"/>
  <c r="J2" i="17"/>
  <c r="N2" i="17"/>
  <c r="R2" i="17"/>
  <c r="V2" i="17"/>
  <c r="Z2" i="17"/>
  <c r="C2" i="14"/>
  <c r="O2" i="14"/>
  <c r="W2" i="14"/>
  <c r="F2" i="15"/>
  <c r="N2" i="15"/>
  <c r="V2" i="15"/>
  <c r="E2" i="16"/>
  <c r="M2" i="16"/>
  <c r="U2" i="16"/>
  <c r="D2" i="17"/>
  <c r="L2" i="17"/>
  <c r="T2" i="17"/>
  <c r="AB2" i="17"/>
  <c r="H2" i="14"/>
  <c r="P2" i="14"/>
  <c r="X2" i="14"/>
  <c r="G2" i="15"/>
  <c r="O2" i="15"/>
  <c r="W2" i="15"/>
  <c r="F2" i="16"/>
  <c r="N2" i="16"/>
  <c r="V2" i="16"/>
  <c r="E2" i="17"/>
  <c r="M2" i="17"/>
  <c r="U2" i="17"/>
  <c r="B2" i="14"/>
  <c r="F2" i="14"/>
  <c r="J2" i="14"/>
  <c r="N2" i="14"/>
  <c r="R2" i="14"/>
  <c r="V2" i="14"/>
  <c r="Z2" i="14"/>
  <c r="E2" i="15"/>
  <c r="I2" i="15"/>
  <c r="M2" i="15"/>
  <c r="Q2" i="15"/>
  <c r="U2" i="15"/>
  <c r="Y2" i="15"/>
  <c r="D2" i="16"/>
  <c r="H2" i="16"/>
  <c r="L2" i="16"/>
  <c r="P2" i="16"/>
  <c r="T2" i="16"/>
  <c r="X2" i="16"/>
  <c r="AB2" i="16"/>
  <c r="C2" i="17"/>
  <c r="G2" i="17"/>
  <c r="K2" i="17"/>
  <c r="O2" i="17"/>
  <c r="S2" i="17"/>
  <c r="W2" i="17"/>
  <c r="AA2" i="17"/>
  <c r="G2" i="14"/>
  <c r="K2" i="14"/>
  <c r="S2" i="14"/>
  <c r="AA2" i="14"/>
  <c r="B2" i="15"/>
  <c r="J2" i="15"/>
  <c r="R2" i="15"/>
  <c r="Z2" i="15"/>
  <c r="I2" i="16"/>
  <c r="Q2" i="16"/>
  <c r="Y2" i="16"/>
  <c r="H2" i="17"/>
  <c r="P2" i="17"/>
  <c r="X2" i="17"/>
  <c r="D2" i="14"/>
  <c r="L2" i="14"/>
  <c r="T2" i="14"/>
  <c r="AB2" i="14"/>
  <c r="C2" i="15"/>
  <c r="K2" i="15"/>
  <c r="S2" i="15"/>
  <c r="AA2" i="15"/>
  <c r="B2" i="16"/>
  <c r="J2" i="16"/>
  <c r="R2" i="16"/>
  <c r="Z2" i="16"/>
  <c r="I2" i="17"/>
  <c r="Q2" i="17"/>
  <c r="Y2" i="17"/>
  <c r="C2" i="24"/>
  <c r="G2" i="24"/>
  <c r="K2" i="24"/>
  <c r="O2" i="24"/>
  <c r="S2" i="24"/>
  <c r="W2" i="24"/>
  <c r="AA2" i="24"/>
  <c r="B2" i="25"/>
  <c r="F2" i="25"/>
  <c r="J2" i="25"/>
  <c r="N2" i="25"/>
  <c r="R2" i="25"/>
  <c r="V2" i="25"/>
  <c r="Z2" i="25"/>
  <c r="E2" i="26"/>
  <c r="I2" i="26"/>
  <c r="M2" i="26"/>
  <c r="Q2" i="26"/>
  <c r="U2" i="26"/>
  <c r="Y2" i="26"/>
  <c r="C2" i="20"/>
  <c r="G2" i="20"/>
  <c r="K2" i="20"/>
  <c r="O2" i="20"/>
  <c r="S2" i="20"/>
  <c r="W2" i="20"/>
  <c r="AA2" i="20"/>
  <c r="F2" i="11"/>
  <c r="J2" i="11"/>
  <c r="N2" i="11"/>
  <c r="R2" i="11"/>
  <c r="V2" i="11"/>
  <c r="Z2" i="11"/>
  <c r="E2" i="12"/>
  <c r="I2" i="12"/>
  <c r="M2" i="12"/>
  <c r="Q2" i="12"/>
  <c r="U2" i="12"/>
  <c r="Y2" i="12"/>
  <c r="AC2" i="12"/>
  <c r="D2" i="24"/>
  <c r="H2" i="24"/>
  <c r="L2" i="24"/>
  <c r="P2" i="24"/>
  <c r="T2" i="24"/>
  <c r="X2" i="24"/>
  <c r="AB2" i="24"/>
  <c r="C2" i="25"/>
  <c r="G2" i="25"/>
  <c r="K2" i="25"/>
  <c r="O2" i="25"/>
  <c r="S2" i="25"/>
  <c r="W2" i="25"/>
  <c r="AA2" i="25"/>
  <c r="I2" i="24"/>
  <c r="Q2" i="24"/>
  <c r="Y2" i="24"/>
  <c r="H2" i="25"/>
  <c r="P2" i="25"/>
  <c r="X2" i="25"/>
  <c r="D2" i="26"/>
  <c r="J2" i="26"/>
  <c r="O2" i="26"/>
  <c r="T2" i="26"/>
  <c r="Z2" i="26"/>
  <c r="D2" i="20"/>
  <c r="I2" i="20"/>
  <c r="N2" i="20"/>
  <c r="T2" i="20"/>
  <c r="Y2" i="20"/>
  <c r="C2" i="11"/>
  <c r="H2" i="11"/>
  <c r="M2" i="11"/>
  <c r="S2" i="11"/>
  <c r="X2" i="11"/>
  <c r="F2" i="12"/>
  <c r="K2" i="12"/>
  <c r="P2" i="12"/>
  <c r="V2" i="12"/>
  <c r="AA2" i="12"/>
  <c r="AF2" i="12"/>
  <c r="B2" i="12"/>
  <c r="B2" i="24"/>
  <c r="J2" i="24"/>
  <c r="R2" i="24"/>
  <c r="Z2" i="24"/>
  <c r="I2" i="25"/>
  <c r="Q2" i="25"/>
  <c r="Y2" i="25"/>
  <c r="F2" i="26"/>
  <c r="K2" i="26"/>
  <c r="P2" i="26"/>
  <c r="V2" i="26"/>
  <c r="AA2" i="26"/>
  <c r="E2" i="20"/>
  <c r="J2" i="20"/>
  <c r="P2" i="20"/>
  <c r="U2" i="20"/>
  <c r="Z2" i="20"/>
  <c r="D2" i="11"/>
  <c r="I2" i="11"/>
  <c r="O2" i="11"/>
  <c r="T2" i="11"/>
  <c r="Y2" i="11"/>
  <c r="G2" i="12"/>
  <c r="R2" i="12"/>
  <c r="W2" i="12"/>
  <c r="N2" i="24"/>
  <c r="M2" i="25"/>
  <c r="H2" i="26"/>
  <c r="S2" i="26"/>
  <c r="B2" i="20"/>
  <c r="M2" i="20"/>
  <c r="X2" i="20"/>
  <c r="L2" i="11"/>
  <c r="W2" i="11"/>
  <c r="O2" i="12"/>
  <c r="Z2" i="12"/>
  <c r="E2" i="24"/>
  <c r="U2" i="24"/>
  <c r="D2" i="25"/>
  <c r="T2" i="25"/>
  <c r="B2" i="26"/>
  <c r="L2" i="26"/>
  <c r="W2" i="26"/>
  <c r="F2" i="20"/>
  <c r="Q2" i="20"/>
  <c r="AB2" i="20"/>
  <c r="E2" i="11"/>
  <c r="P2" i="11"/>
  <c r="AA2" i="11"/>
  <c r="H2" i="12"/>
  <c r="S2" i="12"/>
  <c r="AB2" i="12"/>
  <c r="F2" i="24"/>
  <c r="V2" i="24"/>
  <c r="E2" i="25"/>
  <c r="U2" i="25"/>
  <c r="C2" i="26"/>
  <c r="N2" i="26"/>
  <c r="X2" i="26"/>
  <c r="R2" i="20"/>
  <c r="G2" i="11"/>
  <c r="Q2" i="11"/>
  <c r="AB2" i="11"/>
  <c r="J2" i="12"/>
  <c r="T2" i="12"/>
  <c r="AD2" i="12"/>
  <c r="M2" i="24"/>
  <c r="L2" i="25"/>
  <c r="AB2" i="25"/>
  <c r="G2" i="26"/>
  <c r="R2" i="26"/>
  <c r="AB2" i="26"/>
  <c r="L2" i="20"/>
  <c r="U2" i="11"/>
  <c r="AE2" i="12"/>
  <c r="V2" i="20"/>
  <c r="C2" i="12"/>
  <c r="N2" i="12"/>
  <c r="K2" i="11"/>
  <c r="X2" i="12"/>
  <c r="S40" i="41"/>
  <c r="L7" i="12"/>
  <c r="X40" i="41"/>
  <c r="AC40" i="41"/>
  <c r="S35" i="41"/>
  <c r="I35" i="41"/>
  <c r="N35" i="41"/>
  <c r="D40" i="41"/>
  <c r="D35" i="41"/>
  <c r="M7" i="26"/>
  <c r="AH35" i="41"/>
  <c r="AH40" i="41"/>
  <c r="W7" i="26"/>
  <c r="I40" i="41"/>
  <c r="AC35" i="41"/>
  <c r="N40" i="41"/>
  <c r="C7" i="26"/>
  <c r="X35" i="41"/>
  <c r="O35" i="41"/>
  <c r="T35" i="41"/>
  <c r="E35" i="41"/>
  <c r="H7" i="12"/>
  <c r="U35" i="41"/>
  <c r="F35" i="41"/>
  <c r="AD35" i="41"/>
  <c r="AI35" i="41"/>
  <c r="AG4" i="12" s="1"/>
  <c r="J35" i="41"/>
  <c r="Y35" i="41"/>
  <c r="D7" i="12"/>
  <c r="T7" i="26"/>
  <c r="P35" i="41"/>
  <c r="Y7" i="26"/>
  <c r="Z35" i="41"/>
  <c r="Q35" i="41"/>
  <c r="AJ35" i="41"/>
  <c r="AH4" i="12" s="1"/>
  <c r="G35" i="41"/>
  <c r="K35" i="41"/>
  <c r="O7" i="26"/>
  <c r="V35" i="41"/>
  <c r="AE35" i="41"/>
  <c r="AD40" i="41"/>
  <c r="Y40" i="41"/>
  <c r="AK35" i="41"/>
  <c r="AI4" i="12" s="1"/>
  <c r="T40" i="41"/>
  <c r="O40" i="41"/>
  <c r="AF35" i="41"/>
  <c r="AI40" i="41"/>
  <c r="AC4" i="26" s="1"/>
  <c r="E40" i="41"/>
  <c r="W35" i="41"/>
  <c r="J40" i="41"/>
  <c r="R35" i="41"/>
  <c r="L35" i="41"/>
  <c r="AA35" i="41"/>
  <c r="K40" i="41"/>
  <c r="AE40" i="41"/>
  <c r="F40" i="41"/>
  <c r="U40" i="41"/>
  <c r="AJ40" i="41"/>
  <c r="AD4" i="26" s="1"/>
  <c r="P40" i="41"/>
  <c r="Z40" i="41"/>
  <c r="AB35" i="41"/>
  <c r="AG35" i="41"/>
  <c r="M35" i="41"/>
  <c r="AF40" i="41"/>
  <c r="L40" i="41"/>
  <c r="G40" i="41"/>
  <c r="AA40" i="41"/>
  <c r="AK40" i="41"/>
  <c r="AE4" i="26" s="1"/>
  <c r="Q40" i="41"/>
  <c r="V40" i="41"/>
  <c r="H40" i="41"/>
  <c r="W40" i="41"/>
  <c r="R40" i="41"/>
  <c r="AG40" i="41"/>
  <c r="AB40" i="41"/>
  <c r="M40" i="41"/>
  <c r="B7" i="12" l="1"/>
  <c r="AA4" i="26"/>
  <c r="P4" i="26"/>
  <c r="K4" i="12"/>
  <c r="E4" i="26"/>
  <c r="P4" i="12"/>
  <c r="N4" i="26"/>
  <c r="T4" i="12"/>
  <c r="N4" i="12"/>
  <c r="AA4" i="12"/>
  <c r="B4" i="12"/>
  <c r="L4" i="12"/>
  <c r="W4" i="26"/>
  <c r="R4" i="26"/>
  <c r="M4" i="26"/>
  <c r="O2" i="27"/>
  <c r="P2" i="13"/>
  <c r="J2" i="13"/>
  <c r="I2" i="27"/>
  <c r="W2" i="27"/>
  <c r="X2" i="13"/>
  <c r="G2" i="27"/>
  <c r="H2" i="13"/>
  <c r="T2" i="13"/>
  <c r="S2" i="27"/>
  <c r="D2" i="13"/>
  <c r="C2" i="27"/>
  <c r="AA2" i="27"/>
  <c r="AB2" i="13"/>
  <c r="F2" i="27"/>
  <c r="G2" i="13"/>
  <c r="AB2" i="27"/>
  <c r="AC2" i="13"/>
  <c r="L2" i="27"/>
  <c r="M2" i="13"/>
  <c r="L4" i="26"/>
  <c r="K4" i="26"/>
  <c r="F4" i="26"/>
  <c r="Z4" i="12"/>
  <c r="Y4" i="12"/>
  <c r="D4" i="26"/>
  <c r="I4" i="12"/>
  <c r="E4" i="12"/>
  <c r="O4" i="12"/>
  <c r="V4" i="12"/>
  <c r="C2" i="13"/>
  <c r="B2" i="27"/>
  <c r="M2" i="27"/>
  <c r="N2" i="13"/>
  <c r="Z2" i="13"/>
  <c r="Y2" i="27"/>
  <c r="W2" i="13"/>
  <c r="V2" i="27"/>
  <c r="B2" i="13"/>
  <c r="Y2" i="13"/>
  <c r="X2" i="27"/>
  <c r="I2" i="13"/>
  <c r="H2" i="27"/>
  <c r="G4" i="26"/>
  <c r="Q4" i="26"/>
  <c r="Z4" i="26"/>
  <c r="O4" i="26"/>
  <c r="Y4" i="26"/>
  <c r="J4" i="12"/>
  <c r="U4" i="12"/>
  <c r="AD4" i="12"/>
  <c r="I4" i="26"/>
  <c r="X4" i="26"/>
  <c r="X4" i="12"/>
  <c r="W4" i="12"/>
  <c r="AB4" i="12"/>
  <c r="D4" i="12"/>
  <c r="S4" i="12"/>
  <c r="C4" i="12"/>
  <c r="R4" i="12"/>
  <c r="AB4" i="26"/>
  <c r="Q4" i="12"/>
  <c r="U2" i="27"/>
  <c r="V2" i="13"/>
  <c r="E2" i="27"/>
  <c r="F2" i="13"/>
  <c r="S2" i="13"/>
  <c r="R2" i="27"/>
  <c r="R2" i="13"/>
  <c r="Q2" i="27"/>
  <c r="T2" i="27"/>
  <c r="U2" i="13"/>
  <c r="E2" i="13"/>
  <c r="D2" i="27"/>
  <c r="V4" i="26"/>
  <c r="B4" i="26"/>
  <c r="U4" i="26"/>
  <c r="AE4" i="12"/>
  <c r="T4" i="26"/>
  <c r="J4" i="26"/>
  <c r="S4" i="26"/>
  <c r="AC4" i="12"/>
  <c r="H4" i="12"/>
  <c r="M4" i="12"/>
  <c r="H4" i="26"/>
  <c r="C4" i="26"/>
  <c r="AF4" i="12"/>
  <c r="G4" i="12"/>
  <c r="O2" i="13"/>
  <c r="N2" i="27"/>
  <c r="Z2" i="27"/>
  <c r="AA2" i="13"/>
  <c r="J2" i="27"/>
  <c r="K2" i="13"/>
  <c r="L2" i="13"/>
  <c r="K2" i="27"/>
  <c r="Q2" i="13"/>
  <c r="P2" i="27"/>
  <c r="G99" i="41" l="1"/>
  <c r="B8" i="15" l="1"/>
  <c r="B8" i="26"/>
  <c r="B8" i="25"/>
  <c r="H35" i="41"/>
  <c r="F4" i="12" s="1"/>
  <c r="B8" i="16"/>
  <c r="C8" i="16"/>
  <c r="G105" i="41"/>
</calcChain>
</file>

<file path=xl/sharedStrings.xml><?xml version="1.0" encoding="utf-8"?>
<sst xmlns="http://schemas.openxmlformats.org/spreadsheetml/2006/main" count="4547" uniqueCount="513">
  <si>
    <t>BCEU BAU Components Energy Use</t>
  </si>
  <si>
    <t>Sources:</t>
  </si>
  <si>
    <t>Future Year Scaling and non-electricity values</t>
  </si>
  <si>
    <t>Historical Trends - Urbanization Rates (to estimate demand growth in IESS low GDP trajectory)</t>
  </si>
  <si>
    <t>NITI Aayog</t>
  </si>
  <si>
    <t>World Bank</t>
  </si>
  <si>
    <t>India Energy Security Scenarios</t>
  </si>
  <si>
    <t>Urban population (% of total population) - India</t>
  </si>
  <si>
    <t>http://indiaenergy.gov.in/iess/docs/IESS_Version2.2.xlsx</t>
  </si>
  <si>
    <t>https://data.worldbank.org/indicator/SP.URB.TOTL.IN.ZS?end=2020&amp;locations=IN&amp;start=2000</t>
  </si>
  <si>
    <t>Tables  X.a and X.b</t>
  </si>
  <si>
    <t>Electricity Use in Residential and Commercial Buildings</t>
  </si>
  <si>
    <t>Government of India, Ministry of Statistics and Programme Implementation</t>
  </si>
  <si>
    <t>Energy Statistics 2021</t>
  </si>
  <si>
    <t>http://mospi.nic.in/sites/default/files/reports_and_publication/ES/Energy%20Statistics%20India%2020211.pdf</t>
  </si>
  <si>
    <t>Table 6.8</t>
  </si>
  <si>
    <t>LPG and Kerosene Use in Buildings</t>
  </si>
  <si>
    <t>Tables 6.6(E) and 6.6(G)</t>
  </si>
  <si>
    <t>Biomass and Coal Use</t>
  </si>
  <si>
    <t>IIASA</t>
  </si>
  <si>
    <t>GAINS Model: South Asia</t>
  </si>
  <si>
    <t>http://gains.iiasa.ac.at/models/index.html</t>
  </si>
  <si>
    <t xml:space="preserve">       </t>
  </si>
  <si>
    <t>Activity Data, Energy use in the domestic sector by device type, ECLIPSE_V5a_CLE_base scenario</t>
  </si>
  <si>
    <t>Energy in LPG and Kerosene</t>
  </si>
  <si>
    <t>TERI</t>
  </si>
  <si>
    <t>TERI Energy and Environmental Data Diary and Yearbook 2021-22</t>
  </si>
  <si>
    <t>TERI Energy &amp; Environment Data Diary and Yearbook (TEDDY) 2021-22 by A TERI Publication buy online</t>
  </si>
  <si>
    <t>Page 15, Table 6</t>
  </si>
  <si>
    <t>Notes:</t>
  </si>
  <si>
    <t>Notes on Component Categorization</t>
  </si>
  <si>
    <t>Water heaters are categorized as appliances, not as part of the "heating"</t>
  </si>
  <si>
    <t>component.  The "heating" component refers to heating of air and is affected by</t>
  </si>
  <si>
    <t>the building envelope, whereas appliances are not affected by envelope.</t>
  </si>
  <si>
    <t>District heat is not used in the buildings sector in India.</t>
  </si>
  <si>
    <t>In addition to electricity, kerosene is used for lighting in rural households.</t>
  </si>
  <si>
    <t>LPG (liquified petroleum gas) is an important cooking fuel in India.</t>
  </si>
  <si>
    <t xml:space="preserve">Heavy Fuel Oil consumption is not reported for domestic or commercial sectors in the sector-wise </t>
  </si>
  <si>
    <t>breakdown of the fuel consumption. So we don't account for it in residential/commercial buildings.</t>
  </si>
  <si>
    <t>Hydrogen is not included for India as it is still very nascent.</t>
  </si>
  <si>
    <t>IESS only includes fuelwood and dung used in residential cooking.</t>
  </si>
  <si>
    <t xml:space="preserve">We use data from IIASA GAINS on agricultural residues used for cooking. </t>
  </si>
  <si>
    <t>IESS projections for cooking take data from scenario 1 rather than scenario 2 to reflect that fact current trends in clean cooking initiatives</t>
  </si>
  <si>
    <t>We do not incorporate space heating, which is excluded from most building sector studies for India due to its minor contribution.</t>
  </si>
  <si>
    <t xml:space="preserve">The urbanization rates for estimating IESS residential demand is not coupled with GDP assumptions. Therefore, for the low GDP baseline, </t>
  </si>
  <si>
    <t>we assume that past trends in urbanization (2000-2020) would continue till 2050 in the BAU. Past trends are used to replace the Urbanization</t>
  </si>
  <si>
    <t xml:space="preserve">rates in IESS 'Global Assumptions' tab to estimate the residential demand growth in the low GDP BAU trajectory (Scenario 3 of IESS GDP). </t>
  </si>
  <si>
    <t>Table 6.8 (Excerpt): Year-wise Consumption of Electricity- Sectorwise</t>
  </si>
  <si>
    <r>
      <t>in Giga Watt Hour = 10</t>
    </r>
    <r>
      <rPr>
        <b/>
        <vertAlign val="superscript"/>
        <sz val="10"/>
        <color indexed="8"/>
        <rFont val="Times New Roman"/>
        <family val="1"/>
      </rPr>
      <t>6</t>
    </r>
    <r>
      <rPr>
        <b/>
        <sz val="10"/>
        <color indexed="8"/>
        <rFont val="Times New Roman"/>
        <family val="1"/>
      </rPr>
      <t xml:space="preserve">  Kilo Watt Hour</t>
    </r>
  </si>
  <si>
    <t>Year</t>
  </si>
  <si>
    <t>Industry</t>
  </si>
  <si>
    <t>Agriculture</t>
  </si>
  <si>
    <t>Domestic</t>
  </si>
  <si>
    <t>Commercial</t>
  </si>
  <si>
    <t>Traction</t>
  </si>
  <si>
    <t>Others</t>
  </si>
  <si>
    <t>Total</t>
  </si>
  <si>
    <t>&amp;</t>
  </si>
  <si>
    <t>Electricity</t>
  </si>
  <si>
    <t>Railways</t>
  </si>
  <si>
    <t>Consumed</t>
  </si>
  <si>
    <t>8=2 to 7</t>
  </si>
  <si>
    <t xml:space="preserve">2016-17     </t>
  </si>
  <si>
    <t xml:space="preserve">2017-18 </t>
  </si>
  <si>
    <t xml:space="preserve">2018-19 </t>
  </si>
  <si>
    <t>2018-19</t>
  </si>
  <si>
    <t>2019-20</t>
  </si>
  <si>
    <t>2020-21</t>
  </si>
  <si>
    <t>Source : Central Electricity Authority.</t>
  </si>
  <si>
    <t>LPG Use, 2016-17</t>
  </si>
  <si>
    <t>Residential buildings</t>
  </si>
  <si>
    <t>thousand metric tons</t>
  </si>
  <si>
    <t>Commercial buildings</t>
  </si>
  <si>
    <t>LPG Use, 2017-18</t>
  </si>
  <si>
    <t>LPG Use, 2018-19</t>
  </si>
  <si>
    <t>LPG Use, 2019-20</t>
  </si>
  <si>
    <t>LPG Use, 2020-21</t>
  </si>
  <si>
    <t>LPG Use, 2021-22 (P)</t>
  </si>
  <si>
    <t>Source for consumption data of all 3 fuels: MoPNG (as reporetd in MoSPI's Annual Energy Statistics)</t>
  </si>
  <si>
    <t>We assume all LPG is used for appliances (primarily cooking,</t>
  </si>
  <si>
    <t>perhaps some water heating).</t>
  </si>
  <si>
    <t>Kerosene Use, 2016-17</t>
  </si>
  <si>
    <t>Kerosene Use, 2017-18</t>
  </si>
  <si>
    <t>Kerosene Use, 2018-19</t>
  </si>
  <si>
    <t>Kerosene Use, 2019-20</t>
  </si>
  <si>
    <t>Kerosene Use, 2020-21</t>
  </si>
  <si>
    <t>Kerosene Use, 2021-22 (P)</t>
  </si>
  <si>
    <t>Our TERI partner indicates that Kersone is only used in rural buildings.</t>
  </si>
  <si>
    <t>(We assume the commercial buildings that use kerosene in the table above are in rural areas.)</t>
  </si>
  <si>
    <t>Kerosene is used almost exclusively for lighting, although some sources</t>
  </si>
  <si>
    <t>(such as our source for Biomass Use) say that a small amount is</t>
  </si>
  <si>
    <t>used as a lighter fluid to start a fire.</t>
  </si>
  <si>
    <t>Accordingly, we assign Kerosene to components in the following</t>
  </si>
  <si>
    <t>ratios:</t>
  </si>
  <si>
    <t>lighting</t>
  </si>
  <si>
    <t>appliances</t>
  </si>
  <si>
    <t>Region</t>
  </si>
  <si>
    <t>Energy use by sector and fuel</t>
  </si>
  <si>
    <t>Brown coal/lignite grade 1</t>
  </si>
  <si>
    <t>Brown coal/lignite grade 2 (also peat)</t>
  </si>
  <si>
    <t>Hard coal, grade 1</t>
  </si>
  <si>
    <t>Hard coal, grade 2</t>
  </si>
  <si>
    <t>Hard coal, grade 3</t>
  </si>
  <si>
    <t>Derived coal (coke, briquettes)</t>
  </si>
  <si>
    <t>Agricultural residues</t>
  </si>
  <si>
    <t>Bagasse</t>
  </si>
  <si>
    <t>Biogas</t>
  </si>
  <si>
    <t>Biomass gasification</t>
  </si>
  <si>
    <t>Charcoal</t>
  </si>
  <si>
    <t>Dung</t>
  </si>
  <si>
    <t>Fuelwood</t>
  </si>
  <si>
    <t>Black liquor</t>
  </si>
  <si>
    <t>Waste fuels, non-renewable</t>
  </si>
  <si>
    <t>Waste fuel, renewable</t>
  </si>
  <si>
    <t>Biomass fuels</t>
  </si>
  <si>
    <t>Other biomass and waste fuels</t>
  </si>
  <si>
    <t>Heavy fuel oil</t>
  </si>
  <si>
    <t>Diesel</t>
  </si>
  <si>
    <t>Gasoline</t>
  </si>
  <si>
    <t>LPG</t>
  </si>
  <si>
    <t>Natural gas (incl. other gases)</t>
  </si>
  <si>
    <t>Hydrogen</t>
  </si>
  <si>
    <t>Renewable energy other than biomass</t>
  </si>
  <si>
    <t>Geothermal</t>
  </si>
  <si>
    <t>Small hydro power</t>
  </si>
  <si>
    <t>Solar photovoltaic</t>
  </si>
  <si>
    <t>Solar thermal</t>
  </si>
  <si>
    <t>Wind</t>
  </si>
  <si>
    <t>Hydro</t>
  </si>
  <si>
    <t>Nuclear</t>
  </si>
  <si>
    <t>Heat (steam, hot water)</t>
  </si>
  <si>
    <t>India, India Bihar</t>
  </si>
  <si>
    <t>Fuel conversion - combustion</t>
  </si>
  <si>
    <t>Transformation - losses</t>
  </si>
  <si>
    <t>Chemical industry (boilers)</t>
  </si>
  <si>
    <t>Transformation sector (boilers)</t>
  </si>
  <si>
    <t>Other industry (boilers; liquid and gaseous fuels)</t>
  </si>
  <si>
    <t>Other industry (large coal boilers; &gt; 50 MWth )</t>
  </si>
  <si>
    <t>Other industry (small coal boilers; &lt; 50 MWth )</t>
  </si>
  <si>
    <t>Paper &amp; pulp (boilers)</t>
  </si>
  <si>
    <t>Other industry (furnaces)</t>
  </si>
  <si>
    <t>Non-energy use</t>
  </si>
  <si>
    <t>Diesel generator sets</t>
  </si>
  <si>
    <t>Power &amp; district heat plants - existing coal (&gt;50 MWth)</t>
  </si>
  <si>
    <t>Power &amp; district heat plants - existing coal (&lt;50 MWth)</t>
  </si>
  <si>
    <t>Power &amp; district heat plants - existing (excl. coal)</t>
  </si>
  <si>
    <t>PP_EX_WB</t>
  </si>
  <si>
    <t>Power &amp; district heat plants - IGCC</t>
  </si>
  <si>
    <t>IGGC new plant with CCS</t>
  </si>
  <si>
    <t>Modern power plants (coal: ultra &amp;  supercritical; gas: CCGT)</t>
  </si>
  <si>
    <t>Modern power plants (coal: ultra &amp; supercritical; gas: CCGT) with CCS</t>
  </si>
  <si>
    <t>Power &amp; district heat plants - new (excl. coal)</t>
  </si>
  <si>
    <t>Power &amp; district heat plants - new coal (&gt;50 MWth)</t>
  </si>
  <si>
    <t>Power &amp; district heat plants (total); used for reporting total fossil fuels inputs, inputs of non-fossil fuels as well as total electricity and heat generation</t>
  </si>
  <si>
    <t>Non-road, other</t>
  </si>
  <si>
    <t>Coastal shipping, large vessels</t>
  </si>
  <si>
    <t>Coastal shipping, medium vessels</t>
  </si>
  <si>
    <t>Aviation - LTO</t>
  </si>
  <si>
    <t>Construction machinery</t>
  </si>
  <si>
    <t>Inland waterways</t>
  </si>
  <si>
    <t>Other non-road machinery</t>
  </si>
  <si>
    <t>2-stroke engines (non-road)</t>
  </si>
  <si>
    <t>Road vehicles</t>
  </si>
  <si>
    <t>Buses</t>
  </si>
  <si>
    <t>Heavy duty vehicles</t>
  </si>
  <si>
    <t>Mopeds</t>
  </si>
  <si>
    <t>Cars</t>
  </si>
  <si>
    <t>Light duty vehicles</t>
  </si>
  <si>
    <t>Motorcycles</t>
  </si>
  <si>
    <t>India, India Karnataka</t>
  </si>
  <si>
    <t>India, India Kerala</t>
  </si>
  <si>
    <t>India, India Madhya Pradesh</t>
  </si>
  <si>
    <t>India, India Maharashtra-Dadra-Nagar Haveli-Daman-Diu</t>
  </si>
  <si>
    <t>India, India North East (excl. Assam)</t>
  </si>
  <si>
    <t>India, India Orissa</t>
  </si>
  <si>
    <t>India, India Punjab (I)</t>
  </si>
  <si>
    <t>India, India Rajasthan</t>
  </si>
  <si>
    <t>India, India Tamil Nadu</t>
  </si>
  <si>
    <t>India, India Chhattisgarh</t>
  </si>
  <si>
    <t>India, India Uttaranchal</t>
  </si>
  <si>
    <t>India, India West Bengal</t>
  </si>
  <si>
    <t>India, India Andhra Pradesh</t>
  </si>
  <si>
    <t>India, India Assam</t>
  </si>
  <si>
    <t>India, India Delhi</t>
  </si>
  <si>
    <t>India, India Goa</t>
  </si>
  <si>
    <t>India, India Gujarat</t>
  </si>
  <si>
    <t>India, India Haryana</t>
  </si>
  <si>
    <t>India, India Himachal Pradesh</t>
  </si>
  <si>
    <t>India, India Jammu and Kashmir</t>
  </si>
  <si>
    <t>India, India Jharkhand</t>
  </si>
  <si>
    <t>India, India Uttar Pradesh</t>
  </si>
  <si>
    <t>Medium boilers (&lt;50MW) - automatic (commercial)</t>
  </si>
  <si>
    <t>Medium boilers (&lt;1MW) - manual (commercial)</t>
  </si>
  <si>
    <t>Fireplaces</t>
  </si>
  <si>
    <t>Medium boilers (&lt;50MW) - automatic</t>
  </si>
  <si>
    <t>Medium boilers (&lt;1MW) - manual</t>
  </si>
  <si>
    <t>Three-stone stove</t>
  </si>
  <si>
    <t>Single house boilers (&lt;50 kW) - automatic</t>
  </si>
  <si>
    <t>Single house boilers (&lt;50 kW) - manual</t>
  </si>
  <si>
    <t>Cooking stoves</t>
  </si>
  <si>
    <t>Heating stoves</t>
  </si>
  <si>
    <t>India Andhra Pradesh</t>
  </si>
  <si>
    <t>Fireplaces (agr, forestry, other)</t>
  </si>
  <si>
    <t>Medium boilers (&lt;50MW) - automatic (agr, forestry, other)</t>
  </si>
  <si>
    <t>Medium boilers (&lt;1MW) - manual (agr, forestry, other)</t>
  </si>
  <si>
    <t>Three-stone stove (agr, forestry, other)</t>
  </si>
  <si>
    <t>Single house boilers (&lt;50 kW) - automatic (agr, forestry, other)</t>
  </si>
  <si>
    <t>Single house boilers (&lt;50 kW) - manual (agr, forestry, other)</t>
  </si>
  <si>
    <t>Cooking stoves (agr, forestry, other)</t>
  </si>
  <si>
    <t>Heating stoves (agr, forestry, other)</t>
  </si>
  <si>
    <t>Fireplaces (households)</t>
  </si>
  <si>
    <t>Three-stone stove (households)</t>
  </si>
  <si>
    <t>Single house boilers (&lt;50 kW) - automatic (households)</t>
  </si>
  <si>
    <t>Single house boilers (&lt;50 kW) - manual (households)</t>
  </si>
  <si>
    <t>Cooking stoves (households)</t>
  </si>
  <si>
    <t>Heating stoves (households)</t>
  </si>
  <si>
    <t>India Assam</t>
  </si>
  <si>
    <t>India Bihar</t>
  </si>
  <si>
    <t>India Chhattisgarh</t>
  </si>
  <si>
    <t>India Delhi</t>
  </si>
  <si>
    <t>India Goa</t>
  </si>
  <si>
    <t>India Gujarat</t>
  </si>
  <si>
    <t>India Haryana</t>
  </si>
  <si>
    <t>India Himachal Pradesh</t>
  </si>
  <si>
    <t>India Jammu and Kashmir</t>
  </si>
  <si>
    <t>India Jharkhand</t>
  </si>
  <si>
    <t>India Karnataka</t>
  </si>
  <si>
    <t>India Kerala</t>
  </si>
  <si>
    <t>India Madhya Pradesh</t>
  </si>
  <si>
    <t>India Maharashtra-Dadra-Nagar Haveli-Daman-Diu</t>
  </si>
  <si>
    <t>India North East (excl. Assam)</t>
  </si>
  <si>
    <t>India Orissa</t>
  </si>
  <si>
    <t>India Punjab</t>
  </si>
  <si>
    <t>India Rajasthan</t>
  </si>
  <si>
    <t>India Tamil Nadu</t>
  </si>
  <si>
    <t>India Uttar Pradesh</t>
  </si>
  <si>
    <t>India Uttaranchal</t>
  </si>
  <si>
    <t>India West Bengal</t>
  </si>
  <si>
    <t>Row Labels</t>
  </si>
  <si>
    <t>Sum of Brown coal/lignite grade 1</t>
  </si>
  <si>
    <t>Sum of Brown coal/lignite grade 2 (also peat)</t>
  </si>
  <si>
    <t>Sum of Hard coal, grade 1</t>
  </si>
  <si>
    <t>Sum of Hard coal, grade 2</t>
  </si>
  <si>
    <t>Sum of Hard coal, grade 3</t>
  </si>
  <si>
    <t>Sum of Derived coal (coke, briquettes)</t>
  </si>
  <si>
    <t>Sum of Agricultural residues</t>
  </si>
  <si>
    <t>Sum of Bagasse</t>
  </si>
  <si>
    <t>Sum of Biogas</t>
  </si>
  <si>
    <t>Sum of Biomass gasification</t>
  </si>
  <si>
    <t>Sum of Charcoal</t>
  </si>
  <si>
    <t>Sum of Dung</t>
  </si>
  <si>
    <t>Sum of Fuelwood</t>
  </si>
  <si>
    <t>Sum of Black liquor</t>
  </si>
  <si>
    <t>Sum of Waste fuels, non-renewable</t>
  </si>
  <si>
    <t>Sum of Waste fuel, renewable</t>
  </si>
  <si>
    <t>Sum of Biomass fuels</t>
  </si>
  <si>
    <t>Sum of Other biomass and waste fuels</t>
  </si>
  <si>
    <t>Sum of Heavy fuel oil</t>
  </si>
  <si>
    <t>Sum of Diesel</t>
  </si>
  <si>
    <t>Sum of Gasoline</t>
  </si>
  <si>
    <t>Sum of LPG</t>
  </si>
  <si>
    <t>Sum of Natural gas (incl. other gases)</t>
  </si>
  <si>
    <t>Sum of Hydrogen</t>
  </si>
  <si>
    <t>Sum of Renewable energy other than biomass</t>
  </si>
  <si>
    <t>Sum of Geothermal</t>
  </si>
  <si>
    <t>Sum of Small hydro power</t>
  </si>
  <si>
    <t>Sum of Solar photovoltaic</t>
  </si>
  <si>
    <t>Sum of Solar thermal</t>
  </si>
  <si>
    <t>Sum of Wind</t>
  </si>
  <si>
    <t>Sum of Hydro</t>
  </si>
  <si>
    <t>Sum of Nuclear</t>
  </si>
  <si>
    <t>Sum of Electricity</t>
  </si>
  <si>
    <t>Sum of Heat (steam, hot water)</t>
  </si>
  <si>
    <t>Grand Total</t>
  </si>
  <si>
    <t>Sum of Agricultural Residues</t>
  </si>
  <si>
    <t>Interpolated 2017 Value for Agricultural residues</t>
  </si>
  <si>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</si>
  <si>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</si>
  <si>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</si>
  <si>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</si>
  <si>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</si>
  <si>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</si>
  <si>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</si>
  <si>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</si>
  <si>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</si>
  <si>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</si>
  <si>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</si>
  <si>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</si>
  <si>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</si>
  <si>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</si>
  <si>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</si>
  <si>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</si>
  <si>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</si>
  <si>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</si>
  <si>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</si>
  <si>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</si>
  <si>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</si>
  <si>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</si>
  <si>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</si>
  <si>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</si>
  <si>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</si>
  <si>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</si>
  <si>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</si>
  <si>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</si>
  <si>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</si>
  <si>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</si>
  <si>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</si>
  <si>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</si>
  <si>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</si>
  <si>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</si>
  <si>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</si>
  <si>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</si>
  <si>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</si>
  <si>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</si>
  <si>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</si>
  <si>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</si>
  <si>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</si>
  <si>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</si>
  <si>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</si>
  <si>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</si>
  <si>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</si>
  <si>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</si>
  <si>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</si>
  <si>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</si>
  <si>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</si>
  <si>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</si>
  <si>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</si>
  <si>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</si>
  <si>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</si>
  <si>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</si>
  <si>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</si>
  <si>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</si>
  <si>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</si>
  <si>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</si>
  <si>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</si>
  <si>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</si>
  <si>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</si>
  <si>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</si>
  <si>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</si>
  <si>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</si>
  <si>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</si>
  <si>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</si>
  <si>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</si>
  <si>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</si>
  <si>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India</t>
  </si>
  <si>
    <t>IND</t>
  </si>
  <si>
    <t>Urban population (% of total population)</t>
  </si>
  <si>
    <t>SP.URB.TOTL.IN.ZS</t>
  </si>
  <si>
    <t>Trend-based Projection for low GDP BAU</t>
  </si>
  <si>
    <t>20-yr trend</t>
  </si>
  <si>
    <t xml:space="preserve">Forecast till 2050 </t>
  </si>
  <si>
    <t>5-yr averages for plugging into IESS (Global Assumptions tab)</t>
  </si>
  <si>
    <t>-</t>
  </si>
  <si>
    <t>IESS Residential Demand</t>
  </si>
  <si>
    <t>Units</t>
  </si>
  <si>
    <t>IX</t>
  </si>
  <si>
    <t>H.01</t>
  </si>
  <si>
    <t>Cooling Demand from the Residential Sector</t>
  </si>
  <si>
    <t>Electricity  Demand by Ceiling Fans*</t>
  </si>
  <si>
    <t>TWh/year</t>
  </si>
  <si>
    <t>Electricity Demand by Acs*</t>
  </si>
  <si>
    <t>*</t>
  </si>
  <si>
    <t>http://www.moef.nic.in/downloads/public-information/Residentialpowerconsumption.pdf</t>
  </si>
  <si>
    <t>Net Electricity Demand for cooling for the base year is being matched to the electricity demand for cooling as mentioned in this MoEF report.</t>
  </si>
  <si>
    <t>Lighting</t>
  </si>
  <si>
    <t>No of Appliances</t>
  </si>
  <si>
    <t>x</t>
  </si>
  <si>
    <t>Weighted usage hours</t>
  </si>
  <si>
    <t>Hours</t>
  </si>
  <si>
    <t>Weighted average of Wattage Efficiency</t>
  </si>
  <si>
    <t>GW</t>
  </si>
  <si>
    <t>=</t>
  </si>
  <si>
    <t>Total demand by lighting</t>
  </si>
  <si>
    <t>Televisions</t>
  </si>
  <si>
    <t>Demand scenario</t>
  </si>
  <si>
    <t>Weighted average of efficiency</t>
  </si>
  <si>
    <t>Total demand by televisions</t>
  </si>
  <si>
    <t>Refrigirators</t>
  </si>
  <si>
    <t>Total demand by refrigirators</t>
  </si>
  <si>
    <t>Total demand by above appliances</t>
  </si>
  <si>
    <t>Total demand by others</t>
  </si>
  <si>
    <t>Demand Consumed by water heaters</t>
  </si>
  <si>
    <t>water Heating  adjusted demand by other appliances</t>
  </si>
  <si>
    <t>Total demand by all appliances</t>
  </si>
  <si>
    <t>Total demand by room airconditoners</t>
  </si>
  <si>
    <t>Total demand by ceiling fans</t>
  </si>
  <si>
    <t xml:space="preserve">Net energy demand </t>
  </si>
  <si>
    <t>Consumption of kerosene</t>
  </si>
  <si>
    <t>Urban</t>
  </si>
  <si>
    <t>TWh</t>
  </si>
  <si>
    <t>Rural</t>
  </si>
  <si>
    <t xml:space="preserve">Cost calculations </t>
  </si>
  <si>
    <t>INR Trillion</t>
  </si>
  <si>
    <t>Ceiling Fans</t>
  </si>
  <si>
    <t>Refrigerators</t>
  </si>
  <si>
    <t>Room Acs</t>
  </si>
  <si>
    <t>V.01</t>
  </si>
  <si>
    <t>Electricity (delivered to end user)</t>
  </si>
  <si>
    <t>V.04</t>
  </si>
  <si>
    <t>Liquid hydrocarbons</t>
  </si>
  <si>
    <t>*liquid hydrocarbons assigned entirely to kerosene in IESS</t>
  </si>
  <si>
    <t>Urban/Rural split</t>
  </si>
  <si>
    <t>Number of households</t>
  </si>
  <si>
    <t>Millions</t>
  </si>
  <si>
    <t>Description</t>
  </si>
  <si>
    <t>Notes</t>
  </si>
  <si>
    <t>Number of Households</t>
  </si>
  <si>
    <t>Urban %</t>
  </si>
  <si>
    <t>Rural %</t>
  </si>
  <si>
    <t>IESS Cooking Demand</t>
  </si>
  <si>
    <t>Energy produced and required-Rural</t>
  </si>
  <si>
    <t>Vector</t>
  </si>
  <si>
    <t>Name</t>
  </si>
  <si>
    <t>2022</t>
  </si>
  <si>
    <t>2027</t>
  </si>
  <si>
    <t>2032</t>
  </si>
  <si>
    <t>2037</t>
  </si>
  <si>
    <t>2042</t>
  </si>
  <si>
    <t>2047</t>
  </si>
  <si>
    <t>2052</t>
  </si>
  <si>
    <t>M.01</t>
  </si>
  <si>
    <t>Cooking</t>
  </si>
  <si>
    <t>V.03</t>
  </si>
  <si>
    <t>Solid hydrocarbons</t>
  </si>
  <si>
    <t>V.05</t>
  </si>
  <si>
    <t>Gaseous hydrocarbons</t>
  </si>
  <si>
    <t>Energy produced and required-Urban</t>
  </si>
  <si>
    <t>Energy produced and required</t>
  </si>
  <si>
    <t>IESS Electricity</t>
  </si>
  <si>
    <t>Fuel</t>
  </si>
  <si>
    <t>End Use</t>
  </si>
  <si>
    <t>Building Type</t>
  </si>
  <si>
    <t>Cooling</t>
  </si>
  <si>
    <t>Residential</t>
  </si>
  <si>
    <t>Appliances</t>
  </si>
  <si>
    <t>Other</t>
  </si>
  <si>
    <t>Appliances (cooking)</t>
  </si>
  <si>
    <t>Urban Residential</t>
  </si>
  <si>
    <t>Rural Residential</t>
  </si>
  <si>
    <t>Total liquid hydrocarbons</t>
  </si>
  <si>
    <t>Residential Electricity Breakdown</t>
  </si>
  <si>
    <t>IESS Commercial Demand</t>
  </si>
  <si>
    <t>Load Distribution</t>
  </si>
  <si>
    <t>HVAC</t>
  </si>
  <si>
    <t>Calcultations of commercial water heating demand</t>
  </si>
  <si>
    <t>average  hot water demand/person</t>
  </si>
  <si>
    <t>litres/day</t>
  </si>
  <si>
    <t>Specific Heat of Water</t>
  </si>
  <si>
    <t>TWh/Kg/deg celsius</t>
  </si>
  <si>
    <t>Temperature difference to which the water has to be heated</t>
  </si>
  <si>
    <t>Celsius</t>
  </si>
  <si>
    <t>Duration for usage of Hot water</t>
  </si>
  <si>
    <t>Days</t>
  </si>
  <si>
    <t>population in urban areas</t>
  </si>
  <si>
    <t>Total Water Heating Demand in commercial setor</t>
  </si>
  <si>
    <t>Assuming water heating demand from the commercial sector in rural areas to be insignificant</t>
  </si>
  <si>
    <t>Hot water demand met by Solar Water heaters</t>
  </si>
  <si>
    <t>Hot water demand met by electricity</t>
  </si>
  <si>
    <t>Efficiency of water heaters</t>
  </si>
  <si>
    <t>Total Electricity Demand for commercial water heating</t>
  </si>
  <si>
    <t>Commercial Scaling Factors</t>
  </si>
  <si>
    <t>Commercial Electricity Breakdown</t>
  </si>
  <si>
    <t>BTU per GWh</t>
  </si>
  <si>
    <t xml:space="preserve">Weight to Volume Conversion </t>
  </si>
  <si>
    <t>This is a pure unit conversion.  It does not involve a heat rate.</t>
  </si>
  <si>
    <t>Product</t>
  </si>
  <si>
    <t xml:space="preserve">Weight </t>
  </si>
  <si>
    <t xml:space="preserve">Volume </t>
  </si>
  <si>
    <t xml:space="preserve">Barrel </t>
  </si>
  <si>
    <t>(MT)</t>
  </si>
  <si>
    <t>(KL)</t>
  </si>
  <si>
    <t>(bbl)</t>
  </si>
  <si>
    <t>BTU per PJ</t>
  </si>
  <si>
    <t>Petrol (MS)</t>
  </si>
  <si>
    <t>Diesel (HSD)</t>
  </si>
  <si>
    <t>Kerosene (SKO)</t>
  </si>
  <si>
    <t>ATF</t>
  </si>
  <si>
    <t>Energy in LPG</t>
  </si>
  <si>
    <t>Light Diesel Oil (LDO)</t>
  </si>
  <si>
    <t>kcal/kg</t>
  </si>
  <si>
    <t>Furnace Oil (FO)</t>
  </si>
  <si>
    <t>kcal/ton</t>
  </si>
  <si>
    <t>Crude Oil</t>
  </si>
  <si>
    <t>BTU/kcal</t>
  </si>
  <si>
    <t>Source: PPAC</t>
  </si>
  <si>
    <t>BTU/ton</t>
  </si>
  <si>
    <t>BTU/thousand tons</t>
  </si>
  <si>
    <t>Energy in Kerosene</t>
  </si>
  <si>
    <t>Energy in Biomass</t>
  </si>
  <si>
    <t>Wood wastes</t>
  </si>
  <si>
    <t>Cowdung</t>
  </si>
  <si>
    <t>Average of biomass fuels</t>
  </si>
  <si>
    <t>BTU/kg</t>
  </si>
  <si>
    <t>Energy in Petroleum Diesel</t>
  </si>
  <si>
    <t>million BTU/barrel</t>
  </si>
  <si>
    <t>barrel/MT</t>
  </si>
  <si>
    <t>million BTU/MT</t>
  </si>
  <si>
    <t>million BTU/'000 MT</t>
  </si>
  <si>
    <t>BTU/'000 MT</t>
  </si>
  <si>
    <t>Fuel Type</t>
  </si>
  <si>
    <t>Service</t>
  </si>
  <si>
    <t>electricity (BTU)</t>
  </si>
  <si>
    <t>Heating</t>
  </si>
  <si>
    <t>Cooling and Ventilation</t>
  </si>
  <si>
    <t>coal (BTU)</t>
  </si>
  <si>
    <t>natural gas (BTU)</t>
  </si>
  <si>
    <t>petroleum diesel (BTU)</t>
  </si>
  <si>
    <t>heat (BTU)</t>
  </si>
  <si>
    <t>biomass (BTU)</t>
  </si>
  <si>
    <t>kerosene (BTU)</t>
  </si>
  <si>
    <t>heavy or residual fuel oil (BTU)</t>
  </si>
  <si>
    <t>LPG propane or butane (BTU)</t>
  </si>
  <si>
    <t>hydrogen (BTU)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</si>
</sst>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0.000"/>
    <numFmt numFmtId="166" formatCode="0.0"/>
    <numFmt numFmtId="167" formatCode="0.0_ ;\-0.0\ "/>
    <numFmt numFmtId="168" formatCode="0.000E+00"/>
    <numFmt numFmtId="169" formatCode="#,##0.0"/>
  </numFmts>
  <fonts count="3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indexed="30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0"/>
      <name val="Calibri"/>
      <family val="1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9" tint="0.79998168889431442"/>
      <name val="Calibri"/>
      <family val="2"/>
      <scheme val="minor"/>
    </font>
    <font>
      <b/>
      <sz val="10"/>
      <color theme="9" tint="0.7999816888943144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6"/>
      <color rgb="FF000000"/>
      <name val="Times New Roman"/>
      <family val="1"/>
    </font>
    <font>
      <b/>
      <sz val="10"/>
      <color indexed="8"/>
      <name val="Times New Roman"/>
      <family val="1"/>
    </font>
    <font>
      <b/>
      <vertAlign val="superscript"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0"/>
      <name val="Arial"/>
      <family val="2"/>
    </font>
    <font>
      <sz val="7"/>
      <color indexed="45"/>
      <name val="Arial"/>
      <family val="2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BFBF"/>
        <bgColor rgb="FF000000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45"/>
      </top>
      <bottom style="thin">
        <color indexed="4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Protection="0">
      <alignment wrapText="1"/>
    </xf>
    <xf numFmtId="0" fontId="4" fillId="0" borderId="0" applyNumberFormat="0" applyProtection="0">
      <alignment horizontal="left"/>
    </xf>
    <xf numFmtId="0" fontId="2" fillId="0" borderId="2" applyNumberFormat="0" applyFont="0" applyProtection="0">
      <alignment wrapText="1"/>
    </xf>
    <xf numFmtId="0" fontId="3" fillId="0" borderId="3" applyNumberFormat="0" applyProtection="0">
      <alignment wrapText="1"/>
    </xf>
    <xf numFmtId="0" fontId="2" fillId="0" borderId="4" applyNumberFormat="0" applyProtection="0">
      <alignment vertical="top" wrapText="1"/>
    </xf>
    <xf numFmtId="0" fontId="5" fillId="0" borderId="0" applyNumberFormat="0" applyFill="0" applyBorder="0" applyAlignment="0" applyProtection="0"/>
    <xf numFmtId="0" fontId="7" fillId="0" borderId="0"/>
    <xf numFmtId="0" fontId="7" fillId="0" borderId="8" applyNumberFormat="0" applyProtection="0">
      <alignment wrapText="1"/>
    </xf>
    <xf numFmtId="0" fontId="8" fillId="0" borderId="6" applyNumberFormat="0" applyProtection="0">
      <alignment wrapText="1"/>
    </xf>
    <xf numFmtId="0" fontId="7" fillId="0" borderId="7" applyNumberFormat="0" applyFont="0" applyProtection="0">
      <alignment wrapText="1"/>
    </xf>
    <xf numFmtId="0" fontId="8" fillId="0" borderId="5" applyNumberFormat="0" applyProtection="0">
      <alignment wrapText="1"/>
    </xf>
    <xf numFmtId="0" fontId="7" fillId="0" borderId="0" applyNumberFormat="0" applyFill="0" applyBorder="0" applyAlignment="0" applyProtection="0"/>
    <xf numFmtId="0" fontId="6" fillId="0" borderId="0" applyNumberFormat="0" applyProtection="0">
      <alignment horizontal="left"/>
    </xf>
    <xf numFmtId="167" fontId="10" fillId="4" borderId="0" applyBorder="0" applyProtection="0">
      <alignment horizontal="left"/>
    </xf>
    <xf numFmtId="166" fontId="11" fillId="4" borderId="0">
      <alignment horizontal="left"/>
    </xf>
    <xf numFmtId="1" fontId="11" fillId="4" borderId="11">
      <alignment horizontal="left"/>
    </xf>
    <xf numFmtId="166" fontId="11" fillId="4" borderId="10">
      <alignment horizontal="left"/>
    </xf>
    <xf numFmtId="164" fontId="9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21" fillId="0" borderId="0"/>
    <xf numFmtId="0" fontId="21" fillId="0" borderId="0"/>
    <xf numFmtId="169" fontId="22" fillId="0" borderId="20">
      <alignment horizontal="right" vertical="center"/>
    </xf>
    <xf numFmtId="9" fontId="9" fillId="0" borderId="0" applyFont="0" applyFill="0" applyBorder="0" applyAlignment="0" applyProtection="0"/>
    <xf numFmtId="0" fontId="25" fillId="7" borderId="0" applyNumberFormat="0" applyBorder="0" applyAlignment="0" applyProtection="0"/>
  </cellStyleXfs>
  <cellXfs count="8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5" fillId="0" borderId="0" xfId="7"/>
    <xf numFmtId="11" fontId="0" fillId="0" borderId="0" xfId="0" applyNumberFormat="1"/>
    <xf numFmtId="0" fontId="1" fillId="2" borderId="0" xfId="0" applyFont="1" applyFill="1" applyAlignment="1">
      <alignment horizontal="left"/>
    </xf>
    <xf numFmtId="9" fontId="0" fillId="0" borderId="0" xfId="0" applyNumberFormat="1"/>
    <xf numFmtId="0" fontId="0" fillId="3" borderId="0" xfId="0" applyFill="1" applyAlignment="1">
      <alignment horizontal="right"/>
    </xf>
    <xf numFmtId="165" fontId="0" fillId="0" borderId="0" xfId="0" applyNumberFormat="1"/>
    <xf numFmtId="0" fontId="0" fillId="2" borderId="0" xfId="0" applyFill="1"/>
    <xf numFmtId="0" fontId="12" fillId="3" borderId="0" xfId="0" applyFont="1" applyFill="1"/>
    <xf numFmtId="0" fontId="0" fillId="3" borderId="0" xfId="0" applyFill="1"/>
    <xf numFmtId="0" fontId="13" fillId="3" borderId="0" xfId="0" applyFont="1" applyFill="1"/>
    <xf numFmtId="0" fontId="12" fillId="3" borderId="9" xfId="0" applyFont="1" applyFill="1" applyBorder="1" applyAlignment="1">
      <alignment vertical="center"/>
    </xf>
    <xf numFmtId="0" fontId="14" fillId="3" borderId="9" xfId="0" applyFont="1" applyFill="1" applyBorder="1" applyAlignment="1">
      <alignment horizontal="right" vertical="center"/>
    </xf>
    <xf numFmtId="0" fontId="12" fillId="3" borderId="9" xfId="0" applyFont="1" applyFill="1" applyBorder="1"/>
    <xf numFmtId="0" fontId="15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1" fontId="13" fillId="3" borderId="0" xfId="0" applyNumberFormat="1" applyFont="1" applyFill="1"/>
    <xf numFmtId="1" fontId="0" fillId="3" borderId="0" xfId="0" applyNumberFormat="1" applyFill="1"/>
    <xf numFmtId="0" fontId="16" fillId="3" borderId="10" xfId="0" applyFont="1" applyFill="1" applyBorder="1" applyAlignment="1">
      <alignment vertical="center"/>
    </xf>
    <xf numFmtId="9" fontId="16" fillId="3" borderId="10" xfId="0" applyNumberFormat="1" applyFont="1" applyFill="1" applyBorder="1" applyAlignment="1">
      <alignment vertical="center"/>
    </xf>
    <xf numFmtId="1" fontId="13" fillId="3" borderId="10" xfId="0" applyNumberFormat="1" applyFont="1" applyFill="1" applyBorder="1"/>
    <xf numFmtId="1" fontId="0" fillId="3" borderId="10" xfId="0" applyNumberFormat="1" applyFill="1" applyBorder="1"/>
    <xf numFmtId="168" fontId="0" fillId="0" borderId="0" xfId="0" applyNumberFormat="1"/>
    <xf numFmtId="1" fontId="0" fillId="0" borderId="0" xfId="0" applyNumberFormat="1"/>
    <xf numFmtId="0" fontId="18" fillId="0" borderId="14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20" fillId="0" borderId="0" xfId="0" applyFont="1"/>
    <xf numFmtId="2" fontId="18" fillId="5" borderId="0" xfId="19" applyNumberFormat="1" applyFont="1" applyFill="1" applyBorder="1" applyAlignment="1">
      <alignment horizontal="center" vertical="center"/>
    </xf>
    <xf numFmtId="0" fontId="0" fillId="0" borderId="0" xfId="0" pivotButton="1"/>
    <xf numFmtId="0" fontId="0" fillId="6" borderId="0" xfId="0" applyFill="1"/>
    <xf numFmtId="0" fontId="0" fillId="6" borderId="0" xfId="0" applyFill="1" applyAlignment="1">
      <alignment horizontal="center"/>
    </xf>
    <xf numFmtId="0" fontId="23" fillId="6" borderId="0" xfId="0" applyFont="1" applyFill="1" applyAlignment="1">
      <alignment wrapText="1"/>
    </xf>
    <xf numFmtId="0" fontId="24" fillId="0" borderId="0" xfId="0" applyFont="1" applyAlignment="1">
      <alignment wrapText="1"/>
    </xf>
    <xf numFmtId="2" fontId="0" fillId="0" borderId="0" xfId="0" applyNumberFormat="1"/>
    <xf numFmtId="0" fontId="0" fillId="0" borderId="0" xfId="0" applyAlignment="1">
      <alignment wrapText="1"/>
    </xf>
    <xf numFmtId="0" fontId="23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9" fontId="0" fillId="0" borderId="0" xfId="25" applyFont="1"/>
    <xf numFmtId="166" fontId="0" fillId="0" borderId="0" xfId="0" applyNumberFormat="1"/>
    <xf numFmtId="14" fontId="0" fillId="0" borderId="0" xfId="0" applyNumberFormat="1"/>
    <xf numFmtId="0" fontId="1" fillId="8" borderId="0" xfId="0" applyFont="1" applyFill="1"/>
    <xf numFmtId="0" fontId="0" fillId="8" borderId="0" xfId="0" applyFill="1"/>
    <xf numFmtId="1" fontId="1" fillId="0" borderId="0" xfId="0" applyNumberFormat="1" applyFont="1"/>
    <xf numFmtId="2" fontId="1" fillId="0" borderId="0" xfId="0" applyNumberFormat="1" applyFont="1"/>
    <xf numFmtId="2" fontId="0" fillId="0" borderId="0" xfId="0" quotePrefix="1" applyNumberFormat="1"/>
    <xf numFmtId="2" fontId="18" fillId="2" borderId="19" xfId="19" applyNumberFormat="1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left" vertical="center" wrapText="1"/>
    </xf>
    <xf numFmtId="3" fontId="20" fillId="2" borderId="19" xfId="19" applyNumberFormat="1" applyFont="1" applyFill="1" applyBorder="1" applyAlignment="1">
      <alignment horizontal="center"/>
    </xf>
    <xf numFmtId="0" fontId="26" fillId="2" borderId="19" xfId="0" applyFont="1" applyFill="1" applyBorder="1"/>
    <xf numFmtId="3" fontId="26" fillId="2" borderId="19" xfId="0" applyNumberFormat="1" applyFont="1" applyFill="1" applyBorder="1" applyAlignment="1">
      <alignment horizontal="center"/>
    </xf>
    <xf numFmtId="0" fontId="26" fillId="0" borderId="19" xfId="0" applyFont="1" applyBorder="1"/>
    <xf numFmtId="3" fontId="20" fillId="0" borderId="19" xfId="19" applyNumberFormat="1" applyFont="1" applyFill="1" applyBorder="1" applyAlignment="1">
      <alignment horizontal="center"/>
    </xf>
    <xf numFmtId="0" fontId="0" fillId="9" borderId="0" xfId="0" applyFill="1"/>
    <xf numFmtId="0" fontId="20" fillId="0" borderId="21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20" fillId="2" borderId="0" xfId="0" applyFont="1" applyFill="1"/>
    <xf numFmtId="3" fontId="20" fillId="2" borderId="0" xfId="19" applyNumberFormat="1" applyFont="1" applyFill="1" applyBorder="1" applyAlignment="1">
      <alignment horizontal="center"/>
    </xf>
    <xf numFmtId="0" fontId="20" fillId="2" borderId="0" xfId="0" applyFont="1" applyFill="1" applyAlignment="1">
      <alignment horizontal="left"/>
    </xf>
    <xf numFmtId="0" fontId="26" fillId="2" borderId="0" xfId="0" applyFont="1" applyFill="1"/>
    <xf numFmtId="3" fontId="26" fillId="2" borderId="0" xfId="0" applyNumberFormat="1" applyFont="1" applyFill="1" applyAlignment="1">
      <alignment horizontal="center"/>
    </xf>
    <xf numFmtId="11" fontId="0" fillId="9" borderId="0" xfId="0" applyNumberFormat="1" applyFill="1"/>
    <xf numFmtId="1" fontId="0" fillId="9" borderId="0" xfId="0" applyNumberFormat="1" applyFill="1"/>
    <xf numFmtId="0" fontId="18" fillId="0" borderId="21" xfId="0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27" fillId="0" borderId="0" xfId="0" applyFont="1" applyAlignment="1">
      <alignment wrapText="1"/>
    </xf>
    <xf numFmtId="0" fontId="28" fillId="0" borderId="0" xfId="0" applyFont="1" applyAlignment="1">
      <alignment wrapText="1"/>
    </xf>
    <xf numFmtId="11" fontId="1" fillId="0" borderId="0" xfId="0" applyNumberFormat="1" applyFont="1"/>
    <xf numFmtId="0" fontId="29" fillId="10" borderId="0" xfId="0" applyFont="1" applyFill="1"/>
    <xf numFmtId="0" fontId="30" fillId="0" borderId="0" xfId="0" applyFont="1"/>
    <xf numFmtId="0" fontId="5" fillId="0" borderId="0" xfId="7" applyFill="1" applyBorder="1" applyAlignment="1"/>
    <xf numFmtId="0" fontId="30" fillId="0" borderId="0" xfId="0" applyFont="1" applyAlignment="1">
      <alignment horizontal="left"/>
    </xf>
    <xf numFmtId="0" fontId="17" fillId="0" borderId="0" xfId="0" applyFont="1" applyAlignment="1">
      <alignment horizontal="center" vertical="center" wrapText="1" readingOrder="1"/>
    </xf>
    <xf numFmtId="0" fontId="18" fillId="0" borderId="10" xfId="0" applyFont="1" applyBorder="1" applyAlignment="1">
      <alignment horizontal="right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</cellXfs>
  <cellStyles count="27">
    <cellStyle name="20% - Accent6 3 2" xfId="26" xr:uid="{00000000-0005-0000-0000-000000000000}"/>
    <cellStyle name="A - bold" xfId="15" xr:uid="{00000000-0005-0000-0000-000001000000}"/>
    <cellStyle name="A - bottom border" xfId="18" xr:uid="{00000000-0005-0000-0000-000002000000}"/>
    <cellStyle name="A - header 2 2" xfId="17" xr:uid="{00000000-0005-0000-0000-000003000000}"/>
    <cellStyle name="A - normal" xfId="16" xr:uid="{00000000-0005-0000-0000-000004000000}"/>
    <cellStyle name="Body: normal cell" xfId="4" xr:uid="{00000000-0005-0000-0000-000005000000}"/>
    <cellStyle name="Body: normal cell 2" xfId="11" xr:uid="{00000000-0005-0000-0000-000006000000}"/>
    <cellStyle name="Comma 2" xfId="20" xr:uid="{00000000-0005-0000-0000-000008000000}"/>
    <cellStyle name="Comma 2 2" xfId="21" xr:uid="{00000000-0005-0000-0000-000009000000}"/>
    <cellStyle name="Comma 3" xfId="19" xr:uid="{00000000-0005-0000-0000-00000A000000}"/>
    <cellStyle name="Font: Calibri, 9pt regular" xfId="1" xr:uid="{00000000-0005-0000-0000-00000B000000}"/>
    <cellStyle name="Font: Calibri, 9pt regular 2" xfId="13" xr:uid="{00000000-0005-0000-0000-00000C000000}"/>
    <cellStyle name="Footnotes: top row" xfId="6" xr:uid="{00000000-0005-0000-0000-00000D000000}"/>
    <cellStyle name="Footnotes: top row 2" xfId="9" xr:uid="{00000000-0005-0000-0000-00000E000000}"/>
    <cellStyle name="Header: bottom row" xfId="2" xr:uid="{00000000-0005-0000-0000-00000F000000}"/>
    <cellStyle name="Header: bottom row 2" xfId="12" xr:uid="{00000000-0005-0000-0000-000010000000}"/>
    <cellStyle name="Hyperlink" xfId="7" builtinId="8"/>
    <cellStyle name="Normal" xfId="0" builtinId="0"/>
    <cellStyle name="Normal 2" xfId="8" xr:uid="{00000000-0005-0000-0000-000013000000}"/>
    <cellStyle name="Normal 2 10" xfId="22" xr:uid="{00000000-0005-0000-0000-000014000000}"/>
    <cellStyle name="Normal 3" xfId="23" xr:uid="{00000000-0005-0000-0000-000015000000}"/>
    <cellStyle name="Parent row" xfId="5" xr:uid="{00000000-0005-0000-0000-000016000000}"/>
    <cellStyle name="Parent row 2" xfId="10" xr:uid="{00000000-0005-0000-0000-000017000000}"/>
    <cellStyle name="Percent" xfId="25" builtinId="5"/>
    <cellStyle name="Table title" xfId="3" xr:uid="{00000000-0005-0000-0000-000019000000}"/>
    <cellStyle name="Table title 2" xfId="14" xr:uid="{00000000-0005-0000-0000-00001A000000}"/>
    <cellStyle name="X12_Total Figs 1 dec" xfId="24" xr:uid="{00000000-0005-0000-0000-00001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pivotCacheDefinition" Target="pivotCache/pivotCacheDefinition2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newri.sharepoint.com/Users/olivia/Dropbox%20(Energy%20Innovation)/Documents/EPS_Models%20by%20Region/United%20States/US_model/InputData/bldgs/BCEU/BAU%20Components%20Energy%20Use_U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newri.sharepoint.com/Users/Meghan/Downloads/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Table 4"/>
      <sheetName val="AEO Table 5"/>
      <sheetName val="District Heat"/>
      <sheetName val="RECS HC2.1"/>
      <sheetName val="Calculations"/>
      <sheetName val="BCEU-urban-residential-heating"/>
      <sheetName val="BCEU-urban-residential-cooling"/>
      <sheetName val="BCEU-urban-residential-lighting"/>
      <sheetName val="BCEU-urban-residential-appl"/>
      <sheetName val="BCEU-urban-residential-other"/>
      <sheetName val="BCEU-rural-residential-heating"/>
      <sheetName val="BCEU-rural-residential-cooling"/>
      <sheetName val="BCEU-rural-residential-lighting"/>
      <sheetName val="BCEU-rural-residential-appl"/>
      <sheetName val="BCEU-rural-residential-other"/>
      <sheetName val="BCEU-commercial-heating"/>
      <sheetName val="BCEU-commercial-cooling"/>
      <sheetName val="BCEU-commercial-lighting"/>
      <sheetName val="BCEU-commercial-appl"/>
      <sheetName val="BCEU-commercial-other"/>
      <sheetName val="BCEU-all-envelop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SS V2 Main Sheet"/>
      <sheetName val="My Story"/>
      <sheetName val="IESS V2 Results"/>
      <sheetName val="Intermediate output"/>
      <sheetName val="Charts"/>
      <sheetName val="Preferences"/>
      <sheetName val="Structure of the model"/>
      <sheetName val="I.a"/>
      <sheetName val="I.b"/>
      <sheetName val="I.c"/>
      <sheetName val="I.d"/>
      <sheetName val="I.e"/>
      <sheetName val="II"/>
      <sheetName val="III"/>
      <sheetName val="IV.a"/>
      <sheetName val="IV.b"/>
      <sheetName val="IV.c.1"/>
      <sheetName val="IV.c.2"/>
      <sheetName val="IV.d"/>
      <sheetName val="IV.e"/>
      <sheetName val="IV.f"/>
      <sheetName val="V.a"/>
      <sheetName val="V.b"/>
      <sheetName val="V.c"/>
      <sheetName val="V.d"/>
      <sheetName val="V.e"/>
      <sheetName val="VI"/>
      <sheetName val="VII.a"/>
      <sheetName val="VII.b"/>
      <sheetName val="VII.C"/>
      <sheetName val="VIII"/>
      <sheetName val="GDP"/>
      <sheetName val="IX"/>
      <sheetName val="X.a"/>
      <sheetName val="X.b"/>
      <sheetName val="XI"/>
      <sheetName val="XII.a"/>
      <sheetName val="XII.b"/>
      <sheetName val="XIII.a"/>
      <sheetName val="XIV"/>
      <sheetName val="XV.a"/>
      <sheetName val="XV.b"/>
      <sheetName val="XV.c"/>
      <sheetName val="XVI"/>
      <sheetName val="XVII.a"/>
      <sheetName val="XVII.b"/>
      <sheetName val="Control"/>
      <sheetName val="Global assumptions"/>
      <sheetName val="2012 Baseline"/>
      <sheetName val="Dispatch"/>
      <sheetName val="2012"/>
      <sheetName val="2017"/>
      <sheetName val="2022"/>
      <sheetName val="2027"/>
      <sheetName val="2032"/>
      <sheetName val="2037"/>
      <sheetName val="2042"/>
      <sheetName val="2047"/>
      <sheetName val="Conversions"/>
      <sheetName val="Constants"/>
      <sheetName val="Land Use"/>
      <sheetName val="CostAbsolute"/>
      <sheetName val="Flow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bie" refreshedDate="43453.567473263887" createdVersion="6" refreshedVersion="6" minRefreshableVersion="3" recordCount="1253" xr:uid="{00000000-000A-0000-FFFF-FFFF00000000}">
  <cacheSource type="worksheet">
    <worksheetSource ref="A1:AJ1254" sheet="2015 Activity Data"/>
  </cacheSource>
  <cacheFields count="36">
    <cacheField name="Region" numFmtId="0">
      <sharedItems/>
    </cacheField>
    <cacheField name="Energy use by sector and fuel" numFmtId="0">
      <sharedItems count="49">
        <s v="Fuel conversion - combustion"/>
        <s v="Transformation - losses"/>
        <s v="Chemical industry (boilers)"/>
        <s v="Transformation sector (boilers)"/>
        <s v="Other industry (boilers; liquid and gaseous fuels)"/>
        <s v="Other industry (large coal boilers; &gt; 50 MWth )"/>
        <s v="Other industry (small coal boilers; &lt; 50 MWth )"/>
        <s v="Paper &amp; pulp (boilers)"/>
        <s v="Other industry (furnaces)"/>
        <s v="Non-energy use"/>
        <s v="Diesel generator sets"/>
        <s v="Power &amp; district heat plants - existing coal (&gt;50 MWth)"/>
        <s v="Power &amp; district heat plants - existing coal (&lt;50 MWth)"/>
        <s v="Power &amp; district heat plants - existing (excl. coal)"/>
        <s v="PP_EX_WB"/>
        <s v="Power &amp; district heat plants - IGCC"/>
        <s v="IGGC new plant with CCS"/>
        <s v="Modern power plants (coal: ultra &amp;  supercritical; gas: CCGT)"/>
        <s v="Modern power plants (coal: ultra &amp; supercritical; gas: CCGT) with CCS"/>
        <s v="Power &amp; district heat plants - new (excl. coal)"/>
        <s v="Power &amp; district heat plants - new coal (&gt;50 MWth)"/>
        <s v="Power &amp; district heat plants (total); used for reporting total fossil fuels inputs, inputs of non-fossil fuels as well as total electricity and heat generation"/>
        <s v="Non-road, other"/>
        <s v="Coastal shipping, large vessels"/>
        <s v="Coastal shipping, medium vessels"/>
        <s v="Agriculture"/>
        <s v="Aviation - LTO"/>
        <s v="Construction machinery"/>
        <s v="Inland waterways"/>
        <s v="Other non-road machinery"/>
        <s v="2-stroke engines (non-road)"/>
        <s v="Railways"/>
        <s v="Road vehicles"/>
        <s v="Buses"/>
        <s v="Heavy duty vehicles"/>
        <s v="Mopeds"/>
        <s v="Cars"/>
        <s v="Light duty vehicles"/>
        <s v="Motorcycles"/>
        <s v="Medium boilers (&lt;50MW) - automatic (commercial)"/>
        <s v="Medium boilers (&lt;1MW) - manual (commercial)"/>
        <s v="Fireplaces"/>
        <s v="Medium boilers (&lt;50MW) - automatic"/>
        <s v="Medium boilers (&lt;1MW) - manual"/>
        <s v="Three-stone stove"/>
        <s v="Single house boilers (&lt;50 kW) - automatic"/>
        <s v="Single house boilers (&lt;50 kW) - manual"/>
        <s v="Cooking stoves"/>
        <s v="Heating stoves"/>
      </sharedItems>
    </cacheField>
    <cacheField name="Brown coal/lignite grade 1" numFmtId="0">
      <sharedItems containsSemiMixedTypes="0" containsString="0" containsNumber="1" minValue="0" maxValue="30.15"/>
    </cacheField>
    <cacheField name="Brown coal/lignite grade 2 (also peat)" numFmtId="0">
      <sharedItems containsSemiMixedTypes="0" containsString="0" containsNumber="1" containsInteger="1" minValue="0" maxValue="0"/>
    </cacheField>
    <cacheField name="Hard coal, grade 1" numFmtId="0">
      <sharedItems containsSemiMixedTypes="0" containsString="0" containsNumber="1" minValue="0" maxValue="12.05"/>
    </cacheField>
    <cacheField name="Hard coal, grade 2" numFmtId="0">
      <sharedItems containsSemiMixedTypes="0" containsString="0" containsNumber="1" minValue="0" maxValue="1162.17"/>
    </cacheField>
    <cacheField name="Hard coal, grade 3" numFmtId="0">
      <sharedItems containsSemiMixedTypes="0" containsString="0" containsNumber="1" containsInteger="1" minValue="0" maxValue="0"/>
    </cacheField>
    <cacheField name="Derived coal (coke, briquettes)" numFmtId="0">
      <sharedItems containsSemiMixedTypes="0" containsString="0" containsNumber="1" minValue="0" maxValue="1.66"/>
    </cacheField>
    <cacheField name="Agricultural residues" numFmtId="0">
      <sharedItems containsSemiMixedTypes="0" containsString="0" containsNumber="1" minValue="0" maxValue="207.49"/>
    </cacheField>
    <cacheField name="Bagasse" numFmtId="0">
      <sharedItems containsSemiMixedTypes="0" containsString="0" containsNumber="1" containsInteger="1" minValue="0" maxValue="0"/>
    </cacheField>
    <cacheField name="Biogas" numFmtId="0">
      <sharedItems containsSemiMixedTypes="0" containsString="0" containsNumber="1" containsInteger="1" minValue="0" maxValue="0"/>
    </cacheField>
    <cacheField name="Biomass gasification" numFmtId="0">
      <sharedItems containsSemiMixedTypes="0" containsString="0" containsNumber="1" containsInteger="1" minValue="0" maxValue="0"/>
    </cacheField>
    <cacheField name="Charcoal" numFmtId="0">
      <sharedItems containsSemiMixedTypes="0" containsString="0" containsNumber="1" containsInteger="1" minValue="0" maxValue="0"/>
    </cacheField>
    <cacheField name="Dung" numFmtId="0">
      <sharedItems containsSemiMixedTypes="0" containsString="0" containsNumber="1" minValue="0" maxValue="142.02000000000001"/>
    </cacheField>
    <cacheField name="Fuelwood" numFmtId="0">
      <sharedItems containsSemiMixedTypes="0" containsString="0" containsNumber="1" minValue="0" maxValue="496.51"/>
    </cacheField>
    <cacheField name="Black liquor" numFmtId="0">
      <sharedItems containsSemiMixedTypes="0" containsString="0" containsNumber="1" containsInteger="1" minValue="0" maxValue="0"/>
    </cacheField>
    <cacheField name="Waste fuels, non-renewable" numFmtId="0">
      <sharedItems containsSemiMixedTypes="0" containsString="0" containsNumber="1" containsInteger="1" minValue="0" maxValue="0"/>
    </cacheField>
    <cacheField name="Waste fuel, renewable" numFmtId="0">
      <sharedItems containsSemiMixedTypes="0" containsString="0" containsNumber="1" containsInteger="1" minValue="0" maxValue="0"/>
    </cacheField>
    <cacheField name="Biomass fuels" numFmtId="0">
      <sharedItems containsSemiMixedTypes="0" containsString="0" containsNumber="1" minValue="0" maxValue="193.73"/>
    </cacheField>
    <cacheField name="Other biomass and waste fuels" numFmtId="0">
      <sharedItems containsSemiMixedTypes="0" containsString="0" containsNumber="1" minValue="0" maxValue="2.82"/>
    </cacheField>
    <cacheField name="Heavy fuel oil" numFmtId="0">
      <sharedItems containsSemiMixedTypes="0" containsString="0" containsNumber="1" minValue="0" maxValue="119.89"/>
    </cacheField>
    <cacheField name="Diesel" numFmtId="0">
      <sharedItems containsSemiMixedTypes="0" containsString="0" containsNumber="1" minValue="0" maxValue="127.87"/>
    </cacheField>
    <cacheField name="Gasoline" numFmtId="0">
      <sharedItems containsSemiMixedTypes="0" containsString="0" containsNumber="1" minValue="0" maxValue="85.46"/>
    </cacheField>
    <cacheField name="LPG" numFmtId="0">
      <sharedItems containsSemiMixedTypes="0" containsString="0" containsNumber="1" minValue="0" maxValue="164.82"/>
    </cacheField>
    <cacheField name="Natural gas (incl. other gases)" numFmtId="0">
      <sharedItems containsSemiMixedTypes="0" containsString="0" containsNumber="1" minValue="0" maxValue="135"/>
    </cacheField>
    <cacheField name="Hydrogen" numFmtId="0">
      <sharedItems containsSemiMixedTypes="0" containsString="0" containsNumber="1" containsInteger="1" minValue="0" maxValue="0"/>
    </cacheField>
    <cacheField name="Renewable energy other than biomass" numFmtId="0">
      <sharedItems containsSemiMixedTypes="0" containsString="0" containsNumber="1" minValue="0" maxValue="73.61"/>
    </cacheField>
    <cacheField name="Geothermal" numFmtId="0">
      <sharedItems containsSemiMixedTypes="0" containsString="0" containsNumber="1" containsInteger="1" minValue="0" maxValue="0"/>
    </cacheField>
    <cacheField name="Small hydro power" numFmtId="0">
      <sharedItems containsSemiMixedTypes="0" containsString="0" containsNumber="1" containsInteger="1" minValue="0" maxValue="0"/>
    </cacheField>
    <cacheField name="Solar photovoltaic" numFmtId="0">
      <sharedItems containsSemiMixedTypes="0" containsString="0" containsNumber="1" containsInteger="1" minValue="0" maxValue="0"/>
    </cacheField>
    <cacheField name="Solar thermal" numFmtId="0">
      <sharedItems containsSemiMixedTypes="0" containsString="0" containsNumber="1" containsInteger="1" minValue="0" maxValue="0"/>
    </cacheField>
    <cacheField name="Wind" numFmtId="0">
      <sharedItems containsSemiMixedTypes="0" containsString="0" containsNumber="1" containsInteger="1" minValue="0" maxValue="0"/>
    </cacheField>
    <cacheField name="Hydro" numFmtId="0">
      <sharedItems containsSemiMixedTypes="0" containsString="0" containsNumber="1" minValue="0" maxValue="49.39"/>
    </cacheField>
    <cacheField name="Nuclear" numFmtId="0">
      <sharedItems containsSemiMixedTypes="0" containsString="0" containsNumber="1" minValue="0" maxValue="59.78"/>
    </cacheField>
    <cacheField name="Electricity" numFmtId="0">
      <sharedItems containsSemiMixedTypes="0" containsString="0" containsNumber="1" minValue="-769.92" maxValue="203.18"/>
    </cacheField>
    <cacheField name="Heat (steam, hot water)" numFmtId="0">
      <sharedItems containsSemiMixedTypes="0" containsString="0" containsNumber="1" minValue="-210.23" maxValue="275.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gan Mahajan" refreshedDate="44018.626564351849" createdVersion="6" refreshedVersion="6" minRefreshableVersion="3" recordCount="356" xr:uid="{00000000-000A-0000-FFFF-FFFF01000000}">
  <cacheSource type="worksheet">
    <worksheetSource ref="A1:G357" sheet="2020 Activity Data"/>
  </cacheSource>
  <cacheFields count="7">
    <cacheField name="Region" numFmtId="0">
      <sharedItems/>
    </cacheField>
    <cacheField name="Energy use by sector and fuel" numFmtId="0">
      <sharedItems count="16">
        <s v="Medium boilers (&lt;50MW) - automatic (commercial)"/>
        <s v="Medium boilers (&lt;1MW) - manual (commercial)"/>
        <s v="Fireplaces (agr, forestry, other)"/>
        <s v="Medium boilers (&lt;50MW) - automatic (agr, forestry, other)"/>
        <s v="Medium boilers (&lt;1MW) - manual (agr, forestry, other)"/>
        <s v="Three-stone stove (agr, forestry, other)"/>
        <s v="Single house boilers (&lt;50 kW) - automatic (agr, forestry, other)"/>
        <s v="Single house boilers (&lt;50 kW) - manual (agr, forestry, other)"/>
        <s v="Cooking stoves (agr, forestry, other)"/>
        <s v="Heating stoves (agr, forestry, other)"/>
        <s v="Fireplaces (households)"/>
        <s v="Three-stone stove (households)"/>
        <s v="Single house boilers (&lt;50 kW) - automatic (households)"/>
        <s v="Single house boilers (&lt;50 kW) - manual (households)"/>
        <s v="Cooking stoves (households)"/>
        <s v="Heating stoves (households)"/>
      </sharedItems>
    </cacheField>
    <cacheField name="Brown coal/lignite grade 1" numFmtId="0">
      <sharedItems containsString="0" containsBlank="1" containsNumber="1" minValue="0" maxValue="5.0599999999999996"/>
    </cacheField>
    <cacheField name="Hard coal, grade 2" numFmtId="0">
      <sharedItems containsString="0" containsBlank="1" containsNumber="1" minValue="0" maxValue="57.06"/>
    </cacheField>
    <cacheField name="Agricultural residues" numFmtId="0">
      <sharedItems containsString="0" containsBlank="1" containsNumber="1" minValue="0" maxValue="214.9"/>
    </cacheField>
    <cacheField name="Dung" numFmtId="0">
      <sharedItems containsString="0" containsBlank="1" containsNumber="1" minValue="0" maxValue="147.1"/>
    </cacheField>
    <cacheField name="Fuelwood" numFmtId="0">
      <sharedItems containsString="0" containsBlank="1" containsNumber="1" minValue="0" maxValue="514.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53">
  <r>
    <s v="India, India Bihar"/>
    <x v="0"/>
    <n v="0"/>
    <n v="0"/>
    <n v="2.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Bihar"/>
    <x v="1"/>
    <n v="4.74"/>
    <n v="0"/>
    <n v="0"/>
    <n v="264.3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44"/>
    <n v="2.16"/>
  </r>
  <r>
    <s v="India, India Bihar"/>
    <x v="2"/>
    <n v="0"/>
    <n v="0"/>
    <n v="0"/>
    <n v="0"/>
    <n v="0"/>
    <n v="0"/>
    <n v="0"/>
    <n v="0"/>
    <n v="0"/>
    <n v="0"/>
    <n v="0"/>
    <n v="0"/>
    <n v="0"/>
    <n v="0"/>
    <n v="0"/>
    <n v="0"/>
    <n v="0.13"/>
    <n v="0"/>
    <n v="0"/>
    <n v="0"/>
    <n v="0"/>
    <n v="0"/>
    <n v="0"/>
    <n v="0"/>
    <n v="0"/>
    <n v="0"/>
    <n v="0"/>
    <n v="0"/>
    <n v="0"/>
    <n v="0"/>
    <n v="0"/>
    <n v="0"/>
    <n v="0"/>
    <n v="-0.11"/>
  </r>
  <r>
    <s v="India, India Bihar"/>
    <x v="3"/>
    <n v="0"/>
    <n v="0"/>
    <n v="2.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.16"/>
  </r>
  <r>
    <s v="India, India Bihar"/>
    <x v="4"/>
    <n v="0"/>
    <n v="0"/>
    <n v="0"/>
    <n v="0"/>
    <n v="0"/>
    <n v="0"/>
    <n v="0"/>
    <n v="0"/>
    <n v="0"/>
    <n v="0"/>
    <n v="0"/>
    <n v="0"/>
    <n v="0"/>
    <n v="0"/>
    <n v="0"/>
    <n v="0"/>
    <n v="100.93"/>
    <n v="0"/>
    <n v="18.84"/>
    <n v="0"/>
    <n v="0"/>
    <n v="0"/>
    <n v="8.0299999999999994"/>
    <n v="0"/>
    <n v="0"/>
    <n v="0"/>
    <n v="0"/>
    <n v="0"/>
    <n v="0"/>
    <n v="0"/>
    <n v="0"/>
    <n v="0"/>
    <n v="0"/>
    <n v="-109.53"/>
  </r>
  <r>
    <s v="India, India Bihar"/>
    <x v="5"/>
    <n v="0.02"/>
    <n v="0"/>
    <n v="0"/>
    <n v="1.12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97"/>
  </r>
  <r>
    <s v="India, India Bihar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Bihar"/>
    <x v="7"/>
    <n v="0"/>
    <n v="0"/>
    <n v="6.11"/>
    <n v="0"/>
    <n v="0"/>
    <n v="0"/>
    <n v="0"/>
    <n v="0"/>
    <n v="0"/>
    <n v="0"/>
    <n v="0"/>
    <n v="0"/>
    <n v="0"/>
    <n v="0"/>
    <n v="0"/>
    <n v="0"/>
    <n v="0.38"/>
    <n v="0.38"/>
    <n v="0"/>
    <n v="0"/>
    <n v="0"/>
    <n v="0"/>
    <n v="0"/>
    <n v="0"/>
    <n v="0"/>
    <n v="0"/>
    <n v="0"/>
    <n v="0"/>
    <n v="0"/>
    <n v="0"/>
    <n v="0"/>
    <n v="0"/>
    <n v="0"/>
    <n v="-5.83"/>
  </r>
  <r>
    <s v="India, India Bihar"/>
    <x v="8"/>
    <n v="0.48"/>
    <n v="0"/>
    <n v="2.4300000000000002"/>
    <n v="44.58"/>
    <n v="0"/>
    <n v="0.03"/>
    <n v="0"/>
    <n v="0"/>
    <n v="0"/>
    <n v="0"/>
    <n v="0"/>
    <n v="0"/>
    <n v="0"/>
    <n v="0"/>
    <n v="0"/>
    <n v="0"/>
    <n v="1.88"/>
    <n v="0.08"/>
    <n v="0.08"/>
    <n v="14.28"/>
    <n v="13.71"/>
    <n v="0.18"/>
    <n v="13.78"/>
    <n v="0"/>
    <n v="0"/>
    <n v="0"/>
    <n v="0"/>
    <n v="0"/>
    <n v="0"/>
    <n v="0"/>
    <n v="0"/>
    <n v="0"/>
    <n v="121.21"/>
    <n v="116.44"/>
  </r>
  <r>
    <s v="India, India Bihar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Bihar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"/>
    <n v="5.8"/>
    <n v="0"/>
    <n v="0"/>
    <n v="0"/>
    <n v="0"/>
    <n v="0"/>
    <n v="0"/>
    <n v="0"/>
    <n v="0"/>
    <n v="0"/>
    <n v="0"/>
    <n v="0"/>
    <n v="0"/>
    <n v="0"/>
    <n v="0"/>
  </r>
  <r>
    <s v="India, India Bihar"/>
    <x v="11"/>
    <n v="1.86"/>
    <n v="0"/>
    <n v="0"/>
    <n v="33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Bihar"/>
    <x v="12"/>
    <n v="0.03"/>
    <n v="0"/>
    <n v="0"/>
    <n v="0.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Bihar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Bihar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Bihar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Bihar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Bihar"/>
    <x v="17"/>
    <n v="1.53"/>
    <n v="0"/>
    <n v="0"/>
    <n v="39.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Bihar"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Bihar"/>
    <x v="19"/>
    <n v="0"/>
    <n v="0"/>
    <n v="0"/>
    <n v="0"/>
    <n v="0"/>
    <n v="0"/>
    <n v="0"/>
    <n v="0"/>
    <n v="0"/>
    <n v="0"/>
    <n v="0"/>
    <n v="0"/>
    <n v="0"/>
    <n v="0"/>
    <n v="0"/>
    <n v="0"/>
    <n v="0.22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Bihar"/>
    <x v="20"/>
    <n v="2.9"/>
    <n v="0"/>
    <n v="0"/>
    <n v="111.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Bihar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8"/>
    <n v="0"/>
    <n v="0"/>
    <n v="0"/>
    <n v="0"/>
    <n v="0"/>
    <n v="2.5"/>
    <n v="0"/>
    <n v="-62.23"/>
    <n v="0"/>
  </r>
  <r>
    <s v="India, India Bihar"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Bihar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Bihar"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Bihar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66"/>
    <n v="0"/>
    <n v="0"/>
    <n v="0"/>
    <n v="0"/>
    <n v="0"/>
    <n v="0"/>
    <n v="0"/>
    <n v="0"/>
    <n v="0"/>
    <n v="0"/>
    <n v="0"/>
    <n v="0"/>
    <n v="0"/>
    <n v="0"/>
  </r>
  <r>
    <s v="India, India Bihar"/>
    <x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Bihar"/>
    <x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97"/>
    <n v="0.11"/>
    <n v="0.06"/>
    <n v="0"/>
    <n v="0"/>
    <n v="0"/>
    <n v="0"/>
    <n v="0"/>
    <n v="0"/>
    <n v="0"/>
    <n v="0"/>
    <n v="0"/>
    <n v="0"/>
    <n v="0"/>
    <n v="0"/>
  </r>
  <r>
    <s v="India, India Bihar"/>
    <x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Bihar"/>
    <x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Bihar"/>
    <x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Bihar"/>
    <x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92"/>
    <n v="0"/>
    <n v="0"/>
    <n v="0"/>
    <n v="0"/>
    <n v="0"/>
    <n v="0"/>
    <n v="0"/>
    <n v="0"/>
    <n v="0"/>
    <n v="0"/>
    <n v="0"/>
    <n v="0"/>
    <n v="2.31"/>
    <n v="0"/>
  </r>
  <r>
    <s v="India, India Bihar"/>
    <x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Bihar"/>
    <x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36"/>
    <n v="0"/>
    <n v="0"/>
    <n v="0"/>
    <n v="0"/>
    <n v="0"/>
    <n v="0"/>
    <n v="0"/>
    <n v="0"/>
    <n v="0"/>
    <n v="0"/>
    <n v="0"/>
    <n v="0"/>
    <n v="0"/>
    <n v="0"/>
  </r>
  <r>
    <s v="India, India Bihar"/>
    <x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47"/>
    <n v="0"/>
    <n v="0"/>
    <n v="0"/>
    <n v="0"/>
    <n v="0"/>
    <n v="0"/>
    <n v="0"/>
    <n v="0"/>
    <n v="0"/>
    <n v="0"/>
    <n v="0"/>
    <n v="0"/>
    <n v="0"/>
    <n v="0"/>
  </r>
  <r>
    <s v="India, India Bihar"/>
    <x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6"/>
    <n v="0"/>
    <n v="0"/>
    <n v="0"/>
    <n v="0"/>
    <n v="0"/>
    <n v="0"/>
    <n v="0"/>
    <n v="0"/>
    <n v="0"/>
    <n v="0"/>
    <n v="0"/>
    <n v="0"/>
    <n v="0"/>
  </r>
  <r>
    <s v="India, India Bihar"/>
    <x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22"/>
    <n v="3.36"/>
    <n v="0.81"/>
    <n v="0.06"/>
    <n v="0"/>
    <n v="0"/>
    <n v="0"/>
    <n v="0"/>
    <n v="0"/>
    <n v="0"/>
    <n v="0"/>
    <n v="0"/>
    <n v="0"/>
    <n v="0.33"/>
    <n v="0"/>
  </r>
  <r>
    <s v="India, India Bihar"/>
    <x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2"/>
    <n v="1.37"/>
    <n v="0"/>
    <n v="0"/>
    <n v="0"/>
    <n v="0"/>
    <n v="0"/>
    <n v="0"/>
    <n v="0"/>
    <n v="0"/>
    <n v="0"/>
    <n v="0"/>
    <n v="0"/>
    <n v="0"/>
    <n v="0"/>
  </r>
  <r>
    <s v="India, India Bihar"/>
    <x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44"/>
    <n v="0"/>
    <n v="0"/>
    <n v="0"/>
    <n v="0"/>
    <n v="0"/>
    <n v="0"/>
    <n v="0"/>
    <n v="0"/>
    <n v="0"/>
    <n v="0"/>
    <n v="0"/>
    <n v="0"/>
    <n v="0"/>
  </r>
  <r>
    <s v="India, India Karnataka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41"/>
    <n v="0"/>
    <n v="0"/>
    <n v="0"/>
    <n v="0"/>
    <n v="0"/>
    <n v="0"/>
    <n v="0"/>
    <n v="0"/>
    <n v="0"/>
    <n v="0"/>
    <n v="0"/>
    <n v="0"/>
  </r>
  <r>
    <s v="India, India Karnataka"/>
    <x v="1"/>
    <n v="0.64"/>
    <n v="0"/>
    <n v="0"/>
    <n v="35.69"/>
    <n v="0"/>
    <n v="0"/>
    <n v="0"/>
    <n v="0"/>
    <n v="0"/>
    <n v="0"/>
    <n v="0"/>
    <n v="0"/>
    <n v="0"/>
    <n v="0"/>
    <n v="0"/>
    <n v="0"/>
    <n v="0"/>
    <n v="0"/>
    <n v="46.36"/>
    <n v="0"/>
    <n v="0"/>
    <n v="0"/>
    <n v="0"/>
    <n v="0"/>
    <n v="0"/>
    <n v="0"/>
    <n v="0"/>
    <n v="0"/>
    <n v="0"/>
    <n v="0"/>
    <n v="0"/>
    <n v="0"/>
    <n v="81.819999999999993"/>
    <n v="64.849999999999994"/>
  </r>
  <r>
    <s v="India, India Karnataka"/>
    <x v="2"/>
    <n v="0.31"/>
    <n v="0"/>
    <n v="0"/>
    <n v="2.39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.3"/>
    <n v="0"/>
    <n v="0"/>
    <n v="0"/>
    <n v="0"/>
    <n v="0"/>
    <n v="0"/>
    <n v="0"/>
    <n v="0"/>
    <n v="0"/>
    <n v="0"/>
    <n v="-4.24"/>
  </r>
  <r>
    <s v="India, India Karnataka"/>
    <x v="3"/>
    <n v="0"/>
    <n v="0"/>
    <n v="0.7"/>
    <n v="0"/>
    <n v="0"/>
    <n v="0"/>
    <n v="0"/>
    <n v="0"/>
    <n v="0"/>
    <n v="0"/>
    <n v="0"/>
    <n v="0"/>
    <n v="0"/>
    <n v="0"/>
    <n v="0"/>
    <n v="0"/>
    <n v="0"/>
    <n v="0"/>
    <n v="48.17"/>
    <n v="0"/>
    <n v="0"/>
    <n v="27.43"/>
    <n v="0"/>
    <n v="0"/>
    <n v="0"/>
    <n v="0"/>
    <n v="0"/>
    <n v="0"/>
    <n v="0"/>
    <n v="0"/>
    <n v="0"/>
    <n v="0"/>
    <n v="0"/>
    <n v="-64.849999999999994"/>
  </r>
  <r>
    <s v="India, India Karnataka"/>
    <x v="4"/>
    <n v="0"/>
    <n v="0"/>
    <n v="0"/>
    <n v="0"/>
    <n v="0"/>
    <n v="0"/>
    <n v="0"/>
    <n v="0"/>
    <n v="0"/>
    <n v="0"/>
    <n v="0"/>
    <n v="0"/>
    <n v="0"/>
    <n v="0"/>
    <n v="0"/>
    <n v="0"/>
    <n v="59.23"/>
    <n v="0"/>
    <n v="11.07"/>
    <n v="0"/>
    <n v="0"/>
    <n v="0"/>
    <n v="4.71"/>
    <n v="0"/>
    <n v="0"/>
    <n v="0"/>
    <n v="0"/>
    <n v="0"/>
    <n v="0"/>
    <n v="0"/>
    <n v="0"/>
    <n v="0"/>
    <n v="0"/>
    <n v="-64.28"/>
  </r>
  <r>
    <s v="India, India Karnataka"/>
    <x v="5"/>
    <n v="0.01"/>
    <n v="0"/>
    <n v="0"/>
    <n v="0.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56999999999999995"/>
  </r>
  <r>
    <s v="India, India Karnataka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arnataka"/>
    <x v="7"/>
    <n v="0"/>
    <n v="0"/>
    <n v="3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3.15"/>
  </r>
  <r>
    <s v="India, India Karnataka"/>
    <x v="8"/>
    <n v="0.34"/>
    <n v="0"/>
    <n v="1.31"/>
    <n v="47.49"/>
    <n v="0"/>
    <n v="0.09"/>
    <n v="0"/>
    <n v="0"/>
    <n v="0"/>
    <n v="0"/>
    <n v="0"/>
    <n v="0"/>
    <n v="0"/>
    <n v="0"/>
    <n v="0"/>
    <n v="0"/>
    <n v="1.79"/>
    <n v="0.09"/>
    <n v="1.95"/>
    <n v="8.51"/>
    <n v="8.0500000000000007"/>
    <n v="0.12"/>
    <n v="14.38"/>
    <n v="0"/>
    <n v="0"/>
    <n v="0"/>
    <n v="0"/>
    <n v="0"/>
    <n v="0"/>
    <n v="0"/>
    <n v="0"/>
    <n v="0"/>
    <n v="137.34"/>
    <n v="72.239999999999995"/>
  </r>
  <r>
    <s v="India, India Karnataka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41"/>
    <n v="0"/>
    <n v="1.25"/>
    <n v="0"/>
    <n v="12.04"/>
    <n v="0"/>
    <n v="0"/>
    <n v="0"/>
    <n v="0"/>
    <n v="0"/>
    <n v="0"/>
    <n v="0"/>
    <n v="0"/>
    <n v="0"/>
    <n v="0"/>
    <n v="0"/>
  </r>
  <r>
    <s v="India, India Karnataka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2"/>
    <n v="9.69"/>
    <n v="0"/>
    <n v="0"/>
    <n v="0"/>
    <n v="0"/>
    <n v="0"/>
    <n v="0"/>
    <n v="0"/>
    <n v="0"/>
    <n v="0"/>
    <n v="0"/>
    <n v="0"/>
    <n v="0"/>
    <n v="0"/>
    <n v="0"/>
  </r>
  <r>
    <s v="India, India Karnataka"/>
    <x v="11"/>
    <n v="5.86"/>
    <n v="0"/>
    <n v="0"/>
    <n v="105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arnataka"/>
    <x v="12"/>
    <n v="0.09"/>
    <n v="0"/>
    <n v="0"/>
    <n v="1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arnataka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5"/>
    <n v="0"/>
    <n v="0"/>
    <n v="0"/>
    <n v="0"/>
    <n v="0"/>
    <n v="0"/>
    <n v="0"/>
    <n v="0"/>
    <n v="0"/>
    <n v="0"/>
    <n v="0"/>
    <n v="0"/>
    <n v="0"/>
    <n v="0"/>
    <n v="0"/>
  </r>
  <r>
    <s v="India, India Karnataka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arnataka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arnataka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arnataka"/>
    <x v="17"/>
    <n v="4.82"/>
    <n v="0"/>
    <n v="0"/>
    <n v="124.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arnataka"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arnataka"/>
    <x v="19"/>
    <n v="0"/>
    <n v="0"/>
    <n v="0"/>
    <n v="0"/>
    <n v="0"/>
    <n v="0"/>
    <n v="0"/>
    <n v="0"/>
    <n v="0"/>
    <n v="0"/>
    <n v="0"/>
    <n v="0"/>
    <n v="0"/>
    <n v="0"/>
    <n v="0"/>
    <n v="0"/>
    <n v="7.11"/>
    <n v="0"/>
    <n v="0"/>
    <n v="1.1299999999999999"/>
    <n v="3.08"/>
    <n v="0"/>
    <n v="0"/>
    <n v="0"/>
    <n v="0"/>
    <n v="0"/>
    <n v="0"/>
    <n v="0"/>
    <n v="0"/>
    <n v="0"/>
    <n v="0"/>
    <n v="0"/>
    <n v="0"/>
    <n v="0"/>
  </r>
  <r>
    <s v="India, India Karnataka"/>
    <x v="20"/>
    <n v="9.14"/>
    <n v="0"/>
    <n v="0"/>
    <n v="352.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arnataka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87"/>
    <n v="0"/>
    <n v="0"/>
    <n v="0"/>
    <n v="0"/>
    <n v="0"/>
    <n v="46.96"/>
    <n v="21.58"/>
    <n v="-270.91000000000003"/>
    <n v="0"/>
  </r>
  <r>
    <s v="India, India Karnataka"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arnataka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arnataka"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arnataka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16"/>
    <n v="0"/>
    <n v="0"/>
    <n v="0"/>
    <n v="0"/>
    <n v="0"/>
    <n v="0"/>
    <n v="0"/>
    <n v="0"/>
    <n v="0"/>
    <n v="0"/>
    <n v="0"/>
    <n v="0"/>
    <n v="0"/>
    <n v="0"/>
  </r>
  <r>
    <s v="India, India Karnataka"/>
    <x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24"/>
    <n v="0"/>
    <n v="0"/>
    <n v="0"/>
    <n v="0"/>
    <n v="0"/>
    <n v="0"/>
    <n v="0"/>
    <n v="0"/>
    <n v="0"/>
    <n v="0"/>
    <n v="0"/>
    <n v="0"/>
    <n v="0"/>
  </r>
  <r>
    <s v="India, India Karnataka"/>
    <x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1300000000000008"/>
    <n v="7.0000000000000007E-2"/>
    <n v="0.04"/>
    <n v="0"/>
    <n v="0"/>
    <n v="0"/>
    <n v="0"/>
    <n v="0"/>
    <n v="0"/>
    <n v="0"/>
    <n v="0"/>
    <n v="0"/>
    <n v="0"/>
    <n v="0"/>
    <n v="0"/>
  </r>
  <r>
    <s v="India, India Karnataka"/>
    <x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arnataka"/>
    <x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arnataka"/>
    <x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arnataka"/>
    <x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13"/>
    <n v="0"/>
    <n v="0"/>
    <n v="0"/>
    <n v="0"/>
    <n v="0"/>
    <n v="0"/>
    <n v="0"/>
    <n v="0"/>
    <n v="0"/>
    <n v="0"/>
    <n v="0"/>
    <n v="0"/>
    <n v="0"/>
    <n v="0"/>
  </r>
  <r>
    <s v="India, India Karnataka"/>
    <x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arnataka"/>
    <x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52"/>
    <n v="0"/>
    <n v="0"/>
    <n v="0"/>
    <n v="0"/>
    <n v="0"/>
    <n v="0"/>
    <n v="0"/>
    <n v="0"/>
    <n v="0"/>
    <n v="0"/>
    <n v="0"/>
    <n v="0"/>
    <n v="0"/>
    <n v="0"/>
  </r>
  <r>
    <s v="India, India Karnataka"/>
    <x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.56"/>
    <n v="0"/>
    <n v="0"/>
    <n v="0"/>
    <n v="0"/>
    <n v="0"/>
    <n v="0"/>
    <n v="0"/>
    <n v="0"/>
    <n v="0"/>
    <n v="0"/>
    <n v="0"/>
    <n v="0"/>
    <n v="0"/>
    <n v="0"/>
  </r>
  <r>
    <s v="India, India Karnataka"/>
    <x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33"/>
    <n v="0"/>
    <n v="0"/>
    <n v="0"/>
    <n v="0"/>
    <n v="0"/>
    <n v="0"/>
    <n v="0"/>
    <n v="0"/>
    <n v="0"/>
    <n v="0"/>
    <n v="0"/>
    <n v="0"/>
    <n v="0"/>
  </r>
  <r>
    <s v="India, India Karnataka"/>
    <x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55"/>
    <n v="17.07"/>
    <n v="0.49"/>
    <n v="0.11"/>
    <n v="0"/>
    <n v="0"/>
    <n v="0"/>
    <n v="0"/>
    <n v="0"/>
    <n v="0"/>
    <n v="0"/>
    <n v="0"/>
    <n v="0"/>
    <n v="0.19"/>
    <n v="0"/>
  </r>
  <r>
    <s v="India, India Karnataka"/>
    <x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5"/>
    <n v="6.98"/>
    <n v="0"/>
    <n v="0.01"/>
    <n v="0"/>
    <n v="0"/>
    <n v="0"/>
    <n v="0"/>
    <n v="0"/>
    <n v="0"/>
    <n v="0"/>
    <n v="0"/>
    <n v="0"/>
    <n v="0"/>
    <n v="0"/>
  </r>
  <r>
    <s v="India, India Karnataka"/>
    <x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41"/>
    <n v="0"/>
    <n v="0"/>
    <n v="0"/>
    <n v="0"/>
    <n v="0"/>
    <n v="0"/>
    <n v="0"/>
    <n v="0"/>
    <n v="0"/>
    <n v="0"/>
    <n v="0"/>
    <n v="0"/>
    <n v="0"/>
  </r>
  <r>
    <s v="India, India Kerala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.68"/>
    <n v="0"/>
    <n v="0"/>
    <n v="0"/>
    <n v="0"/>
    <n v="0"/>
    <n v="0"/>
    <n v="0"/>
    <n v="0"/>
    <n v="0"/>
    <n v="0"/>
    <n v="0"/>
    <n v="0"/>
  </r>
  <r>
    <s v="India, India Kerala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.72"/>
    <n v="0"/>
    <n v="0"/>
    <n v="0"/>
    <n v="0"/>
    <n v="0"/>
    <n v="0"/>
    <n v="0"/>
    <n v="0"/>
    <n v="0"/>
    <n v="0"/>
    <n v="0"/>
    <n v="0"/>
    <n v="0"/>
    <n v="26.71"/>
    <n v="71.61"/>
  </r>
  <r>
    <s v="India, India Kerala"/>
    <x v="2"/>
    <n v="0.33"/>
    <n v="0"/>
    <n v="0"/>
    <n v="2.5499999999999998"/>
    <n v="0"/>
    <n v="0"/>
    <n v="0"/>
    <n v="0"/>
    <n v="0"/>
    <n v="0"/>
    <n v="0"/>
    <n v="0"/>
    <n v="0"/>
    <n v="0"/>
    <n v="0"/>
    <n v="0"/>
    <n v="0"/>
    <n v="0"/>
    <n v="0.47"/>
    <n v="0"/>
    <n v="0"/>
    <n v="0"/>
    <n v="1.71"/>
    <n v="0"/>
    <n v="0"/>
    <n v="0"/>
    <n v="0"/>
    <n v="0"/>
    <n v="0"/>
    <n v="0"/>
    <n v="0"/>
    <n v="0"/>
    <n v="0"/>
    <n v="-4.3"/>
  </r>
  <r>
    <s v="India, India Kerala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7"/>
    <n v="0"/>
    <n v="0"/>
    <n v="29.19"/>
    <n v="2.35"/>
    <n v="0"/>
    <n v="0"/>
    <n v="0"/>
    <n v="0"/>
    <n v="0"/>
    <n v="0"/>
    <n v="0"/>
    <n v="0"/>
    <n v="0"/>
    <n v="0"/>
    <n v="-71.61"/>
  </r>
  <r>
    <s v="India, India Kerala"/>
    <x v="4"/>
    <n v="0"/>
    <n v="0"/>
    <n v="0"/>
    <n v="0"/>
    <n v="0"/>
    <n v="0"/>
    <n v="0"/>
    <n v="0"/>
    <n v="0"/>
    <n v="0"/>
    <n v="0"/>
    <n v="0"/>
    <n v="0"/>
    <n v="0"/>
    <n v="0"/>
    <n v="0"/>
    <n v="32.39"/>
    <n v="0"/>
    <n v="6.01"/>
    <n v="0"/>
    <n v="0"/>
    <n v="0"/>
    <n v="2.58"/>
    <n v="0"/>
    <n v="0"/>
    <n v="0"/>
    <n v="0"/>
    <n v="0"/>
    <n v="0"/>
    <n v="0"/>
    <n v="0"/>
    <n v="0"/>
    <n v="0"/>
    <n v="-35.15"/>
  </r>
  <r>
    <s v="India, India Kerala"/>
    <x v="5"/>
    <n v="0.01"/>
    <n v="0"/>
    <n v="0"/>
    <n v="0.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31"/>
  </r>
  <r>
    <s v="India, India Kerala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erala"/>
    <x v="7"/>
    <n v="0"/>
    <n v="0"/>
    <n v="1.55"/>
    <n v="0"/>
    <n v="0"/>
    <n v="0"/>
    <n v="0"/>
    <n v="0"/>
    <n v="0"/>
    <n v="0"/>
    <n v="0"/>
    <n v="0"/>
    <n v="0"/>
    <n v="0"/>
    <n v="0"/>
    <n v="0"/>
    <n v="0.88"/>
    <n v="0.88"/>
    <n v="0"/>
    <n v="0"/>
    <n v="0"/>
    <n v="0"/>
    <n v="0"/>
    <n v="0"/>
    <n v="0"/>
    <n v="0"/>
    <n v="0"/>
    <n v="0"/>
    <n v="0"/>
    <n v="0"/>
    <n v="0"/>
    <n v="0"/>
    <n v="0"/>
    <n v="-2.82"/>
  </r>
  <r>
    <s v="India, India Kerala"/>
    <x v="8"/>
    <n v="7.0000000000000007E-2"/>
    <n v="0"/>
    <n v="1.19"/>
    <n v="22.13"/>
    <n v="0"/>
    <n v="7.0000000000000007E-2"/>
    <n v="0"/>
    <n v="0"/>
    <n v="0"/>
    <n v="0"/>
    <n v="0"/>
    <n v="0"/>
    <n v="0"/>
    <n v="0"/>
    <n v="0"/>
    <n v="0"/>
    <n v="5.59"/>
    <n v="0.27"/>
    <n v="0.08"/>
    <n v="4.58"/>
    <n v="4.37"/>
    <n v="0.06"/>
    <n v="10.83"/>
    <n v="0"/>
    <n v="0"/>
    <n v="0"/>
    <n v="0"/>
    <n v="0"/>
    <n v="0"/>
    <n v="0"/>
    <n v="0"/>
    <n v="0"/>
    <n v="47.28"/>
    <n v="42.57"/>
  </r>
  <r>
    <s v="India, India Kerala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8"/>
    <n v="0"/>
    <n v="0.59"/>
    <n v="0"/>
    <n v="12.87"/>
    <n v="0"/>
    <n v="0"/>
    <n v="0"/>
    <n v="0"/>
    <n v="0"/>
    <n v="0"/>
    <n v="0"/>
    <n v="0"/>
    <n v="0"/>
    <n v="0"/>
    <n v="0"/>
  </r>
  <r>
    <s v="India, India Kerala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8"/>
    <n v="8.75"/>
    <n v="0"/>
    <n v="0"/>
    <n v="0"/>
    <n v="0"/>
    <n v="0"/>
    <n v="0"/>
    <n v="0"/>
    <n v="0"/>
    <n v="0"/>
    <n v="0"/>
    <n v="0"/>
    <n v="0"/>
    <n v="0"/>
    <n v="0"/>
  </r>
  <r>
    <s v="India, India Kerala"/>
    <x v="11"/>
    <n v="0.87"/>
    <n v="0"/>
    <n v="0"/>
    <n v="15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erala"/>
    <x v="12"/>
    <n v="0.01"/>
    <n v="0"/>
    <n v="0"/>
    <n v="0.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erala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3000000000000007"/>
    <n v="0"/>
    <n v="0"/>
    <n v="0"/>
    <n v="3.25"/>
    <n v="0"/>
    <n v="0"/>
    <n v="0"/>
    <n v="0"/>
    <n v="0"/>
    <n v="0"/>
    <n v="0"/>
    <n v="0"/>
    <n v="0"/>
    <n v="0"/>
    <n v="0"/>
  </r>
  <r>
    <s v="India, India Kerala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erala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erala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erala"/>
    <x v="17"/>
    <n v="0.72"/>
    <n v="0"/>
    <n v="0"/>
    <n v="18.51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79"/>
    <n v="0"/>
    <n v="0"/>
    <n v="0"/>
    <n v="0"/>
    <n v="0"/>
    <n v="0"/>
    <n v="0"/>
    <n v="0"/>
    <n v="0"/>
    <n v="0"/>
    <n v="0"/>
  </r>
  <r>
    <s v="India, India Kerala"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erala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4"/>
    <n v="3.37"/>
    <n v="0"/>
    <n v="3.76"/>
    <n v="0"/>
    <n v="0"/>
    <n v="0"/>
    <n v="0"/>
    <n v="0"/>
    <n v="0"/>
    <n v="0"/>
    <n v="0"/>
    <n v="0"/>
    <n v="0"/>
    <n v="0"/>
  </r>
  <r>
    <s v="India, India Kerala"/>
    <x v="20"/>
    <n v="1.36"/>
    <n v="0"/>
    <n v="0"/>
    <n v="52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erala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8"/>
    <n v="0"/>
    <n v="0"/>
    <n v="0"/>
    <n v="0"/>
    <n v="0"/>
    <n v="34.950000000000003"/>
    <n v="8.1"/>
    <n v="-83.2"/>
    <n v="0"/>
  </r>
  <r>
    <s v="India, India Kerala"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erala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erala"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erala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2"/>
    <n v="0"/>
    <n v="0"/>
    <n v="0"/>
    <n v="0"/>
    <n v="0"/>
    <n v="0"/>
    <n v="0"/>
    <n v="0"/>
    <n v="0"/>
    <n v="0"/>
    <n v="0"/>
    <n v="0"/>
    <n v="0"/>
    <n v="0"/>
  </r>
  <r>
    <s v="India, India Kerala"/>
    <x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1999999999999993"/>
    <n v="0"/>
    <n v="0"/>
    <n v="0"/>
    <n v="0"/>
    <n v="0"/>
    <n v="0"/>
    <n v="0"/>
    <n v="0"/>
    <n v="0"/>
    <n v="0"/>
    <n v="0"/>
    <n v="0"/>
    <n v="0"/>
  </r>
  <r>
    <s v="India, India Kerala"/>
    <x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34"/>
    <n v="0.04"/>
    <n v="0.02"/>
    <n v="0"/>
    <n v="0"/>
    <n v="0"/>
    <n v="0"/>
    <n v="0"/>
    <n v="0"/>
    <n v="0"/>
    <n v="0"/>
    <n v="0"/>
    <n v="0"/>
    <n v="0"/>
    <n v="0"/>
  </r>
  <r>
    <s v="India, India Kerala"/>
    <x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erala"/>
    <x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erala"/>
    <x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erala"/>
    <x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5"/>
    <n v="0"/>
    <n v="0"/>
    <n v="0"/>
    <n v="0"/>
    <n v="0"/>
    <n v="0"/>
    <n v="0"/>
    <n v="0"/>
    <n v="0"/>
    <n v="0"/>
    <n v="0"/>
    <n v="0"/>
    <n v="0.3"/>
    <n v="0"/>
  </r>
  <r>
    <s v="India, India Kerala"/>
    <x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erala"/>
    <x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48"/>
    <n v="0"/>
    <n v="0"/>
    <n v="0"/>
    <n v="0"/>
    <n v="0"/>
    <n v="0"/>
    <n v="0"/>
    <n v="0"/>
    <n v="0"/>
    <n v="0"/>
    <n v="0"/>
    <n v="0"/>
    <n v="0"/>
    <n v="0"/>
  </r>
  <r>
    <s v="India, India Kerala"/>
    <x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.94"/>
    <n v="0"/>
    <n v="0"/>
    <n v="0"/>
    <n v="0"/>
    <n v="0"/>
    <n v="0"/>
    <n v="0"/>
    <n v="0"/>
    <n v="0"/>
    <n v="0"/>
    <n v="0"/>
    <n v="0"/>
    <n v="0"/>
    <n v="0"/>
  </r>
  <r>
    <s v="India, India Kerala"/>
    <x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5"/>
    <n v="0"/>
    <n v="0"/>
    <n v="0"/>
    <n v="0"/>
    <n v="0"/>
    <n v="0"/>
    <n v="0"/>
    <n v="0"/>
    <n v="0"/>
    <n v="0"/>
    <n v="0"/>
    <n v="0"/>
    <n v="0"/>
  </r>
  <r>
    <s v="India, India Kerala"/>
    <x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079999999999998"/>
    <n v="12.81"/>
    <n v="0.28999999999999998"/>
    <n v="0.05"/>
    <n v="0"/>
    <n v="0"/>
    <n v="0"/>
    <n v="0"/>
    <n v="0"/>
    <n v="0"/>
    <n v="0"/>
    <n v="0"/>
    <n v="0"/>
    <n v="0.11"/>
    <n v="0"/>
  </r>
  <r>
    <s v="India, India Kerala"/>
    <x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85"/>
    <n v="5.24"/>
    <n v="0"/>
    <n v="0"/>
    <n v="0"/>
    <n v="0"/>
    <n v="0"/>
    <n v="0"/>
    <n v="0"/>
    <n v="0"/>
    <n v="0"/>
    <n v="0"/>
    <n v="0"/>
    <n v="0"/>
    <n v="0"/>
  </r>
  <r>
    <s v="India, India Kerala"/>
    <x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32"/>
    <n v="0"/>
    <n v="0"/>
    <n v="0"/>
    <n v="0"/>
    <n v="0"/>
    <n v="0"/>
    <n v="0"/>
    <n v="0"/>
    <n v="0"/>
    <n v="0"/>
    <n v="0"/>
    <n v="0"/>
    <n v="0"/>
  </r>
  <r>
    <s v="India, India Madhya Pradesh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7999999999999996"/>
    <n v="0"/>
    <n v="0"/>
    <n v="0"/>
    <n v="0"/>
    <n v="0"/>
    <n v="0"/>
    <n v="0"/>
    <n v="0"/>
    <n v="0"/>
    <n v="0"/>
    <n v="0"/>
  </r>
  <r>
    <s v="India, India Madhya Pradesh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.95"/>
    <n v="0.47"/>
  </r>
  <r>
    <s v="India, India Madhya Pradesh"/>
    <x v="2"/>
    <n v="1"/>
    <n v="0"/>
    <n v="0"/>
    <n v="7.81"/>
    <n v="0"/>
    <n v="0"/>
    <n v="0"/>
    <n v="0"/>
    <n v="0"/>
    <n v="0"/>
    <n v="0"/>
    <n v="0"/>
    <n v="0"/>
    <n v="0"/>
    <n v="0"/>
    <n v="0"/>
    <n v="0"/>
    <n v="0"/>
    <n v="10.119999999999999"/>
    <n v="0"/>
    <n v="0"/>
    <n v="0"/>
    <n v="0"/>
    <n v="0"/>
    <n v="0"/>
    <n v="0"/>
    <n v="0"/>
    <n v="0"/>
    <n v="0"/>
    <n v="0"/>
    <n v="0"/>
    <n v="0"/>
    <n v="0"/>
    <n v="-16.09"/>
  </r>
  <r>
    <s v="India, India Madhya Pradesh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6000000000000005"/>
    <n v="0"/>
    <n v="0"/>
    <n v="0"/>
    <n v="0"/>
    <n v="0"/>
    <n v="0"/>
    <n v="0"/>
    <n v="0"/>
    <n v="0"/>
    <n v="0"/>
    <n v="-0.47"/>
  </r>
  <r>
    <s v="India, India Madhya Pradesh"/>
    <x v="4"/>
    <n v="0"/>
    <n v="0"/>
    <n v="0"/>
    <n v="0"/>
    <n v="0"/>
    <n v="0"/>
    <n v="0"/>
    <n v="0"/>
    <n v="0"/>
    <n v="0"/>
    <n v="0"/>
    <n v="0"/>
    <n v="0"/>
    <n v="0"/>
    <n v="0"/>
    <n v="0"/>
    <n v="70.41"/>
    <n v="0"/>
    <n v="13.15"/>
    <n v="0"/>
    <n v="0"/>
    <n v="0"/>
    <n v="5.6"/>
    <n v="0"/>
    <n v="0"/>
    <n v="0"/>
    <n v="0"/>
    <n v="0"/>
    <n v="0"/>
    <n v="0"/>
    <n v="0"/>
    <n v="0"/>
    <n v="0"/>
    <n v="-76.41"/>
  </r>
  <r>
    <s v="India, India Madhya Pradesh"/>
    <x v="5"/>
    <n v="0.01"/>
    <n v="0"/>
    <n v="0"/>
    <n v="0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67"/>
  </r>
  <r>
    <s v="India, India Madhya Pradesh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dhya Pradesh"/>
    <x v="7"/>
    <n v="0"/>
    <n v="0"/>
    <n v="4.2"/>
    <n v="0"/>
    <n v="0"/>
    <n v="0"/>
    <n v="0"/>
    <n v="0"/>
    <n v="0"/>
    <n v="0"/>
    <n v="0"/>
    <n v="0"/>
    <n v="0"/>
    <n v="0"/>
    <n v="0"/>
    <n v="0"/>
    <n v="0.38"/>
    <n v="0.38"/>
    <n v="0"/>
    <n v="0"/>
    <n v="0"/>
    <n v="0"/>
    <n v="0"/>
    <n v="0"/>
    <n v="0"/>
    <n v="0"/>
    <n v="0"/>
    <n v="0"/>
    <n v="0"/>
    <n v="0"/>
    <n v="0"/>
    <n v="0"/>
    <n v="0"/>
    <n v="-4.21"/>
  </r>
  <r>
    <s v="India, India Madhya Pradesh"/>
    <x v="8"/>
    <n v="0.61"/>
    <n v="0"/>
    <n v="1.76"/>
    <n v="53.18"/>
    <n v="0"/>
    <n v="0.03"/>
    <n v="0"/>
    <n v="0"/>
    <n v="0"/>
    <n v="0"/>
    <n v="0"/>
    <n v="0"/>
    <n v="0"/>
    <n v="0"/>
    <n v="0"/>
    <n v="0"/>
    <n v="0.25"/>
    <n v="0.01"/>
    <n v="2.48"/>
    <n v="10.54"/>
    <n v="9.57"/>
    <n v="0.12"/>
    <n v="32.979999999999997"/>
    <n v="0"/>
    <n v="0"/>
    <n v="0"/>
    <n v="0"/>
    <n v="0"/>
    <n v="0"/>
    <n v="0"/>
    <n v="0"/>
    <n v="0"/>
    <n v="73.19"/>
    <n v="97.39"/>
  </r>
  <r>
    <s v="India, India Madhya Pradesh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08"/>
    <n v="0"/>
    <n v="12.78"/>
    <n v="0"/>
    <n v="37.06"/>
    <n v="0"/>
    <n v="0"/>
    <n v="0"/>
    <n v="0"/>
    <n v="0"/>
    <n v="0"/>
    <n v="0"/>
    <n v="0"/>
    <n v="0"/>
    <n v="0"/>
    <n v="0"/>
  </r>
  <r>
    <s v="India, India Madhya Pradesh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5"/>
    <n v="10.42"/>
    <n v="0"/>
    <n v="0"/>
    <n v="0"/>
    <n v="0"/>
    <n v="0"/>
    <n v="0"/>
    <n v="0"/>
    <n v="0"/>
    <n v="0"/>
    <n v="0"/>
    <n v="0"/>
    <n v="0"/>
    <n v="0"/>
    <n v="0"/>
  </r>
  <r>
    <s v="India, India Madhya Pradesh"/>
    <x v="11"/>
    <n v="8.09"/>
    <n v="0"/>
    <n v="0"/>
    <n v="145.97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dhya Pradesh"/>
    <x v="12"/>
    <n v="0.12"/>
    <n v="0"/>
    <n v="0"/>
    <n v="2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dhya Pradesh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7"/>
    <n v="0"/>
    <n v="0"/>
    <n v="0"/>
    <n v="0"/>
    <n v="0"/>
    <n v="0"/>
    <n v="0"/>
    <n v="0"/>
    <n v="0"/>
    <n v="0"/>
    <n v="0"/>
  </r>
  <r>
    <s v="India, India Madhya Pradesh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dhya Pradesh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dhya Pradesh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dhya Pradesh"/>
    <x v="17"/>
    <n v="6.65"/>
    <n v="0"/>
    <n v="0"/>
    <n v="172.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16"/>
    <n v="0"/>
    <n v="0"/>
    <n v="0"/>
    <n v="0"/>
    <n v="0"/>
    <n v="0"/>
    <n v="0"/>
    <n v="0"/>
    <n v="0"/>
    <n v="0"/>
    <n v="0"/>
  </r>
  <r>
    <s v="India, India Madhya Pradesh"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dhya Pradesh"/>
    <x v="19"/>
    <n v="0"/>
    <n v="0"/>
    <n v="0"/>
    <n v="0"/>
    <n v="0"/>
    <n v="0"/>
    <n v="0"/>
    <n v="0"/>
    <n v="0"/>
    <n v="0"/>
    <n v="0"/>
    <n v="0"/>
    <n v="0"/>
    <n v="0"/>
    <n v="0"/>
    <n v="0"/>
    <n v="0.81"/>
    <n v="0"/>
    <n v="0"/>
    <n v="0"/>
    <n v="0"/>
    <n v="0"/>
    <n v="1.81"/>
    <n v="0"/>
    <n v="0"/>
    <n v="0"/>
    <n v="0"/>
    <n v="0"/>
    <n v="0"/>
    <n v="0"/>
    <n v="0"/>
    <n v="0"/>
    <n v="0"/>
    <n v="0"/>
  </r>
  <r>
    <s v="India, India Madhya Pradesh"/>
    <x v="20"/>
    <n v="12.62"/>
    <n v="0"/>
    <n v="0"/>
    <n v="486.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dhya Pradesh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13"/>
    <n v="0"/>
    <n v="0"/>
    <n v="0"/>
    <n v="0"/>
    <n v="0"/>
    <n v="41.36"/>
    <n v="23.14"/>
    <n v="-312.05"/>
    <n v="0"/>
  </r>
  <r>
    <s v="India, India Madhya Pradesh"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dhya Pradesh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dhya Pradesh"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dhya Pradesh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69"/>
    <n v="0"/>
    <n v="0"/>
    <n v="0"/>
    <n v="0"/>
    <n v="0"/>
    <n v="0"/>
    <n v="0"/>
    <n v="0"/>
    <n v="0"/>
    <n v="0"/>
    <n v="0"/>
    <n v="0"/>
    <n v="0"/>
    <n v="0"/>
  </r>
  <r>
    <s v="India, India Madhya Pradesh"/>
    <x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37"/>
    <n v="0"/>
    <n v="0"/>
    <n v="0"/>
    <n v="0"/>
    <n v="0"/>
    <n v="0"/>
    <n v="0"/>
    <n v="0"/>
    <n v="0"/>
    <n v="0"/>
    <n v="0"/>
    <n v="0"/>
    <n v="0"/>
  </r>
  <r>
    <s v="India, India Madhya Pradesh"/>
    <x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04"/>
    <n v="0.08"/>
    <n v="0.04"/>
    <n v="0"/>
    <n v="0"/>
    <n v="0"/>
    <n v="0"/>
    <n v="0"/>
    <n v="0"/>
    <n v="0"/>
    <n v="0"/>
    <n v="0"/>
    <n v="0"/>
    <n v="0"/>
    <n v="0"/>
  </r>
  <r>
    <s v="India, India Madhya Pradesh"/>
    <x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dhya Pradesh"/>
    <x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dhya Pradesh"/>
    <x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dhya Pradesh"/>
    <x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.65"/>
    <n v="0"/>
    <n v="0"/>
    <n v="0"/>
    <n v="0"/>
    <n v="0"/>
    <n v="0"/>
    <n v="0"/>
    <n v="0"/>
    <n v="0"/>
    <n v="0"/>
    <n v="0"/>
    <n v="0"/>
    <n v="9.25"/>
    <n v="0"/>
  </r>
  <r>
    <s v="India, India Madhya Pradesh"/>
    <x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dhya Pradesh"/>
    <x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59"/>
    <n v="0"/>
    <n v="0"/>
    <n v="0"/>
    <n v="0"/>
    <n v="0"/>
    <n v="0"/>
    <n v="0"/>
    <n v="0"/>
    <n v="0"/>
    <n v="0"/>
    <n v="0"/>
    <n v="0"/>
    <n v="0"/>
    <n v="0"/>
  </r>
  <r>
    <s v="India, India Madhya Pradesh"/>
    <x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43"/>
    <n v="0"/>
    <n v="0"/>
    <n v="0"/>
    <n v="0"/>
    <n v="0"/>
    <n v="0"/>
    <n v="0"/>
    <n v="0"/>
    <n v="0"/>
    <n v="0"/>
    <n v="0"/>
    <n v="0"/>
    <n v="0"/>
    <n v="0"/>
  </r>
  <r>
    <s v="India, India Madhya Pradesh"/>
    <x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</r>
  <r>
    <s v="India, India Madhya Pradesh"/>
    <x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69"/>
    <n v="14.7"/>
    <n v="0.59"/>
    <n v="0.1"/>
    <n v="0"/>
    <n v="0"/>
    <n v="0"/>
    <n v="0"/>
    <n v="0"/>
    <n v="0"/>
    <n v="0"/>
    <n v="0"/>
    <n v="0"/>
    <n v="0.23"/>
    <n v="0"/>
  </r>
  <r>
    <s v="India, India Madhya Pradesh"/>
    <x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299999999999998"/>
    <n v="6.01"/>
    <n v="0"/>
    <n v="0.01"/>
    <n v="0"/>
    <n v="0"/>
    <n v="0"/>
    <n v="0"/>
    <n v="0"/>
    <n v="0"/>
    <n v="0"/>
    <n v="0"/>
    <n v="0"/>
    <n v="0"/>
    <n v="0"/>
  </r>
  <r>
    <s v="India, India Madhya Pradesh"/>
    <x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69"/>
    <n v="0"/>
    <n v="0"/>
    <n v="0"/>
    <n v="0"/>
    <n v="0"/>
    <n v="0"/>
    <n v="0"/>
    <n v="0"/>
    <n v="0"/>
    <n v="0"/>
    <n v="0"/>
    <n v="0"/>
    <n v="0"/>
  </r>
  <r>
    <s v="India, India Maharashtra-Dadra-Nagar Haveli-Daman-Diu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88"/>
    <n v="0"/>
    <n v="0"/>
    <n v="0"/>
    <n v="0"/>
    <n v="0"/>
    <n v="0"/>
    <n v="0"/>
    <n v="0"/>
    <n v="0"/>
    <n v="0"/>
    <n v="0"/>
  </r>
  <r>
    <s v="India, India Maharashtra-Dadra-Nagar Haveli-Daman-Diu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.18"/>
    <n v="6.44"/>
  </r>
  <r>
    <s v="India, India Maharashtra-Dadra-Nagar Haveli-Daman-Diu"/>
    <x v="2"/>
    <n v="0.53"/>
    <n v="0"/>
    <n v="0"/>
    <n v="4.12"/>
    <n v="0"/>
    <n v="0"/>
    <n v="0"/>
    <n v="0"/>
    <n v="0"/>
    <n v="0"/>
    <n v="0"/>
    <n v="0"/>
    <n v="0"/>
    <n v="0"/>
    <n v="0"/>
    <n v="0"/>
    <n v="0"/>
    <n v="0"/>
    <n v="13.16"/>
    <n v="0"/>
    <n v="0"/>
    <n v="0"/>
    <n v="0"/>
    <n v="0"/>
    <n v="0"/>
    <n v="0"/>
    <n v="0"/>
    <n v="0"/>
    <n v="0"/>
    <n v="0"/>
    <n v="0"/>
    <n v="0"/>
    <n v="0"/>
    <n v="-15.14"/>
  </r>
  <r>
    <s v="India, India Maharashtra-Dadra-Nagar Haveli-Daman-Diu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58"/>
    <n v="0"/>
    <n v="0"/>
    <n v="0"/>
    <n v="0"/>
    <n v="0"/>
    <n v="0"/>
    <n v="0"/>
    <n v="0"/>
    <n v="0"/>
    <n v="0"/>
    <n v="-6.44"/>
  </r>
  <r>
    <s v="India, India Maharashtra-Dadra-Nagar Haveli-Daman-Diu"/>
    <x v="4"/>
    <n v="0"/>
    <n v="0"/>
    <n v="0"/>
    <n v="0"/>
    <n v="0"/>
    <n v="0"/>
    <n v="0"/>
    <n v="0"/>
    <n v="0"/>
    <n v="0"/>
    <n v="0"/>
    <n v="0"/>
    <n v="0"/>
    <n v="0"/>
    <n v="0"/>
    <n v="0"/>
    <n v="109.52"/>
    <n v="0"/>
    <n v="20.399999999999999"/>
    <n v="0"/>
    <n v="0"/>
    <n v="0"/>
    <n v="8.7200000000000006"/>
    <n v="0"/>
    <n v="0"/>
    <n v="0"/>
    <n v="0"/>
    <n v="0"/>
    <n v="0"/>
    <n v="0"/>
    <n v="0"/>
    <n v="0"/>
    <n v="0"/>
    <n v="-118.85"/>
  </r>
  <r>
    <s v="India, India Maharashtra-Dadra-Nagar Haveli-Daman-Diu"/>
    <x v="5"/>
    <n v="0.02"/>
    <n v="0"/>
    <n v="0"/>
    <n v="1.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.05"/>
  </r>
  <r>
    <s v="India, India Maharashtra-Dadra-Nagar Haveli-Daman-Diu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harashtra-Dadra-Nagar Haveli-Daman-Diu"/>
    <x v="7"/>
    <n v="0"/>
    <n v="0"/>
    <n v="5.33"/>
    <n v="0"/>
    <n v="0"/>
    <n v="0"/>
    <n v="0"/>
    <n v="0"/>
    <n v="0"/>
    <n v="0"/>
    <n v="0"/>
    <n v="0"/>
    <n v="0"/>
    <n v="0"/>
    <n v="0"/>
    <n v="0"/>
    <n v="2.82"/>
    <n v="2.82"/>
    <n v="0"/>
    <n v="0"/>
    <n v="0"/>
    <n v="0"/>
    <n v="0"/>
    <n v="0"/>
    <n v="0"/>
    <n v="0"/>
    <n v="0"/>
    <n v="0"/>
    <n v="0"/>
    <n v="0"/>
    <n v="0"/>
    <n v="0"/>
    <n v="0"/>
    <n v="-9.32"/>
  </r>
  <r>
    <s v="India, India Maharashtra-Dadra-Nagar Haveli-Daman-Diu"/>
    <x v="8"/>
    <n v="0.4"/>
    <n v="0"/>
    <n v="3.94"/>
    <n v="179.3"/>
    <n v="0"/>
    <n v="0.63"/>
    <n v="0"/>
    <n v="0"/>
    <n v="0"/>
    <n v="0"/>
    <n v="0"/>
    <n v="0"/>
    <n v="0"/>
    <n v="0"/>
    <n v="0"/>
    <n v="0"/>
    <n v="4.32"/>
    <n v="0.21"/>
    <n v="9.89"/>
    <n v="16.670000000000002"/>
    <n v="14.84"/>
    <n v="0.19"/>
    <n v="28.08"/>
    <n v="0"/>
    <n v="0"/>
    <n v="0"/>
    <n v="0"/>
    <n v="0"/>
    <n v="0"/>
    <n v="0"/>
    <n v="0"/>
    <n v="0"/>
    <n v="198.93"/>
    <n v="144.35"/>
  </r>
  <r>
    <s v="India, India Maharashtra-Dadra-Nagar Haveli-Daman-Diu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.37"/>
    <n v="0"/>
    <n v="26.75"/>
    <n v="0"/>
    <n v="20.81"/>
    <n v="0"/>
    <n v="0"/>
    <n v="0"/>
    <n v="0"/>
    <n v="0"/>
    <n v="0"/>
    <n v="0"/>
    <n v="0"/>
    <n v="0"/>
    <n v="0"/>
    <n v="0"/>
  </r>
  <r>
    <s v="India, India Maharashtra-Dadra-Nagar Haveli-Daman-Diu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119999999999999"/>
    <n v="15.73"/>
    <n v="0"/>
    <n v="0"/>
    <n v="0.1"/>
    <n v="0"/>
    <n v="0"/>
    <n v="0"/>
    <n v="0"/>
    <n v="0"/>
    <n v="0"/>
    <n v="0"/>
    <n v="0"/>
    <n v="0"/>
    <n v="0"/>
    <n v="0"/>
  </r>
  <r>
    <s v="India, India Maharashtra-Dadra-Nagar Haveli-Daman-Diu"/>
    <x v="11"/>
    <n v="19.329999999999998"/>
    <n v="0"/>
    <n v="0"/>
    <n v="348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harashtra-Dadra-Nagar Haveli-Daman-Diu"/>
    <x v="12"/>
    <n v="0.28000000000000003"/>
    <n v="0"/>
    <n v="0"/>
    <n v="5.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harashtra-Dadra-Nagar Haveli-Daman-Diu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39"/>
    <n v="0"/>
    <n v="0"/>
    <n v="0"/>
    <n v="0"/>
    <n v="0"/>
    <n v="0"/>
    <n v="0"/>
    <n v="0"/>
    <n v="0"/>
    <n v="0"/>
    <n v="0"/>
  </r>
  <r>
    <s v="India, India Maharashtra-Dadra-Nagar Haveli-Daman-Diu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harashtra-Dadra-Nagar Haveli-Daman-Diu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harashtra-Dadra-Nagar Haveli-Daman-Diu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harashtra-Dadra-Nagar Haveli-Daman-Diu"/>
    <x v="17"/>
    <n v="15.89"/>
    <n v="0"/>
    <n v="0"/>
    <n v="411.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.05"/>
    <n v="0"/>
    <n v="0"/>
    <n v="0"/>
    <n v="0"/>
    <n v="0"/>
    <n v="0"/>
    <n v="0"/>
    <n v="0"/>
    <n v="0"/>
    <n v="0"/>
    <n v="0"/>
  </r>
  <r>
    <s v="India, India Maharashtra-Dadra-Nagar Haveli-Daman-Diu"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harashtra-Dadra-Nagar Haveli-Daman-Diu"/>
    <x v="19"/>
    <n v="0"/>
    <n v="0"/>
    <n v="0"/>
    <n v="0"/>
    <n v="0"/>
    <n v="0"/>
    <n v="0"/>
    <n v="0"/>
    <n v="0"/>
    <n v="0"/>
    <n v="0"/>
    <n v="0"/>
    <n v="0"/>
    <n v="0"/>
    <n v="0"/>
    <n v="0"/>
    <n v="7.39"/>
    <n v="0"/>
    <n v="0"/>
    <n v="0"/>
    <n v="0"/>
    <n v="0"/>
    <n v="24.73"/>
    <n v="0"/>
    <n v="0"/>
    <n v="0"/>
    <n v="0"/>
    <n v="0"/>
    <n v="0"/>
    <n v="0"/>
    <n v="0"/>
    <n v="0"/>
    <n v="0"/>
    <n v="0"/>
  </r>
  <r>
    <s v="India, India Maharashtra-Dadra-Nagar Haveli-Daman-Diu"/>
    <x v="20"/>
    <n v="30.15"/>
    <n v="0"/>
    <n v="0"/>
    <n v="1162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harashtra-Dadra-Nagar Haveli-Daman-Diu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97"/>
    <n v="0"/>
    <n v="0"/>
    <n v="0"/>
    <n v="0"/>
    <n v="0"/>
    <n v="45.33"/>
    <n v="59.78"/>
    <n v="-769.92"/>
    <n v="0"/>
  </r>
  <r>
    <s v="India, India Maharashtra-Dadra-Nagar Haveli-Daman-Diu"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harashtra-Dadra-Nagar Haveli-Daman-Diu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harashtra-Dadra-Nagar Haveli-Daman-Diu"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harashtra-Dadra-Nagar Haveli-Daman-Diu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15"/>
    <n v="0"/>
    <n v="0"/>
    <n v="0"/>
    <n v="0"/>
    <n v="0"/>
    <n v="0"/>
    <n v="0"/>
    <n v="0"/>
    <n v="0"/>
    <n v="0"/>
    <n v="0"/>
    <n v="0"/>
    <n v="0"/>
    <n v="0"/>
  </r>
  <r>
    <s v="India, India Maharashtra-Dadra-Nagar Haveli-Daman-Diu"/>
    <x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.46"/>
    <n v="0"/>
    <n v="0"/>
    <n v="0"/>
    <n v="0"/>
    <n v="0"/>
    <n v="0"/>
    <n v="0"/>
    <n v="0"/>
    <n v="0"/>
    <n v="0"/>
    <n v="0"/>
    <n v="0"/>
    <n v="0"/>
  </r>
  <r>
    <s v="India, India Maharashtra-Dadra-Nagar Haveli-Daman-Diu"/>
    <x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350000000000001"/>
    <n v="0.13"/>
    <n v="7.0000000000000007E-2"/>
    <n v="0"/>
    <n v="0"/>
    <n v="0"/>
    <n v="0"/>
    <n v="0"/>
    <n v="0"/>
    <n v="0"/>
    <n v="0"/>
    <n v="0"/>
    <n v="0"/>
    <n v="0"/>
    <n v="0"/>
  </r>
  <r>
    <s v="India, India Maharashtra-Dadra-Nagar Haveli-Daman-Diu"/>
    <x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harashtra-Dadra-Nagar Haveli-Daman-Diu"/>
    <x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"/>
    <n v="0"/>
    <n v="0"/>
    <n v="0"/>
    <n v="0"/>
    <n v="0"/>
    <n v="0"/>
    <n v="0"/>
    <n v="0"/>
    <n v="0"/>
    <n v="0"/>
    <n v="0"/>
    <n v="0"/>
    <n v="0"/>
  </r>
  <r>
    <s v="India, India Maharashtra-Dadra-Nagar Haveli-Daman-Diu"/>
    <x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harashtra-Dadra-Nagar Haveli-Daman-Diu"/>
    <x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13"/>
    <n v="0"/>
    <n v="0"/>
    <n v="0"/>
    <n v="0"/>
    <n v="0"/>
    <n v="0"/>
    <n v="0"/>
    <n v="0"/>
    <n v="0"/>
    <n v="0"/>
    <n v="0"/>
    <n v="0"/>
    <n v="12.78"/>
    <n v="0"/>
  </r>
  <r>
    <s v="India, India Maharashtra-Dadra-Nagar Haveli-Daman-Diu"/>
    <x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harashtra-Dadra-Nagar Haveli-Daman-Diu"/>
    <x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03"/>
    <n v="0"/>
    <n v="0"/>
    <n v="0"/>
    <n v="0"/>
    <n v="0"/>
    <n v="0"/>
    <n v="0"/>
    <n v="0"/>
    <n v="0"/>
    <n v="0"/>
    <n v="0"/>
    <n v="0"/>
    <n v="0"/>
    <n v="0"/>
  </r>
  <r>
    <s v="India, India Maharashtra-Dadra-Nagar Haveli-Daman-Diu"/>
    <x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.44"/>
    <n v="0"/>
    <n v="0"/>
    <n v="0"/>
    <n v="0"/>
    <n v="0"/>
    <n v="0"/>
    <n v="0"/>
    <n v="0"/>
    <n v="0"/>
    <n v="0"/>
    <n v="0"/>
    <n v="0"/>
    <n v="0"/>
    <n v="0"/>
  </r>
  <r>
    <s v="India, India Maharashtra-Dadra-Nagar Haveli-Daman-Diu"/>
    <x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44"/>
    <n v="0"/>
    <n v="0"/>
    <n v="0"/>
    <n v="0"/>
    <n v="0"/>
    <n v="0"/>
    <n v="0"/>
    <n v="0"/>
    <n v="0"/>
    <n v="0"/>
    <n v="0"/>
    <n v="0"/>
    <n v="0"/>
  </r>
  <r>
    <s v="India, India Maharashtra-Dadra-Nagar Haveli-Daman-Diu"/>
    <x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07"/>
    <n v="39.9"/>
    <n v="0.94"/>
    <n v="3.34"/>
    <n v="0"/>
    <n v="0"/>
    <n v="0"/>
    <n v="0"/>
    <n v="0"/>
    <n v="0"/>
    <n v="0"/>
    <n v="0"/>
    <n v="0"/>
    <n v="0.36"/>
    <n v="0"/>
  </r>
  <r>
    <s v="India, India Maharashtra-Dadra-Nagar Haveli-Daman-Diu"/>
    <x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27"/>
    <n v="16.32"/>
    <n v="0"/>
    <n v="0.3"/>
    <n v="0"/>
    <n v="0"/>
    <n v="0"/>
    <n v="0"/>
    <n v="0"/>
    <n v="0"/>
    <n v="0"/>
    <n v="0"/>
    <n v="0"/>
    <n v="0"/>
    <n v="0"/>
  </r>
  <r>
    <s v="India, India Maharashtra-Dadra-Nagar Haveli-Daman-Diu"/>
    <x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.02"/>
    <n v="0"/>
    <n v="0"/>
    <n v="0"/>
    <n v="0"/>
    <n v="0"/>
    <n v="0"/>
    <n v="0"/>
    <n v="0"/>
    <n v="0"/>
    <n v="0"/>
    <n v="0"/>
    <n v="0"/>
    <n v="0"/>
  </r>
  <r>
    <s v="India, India North East (excl. Assam)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09"/>
    <n v="0"/>
    <n v="0"/>
    <n v="0"/>
    <n v="0"/>
    <n v="0"/>
    <n v="0"/>
    <n v="0"/>
    <n v="0"/>
    <n v="0"/>
    <n v="0"/>
    <n v="0"/>
    <n v="0"/>
  </r>
  <r>
    <s v="India, India North East (excl. Assam)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13"/>
    <n v="0"/>
    <n v="0"/>
    <n v="0"/>
    <n v="0"/>
    <n v="0"/>
    <n v="0"/>
    <n v="0"/>
    <n v="0"/>
    <n v="0"/>
    <n v="0"/>
    <n v="0"/>
    <n v="0"/>
    <n v="0"/>
    <n v="10.96"/>
    <n v="36.01"/>
  </r>
  <r>
    <s v="India, India North East (excl. Assam)"/>
    <x v="2"/>
    <n v="0"/>
    <n v="0"/>
    <n v="0"/>
    <n v="0"/>
    <n v="0"/>
    <n v="0"/>
    <n v="0"/>
    <n v="0"/>
    <n v="0"/>
    <n v="0"/>
    <n v="0"/>
    <n v="0"/>
    <n v="0"/>
    <n v="0"/>
    <n v="0"/>
    <n v="0"/>
    <n v="0.02"/>
    <n v="0"/>
    <n v="0"/>
    <n v="0"/>
    <n v="0"/>
    <n v="0"/>
    <n v="0"/>
    <n v="0"/>
    <n v="0"/>
    <n v="0"/>
    <n v="0"/>
    <n v="0"/>
    <n v="0"/>
    <n v="0"/>
    <n v="0"/>
    <n v="0"/>
    <n v="0"/>
    <n v="-0.02"/>
  </r>
  <r>
    <s v="India, India North East (excl. Assam)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11"/>
    <n v="0"/>
    <n v="0"/>
    <n v="13.81"/>
    <n v="2.44"/>
    <n v="0"/>
    <n v="0"/>
    <n v="0"/>
    <n v="0"/>
    <n v="0"/>
    <n v="0"/>
    <n v="0"/>
    <n v="0"/>
    <n v="0"/>
    <n v="0"/>
    <n v="-36.01"/>
  </r>
  <r>
    <s v="India, India North East (excl. Assam)"/>
    <x v="4"/>
    <n v="0"/>
    <n v="0"/>
    <n v="0"/>
    <n v="0"/>
    <n v="0"/>
    <n v="0"/>
    <n v="0"/>
    <n v="0"/>
    <n v="0"/>
    <n v="0"/>
    <n v="0"/>
    <n v="0"/>
    <n v="0"/>
    <n v="0"/>
    <n v="0"/>
    <n v="0"/>
    <n v="13.85"/>
    <n v="0"/>
    <n v="2.58"/>
    <n v="0"/>
    <n v="0"/>
    <n v="0"/>
    <n v="1.1000000000000001"/>
    <n v="0"/>
    <n v="0"/>
    <n v="0"/>
    <n v="0"/>
    <n v="0"/>
    <n v="0"/>
    <n v="0"/>
    <n v="0"/>
    <n v="0"/>
    <n v="0"/>
    <n v="-15.03"/>
  </r>
  <r>
    <s v="India, India North East (excl. Assam)"/>
    <x v="5"/>
    <n v="0"/>
    <n v="0"/>
    <n v="0"/>
    <n v="0.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13"/>
  </r>
  <r>
    <s v="India, India North East (excl. Assam)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North East (excl. Assam)"/>
    <x v="7"/>
    <n v="0"/>
    <n v="0"/>
    <n v="0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74"/>
  </r>
  <r>
    <s v="India, India North East (excl. Assam)"/>
    <x v="8"/>
    <n v="0.03"/>
    <n v="0"/>
    <n v="0.31"/>
    <n v="8.74"/>
    <n v="0"/>
    <n v="0.03"/>
    <n v="0"/>
    <n v="0"/>
    <n v="0"/>
    <n v="0"/>
    <n v="0"/>
    <n v="0"/>
    <n v="0"/>
    <n v="0"/>
    <n v="0"/>
    <n v="0"/>
    <n v="7.61"/>
    <n v="0.37"/>
    <n v="0.16"/>
    <n v="1.96"/>
    <n v="1.88"/>
    <n v="0.02"/>
    <n v="1.89"/>
    <n v="0"/>
    <n v="0"/>
    <n v="0"/>
    <n v="0"/>
    <n v="0"/>
    <n v="0"/>
    <n v="0"/>
    <n v="0"/>
    <n v="0"/>
    <n v="28.11"/>
    <n v="15.91"/>
  </r>
  <r>
    <s v="India, India North East (excl. Assam)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North East (excl. Assam)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3"/>
    <n v="0"/>
    <n v="0"/>
    <n v="0.02"/>
    <n v="0"/>
    <n v="0"/>
    <n v="0"/>
    <n v="0"/>
    <n v="0"/>
    <n v="0"/>
    <n v="0"/>
    <n v="0"/>
    <n v="0"/>
    <n v="0"/>
    <n v="0"/>
  </r>
  <r>
    <s v="India, India North East (excl. Assam)"/>
    <x v="11"/>
    <n v="0.08"/>
    <n v="0"/>
    <n v="0"/>
    <n v="1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North East (excl. Assam)"/>
    <x v="12"/>
    <n v="0"/>
    <n v="0"/>
    <n v="0"/>
    <n v="0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North East (excl. Assam)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6100000000000003"/>
    <n v="0"/>
    <n v="0"/>
    <n v="0"/>
    <n v="3.38"/>
    <n v="0"/>
    <n v="0"/>
    <n v="0"/>
    <n v="0"/>
    <n v="0"/>
    <n v="0"/>
    <n v="0"/>
    <n v="0"/>
    <n v="0"/>
    <n v="0"/>
    <n v="0"/>
  </r>
  <r>
    <s v="India, India North East (excl. Assam)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North East (excl. Assam)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North East (excl. Assam)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North East (excl. Assam)"/>
    <x v="17"/>
    <n v="0.06"/>
    <n v="0"/>
    <n v="0"/>
    <n v="1.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29"/>
    <n v="0"/>
    <n v="0"/>
    <n v="0"/>
    <n v="0"/>
    <n v="0"/>
    <n v="0"/>
    <n v="0"/>
    <n v="0"/>
    <n v="0"/>
    <n v="0"/>
    <n v="0"/>
  </r>
  <r>
    <s v="India, India North East (excl. Assam)"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North East (excl. Assam)"/>
    <x v="19"/>
    <n v="0"/>
    <n v="0"/>
    <n v="0"/>
    <n v="0"/>
    <n v="0"/>
    <n v="0"/>
    <n v="0"/>
    <n v="0"/>
    <n v="0"/>
    <n v="0"/>
    <n v="0"/>
    <n v="0"/>
    <n v="0"/>
    <n v="0"/>
    <n v="0"/>
    <n v="0"/>
    <n v="0.02"/>
    <n v="0"/>
    <n v="0"/>
    <n v="0.61"/>
    <n v="1.67"/>
    <n v="0"/>
    <n v="3.91"/>
    <n v="0"/>
    <n v="0"/>
    <n v="0"/>
    <n v="0"/>
    <n v="0"/>
    <n v="0"/>
    <n v="0"/>
    <n v="0"/>
    <n v="0"/>
    <n v="0"/>
    <n v="0"/>
  </r>
  <r>
    <s v="India, India North East (excl. Assam)"/>
    <x v="20"/>
    <n v="0.12"/>
    <n v="0"/>
    <n v="0"/>
    <n v="4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North East (excl. Assam)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"/>
    <n v="0"/>
    <n v="0"/>
    <n v="0"/>
    <n v="0"/>
    <n v="14.12"/>
    <n v="0"/>
    <n v="-30.31"/>
    <n v="0"/>
  </r>
  <r>
    <s v="India, India North East (excl. Assam)"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North East (excl. Assam)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North East (excl. Assam)"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North East (excl. Assam)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4"/>
    <n v="0"/>
    <n v="0"/>
    <n v="0"/>
    <n v="0"/>
    <n v="0"/>
    <n v="0"/>
    <n v="0"/>
    <n v="0"/>
    <n v="0"/>
    <n v="0"/>
    <n v="0"/>
    <n v="0"/>
    <n v="0"/>
    <n v="0"/>
  </r>
  <r>
    <s v="India, India North East (excl. Assam)"/>
    <x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43"/>
    <n v="0"/>
    <n v="0"/>
    <n v="0"/>
    <n v="0"/>
    <n v="0"/>
    <n v="0"/>
    <n v="0"/>
    <n v="0"/>
    <n v="0"/>
    <n v="0"/>
    <n v="0"/>
    <n v="0"/>
    <n v="0"/>
  </r>
  <r>
    <s v="India, India North East (excl. Assam)"/>
    <x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2"/>
    <n v="0.02"/>
    <n v="0.01"/>
    <n v="0"/>
    <n v="0"/>
    <n v="0"/>
    <n v="0"/>
    <n v="0"/>
    <n v="0"/>
    <n v="0"/>
    <n v="0"/>
    <n v="0"/>
    <n v="0"/>
    <n v="0"/>
    <n v="0"/>
  </r>
  <r>
    <s v="India, India North East (excl. Assam)"/>
    <x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North East (excl. Assam)"/>
    <x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North East (excl. Assam)"/>
    <x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North East (excl. Assam)"/>
    <x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25"/>
    <n v="0"/>
    <n v="0"/>
    <n v="0"/>
    <n v="0"/>
    <n v="0"/>
    <n v="0"/>
    <n v="0"/>
    <n v="0"/>
    <n v="0"/>
    <n v="0"/>
    <n v="0"/>
    <n v="0"/>
    <n v="0"/>
    <n v="0"/>
  </r>
  <r>
    <s v="India, India North East (excl. Assam)"/>
    <x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North East (excl. Assam)"/>
    <x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38"/>
    <n v="0"/>
    <n v="0"/>
    <n v="0"/>
    <n v="0"/>
    <n v="0"/>
    <n v="0"/>
    <n v="0"/>
    <n v="0"/>
    <n v="0"/>
    <n v="0"/>
    <n v="0"/>
    <n v="0"/>
    <n v="0"/>
    <n v="0"/>
  </r>
  <r>
    <s v="India, India North East (excl. Assam)"/>
    <x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6"/>
    <n v="0"/>
    <n v="0"/>
    <n v="0"/>
    <n v="0"/>
    <n v="0"/>
    <n v="0"/>
    <n v="0"/>
    <n v="0"/>
    <n v="0"/>
    <n v="0"/>
    <n v="0"/>
    <n v="0"/>
    <n v="0"/>
    <n v="0"/>
  </r>
  <r>
    <s v="India, India North East (excl. Assam)"/>
    <x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"/>
    <n v="0"/>
    <n v="0"/>
    <n v="0"/>
    <n v="0"/>
    <n v="0"/>
    <n v="0"/>
    <n v="0"/>
    <n v="0"/>
    <n v="0"/>
    <n v="0"/>
    <n v="0"/>
    <n v="0"/>
    <n v="0"/>
  </r>
  <r>
    <s v="India, India North East (excl. Assam)"/>
    <x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05"/>
    <n v="2.23"/>
    <n v="0.11"/>
    <n v="0.02"/>
    <n v="0"/>
    <n v="0"/>
    <n v="0"/>
    <n v="0"/>
    <n v="0"/>
    <n v="0"/>
    <n v="0"/>
    <n v="0"/>
    <n v="0"/>
    <n v="0.05"/>
    <n v="0"/>
  </r>
  <r>
    <s v="India, India North East (excl. Assam)"/>
    <x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7"/>
    <n v="0.91"/>
    <n v="0"/>
    <n v="0"/>
    <n v="0"/>
    <n v="0"/>
    <n v="0"/>
    <n v="0"/>
    <n v="0"/>
    <n v="0"/>
    <n v="0"/>
    <n v="0"/>
    <n v="0"/>
    <n v="0"/>
    <n v="0"/>
  </r>
  <r>
    <s v="India, India North East (excl. Assam)"/>
    <x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2"/>
    <n v="0"/>
    <n v="0"/>
    <n v="0"/>
    <n v="0"/>
    <n v="0"/>
    <n v="0"/>
    <n v="0"/>
    <n v="0"/>
    <n v="0"/>
    <n v="0"/>
    <n v="0"/>
    <n v="0"/>
    <n v="0"/>
  </r>
  <r>
    <s v="India, India Orissa"/>
    <x v="0"/>
    <n v="0"/>
    <n v="0"/>
    <n v="0.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Orissa"/>
    <x v="1"/>
    <n v="0.21"/>
    <n v="0"/>
    <n v="0"/>
    <n v="11.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04"/>
    <n v="0.1"/>
  </r>
  <r>
    <s v="India, India Orissa"/>
    <x v="2"/>
    <n v="0.84"/>
    <n v="0"/>
    <n v="0"/>
    <n v="6.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05"/>
    <n v="0"/>
    <n v="0"/>
    <n v="0"/>
    <n v="0"/>
    <n v="0"/>
    <n v="0"/>
    <n v="0"/>
    <n v="0"/>
    <n v="0"/>
    <n v="0"/>
    <n v="-10.59"/>
  </r>
  <r>
    <s v="India, India Orissa"/>
    <x v="3"/>
    <n v="0"/>
    <n v="0"/>
    <n v="0.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1"/>
  </r>
  <r>
    <s v="India, India Orissa"/>
    <x v="4"/>
    <n v="0"/>
    <n v="0"/>
    <n v="0"/>
    <n v="0"/>
    <n v="0"/>
    <n v="0"/>
    <n v="0"/>
    <n v="0"/>
    <n v="0"/>
    <n v="0"/>
    <n v="0"/>
    <n v="0"/>
    <n v="0"/>
    <n v="0"/>
    <n v="0"/>
    <n v="0"/>
    <n v="40.700000000000003"/>
    <n v="0"/>
    <n v="7.71"/>
    <n v="0"/>
    <n v="0"/>
    <n v="0"/>
    <n v="3.24"/>
    <n v="0"/>
    <n v="0"/>
    <n v="0"/>
    <n v="0"/>
    <n v="0"/>
    <n v="0"/>
    <n v="0"/>
    <n v="0"/>
    <n v="0"/>
    <n v="0"/>
    <n v="-44.16"/>
  </r>
  <r>
    <s v="India, India Orissa"/>
    <x v="5"/>
    <n v="0.01"/>
    <n v="0"/>
    <n v="0"/>
    <n v="0.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39"/>
  </r>
  <r>
    <s v="India, India Orissa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Orissa"/>
    <x v="7"/>
    <n v="0"/>
    <n v="0"/>
    <n v="1.7"/>
    <n v="0"/>
    <n v="0"/>
    <n v="0"/>
    <n v="0"/>
    <n v="0"/>
    <n v="0"/>
    <n v="0"/>
    <n v="0"/>
    <n v="0"/>
    <n v="0"/>
    <n v="0"/>
    <n v="0"/>
    <n v="0"/>
    <n v="1.56"/>
    <n v="1.56"/>
    <n v="0"/>
    <n v="0"/>
    <n v="0"/>
    <n v="0"/>
    <n v="0"/>
    <n v="0"/>
    <n v="0"/>
    <n v="0"/>
    <n v="0"/>
    <n v="0"/>
    <n v="0"/>
    <n v="0"/>
    <n v="0"/>
    <n v="0"/>
    <n v="0"/>
    <n v="-4.0999999999999996"/>
  </r>
  <r>
    <s v="India, India Orissa"/>
    <x v="8"/>
    <n v="0.94"/>
    <n v="0"/>
    <n v="1.74"/>
    <n v="253.1"/>
    <n v="0"/>
    <n v="0.75"/>
    <n v="0"/>
    <n v="0"/>
    <n v="0"/>
    <n v="0"/>
    <n v="0"/>
    <n v="0"/>
    <n v="0"/>
    <n v="0"/>
    <n v="0"/>
    <n v="0"/>
    <n v="2.15"/>
    <n v="0.1"/>
    <n v="14.27"/>
    <n v="7.46"/>
    <n v="5.61"/>
    <n v="0.56999999999999995"/>
    <n v="21.41"/>
    <n v="0"/>
    <n v="0"/>
    <n v="0"/>
    <n v="0"/>
    <n v="0"/>
    <n v="0"/>
    <n v="0"/>
    <n v="0"/>
    <n v="0"/>
    <n v="181.26"/>
    <n v="59.24"/>
  </r>
  <r>
    <s v="India, India Orissa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.15"/>
    <n v="0"/>
    <n v="0"/>
    <n v="0"/>
    <n v="0"/>
    <n v="0"/>
    <n v="0"/>
    <n v="0"/>
    <n v="0"/>
    <n v="0"/>
    <n v="0"/>
    <n v="0"/>
  </r>
  <r>
    <s v="India, India Orissa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"/>
    <n v="4.43"/>
    <n v="0"/>
    <n v="0"/>
    <n v="0"/>
    <n v="0"/>
    <n v="0"/>
    <n v="0"/>
    <n v="0"/>
    <n v="0"/>
    <n v="0"/>
    <n v="0"/>
    <n v="0"/>
    <n v="0"/>
    <n v="0"/>
    <n v="0"/>
  </r>
  <r>
    <s v="India, India Orissa"/>
    <x v="11"/>
    <n v="4.87"/>
    <n v="0"/>
    <n v="0"/>
    <n v="87.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Orissa"/>
    <x v="12"/>
    <n v="7.0000000000000007E-2"/>
    <n v="0"/>
    <n v="0"/>
    <n v="1.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Orissa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Orissa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Orissa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Orissa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Orissa"/>
    <x v="17"/>
    <n v="4"/>
    <n v="0"/>
    <n v="0"/>
    <n v="103.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Orissa"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Orissa"/>
    <x v="19"/>
    <n v="0"/>
    <n v="0"/>
    <n v="0"/>
    <n v="0"/>
    <n v="0"/>
    <n v="0"/>
    <n v="0"/>
    <n v="0"/>
    <n v="0"/>
    <n v="0"/>
    <n v="0"/>
    <n v="0"/>
    <n v="0"/>
    <n v="0"/>
    <n v="0"/>
    <n v="0"/>
    <n v="0.09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Orissa"/>
    <x v="20"/>
    <n v="7.59"/>
    <n v="0"/>
    <n v="0"/>
    <n v="292.54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Orissa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1"/>
    <n v="0"/>
    <n v="0"/>
    <n v="0"/>
    <n v="0"/>
    <n v="0"/>
    <n v="27.88"/>
    <n v="0"/>
    <n v="-180.04"/>
    <n v="0"/>
  </r>
  <r>
    <s v="India, India Orissa"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Orissa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Orissa"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Orissa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9"/>
    <n v="0"/>
    <n v="0"/>
    <n v="0"/>
    <n v="0"/>
    <n v="0"/>
    <n v="0"/>
    <n v="0"/>
    <n v="0"/>
    <n v="0"/>
    <n v="0"/>
    <n v="0"/>
    <n v="0"/>
    <n v="0"/>
    <n v="0"/>
  </r>
  <r>
    <s v="India, India Orissa"/>
    <x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9"/>
    <n v="0"/>
    <n v="0"/>
    <n v="0"/>
    <n v="0"/>
    <n v="0"/>
    <n v="0"/>
    <n v="0"/>
    <n v="0"/>
    <n v="0"/>
    <n v="0"/>
    <n v="0"/>
    <n v="0"/>
    <n v="0"/>
  </r>
  <r>
    <s v="India, India Orissa"/>
    <x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28"/>
    <n v="0.05"/>
    <n v="0.02"/>
    <n v="0"/>
    <n v="0"/>
    <n v="0"/>
    <n v="0"/>
    <n v="0"/>
    <n v="0"/>
    <n v="0"/>
    <n v="0"/>
    <n v="0"/>
    <n v="0"/>
    <n v="0"/>
    <n v="0"/>
  </r>
  <r>
    <s v="India, India Orissa"/>
    <x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Orissa"/>
    <x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Orissa"/>
    <x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Orissa"/>
    <x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4"/>
    <n v="0"/>
    <n v="0"/>
    <n v="0"/>
    <n v="0"/>
    <n v="0"/>
    <n v="0"/>
    <n v="0"/>
    <n v="0"/>
    <n v="0"/>
    <n v="0"/>
    <n v="0"/>
    <n v="0"/>
    <n v="0"/>
    <n v="0"/>
  </r>
  <r>
    <s v="India, India Orissa"/>
    <x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Orissa"/>
    <x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86"/>
    <n v="0"/>
    <n v="0"/>
    <n v="0"/>
    <n v="0"/>
    <n v="0"/>
    <n v="0"/>
    <n v="0"/>
    <n v="0"/>
    <n v="0"/>
    <n v="0"/>
    <n v="0"/>
    <n v="0"/>
    <n v="0"/>
    <n v="0"/>
  </r>
  <r>
    <s v="India, India Orissa"/>
    <x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08"/>
    <n v="0"/>
    <n v="0"/>
    <n v="0"/>
    <n v="0"/>
    <n v="0"/>
    <n v="0"/>
    <n v="0"/>
    <n v="0"/>
    <n v="0"/>
    <n v="0"/>
    <n v="0"/>
    <n v="0"/>
    <n v="0"/>
    <n v="0"/>
  </r>
  <r>
    <s v="India, India Orissa"/>
    <x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3"/>
    <n v="0"/>
    <n v="0"/>
    <n v="0"/>
    <n v="0"/>
    <n v="0"/>
    <n v="0"/>
    <n v="0"/>
    <n v="0"/>
    <n v="0"/>
    <n v="0"/>
    <n v="0"/>
    <n v="0"/>
    <n v="0"/>
  </r>
  <r>
    <s v="India, India Orissa"/>
    <x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45"/>
    <n v="6.07"/>
    <n v="0.34"/>
    <n v="0.04"/>
    <n v="0"/>
    <n v="0"/>
    <n v="0"/>
    <n v="0"/>
    <n v="0"/>
    <n v="0"/>
    <n v="0"/>
    <n v="0"/>
    <n v="0"/>
    <n v="0.13"/>
    <n v="0"/>
  </r>
  <r>
    <s v="India, India Orissa"/>
    <x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8"/>
    <n v="2.48"/>
    <n v="0"/>
    <n v="0"/>
    <n v="0"/>
    <n v="0"/>
    <n v="0"/>
    <n v="0"/>
    <n v="0"/>
    <n v="0"/>
    <n v="0"/>
    <n v="0"/>
    <n v="0"/>
    <n v="0"/>
    <n v="0"/>
  </r>
  <r>
    <s v="India, India Orissa"/>
    <x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41"/>
    <n v="0"/>
    <n v="0"/>
    <n v="0"/>
    <n v="0"/>
    <n v="0"/>
    <n v="0"/>
    <n v="0"/>
    <n v="0"/>
    <n v="0"/>
    <n v="0"/>
    <n v="0"/>
    <n v="0"/>
    <n v="0"/>
  </r>
  <r>
    <s v="India, India Punjab (I)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8"/>
    <n v="0"/>
    <n v="0"/>
    <n v="0"/>
    <n v="0"/>
    <n v="0"/>
    <n v="0"/>
    <n v="0"/>
    <n v="0"/>
    <n v="0"/>
    <n v="0"/>
    <n v="0"/>
  </r>
  <r>
    <s v="India, India Punjab (I)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6"/>
    <n v="0.56000000000000005"/>
  </r>
  <r>
    <s v="India, India Punjab (I)"/>
    <x v="2"/>
    <n v="1.02"/>
    <n v="0"/>
    <n v="0"/>
    <n v="7.94"/>
    <n v="0"/>
    <n v="0"/>
    <n v="0"/>
    <n v="0"/>
    <n v="0"/>
    <n v="0"/>
    <n v="0"/>
    <n v="0"/>
    <n v="0"/>
    <n v="0"/>
    <n v="0"/>
    <n v="0"/>
    <n v="0"/>
    <n v="0"/>
    <n v="3.35"/>
    <n v="0"/>
    <n v="0"/>
    <n v="0"/>
    <n v="0"/>
    <n v="0"/>
    <n v="0"/>
    <n v="0"/>
    <n v="0"/>
    <n v="0"/>
    <n v="0"/>
    <n v="0"/>
    <n v="0"/>
    <n v="0"/>
    <n v="0"/>
    <n v="-10.46"/>
  </r>
  <r>
    <s v="India, India Punjab (I)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6"/>
    <n v="0"/>
    <n v="0"/>
    <n v="0"/>
    <n v="0"/>
    <n v="0"/>
    <n v="0"/>
    <n v="0"/>
    <n v="0"/>
    <n v="0"/>
    <n v="0"/>
    <n v="-0.56000000000000005"/>
  </r>
  <r>
    <s v="India, India Punjab (I)"/>
    <x v="4"/>
    <n v="0"/>
    <n v="0"/>
    <n v="0"/>
    <n v="0"/>
    <n v="0"/>
    <n v="0"/>
    <n v="0"/>
    <n v="0"/>
    <n v="0"/>
    <n v="0"/>
    <n v="0"/>
    <n v="0"/>
    <n v="0"/>
    <n v="0"/>
    <n v="0"/>
    <n v="0"/>
    <n v="28.07"/>
    <n v="0"/>
    <n v="5.2"/>
    <n v="0"/>
    <n v="0"/>
    <n v="0"/>
    <n v="2.13"/>
    <n v="0"/>
    <n v="0"/>
    <n v="0"/>
    <n v="0"/>
    <n v="0"/>
    <n v="0"/>
    <n v="0"/>
    <n v="0"/>
    <n v="0"/>
    <n v="0"/>
    <n v="-30.35"/>
  </r>
  <r>
    <s v="India, India Punjab (I)"/>
    <x v="5"/>
    <n v="0.01"/>
    <n v="0"/>
    <n v="0"/>
    <n v="0.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51"/>
  </r>
  <r>
    <s v="India, India Punjab (I)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Punjab (I)"/>
    <x v="7"/>
    <n v="0"/>
    <n v="0"/>
    <n v="1.25"/>
    <n v="0"/>
    <n v="0"/>
    <n v="0"/>
    <n v="0"/>
    <n v="0"/>
    <n v="0"/>
    <n v="0"/>
    <n v="0"/>
    <n v="0"/>
    <n v="0"/>
    <n v="0"/>
    <n v="0"/>
    <n v="0"/>
    <n v="0.92"/>
    <n v="0.92"/>
    <n v="0"/>
    <n v="0"/>
    <n v="0"/>
    <n v="0"/>
    <n v="0"/>
    <n v="0"/>
    <n v="0"/>
    <n v="0"/>
    <n v="0"/>
    <n v="0"/>
    <n v="0"/>
    <n v="0"/>
    <n v="0"/>
    <n v="0"/>
    <n v="0"/>
    <n v="-2.63"/>
  </r>
  <r>
    <s v="India, India Punjab (I)"/>
    <x v="8"/>
    <n v="0.82"/>
    <n v="0"/>
    <n v="1.1100000000000001"/>
    <n v="198.55"/>
    <n v="0"/>
    <n v="0.57999999999999996"/>
    <n v="0"/>
    <n v="0"/>
    <n v="0"/>
    <n v="0"/>
    <n v="0"/>
    <n v="0"/>
    <n v="0"/>
    <n v="0"/>
    <n v="0"/>
    <n v="0"/>
    <n v="1.1599999999999999"/>
    <n v="0.06"/>
    <n v="3.04"/>
    <n v="4.28"/>
    <n v="3.78"/>
    <n v="0.05"/>
    <n v="16.54"/>
    <n v="0"/>
    <n v="0"/>
    <n v="0"/>
    <n v="0"/>
    <n v="0"/>
    <n v="0"/>
    <n v="0"/>
    <n v="0"/>
    <n v="0"/>
    <n v="45.36"/>
    <n v="43.95"/>
  </r>
  <r>
    <s v="India, India Punjab (I)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49"/>
    <n v="0"/>
    <n v="7.51"/>
    <n v="0"/>
    <n v="20.04"/>
    <n v="0"/>
    <n v="0"/>
    <n v="0"/>
    <n v="0"/>
    <n v="0"/>
    <n v="0"/>
    <n v="0"/>
    <n v="0"/>
    <n v="0"/>
    <n v="0"/>
    <n v="0"/>
  </r>
  <r>
    <s v="India, India Punjab (I)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6"/>
    <n v="8.89"/>
    <n v="0"/>
    <n v="0"/>
    <n v="0"/>
    <n v="0"/>
    <n v="0"/>
    <n v="0"/>
    <n v="0"/>
    <n v="0"/>
    <n v="0"/>
    <n v="0"/>
    <n v="0"/>
    <n v="0"/>
    <n v="0"/>
    <n v="0"/>
  </r>
  <r>
    <s v="India, India Punjab (I)"/>
    <x v="11"/>
    <n v="3.64"/>
    <n v="0"/>
    <n v="0"/>
    <n v="65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Punjab (I)"/>
    <x v="12"/>
    <n v="0.05"/>
    <n v="0"/>
    <n v="0"/>
    <n v="1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Punjab (I)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6"/>
    <n v="0"/>
    <n v="0"/>
    <n v="0"/>
    <n v="0"/>
    <n v="0"/>
    <n v="0"/>
    <n v="0"/>
    <n v="0"/>
    <n v="0"/>
    <n v="0"/>
    <n v="0"/>
  </r>
  <r>
    <s v="India, India Punjab (I)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Punjab (I)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Punjab (I)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Punjab (I)"/>
    <x v="17"/>
    <n v="2.99"/>
    <n v="0"/>
    <n v="0"/>
    <n v="77.40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29"/>
    <n v="0"/>
    <n v="0"/>
    <n v="0"/>
    <n v="0"/>
    <n v="0"/>
    <n v="0"/>
    <n v="0"/>
    <n v="0"/>
    <n v="0"/>
    <n v="0"/>
    <n v="0"/>
  </r>
  <r>
    <s v="India, India Punjab (I)"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Punjab (I)"/>
    <x v="19"/>
    <n v="0"/>
    <n v="0"/>
    <n v="0"/>
    <n v="0"/>
    <n v="0"/>
    <n v="0"/>
    <n v="0"/>
    <n v="0"/>
    <n v="0"/>
    <n v="0"/>
    <n v="0"/>
    <n v="0"/>
    <n v="0"/>
    <n v="0"/>
    <n v="0"/>
    <n v="0"/>
    <n v="0.68"/>
    <n v="0"/>
    <n v="0"/>
    <n v="0"/>
    <n v="0"/>
    <n v="0"/>
    <n v="2.15"/>
    <n v="0"/>
    <n v="0"/>
    <n v="0"/>
    <n v="0"/>
    <n v="0"/>
    <n v="0"/>
    <n v="0"/>
    <n v="0"/>
    <n v="0"/>
    <n v="0"/>
    <n v="0"/>
  </r>
  <r>
    <s v="India, India Punjab (I)"/>
    <x v="20"/>
    <n v="5.67"/>
    <n v="0"/>
    <n v="0"/>
    <n v="218.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Punjab (I)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2"/>
    <n v="0"/>
    <n v="0"/>
    <n v="0"/>
    <n v="0"/>
    <n v="0"/>
    <n v="40.450000000000003"/>
    <n v="18.37"/>
    <n v="-167.91"/>
    <n v="0"/>
  </r>
  <r>
    <s v="India, India Punjab (I)"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Punjab (I)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Punjab (I)"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Punjab (I)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63"/>
    <n v="0"/>
    <n v="0"/>
    <n v="0"/>
    <n v="0"/>
    <n v="0"/>
    <n v="0"/>
    <n v="0"/>
    <n v="0"/>
    <n v="0"/>
    <n v="0"/>
    <n v="0"/>
    <n v="0"/>
    <n v="0"/>
    <n v="0"/>
  </r>
  <r>
    <s v="India, India Punjab (I)"/>
    <x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5"/>
    <n v="0"/>
    <n v="0"/>
    <n v="0"/>
    <n v="0"/>
    <n v="0"/>
    <n v="0"/>
    <n v="0"/>
    <n v="0"/>
    <n v="0"/>
    <n v="0"/>
    <n v="0"/>
    <n v="0"/>
    <n v="0"/>
  </r>
  <r>
    <s v="India, India Punjab (I)"/>
    <x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46"/>
    <n v="0.03"/>
    <n v="0.02"/>
    <n v="0"/>
    <n v="0"/>
    <n v="0"/>
    <n v="0"/>
    <n v="0"/>
    <n v="0"/>
    <n v="0"/>
    <n v="0"/>
    <n v="0"/>
    <n v="0"/>
    <n v="0"/>
    <n v="0"/>
  </r>
  <r>
    <s v="India, India Punjab (I)"/>
    <x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Punjab (I)"/>
    <x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Punjab (I)"/>
    <x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Punjab (I)"/>
    <x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28"/>
    <n v="0"/>
    <n v="0"/>
    <n v="0"/>
    <n v="0"/>
    <n v="0"/>
    <n v="0"/>
    <n v="0"/>
    <n v="0"/>
    <n v="0"/>
    <n v="0"/>
    <n v="0"/>
    <n v="0"/>
    <n v="0.79"/>
    <n v="0"/>
  </r>
  <r>
    <s v="India, India Punjab (I)"/>
    <x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Punjab (I)"/>
    <x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01"/>
    <n v="0"/>
    <n v="0"/>
    <n v="0"/>
    <n v="0"/>
    <n v="0"/>
    <n v="0"/>
    <n v="0"/>
    <n v="0"/>
    <n v="0"/>
    <n v="0"/>
    <n v="0"/>
    <n v="0"/>
    <n v="0"/>
    <n v="0"/>
  </r>
  <r>
    <s v="India, India Punjab (I)"/>
    <x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59"/>
    <n v="0"/>
    <n v="0"/>
    <n v="0"/>
    <n v="0"/>
    <n v="0"/>
    <n v="0"/>
    <n v="0"/>
    <n v="0"/>
    <n v="0"/>
    <n v="0"/>
    <n v="0"/>
    <n v="0"/>
    <n v="0"/>
    <n v="0"/>
  </r>
  <r>
    <s v="India, India Punjab (I)"/>
    <x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5"/>
    <n v="0"/>
    <n v="0"/>
    <n v="0"/>
    <n v="0"/>
    <n v="0"/>
    <n v="0"/>
    <n v="0"/>
    <n v="0"/>
    <n v="0"/>
    <n v="0"/>
    <n v="0"/>
    <n v="0"/>
    <n v="0"/>
  </r>
  <r>
    <s v="India, India Punjab (I)"/>
    <x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39"/>
    <n v="16.52"/>
    <n v="0.24"/>
    <n v="0.06"/>
    <n v="0"/>
    <n v="0"/>
    <n v="0"/>
    <n v="0"/>
    <n v="0"/>
    <n v="0"/>
    <n v="0"/>
    <n v="0"/>
    <n v="0"/>
    <n v="0.09"/>
    <n v="0"/>
  </r>
  <r>
    <s v="India, India Punjab (I)"/>
    <x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6"/>
    <n v="6.76"/>
    <n v="0"/>
    <n v="0.01"/>
    <n v="0"/>
    <n v="0"/>
    <n v="0"/>
    <n v="0"/>
    <n v="0"/>
    <n v="0"/>
    <n v="0"/>
    <n v="0"/>
    <n v="0"/>
    <n v="0"/>
    <n v="0"/>
  </r>
  <r>
    <s v="India, India Punjab (I)"/>
    <x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02"/>
    <n v="0"/>
    <n v="0"/>
    <n v="0"/>
    <n v="0"/>
    <n v="0"/>
    <n v="0"/>
    <n v="0"/>
    <n v="0"/>
    <n v="0"/>
    <n v="0"/>
    <n v="0"/>
    <n v="0"/>
    <n v="0"/>
  </r>
  <r>
    <s v="India, India Rajasthan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4"/>
    <n v="0"/>
    <n v="0"/>
    <n v="0"/>
    <n v="0"/>
    <n v="0"/>
    <n v="0"/>
    <n v="0"/>
    <n v="0"/>
    <n v="0"/>
    <n v="0"/>
    <n v="0"/>
  </r>
  <r>
    <s v="India, India Rajasthan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.3"/>
    <n v="1.42"/>
  </r>
  <r>
    <s v="India, India Rajasthan"/>
    <x v="2"/>
    <n v="1.26"/>
    <n v="0"/>
    <n v="0"/>
    <n v="9.82"/>
    <n v="0"/>
    <n v="0"/>
    <n v="0"/>
    <n v="0"/>
    <n v="0"/>
    <n v="0"/>
    <n v="0"/>
    <n v="0"/>
    <n v="0"/>
    <n v="0"/>
    <n v="0"/>
    <n v="0"/>
    <n v="0"/>
    <n v="0"/>
    <n v="12.51"/>
    <n v="0"/>
    <n v="0"/>
    <n v="0"/>
    <n v="0.85"/>
    <n v="0"/>
    <n v="0"/>
    <n v="0"/>
    <n v="0"/>
    <n v="0"/>
    <n v="0"/>
    <n v="0"/>
    <n v="0"/>
    <n v="0"/>
    <n v="0"/>
    <n v="-20.78"/>
  </r>
  <r>
    <s v="India, India Rajasthan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7"/>
    <n v="0"/>
    <n v="0"/>
    <n v="0"/>
    <n v="0"/>
    <n v="0"/>
    <n v="0"/>
    <n v="0"/>
    <n v="0"/>
    <n v="0"/>
    <n v="0"/>
    <n v="-1.42"/>
  </r>
  <r>
    <s v="India, India Rajasthan"/>
    <x v="4"/>
    <n v="0"/>
    <n v="0"/>
    <n v="0"/>
    <n v="0"/>
    <n v="0"/>
    <n v="0"/>
    <n v="0"/>
    <n v="0"/>
    <n v="0"/>
    <n v="0"/>
    <n v="0"/>
    <n v="0"/>
    <n v="0"/>
    <n v="0"/>
    <n v="0"/>
    <n v="0"/>
    <n v="66.459999999999994"/>
    <n v="0"/>
    <n v="12.44"/>
    <n v="0"/>
    <n v="0"/>
    <n v="0"/>
    <n v="5.29"/>
    <n v="0"/>
    <n v="0"/>
    <n v="0"/>
    <n v="0"/>
    <n v="0"/>
    <n v="0"/>
    <n v="0"/>
    <n v="0"/>
    <n v="0"/>
    <n v="0"/>
    <n v="-72.12"/>
  </r>
  <r>
    <s v="India, India Rajasthan"/>
    <x v="5"/>
    <n v="0.01"/>
    <n v="0"/>
    <n v="0"/>
    <n v="0.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64"/>
  </r>
  <r>
    <s v="India, India Rajasthan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Rajasthan"/>
    <x v="7"/>
    <n v="0"/>
    <n v="0"/>
    <n v="4.12"/>
    <n v="0"/>
    <n v="0"/>
    <n v="0"/>
    <n v="0"/>
    <n v="0"/>
    <n v="0"/>
    <n v="0"/>
    <n v="0"/>
    <n v="0"/>
    <n v="0"/>
    <n v="0"/>
    <n v="0"/>
    <n v="0"/>
    <n v="0.06"/>
    <n v="0.06"/>
    <n v="0"/>
    <n v="0"/>
    <n v="0"/>
    <n v="0"/>
    <n v="0"/>
    <n v="0"/>
    <n v="0"/>
    <n v="0"/>
    <n v="0"/>
    <n v="0"/>
    <n v="0"/>
    <n v="0"/>
    <n v="0"/>
    <n v="0"/>
    <n v="0"/>
    <n v="-3.61"/>
  </r>
  <r>
    <s v="India, India Rajasthan"/>
    <x v="8"/>
    <n v="0.75"/>
    <n v="0"/>
    <n v="1.5"/>
    <n v="73.05"/>
    <n v="0"/>
    <n v="0.06"/>
    <n v="0"/>
    <n v="0"/>
    <n v="0"/>
    <n v="0"/>
    <n v="0"/>
    <n v="0"/>
    <n v="0"/>
    <n v="0"/>
    <n v="0"/>
    <n v="0"/>
    <n v="11.71"/>
    <n v="0.56999999999999995"/>
    <n v="3.47"/>
    <n v="10.130000000000001"/>
    <n v="9.0500000000000007"/>
    <n v="0.12"/>
    <n v="39.479999999999997"/>
    <n v="0"/>
    <n v="0"/>
    <n v="0"/>
    <n v="0"/>
    <n v="0"/>
    <n v="0"/>
    <n v="0"/>
    <n v="0"/>
    <n v="0"/>
    <n v="87.32"/>
    <n v="97.15"/>
  </r>
  <r>
    <s v="India, India Rajasthan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93"/>
    <n v="0"/>
    <n v="15.57"/>
    <n v="0"/>
    <n v="49.57"/>
    <n v="0"/>
    <n v="0"/>
    <n v="0"/>
    <n v="0"/>
    <n v="0"/>
    <n v="0"/>
    <n v="0"/>
    <n v="0"/>
    <n v="0"/>
    <n v="0"/>
    <n v="0"/>
  </r>
  <r>
    <s v="India, India Rajasthan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6"/>
    <n v="13.49"/>
    <n v="0"/>
    <n v="0"/>
    <n v="7.0000000000000007E-2"/>
    <n v="0"/>
    <n v="0"/>
    <n v="0"/>
    <n v="0"/>
    <n v="0"/>
    <n v="0"/>
    <n v="0"/>
    <n v="0"/>
    <n v="0"/>
    <n v="0"/>
    <n v="0"/>
  </r>
  <r>
    <s v="India, India Rajasthan"/>
    <x v="11"/>
    <n v="7.31"/>
    <n v="0"/>
    <n v="0"/>
    <n v="131.83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Rajasthan"/>
    <x v="12"/>
    <n v="0.11"/>
    <n v="0"/>
    <n v="0"/>
    <n v="2.02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Rajasthan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300000000000004"/>
    <n v="0"/>
    <n v="0"/>
    <n v="0"/>
    <n v="0"/>
    <n v="0"/>
    <n v="0"/>
    <n v="0"/>
    <n v="0"/>
    <n v="0"/>
    <n v="0"/>
    <n v="0"/>
  </r>
  <r>
    <s v="India, India Rajasthan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Rajasthan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Rajasthan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Rajasthan"/>
    <x v="17"/>
    <n v="6.01"/>
    <n v="0"/>
    <n v="0"/>
    <n v="155.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57"/>
    <n v="0"/>
    <n v="0"/>
    <n v="0"/>
    <n v="0"/>
    <n v="0"/>
    <n v="0"/>
    <n v="0"/>
    <n v="0"/>
    <n v="0"/>
    <n v="0"/>
    <n v="0"/>
  </r>
  <r>
    <s v="India, India Rajasthan"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Rajasthan"/>
    <x v="19"/>
    <n v="0"/>
    <n v="0"/>
    <n v="0"/>
    <n v="0"/>
    <n v="0"/>
    <n v="0"/>
    <n v="0"/>
    <n v="0"/>
    <n v="0"/>
    <n v="0"/>
    <n v="0"/>
    <n v="0"/>
    <n v="0"/>
    <n v="0"/>
    <n v="0"/>
    <n v="0"/>
    <n v="3.34"/>
    <n v="0"/>
    <n v="0"/>
    <n v="0"/>
    <n v="0"/>
    <n v="0"/>
    <n v="5.46"/>
    <n v="0"/>
    <n v="0"/>
    <n v="0"/>
    <n v="0"/>
    <n v="0"/>
    <n v="0"/>
    <n v="0"/>
    <n v="0"/>
    <n v="0"/>
    <n v="0"/>
    <n v="0"/>
  </r>
  <r>
    <s v="India, India Rajasthan"/>
    <x v="20"/>
    <n v="11.39"/>
    <n v="0"/>
    <n v="0"/>
    <n v="439.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Rajasthan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75"/>
    <n v="0"/>
    <n v="0"/>
    <n v="0"/>
    <n v="0"/>
    <n v="0"/>
    <n v="19.649999999999999"/>
    <n v="48.52"/>
    <n v="-311.18"/>
    <n v="0"/>
  </r>
  <r>
    <s v="India, India Rajasthan"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Rajasthan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Rajasthan"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Rajasthan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89"/>
    <n v="0"/>
    <n v="0"/>
    <n v="0"/>
    <n v="0"/>
    <n v="0"/>
    <n v="0"/>
    <n v="0"/>
    <n v="0"/>
    <n v="0"/>
    <n v="0"/>
    <n v="0"/>
    <n v="0"/>
    <n v="0"/>
    <n v="0"/>
  </r>
  <r>
    <s v="India, India Rajasthan"/>
    <x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84"/>
    <n v="0"/>
    <n v="0"/>
    <n v="0"/>
    <n v="0"/>
    <n v="0"/>
    <n v="0"/>
    <n v="0"/>
    <n v="0"/>
    <n v="0"/>
    <n v="0"/>
    <n v="0"/>
    <n v="0"/>
    <n v="0"/>
  </r>
  <r>
    <s v="India, India Rajasthan"/>
    <x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37"/>
    <n v="0.08"/>
    <n v="0.04"/>
    <n v="0"/>
    <n v="0"/>
    <n v="0"/>
    <n v="0"/>
    <n v="0"/>
    <n v="0"/>
    <n v="0"/>
    <n v="0"/>
    <n v="0"/>
    <n v="0"/>
    <n v="0"/>
    <n v="0"/>
  </r>
  <r>
    <s v="India, India Rajasthan"/>
    <x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Rajasthan"/>
    <x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Rajasthan"/>
    <x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Rajasthan"/>
    <x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09"/>
    <n v="0"/>
    <n v="0"/>
    <n v="0"/>
    <n v="0"/>
    <n v="0"/>
    <n v="0"/>
    <n v="0"/>
    <n v="0"/>
    <n v="0"/>
    <n v="0"/>
    <n v="0"/>
    <n v="0"/>
    <n v="1.63"/>
    <n v="0"/>
  </r>
  <r>
    <s v="India, India Rajasthan"/>
    <x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Rajasthan"/>
    <x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68"/>
    <n v="0"/>
    <n v="0"/>
    <n v="0"/>
    <n v="0"/>
    <n v="0"/>
    <n v="0"/>
    <n v="0"/>
    <n v="0"/>
    <n v="0"/>
    <n v="0"/>
    <n v="0"/>
    <n v="0"/>
    <n v="0"/>
    <n v="0"/>
  </r>
  <r>
    <s v="India, India Rajasthan"/>
    <x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.25"/>
    <n v="0"/>
    <n v="0"/>
    <n v="0"/>
    <n v="0"/>
    <n v="0"/>
    <n v="0"/>
    <n v="0"/>
    <n v="0"/>
    <n v="0"/>
    <n v="0"/>
    <n v="0"/>
    <n v="0"/>
    <n v="0"/>
    <n v="0"/>
  </r>
  <r>
    <s v="India, India Rajasthan"/>
    <x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4"/>
    <n v="0"/>
    <n v="0"/>
    <n v="0"/>
    <n v="0"/>
    <n v="0"/>
    <n v="0"/>
    <n v="0"/>
    <n v="0"/>
    <n v="0"/>
    <n v="0"/>
    <n v="0"/>
    <n v="0"/>
    <n v="0"/>
  </r>
  <r>
    <s v="India, India Rajasthan"/>
    <x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14"/>
    <n v="14.96"/>
    <n v="0.56000000000000005"/>
    <n v="0.08"/>
    <n v="0"/>
    <n v="0"/>
    <n v="0"/>
    <n v="0"/>
    <n v="0"/>
    <n v="0"/>
    <n v="0"/>
    <n v="0"/>
    <n v="0"/>
    <n v="0.22"/>
    <n v="0"/>
  </r>
  <r>
    <s v="India, India Rajasthan"/>
    <x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1"/>
    <n v="6.12"/>
    <n v="0"/>
    <n v="0.01"/>
    <n v="0"/>
    <n v="0"/>
    <n v="0"/>
    <n v="0"/>
    <n v="0"/>
    <n v="0"/>
    <n v="0"/>
    <n v="0"/>
    <n v="0"/>
    <n v="0"/>
    <n v="0"/>
  </r>
  <r>
    <s v="India, India Rajasthan"/>
    <x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88"/>
    <n v="0"/>
    <n v="0"/>
    <n v="0"/>
    <n v="0"/>
    <n v="0"/>
    <n v="0"/>
    <n v="0"/>
    <n v="0"/>
    <n v="0"/>
    <n v="0"/>
    <n v="0"/>
    <n v="0"/>
    <n v="0"/>
  </r>
  <r>
    <s v="India, India Tamil Nadu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4.82"/>
    <n v="0"/>
    <n v="0"/>
    <n v="0"/>
    <n v="0"/>
    <n v="0"/>
    <n v="0"/>
    <n v="0"/>
    <n v="0"/>
    <n v="0"/>
    <n v="0"/>
    <n v="0"/>
    <n v="0"/>
  </r>
  <r>
    <s v="India, India Tamil Nadu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.27"/>
    <n v="0"/>
    <n v="0"/>
    <n v="0"/>
    <n v="0"/>
    <n v="0"/>
    <n v="0"/>
    <n v="0"/>
    <n v="0"/>
    <n v="0"/>
    <n v="0"/>
    <n v="0"/>
    <n v="0"/>
    <n v="0"/>
    <n v="107.74"/>
    <n v="134.6"/>
  </r>
  <r>
    <s v="India, India Tamil Nadu"/>
    <x v="2"/>
    <n v="0.52"/>
    <n v="0"/>
    <n v="0"/>
    <n v="4.0999999999999996"/>
    <n v="0"/>
    <n v="0"/>
    <n v="0"/>
    <n v="0"/>
    <n v="0"/>
    <n v="0"/>
    <n v="0"/>
    <n v="0"/>
    <n v="0"/>
    <n v="0"/>
    <n v="0"/>
    <n v="0"/>
    <n v="0"/>
    <n v="0"/>
    <n v="2.68"/>
    <n v="0"/>
    <n v="0"/>
    <n v="0"/>
    <n v="1.25"/>
    <n v="0"/>
    <n v="0"/>
    <n v="0"/>
    <n v="0"/>
    <n v="0"/>
    <n v="0"/>
    <n v="0"/>
    <n v="0"/>
    <n v="0"/>
    <n v="0"/>
    <n v="-7.26"/>
  </r>
  <r>
    <s v="India, India Tamil Nadu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98"/>
    <n v="0"/>
    <n v="0"/>
    <n v="54.71"/>
    <n v="4.67"/>
    <n v="0"/>
    <n v="0"/>
    <n v="0"/>
    <n v="0"/>
    <n v="0"/>
    <n v="0"/>
    <n v="0"/>
    <n v="0"/>
    <n v="0"/>
    <n v="0"/>
    <n v="-134.6"/>
  </r>
  <r>
    <s v="India, India Tamil Nadu"/>
    <x v="4"/>
    <n v="0"/>
    <n v="0"/>
    <n v="0"/>
    <n v="0"/>
    <n v="0"/>
    <n v="0"/>
    <n v="0"/>
    <n v="0"/>
    <n v="0"/>
    <n v="0"/>
    <n v="0"/>
    <n v="0"/>
    <n v="0"/>
    <n v="0"/>
    <n v="0"/>
    <n v="0"/>
    <n v="71.59"/>
    <n v="0"/>
    <n v="13.45"/>
    <n v="0"/>
    <n v="0"/>
    <n v="0"/>
    <n v="5.7"/>
    <n v="0"/>
    <n v="0"/>
    <n v="0"/>
    <n v="0"/>
    <n v="0"/>
    <n v="0"/>
    <n v="0"/>
    <n v="0"/>
    <n v="0"/>
    <n v="0"/>
    <n v="-77.69"/>
  </r>
  <r>
    <s v="India, India Tamil Nadu"/>
    <x v="5"/>
    <n v="0.02"/>
    <n v="0"/>
    <n v="0"/>
    <n v="0.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69"/>
  </r>
  <r>
    <s v="India, India Tamil Nadu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Tamil Nadu"/>
    <x v="7"/>
    <n v="0"/>
    <n v="0"/>
    <n v="3.7"/>
    <n v="0"/>
    <n v="0"/>
    <n v="0"/>
    <n v="0"/>
    <n v="0"/>
    <n v="0"/>
    <n v="0"/>
    <n v="0"/>
    <n v="0"/>
    <n v="0"/>
    <n v="0"/>
    <n v="0"/>
    <n v="0"/>
    <n v="1.44"/>
    <n v="1.44"/>
    <n v="0"/>
    <n v="0"/>
    <n v="0"/>
    <n v="0"/>
    <n v="0"/>
    <n v="0"/>
    <n v="0"/>
    <n v="0"/>
    <n v="0"/>
    <n v="0"/>
    <n v="0"/>
    <n v="0"/>
    <n v="0"/>
    <n v="0"/>
    <n v="0"/>
    <n v="-5.59"/>
  </r>
  <r>
    <s v="India, India Tamil Nadu"/>
    <x v="8"/>
    <n v="0.62"/>
    <n v="0"/>
    <n v="2.35"/>
    <n v="116.61"/>
    <n v="0"/>
    <n v="0.28999999999999998"/>
    <n v="0"/>
    <n v="0"/>
    <n v="0"/>
    <n v="0"/>
    <n v="0"/>
    <n v="0"/>
    <n v="0"/>
    <n v="0"/>
    <n v="0"/>
    <n v="0"/>
    <n v="8"/>
    <n v="0.39"/>
    <n v="4.92"/>
    <n v="10.41"/>
    <n v="9.7799999999999994"/>
    <n v="0.15"/>
    <n v="20.5"/>
    <n v="0"/>
    <n v="0"/>
    <n v="0"/>
    <n v="0"/>
    <n v="0"/>
    <n v="0"/>
    <n v="0"/>
    <n v="0"/>
    <n v="0"/>
    <n v="89.88"/>
    <n v="91.23"/>
  </r>
  <r>
    <s v="India, India Tamil Nadu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75"/>
    <n v="0"/>
    <n v="3.33"/>
    <n v="0"/>
    <n v="18.989999999999998"/>
    <n v="0"/>
    <n v="0"/>
    <n v="0"/>
    <n v="0"/>
    <n v="0"/>
    <n v="0"/>
    <n v="0"/>
    <n v="0"/>
    <n v="0"/>
    <n v="0"/>
    <n v="0"/>
  </r>
  <r>
    <s v="India, India Tamil Nadu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6"/>
    <n v="20.13"/>
    <n v="0"/>
    <n v="0"/>
    <n v="0.02"/>
    <n v="0"/>
    <n v="0"/>
    <n v="0"/>
    <n v="0"/>
    <n v="0"/>
    <n v="0"/>
    <n v="0"/>
    <n v="0"/>
    <n v="0"/>
    <n v="0"/>
    <n v="0"/>
  </r>
  <r>
    <s v="India, India Tamil Nadu"/>
    <x v="11"/>
    <n v="8.52"/>
    <n v="0"/>
    <n v="0"/>
    <n v="153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Tamil Nadu"/>
    <x v="12"/>
    <n v="0.12"/>
    <n v="0"/>
    <n v="0"/>
    <n v="2.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Tamil Nadu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46"/>
    <n v="0"/>
    <n v="0"/>
    <n v="0"/>
    <n v="6.46"/>
    <n v="0"/>
    <n v="0"/>
    <n v="0"/>
    <n v="0"/>
    <n v="0"/>
    <n v="0"/>
    <n v="0"/>
    <n v="0"/>
    <n v="0"/>
    <n v="0"/>
    <n v="0"/>
  </r>
  <r>
    <s v="India, India Tamil Nadu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Tamil Nadu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Tamil Nadu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Tamil Nadu"/>
    <x v="17"/>
    <n v="7"/>
    <n v="0"/>
    <n v="0"/>
    <n v="181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38"/>
    <n v="0"/>
    <n v="0"/>
    <n v="0"/>
    <n v="0"/>
    <n v="0"/>
    <n v="0"/>
    <n v="0"/>
    <n v="0"/>
    <n v="0"/>
    <n v="0"/>
    <n v="0"/>
  </r>
  <r>
    <s v="India, India Tamil Nadu"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Tamil Nadu"/>
    <x v="19"/>
    <n v="0"/>
    <n v="0"/>
    <n v="0"/>
    <n v="0"/>
    <n v="0"/>
    <n v="0"/>
    <n v="0"/>
    <n v="0"/>
    <n v="0"/>
    <n v="0"/>
    <n v="0"/>
    <n v="0"/>
    <n v="0"/>
    <n v="0"/>
    <n v="0"/>
    <n v="0"/>
    <n v="3.32"/>
    <n v="0"/>
    <n v="0"/>
    <n v="2.33"/>
    <n v="6.34"/>
    <n v="0"/>
    <n v="7.47"/>
    <n v="0"/>
    <n v="0"/>
    <n v="0"/>
    <n v="0"/>
    <n v="0"/>
    <n v="0"/>
    <n v="0"/>
    <n v="0"/>
    <n v="0"/>
    <n v="0"/>
    <n v="0"/>
  </r>
  <r>
    <s v="India, India Tamil Nadu"/>
    <x v="20"/>
    <n v="13.29"/>
    <n v="0"/>
    <n v="0"/>
    <n v="512.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Tamil Nadu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.61"/>
    <n v="0"/>
    <n v="0"/>
    <n v="0"/>
    <n v="0"/>
    <n v="0"/>
    <n v="28.87"/>
    <n v="46"/>
    <n v="-420.5"/>
    <n v="0"/>
  </r>
  <r>
    <s v="India, India Tamil Nadu"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Tamil Nadu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Tamil Nadu"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Tamil Nadu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1"/>
    <n v="0"/>
    <n v="0"/>
    <n v="0"/>
    <n v="0"/>
    <n v="0"/>
    <n v="0"/>
    <n v="0"/>
    <n v="0"/>
    <n v="0"/>
    <n v="0"/>
    <n v="0"/>
    <n v="0"/>
    <n v="0"/>
    <n v="0"/>
  </r>
  <r>
    <s v="India, India Tamil Nadu"/>
    <x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5"/>
    <n v="0"/>
    <n v="0"/>
    <n v="0"/>
    <n v="0"/>
    <n v="0"/>
    <n v="0"/>
    <n v="0"/>
    <n v="0"/>
    <n v="0"/>
    <n v="0"/>
    <n v="0"/>
    <n v="0"/>
    <n v="0"/>
  </r>
  <r>
    <s v="India, India Tamil Nadu"/>
    <x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69"/>
    <n v="0.08"/>
    <n v="0.04"/>
    <n v="0"/>
    <n v="0"/>
    <n v="0"/>
    <n v="0"/>
    <n v="0"/>
    <n v="0"/>
    <n v="0"/>
    <n v="0"/>
    <n v="0"/>
    <n v="0"/>
    <n v="0"/>
    <n v="0"/>
  </r>
  <r>
    <s v="India, India Tamil Nadu"/>
    <x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Tamil Nadu"/>
    <x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Tamil Nadu"/>
    <x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Tamil Nadu"/>
    <x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13"/>
    <n v="0"/>
    <n v="0"/>
    <n v="0"/>
    <n v="0"/>
    <n v="0"/>
    <n v="0"/>
    <n v="0"/>
    <n v="0"/>
    <n v="0"/>
    <n v="0"/>
    <n v="0"/>
    <n v="0"/>
    <n v="3.04"/>
    <n v="0"/>
  </r>
  <r>
    <s v="India, India Tamil Nadu"/>
    <x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Tamil Nadu"/>
    <x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77"/>
    <n v="0"/>
    <n v="0"/>
    <n v="0"/>
    <n v="0"/>
    <n v="0"/>
    <n v="0"/>
    <n v="0"/>
    <n v="0"/>
    <n v="0"/>
    <n v="0"/>
    <n v="0"/>
    <n v="0"/>
    <n v="0"/>
    <n v="0"/>
  </r>
  <r>
    <s v="India, India Tamil Nadu"/>
    <x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7.87"/>
    <n v="0"/>
    <n v="0"/>
    <n v="0"/>
    <n v="0"/>
    <n v="0"/>
    <n v="0"/>
    <n v="0"/>
    <n v="0"/>
    <n v="0"/>
    <n v="0"/>
    <n v="0"/>
    <n v="0"/>
    <n v="0"/>
    <n v="0"/>
  </r>
  <r>
    <s v="India, India Tamil Nadu"/>
    <x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93"/>
    <n v="0"/>
    <n v="0"/>
    <n v="0"/>
    <n v="0"/>
    <n v="0"/>
    <n v="0"/>
    <n v="0"/>
    <n v="0"/>
    <n v="0"/>
    <n v="0"/>
    <n v="0"/>
    <n v="0"/>
    <n v="0"/>
  </r>
  <r>
    <s v="India, India Tamil Nadu"/>
    <x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.26"/>
    <n v="43.46"/>
    <n v="0.57999999999999996"/>
    <n v="0.18"/>
    <n v="0"/>
    <n v="0"/>
    <n v="0"/>
    <n v="0"/>
    <n v="0"/>
    <n v="0"/>
    <n v="0"/>
    <n v="0"/>
    <n v="0"/>
    <n v="0.23"/>
    <n v="0"/>
  </r>
  <r>
    <s v="India, India Tamil Nadu"/>
    <x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99"/>
    <n v="17.78"/>
    <n v="0"/>
    <n v="0.02"/>
    <n v="0"/>
    <n v="0"/>
    <n v="0"/>
    <n v="0"/>
    <n v="0"/>
    <n v="0"/>
    <n v="0"/>
    <n v="0"/>
    <n v="0"/>
    <n v="0"/>
    <n v="0"/>
  </r>
  <r>
    <s v="India, India Tamil Nadu"/>
    <x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61"/>
    <n v="0"/>
    <n v="0"/>
    <n v="0"/>
    <n v="0"/>
    <n v="0"/>
    <n v="0"/>
    <n v="0"/>
    <n v="0"/>
    <n v="0"/>
    <n v="0"/>
    <n v="0"/>
    <n v="0"/>
    <n v="0"/>
  </r>
  <r>
    <s v="India, India Chhattisgarh"/>
    <x v="0"/>
    <n v="0"/>
    <n v="0"/>
    <n v="0.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Chhattisgarh"/>
    <x v="1"/>
    <n v="0.39"/>
    <n v="0"/>
    <n v="0"/>
    <n v="21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.5"/>
    <n v="0.18"/>
  </r>
  <r>
    <s v="India, India Chhattisgarh"/>
    <x v="2"/>
    <n v="0.92"/>
    <n v="0"/>
    <n v="0"/>
    <n v="7.17"/>
    <n v="0"/>
    <n v="0"/>
    <n v="0"/>
    <n v="0"/>
    <n v="0"/>
    <n v="0"/>
    <n v="0"/>
    <n v="0"/>
    <n v="0"/>
    <n v="0"/>
    <n v="0"/>
    <n v="0"/>
    <n v="0"/>
    <n v="0"/>
    <n v="9.91"/>
    <n v="0"/>
    <n v="0"/>
    <n v="0"/>
    <n v="0.21"/>
    <n v="0"/>
    <n v="0"/>
    <n v="0"/>
    <n v="0"/>
    <n v="0"/>
    <n v="0"/>
    <n v="0"/>
    <n v="0"/>
    <n v="0"/>
    <n v="0"/>
    <n v="-15.48"/>
  </r>
  <r>
    <s v="India, India Chhattisgarh"/>
    <x v="3"/>
    <n v="0"/>
    <n v="0"/>
    <n v="0.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18"/>
  </r>
  <r>
    <s v="India, India Chhattisgarh"/>
    <x v="4"/>
    <n v="0"/>
    <n v="0"/>
    <n v="0"/>
    <n v="0"/>
    <n v="0"/>
    <n v="0"/>
    <n v="0"/>
    <n v="0"/>
    <n v="0"/>
    <n v="0"/>
    <n v="0"/>
    <n v="0"/>
    <n v="0"/>
    <n v="0"/>
    <n v="0"/>
    <n v="0"/>
    <n v="24.77"/>
    <n v="0"/>
    <n v="4.6500000000000004"/>
    <n v="0"/>
    <n v="0"/>
    <n v="0"/>
    <n v="1.97"/>
    <n v="0"/>
    <n v="0"/>
    <n v="0"/>
    <n v="0"/>
    <n v="0"/>
    <n v="0"/>
    <n v="0"/>
    <n v="0"/>
    <n v="0"/>
    <n v="0"/>
    <n v="-26.88"/>
  </r>
  <r>
    <s v="India, India Chhattisgarh"/>
    <x v="5"/>
    <n v="0.01"/>
    <n v="0"/>
    <n v="0"/>
    <n v="0.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24"/>
  </r>
  <r>
    <s v="India, India Chhattisgarh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Chhattisgarh"/>
    <x v="7"/>
    <n v="0"/>
    <n v="0"/>
    <n v="1.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.32"/>
  </r>
  <r>
    <s v="India, India Chhattisgarh"/>
    <x v="8"/>
    <n v="0.3"/>
    <n v="0"/>
    <n v="0.55000000000000004"/>
    <n v="262.51"/>
    <n v="0"/>
    <n v="1.02"/>
    <n v="0"/>
    <n v="0"/>
    <n v="0"/>
    <n v="0"/>
    <n v="0"/>
    <n v="0"/>
    <n v="0"/>
    <n v="0"/>
    <n v="0"/>
    <n v="0"/>
    <n v="0.26"/>
    <n v="0.01"/>
    <n v="15.09"/>
    <n v="7.74"/>
    <n v="3.39"/>
    <n v="1.1599999999999999"/>
    <n v="26.32"/>
    <n v="0"/>
    <n v="0"/>
    <n v="0"/>
    <n v="0"/>
    <n v="0"/>
    <n v="0"/>
    <n v="0"/>
    <n v="0"/>
    <n v="0"/>
    <n v="24.62"/>
    <n v="43.91"/>
  </r>
  <r>
    <s v="India, India Chhattisgarh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51"/>
    <n v="0"/>
    <n v="12.33"/>
    <n v="0"/>
    <n v="36.200000000000003"/>
    <n v="0"/>
    <n v="0"/>
    <n v="0"/>
    <n v="0"/>
    <n v="0"/>
    <n v="0"/>
    <n v="0"/>
    <n v="0"/>
    <n v="0"/>
    <n v="0"/>
    <n v="0"/>
  </r>
  <r>
    <s v="India, India Chhattisgarh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6"/>
    <n v="4.26"/>
    <n v="0"/>
    <n v="0"/>
    <n v="0.03"/>
    <n v="0"/>
    <n v="0"/>
    <n v="0"/>
    <n v="0"/>
    <n v="0"/>
    <n v="0"/>
    <n v="0"/>
    <n v="0"/>
    <n v="0"/>
    <n v="0"/>
    <n v="0"/>
  </r>
  <r>
    <s v="India, India Chhattisgarh"/>
    <x v="11"/>
    <n v="6.08"/>
    <n v="0"/>
    <n v="0"/>
    <n v="109.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Chhattisgarh"/>
    <x v="12"/>
    <n v="0.09"/>
    <n v="0"/>
    <n v="0"/>
    <n v="1.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Chhattisgarh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Chhattisgarh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Chhattisgarh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Chhattisgarh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Chhattisgarh"/>
    <x v="17"/>
    <n v="5"/>
    <n v="0"/>
    <n v="0"/>
    <n v="129.33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Chhattisgarh"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Chhattisgarh"/>
    <x v="19"/>
    <n v="0"/>
    <n v="0"/>
    <n v="0"/>
    <n v="0"/>
    <n v="0"/>
    <n v="0"/>
    <n v="0"/>
    <n v="0"/>
    <n v="0"/>
    <n v="0"/>
    <n v="0"/>
    <n v="0"/>
    <n v="0"/>
    <n v="0"/>
    <n v="0"/>
    <n v="0"/>
    <n v="1.4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Chhattisgarh"/>
    <x v="20"/>
    <n v="9.48"/>
    <n v="0"/>
    <n v="0"/>
    <n v="365.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Chhattisgarh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6"/>
    <n v="0"/>
    <n v="0"/>
    <n v="0"/>
    <n v="0"/>
    <n v="0"/>
    <n v="1.84"/>
    <n v="4.0199999999999996"/>
    <n v="-193.43"/>
    <n v="0"/>
  </r>
  <r>
    <s v="India, India Chhattisgarh"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Chhattisgarh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Chhattisgarh"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Chhattisgarh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"/>
    <n v="0"/>
    <n v="0"/>
    <n v="0"/>
    <n v="0"/>
    <n v="0"/>
    <n v="0"/>
    <n v="0"/>
    <n v="0"/>
    <n v="0"/>
    <n v="0"/>
    <n v="0"/>
    <n v="0"/>
    <n v="0"/>
    <n v="0"/>
  </r>
  <r>
    <s v="India, India Chhattisgarh"/>
    <x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3"/>
    <n v="0"/>
    <n v="0"/>
    <n v="0"/>
    <n v="0"/>
    <n v="0"/>
    <n v="0"/>
    <n v="0"/>
    <n v="0"/>
    <n v="0"/>
    <n v="0"/>
    <n v="0"/>
    <n v="0"/>
    <n v="0"/>
  </r>
  <r>
    <s v="India, India Chhattisgarh"/>
    <x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72"/>
    <n v="0.03"/>
    <n v="0.01"/>
    <n v="0"/>
    <n v="0"/>
    <n v="0"/>
    <n v="0"/>
    <n v="0"/>
    <n v="0"/>
    <n v="0"/>
    <n v="0"/>
    <n v="0"/>
    <n v="0"/>
    <n v="0"/>
    <n v="0"/>
  </r>
  <r>
    <s v="India, India Chhattisgarh"/>
    <x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Chhattisgarh"/>
    <x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Chhattisgarh"/>
    <x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Chhattisgarh"/>
    <x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76"/>
    <n v="0"/>
    <n v="0"/>
    <n v="0"/>
    <n v="0"/>
    <n v="0"/>
    <n v="0"/>
    <n v="0"/>
    <n v="0"/>
    <n v="0"/>
    <n v="0"/>
    <n v="0"/>
    <n v="0"/>
    <n v="4.05"/>
    <n v="0"/>
  </r>
  <r>
    <s v="India, India Chhattisgarh"/>
    <x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Chhattisgarh"/>
    <x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31"/>
    <n v="0"/>
    <n v="0"/>
    <n v="0"/>
    <n v="0"/>
    <n v="0"/>
    <n v="0"/>
    <n v="0"/>
    <n v="0"/>
    <n v="0"/>
    <n v="0"/>
    <n v="0"/>
    <n v="0"/>
    <n v="0"/>
    <n v="0"/>
  </r>
  <r>
    <s v="India, India Chhattisgarh"/>
    <x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27"/>
    <n v="0"/>
    <n v="0"/>
    <n v="0"/>
    <n v="0"/>
    <n v="0"/>
    <n v="0"/>
    <n v="0"/>
    <n v="0"/>
    <n v="0"/>
    <n v="0"/>
    <n v="0"/>
    <n v="0"/>
    <n v="0"/>
    <n v="0"/>
  </r>
  <r>
    <s v="India, India Chhattisgarh"/>
    <x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4"/>
    <n v="0"/>
    <n v="0"/>
    <n v="0"/>
    <n v="0"/>
    <n v="0"/>
    <n v="0"/>
    <n v="0"/>
    <n v="0"/>
    <n v="0"/>
    <n v="0"/>
    <n v="0"/>
    <n v="0"/>
    <n v="0"/>
  </r>
  <r>
    <s v="India, India Chhattisgarh"/>
    <x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3600000000000003"/>
    <n v="4.6900000000000004"/>
    <n v="0.2"/>
    <n v="0.03"/>
    <n v="0"/>
    <n v="0"/>
    <n v="0"/>
    <n v="0"/>
    <n v="0"/>
    <n v="0"/>
    <n v="0"/>
    <n v="0"/>
    <n v="0"/>
    <n v="0.08"/>
    <n v="0"/>
  </r>
  <r>
    <s v="India, India Chhattisgarh"/>
    <x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7"/>
    <n v="1.92"/>
    <n v="0"/>
    <n v="0"/>
    <n v="0"/>
    <n v="0"/>
    <n v="0"/>
    <n v="0"/>
    <n v="0"/>
    <n v="0"/>
    <n v="0"/>
    <n v="0"/>
    <n v="0"/>
    <n v="0"/>
    <n v="0"/>
  </r>
  <r>
    <s v="India, India Chhattisgarh"/>
    <x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41"/>
    <n v="0"/>
    <n v="0"/>
    <n v="0"/>
    <n v="0"/>
    <n v="0"/>
    <n v="0"/>
    <n v="0"/>
    <n v="0"/>
    <n v="0"/>
    <n v="0"/>
    <n v="0"/>
    <n v="0"/>
    <n v="0"/>
  </r>
  <r>
    <s v="India, India Uttaranchal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6"/>
    <n v="0"/>
    <n v="0"/>
    <n v="0"/>
    <n v="0"/>
    <n v="0"/>
    <n v="0"/>
    <n v="0"/>
    <n v="0"/>
    <n v="0"/>
    <n v="0"/>
    <n v="0"/>
  </r>
  <r>
    <s v="India, India Uttaranchal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68"/>
    <n v="0.13"/>
  </r>
  <r>
    <s v="India, India Uttaranchal"/>
    <x v="2"/>
    <n v="0"/>
    <n v="0"/>
    <n v="0"/>
    <n v="0"/>
    <n v="0"/>
    <n v="0"/>
    <n v="0"/>
    <n v="0"/>
    <n v="0"/>
    <n v="0"/>
    <n v="0"/>
    <n v="0"/>
    <n v="0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-0.01"/>
  </r>
  <r>
    <s v="India, India Uttaranchal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5"/>
    <n v="0"/>
    <n v="0"/>
    <n v="0"/>
    <n v="0"/>
    <n v="0"/>
    <n v="0"/>
    <n v="0"/>
    <n v="0"/>
    <n v="0"/>
    <n v="0"/>
    <n v="-0.13"/>
  </r>
  <r>
    <s v="India, India Uttaranchal"/>
    <x v="4"/>
    <n v="0"/>
    <n v="0"/>
    <n v="0"/>
    <n v="0"/>
    <n v="0"/>
    <n v="0"/>
    <n v="0"/>
    <n v="0"/>
    <n v="0"/>
    <n v="0"/>
    <n v="0"/>
    <n v="0"/>
    <n v="0"/>
    <n v="0"/>
    <n v="0"/>
    <n v="0"/>
    <n v="9.7799999999999994"/>
    <n v="0"/>
    <n v="1.82"/>
    <n v="0"/>
    <n v="0"/>
    <n v="0"/>
    <n v="0.78"/>
    <n v="0"/>
    <n v="0"/>
    <n v="0"/>
    <n v="0"/>
    <n v="0"/>
    <n v="0"/>
    <n v="0"/>
    <n v="0"/>
    <n v="0"/>
    <n v="0"/>
    <n v="-10.61"/>
  </r>
  <r>
    <s v="India, India Uttaranchal"/>
    <x v="5"/>
    <n v="0"/>
    <n v="0"/>
    <n v="0"/>
    <n v="0.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09"/>
  </r>
  <r>
    <s v="India, India Uttaranchal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anchal"/>
    <x v="7"/>
    <n v="0"/>
    <n v="0"/>
    <n v="0"/>
    <n v="0"/>
    <n v="0"/>
    <n v="0"/>
    <n v="0"/>
    <n v="0"/>
    <n v="0"/>
    <n v="0"/>
    <n v="0"/>
    <n v="0"/>
    <n v="0"/>
    <n v="0"/>
    <n v="0"/>
    <n v="0"/>
    <n v="1.28"/>
    <n v="1.45"/>
    <n v="0"/>
    <n v="0"/>
    <n v="0"/>
    <n v="0"/>
    <n v="0"/>
    <n v="0"/>
    <n v="0"/>
    <n v="0"/>
    <n v="0"/>
    <n v="0"/>
    <n v="0"/>
    <n v="0"/>
    <n v="0"/>
    <n v="0"/>
    <n v="0"/>
    <n v="-2.3199999999999998"/>
  </r>
  <r>
    <s v="India, India Uttaranchal"/>
    <x v="8"/>
    <n v="0.14000000000000001"/>
    <n v="0"/>
    <n v="0.83"/>
    <n v="19.850000000000001"/>
    <n v="0"/>
    <n v="0.04"/>
    <n v="0"/>
    <n v="0"/>
    <n v="0"/>
    <n v="0"/>
    <n v="0"/>
    <n v="0"/>
    <n v="0"/>
    <n v="0"/>
    <n v="0"/>
    <n v="0"/>
    <n v="3.54"/>
    <n v="0.16"/>
    <n v="0.21"/>
    <n v="1.38"/>
    <n v="1.33"/>
    <n v="0.02"/>
    <n v="1.34"/>
    <n v="0"/>
    <n v="0"/>
    <n v="0"/>
    <n v="0"/>
    <n v="0"/>
    <n v="0"/>
    <n v="0"/>
    <n v="0"/>
    <n v="0"/>
    <n v="53.03"/>
    <n v="13.04"/>
  </r>
  <r>
    <s v="India, India Uttaranchal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anchal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n v="0"/>
    <n v="0"/>
    <n v="0"/>
    <n v="0"/>
    <n v="0"/>
    <n v="0"/>
    <n v="0"/>
    <n v="0"/>
    <n v="0"/>
    <n v="0"/>
    <n v="0"/>
    <n v="0"/>
    <n v="0"/>
    <n v="0"/>
  </r>
  <r>
    <s v="India, India Uttaranchal"/>
    <x v="11"/>
    <n v="0.28999999999999998"/>
    <n v="0"/>
    <n v="0"/>
    <n v="5.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anchal"/>
    <x v="12"/>
    <n v="0"/>
    <n v="0"/>
    <n v="0"/>
    <n v="0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anchal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2"/>
    <n v="0"/>
    <n v="0"/>
    <n v="0"/>
    <n v="0"/>
    <n v="0"/>
    <n v="0"/>
    <n v="0"/>
    <n v="0"/>
    <n v="0"/>
    <n v="0"/>
    <n v="0"/>
  </r>
  <r>
    <s v="India, India Uttaranchal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anchal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anchal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anchal"/>
    <x v="17"/>
    <n v="0.24"/>
    <n v="0"/>
    <n v="0"/>
    <n v="6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6"/>
    <n v="0"/>
    <n v="0"/>
    <n v="0"/>
    <n v="0"/>
    <n v="0"/>
    <n v="0"/>
    <n v="0"/>
    <n v="0"/>
    <n v="0"/>
    <n v="0"/>
    <n v="0"/>
  </r>
  <r>
    <s v="India, India Uttaranchal"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anchal"/>
    <x v="19"/>
    <n v="0"/>
    <n v="0"/>
    <n v="0"/>
    <n v="0"/>
    <n v="0"/>
    <n v="0"/>
    <n v="0"/>
    <n v="0"/>
    <n v="0"/>
    <n v="0"/>
    <n v="0"/>
    <n v="0"/>
    <n v="0"/>
    <n v="0"/>
    <n v="0"/>
    <n v="0"/>
    <n v="7.0000000000000007E-2"/>
    <n v="0"/>
    <n v="0"/>
    <n v="0"/>
    <n v="0"/>
    <n v="0"/>
    <n v="0.49"/>
    <n v="0"/>
    <n v="0"/>
    <n v="0"/>
    <n v="0"/>
    <n v="0"/>
    <n v="0"/>
    <n v="0"/>
    <n v="0"/>
    <n v="0"/>
    <n v="0"/>
    <n v="0"/>
  </r>
  <r>
    <s v="India, India Uttaranchal"/>
    <x v="20"/>
    <n v="0.45"/>
    <n v="0"/>
    <n v="0"/>
    <n v="17.19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anchal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6"/>
    <n v="0"/>
    <n v="0"/>
    <n v="0"/>
    <n v="0"/>
    <n v="0"/>
    <n v="27.2"/>
    <n v="1.89"/>
    <n v="-38.42"/>
    <n v="0"/>
  </r>
  <r>
    <s v="India, India Uttaranchal"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anchal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anchal"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anchal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08"/>
    <n v="0"/>
    <n v="0"/>
    <n v="0"/>
    <n v="0"/>
    <n v="0"/>
    <n v="0"/>
    <n v="0"/>
    <n v="0"/>
    <n v="0"/>
    <n v="0"/>
    <n v="0"/>
    <n v="0"/>
    <n v="0"/>
    <n v="0"/>
  </r>
  <r>
    <s v="India, India Uttaranchal"/>
    <x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3"/>
    <n v="0"/>
    <n v="0"/>
    <n v="0"/>
    <n v="0"/>
    <n v="0"/>
    <n v="0"/>
    <n v="0"/>
    <n v="0"/>
    <n v="0"/>
    <n v="0"/>
    <n v="0"/>
    <n v="0"/>
    <n v="0"/>
  </r>
  <r>
    <s v="India, India Uttaranchal"/>
    <x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2"/>
    <n v="0.01"/>
    <n v="0.01"/>
    <n v="0"/>
    <n v="0"/>
    <n v="0"/>
    <n v="0"/>
    <n v="0"/>
    <n v="0"/>
    <n v="0"/>
    <n v="0"/>
    <n v="0"/>
    <n v="0"/>
    <n v="0"/>
    <n v="0"/>
  </r>
  <r>
    <s v="India, India Uttaranchal"/>
    <x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anchal"/>
    <x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anchal"/>
    <x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anchal"/>
    <x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14"/>
    <n v="0"/>
    <n v="0"/>
    <n v="0"/>
    <n v="0"/>
    <n v="0"/>
    <n v="0"/>
    <n v="0"/>
    <n v="0"/>
    <n v="0"/>
    <n v="0"/>
    <n v="0"/>
    <n v="0"/>
    <n v="0"/>
    <n v="0"/>
  </r>
  <r>
    <s v="India, India Uttaranchal"/>
    <x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anchal"/>
    <x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"/>
    <n v="0"/>
    <n v="0"/>
    <n v="0"/>
    <n v="0"/>
    <n v="0"/>
    <n v="0"/>
    <n v="0"/>
    <n v="0"/>
    <n v="0"/>
    <n v="0"/>
    <n v="0"/>
    <n v="0"/>
    <n v="0"/>
    <n v="0"/>
  </r>
  <r>
    <s v="India, India Uttaranchal"/>
    <x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2"/>
    <n v="0"/>
    <n v="0"/>
    <n v="0"/>
    <n v="0"/>
    <n v="0"/>
    <n v="0"/>
    <n v="0"/>
    <n v="0"/>
    <n v="0"/>
    <n v="0"/>
    <n v="0"/>
    <n v="0"/>
    <n v="0"/>
    <n v="0"/>
  </r>
  <r>
    <s v="India, India Uttaranchal"/>
    <x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4"/>
    <n v="0"/>
    <n v="0"/>
    <n v="0"/>
    <n v="0"/>
    <n v="0"/>
    <n v="0"/>
    <n v="0"/>
    <n v="0"/>
    <n v="0"/>
    <n v="0"/>
    <n v="0"/>
    <n v="0"/>
    <n v="0"/>
  </r>
  <r>
    <s v="India, India Uttaranchal"/>
    <x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9"/>
    <n v="2.4700000000000002"/>
    <n v="0.08"/>
    <n v="0.01"/>
    <n v="0"/>
    <n v="0"/>
    <n v="0"/>
    <n v="0"/>
    <n v="0"/>
    <n v="0"/>
    <n v="0"/>
    <n v="0"/>
    <n v="0"/>
    <n v="0.03"/>
    <n v="0"/>
  </r>
  <r>
    <s v="India, India Uttaranchal"/>
    <x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1"/>
    <n v="1.01"/>
    <n v="0"/>
    <n v="0"/>
    <n v="0"/>
    <n v="0"/>
    <n v="0"/>
    <n v="0"/>
    <n v="0"/>
    <n v="0"/>
    <n v="0"/>
    <n v="0"/>
    <n v="0"/>
    <n v="0"/>
    <n v="0"/>
  </r>
  <r>
    <s v="India, India Uttaranchal"/>
    <x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9"/>
    <n v="0"/>
    <n v="0"/>
    <n v="0"/>
    <n v="0"/>
    <n v="0"/>
    <n v="0"/>
    <n v="0"/>
    <n v="0"/>
    <n v="0"/>
    <n v="0"/>
    <n v="0"/>
    <n v="0"/>
    <n v="0"/>
  </r>
  <r>
    <s v="India, India West Bengal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34"/>
    <n v="0"/>
    <n v="0"/>
    <n v="0"/>
    <n v="0"/>
    <n v="0"/>
    <n v="0"/>
    <n v="0"/>
    <n v="0"/>
    <n v="0"/>
    <n v="0"/>
    <n v="0"/>
    <n v="0"/>
  </r>
  <r>
    <s v="India, India West Bengal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41"/>
    <n v="0"/>
    <n v="0"/>
    <n v="0"/>
    <n v="0"/>
    <n v="0"/>
    <n v="0"/>
    <n v="0"/>
    <n v="0"/>
    <n v="0"/>
    <n v="0"/>
    <n v="0"/>
    <n v="0"/>
    <n v="0"/>
    <n v="56.43"/>
    <n v="3.54"/>
  </r>
  <r>
    <s v="India, India West Bengal"/>
    <x v="2"/>
    <n v="0.28999999999999998"/>
    <n v="0"/>
    <n v="0"/>
    <n v="2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3"/>
    <n v="0"/>
    <n v="0"/>
    <n v="0"/>
    <n v="0"/>
    <n v="0"/>
    <n v="0"/>
    <n v="0"/>
    <n v="0"/>
    <n v="0"/>
    <n v="0"/>
    <n v="-3.64"/>
  </r>
  <r>
    <s v="India, India West Bengal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099999999999998"/>
    <n v="0"/>
    <n v="0"/>
    <n v="1.22"/>
    <n v="0.44"/>
    <n v="0"/>
    <n v="0"/>
    <n v="0"/>
    <n v="0"/>
    <n v="0"/>
    <n v="0"/>
    <n v="0"/>
    <n v="0"/>
    <n v="0"/>
    <n v="0"/>
    <n v="-3.54"/>
  </r>
  <r>
    <s v="India, India West Bengal"/>
    <x v="4"/>
    <n v="0"/>
    <n v="0"/>
    <n v="0"/>
    <n v="0"/>
    <n v="0"/>
    <n v="0"/>
    <n v="0"/>
    <n v="0"/>
    <n v="0"/>
    <n v="0"/>
    <n v="0"/>
    <n v="0"/>
    <n v="0"/>
    <n v="0"/>
    <n v="0"/>
    <n v="0"/>
    <n v="88.5"/>
    <n v="0"/>
    <n v="16.48"/>
    <n v="0"/>
    <n v="0"/>
    <n v="0"/>
    <n v="7.04"/>
    <n v="0"/>
    <n v="0"/>
    <n v="0"/>
    <n v="0"/>
    <n v="0"/>
    <n v="0"/>
    <n v="0"/>
    <n v="0"/>
    <n v="0"/>
    <n v="0"/>
    <n v="-96.04"/>
  </r>
  <r>
    <s v="India, India West Bengal"/>
    <x v="5"/>
    <n v="0.02"/>
    <n v="0"/>
    <n v="0"/>
    <n v="0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85"/>
  </r>
  <r>
    <s v="India, India West Bengal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West Bengal"/>
    <x v="7"/>
    <n v="0"/>
    <n v="0"/>
    <n v="5.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4.7"/>
  </r>
  <r>
    <s v="India, India West Bengal"/>
    <x v="8"/>
    <n v="0.66"/>
    <n v="0"/>
    <n v="1.95"/>
    <n v="223.29"/>
    <n v="0"/>
    <n v="0.74"/>
    <n v="0"/>
    <n v="0"/>
    <n v="0"/>
    <n v="0"/>
    <n v="0"/>
    <n v="0"/>
    <n v="0"/>
    <n v="0"/>
    <n v="0"/>
    <n v="0"/>
    <n v="0"/>
    <n v="0"/>
    <n v="7.19"/>
    <n v="14.32"/>
    <n v="11.99"/>
    <n v="0.71"/>
    <n v="17.53"/>
    <n v="0"/>
    <n v="0"/>
    <n v="0"/>
    <n v="0"/>
    <n v="0"/>
    <n v="0"/>
    <n v="0"/>
    <n v="0"/>
    <n v="0"/>
    <n v="86.17"/>
    <n v="105.22"/>
  </r>
  <r>
    <s v="India, India West Bengal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"/>
    <n v="0"/>
    <n v="0"/>
    <n v="11.38"/>
    <n v="0"/>
    <n v="0"/>
    <n v="0"/>
    <n v="0"/>
    <n v="0"/>
    <n v="0"/>
    <n v="0"/>
    <n v="0"/>
    <n v="0"/>
    <n v="0"/>
    <n v="0"/>
  </r>
  <r>
    <s v="India, India West Bengal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2"/>
    <n v="9.85"/>
    <n v="0"/>
    <n v="0"/>
    <n v="0"/>
    <n v="0"/>
    <n v="0"/>
    <n v="0"/>
    <n v="0"/>
    <n v="0"/>
    <n v="0"/>
    <n v="0"/>
    <n v="0"/>
    <n v="0"/>
    <n v="0"/>
    <n v="0"/>
  </r>
  <r>
    <s v="India, India West Bengal"/>
    <x v="11"/>
    <n v="6.87"/>
    <n v="0"/>
    <n v="0"/>
    <n v="123.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West Bengal"/>
    <x v="12"/>
    <n v="0.1"/>
    <n v="0"/>
    <n v="0"/>
    <n v="1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West Bengal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4"/>
    <n v="0"/>
    <n v="0"/>
    <n v="0"/>
    <n v="0.61"/>
    <n v="0"/>
    <n v="0"/>
    <n v="0"/>
    <n v="0"/>
    <n v="0"/>
    <n v="0"/>
    <n v="0"/>
    <n v="0"/>
    <n v="0"/>
    <n v="0"/>
    <n v="0"/>
  </r>
  <r>
    <s v="India, India West Bengal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West Bengal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West Bengal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West Bengal"/>
    <x v="17"/>
    <n v="5.64"/>
    <n v="0"/>
    <n v="0"/>
    <n v="146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4"/>
    <n v="0"/>
    <n v="0"/>
    <n v="0"/>
    <n v="0"/>
    <n v="0"/>
    <n v="0"/>
    <n v="0"/>
    <n v="0"/>
    <n v="0"/>
    <n v="0"/>
    <n v="0"/>
  </r>
  <r>
    <s v="India, India West Bengal"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West Bengal"/>
    <x v="19"/>
    <n v="0"/>
    <n v="0"/>
    <n v="0"/>
    <n v="0"/>
    <n v="0"/>
    <n v="0"/>
    <n v="0"/>
    <n v="0"/>
    <n v="0"/>
    <n v="0"/>
    <n v="0"/>
    <n v="0"/>
    <n v="0"/>
    <n v="0"/>
    <n v="0"/>
    <n v="0"/>
    <n v="0.16"/>
    <n v="0"/>
    <n v="0"/>
    <n v="0.06"/>
    <n v="0.16"/>
    <n v="0"/>
    <n v="0.71"/>
    <n v="0"/>
    <n v="0"/>
    <n v="0"/>
    <n v="0"/>
    <n v="0"/>
    <n v="0"/>
    <n v="0"/>
    <n v="0"/>
    <n v="0"/>
    <n v="0"/>
    <n v="0"/>
  </r>
  <r>
    <s v="India, India West Bengal"/>
    <x v="20"/>
    <n v="10.71"/>
    <n v="0"/>
    <n v="0"/>
    <n v="412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West Bengal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9"/>
    <n v="0"/>
    <n v="0"/>
    <n v="0"/>
    <n v="0"/>
    <n v="0"/>
    <n v="16.829999999999998"/>
    <n v="0"/>
    <n v="-234.77"/>
    <n v="0"/>
  </r>
  <r>
    <s v="India, India West Bengal"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West Bengal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West Bengal"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West Bengal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33"/>
    <n v="0"/>
    <n v="0"/>
    <n v="0"/>
    <n v="0"/>
    <n v="0"/>
    <n v="0"/>
    <n v="0"/>
    <n v="0"/>
    <n v="0"/>
    <n v="0"/>
    <n v="0"/>
    <n v="0"/>
    <n v="0"/>
    <n v="0"/>
  </r>
  <r>
    <s v="India, India West Bengal"/>
    <x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31"/>
    <n v="0"/>
    <n v="0"/>
    <n v="0"/>
    <n v="0"/>
    <n v="0"/>
    <n v="0"/>
    <n v="0"/>
    <n v="0"/>
    <n v="0"/>
    <n v="0"/>
    <n v="0"/>
    <n v="0"/>
    <n v="0"/>
  </r>
  <r>
    <s v="India, India West Bengal"/>
    <x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77"/>
    <n v="0.11"/>
    <n v="0.05"/>
    <n v="0"/>
    <n v="0"/>
    <n v="0"/>
    <n v="0"/>
    <n v="0"/>
    <n v="0"/>
    <n v="0"/>
    <n v="0"/>
    <n v="0"/>
    <n v="0"/>
    <n v="0"/>
    <n v="0"/>
  </r>
  <r>
    <s v="India, India West Bengal"/>
    <x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West Bengal"/>
    <x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West Bengal"/>
    <x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West Bengal"/>
    <x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4"/>
    <n v="0"/>
    <n v="0"/>
    <n v="0"/>
    <n v="0"/>
    <n v="0"/>
    <n v="0"/>
    <n v="0"/>
    <n v="0"/>
    <n v="0"/>
    <n v="0"/>
    <n v="0"/>
    <n v="0"/>
    <n v="5.74"/>
    <n v="0"/>
  </r>
  <r>
    <s v="India, India West Bengal"/>
    <x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West Bengal"/>
    <x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15"/>
    <n v="0"/>
    <n v="0"/>
    <n v="0"/>
    <n v="0"/>
    <n v="0"/>
    <n v="0"/>
    <n v="0"/>
    <n v="0"/>
    <n v="0"/>
    <n v="0"/>
    <n v="0"/>
    <n v="0"/>
    <n v="0"/>
    <n v="0"/>
  </r>
  <r>
    <s v="India, India West Bengal"/>
    <x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.4"/>
    <n v="0"/>
    <n v="0"/>
    <n v="0"/>
    <n v="0"/>
    <n v="0"/>
    <n v="0"/>
    <n v="0"/>
    <n v="0"/>
    <n v="0"/>
    <n v="0"/>
    <n v="0"/>
    <n v="0"/>
    <n v="0"/>
    <n v="0"/>
  </r>
  <r>
    <s v="India, India West Bengal"/>
    <x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7"/>
    <n v="0"/>
    <n v="0"/>
    <n v="0"/>
    <n v="0"/>
    <n v="0"/>
    <n v="0"/>
    <n v="0"/>
    <n v="0"/>
    <n v="0"/>
    <n v="0"/>
    <n v="0"/>
    <n v="0"/>
    <n v="0"/>
  </r>
  <r>
    <s v="India, India West Bengal"/>
    <x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43"/>
    <n v="13.73"/>
    <n v="0.74"/>
    <n v="0.14000000000000001"/>
    <n v="0"/>
    <n v="0"/>
    <n v="0"/>
    <n v="0"/>
    <n v="0"/>
    <n v="0"/>
    <n v="0"/>
    <n v="0"/>
    <n v="0"/>
    <n v="0.28999999999999998"/>
    <n v="0"/>
  </r>
  <r>
    <s v="India, India West Bengal"/>
    <x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62"/>
    <n v="5.62"/>
    <n v="0"/>
    <n v="0.01"/>
    <n v="0"/>
    <n v="0"/>
    <n v="0"/>
    <n v="0"/>
    <n v="0"/>
    <n v="0"/>
    <n v="0"/>
    <n v="0"/>
    <n v="0"/>
    <n v="0"/>
    <n v="0"/>
  </r>
  <r>
    <s v="India, India West Bengal"/>
    <x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98"/>
    <n v="0"/>
    <n v="0"/>
    <n v="0"/>
    <n v="0"/>
    <n v="0"/>
    <n v="0"/>
    <n v="0"/>
    <n v="0"/>
    <n v="0"/>
    <n v="0"/>
    <n v="0"/>
    <n v="0"/>
    <n v="0"/>
  </r>
  <r>
    <s v="India, India Andhra Pradesh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77"/>
    <n v="6.87"/>
    <n v="0"/>
    <n v="0"/>
    <n v="0"/>
    <n v="0"/>
    <n v="0"/>
    <n v="0"/>
    <n v="0"/>
    <n v="0"/>
    <n v="0"/>
    <n v="0"/>
    <n v="0"/>
  </r>
  <r>
    <s v="India, India Andhra Pradesh"/>
    <x v="1"/>
    <n v="6.54"/>
    <n v="0"/>
    <n v="0"/>
    <n v="364.63"/>
    <n v="0"/>
    <n v="0"/>
    <n v="0"/>
    <n v="0"/>
    <n v="0"/>
    <n v="0"/>
    <n v="0"/>
    <n v="0"/>
    <n v="0"/>
    <n v="0"/>
    <n v="0"/>
    <n v="0"/>
    <n v="0"/>
    <n v="0"/>
    <n v="7.28"/>
    <n v="0"/>
    <n v="0"/>
    <n v="0"/>
    <n v="0"/>
    <n v="0"/>
    <n v="0"/>
    <n v="0"/>
    <n v="0"/>
    <n v="0"/>
    <n v="0"/>
    <n v="0"/>
    <n v="0"/>
    <n v="0"/>
    <n v="101.62"/>
    <n v="19.3"/>
  </r>
  <r>
    <s v="India, India Andhra Pradesh"/>
    <x v="2"/>
    <n v="0.97"/>
    <n v="0"/>
    <n v="0"/>
    <n v="7.57"/>
    <n v="0"/>
    <n v="0"/>
    <n v="0"/>
    <n v="0"/>
    <n v="0"/>
    <n v="0"/>
    <n v="0"/>
    <n v="0"/>
    <n v="0"/>
    <n v="0"/>
    <n v="0"/>
    <n v="0"/>
    <n v="0"/>
    <n v="0"/>
    <n v="18.510000000000002"/>
    <n v="0"/>
    <n v="0"/>
    <n v="0"/>
    <n v="0"/>
    <n v="0"/>
    <n v="0"/>
    <n v="0"/>
    <n v="0"/>
    <n v="0"/>
    <n v="0"/>
    <n v="0"/>
    <n v="0"/>
    <n v="0"/>
    <n v="0"/>
    <n v="-23"/>
  </r>
  <r>
    <s v="India, India Andhra Pradesh"/>
    <x v="3"/>
    <n v="0"/>
    <n v="0"/>
    <n v="7.16"/>
    <n v="0"/>
    <n v="0"/>
    <n v="0"/>
    <n v="0"/>
    <n v="0"/>
    <n v="0"/>
    <n v="0"/>
    <n v="0"/>
    <n v="0"/>
    <n v="0"/>
    <n v="0"/>
    <n v="0"/>
    <n v="0"/>
    <n v="0"/>
    <n v="0"/>
    <n v="7.56"/>
    <n v="0"/>
    <n v="0"/>
    <n v="0"/>
    <n v="7.99"/>
    <n v="0"/>
    <n v="0"/>
    <n v="0"/>
    <n v="0"/>
    <n v="0"/>
    <n v="0"/>
    <n v="0"/>
    <n v="0"/>
    <n v="0"/>
    <n v="0"/>
    <n v="-19.3"/>
  </r>
  <r>
    <s v="India, India Andhra Pradesh"/>
    <x v="4"/>
    <n v="0"/>
    <n v="0"/>
    <n v="0"/>
    <n v="0"/>
    <n v="0"/>
    <n v="0"/>
    <n v="0"/>
    <n v="0"/>
    <n v="0"/>
    <n v="0"/>
    <n v="0"/>
    <n v="0"/>
    <n v="0"/>
    <n v="0"/>
    <n v="0"/>
    <n v="0"/>
    <n v="82"/>
    <n v="0"/>
    <n v="15.32"/>
    <n v="0"/>
    <n v="0"/>
    <n v="0"/>
    <n v="6.53"/>
    <n v="0"/>
    <n v="0"/>
    <n v="0"/>
    <n v="0"/>
    <n v="0"/>
    <n v="0"/>
    <n v="0"/>
    <n v="0"/>
    <n v="0"/>
    <n v="0"/>
    <n v="-88.99"/>
  </r>
  <r>
    <s v="India, India Andhra Pradesh"/>
    <x v="5"/>
    <n v="0.02"/>
    <n v="0"/>
    <n v="0"/>
    <n v="0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79"/>
  </r>
  <r>
    <s v="India, India Andhra Pradesh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ndhra Pradesh"/>
    <x v="7"/>
    <n v="0"/>
    <n v="0"/>
    <n v="0"/>
    <n v="0"/>
    <n v="0"/>
    <n v="0"/>
    <n v="0"/>
    <n v="0"/>
    <n v="0"/>
    <n v="0"/>
    <n v="0"/>
    <n v="0"/>
    <n v="0"/>
    <n v="0"/>
    <n v="0"/>
    <n v="0"/>
    <n v="0.48"/>
    <n v="1.04"/>
    <n v="0"/>
    <n v="0"/>
    <n v="0"/>
    <n v="0"/>
    <n v="0"/>
    <n v="0"/>
    <n v="0"/>
    <n v="0"/>
    <n v="0"/>
    <n v="0"/>
    <n v="0"/>
    <n v="0"/>
    <n v="0"/>
    <n v="0"/>
    <n v="0"/>
    <n v="-1.29"/>
  </r>
  <r>
    <s v="India, India Andhra Pradesh"/>
    <x v="8"/>
    <n v="0.71"/>
    <n v="0"/>
    <n v="0"/>
    <n v="198.98"/>
    <n v="0"/>
    <n v="0.61"/>
    <n v="0"/>
    <n v="0"/>
    <n v="0"/>
    <n v="0"/>
    <n v="0"/>
    <n v="0"/>
    <n v="0"/>
    <n v="0"/>
    <n v="0"/>
    <n v="0"/>
    <n v="11.6"/>
    <n v="0.53"/>
    <n v="12.23"/>
    <n v="13.18"/>
    <n v="11.14"/>
    <n v="0.15"/>
    <n v="26.35"/>
    <n v="0"/>
    <n v="0"/>
    <n v="0"/>
    <n v="0"/>
    <n v="0"/>
    <n v="0"/>
    <n v="0"/>
    <n v="0"/>
    <n v="0"/>
    <n v="121.78"/>
    <n v="114.07"/>
  </r>
  <r>
    <s v="India, India Andhra Pradesh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9.89"/>
    <n v="0"/>
    <n v="33.99"/>
    <n v="0"/>
    <n v="38.24"/>
    <n v="0"/>
    <n v="0"/>
    <n v="0"/>
    <n v="0"/>
    <n v="0"/>
    <n v="0"/>
    <n v="0"/>
    <n v="0"/>
    <n v="0"/>
    <n v="0"/>
    <n v="0"/>
  </r>
  <r>
    <s v="India, India Andhra Pradesh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"/>
    <n v="13.29"/>
    <n v="0"/>
    <n v="0"/>
    <n v="0.1"/>
    <n v="0"/>
    <n v="0"/>
    <n v="0"/>
    <n v="0"/>
    <n v="0"/>
    <n v="0"/>
    <n v="0"/>
    <n v="0"/>
    <n v="0"/>
    <n v="0"/>
    <n v="0"/>
  </r>
  <r>
    <s v="India, India Andhra Pradesh"/>
    <x v="11"/>
    <n v="8.15"/>
    <n v="0"/>
    <n v="0"/>
    <n v="147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ndhra Pradesh"/>
    <x v="12"/>
    <n v="0.12"/>
    <n v="0"/>
    <n v="0"/>
    <n v="2.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ndhra Pradesh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3"/>
    <n v="0"/>
    <n v="0"/>
    <n v="0"/>
    <n v="20.55"/>
    <n v="0"/>
    <n v="0"/>
    <n v="0"/>
    <n v="0"/>
    <n v="0"/>
    <n v="0"/>
    <n v="0"/>
    <n v="0"/>
    <n v="0"/>
    <n v="0"/>
    <n v="0"/>
  </r>
  <r>
    <s v="India, India Andhra Pradesh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ndhra Pradesh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ndhra Pradesh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ndhra Pradesh"/>
    <x v="17"/>
    <n v="6.7"/>
    <n v="0"/>
    <n v="0"/>
    <n v="173.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.77"/>
    <n v="0"/>
    <n v="0"/>
    <n v="0"/>
    <n v="0"/>
    <n v="0"/>
    <n v="0"/>
    <n v="0"/>
    <n v="0"/>
    <n v="0"/>
    <n v="0"/>
    <n v="0"/>
  </r>
  <r>
    <s v="India, India Andhra Pradesh"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ndhra Pradesh"/>
    <x v="19"/>
    <n v="0"/>
    <n v="0"/>
    <n v="0"/>
    <n v="0"/>
    <n v="0"/>
    <n v="0"/>
    <n v="0"/>
    <n v="0"/>
    <n v="0"/>
    <n v="0"/>
    <n v="0"/>
    <n v="0"/>
    <n v="0"/>
    <n v="0"/>
    <n v="0"/>
    <n v="0"/>
    <n v="3.12"/>
    <n v="0"/>
    <n v="0"/>
    <n v="0.18"/>
    <n v="0.48"/>
    <n v="0"/>
    <n v="23.76"/>
    <n v="0"/>
    <n v="0"/>
    <n v="0"/>
    <n v="0"/>
    <n v="0"/>
    <n v="0"/>
    <n v="0"/>
    <n v="0"/>
    <n v="0"/>
    <n v="0"/>
    <n v="0"/>
  </r>
  <r>
    <s v="India, India Andhra Pradesh"/>
    <x v="20"/>
    <n v="12.71"/>
    <n v="0"/>
    <n v="0"/>
    <n v="4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ndhra Pradesh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"/>
    <n v="0"/>
    <n v="0"/>
    <n v="0"/>
    <n v="0"/>
    <n v="0"/>
    <n v="49.39"/>
    <n v="23.35"/>
    <n v="-382.4"/>
    <n v="0"/>
  </r>
  <r>
    <s v="India, India Andhra Pradesh"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ndhra Pradesh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ndhra Pradesh"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ndhra Pradesh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69"/>
    <n v="0"/>
    <n v="0"/>
    <n v="0"/>
    <n v="0"/>
    <n v="0"/>
    <n v="0"/>
    <n v="0"/>
    <n v="0"/>
    <n v="0"/>
    <n v="0"/>
    <n v="0"/>
    <n v="0"/>
    <n v="0"/>
    <n v="0"/>
  </r>
  <r>
    <s v="India, India Andhra Pradesh"/>
    <x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5"/>
    <n v="0"/>
    <n v="0"/>
    <n v="0"/>
    <n v="0"/>
    <n v="0"/>
    <n v="0"/>
    <n v="0"/>
    <n v="0"/>
    <n v="0"/>
    <n v="0"/>
    <n v="0"/>
    <n v="0"/>
    <n v="0"/>
  </r>
  <r>
    <s v="India, India Andhra Pradesh"/>
    <x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04"/>
    <n v="0.1"/>
    <n v="0.05"/>
    <n v="0"/>
    <n v="0"/>
    <n v="0"/>
    <n v="0"/>
    <n v="0"/>
    <n v="0"/>
    <n v="0"/>
    <n v="0"/>
    <n v="0"/>
    <n v="0"/>
    <n v="0"/>
    <n v="0"/>
  </r>
  <r>
    <s v="India, India Andhra Pradesh"/>
    <x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ndhra Pradesh"/>
    <x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ndhra Pradesh"/>
    <x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ndhra Pradesh"/>
    <x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33"/>
    <n v="0"/>
    <n v="0"/>
    <n v="0"/>
    <n v="0"/>
    <n v="0"/>
    <n v="0"/>
    <n v="0"/>
    <n v="0"/>
    <n v="0"/>
    <n v="0"/>
    <n v="0"/>
    <n v="0"/>
    <n v="8.0299999999999994"/>
    <n v="0"/>
  </r>
  <r>
    <s v="India, India Andhra Pradesh"/>
    <x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ndhra Pradesh"/>
    <x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72"/>
    <n v="0"/>
    <n v="0"/>
    <n v="0"/>
    <n v="0"/>
    <n v="0"/>
    <n v="0"/>
    <n v="0"/>
    <n v="0"/>
    <n v="0"/>
    <n v="0"/>
    <n v="0"/>
    <n v="0"/>
    <n v="0"/>
    <n v="0"/>
  </r>
  <r>
    <s v="India, India Andhra Pradesh"/>
    <x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33"/>
    <n v="0"/>
    <n v="0"/>
    <n v="0"/>
    <n v="0"/>
    <n v="0"/>
    <n v="0"/>
    <n v="0"/>
    <n v="0"/>
    <n v="0"/>
    <n v="0"/>
    <n v="0"/>
    <n v="0"/>
    <n v="0"/>
    <n v="0"/>
  </r>
  <r>
    <s v="India, India Andhra Pradesh"/>
    <x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48"/>
    <n v="0"/>
    <n v="0"/>
    <n v="0"/>
    <n v="0"/>
    <n v="0"/>
    <n v="0"/>
    <n v="0"/>
    <n v="0"/>
    <n v="0"/>
    <n v="0"/>
    <n v="0"/>
    <n v="0"/>
    <n v="0"/>
  </r>
  <r>
    <s v="India, India Andhra Pradesh"/>
    <x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36"/>
    <n v="25.53"/>
    <n v="0.7"/>
    <n v="0.13"/>
    <n v="0"/>
    <n v="0"/>
    <n v="0"/>
    <n v="0"/>
    <n v="0"/>
    <n v="0"/>
    <n v="0"/>
    <n v="0"/>
    <n v="0"/>
    <n v="0"/>
    <n v="0"/>
  </r>
  <r>
    <s v="India, India Andhra Pradesh"/>
    <x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4800000000000004"/>
    <n v="10.44"/>
    <n v="0"/>
    <n v="0.01"/>
    <n v="0"/>
    <n v="0"/>
    <n v="0"/>
    <n v="0"/>
    <n v="0"/>
    <n v="0"/>
    <n v="0"/>
    <n v="0"/>
    <n v="0"/>
    <n v="0"/>
    <n v="0"/>
  </r>
  <r>
    <s v="India, India Andhra Pradesh"/>
    <x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559999999999999"/>
    <n v="0"/>
    <n v="0"/>
    <n v="0"/>
    <n v="0"/>
    <n v="0"/>
    <n v="0"/>
    <n v="0"/>
    <n v="0"/>
    <n v="0"/>
    <n v="0"/>
    <n v="0"/>
    <n v="0"/>
    <n v="0"/>
  </r>
  <r>
    <s v="India, India Assam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7899999999999991"/>
    <n v="0"/>
    <n v="0"/>
    <n v="0"/>
    <n v="0"/>
    <n v="0"/>
    <n v="0"/>
    <n v="0"/>
    <n v="0"/>
    <n v="0"/>
    <n v="0"/>
    <n v="0"/>
    <n v="0"/>
  </r>
  <r>
    <s v="India, India Assam"/>
    <x v="1"/>
    <n v="0.84"/>
    <n v="0"/>
    <n v="0"/>
    <n v="46.83"/>
    <n v="0"/>
    <n v="0"/>
    <n v="0"/>
    <n v="0"/>
    <n v="0"/>
    <n v="0"/>
    <n v="0"/>
    <n v="0"/>
    <n v="0"/>
    <n v="0"/>
    <n v="0"/>
    <n v="0"/>
    <n v="0"/>
    <n v="0"/>
    <n v="4.09"/>
    <n v="0"/>
    <n v="0"/>
    <n v="0"/>
    <n v="0"/>
    <n v="0"/>
    <n v="0"/>
    <n v="0"/>
    <n v="0"/>
    <n v="0"/>
    <n v="0"/>
    <n v="0"/>
    <n v="0"/>
    <n v="0"/>
    <n v="6.02"/>
    <n v="7.18"/>
  </r>
  <r>
    <s v="India, India Assam"/>
    <x v="2"/>
    <n v="0.14000000000000001"/>
    <n v="0"/>
    <n v="0"/>
    <n v="1.1299999999999999"/>
    <n v="0"/>
    <n v="0"/>
    <n v="0"/>
    <n v="0"/>
    <n v="0"/>
    <n v="0"/>
    <n v="0"/>
    <n v="0"/>
    <n v="0"/>
    <n v="0"/>
    <n v="0"/>
    <n v="0"/>
    <n v="0"/>
    <n v="0"/>
    <n v="1.39"/>
    <n v="0"/>
    <n v="0"/>
    <n v="0"/>
    <n v="0.12"/>
    <n v="0"/>
    <n v="0"/>
    <n v="0"/>
    <n v="0"/>
    <n v="0"/>
    <n v="0"/>
    <n v="0"/>
    <n v="0"/>
    <n v="0"/>
    <n v="0"/>
    <n v="-2.37"/>
  </r>
  <r>
    <s v="India, India Assam"/>
    <x v="3"/>
    <n v="0"/>
    <n v="0"/>
    <n v="0.92"/>
    <n v="0"/>
    <n v="0"/>
    <n v="0"/>
    <n v="0"/>
    <n v="0"/>
    <n v="0"/>
    <n v="0"/>
    <n v="0"/>
    <n v="0"/>
    <n v="0"/>
    <n v="0"/>
    <n v="0"/>
    <n v="0"/>
    <n v="0"/>
    <n v="0"/>
    <n v="4.25"/>
    <n v="0"/>
    <n v="0"/>
    <n v="0.64"/>
    <n v="2.64"/>
    <n v="0"/>
    <n v="0"/>
    <n v="0"/>
    <n v="0"/>
    <n v="0"/>
    <n v="0"/>
    <n v="0"/>
    <n v="0"/>
    <n v="0"/>
    <n v="0"/>
    <n v="-7.18"/>
  </r>
  <r>
    <s v="India, India Assam"/>
    <x v="4"/>
    <n v="0"/>
    <n v="0"/>
    <n v="0"/>
    <n v="0"/>
    <n v="0"/>
    <n v="0"/>
    <n v="0"/>
    <n v="0"/>
    <n v="0"/>
    <n v="0"/>
    <n v="0"/>
    <n v="0"/>
    <n v="0"/>
    <n v="0"/>
    <n v="0"/>
    <n v="0"/>
    <n v="30.25"/>
    <n v="0"/>
    <n v="5.63"/>
    <n v="0"/>
    <n v="0"/>
    <n v="0"/>
    <n v="2.41"/>
    <n v="0"/>
    <n v="0"/>
    <n v="0"/>
    <n v="0"/>
    <n v="0"/>
    <n v="0"/>
    <n v="0"/>
    <n v="0"/>
    <n v="0"/>
    <n v="0"/>
    <n v="-32.83"/>
  </r>
  <r>
    <s v="India, India Assam"/>
    <x v="5"/>
    <n v="0.01"/>
    <n v="0"/>
    <n v="0"/>
    <n v="0.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28999999999999998"/>
  </r>
  <r>
    <s v="India, India Assam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ssam"/>
    <x v="7"/>
    <n v="0"/>
    <n v="0"/>
    <n v="1.49"/>
    <n v="0"/>
    <n v="0"/>
    <n v="0"/>
    <n v="0"/>
    <n v="0"/>
    <n v="0"/>
    <n v="0"/>
    <n v="0"/>
    <n v="0"/>
    <n v="0"/>
    <n v="0"/>
    <n v="0"/>
    <n v="0"/>
    <n v="0.75"/>
    <n v="0.75"/>
    <n v="0"/>
    <n v="0"/>
    <n v="0"/>
    <n v="0"/>
    <n v="0"/>
    <n v="0"/>
    <n v="0"/>
    <n v="0"/>
    <n v="0"/>
    <n v="0"/>
    <n v="0"/>
    <n v="0"/>
    <n v="0"/>
    <n v="0"/>
    <n v="0"/>
    <n v="-2.54"/>
  </r>
  <r>
    <s v="India, India Assam"/>
    <x v="8"/>
    <n v="0.03"/>
    <n v="0"/>
    <n v="1.07"/>
    <n v="4.95"/>
    <n v="0"/>
    <n v="0.01"/>
    <n v="0"/>
    <n v="0"/>
    <n v="0"/>
    <n v="0"/>
    <n v="0"/>
    <n v="0"/>
    <n v="0"/>
    <n v="0"/>
    <n v="0"/>
    <n v="0"/>
    <n v="0.04"/>
    <n v="0"/>
    <n v="0.01"/>
    <n v="4.3499999999999996"/>
    <n v="4.0999999999999996"/>
    <n v="0.05"/>
    <n v="7.6"/>
    <n v="0"/>
    <n v="0"/>
    <n v="0"/>
    <n v="0"/>
    <n v="0"/>
    <n v="0"/>
    <n v="0"/>
    <n v="0"/>
    <n v="0"/>
    <n v="31.85"/>
    <n v="38.03"/>
  </r>
  <r>
    <s v="India, India Assam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11"/>
    <n v="0"/>
    <n v="1.73"/>
    <n v="0"/>
    <n v="5.69"/>
    <n v="0"/>
    <n v="0"/>
    <n v="0"/>
    <n v="0"/>
    <n v="0"/>
    <n v="0"/>
    <n v="0"/>
    <n v="0"/>
    <n v="0"/>
    <n v="0"/>
    <n v="0"/>
  </r>
  <r>
    <s v="India, India Assam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6"/>
    <n v="0"/>
    <n v="0"/>
    <n v="0.08"/>
    <n v="0"/>
    <n v="0"/>
    <n v="0"/>
    <n v="0"/>
    <n v="0"/>
    <n v="0"/>
    <n v="0"/>
    <n v="0"/>
    <n v="0"/>
    <n v="0"/>
    <n v="0"/>
  </r>
  <r>
    <s v="India, India Assam"/>
    <x v="11"/>
    <n v="0.06"/>
    <n v="0"/>
    <n v="0"/>
    <n v="1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ssam"/>
    <x v="12"/>
    <n v="0"/>
    <n v="0"/>
    <n v="0"/>
    <n v="0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ssam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5"/>
    <n v="0"/>
    <n v="0"/>
    <n v="0"/>
    <n v="3.65"/>
    <n v="0"/>
    <n v="0"/>
    <n v="0"/>
    <n v="0"/>
    <n v="0"/>
    <n v="0"/>
    <n v="0"/>
    <n v="0"/>
    <n v="0"/>
    <n v="0"/>
    <n v="0"/>
  </r>
  <r>
    <s v="India, India Assam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ssam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ssam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ssam"/>
    <x v="17"/>
    <n v="0.05"/>
    <n v="0"/>
    <n v="0"/>
    <n v="1.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34"/>
    <n v="0"/>
    <n v="0"/>
    <n v="0"/>
    <n v="0"/>
    <n v="0"/>
    <n v="0"/>
    <n v="0"/>
    <n v="0"/>
    <n v="0"/>
    <n v="0"/>
    <n v="0"/>
  </r>
  <r>
    <s v="India, India Assam"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ssam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"/>
    <n v="0.27"/>
    <n v="0"/>
    <n v="4.22"/>
    <n v="0"/>
    <n v="0"/>
    <n v="0"/>
    <n v="0"/>
    <n v="0"/>
    <n v="0"/>
    <n v="0"/>
    <n v="0"/>
    <n v="0"/>
    <n v="0"/>
    <n v="0"/>
  </r>
  <r>
    <s v="India, India Assam"/>
    <x v="20"/>
    <n v="0.09"/>
    <n v="0"/>
    <n v="0"/>
    <n v="3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ssam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2"/>
    <n v="0"/>
    <n v="0"/>
    <n v="0"/>
    <n v="0"/>
    <n v="0"/>
    <n v="5.76"/>
    <n v="0"/>
    <n v="-19.809999999999999"/>
    <n v="0"/>
  </r>
  <r>
    <s v="India, India Assam"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ssam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ssam"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ssam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2"/>
    <n v="0"/>
    <n v="0"/>
    <n v="0"/>
    <n v="0"/>
    <n v="0"/>
    <n v="0"/>
    <n v="0"/>
    <n v="0"/>
    <n v="0"/>
    <n v="0"/>
    <n v="0"/>
    <n v="0"/>
    <n v="0"/>
    <n v="0"/>
  </r>
  <r>
    <s v="India, India Assam"/>
    <x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029999999999999"/>
    <n v="0"/>
    <n v="0"/>
    <n v="0"/>
    <n v="0"/>
    <n v="0"/>
    <n v="0"/>
    <n v="0"/>
    <n v="0"/>
    <n v="0"/>
    <n v="0"/>
    <n v="0"/>
    <n v="0"/>
    <n v="0"/>
  </r>
  <r>
    <s v="India, India Assam"/>
    <x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6900000000000004"/>
    <n v="0.04"/>
    <n v="0.02"/>
    <n v="0"/>
    <n v="0"/>
    <n v="0"/>
    <n v="0"/>
    <n v="0"/>
    <n v="0"/>
    <n v="0"/>
    <n v="0"/>
    <n v="0"/>
    <n v="0"/>
    <n v="0"/>
    <n v="0"/>
  </r>
  <r>
    <s v="India, India Assam"/>
    <x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ssam"/>
    <x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ssam"/>
    <x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ssam"/>
    <x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25"/>
    <n v="0"/>
    <n v="0"/>
    <n v="0"/>
    <n v="0"/>
    <n v="0"/>
    <n v="0"/>
    <n v="0"/>
    <n v="0"/>
    <n v="0"/>
    <n v="0"/>
    <n v="0"/>
    <n v="0"/>
    <n v="0"/>
    <n v="0"/>
  </r>
  <r>
    <s v="India, India Assam"/>
    <x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ssam"/>
    <x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76"/>
    <n v="0"/>
    <n v="0"/>
    <n v="0"/>
    <n v="0"/>
    <n v="0"/>
    <n v="0"/>
    <n v="0"/>
    <n v="0"/>
    <n v="0"/>
    <n v="0"/>
    <n v="0"/>
    <n v="0"/>
    <n v="0"/>
    <n v="0"/>
  </r>
  <r>
    <s v="India, India Assam"/>
    <x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63"/>
    <n v="0"/>
    <n v="0"/>
    <n v="0"/>
    <n v="0"/>
    <n v="0"/>
    <n v="0"/>
    <n v="0"/>
    <n v="0"/>
    <n v="0"/>
    <n v="0"/>
    <n v="0"/>
    <n v="0"/>
    <n v="0"/>
    <n v="0"/>
  </r>
  <r>
    <s v="India, India Assam"/>
    <x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7"/>
    <n v="0"/>
    <n v="0"/>
    <n v="0"/>
    <n v="0"/>
    <n v="0"/>
    <n v="0"/>
    <n v="0"/>
    <n v="0"/>
    <n v="0"/>
    <n v="0"/>
    <n v="0"/>
    <n v="0"/>
    <n v="0"/>
  </r>
  <r>
    <s v="India, India Assam"/>
    <x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2"/>
    <n v="3.46"/>
    <n v="0.25"/>
    <n v="0.02"/>
    <n v="0"/>
    <n v="0"/>
    <n v="0"/>
    <n v="0"/>
    <n v="0"/>
    <n v="0"/>
    <n v="0"/>
    <n v="0"/>
    <n v="0"/>
    <n v="0.1"/>
    <n v="0"/>
  </r>
  <r>
    <s v="India, India Assam"/>
    <x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8"/>
    <n v="1.42"/>
    <n v="0"/>
    <n v="0"/>
    <n v="0"/>
    <n v="0"/>
    <n v="0"/>
    <n v="0"/>
    <n v="0"/>
    <n v="0"/>
    <n v="0"/>
    <n v="0"/>
    <n v="0"/>
    <n v="0"/>
    <n v="0"/>
  </r>
  <r>
    <s v="India, India Assam"/>
    <x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2"/>
    <n v="0"/>
    <n v="0"/>
    <n v="0"/>
    <n v="0"/>
    <n v="0"/>
    <n v="0"/>
    <n v="0"/>
    <n v="0"/>
    <n v="0"/>
    <n v="0"/>
    <n v="0"/>
    <n v="0"/>
    <n v="0"/>
  </r>
  <r>
    <s v="India, India Delhi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36"/>
    <n v="0"/>
    <n v="0"/>
    <n v="0"/>
    <n v="0"/>
    <n v="0"/>
    <n v="0"/>
    <n v="0"/>
    <n v="0"/>
    <n v="0"/>
    <n v="0"/>
    <n v="0"/>
  </r>
  <r>
    <s v="India, India Delhi"/>
    <x v="1"/>
    <n v="4.67"/>
    <n v="0"/>
    <n v="0"/>
    <n v="260.3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.76"/>
    <n v="6.01"/>
  </r>
  <r>
    <s v="India, India Delhi"/>
    <x v="2"/>
    <n v="0"/>
    <n v="0"/>
    <n v="0"/>
    <n v="0"/>
    <n v="0"/>
    <n v="0"/>
    <n v="0"/>
    <n v="0"/>
    <n v="0"/>
    <n v="0"/>
    <n v="0"/>
    <n v="0"/>
    <n v="0"/>
    <n v="0"/>
    <n v="0"/>
    <n v="0"/>
    <n v="0.02"/>
    <n v="0"/>
    <n v="0"/>
    <n v="0"/>
    <n v="0"/>
    <n v="0"/>
    <n v="0"/>
    <n v="0"/>
    <n v="0"/>
    <n v="0"/>
    <n v="0"/>
    <n v="0"/>
    <n v="0"/>
    <n v="0"/>
    <n v="0"/>
    <n v="0"/>
    <n v="0"/>
    <n v="-0.02"/>
  </r>
  <r>
    <s v="India, India Delhi"/>
    <x v="3"/>
    <n v="0"/>
    <n v="0"/>
    <n v="5.110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6"/>
    <n v="0"/>
    <n v="0"/>
    <n v="0"/>
    <n v="0"/>
    <n v="0"/>
    <n v="0"/>
    <n v="0"/>
    <n v="0"/>
    <n v="0"/>
    <n v="0"/>
    <n v="-6.01"/>
  </r>
  <r>
    <s v="India, India Delhi"/>
    <x v="4"/>
    <n v="0"/>
    <n v="0"/>
    <n v="0"/>
    <n v="0"/>
    <n v="0"/>
    <n v="0"/>
    <n v="0"/>
    <n v="0"/>
    <n v="0"/>
    <n v="0"/>
    <n v="0"/>
    <n v="0"/>
    <n v="0"/>
    <n v="0"/>
    <n v="0"/>
    <n v="0"/>
    <n v="16.28"/>
    <n v="0"/>
    <n v="3.01"/>
    <n v="0"/>
    <n v="0"/>
    <n v="0"/>
    <n v="1.3"/>
    <n v="0"/>
    <n v="0"/>
    <n v="0"/>
    <n v="0"/>
    <n v="0"/>
    <n v="0"/>
    <n v="0"/>
    <n v="0"/>
    <n v="0"/>
    <n v="0"/>
    <n v="-17.66"/>
  </r>
  <r>
    <s v="India, India Delhi"/>
    <x v="5"/>
    <n v="0"/>
    <n v="0"/>
    <n v="0"/>
    <n v="0.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16"/>
  </r>
  <r>
    <s v="India, India Delhi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Delhi"/>
    <x v="7"/>
    <n v="0"/>
    <n v="0"/>
    <n v="1.01"/>
    <n v="0"/>
    <n v="0"/>
    <n v="0"/>
    <n v="0"/>
    <n v="0"/>
    <n v="0"/>
    <n v="0"/>
    <n v="0"/>
    <n v="0"/>
    <n v="0"/>
    <n v="0"/>
    <n v="0"/>
    <n v="0"/>
    <n v="0.01"/>
    <n v="0.01"/>
    <n v="0"/>
    <n v="0"/>
    <n v="0"/>
    <n v="0"/>
    <n v="0"/>
    <n v="0"/>
    <n v="0"/>
    <n v="0"/>
    <n v="0"/>
    <n v="0"/>
    <n v="0"/>
    <n v="0"/>
    <n v="0"/>
    <n v="0"/>
    <n v="0"/>
    <n v="-0.88"/>
  </r>
  <r>
    <s v="India, India Delhi"/>
    <x v="8"/>
    <n v="0.05"/>
    <n v="0"/>
    <n v="0.36"/>
    <n v="4.83"/>
    <n v="0"/>
    <n v="0"/>
    <n v="0"/>
    <n v="0"/>
    <n v="0"/>
    <n v="0"/>
    <n v="0"/>
    <n v="0"/>
    <n v="0"/>
    <n v="0"/>
    <n v="0"/>
    <n v="0"/>
    <n v="5.3"/>
    <n v="0.26"/>
    <n v="0.01"/>
    <n v="2.2799999999999998"/>
    <n v="2.19"/>
    <n v="0.03"/>
    <n v="2.2200000000000002"/>
    <n v="0"/>
    <n v="0"/>
    <n v="0"/>
    <n v="0"/>
    <n v="0"/>
    <n v="0"/>
    <n v="0"/>
    <n v="0"/>
    <n v="0"/>
    <n v="67.61"/>
    <n v="18.71"/>
  </r>
  <r>
    <s v="India, India Delhi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Delhi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2"/>
    <n v="5.83"/>
    <n v="0"/>
    <n v="0"/>
    <n v="0.05"/>
    <n v="0"/>
    <n v="0"/>
    <n v="0"/>
    <n v="0"/>
    <n v="0"/>
    <n v="0"/>
    <n v="0"/>
    <n v="0"/>
    <n v="0"/>
    <n v="0"/>
    <n v="0"/>
  </r>
  <r>
    <s v="India, India Delhi"/>
    <x v="11"/>
    <n v="4.33"/>
    <n v="0"/>
    <n v="0"/>
    <n v="78.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Delhi"/>
    <x v="12"/>
    <n v="0.06"/>
    <n v="0"/>
    <n v="0"/>
    <n v="1.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Delhi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9"/>
    <n v="0"/>
    <n v="0"/>
    <n v="0"/>
    <n v="0"/>
    <n v="0"/>
    <n v="0"/>
    <n v="0"/>
    <n v="0"/>
    <n v="0"/>
    <n v="0"/>
    <n v="0"/>
  </r>
  <r>
    <s v="India, India Delhi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Delhi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Delhi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Delhi"/>
    <x v="17"/>
    <n v="3.56"/>
    <n v="0"/>
    <n v="0"/>
    <n v="92.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.71"/>
    <n v="0"/>
    <n v="0"/>
    <n v="0"/>
    <n v="0"/>
    <n v="0"/>
    <n v="0"/>
    <n v="0"/>
    <n v="0"/>
    <n v="0"/>
    <n v="0"/>
    <n v="0"/>
  </r>
  <r>
    <s v="India, India Delhi"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Delhi"/>
    <x v="19"/>
    <n v="0"/>
    <n v="0"/>
    <n v="0"/>
    <n v="0"/>
    <n v="0"/>
    <n v="0"/>
    <n v="0"/>
    <n v="0"/>
    <n v="0"/>
    <n v="0"/>
    <n v="0"/>
    <n v="0"/>
    <n v="0"/>
    <n v="0"/>
    <n v="0"/>
    <n v="0"/>
    <n v="7.0000000000000007E-2"/>
    <n v="0"/>
    <n v="0"/>
    <n v="0"/>
    <n v="0"/>
    <n v="0"/>
    <n v="14.92"/>
    <n v="0"/>
    <n v="0"/>
    <n v="0"/>
    <n v="0"/>
    <n v="0"/>
    <n v="0"/>
    <n v="0"/>
    <n v="0"/>
    <n v="0"/>
    <n v="0"/>
    <n v="0"/>
  </r>
  <r>
    <s v="India, India Delhi"/>
    <x v="20"/>
    <n v="6.76"/>
    <n v="0"/>
    <n v="0"/>
    <n v="260.58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Delhi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4"/>
    <n v="0"/>
    <n v="0"/>
    <n v="0"/>
    <n v="0"/>
    <n v="0"/>
    <n v="8.6300000000000008"/>
    <n v="10.34"/>
    <n v="-186.28"/>
    <n v="0"/>
  </r>
  <r>
    <s v="India, India Delhi"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Delhi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Delhi"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Delhi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3"/>
    <n v="0"/>
    <n v="0"/>
    <n v="0"/>
    <n v="0"/>
    <n v="0"/>
    <n v="0"/>
    <n v="0"/>
    <n v="0"/>
    <n v="0"/>
    <n v="0"/>
    <n v="0"/>
    <n v="0"/>
    <n v="0"/>
    <n v="0"/>
  </r>
  <r>
    <s v="India, India Delhi"/>
    <x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93"/>
    <n v="0"/>
    <n v="0"/>
    <n v="0"/>
    <n v="0"/>
    <n v="0"/>
    <n v="0"/>
    <n v="0"/>
    <n v="0"/>
    <n v="0"/>
    <n v="0"/>
    <n v="0"/>
    <n v="0"/>
    <n v="0"/>
  </r>
  <r>
    <s v="India, India Delhi"/>
    <x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9"/>
    <n v="0.02"/>
    <n v="0.01"/>
    <n v="0"/>
    <n v="0"/>
    <n v="0"/>
    <n v="0"/>
    <n v="0"/>
    <n v="0"/>
    <n v="0"/>
    <n v="0"/>
    <n v="0"/>
    <n v="0"/>
    <n v="0"/>
    <n v="0"/>
  </r>
  <r>
    <s v="India, India Delhi"/>
    <x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Delhi"/>
    <x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Delhi"/>
    <x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Delhi"/>
    <x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14"/>
    <n v="0"/>
    <n v="0"/>
    <n v="0"/>
    <n v="0"/>
    <n v="0"/>
    <n v="0"/>
    <n v="0"/>
    <n v="0"/>
    <n v="0"/>
    <n v="0"/>
    <n v="0"/>
    <n v="0"/>
    <n v="0.86"/>
    <n v="0"/>
  </r>
  <r>
    <s v="India, India Delhi"/>
    <x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Delhi"/>
    <x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05"/>
    <n v="0"/>
    <n v="0"/>
    <n v="0.01"/>
    <n v="0"/>
    <n v="0"/>
    <n v="0"/>
    <n v="0"/>
    <n v="0"/>
    <n v="0"/>
    <n v="0"/>
    <n v="0"/>
    <n v="0"/>
    <n v="0"/>
    <n v="0"/>
  </r>
  <r>
    <s v="India, India Delhi"/>
    <x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96"/>
    <n v="0"/>
    <n v="0"/>
    <n v="0"/>
    <n v="0"/>
    <n v="0"/>
    <n v="0"/>
    <n v="0"/>
    <n v="0"/>
    <n v="0"/>
    <n v="0"/>
    <n v="0"/>
    <n v="0"/>
    <n v="0"/>
    <n v="0"/>
  </r>
  <r>
    <s v="India, India Delhi"/>
    <x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32"/>
    <n v="0"/>
    <n v="0"/>
    <n v="0"/>
    <n v="0"/>
    <n v="0"/>
    <n v="0"/>
    <n v="0"/>
    <n v="0"/>
    <n v="0"/>
    <n v="0"/>
    <n v="0"/>
    <n v="0"/>
    <n v="0"/>
  </r>
  <r>
    <s v="India, India Delhi"/>
    <x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7"/>
    <n v="24.32"/>
    <n v="0.15"/>
    <n v="16.809999999999999"/>
    <n v="0"/>
    <n v="0"/>
    <n v="0"/>
    <n v="0"/>
    <n v="0"/>
    <n v="0"/>
    <n v="0"/>
    <n v="0"/>
    <n v="0"/>
    <n v="0.05"/>
    <n v="0"/>
  </r>
  <r>
    <s v="India, India Delhi"/>
    <x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2"/>
    <n v="9.9499999999999993"/>
    <n v="0"/>
    <n v="1.51"/>
    <n v="0"/>
    <n v="0"/>
    <n v="0"/>
    <n v="0"/>
    <n v="0"/>
    <n v="0"/>
    <n v="0"/>
    <n v="0"/>
    <n v="0"/>
    <n v="0"/>
    <n v="0"/>
  </r>
  <r>
    <s v="India, India Delhi"/>
    <x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690000000000001"/>
    <n v="0"/>
    <n v="0"/>
    <n v="0"/>
    <n v="0"/>
    <n v="0"/>
    <n v="0"/>
    <n v="0"/>
    <n v="0"/>
    <n v="0"/>
    <n v="0"/>
    <n v="0"/>
    <n v="0"/>
    <n v="0"/>
  </r>
  <r>
    <s v="India, India Goa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1"/>
    <n v="0"/>
    <n v="0"/>
    <n v="0"/>
    <n v="0"/>
    <n v="0"/>
    <n v="0"/>
    <n v="0"/>
    <n v="0"/>
    <n v="0"/>
    <n v="0"/>
    <n v="0"/>
  </r>
  <r>
    <s v="India, India Goa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4"/>
    <n v="0.09"/>
  </r>
  <r>
    <s v="India, India Goa"/>
    <x v="2"/>
    <n v="0.54"/>
    <n v="0"/>
    <n v="0"/>
    <n v="4.1900000000000004"/>
    <n v="0"/>
    <n v="0"/>
    <n v="0"/>
    <n v="0"/>
    <n v="0"/>
    <n v="0"/>
    <n v="0"/>
    <n v="0"/>
    <n v="0"/>
    <n v="0"/>
    <n v="0"/>
    <n v="0"/>
    <n v="0"/>
    <n v="0"/>
    <n v="1.7"/>
    <n v="0"/>
    <n v="0"/>
    <n v="0"/>
    <n v="2.31"/>
    <n v="0"/>
    <n v="0"/>
    <n v="0"/>
    <n v="0"/>
    <n v="0"/>
    <n v="0"/>
    <n v="0"/>
    <n v="0"/>
    <n v="0"/>
    <n v="0"/>
    <n v="-7.42"/>
  </r>
  <r>
    <s v="India, India Goa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"/>
    <n v="0"/>
    <n v="0"/>
    <n v="0"/>
    <n v="0"/>
    <n v="0"/>
    <n v="0"/>
    <n v="0"/>
    <n v="0"/>
    <n v="0"/>
    <n v="0"/>
    <n v="-0.09"/>
  </r>
  <r>
    <s v="India, India Goa"/>
    <x v="4"/>
    <n v="0"/>
    <n v="0"/>
    <n v="0"/>
    <n v="0"/>
    <n v="0"/>
    <n v="0"/>
    <n v="0"/>
    <n v="0"/>
    <n v="0"/>
    <n v="0"/>
    <n v="0"/>
    <n v="0"/>
    <n v="0"/>
    <n v="0"/>
    <n v="0"/>
    <n v="0"/>
    <n v="1.41"/>
    <n v="0"/>
    <n v="0.26"/>
    <n v="0"/>
    <n v="0"/>
    <n v="0"/>
    <n v="0.11"/>
    <n v="0"/>
    <n v="0"/>
    <n v="0"/>
    <n v="0"/>
    <n v="0"/>
    <n v="0"/>
    <n v="0"/>
    <n v="0"/>
    <n v="0"/>
    <n v="0"/>
    <n v="-1.53"/>
  </r>
  <r>
    <s v="India, India Goa"/>
    <x v="5"/>
    <n v="0"/>
    <n v="0"/>
    <n v="0"/>
    <n v="0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01"/>
  </r>
  <r>
    <s v="India, India Goa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oa"/>
    <x v="7"/>
    <n v="0"/>
    <n v="0"/>
    <n v="0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08"/>
  </r>
  <r>
    <s v="India, India Goa"/>
    <x v="8"/>
    <n v="0"/>
    <n v="0"/>
    <n v="0.03"/>
    <n v="13.45"/>
    <n v="0"/>
    <n v="0.06"/>
    <n v="0"/>
    <n v="0"/>
    <n v="0"/>
    <n v="0"/>
    <n v="0"/>
    <n v="0"/>
    <n v="0"/>
    <n v="0"/>
    <n v="0"/>
    <n v="0"/>
    <n v="0.02"/>
    <n v="0"/>
    <n v="0"/>
    <n v="0.28999999999999998"/>
    <n v="0.19"/>
    <n v="0"/>
    <n v="11.21"/>
    <n v="0"/>
    <n v="0"/>
    <n v="0"/>
    <n v="0"/>
    <n v="0"/>
    <n v="0"/>
    <n v="0"/>
    <n v="0"/>
    <n v="0"/>
    <n v="1.6"/>
    <n v="9.0500000000000007"/>
  </r>
  <r>
    <s v="India, India Goa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47"/>
    <n v="0"/>
    <n v="2.12"/>
    <n v="0"/>
    <n v="21.14"/>
    <n v="0"/>
    <n v="0"/>
    <n v="0"/>
    <n v="0"/>
    <n v="0"/>
    <n v="0"/>
    <n v="0"/>
    <n v="0"/>
    <n v="0"/>
    <n v="0"/>
    <n v="0"/>
  </r>
  <r>
    <s v="India, India Goa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0900000000000001"/>
    <n v="0"/>
    <n v="0"/>
    <n v="0"/>
    <n v="0"/>
    <n v="0"/>
    <n v="0"/>
    <n v="0"/>
    <n v="0"/>
    <n v="0"/>
    <n v="0"/>
    <n v="0"/>
    <n v="0"/>
    <n v="0"/>
    <n v="0"/>
  </r>
  <r>
    <s v="India, India Goa"/>
    <x v="11"/>
    <n v="0.31"/>
    <n v="0"/>
    <n v="0"/>
    <n v="5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oa"/>
    <x v="12"/>
    <n v="0"/>
    <n v="0"/>
    <n v="0"/>
    <n v="0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oa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8999999999999998"/>
    <n v="0"/>
    <n v="0"/>
    <n v="0"/>
    <n v="0"/>
    <n v="0"/>
    <n v="0"/>
    <n v="0"/>
    <n v="0"/>
    <n v="0"/>
    <n v="0"/>
    <n v="0"/>
  </r>
  <r>
    <s v="India, India Goa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oa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oa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oa"/>
    <x v="17"/>
    <n v="0.26"/>
    <n v="0"/>
    <n v="0"/>
    <n v="6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499999999999999"/>
    <n v="0"/>
    <n v="0"/>
    <n v="0"/>
    <n v="0"/>
    <n v="0"/>
    <n v="0"/>
    <n v="0"/>
    <n v="0"/>
    <n v="0"/>
    <n v="0"/>
    <n v="0"/>
  </r>
  <r>
    <s v="India, India Goa"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oa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4"/>
    <n v="0"/>
    <n v="0"/>
    <n v="0"/>
    <n v="0"/>
    <n v="0"/>
    <n v="0"/>
    <n v="0"/>
    <n v="0"/>
    <n v="0"/>
    <n v="0"/>
    <n v="0"/>
  </r>
  <r>
    <s v="India, India Goa"/>
    <x v="20"/>
    <n v="0.48"/>
    <n v="0"/>
    <n v="0"/>
    <n v="18.6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oa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2"/>
    <n v="0"/>
    <n v="0"/>
    <n v="0"/>
    <n v="0"/>
    <n v="0"/>
    <n v="0"/>
    <n v="2.1800000000000002"/>
    <n v="-11.59"/>
    <n v="0"/>
  </r>
  <r>
    <s v="India, India Goa"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oa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oa"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oa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2"/>
    <n v="0"/>
    <n v="0"/>
    <n v="0"/>
    <n v="0"/>
    <n v="0"/>
    <n v="0"/>
    <n v="0"/>
    <n v="0"/>
    <n v="0"/>
    <n v="0"/>
    <n v="0"/>
    <n v="0"/>
    <n v="0"/>
    <n v="0"/>
  </r>
  <r>
    <s v="India, India Goa"/>
    <x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75"/>
    <n v="0"/>
    <n v="0"/>
    <n v="0"/>
    <n v="0"/>
    <n v="0"/>
    <n v="0"/>
    <n v="0"/>
    <n v="0"/>
    <n v="0"/>
    <n v="0"/>
    <n v="0"/>
    <n v="0"/>
    <n v="0"/>
  </r>
  <r>
    <s v="India, India Goa"/>
    <x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7"/>
    <n v="0"/>
    <n v="0"/>
    <n v="0"/>
    <n v="0"/>
    <n v="0"/>
    <n v="0"/>
    <n v="0"/>
    <n v="0"/>
    <n v="0"/>
    <n v="0"/>
    <n v="0"/>
    <n v="0"/>
    <n v="0"/>
    <n v="0"/>
  </r>
  <r>
    <s v="India, India Goa"/>
    <x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oa"/>
    <x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oa"/>
    <x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oa"/>
    <x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13"/>
    <n v="0"/>
    <n v="0"/>
    <n v="0"/>
    <n v="0"/>
    <n v="0"/>
    <n v="0"/>
    <n v="0"/>
    <n v="0"/>
    <n v="0"/>
    <n v="0"/>
    <n v="0"/>
    <n v="0"/>
    <n v="0"/>
    <n v="0"/>
  </r>
  <r>
    <s v="India, India Goa"/>
    <x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oa"/>
    <x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1"/>
    <n v="0"/>
    <n v="0"/>
    <n v="0"/>
    <n v="0"/>
    <n v="0"/>
    <n v="0"/>
    <n v="0"/>
    <n v="0"/>
    <n v="0"/>
    <n v="0"/>
    <n v="0"/>
    <n v="0"/>
    <n v="0"/>
    <n v="0"/>
  </r>
  <r>
    <s v="India, India Goa"/>
    <x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76"/>
    <n v="0"/>
    <n v="0"/>
    <n v="0"/>
    <n v="0"/>
    <n v="0"/>
    <n v="0"/>
    <n v="0"/>
    <n v="0"/>
    <n v="0"/>
    <n v="0"/>
    <n v="0"/>
    <n v="0"/>
    <n v="0"/>
    <n v="0"/>
  </r>
  <r>
    <s v="India, India Goa"/>
    <x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1"/>
    <n v="0"/>
    <n v="0"/>
    <n v="0"/>
    <n v="0"/>
    <n v="0"/>
    <n v="0"/>
    <n v="0"/>
    <n v="0"/>
    <n v="0"/>
    <n v="0"/>
    <n v="0"/>
    <n v="0"/>
    <n v="0"/>
  </r>
  <r>
    <s v="India, India Goa"/>
    <x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1"/>
    <n v="2.27"/>
    <n v="0.01"/>
    <n v="0"/>
    <n v="0"/>
    <n v="0"/>
    <n v="0"/>
    <n v="0"/>
    <n v="0"/>
    <n v="0"/>
    <n v="0"/>
    <n v="0"/>
    <n v="0"/>
    <n v="0"/>
    <n v="0"/>
  </r>
  <r>
    <s v="India, India Goa"/>
    <x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3"/>
    <n v="0.93"/>
    <n v="0"/>
    <n v="0"/>
    <n v="0"/>
    <n v="0"/>
    <n v="0"/>
    <n v="0"/>
    <n v="0"/>
    <n v="0"/>
    <n v="0"/>
    <n v="0"/>
    <n v="0"/>
    <n v="0"/>
    <n v="0"/>
  </r>
  <r>
    <s v="India, India Goa"/>
    <x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5"/>
    <n v="0"/>
    <n v="0"/>
    <n v="0"/>
    <n v="0"/>
    <n v="0"/>
    <n v="0"/>
    <n v="0"/>
    <n v="0"/>
    <n v="0"/>
    <n v="0"/>
    <n v="0"/>
    <n v="0"/>
    <n v="0"/>
  </r>
  <r>
    <s v="India, India Gujarat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97"/>
    <n v="9.1199999999999992"/>
    <n v="0"/>
    <n v="0"/>
    <n v="0"/>
    <n v="0"/>
    <n v="0"/>
    <n v="0"/>
    <n v="0"/>
    <n v="0"/>
    <n v="0"/>
    <n v="0"/>
    <n v="0"/>
  </r>
  <r>
    <s v="India, India Gujarat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46"/>
    <n v="0"/>
    <n v="0"/>
    <n v="0"/>
    <n v="0"/>
    <n v="0"/>
    <n v="0"/>
    <n v="0"/>
    <n v="0"/>
    <n v="0"/>
    <n v="0"/>
    <n v="0"/>
    <n v="0"/>
    <n v="0"/>
    <n v="140.91999999999999"/>
    <n v="13.95"/>
  </r>
  <r>
    <s v="India, India Gujarat"/>
    <x v="2"/>
    <n v="9.7899999999999991"/>
    <n v="0"/>
    <n v="0"/>
    <n v="54.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54.28"/>
  </r>
  <r>
    <s v="India, India Gujarat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59"/>
    <n v="0"/>
    <n v="0"/>
    <n v="0"/>
    <n v="12.83"/>
    <n v="0"/>
    <n v="0"/>
    <n v="0"/>
    <n v="0"/>
    <n v="0"/>
    <n v="0"/>
    <n v="0"/>
    <n v="0"/>
    <n v="0"/>
    <n v="0"/>
    <n v="-13.95"/>
  </r>
  <r>
    <s v="India, India Gujarat"/>
    <x v="4"/>
    <n v="0"/>
    <n v="0"/>
    <n v="0"/>
    <n v="0"/>
    <n v="0"/>
    <n v="0"/>
    <n v="0"/>
    <n v="0"/>
    <n v="0"/>
    <n v="0"/>
    <n v="0"/>
    <n v="0"/>
    <n v="0"/>
    <n v="0"/>
    <n v="0"/>
    <n v="0"/>
    <n v="58.6"/>
    <n v="0"/>
    <n v="10.95"/>
    <n v="0"/>
    <n v="0"/>
    <n v="0"/>
    <n v="4.66"/>
    <n v="0"/>
    <n v="0"/>
    <n v="0"/>
    <n v="0"/>
    <n v="0"/>
    <n v="0"/>
    <n v="0"/>
    <n v="0"/>
    <n v="0"/>
    <n v="0"/>
    <n v="-63.59"/>
  </r>
  <r>
    <s v="India, India Gujarat"/>
    <x v="5"/>
    <n v="0.01"/>
    <n v="0"/>
    <n v="0"/>
    <n v="0.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56000000000000005"/>
  </r>
  <r>
    <s v="India, India Gujarat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ujarat"/>
    <x v="7"/>
    <n v="0"/>
    <n v="0"/>
    <n v="3.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3.11"/>
  </r>
  <r>
    <s v="India, India Gujarat"/>
    <x v="8"/>
    <n v="0.75"/>
    <n v="0"/>
    <n v="1.29"/>
    <n v="112.31"/>
    <n v="0"/>
    <n v="0.14000000000000001"/>
    <n v="0"/>
    <n v="0"/>
    <n v="0"/>
    <n v="0"/>
    <n v="0"/>
    <n v="0"/>
    <n v="0"/>
    <n v="0"/>
    <n v="0"/>
    <n v="0"/>
    <n v="0"/>
    <n v="0"/>
    <n v="13.39"/>
    <n v="8.9499999999999993"/>
    <n v="7.97"/>
    <n v="0.1"/>
    <n v="72.22"/>
    <n v="0"/>
    <n v="0"/>
    <n v="0"/>
    <n v="0"/>
    <n v="0"/>
    <n v="0"/>
    <n v="0"/>
    <n v="0"/>
    <n v="0"/>
    <n v="57.8"/>
    <n v="121.54"/>
  </r>
  <r>
    <s v="India, India Gujarat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.54"/>
    <n v="0"/>
    <n v="14.33"/>
    <n v="0"/>
    <n v="73.989999999999995"/>
    <n v="0"/>
    <n v="0"/>
    <n v="0"/>
    <n v="0"/>
    <n v="0"/>
    <n v="0"/>
    <n v="0"/>
    <n v="0"/>
    <n v="0"/>
    <n v="0"/>
    <n v="0"/>
  </r>
  <r>
    <s v="India, India Gujarat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"/>
    <n v="13.48"/>
    <n v="0"/>
    <n v="0"/>
    <n v="0.4"/>
    <n v="0"/>
    <n v="0"/>
    <n v="0"/>
    <n v="0"/>
    <n v="0"/>
    <n v="0"/>
    <n v="0"/>
    <n v="0"/>
    <n v="0"/>
    <n v="0"/>
    <n v="0"/>
  </r>
  <r>
    <s v="India, India Gujarat"/>
    <x v="11"/>
    <n v="14.97"/>
    <n v="0"/>
    <n v="0"/>
    <n v="270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ujarat"/>
    <x v="12"/>
    <n v="0.22"/>
    <n v="0"/>
    <n v="0"/>
    <n v="4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ujarat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3"/>
    <n v="0"/>
    <n v="0"/>
    <n v="0"/>
    <n v="30.36"/>
    <n v="0"/>
    <n v="0"/>
    <n v="0"/>
    <n v="0"/>
    <n v="0"/>
    <n v="0"/>
    <n v="0"/>
    <n v="0"/>
    <n v="0"/>
    <n v="0"/>
    <n v="0"/>
  </r>
  <r>
    <s v="India, India Gujarat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ujarat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ujarat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ujarat"/>
    <x v="17"/>
    <n v="12.31"/>
    <n v="0"/>
    <n v="0"/>
    <n v="318.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9.33"/>
    <n v="0"/>
    <n v="0"/>
    <n v="0"/>
    <n v="0"/>
    <n v="0"/>
    <n v="0"/>
    <n v="0"/>
    <n v="0"/>
    <n v="0"/>
    <n v="0"/>
    <n v="0"/>
  </r>
  <r>
    <s v="India, India Gujarat"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ujarat"/>
    <x v="19"/>
    <n v="0"/>
    <n v="0"/>
    <n v="0"/>
    <n v="0"/>
    <n v="0"/>
    <n v="0"/>
    <n v="0"/>
    <n v="0"/>
    <n v="0"/>
    <n v="0"/>
    <n v="0"/>
    <n v="0"/>
    <n v="0"/>
    <n v="0"/>
    <n v="0"/>
    <n v="0"/>
    <n v="1.37"/>
    <n v="0"/>
    <n v="0"/>
    <n v="0.08"/>
    <n v="0.23"/>
    <n v="0"/>
    <n v="35.1"/>
    <n v="0"/>
    <n v="0"/>
    <n v="0"/>
    <n v="0"/>
    <n v="0"/>
    <n v="0"/>
    <n v="0"/>
    <n v="0"/>
    <n v="0"/>
    <n v="0"/>
    <n v="0"/>
  </r>
  <r>
    <s v="India, India Gujarat"/>
    <x v="20"/>
    <n v="23.35"/>
    <n v="0"/>
    <n v="0"/>
    <n v="900.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ujarat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.229999999999997"/>
    <n v="0"/>
    <n v="0"/>
    <n v="0"/>
    <n v="0"/>
    <n v="0"/>
    <n v="9.84"/>
    <n v="47.36"/>
    <n v="-625.36"/>
    <n v="0"/>
  </r>
  <r>
    <s v="India, India Gujarat"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ujarat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ujarat"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ujarat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62"/>
    <n v="0"/>
    <n v="0"/>
    <n v="0"/>
    <n v="0"/>
    <n v="0"/>
    <n v="0"/>
    <n v="0"/>
    <n v="0"/>
    <n v="0"/>
    <n v="0"/>
    <n v="0"/>
    <n v="0"/>
    <n v="0"/>
    <n v="0"/>
  </r>
  <r>
    <s v="India, India Gujarat"/>
    <x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38"/>
    <n v="0"/>
    <n v="0"/>
    <n v="0"/>
    <n v="0"/>
    <n v="0"/>
    <n v="0"/>
    <n v="0"/>
    <n v="0"/>
    <n v="0"/>
    <n v="0"/>
    <n v="0"/>
    <n v="0"/>
    <n v="0"/>
  </r>
  <r>
    <s v="India, India Gujarat"/>
    <x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0500000000000007"/>
    <n v="7.0000000000000007E-2"/>
    <n v="0.04"/>
    <n v="0"/>
    <n v="0"/>
    <n v="0"/>
    <n v="0"/>
    <n v="0"/>
    <n v="0"/>
    <n v="0"/>
    <n v="0"/>
    <n v="0"/>
    <n v="0"/>
    <n v="0"/>
    <n v="0"/>
  </r>
  <r>
    <s v="India, India Gujarat"/>
    <x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ujarat"/>
    <x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ujarat"/>
    <x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ujarat"/>
    <x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09"/>
    <n v="0"/>
    <n v="0"/>
    <n v="0"/>
    <n v="0"/>
    <n v="0"/>
    <n v="0"/>
    <n v="0"/>
    <n v="0"/>
    <n v="0"/>
    <n v="0"/>
    <n v="0"/>
    <n v="0"/>
    <n v="3.3"/>
    <n v="0"/>
  </r>
  <r>
    <s v="India, India Gujarat"/>
    <x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ujarat"/>
    <x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23"/>
    <n v="0"/>
    <n v="0"/>
    <n v="0"/>
    <n v="0"/>
    <n v="0"/>
    <n v="0"/>
    <n v="0"/>
    <n v="0"/>
    <n v="0"/>
    <n v="0"/>
    <n v="0"/>
    <n v="0"/>
    <n v="0"/>
    <n v="0"/>
  </r>
  <r>
    <s v="India, India Gujarat"/>
    <x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.11"/>
    <n v="0"/>
    <n v="0"/>
    <n v="0"/>
    <n v="0"/>
    <n v="0"/>
    <n v="0"/>
    <n v="0"/>
    <n v="0"/>
    <n v="0"/>
    <n v="0"/>
    <n v="0"/>
    <n v="0"/>
    <n v="0"/>
    <n v="0"/>
  </r>
  <r>
    <s v="India, India Gujarat"/>
    <x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2"/>
    <n v="0"/>
    <n v="0"/>
    <n v="0"/>
    <n v="0"/>
    <n v="0"/>
    <n v="0"/>
    <n v="0"/>
    <n v="0"/>
    <n v="0"/>
    <n v="0"/>
    <n v="0"/>
    <n v="0"/>
    <n v="0"/>
  </r>
  <r>
    <s v="India, India Gujarat"/>
    <x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05"/>
    <n v="28.77"/>
    <n v="0.49"/>
    <n v="0.3"/>
    <n v="0"/>
    <n v="0"/>
    <n v="0"/>
    <n v="0"/>
    <n v="0"/>
    <n v="0"/>
    <n v="0"/>
    <n v="0"/>
    <n v="0"/>
    <n v="0.19"/>
    <n v="0"/>
  </r>
  <r>
    <s v="India, India Gujarat"/>
    <x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56"/>
    <n v="11.77"/>
    <n v="0"/>
    <n v="0.03"/>
    <n v="0"/>
    <n v="0"/>
    <n v="0"/>
    <n v="0"/>
    <n v="0"/>
    <n v="0"/>
    <n v="0"/>
    <n v="0"/>
    <n v="0"/>
    <n v="0"/>
    <n v="0"/>
  </r>
  <r>
    <s v="India, India Gujarat"/>
    <x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3"/>
    <n v="0"/>
    <n v="0"/>
    <n v="0"/>
    <n v="0"/>
    <n v="0"/>
    <n v="0"/>
    <n v="0"/>
    <n v="0"/>
    <n v="0"/>
    <n v="0"/>
    <n v="0"/>
    <n v="0"/>
    <n v="0"/>
  </r>
  <r>
    <s v="India, India Haryana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9"/>
    <n v="0.79"/>
    <n v="0"/>
    <n v="0"/>
    <n v="0"/>
    <n v="0"/>
    <n v="0"/>
    <n v="0"/>
    <n v="0"/>
    <n v="0"/>
    <n v="0"/>
    <n v="0"/>
    <n v="0"/>
  </r>
  <r>
    <s v="India, India Haryana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8"/>
    <n v="0"/>
    <n v="0"/>
    <n v="0"/>
    <n v="0"/>
    <n v="0"/>
    <n v="0"/>
    <n v="0"/>
    <n v="0"/>
    <n v="0"/>
    <n v="0"/>
    <n v="0"/>
    <n v="0"/>
    <n v="0"/>
    <n v="53.04"/>
    <n v="2.11"/>
  </r>
  <r>
    <s v="India, India Haryana"/>
    <x v="2"/>
    <n v="0.26"/>
    <n v="0"/>
    <n v="0"/>
    <n v="2.06"/>
    <n v="0"/>
    <n v="0"/>
    <n v="0"/>
    <n v="0"/>
    <n v="0"/>
    <n v="0"/>
    <n v="0"/>
    <n v="0"/>
    <n v="0"/>
    <n v="0"/>
    <n v="0"/>
    <n v="0"/>
    <n v="0"/>
    <n v="0"/>
    <n v="2.88"/>
    <n v="0"/>
    <n v="0"/>
    <n v="0"/>
    <n v="0.04"/>
    <n v="0"/>
    <n v="0"/>
    <n v="0"/>
    <n v="0"/>
    <n v="0"/>
    <n v="0"/>
    <n v="0"/>
    <n v="0"/>
    <n v="0"/>
    <n v="0"/>
    <n v="-4.46"/>
  </r>
  <r>
    <s v="India, India Haryana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1"/>
    <n v="0"/>
    <n v="0"/>
    <n v="0"/>
    <n v="1.67"/>
    <n v="0"/>
    <n v="0"/>
    <n v="0"/>
    <n v="0"/>
    <n v="0"/>
    <n v="0"/>
    <n v="0"/>
    <n v="0"/>
    <n v="0"/>
    <n v="0"/>
    <n v="-2.11"/>
  </r>
  <r>
    <s v="India, India Haryana"/>
    <x v="4"/>
    <n v="0"/>
    <n v="0"/>
    <n v="0"/>
    <n v="0"/>
    <n v="0"/>
    <n v="0"/>
    <n v="0"/>
    <n v="0"/>
    <n v="0"/>
    <n v="0"/>
    <n v="0"/>
    <n v="0"/>
    <n v="0"/>
    <n v="0"/>
    <n v="0"/>
    <n v="0"/>
    <n v="24.58"/>
    <n v="0"/>
    <n v="4.58"/>
    <n v="0"/>
    <n v="0"/>
    <n v="0"/>
    <n v="1.96"/>
    <n v="0"/>
    <n v="0"/>
    <n v="0"/>
    <n v="0"/>
    <n v="0"/>
    <n v="0"/>
    <n v="0"/>
    <n v="0"/>
    <n v="0"/>
    <n v="0"/>
    <n v="-26.67"/>
  </r>
  <r>
    <s v="India, India Haryana"/>
    <x v="5"/>
    <n v="0.01"/>
    <n v="0"/>
    <n v="0"/>
    <n v="0.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24"/>
  </r>
  <r>
    <s v="India, India Haryana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aryana"/>
    <x v="7"/>
    <n v="0"/>
    <n v="0"/>
    <n v="1.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.31"/>
  </r>
  <r>
    <s v="India, India Haryana"/>
    <x v="8"/>
    <n v="0.42"/>
    <n v="0"/>
    <n v="0.54"/>
    <n v="42.03"/>
    <n v="0"/>
    <n v="0.04"/>
    <n v="0"/>
    <n v="0"/>
    <n v="0"/>
    <n v="0"/>
    <n v="0"/>
    <n v="0"/>
    <n v="0"/>
    <n v="0"/>
    <n v="0"/>
    <n v="0"/>
    <n v="0"/>
    <n v="0"/>
    <n v="0.21"/>
    <n v="3.63"/>
    <n v="3.33"/>
    <n v="0.04"/>
    <n v="9.8699999999999992"/>
    <n v="0"/>
    <n v="0"/>
    <n v="0"/>
    <n v="0"/>
    <n v="0"/>
    <n v="0"/>
    <n v="0"/>
    <n v="0"/>
    <n v="0"/>
    <n v="28.87"/>
    <n v="32.67"/>
  </r>
  <r>
    <s v="India, India Haryana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65"/>
    <n v="0"/>
    <n v="3.58"/>
    <n v="0"/>
    <n v="10.4"/>
    <n v="0"/>
    <n v="0"/>
    <n v="0"/>
    <n v="0"/>
    <n v="0"/>
    <n v="0"/>
    <n v="0"/>
    <n v="0"/>
    <n v="0"/>
    <n v="0"/>
    <n v="0"/>
  </r>
  <r>
    <s v="India, India Haryana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96"/>
    <n v="0"/>
    <n v="0"/>
    <n v="0.05"/>
    <n v="0"/>
    <n v="0"/>
    <n v="0"/>
    <n v="0"/>
    <n v="0"/>
    <n v="0"/>
    <n v="0"/>
    <n v="0"/>
    <n v="0"/>
    <n v="0"/>
    <n v="0"/>
  </r>
  <r>
    <s v="India, India Haryana"/>
    <x v="11"/>
    <n v="5.79"/>
    <n v="0"/>
    <n v="0"/>
    <n v="104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aryana"/>
    <x v="12"/>
    <n v="0.08"/>
    <n v="0"/>
    <n v="0"/>
    <n v="1.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aryana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4000000000000001"/>
    <n v="0"/>
    <n v="0"/>
    <n v="0"/>
    <n v="3.42"/>
    <n v="0"/>
    <n v="0"/>
    <n v="0"/>
    <n v="0"/>
    <n v="0"/>
    <n v="0"/>
    <n v="0"/>
    <n v="0"/>
    <n v="0"/>
    <n v="0"/>
    <n v="0"/>
  </r>
  <r>
    <s v="India, India Haryana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aryana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aryana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aryana"/>
    <x v="17"/>
    <n v="4.76"/>
    <n v="0"/>
    <n v="0"/>
    <n v="123.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43"/>
    <n v="0"/>
    <n v="0"/>
    <n v="0"/>
    <n v="0"/>
    <n v="0"/>
    <n v="0"/>
    <n v="0"/>
    <n v="0"/>
    <n v="0"/>
    <n v="0"/>
    <n v="0"/>
  </r>
  <r>
    <s v="India, India Haryana"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aryana"/>
    <x v="19"/>
    <n v="0"/>
    <n v="0"/>
    <n v="0"/>
    <n v="0"/>
    <n v="0"/>
    <n v="0"/>
    <n v="0"/>
    <n v="0"/>
    <n v="0"/>
    <n v="0"/>
    <n v="0"/>
    <n v="0"/>
    <n v="0"/>
    <n v="0"/>
    <n v="0"/>
    <n v="0"/>
    <n v="0.23"/>
    <n v="0"/>
    <n v="0"/>
    <n v="0.02"/>
    <n v="0.05"/>
    <n v="0"/>
    <n v="3.95"/>
    <n v="0"/>
    <n v="0"/>
    <n v="0"/>
    <n v="0"/>
    <n v="0"/>
    <n v="0"/>
    <n v="0"/>
    <n v="0"/>
    <n v="0"/>
    <n v="0"/>
    <n v="0"/>
  </r>
  <r>
    <s v="India, India Haryana"/>
    <x v="20"/>
    <n v="9.02"/>
    <n v="0"/>
    <n v="0"/>
    <n v="347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aryana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"/>
    <n v="0"/>
    <n v="0"/>
    <n v="0"/>
    <n v="0"/>
    <n v="0"/>
    <n v="18.04"/>
    <n v="9.24"/>
    <n v="-213.97"/>
    <n v="0"/>
  </r>
  <r>
    <s v="India, India Haryana"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aryana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aryana"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aryana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11"/>
    <n v="0"/>
    <n v="0"/>
    <n v="0"/>
    <n v="0"/>
    <n v="0"/>
    <n v="0"/>
    <n v="0"/>
    <n v="0"/>
    <n v="0"/>
    <n v="0"/>
    <n v="0"/>
    <n v="0"/>
    <n v="0"/>
    <n v="0"/>
  </r>
  <r>
    <s v="India, India Haryana"/>
    <x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aryana"/>
    <x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89"/>
    <n v="0.03"/>
    <n v="0.02"/>
    <n v="0"/>
    <n v="0"/>
    <n v="0"/>
    <n v="0"/>
    <n v="0"/>
    <n v="0"/>
    <n v="0"/>
    <n v="0"/>
    <n v="0"/>
    <n v="0"/>
    <n v="0"/>
    <n v="0"/>
  </r>
  <r>
    <s v="India, India Haryana"/>
    <x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aryana"/>
    <x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aryana"/>
    <x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aryana"/>
    <x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14"/>
    <n v="0"/>
    <n v="0"/>
    <n v="0"/>
    <n v="0"/>
    <n v="0"/>
    <n v="0"/>
    <n v="0"/>
    <n v="0"/>
    <n v="0"/>
    <n v="0"/>
    <n v="0"/>
    <n v="0"/>
    <n v="1.44"/>
    <n v="0"/>
  </r>
  <r>
    <s v="India, India Haryana"/>
    <x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aryana"/>
    <x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22"/>
    <n v="0"/>
    <n v="0"/>
    <n v="0"/>
    <n v="0"/>
    <n v="0"/>
    <n v="0"/>
    <n v="0"/>
    <n v="0"/>
    <n v="0"/>
    <n v="0"/>
    <n v="0"/>
    <n v="0"/>
    <n v="0"/>
    <n v="0"/>
  </r>
  <r>
    <s v="India, India Haryana"/>
    <x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.9"/>
    <n v="0"/>
    <n v="0"/>
    <n v="0"/>
    <n v="0"/>
    <n v="0"/>
    <n v="0"/>
    <n v="0"/>
    <n v="0"/>
    <n v="0"/>
    <n v="0"/>
    <n v="0"/>
    <n v="0"/>
    <n v="0"/>
    <n v="0"/>
  </r>
  <r>
    <s v="India, India Haryana"/>
    <x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9"/>
    <n v="0"/>
    <n v="0"/>
    <n v="0"/>
    <n v="0"/>
    <n v="0"/>
    <n v="0"/>
    <n v="0"/>
    <n v="0"/>
    <n v="0"/>
    <n v="0"/>
    <n v="0"/>
    <n v="0"/>
    <n v="0"/>
  </r>
  <r>
    <s v="India, India Haryana"/>
    <x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579999999999998"/>
    <n v="12.36"/>
    <n v="0.21"/>
    <n v="0.04"/>
    <n v="0"/>
    <n v="0"/>
    <n v="0"/>
    <n v="0"/>
    <n v="0"/>
    <n v="0"/>
    <n v="0"/>
    <n v="0"/>
    <n v="0"/>
    <n v="0.08"/>
    <n v="0"/>
  </r>
  <r>
    <s v="India, India Haryana"/>
    <x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84"/>
    <n v="5.0599999999999996"/>
    <n v="0"/>
    <n v="0"/>
    <n v="0"/>
    <n v="0"/>
    <n v="0"/>
    <n v="0"/>
    <n v="0"/>
    <n v="0"/>
    <n v="0"/>
    <n v="0"/>
    <n v="0"/>
    <n v="0"/>
    <n v="0"/>
  </r>
  <r>
    <s v="India, India Haryana"/>
    <x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99"/>
    <n v="0"/>
    <n v="0"/>
    <n v="0"/>
    <n v="0"/>
    <n v="0"/>
    <n v="0"/>
    <n v="0"/>
    <n v="0"/>
    <n v="0"/>
    <n v="0"/>
    <n v="0"/>
    <n v="0"/>
    <n v="0"/>
  </r>
  <r>
    <s v="India, India Himachal Pradesh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6"/>
    <n v="0.12"/>
    <n v="0"/>
    <n v="0"/>
    <n v="0"/>
    <n v="0"/>
    <n v="0"/>
    <n v="0"/>
    <n v="0"/>
    <n v="0"/>
    <n v="0"/>
    <n v="0"/>
    <n v="0"/>
  </r>
  <r>
    <s v="India, India Himachal Pradesh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3"/>
    <n v="0"/>
    <n v="0"/>
    <n v="0"/>
    <n v="0"/>
    <n v="0"/>
    <n v="0"/>
    <n v="0"/>
    <n v="0"/>
    <n v="0"/>
    <n v="0"/>
    <n v="0"/>
    <n v="0"/>
    <n v="0"/>
    <n v="16.61"/>
    <n v="0.15"/>
  </r>
  <r>
    <s v="India, India Himachal Pradesh"/>
    <x v="2"/>
    <n v="0"/>
    <n v="0"/>
    <n v="0"/>
    <n v="0"/>
    <n v="0"/>
    <n v="0"/>
    <n v="0"/>
    <n v="0"/>
    <n v="0"/>
    <n v="0"/>
    <n v="0"/>
    <n v="0"/>
    <n v="0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-0.01"/>
  </r>
  <r>
    <s v="India, India Himachal Pradesh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3"/>
    <n v="0"/>
    <n v="0"/>
    <n v="0"/>
    <n v="0.15"/>
    <n v="0"/>
    <n v="0"/>
    <n v="0"/>
    <n v="0"/>
    <n v="0"/>
    <n v="0"/>
    <n v="0"/>
    <n v="0"/>
    <n v="0"/>
    <n v="0"/>
    <n v="-0.15"/>
  </r>
  <r>
    <s v="India, India Himachal Pradesh"/>
    <x v="4"/>
    <n v="0"/>
    <n v="0"/>
    <n v="0"/>
    <n v="0"/>
    <n v="0"/>
    <n v="0"/>
    <n v="0"/>
    <n v="0"/>
    <n v="0"/>
    <n v="0"/>
    <n v="0"/>
    <n v="0"/>
    <n v="0"/>
    <n v="0"/>
    <n v="0"/>
    <n v="0"/>
    <n v="6.66"/>
    <n v="0"/>
    <n v="1.25"/>
    <n v="0"/>
    <n v="0"/>
    <n v="0"/>
    <n v="0.53"/>
    <n v="0"/>
    <n v="0"/>
    <n v="0"/>
    <n v="0"/>
    <n v="0"/>
    <n v="0"/>
    <n v="0"/>
    <n v="0"/>
    <n v="0"/>
    <n v="0"/>
    <n v="-7.22"/>
  </r>
  <r>
    <s v="India, India Himachal Pradesh"/>
    <x v="5"/>
    <n v="0"/>
    <n v="0"/>
    <n v="0"/>
    <n v="7.0000000000000007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06"/>
  </r>
  <r>
    <s v="India, India Himachal Pradesh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imachal Pradesh"/>
    <x v="7"/>
    <n v="0"/>
    <n v="0"/>
    <n v="0"/>
    <n v="0"/>
    <n v="0"/>
    <n v="0"/>
    <n v="0"/>
    <n v="0"/>
    <n v="0"/>
    <n v="0"/>
    <n v="0"/>
    <n v="0"/>
    <n v="0"/>
    <n v="0"/>
    <n v="0"/>
    <n v="0"/>
    <n v="1.32"/>
    <n v="1.97"/>
    <n v="0"/>
    <n v="0"/>
    <n v="0"/>
    <n v="0"/>
    <n v="0"/>
    <n v="0"/>
    <n v="0"/>
    <n v="0"/>
    <n v="0"/>
    <n v="0"/>
    <n v="0"/>
    <n v="0"/>
    <n v="0"/>
    <n v="0"/>
    <n v="0"/>
    <n v="-2.8"/>
  </r>
  <r>
    <s v="India, India Himachal Pradesh"/>
    <x v="8"/>
    <n v="0.2"/>
    <n v="0"/>
    <n v="0.56000000000000005"/>
    <n v="24.86"/>
    <n v="0"/>
    <n v="0.04"/>
    <n v="0"/>
    <n v="0"/>
    <n v="0"/>
    <n v="0"/>
    <n v="0"/>
    <n v="0"/>
    <n v="0"/>
    <n v="0"/>
    <n v="0"/>
    <n v="0"/>
    <n v="6.43"/>
    <n v="0.28000000000000003"/>
    <n v="0.95"/>
    <n v="0.95"/>
    <n v="0.91"/>
    <n v="0.01"/>
    <n v="0.91"/>
    <n v="0"/>
    <n v="0"/>
    <n v="0"/>
    <n v="0"/>
    <n v="0"/>
    <n v="0"/>
    <n v="0"/>
    <n v="0"/>
    <n v="0"/>
    <n v="37.479999999999997"/>
    <n v="10.1"/>
  </r>
  <r>
    <s v="India, India Himachal Pradesh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imachal Pradesh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9"/>
    <n v="0"/>
    <n v="0"/>
    <n v="0"/>
    <n v="0"/>
    <n v="0"/>
    <n v="0"/>
    <n v="0"/>
    <n v="0"/>
    <n v="0"/>
    <n v="0"/>
    <n v="0"/>
    <n v="0"/>
    <n v="0"/>
    <n v="0"/>
  </r>
  <r>
    <s v="India, India Himachal Pradesh"/>
    <x v="11"/>
    <n v="0.14000000000000001"/>
    <n v="0"/>
    <n v="0"/>
    <n v="2.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imachal Pradesh"/>
    <x v="12"/>
    <n v="0"/>
    <n v="0"/>
    <n v="0"/>
    <n v="0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imachal Pradesh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8"/>
    <n v="0"/>
    <n v="0"/>
    <n v="0"/>
    <n v="0"/>
    <n v="0"/>
    <n v="0"/>
    <n v="0"/>
    <n v="0"/>
    <n v="0"/>
    <n v="0"/>
    <n v="0"/>
  </r>
  <r>
    <s v="India, India Himachal Pradesh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imachal Pradesh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imachal Pradesh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imachal Pradesh"/>
    <x v="17"/>
    <n v="0.12"/>
    <n v="0"/>
    <n v="0"/>
    <n v="3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8"/>
    <n v="0"/>
    <n v="0"/>
    <n v="0"/>
    <n v="0"/>
    <n v="0"/>
    <n v="0"/>
    <n v="0"/>
    <n v="0"/>
    <n v="0"/>
    <n v="0"/>
    <n v="0"/>
  </r>
  <r>
    <s v="India, India Himachal Pradesh"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imachal Pradesh"/>
    <x v="19"/>
    <n v="0"/>
    <n v="0"/>
    <n v="0"/>
    <n v="0"/>
    <n v="0"/>
    <n v="0"/>
    <n v="0"/>
    <n v="0"/>
    <n v="0"/>
    <n v="0"/>
    <n v="0"/>
    <n v="0"/>
    <n v="0"/>
    <n v="0"/>
    <n v="0"/>
    <n v="0"/>
    <n v="0.45"/>
    <n v="0"/>
    <n v="0"/>
    <n v="0"/>
    <n v="0"/>
    <n v="0"/>
    <n v="0.44"/>
    <n v="0"/>
    <n v="0"/>
    <n v="0"/>
    <n v="0"/>
    <n v="0"/>
    <n v="0"/>
    <n v="0"/>
    <n v="0"/>
    <n v="0"/>
    <n v="0"/>
    <n v="0"/>
  </r>
  <r>
    <s v="India, India Himachal Pradesh"/>
    <x v="20"/>
    <n v="0.23"/>
    <n v="0"/>
    <n v="0"/>
    <n v="8.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imachal Pradesh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"/>
    <n v="0"/>
    <n v="0"/>
    <n v="0"/>
    <n v="0"/>
    <n v="43.59"/>
    <n v="2.89"/>
    <n v="-51.09"/>
    <n v="0"/>
  </r>
  <r>
    <s v="India, India Himachal Pradesh"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imachal Pradesh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imachal Pradesh"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imachal Pradesh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4"/>
    <n v="0"/>
    <n v="0"/>
    <n v="0"/>
    <n v="0"/>
    <n v="0"/>
    <n v="0"/>
    <n v="0"/>
    <n v="0"/>
    <n v="0"/>
    <n v="0"/>
    <n v="0"/>
    <n v="0"/>
    <n v="0"/>
    <n v="0"/>
  </r>
  <r>
    <s v="India, India Himachal Pradesh"/>
    <x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599999999999999"/>
    <n v="0"/>
    <n v="0"/>
    <n v="0"/>
    <n v="0"/>
    <n v="0"/>
    <n v="0"/>
    <n v="0"/>
    <n v="0"/>
    <n v="0"/>
    <n v="0"/>
    <n v="0"/>
    <n v="0"/>
    <n v="0"/>
  </r>
  <r>
    <s v="India, India Himachal Pradesh"/>
    <x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05"/>
    <n v="0.01"/>
    <n v="0"/>
    <n v="0"/>
    <n v="0"/>
    <n v="0"/>
    <n v="0"/>
    <n v="0"/>
    <n v="0"/>
    <n v="0"/>
    <n v="0"/>
    <n v="0"/>
    <n v="0"/>
    <n v="0"/>
    <n v="0"/>
  </r>
  <r>
    <s v="India, India Himachal Pradesh"/>
    <x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imachal Pradesh"/>
    <x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imachal Pradesh"/>
    <x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imachal Pradesh"/>
    <x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14"/>
    <n v="0"/>
    <n v="0"/>
    <n v="0"/>
    <n v="0"/>
    <n v="0"/>
    <n v="0"/>
    <n v="0"/>
    <n v="0"/>
    <n v="0"/>
    <n v="0"/>
    <n v="0"/>
    <n v="0"/>
    <n v="0"/>
    <n v="0"/>
  </r>
  <r>
    <s v="India, India Himachal Pradesh"/>
    <x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imachal Pradesh"/>
    <x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3"/>
    <n v="0"/>
    <n v="0"/>
    <n v="0"/>
    <n v="0"/>
    <n v="0"/>
    <n v="0"/>
    <n v="0"/>
    <n v="0"/>
    <n v="0"/>
    <n v="0"/>
    <n v="0"/>
    <n v="0"/>
    <n v="0"/>
    <n v="0"/>
  </r>
  <r>
    <s v="India, India Himachal Pradesh"/>
    <x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17"/>
    <n v="0"/>
    <n v="0"/>
    <n v="0"/>
    <n v="0"/>
    <n v="0"/>
    <n v="0"/>
    <n v="0"/>
    <n v="0"/>
    <n v="0"/>
    <n v="0"/>
    <n v="0"/>
    <n v="0"/>
    <n v="0"/>
    <n v="0"/>
  </r>
  <r>
    <s v="India, India Himachal Pradesh"/>
    <x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2"/>
    <n v="0"/>
    <n v="0"/>
    <n v="0"/>
    <n v="0"/>
    <n v="0"/>
    <n v="0"/>
    <n v="0"/>
    <n v="0"/>
    <n v="0"/>
    <n v="0"/>
    <n v="0"/>
    <n v="0"/>
    <n v="0"/>
  </r>
  <r>
    <s v="India, India Himachal Pradesh"/>
    <x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53"/>
    <n v="1.63"/>
    <n v="0.06"/>
    <n v="0"/>
    <n v="0"/>
    <n v="0"/>
    <n v="0"/>
    <n v="0"/>
    <n v="0"/>
    <n v="0"/>
    <n v="0"/>
    <n v="0"/>
    <n v="0"/>
    <n v="0.02"/>
    <n v="0"/>
  </r>
  <r>
    <s v="India, India Himachal Pradesh"/>
    <x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03"/>
    <n v="0.67"/>
    <n v="0"/>
    <n v="0"/>
    <n v="0"/>
    <n v="0"/>
    <n v="0"/>
    <n v="0"/>
    <n v="0"/>
    <n v="0"/>
    <n v="0"/>
    <n v="0"/>
    <n v="0"/>
    <n v="0"/>
    <n v="0"/>
  </r>
  <r>
    <s v="India, India Himachal Pradesh"/>
    <x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9"/>
    <n v="0"/>
    <n v="0"/>
    <n v="0"/>
    <n v="0"/>
    <n v="0"/>
    <n v="0"/>
    <n v="0"/>
    <n v="0"/>
    <n v="0"/>
    <n v="0"/>
    <n v="0"/>
    <n v="0"/>
    <n v="0"/>
  </r>
  <r>
    <s v="India, India Jammu and Kashmir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7"/>
    <n v="0"/>
    <n v="0"/>
    <n v="0"/>
    <n v="0"/>
    <n v="0"/>
    <n v="0"/>
    <n v="0"/>
    <n v="0"/>
    <n v="0"/>
    <n v="0"/>
    <n v="0"/>
    <n v="0"/>
  </r>
  <r>
    <s v="India, India Jammu and Kashmir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7"/>
    <n v="0"/>
    <n v="0"/>
    <n v="0"/>
    <n v="0"/>
    <n v="0"/>
    <n v="0"/>
    <n v="0"/>
    <n v="0"/>
    <n v="0"/>
    <n v="0"/>
    <n v="0"/>
    <n v="0"/>
    <n v="0"/>
    <n v="12.59"/>
    <n v="3.02"/>
  </r>
  <r>
    <s v="India, India Jammu and Kashmir"/>
    <x v="2"/>
    <n v="0"/>
    <n v="0"/>
    <n v="0"/>
    <n v="0"/>
    <n v="0"/>
    <n v="0"/>
    <n v="0"/>
    <n v="0"/>
    <n v="0"/>
    <n v="0"/>
    <n v="0"/>
    <n v="0"/>
    <n v="0"/>
    <n v="0"/>
    <n v="0"/>
    <n v="0"/>
    <n v="0.02"/>
    <n v="0"/>
    <n v="0"/>
    <n v="0"/>
    <n v="0"/>
    <n v="0"/>
    <n v="0"/>
    <n v="0"/>
    <n v="0"/>
    <n v="0"/>
    <n v="0"/>
    <n v="0"/>
    <n v="0"/>
    <n v="0"/>
    <n v="0"/>
    <n v="0"/>
    <n v="0"/>
    <n v="-0.01"/>
  </r>
  <r>
    <s v="India, India Jammu and Kashmir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4"/>
    <n v="0"/>
    <n v="0"/>
    <n v="0.38"/>
    <n v="1.34"/>
    <n v="0"/>
    <n v="0"/>
    <n v="0"/>
    <n v="0"/>
    <n v="0"/>
    <n v="0"/>
    <n v="0"/>
    <n v="0"/>
    <n v="0"/>
    <n v="0"/>
    <n v="-3.02"/>
  </r>
  <r>
    <s v="India, India Jammu and Kashmir"/>
    <x v="4"/>
    <n v="0"/>
    <n v="0"/>
    <n v="0"/>
    <n v="0"/>
    <n v="0"/>
    <n v="0"/>
    <n v="0"/>
    <n v="0"/>
    <n v="0"/>
    <n v="0"/>
    <n v="0"/>
    <n v="0"/>
    <n v="0"/>
    <n v="0"/>
    <n v="0"/>
    <n v="0"/>
    <n v="8.3800000000000008"/>
    <n v="0"/>
    <n v="2.27"/>
    <n v="0.48"/>
    <n v="0"/>
    <n v="0"/>
    <n v="0.89"/>
    <n v="0"/>
    <n v="0"/>
    <n v="0"/>
    <n v="0"/>
    <n v="0"/>
    <n v="0"/>
    <n v="0"/>
    <n v="0"/>
    <n v="0"/>
    <n v="0"/>
    <n v="-10.35"/>
  </r>
  <r>
    <s v="India, India Jammu and Kashmir"/>
    <x v="5"/>
    <n v="0"/>
    <n v="0"/>
    <n v="0"/>
    <n v="0.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12"/>
  </r>
  <r>
    <s v="India, India Jammu and Kashmir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ammu and Kashmir"/>
    <x v="7"/>
    <n v="0"/>
    <n v="0"/>
    <n v="0.41"/>
    <n v="0"/>
    <n v="0"/>
    <n v="0"/>
    <n v="0"/>
    <n v="0"/>
    <n v="0"/>
    <n v="0"/>
    <n v="0"/>
    <n v="0"/>
    <n v="0"/>
    <n v="0"/>
    <n v="0"/>
    <n v="0"/>
    <n v="0.65"/>
    <n v="0.65"/>
    <n v="0"/>
    <n v="0"/>
    <n v="0"/>
    <n v="0"/>
    <n v="0"/>
    <n v="0"/>
    <n v="0"/>
    <n v="0"/>
    <n v="0"/>
    <n v="0"/>
    <n v="0"/>
    <n v="0"/>
    <n v="0"/>
    <n v="0"/>
    <n v="0"/>
    <n v="-1.45"/>
  </r>
  <r>
    <s v="India, India Jammu and Kashmir"/>
    <x v="8"/>
    <n v="0.03"/>
    <n v="0"/>
    <n v="0.62"/>
    <n v="6.45"/>
    <n v="0"/>
    <n v="0.02"/>
    <n v="0"/>
    <n v="0"/>
    <n v="0"/>
    <n v="0"/>
    <n v="0"/>
    <n v="0"/>
    <n v="0"/>
    <n v="0"/>
    <n v="0"/>
    <n v="0"/>
    <n v="0.7"/>
    <n v="0.03"/>
    <n v="0.04"/>
    <n v="1.24"/>
    <n v="1.65"/>
    <n v="0.02"/>
    <n v="1.33"/>
    <n v="0"/>
    <n v="0"/>
    <n v="0"/>
    <n v="0"/>
    <n v="0"/>
    <n v="0"/>
    <n v="0"/>
    <n v="0"/>
    <n v="0"/>
    <n v="36.06"/>
    <n v="11.93"/>
  </r>
  <r>
    <s v="India, India Jammu and Kashmir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ammu and Kashmir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1"/>
    <n v="0"/>
    <n v="0"/>
    <n v="0"/>
    <n v="0"/>
    <n v="0"/>
    <n v="0"/>
    <n v="0"/>
    <n v="0"/>
    <n v="0"/>
    <n v="0"/>
    <n v="0"/>
    <n v="0"/>
    <n v="0"/>
    <n v="0"/>
  </r>
  <r>
    <s v="India, India Jammu and Kashmir"/>
    <x v="11"/>
    <n v="0.31"/>
    <n v="0"/>
    <n v="0"/>
    <n v="5.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ammu and Kashmir"/>
    <x v="12"/>
    <n v="0"/>
    <n v="0"/>
    <n v="0"/>
    <n v="0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ammu and Kashmir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2"/>
    <n v="0"/>
    <n v="0"/>
    <n v="0"/>
    <n v="1.85"/>
    <n v="0"/>
    <n v="0"/>
    <n v="0"/>
    <n v="0"/>
    <n v="0"/>
    <n v="0"/>
    <n v="0"/>
    <n v="0"/>
    <n v="0"/>
    <n v="0"/>
    <n v="0"/>
  </r>
  <r>
    <s v="India, India Jammu and Kashmir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ammu and Kashmir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ammu and Kashmir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ammu and Kashmir"/>
    <x v="17"/>
    <n v="0.26"/>
    <n v="0"/>
    <n v="0"/>
    <n v="6.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29"/>
    <n v="0"/>
    <n v="0"/>
    <n v="0"/>
    <n v="0"/>
    <n v="0"/>
    <n v="0"/>
    <n v="0"/>
    <n v="0"/>
    <n v="0"/>
    <n v="0"/>
    <n v="0"/>
  </r>
  <r>
    <s v="India, India Jammu and Kashmir"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ammu and Kashmir"/>
    <x v="19"/>
    <n v="0"/>
    <n v="0"/>
    <n v="0"/>
    <n v="0"/>
    <n v="0"/>
    <n v="0"/>
    <n v="0"/>
    <n v="0"/>
    <n v="0"/>
    <n v="0"/>
    <n v="0"/>
    <n v="0"/>
    <n v="0"/>
    <n v="0"/>
    <n v="0"/>
    <n v="0"/>
    <n v="0.09"/>
    <n v="0"/>
    <n v="0"/>
    <n v="0.04"/>
    <n v="0.12"/>
    <n v="0"/>
    <n v="2.14"/>
    <n v="0"/>
    <n v="0"/>
    <n v="0"/>
    <n v="0"/>
    <n v="0"/>
    <n v="0"/>
    <n v="0"/>
    <n v="0"/>
    <n v="0"/>
    <n v="0"/>
    <n v="0"/>
  </r>
  <r>
    <s v="India, India Jammu and Kashmir"/>
    <x v="20"/>
    <n v="0.49"/>
    <n v="0"/>
    <n v="0"/>
    <n v="18.82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ammu and Kashmir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"/>
    <n v="0"/>
    <n v="0"/>
    <n v="0"/>
    <n v="0"/>
    <n v="22.35"/>
    <n v="6.52"/>
    <n v="-40.479999999999997"/>
    <n v="0"/>
  </r>
  <r>
    <s v="India, India Jammu and Kashmir"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ammu and Kashmir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ammu and Kashmir"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ammu and Kashmir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7"/>
    <n v="0"/>
    <n v="0"/>
    <n v="0"/>
    <n v="0"/>
    <n v="0"/>
    <n v="0"/>
    <n v="0"/>
    <n v="0"/>
    <n v="0"/>
    <n v="0"/>
    <n v="0"/>
    <n v="0"/>
    <n v="0"/>
    <n v="0"/>
  </r>
  <r>
    <s v="India, India Jammu and Kashmir"/>
    <x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18"/>
    <n v="0"/>
    <n v="0"/>
    <n v="0"/>
    <n v="0"/>
    <n v="0"/>
    <n v="0"/>
    <n v="0"/>
    <n v="0"/>
    <n v="0"/>
    <n v="0"/>
    <n v="0"/>
    <n v="0"/>
    <n v="0"/>
  </r>
  <r>
    <s v="India, India Jammu and Kashmir"/>
    <x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"/>
    <n v="0.01"/>
    <n v="0.01"/>
    <n v="0"/>
    <n v="0"/>
    <n v="0"/>
    <n v="0"/>
    <n v="0"/>
    <n v="0"/>
    <n v="0"/>
    <n v="0"/>
    <n v="0"/>
    <n v="0"/>
    <n v="0"/>
    <n v="0"/>
  </r>
  <r>
    <s v="India, India Jammu and Kashmir"/>
    <x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ammu and Kashmir"/>
    <x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ammu and Kashmir"/>
    <x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ammu and Kashmir"/>
    <x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14"/>
    <n v="0"/>
    <n v="0"/>
    <n v="0"/>
    <n v="0"/>
    <n v="0"/>
    <n v="0"/>
    <n v="0"/>
    <n v="0"/>
    <n v="0"/>
    <n v="0"/>
    <n v="0"/>
    <n v="0"/>
    <n v="0"/>
    <n v="0"/>
  </r>
  <r>
    <s v="India, India Jammu and Kashmir"/>
    <x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ammu and Kashmir"/>
    <x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55"/>
    <n v="0"/>
    <n v="0"/>
    <n v="0"/>
    <n v="0"/>
    <n v="0"/>
    <n v="0"/>
    <n v="0"/>
    <n v="0"/>
    <n v="0"/>
    <n v="0"/>
    <n v="0"/>
    <n v="0"/>
    <n v="0"/>
    <n v="0"/>
  </r>
  <r>
    <s v="India, India Jammu and Kashmir"/>
    <x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87"/>
    <n v="0"/>
    <n v="0"/>
    <n v="0"/>
    <n v="0"/>
    <n v="0"/>
    <n v="0"/>
    <n v="0"/>
    <n v="0"/>
    <n v="0"/>
    <n v="0"/>
    <n v="0"/>
    <n v="0"/>
    <n v="0"/>
    <n v="0"/>
  </r>
  <r>
    <s v="India, India Jammu and Kashmir"/>
    <x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6"/>
    <n v="0"/>
    <n v="0"/>
    <n v="0"/>
    <n v="0"/>
    <n v="0"/>
    <n v="0"/>
    <n v="0"/>
    <n v="0"/>
    <n v="0"/>
    <n v="0"/>
    <n v="0"/>
    <n v="0"/>
    <n v="0"/>
  </r>
  <r>
    <s v="India, India Jammu and Kashmir"/>
    <x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1"/>
    <n v="2.61"/>
    <n v="0.1"/>
    <n v="0.02"/>
    <n v="0"/>
    <n v="0"/>
    <n v="0"/>
    <n v="0"/>
    <n v="0"/>
    <n v="0"/>
    <n v="0"/>
    <n v="0"/>
    <n v="0"/>
    <n v="0.04"/>
    <n v="0"/>
  </r>
  <r>
    <s v="India, India Jammu and Kashmir"/>
    <x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5"/>
    <n v="1.07"/>
    <n v="0"/>
    <n v="0"/>
    <n v="0"/>
    <n v="0"/>
    <n v="0"/>
    <n v="0"/>
    <n v="0"/>
    <n v="0"/>
    <n v="0"/>
    <n v="0"/>
    <n v="0"/>
    <n v="0"/>
    <n v="0"/>
  </r>
  <r>
    <s v="India, India Jammu and Kashmir"/>
    <x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"/>
    <n v="0"/>
    <n v="0"/>
    <n v="0"/>
    <n v="0"/>
    <n v="0"/>
    <n v="0"/>
    <n v="0"/>
    <n v="0"/>
    <n v="0"/>
    <n v="0"/>
    <n v="0"/>
    <n v="0"/>
    <n v="0"/>
  </r>
  <r>
    <s v="India, India Jharkhand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"/>
    <n v="0"/>
    <n v="0"/>
    <n v="0"/>
    <n v="0"/>
    <n v="0"/>
    <n v="0"/>
    <n v="0"/>
    <n v="0"/>
    <n v="0"/>
    <n v="0"/>
    <n v="0"/>
  </r>
  <r>
    <s v="India, India Jharkhand"/>
    <x v="1"/>
    <n v="0"/>
    <n v="0"/>
    <n v="0"/>
    <n v="0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59"/>
    <n v="0.17"/>
  </r>
  <r>
    <s v="India, India Jharkhand"/>
    <x v="2"/>
    <n v="0"/>
    <n v="0"/>
    <n v="0"/>
    <n v="0"/>
    <n v="0"/>
    <n v="0"/>
    <n v="0"/>
    <n v="0"/>
    <n v="0"/>
    <n v="0"/>
    <n v="0"/>
    <n v="0"/>
    <n v="0"/>
    <n v="0"/>
    <n v="0"/>
    <n v="0"/>
    <n v="0.04"/>
    <n v="0"/>
    <n v="0"/>
    <n v="0"/>
    <n v="0"/>
    <n v="0"/>
    <n v="0"/>
    <n v="0"/>
    <n v="0"/>
    <n v="0"/>
    <n v="0"/>
    <n v="0"/>
    <n v="0"/>
    <n v="0"/>
    <n v="0"/>
    <n v="0"/>
    <n v="0"/>
    <n v="-0.04"/>
  </r>
  <r>
    <s v="India, India Jharkhand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9"/>
    <n v="0"/>
    <n v="0"/>
    <n v="0"/>
    <n v="0"/>
    <n v="0"/>
    <n v="0"/>
    <n v="0"/>
    <n v="0"/>
    <n v="0"/>
    <n v="0"/>
    <n v="-0.17"/>
  </r>
  <r>
    <s v="India, India Jharkhand"/>
    <x v="4"/>
    <n v="0"/>
    <n v="0"/>
    <n v="0"/>
    <n v="0"/>
    <n v="0"/>
    <n v="0"/>
    <n v="0"/>
    <n v="0"/>
    <n v="0"/>
    <n v="0"/>
    <n v="0"/>
    <n v="0"/>
    <n v="0"/>
    <n v="0"/>
    <n v="0"/>
    <n v="0"/>
    <n v="31.98"/>
    <n v="0"/>
    <n v="5.98"/>
    <n v="0"/>
    <n v="0"/>
    <n v="0"/>
    <n v="2.5499999999999998"/>
    <n v="0"/>
    <n v="0"/>
    <n v="0"/>
    <n v="0"/>
    <n v="0"/>
    <n v="0"/>
    <n v="0"/>
    <n v="0"/>
    <n v="0"/>
    <n v="0"/>
    <n v="-34.71"/>
  </r>
  <r>
    <s v="India, India Jharkhand"/>
    <x v="5"/>
    <n v="0.01"/>
    <n v="0"/>
    <n v="0"/>
    <n v="0.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31"/>
  </r>
  <r>
    <s v="India, India Jharkhand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harkhand"/>
    <x v="7"/>
    <n v="0"/>
    <n v="0"/>
    <n v="1.89"/>
    <n v="0"/>
    <n v="0"/>
    <n v="0"/>
    <n v="0"/>
    <n v="0"/>
    <n v="0"/>
    <n v="0"/>
    <n v="0"/>
    <n v="0"/>
    <n v="0"/>
    <n v="0"/>
    <n v="0"/>
    <n v="0"/>
    <n v="0.21"/>
    <n v="0.21"/>
    <n v="0"/>
    <n v="0"/>
    <n v="0"/>
    <n v="0"/>
    <n v="0"/>
    <n v="0"/>
    <n v="0"/>
    <n v="0"/>
    <n v="0"/>
    <n v="0"/>
    <n v="0"/>
    <n v="0"/>
    <n v="0"/>
    <n v="0"/>
    <n v="0"/>
    <n v="-1.96"/>
  </r>
  <r>
    <s v="India, India Jharkhand"/>
    <x v="8"/>
    <n v="0.41"/>
    <n v="0"/>
    <n v="0.82"/>
    <n v="422.6"/>
    <n v="0"/>
    <n v="1.66"/>
    <n v="0"/>
    <n v="0"/>
    <n v="0"/>
    <n v="0"/>
    <n v="0"/>
    <n v="0"/>
    <n v="0"/>
    <n v="0"/>
    <n v="0"/>
    <n v="0"/>
    <n v="2.56"/>
    <n v="0.12"/>
    <n v="10.96"/>
    <n v="7.37"/>
    <n v="4.3499999999999996"/>
    <n v="0.92"/>
    <n v="4.9400000000000004"/>
    <n v="0"/>
    <n v="0"/>
    <n v="0"/>
    <n v="0"/>
    <n v="0"/>
    <n v="0"/>
    <n v="0"/>
    <n v="0"/>
    <n v="0"/>
    <n v="36.58"/>
    <n v="37.01"/>
  </r>
  <r>
    <s v="India, India Jharkhand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harkhand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4"/>
    <n v="0"/>
    <n v="0"/>
    <n v="0"/>
    <n v="0"/>
    <n v="0"/>
    <n v="0"/>
    <n v="0"/>
    <n v="0"/>
    <n v="0"/>
    <n v="0"/>
    <n v="0"/>
    <n v="0"/>
    <n v="0"/>
    <n v="0"/>
  </r>
  <r>
    <s v="India, India Jharkhand"/>
    <x v="11"/>
    <n v="8.48"/>
    <n v="0"/>
    <n v="0"/>
    <n v="153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harkhand"/>
    <x v="12"/>
    <n v="0.12"/>
    <n v="0"/>
    <n v="0"/>
    <n v="2.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harkhand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5000000000000004"/>
    <n v="0"/>
    <n v="0"/>
    <n v="0"/>
    <n v="0"/>
    <n v="0"/>
    <n v="0"/>
    <n v="0"/>
    <n v="0"/>
    <n v="0"/>
    <n v="0"/>
    <n v="0"/>
  </r>
  <r>
    <s v="India, India Jharkhand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harkhand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harkhand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harkhand"/>
    <x v="17"/>
    <n v="6.97"/>
    <n v="0"/>
    <n v="0"/>
    <n v="180.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6"/>
    <n v="0"/>
    <n v="0"/>
    <n v="0"/>
    <n v="0"/>
    <n v="0"/>
    <n v="0"/>
    <n v="0"/>
    <n v="0"/>
    <n v="0"/>
    <n v="0"/>
    <n v="0"/>
  </r>
  <r>
    <s v="India, India Jharkhand"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harkhand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3"/>
    <n v="0"/>
    <n v="0"/>
    <n v="0"/>
    <n v="0"/>
    <n v="0"/>
    <n v="0"/>
    <n v="0"/>
    <n v="0"/>
    <n v="0"/>
    <n v="0"/>
    <n v="0"/>
  </r>
  <r>
    <s v="India, India Jharkhand"/>
    <x v="20"/>
    <n v="13.22"/>
    <n v="0"/>
    <n v="0"/>
    <n v="509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harkhand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9"/>
    <n v="0"/>
    <n v="0"/>
    <n v="0"/>
    <n v="0"/>
    <n v="0"/>
    <n v="4.9800000000000004"/>
    <n v="0"/>
    <n v="-269.87"/>
    <n v="0"/>
  </r>
  <r>
    <s v="India, India Jharkhand"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harkhand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harkhand"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harkhand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5"/>
    <n v="0"/>
    <n v="0"/>
    <n v="0"/>
    <n v="0"/>
    <n v="0"/>
    <n v="0"/>
    <n v="0"/>
    <n v="0"/>
    <n v="0"/>
    <n v="0"/>
    <n v="0"/>
    <n v="0"/>
    <n v="0"/>
    <n v="0"/>
  </r>
  <r>
    <s v="India, India Jharkhand"/>
    <x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2"/>
    <n v="0"/>
    <n v="0"/>
    <n v="0"/>
    <n v="0"/>
    <n v="0"/>
    <n v="0"/>
    <n v="0"/>
    <n v="0"/>
    <n v="0"/>
    <n v="0"/>
    <n v="0"/>
    <n v="0"/>
    <n v="0"/>
  </r>
  <r>
    <s v="India, India Jharkhand"/>
    <x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82"/>
    <n v="0.04"/>
    <n v="0.02"/>
    <n v="0"/>
    <n v="0"/>
    <n v="0"/>
    <n v="0"/>
    <n v="0"/>
    <n v="0"/>
    <n v="0"/>
    <n v="0"/>
    <n v="0"/>
    <n v="0"/>
    <n v="0"/>
    <n v="0"/>
  </r>
  <r>
    <s v="India, India Jharkhand"/>
    <x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harkhand"/>
    <x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harkhand"/>
    <x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harkhand"/>
    <x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4"/>
    <n v="0"/>
    <n v="0"/>
    <n v="0"/>
    <n v="0"/>
    <n v="0"/>
    <n v="0"/>
    <n v="0"/>
    <n v="0"/>
    <n v="0"/>
    <n v="0"/>
    <n v="0"/>
    <n v="0"/>
    <n v="0"/>
    <n v="0"/>
  </r>
  <r>
    <s v="India, India Jharkhand"/>
    <x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harkhand"/>
    <x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41"/>
    <n v="0"/>
    <n v="0"/>
    <n v="0"/>
    <n v="0"/>
    <n v="0"/>
    <n v="0"/>
    <n v="0"/>
    <n v="0"/>
    <n v="0"/>
    <n v="0"/>
    <n v="0"/>
    <n v="0"/>
    <n v="0"/>
    <n v="0"/>
  </r>
  <r>
    <s v="India, India Jharkhand"/>
    <x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49"/>
    <n v="0"/>
    <n v="0"/>
    <n v="0"/>
    <n v="0"/>
    <n v="0"/>
    <n v="0"/>
    <n v="0"/>
    <n v="0"/>
    <n v="0"/>
    <n v="0"/>
    <n v="0"/>
    <n v="0"/>
    <n v="0"/>
    <n v="0"/>
  </r>
  <r>
    <s v="India, India Jharkhand"/>
    <x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2"/>
    <n v="0"/>
    <n v="0"/>
    <n v="0"/>
    <n v="0"/>
    <n v="0"/>
    <n v="0"/>
    <n v="0"/>
    <n v="0"/>
    <n v="0"/>
    <n v="0"/>
    <n v="0"/>
    <n v="0"/>
    <n v="0"/>
  </r>
  <r>
    <s v="India, India Jharkhand"/>
    <x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61"/>
    <n v="4.53"/>
    <n v="0.26"/>
    <n v="0.04"/>
    <n v="0"/>
    <n v="0"/>
    <n v="0"/>
    <n v="0"/>
    <n v="0"/>
    <n v="0"/>
    <n v="0"/>
    <n v="0"/>
    <n v="0"/>
    <n v="0.1"/>
    <n v="0"/>
  </r>
  <r>
    <s v="India, India Jharkhand"/>
    <x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05"/>
    <n v="1.85"/>
    <n v="0"/>
    <n v="0"/>
    <n v="0"/>
    <n v="0"/>
    <n v="0"/>
    <n v="0"/>
    <n v="0"/>
    <n v="0"/>
    <n v="0"/>
    <n v="0"/>
    <n v="0"/>
    <n v="0"/>
    <n v="0"/>
  </r>
  <r>
    <s v="India, India Jharkhand"/>
    <x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3"/>
    <n v="0"/>
    <n v="0"/>
    <n v="0"/>
    <n v="0"/>
    <n v="0"/>
    <n v="0"/>
    <n v="0"/>
    <n v="0"/>
    <n v="0"/>
    <n v="0"/>
    <n v="0"/>
    <n v="0"/>
    <n v="0"/>
  </r>
  <r>
    <s v="India, India Uttar Pradesh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4"/>
    <n v="0"/>
    <n v="0"/>
    <n v="0"/>
    <n v="0"/>
    <n v="0"/>
    <n v="0"/>
    <n v="0"/>
    <n v="0"/>
    <n v="0"/>
    <n v="0"/>
    <n v="0"/>
  </r>
  <r>
    <s v="India, India Uttar Pradesh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.1"/>
    <n v="1.01"/>
  </r>
  <r>
    <s v="India, India Uttar Pradesh"/>
    <x v="2"/>
    <n v="3.42"/>
    <n v="0"/>
    <n v="0"/>
    <n v="26.74"/>
    <n v="0"/>
    <n v="0"/>
    <n v="0"/>
    <n v="0"/>
    <n v="0"/>
    <n v="0"/>
    <n v="0"/>
    <n v="0"/>
    <n v="0"/>
    <n v="0"/>
    <n v="0"/>
    <n v="0"/>
    <n v="0"/>
    <n v="0"/>
    <n v="26.14"/>
    <n v="0"/>
    <n v="0"/>
    <n v="0"/>
    <n v="6.57"/>
    <n v="0"/>
    <n v="0"/>
    <n v="0"/>
    <n v="0"/>
    <n v="0"/>
    <n v="0"/>
    <n v="0"/>
    <n v="0"/>
    <n v="0"/>
    <n v="0"/>
    <n v="-53.44"/>
  </r>
  <r>
    <s v="India, India Uttar Pradesh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9"/>
    <n v="0"/>
    <n v="0"/>
    <n v="0"/>
    <n v="0"/>
    <n v="0"/>
    <n v="0"/>
    <n v="0"/>
    <n v="0"/>
    <n v="0"/>
    <n v="0"/>
    <n v="-1.01"/>
  </r>
  <r>
    <s v="India, India Uttar Pradesh"/>
    <x v="4"/>
    <n v="0"/>
    <n v="0"/>
    <n v="0"/>
    <n v="0"/>
    <n v="0"/>
    <n v="0"/>
    <n v="0"/>
    <n v="0"/>
    <n v="0"/>
    <n v="0"/>
    <n v="0"/>
    <n v="0"/>
    <n v="0"/>
    <n v="0"/>
    <n v="0"/>
    <n v="0"/>
    <n v="193.73"/>
    <n v="0"/>
    <n v="36.1"/>
    <n v="0"/>
    <n v="0"/>
    <n v="0"/>
    <n v="15.42"/>
    <n v="0"/>
    <n v="0"/>
    <n v="0"/>
    <n v="0"/>
    <n v="0"/>
    <n v="0"/>
    <n v="0"/>
    <n v="0"/>
    <n v="0"/>
    <n v="0"/>
    <n v="-210.23"/>
  </r>
  <r>
    <s v="India, India Uttar Pradesh"/>
    <x v="5"/>
    <n v="0.04"/>
    <n v="0"/>
    <n v="0"/>
    <n v="2.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.85"/>
  </r>
  <r>
    <s v="India, India Uttar Pradesh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 Pradesh"/>
    <x v="7"/>
    <n v="0"/>
    <n v="0"/>
    <n v="12.05"/>
    <n v="0"/>
    <n v="0"/>
    <n v="0"/>
    <n v="0"/>
    <n v="0"/>
    <n v="0"/>
    <n v="0"/>
    <n v="0"/>
    <n v="0"/>
    <n v="0"/>
    <n v="0"/>
    <n v="0"/>
    <n v="0"/>
    <n v="0.13"/>
    <n v="0.13"/>
    <n v="0"/>
    <n v="0"/>
    <n v="0"/>
    <n v="0"/>
    <n v="0"/>
    <n v="0"/>
    <n v="0"/>
    <n v="0"/>
    <n v="0"/>
    <n v="0"/>
    <n v="0"/>
    <n v="0"/>
    <n v="0"/>
    <n v="0"/>
    <n v="0"/>
    <n v="-10.46"/>
  </r>
  <r>
    <s v="India, India Uttar Pradesh"/>
    <x v="8"/>
    <n v="1.95"/>
    <n v="0"/>
    <n v="4.34"/>
    <n v="196.18"/>
    <n v="0"/>
    <n v="0.18"/>
    <n v="0"/>
    <n v="0"/>
    <n v="0"/>
    <n v="0"/>
    <n v="0"/>
    <n v="0"/>
    <n v="0"/>
    <n v="0"/>
    <n v="0"/>
    <n v="0"/>
    <n v="0.69"/>
    <n v="0.03"/>
    <n v="3.45"/>
    <n v="28.83"/>
    <n v="26.26"/>
    <n v="0.34"/>
    <n v="105"/>
    <n v="0"/>
    <n v="0"/>
    <n v="0"/>
    <n v="0"/>
    <n v="0"/>
    <n v="0"/>
    <n v="0"/>
    <n v="0"/>
    <n v="0"/>
    <n v="190.35"/>
    <n v="275.99"/>
  </r>
  <r>
    <s v="India, India Uttar Pradesh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.77"/>
    <n v="0"/>
    <n v="32.54"/>
    <n v="0"/>
    <n v="135"/>
    <n v="0"/>
    <n v="0"/>
    <n v="0"/>
    <n v="0"/>
    <n v="0"/>
    <n v="0"/>
    <n v="0"/>
    <n v="0"/>
    <n v="0"/>
    <n v="0"/>
    <n v="0"/>
  </r>
  <r>
    <s v="India, India Uttar Pradesh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17.89"/>
    <n v="0"/>
    <n v="0"/>
    <n v="0.19"/>
    <n v="0"/>
    <n v="0"/>
    <n v="0"/>
    <n v="0"/>
    <n v="0"/>
    <n v="0"/>
    <n v="0"/>
    <n v="0"/>
    <n v="0"/>
    <n v="0"/>
    <n v="0"/>
  </r>
  <r>
    <s v="India, India Uttar Pradesh"/>
    <x v="11"/>
    <n v="10.16"/>
    <n v="0"/>
    <n v="0"/>
    <n v="183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 Pradesh"/>
    <x v="12"/>
    <n v="0.15"/>
    <n v="0"/>
    <n v="0"/>
    <n v="2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 Pradesh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35"/>
    <n v="0"/>
    <n v="0"/>
    <n v="0"/>
    <n v="0"/>
    <n v="0"/>
    <n v="0"/>
    <n v="0"/>
    <n v="0"/>
    <n v="0"/>
    <n v="0"/>
    <n v="0"/>
  </r>
  <r>
    <s v="India, India Uttar Pradesh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 Pradesh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 Pradesh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 Pradesh"/>
    <x v="17"/>
    <n v="8.36"/>
    <n v="0"/>
    <n v="0"/>
    <n v="216.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18"/>
    <n v="0"/>
    <n v="0"/>
    <n v="0"/>
    <n v="0"/>
    <n v="0"/>
    <n v="0"/>
    <n v="0"/>
    <n v="0"/>
    <n v="0"/>
    <n v="0"/>
    <n v="0"/>
  </r>
  <r>
    <s v="India, India Uttar Pradesh"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 Pradesh"/>
    <x v="19"/>
    <n v="0"/>
    <n v="0"/>
    <n v="0"/>
    <n v="0"/>
    <n v="0"/>
    <n v="0"/>
    <n v="0"/>
    <n v="0"/>
    <n v="0"/>
    <n v="0"/>
    <n v="0"/>
    <n v="0"/>
    <n v="0"/>
    <n v="0"/>
    <n v="0"/>
    <n v="0"/>
    <n v="4.08"/>
    <n v="0"/>
    <n v="0"/>
    <n v="0"/>
    <n v="0"/>
    <n v="0"/>
    <n v="3.88"/>
    <n v="0"/>
    <n v="0"/>
    <n v="0"/>
    <n v="0"/>
    <n v="0"/>
    <n v="0"/>
    <n v="0"/>
    <n v="0"/>
    <n v="0"/>
    <n v="0"/>
    <n v="0"/>
  </r>
  <r>
    <s v="India, India Uttar Pradesh"/>
    <x v="20"/>
    <n v="15.85"/>
    <n v="0"/>
    <n v="0"/>
    <n v="610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 Pradesh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7"/>
    <n v="0"/>
    <n v="0"/>
    <n v="0"/>
    <n v="0"/>
    <n v="0"/>
    <n v="23.55"/>
    <n v="28.43"/>
    <n v="-366.4"/>
    <n v="0"/>
  </r>
  <r>
    <s v="India, India Uttar Pradesh"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 Pradesh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 Pradesh"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 Pradesh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05"/>
    <n v="0"/>
    <n v="0"/>
    <n v="0"/>
    <n v="0"/>
    <n v="0"/>
    <n v="0"/>
    <n v="0"/>
    <n v="0"/>
    <n v="0"/>
    <n v="0"/>
    <n v="0"/>
    <n v="0"/>
    <n v="0"/>
    <n v="0"/>
  </r>
  <r>
    <s v="India, India Uttar Pradesh"/>
    <x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97"/>
    <n v="0"/>
    <n v="0"/>
    <n v="0"/>
    <n v="0"/>
    <n v="0"/>
    <n v="0"/>
    <n v="0"/>
    <n v="0"/>
    <n v="0"/>
    <n v="0"/>
    <n v="0"/>
    <n v="0"/>
    <n v="0"/>
  </r>
  <r>
    <s v="India, India Uttar Pradesh"/>
    <x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64"/>
    <n v="0.23"/>
    <n v="0.12"/>
    <n v="0"/>
    <n v="0"/>
    <n v="0"/>
    <n v="0"/>
    <n v="0"/>
    <n v="0"/>
    <n v="0"/>
    <n v="0"/>
    <n v="0"/>
    <n v="0"/>
    <n v="0"/>
    <n v="0"/>
  </r>
  <r>
    <s v="India, India Uttar Pradesh"/>
    <x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 Pradesh"/>
    <x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 Pradesh"/>
    <x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 Pradesh"/>
    <x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92"/>
    <n v="0"/>
    <n v="0"/>
    <n v="0"/>
    <n v="0"/>
    <n v="0"/>
    <n v="0"/>
    <n v="0"/>
    <n v="0"/>
    <n v="0"/>
    <n v="0"/>
    <n v="0"/>
    <n v="0"/>
    <n v="4.33"/>
    <n v="0"/>
  </r>
  <r>
    <s v="India, India Uttar Pradesh"/>
    <x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 Pradesh"/>
    <x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79"/>
    <n v="0"/>
    <n v="0"/>
    <n v="0"/>
    <n v="0"/>
    <n v="0"/>
    <n v="0"/>
    <n v="0"/>
    <n v="0"/>
    <n v="0"/>
    <n v="0"/>
    <n v="0"/>
    <n v="0"/>
    <n v="0"/>
    <n v="0"/>
  </r>
  <r>
    <s v="India, India Uttar Pradesh"/>
    <x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17"/>
    <n v="0"/>
    <n v="0"/>
    <n v="0"/>
    <n v="0"/>
    <n v="0"/>
    <n v="0"/>
    <n v="0"/>
    <n v="0"/>
    <n v="0"/>
    <n v="0"/>
    <n v="0"/>
    <n v="0"/>
    <n v="0"/>
    <n v="0"/>
  </r>
  <r>
    <s v="India, India Uttar Pradesh"/>
    <x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12"/>
    <n v="0"/>
    <n v="0"/>
    <n v="0"/>
    <n v="0"/>
    <n v="0"/>
    <n v="0"/>
    <n v="0"/>
    <n v="0"/>
    <n v="0"/>
    <n v="0"/>
    <n v="0"/>
    <n v="0"/>
    <n v="0"/>
  </r>
  <r>
    <s v="India, India Uttar Pradesh"/>
    <x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49"/>
    <n v="30.19"/>
    <n v="1.65"/>
    <n v="0.22"/>
    <n v="0"/>
    <n v="0"/>
    <n v="0"/>
    <n v="0"/>
    <n v="0"/>
    <n v="0"/>
    <n v="0"/>
    <n v="0"/>
    <n v="0"/>
    <n v="0.63"/>
    <n v="0"/>
  </r>
  <r>
    <s v="India, India Uttar Pradesh"/>
    <x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6"/>
    <n v="12.35"/>
    <n v="0"/>
    <n v="0.02"/>
    <n v="0"/>
    <n v="0"/>
    <n v="0"/>
    <n v="0"/>
    <n v="0"/>
    <n v="0"/>
    <n v="0"/>
    <n v="0"/>
    <n v="0"/>
    <n v="0"/>
    <n v="0"/>
  </r>
  <r>
    <s v="India, India Uttar Pradesh"/>
    <x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96"/>
    <n v="0"/>
    <n v="0"/>
    <n v="0"/>
    <n v="0"/>
    <n v="0"/>
    <n v="0"/>
    <n v="0"/>
    <n v="0"/>
    <n v="0"/>
    <n v="0"/>
    <n v="0"/>
    <n v="0"/>
    <n v="0"/>
  </r>
  <r>
    <s v="India, India Andhra Pradesh"/>
    <x v="39"/>
    <n v="0"/>
    <n v="0"/>
    <n v="0"/>
    <n v="20.34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ndhra Pradesh"/>
    <x v="40"/>
    <n v="0"/>
    <n v="0"/>
    <n v="0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ndhra Pradesh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ndhra Pradesh"/>
    <x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ndhra Pradesh"/>
    <x v="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ndhra Pradesh"/>
    <x v="44"/>
    <n v="0"/>
    <n v="0"/>
    <n v="0"/>
    <n v="0"/>
    <n v="0"/>
    <n v="0"/>
    <n v="0"/>
    <n v="0"/>
    <n v="0"/>
    <n v="0"/>
    <n v="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ndhra Pradesh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ndhra Pradesh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ndhra Pradesh"/>
    <x v="47"/>
    <n v="0"/>
    <n v="0"/>
    <n v="0"/>
    <n v="48.1"/>
    <n v="0"/>
    <n v="0"/>
    <n v="0"/>
    <n v="0"/>
    <n v="0"/>
    <n v="0"/>
    <n v="0"/>
    <n v="0"/>
    <n v="18.98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ndhra Pradesh"/>
    <x v="48"/>
    <n v="0"/>
    <n v="0"/>
    <n v="0"/>
    <n v="0.98"/>
    <n v="0"/>
    <n v="0"/>
    <n v="0"/>
    <n v="0"/>
    <n v="0"/>
    <n v="0"/>
    <n v="0"/>
    <n v="0"/>
    <n v="0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ndhra Pradesh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ndhra Pradesh"/>
    <x v="44"/>
    <n v="0"/>
    <n v="0"/>
    <n v="0"/>
    <n v="0"/>
    <n v="0"/>
    <n v="0"/>
    <n v="0.99"/>
    <n v="0"/>
    <n v="0"/>
    <n v="0"/>
    <n v="0"/>
    <n v="0.68"/>
    <n v="2.470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ndhra Pradesh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ndhra Pradesh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ndhra Pradesh"/>
    <x v="47"/>
    <n v="0.23"/>
    <n v="0"/>
    <n v="0"/>
    <n v="2.2400000000000002"/>
    <n v="0"/>
    <n v="0"/>
    <n v="97.95"/>
    <n v="0"/>
    <n v="0"/>
    <n v="0"/>
    <n v="0"/>
    <n v="67.040000000000006"/>
    <n v="234.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ndhra Pradesh"/>
    <x v="48"/>
    <n v="0"/>
    <n v="0"/>
    <n v="0"/>
    <n v="0.05"/>
    <n v="0"/>
    <n v="0"/>
    <n v="0"/>
    <n v="0"/>
    <n v="0"/>
    <n v="0"/>
    <n v="0"/>
    <n v="0"/>
    <n v="9.8699999999999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harkhand"/>
    <x v="39"/>
    <n v="0"/>
    <n v="0"/>
    <n v="0"/>
    <n v="2.0499999999999998"/>
    <n v="0"/>
    <n v="0"/>
    <n v="0"/>
    <n v="0"/>
    <n v="0"/>
    <n v="0"/>
    <n v="0"/>
    <n v="0"/>
    <n v="1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harkhand"/>
    <x v="40"/>
    <n v="0"/>
    <n v="0"/>
    <n v="0"/>
    <n v="0"/>
    <n v="0"/>
    <n v="0"/>
    <n v="0"/>
    <n v="0"/>
    <n v="0"/>
    <n v="0"/>
    <n v="0"/>
    <n v="0"/>
    <n v="1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harkhand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harkhand"/>
    <x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harkhand"/>
    <x v="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harkhand"/>
    <x v="44"/>
    <n v="0"/>
    <n v="0"/>
    <n v="0"/>
    <n v="0"/>
    <n v="0"/>
    <n v="0"/>
    <n v="0"/>
    <n v="0"/>
    <n v="0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harkhand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harkhand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harkhand"/>
    <x v="47"/>
    <n v="0"/>
    <n v="0"/>
    <n v="0"/>
    <n v="0.2"/>
    <n v="0"/>
    <n v="0"/>
    <n v="0"/>
    <n v="0"/>
    <n v="0"/>
    <n v="0"/>
    <n v="0"/>
    <n v="0"/>
    <n v="1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harkhand"/>
    <x v="48"/>
    <n v="0"/>
    <n v="0"/>
    <n v="0"/>
    <n v="0"/>
    <n v="0"/>
    <n v="0"/>
    <n v="0"/>
    <n v="0"/>
    <n v="0"/>
    <n v="0"/>
    <n v="0"/>
    <n v="0"/>
    <n v="0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harkhand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harkhand"/>
    <x v="44"/>
    <n v="0"/>
    <n v="0"/>
    <n v="0"/>
    <n v="0"/>
    <n v="0"/>
    <n v="0"/>
    <n v="0.34"/>
    <n v="0"/>
    <n v="0"/>
    <n v="0"/>
    <n v="0"/>
    <n v="0.23"/>
    <n v="0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harkhand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harkhand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harkhand"/>
    <x v="47"/>
    <n v="3.58"/>
    <n v="0"/>
    <n v="0"/>
    <n v="34.81"/>
    <n v="0"/>
    <n v="0"/>
    <n v="33.68"/>
    <n v="0"/>
    <n v="0"/>
    <n v="0"/>
    <n v="0"/>
    <n v="23.05"/>
    <n v="80.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harkhand"/>
    <x v="48"/>
    <n v="7.0000000000000007E-2"/>
    <n v="0"/>
    <n v="0"/>
    <n v="0.71"/>
    <n v="0"/>
    <n v="0"/>
    <n v="0"/>
    <n v="0"/>
    <n v="0"/>
    <n v="0"/>
    <n v="0"/>
    <n v="0"/>
    <n v="3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arnataka"/>
    <x v="39"/>
    <n v="0"/>
    <n v="0"/>
    <n v="0"/>
    <n v="43.21"/>
    <n v="0"/>
    <n v="0"/>
    <n v="0"/>
    <n v="0"/>
    <n v="0"/>
    <n v="0"/>
    <n v="0"/>
    <n v="0"/>
    <n v="3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arnataka"/>
    <x v="40"/>
    <n v="0"/>
    <n v="0"/>
    <n v="0"/>
    <n v="0"/>
    <n v="0"/>
    <n v="0"/>
    <n v="0"/>
    <n v="0"/>
    <n v="0"/>
    <n v="0"/>
    <n v="0"/>
    <n v="0"/>
    <n v="3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arnataka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arnataka"/>
    <x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arnataka"/>
    <x v="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arnataka"/>
    <x v="44"/>
    <n v="0"/>
    <n v="0"/>
    <n v="0"/>
    <n v="0"/>
    <n v="0"/>
    <n v="0"/>
    <n v="0"/>
    <n v="0"/>
    <n v="0"/>
    <n v="0"/>
    <n v="0"/>
    <n v="0"/>
    <n v="0.289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arnataka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arnataka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arnataka"/>
    <x v="47"/>
    <n v="0"/>
    <n v="0"/>
    <n v="0"/>
    <n v="36.479999999999997"/>
    <n v="0"/>
    <n v="0"/>
    <n v="0"/>
    <n v="0"/>
    <n v="0"/>
    <n v="0"/>
    <n v="0"/>
    <n v="0"/>
    <n v="27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arnataka"/>
    <x v="48"/>
    <n v="0"/>
    <n v="0"/>
    <n v="0"/>
    <n v="0.74"/>
    <n v="0"/>
    <n v="0"/>
    <n v="0"/>
    <n v="0"/>
    <n v="0"/>
    <n v="0"/>
    <n v="0"/>
    <n v="0"/>
    <n v="1.13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arnataka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arnataka"/>
    <x v="44"/>
    <n v="0"/>
    <n v="0"/>
    <n v="0"/>
    <n v="0"/>
    <n v="0"/>
    <n v="0"/>
    <n v="0.64"/>
    <n v="0"/>
    <n v="0"/>
    <n v="0"/>
    <n v="0"/>
    <n v="0.44"/>
    <n v="1.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arnataka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arnataka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arnataka"/>
    <x v="47"/>
    <n v="0.03"/>
    <n v="0"/>
    <n v="0"/>
    <n v="0.33"/>
    <n v="0"/>
    <n v="0"/>
    <n v="63.31"/>
    <n v="0"/>
    <n v="0"/>
    <n v="0"/>
    <n v="0"/>
    <n v="43.33"/>
    <n v="151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arnataka"/>
    <x v="48"/>
    <n v="0"/>
    <n v="0"/>
    <n v="0"/>
    <n v="0.01"/>
    <n v="0"/>
    <n v="0"/>
    <n v="0"/>
    <n v="0"/>
    <n v="0"/>
    <n v="0"/>
    <n v="0"/>
    <n v="0"/>
    <n v="6.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erala"/>
    <x v="39"/>
    <n v="0"/>
    <n v="0"/>
    <n v="0"/>
    <n v="6.57"/>
    <n v="0"/>
    <n v="0"/>
    <n v="0"/>
    <n v="0"/>
    <n v="0"/>
    <n v="0"/>
    <n v="0"/>
    <n v="0"/>
    <n v="2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erala"/>
    <x v="40"/>
    <n v="0"/>
    <n v="0"/>
    <n v="0"/>
    <n v="0"/>
    <n v="0"/>
    <n v="0"/>
    <n v="0"/>
    <n v="0"/>
    <n v="0"/>
    <n v="0"/>
    <n v="0"/>
    <n v="0"/>
    <n v="2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erala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erala"/>
    <x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erala"/>
    <x v="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erala"/>
    <x v="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erala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erala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erala"/>
    <x v="47"/>
    <n v="0"/>
    <n v="0"/>
    <n v="0"/>
    <n v="0.8"/>
    <n v="0"/>
    <n v="0"/>
    <n v="0"/>
    <n v="0"/>
    <n v="0"/>
    <n v="0"/>
    <n v="0"/>
    <n v="0"/>
    <n v="0.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erala"/>
    <x v="48"/>
    <n v="0"/>
    <n v="0"/>
    <n v="0"/>
    <n v="0.02"/>
    <n v="0"/>
    <n v="0"/>
    <n v="0"/>
    <n v="0"/>
    <n v="0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erala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erala"/>
    <x v="44"/>
    <n v="0"/>
    <n v="0"/>
    <n v="0"/>
    <n v="0"/>
    <n v="0"/>
    <n v="0"/>
    <n v="0.39"/>
    <n v="0"/>
    <n v="0"/>
    <n v="0"/>
    <n v="0"/>
    <n v="0.27"/>
    <n v="0.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erala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erala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erala"/>
    <x v="47"/>
    <n v="0.01"/>
    <n v="0"/>
    <n v="0"/>
    <n v="0.13"/>
    <n v="0"/>
    <n v="0"/>
    <n v="38.39"/>
    <n v="0"/>
    <n v="0"/>
    <n v="0"/>
    <n v="0"/>
    <n v="26.28"/>
    <n v="91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Kerala"/>
    <x v="48"/>
    <n v="0"/>
    <n v="0"/>
    <n v="0"/>
    <n v="0"/>
    <n v="0"/>
    <n v="0"/>
    <n v="0"/>
    <n v="0"/>
    <n v="0"/>
    <n v="0"/>
    <n v="0"/>
    <n v="0"/>
    <n v="3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dhya Pradesh"/>
    <x v="39"/>
    <n v="0"/>
    <n v="0"/>
    <n v="0"/>
    <n v="5.92"/>
    <n v="0"/>
    <n v="0"/>
    <n v="0"/>
    <n v="0"/>
    <n v="0"/>
    <n v="0"/>
    <n v="0"/>
    <n v="0"/>
    <n v="3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dhya Pradesh"/>
    <x v="40"/>
    <n v="0"/>
    <n v="0"/>
    <n v="0"/>
    <n v="0"/>
    <n v="0"/>
    <n v="0"/>
    <n v="0"/>
    <n v="0"/>
    <n v="0"/>
    <n v="0"/>
    <n v="0"/>
    <n v="0"/>
    <n v="3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dhya Pradesh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dhya Pradesh"/>
    <x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dhya Pradesh"/>
    <x v="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dhya Pradesh"/>
    <x v="44"/>
    <n v="0"/>
    <n v="0"/>
    <n v="0"/>
    <n v="0"/>
    <n v="0"/>
    <n v="0"/>
    <n v="0"/>
    <n v="0"/>
    <n v="0"/>
    <n v="0"/>
    <n v="0"/>
    <n v="0"/>
    <n v="0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dhya Pradesh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dhya Pradesh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dhya Pradesh"/>
    <x v="47"/>
    <n v="0"/>
    <n v="0"/>
    <n v="0"/>
    <n v="23.36"/>
    <n v="0"/>
    <n v="0"/>
    <n v="0"/>
    <n v="0"/>
    <n v="0"/>
    <n v="0"/>
    <n v="0"/>
    <n v="0"/>
    <n v="16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dhya Pradesh"/>
    <x v="48"/>
    <n v="0"/>
    <n v="0"/>
    <n v="0"/>
    <n v="0.48"/>
    <n v="0"/>
    <n v="0"/>
    <n v="0"/>
    <n v="0"/>
    <n v="0"/>
    <n v="0"/>
    <n v="0"/>
    <n v="0"/>
    <n v="0.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dhya Pradesh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dhya Pradesh"/>
    <x v="44"/>
    <n v="0"/>
    <n v="0"/>
    <n v="0"/>
    <n v="0"/>
    <n v="0"/>
    <n v="0"/>
    <n v="0.95"/>
    <n v="0"/>
    <n v="0"/>
    <n v="0"/>
    <n v="0"/>
    <n v="0.65"/>
    <n v="2.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dhya Pradesh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dhya Pradesh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dhya Pradesh"/>
    <x v="47"/>
    <n v="0.11"/>
    <n v="0"/>
    <n v="0"/>
    <n v="1.04"/>
    <n v="0"/>
    <n v="0"/>
    <n v="94.53"/>
    <n v="0"/>
    <n v="0"/>
    <n v="0"/>
    <n v="0"/>
    <n v="64.7"/>
    <n v="226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dhya Pradesh"/>
    <x v="48"/>
    <n v="0"/>
    <n v="0"/>
    <n v="0"/>
    <n v="0.02"/>
    <n v="0"/>
    <n v="0"/>
    <n v="0"/>
    <n v="0"/>
    <n v="0"/>
    <n v="0"/>
    <n v="0"/>
    <n v="0"/>
    <n v="9.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harashtra-Dadra-Nagar Haveli-Daman-Diu"/>
    <x v="39"/>
    <n v="0"/>
    <n v="0"/>
    <n v="0"/>
    <n v="48.24"/>
    <n v="0"/>
    <n v="0"/>
    <n v="0"/>
    <n v="0"/>
    <n v="0"/>
    <n v="0"/>
    <n v="0"/>
    <n v="0"/>
    <n v="8.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harashtra-Dadra-Nagar Haveli-Daman-Diu"/>
    <x v="40"/>
    <n v="0"/>
    <n v="0"/>
    <n v="0"/>
    <n v="0"/>
    <n v="0"/>
    <n v="0"/>
    <n v="0"/>
    <n v="0"/>
    <n v="0"/>
    <n v="0"/>
    <n v="0"/>
    <n v="0"/>
    <n v="8.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harashtra-Dadra-Nagar Haveli-Daman-Diu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harashtra-Dadra-Nagar Haveli-Daman-Diu"/>
    <x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harashtra-Dadra-Nagar Haveli-Daman-Diu"/>
    <x v="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harashtra-Dadra-Nagar Haveli-Daman-Diu"/>
    <x v="44"/>
    <n v="0"/>
    <n v="0"/>
    <n v="0"/>
    <n v="0"/>
    <n v="0"/>
    <n v="0"/>
    <n v="0"/>
    <n v="0"/>
    <n v="0"/>
    <n v="0"/>
    <n v="0"/>
    <n v="0"/>
    <n v="0.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harashtra-Dadra-Nagar Haveli-Daman-Diu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harashtra-Dadra-Nagar Haveli-Daman-Diu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harashtra-Dadra-Nagar Haveli-Daman-Diu"/>
    <x v="47"/>
    <n v="0"/>
    <n v="0"/>
    <n v="0"/>
    <n v="16.260000000000002"/>
    <n v="0"/>
    <n v="0"/>
    <n v="0"/>
    <n v="0"/>
    <n v="0"/>
    <n v="0"/>
    <n v="0"/>
    <n v="0"/>
    <n v="49.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harashtra-Dadra-Nagar Haveli-Daman-Diu"/>
    <x v="48"/>
    <n v="0"/>
    <n v="0"/>
    <n v="0"/>
    <n v="0.33"/>
    <n v="0"/>
    <n v="0"/>
    <n v="0"/>
    <n v="0"/>
    <n v="0"/>
    <n v="0"/>
    <n v="0"/>
    <n v="0"/>
    <n v="2.06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harashtra-Dadra-Nagar Haveli-Daman-Diu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harashtra-Dadra-Nagar Haveli-Daman-Diu"/>
    <x v="44"/>
    <n v="0"/>
    <n v="0"/>
    <n v="0"/>
    <n v="0"/>
    <n v="0"/>
    <n v="0"/>
    <n v="0.92"/>
    <n v="0"/>
    <n v="0"/>
    <n v="0"/>
    <n v="0"/>
    <n v="0.63"/>
    <n v="2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harashtra-Dadra-Nagar Haveli-Daman-Diu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harashtra-Dadra-Nagar Haveli-Daman-Diu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harashtra-Dadra-Nagar Haveli-Daman-Diu"/>
    <x v="47"/>
    <n v="0.17"/>
    <n v="0"/>
    <n v="0"/>
    <n v="1.64"/>
    <n v="0"/>
    <n v="0"/>
    <n v="91.57"/>
    <n v="0"/>
    <n v="0"/>
    <n v="0"/>
    <n v="0"/>
    <n v="62.68"/>
    <n v="219.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Maharashtra-Dadra-Nagar Haveli-Daman-Diu"/>
    <x v="48"/>
    <n v="0"/>
    <n v="0"/>
    <n v="0"/>
    <n v="0.03"/>
    <n v="0"/>
    <n v="0"/>
    <n v="0"/>
    <n v="0"/>
    <n v="0"/>
    <n v="0"/>
    <n v="0"/>
    <n v="0"/>
    <n v="9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North East (excl. Assam)"/>
    <x v="39"/>
    <n v="0"/>
    <n v="0"/>
    <n v="0"/>
    <n v="1.51"/>
    <n v="0"/>
    <n v="0"/>
    <n v="0"/>
    <n v="0"/>
    <n v="0"/>
    <n v="0"/>
    <n v="0"/>
    <n v="0"/>
    <n v="0.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North East (excl. Assam)"/>
    <x v="40"/>
    <n v="0"/>
    <n v="0"/>
    <n v="0"/>
    <n v="0"/>
    <n v="0"/>
    <n v="0"/>
    <n v="0"/>
    <n v="0"/>
    <n v="0"/>
    <n v="0"/>
    <n v="0"/>
    <n v="0"/>
    <n v="0.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North East (excl. Assam)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North East (excl. Assam)"/>
    <x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North East (excl. Assam)"/>
    <x v="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North East (excl. Assam)"/>
    <x v="44"/>
    <n v="0"/>
    <n v="0"/>
    <n v="0"/>
    <n v="0"/>
    <n v="0"/>
    <n v="0"/>
    <n v="0"/>
    <n v="0"/>
    <n v="0"/>
    <n v="0"/>
    <n v="0"/>
    <n v="0"/>
    <n v="0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North East (excl. Assam)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North East (excl. Assam)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North East (excl. Assam)"/>
    <x v="47"/>
    <n v="0"/>
    <n v="0"/>
    <n v="0"/>
    <n v="0.02"/>
    <n v="0"/>
    <n v="0"/>
    <n v="0"/>
    <n v="0"/>
    <n v="0"/>
    <n v="0"/>
    <n v="0"/>
    <n v="0"/>
    <n v="1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North East (excl. Assam)"/>
    <x v="48"/>
    <n v="0"/>
    <n v="0"/>
    <n v="0"/>
    <n v="0"/>
    <n v="0"/>
    <n v="0"/>
    <n v="0"/>
    <n v="0"/>
    <n v="0"/>
    <n v="0"/>
    <n v="0"/>
    <n v="0"/>
    <n v="0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North East (excl. Assam)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North East (excl. Assam)"/>
    <x v="44"/>
    <n v="0"/>
    <n v="0"/>
    <n v="0"/>
    <n v="0"/>
    <n v="0"/>
    <n v="0"/>
    <n v="0.17"/>
    <n v="0"/>
    <n v="0"/>
    <n v="0"/>
    <n v="0"/>
    <n v="0.12"/>
    <n v="0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North East (excl. Assam)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North East (excl. Assam)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North East (excl. Assam)"/>
    <x v="47"/>
    <n v="0.08"/>
    <n v="0"/>
    <n v="0"/>
    <n v="0.78"/>
    <n v="0"/>
    <n v="0"/>
    <n v="16.809999999999999"/>
    <n v="0"/>
    <n v="0"/>
    <n v="0"/>
    <n v="0"/>
    <n v="11.51"/>
    <n v="40.22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North East (excl. Assam)"/>
    <x v="48"/>
    <n v="0"/>
    <n v="0"/>
    <n v="0"/>
    <n v="0.02"/>
    <n v="0"/>
    <n v="0"/>
    <n v="0"/>
    <n v="0"/>
    <n v="0"/>
    <n v="0"/>
    <n v="0"/>
    <n v="0"/>
    <n v="1.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Orissa"/>
    <x v="39"/>
    <n v="0"/>
    <n v="0"/>
    <n v="0"/>
    <n v="2.5099999999999998"/>
    <n v="0"/>
    <n v="0"/>
    <n v="0"/>
    <n v="0"/>
    <n v="0"/>
    <n v="0"/>
    <n v="0"/>
    <n v="0"/>
    <n v="1.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Orissa"/>
    <x v="40"/>
    <n v="0"/>
    <n v="0"/>
    <n v="0"/>
    <n v="0"/>
    <n v="0"/>
    <n v="0"/>
    <n v="0"/>
    <n v="0"/>
    <n v="0"/>
    <n v="0"/>
    <n v="0"/>
    <n v="0"/>
    <n v="1.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Orissa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Orissa"/>
    <x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Orissa"/>
    <x v="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Orissa"/>
    <x v="44"/>
    <n v="0"/>
    <n v="0"/>
    <n v="0"/>
    <n v="0"/>
    <n v="0"/>
    <n v="0"/>
    <n v="0"/>
    <n v="0"/>
    <n v="0"/>
    <n v="0"/>
    <n v="0"/>
    <n v="0"/>
    <n v="0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Orissa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Orissa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Orissa"/>
    <x v="47"/>
    <n v="0"/>
    <n v="0"/>
    <n v="0"/>
    <n v="0.49"/>
    <n v="0"/>
    <n v="0"/>
    <n v="0"/>
    <n v="0"/>
    <n v="0"/>
    <n v="0"/>
    <n v="0"/>
    <n v="0"/>
    <n v="3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Orissa"/>
    <x v="48"/>
    <n v="0"/>
    <n v="0"/>
    <n v="0"/>
    <n v="0.01"/>
    <n v="0"/>
    <n v="0"/>
    <n v="0"/>
    <n v="0"/>
    <n v="0"/>
    <n v="0"/>
    <n v="0"/>
    <n v="0"/>
    <n v="0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Orissa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Orissa"/>
    <x v="44"/>
    <n v="0"/>
    <n v="0"/>
    <n v="0"/>
    <n v="0"/>
    <n v="0"/>
    <n v="0"/>
    <n v="0.65"/>
    <n v="0"/>
    <n v="0"/>
    <n v="0"/>
    <n v="0"/>
    <n v="0.45"/>
    <n v="1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Orissa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Orissa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Orissa"/>
    <x v="47"/>
    <n v="0.49"/>
    <n v="0"/>
    <n v="0"/>
    <n v="4.75"/>
    <n v="0"/>
    <n v="0"/>
    <n v="64.760000000000005"/>
    <n v="0"/>
    <n v="0"/>
    <n v="0"/>
    <n v="0"/>
    <n v="44.33"/>
    <n v="154.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Orissa"/>
    <x v="48"/>
    <n v="0.01"/>
    <n v="0"/>
    <n v="0"/>
    <n v="0.1"/>
    <n v="0"/>
    <n v="0"/>
    <n v="0"/>
    <n v="0"/>
    <n v="0"/>
    <n v="0"/>
    <n v="0"/>
    <n v="0"/>
    <n v="6.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Punjab (I)"/>
    <x v="39"/>
    <n v="0"/>
    <n v="0"/>
    <n v="0"/>
    <n v="13.4"/>
    <n v="0"/>
    <n v="0"/>
    <n v="0"/>
    <n v="0"/>
    <n v="0"/>
    <n v="0"/>
    <n v="0"/>
    <n v="0"/>
    <n v="1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Punjab (I)"/>
    <x v="40"/>
    <n v="0"/>
    <n v="0"/>
    <n v="0"/>
    <n v="0"/>
    <n v="0"/>
    <n v="0"/>
    <n v="0"/>
    <n v="0"/>
    <n v="0"/>
    <n v="0"/>
    <n v="0"/>
    <n v="0"/>
    <n v="1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Punjab (I)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Punjab (I)"/>
    <x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Punjab (I)"/>
    <x v="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Punjab (I)"/>
    <x v="44"/>
    <n v="0"/>
    <n v="0"/>
    <n v="0"/>
    <n v="0"/>
    <n v="0"/>
    <n v="0"/>
    <n v="0"/>
    <n v="0"/>
    <n v="0"/>
    <n v="0"/>
    <n v="0"/>
    <n v="0"/>
    <n v="0.140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Punjab (I)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Punjab (I)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Punjab (I)"/>
    <x v="47"/>
    <n v="0"/>
    <n v="0"/>
    <n v="0"/>
    <n v="28.24"/>
    <n v="0"/>
    <n v="0"/>
    <n v="0"/>
    <n v="0"/>
    <n v="0"/>
    <n v="0"/>
    <n v="0"/>
    <n v="0"/>
    <n v="13.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Punjab (I)"/>
    <x v="48"/>
    <n v="0"/>
    <n v="0"/>
    <n v="0"/>
    <n v="0.57999999999999996"/>
    <n v="0"/>
    <n v="0"/>
    <n v="0"/>
    <n v="0"/>
    <n v="0"/>
    <n v="0"/>
    <n v="0"/>
    <n v="0"/>
    <n v="0.56999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Punjab (I)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Punjab (I)"/>
    <x v="44"/>
    <n v="0"/>
    <n v="0"/>
    <n v="0"/>
    <n v="0"/>
    <n v="0"/>
    <n v="0"/>
    <n v="0.18"/>
    <n v="0"/>
    <n v="0"/>
    <n v="0"/>
    <n v="0"/>
    <n v="0.12"/>
    <n v="0.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Punjab (I)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Punjab (I)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Punjab (I)"/>
    <x v="47"/>
    <n v="0.03"/>
    <n v="0"/>
    <n v="0"/>
    <n v="0.33"/>
    <n v="0"/>
    <n v="0"/>
    <n v="17.36"/>
    <n v="0"/>
    <n v="0"/>
    <n v="0"/>
    <n v="0"/>
    <n v="11.88"/>
    <n v="41.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Punjab (I)"/>
    <x v="48"/>
    <n v="0"/>
    <n v="0"/>
    <n v="0"/>
    <n v="0.01"/>
    <n v="0"/>
    <n v="0"/>
    <n v="0"/>
    <n v="0"/>
    <n v="0"/>
    <n v="0"/>
    <n v="0"/>
    <n v="0"/>
    <n v="1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Rajasthan"/>
    <x v="39"/>
    <n v="0"/>
    <n v="0"/>
    <n v="0"/>
    <n v="21.56"/>
    <n v="0"/>
    <n v="0"/>
    <n v="0"/>
    <n v="0"/>
    <n v="0"/>
    <n v="0"/>
    <n v="0"/>
    <n v="0"/>
    <n v="2.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Rajasthan"/>
    <x v="40"/>
    <n v="0"/>
    <n v="0"/>
    <n v="0"/>
    <n v="0"/>
    <n v="0"/>
    <n v="0"/>
    <n v="0"/>
    <n v="0"/>
    <n v="0"/>
    <n v="0"/>
    <n v="0"/>
    <n v="0"/>
    <n v="2.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Rajasthan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Rajasthan"/>
    <x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Rajasthan"/>
    <x v="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Rajasthan"/>
    <x v="44"/>
    <n v="0"/>
    <n v="0"/>
    <n v="0"/>
    <n v="0"/>
    <n v="0"/>
    <n v="0"/>
    <n v="0"/>
    <n v="0"/>
    <n v="0"/>
    <n v="0"/>
    <n v="0"/>
    <n v="0"/>
    <n v="0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Rajasthan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Rajasthan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Rajasthan"/>
    <x v="47"/>
    <n v="0"/>
    <n v="0"/>
    <n v="0"/>
    <n v="27.04"/>
    <n v="0"/>
    <n v="0"/>
    <n v="0"/>
    <n v="0"/>
    <n v="0"/>
    <n v="0"/>
    <n v="0"/>
    <n v="0"/>
    <n v="17.82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Rajasthan"/>
    <x v="48"/>
    <n v="0"/>
    <n v="0"/>
    <n v="0"/>
    <n v="0.55000000000000004"/>
    <n v="0"/>
    <n v="0"/>
    <n v="0"/>
    <n v="0"/>
    <n v="0"/>
    <n v="0"/>
    <n v="0"/>
    <n v="0"/>
    <n v="0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Rajasthan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Rajasthan"/>
    <x v="44"/>
    <n v="0"/>
    <n v="0"/>
    <n v="0"/>
    <n v="0"/>
    <n v="0"/>
    <n v="0"/>
    <n v="0.76"/>
    <n v="0"/>
    <n v="0"/>
    <n v="0"/>
    <n v="0"/>
    <n v="0.52"/>
    <n v="1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Rajasthan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Rajasthan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Rajasthan"/>
    <x v="47"/>
    <n v="0.04"/>
    <n v="0"/>
    <n v="0"/>
    <n v="0.43"/>
    <n v="0"/>
    <n v="0"/>
    <n v="75.53"/>
    <n v="0"/>
    <n v="0"/>
    <n v="0"/>
    <n v="0"/>
    <n v="51.7"/>
    <n v="180.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Rajasthan"/>
    <x v="48"/>
    <n v="0"/>
    <n v="0"/>
    <n v="0"/>
    <n v="0.01"/>
    <n v="0"/>
    <n v="0"/>
    <n v="0"/>
    <n v="0"/>
    <n v="0"/>
    <n v="0"/>
    <n v="0"/>
    <n v="0"/>
    <n v="7.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Tamil Nadu"/>
    <x v="39"/>
    <n v="0"/>
    <n v="0"/>
    <n v="0"/>
    <n v="20.96"/>
    <n v="0"/>
    <n v="0"/>
    <n v="0"/>
    <n v="0"/>
    <n v="0"/>
    <n v="0"/>
    <n v="0"/>
    <n v="0"/>
    <n v="6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Tamil Nadu"/>
    <x v="40"/>
    <n v="0"/>
    <n v="0"/>
    <n v="0"/>
    <n v="0"/>
    <n v="0"/>
    <n v="0"/>
    <n v="0"/>
    <n v="0"/>
    <n v="0"/>
    <n v="0"/>
    <n v="0"/>
    <n v="0"/>
    <n v="6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Tamil Nadu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Tamil Nadu"/>
    <x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Tamil Nadu"/>
    <x v="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Tamil Nadu"/>
    <x v="44"/>
    <n v="0"/>
    <n v="0"/>
    <n v="0"/>
    <n v="0"/>
    <n v="0"/>
    <n v="0"/>
    <n v="0"/>
    <n v="0"/>
    <n v="0"/>
    <n v="0"/>
    <n v="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Tamil Nadu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Tamil Nadu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Tamil Nadu"/>
    <x v="47"/>
    <n v="0"/>
    <n v="0"/>
    <n v="0"/>
    <n v="33.590000000000003"/>
    <n v="0"/>
    <n v="0"/>
    <n v="0"/>
    <n v="0"/>
    <n v="0"/>
    <n v="0"/>
    <n v="0"/>
    <n v="0"/>
    <n v="18.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Tamil Nadu"/>
    <x v="48"/>
    <n v="0"/>
    <n v="0"/>
    <n v="0"/>
    <n v="0.69"/>
    <n v="0"/>
    <n v="0"/>
    <n v="0"/>
    <n v="0"/>
    <n v="0"/>
    <n v="0"/>
    <n v="0"/>
    <n v="0"/>
    <n v="0.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Tamil Nadu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Tamil Nadu"/>
    <x v="44"/>
    <n v="0"/>
    <n v="0"/>
    <n v="0"/>
    <n v="0"/>
    <n v="0"/>
    <n v="0"/>
    <n v="0.66"/>
    <n v="0"/>
    <n v="0"/>
    <n v="0"/>
    <n v="0"/>
    <n v="0.45"/>
    <n v="1.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Tamil Nadu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Tamil Nadu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Tamil Nadu"/>
    <x v="47"/>
    <n v="0.06"/>
    <n v="0"/>
    <n v="0"/>
    <n v="0.57999999999999996"/>
    <n v="0"/>
    <n v="0"/>
    <n v="65.62"/>
    <n v="0"/>
    <n v="0"/>
    <n v="0"/>
    <n v="0"/>
    <n v="44.92"/>
    <n v="157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Tamil Nadu"/>
    <x v="48"/>
    <n v="0"/>
    <n v="0"/>
    <n v="0"/>
    <n v="0.01"/>
    <n v="0"/>
    <n v="0"/>
    <n v="0"/>
    <n v="0"/>
    <n v="0"/>
    <n v="0"/>
    <n v="0"/>
    <n v="0"/>
    <n v="6.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Bihar"/>
    <x v="39"/>
    <n v="0"/>
    <n v="0"/>
    <n v="0"/>
    <n v="2.97"/>
    <n v="0"/>
    <n v="0"/>
    <n v="0"/>
    <n v="0"/>
    <n v="0"/>
    <n v="0"/>
    <n v="0"/>
    <n v="0"/>
    <n v="1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Bihar"/>
    <x v="40"/>
    <n v="0"/>
    <n v="0"/>
    <n v="0"/>
    <n v="0"/>
    <n v="0"/>
    <n v="0"/>
    <n v="0"/>
    <n v="0"/>
    <n v="0"/>
    <n v="0"/>
    <n v="0"/>
    <n v="0"/>
    <n v="1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Bihar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Bihar"/>
    <x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Bihar"/>
    <x v="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Bihar"/>
    <x v="44"/>
    <n v="0"/>
    <n v="0"/>
    <n v="0"/>
    <n v="0"/>
    <n v="0"/>
    <n v="0"/>
    <n v="0"/>
    <n v="0"/>
    <n v="0"/>
    <n v="0"/>
    <n v="0"/>
    <n v="0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Bihar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Bihar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Bihar"/>
    <x v="47"/>
    <n v="0"/>
    <n v="0"/>
    <n v="0"/>
    <n v="1.01"/>
    <n v="0"/>
    <n v="0"/>
    <n v="0"/>
    <n v="0"/>
    <n v="0"/>
    <n v="0"/>
    <n v="0"/>
    <n v="0"/>
    <n v="4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Bihar"/>
    <x v="48"/>
    <n v="0"/>
    <n v="0"/>
    <n v="0"/>
    <n v="0.02"/>
    <n v="0"/>
    <n v="0"/>
    <n v="0"/>
    <n v="0"/>
    <n v="0"/>
    <n v="0"/>
    <n v="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Bihar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Bihar"/>
    <x v="44"/>
    <n v="0"/>
    <n v="0"/>
    <n v="0"/>
    <n v="0"/>
    <n v="0"/>
    <n v="0"/>
    <n v="1.35"/>
    <n v="0"/>
    <n v="0"/>
    <n v="0"/>
    <n v="0"/>
    <n v="0.92"/>
    <n v="3.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Bihar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Bihar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Bihar"/>
    <x v="47"/>
    <n v="0.61"/>
    <n v="0"/>
    <n v="0"/>
    <n v="5.92"/>
    <n v="0"/>
    <n v="0"/>
    <n v="133.44"/>
    <n v="0"/>
    <n v="0"/>
    <n v="0"/>
    <n v="0"/>
    <n v="91.33"/>
    <n v="319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Bihar"/>
    <x v="48"/>
    <n v="0.01"/>
    <n v="0"/>
    <n v="0"/>
    <n v="0.12"/>
    <n v="0"/>
    <n v="0"/>
    <n v="0"/>
    <n v="0"/>
    <n v="0"/>
    <n v="0"/>
    <n v="0"/>
    <n v="0"/>
    <n v="13.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 Pradesh"/>
    <x v="39"/>
    <n v="0"/>
    <n v="0"/>
    <n v="0"/>
    <n v="20.43"/>
    <n v="0"/>
    <n v="0"/>
    <n v="0"/>
    <n v="0"/>
    <n v="0"/>
    <n v="0"/>
    <n v="0"/>
    <n v="0"/>
    <n v="7.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 Pradesh"/>
    <x v="40"/>
    <n v="0"/>
    <n v="0"/>
    <n v="0"/>
    <n v="0"/>
    <n v="0"/>
    <n v="0"/>
    <n v="0"/>
    <n v="0"/>
    <n v="0"/>
    <n v="0"/>
    <n v="0"/>
    <n v="0"/>
    <n v="7.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 Pradesh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 Pradesh"/>
    <x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 Pradesh"/>
    <x v="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 Pradesh"/>
    <x v="44"/>
    <n v="0"/>
    <n v="0"/>
    <n v="0"/>
    <n v="0"/>
    <n v="0"/>
    <n v="0"/>
    <n v="0"/>
    <n v="0"/>
    <n v="0"/>
    <n v="0"/>
    <n v="0"/>
    <n v="0"/>
    <n v="0.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 Pradesh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 Pradesh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 Pradesh"/>
    <x v="47"/>
    <n v="0"/>
    <n v="0"/>
    <n v="0"/>
    <n v="18.91"/>
    <n v="0"/>
    <n v="0"/>
    <n v="0"/>
    <n v="0"/>
    <n v="0"/>
    <n v="0"/>
    <n v="0"/>
    <n v="0"/>
    <n v="72.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 Pradesh"/>
    <x v="48"/>
    <n v="0"/>
    <n v="0"/>
    <n v="0"/>
    <n v="0.39"/>
    <n v="0"/>
    <n v="0"/>
    <n v="0"/>
    <n v="0"/>
    <n v="0"/>
    <n v="0"/>
    <n v="0"/>
    <n v="0"/>
    <n v="3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 Pradesh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 Pradesh"/>
    <x v="44"/>
    <n v="0"/>
    <n v="0"/>
    <n v="0"/>
    <n v="0"/>
    <n v="0"/>
    <n v="0"/>
    <n v="2.1"/>
    <n v="0"/>
    <n v="0"/>
    <n v="0"/>
    <n v="0"/>
    <n v="1.43"/>
    <n v="5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 Pradesh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 Pradesh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 Pradesh"/>
    <x v="47"/>
    <n v="0.26"/>
    <n v="0"/>
    <n v="0"/>
    <n v="2.56"/>
    <n v="0"/>
    <n v="0"/>
    <n v="207.49"/>
    <n v="0"/>
    <n v="0"/>
    <n v="0"/>
    <n v="0"/>
    <n v="142.02000000000001"/>
    <n v="496.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 Pradesh"/>
    <x v="48"/>
    <n v="0.01"/>
    <n v="0"/>
    <n v="0"/>
    <n v="0.05"/>
    <n v="0"/>
    <n v="0"/>
    <n v="0"/>
    <n v="0"/>
    <n v="0"/>
    <n v="0"/>
    <n v="0"/>
    <n v="0"/>
    <n v="20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anchal"/>
    <x v="39"/>
    <n v="0"/>
    <n v="0"/>
    <n v="0"/>
    <n v="3.84"/>
    <n v="0"/>
    <n v="0"/>
    <n v="0"/>
    <n v="0"/>
    <n v="0"/>
    <n v="0"/>
    <n v="0"/>
    <n v="0"/>
    <n v="0.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anchal"/>
    <x v="40"/>
    <n v="0"/>
    <n v="0"/>
    <n v="0"/>
    <n v="0"/>
    <n v="0"/>
    <n v="0"/>
    <n v="0"/>
    <n v="0"/>
    <n v="0"/>
    <n v="0"/>
    <n v="0"/>
    <n v="0"/>
    <n v="0.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anchal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anchal"/>
    <x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anchal"/>
    <x v="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anchal"/>
    <x v="44"/>
    <n v="0"/>
    <n v="0"/>
    <n v="0"/>
    <n v="0"/>
    <n v="0"/>
    <n v="0"/>
    <n v="0"/>
    <n v="0"/>
    <n v="0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anchal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anchal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anchal"/>
    <x v="47"/>
    <n v="0"/>
    <n v="0"/>
    <n v="0"/>
    <n v="1"/>
    <n v="0"/>
    <n v="0"/>
    <n v="0"/>
    <n v="0"/>
    <n v="0"/>
    <n v="0"/>
    <n v="0"/>
    <n v="0"/>
    <n v="0.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anchal"/>
    <x v="48"/>
    <n v="0"/>
    <n v="0"/>
    <n v="0"/>
    <n v="0.02"/>
    <n v="0"/>
    <n v="0"/>
    <n v="0"/>
    <n v="0"/>
    <n v="0"/>
    <n v="0"/>
    <n v="0"/>
    <n v="0"/>
    <n v="0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anchal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anchal"/>
    <x v="44"/>
    <n v="0"/>
    <n v="0"/>
    <n v="0"/>
    <n v="0"/>
    <n v="0"/>
    <n v="0"/>
    <n v="0.08"/>
    <n v="0"/>
    <n v="0"/>
    <n v="0"/>
    <n v="0"/>
    <n v="0.06"/>
    <n v="0.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anchal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anchal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anchal"/>
    <x v="47"/>
    <n v="0"/>
    <n v="0"/>
    <n v="0"/>
    <n v="0.04"/>
    <n v="0"/>
    <n v="0"/>
    <n v="8.41"/>
    <n v="0"/>
    <n v="0"/>
    <n v="0"/>
    <n v="0"/>
    <n v="5.75"/>
    <n v="20.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Uttaranchal"/>
    <x v="48"/>
    <n v="0"/>
    <n v="0"/>
    <n v="0"/>
    <n v="0"/>
    <n v="0"/>
    <n v="0"/>
    <n v="0"/>
    <n v="0"/>
    <n v="0"/>
    <n v="0"/>
    <n v="0"/>
    <n v="0"/>
    <n v="0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West Bengal"/>
    <x v="39"/>
    <n v="0"/>
    <n v="0"/>
    <n v="0"/>
    <n v="9.91"/>
    <n v="0"/>
    <n v="0"/>
    <n v="0"/>
    <n v="0"/>
    <n v="0"/>
    <n v="0"/>
    <n v="0"/>
    <n v="0"/>
    <n v="4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West Bengal"/>
    <x v="40"/>
    <n v="0"/>
    <n v="0"/>
    <n v="0"/>
    <n v="0"/>
    <n v="0"/>
    <n v="0"/>
    <n v="0"/>
    <n v="0"/>
    <n v="0"/>
    <n v="0"/>
    <n v="0"/>
    <n v="0"/>
    <n v="4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West Bengal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West Bengal"/>
    <x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West Bengal"/>
    <x v="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West Bengal"/>
    <x v="44"/>
    <n v="0"/>
    <n v="0"/>
    <n v="0"/>
    <n v="0"/>
    <n v="0"/>
    <n v="0"/>
    <n v="0"/>
    <n v="0"/>
    <n v="0"/>
    <n v="0"/>
    <n v="0"/>
    <n v="0"/>
    <n v="0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West Bengal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West Bengal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West Bengal"/>
    <x v="47"/>
    <n v="0"/>
    <n v="0"/>
    <n v="0"/>
    <n v="3.69"/>
    <n v="0"/>
    <n v="0"/>
    <n v="0"/>
    <n v="0"/>
    <n v="0"/>
    <n v="0"/>
    <n v="0"/>
    <n v="0"/>
    <n v="7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West Bengal"/>
    <x v="48"/>
    <n v="0"/>
    <n v="0"/>
    <n v="0"/>
    <n v="0.08"/>
    <n v="0"/>
    <n v="0"/>
    <n v="0"/>
    <n v="0"/>
    <n v="0"/>
    <n v="0"/>
    <n v="0"/>
    <n v="0"/>
    <n v="0.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West Bengal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West Bengal"/>
    <x v="44"/>
    <n v="0"/>
    <n v="0"/>
    <n v="0"/>
    <n v="0"/>
    <n v="0"/>
    <n v="0"/>
    <n v="1.1000000000000001"/>
    <n v="0"/>
    <n v="0"/>
    <n v="0"/>
    <n v="0"/>
    <n v="0.75"/>
    <n v="2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West Bengal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West Bengal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West Bengal"/>
    <x v="47"/>
    <n v="5.0599999999999996"/>
    <n v="0"/>
    <n v="0"/>
    <n v="49.22"/>
    <n v="0"/>
    <n v="0"/>
    <n v="109.16"/>
    <n v="0"/>
    <n v="0"/>
    <n v="0"/>
    <n v="0"/>
    <n v="74.72"/>
    <n v="261.22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West Bengal"/>
    <x v="48"/>
    <n v="0.1"/>
    <n v="0"/>
    <n v="0"/>
    <n v="1"/>
    <n v="0"/>
    <n v="0"/>
    <n v="0"/>
    <n v="0"/>
    <n v="0"/>
    <n v="0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Chhattisgarh"/>
    <x v="39"/>
    <n v="0"/>
    <n v="0"/>
    <n v="0"/>
    <n v="2.08"/>
    <n v="0"/>
    <n v="0"/>
    <n v="0"/>
    <n v="0"/>
    <n v="0"/>
    <n v="0"/>
    <n v="0"/>
    <n v="0"/>
    <n v="1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Chhattisgarh"/>
    <x v="40"/>
    <n v="0"/>
    <n v="0"/>
    <n v="0"/>
    <n v="0"/>
    <n v="0"/>
    <n v="0"/>
    <n v="0"/>
    <n v="0"/>
    <n v="0"/>
    <n v="0"/>
    <n v="0"/>
    <n v="0"/>
    <n v="1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Chhattisgarh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Chhattisgarh"/>
    <x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Chhattisgarh"/>
    <x v="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Chhattisgarh"/>
    <x v="44"/>
    <n v="0"/>
    <n v="0"/>
    <n v="0"/>
    <n v="0"/>
    <n v="0"/>
    <n v="0"/>
    <n v="0"/>
    <n v="0"/>
    <n v="0"/>
    <n v="0"/>
    <n v="0"/>
    <n v="0"/>
    <n v="0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Chhattisgarh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Chhattisgarh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Chhattisgarh"/>
    <x v="47"/>
    <n v="0"/>
    <n v="0"/>
    <n v="0"/>
    <n v="4.6900000000000004"/>
    <n v="0"/>
    <n v="0"/>
    <n v="0"/>
    <n v="0"/>
    <n v="0"/>
    <n v="0"/>
    <n v="0"/>
    <n v="0"/>
    <n v="3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Chhattisgarh"/>
    <x v="48"/>
    <n v="0"/>
    <n v="0"/>
    <n v="0"/>
    <n v="0.1"/>
    <n v="0"/>
    <n v="0"/>
    <n v="0"/>
    <n v="0"/>
    <n v="0"/>
    <n v="0"/>
    <n v="0"/>
    <n v="0"/>
    <n v="0.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Chhattisgarh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Chhattisgarh"/>
    <x v="44"/>
    <n v="0"/>
    <n v="0"/>
    <n v="0"/>
    <n v="0"/>
    <n v="0"/>
    <n v="0"/>
    <n v="0.38"/>
    <n v="0"/>
    <n v="0"/>
    <n v="0"/>
    <n v="0"/>
    <n v="0.26"/>
    <n v="0.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Chhattisgarh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Chhattisgarh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Chhattisgarh"/>
    <x v="47"/>
    <n v="0.41"/>
    <n v="0"/>
    <n v="0"/>
    <n v="4.01"/>
    <n v="0"/>
    <n v="0"/>
    <n v="38.07"/>
    <n v="0"/>
    <n v="0"/>
    <n v="0"/>
    <n v="0"/>
    <n v="26.06"/>
    <n v="91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Chhattisgarh"/>
    <x v="48"/>
    <n v="0.01"/>
    <n v="0"/>
    <n v="0"/>
    <n v="0.08"/>
    <n v="0"/>
    <n v="0"/>
    <n v="0"/>
    <n v="0"/>
    <n v="0"/>
    <n v="0"/>
    <n v="0"/>
    <n v="0"/>
    <n v="3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Delhi"/>
    <x v="39"/>
    <n v="0"/>
    <n v="0"/>
    <n v="0"/>
    <n v="20.43"/>
    <n v="0"/>
    <n v="0"/>
    <n v="0"/>
    <n v="0"/>
    <n v="0"/>
    <n v="0"/>
    <n v="0"/>
    <n v="0"/>
    <n v="2.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Delhi"/>
    <x v="40"/>
    <n v="0"/>
    <n v="0"/>
    <n v="0"/>
    <n v="0"/>
    <n v="0"/>
    <n v="0"/>
    <n v="0"/>
    <n v="0"/>
    <n v="0"/>
    <n v="0"/>
    <n v="0"/>
    <n v="0"/>
    <n v="2.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Delhi"/>
    <x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Delhi"/>
    <x v="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Delhi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Delhi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Delhi"/>
    <x v="47"/>
    <n v="0"/>
    <n v="0"/>
    <n v="0"/>
    <n v="0.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Delhi"/>
    <x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Delhi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Delhi"/>
    <x v="44"/>
    <n v="0"/>
    <n v="0"/>
    <n v="0"/>
    <n v="0"/>
    <n v="0"/>
    <n v="0"/>
    <n v="0.01"/>
    <n v="0"/>
    <n v="0"/>
    <n v="0"/>
    <n v="0"/>
    <n v="0.01"/>
    <n v="0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Delhi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Delhi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Delhi"/>
    <x v="47"/>
    <n v="0.01"/>
    <n v="0"/>
    <n v="0"/>
    <n v="0.12"/>
    <n v="0"/>
    <n v="0"/>
    <n v="1.32"/>
    <n v="0"/>
    <n v="0"/>
    <n v="0"/>
    <n v="0"/>
    <n v="0.9"/>
    <n v="3.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Delhi"/>
    <x v="48"/>
    <n v="0"/>
    <n v="0"/>
    <n v="0"/>
    <n v="0"/>
    <n v="0"/>
    <n v="0"/>
    <n v="0"/>
    <n v="0"/>
    <n v="0"/>
    <n v="0"/>
    <n v="0"/>
    <n v="0"/>
    <n v="0.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oa"/>
    <x v="39"/>
    <n v="0"/>
    <n v="0"/>
    <n v="0"/>
    <n v="3.25"/>
    <n v="0"/>
    <n v="0"/>
    <n v="0"/>
    <n v="0"/>
    <n v="0"/>
    <n v="0"/>
    <n v="0"/>
    <n v="0"/>
    <n v="0.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oa"/>
    <x v="40"/>
    <n v="0"/>
    <n v="0"/>
    <n v="0"/>
    <n v="0"/>
    <n v="0"/>
    <n v="0"/>
    <n v="0"/>
    <n v="0"/>
    <n v="0"/>
    <n v="0"/>
    <n v="0"/>
    <n v="0"/>
    <n v="0.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oa"/>
    <x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oa"/>
    <x v="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oa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oa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oa"/>
    <x v="47"/>
    <n v="0"/>
    <n v="0"/>
    <n v="0"/>
    <n v="0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oa"/>
    <x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oa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oa"/>
    <x v="44"/>
    <n v="0"/>
    <n v="0"/>
    <n v="0"/>
    <n v="0"/>
    <n v="0"/>
    <n v="0"/>
    <n v="0.01"/>
    <n v="0"/>
    <n v="0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oa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oa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oa"/>
    <x v="47"/>
    <n v="0"/>
    <n v="0"/>
    <n v="0"/>
    <n v="0.01"/>
    <n v="0"/>
    <n v="0"/>
    <n v="0.56000000000000005"/>
    <n v="0"/>
    <n v="0"/>
    <n v="0"/>
    <n v="0"/>
    <n v="0.38"/>
    <n v="1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oa"/>
    <x v="48"/>
    <n v="0"/>
    <n v="0"/>
    <n v="0"/>
    <n v="0"/>
    <n v="0"/>
    <n v="0"/>
    <n v="0"/>
    <n v="0"/>
    <n v="0"/>
    <n v="0"/>
    <n v="0"/>
    <n v="0"/>
    <n v="0.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ujarat"/>
    <x v="39"/>
    <n v="0"/>
    <n v="0"/>
    <n v="0"/>
    <n v="7.1"/>
    <n v="0"/>
    <n v="0"/>
    <n v="0"/>
    <n v="0"/>
    <n v="0"/>
    <n v="0"/>
    <n v="0"/>
    <n v="0"/>
    <n v="4.34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ujarat"/>
    <x v="40"/>
    <n v="0"/>
    <n v="0"/>
    <n v="0"/>
    <n v="0"/>
    <n v="0"/>
    <n v="0"/>
    <n v="0"/>
    <n v="0"/>
    <n v="0"/>
    <n v="0"/>
    <n v="0"/>
    <n v="0"/>
    <n v="4.34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ujarat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ujarat"/>
    <x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ujarat"/>
    <x v="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ujarat"/>
    <x v="44"/>
    <n v="0"/>
    <n v="0"/>
    <n v="0"/>
    <n v="0"/>
    <n v="0"/>
    <n v="0"/>
    <n v="0"/>
    <n v="0"/>
    <n v="0"/>
    <n v="0"/>
    <n v="0"/>
    <n v="0"/>
    <n v="0.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ujarat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ujarat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ujarat"/>
    <x v="47"/>
    <n v="0"/>
    <n v="0"/>
    <n v="0"/>
    <n v="39.700000000000003"/>
    <n v="0"/>
    <n v="0"/>
    <n v="0"/>
    <n v="0"/>
    <n v="0"/>
    <n v="0"/>
    <n v="0"/>
    <n v="0"/>
    <n v="15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ujarat"/>
    <x v="48"/>
    <n v="0"/>
    <n v="0"/>
    <n v="0"/>
    <n v="0.81"/>
    <n v="0"/>
    <n v="0"/>
    <n v="0"/>
    <n v="0"/>
    <n v="0"/>
    <n v="0"/>
    <n v="0"/>
    <n v="0"/>
    <n v="0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ujarat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ujarat"/>
    <x v="44"/>
    <n v="0"/>
    <n v="0"/>
    <n v="0"/>
    <n v="0"/>
    <n v="0"/>
    <n v="0"/>
    <n v="0.51"/>
    <n v="0"/>
    <n v="0"/>
    <n v="0"/>
    <n v="0"/>
    <n v="0.35"/>
    <n v="1.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ujarat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ujarat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ujarat"/>
    <x v="47"/>
    <n v="0.18"/>
    <n v="0"/>
    <n v="0"/>
    <n v="1.71"/>
    <n v="0"/>
    <n v="0"/>
    <n v="50.47"/>
    <n v="0"/>
    <n v="0"/>
    <n v="0"/>
    <n v="0"/>
    <n v="34.549999999999997"/>
    <n v="120.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Gujarat"/>
    <x v="48"/>
    <n v="0"/>
    <n v="0"/>
    <n v="0"/>
    <n v="0.03"/>
    <n v="0"/>
    <n v="0"/>
    <n v="0"/>
    <n v="0"/>
    <n v="0"/>
    <n v="0"/>
    <n v="0"/>
    <n v="0"/>
    <n v="5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aryana"/>
    <x v="39"/>
    <n v="0"/>
    <n v="0"/>
    <n v="0"/>
    <n v="8.35"/>
    <n v="0"/>
    <n v="0"/>
    <n v="0"/>
    <n v="0"/>
    <n v="0"/>
    <n v="0"/>
    <n v="0"/>
    <n v="0"/>
    <n v="1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aryana"/>
    <x v="40"/>
    <n v="0"/>
    <n v="0"/>
    <n v="0"/>
    <n v="0"/>
    <n v="0"/>
    <n v="0"/>
    <n v="0"/>
    <n v="0"/>
    <n v="0"/>
    <n v="0"/>
    <n v="0"/>
    <n v="0"/>
    <n v="1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aryana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aryana"/>
    <x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aryana"/>
    <x v="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aryana"/>
    <x v="44"/>
    <n v="0"/>
    <n v="0"/>
    <n v="0"/>
    <n v="0"/>
    <n v="0"/>
    <n v="0"/>
    <n v="0"/>
    <n v="0"/>
    <n v="0"/>
    <n v="0"/>
    <n v="0"/>
    <n v="0"/>
    <n v="0.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aryana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aryana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aryana"/>
    <x v="47"/>
    <n v="0"/>
    <n v="0"/>
    <n v="0"/>
    <n v="22.26"/>
    <n v="0"/>
    <n v="0"/>
    <n v="0"/>
    <n v="0"/>
    <n v="0"/>
    <n v="0"/>
    <n v="0"/>
    <n v="0"/>
    <n v="10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aryana"/>
    <x v="48"/>
    <n v="0"/>
    <n v="0"/>
    <n v="0"/>
    <n v="0.45"/>
    <n v="0"/>
    <n v="0"/>
    <n v="0"/>
    <n v="0"/>
    <n v="0"/>
    <n v="0"/>
    <n v="0"/>
    <n v="0"/>
    <n v="0.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aryana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aryana"/>
    <x v="44"/>
    <n v="0"/>
    <n v="0"/>
    <n v="0"/>
    <n v="0"/>
    <n v="0"/>
    <n v="0"/>
    <n v="0.21"/>
    <n v="0"/>
    <n v="0"/>
    <n v="0"/>
    <n v="0"/>
    <n v="0.14000000000000001"/>
    <n v="0.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aryana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aryana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aryana"/>
    <x v="47"/>
    <n v="0.02"/>
    <n v="0"/>
    <n v="0"/>
    <n v="0.16"/>
    <n v="0"/>
    <n v="0"/>
    <n v="20.32"/>
    <n v="0"/>
    <n v="0"/>
    <n v="0"/>
    <n v="0"/>
    <n v="13.91"/>
    <n v="48.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aryana"/>
    <x v="48"/>
    <n v="0"/>
    <n v="0"/>
    <n v="0"/>
    <n v="0"/>
    <n v="0"/>
    <n v="0"/>
    <n v="0"/>
    <n v="0"/>
    <n v="0"/>
    <n v="0"/>
    <n v="0"/>
    <n v="0"/>
    <n v="2.04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imachal Pradesh"/>
    <x v="39"/>
    <n v="0"/>
    <n v="0"/>
    <n v="0"/>
    <n v="4.4000000000000004"/>
    <n v="0"/>
    <n v="0"/>
    <n v="0"/>
    <n v="0"/>
    <n v="0"/>
    <n v="0"/>
    <n v="0"/>
    <n v="0"/>
    <n v="0.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imachal Pradesh"/>
    <x v="40"/>
    <n v="0"/>
    <n v="0"/>
    <n v="0"/>
    <n v="0"/>
    <n v="0"/>
    <n v="0"/>
    <n v="0"/>
    <n v="0"/>
    <n v="0"/>
    <n v="0"/>
    <n v="0"/>
    <n v="0"/>
    <n v="0.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imachal Pradesh"/>
    <x v="44"/>
    <n v="0"/>
    <n v="0"/>
    <n v="0"/>
    <n v="0"/>
    <n v="0"/>
    <n v="0"/>
    <n v="0"/>
    <n v="0"/>
    <n v="0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imachal Pradesh"/>
    <x v="47"/>
    <n v="0"/>
    <n v="0"/>
    <n v="0"/>
    <n v="0.09"/>
    <n v="0"/>
    <n v="0"/>
    <n v="0"/>
    <n v="0"/>
    <n v="0"/>
    <n v="0"/>
    <n v="0"/>
    <n v="0"/>
    <n v="0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imachal Pradesh"/>
    <x v="48"/>
    <n v="0"/>
    <n v="0"/>
    <n v="0"/>
    <n v="0"/>
    <n v="0"/>
    <n v="0"/>
    <n v="0"/>
    <n v="0"/>
    <n v="0"/>
    <n v="0"/>
    <n v="0"/>
    <n v="0"/>
    <n v="0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imachal Pradesh"/>
    <x v="44"/>
    <n v="0"/>
    <n v="0"/>
    <n v="0"/>
    <n v="0"/>
    <n v="0"/>
    <n v="0"/>
    <n v="7.0000000000000007E-2"/>
    <n v="0"/>
    <n v="0"/>
    <n v="0"/>
    <n v="0"/>
    <n v="0.05"/>
    <n v="0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imachal Pradesh"/>
    <x v="47"/>
    <n v="0"/>
    <n v="0"/>
    <n v="0"/>
    <n v="0.01"/>
    <n v="0"/>
    <n v="0"/>
    <n v="6.88"/>
    <n v="0"/>
    <n v="0"/>
    <n v="0"/>
    <n v="0"/>
    <n v="4.71"/>
    <n v="16.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Himachal Pradesh"/>
    <x v="48"/>
    <n v="0"/>
    <n v="0"/>
    <n v="0"/>
    <n v="0"/>
    <n v="0"/>
    <n v="0"/>
    <n v="0"/>
    <n v="0"/>
    <n v="0"/>
    <n v="0"/>
    <n v="0"/>
    <n v="0"/>
    <n v="0.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ammu and Kashmir"/>
    <x v="39"/>
    <n v="0"/>
    <n v="0"/>
    <n v="0"/>
    <n v="4.84"/>
    <n v="0"/>
    <n v="0"/>
    <n v="0"/>
    <n v="0"/>
    <n v="0"/>
    <n v="0"/>
    <n v="0"/>
    <n v="0"/>
    <n v="0.579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ammu and Kashmir"/>
    <x v="40"/>
    <n v="0"/>
    <n v="0"/>
    <n v="0"/>
    <n v="0"/>
    <n v="0"/>
    <n v="0"/>
    <n v="0"/>
    <n v="0"/>
    <n v="0"/>
    <n v="0"/>
    <n v="0"/>
    <n v="0"/>
    <n v="0.579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ammu and Kashmir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ammu and Kashmir"/>
    <x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ammu and Kashmir"/>
    <x v="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ammu and Kashmir"/>
    <x v="44"/>
    <n v="0"/>
    <n v="0"/>
    <n v="0"/>
    <n v="0"/>
    <n v="0"/>
    <n v="0"/>
    <n v="0"/>
    <n v="0"/>
    <n v="0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ammu and Kashmir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ammu and Kashmir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ammu and Kashmir"/>
    <x v="47"/>
    <n v="0"/>
    <n v="0"/>
    <n v="0"/>
    <n v="0.65"/>
    <n v="0"/>
    <n v="0"/>
    <n v="0"/>
    <n v="0"/>
    <n v="0"/>
    <n v="0"/>
    <n v="0"/>
    <n v="0"/>
    <n v="0.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ammu and Kashmir"/>
    <x v="48"/>
    <n v="0"/>
    <n v="0"/>
    <n v="0"/>
    <n v="0.01"/>
    <n v="0"/>
    <n v="0"/>
    <n v="0"/>
    <n v="0"/>
    <n v="0"/>
    <n v="0"/>
    <n v="0"/>
    <n v="0"/>
    <n v="0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ammu and Kashmir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ammu and Kashmir"/>
    <x v="44"/>
    <n v="0"/>
    <n v="0"/>
    <n v="0"/>
    <n v="0"/>
    <n v="0"/>
    <n v="0"/>
    <n v="0.11"/>
    <n v="0"/>
    <n v="0"/>
    <n v="0"/>
    <n v="0"/>
    <n v="7.0000000000000007E-2"/>
    <n v="0.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ammu and Kashmir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ammu and Kashmir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ammu and Kashmir"/>
    <x v="47"/>
    <n v="0"/>
    <n v="0"/>
    <n v="0"/>
    <n v="0.02"/>
    <n v="0"/>
    <n v="0"/>
    <n v="10.48"/>
    <n v="0"/>
    <n v="0"/>
    <n v="0"/>
    <n v="0"/>
    <n v="7.17"/>
    <n v="25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Jammu and Kashmir"/>
    <x v="48"/>
    <n v="0"/>
    <n v="0"/>
    <n v="0"/>
    <n v="0"/>
    <n v="0"/>
    <n v="0"/>
    <n v="0"/>
    <n v="0"/>
    <n v="0"/>
    <n v="0"/>
    <n v="0"/>
    <n v="0"/>
    <n v="1.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ssam"/>
    <x v="39"/>
    <n v="0"/>
    <n v="0"/>
    <n v="0"/>
    <n v="0.33"/>
    <n v="0"/>
    <n v="0"/>
    <n v="0"/>
    <n v="0"/>
    <n v="0"/>
    <n v="0"/>
    <n v="0"/>
    <n v="0"/>
    <n v="0.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ssam"/>
    <x v="40"/>
    <n v="0"/>
    <n v="0"/>
    <n v="0"/>
    <n v="0"/>
    <n v="0"/>
    <n v="0"/>
    <n v="0"/>
    <n v="0"/>
    <n v="0"/>
    <n v="0"/>
    <n v="0"/>
    <n v="0"/>
    <n v="0.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ssam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ssam"/>
    <x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ssam"/>
    <x v="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ssam"/>
    <x v="44"/>
    <n v="0"/>
    <n v="0"/>
    <n v="0"/>
    <n v="0"/>
    <n v="0"/>
    <n v="0"/>
    <n v="0"/>
    <n v="0"/>
    <n v="0"/>
    <n v="0"/>
    <n v="0"/>
    <n v="0"/>
    <n v="0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ssam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ssam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ssam"/>
    <x v="47"/>
    <n v="0"/>
    <n v="0"/>
    <n v="0"/>
    <n v="0.02"/>
    <n v="0"/>
    <n v="0"/>
    <n v="0"/>
    <n v="0"/>
    <n v="0"/>
    <n v="0"/>
    <n v="0"/>
    <n v="0"/>
    <n v="2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ssam"/>
    <x v="48"/>
    <n v="0"/>
    <n v="0"/>
    <n v="0"/>
    <n v="0"/>
    <n v="0"/>
    <n v="0"/>
    <n v="0"/>
    <n v="0"/>
    <n v="0"/>
    <n v="0"/>
    <n v="0"/>
    <n v="0"/>
    <n v="0.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ssam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ssam"/>
    <x v="44"/>
    <n v="0"/>
    <n v="0"/>
    <n v="0"/>
    <n v="0"/>
    <n v="0"/>
    <n v="0"/>
    <n v="0.4"/>
    <n v="0"/>
    <n v="0"/>
    <n v="0"/>
    <n v="0"/>
    <n v="0.28000000000000003"/>
    <n v="1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ssam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ssam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ssam"/>
    <x v="47"/>
    <n v="0.02"/>
    <n v="0"/>
    <n v="0"/>
    <n v="0.21"/>
    <n v="0"/>
    <n v="0"/>
    <n v="40.07"/>
    <n v="0"/>
    <n v="0"/>
    <n v="0"/>
    <n v="0"/>
    <n v="27.42"/>
    <n v="95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ia, India Assam"/>
    <x v="48"/>
    <n v="0"/>
    <n v="0"/>
    <n v="0"/>
    <n v="0"/>
    <n v="0"/>
    <n v="0"/>
    <n v="0"/>
    <n v="0"/>
    <n v="0"/>
    <n v="0"/>
    <n v="0"/>
    <n v="0"/>
    <n v="4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56">
  <r>
    <s v="India Andhra Pradesh"/>
    <x v="0"/>
    <m/>
    <n v="24.06"/>
    <m/>
    <m/>
    <n v="5.57"/>
  </r>
  <r>
    <s v="India Andhra Pradesh"/>
    <x v="1"/>
    <m/>
    <n v="0"/>
    <m/>
    <m/>
    <n v="5.57"/>
  </r>
  <r>
    <s v="India Andhra Pradesh"/>
    <x v="2"/>
    <m/>
    <m/>
    <m/>
    <m/>
    <n v="0"/>
  </r>
  <r>
    <s v="India Andhra Pradesh"/>
    <x v="3"/>
    <m/>
    <n v="0"/>
    <m/>
    <m/>
    <n v="0"/>
  </r>
  <r>
    <s v="India Andhra Pradesh"/>
    <x v="4"/>
    <m/>
    <n v="0"/>
    <m/>
    <m/>
    <n v="0"/>
  </r>
  <r>
    <s v="India Andhra Pradesh"/>
    <x v="5"/>
    <m/>
    <m/>
    <m/>
    <m/>
    <n v="0.22"/>
  </r>
  <r>
    <s v="India Andhra Pradesh"/>
    <x v="6"/>
    <m/>
    <n v="0"/>
    <m/>
    <m/>
    <n v="0"/>
  </r>
  <r>
    <s v="India Andhra Pradesh"/>
    <x v="7"/>
    <m/>
    <n v="0"/>
    <m/>
    <m/>
    <n v="0"/>
  </r>
  <r>
    <s v="India Andhra Pradesh"/>
    <x v="8"/>
    <m/>
    <n v="40.61"/>
    <m/>
    <m/>
    <n v="20.47"/>
  </r>
  <r>
    <s v="India Andhra Pradesh"/>
    <x v="9"/>
    <m/>
    <n v="0.83"/>
    <m/>
    <m/>
    <n v="0.86"/>
  </r>
  <r>
    <s v="India Andhra Pradesh"/>
    <x v="10"/>
    <m/>
    <m/>
    <m/>
    <m/>
    <n v="0"/>
  </r>
  <r>
    <s v="India Andhra Pradesh"/>
    <x v="11"/>
    <m/>
    <m/>
    <n v="1.02"/>
    <n v="0.7"/>
    <n v="2.56"/>
  </r>
  <r>
    <s v="India Andhra Pradesh"/>
    <x v="12"/>
    <m/>
    <n v="0"/>
    <n v="0"/>
    <m/>
    <n v="0"/>
  </r>
  <r>
    <s v="India Andhra Pradesh"/>
    <x v="13"/>
    <n v="0"/>
    <n v="0"/>
    <m/>
    <m/>
    <n v="0"/>
  </r>
  <r>
    <s v="India Andhra Pradesh"/>
    <x v="14"/>
    <n v="0.23"/>
    <n v="2.2400000000000002"/>
    <n v="101.45"/>
    <n v="69.44"/>
    <n v="242.75"/>
  </r>
  <r>
    <s v="India Andhra Pradesh"/>
    <x v="15"/>
    <n v="0"/>
    <n v="0.05"/>
    <n v="0"/>
    <n v="0"/>
    <n v="10.220000000000001"/>
  </r>
  <r>
    <s v="India Assam"/>
    <x v="0"/>
    <m/>
    <n v="0.39"/>
    <m/>
    <m/>
    <n v="0.86"/>
  </r>
  <r>
    <s v="India Assam"/>
    <x v="1"/>
    <m/>
    <n v="0"/>
    <m/>
    <m/>
    <n v="0.86"/>
  </r>
  <r>
    <s v="India Assam"/>
    <x v="2"/>
    <m/>
    <m/>
    <m/>
    <m/>
    <n v="0"/>
  </r>
  <r>
    <s v="India Assam"/>
    <x v="3"/>
    <m/>
    <n v="0"/>
    <m/>
    <m/>
    <n v="0"/>
  </r>
  <r>
    <s v="India Assam"/>
    <x v="4"/>
    <m/>
    <n v="0"/>
    <m/>
    <m/>
    <n v="0"/>
  </r>
  <r>
    <s v="India Assam"/>
    <x v="5"/>
    <m/>
    <m/>
    <m/>
    <m/>
    <n v="0.03"/>
  </r>
  <r>
    <s v="India Assam"/>
    <x v="6"/>
    <m/>
    <n v="0"/>
    <m/>
    <m/>
    <n v="0"/>
  </r>
  <r>
    <s v="India Assam"/>
    <x v="7"/>
    <m/>
    <n v="0"/>
    <m/>
    <m/>
    <n v="0"/>
  </r>
  <r>
    <s v="India Assam"/>
    <x v="8"/>
    <m/>
    <n v="0.02"/>
    <m/>
    <m/>
    <n v="2.8"/>
  </r>
  <r>
    <s v="India Assam"/>
    <x v="9"/>
    <m/>
    <n v="0"/>
    <m/>
    <m/>
    <n v="0.12"/>
  </r>
  <r>
    <s v="India Assam"/>
    <x v="10"/>
    <m/>
    <m/>
    <m/>
    <m/>
    <n v="0"/>
  </r>
  <r>
    <s v="India Assam"/>
    <x v="11"/>
    <m/>
    <m/>
    <n v="0.42"/>
    <n v="0.28999999999999998"/>
    <n v="1.05"/>
  </r>
  <r>
    <s v="India Assam"/>
    <x v="12"/>
    <m/>
    <n v="0"/>
    <n v="0"/>
    <m/>
    <n v="0"/>
  </r>
  <r>
    <s v="India Assam"/>
    <x v="13"/>
    <n v="0"/>
    <n v="0"/>
    <m/>
    <m/>
    <n v="0"/>
  </r>
  <r>
    <s v="India Assam"/>
    <x v="14"/>
    <n v="0.02"/>
    <n v="0.21"/>
    <n v="41.5"/>
    <n v="28.4"/>
    <n v="99.3"/>
  </r>
  <r>
    <s v="India Assam"/>
    <x v="15"/>
    <n v="0"/>
    <n v="0"/>
    <n v="0"/>
    <n v="0"/>
    <n v="4.18"/>
  </r>
  <r>
    <s v="India Bihar"/>
    <x v="0"/>
    <m/>
    <n v="3.51"/>
    <m/>
    <m/>
    <n v="2.2999999999999998"/>
  </r>
  <r>
    <s v="India Bihar"/>
    <x v="1"/>
    <m/>
    <n v="0"/>
    <m/>
    <m/>
    <n v="2.2999999999999998"/>
  </r>
  <r>
    <s v="India Bihar"/>
    <x v="2"/>
    <m/>
    <m/>
    <m/>
    <m/>
    <n v="0"/>
  </r>
  <r>
    <s v="India Bihar"/>
    <x v="3"/>
    <m/>
    <n v="0"/>
    <m/>
    <m/>
    <n v="0"/>
  </r>
  <r>
    <s v="India Bihar"/>
    <x v="4"/>
    <m/>
    <n v="0"/>
    <m/>
    <m/>
    <n v="0"/>
  </r>
  <r>
    <s v="India Bihar"/>
    <x v="5"/>
    <m/>
    <m/>
    <m/>
    <m/>
    <n v="0.05"/>
  </r>
  <r>
    <s v="India Bihar"/>
    <x v="6"/>
    <m/>
    <n v="0"/>
    <m/>
    <m/>
    <n v="0"/>
  </r>
  <r>
    <s v="India Bihar"/>
    <x v="7"/>
    <m/>
    <n v="0"/>
    <m/>
    <m/>
    <n v="0"/>
  </r>
  <r>
    <s v="India Bihar"/>
    <x v="8"/>
    <m/>
    <n v="0.86"/>
    <m/>
    <m/>
    <n v="5.22"/>
  </r>
  <r>
    <s v="India Bihar"/>
    <x v="9"/>
    <m/>
    <n v="0.02"/>
    <m/>
    <m/>
    <n v="0.22"/>
  </r>
  <r>
    <s v="India Bihar"/>
    <x v="10"/>
    <m/>
    <m/>
    <m/>
    <m/>
    <n v="0"/>
  </r>
  <r>
    <s v="India Bihar"/>
    <x v="11"/>
    <m/>
    <m/>
    <n v="1.4"/>
    <n v="0.96"/>
    <n v="3.48"/>
  </r>
  <r>
    <s v="India Bihar"/>
    <x v="12"/>
    <m/>
    <n v="0"/>
    <n v="0"/>
    <m/>
    <n v="0"/>
  </r>
  <r>
    <s v="India Bihar"/>
    <x v="13"/>
    <n v="0"/>
    <n v="0"/>
    <m/>
    <m/>
    <n v="0"/>
  </r>
  <r>
    <s v="India Bihar"/>
    <x v="14"/>
    <n v="0.61"/>
    <n v="5.91"/>
    <n v="138.19999999999999"/>
    <n v="94.6"/>
    <n v="330.7"/>
  </r>
  <r>
    <s v="India Bihar"/>
    <x v="15"/>
    <n v="0.01"/>
    <n v="0.12"/>
    <n v="0"/>
    <n v="0"/>
    <n v="13.92"/>
  </r>
  <r>
    <s v="India Chhattisgarh"/>
    <x v="0"/>
    <m/>
    <n v="2.46"/>
    <m/>
    <m/>
    <n v="1.17"/>
  </r>
  <r>
    <s v="India Chhattisgarh"/>
    <x v="1"/>
    <m/>
    <n v="0"/>
    <m/>
    <m/>
    <n v="1.17"/>
  </r>
  <r>
    <s v="India Chhattisgarh"/>
    <x v="2"/>
    <m/>
    <m/>
    <m/>
    <m/>
    <n v="0"/>
  </r>
  <r>
    <s v="India Chhattisgarh"/>
    <x v="3"/>
    <m/>
    <n v="0"/>
    <m/>
    <m/>
    <n v="0"/>
  </r>
  <r>
    <s v="India Chhattisgarh"/>
    <x v="4"/>
    <m/>
    <n v="0"/>
    <m/>
    <m/>
    <n v="0"/>
  </r>
  <r>
    <s v="India Chhattisgarh"/>
    <x v="5"/>
    <m/>
    <m/>
    <m/>
    <m/>
    <n v="0.04"/>
  </r>
  <r>
    <s v="India Chhattisgarh"/>
    <x v="6"/>
    <m/>
    <n v="0"/>
    <m/>
    <m/>
    <n v="0"/>
  </r>
  <r>
    <s v="India Chhattisgarh"/>
    <x v="7"/>
    <m/>
    <n v="0"/>
    <m/>
    <m/>
    <n v="0"/>
  </r>
  <r>
    <s v="India Chhattisgarh"/>
    <x v="8"/>
    <m/>
    <n v="3.96"/>
    <m/>
    <m/>
    <n v="3.42"/>
  </r>
  <r>
    <s v="India Chhattisgarh"/>
    <x v="9"/>
    <m/>
    <n v="0.08"/>
    <m/>
    <m/>
    <n v="0.14000000000000001"/>
  </r>
  <r>
    <s v="India Chhattisgarh"/>
    <x v="10"/>
    <m/>
    <m/>
    <m/>
    <m/>
    <n v="0"/>
  </r>
  <r>
    <s v="India Chhattisgarh"/>
    <x v="11"/>
    <m/>
    <m/>
    <n v="0.4"/>
    <n v="0.27"/>
    <n v="0.99"/>
  </r>
  <r>
    <s v="India Chhattisgarh"/>
    <x v="12"/>
    <m/>
    <n v="0"/>
    <n v="0"/>
    <m/>
    <n v="0"/>
  </r>
  <r>
    <s v="India Chhattisgarh"/>
    <x v="13"/>
    <n v="0"/>
    <n v="0"/>
    <m/>
    <m/>
    <n v="0"/>
  </r>
  <r>
    <s v="India Chhattisgarh"/>
    <x v="14"/>
    <n v="0.41"/>
    <n v="4.01"/>
    <n v="39.43"/>
    <n v="26.99"/>
    <n v="94.35"/>
  </r>
  <r>
    <s v="India Chhattisgarh"/>
    <x v="15"/>
    <n v="0.01"/>
    <n v="0.08"/>
    <n v="0"/>
    <n v="0"/>
    <n v="3.97"/>
  </r>
  <r>
    <s v="India Delhi"/>
    <x v="0"/>
    <m/>
    <n v="24.17"/>
    <m/>
    <m/>
    <n v="3.21"/>
  </r>
  <r>
    <s v="India Delhi"/>
    <x v="1"/>
    <m/>
    <n v="0"/>
    <m/>
    <m/>
    <n v="3.21"/>
  </r>
  <r>
    <s v="India Delhi"/>
    <x v="3"/>
    <m/>
    <n v="0"/>
    <m/>
    <m/>
    <m/>
  </r>
  <r>
    <s v="India Delhi"/>
    <x v="4"/>
    <m/>
    <n v="0"/>
    <m/>
    <m/>
    <m/>
  </r>
  <r>
    <s v="India Delhi"/>
    <x v="6"/>
    <m/>
    <n v="0"/>
    <m/>
    <m/>
    <m/>
  </r>
  <r>
    <s v="India Delhi"/>
    <x v="7"/>
    <m/>
    <n v="0"/>
    <m/>
    <m/>
    <m/>
  </r>
  <r>
    <s v="India Delhi"/>
    <x v="8"/>
    <m/>
    <n v="0.1"/>
    <m/>
    <m/>
    <m/>
  </r>
  <r>
    <s v="India Delhi"/>
    <x v="9"/>
    <m/>
    <n v="0"/>
    <m/>
    <m/>
    <m/>
  </r>
  <r>
    <s v="India Delhi"/>
    <x v="10"/>
    <m/>
    <m/>
    <m/>
    <m/>
    <n v="0"/>
  </r>
  <r>
    <s v="India Delhi"/>
    <x v="11"/>
    <m/>
    <m/>
    <n v="0.01"/>
    <n v="0.01"/>
    <n v="0.03"/>
  </r>
  <r>
    <s v="India Delhi"/>
    <x v="12"/>
    <m/>
    <n v="0"/>
    <n v="0"/>
    <m/>
    <n v="0"/>
  </r>
  <r>
    <s v="India Delhi"/>
    <x v="13"/>
    <n v="0"/>
    <n v="0"/>
    <m/>
    <m/>
    <n v="0"/>
  </r>
  <r>
    <s v="India Delhi"/>
    <x v="14"/>
    <n v="0.01"/>
    <n v="0.12"/>
    <n v="1.37"/>
    <n v="0.94"/>
    <n v="3.27"/>
  </r>
  <r>
    <s v="India Delhi"/>
    <x v="15"/>
    <n v="0"/>
    <n v="0"/>
    <n v="0"/>
    <n v="0"/>
    <n v="0.14000000000000001"/>
  </r>
  <r>
    <s v="India Goa"/>
    <x v="0"/>
    <m/>
    <n v="3.84"/>
    <m/>
    <m/>
    <n v="0.18"/>
  </r>
  <r>
    <s v="India Goa"/>
    <x v="1"/>
    <m/>
    <n v="0"/>
    <m/>
    <m/>
    <n v="0.18"/>
  </r>
  <r>
    <s v="India Goa"/>
    <x v="3"/>
    <m/>
    <n v="0"/>
    <m/>
    <m/>
    <m/>
  </r>
  <r>
    <s v="India Goa"/>
    <x v="4"/>
    <m/>
    <n v="0"/>
    <m/>
    <m/>
    <m/>
  </r>
  <r>
    <s v="India Goa"/>
    <x v="6"/>
    <m/>
    <n v="0"/>
    <m/>
    <m/>
    <m/>
  </r>
  <r>
    <s v="India Goa"/>
    <x v="7"/>
    <m/>
    <n v="0"/>
    <m/>
    <m/>
    <m/>
  </r>
  <r>
    <s v="India Goa"/>
    <x v="8"/>
    <m/>
    <n v="0.02"/>
    <m/>
    <m/>
    <m/>
  </r>
  <r>
    <s v="India Goa"/>
    <x v="9"/>
    <m/>
    <n v="0"/>
    <m/>
    <m/>
    <m/>
  </r>
  <r>
    <s v="India Goa"/>
    <x v="10"/>
    <m/>
    <m/>
    <m/>
    <m/>
    <n v="0"/>
  </r>
  <r>
    <s v="India Goa"/>
    <x v="11"/>
    <m/>
    <m/>
    <n v="0.01"/>
    <n v="0"/>
    <n v="0.01"/>
  </r>
  <r>
    <s v="India Goa"/>
    <x v="12"/>
    <m/>
    <n v="0"/>
    <n v="0"/>
    <m/>
    <n v="0"/>
  </r>
  <r>
    <s v="India Goa"/>
    <x v="13"/>
    <n v="0"/>
    <n v="0"/>
    <m/>
    <m/>
    <n v="0"/>
  </r>
  <r>
    <s v="India Goa"/>
    <x v="14"/>
    <n v="0"/>
    <n v="0.01"/>
    <n v="0.57999999999999996"/>
    <n v="0.4"/>
    <n v="1.38"/>
  </r>
  <r>
    <s v="India Goa"/>
    <x v="15"/>
    <n v="0"/>
    <n v="0"/>
    <n v="0"/>
    <n v="0"/>
    <n v="0.06"/>
  </r>
  <r>
    <s v="India Gujarat"/>
    <x v="0"/>
    <m/>
    <n v="8.39"/>
    <m/>
    <m/>
    <n v="5.05"/>
  </r>
  <r>
    <s v="India Gujarat"/>
    <x v="1"/>
    <m/>
    <n v="0"/>
    <m/>
    <m/>
    <n v="5.05"/>
  </r>
  <r>
    <s v="India Gujarat"/>
    <x v="2"/>
    <m/>
    <m/>
    <m/>
    <m/>
    <n v="0"/>
  </r>
  <r>
    <s v="India Gujarat"/>
    <x v="3"/>
    <m/>
    <n v="0"/>
    <m/>
    <m/>
    <n v="0"/>
  </r>
  <r>
    <s v="India Gujarat"/>
    <x v="4"/>
    <m/>
    <n v="0"/>
    <m/>
    <m/>
    <n v="0"/>
  </r>
  <r>
    <s v="India Gujarat"/>
    <x v="5"/>
    <m/>
    <m/>
    <m/>
    <m/>
    <n v="0.17"/>
  </r>
  <r>
    <s v="India Gujarat"/>
    <x v="6"/>
    <m/>
    <n v="0"/>
    <m/>
    <m/>
    <n v="0"/>
  </r>
  <r>
    <s v="India Gujarat"/>
    <x v="7"/>
    <m/>
    <n v="0"/>
    <m/>
    <m/>
    <n v="0"/>
  </r>
  <r>
    <s v="India Gujarat"/>
    <x v="8"/>
    <m/>
    <n v="33.520000000000003"/>
    <m/>
    <m/>
    <n v="16.21"/>
  </r>
  <r>
    <s v="India Gujarat"/>
    <x v="9"/>
    <m/>
    <n v="0.68"/>
    <m/>
    <m/>
    <n v="0.68"/>
  </r>
  <r>
    <s v="India Gujarat"/>
    <x v="10"/>
    <m/>
    <m/>
    <m/>
    <m/>
    <n v="0"/>
  </r>
  <r>
    <s v="India Gujarat"/>
    <x v="11"/>
    <m/>
    <m/>
    <n v="0.53"/>
    <n v="0.36"/>
    <n v="1.32"/>
  </r>
  <r>
    <s v="India Gujarat"/>
    <x v="12"/>
    <m/>
    <n v="0"/>
    <n v="0"/>
    <m/>
    <n v="0"/>
  </r>
  <r>
    <s v="India Gujarat"/>
    <x v="13"/>
    <n v="0"/>
    <n v="0"/>
    <m/>
    <m/>
    <n v="0"/>
  </r>
  <r>
    <s v="India Gujarat"/>
    <x v="14"/>
    <n v="0.18"/>
    <n v="1.71"/>
    <n v="52.27"/>
    <n v="35.78"/>
    <n v="125.08"/>
  </r>
  <r>
    <s v="India Gujarat"/>
    <x v="15"/>
    <n v="0"/>
    <n v="0.03"/>
    <n v="0"/>
    <n v="0"/>
    <n v="5.27"/>
  </r>
  <r>
    <s v="India Haryana"/>
    <x v="0"/>
    <m/>
    <n v="9.8699999999999992"/>
    <m/>
    <m/>
    <n v="1.73"/>
  </r>
  <r>
    <s v="India Haryana"/>
    <x v="1"/>
    <m/>
    <n v="0"/>
    <m/>
    <m/>
    <n v="1.73"/>
  </r>
  <r>
    <s v="India Haryana"/>
    <x v="2"/>
    <m/>
    <m/>
    <m/>
    <m/>
    <n v="0"/>
  </r>
  <r>
    <s v="India Haryana"/>
    <x v="3"/>
    <m/>
    <n v="0"/>
    <m/>
    <m/>
    <n v="0"/>
  </r>
  <r>
    <s v="India Haryana"/>
    <x v="4"/>
    <m/>
    <n v="0"/>
    <m/>
    <m/>
    <n v="0"/>
  </r>
  <r>
    <s v="India Haryana"/>
    <x v="5"/>
    <m/>
    <m/>
    <m/>
    <m/>
    <n v="0.12"/>
  </r>
  <r>
    <s v="India Haryana"/>
    <x v="6"/>
    <m/>
    <n v="0"/>
    <m/>
    <m/>
    <n v="0"/>
  </r>
  <r>
    <s v="India Haryana"/>
    <x v="7"/>
    <m/>
    <n v="0"/>
    <m/>
    <m/>
    <n v="0"/>
  </r>
  <r>
    <s v="India Haryana"/>
    <x v="8"/>
    <m/>
    <n v="18.79"/>
    <m/>
    <m/>
    <n v="11.74"/>
  </r>
  <r>
    <s v="India Haryana"/>
    <x v="9"/>
    <m/>
    <n v="0.38"/>
    <m/>
    <m/>
    <n v="0.49"/>
  </r>
  <r>
    <s v="India Haryana"/>
    <x v="10"/>
    <m/>
    <m/>
    <m/>
    <m/>
    <n v="0"/>
  </r>
  <r>
    <s v="India Haryana"/>
    <x v="11"/>
    <m/>
    <m/>
    <n v="0.21"/>
    <n v="0.15"/>
    <n v="0.53"/>
  </r>
  <r>
    <s v="India Haryana"/>
    <x v="12"/>
    <m/>
    <n v="0"/>
    <n v="0"/>
    <m/>
    <n v="0"/>
  </r>
  <r>
    <s v="India Haryana"/>
    <x v="13"/>
    <n v="0"/>
    <n v="0"/>
    <m/>
    <m/>
    <n v="0"/>
  </r>
  <r>
    <s v="India Haryana"/>
    <x v="14"/>
    <n v="0.02"/>
    <n v="0.16"/>
    <n v="21.04"/>
    <n v="14.4"/>
    <n v="50.36"/>
  </r>
  <r>
    <s v="India Haryana"/>
    <x v="15"/>
    <n v="0"/>
    <n v="0"/>
    <n v="0"/>
    <n v="0"/>
    <n v="2.12"/>
  </r>
  <r>
    <s v="India Himachal Pradesh"/>
    <x v="0"/>
    <m/>
    <n v="5.2"/>
    <m/>
    <m/>
    <n v="0.14000000000000001"/>
  </r>
  <r>
    <s v="India Himachal Pradesh"/>
    <x v="1"/>
    <m/>
    <m/>
    <m/>
    <m/>
    <n v="0.14000000000000001"/>
  </r>
  <r>
    <s v="India Himachal Pradesh"/>
    <x v="5"/>
    <m/>
    <m/>
    <m/>
    <m/>
    <n v="0.01"/>
  </r>
  <r>
    <s v="India Himachal Pradesh"/>
    <x v="8"/>
    <m/>
    <n v="7.0000000000000007E-2"/>
    <m/>
    <m/>
    <n v="0.87"/>
  </r>
  <r>
    <s v="India Himachal Pradesh"/>
    <x v="9"/>
    <m/>
    <n v="0"/>
    <m/>
    <m/>
    <n v="0.04"/>
  </r>
  <r>
    <s v="India Himachal Pradesh"/>
    <x v="11"/>
    <m/>
    <m/>
    <n v="7.0000000000000007E-2"/>
    <n v="0.05"/>
    <n v="0.18"/>
  </r>
  <r>
    <s v="India Himachal Pradesh"/>
    <x v="14"/>
    <n v="0"/>
    <n v="0.01"/>
    <n v="7.12"/>
    <n v="4.88"/>
    <n v="17.04"/>
  </r>
  <r>
    <s v="India Himachal Pradesh"/>
    <x v="15"/>
    <n v="0"/>
    <n v="0"/>
    <m/>
    <m/>
    <n v="0.72"/>
  </r>
  <r>
    <s v="India Jammu and Kashmir"/>
    <x v="0"/>
    <m/>
    <n v="5.72"/>
    <m/>
    <m/>
    <n v="0.67"/>
  </r>
  <r>
    <s v="India Jammu and Kashmir"/>
    <x v="1"/>
    <m/>
    <n v="0"/>
    <m/>
    <m/>
    <n v="0.67"/>
  </r>
  <r>
    <s v="India Jammu and Kashmir"/>
    <x v="2"/>
    <m/>
    <m/>
    <m/>
    <m/>
    <n v="0"/>
  </r>
  <r>
    <s v="India Jammu and Kashmir"/>
    <x v="3"/>
    <m/>
    <n v="0"/>
    <m/>
    <m/>
    <n v="0"/>
  </r>
  <r>
    <s v="India Jammu and Kashmir"/>
    <x v="4"/>
    <m/>
    <n v="0"/>
    <m/>
    <m/>
    <n v="0"/>
  </r>
  <r>
    <s v="India Jammu and Kashmir"/>
    <x v="5"/>
    <m/>
    <m/>
    <m/>
    <m/>
    <n v="0.01"/>
  </r>
  <r>
    <s v="India Jammu and Kashmir"/>
    <x v="6"/>
    <m/>
    <n v="0"/>
    <m/>
    <m/>
    <n v="0"/>
  </r>
  <r>
    <s v="India Jammu and Kashmir"/>
    <x v="7"/>
    <m/>
    <n v="0"/>
    <m/>
    <m/>
    <n v="0"/>
  </r>
  <r>
    <s v="India Jammu and Kashmir"/>
    <x v="8"/>
    <m/>
    <n v="0.55000000000000004"/>
    <m/>
    <m/>
    <n v="0.73"/>
  </r>
  <r>
    <s v="India Jammu and Kashmir"/>
    <x v="9"/>
    <m/>
    <n v="0.01"/>
    <m/>
    <m/>
    <n v="0.03"/>
  </r>
  <r>
    <s v="India Jammu and Kashmir"/>
    <x v="10"/>
    <m/>
    <m/>
    <m/>
    <m/>
    <n v="0"/>
  </r>
  <r>
    <s v="India Jammu and Kashmir"/>
    <x v="11"/>
    <m/>
    <m/>
    <n v="0.11"/>
    <n v="0.08"/>
    <n v="0.27"/>
  </r>
  <r>
    <s v="India Jammu and Kashmir"/>
    <x v="12"/>
    <m/>
    <n v="0"/>
    <n v="0"/>
    <m/>
    <n v="0"/>
  </r>
  <r>
    <s v="India Jammu and Kashmir"/>
    <x v="13"/>
    <n v="0"/>
    <n v="0"/>
    <m/>
    <m/>
    <n v="0"/>
  </r>
  <r>
    <s v="India Jammu and Kashmir"/>
    <x v="14"/>
    <n v="0"/>
    <n v="0.02"/>
    <n v="10.86"/>
    <n v="7.43"/>
    <n v="25.98"/>
  </r>
  <r>
    <s v="India Jammu and Kashmir"/>
    <x v="15"/>
    <n v="0"/>
    <n v="0"/>
    <n v="0"/>
    <n v="0"/>
    <n v="1.0900000000000001"/>
  </r>
  <r>
    <s v="India Jharkhand"/>
    <x v="0"/>
    <m/>
    <n v="2.42"/>
    <m/>
    <m/>
    <n v="1.56"/>
  </r>
  <r>
    <s v="India Jharkhand"/>
    <x v="1"/>
    <m/>
    <n v="0"/>
    <m/>
    <m/>
    <n v="1.56"/>
  </r>
  <r>
    <s v="India Jharkhand"/>
    <x v="2"/>
    <m/>
    <m/>
    <m/>
    <m/>
    <n v="0"/>
  </r>
  <r>
    <s v="India Jharkhand"/>
    <x v="3"/>
    <m/>
    <n v="0"/>
    <m/>
    <m/>
    <n v="0"/>
  </r>
  <r>
    <s v="India Jharkhand"/>
    <x v="4"/>
    <m/>
    <n v="0"/>
    <m/>
    <m/>
    <n v="0"/>
  </r>
  <r>
    <s v="India Jharkhand"/>
    <x v="5"/>
    <m/>
    <m/>
    <m/>
    <m/>
    <n v="0.01"/>
  </r>
  <r>
    <s v="India Jharkhand"/>
    <x v="6"/>
    <m/>
    <n v="0"/>
    <m/>
    <m/>
    <n v="0"/>
  </r>
  <r>
    <s v="India Jharkhand"/>
    <x v="7"/>
    <m/>
    <n v="0"/>
    <m/>
    <m/>
    <n v="0"/>
  </r>
  <r>
    <s v="India Jharkhand"/>
    <x v="8"/>
    <m/>
    <n v="0.17"/>
    <m/>
    <m/>
    <n v="1.1100000000000001"/>
  </r>
  <r>
    <s v="India Jharkhand"/>
    <x v="9"/>
    <m/>
    <n v="0"/>
    <m/>
    <m/>
    <n v="0.05"/>
  </r>
  <r>
    <s v="India Jharkhand"/>
    <x v="10"/>
    <m/>
    <m/>
    <m/>
    <m/>
    <n v="0"/>
  </r>
  <r>
    <s v="India Jharkhand"/>
    <x v="11"/>
    <m/>
    <m/>
    <n v="0.35"/>
    <n v="0.24"/>
    <n v="0.88"/>
  </r>
  <r>
    <s v="India Jharkhand"/>
    <x v="12"/>
    <m/>
    <n v="0"/>
    <n v="0"/>
    <m/>
    <n v="0"/>
  </r>
  <r>
    <s v="India Jharkhand"/>
    <x v="13"/>
    <n v="0"/>
    <n v="0"/>
    <m/>
    <m/>
    <n v="0"/>
  </r>
  <r>
    <s v="India Jharkhand"/>
    <x v="14"/>
    <n v="3.58"/>
    <n v="34.799999999999997"/>
    <n v="34.880000000000003"/>
    <n v="23.88"/>
    <n v="83.47"/>
  </r>
  <r>
    <s v="India Jharkhand"/>
    <x v="15"/>
    <n v="7.0000000000000007E-2"/>
    <n v="0.71"/>
    <n v="0"/>
    <n v="0"/>
    <n v="3.51"/>
  </r>
  <r>
    <s v="India Karnataka"/>
    <x v="0"/>
    <m/>
    <n v="51.11"/>
    <m/>
    <m/>
    <n v="4.63"/>
  </r>
  <r>
    <s v="India Karnataka"/>
    <x v="1"/>
    <m/>
    <n v="0"/>
    <m/>
    <m/>
    <n v="4.63"/>
  </r>
  <r>
    <s v="India Karnataka"/>
    <x v="2"/>
    <m/>
    <m/>
    <m/>
    <m/>
    <n v="0"/>
  </r>
  <r>
    <s v="India Karnataka"/>
    <x v="3"/>
    <m/>
    <n v="0"/>
    <m/>
    <m/>
    <n v="0"/>
  </r>
  <r>
    <s v="India Karnataka"/>
    <x v="4"/>
    <m/>
    <n v="0"/>
    <m/>
    <m/>
    <n v="0"/>
  </r>
  <r>
    <s v="India Karnataka"/>
    <x v="5"/>
    <m/>
    <m/>
    <m/>
    <m/>
    <n v="0.31"/>
  </r>
  <r>
    <s v="India Karnataka"/>
    <x v="6"/>
    <m/>
    <n v="0"/>
    <m/>
    <m/>
    <n v="0"/>
  </r>
  <r>
    <s v="India Karnataka"/>
    <x v="7"/>
    <m/>
    <n v="0"/>
    <m/>
    <m/>
    <n v="0"/>
  </r>
  <r>
    <s v="India Karnataka"/>
    <x v="8"/>
    <m/>
    <n v="30.8"/>
    <m/>
    <m/>
    <n v="29.19"/>
  </r>
  <r>
    <s v="India Karnataka"/>
    <x v="9"/>
    <m/>
    <n v="0.63"/>
    <m/>
    <m/>
    <n v="1.23"/>
  </r>
  <r>
    <s v="India Karnataka"/>
    <x v="10"/>
    <m/>
    <m/>
    <m/>
    <m/>
    <n v="0"/>
  </r>
  <r>
    <s v="India Karnataka"/>
    <x v="11"/>
    <m/>
    <m/>
    <n v="0.66"/>
    <n v="0.45"/>
    <n v="1.65"/>
  </r>
  <r>
    <s v="India Karnataka"/>
    <x v="12"/>
    <m/>
    <n v="0"/>
    <n v="0"/>
    <m/>
    <n v="0"/>
  </r>
  <r>
    <s v="India Karnataka"/>
    <x v="13"/>
    <n v="0"/>
    <n v="0"/>
    <m/>
    <m/>
    <n v="0"/>
  </r>
  <r>
    <s v="India Karnataka"/>
    <x v="14"/>
    <n v="0.03"/>
    <n v="0.33"/>
    <n v="65.569999999999993"/>
    <n v="44.88"/>
    <n v="156.9"/>
  </r>
  <r>
    <s v="India Karnataka"/>
    <x v="15"/>
    <n v="0"/>
    <n v="0.01"/>
    <n v="0"/>
    <n v="0"/>
    <n v="6.61"/>
  </r>
  <r>
    <s v="India Kerala"/>
    <x v="0"/>
    <m/>
    <n v="7.77"/>
    <m/>
    <m/>
    <n v="3.13"/>
  </r>
  <r>
    <s v="India Kerala"/>
    <x v="1"/>
    <m/>
    <n v="0"/>
    <m/>
    <m/>
    <n v="3.13"/>
  </r>
  <r>
    <s v="India Kerala"/>
    <x v="2"/>
    <m/>
    <m/>
    <m/>
    <m/>
    <n v="0"/>
  </r>
  <r>
    <s v="India Kerala"/>
    <x v="3"/>
    <m/>
    <n v="0"/>
    <m/>
    <m/>
    <n v="0"/>
  </r>
  <r>
    <s v="India Kerala"/>
    <x v="4"/>
    <m/>
    <n v="0"/>
    <m/>
    <m/>
    <n v="0"/>
  </r>
  <r>
    <s v="India Kerala"/>
    <x v="5"/>
    <m/>
    <m/>
    <m/>
    <m/>
    <n v="0"/>
  </r>
  <r>
    <s v="India Kerala"/>
    <x v="6"/>
    <m/>
    <n v="0"/>
    <m/>
    <m/>
    <n v="0"/>
  </r>
  <r>
    <s v="India Kerala"/>
    <x v="7"/>
    <m/>
    <n v="0"/>
    <m/>
    <m/>
    <n v="0"/>
  </r>
  <r>
    <s v="India Kerala"/>
    <x v="8"/>
    <m/>
    <n v="0.67"/>
    <m/>
    <m/>
    <n v="0.23"/>
  </r>
  <r>
    <s v="India Kerala"/>
    <x v="9"/>
    <m/>
    <n v="0.01"/>
    <m/>
    <m/>
    <n v="0.01"/>
  </r>
  <r>
    <s v="India Kerala"/>
    <x v="10"/>
    <m/>
    <m/>
    <m/>
    <m/>
    <n v="0"/>
  </r>
  <r>
    <s v="India Kerala"/>
    <x v="11"/>
    <m/>
    <m/>
    <n v="0.4"/>
    <n v="0.27"/>
    <n v="1"/>
  </r>
  <r>
    <s v="India Kerala"/>
    <x v="12"/>
    <m/>
    <n v="0"/>
    <n v="0"/>
    <m/>
    <n v="0"/>
  </r>
  <r>
    <s v="India Kerala"/>
    <x v="13"/>
    <n v="0"/>
    <n v="0"/>
    <m/>
    <m/>
    <n v="0"/>
  </r>
  <r>
    <s v="India Kerala"/>
    <x v="14"/>
    <n v="0.01"/>
    <n v="0.13"/>
    <n v="39.76"/>
    <n v="27.21"/>
    <n v="95.14"/>
  </r>
  <r>
    <s v="India Kerala"/>
    <x v="15"/>
    <n v="0"/>
    <n v="0"/>
    <n v="0"/>
    <n v="0"/>
    <n v="4.01"/>
  </r>
  <r>
    <s v="India Madhya Pradesh"/>
    <x v="0"/>
    <m/>
    <n v="7"/>
    <m/>
    <m/>
    <n v="3.94"/>
  </r>
  <r>
    <s v="India Madhya Pradesh"/>
    <x v="1"/>
    <m/>
    <n v="0"/>
    <m/>
    <m/>
    <n v="3.94"/>
  </r>
  <r>
    <s v="India Madhya Pradesh"/>
    <x v="2"/>
    <m/>
    <m/>
    <m/>
    <m/>
    <n v="0"/>
  </r>
  <r>
    <s v="India Madhya Pradesh"/>
    <x v="3"/>
    <m/>
    <n v="0"/>
    <m/>
    <m/>
    <n v="0"/>
  </r>
  <r>
    <s v="India Madhya Pradesh"/>
    <x v="4"/>
    <m/>
    <n v="0"/>
    <m/>
    <m/>
    <n v="0"/>
  </r>
  <r>
    <s v="India Madhya Pradesh"/>
    <x v="5"/>
    <m/>
    <m/>
    <m/>
    <m/>
    <n v="0.19"/>
  </r>
  <r>
    <s v="India Madhya Pradesh"/>
    <x v="6"/>
    <m/>
    <n v="0"/>
    <m/>
    <m/>
    <n v="0"/>
  </r>
  <r>
    <s v="India Madhya Pradesh"/>
    <x v="7"/>
    <m/>
    <n v="0"/>
    <m/>
    <m/>
    <n v="0"/>
  </r>
  <r>
    <s v="India Madhya Pradesh"/>
    <x v="8"/>
    <m/>
    <n v="19.72"/>
    <m/>
    <m/>
    <n v="17.600000000000001"/>
  </r>
  <r>
    <s v="India Madhya Pradesh"/>
    <x v="9"/>
    <m/>
    <n v="0.4"/>
    <m/>
    <m/>
    <n v="0.74"/>
  </r>
  <r>
    <s v="India Madhya Pradesh"/>
    <x v="10"/>
    <m/>
    <m/>
    <m/>
    <m/>
    <n v="0"/>
  </r>
  <r>
    <s v="India Madhya Pradesh"/>
    <x v="11"/>
    <m/>
    <m/>
    <n v="0.99"/>
    <n v="0.68"/>
    <n v="2.4700000000000002"/>
  </r>
  <r>
    <s v="India Madhya Pradesh"/>
    <x v="12"/>
    <m/>
    <n v="0"/>
    <n v="0"/>
    <m/>
    <n v="0"/>
  </r>
  <r>
    <s v="India Madhya Pradesh"/>
    <x v="13"/>
    <n v="0"/>
    <n v="0"/>
    <m/>
    <m/>
    <n v="0"/>
  </r>
  <r>
    <s v="India Madhya Pradesh"/>
    <x v="14"/>
    <n v="0.11"/>
    <n v="1.04"/>
    <n v="97.91"/>
    <n v="67.010000000000005"/>
    <n v="234.28"/>
  </r>
  <r>
    <s v="India Madhya Pradesh"/>
    <x v="15"/>
    <n v="0"/>
    <n v="0.02"/>
    <n v="0"/>
    <n v="0"/>
    <n v="9.86"/>
  </r>
  <r>
    <s v="India Maharashtra-Dadra-Nagar Haveli-Daman-Diu"/>
    <x v="0"/>
    <m/>
    <n v="57.06"/>
    <m/>
    <m/>
    <n v="10.050000000000001"/>
  </r>
  <r>
    <s v="India Maharashtra-Dadra-Nagar Haveli-Daman-Diu"/>
    <x v="1"/>
    <m/>
    <n v="0"/>
    <m/>
    <m/>
    <n v="10.050000000000001"/>
  </r>
  <r>
    <s v="India Maharashtra-Dadra-Nagar Haveli-Daman-Diu"/>
    <x v="2"/>
    <m/>
    <m/>
    <m/>
    <m/>
    <n v="0"/>
  </r>
  <r>
    <s v="India Maharashtra-Dadra-Nagar Haveli-Daman-Diu"/>
    <x v="3"/>
    <m/>
    <n v="0"/>
    <m/>
    <m/>
    <n v="0"/>
  </r>
  <r>
    <s v="India Maharashtra-Dadra-Nagar Haveli-Daman-Diu"/>
    <x v="4"/>
    <m/>
    <n v="0"/>
    <m/>
    <m/>
    <n v="0"/>
  </r>
  <r>
    <s v="India Maharashtra-Dadra-Nagar Haveli-Daman-Diu"/>
    <x v="5"/>
    <m/>
    <m/>
    <m/>
    <m/>
    <n v="0.56000000000000005"/>
  </r>
  <r>
    <s v="India Maharashtra-Dadra-Nagar Haveli-Daman-Diu"/>
    <x v="6"/>
    <m/>
    <n v="0"/>
    <m/>
    <m/>
    <n v="0"/>
  </r>
  <r>
    <s v="India Maharashtra-Dadra-Nagar Haveli-Daman-Diu"/>
    <x v="7"/>
    <m/>
    <n v="0"/>
    <m/>
    <m/>
    <n v="0"/>
  </r>
  <r>
    <s v="India Maharashtra-Dadra-Nagar Haveli-Daman-Diu"/>
    <x v="8"/>
    <m/>
    <n v="13.73"/>
    <m/>
    <m/>
    <n v="52.99"/>
  </r>
  <r>
    <s v="India Maharashtra-Dadra-Nagar Haveli-Daman-Diu"/>
    <x v="9"/>
    <m/>
    <n v="0.28000000000000003"/>
    <m/>
    <m/>
    <n v="2.23"/>
  </r>
  <r>
    <s v="India Maharashtra-Dadra-Nagar Haveli-Daman-Diu"/>
    <x v="10"/>
    <m/>
    <m/>
    <m/>
    <m/>
    <n v="0"/>
  </r>
  <r>
    <s v="India Maharashtra-Dadra-Nagar Haveli-Daman-Diu"/>
    <x v="11"/>
    <m/>
    <m/>
    <n v="0.96"/>
    <n v="0.66"/>
    <n v="2.39"/>
  </r>
  <r>
    <s v="India Maharashtra-Dadra-Nagar Haveli-Daman-Diu"/>
    <x v="12"/>
    <m/>
    <n v="0"/>
    <n v="0"/>
    <m/>
    <n v="0"/>
  </r>
  <r>
    <s v="India Maharashtra-Dadra-Nagar Haveli-Daman-Diu"/>
    <x v="13"/>
    <n v="0"/>
    <n v="0"/>
    <m/>
    <m/>
    <n v="0"/>
  </r>
  <r>
    <s v="India Maharashtra-Dadra-Nagar Haveli-Daman-Diu"/>
    <x v="14"/>
    <n v="0.17"/>
    <n v="1.64"/>
    <n v="94.84"/>
    <n v="64.92"/>
    <n v="226.95"/>
  </r>
  <r>
    <s v="India Maharashtra-Dadra-Nagar Haveli-Daman-Diu"/>
    <x v="15"/>
    <n v="0"/>
    <n v="0.03"/>
    <n v="0"/>
    <n v="0"/>
    <n v="9.56"/>
  </r>
  <r>
    <s v="India North East (excl. Assam)"/>
    <x v="0"/>
    <m/>
    <n v="1.79"/>
    <m/>
    <m/>
    <n v="0.78"/>
  </r>
  <r>
    <s v="India North East (excl. Assam)"/>
    <x v="1"/>
    <m/>
    <n v="0"/>
    <m/>
    <m/>
    <n v="0.78"/>
  </r>
  <r>
    <s v="India North East (excl. Assam)"/>
    <x v="2"/>
    <m/>
    <m/>
    <m/>
    <m/>
    <n v="0"/>
  </r>
  <r>
    <s v="India North East (excl. Assam)"/>
    <x v="3"/>
    <m/>
    <n v="0"/>
    <m/>
    <m/>
    <n v="0"/>
  </r>
  <r>
    <s v="India North East (excl. Assam)"/>
    <x v="4"/>
    <m/>
    <n v="0"/>
    <m/>
    <m/>
    <n v="0"/>
  </r>
  <r>
    <s v="India North East (excl. Assam)"/>
    <x v="5"/>
    <m/>
    <m/>
    <m/>
    <m/>
    <n v="0.02"/>
  </r>
  <r>
    <s v="India North East (excl. Assam)"/>
    <x v="6"/>
    <m/>
    <n v="0"/>
    <m/>
    <m/>
    <n v="0"/>
  </r>
  <r>
    <s v="India North East (excl. Assam)"/>
    <x v="7"/>
    <m/>
    <n v="0"/>
    <m/>
    <m/>
    <n v="0"/>
  </r>
  <r>
    <s v="India North East (excl. Assam)"/>
    <x v="8"/>
    <m/>
    <n v="0.02"/>
    <m/>
    <m/>
    <n v="2.14"/>
  </r>
  <r>
    <s v="India North East (excl. Assam)"/>
    <x v="9"/>
    <m/>
    <n v="0"/>
    <m/>
    <m/>
    <n v="0.09"/>
  </r>
  <r>
    <s v="India North East (excl. Assam)"/>
    <x v="10"/>
    <m/>
    <m/>
    <m/>
    <m/>
    <n v="0"/>
  </r>
  <r>
    <s v="India North East (excl. Assam)"/>
    <x v="11"/>
    <m/>
    <m/>
    <n v="0.18"/>
    <n v="0.12"/>
    <n v="0.44"/>
  </r>
  <r>
    <s v="India North East (excl. Assam)"/>
    <x v="12"/>
    <m/>
    <n v="0"/>
    <n v="0"/>
    <m/>
    <n v="0"/>
  </r>
  <r>
    <s v="India North East (excl. Assam)"/>
    <x v="13"/>
    <n v="0"/>
    <n v="0"/>
    <m/>
    <m/>
    <n v="0"/>
  </r>
  <r>
    <s v="India North East (excl. Assam)"/>
    <x v="14"/>
    <n v="0.08"/>
    <n v="0.78"/>
    <n v="17.41"/>
    <n v="11.92"/>
    <n v="41.67"/>
  </r>
  <r>
    <s v="India North East (excl. Assam)"/>
    <x v="15"/>
    <n v="0"/>
    <n v="0.02"/>
    <n v="0"/>
    <n v="0"/>
    <n v="1.75"/>
  </r>
  <r>
    <s v="India Orissa"/>
    <x v="0"/>
    <m/>
    <n v="2.97"/>
    <m/>
    <m/>
    <n v="1.37"/>
  </r>
  <r>
    <s v="India Orissa"/>
    <x v="1"/>
    <m/>
    <n v="0"/>
    <m/>
    <m/>
    <n v="1.37"/>
  </r>
  <r>
    <s v="India Orissa"/>
    <x v="2"/>
    <m/>
    <m/>
    <m/>
    <m/>
    <n v="0"/>
  </r>
  <r>
    <s v="India Orissa"/>
    <x v="3"/>
    <m/>
    <n v="0"/>
    <m/>
    <m/>
    <n v="0"/>
  </r>
  <r>
    <s v="India Orissa"/>
    <x v="4"/>
    <m/>
    <n v="0"/>
    <m/>
    <m/>
    <n v="0"/>
  </r>
  <r>
    <s v="India Orissa"/>
    <x v="5"/>
    <m/>
    <m/>
    <m/>
    <m/>
    <n v="0.05"/>
  </r>
  <r>
    <s v="India Orissa"/>
    <x v="6"/>
    <m/>
    <n v="0"/>
    <m/>
    <m/>
    <n v="0"/>
  </r>
  <r>
    <s v="India Orissa"/>
    <x v="7"/>
    <m/>
    <n v="0"/>
    <m/>
    <m/>
    <n v="0"/>
  </r>
  <r>
    <s v="India Orissa"/>
    <x v="8"/>
    <m/>
    <n v="0.41"/>
    <m/>
    <m/>
    <n v="4.3"/>
  </r>
  <r>
    <s v="India Orissa"/>
    <x v="9"/>
    <m/>
    <n v="0.01"/>
    <m/>
    <m/>
    <n v="0.18"/>
  </r>
  <r>
    <s v="India Orissa"/>
    <x v="10"/>
    <m/>
    <m/>
    <m/>
    <m/>
    <n v="0"/>
  </r>
  <r>
    <s v="India Orissa"/>
    <x v="11"/>
    <m/>
    <m/>
    <n v="0.68"/>
    <n v="0.46"/>
    <n v="1.69"/>
  </r>
  <r>
    <s v="India Orissa"/>
    <x v="12"/>
    <m/>
    <n v="0"/>
    <n v="0"/>
    <m/>
    <n v="0"/>
  </r>
  <r>
    <s v="India Orissa"/>
    <x v="13"/>
    <n v="0"/>
    <n v="0"/>
    <m/>
    <m/>
    <n v="0"/>
  </r>
  <r>
    <s v="India Orissa"/>
    <x v="14"/>
    <n v="0.49"/>
    <n v="4.75"/>
    <n v="67.08"/>
    <n v="45.91"/>
    <n v="160.51"/>
  </r>
  <r>
    <s v="India Orissa"/>
    <x v="15"/>
    <n v="0.01"/>
    <n v="0.1"/>
    <n v="0"/>
    <n v="0"/>
    <n v="6.76"/>
  </r>
  <r>
    <s v="India Punjab"/>
    <x v="0"/>
    <m/>
    <n v="15.85"/>
    <m/>
    <m/>
    <n v="2.2400000000000002"/>
  </r>
  <r>
    <s v="India Punjab"/>
    <x v="1"/>
    <m/>
    <n v="0"/>
    <m/>
    <m/>
    <n v="2.2400000000000002"/>
  </r>
  <r>
    <s v="India Punjab"/>
    <x v="2"/>
    <m/>
    <m/>
    <m/>
    <m/>
    <n v="0"/>
  </r>
  <r>
    <s v="India Punjab"/>
    <x v="3"/>
    <m/>
    <n v="0"/>
    <m/>
    <m/>
    <n v="0"/>
  </r>
  <r>
    <s v="India Punjab"/>
    <x v="4"/>
    <m/>
    <n v="0"/>
    <m/>
    <m/>
    <n v="0"/>
  </r>
  <r>
    <s v="India Punjab"/>
    <x v="5"/>
    <m/>
    <m/>
    <m/>
    <m/>
    <n v="0.15"/>
  </r>
  <r>
    <s v="India Punjab"/>
    <x v="6"/>
    <m/>
    <n v="0"/>
    <m/>
    <m/>
    <n v="0"/>
  </r>
  <r>
    <s v="India Punjab"/>
    <x v="7"/>
    <m/>
    <n v="0"/>
    <m/>
    <m/>
    <n v="0"/>
  </r>
  <r>
    <s v="India Punjab"/>
    <x v="8"/>
    <m/>
    <n v="23.84"/>
    <m/>
    <m/>
    <n v="14.69"/>
  </r>
  <r>
    <s v="India Punjab"/>
    <x v="9"/>
    <m/>
    <n v="0.49"/>
    <m/>
    <m/>
    <n v="0.62"/>
  </r>
  <r>
    <s v="India Punjab"/>
    <x v="10"/>
    <m/>
    <m/>
    <m/>
    <m/>
    <n v="0"/>
  </r>
  <r>
    <s v="India Punjab"/>
    <x v="11"/>
    <m/>
    <m/>
    <n v="0.18"/>
    <n v="0.12"/>
    <n v="0.45"/>
  </r>
  <r>
    <s v="India Punjab"/>
    <x v="12"/>
    <m/>
    <n v="0"/>
    <n v="0"/>
    <m/>
    <n v="0"/>
  </r>
  <r>
    <s v="India Punjab"/>
    <x v="13"/>
    <n v="0"/>
    <n v="0"/>
    <m/>
    <m/>
    <n v="0"/>
  </r>
  <r>
    <s v="India Punjab"/>
    <x v="14"/>
    <n v="0.03"/>
    <n v="0.33"/>
    <n v="17.98"/>
    <n v="12.31"/>
    <n v="43.02"/>
  </r>
  <r>
    <s v="India Punjab"/>
    <x v="15"/>
    <n v="0"/>
    <n v="0.01"/>
    <n v="0"/>
    <n v="0"/>
    <n v="1.81"/>
  </r>
  <r>
    <s v="India Rajasthan"/>
    <x v="0"/>
    <m/>
    <n v="25.5"/>
    <m/>
    <m/>
    <n v="3.35"/>
  </r>
  <r>
    <s v="India Rajasthan"/>
    <x v="1"/>
    <m/>
    <n v="0"/>
    <m/>
    <m/>
    <n v="3.35"/>
  </r>
  <r>
    <s v="India Rajasthan"/>
    <x v="2"/>
    <m/>
    <m/>
    <m/>
    <m/>
    <n v="0"/>
  </r>
  <r>
    <s v="India Rajasthan"/>
    <x v="3"/>
    <m/>
    <n v="0"/>
    <m/>
    <m/>
    <n v="0"/>
  </r>
  <r>
    <s v="India Rajasthan"/>
    <x v="4"/>
    <m/>
    <n v="0"/>
    <m/>
    <m/>
    <n v="0"/>
  </r>
  <r>
    <s v="India Rajasthan"/>
    <x v="5"/>
    <m/>
    <m/>
    <m/>
    <m/>
    <n v="0.2"/>
  </r>
  <r>
    <s v="India Rajasthan"/>
    <x v="6"/>
    <m/>
    <n v="0"/>
    <m/>
    <m/>
    <n v="0"/>
  </r>
  <r>
    <s v="India Rajasthan"/>
    <x v="7"/>
    <m/>
    <n v="0"/>
    <m/>
    <m/>
    <n v="0"/>
  </r>
  <r>
    <s v="India Rajasthan"/>
    <x v="8"/>
    <m/>
    <n v="22.83"/>
    <m/>
    <m/>
    <n v="19.22"/>
  </r>
  <r>
    <s v="India Rajasthan"/>
    <x v="9"/>
    <m/>
    <n v="0.47"/>
    <m/>
    <m/>
    <n v="0.81"/>
  </r>
  <r>
    <s v="India Rajasthan"/>
    <x v="10"/>
    <m/>
    <m/>
    <m/>
    <m/>
    <n v="0"/>
  </r>
  <r>
    <s v="India Rajasthan"/>
    <x v="11"/>
    <m/>
    <m/>
    <n v="0.79"/>
    <n v="0.54"/>
    <n v="1.97"/>
  </r>
  <r>
    <s v="India Rajasthan"/>
    <x v="12"/>
    <m/>
    <n v="0"/>
    <n v="0"/>
    <m/>
    <n v="0"/>
  </r>
  <r>
    <s v="India Rajasthan"/>
    <x v="13"/>
    <n v="0"/>
    <n v="0"/>
    <m/>
    <m/>
    <n v="0"/>
  </r>
  <r>
    <s v="India Rajasthan"/>
    <x v="14"/>
    <n v="0.04"/>
    <n v="0.43"/>
    <n v="78.23"/>
    <n v="53.54"/>
    <n v="187.19"/>
  </r>
  <r>
    <s v="India Rajasthan"/>
    <x v="15"/>
    <n v="0"/>
    <n v="0.01"/>
    <n v="0"/>
    <n v="0"/>
    <n v="7.88"/>
  </r>
  <r>
    <s v="India Tamil Nadu"/>
    <x v="0"/>
    <m/>
    <n v="24.79"/>
    <m/>
    <m/>
    <n v="7.07"/>
  </r>
  <r>
    <s v="India Tamil Nadu"/>
    <x v="1"/>
    <m/>
    <n v="0"/>
    <m/>
    <m/>
    <n v="7.07"/>
  </r>
  <r>
    <s v="India Tamil Nadu"/>
    <x v="2"/>
    <m/>
    <m/>
    <m/>
    <m/>
    <n v="0"/>
  </r>
  <r>
    <s v="India Tamil Nadu"/>
    <x v="3"/>
    <m/>
    <n v="0"/>
    <m/>
    <m/>
    <n v="0"/>
  </r>
  <r>
    <s v="India Tamil Nadu"/>
    <x v="4"/>
    <m/>
    <n v="0"/>
    <m/>
    <m/>
    <n v="0"/>
  </r>
  <r>
    <s v="India Tamil Nadu"/>
    <x v="5"/>
    <m/>
    <m/>
    <m/>
    <m/>
    <n v="0.21"/>
  </r>
  <r>
    <s v="India Tamil Nadu"/>
    <x v="6"/>
    <m/>
    <n v="0"/>
    <m/>
    <m/>
    <n v="0"/>
  </r>
  <r>
    <s v="India Tamil Nadu"/>
    <x v="7"/>
    <m/>
    <n v="0"/>
    <m/>
    <m/>
    <n v="0"/>
  </r>
  <r>
    <s v="India Tamil Nadu"/>
    <x v="8"/>
    <m/>
    <n v="28.36"/>
    <m/>
    <m/>
    <n v="20.260000000000002"/>
  </r>
  <r>
    <s v="India Tamil Nadu"/>
    <x v="9"/>
    <m/>
    <n v="0.57999999999999996"/>
    <m/>
    <m/>
    <n v="0.85"/>
  </r>
  <r>
    <s v="India Tamil Nadu"/>
    <x v="10"/>
    <m/>
    <m/>
    <m/>
    <m/>
    <n v="0"/>
  </r>
  <r>
    <s v="India Tamil Nadu"/>
    <x v="11"/>
    <m/>
    <m/>
    <n v="0.69"/>
    <n v="0.47"/>
    <n v="1.71"/>
  </r>
  <r>
    <s v="India Tamil Nadu"/>
    <x v="12"/>
    <m/>
    <n v="0"/>
    <n v="0"/>
    <m/>
    <n v="0"/>
  </r>
  <r>
    <s v="India Tamil Nadu"/>
    <x v="13"/>
    <n v="0"/>
    <n v="0"/>
    <m/>
    <m/>
    <n v="0"/>
  </r>
  <r>
    <s v="India Tamil Nadu"/>
    <x v="14"/>
    <n v="0.06"/>
    <n v="0.57999999999999996"/>
    <n v="67.97"/>
    <n v="46.52"/>
    <n v="162.63999999999999"/>
  </r>
  <r>
    <s v="India Tamil Nadu"/>
    <x v="15"/>
    <n v="0"/>
    <n v="0.01"/>
    <n v="0"/>
    <n v="0"/>
    <n v="6.85"/>
  </r>
  <r>
    <s v="India Uttar Pradesh"/>
    <x v="0"/>
    <m/>
    <n v="24.17"/>
    <m/>
    <m/>
    <n v="8.73"/>
  </r>
  <r>
    <s v="India Uttar Pradesh"/>
    <x v="1"/>
    <m/>
    <n v="0"/>
    <m/>
    <m/>
    <n v="8.73"/>
  </r>
  <r>
    <s v="India Uttar Pradesh"/>
    <x v="2"/>
    <m/>
    <m/>
    <m/>
    <m/>
    <n v="0"/>
  </r>
  <r>
    <s v="India Uttar Pradesh"/>
    <x v="3"/>
    <m/>
    <n v="0"/>
    <m/>
    <m/>
    <n v="0"/>
  </r>
  <r>
    <s v="India Uttar Pradesh"/>
    <x v="4"/>
    <m/>
    <n v="0"/>
    <m/>
    <m/>
    <n v="0"/>
  </r>
  <r>
    <s v="India Uttar Pradesh"/>
    <x v="5"/>
    <m/>
    <m/>
    <m/>
    <m/>
    <n v="0.82"/>
  </r>
  <r>
    <s v="India Uttar Pradesh"/>
    <x v="6"/>
    <m/>
    <n v="0"/>
    <m/>
    <m/>
    <n v="0"/>
  </r>
  <r>
    <s v="India Uttar Pradesh"/>
    <x v="7"/>
    <m/>
    <n v="0"/>
    <m/>
    <m/>
    <n v="0"/>
  </r>
  <r>
    <s v="India Uttar Pradesh"/>
    <x v="8"/>
    <m/>
    <n v="15.97"/>
    <m/>
    <m/>
    <n v="77.7"/>
  </r>
  <r>
    <s v="India Uttar Pradesh"/>
    <x v="9"/>
    <m/>
    <n v="0.33"/>
    <m/>
    <m/>
    <n v="3.27"/>
  </r>
  <r>
    <s v="India Uttar Pradesh"/>
    <x v="10"/>
    <m/>
    <m/>
    <m/>
    <m/>
    <n v="0"/>
  </r>
  <r>
    <s v="India Uttar Pradesh"/>
    <x v="11"/>
    <m/>
    <m/>
    <n v="2.17"/>
    <n v="1.49"/>
    <n v="5.41"/>
  </r>
  <r>
    <s v="India Uttar Pradesh"/>
    <x v="12"/>
    <m/>
    <n v="0"/>
    <n v="0"/>
    <m/>
    <n v="0"/>
  </r>
  <r>
    <s v="India Uttar Pradesh"/>
    <x v="13"/>
    <n v="0"/>
    <n v="0"/>
    <m/>
    <m/>
    <n v="0"/>
  </r>
  <r>
    <s v="India Uttar Pradesh"/>
    <x v="14"/>
    <n v="0.26"/>
    <n v="2.56"/>
    <n v="214.9"/>
    <n v="147.1"/>
    <n v="514.24"/>
  </r>
  <r>
    <s v="India Uttar Pradesh"/>
    <x v="15"/>
    <n v="0.01"/>
    <n v="0.05"/>
    <n v="0"/>
    <n v="0"/>
    <n v="21.65"/>
  </r>
  <r>
    <s v="India Uttaranchal"/>
    <x v="0"/>
    <m/>
    <n v="4.54"/>
    <m/>
    <m/>
    <n v="0.61"/>
  </r>
  <r>
    <s v="India Uttaranchal"/>
    <x v="1"/>
    <m/>
    <n v="0"/>
    <m/>
    <m/>
    <n v="0.61"/>
  </r>
  <r>
    <s v="India Uttaranchal"/>
    <x v="2"/>
    <m/>
    <m/>
    <m/>
    <m/>
    <n v="0"/>
  </r>
  <r>
    <s v="India Uttaranchal"/>
    <x v="3"/>
    <m/>
    <n v="0"/>
    <m/>
    <m/>
    <n v="0"/>
  </r>
  <r>
    <s v="India Uttaranchal"/>
    <x v="4"/>
    <m/>
    <n v="0"/>
    <m/>
    <m/>
    <n v="0"/>
  </r>
  <r>
    <s v="India Uttaranchal"/>
    <x v="5"/>
    <m/>
    <m/>
    <m/>
    <m/>
    <n v="0.01"/>
  </r>
  <r>
    <s v="India Uttaranchal"/>
    <x v="6"/>
    <m/>
    <n v="0"/>
    <m/>
    <m/>
    <n v="0"/>
  </r>
  <r>
    <s v="India Uttaranchal"/>
    <x v="7"/>
    <m/>
    <n v="0"/>
    <m/>
    <m/>
    <n v="0"/>
  </r>
  <r>
    <s v="India Uttaranchal"/>
    <x v="8"/>
    <m/>
    <n v="0.84"/>
    <m/>
    <m/>
    <n v="0.69"/>
  </r>
  <r>
    <s v="India Uttaranchal"/>
    <x v="9"/>
    <m/>
    <n v="0.02"/>
    <m/>
    <m/>
    <n v="0.03"/>
  </r>
  <r>
    <s v="India Uttaranchal"/>
    <x v="10"/>
    <m/>
    <m/>
    <m/>
    <m/>
    <n v="0"/>
  </r>
  <r>
    <s v="India Uttaranchal"/>
    <x v="11"/>
    <m/>
    <m/>
    <n v="0.09"/>
    <n v="0.06"/>
    <n v="0.22"/>
  </r>
  <r>
    <s v="India Uttaranchal"/>
    <x v="12"/>
    <m/>
    <n v="0"/>
    <n v="0"/>
    <m/>
    <n v="0"/>
  </r>
  <r>
    <s v="India Uttaranchal"/>
    <x v="13"/>
    <n v="0"/>
    <n v="0"/>
    <m/>
    <m/>
    <n v="0"/>
  </r>
  <r>
    <s v="India Uttaranchal"/>
    <x v="14"/>
    <n v="0"/>
    <n v="0.04"/>
    <n v="8.7100000000000009"/>
    <n v="5.96"/>
    <n v="20.83"/>
  </r>
  <r>
    <s v="India Uttaranchal"/>
    <x v="15"/>
    <n v="0"/>
    <n v="0"/>
    <n v="0"/>
    <n v="0"/>
    <n v="0.88"/>
  </r>
  <r>
    <s v="India West Bengal"/>
    <x v="0"/>
    <m/>
    <n v="11.72"/>
    <m/>
    <m/>
    <n v="5.72"/>
  </r>
  <r>
    <s v="India West Bengal"/>
    <x v="1"/>
    <m/>
    <n v="0"/>
    <m/>
    <m/>
    <n v="5.72"/>
  </r>
  <r>
    <s v="India West Bengal"/>
    <x v="2"/>
    <m/>
    <m/>
    <m/>
    <m/>
    <n v="0"/>
  </r>
  <r>
    <s v="India West Bengal"/>
    <x v="3"/>
    <m/>
    <n v="0"/>
    <m/>
    <m/>
    <n v="0"/>
  </r>
  <r>
    <s v="India West Bengal"/>
    <x v="4"/>
    <m/>
    <n v="0"/>
    <m/>
    <m/>
    <n v="0"/>
  </r>
  <r>
    <s v="India West Bengal"/>
    <x v="5"/>
    <m/>
    <m/>
    <m/>
    <m/>
    <n v="0.09"/>
  </r>
  <r>
    <s v="India West Bengal"/>
    <x v="6"/>
    <m/>
    <n v="0"/>
    <m/>
    <m/>
    <n v="0"/>
  </r>
  <r>
    <s v="India West Bengal"/>
    <x v="7"/>
    <m/>
    <n v="0"/>
    <m/>
    <m/>
    <n v="0"/>
  </r>
  <r>
    <s v="India West Bengal"/>
    <x v="8"/>
    <m/>
    <n v="3.11"/>
    <m/>
    <m/>
    <n v="8.44"/>
  </r>
  <r>
    <s v="India West Bengal"/>
    <x v="9"/>
    <m/>
    <n v="0.06"/>
    <m/>
    <m/>
    <n v="0.36"/>
  </r>
  <r>
    <s v="India West Bengal"/>
    <x v="10"/>
    <m/>
    <m/>
    <m/>
    <m/>
    <n v="0"/>
  </r>
  <r>
    <s v="India West Bengal"/>
    <x v="11"/>
    <m/>
    <m/>
    <n v="1.1399999999999999"/>
    <n v="0.78"/>
    <n v="2.85"/>
  </r>
  <r>
    <s v="India West Bengal"/>
    <x v="12"/>
    <m/>
    <n v="0"/>
    <n v="0"/>
    <m/>
    <n v="0"/>
  </r>
  <r>
    <s v="India West Bengal"/>
    <x v="13"/>
    <n v="0"/>
    <n v="0"/>
    <m/>
    <m/>
    <n v="0"/>
  </r>
  <r>
    <s v="India West Bengal"/>
    <x v="14"/>
    <n v="5.0599999999999996"/>
    <n v="49.21"/>
    <n v="113.06"/>
    <n v="77.39"/>
    <n v="270.55"/>
  </r>
  <r>
    <s v="India West Bengal"/>
    <x v="15"/>
    <n v="0.1"/>
    <n v="1"/>
    <n v="0"/>
    <n v="0"/>
    <n v="11.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1" cacheId="710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I14" firstHeaderRow="0" firstDataRow="1" firstDataCol="1"/>
  <pivotFields count="36">
    <pivotField showAll="0"/>
    <pivotField axis="axisRow" showAll="0">
      <items count="50">
        <item h="1" x="30"/>
        <item h="1" x="25"/>
        <item h="1" x="26"/>
        <item h="1" x="33"/>
        <item h="1" x="36"/>
        <item h="1" x="2"/>
        <item h="1" x="23"/>
        <item h="1" x="24"/>
        <item h="1" x="27"/>
        <item h="1" x="10"/>
        <item h="1" x="0"/>
        <item h="1" x="34"/>
        <item h="1" x="16"/>
        <item h="1" x="28"/>
        <item h="1" x="37"/>
        <item h="1" x="17"/>
        <item h="1" x="18"/>
        <item h="1" x="35"/>
        <item h="1" x="38"/>
        <item h="1" x="9"/>
        <item h="1" x="22"/>
        <item h="1" x="4"/>
        <item h="1" x="8"/>
        <item h="1" x="5"/>
        <item h="1" x="6"/>
        <item h="1" x="29"/>
        <item h="1" x="7"/>
        <item h="1" x="13"/>
        <item h="1" x="12"/>
        <item h="1" x="11"/>
        <item h="1" x="15"/>
        <item h="1" x="19"/>
        <item h="1" x="20"/>
        <item h="1" x="21"/>
        <item h="1" x="14"/>
        <item h="1" x="31"/>
        <item h="1" x="32"/>
        <item h="1" x="1"/>
        <item h="1" x="3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/>
    <pivotField dataField="1" showAll="0"/>
    <pivotField dataField="1" showAll="0"/>
    <pivotField dataField="1" showAll="0"/>
  </pivotFields>
  <rowFields count="1">
    <field x="1"/>
  </rowFields>
  <rowItems count="11"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-2"/>
  </colFields>
  <colItems count="3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</colItems>
  <dataFields count="34">
    <dataField name="Sum of Brown coal/lignite grade 1" fld="2" baseField="0" baseItem="0"/>
    <dataField name="Sum of Brown coal/lignite grade 2 (also peat)" fld="3" baseField="0" baseItem="0"/>
    <dataField name="Sum of Hard coal, grade 1" fld="4" baseField="0" baseItem="0"/>
    <dataField name="Sum of Hard coal, grade 2" fld="5" baseField="0" baseItem="0"/>
    <dataField name="Sum of Hard coal, grade 3" fld="6" baseField="0" baseItem="0"/>
    <dataField name="Sum of Derived coal (coke, briquettes)" fld="7" baseField="0" baseItem="0"/>
    <dataField name="Sum of Agricultural residues" fld="8" baseField="0" baseItem="0"/>
    <dataField name="Sum of Bagasse" fld="9" baseField="0" baseItem="0"/>
    <dataField name="Sum of Biogas" fld="10" baseField="0" baseItem="0"/>
    <dataField name="Sum of Biomass gasification" fld="11" baseField="0" baseItem="0"/>
    <dataField name="Sum of Charcoal" fld="12" baseField="0" baseItem="0"/>
    <dataField name="Sum of Dung" fld="13" baseField="0" baseItem="0"/>
    <dataField name="Sum of Fuelwood" fld="14" baseField="0" baseItem="0"/>
    <dataField name="Sum of Black liquor" fld="15" baseField="0" baseItem="0"/>
    <dataField name="Sum of Waste fuels, non-renewable" fld="16" baseField="0" baseItem="0"/>
    <dataField name="Sum of Waste fuel, renewable" fld="17" baseField="0" baseItem="0"/>
    <dataField name="Sum of Biomass fuels" fld="18" baseField="0" baseItem="0"/>
    <dataField name="Sum of Other biomass and waste fuels" fld="19" baseField="0" baseItem="0"/>
    <dataField name="Sum of Heavy fuel oil" fld="20" baseField="0" baseItem="0"/>
    <dataField name="Sum of Diesel" fld="21" baseField="0" baseItem="0"/>
    <dataField name="Sum of Gasoline" fld="22" baseField="0" baseItem="0"/>
    <dataField name="Sum of LPG" fld="23" baseField="0" baseItem="0"/>
    <dataField name="Sum of Natural gas (incl. other gases)" fld="24" baseField="0" baseItem="0"/>
    <dataField name="Sum of Hydrogen" fld="25" baseField="0" baseItem="0"/>
    <dataField name="Sum of Renewable energy other than biomass" fld="26" baseField="0" baseItem="0"/>
    <dataField name="Sum of Geothermal" fld="27" baseField="0" baseItem="0"/>
    <dataField name="Sum of Small hydro power" fld="28" baseField="0" baseItem="0"/>
    <dataField name="Sum of Solar photovoltaic" fld="29" baseField="0" baseItem="0"/>
    <dataField name="Sum of Solar thermal" fld="30" baseField="0" baseItem="0"/>
    <dataField name="Sum of Wind" fld="31" baseField="0" baseItem="0"/>
    <dataField name="Sum of Hydro" fld="32" baseField="0" baseItem="0"/>
    <dataField name="Sum of Nuclear" fld="33" baseField="0" baseItem="0"/>
    <dataField name="Sum of Electricity" fld="34" baseField="0" baseItem="0"/>
    <dataField name="Sum of Heat (steam, hot water)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PivotTable2" cacheId="710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7:F34" firstHeaderRow="0" firstDataRow="1" firstDataCol="1"/>
  <pivotFields count="7">
    <pivotField showAll="0"/>
    <pivotField axis="axisRow" showAll="0">
      <items count="17">
        <item x="8"/>
        <item x="14"/>
        <item x="2"/>
        <item x="10"/>
        <item x="9"/>
        <item x="15"/>
        <item x="4"/>
        <item x="1"/>
        <item x="3"/>
        <item x="0"/>
        <item x="6"/>
        <item x="12"/>
        <item x="7"/>
        <item x="13"/>
        <item x="5"/>
        <item x="1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Brown coal/lignite grade 1" fld="2" baseField="1" baseItem="0"/>
    <dataField name="Sum of Hard coal, grade 2" fld="3" baseField="1" baseItem="0"/>
    <dataField name="Sum of Agricultural residues" fld="4" baseField="1" baseItem="0"/>
    <dataField name="Sum of Dung" fld="5" baseField="1" baseItem="0"/>
    <dataField name="Sum of Fuelwood" fld="6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ookstore.teri.res.in/books/9789394657069" TargetMode="External"/><Relationship Id="rId2" Type="http://schemas.openxmlformats.org/officeDocument/2006/relationships/hyperlink" Target="http://mospi.nic.in/sites/default/files/reports_and_publication/ES/Energy%20Statistics%20India%2020211.pdf" TargetMode="External"/><Relationship Id="rId1" Type="http://schemas.openxmlformats.org/officeDocument/2006/relationships/hyperlink" Target="http://mospi.nic.in/sites/default/files/reports_and_publication/ES/Energy%20Statistics%20India%2020211.pdf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oef.nic.in/downloads/public-information/Residentialpowerconsumption.pdf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workbookViewId="0">
      <selection activeCell="D3" sqref="D3"/>
    </sheetView>
  </sheetViews>
  <sheetFormatPr defaultRowHeight="14.45"/>
  <cols>
    <col min="1" max="1" width="12.42578125" customWidth="1"/>
    <col min="2" max="2" width="94.7109375" customWidth="1"/>
    <col min="3" max="3" width="9.42578125" customWidth="1"/>
    <col min="4" max="4" width="64.85546875" customWidth="1"/>
  </cols>
  <sheetData>
    <row r="1" spans="1:4">
      <c r="A1" s="1" t="s">
        <v>0</v>
      </c>
    </row>
    <row r="3" spans="1:4">
      <c r="A3" s="1" t="s">
        <v>1</v>
      </c>
      <c r="B3" s="2" t="s">
        <v>2</v>
      </c>
      <c r="D3" s="2" t="s">
        <v>3</v>
      </c>
    </row>
    <row r="4" spans="1:4">
      <c r="A4" s="1"/>
      <c r="B4" s="3" t="s">
        <v>4</v>
      </c>
      <c r="D4" s="3" t="s">
        <v>5</v>
      </c>
    </row>
    <row r="5" spans="1:4">
      <c r="A5" s="1"/>
      <c r="B5" s="3">
        <v>2023</v>
      </c>
      <c r="D5" s="3">
        <v>2021</v>
      </c>
    </row>
    <row r="6" spans="1:4">
      <c r="A6" s="1"/>
      <c r="B6" s="39" t="s">
        <v>6</v>
      </c>
      <c r="D6" s="39" t="s">
        <v>7</v>
      </c>
    </row>
    <row r="7" spans="1:4">
      <c r="A7" s="1"/>
      <c r="B7" s="39" t="s">
        <v>8</v>
      </c>
      <c r="D7" t="s">
        <v>9</v>
      </c>
    </row>
    <row r="8" spans="1:4">
      <c r="A8" s="1"/>
      <c r="B8" t="s">
        <v>10</v>
      </c>
    </row>
    <row r="9" spans="1:4">
      <c r="A9" s="1"/>
    </row>
    <row r="10" spans="1:4">
      <c r="A10" s="1"/>
      <c r="B10" s="2" t="s">
        <v>11</v>
      </c>
    </row>
    <row r="11" spans="1:4">
      <c r="A11" s="1"/>
      <c r="B11" t="s">
        <v>12</v>
      </c>
    </row>
    <row r="12" spans="1:4">
      <c r="A12" s="1"/>
      <c r="B12" s="3">
        <v>2021</v>
      </c>
    </row>
    <row r="13" spans="1:4">
      <c r="A13" s="1"/>
      <c r="B13" t="s">
        <v>13</v>
      </c>
    </row>
    <row r="14" spans="1:4">
      <c r="A14" s="1"/>
      <c r="B14" s="4" t="s">
        <v>14</v>
      </c>
    </row>
    <row r="15" spans="1:4">
      <c r="A15" s="1"/>
      <c r="B15" t="s">
        <v>15</v>
      </c>
    </row>
    <row r="16" spans="1:4">
      <c r="A16" s="1"/>
    </row>
    <row r="17" spans="1:4">
      <c r="A17" s="1"/>
      <c r="B17" s="6" t="s">
        <v>16</v>
      </c>
      <c r="D17" s="41"/>
    </row>
    <row r="18" spans="1:4">
      <c r="A18" s="1"/>
      <c r="B18" t="s">
        <v>12</v>
      </c>
    </row>
    <row r="19" spans="1:4">
      <c r="A19" s="1"/>
      <c r="B19" s="3">
        <v>2021</v>
      </c>
      <c r="D19" s="3"/>
    </row>
    <row r="20" spans="1:4">
      <c r="A20" s="1"/>
      <c r="B20" t="s">
        <v>13</v>
      </c>
      <c r="D20" s="39"/>
    </row>
    <row r="21" spans="1:4">
      <c r="A21" s="1"/>
      <c r="B21" s="4" t="s">
        <v>14</v>
      </c>
      <c r="D21" s="4"/>
    </row>
    <row r="22" spans="1:4">
      <c r="A22" s="1"/>
      <c r="B22" t="s">
        <v>17</v>
      </c>
    </row>
    <row r="23" spans="1:4">
      <c r="A23" s="1"/>
    </row>
    <row r="24" spans="1:4">
      <c r="A24" s="1"/>
      <c r="B24" s="2" t="s">
        <v>18</v>
      </c>
    </row>
    <row r="25" spans="1:4">
      <c r="A25" s="1"/>
      <c r="B25" t="s">
        <v>19</v>
      </c>
    </row>
    <row r="26" spans="1:4">
      <c r="A26" s="1"/>
      <c r="B26" s="3">
        <v>2018</v>
      </c>
    </row>
    <row r="27" spans="1:4">
      <c r="A27" s="1"/>
      <c r="B27" t="s">
        <v>20</v>
      </c>
    </row>
    <row r="28" spans="1:4">
      <c r="A28" s="1"/>
      <c r="B28" s="4" t="s">
        <v>21</v>
      </c>
      <c r="D28" t="s">
        <v>22</v>
      </c>
    </row>
    <row r="29" spans="1:4">
      <c r="A29" s="1"/>
      <c r="B29" t="s">
        <v>23</v>
      </c>
    </row>
    <row r="30" spans="1:4">
      <c r="A30" s="1"/>
    </row>
    <row r="31" spans="1:4">
      <c r="A31" s="1"/>
      <c r="B31" s="73" t="s">
        <v>24</v>
      </c>
    </row>
    <row r="32" spans="1:4">
      <c r="B32" s="74" t="s">
        <v>25</v>
      </c>
    </row>
    <row r="33" spans="1:2">
      <c r="B33" s="76">
        <v>2021</v>
      </c>
    </row>
    <row r="34" spans="1:2">
      <c r="B34" s="74" t="s">
        <v>26</v>
      </c>
    </row>
    <row r="35" spans="1:2">
      <c r="B35" s="75" t="s">
        <v>27</v>
      </c>
    </row>
    <row r="36" spans="1:2">
      <c r="B36" s="74" t="s">
        <v>28</v>
      </c>
    </row>
    <row r="38" spans="1:2">
      <c r="A38" s="1" t="s">
        <v>29</v>
      </c>
    </row>
    <row r="39" spans="1:2">
      <c r="A39" s="1" t="s">
        <v>30</v>
      </c>
    </row>
    <row r="40" spans="1:2">
      <c r="A40" t="s">
        <v>31</v>
      </c>
    </row>
    <row r="41" spans="1:2">
      <c r="A41" t="s">
        <v>32</v>
      </c>
    </row>
    <row r="42" spans="1:2">
      <c r="A42" t="s">
        <v>33</v>
      </c>
    </row>
    <row r="43" spans="1:2">
      <c r="A43" t="s">
        <v>34</v>
      </c>
    </row>
    <row r="45" spans="1:2">
      <c r="A45" t="s">
        <v>35</v>
      </c>
    </row>
    <row r="46" spans="1:2">
      <c r="A46" t="s">
        <v>36</v>
      </c>
    </row>
    <row r="47" spans="1:2">
      <c r="A47" t="s">
        <v>37</v>
      </c>
    </row>
    <row r="48" spans="1:2">
      <c r="A48" t="s">
        <v>38</v>
      </c>
    </row>
    <row r="49" spans="1:1">
      <c r="A49" t="s">
        <v>39</v>
      </c>
    </row>
    <row r="51" spans="1:1">
      <c r="A51" t="s">
        <v>40</v>
      </c>
    </row>
    <row r="52" spans="1:1">
      <c r="A52" t="s">
        <v>41</v>
      </c>
    </row>
    <row r="54" spans="1:1">
      <c r="A54" t="s">
        <v>42</v>
      </c>
    </row>
    <row r="55" spans="1:1">
      <c r="A55" s="1"/>
    </row>
    <row r="56" spans="1:1">
      <c r="A56" t="s">
        <v>43</v>
      </c>
    </row>
    <row r="58" spans="1:1">
      <c r="A58" t="s">
        <v>44</v>
      </c>
    </row>
    <row r="59" spans="1:1">
      <c r="A59" t="s">
        <v>45</v>
      </c>
    </row>
    <row r="60" spans="1:1">
      <c r="A60" t="s">
        <v>46</v>
      </c>
    </row>
  </sheetData>
  <hyperlinks>
    <hyperlink ref="B14" r:id="rId1" xr:uid="{DB8A7203-7564-4646-A351-92F2F55EEEC9}"/>
    <hyperlink ref="B21" r:id="rId2" xr:uid="{363537F8-C35B-4850-B33F-24E077FB0550}"/>
    <hyperlink ref="B35" r:id="rId3" xr:uid="{EA72471F-3046-433B-93A3-5479B334A299}"/>
  </hyperlinks>
  <pageMargins left="0.7" right="0.7" top="0.75" bottom="0.75" header="0.3" footer="0.3"/>
  <pageSetup orientation="portrait" horizontalDpi="1200" verticalDpi="120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topLeftCell="A17" workbookViewId="0">
      <selection activeCell="E24" sqref="E24"/>
    </sheetView>
  </sheetViews>
  <sheetFormatPr defaultRowHeight="14.45"/>
  <cols>
    <col min="1" max="1" width="10.85546875" customWidth="1"/>
    <col min="2" max="9" width="13.5703125" customWidth="1"/>
  </cols>
  <sheetData>
    <row r="1" spans="1:8">
      <c r="A1" s="77" t="s">
        <v>47</v>
      </c>
      <c r="B1" s="77"/>
      <c r="C1" s="77"/>
      <c r="D1" s="77"/>
      <c r="E1" s="77"/>
      <c r="F1" s="77"/>
      <c r="G1" s="77"/>
      <c r="H1" s="77"/>
    </row>
    <row r="2" spans="1:8">
      <c r="A2" s="77"/>
      <c r="B2" s="77"/>
      <c r="C2" s="77"/>
      <c r="D2" s="77"/>
      <c r="E2" s="77"/>
      <c r="F2" s="77"/>
      <c r="G2" s="77"/>
      <c r="H2" s="77"/>
    </row>
    <row r="3" spans="1:8" ht="15.6">
      <c r="A3" s="78" t="s">
        <v>48</v>
      </c>
      <c r="B3" s="78"/>
      <c r="C3" s="78"/>
      <c r="D3" s="78"/>
      <c r="E3" s="78"/>
      <c r="F3" s="78"/>
      <c r="G3" s="78"/>
      <c r="H3" s="78"/>
    </row>
    <row r="4" spans="1:8">
      <c r="A4" s="79" t="s">
        <v>49</v>
      </c>
      <c r="B4" s="82" t="s">
        <v>50</v>
      </c>
      <c r="C4" s="82" t="s">
        <v>51</v>
      </c>
      <c r="D4" s="82" t="s">
        <v>52</v>
      </c>
      <c r="E4" s="82" t="s">
        <v>53</v>
      </c>
      <c r="F4" s="68" t="s">
        <v>54</v>
      </c>
      <c r="G4" s="82" t="s">
        <v>55</v>
      </c>
      <c r="H4" s="69" t="s">
        <v>56</v>
      </c>
    </row>
    <row r="5" spans="1:8">
      <c r="A5" s="80"/>
      <c r="B5" s="83"/>
      <c r="C5" s="83"/>
      <c r="D5" s="83"/>
      <c r="E5" s="83"/>
      <c r="F5" s="27" t="s">
        <v>57</v>
      </c>
      <c r="G5" s="83"/>
      <c r="H5" s="28" t="s">
        <v>58</v>
      </c>
    </row>
    <row r="6" spans="1:8">
      <c r="A6" s="81"/>
      <c r="B6" s="84"/>
      <c r="C6" s="84"/>
      <c r="D6" s="84"/>
      <c r="E6" s="84"/>
      <c r="F6" s="29" t="s">
        <v>59</v>
      </c>
      <c r="G6" s="84"/>
      <c r="H6" s="30" t="s">
        <v>60</v>
      </c>
    </row>
    <row r="7" spans="1:8">
      <c r="A7" s="59">
        <v>1</v>
      </c>
      <c r="B7" s="59">
        <v>2</v>
      </c>
      <c r="C7" s="59">
        <v>3</v>
      </c>
      <c r="D7" s="59">
        <v>4</v>
      </c>
      <c r="E7" s="59">
        <v>5</v>
      </c>
      <c r="F7" s="59">
        <v>6</v>
      </c>
      <c r="G7" s="59">
        <v>7</v>
      </c>
      <c r="H7" s="60" t="s">
        <v>61</v>
      </c>
    </row>
    <row r="8" spans="1:8">
      <c r="A8" s="61"/>
      <c r="B8" s="62"/>
      <c r="C8" s="62"/>
      <c r="D8" s="62"/>
      <c r="E8" s="62"/>
      <c r="F8" s="62"/>
      <c r="G8" s="62"/>
      <c r="H8" s="62"/>
    </row>
    <row r="9" spans="1:8">
      <c r="A9" s="61"/>
      <c r="B9" s="62"/>
      <c r="C9" s="62"/>
      <c r="D9" s="62"/>
      <c r="E9" s="62"/>
      <c r="F9" s="62"/>
      <c r="G9" s="62"/>
      <c r="H9" s="62"/>
    </row>
    <row r="10" spans="1:8">
      <c r="A10" s="61"/>
      <c r="B10" s="62"/>
      <c r="C10" s="62"/>
      <c r="D10" s="62"/>
      <c r="E10" s="62"/>
      <c r="F10" s="62"/>
      <c r="G10" s="62"/>
      <c r="H10" s="62"/>
    </row>
    <row r="11" spans="1:8">
      <c r="A11" s="63"/>
      <c r="B11" s="62"/>
      <c r="C11" s="62"/>
      <c r="D11" s="62"/>
      <c r="E11" s="62"/>
      <c r="F11" s="62"/>
      <c r="G11" s="62"/>
      <c r="H11" s="62"/>
    </row>
    <row r="12" spans="1:8">
      <c r="A12" s="63"/>
      <c r="B12" s="62"/>
      <c r="C12" s="62"/>
      <c r="D12" s="62"/>
      <c r="E12" s="62"/>
      <c r="F12" s="62"/>
      <c r="G12" s="62"/>
      <c r="H12" s="62"/>
    </row>
    <row r="13" spans="1:8">
      <c r="A13" s="61"/>
      <c r="B13" s="62"/>
      <c r="C13" s="62"/>
      <c r="D13" s="62"/>
      <c r="E13" s="62"/>
      <c r="F13" s="62"/>
      <c r="G13" s="62"/>
      <c r="H13" s="62"/>
    </row>
    <row r="14" spans="1:8">
      <c r="A14" s="61"/>
      <c r="B14" s="62"/>
      <c r="C14" s="62"/>
      <c r="D14" s="62"/>
      <c r="E14" s="62"/>
      <c r="F14" s="62"/>
      <c r="G14" s="62"/>
      <c r="H14" s="62"/>
    </row>
    <row r="15" spans="1:8">
      <c r="A15" s="64"/>
      <c r="B15" s="65"/>
      <c r="C15" s="62"/>
      <c r="D15" s="62"/>
      <c r="E15" s="62"/>
      <c r="F15" s="62"/>
      <c r="G15" s="62"/>
      <c r="H15" s="62"/>
    </row>
    <row r="16" spans="1:8">
      <c r="A16" s="10"/>
      <c r="B16" s="10"/>
      <c r="C16" s="10"/>
      <c r="D16" s="10"/>
      <c r="E16" s="10"/>
      <c r="F16" s="10"/>
      <c r="G16" s="10"/>
      <c r="H16" s="10"/>
    </row>
    <row r="17" spans="1:8">
      <c r="A17" s="54" t="s">
        <v>62</v>
      </c>
      <c r="B17" s="55">
        <v>440206</v>
      </c>
      <c r="C17" s="55">
        <v>191151</v>
      </c>
      <c r="D17" s="55">
        <v>255826</v>
      </c>
      <c r="E17" s="55">
        <v>89825</v>
      </c>
      <c r="F17" s="55">
        <v>15683</v>
      </c>
      <c r="G17" s="55">
        <v>68493</v>
      </c>
      <c r="H17" s="55">
        <v>1061183</v>
      </c>
    </row>
    <row r="18" spans="1:8">
      <c r="A18" s="54" t="s">
        <v>63</v>
      </c>
      <c r="B18" s="53">
        <v>468613</v>
      </c>
      <c r="C18" s="53">
        <v>199247</v>
      </c>
      <c r="D18" s="53">
        <v>273545</v>
      </c>
      <c r="E18" s="53">
        <v>93755</v>
      </c>
      <c r="F18" s="53">
        <v>17433</v>
      </c>
      <c r="G18" s="53">
        <v>70834</v>
      </c>
      <c r="H18" s="53">
        <v>1123427</v>
      </c>
    </row>
    <row r="19" spans="1:8">
      <c r="A19" s="56" t="s">
        <v>64</v>
      </c>
      <c r="B19" s="57">
        <v>519196</v>
      </c>
      <c r="C19" s="57">
        <v>213409</v>
      </c>
      <c r="D19" s="57">
        <v>288243</v>
      </c>
      <c r="E19" s="57">
        <v>98228</v>
      </c>
      <c r="F19" s="57">
        <v>18837</v>
      </c>
      <c r="G19" s="57">
        <v>72058</v>
      </c>
      <c r="H19" s="57">
        <v>1209972</v>
      </c>
    </row>
    <row r="20" spans="1:8">
      <c r="A20" s="52"/>
      <c r="B20" s="51"/>
      <c r="C20" s="51"/>
      <c r="D20" s="51"/>
      <c r="E20" s="51"/>
      <c r="F20" s="51"/>
      <c r="G20" s="51"/>
      <c r="H20" s="51"/>
    </row>
    <row r="21" spans="1:8">
      <c r="A21" s="31"/>
      <c r="B21" s="31"/>
      <c r="C21" s="31"/>
      <c r="D21" s="32"/>
      <c r="E21" s="32"/>
      <c r="F21" s="32"/>
      <c r="G21" s="32"/>
      <c r="H21" s="32"/>
    </row>
    <row r="22" spans="1:8">
      <c r="A22" s="70" t="s">
        <v>65</v>
      </c>
      <c r="B22" s="31">
        <v>519196.29</v>
      </c>
      <c r="C22" s="71">
        <v>213409.18</v>
      </c>
      <c r="D22" s="71">
        <v>288243.11</v>
      </c>
      <c r="E22" s="71">
        <v>98227.65</v>
      </c>
      <c r="F22" s="71">
        <v>18837.43</v>
      </c>
      <c r="G22" s="31">
        <v>72057.98</v>
      </c>
      <c r="H22" s="31">
        <v>1209971.6399999999</v>
      </c>
    </row>
    <row r="23" spans="1:8">
      <c r="A23" s="70" t="s">
        <v>66</v>
      </c>
      <c r="B23">
        <v>532819.69999999995</v>
      </c>
      <c r="C23" s="71">
        <v>211294.89</v>
      </c>
      <c r="D23" s="71">
        <v>308745.36</v>
      </c>
      <c r="E23" s="71">
        <v>106047.13</v>
      </c>
      <c r="F23" s="71">
        <v>19147.990000000002</v>
      </c>
      <c r="G23">
        <v>70030.740000000005</v>
      </c>
      <c r="H23" s="31">
        <v>1248085.81</v>
      </c>
    </row>
    <row r="24" spans="1:8">
      <c r="A24" s="70" t="s">
        <v>67</v>
      </c>
      <c r="B24">
        <v>508776.19</v>
      </c>
      <c r="C24" s="71">
        <v>221303.44</v>
      </c>
      <c r="D24" s="71">
        <v>330808.94</v>
      </c>
      <c r="E24" s="71">
        <v>86950.28</v>
      </c>
      <c r="F24" s="71">
        <v>14668.02</v>
      </c>
      <c r="G24">
        <v>67701.13</v>
      </c>
      <c r="H24" s="31">
        <v>1230208</v>
      </c>
    </row>
    <row r="27" spans="1:8">
      <c r="A27" s="31" t="s">
        <v>68</v>
      </c>
    </row>
  </sheetData>
  <mergeCells count="8">
    <mergeCell ref="A1:H2"/>
    <mergeCell ref="A3:H3"/>
    <mergeCell ref="A4:A6"/>
    <mergeCell ref="B4:B6"/>
    <mergeCell ref="C4:C6"/>
    <mergeCell ref="D4:D6"/>
    <mergeCell ref="E4:E6"/>
    <mergeCell ref="G4:G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7"/>
  <sheetViews>
    <sheetView topLeftCell="A15" workbookViewId="0">
      <selection activeCell="B20" sqref="B20"/>
    </sheetView>
  </sheetViews>
  <sheetFormatPr defaultRowHeight="14.45"/>
  <cols>
    <col min="1" max="1" width="27" customWidth="1"/>
    <col min="2" max="2" width="10.42578125" customWidth="1"/>
    <col min="3" max="3" width="21.140625" customWidth="1"/>
    <col min="5" max="5" width="11.5703125" bestFit="1" customWidth="1"/>
    <col min="8" max="8" width="30" customWidth="1"/>
    <col min="10" max="10" width="18.42578125" customWidth="1"/>
  </cols>
  <sheetData>
    <row r="1" spans="1:9">
      <c r="A1" s="2" t="s">
        <v>69</v>
      </c>
      <c r="B1" s="10"/>
      <c r="C1" s="10"/>
      <c r="H1" s="1"/>
    </row>
    <row r="2" spans="1:9">
      <c r="A2" s="58" t="s">
        <v>70</v>
      </c>
      <c r="B2" s="58">
        <v>18871</v>
      </c>
      <c r="C2" s="58" t="s">
        <v>71</v>
      </c>
      <c r="E2">
        <f>SUM(B2:B3)*BTU_per_thousand_tons_LPG</f>
        <v>925234829937000</v>
      </c>
    </row>
    <row r="3" spans="1:9">
      <c r="A3" s="58" t="s">
        <v>72</v>
      </c>
      <c r="B3" s="58">
        <v>1776</v>
      </c>
      <c r="C3" s="58" t="s">
        <v>71</v>
      </c>
      <c r="I3" s="38"/>
    </row>
    <row r="4" spans="1:9">
      <c r="A4" s="2" t="s">
        <v>73</v>
      </c>
      <c r="B4" s="10"/>
      <c r="C4" s="10"/>
    </row>
    <row r="5" spans="1:9">
      <c r="A5" s="58" t="s">
        <v>70</v>
      </c>
      <c r="B5" s="58">
        <v>20352</v>
      </c>
      <c r="C5" s="58" t="s">
        <v>71</v>
      </c>
    </row>
    <row r="6" spans="1:9">
      <c r="A6" s="58" t="s">
        <v>72</v>
      </c>
      <c r="B6" s="58">
        <v>2086</v>
      </c>
      <c r="C6" s="58" t="s">
        <v>71</v>
      </c>
    </row>
    <row r="7" spans="1:9">
      <c r="A7" s="2" t="s">
        <v>74</v>
      </c>
      <c r="B7" s="10"/>
      <c r="C7" s="10"/>
    </row>
    <row r="8" spans="1:9">
      <c r="A8" t="s">
        <v>70</v>
      </c>
      <c r="B8">
        <v>21728</v>
      </c>
      <c r="C8" t="s">
        <v>71</v>
      </c>
    </row>
    <row r="9" spans="1:9">
      <c r="A9" t="s">
        <v>72</v>
      </c>
      <c r="B9">
        <v>2364</v>
      </c>
      <c r="C9" t="s">
        <v>71</v>
      </c>
    </row>
    <row r="11" spans="1:9">
      <c r="A11" s="2" t="s">
        <v>74</v>
      </c>
      <c r="B11" s="10"/>
      <c r="C11" s="10"/>
    </row>
    <row r="12" spans="1:9">
      <c r="A12" s="58" t="s">
        <v>70</v>
      </c>
      <c r="B12" s="58">
        <v>21728</v>
      </c>
      <c r="C12" s="58" t="s">
        <v>71</v>
      </c>
      <c r="H12" s="40"/>
    </row>
    <row r="13" spans="1:9">
      <c r="A13" s="58" t="s">
        <v>72</v>
      </c>
      <c r="B13" s="58">
        <v>2364</v>
      </c>
      <c r="C13" s="58" t="s">
        <v>71</v>
      </c>
      <c r="H13" s="40"/>
    </row>
    <row r="14" spans="1:9">
      <c r="A14" s="58"/>
      <c r="B14" s="58"/>
      <c r="C14" s="58"/>
      <c r="H14" s="40"/>
    </row>
    <row r="15" spans="1:9">
      <c r="A15" s="2" t="s">
        <v>75</v>
      </c>
      <c r="B15" s="10"/>
      <c r="C15" s="10"/>
      <c r="H15" s="40"/>
    </row>
    <row r="16" spans="1:9">
      <c r="A16" s="58" t="s">
        <v>70</v>
      </c>
      <c r="B16" s="58">
        <v>23076</v>
      </c>
      <c r="C16" s="58" t="s">
        <v>71</v>
      </c>
      <c r="H16" s="40"/>
    </row>
    <row r="17" spans="1:8">
      <c r="A17" s="58" t="s">
        <v>72</v>
      </c>
      <c r="B17" s="58">
        <v>2614</v>
      </c>
      <c r="C17" s="58" t="s">
        <v>71</v>
      </c>
      <c r="H17" s="40"/>
    </row>
    <row r="18" spans="1:8">
      <c r="A18" s="58"/>
      <c r="B18" s="58"/>
      <c r="C18" s="58"/>
      <c r="H18" s="40"/>
    </row>
    <row r="19" spans="1:8">
      <c r="A19" s="2" t="s">
        <v>76</v>
      </c>
      <c r="B19" s="10"/>
      <c r="C19" s="10"/>
      <c r="E19">
        <f>SUM(B20:B21)*BTU_per_thousand_tons_LPG</f>
        <v>1210553285994000</v>
      </c>
      <c r="H19" s="40"/>
    </row>
    <row r="20" spans="1:8">
      <c r="A20" s="58" t="s">
        <v>70</v>
      </c>
      <c r="B20" s="58">
        <v>25128</v>
      </c>
      <c r="C20" s="58" t="s">
        <v>71</v>
      </c>
      <c r="H20" s="40"/>
    </row>
    <row r="21" spans="1:8">
      <c r="A21" s="58" t="s">
        <v>72</v>
      </c>
      <c r="B21" s="58">
        <v>1886</v>
      </c>
      <c r="C21" s="58" t="s">
        <v>71</v>
      </c>
      <c r="H21" s="40"/>
    </row>
    <row r="22" spans="1:8">
      <c r="A22" s="58"/>
      <c r="B22" s="58"/>
      <c r="C22" s="58"/>
      <c r="H22" s="40"/>
    </row>
    <row r="23" spans="1:8">
      <c r="A23" s="2" t="s">
        <v>77</v>
      </c>
      <c r="B23" s="10"/>
      <c r="C23" s="10"/>
      <c r="H23" s="40"/>
    </row>
    <row r="24" spans="1:8">
      <c r="A24" s="58" t="s">
        <v>70</v>
      </c>
      <c r="B24" s="58">
        <v>25502</v>
      </c>
      <c r="C24" s="58" t="s">
        <v>71</v>
      </c>
      <c r="E24">
        <f>SUM(B24:B25)*BTU_per_thousand_tons_LPG</f>
        <v>1243131661611000</v>
      </c>
      <c r="H24" s="40"/>
    </row>
    <row r="25" spans="1:8">
      <c r="A25" s="58" t="s">
        <v>72</v>
      </c>
      <c r="B25" s="58">
        <v>2239</v>
      </c>
      <c r="C25" s="58" t="s">
        <v>71</v>
      </c>
      <c r="H25" s="40"/>
    </row>
    <row r="26" spans="1:8">
      <c r="A26" s="58"/>
      <c r="B26" s="58"/>
      <c r="C26" s="58"/>
      <c r="H26" s="40"/>
    </row>
    <row r="27" spans="1:8">
      <c r="A27" s="58"/>
      <c r="B27" s="58"/>
      <c r="C27" s="58"/>
      <c r="H27" s="40"/>
    </row>
    <row r="28" spans="1:8">
      <c r="H28" s="40" t="s">
        <v>78</v>
      </c>
    </row>
    <row r="29" spans="1:8">
      <c r="A29" s="40" t="s">
        <v>79</v>
      </c>
    </row>
    <row r="30" spans="1:8">
      <c r="A30" s="40" t="s">
        <v>80</v>
      </c>
    </row>
    <row r="32" spans="1:8">
      <c r="A32" s="2" t="s">
        <v>81</v>
      </c>
      <c r="B32" s="10"/>
      <c r="C32" s="10"/>
    </row>
    <row r="33" spans="1:3">
      <c r="A33" s="58" t="s">
        <v>70</v>
      </c>
      <c r="B33" s="58">
        <v>5204.12</v>
      </c>
      <c r="C33" s="58" t="s">
        <v>71</v>
      </c>
    </row>
    <row r="34" spans="1:3">
      <c r="A34" s="58" t="s">
        <v>72</v>
      </c>
      <c r="B34" s="58">
        <v>77.11</v>
      </c>
      <c r="C34" s="58" t="s">
        <v>71</v>
      </c>
    </row>
    <row r="35" spans="1:3">
      <c r="A35" s="2" t="s">
        <v>82</v>
      </c>
      <c r="B35" s="10"/>
      <c r="C35" s="10"/>
    </row>
    <row r="36" spans="1:3">
      <c r="A36" s="58" t="s">
        <v>70</v>
      </c>
      <c r="B36" s="58">
        <v>3633.59</v>
      </c>
      <c r="C36" s="58" t="s">
        <v>71</v>
      </c>
    </row>
    <row r="37" spans="1:3">
      <c r="A37" s="58" t="s">
        <v>72</v>
      </c>
      <c r="B37" s="58">
        <v>96.99</v>
      </c>
      <c r="C37" s="58" t="s">
        <v>71</v>
      </c>
    </row>
    <row r="38" spans="1:3">
      <c r="A38" s="2" t="s">
        <v>83</v>
      </c>
      <c r="B38" s="10"/>
      <c r="C38" s="10"/>
    </row>
    <row r="39" spans="1:3">
      <c r="A39" t="s">
        <v>70</v>
      </c>
      <c r="B39">
        <v>3231.21</v>
      </c>
      <c r="C39" t="s">
        <v>71</v>
      </c>
    </row>
    <row r="40" spans="1:3">
      <c r="A40" t="s">
        <v>72</v>
      </c>
      <c r="B40">
        <v>97.3</v>
      </c>
      <c r="C40" t="s">
        <v>71</v>
      </c>
    </row>
    <row r="42" spans="1:3">
      <c r="A42" s="2" t="s">
        <v>83</v>
      </c>
      <c r="B42" s="10"/>
      <c r="C42" s="10"/>
    </row>
    <row r="43" spans="1:3">
      <c r="A43" s="58" t="s">
        <v>70</v>
      </c>
      <c r="B43" s="58">
        <v>3231.21</v>
      </c>
      <c r="C43" s="58" t="s">
        <v>71</v>
      </c>
    </row>
    <row r="44" spans="1:3">
      <c r="A44" s="58" t="s">
        <v>72</v>
      </c>
      <c r="B44" s="58">
        <v>97.3</v>
      </c>
      <c r="C44" s="58" t="s">
        <v>71</v>
      </c>
    </row>
    <row r="46" spans="1:3">
      <c r="A46" s="2" t="s">
        <v>84</v>
      </c>
      <c r="B46" s="10"/>
      <c r="C46" s="10"/>
    </row>
    <row r="47" spans="1:3">
      <c r="A47" s="58" t="s">
        <v>70</v>
      </c>
      <c r="B47" s="58">
        <v>2173.71</v>
      </c>
      <c r="C47" s="58" t="s">
        <v>71</v>
      </c>
    </row>
    <row r="48" spans="1:3">
      <c r="A48" s="58" t="s">
        <v>72</v>
      </c>
      <c r="B48" s="58">
        <v>86.52</v>
      </c>
      <c r="C48" s="58" t="s">
        <v>71</v>
      </c>
    </row>
    <row r="50" spans="1:3">
      <c r="A50" s="2" t="s">
        <v>85</v>
      </c>
      <c r="B50" s="10"/>
      <c r="C50" s="10"/>
    </row>
    <row r="51" spans="1:3">
      <c r="A51" s="58" t="s">
        <v>70</v>
      </c>
      <c r="B51" s="58">
        <v>1586.61</v>
      </c>
      <c r="C51" s="58" t="s">
        <v>71</v>
      </c>
    </row>
    <row r="52" spans="1:3">
      <c r="A52" s="58" t="s">
        <v>72</v>
      </c>
      <c r="B52" s="58">
        <v>68.61</v>
      </c>
      <c r="C52" s="58" t="s">
        <v>71</v>
      </c>
    </row>
    <row r="54" spans="1:3">
      <c r="A54" s="2" t="s">
        <v>86</v>
      </c>
      <c r="B54" s="10"/>
      <c r="C54" s="10"/>
    </row>
    <row r="55" spans="1:3">
      <c r="A55" s="58" t="s">
        <v>70</v>
      </c>
      <c r="B55" s="58">
        <v>1291.77</v>
      </c>
      <c r="C55" s="58" t="s">
        <v>71</v>
      </c>
    </row>
    <row r="56" spans="1:3">
      <c r="A56" s="58" t="s">
        <v>72</v>
      </c>
      <c r="B56" s="58">
        <v>63.75</v>
      </c>
      <c r="C56" s="58" t="s">
        <v>71</v>
      </c>
    </row>
    <row r="58" spans="1:3">
      <c r="A58" s="40" t="s">
        <v>87</v>
      </c>
    </row>
    <row r="59" spans="1:3">
      <c r="A59" s="40" t="s">
        <v>88</v>
      </c>
    </row>
    <row r="60" spans="1:3">
      <c r="A60" s="40"/>
    </row>
    <row r="61" spans="1:3">
      <c r="A61" s="40" t="s">
        <v>89</v>
      </c>
    </row>
    <row r="62" spans="1:3">
      <c r="A62" s="40" t="s">
        <v>90</v>
      </c>
    </row>
    <row r="63" spans="1:3">
      <c r="A63" s="40" t="s">
        <v>91</v>
      </c>
    </row>
    <row r="64" spans="1:3">
      <c r="A64" s="40" t="s">
        <v>92</v>
      </c>
    </row>
    <row r="65" spans="1:2">
      <c r="A65" s="40" t="s">
        <v>93</v>
      </c>
    </row>
    <row r="66" spans="1:2">
      <c r="A66" t="s">
        <v>94</v>
      </c>
      <c r="B66" s="7">
        <v>0.9</v>
      </c>
    </row>
    <row r="67" spans="1:2">
      <c r="A67" t="s">
        <v>95</v>
      </c>
      <c r="B67" s="7">
        <v>0.1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254"/>
  <sheetViews>
    <sheetView topLeftCell="A76" workbookViewId="0">
      <pane xSplit="2" topLeftCell="C1" activePane="topRight" state="frozen"/>
      <selection pane="topRight" sqref="A1:B1"/>
      <selection activeCell="U11" sqref="U11"/>
    </sheetView>
  </sheetViews>
  <sheetFormatPr defaultRowHeight="14.45"/>
  <cols>
    <col min="1" max="1" width="27.140625" customWidth="1"/>
    <col min="2" max="2" width="37.85546875" customWidth="1"/>
  </cols>
  <sheetData>
    <row r="1" spans="1:36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  <c r="L1" t="s">
        <v>107</v>
      </c>
      <c r="M1" t="s">
        <v>108</v>
      </c>
      <c r="N1" t="s">
        <v>109</v>
      </c>
      <c r="O1" t="s">
        <v>110</v>
      </c>
      <c r="P1" t="s">
        <v>111</v>
      </c>
      <c r="Q1" t="s">
        <v>112</v>
      </c>
      <c r="R1" t="s">
        <v>113</v>
      </c>
      <c r="S1" t="s">
        <v>114</v>
      </c>
      <c r="T1" t="s">
        <v>115</v>
      </c>
      <c r="U1" t="s">
        <v>116</v>
      </c>
      <c r="V1" t="s">
        <v>117</v>
      </c>
      <c r="W1" t="s">
        <v>118</v>
      </c>
      <c r="X1" t="s">
        <v>119</v>
      </c>
      <c r="Y1" t="s">
        <v>120</v>
      </c>
      <c r="Z1" t="s">
        <v>121</v>
      </c>
      <c r="AA1" t="s">
        <v>122</v>
      </c>
      <c r="AB1" t="s">
        <v>123</v>
      </c>
      <c r="AC1" t="s">
        <v>124</v>
      </c>
      <c r="AD1" t="s">
        <v>125</v>
      </c>
      <c r="AE1" t="s">
        <v>126</v>
      </c>
      <c r="AF1" t="s">
        <v>127</v>
      </c>
      <c r="AG1" t="s">
        <v>128</v>
      </c>
      <c r="AH1" t="s">
        <v>129</v>
      </c>
      <c r="AI1" t="s">
        <v>58</v>
      </c>
      <c r="AJ1" t="s">
        <v>130</v>
      </c>
    </row>
    <row r="2" spans="1:36">
      <c r="A2" t="s">
        <v>131</v>
      </c>
      <c r="B2" t="s">
        <v>132</v>
      </c>
      <c r="C2">
        <v>0</v>
      </c>
      <c r="D2">
        <v>0</v>
      </c>
      <c r="E2">
        <v>2.65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>
      <c r="A3" t="s">
        <v>131</v>
      </c>
      <c r="B3" t="s">
        <v>133</v>
      </c>
      <c r="C3">
        <v>4.74</v>
      </c>
      <c r="D3">
        <v>0</v>
      </c>
      <c r="E3">
        <v>0</v>
      </c>
      <c r="F3">
        <v>264.35000000000002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15.44</v>
      </c>
      <c r="AJ3">
        <v>2.16</v>
      </c>
    </row>
    <row r="4" spans="1:36">
      <c r="A4" t="s">
        <v>131</v>
      </c>
      <c r="B4" t="s">
        <v>134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-0.11</v>
      </c>
    </row>
    <row r="5" spans="1:36">
      <c r="A5" t="s">
        <v>131</v>
      </c>
      <c r="B5" t="s">
        <v>135</v>
      </c>
      <c r="C5">
        <v>0</v>
      </c>
      <c r="D5">
        <v>0</v>
      </c>
      <c r="E5">
        <v>2.54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-2.16</v>
      </c>
    </row>
    <row r="6" spans="1:36">
      <c r="A6" t="s">
        <v>131</v>
      </c>
      <c r="B6" t="s">
        <v>136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100.93</v>
      </c>
      <c r="T6">
        <v>0</v>
      </c>
      <c r="U6">
        <v>18.84</v>
      </c>
      <c r="V6">
        <v>0</v>
      </c>
      <c r="W6">
        <v>0</v>
      </c>
      <c r="X6">
        <v>0</v>
      </c>
      <c r="Y6">
        <v>8.0299999999999994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-109.53</v>
      </c>
    </row>
    <row r="7" spans="1:36">
      <c r="A7" t="s">
        <v>131</v>
      </c>
      <c r="B7" t="s">
        <v>137</v>
      </c>
      <c r="C7">
        <v>0.02</v>
      </c>
      <c r="D7">
        <v>0</v>
      </c>
      <c r="E7">
        <v>0</v>
      </c>
      <c r="F7">
        <v>1.1200000000000001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-0.97</v>
      </c>
    </row>
    <row r="8" spans="1:36">
      <c r="A8" t="s">
        <v>131</v>
      </c>
      <c r="B8" t="s">
        <v>138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131</v>
      </c>
      <c r="B9" t="s">
        <v>139</v>
      </c>
      <c r="C9">
        <v>0</v>
      </c>
      <c r="D9">
        <v>0</v>
      </c>
      <c r="E9">
        <v>6.11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</v>
      </c>
      <c r="T9">
        <v>0.38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-5.83</v>
      </c>
    </row>
    <row r="10" spans="1:36">
      <c r="A10" t="s">
        <v>131</v>
      </c>
      <c r="B10" t="s">
        <v>140</v>
      </c>
      <c r="C10">
        <v>0.48</v>
      </c>
      <c r="D10">
        <v>0</v>
      </c>
      <c r="E10">
        <v>2.4300000000000002</v>
      </c>
      <c r="F10">
        <v>44.58</v>
      </c>
      <c r="G10">
        <v>0</v>
      </c>
      <c r="H10">
        <v>0.03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1.88</v>
      </c>
      <c r="T10">
        <v>0.08</v>
      </c>
      <c r="U10">
        <v>0.08</v>
      </c>
      <c r="V10">
        <v>14.28</v>
      </c>
      <c r="W10">
        <v>13.71</v>
      </c>
      <c r="X10">
        <v>0.18</v>
      </c>
      <c r="Y10">
        <v>13.78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121.21</v>
      </c>
      <c r="AJ10">
        <v>116.44</v>
      </c>
    </row>
    <row r="11" spans="1:36">
      <c r="A11" t="s">
        <v>131</v>
      </c>
      <c r="B11" t="s">
        <v>141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 t="s">
        <v>131</v>
      </c>
      <c r="B12" t="s">
        <v>142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0.4</v>
      </c>
      <c r="V12">
        <v>5.8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 t="s">
        <v>131</v>
      </c>
      <c r="B13" t="s">
        <v>143</v>
      </c>
      <c r="C13">
        <v>1.86</v>
      </c>
      <c r="D13">
        <v>0</v>
      </c>
      <c r="E13">
        <v>0</v>
      </c>
      <c r="F13">
        <v>33.56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>
      <c r="A14" t="s">
        <v>131</v>
      </c>
      <c r="B14" t="s">
        <v>144</v>
      </c>
      <c r="C14">
        <v>0.03</v>
      </c>
      <c r="D14">
        <v>0</v>
      </c>
      <c r="E14">
        <v>0</v>
      </c>
      <c r="F14">
        <v>0.52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 t="s">
        <v>131</v>
      </c>
      <c r="B15" t="s">
        <v>145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 t="s">
        <v>131</v>
      </c>
      <c r="B16" t="s">
        <v>146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131</v>
      </c>
      <c r="B17" t="s">
        <v>147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 t="s">
        <v>131</v>
      </c>
      <c r="B18" t="s">
        <v>148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131</v>
      </c>
      <c r="B19" t="s">
        <v>149</v>
      </c>
      <c r="C19">
        <v>1.53</v>
      </c>
      <c r="D19">
        <v>0</v>
      </c>
      <c r="E19">
        <v>0</v>
      </c>
      <c r="F19">
        <v>39.57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131</v>
      </c>
      <c r="B20" t="s">
        <v>150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131</v>
      </c>
      <c r="B21" t="s">
        <v>151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0.22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>
      <c r="A22" t="s">
        <v>131</v>
      </c>
      <c r="B22" t="s">
        <v>152</v>
      </c>
      <c r="C22">
        <v>2.9</v>
      </c>
      <c r="D22">
        <v>0</v>
      </c>
      <c r="E22">
        <v>0</v>
      </c>
      <c r="F22">
        <v>111.79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131</v>
      </c>
      <c r="B23" t="s">
        <v>153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0.08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2.5</v>
      </c>
      <c r="AH23">
        <v>0</v>
      </c>
      <c r="AI23">
        <v>-62.23</v>
      </c>
      <c r="AJ23">
        <v>0</v>
      </c>
    </row>
    <row r="24" spans="1:36">
      <c r="A24" t="s">
        <v>131</v>
      </c>
      <c r="B24" t="s">
        <v>154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 t="s">
        <v>131</v>
      </c>
      <c r="B25" t="s">
        <v>155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131</v>
      </c>
      <c r="B26" t="s">
        <v>156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131</v>
      </c>
      <c r="B27" t="s">
        <v>51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8.66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131</v>
      </c>
      <c r="B28" t="s">
        <v>157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131</v>
      </c>
      <c r="B29" t="s">
        <v>158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14.97</v>
      </c>
      <c r="W29">
        <v>0.11</v>
      </c>
      <c r="X29">
        <v>0.06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131</v>
      </c>
      <c r="B30" t="s">
        <v>159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 t="s">
        <v>131</v>
      </c>
      <c r="B31" t="s">
        <v>160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>
      <c r="A32" t="s">
        <v>131</v>
      </c>
      <c r="B32" t="s">
        <v>161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131</v>
      </c>
      <c r="B33" t="s">
        <v>59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7.92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2.31</v>
      </c>
      <c r="AJ33">
        <v>0</v>
      </c>
    </row>
    <row r="34" spans="1:36">
      <c r="A34" t="s">
        <v>131</v>
      </c>
      <c r="B34" t="s">
        <v>162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131</v>
      </c>
      <c r="B35" t="s">
        <v>163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6.36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131</v>
      </c>
      <c r="B36" t="s">
        <v>164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19.47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131</v>
      </c>
      <c r="B37" t="s">
        <v>165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0.46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 t="s">
        <v>131</v>
      </c>
      <c r="B38" t="s">
        <v>166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5.22</v>
      </c>
      <c r="W38">
        <v>3.36</v>
      </c>
      <c r="X38">
        <v>0.81</v>
      </c>
      <c r="Y38">
        <v>0.06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0.33</v>
      </c>
      <c r="AJ38">
        <v>0</v>
      </c>
    </row>
    <row r="39" spans="1:36">
      <c r="A39" t="s">
        <v>131</v>
      </c>
      <c r="B39" t="s">
        <v>167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1.52</v>
      </c>
      <c r="W39">
        <v>1.37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 t="s">
        <v>131</v>
      </c>
      <c r="B40" t="s">
        <v>168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2.44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 t="s">
        <v>169</v>
      </c>
      <c r="B41" t="s">
        <v>132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79.41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 t="s">
        <v>169</v>
      </c>
      <c r="B42" t="s">
        <v>133</v>
      </c>
      <c r="C42">
        <v>0.64</v>
      </c>
      <c r="D42">
        <v>0</v>
      </c>
      <c r="E42">
        <v>0</v>
      </c>
      <c r="F42">
        <v>35.69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46.36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81.819999999999993</v>
      </c>
      <c r="AJ42">
        <v>64.849999999999994</v>
      </c>
    </row>
    <row r="43" spans="1:36">
      <c r="A43" t="s">
        <v>169</v>
      </c>
      <c r="B43" t="s">
        <v>134</v>
      </c>
      <c r="C43">
        <v>0.31</v>
      </c>
      <c r="D43">
        <v>0</v>
      </c>
      <c r="E43">
        <v>0</v>
      </c>
      <c r="F43">
        <v>2.39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1.3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-4.24</v>
      </c>
    </row>
    <row r="44" spans="1:36">
      <c r="A44" t="s">
        <v>169</v>
      </c>
      <c r="B44" t="s">
        <v>135</v>
      </c>
      <c r="C44">
        <v>0</v>
      </c>
      <c r="D44">
        <v>0</v>
      </c>
      <c r="E44">
        <v>0.7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48.17</v>
      </c>
      <c r="V44">
        <v>0</v>
      </c>
      <c r="W44">
        <v>0</v>
      </c>
      <c r="X44">
        <v>27.43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-64.849999999999994</v>
      </c>
    </row>
    <row r="45" spans="1:36">
      <c r="A45" t="s">
        <v>169</v>
      </c>
      <c r="B45" t="s">
        <v>136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59.23</v>
      </c>
      <c r="T45">
        <v>0</v>
      </c>
      <c r="U45">
        <v>11.07</v>
      </c>
      <c r="V45">
        <v>0</v>
      </c>
      <c r="W45">
        <v>0</v>
      </c>
      <c r="X45">
        <v>0</v>
      </c>
      <c r="Y45">
        <v>4.71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-64.28</v>
      </c>
    </row>
    <row r="46" spans="1:36">
      <c r="A46" t="s">
        <v>169</v>
      </c>
      <c r="B46" t="s">
        <v>137</v>
      </c>
      <c r="C46">
        <v>0.01</v>
      </c>
      <c r="D46">
        <v>0</v>
      </c>
      <c r="E46">
        <v>0</v>
      </c>
      <c r="F46">
        <v>0.65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-0.56999999999999995</v>
      </c>
    </row>
    <row r="47" spans="1:36">
      <c r="A47" t="s">
        <v>169</v>
      </c>
      <c r="B47" t="s">
        <v>138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 t="s">
        <v>169</v>
      </c>
      <c r="B48" t="s">
        <v>139</v>
      </c>
      <c r="C48">
        <v>0</v>
      </c>
      <c r="D48">
        <v>0</v>
      </c>
      <c r="E48">
        <v>3.7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-3.15</v>
      </c>
    </row>
    <row r="49" spans="1:36">
      <c r="A49" t="s">
        <v>169</v>
      </c>
      <c r="B49" t="s">
        <v>140</v>
      </c>
      <c r="C49">
        <v>0.34</v>
      </c>
      <c r="D49">
        <v>0</v>
      </c>
      <c r="E49">
        <v>1.31</v>
      </c>
      <c r="F49">
        <v>47.49</v>
      </c>
      <c r="G49">
        <v>0</v>
      </c>
      <c r="H49">
        <v>0.09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1.79</v>
      </c>
      <c r="T49">
        <v>0.09</v>
      </c>
      <c r="U49">
        <v>1.95</v>
      </c>
      <c r="V49">
        <v>8.51</v>
      </c>
      <c r="W49">
        <v>8.0500000000000007</v>
      </c>
      <c r="X49">
        <v>0.12</v>
      </c>
      <c r="Y49">
        <v>14.38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137.34</v>
      </c>
      <c r="AJ49">
        <v>72.239999999999995</v>
      </c>
    </row>
    <row r="50" spans="1:36">
      <c r="A50" t="s">
        <v>169</v>
      </c>
      <c r="B50" t="s">
        <v>141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4.41</v>
      </c>
      <c r="V50">
        <v>0</v>
      </c>
      <c r="W50">
        <v>1.25</v>
      </c>
      <c r="X50">
        <v>0</v>
      </c>
      <c r="Y50">
        <v>12.04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 t="s">
        <v>169</v>
      </c>
      <c r="B51" t="s">
        <v>142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0.42</v>
      </c>
      <c r="V51">
        <v>9.69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>
      <c r="A52" t="s">
        <v>169</v>
      </c>
      <c r="B52" t="s">
        <v>143</v>
      </c>
      <c r="C52">
        <v>5.86</v>
      </c>
      <c r="D52">
        <v>0</v>
      </c>
      <c r="E52">
        <v>0</v>
      </c>
      <c r="F52">
        <v>105.72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 t="s">
        <v>169</v>
      </c>
      <c r="B53" t="s">
        <v>144</v>
      </c>
      <c r="C53">
        <v>0.09</v>
      </c>
      <c r="D53">
        <v>0</v>
      </c>
      <c r="E53">
        <v>0</v>
      </c>
      <c r="F53">
        <v>1.63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 t="s">
        <v>169</v>
      </c>
      <c r="B54" t="s">
        <v>145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8.5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 t="s">
        <v>169</v>
      </c>
      <c r="B55" t="s">
        <v>146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 t="s">
        <v>169</v>
      </c>
      <c r="B56" t="s">
        <v>147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 t="s">
        <v>169</v>
      </c>
      <c r="B57" t="s">
        <v>148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 t="s">
        <v>169</v>
      </c>
      <c r="B58" t="s">
        <v>149</v>
      </c>
      <c r="C58">
        <v>4.82</v>
      </c>
      <c r="D58">
        <v>0</v>
      </c>
      <c r="E58">
        <v>0</v>
      </c>
      <c r="F58">
        <v>124.67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>
      <c r="A59" t="s">
        <v>169</v>
      </c>
      <c r="B59" t="s">
        <v>150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 t="s">
        <v>169</v>
      </c>
      <c r="B60" t="s">
        <v>151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7.11</v>
      </c>
      <c r="T60">
        <v>0</v>
      </c>
      <c r="U60">
        <v>0</v>
      </c>
      <c r="V60">
        <v>1.1299999999999999</v>
      </c>
      <c r="W60">
        <v>3.08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 t="s">
        <v>169</v>
      </c>
      <c r="B61" t="s">
        <v>152</v>
      </c>
      <c r="C61">
        <v>9.14</v>
      </c>
      <c r="D61">
        <v>0</v>
      </c>
      <c r="E61">
        <v>0</v>
      </c>
      <c r="F61">
        <v>352.21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 t="s">
        <v>169</v>
      </c>
      <c r="B62" t="s">
        <v>153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21.87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46.96</v>
      </c>
      <c r="AH62">
        <v>21.58</v>
      </c>
      <c r="AI62">
        <v>-270.91000000000003</v>
      </c>
      <c r="AJ62">
        <v>0</v>
      </c>
    </row>
    <row r="63" spans="1:36">
      <c r="A63" t="s">
        <v>169</v>
      </c>
      <c r="B63" t="s">
        <v>154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>
      <c r="A64" t="s">
        <v>169</v>
      </c>
      <c r="B64" t="s">
        <v>155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 t="s">
        <v>169</v>
      </c>
      <c r="B65" t="s">
        <v>156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>
      <c r="A66" t="s">
        <v>169</v>
      </c>
      <c r="B66" t="s">
        <v>51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8.16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>
      <c r="A67" t="s">
        <v>169</v>
      </c>
      <c r="B67" t="s">
        <v>157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27.24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 t="s">
        <v>169</v>
      </c>
      <c r="B68" t="s">
        <v>158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9.1300000000000008</v>
      </c>
      <c r="W68">
        <v>7.0000000000000007E-2</v>
      </c>
      <c r="X68">
        <v>0.04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 t="s">
        <v>169</v>
      </c>
      <c r="B69" t="s">
        <v>159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>
      <c r="A70" t="s">
        <v>169</v>
      </c>
      <c r="B70" t="s">
        <v>160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>
      <c r="A71" t="s">
        <v>169</v>
      </c>
      <c r="B71" t="s">
        <v>161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>
      <c r="A72" t="s">
        <v>169</v>
      </c>
      <c r="B72" t="s">
        <v>59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5.13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 t="s">
        <v>169</v>
      </c>
      <c r="B73" t="s">
        <v>162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>
      <c r="A74" t="s">
        <v>169</v>
      </c>
      <c r="B74" t="s">
        <v>163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16.52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 t="s">
        <v>169</v>
      </c>
      <c r="B75" t="s">
        <v>164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50.56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>
      <c r="A76" t="s">
        <v>169</v>
      </c>
      <c r="B76" t="s">
        <v>165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2.33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>
      <c r="A77" t="s">
        <v>169</v>
      </c>
      <c r="B77" t="s">
        <v>166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13.55</v>
      </c>
      <c r="W77">
        <v>17.07</v>
      </c>
      <c r="X77">
        <v>0.49</v>
      </c>
      <c r="Y77">
        <v>0.11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0.19</v>
      </c>
      <c r="AJ77">
        <v>0</v>
      </c>
    </row>
    <row r="78" spans="1:36">
      <c r="A78" t="s">
        <v>169</v>
      </c>
      <c r="B78" t="s">
        <v>167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3.95</v>
      </c>
      <c r="W78">
        <v>6.98</v>
      </c>
      <c r="X78">
        <v>0</v>
      </c>
      <c r="Y78">
        <v>0.01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>
      <c r="A79" t="s">
        <v>169</v>
      </c>
      <c r="B79" t="s">
        <v>168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12.41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 t="s">
        <v>170</v>
      </c>
      <c r="B80" t="s">
        <v>132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87.68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 t="s">
        <v>170</v>
      </c>
      <c r="B81" t="s">
        <v>133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50.72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26.71</v>
      </c>
      <c r="AJ81">
        <v>71.61</v>
      </c>
    </row>
    <row r="82" spans="1:36">
      <c r="A82" t="s">
        <v>170</v>
      </c>
      <c r="B82" t="s">
        <v>134</v>
      </c>
      <c r="C82">
        <v>0.33</v>
      </c>
      <c r="D82">
        <v>0</v>
      </c>
      <c r="E82">
        <v>0</v>
      </c>
      <c r="F82">
        <v>2.5499999999999998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0.47</v>
      </c>
      <c r="V82">
        <v>0</v>
      </c>
      <c r="W82">
        <v>0</v>
      </c>
      <c r="X82">
        <v>0</v>
      </c>
      <c r="Y82">
        <v>1.71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-4.3</v>
      </c>
    </row>
    <row r="83" spans="1:36">
      <c r="A83" t="s">
        <v>170</v>
      </c>
      <c r="B83" t="s">
        <v>135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52.7</v>
      </c>
      <c r="V83">
        <v>0</v>
      </c>
      <c r="W83">
        <v>0</v>
      </c>
      <c r="X83">
        <v>29.19</v>
      </c>
      <c r="Y83">
        <v>2.35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-71.61</v>
      </c>
    </row>
    <row r="84" spans="1:36">
      <c r="A84" t="s">
        <v>170</v>
      </c>
      <c r="B84" t="s">
        <v>136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32.39</v>
      </c>
      <c r="T84">
        <v>0</v>
      </c>
      <c r="U84">
        <v>6.01</v>
      </c>
      <c r="V84">
        <v>0</v>
      </c>
      <c r="W84">
        <v>0</v>
      </c>
      <c r="X84">
        <v>0</v>
      </c>
      <c r="Y84">
        <v>2.58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-35.15</v>
      </c>
    </row>
    <row r="85" spans="1:36">
      <c r="A85" t="s">
        <v>170</v>
      </c>
      <c r="B85" t="s">
        <v>137</v>
      </c>
      <c r="C85">
        <v>0.01</v>
      </c>
      <c r="D85">
        <v>0</v>
      </c>
      <c r="E85">
        <v>0</v>
      </c>
      <c r="F85">
        <v>0.36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-0.31</v>
      </c>
    </row>
    <row r="86" spans="1:36">
      <c r="A86" t="s">
        <v>170</v>
      </c>
      <c r="B86" t="s">
        <v>138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>
      <c r="A87" t="s">
        <v>170</v>
      </c>
      <c r="B87" t="s">
        <v>139</v>
      </c>
      <c r="C87">
        <v>0</v>
      </c>
      <c r="D87">
        <v>0</v>
      </c>
      <c r="E87">
        <v>1.55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0.88</v>
      </c>
      <c r="T87">
        <v>0.88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-2.82</v>
      </c>
    </row>
    <row r="88" spans="1:36">
      <c r="A88" t="s">
        <v>170</v>
      </c>
      <c r="B88" t="s">
        <v>140</v>
      </c>
      <c r="C88">
        <v>7.0000000000000007E-2</v>
      </c>
      <c r="D88">
        <v>0</v>
      </c>
      <c r="E88">
        <v>1.19</v>
      </c>
      <c r="F88">
        <v>22.13</v>
      </c>
      <c r="G88">
        <v>0</v>
      </c>
      <c r="H88">
        <v>7.0000000000000007E-2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5.59</v>
      </c>
      <c r="T88">
        <v>0.27</v>
      </c>
      <c r="U88">
        <v>0.08</v>
      </c>
      <c r="V88">
        <v>4.58</v>
      </c>
      <c r="W88">
        <v>4.37</v>
      </c>
      <c r="X88">
        <v>0.06</v>
      </c>
      <c r="Y88">
        <v>10.83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47.28</v>
      </c>
      <c r="AJ88">
        <v>42.57</v>
      </c>
    </row>
    <row r="89" spans="1:36">
      <c r="A89" t="s">
        <v>170</v>
      </c>
      <c r="B89" t="s">
        <v>141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2.08</v>
      </c>
      <c r="V89">
        <v>0</v>
      </c>
      <c r="W89">
        <v>0.59</v>
      </c>
      <c r="X89">
        <v>0</v>
      </c>
      <c r="Y89">
        <v>12.87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 t="s">
        <v>170</v>
      </c>
      <c r="B90" t="s">
        <v>142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0.38</v>
      </c>
      <c r="V90">
        <v>8.75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>
      <c r="A91" t="s">
        <v>170</v>
      </c>
      <c r="B91" t="s">
        <v>143</v>
      </c>
      <c r="C91">
        <v>0.87</v>
      </c>
      <c r="D91">
        <v>0</v>
      </c>
      <c r="E91">
        <v>0</v>
      </c>
      <c r="F91">
        <v>15.7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 t="s">
        <v>170</v>
      </c>
      <c r="B92" t="s">
        <v>144</v>
      </c>
      <c r="C92">
        <v>0.01</v>
      </c>
      <c r="D92">
        <v>0</v>
      </c>
      <c r="E92">
        <v>0</v>
      </c>
      <c r="F92">
        <v>0.24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 t="s">
        <v>170</v>
      </c>
      <c r="B93" t="s">
        <v>145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9.3000000000000007</v>
      </c>
      <c r="V93">
        <v>0</v>
      </c>
      <c r="W93">
        <v>0</v>
      </c>
      <c r="X93">
        <v>0</v>
      </c>
      <c r="Y93">
        <v>3.25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 t="s">
        <v>170</v>
      </c>
      <c r="B94" t="s">
        <v>146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 t="s">
        <v>170</v>
      </c>
      <c r="B95" t="s">
        <v>147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 t="s">
        <v>170</v>
      </c>
      <c r="B96" t="s">
        <v>148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 t="s">
        <v>170</v>
      </c>
      <c r="B97" t="s">
        <v>149</v>
      </c>
      <c r="C97">
        <v>0.72</v>
      </c>
      <c r="D97">
        <v>0</v>
      </c>
      <c r="E97">
        <v>0</v>
      </c>
      <c r="F97">
        <v>18.510000000000002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12.79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>
      <c r="A98" t="s">
        <v>170</v>
      </c>
      <c r="B98" t="s">
        <v>150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>
      <c r="A99" t="s">
        <v>170</v>
      </c>
      <c r="B99" t="s">
        <v>151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1.24</v>
      </c>
      <c r="W99">
        <v>3.37</v>
      </c>
      <c r="X99">
        <v>0</v>
      </c>
      <c r="Y99">
        <v>3.76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>
      <c r="A100" t="s">
        <v>170</v>
      </c>
      <c r="B100" t="s">
        <v>152</v>
      </c>
      <c r="C100">
        <v>1.36</v>
      </c>
      <c r="D100">
        <v>0</v>
      </c>
      <c r="E100">
        <v>0</v>
      </c>
      <c r="F100">
        <v>52.31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 t="s">
        <v>170</v>
      </c>
      <c r="B101" t="s">
        <v>153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0.38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34.950000000000003</v>
      </c>
      <c r="AH101">
        <v>8.1</v>
      </c>
      <c r="AI101">
        <v>-83.2</v>
      </c>
      <c r="AJ101">
        <v>0</v>
      </c>
    </row>
    <row r="102" spans="1:36">
      <c r="A102" t="s">
        <v>170</v>
      </c>
      <c r="B102" t="s">
        <v>154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 t="s">
        <v>170</v>
      </c>
      <c r="B103" t="s">
        <v>155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 t="s">
        <v>170</v>
      </c>
      <c r="B104" t="s">
        <v>156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>
      <c r="A105" t="s">
        <v>170</v>
      </c>
      <c r="B105" t="s">
        <v>51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0.32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 t="s">
        <v>170</v>
      </c>
      <c r="B106" t="s">
        <v>157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9.1999999999999993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 t="s">
        <v>170</v>
      </c>
      <c r="B107" t="s">
        <v>158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5.34</v>
      </c>
      <c r="W107">
        <v>0.04</v>
      </c>
      <c r="X107">
        <v>0.02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 t="s">
        <v>170</v>
      </c>
      <c r="B108" t="s">
        <v>159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>
      <c r="A109" t="s">
        <v>170</v>
      </c>
      <c r="B109" t="s">
        <v>160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>
      <c r="A110" t="s">
        <v>170</v>
      </c>
      <c r="B110" t="s">
        <v>161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 t="s">
        <v>170</v>
      </c>
      <c r="B111" t="s">
        <v>59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0.25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0.3</v>
      </c>
      <c r="AJ111">
        <v>0</v>
      </c>
    </row>
    <row r="112" spans="1:36">
      <c r="A112" t="s">
        <v>170</v>
      </c>
      <c r="B112" t="s">
        <v>162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 t="s">
        <v>170</v>
      </c>
      <c r="B113" t="s">
        <v>163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24.48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>
      <c r="A114" t="s">
        <v>170</v>
      </c>
      <c r="B114" t="s">
        <v>164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74.94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 t="s">
        <v>170</v>
      </c>
      <c r="B115" t="s">
        <v>165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1.75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 t="s">
        <v>170</v>
      </c>
      <c r="B116" t="s">
        <v>166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20.079999999999998</v>
      </c>
      <c r="W116">
        <v>12.81</v>
      </c>
      <c r="X116">
        <v>0.28999999999999998</v>
      </c>
      <c r="Y116">
        <v>0.05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0.11</v>
      </c>
      <c r="AJ116">
        <v>0</v>
      </c>
    </row>
    <row r="117" spans="1:36">
      <c r="A117" t="s">
        <v>170</v>
      </c>
      <c r="B117" t="s">
        <v>167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5.85</v>
      </c>
      <c r="W117">
        <v>5.24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>
      <c r="A118" t="s">
        <v>170</v>
      </c>
      <c r="B118" t="s">
        <v>168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9.32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>
      <c r="A119" t="s">
        <v>171</v>
      </c>
      <c r="B119" t="s">
        <v>132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0.57999999999999996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 t="s">
        <v>171</v>
      </c>
      <c r="B120" t="s">
        <v>133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74.95</v>
      </c>
      <c r="AJ120">
        <v>0.47</v>
      </c>
    </row>
    <row r="121" spans="1:36">
      <c r="A121" t="s">
        <v>171</v>
      </c>
      <c r="B121" t="s">
        <v>134</v>
      </c>
      <c r="C121">
        <v>1</v>
      </c>
      <c r="D121">
        <v>0</v>
      </c>
      <c r="E121">
        <v>0</v>
      </c>
      <c r="F121">
        <v>7.81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10.119999999999999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-16.09</v>
      </c>
    </row>
    <row r="122" spans="1:36">
      <c r="A122" t="s">
        <v>171</v>
      </c>
      <c r="B122" t="s">
        <v>135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0.56000000000000005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-0.47</v>
      </c>
    </row>
    <row r="123" spans="1:36">
      <c r="A123" t="s">
        <v>171</v>
      </c>
      <c r="B123" t="s">
        <v>136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70.41</v>
      </c>
      <c r="T123">
        <v>0</v>
      </c>
      <c r="U123">
        <v>13.15</v>
      </c>
      <c r="V123">
        <v>0</v>
      </c>
      <c r="W123">
        <v>0</v>
      </c>
      <c r="X123">
        <v>0</v>
      </c>
      <c r="Y123">
        <v>5.6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-76.41</v>
      </c>
    </row>
    <row r="124" spans="1:36">
      <c r="A124" t="s">
        <v>171</v>
      </c>
      <c r="B124" t="s">
        <v>137</v>
      </c>
      <c r="C124">
        <v>0.01</v>
      </c>
      <c r="D124">
        <v>0</v>
      </c>
      <c r="E124">
        <v>0</v>
      </c>
      <c r="F124">
        <v>0.78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-0.67</v>
      </c>
    </row>
    <row r="125" spans="1:36">
      <c r="A125" t="s">
        <v>171</v>
      </c>
      <c r="B125" t="s">
        <v>138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 t="s">
        <v>171</v>
      </c>
      <c r="B126" t="s">
        <v>139</v>
      </c>
      <c r="C126">
        <v>0</v>
      </c>
      <c r="D126">
        <v>0</v>
      </c>
      <c r="E126">
        <v>4.2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0.38</v>
      </c>
      <c r="T126">
        <v>0.38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-4.21</v>
      </c>
    </row>
    <row r="127" spans="1:36">
      <c r="A127" t="s">
        <v>171</v>
      </c>
      <c r="B127" t="s">
        <v>140</v>
      </c>
      <c r="C127">
        <v>0.61</v>
      </c>
      <c r="D127">
        <v>0</v>
      </c>
      <c r="E127">
        <v>1.76</v>
      </c>
      <c r="F127">
        <v>53.18</v>
      </c>
      <c r="G127">
        <v>0</v>
      </c>
      <c r="H127">
        <v>0.03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0.25</v>
      </c>
      <c r="T127">
        <v>0.01</v>
      </c>
      <c r="U127">
        <v>2.48</v>
      </c>
      <c r="V127">
        <v>10.54</v>
      </c>
      <c r="W127">
        <v>9.57</v>
      </c>
      <c r="X127">
        <v>0.12</v>
      </c>
      <c r="Y127">
        <v>32.979999999999997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73.19</v>
      </c>
      <c r="AJ127">
        <v>97.39</v>
      </c>
    </row>
    <row r="128" spans="1:36">
      <c r="A128" t="s">
        <v>171</v>
      </c>
      <c r="B128" t="s">
        <v>141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45.08</v>
      </c>
      <c r="V128">
        <v>0</v>
      </c>
      <c r="W128">
        <v>12.78</v>
      </c>
      <c r="X128">
        <v>0</v>
      </c>
      <c r="Y128">
        <v>37.06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>
      <c r="A129" t="s">
        <v>171</v>
      </c>
      <c r="B129" t="s">
        <v>142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0.15</v>
      </c>
      <c r="V129">
        <v>10.42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 t="s">
        <v>171</v>
      </c>
      <c r="B130" t="s">
        <v>143</v>
      </c>
      <c r="C130">
        <v>8.09</v>
      </c>
      <c r="D130">
        <v>0</v>
      </c>
      <c r="E130">
        <v>0</v>
      </c>
      <c r="F130">
        <v>145.97999999999999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>
      <c r="A131" t="s">
        <v>171</v>
      </c>
      <c r="B131" t="s">
        <v>144</v>
      </c>
      <c r="C131">
        <v>0.12</v>
      </c>
      <c r="D131">
        <v>0</v>
      </c>
      <c r="E131">
        <v>0</v>
      </c>
      <c r="F131">
        <v>2.25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 t="s">
        <v>171</v>
      </c>
      <c r="B132" t="s">
        <v>145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1.57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6">
      <c r="A133" t="s">
        <v>171</v>
      </c>
      <c r="B133" t="s">
        <v>146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>
      <c r="A134" t="s">
        <v>171</v>
      </c>
      <c r="B134" t="s">
        <v>147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>
      <c r="A135" t="s">
        <v>171</v>
      </c>
      <c r="B135" t="s">
        <v>148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>
      <c r="A136" t="s">
        <v>171</v>
      </c>
      <c r="B136" t="s">
        <v>149</v>
      </c>
      <c r="C136">
        <v>6.65</v>
      </c>
      <c r="D136">
        <v>0</v>
      </c>
      <c r="E136">
        <v>0</v>
      </c>
      <c r="F136">
        <v>172.16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6.16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>
      <c r="A137" t="s">
        <v>171</v>
      </c>
      <c r="B137" t="s">
        <v>150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 t="s">
        <v>171</v>
      </c>
      <c r="B138" t="s">
        <v>151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0.81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1.81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 t="s">
        <v>171</v>
      </c>
      <c r="B139" t="s">
        <v>152</v>
      </c>
      <c r="C139">
        <v>12.62</v>
      </c>
      <c r="D139">
        <v>0</v>
      </c>
      <c r="E139">
        <v>0</v>
      </c>
      <c r="F139">
        <v>486.36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>
      <c r="A140" t="s">
        <v>171</v>
      </c>
      <c r="B140" t="s">
        <v>153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4.13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41.36</v>
      </c>
      <c r="AH140">
        <v>23.14</v>
      </c>
      <c r="AI140">
        <v>-312.05</v>
      </c>
      <c r="AJ140">
        <v>0</v>
      </c>
    </row>
    <row r="141" spans="1:36">
      <c r="A141" t="s">
        <v>171</v>
      </c>
      <c r="B141" t="s">
        <v>154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 spans="1:36">
      <c r="A142" t="s">
        <v>171</v>
      </c>
      <c r="B142" t="s">
        <v>155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>
      <c r="A143" t="s">
        <v>171</v>
      </c>
      <c r="B143" t="s">
        <v>156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>
      <c r="A144" t="s">
        <v>171</v>
      </c>
      <c r="B144" t="s">
        <v>51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14.69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>
      <c r="A145" t="s">
        <v>171</v>
      </c>
      <c r="B145" t="s">
        <v>157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5.37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>
      <c r="A146" t="s">
        <v>171</v>
      </c>
      <c r="B146" t="s">
        <v>158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11.04</v>
      </c>
      <c r="W146">
        <v>0.08</v>
      </c>
      <c r="X146">
        <v>0.04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>
      <c r="A147" t="s">
        <v>171</v>
      </c>
      <c r="B147" t="s">
        <v>159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1:36">
      <c r="A148" t="s">
        <v>171</v>
      </c>
      <c r="B148" t="s">
        <v>160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>
      <c r="A149" t="s">
        <v>171</v>
      </c>
      <c r="B149" t="s">
        <v>161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 t="s">
        <v>171</v>
      </c>
      <c r="B150" t="s">
        <v>59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35.65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9.25</v>
      </c>
      <c r="AJ150">
        <v>0</v>
      </c>
    </row>
    <row r="151" spans="1:36">
      <c r="A151" t="s">
        <v>171</v>
      </c>
      <c r="B151" t="s">
        <v>162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 t="s">
        <v>171</v>
      </c>
      <c r="B152" t="s">
        <v>163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10.59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1:36">
      <c r="A153" t="s">
        <v>171</v>
      </c>
      <c r="B153" t="s">
        <v>164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32.43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>
      <c r="A154" t="s">
        <v>171</v>
      </c>
      <c r="B154" t="s">
        <v>165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 t="s">
        <v>171</v>
      </c>
      <c r="B155" t="s">
        <v>166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8.69</v>
      </c>
      <c r="W155">
        <v>14.7</v>
      </c>
      <c r="X155">
        <v>0.59</v>
      </c>
      <c r="Y155">
        <v>0.1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0.23</v>
      </c>
      <c r="AJ155">
        <v>0</v>
      </c>
    </row>
    <row r="156" spans="1:36">
      <c r="A156" t="s">
        <v>171</v>
      </c>
      <c r="B156" t="s">
        <v>167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2.5299999999999998</v>
      </c>
      <c r="W156">
        <v>6.01</v>
      </c>
      <c r="X156">
        <v>0</v>
      </c>
      <c r="Y156">
        <v>0.01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 spans="1:36">
      <c r="A157" t="s">
        <v>171</v>
      </c>
      <c r="B157" t="s">
        <v>168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10.69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>
      <c r="A158" t="s">
        <v>172</v>
      </c>
      <c r="B158" t="s">
        <v>132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7.88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>
      <c r="A159" t="s">
        <v>172</v>
      </c>
      <c r="B159" t="s">
        <v>133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203.18</v>
      </c>
      <c r="AJ159">
        <v>6.44</v>
      </c>
    </row>
    <row r="160" spans="1:36">
      <c r="A160" t="s">
        <v>172</v>
      </c>
      <c r="B160" t="s">
        <v>134</v>
      </c>
      <c r="C160">
        <v>0.53</v>
      </c>
      <c r="D160">
        <v>0</v>
      </c>
      <c r="E160">
        <v>0</v>
      </c>
      <c r="F160">
        <v>4.12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13.16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-15.14</v>
      </c>
    </row>
    <row r="161" spans="1:36">
      <c r="A161" t="s">
        <v>172</v>
      </c>
      <c r="B161" t="s">
        <v>135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7.58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-6.44</v>
      </c>
    </row>
    <row r="162" spans="1:36">
      <c r="A162" t="s">
        <v>172</v>
      </c>
      <c r="B162" t="s">
        <v>136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109.52</v>
      </c>
      <c r="T162">
        <v>0</v>
      </c>
      <c r="U162">
        <v>20.399999999999999</v>
      </c>
      <c r="V162">
        <v>0</v>
      </c>
      <c r="W162">
        <v>0</v>
      </c>
      <c r="X162">
        <v>0</v>
      </c>
      <c r="Y162">
        <v>8.7200000000000006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-118.85</v>
      </c>
    </row>
    <row r="163" spans="1:36">
      <c r="A163" t="s">
        <v>172</v>
      </c>
      <c r="B163" t="s">
        <v>137</v>
      </c>
      <c r="C163">
        <v>0.02</v>
      </c>
      <c r="D163">
        <v>0</v>
      </c>
      <c r="E163">
        <v>0</v>
      </c>
      <c r="F163">
        <v>1.21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-1.05</v>
      </c>
    </row>
    <row r="164" spans="1:36">
      <c r="A164" t="s">
        <v>172</v>
      </c>
      <c r="B164" t="s">
        <v>138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 t="s">
        <v>172</v>
      </c>
      <c r="B165" t="s">
        <v>139</v>
      </c>
      <c r="C165">
        <v>0</v>
      </c>
      <c r="D165">
        <v>0</v>
      </c>
      <c r="E165">
        <v>5.33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2.82</v>
      </c>
      <c r="T165">
        <v>2.82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-9.32</v>
      </c>
    </row>
    <row r="166" spans="1:36">
      <c r="A166" t="s">
        <v>172</v>
      </c>
      <c r="B166" t="s">
        <v>140</v>
      </c>
      <c r="C166">
        <v>0.4</v>
      </c>
      <c r="D166">
        <v>0</v>
      </c>
      <c r="E166">
        <v>3.94</v>
      </c>
      <c r="F166">
        <v>179.3</v>
      </c>
      <c r="G166">
        <v>0</v>
      </c>
      <c r="H166">
        <v>0.63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4.32</v>
      </c>
      <c r="T166">
        <v>0.21</v>
      </c>
      <c r="U166">
        <v>9.89</v>
      </c>
      <c r="V166">
        <v>16.670000000000002</v>
      </c>
      <c r="W166">
        <v>14.84</v>
      </c>
      <c r="X166">
        <v>0.19</v>
      </c>
      <c r="Y166">
        <v>28.08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198.93</v>
      </c>
      <c r="AJ166">
        <v>144.35</v>
      </c>
    </row>
    <row r="167" spans="1:36">
      <c r="A167" t="s">
        <v>172</v>
      </c>
      <c r="B167" t="s">
        <v>141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94.37</v>
      </c>
      <c r="V167">
        <v>0</v>
      </c>
      <c r="W167">
        <v>26.75</v>
      </c>
      <c r="X167">
        <v>0</v>
      </c>
      <c r="Y167">
        <v>20.81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>
      <c r="A168" t="s">
        <v>172</v>
      </c>
      <c r="B168" t="s">
        <v>142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10.119999999999999</v>
      </c>
      <c r="V168">
        <v>15.73</v>
      </c>
      <c r="W168">
        <v>0</v>
      </c>
      <c r="X168">
        <v>0</v>
      </c>
      <c r="Y168">
        <v>0.1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36">
      <c r="A169" t="s">
        <v>172</v>
      </c>
      <c r="B169" t="s">
        <v>143</v>
      </c>
      <c r="C169">
        <v>19.329999999999998</v>
      </c>
      <c r="D169">
        <v>0</v>
      </c>
      <c r="E169">
        <v>0</v>
      </c>
      <c r="F169">
        <v>348.83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>
      <c r="A170" t="s">
        <v>172</v>
      </c>
      <c r="B170" t="s">
        <v>144</v>
      </c>
      <c r="C170">
        <v>0.28000000000000003</v>
      </c>
      <c r="D170">
        <v>0</v>
      </c>
      <c r="E170">
        <v>0</v>
      </c>
      <c r="F170">
        <v>5.38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 t="s">
        <v>172</v>
      </c>
      <c r="B171" t="s">
        <v>145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21.39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 t="s">
        <v>172</v>
      </c>
      <c r="B172" t="s">
        <v>146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 t="s">
        <v>172</v>
      </c>
      <c r="B173" t="s">
        <v>147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 t="s">
        <v>172</v>
      </c>
      <c r="B174" t="s">
        <v>148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spans="1:36">
      <c r="A175" t="s">
        <v>172</v>
      </c>
      <c r="B175" t="s">
        <v>149</v>
      </c>
      <c r="C175">
        <v>15.89</v>
      </c>
      <c r="D175">
        <v>0</v>
      </c>
      <c r="E175">
        <v>0</v>
      </c>
      <c r="F175">
        <v>411.38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84.05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>
      <c r="A176" t="s">
        <v>172</v>
      </c>
      <c r="B176" t="s">
        <v>150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</row>
    <row r="177" spans="1:36">
      <c r="A177" t="s">
        <v>172</v>
      </c>
      <c r="B177" t="s">
        <v>151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7.39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24.73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 t="s">
        <v>172</v>
      </c>
      <c r="B178" t="s">
        <v>152</v>
      </c>
      <c r="C178">
        <v>30.15</v>
      </c>
      <c r="D178">
        <v>0</v>
      </c>
      <c r="E178">
        <v>0</v>
      </c>
      <c r="F178">
        <v>1162.17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>
      <c r="A179" t="s">
        <v>172</v>
      </c>
      <c r="B179" t="s">
        <v>153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30.97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45.33</v>
      </c>
      <c r="AH179">
        <v>59.78</v>
      </c>
      <c r="AI179">
        <v>-769.92</v>
      </c>
      <c r="AJ179">
        <v>0</v>
      </c>
    </row>
    <row r="180" spans="1:36">
      <c r="A180" t="s">
        <v>172</v>
      </c>
      <c r="B180" t="s">
        <v>154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>
      <c r="A181" t="s">
        <v>172</v>
      </c>
      <c r="B181" t="s">
        <v>155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 t="s">
        <v>172</v>
      </c>
      <c r="B182" t="s">
        <v>156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 t="s">
        <v>172</v>
      </c>
      <c r="B183" t="s">
        <v>51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9.15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>
      <c r="A184" t="s">
        <v>172</v>
      </c>
      <c r="B184" t="s">
        <v>157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85.46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 t="s">
        <v>172</v>
      </c>
      <c r="B185" t="s">
        <v>158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17.350000000000001</v>
      </c>
      <c r="W185">
        <v>0.13</v>
      </c>
      <c r="X185">
        <v>7.0000000000000007E-2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>
      <c r="A186" t="s">
        <v>172</v>
      </c>
      <c r="B186" t="s">
        <v>159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 spans="1:36">
      <c r="A187" t="s">
        <v>172</v>
      </c>
      <c r="B187" t="s">
        <v>160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0.01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</row>
    <row r="188" spans="1:36">
      <c r="A188" t="s">
        <v>172</v>
      </c>
      <c r="B188" t="s">
        <v>161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 t="s">
        <v>172</v>
      </c>
      <c r="B189" t="s">
        <v>59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5.13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12.78</v>
      </c>
      <c r="AJ189">
        <v>0</v>
      </c>
    </row>
    <row r="190" spans="1:36">
      <c r="A190" t="s">
        <v>172</v>
      </c>
      <c r="B190" t="s">
        <v>162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>
      <c r="A191" t="s">
        <v>172</v>
      </c>
      <c r="B191" t="s">
        <v>163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22.03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 t="s">
        <v>172</v>
      </c>
      <c r="B192" t="s">
        <v>164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67.44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1:36">
      <c r="A193" t="s">
        <v>172</v>
      </c>
      <c r="B193" t="s">
        <v>165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5.44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 t="s">
        <v>172</v>
      </c>
      <c r="B194" t="s">
        <v>166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18.07</v>
      </c>
      <c r="W194">
        <v>39.9</v>
      </c>
      <c r="X194">
        <v>0.94</v>
      </c>
      <c r="Y194">
        <v>3.34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0.36</v>
      </c>
      <c r="AJ194">
        <v>0</v>
      </c>
    </row>
    <row r="195" spans="1:36">
      <c r="A195" t="s">
        <v>172</v>
      </c>
      <c r="B195" t="s">
        <v>167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5.27</v>
      </c>
      <c r="W195">
        <v>16.32</v>
      </c>
      <c r="X195">
        <v>0</v>
      </c>
      <c r="Y195">
        <v>0.3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 t="s">
        <v>172</v>
      </c>
      <c r="B196" t="s">
        <v>168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29.02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>
      <c r="A197" t="s">
        <v>173</v>
      </c>
      <c r="B197" t="s">
        <v>132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44.09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</row>
    <row r="198" spans="1:36">
      <c r="A198" t="s">
        <v>173</v>
      </c>
      <c r="B198" t="s">
        <v>133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25.13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10.96</v>
      </c>
      <c r="AJ198">
        <v>36.01</v>
      </c>
    </row>
    <row r="199" spans="1:36">
      <c r="A199" t="s">
        <v>173</v>
      </c>
      <c r="B199" t="s">
        <v>134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0.02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-0.02</v>
      </c>
    </row>
    <row r="200" spans="1:36">
      <c r="A200" t="s">
        <v>173</v>
      </c>
      <c r="B200" t="s">
        <v>135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26.11</v>
      </c>
      <c r="V200">
        <v>0</v>
      </c>
      <c r="W200">
        <v>0</v>
      </c>
      <c r="X200">
        <v>13.81</v>
      </c>
      <c r="Y200">
        <v>2.44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-36.01</v>
      </c>
    </row>
    <row r="201" spans="1:36">
      <c r="A201" t="s">
        <v>173</v>
      </c>
      <c r="B201" t="s">
        <v>136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13.85</v>
      </c>
      <c r="T201">
        <v>0</v>
      </c>
      <c r="U201">
        <v>2.58</v>
      </c>
      <c r="V201">
        <v>0</v>
      </c>
      <c r="W201">
        <v>0</v>
      </c>
      <c r="X201">
        <v>0</v>
      </c>
      <c r="Y201">
        <v>1.1000000000000001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-15.03</v>
      </c>
    </row>
    <row r="202" spans="1:36">
      <c r="A202" t="s">
        <v>173</v>
      </c>
      <c r="B202" t="s">
        <v>137</v>
      </c>
      <c r="C202">
        <v>0</v>
      </c>
      <c r="D202">
        <v>0</v>
      </c>
      <c r="E202">
        <v>0</v>
      </c>
      <c r="F202">
        <v>0.15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-0.13</v>
      </c>
    </row>
    <row r="203" spans="1:36">
      <c r="A203" t="s">
        <v>173</v>
      </c>
      <c r="B203" t="s">
        <v>138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>
      <c r="A204" t="s">
        <v>173</v>
      </c>
      <c r="B204" t="s">
        <v>139</v>
      </c>
      <c r="C204">
        <v>0</v>
      </c>
      <c r="D204">
        <v>0</v>
      </c>
      <c r="E204">
        <v>0.87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-0.74</v>
      </c>
    </row>
    <row r="205" spans="1:36">
      <c r="A205" t="s">
        <v>173</v>
      </c>
      <c r="B205" t="s">
        <v>140</v>
      </c>
      <c r="C205">
        <v>0.03</v>
      </c>
      <c r="D205">
        <v>0</v>
      </c>
      <c r="E205">
        <v>0.31</v>
      </c>
      <c r="F205">
        <v>8.74</v>
      </c>
      <c r="G205">
        <v>0</v>
      </c>
      <c r="H205">
        <v>0.03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7.61</v>
      </c>
      <c r="T205">
        <v>0.37</v>
      </c>
      <c r="U205">
        <v>0.16</v>
      </c>
      <c r="V205">
        <v>1.96</v>
      </c>
      <c r="W205">
        <v>1.88</v>
      </c>
      <c r="X205">
        <v>0.02</v>
      </c>
      <c r="Y205">
        <v>1.89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28.11</v>
      </c>
      <c r="AJ205">
        <v>15.91</v>
      </c>
    </row>
    <row r="206" spans="1:36">
      <c r="A206" t="s">
        <v>173</v>
      </c>
      <c r="B206" t="s">
        <v>141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 t="s">
        <v>173</v>
      </c>
      <c r="B207" t="s">
        <v>142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2.63</v>
      </c>
      <c r="W207">
        <v>0</v>
      </c>
      <c r="X207">
        <v>0</v>
      </c>
      <c r="Y207">
        <v>0.02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 t="s">
        <v>173</v>
      </c>
      <c r="B208" t="s">
        <v>143</v>
      </c>
      <c r="C208">
        <v>0.08</v>
      </c>
      <c r="D208">
        <v>0</v>
      </c>
      <c r="E208">
        <v>0</v>
      </c>
      <c r="F208">
        <v>1.42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 t="s">
        <v>173</v>
      </c>
      <c r="B209" t="s">
        <v>144</v>
      </c>
      <c r="C209">
        <v>0</v>
      </c>
      <c r="D209">
        <v>0</v>
      </c>
      <c r="E209">
        <v>0</v>
      </c>
      <c r="F209">
        <v>0.02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>
      <c r="A210" t="s">
        <v>173</v>
      </c>
      <c r="B210" t="s">
        <v>145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4.6100000000000003</v>
      </c>
      <c r="V210">
        <v>0</v>
      </c>
      <c r="W210">
        <v>0</v>
      </c>
      <c r="X210">
        <v>0</v>
      </c>
      <c r="Y210">
        <v>3.38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>
      <c r="A211" t="s">
        <v>173</v>
      </c>
      <c r="B211" t="s">
        <v>146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>
      <c r="A212" t="s">
        <v>173</v>
      </c>
      <c r="B212" t="s">
        <v>147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1:36">
      <c r="A213" t="s">
        <v>173</v>
      </c>
      <c r="B213" t="s">
        <v>148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 t="s">
        <v>173</v>
      </c>
      <c r="B214" t="s">
        <v>149</v>
      </c>
      <c r="C214">
        <v>0.06</v>
      </c>
      <c r="D214">
        <v>0</v>
      </c>
      <c r="E214">
        <v>0</v>
      </c>
      <c r="F214">
        <v>1.67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13.29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>
      <c r="A215" t="s">
        <v>173</v>
      </c>
      <c r="B215" t="s">
        <v>150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 t="s">
        <v>173</v>
      </c>
      <c r="B216" t="s">
        <v>151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0.02</v>
      </c>
      <c r="T216">
        <v>0</v>
      </c>
      <c r="U216">
        <v>0</v>
      </c>
      <c r="V216">
        <v>0.61</v>
      </c>
      <c r="W216">
        <v>1.67</v>
      </c>
      <c r="X216">
        <v>0</v>
      </c>
      <c r="Y216">
        <v>3.91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1:36">
      <c r="A217" t="s">
        <v>173</v>
      </c>
      <c r="B217" t="s">
        <v>152</v>
      </c>
      <c r="C217">
        <v>0.12</v>
      </c>
      <c r="D217">
        <v>0</v>
      </c>
      <c r="E217">
        <v>0</v>
      </c>
      <c r="F217">
        <v>4.72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>
      <c r="A218" t="s">
        <v>173</v>
      </c>
      <c r="B218" t="s">
        <v>153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0.01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14.12</v>
      </c>
      <c r="AH218">
        <v>0</v>
      </c>
      <c r="AI218">
        <v>-30.31</v>
      </c>
      <c r="AJ218">
        <v>0</v>
      </c>
    </row>
    <row r="219" spans="1:36">
      <c r="A219" t="s">
        <v>173</v>
      </c>
      <c r="B219" t="s">
        <v>154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>
      <c r="A220" t="s">
        <v>173</v>
      </c>
      <c r="B220" t="s">
        <v>155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>
      <c r="A221" t="s">
        <v>173</v>
      </c>
      <c r="B221" t="s">
        <v>156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>
      <c r="A222" t="s">
        <v>173</v>
      </c>
      <c r="B222" t="s">
        <v>51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0.24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>
      <c r="A223" t="s">
        <v>173</v>
      </c>
      <c r="B223" t="s">
        <v>157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5.43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>
      <c r="A224" t="s">
        <v>173</v>
      </c>
      <c r="B224" t="s">
        <v>158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2.12</v>
      </c>
      <c r="W224">
        <v>0.02</v>
      </c>
      <c r="X224">
        <v>0.01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>
      <c r="A225" t="s">
        <v>173</v>
      </c>
      <c r="B225" t="s">
        <v>159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 t="s">
        <v>173</v>
      </c>
      <c r="B226" t="s">
        <v>160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 t="s">
        <v>173</v>
      </c>
      <c r="B227" t="s">
        <v>161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1:36">
      <c r="A228" t="s">
        <v>173</v>
      </c>
      <c r="B228" t="s">
        <v>59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7.25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</row>
    <row r="229" spans="1:36">
      <c r="A229" t="s">
        <v>173</v>
      </c>
      <c r="B229" t="s">
        <v>162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>
      <c r="A230" t="s">
        <v>173</v>
      </c>
      <c r="B230" t="s">
        <v>163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7.38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>
      <c r="A231" t="s">
        <v>173</v>
      </c>
      <c r="B231" t="s">
        <v>164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22.6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>
      <c r="A232" t="s">
        <v>173</v>
      </c>
      <c r="B232" t="s">
        <v>165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0.3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 t="s">
        <v>173</v>
      </c>
      <c r="B233" t="s">
        <v>166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6.05</v>
      </c>
      <c r="W233">
        <v>2.23</v>
      </c>
      <c r="X233">
        <v>0.11</v>
      </c>
      <c r="Y233">
        <v>0.02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0.05</v>
      </c>
      <c r="AJ233">
        <v>0</v>
      </c>
    </row>
    <row r="234" spans="1:36">
      <c r="A234" t="s">
        <v>173</v>
      </c>
      <c r="B234" t="s">
        <v>167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1.77</v>
      </c>
      <c r="W234">
        <v>0.91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 t="s">
        <v>173</v>
      </c>
      <c r="B235" t="s">
        <v>168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1.62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>
      <c r="A236" t="s">
        <v>174</v>
      </c>
      <c r="B236" t="s">
        <v>132</v>
      </c>
      <c r="C236">
        <v>0</v>
      </c>
      <c r="D236">
        <v>0</v>
      </c>
      <c r="E236">
        <v>0.12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spans="1:36">
      <c r="A237" t="s">
        <v>174</v>
      </c>
      <c r="B237" t="s">
        <v>133</v>
      </c>
      <c r="C237">
        <v>0.21</v>
      </c>
      <c r="D237">
        <v>0</v>
      </c>
      <c r="E237">
        <v>0</v>
      </c>
      <c r="F237">
        <v>11.94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45.04</v>
      </c>
      <c r="AJ237">
        <v>0.1</v>
      </c>
    </row>
    <row r="238" spans="1:36">
      <c r="A238" t="s">
        <v>174</v>
      </c>
      <c r="B238" t="s">
        <v>134</v>
      </c>
      <c r="C238">
        <v>0.84</v>
      </c>
      <c r="D238">
        <v>0</v>
      </c>
      <c r="E238">
        <v>0</v>
      </c>
      <c r="F238">
        <v>6.57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5.05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-10.59</v>
      </c>
    </row>
    <row r="239" spans="1:36">
      <c r="A239" t="s">
        <v>174</v>
      </c>
      <c r="B239" t="s">
        <v>135</v>
      </c>
      <c r="C239">
        <v>0</v>
      </c>
      <c r="D239">
        <v>0</v>
      </c>
      <c r="E239">
        <v>0.11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-0.1</v>
      </c>
    </row>
    <row r="240" spans="1:36">
      <c r="A240" t="s">
        <v>174</v>
      </c>
      <c r="B240" t="s">
        <v>136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40.700000000000003</v>
      </c>
      <c r="T240">
        <v>0</v>
      </c>
      <c r="U240">
        <v>7.71</v>
      </c>
      <c r="V240">
        <v>0</v>
      </c>
      <c r="W240">
        <v>0</v>
      </c>
      <c r="X240">
        <v>0</v>
      </c>
      <c r="Y240">
        <v>3.24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-44.16</v>
      </c>
    </row>
    <row r="241" spans="1:36">
      <c r="A241" t="s">
        <v>174</v>
      </c>
      <c r="B241" t="s">
        <v>137</v>
      </c>
      <c r="C241">
        <v>0.01</v>
      </c>
      <c r="D241">
        <v>0</v>
      </c>
      <c r="E241">
        <v>0</v>
      </c>
      <c r="F241">
        <v>0.45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-0.39</v>
      </c>
    </row>
    <row r="242" spans="1:36">
      <c r="A242" t="s">
        <v>174</v>
      </c>
      <c r="B242" t="s">
        <v>138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 t="s">
        <v>174</v>
      </c>
      <c r="B243" t="s">
        <v>139</v>
      </c>
      <c r="C243">
        <v>0</v>
      </c>
      <c r="D243">
        <v>0</v>
      </c>
      <c r="E243">
        <v>1.7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1.56</v>
      </c>
      <c r="T243">
        <v>1.56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-4.0999999999999996</v>
      </c>
    </row>
    <row r="244" spans="1:36">
      <c r="A244" t="s">
        <v>174</v>
      </c>
      <c r="B244" t="s">
        <v>140</v>
      </c>
      <c r="C244">
        <v>0.94</v>
      </c>
      <c r="D244">
        <v>0</v>
      </c>
      <c r="E244">
        <v>1.74</v>
      </c>
      <c r="F244">
        <v>253.1</v>
      </c>
      <c r="G244">
        <v>0</v>
      </c>
      <c r="H244">
        <v>0.75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2.15</v>
      </c>
      <c r="T244">
        <v>0.1</v>
      </c>
      <c r="U244">
        <v>14.27</v>
      </c>
      <c r="V244">
        <v>7.46</v>
      </c>
      <c r="W244">
        <v>5.61</v>
      </c>
      <c r="X244">
        <v>0.56999999999999995</v>
      </c>
      <c r="Y244">
        <v>21.41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181.26</v>
      </c>
      <c r="AJ244">
        <v>59.24</v>
      </c>
    </row>
    <row r="245" spans="1:36">
      <c r="A245" t="s">
        <v>174</v>
      </c>
      <c r="B245" t="s">
        <v>141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33.15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>
      <c r="A246" t="s">
        <v>174</v>
      </c>
      <c r="B246" t="s">
        <v>142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0.1</v>
      </c>
      <c r="V246">
        <v>4.43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 t="s">
        <v>174</v>
      </c>
      <c r="B247" t="s">
        <v>143</v>
      </c>
      <c r="C247">
        <v>4.87</v>
      </c>
      <c r="D247">
        <v>0</v>
      </c>
      <c r="E247">
        <v>0</v>
      </c>
      <c r="F247">
        <v>87.81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>
      <c r="A248" t="s">
        <v>174</v>
      </c>
      <c r="B248" t="s">
        <v>144</v>
      </c>
      <c r="C248">
        <v>7.0000000000000007E-2</v>
      </c>
      <c r="D248">
        <v>0</v>
      </c>
      <c r="E248">
        <v>0</v>
      </c>
      <c r="F248">
        <v>1.35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 t="s">
        <v>174</v>
      </c>
      <c r="B249" t="s">
        <v>145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>
      <c r="A250" t="s">
        <v>174</v>
      </c>
      <c r="B250" t="s">
        <v>146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>
      <c r="A251" t="s">
        <v>174</v>
      </c>
      <c r="B251" t="s">
        <v>147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</row>
    <row r="252" spans="1:36">
      <c r="A252" t="s">
        <v>174</v>
      </c>
      <c r="B252" t="s">
        <v>148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 spans="1:36">
      <c r="A253" t="s">
        <v>174</v>
      </c>
      <c r="B253" t="s">
        <v>149</v>
      </c>
      <c r="C253">
        <v>4</v>
      </c>
      <c r="D253">
        <v>0</v>
      </c>
      <c r="E253">
        <v>0</v>
      </c>
      <c r="F253">
        <v>103.55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</row>
    <row r="254" spans="1:36">
      <c r="A254" t="s">
        <v>174</v>
      </c>
      <c r="B254" t="s">
        <v>150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>
      <c r="A255" t="s">
        <v>174</v>
      </c>
      <c r="B255" t="s">
        <v>151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0.09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>
      <c r="A256" t="s">
        <v>174</v>
      </c>
      <c r="B256" t="s">
        <v>152</v>
      </c>
      <c r="C256">
        <v>7.59</v>
      </c>
      <c r="D256">
        <v>0</v>
      </c>
      <c r="E256">
        <v>0</v>
      </c>
      <c r="F256">
        <v>292.54000000000002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</row>
    <row r="257" spans="1:36">
      <c r="A257" t="s">
        <v>174</v>
      </c>
      <c r="B257" t="s">
        <v>153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0.21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27.88</v>
      </c>
      <c r="AH257">
        <v>0</v>
      </c>
      <c r="AI257">
        <v>-180.04</v>
      </c>
      <c r="AJ257">
        <v>0</v>
      </c>
    </row>
    <row r="258" spans="1:36">
      <c r="A258" t="s">
        <v>174</v>
      </c>
      <c r="B258" t="s">
        <v>154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 t="s">
        <v>174</v>
      </c>
      <c r="B259" t="s">
        <v>155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 t="s">
        <v>174</v>
      </c>
      <c r="B260" t="s">
        <v>156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spans="1:36">
      <c r="A261" t="s">
        <v>174</v>
      </c>
      <c r="B261" t="s">
        <v>51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1.69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</row>
    <row r="262" spans="1:36">
      <c r="A262" t="s">
        <v>174</v>
      </c>
      <c r="B262" t="s">
        <v>157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3.19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>
      <c r="A263" t="s">
        <v>174</v>
      </c>
      <c r="B263" t="s">
        <v>158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6.28</v>
      </c>
      <c r="W263">
        <v>0.05</v>
      </c>
      <c r="X263">
        <v>0.02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>
      <c r="A264" t="s">
        <v>174</v>
      </c>
      <c r="B264" t="s">
        <v>159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>
      <c r="A265" t="s">
        <v>174</v>
      </c>
      <c r="B265" t="s">
        <v>160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 t="s">
        <v>174</v>
      </c>
      <c r="B266" t="s">
        <v>161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>
      <c r="A267" t="s">
        <v>174</v>
      </c>
      <c r="B267" t="s">
        <v>59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8.4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 spans="1:36">
      <c r="A268" t="s">
        <v>174</v>
      </c>
      <c r="B268" t="s">
        <v>162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>
      <c r="A269" t="s">
        <v>174</v>
      </c>
      <c r="B269" t="s">
        <v>163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7.86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>
      <c r="A270" t="s">
        <v>174</v>
      </c>
      <c r="B270" t="s">
        <v>164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24.08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 t="s">
        <v>174</v>
      </c>
      <c r="B271" t="s">
        <v>165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0.83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>
      <c r="A272" t="s">
        <v>174</v>
      </c>
      <c r="B272" t="s">
        <v>166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6.45</v>
      </c>
      <c r="W272">
        <v>6.07</v>
      </c>
      <c r="X272">
        <v>0.34</v>
      </c>
      <c r="Y272">
        <v>0.04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0.13</v>
      </c>
      <c r="AJ272">
        <v>0</v>
      </c>
    </row>
    <row r="273" spans="1:36">
      <c r="A273" t="s">
        <v>174</v>
      </c>
      <c r="B273" t="s">
        <v>167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1.88</v>
      </c>
      <c r="W273">
        <v>2.48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>
      <c r="A274" t="s">
        <v>174</v>
      </c>
      <c r="B274" t="s">
        <v>168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4.41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>
      <c r="A275" t="s">
        <v>175</v>
      </c>
      <c r="B275" t="s">
        <v>132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0.68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>
      <c r="A276" t="s">
        <v>175</v>
      </c>
      <c r="B276" t="s">
        <v>133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43.6</v>
      </c>
      <c r="AJ276">
        <v>0.56000000000000005</v>
      </c>
    </row>
    <row r="277" spans="1:36">
      <c r="A277" t="s">
        <v>175</v>
      </c>
      <c r="B277" t="s">
        <v>134</v>
      </c>
      <c r="C277">
        <v>1.02</v>
      </c>
      <c r="D277">
        <v>0</v>
      </c>
      <c r="E277">
        <v>0</v>
      </c>
      <c r="F277">
        <v>7.94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3.35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-10.46</v>
      </c>
    </row>
    <row r="278" spans="1:36">
      <c r="A278" t="s">
        <v>175</v>
      </c>
      <c r="B278" t="s">
        <v>135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0.66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-0.56000000000000005</v>
      </c>
    </row>
    <row r="279" spans="1:36">
      <c r="A279" t="s">
        <v>175</v>
      </c>
      <c r="B279" t="s">
        <v>136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28.07</v>
      </c>
      <c r="T279">
        <v>0</v>
      </c>
      <c r="U279">
        <v>5.2</v>
      </c>
      <c r="V279">
        <v>0</v>
      </c>
      <c r="W279">
        <v>0</v>
      </c>
      <c r="X279">
        <v>0</v>
      </c>
      <c r="Y279">
        <v>2.13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-30.35</v>
      </c>
    </row>
    <row r="280" spans="1:36">
      <c r="A280" t="s">
        <v>175</v>
      </c>
      <c r="B280" t="s">
        <v>137</v>
      </c>
      <c r="C280">
        <v>0.01</v>
      </c>
      <c r="D280">
        <v>0</v>
      </c>
      <c r="E280">
        <v>0</v>
      </c>
      <c r="F280">
        <v>0.59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-0.51</v>
      </c>
    </row>
    <row r="281" spans="1:36">
      <c r="A281" t="s">
        <v>175</v>
      </c>
      <c r="B281" t="s">
        <v>138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 t="s">
        <v>175</v>
      </c>
      <c r="B282" t="s">
        <v>139</v>
      </c>
      <c r="C282">
        <v>0</v>
      </c>
      <c r="D282">
        <v>0</v>
      </c>
      <c r="E282">
        <v>1.25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0.92</v>
      </c>
      <c r="T282">
        <v>0.92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-2.63</v>
      </c>
    </row>
    <row r="283" spans="1:36">
      <c r="A283" t="s">
        <v>175</v>
      </c>
      <c r="B283" t="s">
        <v>140</v>
      </c>
      <c r="C283">
        <v>0.82</v>
      </c>
      <c r="D283">
        <v>0</v>
      </c>
      <c r="E283">
        <v>1.1100000000000001</v>
      </c>
      <c r="F283">
        <v>198.55</v>
      </c>
      <c r="G283">
        <v>0</v>
      </c>
      <c r="H283">
        <v>0.57999999999999996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1.1599999999999999</v>
      </c>
      <c r="T283">
        <v>0.06</v>
      </c>
      <c r="U283">
        <v>3.04</v>
      </c>
      <c r="V283">
        <v>4.28</v>
      </c>
      <c r="W283">
        <v>3.78</v>
      </c>
      <c r="X283">
        <v>0.05</v>
      </c>
      <c r="Y283">
        <v>16.54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45.36</v>
      </c>
      <c r="AJ283">
        <v>43.95</v>
      </c>
    </row>
    <row r="284" spans="1:36">
      <c r="A284" t="s">
        <v>175</v>
      </c>
      <c r="B284" t="s">
        <v>141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26.49</v>
      </c>
      <c r="V284">
        <v>0</v>
      </c>
      <c r="W284">
        <v>7.51</v>
      </c>
      <c r="X284">
        <v>0</v>
      </c>
      <c r="Y284">
        <v>20.04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</row>
    <row r="285" spans="1:36">
      <c r="A285" t="s">
        <v>175</v>
      </c>
      <c r="B285" t="s">
        <v>142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0.06</v>
      </c>
      <c r="V285">
        <v>8.89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>
      <c r="A286" t="s">
        <v>175</v>
      </c>
      <c r="B286" t="s">
        <v>143</v>
      </c>
      <c r="C286">
        <v>3.64</v>
      </c>
      <c r="D286">
        <v>0</v>
      </c>
      <c r="E286">
        <v>0</v>
      </c>
      <c r="F286">
        <v>65.63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>
      <c r="A287" t="s">
        <v>175</v>
      </c>
      <c r="B287" t="s">
        <v>144</v>
      </c>
      <c r="C287">
        <v>0.05</v>
      </c>
      <c r="D287">
        <v>0</v>
      </c>
      <c r="E287">
        <v>0</v>
      </c>
      <c r="F287">
        <v>1.01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>
      <c r="A288" t="s">
        <v>175</v>
      </c>
      <c r="B288" t="s">
        <v>145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1.86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</row>
    <row r="289" spans="1:36">
      <c r="A289" t="s">
        <v>175</v>
      </c>
      <c r="B289" t="s">
        <v>146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>
      <c r="A290" t="s">
        <v>175</v>
      </c>
      <c r="B290" t="s">
        <v>147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>
      <c r="A291" t="s">
        <v>175</v>
      </c>
      <c r="B291" t="s">
        <v>148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>
      <c r="A292" t="s">
        <v>175</v>
      </c>
      <c r="B292" t="s">
        <v>149</v>
      </c>
      <c r="C292">
        <v>2.99</v>
      </c>
      <c r="D292">
        <v>0</v>
      </c>
      <c r="E292">
        <v>0</v>
      </c>
      <c r="F292">
        <v>77.400000000000006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7.29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 t="s">
        <v>175</v>
      </c>
      <c r="B293" t="s">
        <v>150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</row>
    <row r="294" spans="1:36">
      <c r="A294" t="s">
        <v>175</v>
      </c>
      <c r="B294" t="s">
        <v>151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0.68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2.15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 t="s">
        <v>175</v>
      </c>
      <c r="B295" t="s">
        <v>152</v>
      </c>
      <c r="C295">
        <v>5.67</v>
      </c>
      <c r="D295">
        <v>0</v>
      </c>
      <c r="E295">
        <v>0</v>
      </c>
      <c r="F295">
        <v>218.67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>
      <c r="A296" t="s">
        <v>175</v>
      </c>
      <c r="B296" t="s">
        <v>153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0.12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40.450000000000003</v>
      </c>
      <c r="AH296">
        <v>18.37</v>
      </c>
      <c r="AI296">
        <v>-167.91</v>
      </c>
      <c r="AJ296">
        <v>0</v>
      </c>
    </row>
    <row r="297" spans="1:36">
      <c r="A297" t="s">
        <v>175</v>
      </c>
      <c r="B297" t="s">
        <v>154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 t="s">
        <v>175</v>
      </c>
      <c r="B298" t="s">
        <v>155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</row>
    <row r="299" spans="1:36">
      <c r="A299" t="s">
        <v>175</v>
      </c>
      <c r="B299" t="s">
        <v>156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 t="s">
        <v>175</v>
      </c>
      <c r="B300" t="s">
        <v>51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30.63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</row>
    <row r="301" spans="1:36">
      <c r="A301" t="s">
        <v>175</v>
      </c>
      <c r="B301" t="s">
        <v>157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1.65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1:36">
      <c r="A302" t="s">
        <v>175</v>
      </c>
      <c r="B302" t="s">
        <v>158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4.46</v>
      </c>
      <c r="W302">
        <v>0.03</v>
      </c>
      <c r="X302">
        <v>0.02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 t="s">
        <v>175</v>
      </c>
      <c r="B303" t="s">
        <v>159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 t="s">
        <v>175</v>
      </c>
      <c r="B304" t="s">
        <v>160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 t="s">
        <v>175</v>
      </c>
      <c r="B305" t="s">
        <v>161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>
      <c r="A306" t="s">
        <v>175</v>
      </c>
      <c r="B306" t="s">
        <v>59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10.28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0.79</v>
      </c>
      <c r="AJ306">
        <v>0</v>
      </c>
    </row>
    <row r="307" spans="1:36">
      <c r="A307" t="s">
        <v>175</v>
      </c>
      <c r="B307" t="s">
        <v>162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spans="1:36">
      <c r="A308" t="s">
        <v>175</v>
      </c>
      <c r="B308" t="s">
        <v>163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9.01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1:36">
      <c r="A309" t="s">
        <v>175</v>
      </c>
      <c r="B309" t="s">
        <v>164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27.59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 t="s">
        <v>175</v>
      </c>
      <c r="B310" t="s">
        <v>165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2.25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>
      <c r="A311" t="s">
        <v>175</v>
      </c>
      <c r="B311" t="s">
        <v>166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7.39</v>
      </c>
      <c r="W311">
        <v>16.52</v>
      </c>
      <c r="X311">
        <v>0.24</v>
      </c>
      <c r="Y311">
        <v>0.06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0.09</v>
      </c>
      <c r="AJ311">
        <v>0</v>
      </c>
    </row>
    <row r="312" spans="1:36">
      <c r="A312" t="s">
        <v>175</v>
      </c>
      <c r="B312" t="s">
        <v>167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2.16</v>
      </c>
      <c r="W312">
        <v>6.76</v>
      </c>
      <c r="X312">
        <v>0</v>
      </c>
      <c r="Y312">
        <v>0.01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 t="s">
        <v>175</v>
      </c>
      <c r="B313" t="s">
        <v>168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12.02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 t="s">
        <v>176</v>
      </c>
      <c r="B314" t="s">
        <v>132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1.74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 t="s">
        <v>176</v>
      </c>
      <c r="B315" t="s">
        <v>133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74.3</v>
      </c>
      <c r="AJ315">
        <v>1.42</v>
      </c>
    </row>
    <row r="316" spans="1:36">
      <c r="A316" t="s">
        <v>176</v>
      </c>
      <c r="B316" t="s">
        <v>134</v>
      </c>
      <c r="C316">
        <v>1.26</v>
      </c>
      <c r="D316">
        <v>0</v>
      </c>
      <c r="E316">
        <v>0</v>
      </c>
      <c r="F316">
        <v>9.82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12.51</v>
      </c>
      <c r="V316">
        <v>0</v>
      </c>
      <c r="W316">
        <v>0</v>
      </c>
      <c r="X316">
        <v>0</v>
      </c>
      <c r="Y316">
        <v>0.85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-20.78</v>
      </c>
    </row>
    <row r="317" spans="1:36">
      <c r="A317" t="s">
        <v>176</v>
      </c>
      <c r="B317" t="s">
        <v>135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1.67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-1.42</v>
      </c>
    </row>
    <row r="318" spans="1:36">
      <c r="A318" t="s">
        <v>176</v>
      </c>
      <c r="B318" t="s">
        <v>136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66.459999999999994</v>
      </c>
      <c r="T318">
        <v>0</v>
      </c>
      <c r="U318">
        <v>12.44</v>
      </c>
      <c r="V318">
        <v>0</v>
      </c>
      <c r="W318">
        <v>0</v>
      </c>
      <c r="X318">
        <v>0</v>
      </c>
      <c r="Y318">
        <v>5.29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-72.12</v>
      </c>
    </row>
    <row r="319" spans="1:36">
      <c r="A319" t="s">
        <v>176</v>
      </c>
      <c r="B319" t="s">
        <v>137</v>
      </c>
      <c r="C319">
        <v>0.01</v>
      </c>
      <c r="D319">
        <v>0</v>
      </c>
      <c r="E319">
        <v>0</v>
      </c>
      <c r="F319">
        <v>0.73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-0.64</v>
      </c>
    </row>
    <row r="320" spans="1:36">
      <c r="A320" t="s">
        <v>176</v>
      </c>
      <c r="B320" t="s">
        <v>138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>
      <c r="A321" t="s">
        <v>176</v>
      </c>
      <c r="B321" t="s">
        <v>139</v>
      </c>
      <c r="C321">
        <v>0</v>
      </c>
      <c r="D321">
        <v>0</v>
      </c>
      <c r="E321">
        <v>4.12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0.06</v>
      </c>
      <c r="T321">
        <v>0.06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-3.61</v>
      </c>
    </row>
    <row r="322" spans="1:36">
      <c r="A322" t="s">
        <v>176</v>
      </c>
      <c r="B322" t="s">
        <v>140</v>
      </c>
      <c r="C322">
        <v>0.75</v>
      </c>
      <c r="D322">
        <v>0</v>
      </c>
      <c r="E322">
        <v>1.5</v>
      </c>
      <c r="F322">
        <v>73.05</v>
      </c>
      <c r="G322">
        <v>0</v>
      </c>
      <c r="H322">
        <v>0.06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11.71</v>
      </c>
      <c r="T322">
        <v>0.56999999999999995</v>
      </c>
      <c r="U322">
        <v>3.47</v>
      </c>
      <c r="V322">
        <v>10.130000000000001</v>
      </c>
      <c r="W322">
        <v>9.0500000000000007</v>
      </c>
      <c r="X322">
        <v>0.12</v>
      </c>
      <c r="Y322">
        <v>39.479999999999997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87.32</v>
      </c>
      <c r="AJ322">
        <v>97.15</v>
      </c>
    </row>
    <row r="323" spans="1:36">
      <c r="A323" t="s">
        <v>176</v>
      </c>
      <c r="B323" t="s">
        <v>141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54.93</v>
      </c>
      <c r="V323">
        <v>0</v>
      </c>
      <c r="W323">
        <v>15.57</v>
      </c>
      <c r="X323">
        <v>0</v>
      </c>
      <c r="Y323">
        <v>49.57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</row>
    <row r="324" spans="1:36">
      <c r="A324" t="s">
        <v>176</v>
      </c>
      <c r="B324" t="s">
        <v>142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0.06</v>
      </c>
      <c r="V324">
        <v>13.49</v>
      </c>
      <c r="W324">
        <v>0</v>
      </c>
      <c r="X324">
        <v>0</v>
      </c>
      <c r="Y324">
        <v>7.0000000000000007E-2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 t="s">
        <v>176</v>
      </c>
      <c r="B325" t="s">
        <v>143</v>
      </c>
      <c r="C325">
        <v>7.31</v>
      </c>
      <c r="D325">
        <v>0</v>
      </c>
      <c r="E325">
        <v>0</v>
      </c>
      <c r="F325">
        <v>131.83000000000001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 t="s">
        <v>176</v>
      </c>
      <c r="B326" t="s">
        <v>144</v>
      </c>
      <c r="C326">
        <v>0.11</v>
      </c>
      <c r="D326">
        <v>0</v>
      </c>
      <c r="E326">
        <v>0</v>
      </c>
      <c r="F326">
        <v>2.0299999999999998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 spans="1:36">
      <c r="A327" t="s">
        <v>176</v>
      </c>
      <c r="B327" t="s">
        <v>145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4.7300000000000004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6">
      <c r="A328" t="s">
        <v>176</v>
      </c>
      <c r="B328" t="s">
        <v>146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</row>
    <row r="329" spans="1:36">
      <c r="A329" t="s">
        <v>176</v>
      </c>
      <c r="B329" t="s">
        <v>147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 t="s">
        <v>176</v>
      </c>
      <c r="B330" t="s">
        <v>148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spans="1:36">
      <c r="A331" t="s">
        <v>176</v>
      </c>
      <c r="B331" t="s">
        <v>149</v>
      </c>
      <c r="C331">
        <v>6.01</v>
      </c>
      <c r="D331">
        <v>0</v>
      </c>
      <c r="E331">
        <v>0</v>
      </c>
      <c r="F331">
        <v>155.47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18.57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 t="s">
        <v>176</v>
      </c>
      <c r="B332" t="s">
        <v>150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>
      <c r="A333" t="s">
        <v>176</v>
      </c>
      <c r="B333" t="s">
        <v>151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3.34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5.46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>
      <c r="A334" t="s">
        <v>176</v>
      </c>
      <c r="B334" t="s">
        <v>152</v>
      </c>
      <c r="C334">
        <v>11.39</v>
      </c>
      <c r="D334">
        <v>0</v>
      </c>
      <c r="E334">
        <v>0</v>
      </c>
      <c r="F334">
        <v>439.22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>
      <c r="A335" t="s">
        <v>176</v>
      </c>
      <c r="B335" t="s">
        <v>153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28.75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19.649999999999999</v>
      </c>
      <c r="AH335">
        <v>48.52</v>
      </c>
      <c r="AI335">
        <v>-311.18</v>
      </c>
      <c r="AJ335">
        <v>0</v>
      </c>
    </row>
    <row r="336" spans="1:36">
      <c r="A336" t="s">
        <v>176</v>
      </c>
      <c r="B336" t="s">
        <v>154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 t="s">
        <v>176</v>
      </c>
      <c r="B337" t="s">
        <v>155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>
      <c r="A338" t="s">
        <v>176</v>
      </c>
      <c r="B338" t="s">
        <v>156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</row>
    <row r="339" spans="1:36">
      <c r="A339" t="s">
        <v>176</v>
      </c>
      <c r="B339" t="s">
        <v>51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21.89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>
      <c r="A340" t="s">
        <v>176</v>
      </c>
      <c r="B340" t="s">
        <v>157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7.84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</row>
    <row r="341" spans="1:36">
      <c r="A341" t="s">
        <v>176</v>
      </c>
      <c r="B341" t="s">
        <v>158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10.37</v>
      </c>
      <c r="W341">
        <v>0.08</v>
      </c>
      <c r="X341">
        <v>0.04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>
      <c r="A342" t="s">
        <v>176</v>
      </c>
      <c r="B342" t="s">
        <v>159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 t="s">
        <v>176</v>
      </c>
      <c r="B343" t="s">
        <v>160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>
      <c r="A344" t="s">
        <v>176</v>
      </c>
      <c r="B344" t="s">
        <v>161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</row>
    <row r="345" spans="1:36">
      <c r="A345" t="s">
        <v>176</v>
      </c>
      <c r="B345" t="s">
        <v>59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17.09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1.63</v>
      </c>
      <c r="AJ345">
        <v>0</v>
      </c>
    </row>
    <row r="346" spans="1:36">
      <c r="A346" t="s">
        <v>176</v>
      </c>
      <c r="B346" t="s">
        <v>162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 t="s">
        <v>176</v>
      </c>
      <c r="B347" t="s">
        <v>163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19.68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 t="s">
        <v>176</v>
      </c>
      <c r="B348" t="s">
        <v>164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60.25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 t="s">
        <v>176</v>
      </c>
      <c r="B349" t="s">
        <v>165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2.04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</row>
    <row r="350" spans="1:36">
      <c r="A350" t="s">
        <v>176</v>
      </c>
      <c r="B350" t="s">
        <v>166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16.14</v>
      </c>
      <c r="W350">
        <v>14.96</v>
      </c>
      <c r="X350">
        <v>0.56000000000000005</v>
      </c>
      <c r="Y350">
        <v>0.08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0.22</v>
      </c>
      <c r="AJ350">
        <v>0</v>
      </c>
    </row>
    <row r="351" spans="1:36">
      <c r="A351" t="s">
        <v>176</v>
      </c>
      <c r="B351" t="s">
        <v>167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4.71</v>
      </c>
      <c r="W351">
        <v>6.12</v>
      </c>
      <c r="X351">
        <v>0</v>
      </c>
      <c r="Y351">
        <v>0.01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>
      <c r="A352" t="s">
        <v>176</v>
      </c>
      <c r="B352" t="s">
        <v>168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10.88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>
      <c r="A353" t="s">
        <v>177</v>
      </c>
      <c r="B353" t="s">
        <v>132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164.82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 t="s">
        <v>177</v>
      </c>
      <c r="B354" t="s">
        <v>133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95.27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107.74</v>
      </c>
      <c r="AJ354">
        <v>134.6</v>
      </c>
    </row>
    <row r="355" spans="1:36">
      <c r="A355" t="s">
        <v>177</v>
      </c>
      <c r="B355" t="s">
        <v>134</v>
      </c>
      <c r="C355">
        <v>0.52</v>
      </c>
      <c r="D355">
        <v>0</v>
      </c>
      <c r="E355">
        <v>0</v>
      </c>
      <c r="F355">
        <v>4.0999999999999996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2.68</v>
      </c>
      <c r="V355">
        <v>0</v>
      </c>
      <c r="W355">
        <v>0</v>
      </c>
      <c r="X355">
        <v>0</v>
      </c>
      <c r="Y355">
        <v>1.25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-7.26</v>
      </c>
    </row>
    <row r="356" spans="1:36">
      <c r="A356" t="s">
        <v>177</v>
      </c>
      <c r="B356" t="s">
        <v>135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98.98</v>
      </c>
      <c r="V356">
        <v>0</v>
      </c>
      <c r="W356">
        <v>0</v>
      </c>
      <c r="X356">
        <v>54.71</v>
      </c>
      <c r="Y356">
        <v>4.67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-134.6</v>
      </c>
    </row>
    <row r="357" spans="1:36">
      <c r="A357" t="s">
        <v>177</v>
      </c>
      <c r="B357" t="s">
        <v>136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71.59</v>
      </c>
      <c r="T357">
        <v>0</v>
      </c>
      <c r="U357">
        <v>13.45</v>
      </c>
      <c r="V357">
        <v>0</v>
      </c>
      <c r="W357">
        <v>0</v>
      </c>
      <c r="X357">
        <v>0</v>
      </c>
      <c r="Y357">
        <v>5.7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-77.69</v>
      </c>
    </row>
    <row r="358" spans="1:36">
      <c r="A358" t="s">
        <v>177</v>
      </c>
      <c r="B358" t="s">
        <v>137</v>
      </c>
      <c r="C358">
        <v>0.02</v>
      </c>
      <c r="D358">
        <v>0</v>
      </c>
      <c r="E358">
        <v>0</v>
      </c>
      <c r="F358">
        <v>0.79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-0.69</v>
      </c>
    </row>
    <row r="359" spans="1:36">
      <c r="A359" t="s">
        <v>177</v>
      </c>
      <c r="B359" t="s">
        <v>138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>
      <c r="A360" t="s">
        <v>177</v>
      </c>
      <c r="B360" t="s">
        <v>139</v>
      </c>
      <c r="C360">
        <v>0</v>
      </c>
      <c r="D360">
        <v>0</v>
      </c>
      <c r="E360">
        <v>3.7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1.44</v>
      </c>
      <c r="T360">
        <v>1.44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-5.59</v>
      </c>
    </row>
    <row r="361" spans="1:36">
      <c r="A361" t="s">
        <v>177</v>
      </c>
      <c r="B361" t="s">
        <v>140</v>
      </c>
      <c r="C361">
        <v>0.62</v>
      </c>
      <c r="D361">
        <v>0</v>
      </c>
      <c r="E361">
        <v>2.35</v>
      </c>
      <c r="F361">
        <v>116.61</v>
      </c>
      <c r="G361">
        <v>0</v>
      </c>
      <c r="H361">
        <v>0.28999999999999998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8</v>
      </c>
      <c r="T361">
        <v>0.39</v>
      </c>
      <c r="U361">
        <v>4.92</v>
      </c>
      <c r="V361">
        <v>10.41</v>
      </c>
      <c r="W361">
        <v>9.7799999999999994</v>
      </c>
      <c r="X361">
        <v>0.15</v>
      </c>
      <c r="Y361">
        <v>20.5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89.88</v>
      </c>
      <c r="AJ361">
        <v>91.23</v>
      </c>
    </row>
    <row r="362" spans="1:36">
      <c r="A362" t="s">
        <v>177</v>
      </c>
      <c r="B362" t="s">
        <v>141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11.75</v>
      </c>
      <c r="V362">
        <v>0</v>
      </c>
      <c r="W362">
        <v>3.33</v>
      </c>
      <c r="X362">
        <v>0</v>
      </c>
      <c r="Y362">
        <v>18.989999999999998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1:36">
      <c r="A363" t="s">
        <v>177</v>
      </c>
      <c r="B363" t="s">
        <v>142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1.66</v>
      </c>
      <c r="V363">
        <v>20.13</v>
      </c>
      <c r="W363">
        <v>0</v>
      </c>
      <c r="X363">
        <v>0</v>
      </c>
      <c r="Y363">
        <v>0.02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1:36">
      <c r="A364" t="s">
        <v>177</v>
      </c>
      <c r="B364" t="s">
        <v>143</v>
      </c>
      <c r="C364">
        <v>8.52</v>
      </c>
      <c r="D364">
        <v>0</v>
      </c>
      <c r="E364">
        <v>0</v>
      </c>
      <c r="F364">
        <v>153.75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>
      <c r="A365" t="s">
        <v>177</v>
      </c>
      <c r="B365" t="s">
        <v>144</v>
      </c>
      <c r="C365">
        <v>0.12</v>
      </c>
      <c r="D365">
        <v>0</v>
      </c>
      <c r="E365">
        <v>0</v>
      </c>
      <c r="F365">
        <v>2.37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</row>
    <row r="366" spans="1:36">
      <c r="A366" t="s">
        <v>177</v>
      </c>
      <c r="B366" t="s">
        <v>145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17.46</v>
      </c>
      <c r="V366">
        <v>0</v>
      </c>
      <c r="W366">
        <v>0</v>
      </c>
      <c r="X366">
        <v>0</v>
      </c>
      <c r="Y366">
        <v>6.46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>
      <c r="A367" t="s">
        <v>177</v>
      </c>
      <c r="B367" t="s">
        <v>146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>
      <c r="A368" t="s">
        <v>177</v>
      </c>
      <c r="B368" t="s">
        <v>147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</row>
    <row r="369" spans="1:36">
      <c r="A369" t="s">
        <v>177</v>
      </c>
      <c r="B369" t="s">
        <v>148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 t="s">
        <v>177</v>
      </c>
      <c r="B370" t="s">
        <v>149</v>
      </c>
      <c r="C370">
        <v>7</v>
      </c>
      <c r="D370">
        <v>0</v>
      </c>
      <c r="E370">
        <v>0</v>
      </c>
      <c r="F370">
        <v>181.32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25.38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</row>
    <row r="371" spans="1:36">
      <c r="A371" t="s">
        <v>177</v>
      </c>
      <c r="B371" t="s">
        <v>150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 t="s">
        <v>177</v>
      </c>
      <c r="B372" t="s">
        <v>151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3.32</v>
      </c>
      <c r="T372">
        <v>0</v>
      </c>
      <c r="U372">
        <v>0</v>
      </c>
      <c r="V372">
        <v>2.33</v>
      </c>
      <c r="W372">
        <v>6.34</v>
      </c>
      <c r="X372">
        <v>0</v>
      </c>
      <c r="Y372">
        <v>7.47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</row>
    <row r="373" spans="1:36">
      <c r="A373" t="s">
        <v>177</v>
      </c>
      <c r="B373" t="s">
        <v>152</v>
      </c>
      <c r="C373">
        <v>13.29</v>
      </c>
      <c r="D373">
        <v>0</v>
      </c>
      <c r="E373">
        <v>0</v>
      </c>
      <c r="F373">
        <v>512.24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</row>
    <row r="374" spans="1:36">
      <c r="A374" t="s">
        <v>177</v>
      </c>
      <c r="B374" t="s">
        <v>153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73.61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28.87</v>
      </c>
      <c r="AH374">
        <v>46</v>
      </c>
      <c r="AI374">
        <v>-420.5</v>
      </c>
      <c r="AJ374">
        <v>0</v>
      </c>
    </row>
    <row r="375" spans="1:36">
      <c r="A375" t="s">
        <v>177</v>
      </c>
      <c r="B375" t="s">
        <v>154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>
      <c r="A376" t="s">
        <v>177</v>
      </c>
      <c r="B376" t="s">
        <v>155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</row>
    <row r="377" spans="1:36">
      <c r="A377" t="s">
        <v>177</v>
      </c>
      <c r="B377" t="s">
        <v>156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>
      <c r="A378" t="s">
        <v>177</v>
      </c>
      <c r="B378" t="s">
        <v>51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6.1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</row>
    <row r="379" spans="1:36">
      <c r="A379" t="s">
        <v>177</v>
      </c>
      <c r="B379" t="s">
        <v>157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54.5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</row>
    <row r="380" spans="1:36">
      <c r="A380" t="s">
        <v>177</v>
      </c>
      <c r="B380" t="s">
        <v>158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10.69</v>
      </c>
      <c r="W380">
        <v>0.08</v>
      </c>
      <c r="X380">
        <v>0.04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 t="s">
        <v>177</v>
      </c>
      <c r="B381" t="s">
        <v>159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</row>
    <row r="382" spans="1:36">
      <c r="A382" t="s">
        <v>177</v>
      </c>
      <c r="B382" t="s">
        <v>160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 t="s">
        <v>177</v>
      </c>
      <c r="B383" t="s">
        <v>161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>
      <c r="A384" t="s">
        <v>177</v>
      </c>
      <c r="B384" t="s">
        <v>59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5.13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3.04</v>
      </c>
      <c r="AJ384">
        <v>0</v>
      </c>
    </row>
    <row r="385" spans="1:36">
      <c r="A385" t="s">
        <v>177</v>
      </c>
      <c r="B385" t="s">
        <v>162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>
      <c r="A386" t="s">
        <v>177</v>
      </c>
      <c r="B386" t="s">
        <v>163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41.77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1:36">
      <c r="A387" t="s">
        <v>177</v>
      </c>
      <c r="B387" t="s">
        <v>164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127.87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</row>
    <row r="388" spans="1:36">
      <c r="A388" t="s">
        <v>177</v>
      </c>
      <c r="B388" t="s">
        <v>165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5.93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>
      <c r="A389" t="s">
        <v>177</v>
      </c>
      <c r="B389" t="s">
        <v>166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34.26</v>
      </c>
      <c r="W389">
        <v>43.46</v>
      </c>
      <c r="X389">
        <v>0.57999999999999996</v>
      </c>
      <c r="Y389">
        <v>0.18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0.23</v>
      </c>
      <c r="AJ389">
        <v>0</v>
      </c>
    </row>
    <row r="390" spans="1:36">
      <c r="A390" t="s">
        <v>177</v>
      </c>
      <c r="B390" t="s">
        <v>167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9.99</v>
      </c>
      <c r="W390">
        <v>17.78</v>
      </c>
      <c r="X390">
        <v>0</v>
      </c>
      <c r="Y390">
        <v>0.02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6">
      <c r="A391" t="s">
        <v>177</v>
      </c>
      <c r="B391" t="s">
        <v>168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31.61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 t="s">
        <v>178</v>
      </c>
      <c r="B392" t="s">
        <v>132</v>
      </c>
      <c r="C392">
        <v>0</v>
      </c>
      <c r="D392">
        <v>0</v>
      </c>
      <c r="E392">
        <v>0.22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</row>
    <row r="393" spans="1:36">
      <c r="A393" t="s">
        <v>178</v>
      </c>
      <c r="B393" t="s">
        <v>133</v>
      </c>
      <c r="C393">
        <v>0.39</v>
      </c>
      <c r="D393">
        <v>0</v>
      </c>
      <c r="E393">
        <v>0</v>
      </c>
      <c r="F393">
        <v>21.6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40.5</v>
      </c>
      <c r="AJ393">
        <v>0.18</v>
      </c>
    </row>
    <row r="394" spans="1:36">
      <c r="A394" t="s">
        <v>178</v>
      </c>
      <c r="B394" t="s">
        <v>134</v>
      </c>
      <c r="C394">
        <v>0.92</v>
      </c>
      <c r="D394">
        <v>0</v>
      </c>
      <c r="E394">
        <v>0</v>
      </c>
      <c r="F394">
        <v>7.17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9.91</v>
      </c>
      <c r="V394">
        <v>0</v>
      </c>
      <c r="W394">
        <v>0</v>
      </c>
      <c r="X394">
        <v>0</v>
      </c>
      <c r="Y394">
        <v>0.21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-15.48</v>
      </c>
    </row>
    <row r="395" spans="1:36">
      <c r="A395" t="s">
        <v>178</v>
      </c>
      <c r="B395" t="s">
        <v>135</v>
      </c>
      <c r="C395">
        <v>0</v>
      </c>
      <c r="D395">
        <v>0</v>
      </c>
      <c r="E395">
        <v>0.21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-0.18</v>
      </c>
    </row>
    <row r="396" spans="1:36">
      <c r="A396" t="s">
        <v>178</v>
      </c>
      <c r="B396" t="s">
        <v>136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24.77</v>
      </c>
      <c r="T396">
        <v>0</v>
      </c>
      <c r="U396">
        <v>4.6500000000000004</v>
      </c>
      <c r="V396">
        <v>0</v>
      </c>
      <c r="W396">
        <v>0</v>
      </c>
      <c r="X396">
        <v>0</v>
      </c>
      <c r="Y396">
        <v>1.97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-26.88</v>
      </c>
    </row>
    <row r="397" spans="1:36">
      <c r="A397" t="s">
        <v>178</v>
      </c>
      <c r="B397" t="s">
        <v>137</v>
      </c>
      <c r="C397">
        <v>0.01</v>
      </c>
      <c r="D397">
        <v>0</v>
      </c>
      <c r="E397">
        <v>0</v>
      </c>
      <c r="F397">
        <v>0.27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-0.24</v>
      </c>
    </row>
    <row r="398" spans="1:36">
      <c r="A398" t="s">
        <v>178</v>
      </c>
      <c r="B398" t="s">
        <v>138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 spans="1:36">
      <c r="A399" t="s">
        <v>178</v>
      </c>
      <c r="B399" t="s">
        <v>139</v>
      </c>
      <c r="C399">
        <v>0</v>
      </c>
      <c r="D399">
        <v>0</v>
      </c>
      <c r="E399">
        <v>1.55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-1.32</v>
      </c>
    </row>
    <row r="400" spans="1:36">
      <c r="A400" t="s">
        <v>178</v>
      </c>
      <c r="B400" t="s">
        <v>140</v>
      </c>
      <c r="C400">
        <v>0.3</v>
      </c>
      <c r="D400">
        <v>0</v>
      </c>
      <c r="E400">
        <v>0.55000000000000004</v>
      </c>
      <c r="F400">
        <v>262.51</v>
      </c>
      <c r="G400">
        <v>0</v>
      </c>
      <c r="H400">
        <v>1.02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0.26</v>
      </c>
      <c r="T400">
        <v>0.01</v>
      </c>
      <c r="U400">
        <v>15.09</v>
      </c>
      <c r="V400">
        <v>7.74</v>
      </c>
      <c r="W400">
        <v>3.39</v>
      </c>
      <c r="X400">
        <v>1.1599999999999999</v>
      </c>
      <c r="Y400">
        <v>26.32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24.62</v>
      </c>
      <c r="AJ400">
        <v>43.91</v>
      </c>
    </row>
    <row r="401" spans="1:36">
      <c r="A401" t="s">
        <v>178</v>
      </c>
      <c r="B401" t="s">
        <v>141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43.51</v>
      </c>
      <c r="V401">
        <v>0</v>
      </c>
      <c r="W401">
        <v>12.33</v>
      </c>
      <c r="X401">
        <v>0</v>
      </c>
      <c r="Y401">
        <v>36.200000000000003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>
      <c r="A402" t="s">
        <v>178</v>
      </c>
      <c r="B402" t="s">
        <v>142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0.06</v>
      </c>
      <c r="V402">
        <v>4.26</v>
      </c>
      <c r="W402">
        <v>0</v>
      </c>
      <c r="X402">
        <v>0</v>
      </c>
      <c r="Y402">
        <v>0.03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 t="s">
        <v>178</v>
      </c>
      <c r="B403" t="s">
        <v>143</v>
      </c>
      <c r="C403">
        <v>6.08</v>
      </c>
      <c r="D403">
        <v>0</v>
      </c>
      <c r="E403">
        <v>0</v>
      </c>
      <c r="F403">
        <v>109.67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 spans="1:36">
      <c r="A404" t="s">
        <v>178</v>
      </c>
      <c r="B404" t="s">
        <v>144</v>
      </c>
      <c r="C404">
        <v>0.09</v>
      </c>
      <c r="D404">
        <v>0</v>
      </c>
      <c r="E404">
        <v>0</v>
      </c>
      <c r="F404">
        <v>1.69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 t="s">
        <v>178</v>
      </c>
      <c r="B405" t="s">
        <v>145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</row>
    <row r="406" spans="1:36">
      <c r="A406" t="s">
        <v>178</v>
      </c>
      <c r="B406" t="s">
        <v>146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>
      <c r="A407" t="s">
        <v>178</v>
      </c>
      <c r="B407" t="s">
        <v>147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>
      <c r="A408" t="s">
        <v>178</v>
      </c>
      <c r="B408" t="s">
        <v>148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</row>
    <row r="409" spans="1:36">
      <c r="A409" t="s">
        <v>178</v>
      </c>
      <c r="B409" t="s">
        <v>149</v>
      </c>
      <c r="C409">
        <v>5</v>
      </c>
      <c r="D409">
        <v>0</v>
      </c>
      <c r="E409">
        <v>0</v>
      </c>
      <c r="F409">
        <v>129.33000000000001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>
      <c r="A410" t="s">
        <v>178</v>
      </c>
      <c r="B410" t="s">
        <v>150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 spans="1:36">
      <c r="A411" t="s">
        <v>178</v>
      </c>
      <c r="B411" t="s">
        <v>151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1.4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 spans="1:36">
      <c r="A412" t="s">
        <v>178</v>
      </c>
      <c r="B412" t="s">
        <v>152</v>
      </c>
      <c r="C412">
        <v>9.48</v>
      </c>
      <c r="D412">
        <v>0</v>
      </c>
      <c r="E412">
        <v>0</v>
      </c>
      <c r="F412">
        <v>365.37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 t="s">
        <v>178</v>
      </c>
      <c r="B413" t="s">
        <v>153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0.06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1.84</v>
      </c>
      <c r="AH413">
        <v>4.0199999999999996</v>
      </c>
      <c r="AI413">
        <v>-193.43</v>
      </c>
      <c r="AJ413">
        <v>0</v>
      </c>
    </row>
    <row r="414" spans="1:36">
      <c r="A414" t="s">
        <v>178</v>
      </c>
      <c r="B414" t="s">
        <v>154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</row>
    <row r="415" spans="1:36">
      <c r="A415" t="s">
        <v>178</v>
      </c>
      <c r="B415" t="s">
        <v>155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>
      <c r="A416" t="s">
        <v>178</v>
      </c>
      <c r="B416" t="s">
        <v>156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>
      <c r="A417" t="s">
        <v>178</v>
      </c>
      <c r="B417" t="s">
        <v>51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0.8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>
      <c r="A418" t="s">
        <v>178</v>
      </c>
      <c r="B418" t="s">
        <v>157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1.43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</row>
    <row r="419" spans="1:36">
      <c r="A419" t="s">
        <v>178</v>
      </c>
      <c r="B419" t="s">
        <v>158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3.72</v>
      </c>
      <c r="W419">
        <v>0.03</v>
      </c>
      <c r="X419">
        <v>0.01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 t="s">
        <v>178</v>
      </c>
      <c r="B420" t="s">
        <v>159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1:36">
      <c r="A421" t="s">
        <v>178</v>
      </c>
      <c r="B421" t="s">
        <v>160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</row>
    <row r="422" spans="1:36">
      <c r="A422" t="s">
        <v>178</v>
      </c>
      <c r="B422" t="s">
        <v>161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</row>
    <row r="423" spans="1:36">
      <c r="A423" t="s">
        <v>178</v>
      </c>
      <c r="B423" t="s">
        <v>59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32.76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4.05</v>
      </c>
      <c r="AJ423">
        <v>0</v>
      </c>
    </row>
    <row r="424" spans="1:36">
      <c r="A424" t="s">
        <v>178</v>
      </c>
      <c r="B424" t="s">
        <v>162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 t="s">
        <v>178</v>
      </c>
      <c r="B425" t="s">
        <v>163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5.31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>
      <c r="A426" t="s">
        <v>178</v>
      </c>
      <c r="B426" t="s">
        <v>164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16.27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</row>
    <row r="427" spans="1:36">
      <c r="A427" t="s">
        <v>178</v>
      </c>
      <c r="B427" t="s">
        <v>165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0.64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1:36">
      <c r="A428" t="s">
        <v>178</v>
      </c>
      <c r="B428" t="s">
        <v>166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4.3600000000000003</v>
      </c>
      <c r="W428">
        <v>4.6900000000000004</v>
      </c>
      <c r="X428">
        <v>0.2</v>
      </c>
      <c r="Y428">
        <v>0.03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0.08</v>
      </c>
      <c r="AJ428">
        <v>0</v>
      </c>
    </row>
    <row r="429" spans="1:36">
      <c r="A429" t="s">
        <v>178</v>
      </c>
      <c r="B429" t="s">
        <v>167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1.27</v>
      </c>
      <c r="W429">
        <v>1.92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</row>
    <row r="430" spans="1:36">
      <c r="A430" t="s">
        <v>178</v>
      </c>
      <c r="B430" t="s">
        <v>168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3.41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 t="s">
        <v>179</v>
      </c>
      <c r="B431" t="s">
        <v>132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0.16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>
      <c r="A432" t="s">
        <v>179</v>
      </c>
      <c r="B432" t="s">
        <v>133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11.68</v>
      </c>
      <c r="AJ432">
        <v>0.13</v>
      </c>
    </row>
    <row r="433" spans="1:36">
      <c r="A433" t="s">
        <v>179</v>
      </c>
      <c r="B433" t="s">
        <v>134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0.01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-0.01</v>
      </c>
    </row>
    <row r="434" spans="1:36">
      <c r="A434" t="s">
        <v>179</v>
      </c>
      <c r="B434" t="s">
        <v>135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0.15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-0.13</v>
      </c>
    </row>
    <row r="435" spans="1:36">
      <c r="A435" t="s">
        <v>179</v>
      </c>
      <c r="B435" t="s">
        <v>136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9.7799999999999994</v>
      </c>
      <c r="T435">
        <v>0</v>
      </c>
      <c r="U435">
        <v>1.82</v>
      </c>
      <c r="V435">
        <v>0</v>
      </c>
      <c r="W435">
        <v>0</v>
      </c>
      <c r="X435">
        <v>0</v>
      </c>
      <c r="Y435">
        <v>0.78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-10.61</v>
      </c>
    </row>
    <row r="436" spans="1:36">
      <c r="A436" t="s">
        <v>179</v>
      </c>
      <c r="B436" t="s">
        <v>137</v>
      </c>
      <c r="C436">
        <v>0</v>
      </c>
      <c r="D436">
        <v>0</v>
      </c>
      <c r="E436">
        <v>0</v>
      </c>
      <c r="F436">
        <v>0.11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-0.09</v>
      </c>
    </row>
    <row r="437" spans="1:36">
      <c r="A437" t="s">
        <v>179</v>
      </c>
      <c r="B437" t="s">
        <v>138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</row>
    <row r="438" spans="1:36">
      <c r="A438" t="s">
        <v>179</v>
      </c>
      <c r="B438" t="s">
        <v>139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1.28</v>
      </c>
      <c r="T438">
        <v>1.45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-2.3199999999999998</v>
      </c>
    </row>
    <row r="439" spans="1:36">
      <c r="A439" t="s">
        <v>179</v>
      </c>
      <c r="B439" t="s">
        <v>140</v>
      </c>
      <c r="C439">
        <v>0.14000000000000001</v>
      </c>
      <c r="D439">
        <v>0</v>
      </c>
      <c r="E439">
        <v>0.83</v>
      </c>
      <c r="F439">
        <v>19.850000000000001</v>
      </c>
      <c r="G439">
        <v>0</v>
      </c>
      <c r="H439">
        <v>0.04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3.54</v>
      </c>
      <c r="T439">
        <v>0.16</v>
      </c>
      <c r="U439">
        <v>0.21</v>
      </c>
      <c r="V439">
        <v>1.38</v>
      </c>
      <c r="W439">
        <v>1.33</v>
      </c>
      <c r="X439">
        <v>0.02</v>
      </c>
      <c r="Y439">
        <v>1.34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53.03</v>
      </c>
      <c r="AJ439">
        <v>13.04</v>
      </c>
    </row>
    <row r="440" spans="1:36">
      <c r="A440" t="s">
        <v>179</v>
      </c>
      <c r="B440" t="s">
        <v>141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 t="s">
        <v>179</v>
      </c>
      <c r="B441" t="s">
        <v>142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1.18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 t="s">
        <v>179</v>
      </c>
      <c r="B442" t="s">
        <v>143</v>
      </c>
      <c r="C442">
        <v>0.28999999999999998</v>
      </c>
      <c r="D442">
        <v>0</v>
      </c>
      <c r="E442">
        <v>0</v>
      </c>
      <c r="F442">
        <v>5.16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>
      <c r="A443" t="s">
        <v>179</v>
      </c>
      <c r="B443" t="s">
        <v>144</v>
      </c>
      <c r="C443">
        <v>0</v>
      </c>
      <c r="D443">
        <v>0</v>
      </c>
      <c r="E443">
        <v>0</v>
      </c>
      <c r="F443">
        <v>0.08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</row>
    <row r="444" spans="1:36">
      <c r="A444" t="s">
        <v>179</v>
      </c>
      <c r="B444" t="s">
        <v>145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0.42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 t="s">
        <v>179</v>
      </c>
      <c r="B445" t="s">
        <v>146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</row>
    <row r="446" spans="1:36">
      <c r="A446" t="s">
        <v>179</v>
      </c>
      <c r="B446" t="s">
        <v>147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 t="s">
        <v>179</v>
      </c>
      <c r="B447" t="s">
        <v>148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>
      <c r="A448" t="s">
        <v>179</v>
      </c>
      <c r="B448" t="s">
        <v>149</v>
      </c>
      <c r="C448">
        <v>0.24</v>
      </c>
      <c r="D448">
        <v>0</v>
      </c>
      <c r="E448">
        <v>0</v>
      </c>
      <c r="F448">
        <v>6.08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1.66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>
      <c r="A449" t="s">
        <v>179</v>
      </c>
      <c r="B449" t="s">
        <v>150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>
      <c r="A450" t="s">
        <v>179</v>
      </c>
      <c r="B450" t="s">
        <v>151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7.0000000000000007E-2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0.49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1:36">
      <c r="A451" t="s">
        <v>179</v>
      </c>
      <c r="B451" t="s">
        <v>152</v>
      </c>
      <c r="C451">
        <v>0.45</v>
      </c>
      <c r="D451">
        <v>0</v>
      </c>
      <c r="E451">
        <v>0</v>
      </c>
      <c r="F451">
        <v>17.190000000000001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</row>
    <row r="452" spans="1:36">
      <c r="A452" t="s">
        <v>179</v>
      </c>
      <c r="B452" t="s">
        <v>153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0.06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27.2</v>
      </c>
      <c r="AH452">
        <v>1.89</v>
      </c>
      <c r="AI452">
        <v>-38.42</v>
      </c>
      <c r="AJ452">
        <v>0</v>
      </c>
    </row>
    <row r="453" spans="1:36">
      <c r="A453" t="s">
        <v>179</v>
      </c>
      <c r="B453" t="s">
        <v>154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</row>
    <row r="454" spans="1:36">
      <c r="A454" t="s">
        <v>179</v>
      </c>
      <c r="B454" t="s">
        <v>155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</row>
    <row r="455" spans="1:36">
      <c r="A455" t="s">
        <v>179</v>
      </c>
      <c r="B455" t="s">
        <v>156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>
      <c r="A456" t="s">
        <v>179</v>
      </c>
      <c r="B456" t="s">
        <v>51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1.08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 t="s">
        <v>179</v>
      </c>
      <c r="B457" t="s">
        <v>157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0.33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 t="s">
        <v>179</v>
      </c>
      <c r="B458" t="s">
        <v>158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1.52</v>
      </c>
      <c r="W458">
        <v>0.01</v>
      </c>
      <c r="X458">
        <v>0.01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>
      <c r="A459" t="s">
        <v>179</v>
      </c>
      <c r="B459" t="s">
        <v>159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>
      <c r="A460" t="s">
        <v>179</v>
      </c>
      <c r="B460" t="s">
        <v>160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</row>
    <row r="461" spans="1:36">
      <c r="A461" t="s">
        <v>179</v>
      </c>
      <c r="B461" t="s">
        <v>161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</row>
    <row r="462" spans="1:36">
      <c r="A462" t="s">
        <v>179</v>
      </c>
      <c r="B462" t="s">
        <v>59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5.14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spans="1:36">
      <c r="A463" t="s">
        <v>179</v>
      </c>
      <c r="B463" t="s">
        <v>162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 t="s">
        <v>179</v>
      </c>
      <c r="B464" t="s">
        <v>163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1.7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spans="1:36">
      <c r="A465" t="s">
        <v>179</v>
      </c>
      <c r="B465" t="s">
        <v>164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5.2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>
      <c r="A466" t="s">
        <v>179</v>
      </c>
      <c r="B466" t="s">
        <v>165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0.34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</row>
    <row r="467" spans="1:36">
      <c r="A467" t="s">
        <v>179</v>
      </c>
      <c r="B467" t="s">
        <v>166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1.39</v>
      </c>
      <c r="W467">
        <v>2.4700000000000002</v>
      </c>
      <c r="X467">
        <v>0.08</v>
      </c>
      <c r="Y467">
        <v>0.01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0.03</v>
      </c>
      <c r="AJ467">
        <v>0</v>
      </c>
    </row>
    <row r="468" spans="1:36">
      <c r="A468" t="s">
        <v>179</v>
      </c>
      <c r="B468" t="s">
        <v>167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0.41</v>
      </c>
      <c r="W468">
        <v>1.01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>
      <c r="A469" t="s">
        <v>179</v>
      </c>
      <c r="B469" t="s">
        <v>168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1.79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1:36">
      <c r="A470" t="s">
        <v>180</v>
      </c>
      <c r="B470" t="s">
        <v>132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4.34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</row>
    <row r="471" spans="1:36">
      <c r="A471" t="s">
        <v>180</v>
      </c>
      <c r="B471" t="s">
        <v>133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2.41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56.43</v>
      </c>
      <c r="AJ471">
        <v>3.54</v>
      </c>
    </row>
    <row r="472" spans="1:36">
      <c r="A472" t="s">
        <v>180</v>
      </c>
      <c r="B472" t="s">
        <v>134</v>
      </c>
      <c r="C472">
        <v>0.28999999999999998</v>
      </c>
      <c r="D472">
        <v>0</v>
      </c>
      <c r="E472">
        <v>0</v>
      </c>
      <c r="F472">
        <v>2.25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1.73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-3.64</v>
      </c>
    </row>
    <row r="473" spans="1:36">
      <c r="A473" t="s">
        <v>180</v>
      </c>
      <c r="B473" t="s">
        <v>135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2.5099999999999998</v>
      </c>
      <c r="V473">
        <v>0</v>
      </c>
      <c r="W473">
        <v>0</v>
      </c>
      <c r="X473">
        <v>1.22</v>
      </c>
      <c r="Y473">
        <v>0.44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-3.54</v>
      </c>
    </row>
    <row r="474" spans="1:36">
      <c r="A474" t="s">
        <v>180</v>
      </c>
      <c r="B474" t="s">
        <v>136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88.5</v>
      </c>
      <c r="T474">
        <v>0</v>
      </c>
      <c r="U474">
        <v>16.48</v>
      </c>
      <c r="V474">
        <v>0</v>
      </c>
      <c r="W474">
        <v>0</v>
      </c>
      <c r="X474">
        <v>0</v>
      </c>
      <c r="Y474">
        <v>7.04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-96.04</v>
      </c>
    </row>
    <row r="475" spans="1:36">
      <c r="A475" t="s">
        <v>180</v>
      </c>
      <c r="B475" t="s">
        <v>137</v>
      </c>
      <c r="C475">
        <v>0.02</v>
      </c>
      <c r="D475">
        <v>0</v>
      </c>
      <c r="E475">
        <v>0</v>
      </c>
      <c r="F475">
        <v>0.98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-0.85</v>
      </c>
    </row>
    <row r="476" spans="1:36">
      <c r="A476" t="s">
        <v>180</v>
      </c>
      <c r="B476" t="s">
        <v>138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</row>
    <row r="477" spans="1:36">
      <c r="A477" t="s">
        <v>180</v>
      </c>
      <c r="B477" t="s">
        <v>139</v>
      </c>
      <c r="C477">
        <v>0</v>
      </c>
      <c r="D477">
        <v>0</v>
      </c>
      <c r="E477">
        <v>5.53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-4.7</v>
      </c>
    </row>
    <row r="478" spans="1:36">
      <c r="A478" t="s">
        <v>180</v>
      </c>
      <c r="B478" t="s">
        <v>140</v>
      </c>
      <c r="C478">
        <v>0.66</v>
      </c>
      <c r="D478">
        <v>0</v>
      </c>
      <c r="E478">
        <v>1.95</v>
      </c>
      <c r="F478">
        <v>223.29</v>
      </c>
      <c r="G478">
        <v>0</v>
      </c>
      <c r="H478">
        <v>0.74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7.19</v>
      </c>
      <c r="V478">
        <v>14.32</v>
      </c>
      <c r="W478">
        <v>11.99</v>
      </c>
      <c r="X478">
        <v>0.71</v>
      </c>
      <c r="Y478">
        <v>17.53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86.17</v>
      </c>
      <c r="AJ478">
        <v>105.22</v>
      </c>
    </row>
    <row r="479" spans="1:36">
      <c r="A479" t="s">
        <v>180</v>
      </c>
      <c r="B479" t="s">
        <v>141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0.01</v>
      </c>
      <c r="V479">
        <v>0</v>
      </c>
      <c r="W479">
        <v>0</v>
      </c>
      <c r="X479">
        <v>0</v>
      </c>
      <c r="Y479">
        <v>11.38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>
      <c r="A480" t="s">
        <v>180</v>
      </c>
      <c r="B480" t="s">
        <v>142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0.12</v>
      </c>
      <c r="V480">
        <v>9.85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</row>
    <row r="481" spans="1:36">
      <c r="A481" t="s">
        <v>180</v>
      </c>
      <c r="B481" t="s">
        <v>143</v>
      </c>
      <c r="C481">
        <v>6.87</v>
      </c>
      <c r="D481">
        <v>0</v>
      </c>
      <c r="E481">
        <v>0</v>
      </c>
      <c r="F481">
        <v>123.89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>
      <c r="A482" t="s">
        <v>180</v>
      </c>
      <c r="B482" t="s">
        <v>144</v>
      </c>
      <c r="C482">
        <v>0.1</v>
      </c>
      <c r="D482">
        <v>0</v>
      </c>
      <c r="E482">
        <v>0</v>
      </c>
      <c r="F482">
        <v>1.91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</row>
    <row r="483" spans="1:36">
      <c r="A483" t="s">
        <v>180</v>
      </c>
      <c r="B483" t="s">
        <v>145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0.44</v>
      </c>
      <c r="V483">
        <v>0</v>
      </c>
      <c r="W483">
        <v>0</v>
      </c>
      <c r="X483">
        <v>0</v>
      </c>
      <c r="Y483">
        <v>0.61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</row>
    <row r="484" spans="1:36">
      <c r="A484" t="s">
        <v>180</v>
      </c>
      <c r="B484" t="s">
        <v>146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>
      <c r="A485" t="s">
        <v>180</v>
      </c>
      <c r="B485" t="s">
        <v>147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 t="s">
        <v>180</v>
      </c>
      <c r="B486" t="s">
        <v>148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</row>
    <row r="487" spans="1:36">
      <c r="A487" t="s">
        <v>180</v>
      </c>
      <c r="B487" t="s">
        <v>149</v>
      </c>
      <c r="C487">
        <v>5.64</v>
      </c>
      <c r="D487">
        <v>0</v>
      </c>
      <c r="E487">
        <v>0</v>
      </c>
      <c r="F487">
        <v>146.1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2.4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>
      <c r="A488" t="s">
        <v>180</v>
      </c>
      <c r="B488" t="s">
        <v>150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</row>
    <row r="489" spans="1:36">
      <c r="A489" t="s">
        <v>180</v>
      </c>
      <c r="B489" t="s">
        <v>151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0.16</v>
      </c>
      <c r="T489">
        <v>0</v>
      </c>
      <c r="U489">
        <v>0</v>
      </c>
      <c r="V489">
        <v>0.06</v>
      </c>
      <c r="W489">
        <v>0.16</v>
      </c>
      <c r="X489">
        <v>0</v>
      </c>
      <c r="Y489">
        <v>0.71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 t="s">
        <v>180</v>
      </c>
      <c r="B490" t="s">
        <v>152</v>
      </c>
      <c r="C490">
        <v>10.71</v>
      </c>
      <c r="D490">
        <v>0</v>
      </c>
      <c r="E490">
        <v>0</v>
      </c>
      <c r="F490">
        <v>412.75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 t="s">
        <v>180</v>
      </c>
      <c r="B491" t="s">
        <v>153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0.09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16.829999999999998</v>
      </c>
      <c r="AH491">
        <v>0</v>
      </c>
      <c r="AI491">
        <v>-234.77</v>
      </c>
      <c r="AJ491">
        <v>0</v>
      </c>
    </row>
    <row r="492" spans="1:36">
      <c r="A492" t="s">
        <v>180</v>
      </c>
      <c r="B492" t="s">
        <v>154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</row>
    <row r="493" spans="1:36">
      <c r="A493" t="s">
        <v>180</v>
      </c>
      <c r="B493" t="s">
        <v>155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</row>
    <row r="494" spans="1:36">
      <c r="A494" t="s">
        <v>180</v>
      </c>
      <c r="B494" t="s">
        <v>156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</row>
    <row r="495" spans="1:36">
      <c r="A495" t="s">
        <v>180</v>
      </c>
      <c r="B495" t="s">
        <v>51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3.33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>
      <c r="A496" t="s">
        <v>180</v>
      </c>
      <c r="B496" t="s">
        <v>157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22.31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 t="s">
        <v>180</v>
      </c>
      <c r="B497" t="s">
        <v>158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13.77</v>
      </c>
      <c r="W497">
        <v>0.11</v>
      </c>
      <c r="X497">
        <v>0.05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>
      <c r="A498" t="s">
        <v>180</v>
      </c>
      <c r="B498" t="s">
        <v>159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</row>
    <row r="499" spans="1:36">
      <c r="A499" t="s">
        <v>180</v>
      </c>
      <c r="B499" t="s">
        <v>160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>
      <c r="A500" t="s">
        <v>180</v>
      </c>
      <c r="B500" t="s">
        <v>161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 t="s">
        <v>180</v>
      </c>
      <c r="B501" t="s">
        <v>59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8.4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5.74</v>
      </c>
      <c r="AJ501">
        <v>0</v>
      </c>
    </row>
    <row r="502" spans="1:36">
      <c r="A502" t="s">
        <v>180</v>
      </c>
      <c r="B502" t="s">
        <v>162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</row>
    <row r="503" spans="1:36">
      <c r="A503" t="s">
        <v>180</v>
      </c>
      <c r="B503" t="s">
        <v>163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15.15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>
      <c r="A504" t="s">
        <v>180</v>
      </c>
      <c r="B504" t="s">
        <v>164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46.4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</row>
    <row r="505" spans="1:36">
      <c r="A505" t="s">
        <v>180</v>
      </c>
      <c r="B505" t="s">
        <v>165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1.87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>
      <c r="A506" t="s">
        <v>180</v>
      </c>
      <c r="B506" t="s">
        <v>166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12.43</v>
      </c>
      <c r="W506">
        <v>13.73</v>
      </c>
      <c r="X506">
        <v>0.74</v>
      </c>
      <c r="Y506">
        <v>0.14000000000000001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0.28999999999999998</v>
      </c>
      <c r="AJ506">
        <v>0</v>
      </c>
    </row>
    <row r="507" spans="1:36">
      <c r="A507" t="s">
        <v>180</v>
      </c>
      <c r="B507" t="s">
        <v>167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3.62</v>
      </c>
      <c r="W507">
        <v>5.62</v>
      </c>
      <c r="X507">
        <v>0</v>
      </c>
      <c r="Y507">
        <v>0.01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 t="s">
        <v>180</v>
      </c>
      <c r="B508" t="s">
        <v>168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9.98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</row>
    <row r="509" spans="1:36">
      <c r="A509" t="s">
        <v>181</v>
      </c>
      <c r="B509" t="s">
        <v>132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16.77</v>
      </c>
      <c r="Y509">
        <v>6.87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>
      <c r="A510" t="s">
        <v>181</v>
      </c>
      <c r="B510" t="s">
        <v>133</v>
      </c>
      <c r="C510">
        <v>6.54</v>
      </c>
      <c r="D510">
        <v>0</v>
      </c>
      <c r="E510">
        <v>0</v>
      </c>
      <c r="F510">
        <v>364.63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7.28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101.62</v>
      </c>
      <c r="AJ510">
        <v>19.3</v>
      </c>
    </row>
    <row r="511" spans="1:36">
      <c r="A511" t="s">
        <v>181</v>
      </c>
      <c r="B511" t="s">
        <v>134</v>
      </c>
      <c r="C511">
        <v>0.97</v>
      </c>
      <c r="D511">
        <v>0</v>
      </c>
      <c r="E511">
        <v>0</v>
      </c>
      <c r="F511">
        <v>7.57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18.510000000000002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-23</v>
      </c>
    </row>
    <row r="512" spans="1:36">
      <c r="A512" t="s">
        <v>181</v>
      </c>
      <c r="B512" t="s">
        <v>135</v>
      </c>
      <c r="C512">
        <v>0</v>
      </c>
      <c r="D512">
        <v>0</v>
      </c>
      <c r="E512">
        <v>7.16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7.56</v>
      </c>
      <c r="V512">
        <v>0</v>
      </c>
      <c r="W512">
        <v>0</v>
      </c>
      <c r="X512">
        <v>0</v>
      </c>
      <c r="Y512">
        <v>7.99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-19.3</v>
      </c>
    </row>
    <row r="513" spans="1:36">
      <c r="A513" t="s">
        <v>181</v>
      </c>
      <c r="B513" t="s">
        <v>136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82</v>
      </c>
      <c r="T513">
        <v>0</v>
      </c>
      <c r="U513">
        <v>15.32</v>
      </c>
      <c r="V513">
        <v>0</v>
      </c>
      <c r="W513">
        <v>0</v>
      </c>
      <c r="X513">
        <v>0</v>
      </c>
      <c r="Y513">
        <v>6.53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-88.99</v>
      </c>
    </row>
    <row r="514" spans="1:36">
      <c r="A514" t="s">
        <v>181</v>
      </c>
      <c r="B514" t="s">
        <v>137</v>
      </c>
      <c r="C514">
        <v>0.02</v>
      </c>
      <c r="D514">
        <v>0</v>
      </c>
      <c r="E514">
        <v>0</v>
      </c>
      <c r="F514">
        <v>0.91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-0.79</v>
      </c>
    </row>
    <row r="515" spans="1:36">
      <c r="A515" t="s">
        <v>181</v>
      </c>
      <c r="B515" t="s">
        <v>138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>
      <c r="A516" t="s">
        <v>181</v>
      </c>
      <c r="B516" t="s">
        <v>139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0.48</v>
      </c>
      <c r="T516">
        <v>1.04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-1.29</v>
      </c>
    </row>
    <row r="517" spans="1:36">
      <c r="A517" t="s">
        <v>181</v>
      </c>
      <c r="B517" t="s">
        <v>140</v>
      </c>
      <c r="C517">
        <v>0.71</v>
      </c>
      <c r="D517">
        <v>0</v>
      </c>
      <c r="E517">
        <v>0</v>
      </c>
      <c r="F517">
        <v>198.98</v>
      </c>
      <c r="G517">
        <v>0</v>
      </c>
      <c r="H517">
        <v>0.61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11.6</v>
      </c>
      <c r="T517">
        <v>0.53</v>
      </c>
      <c r="U517">
        <v>12.23</v>
      </c>
      <c r="V517">
        <v>13.18</v>
      </c>
      <c r="W517">
        <v>11.14</v>
      </c>
      <c r="X517">
        <v>0.15</v>
      </c>
      <c r="Y517">
        <v>26.35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121.78</v>
      </c>
      <c r="AJ517">
        <v>114.07</v>
      </c>
    </row>
    <row r="518" spans="1:36">
      <c r="A518" t="s">
        <v>181</v>
      </c>
      <c r="B518" t="s">
        <v>141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119.89</v>
      </c>
      <c r="V518">
        <v>0</v>
      </c>
      <c r="W518">
        <v>33.99</v>
      </c>
      <c r="X518">
        <v>0</v>
      </c>
      <c r="Y518">
        <v>38.24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 t="s">
        <v>181</v>
      </c>
      <c r="B519" t="s">
        <v>142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0.1</v>
      </c>
      <c r="V519">
        <v>13.29</v>
      </c>
      <c r="W519">
        <v>0</v>
      </c>
      <c r="X519">
        <v>0</v>
      </c>
      <c r="Y519">
        <v>0.1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1:36">
      <c r="A520" t="s">
        <v>181</v>
      </c>
      <c r="B520" t="s">
        <v>143</v>
      </c>
      <c r="C520">
        <v>8.15</v>
      </c>
      <c r="D520">
        <v>0</v>
      </c>
      <c r="E520">
        <v>0</v>
      </c>
      <c r="F520">
        <v>147.07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>
      <c r="A521" t="s">
        <v>181</v>
      </c>
      <c r="B521" t="s">
        <v>144</v>
      </c>
      <c r="C521">
        <v>0.12</v>
      </c>
      <c r="D521">
        <v>0</v>
      </c>
      <c r="E521">
        <v>0</v>
      </c>
      <c r="F521">
        <v>2.27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>
      <c r="A522" t="s">
        <v>181</v>
      </c>
      <c r="B522" t="s">
        <v>145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1.33</v>
      </c>
      <c r="V522">
        <v>0</v>
      </c>
      <c r="W522">
        <v>0</v>
      </c>
      <c r="X522">
        <v>0</v>
      </c>
      <c r="Y522">
        <v>20.55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 t="s">
        <v>181</v>
      </c>
      <c r="B523" t="s">
        <v>146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>
      <c r="A524" t="s">
        <v>181</v>
      </c>
      <c r="B524" t="s">
        <v>147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</row>
    <row r="525" spans="1:36">
      <c r="A525" t="s">
        <v>181</v>
      </c>
      <c r="B525" t="s">
        <v>148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</row>
    <row r="526" spans="1:36">
      <c r="A526" t="s">
        <v>181</v>
      </c>
      <c r="B526" t="s">
        <v>149</v>
      </c>
      <c r="C526">
        <v>6.7</v>
      </c>
      <c r="D526">
        <v>0</v>
      </c>
      <c r="E526">
        <v>0</v>
      </c>
      <c r="F526">
        <v>173.45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80.77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>
      <c r="A527" t="s">
        <v>181</v>
      </c>
      <c r="B527" t="s">
        <v>150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>
      <c r="A528" t="s">
        <v>181</v>
      </c>
      <c r="B528" t="s">
        <v>151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3.12</v>
      </c>
      <c r="T528">
        <v>0</v>
      </c>
      <c r="U528">
        <v>0</v>
      </c>
      <c r="V528">
        <v>0.18</v>
      </c>
      <c r="W528">
        <v>0.48</v>
      </c>
      <c r="X528">
        <v>0</v>
      </c>
      <c r="Y528">
        <v>23.76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 t="s">
        <v>181</v>
      </c>
      <c r="B529" t="s">
        <v>152</v>
      </c>
      <c r="C529">
        <v>12.71</v>
      </c>
      <c r="D529">
        <v>0</v>
      </c>
      <c r="E529">
        <v>0</v>
      </c>
      <c r="F529">
        <v>490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 t="s">
        <v>181</v>
      </c>
      <c r="B530" t="s">
        <v>153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4.7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49.39</v>
      </c>
      <c r="AH530">
        <v>23.35</v>
      </c>
      <c r="AI530">
        <v>-382.4</v>
      </c>
      <c r="AJ530">
        <v>0</v>
      </c>
    </row>
    <row r="531" spans="1:36">
      <c r="A531" t="s">
        <v>181</v>
      </c>
      <c r="B531" t="s">
        <v>154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</row>
    <row r="532" spans="1:36">
      <c r="A532" t="s">
        <v>181</v>
      </c>
      <c r="B532" t="s">
        <v>155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 t="s">
        <v>181</v>
      </c>
      <c r="B533" t="s">
        <v>156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 t="s">
        <v>181</v>
      </c>
      <c r="B534" t="s">
        <v>51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7.69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>
      <c r="A535" t="s">
        <v>181</v>
      </c>
      <c r="B535" t="s">
        <v>157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20.5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>
      <c r="A536" t="s">
        <v>181</v>
      </c>
      <c r="B536" t="s">
        <v>158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13.04</v>
      </c>
      <c r="W536">
        <v>0.1</v>
      </c>
      <c r="X536">
        <v>0.05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 t="s">
        <v>181</v>
      </c>
      <c r="B537" t="s">
        <v>159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>
      <c r="A538" t="s">
        <v>181</v>
      </c>
      <c r="B538" t="s">
        <v>160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</row>
    <row r="539" spans="1:36">
      <c r="A539" t="s">
        <v>181</v>
      </c>
      <c r="B539" t="s">
        <v>161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>
      <c r="A540" t="s">
        <v>181</v>
      </c>
      <c r="B540" t="s">
        <v>59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25.33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8.0299999999999994</v>
      </c>
      <c r="AJ540">
        <v>0</v>
      </c>
    </row>
    <row r="541" spans="1:36">
      <c r="A541" t="s">
        <v>181</v>
      </c>
      <c r="B541" t="s">
        <v>162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</row>
    <row r="542" spans="1:36">
      <c r="A542" t="s">
        <v>181</v>
      </c>
      <c r="B542" t="s">
        <v>163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18.72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>
      <c r="A543" t="s">
        <v>181</v>
      </c>
      <c r="B543" t="s">
        <v>164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57.33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>
      <c r="A544" t="s">
        <v>181</v>
      </c>
      <c r="B544" t="s">
        <v>165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3.48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 t="s">
        <v>181</v>
      </c>
      <c r="B545" t="s">
        <v>166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15.36</v>
      </c>
      <c r="W545">
        <v>25.53</v>
      </c>
      <c r="X545">
        <v>0.7</v>
      </c>
      <c r="Y545">
        <v>0.13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>
      <c r="A546" t="s">
        <v>181</v>
      </c>
      <c r="B546" t="s">
        <v>167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4.4800000000000004</v>
      </c>
      <c r="W546">
        <v>10.44</v>
      </c>
      <c r="X546">
        <v>0</v>
      </c>
      <c r="Y546">
        <v>0.01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</row>
    <row r="547" spans="1:36">
      <c r="A547" t="s">
        <v>181</v>
      </c>
      <c r="B547" t="s">
        <v>168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18.559999999999999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</row>
    <row r="548" spans="1:36">
      <c r="A548" t="s">
        <v>182</v>
      </c>
      <c r="B548" t="s">
        <v>132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8.7899999999999991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</row>
    <row r="549" spans="1:36">
      <c r="A549" t="s">
        <v>182</v>
      </c>
      <c r="B549" t="s">
        <v>133</v>
      </c>
      <c r="C549">
        <v>0.84</v>
      </c>
      <c r="D549">
        <v>0</v>
      </c>
      <c r="E549">
        <v>0</v>
      </c>
      <c r="F549">
        <v>46.83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4.09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6.02</v>
      </c>
      <c r="AJ549">
        <v>7.18</v>
      </c>
    </row>
    <row r="550" spans="1:36">
      <c r="A550" t="s">
        <v>182</v>
      </c>
      <c r="B550" t="s">
        <v>134</v>
      </c>
      <c r="C550">
        <v>0.14000000000000001</v>
      </c>
      <c r="D550">
        <v>0</v>
      </c>
      <c r="E550">
        <v>0</v>
      </c>
      <c r="F550">
        <v>1.1299999999999999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1.39</v>
      </c>
      <c r="V550">
        <v>0</v>
      </c>
      <c r="W550">
        <v>0</v>
      </c>
      <c r="X550">
        <v>0</v>
      </c>
      <c r="Y550">
        <v>0.12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-2.37</v>
      </c>
    </row>
    <row r="551" spans="1:36">
      <c r="A551" t="s">
        <v>182</v>
      </c>
      <c r="B551" t="s">
        <v>135</v>
      </c>
      <c r="C551">
        <v>0</v>
      </c>
      <c r="D551">
        <v>0</v>
      </c>
      <c r="E551">
        <v>0.92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4.25</v>
      </c>
      <c r="V551">
        <v>0</v>
      </c>
      <c r="W551">
        <v>0</v>
      </c>
      <c r="X551">
        <v>0.64</v>
      </c>
      <c r="Y551">
        <v>2.64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-7.18</v>
      </c>
    </row>
    <row r="552" spans="1:36">
      <c r="A552" t="s">
        <v>182</v>
      </c>
      <c r="B552" t="s">
        <v>136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30.25</v>
      </c>
      <c r="T552">
        <v>0</v>
      </c>
      <c r="U552">
        <v>5.63</v>
      </c>
      <c r="V552">
        <v>0</v>
      </c>
      <c r="W552">
        <v>0</v>
      </c>
      <c r="X552">
        <v>0</v>
      </c>
      <c r="Y552">
        <v>2.41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-32.83</v>
      </c>
    </row>
    <row r="553" spans="1:36">
      <c r="A553" t="s">
        <v>182</v>
      </c>
      <c r="B553" t="s">
        <v>137</v>
      </c>
      <c r="C553">
        <v>0.01</v>
      </c>
      <c r="D553">
        <v>0</v>
      </c>
      <c r="E553">
        <v>0</v>
      </c>
      <c r="F553">
        <v>0.33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-0.28999999999999998</v>
      </c>
    </row>
    <row r="554" spans="1:36">
      <c r="A554" t="s">
        <v>182</v>
      </c>
      <c r="B554" t="s">
        <v>138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</row>
    <row r="555" spans="1:36">
      <c r="A555" t="s">
        <v>182</v>
      </c>
      <c r="B555" t="s">
        <v>139</v>
      </c>
      <c r="C555">
        <v>0</v>
      </c>
      <c r="D555">
        <v>0</v>
      </c>
      <c r="E555">
        <v>1.49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0.75</v>
      </c>
      <c r="T555">
        <v>0.75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-2.54</v>
      </c>
    </row>
    <row r="556" spans="1:36">
      <c r="A556" t="s">
        <v>182</v>
      </c>
      <c r="B556" t="s">
        <v>140</v>
      </c>
      <c r="C556">
        <v>0.03</v>
      </c>
      <c r="D556">
        <v>0</v>
      </c>
      <c r="E556">
        <v>1.07</v>
      </c>
      <c r="F556">
        <v>4.95</v>
      </c>
      <c r="G556">
        <v>0</v>
      </c>
      <c r="H556">
        <v>0.01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0.04</v>
      </c>
      <c r="T556">
        <v>0</v>
      </c>
      <c r="U556">
        <v>0.01</v>
      </c>
      <c r="V556">
        <v>4.3499999999999996</v>
      </c>
      <c r="W556">
        <v>4.0999999999999996</v>
      </c>
      <c r="X556">
        <v>0.05</v>
      </c>
      <c r="Y556">
        <v>7.6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31.85</v>
      </c>
      <c r="AJ556">
        <v>38.03</v>
      </c>
    </row>
    <row r="557" spans="1:36">
      <c r="A557" t="s">
        <v>182</v>
      </c>
      <c r="B557" t="s">
        <v>141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6.11</v>
      </c>
      <c r="V557">
        <v>0</v>
      </c>
      <c r="W557">
        <v>1.73</v>
      </c>
      <c r="X557">
        <v>0</v>
      </c>
      <c r="Y557">
        <v>5.69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>
      <c r="A558" t="s">
        <v>182</v>
      </c>
      <c r="B558" t="s">
        <v>142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2.76</v>
      </c>
      <c r="W558">
        <v>0</v>
      </c>
      <c r="X558">
        <v>0</v>
      </c>
      <c r="Y558">
        <v>0.08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</row>
    <row r="559" spans="1:36">
      <c r="A559" t="s">
        <v>182</v>
      </c>
      <c r="B559" t="s">
        <v>143</v>
      </c>
      <c r="C559">
        <v>0.06</v>
      </c>
      <c r="D559">
        <v>0</v>
      </c>
      <c r="E559">
        <v>0</v>
      </c>
      <c r="F559">
        <v>1.03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1:36">
      <c r="A560" t="s">
        <v>182</v>
      </c>
      <c r="B560" t="s">
        <v>144</v>
      </c>
      <c r="C560">
        <v>0</v>
      </c>
      <c r="D560">
        <v>0</v>
      </c>
      <c r="E560">
        <v>0</v>
      </c>
      <c r="F560">
        <v>0.02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</row>
    <row r="561" spans="1:36">
      <c r="A561" t="s">
        <v>182</v>
      </c>
      <c r="B561" t="s">
        <v>145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0.75</v>
      </c>
      <c r="V561">
        <v>0</v>
      </c>
      <c r="W561">
        <v>0</v>
      </c>
      <c r="X561">
        <v>0</v>
      </c>
      <c r="Y561">
        <v>3.65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 t="s">
        <v>182</v>
      </c>
      <c r="B562" t="s">
        <v>146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 t="s">
        <v>182</v>
      </c>
      <c r="B563" t="s">
        <v>147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</row>
    <row r="564" spans="1:36">
      <c r="A564" t="s">
        <v>182</v>
      </c>
      <c r="B564" t="s">
        <v>148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</row>
    <row r="565" spans="1:36">
      <c r="A565" t="s">
        <v>182</v>
      </c>
      <c r="B565" t="s">
        <v>149</v>
      </c>
      <c r="C565">
        <v>0.05</v>
      </c>
      <c r="D565">
        <v>0</v>
      </c>
      <c r="E565">
        <v>0</v>
      </c>
      <c r="F565">
        <v>1.21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14.34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</row>
    <row r="566" spans="1:36">
      <c r="A566" t="s">
        <v>182</v>
      </c>
      <c r="B566" t="s">
        <v>150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</row>
    <row r="567" spans="1:36">
      <c r="A567" t="s">
        <v>182</v>
      </c>
      <c r="B567" t="s">
        <v>151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0.1</v>
      </c>
      <c r="W567">
        <v>0.27</v>
      </c>
      <c r="X567">
        <v>0</v>
      </c>
      <c r="Y567">
        <v>4.22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>
      <c r="A568" t="s">
        <v>182</v>
      </c>
      <c r="B568" t="s">
        <v>152</v>
      </c>
      <c r="C568">
        <v>0.09</v>
      </c>
      <c r="D568">
        <v>0</v>
      </c>
      <c r="E568">
        <v>0</v>
      </c>
      <c r="F568">
        <v>3.43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>
      <c r="A569" t="s">
        <v>182</v>
      </c>
      <c r="B569" t="s">
        <v>153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0.02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5.76</v>
      </c>
      <c r="AH569">
        <v>0</v>
      </c>
      <c r="AI569">
        <v>-19.809999999999999</v>
      </c>
      <c r="AJ569">
        <v>0</v>
      </c>
    </row>
    <row r="570" spans="1:36">
      <c r="A570" t="s">
        <v>182</v>
      </c>
      <c r="B570" t="s">
        <v>154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</row>
    <row r="571" spans="1:36">
      <c r="A571" t="s">
        <v>182</v>
      </c>
      <c r="B571" t="s">
        <v>155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</row>
    <row r="572" spans="1:36">
      <c r="A572" t="s">
        <v>182</v>
      </c>
      <c r="B572" t="s">
        <v>156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 t="s">
        <v>182</v>
      </c>
      <c r="B573" t="s">
        <v>51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0.42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spans="1:36">
      <c r="A574" t="s">
        <v>182</v>
      </c>
      <c r="B574" t="s">
        <v>157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10.029999999999999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>
      <c r="A575" t="s">
        <v>182</v>
      </c>
      <c r="B575" t="s">
        <v>158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4.6900000000000004</v>
      </c>
      <c r="W575">
        <v>0.04</v>
      </c>
      <c r="X575">
        <v>0.02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</row>
    <row r="576" spans="1:36">
      <c r="A576" t="s">
        <v>182</v>
      </c>
      <c r="B576" t="s">
        <v>159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 t="s">
        <v>182</v>
      </c>
      <c r="B577" t="s">
        <v>160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 t="s">
        <v>182</v>
      </c>
      <c r="B578" t="s">
        <v>161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>
      <c r="A579" t="s">
        <v>182</v>
      </c>
      <c r="B579" t="s">
        <v>59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7.25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</row>
    <row r="580" spans="1:36">
      <c r="A580" t="s">
        <v>182</v>
      </c>
      <c r="B580" t="s">
        <v>162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 t="s">
        <v>182</v>
      </c>
      <c r="B581" t="s">
        <v>163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5.76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spans="1:36">
      <c r="A582" t="s">
        <v>182</v>
      </c>
      <c r="B582" t="s">
        <v>164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17.63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</row>
    <row r="583" spans="1:36">
      <c r="A583" t="s">
        <v>182</v>
      </c>
      <c r="B583" t="s">
        <v>165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0.47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1:36">
      <c r="A584" t="s">
        <v>182</v>
      </c>
      <c r="B584" t="s">
        <v>166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4.72</v>
      </c>
      <c r="W584">
        <v>3.46</v>
      </c>
      <c r="X584">
        <v>0.25</v>
      </c>
      <c r="Y584">
        <v>0.02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0.1</v>
      </c>
      <c r="AJ584">
        <v>0</v>
      </c>
    </row>
    <row r="585" spans="1:36">
      <c r="A585" t="s">
        <v>182</v>
      </c>
      <c r="B585" t="s">
        <v>167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1.38</v>
      </c>
      <c r="W585">
        <v>1.42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>
      <c r="A586" t="s">
        <v>182</v>
      </c>
      <c r="B586" t="s">
        <v>168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2.52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</row>
    <row r="587" spans="1:36">
      <c r="A587" t="s">
        <v>183</v>
      </c>
      <c r="B587" t="s">
        <v>132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7.36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 t="s">
        <v>183</v>
      </c>
      <c r="B588" t="s">
        <v>133</v>
      </c>
      <c r="C588">
        <v>4.67</v>
      </c>
      <c r="D588">
        <v>0</v>
      </c>
      <c r="E588">
        <v>0</v>
      </c>
      <c r="F588">
        <v>260.35000000000002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50.76</v>
      </c>
      <c r="AJ588">
        <v>6.01</v>
      </c>
    </row>
    <row r="589" spans="1:36">
      <c r="A589" t="s">
        <v>183</v>
      </c>
      <c r="B589" t="s">
        <v>134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0.02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-0.02</v>
      </c>
    </row>
    <row r="590" spans="1:36">
      <c r="A590" t="s">
        <v>183</v>
      </c>
      <c r="B590" t="s">
        <v>135</v>
      </c>
      <c r="C590">
        <v>0</v>
      </c>
      <c r="D590">
        <v>0</v>
      </c>
      <c r="E590">
        <v>5.1100000000000003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1.96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-6.01</v>
      </c>
    </row>
    <row r="591" spans="1:36">
      <c r="A591" t="s">
        <v>183</v>
      </c>
      <c r="B591" t="s">
        <v>136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16.28</v>
      </c>
      <c r="T591">
        <v>0</v>
      </c>
      <c r="U591">
        <v>3.01</v>
      </c>
      <c r="V591">
        <v>0</v>
      </c>
      <c r="W591">
        <v>0</v>
      </c>
      <c r="X591">
        <v>0</v>
      </c>
      <c r="Y591">
        <v>1.3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-17.66</v>
      </c>
    </row>
    <row r="592" spans="1:36">
      <c r="A592" t="s">
        <v>183</v>
      </c>
      <c r="B592" t="s">
        <v>137</v>
      </c>
      <c r="C592">
        <v>0</v>
      </c>
      <c r="D592">
        <v>0</v>
      </c>
      <c r="E592">
        <v>0</v>
      </c>
      <c r="F592">
        <v>0.18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-0.16</v>
      </c>
    </row>
    <row r="593" spans="1:36">
      <c r="A593" t="s">
        <v>183</v>
      </c>
      <c r="B593" t="s">
        <v>138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>
      <c r="A594" t="s">
        <v>183</v>
      </c>
      <c r="B594" t="s">
        <v>139</v>
      </c>
      <c r="C594">
        <v>0</v>
      </c>
      <c r="D594">
        <v>0</v>
      </c>
      <c r="E594">
        <v>1.01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0.01</v>
      </c>
      <c r="T594">
        <v>0.01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-0.88</v>
      </c>
    </row>
    <row r="595" spans="1:36">
      <c r="A595" t="s">
        <v>183</v>
      </c>
      <c r="B595" t="s">
        <v>140</v>
      </c>
      <c r="C595">
        <v>0.05</v>
      </c>
      <c r="D595">
        <v>0</v>
      </c>
      <c r="E595">
        <v>0.36</v>
      </c>
      <c r="F595">
        <v>4.83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5.3</v>
      </c>
      <c r="T595">
        <v>0.26</v>
      </c>
      <c r="U595">
        <v>0.01</v>
      </c>
      <c r="V595">
        <v>2.2799999999999998</v>
      </c>
      <c r="W595">
        <v>2.19</v>
      </c>
      <c r="X595">
        <v>0.03</v>
      </c>
      <c r="Y595">
        <v>2.2200000000000002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67.61</v>
      </c>
      <c r="AJ595">
        <v>18.71</v>
      </c>
    </row>
    <row r="596" spans="1:36">
      <c r="A596" t="s">
        <v>183</v>
      </c>
      <c r="B596" t="s">
        <v>141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</row>
    <row r="597" spans="1:36">
      <c r="A597" t="s">
        <v>183</v>
      </c>
      <c r="B597" t="s">
        <v>142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0.02</v>
      </c>
      <c r="V597">
        <v>5.83</v>
      </c>
      <c r="W597">
        <v>0</v>
      </c>
      <c r="X597">
        <v>0</v>
      </c>
      <c r="Y597">
        <v>0.05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</row>
    <row r="598" spans="1:36">
      <c r="A598" t="s">
        <v>183</v>
      </c>
      <c r="B598" t="s">
        <v>143</v>
      </c>
      <c r="C598">
        <v>4.33</v>
      </c>
      <c r="D598">
        <v>0</v>
      </c>
      <c r="E598">
        <v>0</v>
      </c>
      <c r="F598">
        <v>78.22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 t="s">
        <v>183</v>
      </c>
      <c r="B599" t="s">
        <v>144</v>
      </c>
      <c r="C599">
        <v>0.06</v>
      </c>
      <c r="D599">
        <v>0</v>
      </c>
      <c r="E599">
        <v>0</v>
      </c>
      <c r="F599">
        <v>1.21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>
      <c r="A600" t="s">
        <v>183</v>
      </c>
      <c r="B600" t="s">
        <v>145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12.9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>
      <c r="A601" t="s">
        <v>183</v>
      </c>
      <c r="B601" t="s">
        <v>146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>
      <c r="A602" t="s">
        <v>183</v>
      </c>
      <c r="B602" t="s">
        <v>147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</row>
    <row r="603" spans="1:36">
      <c r="A603" t="s">
        <v>183</v>
      </c>
      <c r="B603" t="s">
        <v>148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</row>
    <row r="604" spans="1:36">
      <c r="A604" t="s">
        <v>183</v>
      </c>
      <c r="B604" t="s">
        <v>149</v>
      </c>
      <c r="C604">
        <v>3.56</v>
      </c>
      <c r="D604">
        <v>0</v>
      </c>
      <c r="E604">
        <v>0</v>
      </c>
      <c r="F604">
        <v>92.24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50.71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>
      <c r="A605" t="s">
        <v>183</v>
      </c>
      <c r="B605" t="s">
        <v>150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</row>
    <row r="606" spans="1:36">
      <c r="A606" t="s">
        <v>183</v>
      </c>
      <c r="B606" t="s">
        <v>151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7.0000000000000007E-2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14.92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</row>
    <row r="607" spans="1:36">
      <c r="A607" t="s">
        <v>183</v>
      </c>
      <c r="B607" t="s">
        <v>152</v>
      </c>
      <c r="C607">
        <v>6.76</v>
      </c>
      <c r="D607">
        <v>0</v>
      </c>
      <c r="E607">
        <v>0</v>
      </c>
      <c r="F607">
        <v>260.58999999999997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</row>
    <row r="608" spans="1:36">
      <c r="A608" t="s">
        <v>183</v>
      </c>
      <c r="B608" t="s">
        <v>153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0.04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8.6300000000000008</v>
      </c>
      <c r="AH608">
        <v>10.34</v>
      </c>
      <c r="AI608">
        <v>-186.28</v>
      </c>
      <c r="AJ608">
        <v>0</v>
      </c>
    </row>
    <row r="609" spans="1:36">
      <c r="A609" t="s">
        <v>183</v>
      </c>
      <c r="B609" t="s">
        <v>154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>
      <c r="A610" t="s">
        <v>183</v>
      </c>
      <c r="B610" t="s">
        <v>155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>
      <c r="A611" t="s">
        <v>183</v>
      </c>
      <c r="B611" t="s">
        <v>156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>
      <c r="A612" t="s">
        <v>183</v>
      </c>
      <c r="B612" t="s">
        <v>51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0.53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</row>
    <row r="613" spans="1:36">
      <c r="A613" t="s">
        <v>183</v>
      </c>
      <c r="B613" t="s">
        <v>157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23.93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 t="s">
        <v>183</v>
      </c>
      <c r="B614" t="s">
        <v>158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2.79</v>
      </c>
      <c r="W614">
        <v>0.02</v>
      </c>
      <c r="X614">
        <v>0.01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</row>
    <row r="615" spans="1:36">
      <c r="A615" t="s">
        <v>183</v>
      </c>
      <c r="B615" t="s">
        <v>159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</row>
    <row r="616" spans="1:36">
      <c r="A616" t="s">
        <v>183</v>
      </c>
      <c r="B616" t="s">
        <v>160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spans="1:36">
      <c r="A617" t="s">
        <v>183</v>
      </c>
      <c r="B617" t="s">
        <v>161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>
      <c r="A618" t="s">
        <v>183</v>
      </c>
      <c r="B618" t="s">
        <v>59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5.14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0.86</v>
      </c>
      <c r="AJ618">
        <v>0</v>
      </c>
    </row>
    <row r="619" spans="1:36">
      <c r="A619" t="s">
        <v>183</v>
      </c>
      <c r="B619" t="s">
        <v>162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</row>
    <row r="620" spans="1:36">
      <c r="A620" t="s">
        <v>183</v>
      </c>
      <c r="B620" t="s">
        <v>163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13.05</v>
      </c>
      <c r="W620">
        <v>0</v>
      </c>
      <c r="X620">
        <v>0</v>
      </c>
      <c r="Y620">
        <v>0.01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</row>
    <row r="621" spans="1:36">
      <c r="A621" t="s">
        <v>183</v>
      </c>
      <c r="B621" t="s">
        <v>164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39.96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</row>
    <row r="622" spans="1:36">
      <c r="A622" t="s">
        <v>183</v>
      </c>
      <c r="B622" t="s">
        <v>165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3.32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>
      <c r="A623" t="s">
        <v>183</v>
      </c>
      <c r="B623" t="s">
        <v>166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10.7</v>
      </c>
      <c r="W623">
        <v>24.32</v>
      </c>
      <c r="X623">
        <v>0.15</v>
      </c>
      <c r="Y623">
        <v>16.809999999999999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0.05</v>
      </c>
      <c r="AJ623">
        <v>0</v>
      </c>
    </row>
    <row r="624" spans="1:36">
      <c r="A624" t="s">
        <v>183</v>
      </c>
      <c r="B624" t="s">
        <v>167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3.12</v>
      </c>
      <c r="W624">
        <v>9.9499999999999993</v>
      </c>
      <c r="X624">
        <v>0</v>
      </c>
      <c r="Y624">
        <v>1.51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 t="s">
        <v>183</v>
      </c>
      <c r="B625" t="s">
        <v>168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17.690000000000001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>
      <c r="A626" t="s">
        <v>184</v>
      </c>
      <c r="B626" t="s">
        <v>132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0.11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>
      <c r="A627" t="s">
        <v>184</v>
      </c>
      <c r="B627" t="s">
        <v>133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1.44</v>
      </c>
      <c r="AJ627">
        <v>0.09</v>
      </c>
    </row>
    <row r="628" spans="1:36">
      <c r="A628" t="s">
        <v>184</v>
      </c>
      <c r="B628" t="s">
        <v>134</v>
      </c>
      <c r="C628">
        <v>0.54</v>
      </c>
      <c r="D628">
        <v>0</v>
      </c>
      <c r="E628">
        <v>0</v>
      </c>
      <c r="F628">
        <v>4.1900000000000004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1.7</v>
      </c>
      <c r="V628">
        <v>0</v>
      </c>
      <c r="W628">
        <v>0</v>
      </c>
      <c r="X628">
        <v>0</v>
      </c>
      <c r="Y628">
        <v>2.31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-7.42</v>
      </c>
    </row>
    <row r="629" spans="1:36">
      <c r="A629" t="s">
        <v>184</v>
      </c>
      <c r="B629" t="s">
        <v>135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0.1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-0.09</v>
      </c>
    </row>
    <row r="630" spans="1:36">
      <c r="A630" t="s">
        <v>184</v>
      </c>
      <c r="B630" t="s">
        <v>136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1.41</v>
      </c>
      <c r="T630">
        <v>0</v>
      </c>
      <c r="U630">
        <v>0.26</v>
      </c>
      <c r="V630">
        <v>0</v>
      </c>
      <c r="W630">
        <v>0</v>
      </c>
      <c r="X630">
        <v>0</v>
      </c>
      <c r="Y630">
        <v>0.11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-1.53</v>
      </c>
    </row>
    <row r="631" spans="1:36">
      <c r="A631" t="s">
        <v>184</v>
      </c>
      <c r="B631" t="s">
        <v>137</v>
      </c>
      <c r="C631">
        <v>0</v>
      </c>
      <c r="D631">
        <v>0</v>
      </c>
      <c r="E631">
        <v>0</v>
      </c>
      <c r="F631">
        <v>0.02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-0.01</v>
      </c>
    </row>
    <row r="632" spans="1:36">
      <c r="A632" t="s">
        <v>184</v>
      </c>
      <c r="B632" t="s">
        <v>138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</row>
    <row r="633" spans="1:36">
      <c r="A633" t="s">
        <v>184</v>
      </c>
      <c r="B633" t="s">
        <v>139</v>
      </c>
      <c r="C633">
        <v>0</v>
      </c>
      <c r="D633">
        <v>0</v>
      </c>
      <c r="E633">
        <v>0.09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-0.08</v>
      </c>
    </row>
    <row r="634" spans="1:36">
      <c r="A634" t="s">
        <v>184</v>
      </c>
      <c r="B634" t="s">
        <v>140</v>
      </c>
      <c r="C634">
        <v>0</v>
      </c>
      <c r="D634">
        <v>0</v>
      </c>
      <c r="E634">
        <v>0.03</v>
      </c>
      <c r="F634">
        <v>13.45</v>
      </c>
      <c r="G634">
        <v>0</v>
      </c>
      <c r="H634">
        <v>0.06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0.02</v>
      </c>
      <c r="T634">
        <v>0</v>
      </c>
      <c r="U634">
        <v>0</v>
      </c>
      <c r="V634">
        <v>0.28999999999999998</v>
      </c>
      <c r="W634">
        <v>0.19</v>
      </c>
      <c r="X634">
        <v>0</v>
      </c>
      <c r="Y634">
        <v>11.21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1.6</v>
      </c>
      <c r="AJ634">
        <v>9.0500000000000007</v>
      </c>
    </row>
    <row r="635" spans="1:36">
      <c r="A635" t="s">
        <v>184</v>
      </c>
      <c r="B635" t="s">
        <v>141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7.47</v>
      </c>
      <c r="V635">
        <v>0</v>
      </c>
      <c r="W635">
        <v>2.12</v>
      </c>
      <c r="X635">
        <v>0</v>
      </c>
      <c r="Y635">
        <v>21.14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 t="s">
        <v>184</v>
      </c>
      <c r="B636" t="s">
        <v>142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1.0900000000000001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</row>
    <row r="637" spans="1:36">
      <c r="A637" t="s">
        <v>184</v>
      </c>
      <c r="B637" t="s">
        <v>143</v>
      </c>
      <c r="C637">
        <v>0.31</v>
      </c>
      <c r="D637">
        <v>0</v>
      </c>
      <c r="E637">
        <v>0</v>
      </c>
      <c r="F637">
        <v>5.6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</row>
    <row r="638" spans="1:36">
      <c r="A638" t="s">
        <v>184</v>
      </c>
      <c r="B638" t="s">
        <v>144</v>
      </c>
      <c r="C638">
        <v>0</v>
      </c>
      <c r="D638">
        <v>0</v>
      </c>
      <c r="E638">
        <v>0</v>
      </c>
      <c r="F638">
        <v>0.09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 t="s">
        <v>184</v>
      </c>
      <c r="B639" t="s">
        <v>145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0.28999999999999998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>
      <c r="A640" t="s">
        <v>184</v>
      </c>
      <c r="B640" t="s">
        <v>146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spans="1:36">
      <c r="A641" t="s">
        <v>184</v>
      </c>
      <c r="B641" t="s">
        <v>147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>
      <c r="A642" t="s">
        <v>184</v>
      </c>
      <c r="B642" t="s">
        <v>148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</row>
    <row r="643" spans="1:36">
      <c r="A643" t="s">
        <v>184</v>
      </c>
      <c r="B643" t="s">
        <v>149</v>
      </c>
      <c r="C643">
        <v>0.26</v>
      </c>
      <c r="D643">
        <v>0</v>
      </c>
      <c r="E643">
        <v>0</v>
      </c>
      <c r="F643">
        <v>6.6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1.1499999999999999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 t="s">
        <v>184</v>
      </c>
      <c r="B644" t="s">
        <v>150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>
      <c r="A645" t="s">
        <v>184</v>
      </c>
      <c r="B645" t="s">
        <v>151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0.34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</row>
    <row r="646" spans="1:36">
      <c r="A646" t="s">
        <v>184</v>
      </c>
      <c r="B646" t="s">
        <v>152</v>
      </c>
      <c r="C646">
        <v>0.48</v>
      </c>
      <c r="D646">
        <v>0</v>
      </c>
      <c r="E646">
        <v>0</v>
      </c>
      <c r="F646">
        <v>18.649999999999999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>
      <c r="A647" t="s">
        <v>184</v>
      </c>
      <c r="B647" t="s">
        <v>153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0.02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2.1800000000000002</v>
      </c>
      <c r="AI647">
        <v>-11.59</v>
      </c>
      <c r="AJ647">
        <v>0</v>
      </c>
    </row>
    <row r="648" spans="1:36">
      <c r="A648" t="s">
        <v>184</v>
      </c>
      <c r="B648" t="s">
        <v>154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</row>
    <row r="649" spans="1:36">
      <c r="A649" t="s">
        <v>184</v>
      </c>
      <c r="B649" t="s">
        <v>155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>
      <c r="A650" t="s">
        <v>184</v>
      </c>
      <c r="B650" t="s">
        <v>156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 t="s">
        <v>184</v>
      </c>
      <c r="B651" t="s">
        <v>51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0.02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</row>
    <row r="652" spans="1:36">
      <c r="A652" t="s">
        <v>184</v>
      </c>
      <c r="B652" t="s">
        <v>157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5.75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>
      <c r="A653" t="s">
        <v>184</v>
      </c>
      <c r="B653" t="s">
        <v>158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0.27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1:36">
      <c r="A654" t="s">
        <v>184</v>
      </c>
      <c r="B654" t="s">
        <v>159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</row>
    <row r="655" spans="1:36">
      <c r="A655" t="s">
        <v>184</v>
      </c>
      <c r="B655" t="s">
        <v>160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>
      <c r="A656" t="s">
        <v>184</v>
      </c>
      <c r="B656" t="s">
        <v>161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</row>
    <row r="657" spans="1:36">
      <c r="A657" t="s">
        <v>184</v>
      </c>
      <c r="B657" t="s">
        <v>59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5.13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 t="s">
        <v>184</v>
      </c>
      <c r="B658" t="s">
        <v>162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36">
      <c r="A659" t="s">
        <v>184</v>
      </c>
      <c r="B659" t="s">
        <v>163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2.21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</row>
    <row r="660" spans="1:36">
      <c r="A660" t="s">
        <v>184</v>
      </c>
      <c r="B660" t="s">
        <v>164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6.76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</row>
    <row r="661" spans="1:36">
      <c r="A661" t="s">
        <v>184</v>
      </c>
      <c r="B661" t="s">
        <v>165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0.31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 spans="1:36">
      <c r="A662" t="s">
        <v>184</v>
      </c>
      <c r="B662" t="s">
        <v>166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1.81</v>
      </c>
      <c r="W662">
        <v>2.27</v>
      </c>
      <c r="X662">
        <v>0.01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</row>
    <row r="663" spans="1:36">
      <c r="A663" t="s">
        <v>184</v>
      </c>
      <c r="B663" t="s">
        <v>167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0.53</v>
      </c>
      <c r="W663">
        <v>0.93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</row>
    <row r="664" spans="1:36">
      <c r="A664" t="s">
        <v>184</v>
      </c>
      <c r="B664" t="s">
        <v>168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1.65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</row>
    <row r="665" spans="1:36">
      <c r="A665" t="s">
        <v>185</v>
      </c>
      <c r="B665" t="s">
        <v>132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7.97</v>
      </c>
      <c r="Y665">
        <v>9.1199999999999992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>
      <c r="A666" t="s">
        <v>185</v>
      </c>
      <c r="B666" t="s">
        <v>133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3.46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140.91999999999999</v>
      </c>
      <c r="AJ666">
        <v>13.95</v>
      </c>
    </row>
    <row r="667" spans="1:36">
      <c r="A667" t="s">
        <v>185</v>
      </c>
      <c r="B667" t="s">
        <v>134</v>
      </c>
      <c r="C667">
        <v>9.7899999999999991</v>
      </c>
      <c r="D667">
        <v>0</v>
      </c>
      <c r="E667">
        <v>0</v>
      </c>
      <c r="F667">
        <v>54.06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-54.28</v>
      </c>
    </row>
    <row r="668" spans="1:36">
      <c r="A668" t="s">
        <v>185</v>
      </c>
      <c r="B668" t="s">
        <v>135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3.59</v>
      </c>
      <c r="V668">
        <v>0</v>
      </c>
      <c r="W668">
        <v>0</v>
      </c>
      <c r="X668">
        <v>0</v>
      </c>
      <c r="Y668">
        <v>12.83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-13.95</v>
      </c>
    </row>
    <row r="669" spans="1:36">
      <c r="A669" t="s">
        <v>185</v>
      </c>
      <c r="B669" t="s">
        <v>136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58.6</v>
      </c>
      <c r="T669">
        <v>0</v>
      </c>
      <c r="U669">
        <v>10.95</v>
      </c>
      <c r="V669">
        <v>0</v>
      </c>
      <c r="W669">
        <v>0</v>
      </c>
      <c r="X669">
        <v>0</v>
      </c>
      <c r="Y669">
        <v>4.66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-63.59</v>
      </c>
    </row>
    <row r="670" spans="1:36">
      <c r="A670" t="s">
        <v>185</v>
      </c>
      <c r="B670" t="s">
        <v>137</v>
      </c>
      <c r="C670">
        <v>0.01</v>
      </c>
      <c r="D670">
        <v>0</v>
      </c>
      <c r="E670">
        <v>0</v>
      </c>
      <c r="F670">
        <v>0.65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-0.56000000000000005</v>
      </c>
    </row>
    <row r="671" spans="1:36">
      <c r="A671" t="s">
        <v>185</v>
      </c>
      <c r="B671" t="s">
        <v>138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</row>
    <row r="672" spans="1:36">
      <c r="A672" t="s">
        <v>185</v>
      </c>
      <c r="B672" t="s">
        <v>139</v>
      </c>
      <c r="C672">
        <v>0</v>
      </c>
      <c r="D672">
        <v>0</v>
      </c>
      <c r="E672">
        <v>3.66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-3.11</v>
      </c>
    </row>
    <row r="673" spans="1:36">
      <c r="A673" t="s">
        <v>185</v>
      </c>
      <c r="B673" t="s">
        <v>140</v>
      </c>
      <c r="C673">
        <v>0.75</v>
      </c>
      <c r="D673">
        <v>0</v>
      </c>
      <c r="E673">
        <v>1.29</v>
      </c>
      <c r="F673">
        <v>112.31</v>
      </c>
      <c r="G673">
        <v>0</v>
      </c>
      <c r="H673">
        <v>0.14000000000000001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13.39</v>
      </c>
      <c r="V673">
        <v>8.9499999999999993</v>
      </c>
      <c r="W673">
        <v>7.97</v>
      </c>
      <c r="X673">
        <v>0.1</v>
      </c>
      <c r="Y673">
        <v>72.22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57.8</v>
      </c>
      <c r="AJ673">
        <v>121.54</v>
      </c>
    </row>
    <row r="674" spans="1:36">
      <c r="A674" t="s">
        <v>185</v>
      </c>
      <c r="B674" t="s">
        <v>141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50.54</v>
      </c>
      <c r="V674">
        <v>0</v>
      </c>
      <c r="W674">
        <v>14.33</v>
      </c>
      <c r="X674">
        <v>0</v>
      </c>
      <c r="Y674">
        <v>73.989999999999995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</row>
    <row r="675" spans="1:36">
      <c r="A675" t="s">
        <v>185</v>
      </c>
      <c r="B675" t="s">
        <v>142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2.9</v>
      </c>
      <c r="V675">
        <v>13.48</v>
      </c>
      <c r="W675">
        <v>0</v>
      </c>
      <c r="X675">
        <v>0</v>
      </c>
      <c r="Y675">
        <v>0.4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</row>
    <row r="676" spans="1:36">
      <c r="A676" t="s">
        <v>185</v>
      </c>
      <c r="B676" t="s">
        <v>143</v>
      </c>
      <c r="C676">
        <v>14.97</v>
      </c>
      <c r="D676">
        <v>0</v>
      </c>
      <c r="E676">
        <v>0</v>
      </c>
      <c r="F676">
        <v>270.17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 t="s">
        <v>185</v>
      </c>
      <c r="B677" t="s">
        <v>144</v>
      </c>
      <c r="C677">
        <v>0.22</v>
      </c>
      <c r="D677">
        <v>0</v>
      </c>
      <c r="E677">
        <v>0</v>
      </c>
      <c r="F677">
        <v>4.17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 t="s">
        <v>185</v>
      </c>
      <c r="B678" t="s">
        <v>145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0.63</v>
      </c>
      <c r="V678">
        <v>0</v>
      </c>
      <c r="W678">
        <v>0</v>
      </c>
      <c r="X678">
        <v>0</v>
      </c>
      <c r="Y678">
        <v>30.36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</row>
    <row r="679" spans="1:36">
      <c r="A679" t="s">
        <v>185</v>
      </c>
      <c r="B679" t="s">
        <v>146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6">
      <c r="A680" t="s">
        <v>185</v>
      </c>
      <c r="B680" t="s">
        <v>147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</row>
    <row r="681" spans="1:36">
      <c r="A681" t="s">
        <v>185</v>
      </c>
      <c r="B681" t="s">
        <v>148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 spans="1:36">
      <c r="A682" t="s">
        <v>185</v>
      </c>
      <c r="B682" t="s">
        <v>149</v>
      </c>
      <c r="C682">
        <v>12.31</v>
      </c>
      <c r="D682">
        <v>0</v>
      </c>
      <c r="E682">
        <v>0</v>
      </c>
      <c r="F682">
        <v>318.61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119.33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>
      <c r="A683" t="s">
        <v>185</v>
      </c>
      <c r="B683" t="s">
        <v>150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 t="s">
        <v>185</v>
      </c>
      <c r="B684" t="s">
        <v>151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1.37</v>
      </c>
      <c r="T684">
        <v>0</v>
      </c>
      <c r="U684">
        <v>0</v>
      </c>
      <c r="V684">
        <v>0.08</v>
      </c>
      <c r="W684">
        <v>0.23</v>
      </c>
      <c r="X684">
        <v>0</v>
      </c>
      <c r="Y684">
        <v>35.1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</row>
    <row r="685" spans="1:36">
      <c r="A685" t="s">
        <v>185</v>
      </c>
      <c r="B685" t="s">
        <v>152</v>
      </c>
      <c r="C685">
        <v>23.35</v>
      </c>
      <c r="D685">
        <v>0</v>
      </c>
      <c r="E685">
        <v>0</v>
      </c>
      <c r="F685">
        <v>900.11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</row>
    <row r="686" spans="1:36">
      <c r="A686" t="s">
        <v>185</v>
      </c>
      <c r="B686" t="s">
        <v>153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40.229999999999997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9.84</v>
      </c>
      <c r="AH686">
        <v>47.36</v>
      </c>
      <c r="AI686">
        <v>-625.36</v>
      </c>
      <c r="AJ686">
        <v>0</v>
      </c>
    </row>
    <row r="687" spans="1:36">
      <c r="A687" t="s">
        <v>185</v>
      </c>
      <c r="B687" t="s">
        <v>154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 t="s">
        <v>185</v>
      </c>
      <c r="B688" t="s">
        <v>155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 t="s">
        <v>185</v>
      </c>
      <c r="B689" t="s">
        <v>156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 spans="1:36">
      <c r="A690" t="s">
        <v>185</v>
      </c>
      <c r="B690" t="s">
        <v>51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12.62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</row>
    <row r="691" spans="1:36">
      <c r="A691" t="s">
        <v>185</v>
      </c>
      <c r="B691" t="s">
        <v>157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14.38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</row>
    <row r="692" spans="1:36">
      <c r="A692" t="s">
        <v>185</v>
      </c>
      <c r="B692" t="s">
        <v>158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9.0500000000000007</v>
      </c>
      <c r="W692">
        <v>7.0000000000000007E-2</v>
      </c>
      <c r="X692">
        <v>0.04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</row>
    <row r="693" spans="1:36">
      <c r="A693" t="s">
        <v>185</v>
      </c>
      <c r="B693" t="s">
        <v>159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</row>
    <row r="694" spans="1:36">
      <c r="A694" t="s">
        <v>185</v>
      </c>
      <c r="B694" t="s">
        <v>160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 t="s">
        <v>185</v>
      </c>
      <c r="B695" t="s">
        <v>161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</row>
    <row r="696" spans="1:36">
      <c r="A696" t="s">
        <v>185</v>
      </c>
      <c r="B696" t="s">
        <v>59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17.09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3.3</v>
      </c>
      <c r="AJ696">
        <v>0</v>
      </c>
    </row>
    <row r="697" spans="1:36">
      <c r="A697" t="s">
        <v>185</v>
      </c>
      <c r="B697" t="s">
        <v>162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>
      <c r="A698" t="s">
        <v>185</v>
      </c>
      <c r="B698" t="s">
        <v>163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23.23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</row>
    <row r="699" spans="1:36">
      <c r="A699" t="s">
        <v>185</v>
      </c>
      <c r="B699" t="s">
        <v>164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71.11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>
      <c r="A700" t="s">
        <v>185</v>
      </c>
      <c r="B700" t="s">
        <v>165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3.92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>
      <c r="A701" t="s">
        <v>185</v>
      </c>
      <c r="B701" t="s">
        <v>166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19.05</v>
      </c>
      <c r="W701">
        <v>28.77</v>
      </c>
      <c r="X701">
        <v>0.49</v>
      </c>
      <c r="Y701">
        <v>0.3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0.19</v>
      </c>
      <c r="AJ701">
        <v>0</v>
      </c>
    </row>
    <row r="702" spans="1:36">
      <c r="A702" t="s">
        <v>185</v>
      </c>
      <c r="B702" t="s">
        <v>167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5.56</v>
      </c>
      <c r="W702">
        <v>11.77</v>
      </c>
      <c r="X702">
        <v>0</v>
      </c>
      <c r="Y702">
        <v>0.03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</row>
    <row r="703" spans="1:36">
      <c r="A703" t="s">
        <v>185</v>
      </c>
      <c r="B703" t="s">
        <v>168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20.93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1:36">
      <c r="A704" t="s">
        <v>186</v>
      </c>
      <c r="B704" t="s">
        <v>132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1.79</v>
      </c>
      <c r="Y704">
        <v>0.79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 t="s">
        <v>186</v>
      </c>
      <c r="B705" t="s">
        <v>133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0.78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53.04</v>
      </c>
      <c r="AJ705">
        <v>2.11</v>
      </c>
    </row>
    <row r="706" spans="1:36">
      <c r="A706" t="s">
        <v>186</v>
      </c>
      <c r="B706" t="s">
        <v>134</v>
      </c>
      <c r="C706">
        <v>0.26</v>
      </c>
      <c r="D706">
        <v>0</v>
      </c>
      <c r="E706">
        <v>0</v>
      </c>
      <c r="F706">
        <v>2.06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2.88</v>
      </c>
      <c r="V706">
        <v>0</v>
      </c>
      <c r="W706">
        <v>0</v>
      </c>
      <c r="X706">
        <v>0</v>
      </c>
      <c r="Y706">
        <v>0.04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-4.46</v>
      </c>
    </row>
    <row r="707" spans="1:36">
      <c r="A707" t="s">
        <v>186</v>
      </c>
      <c r="B707" t="s">
        <v>135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0.81</v>
      </c>
      <c r="V707">
        <v>0</v>
      </c>
      <c r="W707">
        <v>0</v>
      </c>
      <c r="X707">
        <v>0</v>
      </c>
      <c r="Y707">
        <v>1.67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-2.11</v>
      </c>
    </row>
    <row r="708" spans="1:36">
      <c r="A708" t="s">
        <v>186</v>
      </c>
      <c r="B708" t="s">
        <v>136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24.58</v>
      </c>
      <c r="T708">
        <v>0</v>
      </c>
      <c r="U708">
        <v>4.58</v>
      </c>
      <c r="V708">
        <v>0</v>
      </c>
      <c r="W708">
        <v>0</v>
      </c>
      <c r="X708">
        <v>0</v>
      </c>
      <c r="Y708">
        <v>1.96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-26.67</v>
      </c>
    </row>
    <row r="709" spans="1:36">
      <c r="A709" t="s">
        <v>186</v>
      </c>
      <c r="B709" t="s">
        <v>137</v>
      </c>
      <c r="C709">
        <v>0.01</v>
      </c>
      <c r="D709">
        <v>0</v>
      </c>
      <c r="E709">
        <v>0</v>
      </c>
      <c r="F709">
        <v>0.27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-0.24</v>
      </c>
    </row>
    <row r="710" spans="1:36">
      <c r="A710" t="s">
        <v>186</v>
      </c>
      <c r="B710" t="s">
        <v>138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 t="s">
        <v>186</v>
      </c>
      <c r="B711" t="s">
        <v>139</v>
      </c>
      <c r="C711">
        <v>0</v>
      </c>
      <c r="D711">
        <v>0</v>
      </c>
      <c r="E711">
        <v>1.54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-1.31</v>
      </c>
    </row>
    <row r="712" spans="1:36">
      <c r="A712" t="s">
        <v>186</v>
      </c>
      <c r="B712" t="s">
        <v>140</v>
      </c>
      <c r="C712">
        <v>0.42</v>
      </c>
      <c r="D712">
        <v>0</v>
      </c>
      <c r="E712">
        <v>0.54</v>
      </c>
      <c r="F712">
        <v>42.03</v>
      </c>
      <c r="G712">
        <v>0</v>
      </c>
      <c r="H712">
        <v>0.04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0.21</v>
      </c>
      <c r="V712">
        <v>3.63</v>
      </c>
      <c r="W712">
        <v>3.33</v>
      </c>
      <c r="X712">
        <v>0.04</v>
      </c>
      <c r="Y712">
        <v>9.8699999999999992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28.87</v>
      </c>
      <c r="AJ712">
        <v>32.67</v>
      </c>
    </row>
    <row r="713" spans="1:36">
      <c r="A713" t="s">
        <v>186</v>
      </c>
      <c r="B713" t="s">
        <v>141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12.65</v>
      </c>
      <c r="V713">
        <v>0</v>
      </c>
      <c r="W713">
        <v>3.58</v>
      </c>
      <c r="X713">
        <v>0</v>
      </c>
      <c r="Y713">
        <v>10.4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</row>
    <row r="714" spans="1:36">
      <c r="A714" t="s">
        <v>186</v>
      </c>
      <c r="B714" t="s">
        <v>142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10.96</v>
      </c>
      <c r="W714">
        <v>0</v>
      </c>
      <c r="X714">
        <v>0</v>
      </c>
      <c r="Y714">
        <v>0.05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</row>
    <row r="715" spans="1:36">
      <c r="A715" t="s">
        <v>186</v>
      </c>
      <c r="B715" t="s">
        <v>143</v>
      </c>
      <c r="C715">
        <v>5.79</v>
      </c>
      <c r="D715">
        <v>0</v>
      </c>
      <c r="E715">
        <v>0</v>
      </c>
      <c r="F715">
        <v>104.41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</row>
    <row r="716" spans="1:36">
      <c r="A716" t="s">
        <v>186</v>
      </c>
      <c r="B716" t="s">
        <v>144</v>
      </c>
      <c r="C716">
        <v>0.08</v>
      </c>
      <c r="D716">
        <v>0</v>
      </c>
      <c r="E716">
        <v>0</v>
      </c>
      <c r="F716">
        <v>1.61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</row>
    <row r="717" spans="1:36">
      <c r="A717" t="s">
        <v>186</v>
      </c>
      <c r="B717" t="s">
        <v>145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0.14000000000000001</v>
      </c>
      <c r="V717">
        <v>0</v>
      </c>
      <c r="W717">
        <v>0</v>
      </c>
      <c r="X717">
        <v>0</v>
      </c>
      <c r="Y717">
        <v>3.42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</row>
    <row r="718" spans="1:36">
      <c r="A718" t="s">
        <v>186</v>
      </c>
      <c r="B718" t="s">
        <v>146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</row>
    <row r="719" spans="1:36">
      <c r="A719" t="s">
        <v>186</v>
      </c>
      <c r="B719" t="s">
        <v>147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 t="s">
        <v>186</v>
      </c>
      <c r="B720" t="s">
        <v>148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 t="s">
        <v>186</v>
      </c>
      <c r="B721" t="s">
        <v>149</v>
      </c>
      <c r="C721">
        <v>4.76</v>
      </c>
      <c r="D721">
        <v>0</v>
      </c>
      <c r="E721">
        <v>0</v>
      </c>
      <c r="F721">
        <v>123.13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13.43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>
      <c r="A722" t="s">
        <v>186</v>
      </c>
      <c r="B722" t="s">
        <v>150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</row>
    <row r="723" spans="1:36">
      <c r="A723" t="s">
        <v>186</v>
      </c>
      <c r="B723" t="s">
        <v>151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0.23</v>
      </c>
      <c r="T723">
        <v>0</v>
      </c>
      <c r="U723">
        <v>0</v>
      </c>
      <c r="V723">
        <v>0.02</v>
      </c>
      <c r="W723">
        <v>0.05</v>
      </c>
      <c r="X723">
        <v>0</v>
      </c>
      <c r="Y723">
        <v>3.95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 t="s">
        <v>186</v>
      </c>
      <c r="B724" t="s">
        <v>152</v>
      </c>
      <c r="C724">
        <v>9.02</v>
      </c>
      <c r="D724">
        <v>0</v>
      </c>
      <c r="E724">
        <v>0</v>
      </c>
      <c r="F724">
        <v>347.85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 spans="1:36">
      <c r="A725" t="s">
        <v>186</v>
      </c>
      <c r="B725" t="s">
        <v>153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0.1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18.04</v>
      </c>
      <c r="AH725">
        <v>9.24</v>
      </c>
      <c r="AI725">
        <v>-213.97</v>
      </c>
      <c r="AJ725">
        <v>0</v>
      </c>
    </row>
    <row r="726" spans="1:36">
      <c r="A726" t="s">
        <v>186</v>
      </c>
      <c r="B726" t="s">
        <v>154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</row>
    <row r="727" spans="1:36">
      <c r="A727" t="s">
        <v>186</v>
      </c>
      <c r="B727" t="s">
        <v>155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 t="s">
        <v>186</v>
      </c>
      <c r="B728" t="s">
        <v>156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</row>
    <row r="729" spans="1:36">
      <c r="A729" t="s">
        <v>186</v>
      </c>
      <c r="B729" t="s">
        <v>51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20.11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 spans="1:36">
      <c r="A730" t="s">
        <v>186</v>
      </c>
      <c r="B730" t="s">
        <v>157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1:36">
      <c r="A731" t="s">
        <v>186</v>
      </c>
      <c r="B731" t="s">
        <v>158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3.89</v>
      </c>
      <c r="W731">
        <v>0.03</v>
      </c>
      <c r="X731">
        <v>0.02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</row>
    <row r="732" spans="1:36">
      <c r="A732" t="s">
        <v>186</v>
      </c>
      <c r="B732" t="s">
        <v>159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>
      <c r="A733" t="s">
        <v>186</v>
      </c>
      <c r="B733" t="s">
        <v>160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</row>
    <row r="734" spans="1:36">
      <c r="A734" t="s">
        <v>186</v>
      </c>
      <c r="B734" t="s">
        <v>161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 t="s">
        <v>186</v>
      </c>
      <c r="B735" t="s">
        <v>59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5.14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1.44</v>
      </c>
      <c r="AJ735">
        <v>0</v>
      </c>
    </row>
    <row r="736" spans="1:36">
      <c r="A736" t="s">
        <v>186</v>
      </c>
      <c r="B736" t="s">
        <v>162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spans="1:36">
      <c r="A737" t="s">
        <v>186</v>
      </c>
      <c r="B737" t="s">
        <v>163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20.22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>
      <c r="A738" t="s">
        <v>186</v>
      </c>
      <c r="B738" t="s">
        <v>164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61.9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</row>
    <row r="739" spans="1:36">
      <c r="A739" t="s">
        <v>186</v>
      </c>
      <c r="B739" t="s">
        <v>165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1.69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</row>
    <row r="740" spans="1:36">
      <c r="A740" t="s">
        <v>186</v>
      </c>
      <c r="B740" t="s">
        <v>166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16.579999999999998</v>
      </c>
      <c r="W740">
        <v>12.36</v>
      </c>
      <c r="X740">
        <v>0.21</v>
      </c>
      <c r="Y740">
        <v>0.04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0.08</v>
      </c>
      <c r="AJ740">
        <v>0</v>
      </c>
    </row>
    <row r="741" spans="1:36">
      <c r="A741" t="s">
        <v>186</v>
      </c>
      <c r="B741" t="s">
        <v>167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4.84</v>
      </c>
      <c r="W741">
        <v>5.0599999999999996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 t="s">
        <v>186</v>
      </c>
      <c r="B742" t="s">
        <v>168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8.99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 t="s">
        <v>187</v>
      </c>
      <c r="B743" t="s">
        <v>132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0.06</v>
      </c>
      <c r="Y743">
        <v>0.12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>
      <c r="A744" t="s">
        <v>187</v>
      </c>
      <c r="B744" t="s">
        <v>133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0.03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16.61</v>
      </c>
      <c r="AJ744">
        <v>0.15</v>
      </c>
    </row>
    <row r="745" spans="1:36">
      <c r="A745" t="s">
        <v>187</v>
      </c>
      <c r="B745" t="s">
        <v>134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0.01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-0.01</v>
      </c>
    </row>
    <row r="746" spans="1:36">
      <c r="A746" t="s">
        <v>187</v>
      </c>
      <c r="B746" t="s">
        <v>135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0.03</v>
      </c>
      <c r="V746">
        <v>0</v>
      </c>
      <c r="W746">
        <v>0</v>
      </c>
      <c r="X746">
        <v>0</v>
      </c>
      <c r="Y746">
        <v>0.15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-0.15</v>
      </c>
    </row>
    <row r="747" spans="1:36">
      <c r="A747" t="s">
        <v>187</v>
      </c>
      <c r="B747" t="s">
        <v>136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6.66</v>
      </c>
      <c r="T747">
        <v>0</v>
      </c>
      <c r="U747">
        <v>1.25</v>
      </c>
      <c r="V747">
        <v>0</v>
      </c>
      <c r="W747">
        <v>0</v>
      </c>
      <c r="X747">
        <v>0</v>
      </c>
      <c r="Y747">
        <v>0.53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-7.22</v>
      </c>
    </row>
    <row r="748" spans="1:36">
      <c r="A748" t="s">
        <v>187</v>
      </c>
      <c r="B748" t="s">
        <v>137</v>
      </c>
      <c r="C748">
        <v>0</v>
      </c>
      <c r="D748">
        <v>0</v>
      </c>
      <c r="E748">
        <v>0</v>
      </c>
      <c r="F748">
        <v>7.0000000000000007E-2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-0.06</v>
      </c>
    </row>
    <row r="749" spans="1:36">
      <c r="A749" t="s">
        <v>187</v>
      </c>
      <c r="B749" t="s">
        <v>138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 t="s">
        <v>187</v>
      </c>
      <c r="B750" t="s">
        <v>139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1.32</v>
      </c>
      <c r="T750">
        <v>1.97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-2.8</v>
      </c>
    </row>
    <row r="751" spans="1:36">
      <c r="A751" t="s">
        <v>187</v>
      </c>
      <c r="B751" t="s">
        <v>140</v>
      </c>
      <c r="C751">
        <v>0.2</v>
      </c>
      <c r="D751">
        <v>0</v>
      </c>
      <c r="E751">
        <v>0.56000000000000005</v>
      </c>
      <c r="F751">
        <v>24.86</v>
      </c>
      <c r="G751">
        <v>0</v>
      </c>
      <c r="H751">
        <v>0.04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6.43</v>
      </c>
      <c r="T751">
        <v>0.28000000000000003</v>
      </c>
      <c r="U751">
        <v>0.95</v>
      </c>
      <c r="V751">
        <v>0.95</v>
      </c>
      <c r="W751">
        <v>0.91</v>
      </c>
      <c r="X751">
        <v>0.01</v>
      </c>
      <c r="Y751">
        <v>0.91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37.479999999999997</v>
      </c>
      <c r="AJ751">
        <v>10.1</v>
      </c>
    </row>
    <row r="752" spans="1:36">
      <c r="A752" t="s">
        <v>187</v>
      </c>
      <c r="B752" t="s">
        <v>141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>
      <c r="A753" t="s">
        <v>187</v>
      </c>
      <c r="B753" t="s">
        <v>142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1.89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>
      <c r="A754" t="s">
        <v>187</v>
      </c>
      <c r="B754" t="s">
        <v>143</v>
      </c>
      <c r="C754">
        <v>0.14000000000000001</v>
      </c>
      <c r="D754">
        <v>0</v>
      </c>
      <c r="E754">
        <v>0</v>
      </c>
      <c r="F754">
        <v>2.61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>
      <c r="A755" t="s">
        <v>187</v>
      </c>
      <c r="B755" t="s">
        <v>144</v>
      </c>
      <c r="C755">
        <v>0</v>
      </c>
      <c r="D755">
        <v>0</v>
      </c>
      <c r="E755">
        <v>0</v>
      </c>
      <c r="F755">
        <v>0.04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</row>
    <row r="756" spans="1:36">
      <c r="A756" t="s">
        <v>187</v>
      </c>
      <c r="B756" t="s">
        <v>145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0.38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</row>
    <row r="757" spans="1:36">
      <c r="A757" t="s">
        <v>187</v>
      </c>
      <c r="B757" t="s">
        <v>146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</row>
    <row r="758" spans="1:36">
      <c r="A758" t="s">
        <v>187</v>
      </c>
      <c r="B758" t="s">
        <v>147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</row>
    <row r="759" spans="1:36">
      <c r="A759" t="s">
        <v>187</v>
      </c>
      <c r="B759" t="s">
        <v>148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 spans="1:36">
      <c r="A760" t="s">
        <v>187</v>
      </c>
      <c r="B760" t="s">
        <v>149</v>
      </c>
      <c r="C760">
        <v>0.12</v>
      </c>
      <c r="D760">
        <v>0</v>
      </c>
      <c r="E760">
        <v>0</v>
      </c>
      <c r="F760">
        <v>3.08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1.48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spans="1:36">
      <c r="A761" t="s">
        <v>187</v>
      </c>
      <c r="B761" t="s">
        <v>150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</row>
    <row r="762" spans="1:36">
      <c r="A762" t="s">
        <v>187</v>
      </c>
      <c r="B762" t="s">
        <v>151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0.45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0.44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</row>
    <row r="763" spans="1:36">
      <c r="A763" t="s">
        <v>187</v>
      </c>
      <c r="B763" t="s">
        <v>152</v>
      </c>
      <c r="C763">
        <v>0.23</v>
      </c>
      <c r="D763">
        <v>0</v>
      </c>
      <c r="E763">
        <v>0</v>
      </c>
      <c r="F763">
        <v>8.69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>
      <c r="A764" t="s">
        <v>187</v>
      </c>
      <c r="B764" t="s">
        <v>153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0.01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43.59</v>
      </c>
      <c r="AH764">
        <v>2.89</v>
      </c>
      <c r="AI764">
        <v>-51.09</v>
      </c>
      <c r="AJ764">
        <v>0</v>
      </c>
    </row>
    <row r="765" spans="1:36">
      <c r="A765" t="s">
        <v>187</v>
      </c>
      <c r="B765" t="s">
        <v>154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>
      <c r="A766" t="s">
        <v>187</v>
      </c>
      <c r="B766" t="s">
        <v>155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>
      <c r="A767" t="s">
        <v>187</v>
      </c>
      <c r="B767" t="s">
        <v>156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</row>
    <row r="768" spans="1:36">
      <c r="A768" t="s">
        <v>187</v>
      </c>
      <c r="B768" t="s">
        <v>51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0.44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</row>
    <row r="769" spans="1:36">
      <c r="A769" t="s">
        <v>187</v>
      </c>
      <c r="B769" t="s">
        <v>157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1.1599999999999999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</row>
    <row r="770" spans="1:36">
      <c r="A770" t="s">
        <v>187</v>
      </c>
      <c r="B770" t="s">
        <v>158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1.05</v>
      </c>
      <c r="W770">
        <v>0.01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 spans="1:36">
      <c r="A771" t="s">
        <v>187</v>
      </c>
      <c r="B771" t="s">
        <v>159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 t="s">
        <v>187</v>
      </c>
      <c r="B772" t="s">
        <v>160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>
      <c r="A773" t="s">
        <v>187</v>
      </c>
      <c r="B773" t="s">
        <v>161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</row>
    <row r="774" spans="1:36">
      <c r="A774" t="s">
        <v>187</v>
      </c>
      <c r="B774" t="s">
        <v>59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5.14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</row>
    <row r="775" spans="1:36">
      <c r="A775" t="s">
        <v>187</v>
      </c>
      <c r="B775" t="s">
        <v>162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 t="s">
        <v>187</v>
      </c>
      <c r="B776" t="s">
        <v>163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4.3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>
      <c r="A777" t="s">
        <v>187</v>
      </c>
      <c r="B777" t="s">
        <v>164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13.17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</row>
    <row r="778" spans="1:36">
      <c r="A778" t="s">
        <v>187</v>
      </c>
      <c r="B778" t="s">
        <v>165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0.22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>
      <c r="A779" t="s">
        <v>187</v>
      </c>
      <c r="B779" t="s">
        <v>166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3.53</v>
      </c>
      <c r="W779">
        <v>1.63</v>
      </c>
      <c r="X779">
        <v>0.06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0.02</v>
      </c>
      <c r="AJ779">
        <v>0</v>
      </c>
    </row>
    <row r="780" spans="1:36">
      <c r="A780" t="s">
        <v>187</v>
      </c>
      <c r="B780" t="s">
        <v>167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1.03</v>
      </c>
      <c r="W780">
        <v>0.67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</row>
    <row r="781" spans="1:36">
      <c r="A781" t="s">
        <v>187</v>
      </c>
      <c r="B781" t="s">
        <v>168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1.19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spans="1:36">
      <c r="A782" t="s">
        <v>188</v>
      </c>
      <c r="B782" t="s">
        <v>132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3.7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 t="s">
        <v>188</v>
      </c>
      <c r="B783" t="s">
        <v>133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1.77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12.59</v>
      </c>
      <c r="AJ783">
        <v>3.02</v>
      </c>
    </row>
    <row r="784" spans="1:36">
      <c r="A784" t="s">
        <v>188</v>
      </c>
      <c r="B784" t="s">
        <v>134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0.02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-0.01</v>
      </c>
    </row>
    <row r="785" spans="1:36">
      <c r="A785" t="s">
        <v>188</v>
      </c>
      <c r="B785" t="s">
        <v>135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1.84</v>
      </c>
      <c r="V785">
        <v>0</v>
      </c>
      <c r="W785">
        <v>0</v>
      </c>
      <c r="X785">
        <v>0.38</v>
      </c>
      <c r="Y785">
        <v>1.34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-3.02</v>
      </c>
    </row>
    <row r="786" spans="1:36">
      <c r="A786" t="s">
        <v>188</v>
      </c>
      <c r="B786" t="s">
        <v>136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8.3800000000000008</v>
      </c>
      <c r="T786">
        <v>0</v>
      </c>
      <c r="U786">
        <v>2.27</v>
      </c>
      <c r="V786">
        <v>0.48</v>
      </c>
      <c r="W786">
        <v>0</v>
      </c>
      <c r="X786">
        <v>0</v>
      </c>
      <c r="Y786">
        <v>0.89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-10.35</v>
      </c>
    </row>
    <row r="787" spans="1:36">
      <c r="A787" t="s">
        <v>188</v>
      </c>
      <c r="B787" t="s">
        <v>137</v>
      </c>
      <c r="C787">
        <v>0</v>
      </c>
      <c r="D787">
        <v>0</v>
      </c>
      <c r="E787">
        <v>0</v>
      </c>
      <c r="F787">
        <v>0.13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-0.12</v>
      </c>
    </row>
    <row r="788" spans="1:36">
      <c r="A788" t="s">
        <v>188</v>
      </c>
      <c r="B788" t="s">
        <v>138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</row>
    <row r="789" spans="1:36">
      <c r="A789" t="s">
        <v>188</v>
      </c>
      <c r="B789" t="s">
        <v>139</v>
      </c>
      <c r="C789">
        <v>0</v>
      </c>
      <c r="D789">
        <v>0</v>
      </c>
      <c r="E789">
        <v>0.41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0.65</v>
      </c>
      <c r="T789">
        <v>0.65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-1.45</v>
      </c>
    </row>
    <row r="790" spans="1:36">
      <c r="A790" t="s">
        <v>188</v>
      </c>
      <c r="B790" t="s">
        <v>140</v>
      </c>
      <c r="C790">
        <v>0.03</v>
      </c>
      <c r="D790">
        <v>0</v>
      </c>
      <c r="E790">
        <v>0.62</v>
      </c>
      <c r="F790">
        <v>6.45</v>
      </c>
      <c r="G790">
        <v>0</v>
      </c>
      <c r="H790">
        <v>0.02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0.7</v>
      </c>
      <c r="T790">
        <v>0.03</v>
      </c>
      <c r="U790">
        <v>0.04</v>
      </c>
      <c r="V790">
        <v>1.24</v>
      </c>
      <c r="W790">
        <v>1.65</v>
      </c>
      <c r="X790">
        <v>0.02</v>
      </c>
      <c r="Y790">
        <v>1.33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36.06</v>
      </c>
      <c r="AJ790">
        <v>11.93</v>
      </c>
    </row>
    <row r="791" spans="1:36">
      <c r="A791" t="s">
        <v>188</v>
      </c>
      <c r="B791" t="s">
        <v>141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</row>
    <row r="792" spans="1:36">
      <c r="A792" t="s">
        <v>188</v>
      </c>
      <c r="B792" t="s">
        <v>142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1.51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 spans="1:36">
      <c r="A793" t="s">
        <v>188</v>
      </c>
      <c r="B793" t="s">
        <v>143</v>
      </c>
      <c r="C793">
        <v>0.31</v>
      </c>
      <c r="D793">
        <v>0</v>
      </c>
      <c r="E793">
        <v>0</v>
      </c>
      <c r="F793">
        <v>5.65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 t="s">
        <v>188</v>
      </c>
      <c r="B794" t="s">
        <v>144</v>
      </c>
      <c r="C794">
        <v>0</v>
      </c>
      <c r="D794">
        <v>0</v>
      </c>
      <c r="E794">
        <v>0</v>
      </c>
      <c r="F794">
        <v>0.09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>
      <c r="A795" t="s">
        <v>188</v>
      </c>
      <c r="B795" t="s">
        <v>145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0.32</v>
      </c>
      <c r="V795">
        <v>0</v>
      </c>
      <c r="W795">
        <v>0</v>
      </c>
      <c r="X795">
        <v>0</v>
      </c>
      <c r="Y795">
        <v>1.85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>
      <c r="A796" t="s">
        <v>188</v>
      </c>
      <c r="B796" t="s">
        <v>146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 t="s">
        <v>188</v>
      </c>
      <c r="B797" t="s">
        <v>147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</row>
    <row r="798" spans="1:36">
      <c r="A798" t="s">
        <v>188</v>
      </c>
      <c r="B798" t="s">
        <v>148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>
      <c r="A799" t="s">
        <v>188</v>
      </c>
      <c r="B799" t="s">
        <v>149</v>
      </c>
      <c r="C799">
        <v>0.26</v>
      </c>
      <c r="D799">
        <v>0</v>
      </c>
      <c r="E799">
        <v>0</v>
      </c>
      <c r="F799">
        <v>6.67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7.29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</row>
    <row r="800" spans="1:36">
      <c r="A800" t="s">
        <v>188</v>
      </c>
      <c r="B800" t="s">
        <v>150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</row>
    <row r="801" spans="1:36">
      <c r="A801" t="s">
        <v>188</v>
      </c>
      <c r="B801" t="s">
        <v>151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0.09</v>
      </c>
      <c r="T801">
        <v>0</v>
      </c>
      <c r="U801">
        <v>0</v>
      </c>
      <c r="V801">
        <v>0.04</v>
      </c>
      <c r="W801">
        <v>0.12</v>
      </c>
      <c r="X801">
        <v>0</v>
      </c>
      <c r="Y801">
        <v>2.14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</row>
    <row r="802" spans="1:36">
      <c r="A802" t="s">
        <v>188</v>
      </c>
      <c r="B802" t="s">
        <v>152</v>
      </c>
      <c r="C802">
        <v>0.49</v>
      </c>
      <c r="D802">
        <v>0</v>
      </c>
      <c r="E802">
        <v>0</v>
      </c>
      <c r="F802">
        <v>18.829999999999998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</row>
    <row r="803" spans="1:36">
      <c r="A803" t="s">
        <v>188</v>
      </c>
      <c r="B803" t="s">
        <v>153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0.01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22.35</v>
      </c>
      <c r="AH803">
        <v>6.52</v>
      </c>
      <c r="AI803">
        <v>-40.479999999999997</v>
      </c>
      <c r="AJ803">
        <v>0</v>
      </c>
    </row>
    <row r="804" spans="1:36">
      <c r="A804" t="s">
        <v>188</v>
      </c>
      <c r="B804" t="s">
        <v>154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</row>
    <row r="805" spans="1:36">
      <c r="A805" t="s">
        <v>188</v>
      </c>
      <c r="B805" t="s">
        <v>155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</row>
    <row r="806" spans="1:36">
      <c r="A806" t="s">
        <v>188</v>
      </c>
      <c r="B806" t="s">
        <v>156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</row>
    <row r="807" spans="1:36">
      <c r="A807" t="s">
        <v>188</v>
      </c>
      <c r="B807" t="s">
        <v>51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0.37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</row>
    <row r="808" spans="1:36">
      <c r="A808" t="s">
        <v>188</v>
      </c>
      <c r="B808" t="s">
        <v>157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5.18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</row>
    <row r="809" spans="1:36">
      <c r="A809" t="s">
        <v>188</v>
      </c>
      <c r="B809" t="s">
        <v>158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1.8</v>
      </c>
      <c r="W809">
        <v>0.01</v>
      </c>
      <c r="X809">
        <v>0.01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>
      <c r="A810" t="s">
        <v>188</v>
      </c>
      <c r="B810" t="s">
        <v>159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</row>
    <row r="811" spans="1:36">
      <c r="A811" t="s">
        <v>188</v>
      </c>
      <c r="B811" t="s">
        <v>160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 t="s">
        <v>188</v>
      </c>
      <c r="B812" t="s">
        <v>161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</row>
    <row r="813" spans="1:36">
      <c r="A813" t="s">
        <v>188</v>
      </c>
      <c r="B813" t="s">
        <v>59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5.14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</row>
    <row r="814" spans="1:36">
      <c r="A814" t="s">
        <v>188</v>
      </c>
      <c r="B814" t="s">
        <v>162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</row>
    <row r="815" spans="1:36">
      <c r="A815" t="s">
        <v>188</v>
      </c>
      <c r="B815" t="s">
        <v>163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3.55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>
      <c r="A816" t="s">
        <v>188</v>
      </c>
      <c r="B816" t="s">
        <v>164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10.87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</row>
    <row r="817" spans="1:36">
      <c r="A817" t="s">
        <v>188</v>
      </c>
      <c r="B817" t="s">
        <v>165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0.36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</row>
    <row r="818" spans="1:36">
      <c r="A818" t="s">
        <v>188</v>
      </c>
      <c r="B818" t="s">
        <v>166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2.91</v>
      </c>
      <c r="W818">
        <v>2.61</v>
      </c>
      <c r="X818">
        <v>0.1</v>
      </c>
      <c r="Y818">
        <v>0.02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0.04</v>
      </c>
      <c r="AJ818">
        <v>0</v>
      </c>
    </row>
    <row r="819" spans="1:36">
      <c r="A819" t="s">
        <v>188</v>
      </c>
      <c r="B819" t="s">
        <v>167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0.85</v>
      </c>
      <c r="W819">
        <v>1.07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</row>
    <row r="820" spans="1:36">
      <c r="A820" t="s">
        <v>188</v>
      </c>
      <c r="B820" t="s">
        <v>168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1.9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>
      <c r="A821" t="s">
        <v>189</v>
      </c>
      <c r="B821" t="s">
        <v>132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0.2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</row>
    <row r="822" spans="1:36">
      <c r="A822" t="s">
        <v>189</v>
      </c>
      <c r="B822" t="s">
        <v>133</v>
      </c>
      <c r="C822">
        <v>0</v>
      </c>
      <c r="D822">
        <v>0</v>
      </c>
      <c r="E822">
        <v>0</v>
      </c>
      <c r="F822">
        <v>0.19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62.59</v>
      </c>
      <c r="AJ822">
        <v>0.17</v>
      </c>
    </row>
    <row r="823" spans="1:36">
      <c r="A823" t="s">
        <v>189</v>
      </c>
      <c r="B823" t="s">
        <v>134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0.04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-0.04</v>
      </c>
    </row>
    <row r="824" spans="1:36">
      <c r="A824" t="s">
        <v>189</v>
      </c>
      <c r="B824" t="s">
        <v>135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0.19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-0.17</v>
      </c>
    </row>
    <row r="825" spans="1:36">
      <c r="A825" t="s">
        <v>189</v>
      </c>
      <c r="B825" t="s">
        <v>136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31.98</v>
      </c>
      <c r="T825">
        <v>0</v>
      </c>
      <c r="U825">
        <v>5.98</v>
      </c>
      <c r="V825">
        <v>0</v>
      </c>
      <c r="W825">
        <v>0</v>
      </c>
      <c r="X825">
        <v>0</v>
      </c>
      <c r="Y825">
        <v>2.5499999999999998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-34.71</v>
      </c>
    </row>
    <row r="826" spans="1:36">
      <c r="A826" t="s">
        <v>189</v>
      </c>
      <c r="B826" t="s">
        <v>137</v>
      </c>
      <c r="C826">
        <v>0.01</v>
      </c>
      <c r="D826">
        <v>0</v>
      </c>
      <c r="E826">
        <v>0</v>
      </c>
      <c r="F826">
        <v>0.35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-0.31</v>
      </c>
    </row>
    <row r="827" spans="1:36">
      <c r="A827" t="s">
        <v>189</v>
      </c>
      <c r="B827" t="s">
        <v>138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</row>
    <row r="828" spans="1:36">
      <c r="A828" t="s">
        <v>189</v>
      </c>
      <c r="B828" t="s">
        <v>139</v>
      </c>
      <c r="C828">
        <v>0</v>
      </c>
      <c r="D828">
        <v>0</v>
      </c>
      <c r="E828">
        <v>1.89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0.21</v>
      </c>
      <c r="T828">
        <v>0.21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-1.96</v>
      </c>
    </row>
    <row r="829" spans="1:36">
      <c r="A829" t="s">
        <v>189</v>
      </c>
      <c r="B829" t="s">
        <v>140</v>
      </c>
      <c r="C829">
        <v>0.41</v>
      </c>
      <c r="D829">
        <v>0</v>
      </c>
      <c r="E829">
        <v>0.82</v>
      </c>
      <c r="F829">
        <v>422.6</v>
      </c>
      <c r="G829">
        <v>0</v>
      </c>
      <c r="H829">
        <v>1.66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2.56</v>
      </c>
      <c r="T829">
        <v>0.12</v>
      </c>
      <c r="U829">
        <v>10.96</v>
      </c>
      <c r="V829">
        <v>7.37</v>
      </c>
      <c r="W829">
        <v>4.3499999999999996</v>
      </c>
      <c r="X829">
        <v>0.92</v>
      </c>
      <c r="Y829">
        <v>4.9400000000000004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36.58</v>
      </c>
      <c r="AJ829">
        <v>37.01</v>
      </c>
    </row>
    <row r="830" spans="1:36">
      <c r="A830" t="s">
        <v>189</v>
      </c>
      <c r="B830" t="s">
        <v>141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</row>
    <row r="831" spans="1:36">
      <c r="A831" t="s">
        <v>189</v>
      </c>
      <c r="B831" t="s">
        <v>142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2.94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>
      <c r="A832" t="s">
        <v>189</v>
      </c>
      <c r="B832" t="s">
        <v>143</v>
      </c>
      <c r="C832">
        <v>8.48</v>
      </c>
      <c r="D832">
        <v>0</v>
      </c>
      <c r="E832">
        <v>0</v>
      </c>
      <c r="F832">
        <v>153.03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</row>
    <row r="833" spans="1:36">
      <c r="A833" t="s">
        <v>189</v>
      </c>
      <c r="B833" t="s">
        <v>144</v>
      </c>
      <c r="C833">
        <v>0.12</v>
      </c>
      <c r="D833">
        <v>0</v>
      </c>
      <c r="E833">
        <v>0</v>
      </c>
      <c r="F833">
        <v>2.36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</row>
    <row r="834" spans="1:36">
      <c r="A834" t="s">
        <v>189</v>
      </c>
      <c r="B834" t="s">
        <v>145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0.55000000000000004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</row>
    <row r="835" spans="1:36">
      <c r="A835" t="s">
        <v>189</v>
      </c>
      <c r="B835" t="s">
        <v>146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</row>
    <row r="836" spans="1:36">
      <c r="A836" t="s">
        <v>189</v>
      </c>
      <c r="B836" t="s">
        <v>147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</row>
    <row r="837" spans="1:36">
      <c r="A837" t="s">
        <v>189</v>
      </c>
      <c r="B837" t="s">
        <v>148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</row>
    <row r="838" spans="1:36">
      <c r="A838" t="s">
        <v>189</v>
      </c>
      <c r="B838" t="s">
        <v>149</v>
      </c>
      <c r="C838">
        <v>6.97</v>
      </c>
      <c r="D838">
        <v>0</v>
      </c>
      <c r="E838">
        <v>0</v>
      </c>
      <c r="F838">
        <v>180.47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2.16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</row>
    <row r="839" spans="1:36">
      <c r="A839" t="s">
        <v>189</v>
      </c>
      <c r="B839" t="s">
        <v>150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</row>
    <row r="840" spans="1:36">
      <c r="A840" t="s">
        <v>189</v>
      </c>
      <c r="B840" t="s">
        <v>151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0.63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>
      <c r="A841" t="s">
        <v>189</v>
      </c>
      <c r="B841" t="s">
        <v>152</v>
      </c>
      <c r="C841">
        <v>13.22</v>
      </c>
      <c r="D841">
        <v>0</v>
      </c>
      <c r="E841">
        <v>0</v>
      </c>
      <c r="F841">
        <v>509.84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 t="s">
        <v>189</v>
      </c>
      <c r="B842" t="s">
        <v>153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0.19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4.9800000000000004</v>
      </c>
      <c r="AH842">
        <v>0</v>
      </c>
      <c r="AI842">
        <v>-269.87</v>
      </c>
      <c r="AJ842">
        <v>0</v>
      </c>
    </row>
    <row r="843" spans="1:36">
      <c r="A843" t="s">
        <v>189</v>
      </c>
      <c r="B843" t="s">
        <v>154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</row>
    <row r="844" spans="1:36">
      <c r="A844" t="s">
        <v>189</v>
      </c>
      <c r="B844" t="s">
        <v>155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</row>
    <row r="845" spans="1:36">
      <c r="A845" t="s">
        <v>189</v>
      </c>
      <c r="B845" t="s">
        <v>156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</row>
    <row r="846" spans="1:36">
      <c r="A846" t="s">
        <v>189</v>
      </c>
      <c r="B846" t="s">
        <v>51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0.15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</row>
    <row r="847" spans="1:36">
      <c r="A847" t="s">
        <v>189</v>
      </c>
      <c r="B847" t="s">
        <v>157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1.42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</row>
    <row r="848" spans="1:36">
      <c r="A848" t="s">
        <v>189</v>
      </c>
      <c r="B848" t="s">
        <v>158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4.82</v>
      </c>
      <c r="W848">
        <v>0.04</v>
      </c>
      <c r="X848">
        <v>0.02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 t="s">
        <v>189</v>
      </c>
      <c r="B849" t="s">
        <v>159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</row>
    <row r="850" spans="1:36">
      <c r="A850" t="s">
        <v>189</v>
      </c>
      <c r="B850" t="s">
        <v>160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</row>
    <row r="851" spans="1:36">
      <c r="A851" t="s">
        <v>189</v>
      </c>
      <c r="B851" t="s">
        <v>161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</row>
    <row r="852" spans="1:36">
      <c r="A852" t="s">
        <v>189</v>
      </c>
      <c r="B852" t="s">
        <v>59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8.4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 t="s">
        <v>189</v>
      </c>
      <c r="B853" t="s">
        <v>162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>
      <c r="A854" t="s">
        <v>189</v>
      </c>
      <c r="B854" t="s">
        <v>163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4.41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</row>
    <row r="855" spans="1:36">
      <c r="A855" t="s">
        <v>189</v>
      </c>
      <c r="B855" t="s">
        <v>164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13.49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</row>
    <row r="856" spans="1:36">
      <c r="A856" t="s">
        <v>189</v>
      </c>
      <c r="B856" t="s">
        <v>165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0.62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</row>
    <row r="857" spans="1:36">
      <c r="A857" t="s">
        <v>189</v>
      </c>
      <c r="B857" t="s">
        <v>166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3.61</v>
      </c>
      <c r="W857">
        <v>4.53</v>
      </c>
      <c r="X857">
        <v>0.26</v>
      </c>
      <c r="Y857">
        <v>0.04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0.1</v>
      </c>
      <c r="AJ857">
        <v>0</v>
      </c>
    </row>
    <row r="858" spans="1:36">
      <c r="A858" t="s">
        <v>189</v>
      </c>
      <c r="B858" t="s">
        <v>167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1.05</v>
      </c>
      <c r="W858">
        <v>1.85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</row>
    <row r="859" spans="1:36">
      <c r="A859" t="s">
        <v>189</v>
      </c>
      <c r="B859" t="s">
        <v>168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3.3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 t="s">
        <v>190</v>
      </c>
      <c r="B860" t="s">
        <v>132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1.24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</row>
    <row r="861" spans="1:36">
      <c r="A861" t="s">
        <v>190</v>
      </c>
      <c r="B861" t="s">
        <v>133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86.1</v>
      </c>
      <c r="AJ861">
        <v>1.01</v>
      </c>
    </row>
    <row r="862" spans="1:36">
      <c r="A862" t="s">
        <v>190</v>
      </c>
      <c r="B862" t="s">
        <v>134</v>
      </c>
      <c r="C862">
        <v>3.42</v>
      </c>
      <c r="D862">
        <v>0</v>
      </c>
      <c r="E862">
        <v>0</v>
      </c>
      <c r="F862">
        <v>26.74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26.14</v>
      </c>
      <c r="V862">
        <v>0</v>
      </c>
      <c r="W862">
        <v>0</v>
      </c>
      <c r="X862">
        <v>0</v>
      </c>
      <c r="Y862">
        <v>6.57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-53.44</v>
      </c>
    </row>
    <row r="863" spans="1:36">
      <c r="A863" t="s">
        <v>190</v>
      </c>
      <c r="B863" t="s">
        <v>135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1.19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-1.01</v>
      </c>
    </row>
    <row r="864" spans="1:36">
      <c r="A864" t="s">
        <v>190</v>
      </c>
      <c r="B864" t="s">
        <v>136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193.73</v>
      </c>
      <c r="T864">
        <v>0</v>
      </c>
      <c r="U864">
        <v>36.1</v>
      </c>
      <c r="V864">
        <v>0</v>
      </c>
      <c r="W864">
        <v>0</v>
      </c>
      <c r="X864">
        <v>0</v>
      </c>
      <c r="Y864">
        <v>15.42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-210.23</v>
      </c>
    </row>
    <row r="865" spans="1:36">
      <c r="A865" t="s">
        <v>190</v>
      </c>
      <c r="B865" t="s">
        <v>137</v>
      </c>
      <c r="C865">
        <v>0.04</v>
      </c>
      <c r="D865">
        <v>0</v>
      </c>
      <c r="E865">
        <v>0</v>
      </c>
      <c r="F865">
        <v>2.14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-1.85</v>
      </c>
    </row>
    <row r="866" spans="1:36">
      <c r="A866" t="s">
        <v>190</v>
      </c>
      <c r="B866" t="s">
        <v>138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 t="s">
        <v>190</v>
      </c>
      <c r="B867" t="s">
        <v>139</v>
      </c>
      <c r="C867">
        <v>0</v>
      </c>
      <c r="D867">
        <v>0</v>
      </c>
      <c r="E867">
        <v>12.05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0.13</v>
      </c>
      <c r="T867">
        <v>0.13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-10.46</v>
      </c>
    </row>
    <row r="868" spans="1:36">
      <c r="A868" t="s">
        <v>190</v>
      </c>
      <c r="B868" t="s">
        <v>140</v>
      </c>
      <c r="C868">
        <v>1.95</v>
      </c>
      <c r="D868">
        <v>0</v>
      </c>
      <c r="E868">
        <v>4.34</v>
      </c>
      <c r="F868">
        <v>196.18</v>
      </c>
      <c r="G868">
        <v>0</v>
      </c>
      <c r="H868">
        <v>0.18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0.69</v>
      </c>
      <c r="T868">
        <v>0.03</v>
      </c>
      <c r="U868">
        <v>3.45</v>
      </c>
      <c r="V868">
        <v>28.83</v>
      </c>
      <c r="W868">
        <v>26.26</v>
      </c>
      <c r="X868">
        <v>0.34</v>
      </c>
      <c r="Y868">
        <v>105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190.35</v>
      </c>
      <c r="AJ868">
        <v>275.99</v>
      </c>
    </row>
    <row r="869" spans="1:36">
      <c r="A869" t="s">
        <v>190</v>
      </c>
      <c r="B869" t="s">
        <v>141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114.77</v>
      </c>
      <c r="V869">
        <v>0</v>
      </c>
      <c r="W869">
        <v>32.54</v>
      </c>
      <c r="X869">
        <v>0</v>
      </c>
      <c r="Y869">
        <v>135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</row>
    <row r="870" spans="1:36">
      <c r="A870" t="s">
        <v>190</v>
      </c>
      <c r="B870" t="s">
        <v>142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0.01</v>
      </c>
      <c r="V870">
        <v>17.89</v>
      </c>
      <c r="W870">
        <v>0</v>
      </c>
      <c r="X870">
        <v>0</v>
      </c>
      <c r="Y870">
        <v>0.19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</row>
    <row r="871" spans="1:36">
      <c r="A871" t="s">
        <v>190</v>
      </c>
      <c r="B871" t="s">
        <v>143</v>
      </c>
      <c r="C871">
        <v>10.16</v>
      </c>
      <c r="D871">
        <v>0</v>
      </c>
      <c r="E871">
        <v>0</v>
      </c>
      <c r="F871">
        <v>183.39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</row>
    <row r="872" spans="1:36">
      <c r="A872" t="s">
        <v>190</v>
      </c>
      <c r="B872" t="s">
        <v>144</v>
      </c>
      <c r="C872">
        <v>0.15</v>
      </c>
      <c r="D872">
        <v>0</v>
      </c>
      <c r="E872">
        <v>0</v>
      </c>
      <c r="F872">
        <v>2.83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</row>
    <row r="873" spans="1:36">
      <c r="A873" t="s">
        <v>190</v>
      </c>
      <c r="B873" t="s">
        <v>145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3.35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</row>
    <row r="874" spans="1:36">
      <c r="A874" t="s">
        <v>190</v>
      </c>
      <c r="B874" t="s">
        <v>146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</row>
    <row r="875" spans="1:36">
      <c r="A875" t="s">
        <v>190</v>
      </c>
      <c r="B875" t="s">
        <v>147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>
      <c r="A876" t="s">
        <v>190</v>
      </c>
      <c r="B876" t="s">
        <v>148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</row>
    <row r="877" spans="1:36">
      <c r="A877" t="s">
        <v>190</v>
      </c>
      <c r="B877" t="s">
        <v>149</v>
      </c>
      <c r="C877">
        <v>8.36</v>
      </c>
      <c r="D877">
        <v>0</v>
      </c>
      <c r="E877">
        <v>0</v>
      </c>
      <c r="F877">
        <v>216.27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13.18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 t="s">
        <v>190</v>
      </c>
      <c r="B878" t="s">
        <v>150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</row>
    <row r="879" spans="1:36">
      <c r="A879" t="s">
        <v>190</v>
      </c>
      <c r="B879" t="s">
        <v>151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4.08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3.88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</row>
    <row r="880" spans="1:36">
      <c r="A880" t="s">
        <v>190</v>
      </c>
      <c r="B880" t="s">
        <v>152</v>
      </c>
      <c r="C880">
        <v>15.85</v>
      </c>
      <c r="D880">
        <v>0</v>
      </c>
      <c r="E880">
        <v>0</v>
      </c>
      <c r="F880">
        <v>610.98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</row>
    <row r="881" spans="1:36">
      <c r="A881" t="s">
        <v>190</v>
      </c>
      <c r="B881" t="s">
        <v>153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0.27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23.55</v>
      </c>
      <c r="AH881">
        <v>28.43</v>
      </c>
      <c r="AI881">
        <v>-366.4</v>
      </c>
      <c r="AJ881">
        <v>0</v>
      </c>
    </row>
    <row r="882" spans="1:36">
      <c r="A882" t="s">
        <v>190</v>
      </c>
      <c r="B882" t="s">
        <v>154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</row>
    <row r="883" spans="1:36">
      <c r="A883" t="s">
        <v>190</v>
      </c>
      <c r="B883" t="s">
        <v>155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</row>
    <row r="884" spans="1:36">
      <c r="A884" t="s">
        <v>190</v>
      </c>
      <c r="B884" t="s">
        <v>156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 t="s">
        <v>190</v>
      </c>
      <c r="B885" t="s">
        <v>51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42.05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 t="s">
        <v>190</v>
      </c>
      <c r="B886" t="s">
        <v>157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7.97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>
      <c r="A887" t="s">
        <v>190</v>
      </c>
      <c r="B887" t="s">
        <v>158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30.64</v>
      </c>
      <c r="W887">
        <v>0.23</v>
      </c>
      <c r="X887">
        <v>0.12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</row>
    <row r="888" spans="1:36">
      <c r="A888" t="s">
        <v>190</v>
      </c>
      <c r="B888" t="s">
        <v>159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 t="s">
        <v>190</v>
      </c>
      <c r="B889" t="s">
        <v>160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</row>
    <row r="890" spans="1:36">
      <c r="A890" t="s">
        <v>190</v>
      </c>
      <c r="B890" t="s">
        <v>161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</row>
    <row r="891" spans="1:36">
      <c r="A891" t="s">
        <v>190</v>
      </c>
      <c r="B891" t="s">
        <v>59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7.92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4.33</v>
      </c>
      <c r="AJ891">
        <v>0</v>
      </c>
    </row>
    <row r="892" spans="1:36">
      <c r="A892" t="s">
        <v>190</v>
      </c>
      <c r="B892" t="s">
        <v>162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 t="s">
        <v>190</v>
      </c>
      <c r="B893" t="s">
        <v>163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12.79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</row>
    <row r="894" spans="1:36">
      <c r="A894" t="s">
        <v>190</v>
      </c>
      <c r="B894" t="s">
        <v>164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39.17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</row>
    <row r="895" spans="1:36">
      <c r="A895" t="s">
        <v>190</v>
      </c>
      <c r="B895" t="s">
        <v>165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4.12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</row>
    <row r="896" spans="1:36">
      <c r="A896" t="s">
        <v>190</v>
      </c>
      <c r="B896" t="s">
        <v>166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10.49</v>
      </c>
      <c r="W896">
        <v>30.19</v>
      </c>
      <c r="X896">
        <v>1.65</v>
      </c>
      <c r="Y896">
        <v>0.22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0.63</v>
      </c>
      <c r="AJ896">
        <v>0</v>
      </c>
    </row>
    <row r="897" spans="1:36">
      <c r="A897" t="s">
        <v>190</v>
      </c>
      <c r="B897" t="s">
        <v>167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3.06</v>
      </c>
      <c r="W897">
        <v>12.35</v>
      </c>
      <c r="X897">
        <v>0</v>
      </c>
      <c r="Y897">
        <v>0.02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>
      <c r="A898" t="s">
        <v>190</v>
      </c>
      <c r="B898" t="s">
        <v>168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21.96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</row>
    <row r="899" spans="1:36">
      <c r="A899" t="s">
        <v>181</v>
      </c>
      <c r="B899" t="s">
        <v>191</v>
      </c>
      <c r="C899">
        <v>0</v>
      </c>
      <c r="D899">
        <v>0</v>
      </c>
      <c r="E899">
        <v>0</v>
      </c>
      <c r="F899">
        <v>20.34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4.8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</row>
    <row r="900" spans="1:36">
      <c r="A900" t="s">
        <v>181</v>
      </c>
      <c r="B900" t="s">
        <v>192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4.8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</row>
    <row r="901" spans="1:36">
      <c r="A901" t="s">
        <v>181</v>
      </c>
      <c r="B901" t="s">
        <v>193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</row>
    <row r="902" spans="1:36">
      <c r="A902" t="s">
        <v>181</v>
      </c>
      <c r="B902" t="s">
        <v>194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</row>
    <row r="903" spans="1:36">
      <c r="A903" t="s">
        <v>181</v>
      </c>
      <c r="B903" t="s">
        <v>195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 t="s">
        <v>181</v>
      </c>
      <c r="B904" t="s">
        <v>196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0.2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</row>
    <row r="905" spans="1:36">
      <c r="A905" t="s">
        <v>181</v>
      </c>
      <c r="B905" t="s">
        <v>197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</row>
    <row r="906" spans="1:36">
      <c r="A906" t="s">
        <v>181</v>
      </c>
      <c r="B906" t="s">
        <v>198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</row>
    <row r="907" spans="1:36">
      <c r="A907" t="s">
        <v>181</v>
      </c>
      <c r="B907" t="s">
        <v>199</v>
      </c>
      <c r="C907">
        <v>0</v>
      </c>
      <c r="D907">
        <v>0</v>
      </c>
      <c r="E907">
        <v>0</v>
      </c>
      <c r="F907">
        <v>48.1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18.989999999999998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 t="s">
        <v>181</v>
      </c>
      <c r="B908" t="s">
        <v>200</v>
      </c>
      <c r="C908">
        <v>0</v>
      </c>
      <c r="D908">
        <v>0</v>
      </c>
      <c r="E908">
        <v>0</v>
      </c>
      <c r="F908">
        <v>0.98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0.8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>
      <c r="A909" t="s">
        <v>181</v>
      </c>
      <c r="B909" t="s">
        <v>193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</row>
    <row r="910" spans="1:36">
      <c r="A910" t="s">
        <v>181</v>
      </c>
      <c r="B910" t="s">
        <v>196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0.99</v>
      </c>
      <c r="J910">
        <v>0</v>
      </c>
      <c r="K910">
        <v>0</v>
      </c>
      <c r="L910">
        <v>0</v>
      </c>
      <c r="M910">
        <v>0</v>
      </c>
      <c r="N910">
        <v>0.68</v>
      </c>
      <c r="O910">
        <v>2.4700000000000002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</row>
    <row r="911" spans="1:36">
      <c r="A911" t="s">
        <v>181</v>
      </c>
      <c r="B911" t="s">
        <v>197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</row>
    <row r="912" spans="1:36">
      <c r="A912" t="s">
        <v>181</v>
      </c>
      <c r="B912" t="s">
        <v>198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</row>
    <row r="913" spans="1:36">
      <c r="A913" t="s">
        <v>181</v>
      </c>
      <c r="B913" t="s">
        <v>199</v>
      </c>
      <c r="C913">
        <v>0.23</v>
      </c>
      <c r="D913">
        <v>0</v>
      </c>
      <c r="E913">
        <v>0</v>
      </c>
      <c r="F913">
        <v>2.2400000000000002</v>
      </c>
      <c r="G913">
        <v>0</v>
      </c>
      <c r="H913">
        <v>0</v>
      </c>
      <c r="I913">
        <v>97.95</v>
      </c>
      <c r="J913">
        <v>0</v>
      </c>
      <c r="K913">
        <v>0</v>
      </c>
      <c r="L913">
        <v>0</v>
      </c>
      <c r="M913">
        <v>0</v>
      </c>
      <c r="N913">
        <v>67.040000000000006</v>
      </c>
      <c r="O913">
        <v>234.37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>
      <c r="A914" t="s">
        <v>181</v>
      </c>
      <c r="B914" t="s">
        <v>200</v>
      </c>
      <c r="C914">
        <v>0</v>
      </c>
      <c r="D914">
        <v>0</v>
      </c>
      <c r="E914">
        <v>0</v>
      </c>
      <c r="F914">
        <v>0.05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9.8699999999999992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 t="s">
        <v>189</v>
      </c>
      <c r="B915" t="s">
        <v>191</v>
      </c>
      <c r="C915">
        <v>0</v>
      </c>
      <c r="D915">
        <v>0</v>
      </c>
      <c r="E915">
        <v>0</v>
      </c>
      <c r="F915">
        <v>2.0499999999999998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1.34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</row>
    <row r="916" spans="1:36">
      <c r="A916" t="s">
        <v>189</v>
      </c>
      <c r="B916" t="s">
        <v>192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1.34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</row>
    <row r="917" spans="1:36">
      <c r="A917" t="s">
        <v>189</v>
      </c>
      <c r="B917" t="s">
        <v>193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</row>
    <row r="918" spans="1:36">
      <c r="A918" t="s">
        <v>189</v>
      </c>
      <c r="B918" t="s">
        <v>194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</row>
    <row r="919" spans="1:36">
      <c r="A919" t="s">
        <v>189</v>
      </c>
      <c r="B919" t="s">
        <v>195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>
      <c r="A920" t="s">
        <v>189</v>
      </c>
      <c r="B920" t="s">
        <v>196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0.01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</row>
    <row r="921" spans="1:36">
      <c r="A921" t="s">
        <v>189</v>
      </c>
      <c r="B921" t="s">
        <v>197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 t="s">
        <v>189</v>
      </c>
      <c r="B922" t="s">
        <v>198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</row>
    <row r="923" spans="1:36">
      <c r="A923" t="s">
        <v>189</v>
      </c>
      <c r="B923" t="s">
        <v>199</v>
      </c>
      <c r="C923">
        <v>0</v>
      </c>
      <c r="D923">
        <v>0</v>
      </c>
      <c r="E923">
        <v>0</v>
      </c>
      <c r="F923">
        <v>0.2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1.03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</row>
    <row r="924" spans="1:36">
      <c r="A924" t="s">
        <v>189</v>
      </c>
      <c r="B924" t="s">
        <v>200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0.04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</row>
    <row r="925" spans="1:36">
      <c r="A925" t="s">
        <v>189</v>
      </c>
      <c r="B925" t="s">
        <v>193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</row>
    <row r="926" spans="1:36">
      <c r="A926" t="s">
        <v>189</v>
      </c>
      <c r="B926" t="s">
        <v>196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0.34</v>
      </c>
      <c r="J926">
        <v>0</v>
      </c>
      <c r="K926">
        <v>0</v>
      </c>
      <c r="L926">
        <v>0</v>
      </c>
      <c r="M926">
        <v>0</v>
      </c>
      <c r="N926">
        <v>0.23</v>
      </c>
      <c r="O926">
        <v>0.85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</row>
    <row r="927" spans="1:36">
      <c r="A927" t="s">
        <v>189</v>
      </c>
      <c r="B927" t="s">
        <v>197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</row>
    <row r="928" spans="1:36">
      <c r="A928" t="s">
        <v>189</v>
      </c>
      <c r="B928" t="s">
        <v>198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 t="s">
        <v>189</v>
      </c>
      <c r="B929" t="s">
        <v>199</v>
      </c>
      <c r="C929">
        <v>3.58</v>
      </c>
      <c r="D929">
        <v>0</v>
      </c>
      <c r="E929">
        <v>0</v>
      </c>
      <c r="F929">
        <v>34.81</v>
      </c>
      <c r="G929">
        <v>0</v>
      </c>
      <c r="H929">
        <v>0</v>
      </c>
      <c r="I929">
        <v>33.68</v>
      </c>
      <c r="J929">
        <v>0</v>
      </c>
      <c r="K929">
        <v>0</v>
      </c>
      <c r="L929">
        <v>0</v>
      </c>
      <c r="M929">
        <v>0</v>
      </c>
      <c r="N929">
        <v>23.05</v>
      </c>
      <c r="O929">
        <v>80.59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 t="s">
        <v>189</v>
      </c>
      <c r="B930" t="s">
        <v>200</v>
      </c>
      <c r="C930">
        <v>7.0000000000000007E-2</v>
      </c>
      <c r="D930">
        <v>0</v>
      </c>
      <c r="E930">
        <v>0</v>
      </c>
      <c r="F930">
        <v>0.71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3.39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>
      <c r="A931" t="s">
        <v>169</v>
      </c>
      <c r="B931" t="s">
        <v>191</v>
      </c>
      <c r="C931">
        <v>0</v>
      </c>
      <c r="D931">
        <v>0</v>
      </c>
      <c r="E931">
        <v>0</v>
      </c>
      <c r="F931">
        <v>43.21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3.99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</row>
    <row r="932" spans="1:36">
      <c r="A932" t="s">
        <v>169</v>
      </c>
      <c r="B932" t="s">
        <v>192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3.99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 t="s">
        <v>169</v>
      </c>
      <c r="B933" t="s">
        <v>193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</row>
    <row r="934" spans="1:36">
      <c r="A934" t="s">
        <v>169</v>
      </c>
      <c r="B934" t="s">
        <v>194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</row>
    <row r="935" spans="1:36">
      <c r="A935" t="s">
        <v>169</v>
      </c>
      <c r="B935" t="s">
        <v>195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</row>
    <row r="936" spans="1:36">
      <c r="A936" t="s">
        <v>169</v>
      </c>
      <c r="B936" t="s">
        <v>196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0.28999999999999998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 t="s">
        <v>169</v>
      </c>
      <c r="B937" t="s">
        <v>197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</row>
    <row r="938" spans="1:36">
      <c r="A938" t="s">
        <v>169</v>
      </c>
      <c r="B938" t="s">
        <v>198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</row>
    <row r="939" spans="1:36">
      <c r="A939" t="s">
        <v>169</v>
      </c>
      <c r="B939" t="s">
        <v>199</v>
      </c>
      <c r="C939">
        <v>0</v>
      </c>
      <c r="D939">
        <v>0</v>
      </c>
      <c r="E939">
        <v>0</v>
      </c>
      <c r="F939">
        <v>36.479999999999997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27.08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 t="s">
        <v>169</v>
      </c>
      <c r="B940" t="s">
        <v>200</v>
      </c>
      <c r="C940">
        <v>0</v>
      </c>
      <c r="D940">
        <v>0</v>
      </c>
      <c r="E940">
        <v>0</v>
      </c>
      <c r="F940">
        <v>0.74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1.1399999999999999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</row>
    <row r="941" spans="1:36">
      <c r="A941" t="s">
        <v>169</v>
      </c>
      <c r="B941" t="s">
        <v>193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>
      <c r="A942" t="s">
        <v>169</v>
      </c>
      <c r="B942" t="s">
        <v>196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0.64</v>
      </c>
      <c r="J942">
        <v>0</v>
      </c>
      <c r="K942">
        <v>0</v>
      </c>
      <c r="L942">
        <v>0</v>
      </c>
      <c r="M942">
        <v>0</v>
      </c>
      <c r="N942">
        <v>0.44</v>
      </c>
      <c r="O942">
        <v>1.59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</row>
    <row r="943" spans="1:36">
      <c r="A943" t="s">
        <v>169</v>
      </c>
      <c r="B943" t="s">
        <v>197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</row>
    <row r="944" spans="1:36">
      <c r="A944" t="s">
        <v>169</v>
      </c>
      <c r="B944" t="s">
        <v>198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</row>
    <row r="945" spans="1:36">
      <c r="A945" t="s">
        <v>169</v>
      </c>
      <c r="B945" t="s">
        <v>199</v>
      </c>
      <c r="C945">
        <v>0.03</v>
      </c>
      <c r="D945">
        <v>0</v>
      </c>
      <c r="E945">
        <v>0</v>
      </c>
      <c r="F945">
        <v>0.33</v>
      </c>
      <c r="G945">
        <v>0</v>
      </c>
      <c r="H945">
        <v>0</v>
      </c>
      <c r="I945">
        <v>63.31</v>
      </c>
      <c r="J945">
        <v>0</v>
      </c>
      <c r="K945">
        <v>0</v>
      </c>
      <c r="L945">
        <v>0</v>
      </c>
      <c r="M945">
        <v>0</v>
      </c>
      <c r="N945">
        <v>43.33</v>
      </c>
      <c r="O945">
        <v>151.49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</row>
    <row r="946" spans="1:36">
      <c r="A946" t="s">
        <v>169</v>
      </c>
      <c r="B946" t="s">
        <v>200</v>
      </c>
      <c r="C946">
        <v>0</v>
      </c>
      <c r="D946">
        <v>0</v>
      </c>
      <c r="E946">
        <v>0</v>
      </c>
      <c r="F946">
        <v>0.01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6.38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spans="1:36">
      <c r="A947" t="s">
        <v>170</v>
      </c>
      <c r="B947" t="s">
        <v>191</v>
      </c>
      <c r="C947">
        <v>0</v>
      </c>
      <c r="D947">
        <v>0</v>
      </c>
      <c r="E947">
        <v>0</v>
      </c>
      <c r="F947">
        <v>6.57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2.7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</row>
    <row r="948" spans="1:36">
      <c r="A948" t="s">
        <v>170</v>
      </c>
      <c r="B948" t="s">
        <v>192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2.7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</row>
    <row r="949" spans="1:36">
      <c r="A949" t="s">
        <v>170</v>
      </c>
      <c r="B949" t="s">
        <v>193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</row>
    <row r="950" spans="1:36">
      <c r="A950" t="s">
        <v>170</v>
      </c>
      <c r="B950" t="s">
        <v>194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 t="s">
        <v>170</v>
      </c>
      <c r="B951" t="s">
        <v>195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</row>
    <row r="952" spans="1:36">
      <c r="A952" t="s">
        <v>170</v>
      </c>
      <c r="B952" t="s">
        <v>196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>
      <c r="A953" t="s">
        <v>170</v>
      </c>
      <c r="B953" t="s">
        <v>197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</row>
    <row r="954" spans="1:36">
      <c r="A954" t="s">
        <v>170</v>
      </c>
      <c r="B954" t="s">
        <v>198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</row>
    <row r="955" spans="1:36">
      <c r="A955" t="s">
        <v>170</v>
      </c>
      <c r="B955" t="s">
        <v>199</v>
      </c>
      <c r="C955">
        <v>0</v>
      </c>
      <c r="D955">
        <v>0</v>
      </c>
      <c r="E955">
        <v>0</v>
      </c>
      <c r="F955">
        <v>0.8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0.21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</row>
    <row r="956" spans="1:36">
      <c r="A956" t="s">
        <v>170</v>
      </c>
      <c r="B956" t="s">
        <v>200</v>
      </c>
      <c r="C956">
        <v>0</v>
      </c>
      <c r="D956">
        <v>0</v>
      </c>
      <c r="E956">
        <v>0</v>
      </c>
      <c r="F956">
        <v>0.02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0.01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</row>
    <row r="957" spans="1:36">
      <c r="A957" t="s">
        <v>170</v>
      </c>
      <c r="B957" t="s">
        <v>193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</row>
    <row r="958" spans="1:36">
      <c r="A958" t="s">
        <v>170</v>
      </c>
      <c r="B958" t="s">
        <v>196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0.39</v>
      </c>
      <c r="J958">
        <v>0</v>
      </c>
      <c r="K958">
        <v>0</v>
      </c>
      <c r="L958">
        <v>0</v>
      </c>
      <c r="M958">
        <v>0</v>
      </c>
      <c r="N958">
        <v>0.27</v>
      </c>
      <c r="O958">
        <v>0.97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</row>
    <row r="959" spans="1:36">
      <c r="A959" t="s">
        <v>170</v>
      </c>
      <c r="B959" t="s">
        <v>197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</row>
    <row r="960" spans="1:36">
      <c r="A960" t="s">
        <v>170</v>
      </c>
      <c r="B960" t="s">
        <v>198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</row>
    <row r="961" spans="1:36">
      <c r="A961" t="s">
        <v>170</v>
      </c>
      <c r="B961" t="s">
        <v>199</v>
      </c>
      <c r="C961">
        <v>0.01</v>
      </c>
      <c r="D961">
        <v>0</v>
      </c>
      <c r="E961">
        <v>0</v>
      </c>
      <c r="F961">
        <v>0.13</v>
      </c>
      <c r="G961">
        <v>0</v>
      </c>
      <c r="H961">
        <v>0</v>
      </c>
      <c r="I961">
        <v>38.39</v>
      </c>
      <c r="J961">
        <v>0</v>
      </c>
      <c r="K961">
        <v>0</v>
      </c>
      <c r="L961">
        <v>0</v>
      </c>
      <c r="M961">
        <v>0</v>
      </c>
      <c r="N961">
        <v>26.28</v>
      </c>
      <c r="O961">
        <v>91.86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</row>
    <row r="962" spans="1:36">
      <c r="A962" t="s">
        <v>170</v>
      </c>
      <c r="B962" t="s">
        <v>200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3.87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</row>
    <row r="963" spans="1:36">
      <c r="A963" t="s">
        <v>171</v>
      </c>
      <c r="B963" t="s">
        <v>191</v>
      </c>
      <c r="C963">
        <v>0</v>
      </c>
      <c r="D963">
        <v>0</v>
      </c>
      <c r="E963">
        <v>0</v>
      </c>
      <c r="F963">
        <v>5.92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3.4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>
      <c r="A964" t="s">
        <v>171</v>
      </c>
      <c r="B964" t="s">
        <v>192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3.4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</row>
    <row r="965" spans="1:36">
      <c r="A965" t="s">
        <v>171</v>
      </c>
      <c r="B965" t="s">
        <v>193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 t="s">
        <v>171</v>
      </c>
      <c r="B966" t="s">
        <v>194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</row>
    <row r="967" spans="1:36">
      <c r="A967" t="s">
        <v>171</v>
      </c>
      <c r="B967" t="s">
        <v>195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</row>
    <row r="968" spans="1:36">
      <c r="A968" t="s">
        <v>171</v>
      </c>
      <c r="B968" t="s">
        <v>196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0.17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</row>
    <row r="969" spans="1:36">
      <c r="A969" t="s">
        <v>171</v>
      </c>
      <c r="B969" t="s">
        <v>197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</row>
    <row r="970" spans="1:36">
      <c r="A970" t="s">
        <v>171</v>
      </c>
      <c r="B970" t="s">
        <v>198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</row>
    <row r="971" spans="1:36">
      <c r="A971" t="s">
        <v>171</v>
      </c>
      <c r="B971" t="s">
        <v>199</v>
      </c>
      <c r="C971">
        <v>0</v>
      </c>
      <c r="D971">
        <v>0</v>
      </c>
      <c r="E971">
        <v>0</v>
      </c>
      <c r="F971">
        <v>23.36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16.32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</row>
    <row r="972" spans="1:36">
      <c r="A972" t="s">
        <v>171</v>
      </c>
      <c r="B972" t="s">
        <v>200</v>
      </c>
      <c r="C972">
        <v>0</v>
      </c>
      <c r="D972">
        <v>0</v>
      </c>
      <c r="E972">
        <v>0</v>
      </c>
      <c r="F972">
        <v>0.48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0.69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</row>
    <row r="973" spans="1:36">
      <c r="A973" t="s">
        <v>171</v>
      </c>
      <c r="B973" t="s">
        <v>193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</row>
    <row r="974" spans="1:36">
      <c r="A974" t="s">
        <v>171</v>
      </c>
      <c r="B974" t="s">
        <v>196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0.95</v>
      </c>
      <c r="J974">
        <v>0</v>
      </c>
      <c r="K974">
        <v>0</v>
      </c>
      <c r="L974">
        <v>0</v>
      </c>
      <c r="M974">
        <v>0</v>
      </c>
      <c r="N974">
        <v>0.65</v>
      </c>
      <c r="O974">
        <v>2.38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>
      <c r="A975" t="s">
        <v>171</v>
      </c>
      <c r="B975" t="s">
        <v>197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</row>
    <row r="976" spans="1:36">
      <c r="A976" t="s">
        <v>171</v>
      </c>
      <c r="B976" t="s">
        <v>198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 t="s">
        <v>171</v>
      </c>
      <c r="B977" t="s">
        <v>199</v>
      </c>
      <c r="C977">
        <v>0.11</v>
      </c>
      <c r="D977">
        <v>0</v>
      </c>
      <c r="E977">
        <v>0</v>
      </c>
      <c r="F977">
        <v>1.04</v>
      </c>
      <c r="G977">
        <v>0</v>
      </c>
      <c r="H977">
        <v>0</v>
      </c>
      <c r="I977">
        <v>94.53</v>
      </c>
      <c r="J977">
        <v>0</v>
      </c>
      <c r="K977">
        <v>0</v>
      </c>
      <c r="L977">
        <v>0</v>
      </c>
      <c r="M977">
        <v>0</v>
      </c>
      <c r="N977">
        <v>64.7</v>
      </c>
      <c r="O977">
        <v>226.2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</row>
    <row r="978" spans="1:36">
      <c r="A978" t="s">
        <v>171</v>
      </c>
      <c r="B978" t="s">
        <v>200</v>
      </c>
      <c r="C978">
        <v>0</v>
      </c>
      <c r="D978">
        <v>0</v>
      </c>
      <c r="E978">
        <v>0</v>
      </c>
      <c r="F978">
        <v>0.02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9.52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</row>
    <row r="979" spans="1:36">
      <c r="A979" t="s">
        <v>172</v>
      </c>
      <c r="B979" t="s">
        <v>191</v>
      </c>
      <c r="C979">
        <v>0</v>
      </c>
      <c r="D979">
        <v>0</v>
      </c>
      <c r="E979">
        <v>0</v>
      </c>
      <c r="F979">
        <v>48.24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8.67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 t="s">
        <v>172</v>
      </c>
      <c r="B980" t="s">
        <v>192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8.67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</row>
    <row r="981" spans="1:36">
      <c r="A981" t="s">
        <v>172</v>
      </c>
      <c r="B981" t="s">
        <v>193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</row>
    <row r="982" spans="1:36">
      <c r="A982" t="s">
        <v>172</v>
      </c>
      <c r="B982" t="s">
        <v>194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</row>
    <row r="983" spans="1:36">
      <c r="A983" t="s">
        <v>172</v>
      </c>
      <c r="B983" t="s">
        <v>195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 t="s">
        <v>172</v>
      </c>
      <c r="B984" t="s">
        <v>196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0.52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 t="s">
        <v>172</v>
      </c>
      <c r="B985" t="s">
        <v>197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>
      <c r="A986" t="s">
        <v>172</v>
      </c>
      <c r="B986" t="s">
        <v>198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</row>
    <row r="987" spans="1:36">
      <c r="A987" t="s">
        <v>172</v>
      </c>
      <c r="B987" t="s">
        <v>199</v>
      </c>
      <c r="C987">
        <v>0</v>
      </c>
      <c r="D987">
        <v>0</v>
      </c>
      <c r="E987">
        <v>0</v>
      </c>
      <c r="F987">
        <v>16.260000000000002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49.14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</row>
    <row r="988" spans="1:36">
      <c r="A988" t="s">
        <v>172</v>
      </c>
      <c r="B988" t="s">
        <v>200</v>
      </c>
      <c r="C988">
        <v>0</v>
      </c>
      <c r="D988">
        <v>0</v>
      </c>
      <c r="E988">
        <v>0</v>
      </c>
      <c r="F988">
        <v>0.33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2.0699999999999998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</row>
    <row r="989" spans="1:36">
      <c r="A989" t="s">
        <v>172</v>
      </c>
      <c r="B989" t="s">
        <v>193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</row>
    <row r="990" spans="1:36">
      <c r="A990" t="s">
        <v>172</v>
      </c>
      <c r="B990" t="s">
        <v>196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0.92</v>
      </c>
      <c r="J990">
        <v>0</v>
      </c>
      <c r="K990">
        <v>0</v>
      </c>
      <c r="L990">
        <v>0</v>
      </c>
      <c r="M990">
        <v>0</v>
      </c>
      <c r="N990">
        <v>0.63</v>
      </c>
      <c r="O990">
        <v>2.31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>
      <c r="A991" t="s">
        <v>172</v>
      </c>
      <c r="B991" t="s">
        <v>197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 t="s">
        <v>172</v>
      </c>
      <c r="B992" t="s">
        <v>198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</row>
    <row r="993" spans="1:36">
      <c r="A993" t="s">
        <v>172</v>
      </c>
      <c r="B993" t="s">
        <v>199</v>
      </c>
      <c r="C993">
        <v>0.17</v>
      </c>
      <c r="D993">
        <v>0</v>
      </c>
      <c r="E993">
        <v>0</v>
      </c>
      <c r="F993">
        <v>1.64</v>
      </c>
      <c r="G993">
        <v>0</v>
      </c>
      <c r="H993">
        <v>0</v>
      </c>
      <c r="I993">
        <v>91.57</v>
      </c>
      <c r="J993">
        <v>0</v>
      </c>
      <c r="K993">
        <v>0</v>
      </c>
      <c r="L993">
        <v>0</v>
      </c>
      <c r="M993">
        <v>0</v>
      </c>
      <c r="N993">
        <v>62.68</v>
      </c>
      <c r="O993">
        <v>219.12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</row>
    <row r="994" spans="1:36">
      <c r="A994" t="s">
        <v>172</v>
      </c>
      <c r="B994" t="s">
        <v>200</v>
      </c>
      <c r="C994">
        <v>0</v>
      </c>
      <c r="D994">
        <v>0</v>
      </c>
      <c r="E994">
        <v>0</v>
      </c>
      <c r="F994">
        <v>0.03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9.23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</row>
    <row r="995" spans="1:36">
      <c r="A995" t="s">
        <v>173</v>
      </c>
      <c r="B995" t="s">
        <v>191</v>
      </c>
      <c r="C995">
        <v>0</v>
      </c>
      <c r="D995">
        <v>0</v>
      </c>
      <c r="E995">
        <v>0</v>
      </c>
      <c r="F995">
        <v>1.51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0.67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</row>
    <row r="996" spans="1:36">
      <c r="A996" t="s">
        <v>173</v>
      </c>
      <c r="B996" t="s">
        <v>192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0.67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 t="s">
        <v>173</v>
      </c>
      <c r="B997" t="s">
        <v>193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</row>
    <row r="998" spans="1:36">
      <c r="A998" t="s">
        <v>173</v>
      </c>
      <c r="B998" t="s">
        <v>194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 t="s">
        <v>173</v>
      </c>
      <c r="B999" t="s">
        <v>195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</row>
    <row r="1000" spans="1:36">
      <c r="A1000" t="s">
        <v>173</v>
      </c>
      <c r="B1000" t="s">
        <v>196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0.02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</row>
    <row r="1001" spans="1:36">
      <c r="A1001" t="s">
        <v>173</v>
      </c>
      <c r="B1001" t="s">
        <v>197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</row>
    <row r="1002" spans="1:36">
      <c r="A1002" t="s">
        <v>173</v>
      </c>
      <c r="B1002" t="s">
        <v>198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>
      <c r="A1003" t="s">
        <v>173</v>
      </c>
      <c r="B1003" t="s">
        <v>199</v>
      </c>
      <c r="C1003">
        <v>0</v>
      </c>
      <c r="D1003">
        <v>0</v>
      </c>
      <c r="E1003">
        <v>0</v>
      </c>
      <c r="F1003">
        <v>0.02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1.98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</row>
    <row r="1004" spans="1:36">
      <c r="A1004" t="s">
        <v>173</v>
      </c>
      <c r="B1004" t="s">
        <v>200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0.08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</row>
    <row r="1005" spans="1:36">
      <c r="A1005" t="s">
        <v>173</v>
      </c>
      <c r="B1005" t="s">
        <v>193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</row>
    <row r="1006" spans="1:36">
      <c r="A1006" t="s">
        <v>173</v>
      </c>
      <c r="B1006" t="s">
        <v>196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0.17</v>
      </c>
      <c r="J1006">
        <v>0</v>
      </c>
      <c r="K1006">
        <v>0</v>
      </c>
      <c r="L1006">
        <v>0</v>
      </c>
      <c r="M1006">
        <v>0</v>
      </c>
      <c r="N1006">
        <v>0.12</v>
      </c>
      <c r="O1006">
        <v>0.42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</row>
    <row r="1007" spans="1:36">
      <c r="A1007" t="s">
        <v>173</v>
      </c>
      <c r="B1007" t="s">
        <v>197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>
      <c r="A1008" t="s">
        <v>173</v>
      </c>
      <c r="B1008" t="s">
        <v>198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</row>
    <row r="1009" spans="1:36">
      <c r="A1009" t="s">
        <v>173</v>
      </c>
      <c r="B1009" t="s">
        <v>199</v>
      </c>
      <c r="C1009">
        <v>0.08</v>
      </c>
      <c r="D1009">
        <v>0</v>
      </c>
      <c r="E1009">
        <v>0</v>
      </c>
      <c r="F1009">
        <v>0.78</v>
      </c>
      <c r="G1009">
        <v>0</v>
      </c>
      <c r="H1009">
        <v>0</v>
      </c>
      <c r="I1009">
        <v>16.809999999999999</v>
      </c>
      <c r="J1009">
        <v>0</v>
      </c>
      <c r="K1009">
        <v>0</v>
      </c>
      <c r="L1009">
        <v>0</v>
      </c>
      <c r="M1009">
        <v>0</v>
      </c>
      <c r="N1009">
        <v>11.51</v>
      </c>
      <c r="O1009">
        <v>40.229999999999997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 t="s">
        <v>173</v>
      </c>
      <c r="B1010" t="s">
        <v>200</v>
      </c>
      <c r="C1010">
        <v>0</v>
      </c>
      <c r="D1010">
        <v>0</v>
      </c>
      <c r="E1010">
        <v>0</v>
      </c>
      <c r="F1010">
        <v>0.02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1.69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</row>
    <row r="1011" spans="1:36">
      <c r="A1011" t="s">
        <v>174</v>
      </c>
      <c r="B1011" t="s">
        <v>191</v>
      </c>
      <c r="C1011">
        <v>0</v>
      </c>
      <c r="D1011">
        <v>0</v>
      </c>
      <c r="E1011">
        <v>0</v>
      </c>
      <c r="F1011">
        <v>2.5099999999999998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1.18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</row>
    <row r="1012" spans="1:36">
      <c r="A1012" t="s">
        <v>174</v>
      </c>
      <c r="B1012" t="s">
        <v>192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1.18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</row>
    <row r="1013" spans="1:36">
      <c r="A1013" t="s">
        <v>174</v>
      </c>
      <c r="B1013" t="s">
        <v>193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>
      <c r="A1014" t="s">
        <v>174</v>
      </c>
      <c r="B1014" t="s">
        <v>194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</row>
    <row r="1015" spans="1:36">
      <c r="A1015" t="s">
        <v>174</v>
      </c>
      <c r="B1015" t="s">
        <v>195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</row>
    <row r="1016" spans="1:36">
      <c r="A1016" t="s">
        <v>174</v>
      </c>
      <c r="B1016" t="s">
        <v>196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0.04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 t="s">
        <v>174</v>
      </c>
      <c r="B1017" t="s">
        <v>197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 t="s">
        <v>174</v>
      </c>
      <c r="B1018" t="s">
        <v>198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>
      <c r="A1019" t="s">
        <v>174</v>
      </c>
      <c r="B1019" t="s">
        <v>199</v>
      </c>
      <c r="C1019">
        <v>0</v>
      </c>
      <c r="D1019">
        <v>0</v>
      </c>
      <c r="E1019">
        <v>0</v>
      </c>
      <c r="F1019">
        <v>0.49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3.99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</row>
    <row r="1020" spans="1:36">
      <c r="A1020" t="s">
        <v>174</v>
      </c>
      <c r="B1020" t="s">
        <v>200</v>
      </c>
      <c r="C1020">
        <v>0</v>
      </c>
      <c r="D1020">
        <v>0</v>
      </c>
      <c r="E1020">
        <v>0</v>
      </c>
      <c r="F1020">
        <v>0.01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0.17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 t="s">
        <v>174</v>
      </c>
      <c r="B1021" t="s">
        <v>193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</row>
    <row r="1022" spans="1:36">
      <c r="A1022" t="s">
        <v>174</v>
      </c>
      <c r="B1022" t="s">
        <v>196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0.65</v>
      </c>
      <c r="J1022">
        <v>0</v>
      </c>
      <c r="K1022">
        <v>0</v>
      </c>
      <c r="L1022">
        <v>0</v>
      </c>
      <c r="M1022">
        <v>0</v>
      </c>
      <c r="N1022">
        <v>0.45</v>
      </c>
      <c r="O1022">
        <v>1.63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</row>
    <row r="1023" spans="1:36">
      <c r="A1023" t="s">
        <v>174</v>
      </c>
      <c r="B1023" t="s">
        <v>197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</row>
    <row r="1024" spans="1:36">
      <c r="A1024" t="s">
        <v>174</v>
      </c>
      <c r="B1024" t="s">
        <v>198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 t="s">
        <v>174</v>
      </c>
      <c r="B1025" t="s">
        <v>199</v>
      </c>
      <c r="C1025">
        <v>0.49</v>
      </c>
      <c r="D1025">
        <v>0</v>
      </c>
      <c r="E1025">
        <v>0</v>
      </c>
      <c r="F1025">
        <v>4.75</v>
      </c>
      <c r="G1025">
        <v>0</v>
      </c>
      <c r="H1025">
        <v>0</v>
      </c>
      <c r="I1025">
        <v>64.760000000000005</v>
      </c>
      <c r="J1025">
        <v>0</v>
      </c>
      <c r="K1025">
        <v>0</v>
      </c>
      <c r="L1025">
        <v>0</v>
      </c>
      <c r="M1025">
        <v>0</v>
      </c>
      <c r="N1025">
        <v>44.33</v>
      </c>
      <c r="O1025">
        <v>154.97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</row>
    <row r="1026" spans="1:36">
      <c r="A1026" t="s">
        <v>174</v>
      </c>
      <c r="B1026" t="s">
        <v>200</v>
      </c>
      <c r="C1026">
        <v>0.01</v>
      </c>
      <c r="D1026">
        <v>0</v>
      </c>
      <c r="E1026">
        <v>0</v>
      </c>
      <c r="F1026">
        <v>0.1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6.53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</row>
    <row r="1027" spans="1:36">
      <c r="A1027" t="s">
        <v>175</v>
      </c>
      <c r="B1027" t="s">
        <v>191</v>
      </c>
      <c r="C1027">
        <v>0</v>
      </c>
      <c r="D1027">
        <v>0</v>
      </c>
      <c r="E1027">
        <v>0</v>
      </c>
      <c r="F1027">
        <v>13.4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1.93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 t="s">
        <v>175</v>
      </c>
      <c r="B1028" t="s">
        <v>192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1.93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</row>
    <row r="1029" spans="1:36">
      <c r="A1029" t="s">
        <v>175</v>
      </c>
      <c r="B1029" t="s">
        <v>193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>
      <c r="A1030" t="s">
        <v>175</v>
      </c>
      <c r="B1030" t="s">
        <v>194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</row>
    <row r="1031" spans="1:36">
      <c r="A1031" t="s">
        <v>175</v>
      </c>
      <c r="B1031" t="s">
        <v>195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</row>
    <row r="1032" spans="1:36">
      <c r="A1032" t="s">
        <v>175</v>
      </c>
      <c r="B1032" t="s">
        <v>196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0.14000000000000001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</row>
    <row r="1033" spans="1:36">
      <c r="A1033" t="s">
        <v>175</v>
      </c>
      <c r="B1033" t="s">
        <v>197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</row>
    <row r="1034" spans="1:36">
      <c r="A1034" t="s">
        <v>175</v>
      </c>
      <c r="B1034" t="s">
        <v>198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</row>
    <row r="1035" spans="1:36">
      <c r="A1035" t="s">
        <v>175</v>
      </c>
      <c r="B1035" t="s">
        <v>199</v>
      </c>
      <c r="C1035">
        <v>0</v>
      </c>
      <c r="D1035">
        <v>0</v>
      </c>
      <c r="E1035">
        <v>0</v>
      </c>
      <c r="F1035">
        <v>28.24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13.62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</row>
    <row r="1036" spans="1:36">
      <c r="A1036" t="s">
        <v>175</v>
      </c>
      <c r="B1036" t="s">
        <v>200</v>
      </c>
      <c r="C1036">
        <v>0</v>
      </c>
      <c r="D1036">
        <v>0</v>
      </c>
      <c r="E1036">
        <v>0</v>
      </c>
      <c r="F1036">
        <v>0.57999999999999996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0.56999999999999995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</row>
    <row r="1037" spans="1:36">
      <c r="A1037" t="s">
        <v>175</v>
      </c>
      <c r="B1037" t="s">
        <v>193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</row>
    <row r="1038" spans="1:36">
      <c r="A1038" t="s">
        <v>175</v>
      </c>
      <c r="B1038" t="s">
        <v>196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0.18</v>
      </c>
      <c r="J1038">
        <v>0</v>
      </c>
      <c r="K1038">
        <v>0</v>
      </c>
      <c r="L1038">
        <v>0</v>
      </c>
      <c r="M1038">
        <v>0</v>
      </c>
      <c r="N1038">
        <v>0.12</v>
      </c>
      <c r="O1038">
        <v>0.44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</row>
    <row r="1039" spans="1:36">
      <c r="A1039" t="s">
        <v>175</v>
      </c>
      <c r="B1039" t="s">
        <v>197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 t="s">
        <v>175</v>
      </c>
      <c r="B1040" t="s">
        <v>198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>
      <c r="A1041" t="s">
        <v>175</v>
      </c>
      <c r="B1041" t="s">
        <v>199</v>
      </c>
      <c r="C1041">
        <v>0.03</v>
      </c>
      <c r="D1041">
        <v>0</v>
      </c>
      <c r="E1041">
        <v>0</v>
      </c>
      <c r="F1041">
        <v>0.33</v>
      </c>
      <c r="G1041">
        <v>0</v>
      </c>
      <c r="H1041">
        <v>0</v>
      </c>
      <c r="I1041">
        <v>17.36</v>
      </c>
      <c r="J1041">
        <v>0</v>
      </c>
      <c r="K1041">
        <v>0</v>
      </c>
      <c r="L1041">
        <v>0</v>
      </c>
      <c r="M1041">
        <v>0</v>
      </c>
      <c r="N1041">
        <v>11.88</v>
      </c>
      <c r="O1041">
        <v>41.54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</row>
    <row r="1042" spans="1:36">
      <c r="A1042" t="s">
        <v>175</v>
      </c>
      <c r="B1042" t="s">
        <v>200</v>
      </c>
      <c r="C1042">
        <v>0</v>
      </c>
      <c r="D1042">
        <v>0</v>
      </c>
      <c r="E1042">
        <v>0</v>
      </c>
      <c r="F1042">
        <v>0.01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1.75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</row>
    <row r="1043" spans="1:36">
      <c r="A1043" t="s">
        <v>176</v>
      </c>
      <c r="B1043" t="s">
        <v>191</v>
      </c>
      <c r="C1043">
        <v>0</v>
      </c>
      <c r="D1043">
        <v>0</v>
      </c>
      <c r="E1043">
        <v>0</v>
      </c>
      <c r="F1043">
        <v>21.56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2.89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</row>
    <row r="1044" spans="1:36">
      <c r="A1044" t="s">
        <v>176</v>
      </c>
      <c r="B1044" t="s">
        <v>192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2.89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</row>
    <row r="1045" spans="1:36">
      <c r="A1045" t="s">
        <v>176</v>
      </c>
      <c r="B1045" t="s">
        <v>193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>
      <c r="A1046" t="s">
        <v>176</v>
      </c>
      <c r="B1046" t="s">
        <v>194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 t="s">
        <v>176</v>
      </c>
      <c r="B1047" t="s">
        <v>195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</row>
    <row r="1048" spans="1:36">
      <c r="A1048" t="s">
        <v>176</v>
      </c>
      <c r="B1048" t="s">
        <v>196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0.19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</row>
    <row r="1049" spans="1:36">
      <c r="A1049" t="s">
        <v>176</v>
      </c>
      <c r="B1049" t="s">
        <v>197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</row>
    <row r="1050" spans="1:36">
      <c r="A1050" t="s">
        <v>176</v>
      </c>
      <c r="B1050" t="s">
        <v>198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</row>
    <row r="1051" spans="1:36">
      <c r="A1051" t="s">
        <v>176</v>
      </c>
      <c r="B1051" t="s">
        <v>199</v>
      </c>
      <c r="C1051">
        <v>0</v>
      </c>
      <c r="D1051">
        <v>0</v>
      </c>
      <c r="E1051">
        <v>0</v>
      </c>
      <c r="F1051">
        <v>27.04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17.829999999999998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>
      <c r="A1052" t="s">
        <v>176</v>
      </c>
      <c r="B1052" t="s">
        <v>200</v>
      </c>
      <c r="C1052">
        <v>0</v>
      </c>
      <c r="D1052">
        <v>0</v>
      </c>
      <c r="E1052">
        <v>0</v>
      </c>
      <c r="F1052">
        <v>0.55000000000000004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0.75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</row>
    <row r="1053" spans="1:36">
      <c r="A1053" t="s">
        <v>176</v>
      </c>
      <c r="B1053" t="s">
        <v>193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 t="s">
        <v>176</v>
      </c>
      <c r="B1054" t="s">
        <v>196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0.76</v>
      </c>
      <c r="J1054">
        <v>0</v>
      </c>
      <c r="K1054">
        <v>0</v>
      </c>
      <c r="L1054">
        <v>0</v>
      </c>
      <c r="M1054">
        <v>0</v>
      </c>
      <c r="N1054">
        <v>0.52</v>
      </c>
      <c r="O1054">
        <v>1.9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</row>
    <row r="1055" spans="1:36">
      <c r="A1055" t="s">
        <v>176</v>
      </c>
      <c r="B1055" t="s">
        <v>197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</row>
    <row r="1056" spans="1:36">
      <c r="A1056" t="s">
        <v>176</v>
      </c>
      <c r="B1056" t="s">
        <v>198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 t="s">
        <v>176</v>
      </c>
      <c r="B1057" t="s">
        <v>199</v>
      </c>
      <c r="C1057">
        <v>0.04</v>
      </c>
      <c r="D1057">
        <v>0</v>
      </c>
      <c r="E1057">
        <v>0</v>
      </c>
      <c r="F1057">
        <v>0.43</v>
      </c>
      <c r="G1057">
        <v>0</v>
      </c>
      <c r="H1057">
        <v>0</v>
      </c>
      <c r="I1057">
        <v>75.53</v>
      </c>
      <c r="J1057">
        <v>0</v>
      </c>
      <c r="K1057">
        <v>0</v>
      </c>
      <c r="L1057">
        <v>0</v>
      </c>
      <c r="M1057">
        <v>0</v>
      </c>
      <c r="N1057">
        <v>51.7</v>
      </c>
      <c r="O1057">
        <v>180.73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</row>
    <row r="1058" spans="1:36">
      <c r="A1058" t="s">
        <v>176</v>
      </c>
      <c r="B1058" t="s">
        <v>200</v>
      </c>
      <c r="C1058">
        <v>0</v>
      </c>
      <c r="D1058">
        <v>0</v>
      </c>
      <c r="E1058">
        <v>0</v>
      </c>
      <c r="F1058">
        <v>0.01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7.61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</row>
    <row r="1059" spans="1:36">
      <c r="A1059" t="s">
        <v>177</v>
      </c>
      <c r="B1059" t="s">
        <v>191</v>
      </c>
      <c r="C1059">
        <v>0</v>
      </c>
      <c r="D1059">
        <v>0</v>
      </c>
      <c r="E1059">
        <v>0</v>
      </c>
      <c r="F1059">
        <v>20.96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6.09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</row>
    <row r="1060" spans="1:36">
      <c r="A1060" t="s">
        <v>177</v>
      </c>
      <c r="B1060" t="s">
        <v>192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6.09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</row>
    <row r="1061" spans="1:36">
      <c r="A1061" t="s">
        <v>177</v>
      </c>
      <c r="B1061" t="s">
        <v>193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</row>
    <row r="1062" spans="1:36">
      <c r="A1062" t="s">
        <v>177</v>
      </c>
      <c r="B1062" t="s">
        <v>194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>
      <c r="A1063" t="s">
        <v>177</v>
      </c>
      <c r="B1063" t="s">
        <v>195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</row>
    <row r="1064" spans="1:36">
      <c r="A1064" t="s">
        <v>177</v>
      </c>
      <c r="B1064" t="s">
        <v>196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0.2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 t="s">
        <v>177</v>
      </c>
      <c r="B1065" t="s">
        <v>197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</row>
    <row r="1066" spans="1:36">
      <c r="A1066" t="s">
        <v>177</v>
      </c>
      <c r="B1066" t="s">
        <v>198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</row>
    <row r="1067" spans="1:36">
      <c r="A1067" t="s">
        <v>177</v>
      </c>
      <c r="B1067" t="s">
        <v>199</v>
      </c>
      <c r="C1067">
        <v>0</v>
      </c>
      <c r="D1067">
        <v>0</v>
      </c>
      <c r="E1067">
        <v>0</v>
      </c>
      <c r="F1067">
        <v>33.590000000000003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18.79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</row>
    <row r="1068" spans="1:36">
      <c r="A1068" t="s">
        <v>177</v>
      </c>
      <c r="B1068" t="s">
        <v>200</v>
      </c>
      <c r="C1068">
        <v>0</v>
      </c>
      <c r="D1068">
        <v>0</v>
      </c>
      <c r="E1068">
        <v>0</v>
      </c>
      <c r="F1068">
        <v>0.69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0.79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</row>
    <row r="1069" spans="1:36">
      <c r="A1069" t="s">
        <v>177</v>
      </c>
      <c r="B1069" t="s">
        <v>193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</row>
    <row r="1070" spans="1:36">
      <c r="A1070" t="s">
        <v>177</v>
      </c>
      <c r="B1070" t="s">
        <v>196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0.66</v>
      </c>
      <c r="J1070">
        <v>0</v>
      </c>
      <c r="K1070">
        <v>0</v>
      </c>
      <c r="L1070">
        <v>0</v>
      </c>
      <c r="M1070">
        <v>0</v>
      </c>
      <c r="N1070">
        <v>0.45</v>
      </c>
      <c r="O1070">
        <v>1.65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</row>
    <row r="1071" spans="1:36">
      <c r="A1071" t="s">
        <v>177</v>
      </c>
      <c r="B1071" t="s">
        <v>197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 t="s">
        <v>177</v>
      </c>
      <c r="B1072" t="s">
        <v>198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 t="s">
        <v>177</v>
      </c>
      <c r="B1073" t="s">
        <v>199</v>
      </c>
      <c r="C1073">
        <v>0.06</v>
      </c>
      <c r="D1073">
        <v>0</v>
      </c>
      <c r="E1073">
        <v>0</v>
      </c>
      <c r="F1073">
        <v>0.57999999999999996</v>
      </c>
      <c r="G1073">
        <v>0</v>
      </c>
      <c r="H1073">
        <v>0</v>
      </c>
      <c r="I1073">
        <v>65.62</v>
      </c>
      <c r="J1073">
        <v>0</v>
      </c>
      <c r="K1073">
        <v>0</v>
      </c>
      <c r="L1073">
        <v>0</v>
      </c>
      <c r="M1073">
        <v>0</v>
      </c>
      <c r="N1073">
        <v>44.92</v>
      </c>
      <c r="O1073">
        <v>157.03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>
      <c r="A1074" t="s">
        <v>177</v>
      </c>
      <c r="B1074" t="s">
        <v>200</v>
      </c>
      <c r="C1074">
        <v>0</v>
      </c>
      <c r="D1074">
        <v>0</v>
      </c>
      <c r="E1074">
        <v>0</v>
      </c>
      <c r="F1074">
        <v>0.01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6.61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</row>
    <row r="1075" spans="1:36">
      <c r="A1075" t="s">
        <v>131</v>
      </c>
      <c r="B1075" t="s">
        <v>191</v>
      </c>
      <c r="C1075">
        <v>0</v>
      </c>
      <c r="D1075">
        <v>0</v>
      </c>
      <c r="E1075">
        <v>0</v>
      </c>
      <c r="F1075">
        <v>2.97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1.99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 t="s">
        <v>131</v>
      </c>
      <c r="B1076" t="s">
        <v>192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1.99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</row>
    <row r="1077" spans="1:36">
      <c r="A1077" t="s">
        <v>131</v>
      </c>
      <c r="B1077" t="s">
        <v>193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</row>
    <row r="1078" spans="1:36">
      <c r="A1078" t="s">
        <v>131</v>
      </c>
      <c r="B1078" t="s">
        <v>194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</row>
    <row r="1079" spans="1:36">
      <c r="A1079" t="s">
        <v>131</v>
      </c>
      <c r="B1079" t="s">
        <v>195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 t="s">
        <v>131</v>
      </c>
      <c r="B1080" t="s">
        <v>196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0.05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</row>
    <row r="1081" spans="1:36">
      <c r="A1081" t="s">
        <v>131</v>
      </c>
      <c r="B1081" t="s">
        <v>197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</row>
    <row r="1082" spans="1:36">
      <c r="A1082" t="s">
        <v>131</v>
      </c>
      <c r="B1082" t="s">
        <v>198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 t="s">
        <v>131</v>
      </c>
      <c r="B1083" t="s">
        <v>199</v>
      </c>
      <c r="C1083">
        <v>0</v>
      </c>
      <c r="D1083">
        <v>0</v>
      </c>
      <c r="E1083">
        <v>0</v>
      </c>
      <c r="F1083">
        <v>1.01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4.84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</row>
    <row r="1084" spans="1:36">
      <c r="A1084" t="s">
        <v>131</v>
      </c>
      <c r="B1084" t="s">
        <v>200</v>
      </c>
      <c r="C1084">
        <v>0</v>
      </c>
      <c r="D1084">
        <v>0</v>
      </c>
      <c r="E1084">
        <v>0</v>
      </c>
      <c r="F1084">
        <v>0.02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0.2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>
      <c r="A1085" t="s">
        <v>131</v>
      </c>
      <c r="B1085" t="s">
        <v>193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</row>
    <row r="1086" spans="1:36">
      <c r="A1086" t="s">
        <v>131</v>
      </c>
      <c r="B1086" t="s">
        <v>196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1.35</v>
      </c>
      <c r="J1086">
        <v>0</v>
      </c>
      <c r="K1086">
        <v>0</v>
      </c>
      <c r="L1086">
        <v>0</v>
      </c>
      <c r="M1086">
        <v>0</v>
      </c>
      <c r="N1086">
        <v>0.92</v>
      </c>
      <c r="O1086">
        <v>3.36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</row>
    <row r="1087" spans="1:36">
      <c r="A1087" t="s">
        <v>131</v>
      </c>
      <c r="B1087" t="s">
        <v>197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</row>
    <row r="1088" spans="1:36">
      <c r="A1088" t="s">
        <v>131</v>
      </c>
      <c r="B1088" t="s">
        <v>198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</row>
    <row r="1089" spans="1:36">
      <c r="A1089" t="s">
        <v>131</v>
      </c>
      <c r="B1089" t="s">
        <v>199</v>
      </c>
      <c r="C1089">
        <v>0.61</v>
      </c>
      <c r="D1089">
        <v>0</v>
      </c>
      <c r="E1089">
        <v>0</v>
      </c>
      <c r="F1089">
        <v>5.92</v>
      </c>
      <c r="G1089">
        <v>0</v>
      </c>
      <c r="H1089">
        <v>0</v>
      </c>
      <c r="I1089">
        <v>133.44</v>
      </c>
      <c r="J1089">
        <v>0</v>
      </c>
      <c r="K1089">
        <v>0</v>
      </c>
      <c r="L1089">
        <v>0</v>
      </c>
      <c r="M1089">
        <v>0</v>
      </c>
      <c r="N1089">
        <v>91.33</v>
      </c>
      <c r="O1089">
        <v>319.3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</row>
    <row r="1090" spans="1:36">
      <c r="A1090" t="s">
        <v>131</v>
      </c>
      <c r="B1090" t="s">
        <v>200</v>
      </c>
      <c r="C1090">
        <v>0.01</v>
      </c>
      <c r="D1090">
        <v>0</v>
      </c>
      <c r="E1090">
        <v>0</v>
      </c>
      <c r="F1090">
        <v>0.12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13.44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>
      <c r="A1091" t="s">
        <v>190</v>
      </c>
      <c r="B1091" t="s">
        <v>191</v>
      </c>
      <c r="C1091">
        <v>0</v>
      </c>
      <c r="D1091">
        <v>0</v>
      </c>
      <c r="E1091">
        <v>0</v>
      </c>
      <c r="F1091">
        <v>20.43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7.53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</row>
    <row r="1092" spans="1:36">
      <c r="A1092" t="s">
        <v>190</v>
      </c>
      <c r="B1092" t="s">
        <v>192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7.53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</row>
    <row r="1093" spans="1:36">
      <c r="A1093" t="s">
        <v>190</v>
      </c>
      <c r="B1093" t="s">
        <v>193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</row>
    <row r="1094" spans="1:36">
      <c r="A1094" t="s">
        <v>190</v>
      </c>
      <c r="B1094" t="s">
        <v>194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</row>
    <row r="1095" spans="1:36">
      <c r="A1095" t="s">
        <v>190</v>
      </c>
      <c r="B1095" t="s">
        <v>195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>
      <c r="A1096" t="s">
        <v>190</v>
      </c>
      <c r="B1096" t="s">
        <v>196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0.76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</row>
    <row r="1097" spans="1:36">
      <c r="A1097" t="s">
        <v>190</v>
      </c>
      <c r="B1097" t="s">
        <v>197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 t="s">
        <v>190</v>
      </c>
      <c r="B1098" t="s">
        <v>198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</row>
    <row r="1099" spans="1:36">
      <c r="A1099" t="s">
        <v>190</v>
      </c>
      <c r="B1099" t="s">
        <v>199</v>
      </c>
      <c r="C1099">
        <v>0</v>
      </c>
      <c r="D1099">
        <v>0</v>
      </c>
      <c r="E1099">
        <v>0</v>
      </c>
      <c r="F1099">
        <v>18.91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72.06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</row>
    <row r="1100" spans="1:36">
      <c r="A1100" t="s">
        <v>190</v>
      </c>
      <c r="B1100" t="s">
        <v>200</v>
      </c>
      <c r="C1100">
        <v>0</v>
      </c>
      <c r="D1100">
        <v>0</v>
      </c>
      <c r="E1100">
        <v>0</v>
      </c>
      <c r="F1100">
        <v>0.39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3.03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</row>
    <row r="1101" spans="1:36">
      <c r="A1101" t="s">
        <v>190</v>
      </c>
      <c r="B1101" t="s">
        <v>193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</row>
    <row r="1102" spans="1:36">
      <c r="A1102" t="s">
        <v>190</v>
      </c>
      <c r="B1102" t="s">
        <v>196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2.1</v>
      </c>
      <c r="J1102">
        <v>0</v>
      </c>
      <c r="K1102">
        <v>0</v>
      </c>
      <c r="L1102">
        <v>0</v>
      </c>
      <c r="M1102">
        <v>0</v>
      </c>
      <c r="N1102">
        <v>1.43</v>
      </c>
      <c r="O1102">
        <v>5.23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</row>
    <row r="1103" spans="1:36">
      <c r="A1103" t="s">
        <v>190</v>
      </c>
      <c r="B1103" t="s">
        <v>197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</row>
    <row r="1104" spans="1:36">
      <c r="A1104" t="s">
        <v>190</v>
      </c>
      <c r="B1104" t="s">
        <v>198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 t="s">
        <v>190</v>
      </c>
      <c r="B1105" t="s">
        <v>199</v>
      </c>
      <c r="C1105">
        <v>0.26</v>
      </c>
      <c r="D1105">
        <v>0</v>
      </c>
      <c r="E1105">
        <v>0</v>
      </c>
      <c r="F1105">
        <v>2.56</v>
      </c>
      <c r="G1105">
        <v>0</v>
      </c>
      <c r="H1105">
        <v>0</v>
      </c>
      <c r="I1105">
        <v>207.49</v>
      </c>
      <c r="J1105">
        <v>0</v>
      </c>
      <c r="K1105">
        <v>0</v>
      </c>
      <c r="L1105">
        <v>0</v>
      </c>
      <c r="M1105">
        <v>0</v>
      </c>
      <c r="N1105">
        <v>142.02000000000001</v>
      </c>
      <c r="O1105">
        <v>496.51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</row>
    <row r="1106" spans="1:36">
      <c r="A1106" t="s">
        <v>190</v>
      </c>
      <c r="B1106" t="s">
        <v>200</v>
      </c>
      <c r="C1106">
        <v>0.01</v>
      </c>
      <c r="D1106">
        <v>0</v>
      </c>
      <c r="E1106">
        <v>0</v>
      </c>
      <c r="F1106">
        <v>0.05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20.91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>
      <c r="A1107" t="s">
        <v>179</v>
      </c>
      <c r="B1107" t="s">
        <v>191</v>
      </c>
      <c r="C1107">
        <v>0</v>
      </c>
      <c r="D1107">
        <v>0</v>
      </c>
      <c r="E1107">
        <v>0</v>
      </c>
      <c r="F1107">
        <v>3.84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0.52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</row>
    <row r="1108" spans="1:36">
      <c r="A1108" t="s">
        <v>179</v>
      </c>
      <c r="B1108" t="s">
        <v>192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0.52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</row>
    <row r="1109" spans="1:36">
      <c r="A1109" t="s">
        <v>179</v>
      </c>
      <c r="B1109" t="s">
        <v>193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</row>
    <row r="1110" spans="1:36">
      <c r="A1110" t="s">
        <v>179</v>
      </c>
      <c r="B1110" t="s">
        <v>194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</row>
    <row r="1111" spans="1:36">
      <c r="A1111" t="s">
        <v>179</v>
      </c>
      <c r="B1111" t="s">
        <v>195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</row>
    <row r="1112" spans="1:36">
      <c r="A1112" t="s">
        <v>179</v>
      </c>
      <c r="B1112" t="s">
        <v>196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0.01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>
      <c r="A1113" t="s">
        <v>179</v>
      </c>
      <c r="B1113" t="s">
        <v>197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</row>
    <row r="1114" spans="1:36">
      <c r="A1114" t="s">
        <v>179</v>
      </c>
      <c r="B1114" t="s">
        <v>198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</row>
    <row r="1115" spans="1:36">
      <c r="A1115" t="s">
        <v>179</v>
      </c>
      <c r="B1115" t="s">
        <v>199</v>
      </c>
      <c r="C1115">
        <v>0</v>
      </c>
      <c r="D1115">
        <v>0</v>
      </c>
      <c r="E1115">
        <v>0</v>
      </c>
      <c r="F1115">
        <v>1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0.64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</row>
    <row r="1116" spans="1:36">
      <c r="A1116" t="s">
        <v>179</v>
      </c>
      <c r="B1116" t="s">
        <v>200</v>
      </c>
      <c r="C1116">
        <v>0</v>
      </c>
      <c r="D1116">
        <v>0</v>
      </c>
      <c r="E1116">
        <v>0</v>
      </c>
      <c r="F1116">
        <v>0.02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0.03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 t="s">
        <v>179</v>
      </c>
      <c r="B1117" t="s">
        <v>193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>
      <c r="A1118" t="s">
        <v>179</v>
      </c>
      <c r="B1118" t="s">
        <v>196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0.08</v>
      </c>
      <c r="J1118">
        <v>0</v>
      </c>
      <c r="K1118">
        <v>0</v>
      </c>
      <c r="L1118">
        <v>0</v>
      </c>
      <c r="M1118">
        <v>0</v>
      </c>
      <c r="N1118">
        <v>0.06</v>
      </c>
      <c r="O1118">
        <v>0.21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</row>
    <row r="1119" spans="1:36">
      <c r="A1119" t="s">
        <v>179</v>
      </c>
      <c r="B1119" t="s">
        <v>197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</row>
    <row r="1120" spans="1:36">
      <c r="A1120" t="s">
        <v>179</v>
      </c>
      <c r="B1120" t="s">
        <v>198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</row>
    <row r="1121" spans="1:36">
      <c r="A1121" t="s">
        <v>179</v>
      </c>
      <c r="B1121" t="s">
        <v>199</v>
      </c>
      <c r="C1121">
        <v>0</v>
      </c>
      <c r="D1121">
        <v>0</v>
      </c>
      <c r="E1121">
        <v>0</v>
      </c>
      <c r="F1121">
        <v>0.04</v>
      </c>
      <c r="G1121">
        <v>0</v>
      </c>
      <c r="H1121">
        <v>0</v>
      </c>
      <c r="I1121">
        <v>8.41</v>
      </c>
      <c r="J1121">
        <v>0</v>
      </c>
      <c r="K1121">
        <v>0</v>
      </c>
      <c r="L1121">
        <v>0</v>
      </c>
      <c r="M1121">
        <v>0</v>
      </c>
      <c r="N1121">
        <v>5.75</v>
      </c>
      <c r="O1121">
        <v>20.11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</row>
    <row r="1122" spans="1:36">
      <c r="A1122" t="s">
        <v>179</v>
      </c>
      <c r="B1122" t="s">
        <v>200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0.85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 t="s">
        <v>180</v>
      </c>
      <c r="B1123" t="s">
        <v>191</v>
      </c>
      <c r="C1123">
        <v>0</v>
      </c>
      <c r="D1123">
        <v>0</v>
      </c>
      <c r="E1123">
        <v>0</v>
      </c>
      <c r="F1123">
        <v>9.91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4.93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 t="s">
        <v>180</v>
      </c>
      <c r="B1124" t="s">
        <v>192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4.93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</row>
    <row r="1125" spans="1:36">
      <c r="A1125" t="s">
        <v>180</v>
      </c>
      <c r="B1125" t="s">
        <v>193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</row>
    <row r="1126" spans="1:36">
      <c r="A1126" t="s">
        <v>180</v>
      </c>
      <c r="B1126" t="s">
        <v>194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</row>
    <row r="1127" spans="1:36">
      <c r="A1127" t="s">
        <v>180</v>
      </c>
      <c r="B1127" t="s">
        <v>195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</row>
    <row r="1128" spans="1:36">
      <c r="A1128" t="s">
        <v>180</v>
      </c>
      <c r="B1128" t="s">
        <v>196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0.08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>
      <c r="A1129" t="s">
        <v>180</v>
      </c>
      <c r="B1129" t="s">
        <v>197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</row>
    <row r="1130" spans="1:36">
      <c r="A1130" t="s">
        <v>180</v>
      </c>
      <c r="B1130" t="s">
        <v>198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 t="s">
        <v>180</v>
      </c>
      <c r="B1131" t="s">
        <v>199</v>
      </c>
      <c r="C1131">
        <v>0</v>
      </c>
      <c r="D1131">
        <v>0</v>
      </c>
      <c r="E1131">
        <v>0</v>
      </c>
      <c r="F1131">
        <v>3.69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7.83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</row>
    <row r="1132" spans="1:36">
      <c r="A1132" t="s">
        <v>180</v>
      </c>
      <c r="B1132" t="s">
        <v>200</v>
      </c>
      <c r="C1132">
        <v>0</v>
      </c>
      <c r="D1132">
        <v>0</v>
      </c>
      <c r="E1132">
        <v>0</v>
      </c>
      <c r="F1132">
        <v>0.08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0.33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</row>
    <row r="1133" spans="1:36">
      <c r="A1133" t="s">
        <v>180</v>
      </c>
      <c r="B1133" t="s">
        <v>193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</row>
    <row r="1134" spans="1:36">
      <c r="A1134" t="s">
        <v>180</v>
      </c>
      <c r="B1134" t="s">
        <v>196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1.1000000000000001</v>
      </c>
      <c r="J1134">
        <v>0</v>
      </c>
      <c r="K1134">
        <v>0</v>
      </c>
      <c r="L1134">
        <v>0</v>
      </c>
      <c r="M1134">
        <v>0</v>
      </c>
      <c r="N1134">
        <v>0.75</v>
      </c>
      <c r="O1134">
        <v>2.75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36">
      <c r="A1135" t="s">
        <v>180</v>
      </c>
      <c r="B1135" t="s">
        <v>197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</row>
    <row r="1136" spans="1:36">
      <c r="A1136" t="s">
        <v>180</v>
      </c>
      <c r="B1136" t="s">
        <v>198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</row>
    <row r="1137" spans="1:36">
      <c r="A1137" t="s">
        <v>180</v>
      </c>
      <c r="B1137" t="s">
        <v>199</v>
      </c>
      <c r="C1137">
        <v>5.0599999999999996</v>
      </c>
      <c r="D1137">
        <v>0</v>
      </c>
      <c r="E1137">
        <v>0</v>
      </c>
      <c r="F1137">
        <v>49.22</v>
      </c>
      <c r="G1137">
        <v>0</v>
      </c>
      <c r="H1137">
        <v>0</v>
      </c>
      <c r="I1137">
        <v>109.16</v>
      </c>
      <c r="J1137">
        <v>0</v>
      </c>
      <c r="K1137">
        <v>0</v>
      </c>
      <c r="L1137">
        <v>0</v>
      </c>
      <c r="M1137">
        <v>0</v>
      </c>
      <c r="N1137">
        <v>74.72</v>
      </c>
      <c r="O1137">
        <v>261.22000000000003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 t="s">
        <v>180</v>
      </c>
      <c r="B1138" t="s">
        <v>200</v>
      </c>
      <c r="C1138">
        <v>0.1</v>
      </c>
      <c r="D1138">
        <v>0</v>
      </c>
      <c r="E1138">
        <v>0</v>
      </c>
      <c r="F1138">
        <v>1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11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</row>
    <row r="1139" spans="1:36">
      <c r="A1139" t="s">
        <v>178</v>
      </c>
      <c r="B1139" t="s">
        <v>191</v>
      </c>
      <c r="C1139">
        <v>0</v>
      </c>
      <c r="D1139">
        <v>0</v>
      </c>
      <c r="E1139">
        <v>0</v>
      </c>
      <c r="F1139">
        <v>2.08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1.01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>
      <c r="A1140" t="s">
        <v>178</v>
      </c>
      <c r="B1140" t="s">
        <v>192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1.01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</row>
    <row r="1141" spans="1:36">
      <c r="A1141" t="s">
        <v>178</v>
      </c>
      <c r="B1141" t="s">
        <v>193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</row>
    <row r="1142" spans="1:36">
      <c r="A1142" t="s">
        <v>178</v>
      </c>
      <c r="B1142" t="s">
        <v>194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</row>
    <row r="1143" spans="1:36">
      <c r="A1143" t="s">
        <v>178</v>
      </c>
      <c r="B1143" t="s">
        <v>195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</row>
    <row r="1144" spans="1:36">
      <c r="A1144" t="s">
        <v>178</v>
      </c>
      <c r="B1144" t="s">
        <v>196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0.03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</row>
    <row r="1145" spans="1:36">
      <c r="A1145" t="s">
        <v>178</v>
      </c>
      <c r="B1145" t="s">
        <v>197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</row>
    <row r="1146" spans="1:36">
      <c r="A1146" t="s">
        <v>178</v>
      </c>
      <c r="B1146" t="s">
        <v>198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</row>
    <row r="1147" spans="1:36">
      <c r="A1147" t="s">
        <v>178</v>
      </c>
      <c r="B1147" t="s">
        <v>199</v>
      </c>
      <c r="C1147">
        <v>0</v>
      </c>
      <c r="D1147">
        <v>0</v>
      </c>
      <c r="E1147">
        <v>0</v>
      </c>
      <c r="F1147">
        <v>4.6900000000000004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3.17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</row>
    <row r="1148" spans="1:36">
      <c r="A1148" t="s">
        <v>178</v>
      </c>
      <c r="B1148" t="s">
        <v>200</v>
      </c>
      <c r="C1148">
        <v>0</v>
      </c>
      <c r="D1148">
        <v>0</v>
      </c>
      <c r="E1148">
        <v>0</v>
      </c>
      <c r="F1148">
        <v>0.1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0.13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</row>
    <row r="1149" spans="1:36">
      <c r="A1149" t="s">
        <v>178</v>
      </c>
      <c r="B1149" t="s">
        <v>193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 t="s">
        <v>178</v>
      </c>
      <c r="B1150" t="s">
        <v>196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0.38</v>
      </c>
      <c r="J1150">
        <v>0</v>
      </c>
      <c r="K1150">
        <v>0</v>
      </c>
      <c r="L1150">
        <v>0</v>
      </c>
      <c r="M1150">
        <v>0</v>
      </c>
      <c r="N1150">
        <v>0.26</v>
      </c>
      <c r="O1150">
        <v>0.96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>
      <c r="A1151" t="s">
        <v>178</v>
      </c>
      <c r="B1151" t="s">
        <v>197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</row>
    <row r="1152" spans="1:36">
      <c r="A1152" t="s">
        <v>178</v>
      </c>
      <c r="B1152" t="s">
        <v>198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</row>
    <row r="1153" spans="1:36">
      <c r="A1153" t="s">
        <v>178</v>
      </c>
      <c r="B1153" t="s">
        <v>199</v>
      </c>
      <c r="C1153">
        <v>0.41</v>
      </c>
      <c r="D1153">
        <v>0</v>
      </c>
      <c r="E1153">
        <v>0</v>
      </c>
      <c r="F1153">
        <v>4.01</v>
      </c>
      <c r="G1153">
        <v>0</v>
      </c>
      <c r="H1153">
        <v>0</v>
      </c>
      <c r="I1153">
        <v>38.07</v>
      </c>
      <c r="J1153">
        <v>0</v>
      </c>
      <c r="K1153">
        <v>0</v>
      </c>
      <c r="L1153">
        <v>0</v>
      </c>
      <c r="M1153">
        <v>0</v>
      </c>
      <c r="N1153">
        <v>26.06</v>
      </c>
      <c r="O1153">
        <v>91.1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</row>
    <row r="1154" spans="1:36">
      <c r="A1154" t="s">
        <v>178</v>
      </c>
      <c r="B1154" t="s">
        <v>200</v>
      </c>
      <c r="C1154">
        <v>0.01</v>
      </c>
      <c r="D1154">
        <v>0</v>
      </c>
      <c r="E1154">
        <v>0</v>
      </c>
      <c r="F1154">
        <v>0.08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3.84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</row>
    <row r="1155" spans="1:36">
      <c r="A1155" t="s">
        <v>183</v>
      </c>
      <c r="B1155" t="s">
        <v>191</v>
      </c>
      <c r="C1155">
        <v>0</v>
      </c>
      <c r="D1155">
        <v>0</v>
      </c>
      <c r="E1155">
        <v>0</v>
      </c>
      <c r="F1155">
        <v>20.43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2.77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</row>
    <row r="1156" spans="1:36">
      <c r="A1156" t="s">
        <v>183</v>
      </c>
      <c r="B1156" t="s">
        <v>192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2.77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 t="s">
        <v>183</v>
      </c>
      <c r="B1157" t="s">
        <v>194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</row>
    <row r="1158" spans="1:36">
      <c r="A1158" t="s">
        <v>183</v>
      </c>
      <c r="B1158" t="s">
        <v>195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</row>
    <row r="1159" spans="1:36">
      <c r="A1159" t="s">
        <v>183</v>
      </c>
      <c r="B1159" t="s">
        <v>197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</row>
    <row r="1160" spans="1:36">
      <c r="A1160" t="s">
        <v>183</v>
      </c>
      <c r="B1160" t="s">
        <v>198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</row>
    <row r="1161" spans="1:36">
      <c r="A1161" t="s">
        <v>183</v>
      </c>
      <c r="B1161" t="s">
        <v>199</v>
      </c>
      <c r="C1161">
        <v>0</v>
      </c>
      <c r="D1161">
        <v>0</v>
      </c>
      <c r="E1161">
        <v>0</v>
      </c>
      <c r="F1161">
        <v>0.12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>
      <c r="A1162" t="s">
        <v>183</v>
      </c>
      <c r="B1162" t="s">
        <v>200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</row>
    <row r="1163" spans="1:36">
      <c r="A1163" t="s">
        <v>183</v>
      </c>
      <c r="B1163" t="s">
        <v>193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 t="s">
        <v>183</v>
      </c>
      <c r="B1164" t="s">
        <v>196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0.01</v>
      </c>
      <c r="J1164">
        <v>0</v>
      </c>
      <c r="K1164">
        <v>0</v>
      </c>
      <c r="L1164">
        <v>0</v>
      </c>
      <c r="M1164">
        <v>0</v>
      </c>
      <c r="N1164">
        <v>0.01</v>
      </c>
      <c r="O1164">
        <v>0.03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</row>
    <row r="1165" spans="1:36">
      <c r="A1165" t="s">
        <v>183</v>
      </c>
      <c r="B1165" t="s">
        <v>197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</row>
    <row r="1166" spans="1:36">
      <c r="A1166" t="s">
        <v>183</v>
      </c>
      <c r="B1166" t="s">
        <v>198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</row>
    <row r="1167" spans="1:36">
      <c r="A1167" t="s">
        <v>183</v>
      </c>
      <c r="B1167" t="s">
        <v>199</v>
      </c>
      <c r="C1167">
        <v>0.01</v>
      </c>
      <c r="D1167">
        <v>0</v>
      </c>
      <c r="E1167">
        <v>0</v>
      </c>
      <c r="F1167">
        <v>0.12</v>
      </c>
      <c r="G1167">
        <v>0</v>
      </c>
      <c r="H1167">
        <v>0</v>
      </c>
      <c r="I1167">
        <v>1.32</v>
      </c>
      <c r="J1167">
        <v>0</v>
      </c>
      <c r="K1167">
        <v>0</v>
      </c>
      <c r="L1167">
        <v>0</v>
      </c>
      <c r="M1167">
        <v>0</v>
      </c>
      <c r="N1167">
        <v>0.9</v>
      </c>
      <c r="O1167">
        <v>3.16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</row>
    <row r="1168" spans="1:36">
      <c r="A1168" t="s">
        <v>183</v>
      </c>
      <c r="B1168" t="s">
        <v>200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0.13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</row>
    <row r="1169" spans="1:36">
      <c r="A1169" t="s">
        <v>184</v>
      </c>
      <c r="B1169" t="s">
        <v>191</v>
      </c>
      <c r="C1169">
        <v>0</v>
      </c>
      <c r="D1169">
        <v>0</v>
      </c>
      <c r="E1169">
        <v>0</v>
      </c>
      <c r="F1169">
        <v>3.25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0.15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</row>
    <row r="1170" spans="1:36">
      <c r="A1170" t="s">
        <v>184</v>
      </c>
      <c r="B1170" t="s">
        <v>192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0.15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</row>
    <row r="1171" spans="1:36">
      <c r="A1171" t="s">
        <v>184</v>
      </c>
      <c r="B1171" t="s">
        <v>194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 t="s">
        <v>184</v>
      </c>
      <c r="B1172" t="s">
        <v>195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>
      <c r="A1173" t="s">
        <v>184</v>
      </c>
      <c r="B1173" t="s">
        <v>197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</row>
    <row r="1174" spans="1:36">
      <c r="A1174" t="s">
        <v>184</v>
      </c>
      <c r="B1174" t="s">
        <v>198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</row>
    <row r="1175" spans="1:36">
      <c r="A1175" t="s">
        <v>184</v>
      </c>
      <c r="B1175" t="s">
        <v>199</v>
      </c>
      <c r="C1175">
        <v>0</v>
      </c>
      <c r="D1175">
        <v>0</v>
      </c>
      <c r="E1175">
        <v>0</v>
      </c>
      <c r="F1175">
        <v>0.02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</row>
    <row r="1176" spans="1:36">
      <c r="A1176" t="s">
        <v>184</v>
      </c>
      <c r="B1176" t="s">
        <v>200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</row>
    <row r="1177" spans="1:36">
      <c r="A1177" t="s">
        <v>184</v>
      </c>
      <c r="B1177" t="s">
        <v>193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</row>
    <row r="1178" spans="1:36">
      <c r="A1178" t="s">
        <v>184</v>
      </c>
      <c r="B1178" t="s">
        <v>196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0.01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0.01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 t="s">
        <v>184</v>
      </c>
      <c r="B1179" t="s">
        <v>197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</row>
    <row r="1180" spans="1:36">
      <c r="A1180" t="s">
        <v>184</v>
      </c>
      <c r="B1180" t="s">
        <v>198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</row>
    <row r="1181" spans="1:36">
      <c r="A1181" t="s">
        <v>184</v>
      </c>
      <c r="B1181" t="s">
        <v>199</v>
      </c>
      <c r="C1181">
        <v>0</v>
      </c>
      <c r="D1181">
        <v>0</v>
      </c>
      <c r="E1181">
        <v>0</v>
      </c>
      <c r="F1181">
        <v>0.01</v>
      </c>
      <c r="G1181">
        <v>0</v>
      </c>
      <c r="H1181">
        <v>0</v>
      </c>
      <c r="I1181">
        <v>0.56000000000000005</v>
      </c>
      <c r="J1181">
        <v>0</v>
      </c>
      <c r="K1181">
        <v>0</v>
      </c>
      <c r="L1181">
        <v>0</v>
      </c>
      <c r="M1181">
        <v>0</v>
      </c>
      <c r="N1181">
        <v>0.38</v>
      </c>
      <c r="O1181">
        <v>1.34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 t="s">
        <v>184</v>
      </c>
      <c r="B1182" t="s">
        <v>200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0.06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</row>
    <row r="1183" spans="1:36">
      <c r="A1183" t="s">
        <v>185</v>
      </c>
      <c r="B1183" t="s">
        <v>191</v>
      </c>
      <c r="C1183">
        <v>0</v>
      </c>
      <c r="D1183">
        <v>0</v>
      </c>
      <c r="E1183">
        <v>0</v>
      </c>
      <c r="F1183">
        <v>7.1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4.3499999999999996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>
      <c r="A1184" t="s">
        <v>185</v>
      </c>
      <c r="B1184" t="s">
        <v>192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4.3499999999999996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</row>
    <row r="1185" spans="1:36">
      <c r="A1185" t="s">
        <v>185</v>
      </c>
      <c r="B1185" t="s">
        <v>193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</row>
    <row r="1186" spans="1:36">
      <c r="A1186" t="s">
        <v>185</v>
      </c>
      <c r="B1186" t="s">
        <v>194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</row>
    <row r="1187" spans="1:36">
      <c r="A1187" t="s">
        <v>185</v>
      </c>
      <c r="B1187" t="s">
        <v>195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</row>
    <row r="1188" spans="1:36">
      <c r="A1188" t="s">
        <v>185</v>
      </c>
      <c r="B1188" t="s">
        <v>196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0.16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</row>
    <row r="1189" spans="1:36">
      <c r="A1189" t="s">
        <v>185</v>
      </c>
      <c r="B1189" t="s">
        <v>197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</row>
    <row r="1190" spans="1:36">
      <c r="A1190" t="s">
        <v>185</v>
      </c>
      <c r="B1190" t="s">
        <v>198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</row>
    <row r="1191" spans="1:36">
      <c r="A1191" t="s">
        <v>185</v>
      </c>
      <c r="B1191" t="s">
        <v>199</v>
      </c>
      <c r="C1191">
        <v>0</v>
      </c>
      <c r="D1191">
        <v>0</v>
      </c>
      <c r="E1191">
        <v>0</v>
      </c>
      <c r="F1191">
        <v>39.700000000000003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15.03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</row>
    <row r="1192" spans="1:36">
      <c r="A1192" t="s">
        <v>185</v>
      </c>
      <c r="B1192" t="s">
        <v>200</v>
      </c>
      <c r="C1192">
        <v>0</v>
      </c>
      <c r="D1192">
        <v>0</v>
      </c>
      <c r="E1192">
        <v>0</v>
      </c>
      <c r="F1192">
        <v>0.81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0.63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 t="s">
        <v>185</v>
      </c>
      <c r="B1193" t="s">
        <v>193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</row>
    <row r="1194" spans="1:36">
      <c r="A1194" t="s">
        <v>185</v>
      </c>
      <c r="B1194" t="s">
        <v>196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0.51</v>
      </c>
      <c r="J1194">
        <v>0</v>
      </c>
      <c r="K1194">
        <v>0</v>
      </c>
      <c r="L1194">
        <v>0</v>
      </c>
      <c r="M1194">
        <v>0</v>
      </c>
      <c r="N1194">
        <v>0.35</v>
      </c>
      <c r="O1194">
        <v>1.27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>
      <c r="A1195" t="s">
        <v>185</v>
      </c>
      <c r="B1195" t="s">
        <v>197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</row>
    <row r="1196" spans="1:36">
      <c r="A1196" t="s">
        <v>185</v>
      </c>
      <c r="B1196" t="s">
        <v>198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</row>
    <row r="1197" spans="1:36">
      <c r="A1197" t="s">
        <v>185</v>
      </c>
      <c r="B1197" t="s">
        <v>199</v>
      </c>
      <c r="C1197">
        <v>0.18</v>
      </c>
      <c r="D1197">
        <v>0</v>
      </c>
      <c r="E1197">
        <v>0</v>
      </c>
      <c r="F1197">
        <v>1.71</v>
      </c>
      <c r="G1197">
        <v>0</v>
      </c>
      <c r="H1197">
        <v>0</v>
      </c>
      <c r="I1197">
        <v>50.47</v>
      </c>
      <c r="J1197">
        <v>0</v>
      </c>
      <c r="K1197">
        <v>0</v>
      </c>
      <c r="L1197">
        <v>0</v>
      </c>
      <c r="M1197">
        <v>0</v>
      </c>
      <c r="N1197">
        <v>34.549999999999997</v>
      </c>
      <c r="O1197">
        <v>120.77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</row>
    <row r="1198" spans="1:36">
      <c r="A1198" t="s">
        <v>185</v>
      </c>
      <c r="B1198" t="s">
        <v>200</v>
      </c>
      <c r="C1198">
        <v>0</v>
      </c>
      <c r="D1198">
        <v>0</v>
      </c>
      <c r="E1198">
        <v>0</v>
      </c>
      <c r="F1198">
        <v>0.03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5.09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</row>
    <row r="1199" spans="1:36">
      <c r="A1199" t="s">
        <v>186</v>
      </c>
      <c r="B1199" t="s">
        <v>191</v>
      </c>
      <c r="C1199">
        <v>0</v>
      </c>
      <c r="D1199">
        <v>0</v>
      </c>
      <c r="E1199">
        <v>0</v>
      </c>
      <c r="F1199">
        <v>8.35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1.49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</row>
    <row r="1200" spans="1:36">
      <c r="A1200" t="s">
        <v>186</v>
      </c>
      <c r="B1200" t="s">
        <v>192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1.49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>
      <c r="A1201" t="s">
        <v>186</v>
      </c>
      <c r="B1201" t="s">
        <v>193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</row>
    <row r="1202" spans="1:36">
      <c r="A1202" t="s">
        <v>186</v>
      </c>
      <c r="B1202" t="s">
        <v>194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</row>
    <row r="1203" spans="1:36">
      <c r="A1203" t="s">
        <v>186</v>
      </c>
      <c r="B1203" t="s">
        <v>195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</row>
    <row r="1204" spans="1:36">
      <c r="A1204" t="s">
        <v>186</v>
      </c>
      <c r="B1204" t="s">
        <v>196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0.11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</row>
    <row r="1205" spans="1:36">
      <c r="A1205" t="s">
        <v>186</v>
      </c>
      <c r="B1205" t="s">
        <v>197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>
      <c r="A1206" t="s">
        <v>186</v>
      </c>
      <c r="B1206" t="s">
        <v>198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</row>
    <row r="1207" spans="1:36">
      <c r="A1207" t="s">
        <v>186</v>
      </c>
      <c r="B1207" t="s">
        <v>199</v>
      </c>
      <c r="C1207">
        <v>0</v>
      </c>
      <c r="D1207">
        <v>0</v>
      </c>
      <c r="E1207">
        <v>0</v>
      </c>
      <c r="F1207">
        <v>22.26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10.88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 t="s">
        <v>186</v>
      </c>
      <c r="B1208" t="s">
        <v>200</v>
      </c>
      <c r="C1208">
        <v>0</v>
      </c>
      <c r="D1208">
        <v>0</v>
      </c>
      <c r="E1208">
        <v>0</v>
      </c>
      <c r="F1208">
        <v>0.45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0.46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</row>
    <row r="1209" spans="1:36">
      <c r="A1209" t="s">
        <v>186</v>
      </c>
      <c r="B1209" t="s">
        <v>193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</row>
    <row r="1210" spans="1:36">
      <c r="A1210" t="s">
        <v>186</v>
      </c>
      <c r="B1210" t="s">
        <v>196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0.21</v>
      </c>
      <c r="J1210">
        <v>0</v>
      </c>
      <c r="K1210">
        <v>0</v>
      </c>
      <c r="L1210">
        <v>0</v>
      </c>
      <c r="M1210">
        <v>0</v>
      </c>
      <c r="N1210">
        <v>0.14000000000000001</v>
      </c>
      <c r="O1210">
        <v>0.51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</row>
    <row r="1211" spans="1:36">
      <c r="A1211" t="s">
        <v>186</v>
      </c>
      <c r="B1211" t="s">
        <v>197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</row>
    <row r="1212" spans="1:36">
      <c r="A1212" t="s">
        <v>186</v>
      </c>
      <c r="B1212" t="s">
        <v>198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</row>
    <row r="1213" spans="1:36">
      <c r="A1213" t="s">
        <v>186</v>
      </c>
      <c r="B1213" t="s">
        <v>199</v>
      </c>
      <c r="C1213">
        <v>0.02</v>
      </c>
      <c r="D1213">
        <v>0</v>
      </c>
      <c r="E1213">
        <v>0</v>
      </c>
      <c r="F1213">
        <v>0.16</v>
      </c>
      <c r="G1213">
        <v>0</v>
      </c>
      <c r="H1213">
        <v>0</v>
      </c>
      <c r="I1213">
        <v>20.32</v>
      </c>
      <c r="J1213">
        <v>0</v>
      </c>
      <c r="K1213">
        <v>0</v>
      </c>
      <c r="L1213">
        <v>0</v>
      </c>
      <c r="M1213">
        <v>0</v>
      </c>
      <c r="N1213">
        <v>13.91</v>
      </c>
      <c r="O1213">
        <v>48.62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</row>
    <row r="1214" spans="1:36">
      <c r="A1214" t="s">
        <v>186</v>
      </c>
      <c r="B1214" t="s">
        <v>200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2.0499999999999998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 t="s">
        <v>187</v>
      </c>
      <c r="B1215" t="s">
        <v>191</v>
      </c>
      <c r="C1215">
        <v>0</v>
      </c>
      <c r="D1215">
        <v>0</v>
      </c>
      <c r="E1215">
        <v>0</v>
      </c>
      <c r="F1215">
        <v>4.4000000000000004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0.12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 t="s">
        <v>187</v>
      </c>
      <c r="B1216" t="s">
        <v>192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0.12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</row>
    <row r="1217" spans="1:36">
      <c r="A1217" t="s">
        <v>187</v>
      </c>
      <c r="B1217" t="s">
        <v>196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0.01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</row>
    <row r="1218" spans="1:36">
      <c r="A1218" t="s">
        <v>187</v>
      </c>
      <c r="B1218" t="s">
        <v>199</v>
      </c>
      <c r="C1218">
        <v>0</v>
      </c>
      <c r="D1218">
        <v>0</v>
      </c>
      <c r="E1218">
        <v>0</v>
      </c>
      <c r="F1218">
        <v>0.09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0.8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 t="s">
        <v>187</v>
      </c>
      <c r="B1219" t="s">
        <v>200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0.03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</row>
    <row r="1220" spans="1:36">
      <c r="A1220" t="s">
        <v>187</v>
      </c>
      <c r="B1220" t="s">
        <v>196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7.0000000000000007E-2</v>
      </c>
      <c r="J1220">
        <v>0</v>
      </c>
      <c r="K1220">
        <v>0</v>
      </c>
      <c r="L1220">
        <v>0</v>
      </c>
      <c r="M1220">
        <v>0</v>
      </c>
      <c r="N1220">
        <v>0.05</v>
      </c>
      <c r="O1220">
        <v>0.17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</row>
    <row r="1221" spans="1:36">
      <c r="A1221" t="s">
        <v>187</v>
      </c>
      <c r="B1221" t="s">
        <v>199</v>
      </c>
      <c r="C1221">
        <v>0</v>
      </c>
      <c r="D1221">
        <v>0</v>
      </c>
      <c r="E1221">
        <v>0</v>
      </c>
      <c r="F1221">
        <v>0.01</v>
      </c>
      <c r="G1221">
        <v>0</v>
      </c>
      <c r="H1221">
        <v>0</v>
      </c>
      <c r="I1221">
        <v>6.88</v>
      </c>
      <c r="J1221">
        <v>0</v>
      </c>
      <c r="K1221">
        <v>0</v>
      </c>
      <c r="L1221">
        <v>0</v>
      </c>
      <c r="M1221">
        <v>0</v>
      </c>
      <c r="N1221">
        <v>4.71</v>
      </c>
      <c r="O1221">
        <v>16.46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</row>
    <row r="1222" spans="1:36">
      <c r="A1222" t="s">
        <v>187</v>
      </c>
      <c r="B1222" t="s">
        <v>200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0.69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 t="s">
        <v>188</v>
      </c>
      <c r="B1223" t="s">
        <v>191</v>
      </c>
      <c r="C1223">
        <v>0</v>
      </c>
      <c r="D1223">
        <v>0</v>
      </c>
      <c r="E1223">
        <v>0</v>
      </c>
      <c r="F1223">
        <v>4.84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0.57999999999999996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</row>
    <row r="1224" spans="1:36">
      <c r="A1224" t="s">
        <v>188</v>
      </c>
      <c r="B1224" t="s">
        <v>192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0.57999999999999996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</row>
    <row r="1225" spans="1:36">
      <c r="A1225" t="s">
        <v>188</v>
      </c>
      <c r="B1225" t="s">
        <v>193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</row>
    <row r="1226" spans="1:36">
      <c r="A1226" t="s">
        <v>188</v>
      </c>
      <c r="B1226" t="s">
        <v>194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</row>
    <row r="1227" spans="1:36">
      <c r="A1227" t="s">
        <v>188</v>
      </c>
      <c r="B1227" t="s">
        <v>195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>
      <c r="A1228" t="s">
        <v>188</v>
      </c>
      <c r="B1228" t="s">
        <v>196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0.01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</row>
    <row r="1229" spans="1:36">
      <c r="A1229" t="s">
        <v>188</v>
      </c>
      <c r="B1229" t="s">
        <v>197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 t="s">
        <v>188</v>
      </c>
      <c r="B1230" t="s">
        <v>198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</row>
    <row r="1231" spans="1:36">
      <c r="A1231" t="s">
        <v>188</v>
      </c>
      <c r="B1231" t="s">
        <v>199</v>
      </c>
      <c r="C1231">
        <v>0</v>
      </c>
      <c r="D1231">
        <v>0</v>
      </c>
      <c r="E1231">
        <v>0</v>
      </c>
      <c r="F1231">
        <v>0.65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0.68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</row>
    <row r="1232" spans="1:36">
      <c r="A1232" t="s">
        <v>188</v>
      </c>
      <c r="B1232" t="s">
        <v>200</v>
      </c>
      <c r="C1232">
        <v>0</v>
      </c>
      <c r="D1232">
        <v>0</v>
      </c>
      <c r="E1232">
        <v>0</v>
      </c>
      <c r="F1232">
        <v>0.01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0.03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 t="s">
        <v>188</v>
      </c>
      <c r="B1233" t="s">
        <v>193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</row>
    <row r="1234" spans="1:36">
      <c r="A1234" t="s">
        <v>188</v>
      </c>
      <c r="B1234" t="s">
        <v>196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0.11</v>
      </c>
      <c r="J1234">
        <v>0</v>
      </c>
      <c r="K1234">
        <v>0</v>
      </c>
      <c r="L1234">
        <v>0</v>
      </c>
      <c r="M1234">
        <v>0</v>
      </c>
      <c r="N1234">
        <v>7.0000000000000007E-2</v>
      </c>
      <c r="O1234">
        <v>0.26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</row>
    <row r="1235" spans="1:36">
      <c r="A1235" t="s">
        <v>188</v>
      </c>
      <c r="B1235" t="s">
        <v>197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</row>
    <row r="1236" spans="1:36">
      <c r="A1236" t="s">
        <v>188</v>
      </c>
      <c r="B1236" t="s">
        <v>198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</row>
    <row r="1237" spans="1:36">
      <c r="A1237" t="s">
        <v>188</v>
      </c>
      <c r="B1237" t="s">
        <v>199</v>
      </c>
      <c r="C1237">
        <v>0</v>
      </c>
      <c r="D1237">
        <v>0</v>
      </c>
      <c r="E1237">
        <v>0</v>
      </c>
      <c r="F1237">
        <v>0.02</v>
      </c>
      <c r="G1237">
        <v>0</v>
      </c>
      <c r="H1237">
        <v>0</v>
      </c>
      <c r="I1237">
        <v>10.48</v>
      </c>
      <c r="J1237">
        <v>0</v>
      </c>
      <c r="K1237">
        <v>0</v>
      </c>
      <c r="L1237">
        <v>0</v>
      </c>
      <c r="M1237">
        <v>0</v>
      </c>
      <c r="N1237">
        <v>7.17</v>
      </c>
      <c r="O1237">
        <v>25.08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</row>
    <row r="1238" spans="1:36">
      <c r="A1238" t="s">
        <v>188</v>
      </c>
      <c r="B1238" t="s">
        <v>200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1.06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</row>
    <row r="1239" spans="1:36">
      <c r="A1239" t="s">
        <v>182</v>
      </c>
      <c r="B1239" t="s">
        <v>191</v>
      </c>
      <c r="C1239">
        <v>0</v>
      </c>
      <c r="D1239">
        <v>0</v>
      </c>
      <c r="E1239">
        <v>0</v>
      </c>
      <c r="F1239">
        <v>0.33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0.74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</row>
    <row r="1240" spans="1:36">
      <c r="A1240" t="s">
        <v>182</v>
      </c>
      <c r="B1240" t="s">
        <v>192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0.74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 t="s">
        <v>182</v>
      </c>
      <c r="B1241" t="s">
        <v>193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</row>
    <row r="1242" spans="1:36">
      <c r="A1242" t="s">
        <v>182</v>
      </c>
      <c r="B1242" t="s">
        <v>194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</row>
    <row r="1243" spans="1:36">
      <c r="A1243" t="s">
        <v>182</v>
      </c>
      <c r="B1243" t="s">
        <v>195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</row>
    <row r="1244" spans="1:36">
      <c r="A1244" t="s">
        <v>182</v>
      </c>
      <c r="B1244" t="s">
        <v>196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0.03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</row>
    <row r="1245" spans="1:36">
      <c r="A1245" t="s">
        <v>182</v>
      </c>
      <c r="B1245" t="s">
        <v>197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</row>
    <row r="1246" spans="1:36">
      <c r="A1246" t="s">
        <v>182</v>
      </c>
      <c r="B1246" t="s">
        <v>198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</row>
    <row r="1247" spans="1:36">
      <c r="A1247" t="s">
        <v>182</v>
      </c>
      <c r="B1247" t="s">
        <v>199</v>
      </c>
      <c r="C1247">
        <v>0</v>
      </c>
      <c r="D1247">
        <v>0</v>
      </c>
      <c r="E1247">
        <v>0</v>
      </c>
      <c r="F1247">
        <v>0.02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2.6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</row>
    <row r="1248" spans="1:36">
      <c r="A1248" t="s">
        <v>182</v>
      </c>
      <c r="B1248" t="s">
        <v>200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0.11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 t="s">
        <v>182</v>
      </c>
      <c r="B1249" t="s">
        <v>193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>
      <c r="A1250" t="s">
        <v>182</v>
      </c>
      <c r="B1250" t="s">
        <v>196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0.4</v>
      </c>
      <c r="J1250">
        <v>0</v>
      </c>
      <c r="K1250">
        <v>0</v>
      </c>
      <c r="L1250">
        <v>0</v>
      </c>
      <c r="M1250">
        <v>0</v>
      </c>
      <c r="N1250">
        <v>0.28000000000000003</v>
      </c>
      <c r="O1250">
        <v>1.01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</row>
    <row r="1251" spans="1:36">
      <c r="A1251" t="s">
        <v>182</v>
      </c>
      <c r="B1251" t="s">
        <v>197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</row>
    <row r="1252" spans="1:36">
      <c r="A1252" t="s">
        <v>182</v>
      </c>
      <c r="B1252" t="s">
        <v>198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</row>
    <row r="1253" spans="1:36">
      <c r="A1253" t="s">
        <v>182</v>
      </c>
      <c r="B1253" t="s">
        <v>199</v>
      </c>
      <c r="C1253">
        <v>0.02</v>
      </c>
      <c r="D1253">
        <v>0</v>
      </c>
      <c r="E1253">
        <v>0</v>
      </c>
      <c r="F1253">
        <v>0.21</v>
      </c>
      <c r="G1253">
        <v>0</v>
      </c>
      <c r="H1253">
        <v>0</v>
      </c>
      <c r="I1253">
        <v>40.07</v>
      </c>
      <c r="J1253">
        <v>0</v>
      </c>
      <c r="K1253">
        <v>0</v>
      </c>
      <c r="L1253">
        <v>0</v>
      </c>
      <c r="M1253">
        <v>0</v>
      </c>
      <c r="N1253">
        <v>27.42</v>
      </c>
      <c r="O1253">
        <v>95.88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</row>
    <row r="1254" spans="1:36">
      <c r="A1254" t="s">
        <v>182</v>
      </c>
      <c r="B1254" t="s">
        <v>200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4.04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</row>
  </sheetData>
  <autoFilter ref="A1:AJ1254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57"/>
  <sheetViews>
    <sheetView topLeftCell="A348" workbookViewId="0">
      <selection activeCell="H320" sqref="H320"/>
    </sheetView>
  </sheetViews>
  <sheetFormatPr defaultRowHeight="14.45"/>
  <cols>
    <col min="1" max="1" width="22" customWidth="1"/>
    <col min="2" max="2" width="34" customWidth="1"/>
  </cols>
  <sheetData>
    <row r="1" spans="1:7">
      <c r="A1" t="s">
        <v>96</v>
      </c>
      <c r="B1" t="s">
        <v>97</v>
      </c>
      <c r="C1" t="s">
        <v>98</v>
      </c>
      <c r="D1" t="s">
        <v>101</v>
      </c>
      <c r="E1" t="s">
        <v>104</v>
      </c>
      <c r="F1" t="s">
        <v>109</v>
      </c>
      <c r="G1" t="s">
        <v>110</v>
      </c>
    </row>
    <row r="2" spans="1:7">
      <c r="A2" t="s">
        <v>201</v>
      </c>
      <c r="B2" t="s">
        <v>191</v>
      </c>
      <c r="D2">
        <v>24.06</v>
      </c>
      <c r="G2">
        <v>5.57</v>
      </c>
    </row>
    <row r="3" spans="1:7">
      <c r="A3" t="s">
        <v>201</v>
      </c>
      <c r="B3" t="s">
        <v>192</v>
      </c>
      <c r="D3">
        <v>0</v>
      </c>
      <c r="G3">
        <v>5.57</v>
      </c>
    </row>
    <row r="4" spans="1:7">
      <c r="A4" t="s">
        <v>201</v>
      </c>
      <c r="B4" t="s">
        <v>202</v>
      </c>
      <c r="G4">
        <v>0</v>
      </c>
    </row>
    <row r="5" spans="1:7">
      <c r="A5" t="s">
        <v>201</v>
      </c>
      <c r="B5" t="s">
        <v>203</v>
      </c>
      <c r="D5">
        <v>0</v>
      </c>
      <c r="G5">
        <v>0</v>
      </c>
    </row>
    <row r="6" spans="1:7">
      <c r="A6" t="s">
        <v>201</v>
      </c>
      <c r="B6" t="s">
        <v>204</v>
      </c>
      <c r="D6">
        <v>0</v>
      </c>
      <c r="G6">
        <v>0</v>
      </c>
    </row>
    <row r="7" spans="1:7">
      <c r="A7" t="s">
        <v>201</v>
      </c>
      <c r="B7" t="s">
        <v>205</v>
      </c>
      <c r="G7">
        <v>0.22</v>
      </c>
    </row>
    <row r="8" spans="1:7">
      <c r="A8" t="s">
        <v>201</v>
      </c>
      <c r="B8" t="s">
        <v>206</v>
      </c>
      <c r="D8">
        <v>0</v>
      </c>
      <c r="G8">
        <v>0</v>
      </c>
    </row>
    <row r="9" spans="1:7">
      <c r="A9" t="s">
        <v>201</v>
      </c>
      <c r="B9" t="s">
        <v>207</v>
      </c>
      <c r="D9">
        <v>0</v>
      </c>
      <c r="G9">
        <v>0</v>
      </c>
    </row>
    <row r="10" spans="1:7">
      <c r="A10" t="s">
        <v>201</v>
      </c>
      <c r="B10" t="s">
        <v>208</v>
      </c>
      <c r="D10">
        <v>40.61</v>
      </c>
      <c r="G10">
        <v>20.47</v>
      </c>
    </row>
    <row r="11" spans="1:7">
      <c r="A11" t="s">
        <v>201</v>
      </c>
      <c r="B11" t="s">
        <v>209</v>
      </c>
      <c r="D11">
        <v>0.83</v>
      </c>
      <c r="G11">
        <v>0.86</v>
      </c>
    </row>
    <row r="12" spans="1:7">
      <c r="A12" t="s">
        <v>201</v>
      </c>
      <c r="B12" t="s">
        <v>210</v>
      </c>
      <c r="G12">
        <v>0</v>
      </c>
    </row>
    <row r="13" spans="1:7">
      <c r="A13" t="s">
        <v>201</v>
      </c>
      <c r="B13" t="s">
        <v>211</v>
      </c>
      <c r="E13">
        <v>1.02</v>
      </c>
      <c r="F13">
        <v>0.7</v>
      </c>
      <c r="G13">
        <v>2.56</v>
      </c>
    </row>
    <row r="14" spans="1:7">
      <c r="A14" t="s">
        <v>201</v>
      </c>
      <c r="B14" t="s">
        <v>212</v>
      </c>
      <c r="D14">
        <v>0</v>
      </c>
      <c r="E14">
        <v>0</v>
      </c>
      <c r="G14">
        <v>0</v>
      </c>
    </row>
    <row r="15" spans="1:7">
      <c r="A15" t="s">
        <v>201</v>
      </c>
      <c r="B15" t="s">
        <v>213</v>
      </c>
      <c r="C15">
        <v>0</v>
      </c>
      <c r="D15">
        <v>0</v>
      </c>
      <c r="G15">
        <v>0</v>
      </c>
    </row>
    <row r="16" spans="1:7">
      <c r="A16" t="s">
        <v>201</v>
      </c>
      <c r="B16" t="s">
        <v>214</v>
      </c>
      <c r="C16">
        <v>0.23</v>
      </c>
      <c r="D16">
        <v>2.2400000000000002</v>
      </c>
      <c r="E16">
        <v>101.45</v>
      </c>
      <c r="F16">
        <v>69.44</v>
      </c>
      <c r="G16">
        <v>242.75</v>
      </c>
    </row>
    <row r="17" spans="1:7">
      <c r="A17" t="s">
        <v>201</v>
      </c>
      <c r="B17" t="s">
        <v>215</v>
      </c>
      <c r="C17">
        <v>0</v>
      </c>
      <c r="D17">
        <v>0.05</v>
      </c>
      <c r="E17">
        <v>0</v>
      </c>
      <c r="F17">
        <v>0</v>
      </c>
      <c r="G17">
        <v>10.220000000000001</v>
      </c>
    </row>
    <row r="18" spans="1:7">
      <c r="A18" t="s">
        <v>216</v>
      </c>
      <c r="B18" t="s">
        <v>191</v>
      </c>
      <c r="D18">
        <v>0.39</v>
      </c>
      <c r="G18">
        <v>0.86</v>
      </c>
    </row>
    <row r="19" spans="1:7">
      <c r="A19" t="s">
        <v>216</v>
      </c>
      <c r="B19" t="s">
        <v>192</v>
      </c>
      <c r="D19">
        <v>0</v>
      </c>
      <c r="G19">
        <v>0.86</v>
      </c>
    </row>
    <row r="20" spans="1:7">
      <c r="A20" t="s">
        <v>216</v>
      </c>
      <c r="B20" t="s">
        <v>202</v>
      </c>
      <c r="G20">
        <v>0</v>
      </c>
    </row>
    <row r="21" spans="1:7">
      <c r="A21" t="s">
        <v>216</v>
      </c>
      <c r="B21" t="s">
        <v>203</v>
      </c>
      <c r="D21">
        <v>0</v>
      </c>
      <c r="G21">
        <v>0</v>
      </c>
    </row>
    <row r="22" spans="1:7">
      <c r="A22" t="s">
        <v>216</v>
      </c>
      <c r="B22" t="s">
        <v>204</v>
      </c>
      <c r="D22">
        <v>0</v>
      </c>
      <c r="G22">
        <v>0</v>
      </c>
    </row>
    <row r="23" spans="1:7">
      <c r="A23" t="s">
        <v>216</v>
      </c>
      <c r="B23" t="s">
        <v>205</v>
      </c>
      <c r="G23">
        <v>0.03</v>
      </c>
    </row>
    <row r="24" spans="1:7">
      <c r="A24" t="s">
        <v>216</v>
      </c>
      <c r="B24" t="s">
        <v>206</v>
      </c>
      <c r="D24">
        <v>0</v>
      </c>
      <c r="G24">
        <v>0</v>
      </c>
    </row>
    <row r="25" spans="1:7">
      <c r="A25" t="s">
        <v>216</v>
      </c>
      <c r="B25" t="s">
        <v>207</v>
      </c>
      <c r="D25">
        <v>0</v>
      </c>
      <c r="G25">
        <v>0</v>
      </c>
    </row>
    <row r="26" spans="1:7">
      <c r="A26" t="s">
        <v>216</v>
      </c>
      <c r="B26" t="s">
        <v>208</v>
      </c>
      <c r="D26">
        <v>0.02</v>
      </c>
      <c r="G26">
        <v>2.8</v>
      </c>
    </row>
    <row r="27" spans="1:7">
      <c r="A27" t="s">
        <v>216</v>
      </c>
      <c r="B27" t="s">
        <v>209</v>
      </c>
      <c r="D27">
        <v>0</v>
      </c>
      <c r="G27">
        <v>0.12</v>
      </c>
    </row>
    <row r="28" spans="1:7">
      <c r="A28" t="s">
        <v>216</v>
      </c>
      <c r="B28" t="s">
        <v>210</v>
      </c>
      <c r="G28">
        <v>0</v>
      </c>
    </row>
    <row r="29" spans="1:7">
      <c r="A29" t="s">
        <v>216</v>
      </c>
      <c r="B29" t="s">
        <v>211</v>
      </c>
      <c r="E29">
        <v>0.42</v>
      </c>
      <c r="F29">
        <v>0.28999999999999998</v>
      </c>
      <c r="G29">
        <v>1.05</v>
      </c>
    </row>
    <row r="30" spans="1:7">
      <c r="A30" t="s">
        <v>216</v>
      </c>
      <c r="B30" t="s">
        <v>212</v>
      </c>
      <c r="D30">
        <v>0</v>
      </c>
      <c r="E30">
        <v>0</v>
      </c>
      <c r="G30">
        <v>0</v>
      </c>
    </row>
    <row r="31" spans="1:7">
      <c r="A31" t="s">
        <v>216</v>
      </c>
      <c r="B31" t="s">
        <v>213</v>
      </c>
      <c r="C31">
        <v>0</v>
      </c>
      <c r="D31">
        <v>0</v>
      </c>
      <c r="G31">
        <v>0</v>
      </c>
    </row>
    <row r="32" spans="1:7">
      <c r="A32" t="s">
        <v>216</v>
      </c>
      <c r="B32" t="s">
        <v>214</v>
      </c>
      <c r="C32">
        <v>0.02</v>
      </c>
      <c r="D32">
        <v>0.21</v>
      </c>
      <c r="E32">
        <v>41.5</v>
      </c>
      <c r="F32">
        <v>28.4</v>
      </c>
      <c r="G32">
        <v>99.3</v>
      </c>
    </row>
    <row r="33" spans="1:7">
      <c r="A33" t="s">
        <v>216</v>
      </c>
      <c r="B33" t="s">
        <v>215</v>
      </c>
      <c r="C33">
        <v>0</v>
      </c>
      <c r="D33">
        <v>0</v>
      </c>
      <c r="E33">
        <v>0</v>
      </c>
      <c r="F33">
        <v>0</v>
      </c>
      <c r="G33">
        <v>4.18</v>
      </c>
    </row>
    <row r="34" spans="1:7">
      <c r="A34" t="s">
        <v>217</v>
      </c>
      <c r="B34" t="s">
        <v>191</v>
      </c>
      <c r="D34">
        <v>3.51</v>
      </c>
      <c r="G34">
        <v>2.2999999999999998</v>
      </c>
    </row>
    <row r="35" spans="1:7">
      <c r="A35" t="s">
        <v>217</v>
      </c>
      <c r="B35" t="s">
        <v>192</v>
      </c>
      <c r="D35">
        <v>0</v>
      </c>
      <c r="G35">
        <v>2.2999999999999998</v>
      </c>
    </row>
    <row r="36" spans="1:7">
      <c r="A36" t="s">
        <v>217</v>
      </c>
      <c r="B36" t="s">
        <v>202</v>
      </c>
      <c r="G36">
        <v>0</v>
      </c>
    </row>
    <row r="37" spans="1:7">
      <c r="A37" t="s">
        <v>217</v>
      </c>
      <c r="B37" t="s">
        <v>203</v>
      </c>
      <c r="D37">
        <v>0</v>
      </c>
      <c r="G37">
        <v>0</v>
      </c>
    </row>
    <row r="38" spans="1:7">
      <c r="A38" t="s">
        <v>217</v>
      </c>
      <c r="B38" t="s">
        <v>204</v>
      </c>
      <c r="D38">
        <v>0</v>
      </c>
      <c r="G38">
        <v>0</v>
      </c>
    </row>
    <row r="39" spans="1:7">
      <c r="A39" t="s">
        <v>217</v>
      </c>
      <c r="B39" t="s">
        <v>205</v>
      </c>
      <c r="G39">
        <v>0.05</v>
      </c>
    </row>
    <row r="40" spans="1:7">
      <c r="A40" t="s">
        <v>217</v>
      </c>
      <c r="B40" t="s">
        <v>206</v>
      </c>
      <c r="D40">
        <v>0</v>
      </c>
      <c r="G40">
        <v>0</v>
      </c>
    </row>
    <row r="41" spans="1:7">
      <c r="A41" t="s">
        <v>217</v>
      </c>
      <c r="B41" t="s">
        <v>207</v>
      </c>
      <c r="D41">
        <v>0</v>
      </c>
      <c r="G41">
        <v>0</v>
      </c>
    </row>
    <row r="42" spans="1:7">
      <c r="A42" t="s">
        <v>217</v>
      </c>
      <c r="B42" t="s">
        <v>208</v>
      </c>
      <c r="D42">
        <v>0.86</v>
      </c>
      <c r="G42">
        <v>5.22</v>
      </c>
    </row>
    <row r="43" spans="1:7">
      <c r="A43" t="s">
        <v>217</v>
      </c>
      <c r="B43" t="s">
        <v>209</v>
      </c>
      <c r="D43">
        <v>0.02</v>
      </c>
      <c r="G43">
        <v>0.22</v>
      </c>
    </row>
    <row r="44" spans="1:7">
      <c r="A44" t="s">
        <v>217</v>
      </c>
      <c r="B44" t="s">
        <v>210</v>
      </c>
      <c r="G44">
        <v>0</v>
      </c>
    </row>
    <row r="45" spans="1:7">
      <c r="A45" t="s">
        <v>217</v>
      </c>
      <c r="B45" t="s">
        <v>211</v>
      </c>
      <c r="E45">
        <v>1.4</v>
      </c>
      <c r="F45">
        <v>0.96</v>
      </c>
      <c r="G45">
        <v>3.48</v>
      </c>
    </row>
    <row r="46" spans="1:7">
      <c r="A46" t="s">
        <v>217</v>
      </c>
      <c r="B46" t="s">
        <v>212</v>
      </c>
      <c r="D46">
        <v>0</v>
      </c>
      <c r="E46">
        <v>0</v>
      </c>
      <c r="G46">
        <v>0</v>
      </c>
    </row>
    <row r="47" spans="1:7">
      <c r="A47" t="s">
        <v>217</v>
      </c>
      <c r="B47" t="s">
        <v>213</v>
      </c>
      <c r="C47">
        <v>0</v>
      </c>
      <c r="D47">
        <v>0</v>
      </c>
      <c r="G47">
        <v>0</v>
      </c>
    </row>
    <row r="48" spans="1:7">
      <c r="A48" t="s">
        <v>217</v>
      </c>
      <c r="B48" t="s">
        <v>214</v>
      </c>
      <c r="C48">
        <v>0.61</v>
      </c>
      <c r="D48">
        <v>5.91</v>
      </c>
      <c r="E48">
        <v>138.19999999999999</v>
      </c>
      <c r="F48">
        <v>94.6</v>
      </c>
      <c r="G48">
        <v>330.7</v>
      </c>
    </row>
    <row r="49" spans="1:7">
      <c r="A49" t="s">
        <v>217</v>
      </c>
      <c r="B49" t="s">
        <v>215</v>
      </c>
      <c r="C49">
        <v>0.01</v>
      </c>
      <c r="D49">
        <v>0.12</v>
      </c>
      <c r="E49">
        <v>0</v>
      </c>
      <c r="F49">
        <v>0</v>
      </c>
      <c r="G49">
        <v>13.92</v>
      </c>
    </row>
    <row r="50" spans="1:7">
      <c r="A50" t="s">
        <v>218</v>
      </c>
      <c r="B50" t="s">
        <v>191</v>
      </c>
      <c r="D50">
        <v>2.46</v>
      </c>
      <c r="G50">
        <v>1.17</v>
      </c>
    </row>
    <row r="51" spans="1:7">
      <c r="A51" t="s">
        <v>218</v>
      </c>
      <c r="B51" t="s">
        <v>192</v>
      </c>
      <c r="D51">
        <v>0</v>
      </c>
      <c r="G51">
        <v>1.17</v>
      </c>
    </row>
    <row r="52" spans="1:7">
      <c r="A52" t="s">
        <v>218</v>
      </c>
      <c r="B52" t="s">
        <v>202</v>
      </c>
      <c r="G52">
        <v>0</v>
      </c>
    </row>
    <row r="53" spans="1:7">
      <c r="A53" t="s">
        <v>218</v>
      </c>
      <c r="B53" t="s">
        <v>203</v>
      </c>
      <c r="D53">
        <v>0</v>
      </c>
      <c r="G53">
        <v>0</v>
      </c>
    </row>
    <row r="54" spans="1:7">
      <c r="A54" t="s">
        <v>218</v>
      </c>
      <c r="B54" t="s">
        <v>204</v>
      </c>
      <c r="D54">
        <v>0</v>
      </c>
      <c r="G54">
        <v>0</v>
      </c>
    </row>
    <row r="55" spans="1:7">
      <c r="A55" t="s">
        <v>218</v>
      </c>
      <c r="B55" t="s">
        <v>205</v>
      </c>
      <c r="G55">
        <v>0.04</v>
      </c>
    </row>
    <row r="56" spans="1:7">
      <c r="A56" t="s">
        <v>218</v>
      </c>
      <c r="B56" t="s">
        <v>206</v>
      </c>
      <c r="D56">
        <v>0</v>
      </c>
      <c r="G56">
        <v>0</v>
      </c>
    </row>
    <row r="57" spans="1:7">
      <c r="A57" t="s">
        <v>218</v>
      </c>
      <c r="B57" t="s">
        <v>207</v>
      </c>
      <c r="D57">
        <v>0</v>
      </c>
      <c r="G57">
        <v>0</v>
      </c>
    </row>
    <row r="58" spans="1:7">
      <c r="A58" t="s">
        <v>218</v>
      </c>
      <c r="B58" t="s">
        <v>208</v>
      </c>
      <c r="D58">
        <v>3.96</v>
      </c>
      <c r="G58">
        <v>3.42</v>
      </c>
    </row>
    <row r="59" spans="1:7">
      <c r="A59" t="s">
        <v>218</v>
      </c>
      <c r="B59" t="s">
        <v>209</v>
      </c>
      <c r="D59">
        <v>0.08</v>
      </c>
      <c r="G59">
        <v>0.14000000000000001</v>
      </c>
    </row>
    <row r="60" spans="1:7">
      <c r="A60" t="s">
        <v>218</v>
      </c>
      <c r="B60" t="s">
        <v>210</v>
      </c>
      <c r="G60">
        <v>0</v>
      </c>
    </row>
    <row r="61" spans="1:7">
      <c r="A61" t="s">
        <v>218</v>
      </c>
      <c r="B61" t="s">
        <v>211</v>
      </c>
      <c r="E61">
        <v>0.4</v>
      </c>
      <c r="F61">
        <v>0.27</v>
      </c>
      <c r="G61">
        <v>0.99</v>
      </c>
    </row>
    <row r="62" spans="1:7">
      <c r="A62" t="s">
        <v>218</v>
      </c>
      <c r="B62" t="s">
        <v>212</v>
      </c>
      <c r="D62">
        <v>0</v>
      </c>
      <c r="E62">
        <v>0</v>
      </c>
      <c r="G62">
        <v>0</v>
      </c>
    </row>
    <row r="63" spans="1:7">
      <c r="A63" t="s">
        <v>218</v>
      </c>
      <c r="B63" t="s">
        <v>213</v>
      </c>
      <c r="C63">
        <v>0</v>
      </c>
      <c r="D63">
        <v>0</v>
      </c>
      <c r="G63">
        <v>0</v>
      </c>
    </row>
    <row r="64" spans="1:7">
      <c r="A64" t="s">
        <v>218</v>
      </c>
      <c r="B64" t="s">
        <v>214</v>
      </c>
      <c r="C64">
        <v>0.41</v>
      </c>
      <c r="D64">
        <v>4.01</v>
      </c>
      <c r="E64">
        <v>39.43</v>
      </c>
      <c r="F64">
        <v>26.99</v>
      </c>
      <c r="G64">
        <v>94.35</v>
      </c>
    </row>
    <row r="65" spans="1:7">
      <c r="A65" t="s">
        <v>218</v>
      </c>
      <c r="B65" t="s">
        <v>215</v>
      </c>
      <c r="C65">
        <v>0.01</v>
      </c>
      <c r="D65">
        <v>0.08</v>
      </c>
      <c r="E65">
        <v>0</v>
      </c>
      <c r="F65">
        <v>0</v>
      </c>
      <c r="G65">
        <v>3.97</v>
      </c>
    </row>
    <row r="66" spans="1:7">
      <c r="A66" t="s">
        <v>219</v>
      </c>
      <c r="B66" t="s">
        <v>191</v>
      </c>
      <c r="D66">
        <v>24.17</v>
      </c>
      <c r="G66">
        <v>3.21</v>
      </c>
    </row>
    <row r="67" spans="1:7">
      <c r="A67" t="s">
        <v>219</v>
      </c>
      <c r="B67" t="s">
        <v>192</v>
      </c>
      <c r="D67">
        <v>0</v>
      </c>
      <c r="G67">
        <v>3.21</v>
      </c>
    </row>
    <row r="68" spans="1:7">
      <c r="A68" t="s">
        <v>219</v>
      </c>
      <c r="B68" t="s">
        <v>203</v>
      </c>
      <c r="D68">
        <v>0</v>
      </c>
    </row>
    <row r="69" spans="1:7">
      <c r="A69" t="s">
        <v>219</v>
      </c>
      <c r="B69" t="s">
        <v>204</v>
      </c>
      <c r="D69">
        <v>0</v>
      </c>
    </row>
    <row r="70" spans="1:7">
      <c r="A70" t="s">
        <v>219</v>
      </c>
      <c r="B70" t="s">
        <v>206</v>
      </c>
      <c r="D70">
        <v>0</v>
      </c>
    </row>
    <row r="71" spans="1:7">
      <c r="A71" t="s">
        <v>219</v>
      </c>
      <c r="B71" t="s">
        <v>207</v>
      </c>
      <c r="D71">
        <v>0</v>
      </c>
    </row>
    <row r="72" spans="1:7">
      <c r="A72" t="s">
        <v>219</v>
      </c>
      <c r="B72" t="s">
        <v>208</v>
      </c>
      <c r="D72">
        <v>0.1</v>
      </c>
    </row>
    <row r="73" spans="1:7">
      <c r="A73" t="s">
        <v>219</v>
      </c>
      <c r="B73" t="s">
        <v>209</v>
      </c>
      <c r="D73">
        <v>0</v>
      </c>
    </row>
    <row r="74" spans="1:7">
      <c r="A74" t="s">
        <v>219</v>
      </c>
      <c r="B74" t="s">
        <v>210</v>
      </c>
      <c r="G74">
        <v>0</v>
      </c>
    </row>
    <row r="75" spans="1:7">
      <c r="A75" t="s">
        <v>219</v>
      </c>
      <c r="B75" t="s">
        <v>211</v>
      </c>
      <c r="E75">
        <v>0.01</v>
      </c>
      <c r="F75">
        <v>0.01</v>
      </c>
      <c r="G75">
        <v>0.03</v>
      </c>
    </row>
    <row r="76" spans="1:7">
      <c r="A76" t="s">
        <v>219</v>
      </c>
      <c r="B76" t="s">
        <v>212</v>
      </c>
      <c r="D76">
        <v>0</v>
      </c>
      <c r="E76">
        <v>0</v>
      </c>
      <c r="G76">
        <v>0</v>
      </c>
    </row>
    <row r="77" spans="1:7">
      <c r="A77" t="s">
        <v>219</v>
      </c>
      <c r="B77" t="s">
        <v>213</v>
      </c>
      <c r="C77">
        <v>0</v>
      </c>
      <c r="D77">
        <v>0</v>
      </c>
      <c r="G77">
        <v>0</v>
      </c>
    </row>
    <row r="78" spans="1:7">
      <c r="A78" t="s">
        <v>219</v>
      </c>
      <c r="B78" t="s">
        <v>214</v>
      </c>
      <c r="C78">
        <v>0.01</v>
      </c>
      <c r="D78">
        <v>0.12</v>
      </c>
      <c r="E78">
        <v>1.37</v>
      </c>
      <c r="F78">
        <v>0.94</v>
      </c>
      <c r="G78">
        <v>3.27</v>
      </c>
    </row>
    <row r="79" spans="1:7">
      <c r="A79" t="s">
        <v>219</v>
      </c>
      <c r="B79" t="s">
        <v>215</v>
      </c>
      <c r="C79">
        <v>0</v>
      </c>
      <c r="D79">
        <v>0</v>
      </c>
      <c r="E79">
        <v>0</v>
      </c>
      <c r="F79">
        <v>0</v>
      </c>
      <c r="G79">
        <v>0.14000000000000001</v>
      </c>
    </row>
    <row r="80" spans="1:7">
      <c r="A80" t="s">
        <v>220</v>
      </c>
      <c r="B80" t="s">
        <v>191</v>
      </c>
      <c r="D80">
        <v>3.84</v>
      </c>
      <c r="G80">
        <v>0.18</v>
      </c>
    </row>
    <row r="81" spans="1:7">
      <c r="A81" t="s">
        <v>220</v>
      </c>
      <c r="B81" t="s">
        <v>192</v>
      </c>
      <c r="D81">
        <v>0</v>
      </c>
      <c r="G81">
        <v>0.18</v>
      </c>
    </row>
    <row r="82" spans="1:7">
      <c r="A82" t="s">
        <v>220</v>
      </c>
      <c r="B82" t="s">
        <v>203</v>
      </c>
      <c r="D82">
        <v>0</v>
      </c>
    </row>
    <row r="83" spans="1:7">
      <c r="A83" t="s">
        <v>220</v>
      </c>
      <c r="B83" t="s">
        <v>204</v>
      </c>
      <c r="D83">
        <v>0</v>
      </c>
    </row>
    <row r="84" spans="1:7">
      <c r="A84" t="s">
        <v>220</v>
      </c>
      <c r="B84" t="s">
        <v>206</v>
      </c>
      <c r="D84">
        <v>0</v>
      </c>
    </row>
    <row r="85" spans="1:7">
      <c r="A85" t="s">
        <v>220</v>
      </c>
      <c r="B85" t="s">
        <v>207</v>
      </c>
      <c r="D85">
        <v>0</v>
      </c>
    </row>
    <row r="86" spans="1:7">
      <c r="A86" t="s">
        <v>220</v>
      </c>
      <c r="B86" t="s">
        <v>208</v>
      </c>
      <c r="D86">
        <v>0.02</v>
      </c>
    </row>
    <row r="87" spans="1:7">
      <c r="A87" t="s">
        <v>220</v>
      </c>
      <c r="B87" t="s">
        <v>209</v>
      </c>
      <c r="D87">
        <v>0</v>
      </c>
    </row>
    <row r="88" spans="1:7">
      <c r="A88" t="s">
        <v>220</v>
      </c>
      <c r="B88" t="s">
        <v>210</v>
      </c>
      <c r="G88">
        <v>0</v>
      </c>
    </row>
    <row r="89" spans="1:7">
      <c r="A89" t="s">
        <v>220</v>
      </c>
      <c r="B89" t="s">
        <v>211</v>
      </c>
      <c r="E89">
        <v>0.01</v>
      </c>
      <c r="F89">
        <v>0</v>
      </c>
      <c r="G89">
        <v>0.01</v>
      </c>
    </row>
    <row r="90" spans="1:7">
      <c r="A90" t="s">
        <v>220</v>
      </c>
      <c r="B90" t="s">
        <v>212</v>
      </c>
      <c r="D90">
        <v>0</v>
      </c>
      <c r="E90">
        <v>0</v>
      </c>
      <c r="G90">
        <v>0</v>
      </c>
    </row>
    <row r="91" spans="1:7">
      <c r="A91" t="s">
        <v>220</v>
      </c>
      <c r="B91" t="s">
        <v>213</v>
      </c>
      <c r="C91">
        <v>0</v>
      </c>
      <c r="D91">
        <v>0</v>
      </c>
      <c r="G91">
        <v>0</v>
      </c>
    </row>
    <row r="92" spans="1:7">
      <c r="A92" t="s">
        <v>220</v>
      </c>
      <c r="B92" t="s">
        <v>214</v>
      </c>
      <c r="C92">
        <v>0</v>
      </c>
      <c r="D92">
        <v>0.01</v>
      </c>
      <c r="E92">
        <v>0.57999999999999996</v>
      </c>
      <c r="F92">
        <v>0.4</v>
      </c>
      <c r="G92">
        <v>1.38</v>
      </c>
    </row>
    <row r="93" spans="1:7">
      <c r="A93" t="s">
        <v>220</v>
      </c>
      <c r="B93" t="s">
        <v>215</v>
      </c>
      <c r="C93">
        <v>0</v>
      </c>
      <c r="D93">
        <v>0</v>
      </c>
      <c r="E93">
        <v>0</v>
      </c>
      <c r="F93">
        <v>0</v>
      </c>
      <c r="G93">
        <v>0.06</v>
      </c>
    </row>
    <row r="94" spans="1:7">
      <c r="A94" t="s">
        <v>221</v>
      </c>
      <c r="B94" t="s">
        <v>191</v>
      </c>
      <c r="D94">
        <v>8.39</v>
      </c>
      <c r="G94">
        <v>5.05</v>
      </c>
    </row>
    <row r="95" spans="1:7">
      <c r="A95" t="s">
        <v>221</v>
      </c>
      <c r="B95" t="s">
        <v>192</v>
      </c>
      <c r="D95">
        <v>0</v>
      </c>
      <c r="G95">
        <v>5.05</v>
      </c>
    </row>
    <row r="96" spans="1:7">
      <c r="A96" t="s">
        <v>221</v>
      </c>
      <c r="B96" t="s">
        <v>202</v>
      </c>
      <c r="G96">
        <v>0</v>
      </c>
    </row>
    <row r="97" spans="1:7">
      <c r="A97" t="s">
        <v>221</v>
      </c>
      <c r="B97" t="s">
        <v>203</v>
      </c>
      <c r="D97">
        <v>0</v>
      </c>
      <c r="G97">
        <v>0</v>
      </c>
    </row>
    <row r="98" spans="1:7">
      <c r="A98" t="s">
        <v>221</v>
      </c>
      <c r="B98" t="s">
        <v>204</v>
      </c>
      <c r="D98">
        <v>0</v>
      </c>
      <c r="G98">
        <v>0</v>
      </c>
    </row>
    <row r="99" spans="1:7">
      <c r="A99" t="s">
        <v>221</v>
      </c>
      <c r="B99" t="s">
        <v>205</v>
      </c>
      <c r="G99">
        <v>0.17</v>
      </c>
    </row>
    <row r="100" spans="1:7">
      <c r="A100" t="s">
        <v>221</v>
      </c>
      <c r="B100" t="s">
        <v>206</v>
      </c>
      <c r="D100">
        <v>0</v>
      </c>
      <c r="G100">
        <v>0</v>
      </c>
    </row>
    <row r="101" spans="1:7">
      <c r="A101" t="s">
        <v>221</v>
      </c>
      <c r="B101" t="s">
        <v>207</v>
      </c>
      <c r="D101">
        <v>0</v>
      </c>
      <c r="G101">
        <v>0</v>
      </c>
    </row>
    <row r="102" spans="1:7">
      <c r="A102" t="s">
        <v>221</v>
      </c>
      <c r="B102" t="s">
        <v>208</v>
      </c>
      <c r="D102">
        <v>33.520000000000003</v>
      </c>
      <c r="G102">
        <v>16.21</v>
      </c>
    </row>
    <row r="103" spans="1:7">
      <c r="A103" t="s">
        <v>221</v>
      </c>
      <c r="B103" t="s">
        <v>209</v>
      </c>
      <c r="D103">
        <v>0.68</v>
      </c>
      <c r="G103">
        <v>0.68</v>
      </c>
    </row>
    <row r="104" spans="1:7">
      <c r="A104" t="s">
        <v>221</v>
      </c>
      <c r="B104" t="s">
        <v>210</v>
      </c>
      <c r="G104">
        <v>0</v>
      </c>
    </row>
    <row r="105" spans="1:7">
      <c r="A105" t="s">
        <v>221</v>
      </c>
      <c r="B105" t="s">
        <v>211</v>
      </c>
      <c r="E105">
        <v>0.53</v>
      </c>
      <c r="F105">
        <v>0.36</v>
      </c>
      <c r="G105">
        <v>1.32</v>
      </c>
    </row>
    <row r="106" spans="1:7">
      <c r="A106" t="s">
        <v>221</v>
      </c>
      <c r="B106" t="s">
        <v>212</v>
      </c>
      <c r="D106">
        <v>0</v>
      </c>
      <c r="E106">
        <v>0</v>
      </c>
      <c r="G106">
        <v>0</v>
      </c>
    </row>
    <row r="107" spans="1:7">
      <c r="A107" t="s">
        <v>221</v>
      </c>
      <c r="B107" t="s">
        <v>213</v>
      </c>
      <c r="C107">
        <v>0</v>
      </c>
      <c r="D107">
        <v>0</v>
      </c>
      <c r="G107">
        <v>0</v>
      </c>
    </row>
    <row r="108" spans="1:7">
      <c r="A108" t="s">
        <v>221</v>
      </c>
      <c r="B108" t="s">
        <v>214</v>
      </c>
      <c r="C108">
        <v>0.18</v>
      </c>
      <c r="D108">
        <v>1.71</v>
      </c>
      <c r="E108">
        <v>52.27</v>
      </c>
      <c r="F108">
        <v>35.78</v>
      </c>
      <c r="G108">
        <v>125.08</v>
      </c>
    </row>
    <row r="109" spans="1:7">
      <c r="A109" t="s">
        <v>221</v>
      </c>
      <c r="B109" t="s">
        <v>215</v>
      </c>
      <c r="C109">
        <v>0</v>
      </c>
      <c r="D109">
        <v>0.03</v>
      </c>
      <c r="E109">
        <v>0</v>
      </c>
      <c r="F109">
        <v>0</v>
      </c>
      <c r="G109">
        <v>5.27</v>
      </c>
    </row>
    <row r="110" spans="1:7">
      <c r="A110" t="s">
        <v>222</v>
      </c>
      <c r="B110" t="s">
        <v>191</v>
      </c>
      <c r="D110">
        <v>9.8699999999999992</v>
      </c>
      <c r="G110">
        <v>1.73</v>
      </c>
    </row>
    <row r="111" spans="1:7">
      <c r="A111" t="s">
        <v>222</v>
      </c>
      <c r="B111" t="s">
        <v>192</v>
      </c>
      <c r="D111">
        <v>0</v>
      </c>
      <c r="G111">
        <v>1.73</v>
      </c>
    </row>
    <row r="112" spans="1:7">
      <c r="A112" t="s">
        <v>222</v>
      </c>
      <c r="B112" t="s">
        <v>202</v>
      </c>
      <c r="G112">
        <v>0</v>
      </c>
    </row>
    <row r="113" spans="1:7">
      <c r="A113" t="s">
        <v>222</v>
      </c>
      <c r="B113" t="s">
        <v>203</v>
      </c>
      <c r="D113">
        <v>0</v>
      </c>
      <c r="G113">
        <v>0</v>
      </c>
    </row>
    <row r="114" spans="1:7">
      <c r="A114" t="s">
        <v>222</v>
      </c>
      <c r="B114" t="s">
        <v>204</v>
      </c>
      <c r="D114">
        <v>0</v>
      </c>
      <c r="G114">
        <v>0</v>
      </c>
    </row>
    <row r="115" spans="1:7">
      <c r="A115" t="s">
        <v>222</v>
      </c>
      <c r="B115" t="s">
        <v>205</v>
      </c>
      <c r="G115">
        <v>0.12</v>
      </c>
    </row>
    <row r="116" spans="1:7">
      <c r="A116" t="s">
        <v>222</v>
      </c>
      <c r="B116" t="s">
        <v>206</v>
      </c>
      <c r="D116">
        <v>0</v>
      </c>
      <c r="G116">
        <v>0</v>
      </c>
    </row>
    <row r="117" spans="1:7">
      <c r="A117" t="s">
        <v>222</v>
      </c>
      <c r="B117" t="s">
        <v>207</v>
      </c>
      <c r="D117">
        <v>0</v>
      </c>
      <c r="G117">
        <v>0</v>
      </c>
    </row>
    <row r="118" spans="1:7">
      <c r="A118" t="s">
        <v>222</v>
      </c>
      <c r="B118" t="s">
        <v>208</v>
      </c>
      <c r="D118">
        <v>18.79</v>
      </c>
      <c r="G118">
        <v>11.74</v>
      </c>
    </row>
    <row r="119" spans="1:7">
      <c r="A119" t="s">
        <v>222</v>
      </c>
      <c r="B119" t="s">
        <v>209</v>
      </c>
      <c r="D119">
        <v>0.38</v>
      </c>
      <c r="G119">
        <v>0.49</v>
      </c>
    </row>
    <row r="120" spans="1:7">
      <c r="A120" t="s">
        <v>222</v>
      </c>
      <c r="B120" t="s">
        <v>210</v>
      </c>
      <c r="G120">
        <v>0</v>
      </c>
    </row>
    <row r="121" spans="1:7">
      <c r="A121" t="s">
        <v>222</v>
      </c>
      <c r="B121" t="s">
        <v>211</v>
      </c>
      <c r="E121">
        <v>0.21</v>
      </c>
      <c r="F121">
        <v>0.15</v>
      </c>
      <c r="G121">
        <v>0.53</v>
      </c>
    </row>
    <row r="122" spans="1:7">
      <c r="A122" t="s">
        <v>222</v>
      </c>
      <c r="B122" t="s">
        <v>212</v>
      </c>
      <c r="D122">
        <v>0</v>
      </c>
      <c r="E122">
        <v>0</v>
      </c>
      <c r="G122">
        <v>0</v>
      </c>
    </row>
    <row r="123" spans="1:7">
      <c r="A123" t="s">
        <v>222</v>
      </c>
      <c r="B123" t="s">
        <v>213</v>
      </c>
      <c r="C123">
        <v>0</v>
      </c>
      <c r="D123">
        <v>0</v>
      </c>
      <c r="G123">
        <v>0</v>
      </c>
    </row>
    <row r="124" spans="1:7">
      <c r="A124" t="s">
        <v>222</v>
      </c>
      <c r="B124" t="s">
        <v>214</v>
      </c>
      <c r="C124">
        <v>0.02</v>
      </c>
      <c r="D124">
        <v>0.16</v>
      </c>
      <c r="E124">
        <v>21.04</v>
      </c>
      <c r="F124">
        <v>14.4</v>
      </c>
      <c r="G124">
        <v>50.36</v>
      </c>
    </row>
    <row r="125" spans="1:7">
      <c r="A125" t="s">
        <v>222</v>
      </c>
      <c r="B125" t="s">
        <v>215</v>
      </c>
      <c r="C125">
        <v>0</v>
      </c>
      <c r="D125">
        <v>0</v>
      </c>
      <c r="E125">
        <v>0</v>
      </c>
      <c r="F125">
        <v>0</v>
      </c>
      <c r="G125">
        <v>2.12</v>
      </c>
    </row>
    <row r="126" spans="1:7">
      <c r="A126" t="s">
        <v>223</v>
      </c>
      <c r="B126" t="s">
        <v>191</v>
      </c>
      <c r="D126">
        <v>5.2</v>
      </c>
      <c r="G126">
        <v>0.14000000000000001</v>
      </c>
    </row>
    <row r="127" spans="1:7">
      <c r="A127" t="s">
        <v>223</v>
      </c>
      <c r="B127" t="s">
        <v>192</v>
      </c>
      <c r="G127">
        <v>0.14000000000000001</v>
      </c>
    </row>
    <row r="128" spans="1:7">
      <c r="A128" t="s">
        <v>223</v>
      </c>
      <c r="B128" t="s">
        <v>205</v>
      </c>
      <c r="G128">
        <v>0.01</v>
      </c>
    </row>
    <row r="129" spans="1:7">
      <c r="A129" t="s">
        <v>223</v>
      </c>
      <c r="B129" t="s">
        <v>208</v>
      </c>
      <c r="D129">
        <v>7.0000000000000007E-2</v>
      </c>
      <c r="G129">
        <v>0.87</v>
      </c>
    </row>
    <row r="130" spans="1:7">
      <c r="A130" t="s">
        <v>223</v>
      </c>
      <c r="B130" t="s">
        <v>209</v>
      </c>
      <c r="D130">
        <v>0</v>
      </c>
      <c r="G130">
        <v>0.04</v>
      </c>
    </row>
    <row r="131" spans="1:7">
      <c r="A131" t="s">
        <v>223</v>
      </c>
      <c r="B131" t="s">
        <v>211</v>
      </c>
      <c r="E131">
        <v>7.0000000000000007E-2</v>
      </c>
      <c r="F131">
        <v>0.05</v>
      </c>
      <c r="G131">
        <v>0.18</v>
      </c>
    </row>
    <row r="132" spans="1:7">
      <c r="A132" t="s">
        <v>223</v>
      </c>
      <c r="B132" t="s">
        <v>214</v>
      </c>
      <c r="C132">
        <v>0</v>
      </c>
      <c r="D132">
        <v>0.01</v>
      </c>
      <c r="E132">
        <v>7.12</v>
      </c>
      <c r="F132">
        <v>4.88</v>
      </c>
      <c r="G132">
        <v>17.04</v>
      </c>
    </row>
    <row r="133" spans="1:7">
      <c r="A133" t="s">
        <v>223</v>
      </c>
      <c r="B133" t="s">
        <v>215</v>
      </c>
      <c r="C133">
        <v>0</v>
      </c>
      <c r="D133">
        <v>0</v>
      </c>
      <c r="G133">
        <v>0.72</v>
      </c>
    </row>
    <row r="134" spans="1:7">
      <c r="A134" t="s">
        <v>224</v>
      </c>
      <c r="B134" t="s">
        <v>191</v>
      </c>
      <c r="D134">
        <v>5.72</v>
      </c>
      <c r="G134">
        <v>0.67</v>
      </c>
    </row>
    <row r="135" spans="1:7">
      <c r="A135" t="s">
        <v>224</v>
      </c>
      <c r="B135" t="s">
        <v>192</v>
      </c>
      <c r="D135">
        <v>0</v>
      </c>
      <c r="G135">
        <v>0.67</v>
      </c>
    </row>
    <row r="136" spans="1:7">
      <c r="A136" t="s">
        <v>224</v>
      </c>
      <c r="B136" t="s">
        <v>202</v>
      </c>
      <c r="G136">
        <v>0</v>
      </c>
    </row>
    <row r="137" spans="1:7">
      <c r="A137" t="s">
        <v>224</v>
      </c>
      <c r="B137" t="s">
        <v>203</v>
      </c>
      <c r="D137">
        <v>0</v>
      </c>
      <c r="G137">
        <v>0</v>
      </c>
    </row>
    <row r="138" spans="1:7">
      <c r="A138" t="s">
        <v>224</v>
      </c>
      <c r="B138" t="s">
        <v>204</v>
      </c>
      <c r="D138">
        <v>0</v>
      </c>
      <c r="G138">
        <v>0</v>
      </c>
    </row>
    <row r="139" spans="1:7">
      <c r="A139" t="s">
        <v>224</v>
      </c>
      <c r="B139" t="s">
        <v>205</v>
      </c>
      <c r="G139">
        <v>0.01</v>
      </c>
    </row>
    <row r="140" spans="1:7">
      <c r="A140" t="s">
        <v>224</v>
      </c>
      <c r="B140" t="s">
        <v>206</v>
      </c>
      <c r="D140">
        <v>0</v>
      </c>
      <c r="G140">
        <v>0</v>
      </c>
    </row>
    <row r="141" spans="1:7">
      <c r="A141" t="s">
        <v>224</v>
      </c>
      <c r="B141" t="s">
        <v>207</v>
      </c>
      <c r="D141">
        <v>0</v>
      </c>
      <c r="G141">
        <v>0</v>
      </c>
    </row>
    <row r="142" spans="1:7">
      <c r="A142" t="s">
        <v>224</v>
      </c>
      <c r="B142" t="s">
        <v>208</v>
      </c>
      <c r="D142">
        <v>0.55000000000000004</v>
      </c>
      <c r="G142">
        <v>0.73</v>
      </c>
    </row>
    <row r="143" spans="1:7">
      <c r="A143" t="s">
        <v>224</v>
      </c>
      <c r="B143" t="s">
        <v>209</v>
      </c>
      <c r="D143">
        <v>0.01</v>
      </c>
      <c r="G143">
        <v>0.03</v>
      </c>
    </row>
    <row r="144" spans="1:7">
      <c r="A144" t="s">
        <v>224</v>
      </c>
      <c r="B144" t="s">
        <v>210</v>
      </c>
      <c r="G144">
        <v>0</v>
      </c>
    </row>
    <row r="145" spans="1:7">
      <c r="A145" t="s">
        <v>224</v>
      </c>
      <c r="B145" t="s">
        <v>211</v>
      </c>
      <c r="E145">
        <v>0.11</v>
      </c>
      <c r="F145">
        <v>0.08</v>
      </c>
      <c r="G145">
        <v>0.27</v>
      </c>
    </row>
    <row r="146" spans="1:7">
      <c r="A146" t="s">
        <v>224</v>
      </c>
      <c r="B146" t="s">
        <v>212</v>
      </c>
      <c r="D146">
        <v>0</v>
      </c>
      <c r="E146">
        <v>0</v>
      </c>
      <c r="G146">
        <v>0</v>
      </c>
    </row>
    <row r="147" spans="1:7">
      <c r="A147" t="s">
        <v>224</v>
      </c>
      <c r="B147" t="s">
        <v>213</v>
      </c>
      <c r="C147">
        <v>0</v>
      </c>
      <c r="D147">
        <v>0</v>
      </c>
      <c r="G147">
        <v>0</v>
      </c>
    </row>
    <row r="148" spans="1:7">
      <c r="A148" t="s">
        <v>224</v>
      </c>
      <c r="B148" t="s">
        <v>214</v>
      </c>
      <c r="C148">
        <v>0</v>
      </c>
      <c r="D148">
        <v>0.02</v>
      </c>
      <c r="E148">
        <v>10.86</v>
      </c>
      <c r="F148">
        <v>7.43</v>
      </c>
      <c r="G148">
        <v>25.98</v>
      </c>
    </row>
    <row r="149" spans="1:7">
      <c r="A149" t="s">
        <v>224</v>
      </c>
      <c r="B149" t="s">
        <v>215</v>
      </c>
      <c r="C149">
        <v>0</v>
      </c>
      <c r="D149">
        <v>0</v>
      </c>
      <c r="E149">
        <v>0</v>
      </c>
      <c r="F149">
        <v>0</v>
      </c>
      <c r="G149">
        <v>1.0900000000000001</v>
      </c>
    </row>
    <row r="150" spans="1:7">
      <c r="A150" t="s">
        <v>225</v>
      </c>
      <c r="B150" t="s">
        <v>191</v>
      </c>
      <c r="D150">
        <v>2.42</v>
      </c>
      <c r="G150">
        <v>1.56</v>
      </c>
    </row>
    <row r="151" spans="1:7">
      <c r="A151" t="s">
        <v>225</v>
      </c>
      <c r="B151" t="s">
        <v>192</v>
      </c>
      <c r="D151">
        <v>0</v>
      </c>
      <c r="G151">
        <v>1.56</v>
      </c>
    </row>
    <row r="152" spans="1:7">
      <c r="A152" t="s">
        <v>225</v>
      </c>
      <c r="B152" t="s">
        <v>202</v>
      </c>
      <c r="G152">
        <v>0</v>
      </c>
    </row>
    <row r="153" spans="1:7">
      <c r="A153" t="s">
        <v>225</v>
      </c>
      <c r="B153" t="s">
        <v>203</v>
      </c>
      <c r="D153">
        <v>0</v>
      </c>
      <c r="G153">
        <v>0</v>
      </c>
    </row>
    <row r="154" spans="1:7">
      <c r="A154" t="s">
        <v>225</v>
      </c>
      <c r="B154" t="s">
        <v>204</v>
      </c>
      <c r="D154">
        <v>0</v>
      </c>
      <c r="G154">
        <v>0</v>
      </c>
    </row>
    <row r="155" spans="1:7">
      <c r="A155" t="s">
        <v>225</v>
      </c>
      <c r="B155" t="s">
        <v>205</v>
      </c>
      <c r="G155">
        <v>0.01</v>
      </c>
    </row>
    <row r="156" spans="1:7">
      <c r="A156" t="s">
        <v>225</v>
      </c>
      <c r="B156" t="s">
        <v>206</v>
      </c>
      <c r="D156">
        <v>0</v>
      </c>
      <c r="G156">
        <v>0</v>
      </c>
    </row>
    <row r="157" spans="1:7">
      <c r="A157" t="s">
        <v>225</v>
      </c>
      <c r="B157" t="s">
        <v>207</v>
      </c>
      <c r="D157">
        <v>0</v>
      </c>
      <c r="G157">
        <v>0</v>
      </c>
    </row>
    <row r="158" spans="1:7">
      <c r="A158" t="s">
        <v>225</v>
      </c>
      <c r="B158" t="s">
        <v>208</v>
      </c>
      <c r="D158">
        <v>0.17</v>
      </c>
      <c r="G158">
        <v>1.1100000000000001</v>
      </c>
    </row>
    <row r="159" spans="1:7">
      <c r="A159" t="s">
        <v>225</v>
      </c>
      <c r="B159" t="s">
        <v>209</v>
      </c>
      <c r="D159">
        <v>0</v>
      </c>
      <c r="G159">
        <v>0.05</v>
      </c>
    </row>
    <row r="160" spans="1:7">
      <c r="A160" t="s">
        <v>225</v>
      </c>
      <c r="B160" t="s">
        <v>210</v>
      </c>
      <c r="G160">
        <v>0</v>
      </c>
    </row>
    <row r="161" spans="1:7">
      <c r="A161" t="s">
        <v>225</v>
      </c>
      <c r="B161" t="s">
        <v>211</v>
      </c>
      <c r="E161">
        <v>0.35</v>
      </c>
      <c r="F161">
        <v>0.24</v>
      </c>
      <c r="G161">
        <v>0.88</v>
      </c>
    </row>
    <row r="162" spans="1:7">
      <c r="A162" t="s">
        <v>225</v>
      </c>
      <c r="B162" t="s">
        <v>212</v>
      </c>
      <c r="D162">
        <v>0</v>
      </c>
      <c r="E162">
        <v>0</v>
      </c>
      <c r="G162">
        <v>0</v>
      </c>
    </row>
    <row r="163" spans="1:7">
      <c r="A163" t="s">
        <v>225</v>
      </c>
      <c r="B163" t="s">
        <v>213</v>
      </c>
      <c r="C163">
        <v>0</v>
      </c>
      <c r="D163">
        <v>0</v>
      </c>
      <c r="G163">
        <v>0</v>
      </c>
    </row>
    <row r="164" spans="1:7">
      <c r="A164" t="s">
        <v>225</v>
      </c>
      <c r="B164" t="s">
        <v>214</v>
      </c>
      <c r="C164">
        <v>3.58</v>
      </c>
      <c r="D164">
        <v>34.799999999999997</v>
      </c>
      <c r="E164">
        <v>34.880000000000003</v>
      </c>
      <c r="F164">
        <v>23.88</v>
      </c>
      <c r="G164">
        <v>83.47</v>
      </c>
    </row>
    <row r="165" spans="1:7">
      <c r="A165" t="s">
        <v>225</v>
      </c>
      <c r="B165" t="s">
        <v>215</v>
      </c>
      <c r="C165">
        <v>7.0000000000000007E-2</v>
      </c>
      <c r="D165">
        <v>0.71</v>
      </c>
      <c r="E165">
        <v>0</v>
      </c>
      <c r="F165">
        <v>0</v>
      </c>
      <c r="G165">
        <v>3.51</v>
      </c>
    </row>
    <row r="166" spans="1:7">
      <c r="A166" t="s">
        <v>226</v>
      </c>
      <c r="B166" t="s">
        <v>191</v>
      </c>
      <c r="D166">
        <v>51.11</v>
      </c>
      <c r="G166">
        <v>4.63</v>
      </c>
    </row>
    <row r="167" spans="1:7">
      <c r="A167" t="s">
        <v>226</v>
      </c>
      <c r="B167" t="s">
        <v>192</v>
      </c>
      <c r="D167">
        <v>0</v>
      </c>
      <c r="G167">
        <v>4.63</v>
      </c>
    </row>
    <row r="168" spans="1:7">
      <c r="A168" t="s">
        <v>226</v>
      </c>
      <c r="B168" t="s">
        <v>202</v>
      </c>
      <c r="G168">
        <v>0</v>
      </c>
    </row>
    <row r="169" spans="1:7">
      <c r="A169" t="s">
        <v>226</v>
      </c>
      <c r="B169" t="s">
        <v>203</v>
      </c>
      <c r="D169">
        <v>0</v>
      </c>
      <c r="G169">
        <v>0</v>
      </c>
    </row>
    <row r="170" spans="1:7">
      <c r="A170" t="s">
        <v>226</v>
      </c>
      <c r="B170" t="s">
        <v>204</v>
      </c>
      <c r="D170">
        <v>0</v>
      </c>
      <c r="G170">
        <v>0</v>
      </c>
    </row>
    <row r="171" spans="1:7">
      <c r="A171" t="s">
        <v>226</v>
      </c>
      <c r="B171" t="s">
        <v>205</v>
      </c>
      <c r="G171">
        <v>0.31</v>
      </c>
    </row>
    <row r="172" spans="1:7">
      <c r="A172" t="s">
        <v>226</v>
      </c>
      <c r="B172" t="s">
        <v>206</v>
      </c>
      <c r="D172">
        <v>0</v>
      </c>
      <c r="G172">
        <v>0</v>
      </c>
    </row>
    <row r="173" spans="1:7">
      <c r="A173" t="s">
        <v>226</v>
      </c>
      <c r="B173" t="s">
        <v>207</v>
      </c>
      <c r="D173">
        <v>0</v>
      </c>
      <c r="G173">
        <v>0</v>
      </c>
    </row>
    <row r="174" spans="1:7">
      <c r="A174" t="s">
        <v>226</v>
      </c>
      <c r="B174" t="s">
        <v>208</v>
      </c>
      <c r="D174">
        <v>30.8</v>
      </c>
      <c r="G174">
        <v>29.19</v>
      </c>
    </row>
    <row r="175" spans="1:7">
      <c r="A175" t="s">
        <v>226</v>
      </c>
      <c r="B175" t="s">
        <v>209</v>
      </c>
      <c r="D175">
        <v>0.63</v>
      </c>
      <c r="G175">
        <v>1.23</v>
      </c>
    </row>
    <row r="176" spans="1:7">
      <c r="A176" t="s">
        <v>226</v>
      </c>
      <c r="B176" t="s">
        <v>210</v>
      </c>
      <c r="G176">
        <v>0</v>
      </c>
    </row>
    <row r="177" spans="1:7">
      <c r="A177" t="s">
        <v>226</v>
      </c>
      <c r="B177" t="s">
        <v>211</v>
      </c>
      <c r="E177">
        <v>0.66</v>
      </c>
      <c r="F177">
        <v>0.45</v>
      </c>
      <c r="G177">
        <v>1.65</v>
      </c>
    </row>
    <row r="178" spans="1:7">
      <c r="A178" t="s">
        <v>226</v>
      </c>
      <c r="B178" t="s">
        <v>212</v>
      </c>
      <c r="D178">
        <v>0</v>
      </c>
      <c r="E178">
        <v>0</v>
      </c>
      <c r="G178">
        <v>0</v>
      </c>
    </row>
    <row r="179" spans="1:7">
      <c r="A179" t="s">
        <v>226</v>
      </c>
      <c r="B179" t="s">
        <v>213</v>
      </c>
      <c r="C179">
        <v>0</v>
      </c>
      <c r="D179">
        <v>0</v>
      </c>
      <c r="G179">
        <v>0</v>
      </c>
    </row>
    <row r="180" spans="1:7">
      <c r="A180" t="s">
        <v>226</v>
      </c>
      <c r="B180" t="s">
        <v>214</v>
      </c>
      <c r="C180">
        <v>0.03</v>
      </c>
      <c r="D180">
        <v>0.33</v>
      </c>
      <c r="E180">
        <v>65.569999999999993</v>
      </c>
      <c r="F180">
        <v>44.88</v>
      </c>
      <c r="G180">
        <v>156.9</v>
      </c>
    </row>
    <row r="181" spans="1:7">
      <c r="A181" t="s">
        <v>226</v>
      </c>
      <c r="B181" t="s">
        <v>215</v>
      </c>
      <c r="C181">
        <v>0</v>
      </c>
      <c r="D181">
        <v>0.01</v>
      </c>
      <c r="E181">
        <v>0</v>
      </c>
      <c r="F181">
        <v>0</v>
      </c>
      <c r="G181">
        <v>6.61</v>
      </c>
    </row>
    <row r="182" spans="1:7">
      <c r="A182" t="s">
        <v>227</v>
      </c>
      <c r="B182" t="s">
        <v>191</v>
      </c>
      <c r="D182">
        <v>7.77</v>
      </c>
      <c r="G182">
        <v>3.13</v>
      </c>
    </row>
    <row r="183" spans="1:7">
      <c r="A183" t="s">
        <v>227</v>
      </c>
      <c r="B183" t="s">
        <v>192</v>
      </c>
      <c r="D183">
        <v>0</v>
      </c>
      <c r="G183">
        <v>3.13</v>
      </c>
    </row>
    <row r="184" spans="1:7">
      <c r="A184" t="s">
        <v>227</v>
      </c>
      <c r="B184" t="s">
        <v>202</v>
      </c>
      <c r="G184">
        <v>0</v>
      </c>
    </row>
    <row r="185" spans="1:7">
      <c r="A185" t="s">
        <v>227</v>
      </c>
      <c r="B185" t="s">
        <v>203</v>
      </c>
      <c r="D185">
        <v>0</v>
      </c>
      <c r="G185">
        <v>0</v>
      </c>
    </row>
    <row r="186" spans="1:7">
      <c r="A186" t="s">
        <v>227</v>
      </c>
      <c r="B186" t="s">
        <v>204</v>
      </c>
      <c r="D186">
        <v>0</v>
      </c>
      <c r="G186">
        <v>0</v>
      </c>
    </row>
    <row r="187" spans="1:7">
      <c r="A187" t="s">
        <v>227</v>
      </c>
      <c r="B187" t="s">
        <v>205</v>
      </c>
      <c r="G187">
        <v>0</v>
      </c>
    </row>
    <row r="188" spans="1:7">
      <c r="A188" t="s">
        <v>227</v>
      </c>
      <c r="B188" t="s">
        <v>206</v>
      </c>
      <c r="D188">
        <v>0</v>
      </c>
      <c r="G188">
        <v>0</v>
      </c>
    </row>
    <row r="189" spans="1:7">
      <c r="A189" t="s">
        <v>227</v>
      </c>
      <c r="B189" t="s">
        <v>207</v>
      </c>
      <c r="D189">
        <v>0</v>
      </c>
      <c r="G189">
        <v>0</v>
      </c>
    </row>
    <row r="190" spans="1:7">
      <c r="A190" t="s">
        <v>227</v>
      </c>
      <c r="B190" t="s">
        <v>208</v>
      </c>
      <c r="D190">
        <v>0.67</v>
      </c>
      <c r="G190">
        <v>0.23</v>
      </c>
    </row>
    <row r="191" spans="1:7">
      <c r="A191" t="s">
        <v>227</v>
      </c>
      <c r="B191" t="s">
        <v>209</v>
      </c>
      <c r="D191">
        <v>0.01</v>
      </c>
      <c r="G191">
        <v>0.01</v>
      </c>
    </row>
    <row r="192" spans="1:7">
      <c r="A192" t="s">
        <v>227</v>
      </c>
      <c r="B192" t="s">
        <v>210</v>
      </c>
      <c r="G192">
        <v>0</v>
      </c>
    </row>
    <row r="193" spans="1:7">
      <c r="A193" t="s">
        <v>227</v>
      </c>
      <c r="B193" t="s">
        <v>211</v>
      </c>
      <c r="E193">
        <v>0.4</v>
      </c>
      <c r="F193">
        <v>0.27</v>
      </c>
      <c r="G193">
        <v>1</v>
      </c>
    </row>
    <row r="194" spans="1:7">
      <c r="A194" t="s">
        <v>227</v>
      </c>
      <c r="B194" t="s">
        <v>212</v>
      </c>
      <c r="D194">
        <v>0</v>
      </c>
      <c r="E194">
        <v>0</v>
      </c>
      <c r="G194">
        <v>0</v>
      </c>
    </row>
    <row r="195" spans="1:7">
      <c r="A195" t="s">
        <v>227</v>
      </c>
      <c r="B195" t="s">
        <v>213</v>
      </c>
      <c r="C195">
        <v>0</v>
      </c>
      <c r="D195">
        <v>0</v>
      </c>
      <c r="G195">
        <v>0</v>
      </c>
    </row>
    <row r="196" spans="1:7">
      <c r="A196" t="s">
        <v>227</v>
      </c>
      <c r="B196" t="s">
        <v>214</v>
      </c>
      <c r="C196">
        <v>0.01</v>
      </c>
      <c r="D196">
        <v>0.13</v>
      </c>
      <c r="E196">
        <v>39.76</v>
      </c>
      <c r="F196">
        <v>27.21</v>
      </c>
      <c r="G196">
        <v>95.14</v>
      </c>
    </row>
    <row r="197" spans="1:7">
      <c r="A197" t="s">
        <v>227</v>
      </c>
      <c r="B197" t="s">
        <v>215</v>
      </c>
      <c r="C197">
        <v>0</v>
      </c>
      <c r="D197">
        <v>0</v>
      </c>
      <c r="E197">
        <v>0</v>
      </c>
      <c r="F197">
        <v>0</v>
      </c>
      <c r="G197">
        <v>4.01</v>
      </c>
    </row>
    <row r="198" spans="1:7">
      <c r="A198" t="s">
        <v>228</v>
      </c>
      <c r="B198" t="s">
        <v>191</v>
      </c>
      <c r="D198">
        <v>7</v>
      </c>
      <c r="G198">
        <v>3.94</v>
      </c>
    </row>
    <row r="199" spans="1:7">
      <c r="A199" t="s">
        <v>228</v>
      </c>
      <c r="B199" t="s">
        <v>192</v>
      </c>
      <c r="D199">
        <v>0</v>
      </c>
      <c r="G199">
        <v>3.94</v>
      </c>
    </row>
    <row r="200" spans="1:7">
      <c r="A200" t="s">
        <v>228</v>
      </c>
      <c r="B200" t="s">
        <v>202</v>
      </c>
      <c r="G200">
        <v>0</v>
      </c>
    </row>
    <row r="201" spans="1:7">
      <c r="A201" t="s">
        <v>228</v>
      </c>
      <c r="B201" t="s">
        <v>203</v>
      </c>
      <c r="D201">
        <v>0</v>
      </c>
      <c r="G201">
        <v>0</v>
      </c>
    </row>
    <row r="202" spans="1:7">
      <c r="A202" t="s">
        <v>228</v>
      </c>
      <c r="B202" t="s">
        <v>204</v>
      </c>
      <c r="D202">
        <v>0</v>
      </c>
      <c r="G202">
        <v>0</v>
      </c>
    </row>
    <row r="203" spans="1:7">
      <c r="A203" t="s">
        <v>228</v>
      </c>
      <c r="B203" t="s">
        <v>205</v>
      </c>
      <c r="G203">
        <v>0.19</v>
      </c>
    </row>
    <row r="204" spans="1:7">
      <c r="A204" t="s">
        <v>228</v>
      </c>
      <c r="B204" t="s">
        <v>206</v>
      </c>
      <c r="D204">
        <v>0</v>
      </c>
      <c r="G204">
        <v>0</v>
      </c>
    </row>
    <row r="205" spans="1:7">
      <c r="A205" t="s">
        <v>228</v>
      </c>
      <c r="B205" t="s">
        <v>207</v>
      </c>
      <c r="D205">
        <v>0</v>
      </c>
      <c r="G205">
        <v>0</v>
      </c>
    </row>
    <row r="206" spans="1:7">
      <c r="A206" t="s">
        <v>228</v>
      </c>
      <c r="B206" t="s">
        <v>208</v>
      </c>
      <c r="D206">
        <v>19.72</v>
      </c>
      <c r="G206">
        <v>17.600000000000001</v>
      </c>
    </row>
    <row r="207" spans="1:7">
      <c r="A207" t="s">
        <v>228</v>
      </c>
      <c r="B207" t="s">
        <v>209</v>
      </c>
      <c r="D207">
        <v>0.4</v>
      </c>
      <c r="G207">
        <v>0.74</v>
      </c>
    </row>
    <row r="208" spans="1:7">
      <c r="A208" t="s">
        <v>228</v>
      </c>
      <c r="B208" t="s">
        <v>210</v>
      </c>
      <c r="G208">
        <v>0</v>
      </c>
    </row>
    <row r="209" spans="1:7">
      <c r="A209" t="s">
        <v>228</v>
      </c>
      <c r="B209" t="s">
        <v>211</v>
      </c>
      <c r="E209">
        <v>0.99</v>
      </c>
      <c r="F209">
        <v>0.68</v>
      </c>
      <c r="G209">
        <v>2.4700000000000002</v>
      </c>
    </row>
    <row r="210" spans="1:7">
      <c r="A210" t="s">
        <v>228</v>
      </c>
      <c r="B210" t="s">
        <v>212</v>
      </c>
      <c r="D210">
        <v>0</v>
      </c>
      <c r="E210">
        <v>0</v>
      </c>
      <c r="G210">
        <v>0</v>
      </c>
    </row>
    <row r="211" spans="1:7">
      <c r="A211" t="s">
        <v>228</v>
      </c>
      <c r="B211" t="s">
        <v>213</v>
      </c>
      <c r="C211">
        <v>0</v>
      </c>
      <c r="D211">
        <v>0</v>
      </c>
      <c r="G211">
        <v>0</v>
      </c>
    </row>
    <row r="212" spans="1:7">
      <c r="A212" t="s">
        <v>228</v>
      </c>
      <c r="B212" t="s">
        <v>214</v>
      </c>
      <c r="C212">
        <v>0.11</v>
      </c>
      <c r="D212">
        <v>1.04</v>
      </c>
      <c r="E212">
        <v>97.91</v>
      </c>
      <c r="F212">
        <v>67.010000000000005</v>
      </c>
      <c r="G212">
        <v>234.28</v>
      </c>
    </row>
    <row r="213" spans="1:7">
      <c r="A213" t="s">
        <v>228</v>
      </c>
      <c r="B213" t="s">
        <v>215</v>
      </c>
      <c r="C213">
        <v>0</v>
      </c>
      <c r="D213">
        <v>0.02</v>
      </c>
      <c r="E213">
        <v>0</v>
      </c>
      <c r="F213">
        <v>0</v>
      </c>
      <c r="G213">
        <v>9.86</v>
      </c>
    </row>
    <row r="214" spans="1:7">
      <c r="A214" t="s">
        <v>229</v>
      </c>
      <c r="B214" t="s">
        <v>191</v>
      </c>
      <c r="D214">
        <v>57.06</v>
      </c>
      <c r="G214">
        <v>10.050000000000001</v>
      </c>
    </row>
    <row r="215" spans="1:7">
      <c r="A215" t="s">
        <v>229</v>
      </c>
      <c r="B215" t="s">
        <v>192</v>
      </c>
      <c r="D215">
        <v>0</v>
      </c>
      <c r="G215">
        <v>10.050000000000001</v>
      </c>
    </row>
    <row r="216" spans="1:7">
      <c r="A216" t="s">
        <v>229</v>
      </c>
      <c r="B216" t="s">
        <v>202</v>
      </c>
      <c r="G216">
        <v>0</v>
      </c>
    </row>
    <row r="217" spans="1:7">
      <c r="A217" t="s">
        <v>229</v>
      </c>
      <c r="B217" t="s">
        <v>203</v>
      </c>
      <c r="D217">
        <v>0</v>
      </c>
      <c r="G217">
        <v>0</v>
      </c>
    </row>
    <row r="218" spans="1:7">
      <c r="A218" t="s">
        <v>229</v>
      </c>
      <c r="B218" t="s">
        <v>204</v>
      </c>
      <c r="D218">
        <v>0</v>
      </c>
      <c r="G218">
        <v>0</v>
      </c>
    </row>
    <row r="219" spans="1:7">
      <c r="A219" t="s">
        <v>229</v>
      </c>
      <c r="B219" t="s">
        <v>205</v>
      </c>
      <c r="G219">
        <v>0.56000000000000005</v>
      </c>
    </row>
    <row r="220" spans="1:7">
      <c r="A220" t="s">
        <v>229</v>
      </c>
      <c r="B220" t="s">
        <v>206</v>
      </c>
      <c r="D220">
        <v>0</v>
      </c>
      <c r="G220">
        <v>0</v>
      </c>
    </row>
    <row r="221" spans="1:7">
      <c r="A221" t="s">
        <v>229</v>
      </c>
      <c r="B221" t="s">
        <v>207</v>
      </c>
      <c r="D221">
        <v>0</v>
      </c>
      <c r="G221">
        <v>0</v>
      </c>
    </row>
    <row r="222" spans="1:7">
      <c r="A222" t="s">
        <v>229</v>
      </c>
      <c r="B222" t="s">
        <v>208</v>
      </c>
      <c r="D222">
        <v>13.73</v>
      </c>
      <c r="G222">
        <v>52.99</v>
      </c>
    </row>
    <row r="223" spans="1:7">
      <c r="A223" t="s">
        <v>229</v>
      </c>
      <c r="B223" t="s">
        <v>209</v>
      </c>
      <c r="D223">
        <v>0.28000000000000003</v>
      </c>
      <c r="G223">
        <v>2.23</v>
      </c>
    </row>
    <row r="224" spans="1:7">
      <c r="A224" t="s">
        <v>229</v>
      </c>
      <c r="B224" t="s">
        <v>210</v>
      </c>
      <c r="G224">
        <v>0</v>
      </c>
    </row>
    <row r="225" spans="1:7">
      <c r="A225" t="s">
        <v>229</v>
      </c>
      <c r="B225" t="s">
        <v>211</v>
      </c>
      <c r="E225">
        <v>0.96</v>
      </c>
      <c r="F225">
        <v>0.66</v>
      </c>
      <c r="G225">
        <v>2.39</v>
      </c>
    </row>
    <row r="226" spans="1:7">
      <c r="A226" t="s">
        <v>229</v>
      </c>
      <c r="B226" t="s">
        <v>212</v>
      </c>
      <c r="D226">
        <v>0</v>
      </c>
      <c r="E226">
        <v>0</v>
      </c>
      <c r="G226">
        <v>0</v>
      </c>
    </row>
    <row r="227" spans="1:7">
      <c r="A227" t="s">
        <v>229</v>
      </c>
      <c r="B227" t="s">
        <v>213</v>
      </c>
      <c r="C227">
        <v>0</v>
      </c>
      <c r="D227">
        <v>0</v>
      </c>
      <c r="G227">
        <v>0</v>
      </c>
    </row>
    <row r="228" spans="1:7">
      <c r="A228" t="s">
        <v>229</v>
      </c>
      <c r="B228" t="s">
        <v>214</v>
      </c>
      <c r="C228">
        <v>0.17</v>
      </c>
      <c r="D228">
        <v>1.64</v>
      </c>
      <c r="E228">
        <v>94.84</v>
      </c>
      <c r="F228">
        <v>64.92</v>
      </c>
      <c r="G228">
        <v>226.95</v>
      </c>
    </row>
    <row r="229" spans="1:7">
      <c r="A229" t="s">
        <v>229</v>
      </c>
      <c r="B229" t="s">
        <v>215</v>
      </c>
      <c r="C229">
        <v>0</v>
      </c>
      <c r="D229">
        <v>0.03</v>
      </c>
      <c r="E229">
        <v>0</v>
      </c>
      <c r="F229">
        <v>0</v>
      </c>
      <c r="G229">
        <v>9.56</v>
      </c>
    </row>
    <row r="230" spans="1:7">
      <c r="A230" t="s">
        <v>230</v>
      </c>
      <c r="B230" t="s">
        <v>191</v>
      </c>
      <c r="D230">
        <v>1.79</v>
      </c>
      <c r="G230">
        <v>0.78</v>
      </c>
    </row>
    <row r="231" spans="1:7">
      <c r="A231" t="s">
        <v>230</v>
      </c>
      <c r="B231" t="s">
        <v>192</v>
      </c>
      <c r="D231">
        <v>0</v>
      </c>
      <c r="G231">
        <v>0.78</v>
      </c>
    </row>
    <row r="232" spans="1:7">
      <c r="A232" t="s">
        <v>230</v>
      </c>
      <c r="B232" t="s">
        <v>202</v>
      </c>
      <c r="G232">
        <v>0</v>
      </c>
    </row>
    <row r="233" spans="1:7">
      <c r="A233" t="s">
        <v>230</v>
      </c>
      <c r="B233" t="s">
        <v>203</v>
      </c>
      <c r="D233">
        <v>0</v>
      </c>
      <c r="G233">
        <v>0</v>
      </c>
    </row>
    <row r="234" spans="1:7">
      <c r="A234" t="s">
        <v>230</v>
      </c>
      <c r="B234" t="s">
        <v>204</v>
      </c>
      <c r="D234">
        <v>0</v>
      </c>
      <c r="G234">
        <v>0</v>
      </c>
    </row>
    <row r="235" spans="1:7">
      <c r="A235" t="s">
        <v>230</v>
      </c>
      <c r="B235" t="s">
        <v>205</v>
      </c>
      <c r="G235">
        <v>0.02</v>
      </c>
    </row>
    <row r="236" spans="1:7">
      <c r="A236" t="s">
        <v>230</v>
      </c>
      <c r="B236" t="s">
        <v>206</v>
      </c>
      <c r="D236">
        <v>0</v>
      </c>
      <c r="G236">
        <v>0</v>
      </c>
    </row>
    <row r="237" spans="1:7">
      <c r="A237" t="s">
        <v>230</v>
      </c>
      <c r="B237" t="s">
        <v>207</v>
      </c>
      <c r="D237">
        <v>0</v>
      </c>
      <c r="G237">
        <v>0</v>
      </c>
    </row>
    <row r="238" spans="1:7">
      <c r="A238" t="s">
        <v>230</v>
      </c>
      <c r="B238" t="s">
        <v>208</v>
      </c>
      <c r="D238">
        <v>0.02</v>
      </c>
      <c r="G238">
        <v>2.14</v>
      </c>
    </row>
    <row r="239" spans="1:7">
      <c r="A239" t="s">
        <v>230</v>
      </c>
      <c r="B239" t="s">
        <v>209</v>
      </c>
      <c r="D239">
        <v>0</v>
      </c>
      <c r="G239">
        <v>0.09</v>
      </c>
    </row>
    <row r="240" spans="1:7">
      <c r="A240" t="s">
        <v>230</v>
      </c>
      <c r="B240" t="s">
        <v>210</v>
      </c>
      <c r="G240">
        <v>0</v>
      </c>
    </row>
    <row r="241" spans="1:7">
      <c r="A241" t="s">
        <v>230</v>
      </c>
      <c r="B241" t="s">
        <v>211</v>
      </c>
      <c r="E241">
        <v>0.18</v>
      </c>
      <c r="F241">
        <v>0.12</v>
      </c>
      <c r="G241">
        <v>0.44</v>
      </c>
    </row>
    <row r="242" spans="1:7">
      <c r="A242" t="s">
        <v>230</v>
      </c>
      <c r="B242" t="s">
        <v>212</v>
      </c>
      <c r="D242">
        <v>0</v>
      </c>
      <c r="E242">
        <v>0</v>
      </c>
      <c r="G242">
        <v>0</v>
      </c>
    </row>
    <row r="243" spans="1:7">
      <c r="A243" t="s">
        <v>230</v>
      </c>
      <c r="B243" t="s">
        <v>213</v>
      </c>
      <c r="C243">
        <v>0</v>
      </c>
      <c r="D243">
        <v>0</v>
      </c>
      <c r="G243">
        <v>0</v>
      </c>
    </row>
    <row r="244" spans="1:7">
      <c r="A244" t="s">
        <v>230</v>
      </c>
      <c r="B244" t="s">
        <v>214</v>
      </c>
      <c r="C244">
        <v>0.08</v>
      </c>
      <c r="D244">
        <v>0.78</v>
      </c>
      <c r="E244">
        <v>17.41</v>
      </c>
      <c r="F244">
        <v>11.92</v>
      </c>
      <c r="G244">
        <v>41.67</v>
      </c>
    </row>
    <row r="245" spans="1:7">
      <c r="A245" t="s">
        <v>230</v>
      </c>
      <c r="B245" t="s">
        <v>215</v>
      </c>
      <c r="C245">
        <v>0</v>
      </c>
      <c r="D245">
        <v>0.02</v>
      </c>
      <c r="E245">
        <v>0</v>
      </c>
      <c r="F245">
        <v>0</v>
      </c>
      <c r="G245">
        <v>1.75</v>
      </c>
    </row>
    <row r="246" spans="1:7">
      <c r="A246" t="s">
        <v>231</v>
      </c>
      <c r="B246" t="s">
        <v>191</v>
      </c>
      <c r="D246">
        <v>2.97</v>
      </c>
      <c r="G246">
        <v>1.37</v>
      </c>
    </row>
    <row r="247" spans="1:7">
      <c r="A247" t="s">
        <v>231</v>
      </c>
      <c r="B247" t="s">
        <v>192</v>
      </c>
      <c r="D247">
        <v>0</v>
      </c>
      <c r="G247">
        <v>1.37</v>
      </c>
    </row>
    <row r="248" spans="1:7">
      <c r="A248" t="s">
        <v>231</v>
      </c>
      <c r="B248" t="s">
        <v>202</v>
      </c>
      <c r="G248">
        <v>0</v>
      </c>
    </row>
    <row r="249" spans="1:7">
      <c r="A249" t="s">
        <v>231</v>
      </c>
      <c r="B249" t="s">
        <v>203</v>
      </c>
      <c r="D249">
        <v>0</v>
      </c>
      <c r="G249">
        <v>0</v>
      </c>
    </row>
    <row r="250" spans="1:7">
      <c r="A250" t="s">
        <v>231</v>
      </c>
      <c r="B250" t="s">
        <v>204</v>
      </c>
      <c r="D250">
        <v>0</v>
      </c>
      <c r="G250">
        <v>0</v>
      </c>
    </row>
    <row r="251" spans="1:7">
      <c r="A251" t="s">
        <v>231</v>
      </c>
      <c r="B251" t="s">
        <v>205</v>
      </c>
      <c r="G251">
        <v>0.05</v>
      </c>
    </row>
    <row r="252" spans="1:7">
      <c r="A252" t="s">
        <v>231</v>
      </c>
      <c r="B252" t="s">
        <v>206</v>
      </c>
      <c r="D252">
        <v>0</v>
      </c>
      <c r="G252">
        <v>0</v>
      </c>
    </row>
    <row r="253" spans="1:7">
      <c r="A253" t="s">
        <v>231</v>
      </c>
      <c r="B253" t="s">
        <v>207</v>
      </c>
      <c r="D253">
        <v>0</v>
      </c>
      <c r="G253">
        <v>0</v>
      </c>
    </row>
    <row r="254" spans="1:7">
      <c r="A254" t="s">
        <v>231</v>
      </c>
      <c r="B254" t="s">
        <v>208</v>
      </c>
      <c r="D254">
        <v>0.41</v>
      </c>
      <c r="G254">
        <v>4.3</v>
      </c>
    </row>
    <row r="255" spans="1:7">
      <c r="A255" t="s">
        <v>231</v>
      </c>
      <c r="B255" t="s">
        <v>209</v>
      </c>
      <c r="D255">
        <v>0.01</v>
      </c>
      <c r="G255">
        <v>0.18</v>
      </c>
    </row>
    <row r="256" spans="1:7">
      <c r="A256" t="s">
        <v>231</v>
      </c>
      <c r="B256" t="s">
        <v>210</v>
      </c>
      <c r="G256">
        <v>0</v>
      </c>
    </row>
    <row r="257" spans="1:7">
      <c r="A257" t="s">
        <v>231</v>
      </c>
      <c r="B257" t="s">
        <v>211</v>
      </c>
      <c r="E257">
        <v>0.68</v>
      </c>
      <c r="F257">
        <v>0.46</v>
      </c>
      <c r="G257">
        <v>1.69</v>
      </c>
    </row>
    <row r="258" spans="1:7">
      <c r="A258" t="s">
        <v>231</v>
      </c>
      <c r="B258" t="s">
        <v>212</v>
      </c>
      <c r="D258">
        <v>0</v>
      </c>
      <c r="E258">
        <v>0</v>
      </c>
      <c r="G258">
        <v>0</v>
      </c>
    </row>
    <row r="259" spans="1:7">
      <c r="A259" t="s">
        <v>231</v>
      </c>
      <c r="B259" t="s">
        <v>213</v>
      </c>
      <c r="C259">
        <v>0</v>
      </c>
      <c r="D259">
        <v>0</v>
      </c>
      <c r="G259">
        <v>0</v>
      </c>
    </row>
    <row r="260" spans="1:7">
      <c r="A260" t="s">
        <v>231</v>
      </c>
      <c r="B260" t="s">
        <v>214</v>
      </c>
      <c r="C260">
        <v>0.49</v>
      </c>
      <c r="D260">
        <v>4.75</v>
      </c>
      <c r="E260">
        <v>67.08</v>
      </c>
      <c r="F260">
        <v>45.91</v>
      </c>
      <c r="G260">
        <v>160.51</v>
      </c>
    </row>
    <row r="261" spans="1:7">
      <c r="A261" t="s">
        <v>231</v>
      </c>
      <c r="B261" t="s">
        <v>215</v>
      </c>
      <c r="C261">
        <v>0.01</v>
      </c>
      <c r="D261">
        <v>0.1</v>
      </c>
      <c r="E261">
        <v>0</v>
      </c>
      <c r="F261">
        <v>0</v>
      </c>
      <c r="G261">
        <v>6.76</v>
      </c>
    </row>
    <row r="262" spans="1:7">
      <c r="A262" t="s">
        <v>232</v>
      </c>
      <c r="B262" t="s">
        <v>191</v>
      </c>
      <c r="D262">
        <v>15.85</v>
      </c>
      <c r="G262">
        <v>2.2400000000000002</v>
      </c>
    </row>
    <row r="263" spans="1:7">
      <c r="A263" t="s">
        <v>232</v>
      </c>
      <c r="B263" t="s">
        <v>192</v>
      </c>
      <c r="D263">
        <v>0</v>
      </c>
      <c r="G263">
        <v>2.2400000000000002</v>
      </c>
    </row>
    <row r="264" spans="1:7">
      <c r="A264" t="s">
        <v>232</v>
      </c>
      <c r="B264" t="s">
        <v>202</v>
      </c>
      <c r="G264">
        <v>0</v>
      </c>
    </row>
    <row r="265" spans="1:7">
      <c r="A265" t="s">
        <v>232</v>
      </c>
      <c r="B265" t="s">
        <v>203</v>
      </c>
      <c r="D265">
        <v>0</v>
      </c>
      <c r="G265">
        <v>0</v>
      </c>
    </row>
    <row r="266" spans="1:7">
      <c r="A266" t="s">
        <v>232</v>
      </c>
      <c r="B266" t="s">
        <v>204</v>
      </c>
      <c r="D266">
        <v>0</v>
      </c>
      <c r="G266">
        <v>0</v>
      </c>
    </row>
    <row r="267" spans="1:7">
      <c r="A267" t="s">
        <v>232</v>
      </c>
      <c r="B267" t="s">
        <v>205</v>
      </c>
      <c r="G267">
        <v>0.15</v>
      </c>
    </row>
    <row r="268" spans="1:7">
      <c r="A268" t="s">
        <v>232</v>
      </c>
      <c r="B268" t="s">
        <v>206</v>
      </c>
      <c r="D268">
        <v>0</v>
      </c>
      <c r="G268">
        <v>0</v>
      </c>
    </row>
    <row r="269" spans="1:7">
      <c r="A269" t="s">
        <v>232</v>
      </c>
      <c r="B269" t="s">
        <v>207</v>
      </c>
      <c r="D269">
        <v>0</v>
      </c>
      <c r="G269">
        <v>0</v>
      </c>
    </row>
    <row r="270" spans="1:7">
      <c r="A270" t="s">
        <v>232</v>
      </c>
      <c r="B270" t="s">
        <v>208</v>
      </c>
      <c r="D270">
        <v>23.84</v>
      </c>
      <c r="G270">
        <v>14.69</v>
      </c>
    </row>
    <row r="271" spans="1:7">
      <c r="A271" t="s">
        <v>232</v>
      </c>
      <c r="B271" t="s">
        <v>209</v>
      </c>
      <c r="D271">
        <v>0.49</v>
      </c>
      <c r="G271">
        <v>0.62</v>
      </c>
    </row>
    <row r="272" spans="1:7">
      <c r="A272" t="s">
        <v>232</v>
      </c>
      <c r="B272" t="s">
        <v>210</v>
      </c>
      <c r="G272">
        <v>0</v>
      </c>
    </row>
    <row r="273" spans="1:7">
      <c r="A273" t="s">
        <v>232</v>
      </c>
      <c r="B273" t="s">
        <v>211</v>
      </c>
      <c r="E273">
        <v>0.18</v>
      </c>
      <c r="F273">
        <v>0.12</v>
      </c>
      <c r="G273">
        <v>0.45</v>
      </c>
    </row>
    <row r="274" spans="1:7">
      <c r="A274" t="s">
        <v>232</v>
      </c>
      <c r="B274" t="s">
        <v>212</v>
      </c>
      <c r="D274">
        <v>0</v>
      </c>
      <c r="E274">
        <v>0</v>
      </c>
      <c r="G274">
        <v>0</v>
      </c>
    </row>
    <row r="275" spans="1:7">
      <c r="A275" t="s">
        <v>232</v>
      </c>
      <c r="B275" t="s">
        <v>213</v>
      </c>
      <c r="C275">
        <v>0</v>
      </c>
      <c r="D275">
        <v>0</v>
      </c>
      <c r="G275">
        <v>0</v>
      </c>
    </row>
    <row r="276" spans="1:7">
      <c r="A276" t="s">
        <v>232</v>
      </c>
      <c r="B276" t="s">
        <v>214</v>
      </c>
      <c r="C276">
        <v>0.03</v>
      </c>
      <c r="D276">
        <v>0.33</v>
      </c>
      <c r="E276">
        <v>17.98</v>
      </c>
      <c r="F276">
        <v>12.31</v>
      </c>
      <c r="G276">
        <v>43.02</v>
      </c>
    </row>
    <row r="277" spans="1:7">
      <c r="A277" t="s">
        <v>232</v>
      </c>
      <c r="B277" t="s">
        <v>215</v>
      </c>
      <c r="C277">
        <v>0</v>
      </c>
      <c r="D277">
        <v>0.01</v>
      </c>
      <c r="E277">
        <v>0</v>
      </c>
      <c r="F277">
        <v>0</v>
      </c>
      <c r="G277">
        <v>1.81</v>
      </c>
    </row>
    <row r="278" spans="1:7">
      <c r="A278" t="s">
        <v>233</v>
      </c>
      <c r="B278" t="s">
        <v>191</v>
      </c>
      <c r="D278">
        <v>25.5</v>
      </c>
      <c r="G278">
        <v>3.35</v>
      </c>
    </row>
    <row r="279" spans="1:7">
      <c r="A279" t="s">
        <v>233</v>
      </c>
      <c r="B279" t="s">
        <v>192</v>
      </c>
      <c r="D279">
        <v>0</v>
      </c>
      <c r="G279">
        <v>3.35</v>
      </c>
    </row>
    <row r="280" spans="1:7">
      <c r="A280" t="s">
        <v>233</v>
      </c>
      <c r="B280" t="s">
        <v>202</v>
      </c>
      <c r="G280">
        <v>0</v>
      </c>
    </row>
    <row r="281" spans="1:7">
      <c r="A281" t="s">
        <v>233</v>
      </c>
      <c r="B281" t="s">
        <v>203</v>
      </c>
      <c r="D281">
        <v>0</v>
      </c>
      <c r="G281">
        <v>0</v>
      </c>
    </row>
    <row r="282" spans="1:7">
      <c r="A282" t="s">
        <v>233</v>
      </c>
      <c r="B282" t="s">
        <v>204</v>
      </c>
      <c r="D282">
        <v>0</v>
      </c>
      <c r="G282">
        <v>0</v>
      </c>
    </row>
    <row r="283" spans="1:7">
      <c r="A283" t="s">
        <v>233</v>
      </c>
      <c r="B283" t="s">
        <v>205</v>
      </c>
      <c r="G283">
        <v>0.2</v>
      </c>
    </row>
    <row r="284" spans="1:7">
      <c r="A284" t="s">
        <v>233</v>
      </c>
      <c r="B284" t="s">
        <v>206</v>
      </c>
      <c r="D284">
        <v>0</v>
      </c>
      <c r="G284">
        <v>0</v>
      </c>
    </row>
    <row r="285" spans="1:7">
      <c r="A285" t="s">
        <v>233</v>
      </c>
      <c r="B285" t="s">
        <v>207</v>
      </c>
      <c r="D285">
        <v>0</v>
      </c>
      <c r="G285">
        <v>0</v>
      </c>
    </row>
    <row r="286" spans="1:7">
      <c r="A286" t="s">
        <v>233</v>
      </c>
      <c r="B286" t="s">
        <v>208</v>
      </c>
      <c r="D286">
        <v>22.83</v>
      </c>
      <c r="G286">
        <v>19.22</v>
      </c>
    </row>
    <row r="287" spans="1:7">
      <c r="A287" t="s">
        <v>233</v>
      </c>
      <c r="B287" t="s">
        <v>209</v>
      </c>
      <c r="D287">
        <v>0.47</v>
      </c>
      <c r="G287">
        <v>0.81</v>
      </c>
    </row>
    <row r="288" spans="1:7">
      <c r="A288" t="s">
        <v>233</v>
      </c>
      <c r="B288" t="s">
        <v>210</v>
      </c>
      <c r="G288">
        <v>0</v>
      </c>
    </row>
    <row r="289" spans="1:7">
      <c r="A289" t="s">
        <v>233</v>
      </c>
      <c r="B289" t="s">
        <v>211</v>
      </c>
      <c r="E289">
        <v>0.79</v>
      </c>
      <c r="F289">
        <v>0.54</v>
      </c>
      <c r="G289">
        <v>1.97</v>
      </c>
    </row>
    <row r="290" spans="1:7">
      <c r="A290" t="s">
        <v>233</v>
      </c>
      <c r="B290" t="s">
        <v>212</v>
      </c>
      <c r="D290">
        <v>0</v>
      </c>
      <c r="E290">
        <v>0</v>
      </c>
      <c r="G290">
        <v>0</v>
      </c>
    </row>
    <row r="291" spans="1:7">
      <c r="A291" t="s">
        <v>233</v>
      </c>
      <c r="B291" t="s">
        <v>213</v>
      </c>
      <c r="C291">
        <v>0</v>
      </c>
      <c r="D291">
        <v>0</v>
      </c>
      <c r="G291">
        <v>0</v>
      </c>
    </row>
    <row r="292" spans="1:7">
      <c r="A292" t="s">
        <v>233</v>
      </c>
      <c r="B292" t="s">
        <v>214</v>
      </c>
      <c r="C292">
        <v>0.04</v>
      </c>
      <c r="D292">
        <v>0.43</v>
      </c>
      <c r="E292">
        <v>78.23</v>
      </c>
      <c r="F292">
        <v>53.54</v>
      </c>
      <c r="G292">
        <v>187.19</v>
      </c>
    </row>
    <row r="293" spans="1:7">
      <c r="A293" t="s">
        <v>233</v>
      </c>
      <c r="B293" t="s">
        <v>215</v>
      </c>
      <c r="C293">
        <v>0</v>
      </c>
      <c r="D293">
        <v>0.01</v>
      </c>
      <c r="E293">
        <v>0</v>
      </c>
      <c r="F293">
        <v>0</v>
      </c>
      <c r="G293">
        <v>7.88</v>
      </c>
    </row>
    <row r="294" spans="1:7">
      <c r="A294" t="s">
        <v>234</v>
      </c>
      <c r="B294" t="s">
        <v>191</v>
      </c>
      <c r="D294">
        <v>24.79</v>
      </c>
      <c r="G294">
        <v>7.07</v>
      </c>
    </row>
    <row r="295" spans="1:7">
      <c r="A295" t="s">
        <v>234</v>
      </c>
      <c r="B295" t="s">
        <v>192</v>
      </c>
      <c r="D295">
        <v>0</v>
      </c>
      <c r="G295">
        <v>7.07</v>
      </c>
    </row>
    <row r="296" spans="1:7">
      <c r="A296" t="s">
        <v>234</v>
      </c>
      <c r="B296" t="s">
        <v>202</v>
      </c>
      <c r="G296">
        <v>0</v>
      </c>
    </row>
    <row r="297" spans="1:7">
      <c r="A297" t="s">
        <v>234</v>
      </c>
      <c r="B297" t="s">
        <v>203</v>
      </c>
      <c r="D297">
        <v>0</v>
      </c>
      <c r="G297">
        <v>0</v>
      </c>
    </row>
    <row r="298" spans="1:7">
      <c r="A298" t="s">
        <v>234</v>
      </c>
      <c r="B298" t="s">
        <v>204</v>
      </c>
      <c r="D298">
        <v>0</v>
      </c>
      <c r="G298">
        <v>0</v>
      </c>
    </row>
    <row r="299" spans="1:7">
      <c r="A299" t="s">
        <v>234</v>
      </c>
      <c r="B299" t="s">
        <v>205</v>
      </c>
      <c r="G299">
        <v>0.21</v>
      </c>
    </row>
    <row r="300" spans="1:7">
      <c r="A300" t="s">
        <v>234</v>
      </c>
      <c r="B300" t="s">
        <v>206</v>
      </c>
      <c r="D300">
        <v>0</v>
      </c>
      <c r="G300">
        <v>0</v>
      </c>
    </row>
    <row r="301" spans="1:7">
      <c r="A301" t="s">
        <v>234</v>
      </c>
      <c r="B301" t="s">
        <v>207</v>
      </c>
      <c r="D301">
        <v>0</v>
      </c>
      <c r="G301">
        <v>0</v>
      </c>
    </row>
    <row r="302" spans="1:7">
      <c r="A302" t="s">
        <v>234</v>
      </c>
      <c r="B302" t="s">
        <v>208</v>
      </c>
      <c r="D302">
        <v>28.36</v>
      </c>
      <c r="G302">
        <v>20.260000000000002</v>
      </c>
    </row>
    <row r="303" spans="1:7">
      <c r="A303" t="s">
        <v>234</v>
      </c>
      <c r="B303" t="s">
        <v>209</v>
      </c>
      <c r="D303">
        <v>0.57999999999999996</v>
      </c>
      <c r="G303">
        <v>0.85</v>
      </c>
    </row>
    <row r="304" spans="1:7">
      <c r="A304" t="s">
        <v>234</v>
      </c>
      <c r="B304" t="s">
        <v>210</v>
      </c>
      <c r="G304">
        <v>0</v>
      </c>
    </row>
    <row r="305" spans="1:7">
      <c r="A305" t="s">
        <v>234</v>
      </c>
      <c r="B305" t="s">
        <v>211</v>
      </c>
      <c r="E305">
        <v>0.69</v>
      </c>
      <c r="F305">
        <v>0.47</v>
      </c>
      <c r="G305">
        <v>1.71</v>
      </c>
    </row>
    <row r="306" spans="1:7">
      <c r="A306" t="s">
        <v>234</v>
      </c>
      <c r="B306" t="s">
        <v>212</v>
      </c>
      <c r="D306">
        <v>0</v>
      </c>
      <c r="E306">
        <v>0</v>
      </c>
      <c r="G306">
        <v>0</v>
      </c>
    </row>
    <row r="307" spans="1:7">
      <c r="A307" t="s">
        <v>234</v>
      </c>
      <c r="B307" t="s">
        <v>213</v>
      </c>
      <c r="C307">
        <v>0</v>
      </c>
      <c r="D307">
        <v>0</v>
      </c>
      <c r="G307">
        <v>0</v>
      </c>
    </row>
    <row r="308" spans="1:7">
      <c r="A308" t="s">
        <v>234</v>
      </c>
      <c r="B308" t="s">
        <v>214</v>
      </c>
      <c r="C308">
        <v>0.06</v>
      </c>
      <c r="D308">
        <v>0.57999999999999996</v>
      </c>
      <c r="E308">
        <v>67.97</v>
      </c>
      <c r="F308">
        <v>46.52</v>
      </c>
      <c r="G308">
        <v>162.63999999999999</v>
      </c>
    </row>
    <row r="309" spans="1:7">
      <c r="A309" t="s">
        <v>234</v>
      </c>
      <c r="B309" t="s">
        <v>215</v>
      </c>
      <c r="C309">
        <v>0</v>
      </c>
      <c r="D309">
        <v>0.01</v>
      </c>
      <c r="E309">
        <v>0</v>
      </c>
      <c r="F309">
        <v>0</v>
      </c>
      <c r="G309">
        <v>6.85</v>
      </c>
    </row>
    <row r="310" spans="1:7">
      <c r="A310" t="s">
        <v>235</v>
      </c>
      <c r="B310" t="s">
        <v>191</v>
      </c>
      <c r="D310">
        <v>24.17</v>
      </c>
      <c r="G310">
        <v>8.73</v>
      </c>
    </row>
    <row r="311" spans="1:7">
      <c r="A311" t="s">
        <v>235</v>
      </c>
      <c r="B311" t="s">
        <v>192</v>
      </c>
      <c r="D311">
        <v>0</v>
      </c>
      <c r="G311">
        <v>8.73</v>
      </c>
    </row>
    <row r="312" spans="1:7">
      <c r="A312" t="s">
        <v>235</v>
      </c>
      <c r="B312" t="s">
        <v>202</v>
      </c>
      <c r="G312">
        <v>0</v>
      </c>
    </row>
    <row r="313" spans="1:7">
      <c r="A313" t="s">
        <v>235</v>
      </c>
      <c r="B313" t="s">
        <v>203</v>
      </c>
      <c r="D313">
        <v>0</v>
      </c>
      <c r="G313">
        <v>0</v>
      </c>
    </row>
    <row r="314" spans="1:7">
      <c r="A314" t="s">
        <v>235</v>
      </c>
      <c r="B314" t="s">
        <v>204</v>
      </c>
      <c r="D314">
        <v>0</v>
      </c>
      <c r="G314">
        <v>0</v>
      </c>
    </row>
    <row r="315" spans="1:7">
      <c r="A315" t="s">
        <v>235</v>
      </c>
      <c r="B315" t="s">
        <v>205</v>
      </c>
      <c r="G315">
        <v>0.82</v>
      </c>
    </row>
    <row r="316" spans="1:7">
      <c r="A316" t="s">
        <v>235</v>
      </c>
      <c r="B316" t="s">
        <v>206</v>
      </c>
      <c r="D316">
        <v>0</v>
      </c>
      <c r="G316">
        <v>0</v>
      </c>
    </row>
    <row r="317" spans="1:7">
      <c r="A317" t="s">
        <v>235</v>
      </c>
      <c r="B317" t="s">
        <v>207</v>
      </c>
      <c r="D317">
        <v>0</v>
      </c>
      <c r="G317">
        <v>0</v>
      </c>
    </row>
    <row r="318" spans="1:7">
      <c r="A318" t="s">
        <v>235</v>
      </c>
      <c r="B318" t="s">
        <v>208</v>
      </c>
      <c r="D318">
        <v>15.97</v>
      </c>
      <c r="G318">
        <v>77.7</v>
      </c>
    </row>
    <row r="319" spans="1:7">
      <c r="A319" t="s">
        <v>235</v>
      </c>
      <c r="B319" t="s">
        <v>209</v>
      </c>
      <c r="D319">
        <v>0.33</v>
      </c>
      <c r="G319">
        <v>3.27</v>
      </c>
    </row>
    <row r="320" spans="1:7">
      <c r="A320" t="s">
        <v>235</v>
      </c>
      <c r="B320" t="s">
        <v>210</v>
      </c>
      <c r="G320">
        <v>0</v>
      </c>
    </row>
    <row r="321" spans="1:7">
      <c r="A321" t="s">
        <v>235</v>
      </c>
      <c r="B321" t="s">
        <v>211</v>
      </c>
      <c r="E321">
        <v>2.17</v>
      </c>
      <c r="F321">
        <v>1.49</v>
      </c>
      <c r="G321">
        <v>5.41</v>
      </c>
    </row>
    <row r="322" spans="1:7">
      <c r="A322" t="s">
        <v>235</v>
      </c>
      <c r="B322" t="s">
        <v>212</v>
      </c>
      <c r="D322">
        <v>0</v>
      </c>
      <c r="E322">
        <v>0</v>
      </c>
      <c r="G322">
        <v>0</v>
      </c>
    </row>
    <row r="323" spans="1:7">
      <c r="A323" t="s">
        <v>235</v>
      </c>
      <c r="B323" t="s">
        <v>213</v>
      </c>
      <c r="C323">
        <v>0</v>
      </c>
      <c r="D323">
        <v>0</v>
      </c>
      <c r="G323">
        <v>0</v>
      </c>
    </row>
    <row r="324" spans="1:7">
      <c r="A324" t="s">
        <v>235</v>
      </c>
      <c r="B324" t="s">
        <v>214</v>
      </c>
      <c r="C324">
        <v>0.26</v>
      </c>
      <c r="D324">
        <v>2.56</v>
      </c>
      <c r="E324">
        <v>214.9</v>
      </c>
      <c r="F324">
        <v>147.1</v>
      </c>
      <c r="G324">
        <v>514.24</v>
      </c>
    </row>
    <row r="325" spans="1:7">
      <c r="A325" t="s">
        <v>235</v>
      </c>
      <c r="B325" t="s">
        <v>215</v>
      </c>
      <c r="C325">
        <v>0.01</v>
      </c>
      <c r="D325">
        <v>0.05</v>
      </c>
      <c r="E325">
        <v>0</v>
      </c>
      <c r="F325">
        <v>0</v>
      </c>
      <c r="G325">
        <v>21.65</v>
      </c>
    </row>
    <row r="326" spans="1:7">
      <c r="A326" t="s">
        <v>236</v>
      </c>
      <c r="B326" t="s">
        <v>191</v>
      </c>
      <c r="D326">
        <v>4.54</v>
      </c>
      <c r="G326">
        <v>0.61</v>
      </c>
    </row>
    <row r="327" spans="1:7">
      <c r="A327" t="s">
        <v>236</v>
      </c>
      <c r="B327" t="s">
        <v>192</v>
      </c>
      <c r="D327">
        <v>0</v>
      </c>
      <c r="G327">
        <v>0.61</v>
      </c>
    </row>
    <row r="328" spans="1:7">
      <c r="A328" t="s">
        <v>236</v>
      </c>
      <c r="B328" t="s">
        <v>202</v>
      </c>
      <c r="G328">
        <v>0</v>
      </c>
    </row>
    <row r="329" spans="1:7">
      <c r="A329" t="s">
        <v>236</v>
      </c>
      <c r="B329" t="s">
        <v>203</v>
      </c>
      <c r="D329">
        <v>0</v>
      </c>
      <c r="G329">
        <v>0</v>
      </c>
    </row>
    <row r="330" spans="1:7">
      <c r="A330" t="s">
        <v>236</v>
      </c>
      <c r="B330" t="s">
        <v>204</v>
      </c>
      <c r="D330">
        <v>0</v>
      </c>
      <c r="G330">
        <v>0</v>
      </c>
    </row>
    <row r="331" spans="1:7">
      <c r="A331" t="s">
        <v>236</v>
      </c>
      <c r="B331" t="s">
        <v>205</v>
      </c>
      <c r="G331">
        <v>0.01</v>
      </c>
    </row>
    <row r="332" spans="1:7">
      <c r="A332" t="s">
        <v>236</v>
      </c>
      <c r="B332" t="s">
        <v>206</v>
      </c>
      <c r="D332">
        <v>0</v>
      </c>
      <c r="G332">
        <v>0</v>
      </c>
    </row>
    <row r="333" spans="1:7">
      <c r="A333" t="s">
        <v>236</v>
      </c>
      <c r="B333" t="s">
        <v>207</v>
      </c>
      <c r="D333">
        <v>0</v>
      </c>
      <c r="G333">
        <v>0</v>
      </c>
    </row>
    <row r="334" spans="1:7">
      <c r="A334" t="s">
        <v>236</v>
      </c>
      <c r="B334" t="s">
        <v>208</v>
      </c>
      <c r="D334">
        <v>0.84</v>
      </c>
      <c r="G334">
        <v>0.69</v>
      </c>
    </row>
    <row r="335" spans="1:7">
      <c r="A335" t="s">
        <v>236</v>
      </c>
      <c r="B335" t="s">
        <v>209</v>
      </c>
      <c r="D335">
        <v>0.02</v>
      </c>
      <c r="G335">
        <v>0.03</v>
      </c>
    </row>
    <row r="336" spans="1:7">
      <c r="A336" t="s">
        <v>236</v>
      </c>
      <c r="B336" t="s">
        <v>210</v>
      </c>
      <c r="G336">
        <v>0</v>
      </c>
    </row>
    <row r="337" spans="1:7">
      <c r="A337" t="s">
        <v>236</v>
      </c>
      <c r="B337" t="s">
        <v>211</v>
      </c>
      <c r="E337">
        <v>0.09</v>
      </c>
      <c r="F337">
        <v>0.06</v>
      </c>
      <c r="G337">
        <v>0.22</v>
      </c>
    </row>
    <row r="338" spans="1:7">
      <c r="A338" t="s">
        <v>236</v>
      </c>
      <c r="B338" t="s">
        <v>212</v>
      </c>
      <c r="D338">
        <v>0</v>
      </c>
      <c r="E338">
        <v>0</v>
      </c>
      <c r="G338">
        <v>0</v>
      </c>
    </row>
    <row r="339" spans="1:7">
      <c r="A339" t="s">
        <v>236</v>
      </c>
      <c r="B339" t="s">
        <v>213</v>
      </c>
      <c r="C339">
        <v>0</v>
      </c>
      <c r="D339">
        <v>0</v>
      </c>
      <c r="G339">
        <v>0</v>
      </c>
    </row>
    <row r="340" spans="1:7">
      <c r="A340" t="s">
        <v>236</v>
      </c>
      <c r="B340" t="s">
        <v>214</v>
      </c>
      <c r="C340">
        <v>0</v>
      </c>
      <c r="D340">
        <v>0.04</v>
      </c>
      <c r="E340">
        <v>8.7100000000000009</v>
      </c>
      <c r="F340">
        <v>5.96</v>
      </c>
      <c r="G340">
        <v>20.83</v>
      </c>
    </row>
    <row r="341" spans="1:7">
      <c r="A341" t="s">
        <v>236</v>
      </c>
      <c r="B341" t="s">
        <v>215</v>
      </c>
      <c r="C341">
        <v>0</v>
      </c>
      <c r="D341">
        <v>0</v>
      </c>
      <c r="E341">
        <v>0</v>
      </c>
      <c r="F341">
        <v>0</v>
      </c>
      <c r="G341">
        <v>0.88</v>
      </c>
    </row>
    <row r="342" spans="1:7">
      <c r="A342" t="s">
        <v>237</v>
      </c>
      <c r="B342" t="s">
        <v>191</v>
      </c>
      <c r="D342">
        <v>11.72</v>
      </c>
      <c r="G342">
        <v>5.72</v>
      </c>
    </row>
    <row r="343" spans="1:7">
      <c r="A343" t="s">
        <v>237</v>
      </c>
      <c r="B343" t="s">
        <v>192</v>
      </c>
      <c r="D343">
        <v>0</v>
      </c>
      <c r="G343">
        <v>5.72</v>
      </c>
    </row>
    <row r="344" spans="1:7">
      <c r="A344" t="s">
        <v>237</v>
      </c>
      <c r="B344" t="s">
        <v>202</v>
      </c>
      <c r="G344">
        <v>0</v>
      </c>
    </row>
    <row r="345" spans="1:7">
      <c r="A345" t="s">
        <v>237</v>
      </c>
      <c r="B345" t="s">
        <v>203</v>
      </c>
      <c r="D345">
        <v>0</v>
      </c>
      <c r="G345">
        <v>0</v>
      </c>
    </row>
    <row r="346" spans="1:7">
      <c r="A346" t="s">
        <v>237</v>
      </c>
      <c r="B346" t="s">
        <v>204</v>
      </c>
      <c r="D346">
        <v>0</v>
      </c>
      <c r="G346">
        <v>0</v>
      </c>
    </row>
    <row r="347" spans="1:7">
      <c r="A347" t="s">
        <v>237</v>
      </c>
      <c r="B347" t="s">
        <v>205</v>
      </c>
      <c r="G347">
        <v>0.09</v>
      </c>
    </row>
    <row r="348" spans="1:7">
      <c r="A348" t="s">
        <v>237</v>
      </c>
      <c r="B348" t="s">
        <v>206</v>
      </c>
      <c r="D348">
        <v>0</v>
      </c>
      <c r="G348">
        <v>0</v>
      </c>
    </row>
    <row r="349" spans="1:7">
      <c r="A349" t="s">
        <v>237</v>
      </c>
      <c r="B349" t="s">
        <v>207</v>
      </c>
      <c r="D349">
        <v>0</v>
      </c>
      <c r="G349">
        <v>0</v>
      </c>
    </row>
    <row r="350" spans="1:7">
      <c r="A350" t="s">
        <v>237</v>
      </c>
      <c r="B350" t="s">
        <v>208</v>
      </c>
      <c r="D350">
        <v>3.11</v>
      </c>
      <c r="G350">
        <v>8.44</v>
      </c>
    </row>
    <row r="351" spans="1:7">
      <c r="A351" t="s">
        <v>237</v>
      </c>
      <c r="B351" t="s">
        <v>209</v>
      </c>
      <c r="D351">
        <v>0.06</v>
      </c>
      <c r="G351">
        <v>0.36</v>
      </c>
    </row>
    <row r="352" spans="1:7">
      <c r="A352" t="s">
        <v>237</v>
      </c>
      <c r="B352" t="s">
        <v>210</v>
      </c>
      <c r="G352">
        <v>0</v>
      </c>
    </row>
    <row r="353" spans="1:7">
      <c r="A353" t="s">
        <v>237</v>
      </c>
      <c r="B353" t="s">
        <v>211</v>
      </c>
      <c r="E353">
        <v>1.1399999999999999</v>
      </c>
      <c r="F353">
        <v>0.78</v>
      </c>
      <c r="G353">
        <v>2.85</v>
      </c>
    </row>
    <row r="354" spans="1:7">
      <c r="A354" t="s">
        <v>237</v>
      </c>
      <c r="B354" t="s">
        <v>212</v>
      </c>
      <c r="D354">
        <v>0</v>
      </c>
      <c r="E354">
        <v>0</v>
      </c>
      <c r="G354">
        <v>0</v>
      </c>
    </row>
    <row r="355" spans="1:7">
      <c r="A355" t="s">
        <v>237</v>
      </c>
      <c r="B355" t="s">
        <v>213</v>
      </c>
      <c r="C355">
        <v>0</v>
      </c>
      <c r="D355">
        <v>0</v>
      </c>
      <c r="G355">
        <v>0</v>
      </c>
    </row>
    <row r="356" spans="1:7">
      <c r="A356" t="s">
        <v>237</v>
      </c>
      <c r="B356" t="s">
        <v>214</v>
      </c>
      <c r="C356">
        <v>5.0599999999999996</v>
      </c>
      <c r="D356">
        <v>49.21</v>
      </c>
      <c r="E356">
        <v>113.06</v>
      </c>
      <c r="F356">
        <v>77.39</v>
      </c>
      <c r="G356">
        <v>270.55</v>
      </c>
    </row>
    <row r="357" spans="1:7">
      <c r="A357" t="s">
        <v>237</v>
      </c>
      <c r="B357" t="s">
        <v>215</v>
      </c>
      <c r="C357">
        <v>0.1</v>
      </c>
      <c r="D357">
        <v>1</v>
      </c>
      <c r="E357">
        <v>0</v>
      </c>
      <c r="F357">
        <v>0</v>
      </c>
      <c r="G357">
        <v>11.39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40"/>
  <sheetViews>
    <sheetView topLeftCell="A10" workbookViewId="0">
      <selection activeCell="A15" sqref="A15"/>
    </sheetView>
  </sheetViews>
  <sheetFormatPr defaultRowHeight="14.45"/>
  <cols>
    <col min="1" max="1" width="50.5703125" customWidth="1"/>
    <col min="2" max="2" width="28.7109375" customWidth="1"/>
    <col min="3" max="3" width="21.7109375" customWidth="1"/>
    <col min="4" max="4" width="23.140625" customWidth="1"/>
    <col min="5" max="5" width="11.140625" customWidth="1"/>
    <col min="6" max="6" width="15" customWidth="1"/>
    <col min="7" max="7" width="35.7109375" customWidth="1"/>
    <col min="8" max="8" width="26.42578125" customWidth="1"/>
    <col min="9" max="9" width="14.7109375" customWidth="1"/>
    <col min="10" max="10" width="13.42578125" customWidth="1"/>
    <col min="11" max="11" width="26" customWidth="1"/>
    <col min="12" max="12" width="15.28515625" customWidth="1"/>
    <col min="13" max="13" width="12.140625" customWidth="1"/>
    <col min="14" max="14" width="16.5703125" customWidth="1"/>
    <col min="15" max="15" width="18.140625" customWidth="1"/>
    <col min="16" max="16" width="33.5703125" customWidth="1"/>
    <col min="17" max="17" width="28.42578125" customWidth="1"/>
    <col min="18" max="18" width="20" customWidth="1"/>
    <col min="19" max="19" width="35.5703125" customWidth="1"/>
    <col min="20" max="20" width="20" customWidth="1"/>
    <col min="21" max="21" width="13.28515625" bestFit="1" customWidth="1"/>
    <col min="22" max="22" width="15.5703125" bestFit="1" customWidth="1"/>
    <col min="23" max="23" width="11" bestFit="1" customWidth="1"/>
    <col min="24" max="24" width="34.42578125" bestFit="1" customWidth="1"/>
    <col min="25" max="25" width="16.28515625" bestFit="1" customWidth="1"/>
    <col min="26" max="26" width="42.7109375" bestFit="1" customWidth="1"/>
    <col min="27" max="27" width="18.5703125" bestFit="1" customWidth="1"/>
    <col min="28" max="28" width="24.5703125" bestFit="1" customWidth="1"/>
    <col min="29" max="29" width="24" bestFit="1" customWidth="1"/>
    <col min="30" max="30" width="19.7109375" bestFit="1" customWidth="1"/>
    <col min="31" max="31" width="12.42578125" bestFit="1" customWidth="1"/>
    <col min="32" max="32" width="12.85546875" bestFit="1" customWidth="1"/>
    <col min="33" max="33" width="14.5703125" bestFit="1" customWidth="1"/>
    <col min="34" max="34" width="16.42578125" bestFit="1" customWidth="1"/>
    <col min="35" max="35" width="29.140625" bestFit="1" customWidth="1"/>
  </cols>
  <sheetData>
    <row r="1" spans="1:35" s="2" customFormat="1">
      <c r="A1" s="6">
        <v>2015</v>
      </c>
    </row>
    <row r="2" spans="1:35">
      <c r="B2" t="s">
        <v>98</v>
      </c>
      <c r="C2" t="s">
        <v>99</v>
      </c>
      <c r="D2" t="s">
        <v>100</v>
      </c>
      <c r="E2" t="s">
        <v>101</v>
      </c>
      <c r="F2" t="s">
        <v>102</v>
      </c>
      <c r="G2" t="s">
        <v>103</v>
      </c>
      <c r="H2" t="s">
        <v>104</v>
      </c>
      <c r="I2" t="s">
        <v>105</v>
      </c>
      <c r="J2" t="s">
        <v>106</v>
      </c>
      <c r="K2" t="s">
        <v>107</v>
      </c>
      <c r="L2" t="s">
        <v>108</v>
      </c>
      <c r="M2" t="s">
        <v>109</v>
      </c>
      <c r="N2" t="s">
        <v>110</v>
      </c>
      <c r="O2" t="s">
        <v>111</v>
      </c>
      <c r="P2" t="s">
        <v>112</v>
      </c>
      <c r="Q2" t="s">
        <v>113</v>
      </c>
      <c r="R2" t="s">
        <v>114</v>
      </c>
      <c r="S2" t="s">
        <v>115</v>
      </c>
      <c r="T2" t="s">
        <v>116</v>
      </c>
      <c r="U2" t="s">
        <v>117</v>
      </c>
      <c r="V2" t="s">
        <v>118</v>
      </c>
      <c r="W2" t="s">
        <v>119</v>
      </c>
      <c r="X2" t="s">
        <v>120</v>
      </c>
      <c r="Y2" t="s">
        <v>121</v>
      </c>
      <c r="Z2" t="s">
        <v>122</v>
      </c>
      <c r="AA2" t="s">
        <v>123</v>
      </c>
      <c r="AB2" t="s">
        <v>124</v>
      </c>
      <c r="AC2" t="s">
        <v>125</v>
      </c>
      <c r="AD2" t="s">
        <v>126</v>
      </c>
      <c r="AE2" t="s">
        <v>127</v>
      </c>
      <c r="AF2" t="s">
        <v>128</v>
      </c>
      <c r="AG2" t="s">
        <v>129</v>
      </c>
      <c r="AH2" t="s">
        <v>58</v>
      </c>
      <c r="AI2" t="s">
        <v>130</v>
      </c>
    </row>
    <row r="3" spans="1:35">
      <c r="A3" s="33" t="s">
        <v>238</v>
      </c>
      <c r="B3" t="s">
        <v>239</v>
      </c>
      <c r="C3" t="s">
        <v>240</v>
      </c>
      <c r="D3" t="s">
        <v>241</v>
      </c>
      <c r="E3" t="s">
        <v>242</v>
      </c>
      <c r="F3" t="s">
        <v>243</v>
      </c>
      <c r="G3" t="s">
        <v>244</v>
      </c>
      <c r="H3" t="s">
        <v>245</v>
      </c>
      <c r="I3" t="s">
        <v>246</v>
      </c>
      <c r="J3" t="s">
        <v>247</v>
      </c>
      <c r="K3" t="s">
        <v>248</v>
      </c>
      <c r="L3" t="s">
        <v>249</v>
      </c>
      <c r="M3" t="s">
        <v>250</v>
      </c>
      <c r="N3" t="s">
        <v>251</v>
      </c>
      <c r="O3" t="s">
        <v>252</v>
      </c>
      <c r="P3" t="s">
        <v>253</v>
      </c>
      <c r="Q3" t="s">
        <v>254</v>
      </c>
      <c r="R3" t="s">
        <v>255</v>
      </c>
      <c r="S3" t="s">
        <v>256</v>
      </c>
      <c r="T3" t="s">
        <v>257</v>
      </c>
      <c r="U3" t="s">
        <v>258</v>
      </c>
      <c r="V3" t="s">
        <v>259</v>
      </c>
      <c r="W3" t="s">
        <v>260</v>
      </c>
      <c r="X3" t="s">
        <v>261</v>
      </c>
      <c r="Y3" t="s">
        <v>262</v>
      </c>
      <c r="Z3" t="s">
        <v>263</v>
      </c>
      <c r="AA3" t="s">
        <v>264</v>
      </c>
      <c r="AB3" t="s">
        <v>265</v>
      </c>
      <c r="AC3" t="s">
        <v>266</v>
      </c>
      <c r="AD3" t="s">
        <v>267</v>
      </c>
      <c r="AE3" t="s">
        <v>268</v>
      </c>
      <c r="AF3" t="s">
        <v>269</v>
      </c>
      <c r="AG3" t="s">
        <v>270</v>
      </c>
      <c r="AH3" t="s">
        <v>271</v>
      </c>
      <c r="AI3" t="s">
        <v>272</v>
      </c>
    </row>
    <row r="4" spans="1:35">
      <c r="A4" s="3" t="s">
        <v>191</v>
      </c>
      <c r="B4">
        <v>0</v>
      </c>
      <c r="C4">
        <v>0</v>
      </c>
      <c r="D4">
        <v>0</v>
      </c>
      <c r="E4">
        <v>274.2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63.84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>
      <c r="A5" s="3" t="s">
        <v>192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63.84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>
      <c r="A6" s="3" t="s">
        <v>193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>
      <c r="A7" s="3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>
      <c r="A8" s="3" t="s">
        <v>195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>
      <c r="A9" s="3" t="s">
        <v>196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12.98</v>
      </c>
      <c r="I9">
        <v>0</v>
      </c>
      <c r="J9">
        <v>0</v>
      </c>
      <c r="K9">
        <v>0</v>
      </c>
      <c r="L9">
        <v>0</v>
      </c>
      <c r="M9">
        <v>8.8800000000000008</v>
      </c>
      <c r="N9">
        <v>35.409999999999997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>
      <c r="A10" s="3" t="s">
        <v>197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>
      <c r="A11" s="3" t="s">
        <v>198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>
      <c r="A12" s="3" t="s">
        <v>199</v>
      </c>
      <c r="B12">
        <v>11.4</v>
      </c>
      <c r="C12">
        <v>0</v>
      </c>
      <c r="D12">
        <v>0</v>
      </c>
      <c r="E12">
        <v>417.79000000000013</v>
      </c>
      <c r="F12">
        <v>0</v>
      </c>
      <c r="G12">
        <v>0</v>
      </c>
      <c r="H12">
        <v>1286.18</v>
      </c>
      <c r="I12">
        <v>0</v>
      </c>
      <c r="J12">
        <v>0</v>
      </c>
      <c r="K12">
        <v>0</v>
      </c>
      <c r="L12">
        <v>0</v>
      </c>
      <c r="M12">
        <v>880.34</v>
      </c>
      <c r="N12">
        <v>3365.1899999999991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>
      <c r="A13" s="3" t="s">
        <v>200</v>
      </c>
      <c r="B13">
        <v>0.21000000000000002</v>
      </c>
      <c r="C13">
        <v>0</v>
      </c>
      <c r="D13">
        <v>0</v>
      </c>
      <c r="E13">
        <v>8.509999999999998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141.70000000000002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>
      <c r="A14" s="3" t="s">
        <v>273</v>
      </c>
      <c r="B14">
        <v>11.610000000000001</v>
      </c>
      <c r="C14">
        <v>0</v>
      </c>
      <c r="D14">
        <v>0</v>
      </c>
      <c r="E14">
        <v>700.50000000000011</v>
      </c>
      <c r="F14">
        <v>0</v>
      </c>
      <c r="G14">
        <v>0</v>
      </c>
      <c r="H14">
        <v>1299.1600000000001</v>
      </c>
      <c r="I14">
        <v>0</v>
      </c>
      <c r="J14">
        <v>0</v>
      </c>
      <c r="K14">
        <v>0</v>
      </c>
      <c r="L14">
        <v>0</v>
      </c>
      <c r="M14">
        <v>889.22</v>
      </c>
      <c r="N14">
        <v>3669.9799999999991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6" spans="1:35" s="2" customFormat="1">
      <c r="A16" s="6">
        <v>2020</v>
      </c>
    </row>
    <row r="17" spans="1:6">
      <c r="A17" s="33" t="s">
        <v>238</v>
      </c>
      <c r="B17" t="s">
        <v>239</v>
      </c>
      <c r="C17" t="s">
        <v>242</v>
      </c>
      <c r="D17" t="s">
        <v>245</v>
      </c>
      <c r="E17" t="s">
        <v>250</v>
      </c>
      <c r="F17" t="s">
        <v>251</v>
      </c>
    </row>
    <row r="18" spans="1:6">
      <c r="A18" s="3" t="s">
        <v>208</v>
      </c>
      <c r="C18">
        <v>258.97000000000003</v>
      </c>
      <c r="F18">
        <v>310.02</v>
      </c>
    </row>
    <row r="19" spans="1:6">
      <c r="A19" s="3" t="s">
        <v>214</v>
      </c>
      <c r="B19">
        <v>11.4</v>
      </c>
      <c r="C19">
        <v>111.02</v>
      </c>
      <c r="D19">
        <v>1332.1200000000001</v>
      </c>
      <c r="E19">
        <v>911.80999999999983</v>
      </c>
      <c r="F19">
        <v>3187.6000000000004</v>
      </c>
    </row>
    <row r="20" spans="1:6">
      <c r="A20" s="3" t="s">
        <v>202</v>
      </c>
      <c r="F20">
        <v>0</v>
      </c>
    </row>
    <row r="21" spans="1:6">
      <c r="A21" s="3" t="s">
        <v>210</v>
      </c>
      <c r="F21">
        <v>0</v>
      </c>
    </row>
    <row r="22" spans="1:6">
      <c r="A22" s="3" t="s">
        <v>209</v>
      </c>
      <c r="C22">
        <v>5.2799999999999985</v>
      </c>
      <c r="F22">
        <v>13.049999999999997</v>
      </c>
    </row>
    <row r="23" spans="1:6">
      <c r="A23" s="3" t="s">
        <v>215</v>
      </c>
      <c r="B23">
        <v>0.21000000000000002</v>
      </c>
      <c r="C23">
        <v>2.25</v>
      </c>
      <c r="D23">
        <v>0</v>
      </c>
      <c r="E23">
        <v>0</v>
      </c>
      <c r="F23">
        <v>134.20999999999998</v>
      </c>
    </row>
    <row r="24" spans="1:6">
      <c r="A24" s="3" t="s">
        <v>204</v>
      </c>
      <c r="C24">
        <v>0</v>
      </c>
      <c r="F24">
        <v>0</v>
      </c>
    </row>
    <row r="25" spans="1:6">
      <c r="A25" s="3" t="s">
        <v>192</v>
      </c>
      <c r="C25">
        <v>0</v>
      </c>
      <c r="F25">
        <v>74.06</v>
      </c>
    </row>
    <row r="26" spans="1:6">
      <c r="A26" s="3" t="s">
        <v>203</v>
      </c>
      <c r="C26">
        <v>0</v>
      </c>
      <c r="F26">
        <v>0</v>
      </c>
    </row>
    <row r="27" spans="1:6">
      <c r="A27" s="3" t="s">
        <v>191</v>
      </c>
      <c r="C27">
        <v>324.30000000000013</v>
      </c>
      <c r="F27">
        <v>74.06</v>
      </c>
    </row>
    <row r="28" spans="1:6">
      <c r="A28" s="3" t="s">
        <v>206</v>
      </c>
      <c r="C28">
        <v>0</v>
      </c>
      <c r="F28">
        <v>0</v>
      </c>
    </row>
    <row r="29" spans="1:6">
      <c r="A29" s="3" t="s">
        <v>212</v>
      </c>
      <c r="C29">
        <v>0</v>
      </c>
      <c r="D29">
        <v>0</v>
      </c>
      <c r="F29">
        <v>0</v>
      </c>
    </row>
    <row r="30" spans="1:6">
      <c r="A30" s="3" t="s">
        <v>207</v>
      </c>
      <c r="C30">
        <v>0</v>
      </c>
      <c r="F30">
        <v>0</v>
      </c>
    </row>
    <row r="31" spans="1:6">
      <c r="A31" s="3" t="s">
        <v>213</v>
      </c>
      <c r="B31">
        <v>0</v>
      </c>
      <c r="C31">
        <v>0</v>
      </c>
      <c r="F31">
        <v>0</v>
      </c>
    </row>
    <row r="32" spans="1:6">
      <c r="A32" s="3" t="s">
        <v>205</v>
      </c>
      <c r="F32">
        <v>3.2699999999999996</v>
      </c>
    </row>
    <row r="33" spans="1:6">
      <c r="A33" s="3" t="s">
        <v>211</v>
      </c>
      <c r="D33">
        <v>13.46</v>
      </c>
      <c r="E33">
        <v>9.2099999999999991</v>
      </c>
      <c r="F33">
        <v>33.549999999999997</v>
      </c>
    </row>
    <row r="34" spans="1:6">
      <c r="A34" s="3" t="s">
        <v>273</v>
      </c>
      <c r="B34">
        <v>11.610000000000001</v>
      </c>
      <c r="C34">
        <v>701.82000000000016</v>
      </c>
      <c r="D34">
        <v>1345.5800000000002</v>
      </c>
      <c r="E34">
        <v>921.01999999999987</v>
      </c>
      <c r="F34">
        <v>3829.8200000000006</v>
      </c>
    </row>
    <row r="36" spans="1:6" s="39" customFormat="1">
      <c r="B36" s="42" t="s">
        <v>274</v>
      </c>
    </row>
    <row r="37" spans="1:6">
      <c r="A37" s="3">
        <v>2015</v>
      </c>
      <c r="B37">
        <f>H14</f>
        <v>1299.1600000000001</v>
      </c>
    </row>
    <row r="38" spans="1:6">
      <c r="A38" s="3">
        <v>2020</v>
      </c>
      <c r="B38">
        <f>D34</f>
        <v>1345.5800000000002</v>
      </c>
    </row>
    <row r="40" spans="1:6">
      <c r="A40" s="3" t="s">
        <v>275</v>
      </c>
      <c r="B40">
        <f>TREND(B37:B38,$A$37:$A$38,2017)</f>
        <v>1317.7279999999992</v>
      </c>
    </row>
  </sheetData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6368E-ABA5-42E9-82D5-2D981F7F2962}">
  <dimension ref="A1:BM18"/>
  <sheetViews>
    <sheetView workbookViewId="0">
      <selection activeCell="B7" sqref="B7"/>
    </sheetView>
  </sheetViews>
  <sheetFormatPr defaultRowHeight="14.45"/>
  <cols>
    <col min="2" max="2" width="28.42578125" customWidth="1"/>
  </cols>
  <sheetData>
    <row r="1" spans="1:65">
      <c r="A1" t="s">
        <v>276</v>
      </c>
      <c r="B1" t="s">
        <v>277</v>
      </c>
    </row>
    <row r="2" spans="1:65">
      <c r="A2" t="s">
        <v>278</v>
      </c>
      <c r="B2" s="45">
        <v>44497</v>
      </c>
    </row>
    <row r="4" spans="1:65">
      <c r="A4" t="s">
        <v>279</v>
      </c>
      <c r="B4" t="s">
        <v>280</v>
      </c>
      <c r="C4" t="s">
        <v>281</v>
      </c>
      <c r="D4" t="s">
        <v>282</v>
      </c>
      <c r="E4" s="38" t="s">
        <v>283</v>
      </c>
      <c r="F4" s="38" t="s">
        <v>284</v>
      </c>
      <c r="G4" s="38" t="s">
        <v>285</v>
      </c>
      <c r="H4" s="38" t="s">
        <v>286</v>
      </c>
      <c r="I4" s="38" t="s">
        <v>287</v>
      </c>
      <c r="J4" s="38" t="s">
        <v>288</v>
      </c>
      <c r="K4" s="38" t="s">
        <v>289</v>
      </c>
      <c r="L4" s="38" t="s">
        <v>290</v>
      </c>
      <c r="M4" s="38" t="s">
        <v>291</v>
      </c>
      <c r="N4" s="38" t="s">
        <v>292</v>
      </c>
      <c r="O4" s="38" t="s">
        <v>293</v>
      </c>
      <c r="P4" s="38" t="s">
        <v>294</v>
      </c>
      <c r="Q4" s="38" t="s">
        <v>295</v>
      </c>
      <c r="R4" s="38" t="s">
        <v>296</v>
      </c>
      <c r="S4" s="38" t="s">
        <v>297</v>
      </c>
      <c r="T4" s="38" t="s">
        <v>298</v>
      </c>
      <c r="U4" s="38" t="s">
        <v>299</v>
      </c>
      <c r="V4" s="38" t="s">
        <v>300</v>
      </c>
      <c r="W4" s="38" t="s">
        <v>301</v>
      </c>
      <c r="X4" s="38" t="s">
        <v>302</v>
      </c>
      <c r="Y4" s="38" t="s">
        <v>303</v>
      </c>
      <c r="Z4" s="38" t="s">
        <v>304</v>
      </c>
      <c r="AA4" s="38" t="s">
        <v>305</v>
      </c>
      <c r="AB4" s="38" t="s">
        <v>306</v>
      </c>
      <c r="AC4" s="38" t="s">
        <v>307</v>
      </c>
      <c r="AD4" s="38" t="s">
        <v>308</v>
      </c>
      <c r="AE4" s="38" t="s">
        <v>309</v>
      </c>
      <c r="AF4" s="38" t="s">
        <v>310</v>
      </c>
      <c r="AG4" s="38" t="s">
        <v>311</v>
      </c>
      <c r="AH4" s="38" t="s">
        <v>312</v>
      </c>
      <c r="AI4" s="38" t="s">
        <v>313</v>
      </c>
      <c r="AJ4" s="38" t="s">
        <v>314</v>
      </c>
      <c r="AK4" s="38" t="s">
        <v>315</v>
      </c>
      <c r="AL4" s="38" t="s">
        <v>316</v>
      </c>
      <c r="AM4" s="38" t="s">
        <v>317</v>
      </c>
      <c r="AN4" s="38" t="s">
        <v>318</v>
      </c>
      <c r="AO4" s="38" t="s">
        <v>319</v>
      </c>
      <c r="AP4" s="38" t="s">
        <v>320</v>
      </c>
      <c r="AQ4" s="38" t="s">
        <v>321</v>
      </c>
      <c r="AR4" s="38" t="s">
        <v>322</v>
      </c>
      <c r="AS4" s="38" t="s">
        <v>323</v>
      </c>
      <c r="AT4" s="38" t="s">
        <v>324</v>
      </c>
      <c r="AU4" s="38" t="s">
        <v>325</v>
      </c>
      <c r="AV4" s="38" t="s">
        <v>326</v>
      </c>
      <c r="AW4" s="38" t="s">
        <v>327</v>
      </c>
      <c r="AX4" s="38" t="s">
        <v>328</v>
      </c>
      <c r="AY4" s="38" t="s">
        <v>329</v>
      </c>
      <c r="AZ4" s="38" t="s">
        <v>330</v>
      </c>
      <c r="BA4" s="38" t="s">
        <v>331</v>
      </c>
      <c r="BB4" s="38" t="s">
        <v>332</v>
      </c>
      <c r="BC4" s="38" t="s">
        <v>333</v>
      </c>
      <c r="BD4" s="38" t="s">
        <v>334</v>
      </c>
      <c r="BE4" s="38" t="s">
        <v>335</v>
      </c>
      <c r="BF4" s="38" t="s">
        <v>336</v>
      </c>
      <c r="BG4" s="38" t="s">
        <v>337</v>
      </c>
      <c r="BH4" s="38" t="s">
        <v>338</v>
      </c>
      <c r="BI4" s="38" t="s">
        <v>339</v>
      </c>
      <c r="BJ4" s="38" t="s">
        <v>340</v>
      </c>
      <c r="BK4" s="38" t="s">
        <v>341</v>
      </c>
      <c r="BL4" s="38" t="s">
        <v>342</v>
      </c>
      <c r="BM4" s="38" t="s">
        <v>343</v>
      </c>
    </row>
    <row r="5" spans="1:65">
      <c r="A5" t="s">
        <v>344</v>
      </c>
      <c r="B5" t="s">
        <v>345</v>
      </c>
      <c r="C5" t="s">
        <v>346</v>
      </c>
      <c r="D5" t="s">
        <v>347</v>
      </c>
      <c r="E5" s="38">
        <v>17.923999999999999</v>
      </c>
      <c r="F5" s="38">
        <v>18.032</v>
      </c>
      <c r="G5" s="38">
        <v>18.218</v>
      </c>
      <c r="H5" s="38">
        <v>18.405000000000001</v>
      </c>
      <c r="I5" s="38">
        <v>18.594999999999999</v>
      </c>
      <c r="J5" s="38">
        <v>18.785</v>
      </c>
      <c r="K5" s="38">
        <v>18.977</v>
      </c>
      <c r="L5" s="38">
        <v>19.170999999999999</v>
      </c>
      <c r="M5" s="38">
        <v>19.366</v>
      </c>
      <c r="N5" s="38">
        <v>19.562000000000001</v>
      </c>
      <c r="O5" s="38">
        <v>19.760000000000002</v>
      </c>
      <c r="P5" s="38">
        <v>19.991</v>
      </c>
      <c r="Q5" s="38">
        <v>20.321000000000002</v>
      </c>
      <c r="R5" s="38">
        <v>20.652999999999999</v>
      </c>
      <c r="S5" s="38">
        <v>20.991</v>
      </c>
      <c r="T5" s="38">
        <v>21.332000000000001</v>
      </c>
      <c r="U5" s="38">
        <v>21.677</v>
      </c>
      <c r="V5" s="38">
        <v>22.026</v>
      </c>
      <c r="W5" s="38">
        <v>22.379000000000001</v>
      </c>
      <c r="X5" s="38">
        <v>22.736000000000001</v>
      </c>
      <c r="Y5" s="38">
        <v>23.097999999999999</v>
      </c>
      <c r="Z5" s="38">
        <v>23.417000000000002</v>
      </c>
      <c r="AA5" s="38">
        <v>23.646999999999998</v>
      </c>
      <c r="AB5" s="38">
        <v>23.879000000000001</v>
      </c>
      <c r="AC5" s="38">
        <v>24.113</v>
      </c>
      <c r="AD5" s="38">
        <v>24.347999999999999</v>
      </c>
      <c r="AE5" s="38">
        <v>24.585000000000001</v>
      </c>
      <c r="AF5" s="38">
        <v>24.823</v>
      </c>
      <c r="AG5" s="38">
        <v>25.062999999999999</v>
      </c>
      <c r="AH5" s="38">
        <v>25.305</v>
      </c>
      <c r="AI5" s="38">
        <v>25.547000000000001</v>
      </c>
      <c r="AJ5" s="38">
        <v>25.777999999999999</v>
      </c>
      <c r="AK5" s="38">
        <v>25.984000000000002</v>
      </c>
      <c r="AL5" s="38">
        <v>26.190999999999999</v>
      </c>
      <c r="AM5" s="38">
        <v>26.399000000000001</v>
      </c>
      <c r="AN5" s="38">
        <v>26.606999999999999</v>
      </c>
      <c r="AO5" s="38">
        <v>26.817</v>
      </c>
      <c r="AP5" s="38">
        <v>27.027999999999999</v>
      </c>
      <c r="AQ5" s="38">
        <v>27.24</v>
      </c>
      <c r="AR5" s="38">
        <v>27.452999999999999</v>
      </c>
      <c r="AS5" s="38">
        <v>27.667000000000002</v>
      </c>
      <c r="AT5" s="38">
        <v>27.917999999999999</v>
      </c>
      <c r="AU5" s="38">
        <v>28.244</v>
      </c>
      <c r="AV5" s="38">
        <v>28.571999999999999</v>
      </c>
      <c r="AW5" s="38">
        <v>28.902999999999999</v>
      </c>
      <c r="AX5" s="38">
        <v>29.234999999999999</v>
      </c>
      <c r="AY5" s="38">
        <v>29.568999999999999</v>
      </c>
      <c r="AZ5" s="38">
        <v>29.905999999999999</v>
      </c>
      <c r="BA5" s="38">
        <v>30.245999999999999</v>
      </c>
      <c r="BB5" s="38">
        <v>30.587</v>
      </c>
      <c r="BC5" s="38">
        <v>30.93</v>
      </c>
      <c r="BD5" s="38">
        <v>31.276</v>
      </c>
      <c r="BE5" s="38">
        <v>31.634</v>
      </c>
      <c r="BF5" s="38">
        <v>32.003</v>
      </c>
      <c r="BG5" s="38">
        <v>32.384</v>
      </c>
      <c r="BH5" s="38">
        <v>32.777000000000001</v>
      </c>
      <c r="BI5" s="38">
        <v>33.182000000000002</v>
      </c>
      <c r="BJ5" s="38">
        <v>33.6</v>
      </c>
      <c r="BK5" s="38">
        <v>34.03</v>
      </c>
      <c r="BL5" s="38">
        <v>34.472000000000001</v>
      </c>
      <c r="BM5" s="38">
        <v>34.926000000000002</v>
      </c>
    </row>
    <row r="7" spans="1:65">
      <c r="A7" s="46" t="s">
        <v>348</v>
      </c>
      <c r="B7" s="47"/>
    </row>
    <row r="9" spans="1:65">
      <c r="A9" s="1" t="s">
        <v>349</v>
      </c>
      <c r="B9" s="26"/>
    </row>
    <row r="10" spans="1:65">
      <c r="A10" s="1">
        <v>2000</v>
      </c>
      <c r="B10" s="48">
        <v>2020</v>
      </c>
    </row>
    <row r="11" spans="1:65">
      <c r="A11" s="38">
        <f>AS5</f>
        <v>27.667000000000002</v>
      </c>
      <c r="B11" s="38">
        <f>BM5</f>
        <v>34.926000000000002</v>
      </c>
    </row>
    <row r="12" spans="1:65">
      <c r="A12" s="49" t="s">
        <v>350</v>
      </c>
      <c r="B12" s="38"/>
    </row>
    <row r="13" spans="1:65" s="1" customFormat="1">
      <c r="A13" s="48">
        <v>2021</v>
      </c>
      <c r="B13" s="48">
        <v>2022</v>
      </c>
      <c r="C13" s="48">
        <v>2023</v>
      </c>
      <c r="D13" s="48">
        <v>2024</v>
      </c>
      <c r="E13" s="48">
        <v>2025</v>
      </c>
      <c r="F13" s="48">
        <v>2026</v>
      </c>
      <c r="G13" s="48">
        <v>2027</v>
      </c>
      <c r="H13" s="48">
        <v>2028</v>
      </c>
      <c r="I13" s="48">
        <v>2029</v>
      </c>
      <c r="J13" s="48">
        <v>2030</v>
      </c>
      <c r="K13" s="48">
        <v>2031</v>
      </c>
      <c r="L13" s="48">
        <v>2032</v>
      </c>
      <c r="M13" s="48">
        <v>2033</v>
      </c>
      <c r="N13" s="48">
        <v>2034</v>
      </c>
      <c r="O13" s="48">
        <v>2035</v>
      </c>
      <c r="P13" s="48">
        <v>2036</v>
      </c>
      <c r="Q13" s="48">
        <v>2037</v>
      </c>
      <c r="R13" s="48">
        <v>2038</v>
      </c>
      <c r="S13" s="48">
        <v>2039</v>
      </c>
      <c r="T13" s="48">
        <v>2040</v>
      </c>
      <c r="U13" s="48">
        <v>2041</v>
      </c>
      <c r="V13" s="48">
        <v>2042</v>
      </c>
      <c r="W13" s="48">
        <v>2043</v>
      </c>
      <c r="X13" s="48">
        <v>2044</v>
      </c>
      <c r="Y13" s="48">
        <v>2045</v>
      </c>
      <c r="Z13" s="48">
        <v>2046</v>
      </c>
      <c r="AA13" s="48">
        <v>2047</v>
      </c>
      <c r="AB13" s="48">
        <v>2048</v>
      </c>
      <c r="AC13" s="48">
        <v>2049</v>
      </c>
      <c r="AD13" s="48">
        <v>2050</v>
      </c>
    </row>
    <row r="14" spans="1:65">
      <c r="A14" s="44">
        <f>FORECAST(A13,$A$11:$B$11,$A$10:$B$10)</f>
        <v>35.28895</v>
      </c>
      <c r="B14" s="44">
        <f t="shared" ref="B14:AD14" si="0">FORECAST(B13,$A$11:$B$11,$A$10:$B$10)</f>
        <v>35.651900000000069</v>
      </c>
      <c r="C14" s="44">
        <f t="shared" si="0"/>
        <v>36.014850000000024</v>
      </c>
      <c r="D14" s="44">
        <f t="shared" si="0"/>
        <v>36.377800000000093</v>
      </c>
      <c r="E14" s="44">
        <f t="shared" si="0"/>
        <v>36.740750000000048</v>
      </c>
      <c r="F14" s="44">
        <f t="shared" si="0"/>
        <v>37.103700000000003</v>
      </c>
      <c r="G14" s="44">
        <f>FORECAST(G13,$A$11:$B$11,$A$10:$B$10)</f>
        <v>37.466650000000072</v>
      </c>
      <c r="H14" s="44">
        <f t="shared" si="0"/>
        <v>37.829600000000028</v>
      </c>
      <c r="I14" s="44">
        <f t="shared" si="0"/>
        <v>38.192550000000097</v>
      </c>
      <c r="J14" s="44">
        <f t="shared" si="0"/>
        <v>38.555500000000052</v>
      </c>
      <c r="K14" s="44">
        <f t="shared" si="0"/>
        <v>38.918450000000007</v>
      </c>
      <c r="L14" s="44">
        <f t="shared" si="0"/>
        <v>39.281400000000076</v>
      </c>
      <c r="M14" s="44">
        <f t="shared" si="0"/>
        <v>39.644350000000031</v>
      </c>
      <c r="N14" s="44">
        <f t="shared" si="0"/>
        <v>40.007299999999987</v>
      </c>
      <c r="O14" s="44">
        <f t="shared" si="0"/>
        <v>40.370250000000055</v>
      </c>
      <c r="P14" s="44">
        <f t="shared" si="0"/>
        <v>40.733200000000011</v>
      </c>
      <c r="Q14" s="44">
        <f t="shared" si="0"/>
        <v>41.09615000000008</v>
      </c>
      <c r="R14" s="44">
        <f t="shared" si="0"/>
        <v>41.459100000000035</v>
      </c>
      <c r="S14" s="44">
        <f t="shared" si="0"/>
        <v>41.82204999999999</v>
      </c>
      <c r="T14" s="44">
        <f t="shared" si="0"/>
        <v>42.185000000000059</v>
      </c>
      <c r="U14" s="44">
        <f t="shared" si="0"/>
        <v>42.547950000000014</v>
      </c>
      <c r="V14" s="44">
        <f t="shared" si="0"/>
        <v>42.910900000000083</v>
      </c>
      <c r="W14" s="44">
        <f t="shared" si="0"/>
        <v>43.273850000000039</v>
      </c>
      <c r="X14" s="44">
        <f t="shared" si="0"/>
        <v>43.636799999999994</v>
      </c>
      <c r="Y14" s="44">
        <f t="shared" si="0"/>
        <v>43.999750000000063</v>
      </c>
      <c r="Z14" s="44">
        <f t="shared" si="0"/>
        <v>44.362700000000018</v>
      </c>
      <c r="AA14" s="44">
        <f t="shared" si="0"/>
        <v>44.725650000000087</v>
      </c>
      <c r="AB14" s="44">
        <f t="shared" si="0"/>
        <v>45.088600000000042</v>
      </c>
      <c r="AC14" s="44">
        <f t="shared" si="0"/>
        <v>45.451549999999997</v>
      </c>
      <c r="AD14" s="44">
        <f t="shared" si="0"/>
        <v>45.814500000000066</v>
      </c>
      <c r="AE14" s="44"/>
    </row>
    <row r="16" spans="1:65">
      <c r="A16" s="1" t="s">
        <v>351</v>
      </c>
    </row>
    <row r="17" spans="1:8">
      <c r="A17">
        <v>2012</v>
      </c>
      <c r="B17">
        <v>2017</v>
      </c>
      <c r="C17">
        <v>2022</v>
      </c>
      <c r="D17">
        <v>2027</v>
      </c>
      <c r="E17">
        <v>2032</v>
      </c>
      <c r="F17">
        <v>2037</v>
      </c>
      <c r="G17">
        <v>2042</v>
      </c>
      <c r="H17">
        <v>2047</v>
      </c>
    </row>
    <row r="18" spans="1:8">
      <c r="A18" s="50" t="s">
        <v>352</v>
      </c>
      <c r="B18" s="38">
        <f>AVERAGE(BF5:BJ5)</f>
        <v>32.789200000000001</v>
      </c>
      <c r="C18" s="38">
        <f>AVERAGE(BK5:BM5,A14:B14)</f>
        <v>34.873770000000015</v>
      </c>
      <c r="D18" s="44">
        <f>AVERAGE(C14:G14)</f>
        <v>36.740750000000048</v>
      </c>
      <c r="E18" s="44">
        <f>AVERAGE(H14:L14)</f>
        <v>38.555500000000052</v>
      </c>
      <c r="F18" s="44">
        <f>AVERAGE(M14:Q14)</f>
        <v>40.370250000000034</v>
      </c>
      <c r="G18" s="44">
        <f>AVERAGE(R14:V14)</f>
        <v>42.185000000000038</v>
      </c>
      <c r="H18" s="44">
        <f>AVERAGE(W14:AA14)</f>
        <v>43.999750000000041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H170"/>
  <sheetViews>
    <sheetView topLeftCell="A103" zoomScale="90" zoomScaleNormal="90" workbookViewId="0">
      <selection activeCell="F116" sqref="F116"/>
    </sheetView>
  </sheetViews>
  <sheetFormatPr defaultRowHeight="14.45"/>
  <cols>
    <col min="1" max="1" width="23" customWidth="1"/>
    <col min="2" max="2" width="21.5703125" customWidth="1"/>
    <col min="3" max="3" width="20.140625" customWidth="1"/>
    <col min="4" max="36" width="14.28515625" bestFit="1" customWidth="1"/>
  </cols>
  <sheetData>
    <row r="1" spans="1:20" ht="15">
      <c r="A1" s="2" t="s">
        <v>353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0" ht="15">
      <c r="D2" t="s">
        <v>354</v>
      </c>
      <c r="F2">
        <v>2020</v>
      </c>
      <c r="G2">
        <v>2022</v>
      </c>
      <c r="H2">
        <v>2023</v>
      </c>
      <c r="I2">
        <v>2027</v>
      </c>
      <c r="J2">
        <v>2032</v>
      </c>
      <c r="K2">
        <v>2037</v>
      </c>
      <c r="L2">
        <v>2042</v>
      </c>
      <c r="M2">
        <v>2047</v>
      </c>
      <c r="N2">
        <v>2050</v>
      </c>
      <c r="O2">
        <v>2055</v>
      </c>
      <c r="P2">
        <v>2060</v>
      </c>
      <c r="Q2">
        <v>2065</v>
      </c>
      <c r="R2">
        <v>2070</v>
      </c>
    </row>
    <row r="3" spans="1:20" ht="15">
      <c r="A3" t="s">
        <v>355</v>
      </c>
      <c r="F3" s="26">
        <v>108.37651572687142</v>
      </c>
      <c r="G3" s="26">
        <v>143.91225071022274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T3">
        <f>SUM(M5,M6,M15,M22,M28,M33,M34,-M108)</f>
        <v>947.50626475497893</v>
      </c>
    </row>
    <row r="4" spans="1:20" ht="15">
      <c r="A4" t="s">
        <v>356</v>
      </c>
      <c r="B4" t="s">
        <v>357</v>
      </c>
      <c r="F4" s="26">
        <v>199.62890721158971</v>
      </c>
      <c r="G4" s="26">
        <v>315.01871679636935</v>
      </c>
      <c r="H4" s="26">
        <v>552.83731214880027</v>
      </c>
      <c r="I4" s="26">
        <v>806.48612672757486</v>
      </c>
      <c r="J4" s="26">
        <v>1171.2404125319733</v>
      </c>
      <c r="K4" s="26">
        <v>1587.2320690272743</v>
      </c>
      <c r="L4" s="26">
        <v>2008.6953628846327</v>
      </c>
      <c r="M4" s="26">
        <v>2446.1441266648799</v>
      </c>
      <c r="N4" s="26"/>
      <c r="O4" s="26"/>
      <c r="P4" s="26"/>
      <c r="Q4" s="26"/>
      <c r="R4" s="26"/>
    </row>
    <row r="5" spans="1:20" ht="15">
      <c r="B5" t="s">
        <v>358</v>
      </c>
      <c r="D5" t="s">
        <v>359</v>
      </c>
      <c r="F5" s="26">
        <v>37.188085229535922</v>
      </c>
      <c r="G5" s="26">
        <v>40.279429905218208</v>
      </c>
      <c r="H5" s="26">
        <v>41.688002252314867</v>
      </c>
      <c r="I5" s="26">
        <v>47.58845422291806</v>
      </c>
      <c r="J5" s="26">
        <v>55.524880311316998</v>
      </c>
      <c r="K5" s="26">
        <v>63.976973850044963</v>
      </c>
      <c r="L5" s="26">
        <v>72.819445853130276</v>
      </c>
      <c r="M5" s="26">
        <v>82.01995084934147</v>
      </c>
      <c r="N5" s="26">
        <v>85.391407902305517</v>
      </c>
      <c r="O5" s="26">
        <v>90.603245675748653</v>
      </c>
      <c r="P5" s="26">
        <v>95.289762102408844</v>
      </c>
      <c r="Q5" s="26">
        <v>99.365459482797263</v>
      </c>
      <c r="R5" s="26">
        <v>102.73169389891423</v>
      </c>
    </row>
    <row r="6" spans="1:20" ht="15">
      <c r="B6" t="s">
        <v>360</v>
      </c>
      <c r="D6" t="s">
        <v>359</v>
      </c>
      <c r="F6" s="26">
        <v>11.445827794948796</v>
      </c>
      <c r="G6" s="26">
        <v>16.218950595318944</v>
      </c>
      <c r="H6" s="26">
        <v>18.822806562039663</v>
      </c>
      <c r="I6" s="26">
        <v>31.049043297854016</v>
      </c>
      <c r="J6" s="26">
        <v>50.839617624300928</v>
      </c>
      <c r="K6" s="26">
        <v>76.236633299453374</v>
      </c>
      <c r="L6" s="26">
        <v>107.77934517413192</v>
      </c>
      <c r="M6" s="26">
        <v>146.05971592618167</v>
      </c>
      <c r="N6" s="26">
        <v>165.50738252093319</v>
      </c>
      <c r="O6" s="26">
        <v>200.37935496324599</v>
      </c>
      <c r="P6" s="26">
        <v>238.13145543001642</v>
      </c>
      <c r="Q6" s="26">
        <v>278.31185534744583</v>
      </c>
      <c r="R6" s="26">
        <v>320.29639402532905</v>
      </c>
    </row>
    <row r="7" spans="1:20" ht="15">
      <c r="A7" t="s">
        <v>361</v>
      </c>
      <c r="B7" s="4" t="s">
        <v>362</v>
      </c>
      <c r="E7" t="s">
        <v>363</v>
      </c>
    </row>
    <row r="8" spans="1:20" ht="15"/>
    <row r="9" spans="1:20" ht="15"/>
    <row r="10" spans="1:20" ht="15"/>
    <row r="11" spans="1:20" ht="15">
      <c r="B11" t="s">
        <v>364</v>
      </c>
    </row>
    <row r="12" spans="1:20" ht="15">
      <c r="B12" t="s">
        <v>365</v>
      </c>
      <c r="F12" s="26">
        <v>594447455.86666656</v>
      </c>
      <c r="G12" s="26">
        <v>659397818.12287593</v>
      </c>
      <c r="H12" s="26">
        <v>693669504.95109439</v>
      </c>
      <c r="I12" s="26">
        <v>843101564.69824791</v>
      </c>
      <c r="J12" s="26">
        <v>1058794979.5828519</v>
      </c>
      <c r="K12" s="26">
        <v>1307275882.0046012</v>
      </c>
      <c r="L12" s="26">
        <v>1588674093.9257448</v>
      </c>
      <c r="M12" s="26">
        <v>1904847906.1583579</v>
      </c>
      <c r="N12" s="26">
        <v>2116793678.9051487</v>
      </c>
      <c r="O12" s="26">
        <v>2486792191.622972</v>
      </c>
      <c r="P12" s="26">
        <v>2875619289.341897</v>
      </c>
      <c r="Q12" s="26">
        <v>3278535234.2821951</v>
      </c>
      <c r="R12" s="26">
        <v>3689398233.1562319</v>
      </c>
    </row>
    <row r="13" spans="1:20" ht="15">
      <c r="A13" t="s">
        <v>366</v>
      </c>
      <c r="B13" t="s">
        <v>367</v>
      </c>
      <c r="D13" t="s">
        <v>368</v>
      </c>
      <c r="F13" s="26">
        <v>188</v>
      </c>
      <c r="G13" s="26">
        <v>187.624188</v>
      </c>
      <c r="H13" s="26">
        <v>187.436563812</v>
      </c>
      <c r="I13" s="26">
        <v>186.68794142657606</v>
      </c>
      <c r="J13" s="26">
        <v>185.75636673291129</v>
      </c>
      <c r="K13" s="26">
        <v>184.82944060627904</v>
      </c>
      <c r="L13" s="26">
        <v>183.90713985028324</v>
      </c>
      <c r="M13" s="26">
        <v>182.98944138427828</v>
      </c>
      <c r="N13" s="26">
        <v>182.44102184546017</v>
      </c>
      <c r="O13" s="26">
        <v>181.53063932295314</v>
      </c>
      <c r="P13" s="26">
        <v>180.6247996183327</v>
      </c>
      <c r="Q13" s="26">
        <v>179.72348006289212</v>
      </c>
      <c r="R13" s="26">
        <v>178.82665810104197</v>
      </c>
    </row>
    <row r="14" spans="1:20" ht="15">
      <c r="A14" t="s">
        <v>366</v>
      </c>
      <c r="B14" t="s">
        <v>369</v>
      </c>
      <c r="D14" t="s">
        <v>370</v>
      </c>
      <c r="F14" s="26">
        <v>3.9196000000000009E-8</v>
      </c>
      <c r="G14" s="26">
        <v>3.9196000000000009E-8</v>
      </c>
      <c r="H14" s="26">
        <v>3.9196000000000009E-8</v>
      </c>
      <c r="I14" s="26">
        <v>3.9196000000000009E-8</v>
      </c>
      <c r="J14" s="26">
        <v>3.9196000000000009E-8</v>
      </c>
      <c r="K14" s="26">
        <v>3.9196000000000009E-8</v>
      </c>
      <c r="L14" s="26">
        <v>3.9196000000000009E-8</v>
      </c>
      <c r="M14" s="26">
        <v>3.9196000000000009E-8</v>
      </c>
      <c r="N14" s="26">
        <v>3.9196000000000009E-8</v>
      </c>
      <c r="O14" s="26">
        <v>3.9196000000000009E-8</v>
      </c>
      <c r="P14" s="26">
        <v>3.9196000000000009E-8</v>
      </c>
      <c r="Q14" s="26">
        <v>3.9196000000000009E-8</v>
      </c>
      <c r="R14" s="26">
        <v>3.9196000000000009E-8</v>
      </c>
    </row>
    <row r="15" spans="1:20" ht="15">
      <c r="A15" t="s">
        <v>371</v>
      </c>
      <c r="B15" t="s">
        <v>372</v>
      </c>
      <c r="D15" t="s">
        <v>359</v>
      </c>
      <c r="F15" s="26">
        <v>36.935261157310848</v>
      </c>
      <c r="G15" s="26">
        <v>39.659084791767427</v>
      </c>
      <c r="H15" s="26">
        <v>41.065717769701955</v>
      </c>
      <c r="I15" s="26">
        <v>46.987261314870508</v>
      </c>
      <c r="J15" s="26">
        <v>55.046071093736629</v>
      </c>
      <c r="K15" s="26">
        <v>63.781953456959535</v>
      </c>
      <c r="L15" s="26">
        <v>73.134467743608823</v>
      </c>
      <c r="M15" s="26">
        <v>83.141732000760072</v>
      </c>
      <c r="N15" s="26">
        <v>92.586470360449198</v>
      </c>
      <c r="O15" s="26">
        <v>108.99206210693316</v>
      </c>
      <c r="P15" s="26">
        <v>126.11235591685995</v>
      </c>
      <c r="Q15" s="26">
        <v>143.7163086010691</v>
      </c>
      <c r="R15" s="26">
        <v>161.51550453401717</v>
      </c>
    </row>
    <row r="16" spans="1:20" ht="15"/>
    <row r="17" spans="1:18" ht="15"/>
    <row r="18" spans="1:18" ht="15">
      <c r="B18" t="s">
        <v>373</v>
      </c>
    </row>
    <row r="19" spans="1:18" ht="15">
      <c r="B19" t="s">
        <v>374</v>
      </c>
      <c r="F19" s="26">
        <v>68305377.475999981</v>
      </c>
      <c r="G19" s="26">
        <v>83587665.23550345</v>
      </c>
      <c r="H19" s="26">
        <v>91824500.717901111</v>
      </c>
      <c r="I19" s="26">
        <v>128952384.32059702</v>
      </c>
      <c r="J19" s="26">
        <v>171036112.08646071</v>
      </c>
      <c r="K19" s="26">
        <v>196091382.30069017</v>
      </c>
      <c r="L19" s="26">
        <v>222414373.14960429</v>
      </c>
      <c r="M19" s="26">
        <v>250011287.68328449</v>
      </c>
      <c r="N19" s="26">
        <v>262439216.31324041</v>
      </c>
      <c r="O19" s="26">
        <v>282642353.26085174</v>
      </c>
      <c r="P19" s="26">
        <v>302183721.93084341</v>
      </c>
      <c r="Q19" s="26">
        <v>320809795.3858164</v>
      </c>
      <c r="R19" s="26">
        <v>338194838.0393213</v>
      </c>
    </row>
    <row r="20" spans="1:18" ht="15">
      <c r="A20" t="s">
        <v>366</v>
      </c>
      <c r="B20" t="s">
        <v>367</v>
      </c>
      <c r="D20" t="s">
        <v>368</v>
      </c>
      <c r="F20" s="26">
        <v>2190</v>
      </c>
      <c r="G20" s="26">
        <v>2190</v>
      </c>
      <c r="H20" s="26">
        <v>2190</v>
      </c>
      <c r="I20" s="26">
        <v>2190</v>
      </c>
      <c r="J20" s="26">
        <v>2190</v>
      </c>
      <c r="K20" s="26">
        <v>2190</v>
      </c>
      <c r="L20" s="26">
        <v>2190</v>
      </c>
      <c r="M20" s="26">
        <v>2190</v>
      </c>
      <c r="N20" s="26">
        <v>2190</v>
      </c>
      <c r="O20" s="26">
        <v>2190</v>
      </c>
      <c r="P20" s="26">
        <v>2190</v>
      </c>
      <c r="Q20" s="26">
        <v>2190</v>
      </c>
      <c r="R20" s="26">
        <v>2190</v>
      </c>
    </row>
    <row r="21" spans="1:18" ht="15">
      <c r="A21" t="s">
        <v>366</v>
      </c>
      <c r="B21" t="s">
        <v>375</v>
      </c>
      <c r="D21" t="s">
        <v>370</v>
      </c>
      <c r="F21" s="26">
        <v>7.9349999999999993E-8</v>
      </c>
      <c r="G21" s="26">
        <v>7.5519231848996416E-8</v>
      </c>
      <c r="H21" s="26">
        <v>7.1827819581745846E-8</v>
      </c>
      <c r="I21" s="26">
        <v>6.8272288078318615E-8</v>
      </c>
      <c r="J21" s="26">
        <v>6.4849241489069599E-8</v>
      </c>
      <c r="K21" s="26">
        <v>6.2373314802455628E-8</v>
      </c>
      <c r="L21" s="26">
        <v>5.9996982033219327E-8</v>
      </c>
      <c r="M21" s="26">
        <v>5.7717788082957712E-8</v>
      </c>
      <c r="N21" s="26">
        <v>5.7717788082957712E-8</v>
      </c>
      <c r="O21" s="26">
        <v>5.7717788082957712E-8</v>
      </c>
      <c r="P21" s="26">
        <v>5.7717788082957712E-8</v>
      </c>
      <c r="Q21" s="26">
        <v>5.7717788082957712E-8</v>
      </c>
      <c r="R21" s="26">
        <v>5.7717788082957712E-8</v>
      </c>
    </row>
    <row r="22" spans="1:18" ht="15">
      <c r="A22" t="s">
        <v>371</v>
      </c>
      <c r="B22" t="s">
        <v>376</v>
      </c>
      <c r="D22" t="s">
        <v>359</v>
      </c>
      <c r="F22" s="26">
        <v>12.030494907767999</v>
      </c>
      <c r="G22" s="26">
        <v>15.732004128486519</v>
      </c>
      <c r="H22" s="26">
        <v>17.683579969520565</v>
      </c>
      <c r="I22" s="26">
        <v>26.453955045142589</v>
      </c>
      <c r="J22" s="26">
        <v>39.687989781832734</v>
      </c>
      <c r="K22" s="26">
        <v>55.532037663211462</v>
      </c>
      <c r="L22" s="26">
        <v>74.003608705026622</v>
      </c>
      <c r="M22" s="26">
        <v>95.161239295790537</v>
      </c>
      <c r="N22" s="26">
        <v>98.560828160899547</v>
      </c>
      <c r="O22" s="26">
        <v>103.77638805799269</v>
      </c>
      <c r="P22" s="26">
        <v>108.43792564786003</v>
      </c>
      <c r="Q22" s="26">
        <v>112.47725605446783</v>
      </c>
      <c r="R22" s="26">
        <v>115.80942001326696</v>
      </c>
    </row>
    <row r="23" spans="1:18" ht="15"/>
    <row r="24" spans="1:18" ht="15">
      <c r="B24" t="s">
        <v>377</v>
      </c>
    </row>
    <row r="25" spans="1:18" ht="15">
      <c r="B25" t="s">
        <v>374</v>
      </c>
      <c r="F25" s="26">
        <v>51871541.640845083</v>
      </c>
      <c r="G25" s="26">
        <v>75905251.594632313</v>
      </c>
      <c r="H25" s="26">
        <v>105163258.53061932</v>
      </c>
      <c r="I25" s="26">
        <v>139263840.31341004</v>
      </c>
      <c r="J25" s="26">
        <v>179032049.24210218</v>
      </c>
      <c r="K25" s="26">
        <v>214101267.54324248</v>
      </c>
      <c r="L25" s="26">
        <v>251765710.41400805</v>
      </c>
      <c r="M25" s="26">
        <v>289910089.69299376</v>
      </c>
      <c r="N25" s="26"/>
      <c r="O25" s="26"/>
      <c r="P25" s="26"/>
      <c r="Q25" s="26"/>
      <c r="R25" s="26"/>
    </row>
    <row r="26" spans="1:18" ht="15">
      <c r="A26" t="s">
        <v>366</v>
      </c>
      <c r="B26" t="s">
        <v>367</v>
      </c>
      <c r="D26" t="s">
        <v>368</v>
      </c>
      <c r="F26" s="26">
        <v>1</v>
      </c>
      <c r="G26" s="26">
        <v>1</v>
      </c>
      <c r="H26" s="26">
        <v>1</v>
      </c>
      <c r="I26" s="26">
        <v>1</v>
      </c>
      <c r="J26" s="26">
        <v>1</v>
      </c>
      <c r="K26" s="26">
        <v>1</v>
      </c>
      <c r="L26" s="26">
        <v>1</v>
      </c>
      <c r="M26" s="26">
        <v>1</v>
      </c>
      <c r="N26" s="26"/>
      <c r="O26" s="26"/>
      <c r="P26" s="26"/>
      <c r="Q26" s="26"/>
      <c r="R26" s="26"/>
    </row>
    <row r="27" spans="1:18" ht="15">
      <c r="A27" t="s">
        <v>366</v>
      </c>
      <c r="B27" t="s">
        <v>375</v>
      </c>
      <c r="D27" t="s">
        <v>370</v>
      </c>
      <c r="F27" s="26">
        <v>4.09492E-7</v>
      </c>
      <c r="G27" s="26">
        <v>3.7517454621541045E-7</v>
      </c>
      <c r="H27" s="26">
        <v>3.4347502258279938E-7</v>
      </c>
      <c r="I27" s="26">
        <v>3.1425184592350734E-7</v>
      </c>
      <c r="J27" s="26">
        <v>2.8737011293478931E-7</v>
      </c>
      <c r="K27" s="26">
        <v>2.6950188924089129E-7</v>
      </c>
      <c r="L27" s="26">
        <v>2.5295342578738561E-7</v>
      </c>
      <c r="M27" s="26">
        <v>2.3765665864550568E-7</v>
      </c>
      <c r="N27" s="26"/>
      <c r="O27" s="26"/>
      <c r="P27" s="26"/>
      <c r="Q27" s="26"/>
      <c r="R27" s="26"/>
    </row>
    <row r="28" spans="1:18" ht="15">
      <c r="A28" t="s">
        <v>371</v>
      </c>
      <c r="B28" t="s">
        <v>378</v>
      </c>
      <c r="D28" t="s">
        <v>359</v>
      </c>
      <c r="F28" s="26">
        <v>21.240981329592934</v>
      </c>
      <c r="G28" s="26">
        <v>28.477718322382739</v>
      </c>
      <c r="H28" s="26">
        <v>36.120952598685243</v>
      </c>
      <c r="I28" s="26">
        <v>43.763918888885662</v>
      </c>
      <c r="J28" s="26">
        <v>51.448460209649667</v>
      </c>
      <c r="K28" s="26">
        <v>57.700696091773374</v>
      </c>
      <c r="L28" s="26">
        <v>63.684998945018201</v>
      </c>
      <c r="M28" s="26">
        <v>68.899063224055752</v>
      </c>
      <c r="N28" s="26"/>
      <c r="O28" s="26"/>
      <c r="P28" s="26"/>
      <c r="Q28" s="26"/>
      <c r="R28" s="26"/>
    </row>
    <row r="29" spans="1:18" ht="15"/>
    <row r="30" spans="1:18" ht="15"/>
    <row r="31" spans="1:18" ht="15">
      <c r="B31" t="s">
        <v>379</v>
      </c>
      <c r="D31" t="s">
        <v>359</v>
      </c>
      <c r="F31" s="26">
        <v>151.51126950531378</v>
      </c>
      <c r="G31" s="26">
        <v>218.01251606006102</v>
      </c>
      <c r="H31" s="26">
        <v>325.61056880940663</v>
      </c>
      <c r="I31" s="26">
        <v>425.95689367096861</v>
      </c>
      <c r="J31" s="26">
        <v>558.44220734734836</v>
      </c>
      <c r="K31" s="26">
        <v>694.91016058251682</v>
      </c>
      <c r="L31" s="26">
        <v>822.01948445447931</v>
      </c>
      <c r="M31" s="26">
        <v>941.49319710660404</v>
      </c>
      <c r="N31" s="26"/>
      <c r="O31" s="26"/>
      <c r="P31" s="26"/>
      <c r="Q31" s="26"/>
      <c r="R31" s="26"/>
    </row>
    <row r="32" spans="1:18" ht="15">
      <c r="B32" t="s">
        <v>380</v>
      </c>
      <c r="D32" t="s">
        <v>359</v>
      </c>
      <c r="F32" s="26">
        <v>39.068943708917395</v>
      </c>
      <c r="G32" s="26">
        <v>60.153373649745703</v>
      </c>
      <c r="H32" s="26">
        <v>95.891785636427201</v>
      </c>
      <c r="I32" s="26">
        <v>133.59239193949918</v>
      </c>
      <c r="J32" s="26">
        <v>186.14740244911607</v>
      </c>
      <c r="K32" s="26">
        <v>247.34090461411611</v>
      </c>
      <c r="L32" s="26">
        <v>311.80049410342309</v>
      </c>
      <c r="M32" s="26">
        <v>379.90076374477002</v>
      </c>
      <c r="N32" s="26"/>
      <c r="O32" s="26"/>
      <c r="P32" s="26"/>
      <c r="Q32" s="26"/>
      <c r="R32" s="26"/>
    </row>
    <row r="33" spans="2:18" ht="15">
      <c r="B33" t="s">
        <v>381</v>
      </c>
      <c r="D33" t="s">
        <v>359</v>
      </c>
      <c r="F33" s="26">
        <v>22.853156125176621</v>
      </c>
      <c r="G33" s="26">
        <v>34.342823694380272</v>
      </c>
      <c r="H33" s="26">
        <v>52.959965326379645</v>
      </c>
      <c r="I33" s="26">
        <v>64.089970365857951</v>
      </c>
      <c r="J33" s="26">
        <v>75.684541326294848</v>
      </c>
      <c r="K33" s="26">
        <v>75.023777562614612</v>
      </c>
      <c r="L33" s="26">
        <v>72.789199515447962</v>
      </c>
      <c r="M33" s="26">
        <v>68.61931410190131</v>
      </c>
      <c r="N33" s="26"/>
      <c r="O33" s="26"/>
      <c r="P33" s="26"/>
      <c r="Q33" s="26"/>
      <c r="R33" s="26"/>
    </row>
    <row r="34" spans="2:18" ht="15">
      <c r="B34" t="s">
        <v>382</v>
      </c>
      <c r="D34" t="s">
        <v>359</v>
      </c>
      <c r="F34" s="26">
        <v>16.215787583740774</v>
      </c>
      <c r="G34" s="26">
        <v>25.810549955365431</v>
      </c>
      <c r="H34" s="26">
        <v>42.931820310047556</v>
      </c>
      <c r="I34" s="26">
        <v>69.502421573641229</v>
      </c>
      <c r="J34" s="26">
        <v>110.46286112282122</v>
      </c>
      <c r="K34" s="26">
        <v>172.3171270515015</v>
      </c>
      <c r="L34" s="26">
        <v>239.01129458797513</v>
      </c>
      <c r="M34" s="26">
        <v>311.28144964286872</v>
      </c>
      <c r="N34" s="26"/>
      <c r="O34" s="26"/>
      <c r="P34" s="26"/>
      <c r="Q34" s="26"/>
      <c r="R34" s="26"/>
    </row>
    <row r="35" spans="2:18" ht="15">
      <c r="B35" t="s">
        <v>383</v>
      </c>
      <c r="D35" t="s">
        <v>359</v>
      </c>
      <c r="F35" s="26">
        <v>190.58021321423118</v>
      </c>
      <c r="G35" s="26">
        <v>278.16588970980672</v>
      </c>
      <c r="H35" s="26">
        <v>421.50235444583382</v>
      </c>
      <c r="I35" s="26">
        <v>559.54928561046779</v>
      </c>
      <c r="J35" s="26">
        <v>744.5896097964644</v>
      </c>
      <c r="K35" s="26">
        <v>942.25106519663291</v>
      </c>
      <c r="L35" s="26">
        <v>1133.8199785579025</v>
      </c>
      <c r="M35" s="26">
        <v>1321.393960851374</v>
      </c>
      <c r="N35" s="26"/>
      <c r="O35" s="26"/>
      <c r="P35" s="26"/>
      <c r="Q35" s="26"/>
      <c r="R35" s="26"/>
    </row>
    <row r="36" spans="2:18" ht="15"/>
    <row r="37" spans="2:18" ht="15"/>
    <row r="38" spans="2:18" ht="15">
      <c r="B38" t="s">
        <v>372</v>
      </c>
      <c r="D38" t="s">
        <v>359</v>
      </c>
      <c r="F38" s="26">
        <v>38.745577712181984</v>
      </c>
      <c r="G38" s="26">
        <v>52.782884632165619</v>
      </c>
      <c r="H38" s="26">
        <v>65.355083273120798</v>
      </c>
      <c r="I38" s="26">
        <v>67.053932671631827</v>
      </c>
      <c r="J38" s="26">
        <v>67.048731310061143</v>
      </c>
      <c r="K38" s="26">
        <v>70.632059540461654</v>
      </c>
      <c r="L38" s="26">
        <v>73.556045466365035</v>
      </c>
      <c r="M38" s="26">
        <v>75.142024909476433</v>
      </c>
      <c r="N38" s="26"/>
      <c r="O38" s="26"/>
      <c r="P38" s="26"/>
      <c r="Q38" s="26"/>
      <c r="R38" s="26"/>
    </row>
    <row r="39" spans="2:18" ht="15">
      <c r="B39" t="s">
        <v>384</v>
      </c>
      <c r="D39" t="s">
        <v>359</v>
      </c>
      <c r="F39" s="26">
        <v>39.349552081401946</v>
      </c>
      <c r="G39" s="26">
        <v>71.003452699632106</v>
      </c>
      <c r="H39" s="26">
        <v>138.6719018737964</v>
      </c>
      <c r="I39" s="26">
        <v>219.15320900521573</v>
      </c>
      <c r="J39" s="26">
        <v>334.98249656180673</v>
      </c>
      <c r="K39" s="26">
        <v>446.03268801880142</v>
      </c>
      <c r="L39" s="26">
        <v>549.85993112875235</v>
      </c>
      <c r="M39" s="26">
        <v>649.5441403944435</v>
      </c>
      <c r="N39" s="26"/>
      <c r="O39" s="26"/>
      <c r="P39" s="26"/>
      <c r="Q39" s="26"/>
      <c r="R39" s="26"/>
    </row>
    <row r="40" spans="2:18" ht="15">
      <c r="B40" t="s">
        <v>385</v>
      </c>
      <c r="D40" t="s">
        <v>359</v>
      </c>
      <c r="F40" s="26">
        <v>31</v>
      </c>
      <c r="G40" s="26">
        <v>38.729589717721645</v>
      </c>
      <c r="H40" s="26">
        <v>51.808402090043565</v>
      </c>
      <c r="I40" s="26">
        <v>55.218390306504567</v>
      </c>
      <c r="J40" s="26">
        <v>56.49914053606755</v>
      </c>
      <c r="K40" s="26">
        <v>67.847157406657658</v>
      </c>
      <c r="L40" s="26">
        <v>78.078239745352832</v>
      </c>
      <c r="M40" s="26">
        <v>87.475752288904815</v>
      </c>
      <c r="N40" s="26"/>
      <c r="O40" s="26"/>
      <c r="P40" s="26"/>
      <c r="Q40" s="26"/>
      <c r="R40" s="26"/>
    </row>
    <row r="41" spans="2:18" ht="15"/>
    <row r="42" spans="2:18" ht="15"/>
    <row r="43" spans="2:18" ht="15"/>
    <row r="44" spans="2:18" ht="15">
      <c r="B44" t="s">
        <v>386</v>
      </c>
      <c r="F44" s="26">
        <v>190.58021321423118</v>
      </c>
      <c r="G44" s="26">
        <v>278.16588970980672</v>
      </c>
      <c r="H44" s="26">
        <v>421.50235444583382</v>
      </c>
      <c r="I44" s="26">
        <v>559.54928561046779</v>
      </c>
      <c r="J44" s="26">
        <v>744.5896097964644</v>
      </c>
      <c r="K44" s="26">
        <v>942.25106519663291</v>
      </c>
      <c r="L44" s="26">
        <v>1133.8199785579025</v>
      </c>
      <c r="M44" s="26">
        <v>1321.393960851374</v>
      </c>
      <c r="N44" s="26"/>
      <c r="O44" s="26"/>
      <c r="P44" s="26"/>
      <c r="Q44" s="26"/>
      <c r="R44" s="26"/>
    </row>
    <row r="45" spans="2:18" ht="15"/>
    <row r="46" spans="2:18" ht="15">
      <c r="B46" t="s">
        <v>387</v>
      </c>
    </row>
    <row r="47" spans="2:18" ht="15">
      <c r="B47" t="s">
        <v>388</v>
      </c>
      <c r="D47" t="s">
        <v>389</v>
      </c>
      <c r="F47" s="44">
        <v>0.59884185831638381</v>
      </c>
      <c r="G47" s="44">
        <v>0</v>
      </c>
      <c r="H47" s="44">
        <v>0</v>
      </c>
      <c r="I47" s="44">
        <v>0</v>
      </c>
      <c r="J47" s="44">
        <v>0</v>
      </c>
      <c r="K47" s="44">
        <v>0</v>
      </c>
      <c r="L47" s="44">
        <v>0</v>
      </c>
      <c r="M47" s="44">
        <v>0</v>
      </c>
      <c r="N47" s="44"/>
      <c r="O47" s="44"/>
      <c r="P47" s="44"/>
      <c r="Q47" s="44"/>
      <c r="R47" s="44"/>
    </row>
    <row r="48" spans="2:18" ht="15">
      <c r="B48" t="s">
        <v>390</v>
      </c>
      <c r="D48" t="s">
        <v>389</v>
      </c>
      <c r="F48" s="44">
        <v>8.5560555921094359</v>
      </c>
      <c r="G48" s="44">
        <v>4.5141701444273172</v>
      </c>
      <c r="H48" s="44">
        <v>0</v>
      </c>
      <c r="I48" s="44">
        <v>0</v>
      </c>
      <c r="J48" s="44">
        <v>0</v>
      </c>
      <c r="K48" s="44">
        <v>0</v>
      </c>
      <c r="L48" s="44">
        <v>0</v>
      </c>
      <c r="M48" s="44">
        <v>0</v>
      </c>
      <c r="N48" s="44"/>
      <c r="O48" s="44"/>
      <c r="P48" s="44"/>
      <c r="Q48" s="44"/>
      <c r="R48" s="44"/>
    </row>
    <row r="49" spans="1:18" ht="15">
      <c r="B49" t="s">
        <v>56</v>
      </c>
      <c r="D49" t="s">
        <v>389</v>
      </c>
      <c r="F49" s="44">
        <v>9.1548974504258194</v>
      </c>
      <c r="G49" s="44">
        <v>4.5141701444273172</v>
      </c>
      <c r="H49" s="44">
        <v>0</v>
      </c>
      <c r="I49" s="44">
        <v>0</v>
      </c>
      <c r="J49" s="44">
        <v>0</v>
      </c>
      <c r="K49" s="44">
        <v>0</v>
      </c>
      <c r="L49" s="44">
        <v>0</v>
      </c>
      <c r="M49" s="44">
        <v>0</v>
      </c>
      <c r="N49" s="44"/>
      <c r="O49" s="44"/>
      <c r="P49" s="44"/>
      <c r="Q49" s="44"/>
      <c r="R49" s="44"/>
    </row>
    <row r="52" spans="1:18">
      <c r="B52" t="s">
        <v>391</v>
      </c>
    </row>
    <row r="53" spans="1:18">
      <c r="B53" t="s">
        <v>364</v>
      </c>
      <c r="D53" t="s">
        <v>392</v>
      </c>
      <c r="F53" s="44">
        <v>2.0529397580032714E-2</v>
      </c>
      <c r="G53" s="44">
        <v>4.0539493177796704E-2</v>
      </c>
      <c r="H53" s="44">
        <v>6.5762468830575765E-2</v>
      </c>
      <c r="I53" s="44">
        <v>8.3443552628593043E-2</v>
      </c>
      <c r="J53" s="44">
        <v>9.9407485770459728E-2</v>
      </c>
      <c r="K53" s="44">
        <v>0.11615852663584848</v>
      </c>
      <c r="L53" s="44">
        <v>0.13287905247497306</v>
      </c>
      <c r="M53" s="44">
        <v>0.1479128243294954</v>
      </c>
      <c r="N53">
        <v>0</v>
      </c>
    </row>
    <row r="54" spans="1:18">
      <c r="B54" t="s">
        <v>393</v>
      </c>
      <c r="D54" t="s">
        <v>392</v>
      </c>
      <c r="F54" s="44">
        <v>2.7608043384666967E-2</v>
      </c>
      <c r="G54" s="44">
        <v>4.005281004524721E-2</v>
      </c>
      <c r="H54" s="44">
        <v>6.1017303558625995E-2</v>
      </c>
      <c r="I54" s="44">
        <v>7.2961868152760762E-2</v>
      </c>
      <c r="J54" s="44">
        <v>8.2766513820442006E-2</v>
      </c>
      <c r="K54" s="44">
        <v>0.10695547526078301</v>
      </c>
      <c r="L54" s="44">
        <v>0.13178978503080799</v>
      </c>
      <c r="M54" s="44">
        <v>0.15740571568030756</v>
      </c>
      <c r="N54">
        <v>0</v>
      </c>
    </row>
    <row r="55" spans="1:18">
      <c r="B55" t="s">
        <v>373</v>
      </c>
      <c r="D55" t="s">
        <v>392</v>
      </c>
      <c r="F55" s="44">
        <v>0.12478785514406097</v>
      </c>
      <c r="G55" s="44">
        <v>0.1766088643376568</v>
      </c>
      <c r="H55" s="44">
        <v>0.24163319747577344</v>
      </c>
      <c r="I55" s="44">
        <v>0.31893397005475355</v>
      </c>
      <c r="J55" s="44">
        <v>0.41032137000385605</v>
      </c>
      <c r="K55" s="44">
        <v>0.4711056619902968</v>
      </c>
      <c r="L55" s="44">
        <v>0.53503593829595364</v>
      </c>
      <c r="M55" s="44">
        <v>0.59744173218309948</v>
      </c>
      <c r="N55">
        <v>0</v>
      </c>
    </row>
    <row r="56" spans="1:18">
      <c r="B56" t="s">
        <v>394</v>
      </c>
      <c r="D56" t="s">
        <v>392</v>
      </c>
      <c r="F56" s="44">
        <v>9.1400120352845421E-2</v>
      </c>
      <c r="G56" s="44">
        <v>0.14311874546610123</v>
      </c>
      <c r="H56" s="44">
        <v>0.20763300957879216</v>
      </c>
      <c r="I56" s="44">
        <v>0.28319201736768163</v>
      </c>
      <c r="J56" s="44">
        <v>0.37009618698109475</v>
      </c>
      <c r="K56" s="44">
        <v>0.44402198707848534</v>
      </c>
      <c r="L56" s="44">
        <v>0.52202540359492278</v>
      </c>
      <c r="M56" s="44">
        <v>0.59933373107363663</v>
      </c>
      <c r="N56">
        <v>0</v>
      </c>
    </row>
    <row r="57" spans="1:18">
      <c r="B57" t="s">
        <v>395</v>
      </c>
      <c r="D57" t="s">
        <v>392</v>
      </c>
      <c r="F57" s="44">
        <v>6.9946198056674319E-2</v>
      </c>
      <c r="G57" s="44">
        <v>0.13684113057401839</v>
      </c>
      <c r="H57" s="44">
        <v>0.28801212191294956</v>
      </c>
      <c r="I57" s="44">
        <v>0.48797048397937631</v>
      </c>
      <c r="J57" s="44">
        <v>0.79602023132923239</v>
      </c>
      <c r="K57" s="44">
        <v>1.1146810023453244</v>
      </c>
      <c r="L57" s="44">
        <v>1.4416773336865463</v>
      </c>
      <c r="M57" s="44">
        <v>1.7828017740182229</v>
      </c>
      <c r="N57">
        <v>0</v>
      </c>
    </row>
    <row r="61" spans="1:18">
      <c r="A61" t="s">
        <v>396</v>
      </c>
      <c r="B61" t="s">
        <v>397</v>
      </c>
      <c r="D61" t="s">
        <v>389</v>
      </c>
      <c r="F61" s="44">
        <v>190.58021321423115</v>
      </c>
      <c r="G61" s="44">
        <v>278.16588970980672</v>
      </c>
      <c r="H61" s="44">
        <v>421.50235444583376</v>
      </c>
      <c r="I61" s="44">
        <v>559.54928561046779</v>
      </c>
      <c r="J61" s="44">
        <v>744.5896097964644</v>
      </c>
      <c r="K61" s="44">
        <v>942.25106519663291</v>
      </c>
      <c r="L61" s="44">
        <v>1133.8199785579025</v>
      </c>
      <c r="M61" s="44">
        <v>1321.393960851374</v>
      </c>
    </row>
    <row r="62" spans="1:18">
      <c r="A62" t="s">
        <v>398</v>
      </c>
      <c r="B62" t="s">
        <v>399</v>
      </c>
      <c r="D62" t="s">
        <v>389</v>
      </c>
      <c r="F62" s="44">
        <v>9.1548974504258194</v>
      </c>
      <c r="G62" s="44">
        <v>4.5141701444273172</v>
      </c>
      <c r="H62" s="44">
        <v>0</v>
      </c>
      <c r="I62" s="44">
        <v>0</v>
      </c>
      <c r="J62" s="44">
        <v>0</v>
      </c>
      <c r="K62" s="44">
        <v>0</v>
      </c>
      <c r="L62" s="44">
        <v>0</v>
      </c>
      <c r="M62" s="44">
        <v>0</v>
      </c>
    </row>
    <row r="63" spans="1:18">
      <c r="B63" s="40" t="s">
        <v>400</v>
      </c>
    </row>
    <row r="65" spans="1:60">
      <c r="A65" s="2" t="s">
        <v>401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60">
      <c r="A66" s="11" t="s">
        <v>402</v>
      </c>
      <c r="B66" s="12"/>
      <c r="C66" s="12"/>
      <c r="D66" s="13"/>
      <c r="E66" s="12"/>
      <c r="F66" s="12"/>
      <c r="G66" s="12"/>
      <c r="H66" s="12"/>
      <c r="I66" s="12"/>
      <c r="J66" s="12"/>
      <c r="K66" s="12"/>
      <c r="L66" s="12"/>
      <c r="M66" s="12"/>
    </row>
    <row r="67" spans="1:60">
      <c r="A67" s="11"/>
      <c r="B67" s="12"/>
      <c r="C67" s="12"/>
      <c r="D67" s="13"/>
      <c r="E67" s="12"/>
      <c r="F67" s="12"/>
      <c r="G67" s="12"/>
      <c r="H67" s="12"/>
      <c r="I67" s="12"/>
      <c r="J67" s="12"/>
      <c r="K67" s="12"/>
      <c r="L67" s="12"/>
      <c r="M67" s="8" t="s">
        <v>403</v>
      </c>
    </row>
    <row r="68" spans="1:60" ht="15">
      <c r="A68" s="14"/>
      <c r="B68" s="14" t="s">
        <v>404</v>
      </c>
      <c r="C68" s="14" t="s">
        <v>405</v>
      </c>
      <c r="D68" s="15">
        <v>2007</v>
      </c>
      <c r="E68" s="16">
        <v>2020</v>
      </c>
      <c r="F68" s="16">
        <v>2022</v>
      </c>
      <c r="G68" s="16">
        <v>2023</v>
      </c>
      <c r="H68" s="16">
        <v>2027</v>
      </c>
      <c r="I68" s="16">
        <v>2032</v>
      </c>
      <c r="J68" s="16">
        <v>2037</v>
      </c>
      <c r="K68" s="16">
        <v>2042</v>
      </c>
      <c r="L68" s="16">
        <v>2047</v>
      </c>
      <c r="M68" s="16">
        <v>2050</v>
      </c>
      <c r="N68" s="16">
        <v>2055</v>
      </c>
      <c r="O68" s="16">
        <v>2060</v>
      </c>
      <c r="P68" s="16">
        <v>2065</v>
      </c>
      <c r="Q68" s="16">
        <v>2065</v>
      </c>
    </row>
    <row r="69" spans="1:60" ht="15">
      <c r="A69" s="17"/>
      <c r="B69" s="18" t="s">
        <v>388</v>
      </c>
      <c r="C69" s="17"/>
      <c r="D69" s="19"/>
      <c r="E69" s="20">
        <v>112.15989733333332</v>
      </c>
      <c r="F69" s="20">
        <v>119.89051238597743</v>
      </c>
      <c r="G69" s="20">
        <v>123.86955445555256</v>
      </c>
      <c r="H69" s="20">
        <v>140.51692744970799</v>
      </c>
      <c r="I69" s="20">
        <v>162.89153532043878</v>
      </c>
      <c r="J69" s="20">
        <v>186.75369742922874</v>
      </c>
      <c r="K69" s="20">
        <v>211.82321252343263</v>
      </c>
      <c r="L69" s="20">
        <v>238.10598826979472</v>
      </c>
      <c r="M69" s="20">
        <v>248.39925823886949</v>
      </c>
      <c r="N69" s="20">
        <v>264.79731670059425</v>
      </c>
      <c r="O69" s="20">
        <v>280.25103243586284</v>
      </c>
      <c r="P69" s="20">
        <v>294.55589995504101</v>
      </c>
      <c r="Q69" s="20">
        <v>307.44985276301935</v>
      </c>
    </row>
    <row r="70" spans="1:60" ht="15">
      <c r="A70" s="21"/>
      <c r="B70" s="21" t="s">
        <v>390</v>
      </c>
      <c r="C70" s="22"/>
      <c r="D70" s="23"/>
      <c r="E70" s="24">
        <v>195.00987359999999</v>
      </c>
      <c r="F70" s="24">
        <v>197.37819601232101</v>
      </c>
      <c r="G70" s="24">
        <v>198.48987163024364</v>
      </c>
      <c r="H70" s="24">
        <v>202.38494931001969</v>
      </c>
      <c r="I70" s="24">
        <v>205.85713345257022</v>
      </c>
      <c r="J70" s="24">
        <v>207.47254138653551</v>
      </c>
      <c r="K70" s="24">
        <v>207.04441434819415</v>
      </c>
      <c r="L70" s="24">
        <v>204.75080839895011</v>
      </c>
      <c r="M70" s="24">
        <v>198.85635977819433</v>
      </c>
      <c r="N70" s="24">
        <v>188.02225380880682</v>
      </c>
      <c r="O70" s="24">
        <v>176.20505484514612</v>
      </c>
      <c r="P70" s="24">
        <v>163.55569918533783</v>
      </c>
      <c r="Q70" s="24">
        <v>150.20290863538057</v>
      </c>
    </row>
    <row r="72" spans="1:60">
      <c r="A72" s="1" t="s">
        <v>406</v>
      </c>
    </row>
    <row r="73" spans="1:60">
      <c r="B73">
        <v>2012</v>
      </c>
      <c r="C73">
        <v>2013</v>
      </c>
      <c r="D73">
        <v>2014</v>
      </c>
      <c r="E73">
        <v>2015</v>
      </c>
      <c r="F73">
        <v>2016</v>
      </c>
      <c r="G73">
        <v>2017</v>
      </c>
      <c r="H73">
        <v>2018</v>
      </c>
      <c r="I73">
        <v>2019</v>
      </c>
      <c r="J73">
        <v>2020</v>
      </c>
      <c r="K73">
        <v>2021</v>
      </c>
      <c r="L73">
        <v>2022</v>
      </c>
      <c r="M73">
        <v>2023</v>
      </c>
      <c r="N73">
        <v>2024</v>
      </c>
      <c r="O73">
        <v>2025</v>
      </c>
      <c r="P73">
        <v>2026</v>
      </c>
      <c r="Q73">
        <v>2027</v>
      </c>
      <c r="R73">
        <v>2028</v>
      </c>
      <c r="S73">
        <v>2029</v>
      </c>
      <c r="T73">
        <v>2030</v>
      </c>
      <c r="U73">
        <v>2031</v>
      </c>
      <c r="V73">
        <v>2032</v>
      </c>
      <c r="W73">
        <v>2033</v>
      </c>
      <c r="X73">
        <v>2034</v>
      </c>
      <c r="Y73">
        <v>2035</v>
      </c>
      <c r="Z73">
        <v>2036</v>
      </c>
      <c r="AA73">
        <v>2037</v>
      </c>
      <c r="AB73">
        <v>2038</v>
      </c>
      <c r="AC73">
        <v>2039</v>
      </c>
      <c r="AD73">
        <v>2040</v>
      </c>
      <c r="AE73">
        <v>2041</v>
      </c>
      <c r="AF73">
        <v>2042</v>
      </c>
      <c r="AG73">
        <v>2043</v>
      </c>
      <c r="AH73">
        <v>2044</v>
      </c>
      <c r="AI73">
        <v>2045</v>
      </c>
      <c r="AJ73">
        <v>2046</v>
      </c>
      <c r="AK73">
        <v>2047</v>
      </c>
      <c r="AL73">
        <v>2048</v>
      </c>
      <c r="AM73">
        <v>2049</v>
      </c>
      <c r="AN73">
        <v>2050</v>
      </c>
      <c r="AO73">
        <v>2051</v>
      </c>
      <c r="AP73">
        <v>2052</v>
      </c>
      <c r="AQ73">
        <v>2053</v>
      </c>
      <c r="AR73">
        <v>2054</v>
      </c>
      <c r="AS73">
        <v>2055</v>
      </c>
      <c r="AT73">
        <v>2056</v>
      </c>
      <c r="AU73">
        <v>2057</v>
      </c>
      <c r="AV73">
        <v>2058</v>
      </c>
      <c r="AW73">
        <v>2059</v>
      </c>
      <c r="AX73">
        <v>2060</v>
      </c>
      <c r="AY73">
        <v>2061</v>
      </c>
      <c r="AZ73">
        <v>2062</v>
      </c>
      <c r="BA73">
        <v>2063</v>
      </c>
      <c r="BB73">
        <v>2064</v>
      </c>
      <c r="BC73">
        <v>2065</v>
      </c>
      <c r="BD73">
        <v>2066</v>
      </c>
      <c r="BE73">
        <v>2067</v>
      </c>
      <c r="BF73">
        <v>2068</v>
      </c>
      <c r="BG73">
        <v>2069</v>
      </c>
      <c r="BH73">
        <v>2070</v>
      </c>
    </row>
    <row r="74" spans="1:60">
      <c r="A74" t="s">
        <v>388</v>
      </c>
      <c r="B74" s="26">
        <f t="shared" ref="B74:G75" si="0">TREND($E69:$F69,$E$68:$F$68,B$73)</f>
        <v>81.237437122757001</v>
      </c>
      <c r="C74" s="26">
        <f t="shared" si="0"/>
        <v>85.102744649078886</v>
      </c>
      <c r="D74" s="26">
        <f t="shared" si="0"/>
        <v>88.968052175401681</v>
      </c>
      <c r="E74" s="26">
        <f t="shared" si="0"/>
        <v>92.833359701723566</v>
      </c>
      <c r="F74" s="26">
        <f t="shared" si="0"/>
        <v>96.698667228045451</v>
      </c>
      <c r="G74" s="26">
        <f t="shared" si="0"/>
        <v>100.56397475436734</v>
      </c>
      <c r="H74" s="26">
        <f t="shared" ref="H74:L75" si="1">TREND($F69:$G69,$F$68:$G$68,H$73)</f>
        <v>103.9743441076771</v>
      </c>
      <c r="I74" s="26">
        <f t="shared" si="1"/>
        <v>107.95338617725247</v>
      </c>
      <c r="J74" s="26">
        <f t="shared" si="1"/>
        <v>111.93242824682693</v>
      </c>
      <c r="K74" s="26">
        <f t="shared" si="1"/>
        <v>115.9114703164023</v>
      </c>
      <c r="L74" s="26">
        <f t="shared" si="1"/>
        <v>119.89051238597767</v>
      </c>
      <c r="M74" s="26">
        <f t="shared" ref="M74:Q75" si="2">TREND($G69:$H69,$G$68:$H$68,M$73)</f>
        <v>123.86955445555213</v>
      </c>
      <c r="N74" s="26">
        <f t="shared" si="2"/>
        <v>128.03139770409143</v>
      </c>
      <c r="O74" s="26">
        <f t="shared" si="2"/>
        <v>132.19324095263073</v>
      </c>
      <c r="P74" s="26">
        <f t="shared" si="2"/>
        <v>136.35508420116821</v>
      </c>
      <c r="Q74" s="26">
        <f t="shared" si="2"/>
        <v>140.51692744970751</v>
      </c>
      <c r="R74" s="26">
        <f t="shared" ref="R74:V75" si="3">TREND($H69:$I69,$H$68:$I$68,R$73)</f>
        <v>144.99184902385241</v>
      </c>
      <c r="S74" s="26">
        <f t="shared" si="3"/>
        <v>149.46677059799913</v>
      </c>
      <c r="T74" s="26">
        <f t="shared" si="3"/>
        <v>153.94169217214585</v>
      </c>
      <c r="U74" s="26">
        <f t="shared" si="3"/>
        <v>158.41661374629075</v>
      </c>
      <c r="V74" s="26">
        <f t="shared" si="3"/>
        <v>162.89153532043747</v>
      </c>
      <c r="W74" s="26">
        <f t="shared" ref="W74:AA75" si="4">TREND($I69:$J69,$I$68:$J$68,W$73)</f>
        <v>167.66396774219538</v>
      </c>
      <c r="X74" s="26">
        <f t="shared" si="4"/>
        <v>172.43640016395329</v>
      </c>
      <c r="Y74" s="26">
        <f t="shared" si="4"/>
        <v>177.20883258571121</v>
      </c>
      <c r="Z74" s="26">
        <f t="shared" si="4"/>
        <v>181.98126500746912</v>
      </c>
      <c r="AA74" s="26">
        <f t="shared" si="4"/>
        <v>186.75369742922885</v>
      </c>
      <c r="AB74" s="26">
        <f t="shared" ref="AB74:AF75" si="5">TREND($J69:$K69,$J$68:$K$68,AB$73)</f>
        <v>191.76760044807088</v>
      </c>
      <c r="AC74" s="26">
        <f t="shared" si="5"/>
        <v>196.78150346691109</v>
      </c>
      <c r="AD74" s="26">
        <f t="shared" si="5"/>
        <v>201.79540648575312</v>
      </c>
      <c r="AE74" s="26">
        <f t="shared" si="5"/>
        <v>206.80930950459333</v>
      </c>
      <c r="AF74" s="26">
        <f t="shared" si="5"/>
        <v>211.82321252343354</v>
      </c>
      <c r="AG74" s="26">
        <f t="shared" ref="AG74:AN75" si="6">TREND($K69:$L69,$K$68:$L$68,AG$73)</f>
        <v>217.0797676727052</v>
      </c>
      <c r="AH74" s="26">
        <f t="shared" si="6"/>
        <v>222.33632282197686</v>
      </c>
      <c r="AI74" s="26">
        <f t="shared" si="6"/>
        <v>227.59287797125035</v>
      </c>
      <c r="AJ74" s="26">
        <f t="shared" si="6"/>
        <v>232.84943312052201</v>
      </c>
      <c r="AK74" s="26">
        <f t="shared" si="6"/>
        <v>238.10598826979549</v>
      </c>
      <c r="AL74" s="26">
        <f t="shared" si="6"/>
        <v>243.36254341906715</v>
      </c>
      <c r="AM74" s="26">
        <f t="shared" si="6"/>
        <v>248.61909856833881</v>
      </c>
      <c r="AN74" s="26">
        <f t="shared" ref="AN74:BH74" si="7">TREND($K69:$L69,$K$68:$L$68,AN$73)</f>
        <v>253.87565371761229</v>
      </c>
      <c r="AO74" s="26">
        <f t="shared" si="7"/>
        <v>259.13220886688396</v>
      </c>
      <c r="AP74" s="26">
        <f t="shared" si="7"/>
        <v>264.38876401615744</v>
      </c>
      <c r="AQ74" s="26">
        <f t="shared" si="7"/>
        <v>269.6453191654291</v>
      </c>
      <c r="AR74" s="26">
        <f t="shared" si="7"/>
        <v>274.90187431470076</v>
      </c>
      <c r="AS74" s="26">
        <f t="shared" si="7"/>
        <v>280.15842946397424</v>
      </c>
      <c r="AT74" s="26">
        <f t="shared" si="7"/>
        <v>285.41498461324591</v>
      </c>
      <c r="AU74" s="26">
        <f t="shared" si="7"/>
        <v>290.67153976251939</v>
      </c>
      <c r="AV74" s="26">
        <f t="shared" si="7"/>
        <v>295.92809491179105</v>
      </c>
      <c r="AW74" s="26">
        <f t="shared" si="7"/>
        <v>301.18465006106453</v>
      </c>
      <c r="AX74" s="26">
        <f t="shared" si="7"/>
        <v>306.44120521033619</v>
      </c>
      <c r="AY74" s="26">
        <f t="shared" si="7"/>
        <v>311.69776035960786</v>
      </c>
      <c r="AZ74" s="26">
        <f t="shared" si="7"/>
        <v>316.95431550888134</v>
      </c>
      <c r="BA74" s="26">
        <f t="shared" si="7"/>
        <v>322.210870658153</v>
      </c>
      <c r="BB74" s="26">
        <f t="shared" si="7"/>
        <v>327.46742580742648</v>
      </c>
      <c r="BC74" s="26">
        <f t="shared" si="7"/>
        <v>332.72398095669814</v>
      </c>
      <c r="BD74" s="26">
        <f t="shared" si="7"/>
        <v>337.9805361059698</v>
      </c>
      <c r="BE74" s="26">
        <f t="shared" si="7"/>
        <v>343.23709125524329</v>
      </c>
      <c r="BF74" s="26">
        <f t="shared" si="7"/>
        <v>348.49364640451495</v>
      </c>
      <c r="BG74" s="26">
        <f t="shared" si="7"/>
        <v>353.75020155378843</v>
      </c>
      <c r="BH74" s="26">
        <f t="shared" si="7"/>
        <v>359.00675670306009</v>
      </c>
    </row>
    <row r="75" spans="1:60">
      <c r="A75" t="s">
        <v>390</v>
      </c>
      <c r="B75" s="26">
        <f t="shared" si="0"/>
        <v>185.53658395071579</v>
      </c>
      <c r="C75" s="26">
        <f t="shared" si="0"/>
        <v>186.72074515687655</v>
      </c>
      <c r="D75" s="26">
        <f t="shared" si="0"/>
        <v>187.90490636303684</v>
      </c>
      <c r="E75" s="26">
        <f t="shared" si="0"/>
        <v>189.0890675691976</v>
      </c>
      <c r="F75" s="26">
        <f t="shared" si="0"/>
        <v>190.27322877535789</v>
      </c>
      <c r="G75" s="26">
        <f t="shared" si="0"/>
        <v>191.45738998151819</v>
      </c>
      <c r="H75" s="26">
        <f t="shared" si="1"/>
        <v>192.93149354063053</v>
      </c>
      <c r="I75" s="26">
        <f t="shared" si="1"/>
        <v>194.04316915855316</v>
      </c>
      <c r="J75" s="26">
        <f t="shared" si="1"/>
        <v>195.15484477647578</v>
      </c>
      <c r="K75" s="26">
        <f t="shared" si="1"/>
        <v>196.26652039439841</v>
      </c>
      <c r="L75" s="26">
        <f t="shared" si="1"/>
        <v>197.37819601232104</v>
      </c>
      <c r="M75" s="26">
        <f t="shared" si="2"/>
        <v>198.48987163024367</v>
      </c>
      <c r="N75" s="26">
        <f t="shared" si="2"/>
        <v>199.46364105018756</v>
      </c>
      <c r="O75" s="26">
        <f t="shared" si="2"/>
        <v>200.43741047013168</v>
      </c>
      <c r="P75" s="26">
        <f t="shared" si="2"/>
        <v>201.41117989007557</v>
      </c>
      <c r="Q75" s="26">
        <f t="shared" si="2"/>
        <v>202.38494931001969</v>
      </c>
      <c r="R75" s="26">
        <f t="shared" si="3"/>
        <v>203.0793861385298</v>
      </c>
      <c r="S75" s="26">
        <f t="shared" si="3"/>
        <v>203.77382296703991</v>
      </c>
      <c r="T75" s="26">
        <f t="shared" si="3"/>
        <v>204.46825979555001</v>
      </c>
      <c r="U75" s="26">
        <f t="shared" si="3"/>
        <v>205.16269662406012</v>
      </c>
      <c r="V75" s="26">
        <f t="shared" si="3"/>
        <v>205.85713345257022</v>
      </c>
      <c r="W75" s="26">
        <f t="shared" si="4"/>
        <v>206.18021503936336</v>
      </c>
      <c r="X75" s="26">
        <f t="shared" si="4"/>
        <v>206.50329662615638</v>
      </c>
      <c r="Y75" s="26">
        <f t="shared" si="4"/>
        <v>206.82637821294941</v>
      </c>
      <c r="Z75" s="26">
        <f t="shared" si="4"/>
        <v>207.14945979974243</v>
      </c>
      <c r="AA75" s="26">
        <f t="shared" si="4"/>
        <v>207.47254138653557</v>
      </c>
      <c r="AB75" s="26">
        <f t="shared" si="5"/>
        <v>207.38691597886725</v>
      </c>
      <c r="AC75" s="26">
        <f t="shared" si="5"/>
        <v>207.30129057119899</v>
      </c>
      <c r="AD75" s="26">
        <f t="shared" si="5"/>
        <v>207.2156651635307</v>
      </c>
      <c r="AE75" s="26">
        <f t="shared" si="5"/>
        <v>207.13003975586244</v>
      </c>
      <c r="AF75" s="26">
        <f t="shared" si="5"/>
        <v>207.04441434819415</v>
      </c>
      <c r="AG75" s="26">
        <f t="shared" si="6"/>
        <v>206.58569315834529</v>
      </c>
      <c r="AH75" s="26">
        <f t="shared" si="6"/>
        <v>206.12697196849649</v>
      </c>
      <c r="AI75" s="26">
        <f t="shared" si="6"/>
        <v>205.66825077864769</v>
      </c>
      <c r="AJ75" s="26">
        <f t="shared" si="6"/>
        <v>205.20952958879889</v>
      </c>
      <c r="AK75" s="26">
        <f t="shared" si="6"/>
        <v>204.75080839895008</v>
      </c>
      <c r="AL75" s="26">
        <f t="shared" si="6"/>
        <v>204.29208720910128</v>
      </c>
      <c r="AM75" s="26">
        <f t="shared" si="6"/>
        <v>203.83336601925248</v>
      </c>
      <c r="AN75" s="26">
        <f t="shared" ref="AN75:BH75" si="8">TREND($K70:$L70,$K$68:$L$68,AN$73)</f>
        <v>203.37464482940368</v>
      </c>
      <c r="AO75" s="26">
        <f t="shared" si="8"/>
        <v>202.91592363955488</v>
      </c>
      <c r="AP75" s="26">
        <f t="shared" si="8"/>
        <v>202.45720244970607</v>
      </c>
      <c r="AQ75" s="26">
        <f t="shared" si="8"/>
        <v>201.99848125985727</v>
      </c>
      <c r="AR75" s="26">
        <f t="shared" si="8"/>
        <v>201.53976007000847</v>
      </c>
      <c r="AS75" s="26">
        <f t="shared" si="8"/>
        <v>201.08103888015967</v>
      </c>
      <c r="AT75" s="26">
        <f t="shared" si="8"/>
        <v>200.62231769031087</v>
      </c>
      <c r="AU75" s="26">
        <f t="shared" si="8"/>
        <v>200.16359650046206</v>
      </c>
      <c r="AV75" s="26">
        <f t="shared" si="8"/>
        <v>199.70487531061326</v>
      </c>
      <c r="AW75" s="26">
        <f t="shared" si="8"/>
        <v>199.24615412076434</v>
      </c>
      <c r="AX75" s="26">
        <f t="shared" si="8"/>
        <v>198.78743293091554</v>
      </c>
      <c r="AY75" s="26">
        <f t="shared" si="8"/>
        <v>198.32871174106674</v>
      </c>
      <c r="AZ75" s="26">
        <f t="shared" si="8"/>
        <v>197.86999055121794</v>
      </c>
      <c r="BA75" s="26">
        <f t="shared" si="8"/>
        <v>197.41126936136914</v>
      </c>
      <c r="BB75" s="26">
        <f t="shared" si="8"/>
        <v>196.95254817152033</v>
      </c>
      <c r="BC75" s="26">
        <f t="shared" si="8"/>
        <v>196.49382698167153</v>
      </c>
      <c r="BD75" s="26">
        <f t="shared" si="8"/>
        <v>196.03510579182273</v>
      </c>
      <c r="BE75" s="26">
        <f t="shared" si="8"/>
        <v>195.57638460197393</v>
      </c>
      <c r="BF75" s="26">
        <f t="shared" si="8"/>
        <v>195.11766341212513</v>
      </c>
      <c r="BG75" s="26">
        <f t="shared" si="8"/>
        <v>194.65894222227632</v>
      </c>
      <c r="BH75" s="26">
        <f t="shared" si="8"/>
        <v>194.20022103242752</v>
      </c>
    </row>
    <row r="77" spans="1:60">
      <c r="A77" t="s">
        <v>407</v>
      </c>
      <c r="B77" s="43">
        <f t="shared" ref="B77:AN77" si="9">B74/SUM(B74:B75)</f>
        <v>0.30451779673247581</v>
      </c>
      <c r="C77" s="43">
        <f t="shared" si="9"/>
        <v>0.31308090669364347</v>
      </c>
      <c r="D77" s="43">
        <f t="shared" si="9"/>
        <v>0.32133167733334334</v>
      </c>
      <c r="E77" s="43">
        <f t="shared" si="9"/>
        <v>0.3292868914345462</v>
      </c>
      <c r="F77" s="43">
        <f t="shared" si="9"/>
        <v>0.33696215056159595</v>
      </c>
      <c r="G77" s="43">
        <f t="shared" si="9"/>
        <v>0.34437197718502877</v>
      </c>
      <c r="H77" s="43">
        <f t="shared" si="9"/>
        <v>0.35019299361448497</v>
      </c>
      <c r="I77" s="43">
        <f t="shared" si="9"/>
        <v>0.35746562094793932</v>
      </c>
      <c r="J77" s="43">
        <f t="shared" si="9"/>
        <v>0.36449712534434198</v>
      </c>
      <c r="K77" s="43">
        <f t="shared" si="9"/>
        <v>0.37129930285117951</v>
      </c>
      <c r="L77" s="43">
        <f t="shared" si="9"/>
        <v>0.377883192424597</v>
      </c>
      <c r="M77" s="43">
        <f t="shared" si="9"/>
        <v>0.38425913570954279</v>
      </c>
      <c r="N77" s="43">
        <f t="shared" si="9"/>
        <v>0.39094148781946575</v>
      </c>
      <c r="O77" s="43">
        <f t="shared" si="9"/>
        <v>0.3974174971163964</v>
      </c>
      <c r="P77" s="43">
        <f t="shared" si="9"/>
        <v>0.40369657570163198</v>
      </c>
      <c r="Q77" s="43">
        <f t="shared" si="9"/>
        <v>0.40978757181946929</v>
      </c>
      <c r="R77" s="43">
        <f t="shared" si="9"/>
        <v>0.41655797542767592</v>
      </c>
      <c r="S77" s="43">
        <f t="shared" si="9"/>
        <v>0.42313022150009255</v>
      </c>
      <c r="T77" s="43">
        <f t="shared" si="9"/>
        <v>0.42951288413448097</v>
      </c>
      <c r="U77" s="43">
        <f t="shared" si="9"/>
        <v>0.43571404980366918</v>
      </c>
      <c r="V77" s="43">
        <f t="shared" si="9"/>
        <v>0.4417413515347749</v>
      </c>
      <c r="W77" s="43">
        <f t="shared" si="9"/>
        <v>0.4484862289275296</v>
      </c>
      <c r="X77" s="43">
        <f t="shared" si="9"/>
        <v>0.45504971272372086</v>
      </c>
      <c r="Y77" s="43">
        <f t="shared" si="9"/>
        <v>0.4614390233051236</v>
      </c>
      <c r="Z77" s="43">
        <f t="shared" si="9"/>
        <v>0.46766100286125895</v>
      </c>
      <c r="AA77" s="43">
        <f t="shared" si="9"/>
        <v>0.47372213983074152</v>
      </c>
      <c r="AB77" s="43">
        <f t="shared" si="9"/>
        <v>0.4804344998139895</v>
      </c>
      <c r="AC77" s="43">
        <f t="shared" si="9"/>
        <v>0.48698312912663172</v>
      </c>
      <c r="AD77" s="43">
        <f t="shared" si="9"/>
        <v>0.49337394626516939</v>
      </c>
      <c r="AE77" s="43">
        <f t="shared" si="9"/>
        <v>0.4996125878684376</v>
      </c>
      <c r="AF77" s="43">
        <f t="shared" si="9"/>
        <v>0.50570442529890713</v>
      </c>
      <c r="AG77" s="43">
        <f t="shared" si="9"/>
        <v>0.51238485961750935</v>
      </c>
      <c r="AH77" s="43">
        <f t="shared" si="9"/>
        <v>0.51891568198555615</v>
      </c>
      <c r="AI77" s="43">
        <f t="shared" si="9"/>
        <v>0.5253018627079038</v>
      </c>
      <c r="AJ77" s="43">
        <f t="shared" si="9"/>
        <v>0.5315481543406565</v>
      </c>
      <c r="AK77" s="43">
        <f t="shared" si="9"/>
        <v>0.53765910348644252</v>
      </c>
      <c r="AL77" s="43">
        <f t="shared" si="9"/>
        <v>0.5436390618311493</v>
      </c>
      <c r="AM77" s="43">
        <f t="shared" si="9"/>
        <v>0.54949219647848346</v>
      </c>
      <c r="AN77" s="43">
        <f t="shared" si="9"/>
        <v>0.55522249963388048</v>
      </c>
      <c r="AO77" s="43">
        <f t="shared" ref="AO77:BH77" si="10">AO74/SUM(AO74:AO75)</f>
        <v>0.56083379768507746</v>
      </c>
      <c r="AP77" s="43">
        <f t="shared" si="10"/>
        <v>0.56632975972277133</v>
      </c>
      <c r="AQ77" s="43">
        <f t="shared" si="10"/>
        <v>0.57171390554118806</v>
      </c>
      <c r="AR77" s="43">
        <f t="shared" si="10"/>
        <v>0.57698961315527586</v>
      </c>
      <c r="AS77" s="43">
        <f t="shared" si="10"/>
        <v>0.58216012586821575</v>
      </c>
      <c r="AT77" s="43">
        <f t="shared" si="10"/>
        <v>0.5872285589203371</v>
      </c>
      <c r="AU77" s="43">
        <f t="shared" si="10"/>
        <v>0.59219790574809694</v>
      </c>
      <c r="AV77" s="43">
        <f t="shared" si="10"/>
        <v>0.59707104387950594</v>
      </c>
      <c r="AW77" s="43">
        <f t="shared" si="10"/>
        <v>0.60185074049044884</v>
      </c>
      <c r="AX77" s="43">
        <f t="shared" si="10"/>
        <v>0.60653965764438988</v>
      </c>
      <c r="AY77" s="43">
        <f t="shared" si="10"/>
        <v>0.61114035723636229</v>
      </c>
      <c r="AZ77" s="43">
        <f t="shared" si="10"/>
        <v>0.61565530566049242</v>
      </c>
      <c r="BA77" s="43">
        <f t="shared" si="10"/>
        <v>0.62008687821894493</v>
      </c>
      <c r="BB77" s="43">
        <f t="shared" si="10"/>
        <v>0.62443736328886068</v>
      </c>
      <c r="BC77" s="43">
        <f t="shared" si="10"/>
        <v>0.62870896626261241</v>
      </c>
      <c r="BD77" s="43">
        <f t="shared" si="10"/>
        <v>0.63290381327567424</v>
      </c>
      <c r="BE77" s="43">
        <f t="shared" si="10"/>
        <v>0.63702395473531059</v>
      </c>
      <c r="BF77" s="43">
        <f t="shared" si="10"/>
        <v>0.64107136866240277</v>
      </c>
      <c r="BG77" s="43">
        <f t="shared" si="10"/>
        <v>0.64504796385787</v>
      </c>
      <c r="BH77" s="43">
        <f t="shared" si="10"/>
        <v>0.64895558290430111</v>
      </c>
    </row>
    <row r="78" spans="1:60">
      <c r="A78" t="s">
        <v>408</v>
      </c>
      <c r="B78" s="43">
        <f t="shared" ref="B78:AN78" si="11">B75/SUM(B74:B75)</f>
        <v>0.69548220326752419</v>
      </c>
      <c r="C78" s="43">
        <f t="shared" si="11"/>
        <v>0.68691909330635648</v>
      </c>
      <c r="D78" s="43">
        <f t="shared" si="11"/>
        <v>0.67866832266665666</v>
      </c>
      <c r="E78" s="43">
        <f t="shared" si="11"/>
        <v>0.67071310856545374</v>
      </c>
      <c r="F78" s="43">
        <f t="shared" si="11"/>
        <v>0.66303784943840405</v>
      </c>
      <c r="G78" s="43">
        <f t="shared" si="11"/>
        <v>0.65562802281497123</v>
      </c>
      <c r="H78" s="43">
        <f t="shared" si="11"/>
        <v>0.64980700638551503</v>
      </c>
      <c r="I78" s="43">
        <f t="shared" si="11"/>
        <v>0.64253437905206068</v>
      </c>
      <c r="J78" s="43">
        <f t="shared" si="11"/>
        <v>0.63550287465565802</v>
      </c>
      <c r="K78" s="43">
        <f t="shared" si="11"/>
        <v>0.62870069714882049</v>
      </c>
      <c r="L78" s="43">
        <f t="shared" si="11"/>
        <v>0.622116807575403</v>
      </c>
      <c r="M78" s="43">
        <f t="shared" si="11"/>
        <v>0.61574086429045727</v>
      </c>
      <c r="N78" s="43">
        <f t="shared" si="11"/>
        <v>0.6090585121805342</v>
      </c>
      <c r="O78" s="43">
        <f t="shared" si="11"/>
        <v>0.6025825028836036</v>
      </c>
      <c r="P78" s="43">
        <f t="shared" si="11"/>
        <v>0.59630342429836802</v>
      </c>
      <c r="Q78" s="43">
        <f t="shared" si="11"/>
        <v>0.59021242818053077</v>
      </c>
      <c r="R78" s="43">
        <f t="shared" si="11"/>
        <v>0.58344202457232408</v>
      </c>
      <c r="S78" s="43">
        <f t="shared" si="11"/>
        <v>0.5768697784999075</v>
      </c>
      <c r="T78" s="43">
        <f t="shared" si="11"/>
        <v>0.57048711586551903</v>
      </c>
      <c r="U78" s="43">
        <f t="shared" si="11"/>
        <v>0.56428595019633088</v>
      </c>
      <c r="V78" s="43">
        <f t="shared" si="11"/>
        <v>0.5582586484652251</v>
      </c>
      <c r="W78" s="43">
        <f t="shared" si="11"/>
        <v>0.55151377107247035</v>
      </c>
      <c r="X78" s="43">
        <f t="shared" si="11"/>
        <v>0.54495028727627914</v>
      </c>
      <c r="Y78" s="43">
        <f t="shared" si="11"/>
        <v>0.53856097669487646</v>
      </c>
      <c r="Z78" s="43">
        <f t="shared" si="11"/>
        <v>0.53233899713874111</v>
      </c>
      <c r="AA78" s="43">
        <f t="shared" si="11"/>
        <v>0.52627786016925848</v>
      </c>
      <c r="AB78" s="43">
        <f t="shared" si="11"/>
        <v>0.51956550018601044</v>
      </c>
      <c r="AC78" s="43">
        <f t="shared" si="11"/>
        <v>0.51301687087336834</v>
      </c>
      <c r="AD78" s="43">
        <f t="shared" si="11"/>
        <v>0.50662605373483049</v>
      </c>
      <c r="AE78" s="43">
        <f t="shared" si="11"/>
        <v>0.50038741213156246</v>
      </c>
      <c r="AF78" s="43">
        <f t="shared" si="11"/>
        <v>0.49429557470109292</v>
      </c>
      <c r="AG78" s="43">
        <f t="shared" si="11"/>
        <v>0.48761514038249065</v>
      </c>
      <c r="AH78" s="43">
        <f t="shared" si="11"/>
        <v>0.48108431801444385</v>
      </c>
      <c r="AI78" s="43">
        <f t="shared" si="11"/>
        <v>0.47469813729209626</v>
      </c>
      <c r="AJ78" s="43">
        <f t="shared" si="11"/>
        <v>0.46845184565934345</v>
      </c>
      <c r="AK78" s="43">
        <f t="shared" si="11"/>
        <v>0.46234089651355753</v>
      </c>
      <c r="AL78" s="43">
        <f t="shared" si="11"/>
        <v>0.4563609381688507</v>
      </c>
      <c r="AM78" s="43">
        <f t="shared" si="11"/>
        <v>0.45050780352151648</v>
      </c>
      <c r="AN78" s="43">
        <f t="shared" si="11"/>
        <v>0.44477750036611957</v>
      </c>
      <c r="AO78" s="43">
        <f t="shared" ref="AO78:BH78" si="12">AO75/SUM(AO74:AO75)</f>
        <v>0.43916620231492259</v>
      </c>
      <c r="AP78" s="43">
        <f t="shared" si="12"/>
        <v>0.43367024027722867</v>
      </c>
      <c r="AQ78" s="43">
        <f t="shared" si="12"/>
        <v>0.42828609445881199</v>
      </c>
      <c r="AR78" s="43">
        <f t="shared" si="12"/>
        <v>0.42301038684472414</v>
      </c>
      <c r="AS78" s="43">
        <f t="shared" si="12"/>
        <v>0.41783987413178419</v>
      </c>
      <c r="AT78" s="43">
        <f t="shared" si="12"/>
        <v>0.41277144107966285</v>
      </c>
      <c r="AU78" s="43">
        <f t="shared" si="12"/>
        <v>0.40780209425190311</v>
      </c>
      <c r="AV78" s="43">
        <f t="shared" si="12"/>
        <v>0.40292895612049401</v>
      </c>
      <c r="AW78" s="43">
        <f t="shared" si="12"/>
        <v>0.3981492595095511</v>
      </c>
      <c r="AX78" s="43">
        <f t="shared" si="12"/>
        <v>0.39346034235561006</v>
      </c>
      <c r="AY78" s="43">
        <f t="shared" si="12"/>
        <v>0.38885964276363766</v>
      </c>
      <c r="AZ78" s="43">
        <f t="shared" si="12"/>
        <v>0.38434469433950752</v>
      </c>
      <c r="BA78" s="43">
        <f t="shared" si="12"/>
        <v>0.37991312178105502</v>
      </c>
      <c r="BB78" s="43">
        <f t="shared" si="12"/>
        <v>0.37556263671113932</v>
      </c>
      <c r="BC78" s="43">
        <f t="shared" si="12"/>
        <v>0.37129103373738759</v>
      </c>
      <c r="BD78" s="43">
        <f t="shared" si="12"/>
        <v>0.36709618672432576</v>
      </c>
      <c r="BE78" s="43">
        <f t="shared" si="12"/>
        <v>0.36297604526468946</v>
      </c>
      <c r="BF78" s="43">
        <f t="shared" si="12"/>
        <v>0.35892863133759717</v>
      </c>
      <c r="BG78" s="43">
        <f t="shared" si="12"/>
        <v>0.35495203614213006</v>
      </c>
      <c r="BH78" s="43">
        <f t="shared" si="12"/>
        <v>0.35104441709569889</v>
      </c>
    </row>
    <row r="79" spans="1:60"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</row>
    <row r="81" spans="1:14" s="2" customFormat="1">
      <c r="A81" s="2" t="s">
        <v>409</v>
      </c>
    </row>
    <row r="83" spans="1:14">
      <c r="B83" t="s">
        <v>410</v>
      </c>
      <c r="N83" t="s">
        <v>389</v>
      </c>
    </row>
    <row r="85" spans="1:14">
      <c r="B85" t="s">
        <v>411</v>
      </c>
      <c r="C85" t="s">
        <v>412</v>
      </c>
      <c r="D85" t="s">
        <v>405</v>
      </c>
      <c r="E85" t="s">
        <v>330</v>
      </c>
      <c r="F85" t="s">
        <v>335</v>
      </c>
      <c r="G85" t="s">
        <v>340</v>
      </c>
      <c r="H85" t="s">
        <v>413</v>
      </c>
      <c r="I85" t="s">
        <v>414</v>
      </c>
      <c r="J85" t="s">
        <v>415</v>
      </c>
      <c r="K85" t="s">
        <v>416</v>
      </c>
      <c r="L85" t="s">
        <v>417</v>
      </c>
      <c r="M85" t="s">
        <v>418</v>
      </c>
      <c r="N85" t="s">
        <v>419</v>
      </c>
    </row>
    <row r="86" spans="1:14">
      <c r="B86" t="s">
        <v>420</v>
      </c>
      <c r="C86" t="s">
        <v>421</v>
      </c>
      <c r="E86">
        <v>0</v>
      </c>
      <c r="F86" s="44">
        <v>880.85156949189275</v>
      </c>
      <c r="G86" s="44">
        <v>755.86740988214831</v>
      </c>
      <c r="H86" s="44">
        <v>596.38041308225422</v>
      </c>
      <c r="I86" s="44">
        <v>456.97974807547627</v>
      </c>
      <c r="J86" s="44">
        <v>379.13244276651602</v>
      </c>
      <c r="K86" s="44">
        <v>308.16024791913759</v>
      </c>
      <c r="L86" s="44">
        <v>302.08697141550283</v>
      </c>
      <c r="M86" s="44">
        <v>294.00658217844926</v>
      </c>
      <c r="N86">
        <v>0</v>
      </c>
    </row>
    <row r="87" spans="1:14">
      <c r="B87" t="s">
        <v>396</v>
      </c>
      <c r="C87" t="s">
        <v>397</v>
      </c>
      <c r="E87">
        <v>0</v>
      </c>
      <c r="F87" s="44">
        <v>-0.24343846030135471</v>
      </c>
      <c r="G87" s="44">
        <v>-7.2901067669326514</v>
      </c>
      <c r="H87" s="44">
        <v>-11.563311102138085</v>
      </c>
      <c r="I87" s="44">
        <v>-22.107517829072975</v>
      </c>
      <c r="J87" s="44">
        <v>-31.560728901875947</v>
      </c>
      <c r="K87" s="44">
        <v>-39.075902176053717</v>
      </c>
      <c r="L87" s="44">
        <v>-49.512238515622968</v>
      </c>
      <c r="M87" s="44">
        <v>-59.796909423353895</v>
      </c>
      <c r="N87">
        <v>0</v>
      </c>
    </row>
    <row r="88" spans="1:14">
      <c r="B88" t="s">
        <v>422</v>
      </c>
      <c r="C88" t="s">
        <v>423</v>
      </c>
      <c r="E88">
        <v>0</v>
      </c>
      <c r="F88" s="44">
        <v>-842.93973568618571</v>
      </c>
      <c r="G88" s="44">
        <v>-678.7850116382341</v>
      </c>
      <c r="H88" s="44">
        <v>-490.05404937716963</v>
      </c>
      <c r="I88" s="44">
        <v>-323.56842189036786</v>
      </c>
      <c r="J88" s="44">
        <v>-200.88430342888671</v>
      </c>
      <c r="K88" s="44">
        <v>-114.53190174787048</v>
      </c>
      <c r="L88" s="44">
        <v>-92.224081456850755</v>
      </c>
      <c r="M88" s="44">
        <v>-70.274145689838974</v>
      </c>
      <c r="N88">
        <v>0</v>
      </c>
    </row>
    <row r="89" spans="1:14">
      <c r="B89" t="s">
        <v>398</v>
      </c>
      <c r="C89" t="s">
        <v>399</v>
      </c>
      <c r="E89">
        <v>0</v>
      </c>
      <c r="F89" s="44">
        <v>-32.146941774090315</v>
      </c>
      <c r="G89" s="44">
        <v>-56.048578693822087</v>
      </c>
      <c r="H89" s="44">
        <v>-75.1693979029844</v>
      </c>
      <c r="I89" s="44">
        <v>-86.902588831827643</v>
      </c>
      <c r="J89" s="44">
        <v>-114.85624237119488</v>
      </c>
      <c r="K89" s="44">
        <v>-113.77437607955325</v>
      </c>
      <c r="L89" s="44">
        <v>-113.18335604686261</v>
      </c>
      <c r="M89" s="44">
        <v>-110.92970664749014</v>
      </c>
      <c r="N89">
        <v>0</v>
      </c>
    </row>
    <row r="90" spans="1:14">
      <c r="B90" t="s">
        <v>424</v>
      </c>
      <c r="C90" t="s">
        <v>425</v>
      </c>
      <c r="E90">
        <v>0</v>
      </c>
      <c r="F90" s="44">
        <v>-5.5214535713153712</v>
      </c>
      <c r="G90" s="44">
        <v>-13.74371278315944</v>
      </c>
      <c r="H90" s="44">
        <v>-19.593654699962194</v>
      </c>
      <c r="I90" s="44">
        <v>-24.401219524207765</v>
      </c>
      <c r="J90" s="44">
        <v>-31.831168064558483</v>
      </c>
      <c r="K90" s="44">
        <v>-40.778067915660152</v>
      </c>
      <c r="L90" s="44">
        <v>-47.16729539616648</v>
      </c>
      <c r="M90" s="44">
        <v>-53.00582041776623</v>
      </c>
      <c r="N90">
        <v>0</v>
      </c>
    </row>
    <row r="91" spans="1:14">
      <c r="B91" t="s">
        <v>56</v>
      </c>
      <c r="E91">
        <v>0</v>
      </c>
      <c r="F91" s="44">
        <v>-3.0198066269804258E-14</v>
      </c>
      <c r="G91" s="44">
        <v>0</v>
      </c>
      <c r="H91" s="44">
        <v>-7.815970093361102E-14</v>
      </c>
      <c r="I91" s="44">
        <v>5.3290705182007514E-14</v>
      </c>
      <c r="J91" s="44">
        <v>0</v>
      </c>
      <c r="K91" s="44">
        <v>0</v>
      </c>
      <c r="L91" s="44">
        <v>0</v>
      </c>
      <c r="M91" s="44">
        <v>0</v>
      </c>
      <c r="N91">
        <v>0</v>
      </c>
    </row>
    <row r="93" spans="1:14">
      <c r="B93" t="s">
        <v>426</v>
      </c>
      <c r="N93" t="s">
        <v>389</v>
      </c>
    </row>
    <row r="95" spans="1:14">
      <c r="B95" t="s">
        <v>411</v>
      </c>
      <c r="C95" t="s">
        <v>412</v>
      </c>
      <c r="D95" t="s">
        <v>405</v>
      </c>
      <c r="E95" t="s">
        <v>330</v>
      </c>
      <c r="F95" t="s">
        <v>335</v>
      </c>
      <c r="G95" t="s">
        <v>340</v>
      </c>
      <c r="H95" t="s">
        <v>413</v>
      </c>
      <c r="I95" t="s">
        <v>414</v>
      </c>
      <c r="J95" t="s">
        <v>415</v>
      </c>
      <c r="K95" t="s">
        <v>416</v>
      </c>
      <c r="L95" t="s">
        <v>417</v>
      </c>
      <c r="M95" t="s">
        <v>418</v>
      </c>
      <c r="N95" t="s">
        <v>419</v>
      </c>
    </row>
    <row r="96" spans="1:14">
      <c r="B96" t="s">
        <v>420</v>
      </c>
      <c r="C96" t="s">
        <v>421</v>
      </c>
      <c r="E96">
        <v>0</v>
      </c>
      <c r="F96" s="44">
        <v>191.61074307927154</v>
      </c>
      <c r="G96" s="44">
        <v>194.51010901889518</v>
      </c>
      <c r="H96" s="44">
        <v>185.18615369482305</v>
      </c>
      <c r="I96" s="44">
        <v>173.644573361179</v>
      </c>
      <c r="J96" s="44">
        <v>183.98843083397821</v>
      </c>
      <c r="K96" s="44">
        <v>194.95093973264662</v>
      </c>
      <c r="L96" s="44">
        <v>212.40507276430583</v>
      </c>
      <c r="M96" s="44">
        <v>228.12192390562132</v>
      </c>
      <c r="N96">
        <v>0</v>
      </c>
    </row>
    <row r="97" spans="1:14">
      <c r="B97" t="s">
        <v>396</v>
      </c>
      <c r="C97" t="s">
        <v>397</v>
      </c>
      <c r="E97">
        <v>0</v>
      </c>
      <c r="F97" s="44">
        <v>-6.0235397394040768E-2</v>
      </c>
      <c r="G97" s="44">
        <v>-3.556652297094506</v>
      </c>
      <c r="H97" s="44">
        <v>-6.190889883794795</v>
      </c>
      <c r="I97" s="44">
        <v>-10.4870215983668</v>
      </c>
      <c r="J97" s="44">
        <v>-14.550147113720445</v>
      </c>
      <c r="K97" s="44">
        <v>-17.658461386046643</v>
      </c>
      <c r="L97" s="44">
        <v>-24.647095769415966</v>
      </c>
      <c r="M97" s="44">
        <v>-32.526890290725476</v>
      </c>
      <c r="N97">
        <v>0</v>
      </c>
    </row>
    <row r="98" spans="1:14">
      <c r="B98" t="s">
        <v>422</v>
      </c>
      <c r="C98" t="s">
        <v>423</v>
      </c>
      <c r="E98">
        <v>0</v>
      </c>
      <c r="F98" s="44">
        <v>-102.86336757089364</v>
      </c>
      <c r="G98" s="44">
        <v>-88.429821776953617</v>
      </c>
      <c r="H98" s="44">
        <v>-56.846921828948446</v>
      </c>
      <c r="I98" s="44">
        <v>-22.51177456564265</v>
      </c>
      <c r="J98" s="44">
        <v>-10.824756787838565</v>
      </c>
      <c r="K98" s="44">
        <v>0</v>
      </c>
      <c r="L98" s="44">
        <v>0</v>
      </c>
      <c r="M98" s="44">
        <v>0</v>
      </c>
      <c r="N98">
        <v>0</v>
      </c>
    </row>
    <row r="99" spans="1:14">
      <c r="B99" t="s">
        <v>398</v>
      </c>
      <c r="C99" t="s">
        <v>399</v>
      </c>
      <c r="E99">
        <v>0</v>
      </c>
      <c r="F99" s="44">
        <v>-77.621903780750571</v>
      </c>
      <c r="G99" s="44">
        <v>-79.173519192738695</v>
      </c>
      <c r="H99" s="44">
        <v>-86.051694952715806</v>
      </c>
      <c r="I99" s="44">
        <v>-86.373053761085302</v>
      </c>
      <c r="J99" s="44">
        <v>-89.856407350551905</v>
      </c>
      <c r="K99" s="44">
        <v>-94.65000719003713</v>
      </c>
      <c r="L99" s="44">
        <v>-88.40087340394696</v>
      </c>
      <c r="M99" s="44">
        <v>-87.159055223027963</v>
      </c>
      <c r="N99">
        <v>0</v>
      </c>
    </row>
    <row r="100" spans="1:14">
      <c r="B100" t="s">
        <v>424</v>
      </c>
      <c r="C100" t="s">
        <v>425</v>
      </c>
      <c r="E100">
        <v>0</v>
      </c>
      <c r="F100" s="44">
        <v>-11.065236330233306</v>
      </c>
      <c r="G100" s="44">
        <v>-23.350115752108358</v>
      </c>
      <c r="H100" s="44">
        <v>-36.096647029364007</v>
      </c>
      <c r="I100" s="44">
        <v>-54.272723436084249</v>
      </c>
      <c r="J100" s="44">
        <v>-68.757119581867286</v>
      </c>
      <c r="K100" s="44">
        <v>-82.642471156562848</v>
      </c>
      <c r="L100" s="44">
        <v>-99.357103590942884</v>
      </c>
      <c r="M100" s="44">
        <v>-108.43597839186786</v>
      </c>
      <c r="N100">
        <v>0</v>
      </c>
    </row>
    <row r="101" spans="1:14">
      <c r="B101" t="s">
        <v>56</v>
      </c>
      <c r="E101">
        <v>0</v>
      </c>
      <c r="F101" s="44">
        <v>-3.0198066269804258E-14</v>
      </c>
      <c r="G101" s="44">
        <v>0</v>
      </c>
      <c r="H101" s="44">
        <v>0</v>
      </c>
      <c r="I101" s="44">
        <v>0</v>
      </c>
      <c r="J101" s="44">
        <v>0</v>
      </c>
      <c r="K101" s="44">
        <v>0</v>
      </c>
      <c r="L101" s="44">
        <v>0</v>
      </c>
      <c r="M101" s="44">
        <v>0</v>
      </c>
      <c r="N101">
        <v>0</v>
      </c>
    </row>
    <row r="104" spans="1:14">
      <c r="B104" t="s">
        <v>427</v>
      </c>
      <c r="N104" t="s">
        <v>389</v>
      </c>
    </row>
    <row r="106" spans="1:14">
      <c r="B106" t="s">
        <v>411</v>
      </c>
      <c r="C106" t="s">
        <v>412</v>
      </c>
      <c r="D106" t="s">
        <v>405</v>
      </c>
      <c r="E106" t="s">
        <v>330</v>
      </c>
      <c r="F106" t="s">
        <v>335</v>
      </c>
      <c r="G106" t="s">
        <v>340</v>
      </c>
      <c r="H106" t="s">
        <v>413</v>
      </c>
      <c r="I106" t="s">
        <v>414</v>
      </c>
      <c r="J106" t="s">
        <v>415</v>
      </c>
      <c r="K106" t="s">
        <v>416</v>
      </c>
      <c r="L106" t="s">
        <v>417</v>
      </c>
      <c r="M106" t="s">
        <v>418</v>
      </c>
      <c r="N106" t="s">
        <v>419</v>
      </c>
    </row>
    <row r="107" spans="1:14">
      <c r="B107" t="s">
        <v>420</v>
      </c>
      <c r="C107" t="s">
        <v>421</v>
      </c>
      <c r="E107">
        <v>0</v>
      </c>
      <c r="F107" s="44">
        <v>1072.4623125711644</v>
      </c>
      <c r="G107" s="44">
        <v>950.37751890104346</v>
      </c>
      <c r="H107" s="44">
        <v>781.56656677707724</v>
      </c>
      <c r="I107" s="44">
        <v>630.62432143665524</v>
      </c>
      <c r="J107" s="44">
        <v>563.12087360049418</v>
      </c>
      <c r="K107" s="44">
        <v>503.11118765178423</v>
      </c>
      <c r="L107" s="44">
        <v>514.49204417980866</v>
      </c>
      <c r="M107" s="44">
        <v>522.12850608407052</v>
      </c>
      <c r="N107">
        <v>0</v>
      </c>
    </row>
    <row r="108" spans="1:14">
      <c r="B108" t="s">
        <v>396</v>
      </c>
      <c r="C108" t="s">
        <v>397</v>
      </c>
      <c r="E108">
        <v>0</v>
      </c>
      <c r="F108" s="44">
        <v>-0.30367385769539545</v>
      </c>
      <c r="G108" s="44">
        <v>-10.846759064027157</v>
      </c>
      <c r="H108" s="44">
        <v>-17.754200985932879</v>
      </c>
      <c r="I108" s="44">
        <v>-32.594539427439777</v>
      </c>
      <c r="J108" s="44">
        <v>-46.110876015596389</v>
      </c>
      <c r="K108" s="44">
        <v>-56.734363562100356</v>
      </c>
      <c r="L108" s="44">
        <v>-74.159334285038938</v>
      </c>
      <c r="M108" s="44">
        <v>-92.323799714079371</v>
      </c>
      <c r="N108">
        <v>0</v>
      </c>
    </row>
    <row r="109" spans="1:14">
      <c r="B109" t="s">
        <v>422</v>
      </c>
      <c r="C109" t="s">
        <v>423</v>
      </c>
      <c r="E109">
        <v>0</v>
      </c>
      <c r="F109" s="44">
        <v>-945.80310325707933</v>
      </c>
      <c r="G109" s="44">
        <v>-767.21483341518774</v>
      </c>
      <c r="H109" s="44">
        <v>-546.90097120611813</v>
      </c>
      <c r="I109" s="44">
        <v>-346.08019645601053</v>
      </c>
      <c r="J109" s="44">
        <v>-211.70906021672528</v>
      </c>
      <c r="K109" s="44">
        <v>-114.53190174787048</v>
      </c>
      <c r="L109" s="44">
        <v>-92.224081456850755</v>
      </c>
      <c r="M109" s="44">
        <v>-70.274145689838974</v>
      </c>
      <c r="N109">
        <v>0</v>
      </c>
    </row>
    <row r="110" spans="1:14">
      <c r="B110" t="s">
        <v>398</v>
      </c>
      <c r="C110" t="s">
        <v>399</v>
      </c>
      <c r="E110">
        <v>0</v>
      </c>
      <c r="F110" s="44">
        <v>-109.76884555484088</v>
      </c>
      <c r="G110" s="44">
        <v>-135.22209788656079</v>
      </c>
      <c r="H110" s="44">
        <v>-161.22109285570019</v>
      </c>
      <c r="I110" s="44">
        <v>-173.27564259291296</v>
      </c>
      <c r="J110" s="44">
        <v>-204.7126497217468</v>
      </c>
      <c r="K110" s="44">
        <v>-208.42438326959038</v>
      </c>
      <c r="L110" s="44">
        <v>-201.58422945080957</v>
      </c>
      <c r="M110" s="44">
        <v>-198.08876187051811</v>
      </c>
      <c r="N110">
        <v>0</v>
      </c>
    </row>
    <row r="111" spans="1:14">
      <c r="A111">
        <v>0</v>
      </c>
      <c r="B111" t="s">
        <v>424</v>
      </c>
      <c r="C111" t="s">
        <v>425</v>
      </c>
      <c r="E111">
        <v>0</v>
      </c>
      <c r="F111" s="44">
        <v>-16.586689901548677</v>
      </c>
      <c r="G111" s="44">
        <v>-37.093828535267797</v>
      </c>
      <c r="H111" s="44">
        <v>-55.690301729326201</v>
      </c>
      <c r="I111" s="44">
        <v>-78.67394296029201</v>
      </c>
      <c r="J111" s="44">
        <v>-100.58828764642577</v>
      </c>
      <c r="K111" s="44">
        <v>-123.42053907222299</v>
      </c>
      <c r="L111" s="44">
        <v>-146.52439898710935</v>
      </c>
      <c r="M111" s="44">
        <v>-161.44179880963409</v>
      </c>
      <c r="N111">
        <v>0</v>
      </c>
    </row>
    <row r="112" spans="1:14">
      <c r="B112" t="s">
        <v>56</v>
      </c>
      <c r="E112">
        <v>0</v>
      </c>
      <c r="F112" s="44">
        <v>3.1974423109204508E-14</v>
      </c>
      <c r="G112" s="44">
        <v>-6.3948846218409017E-14</v>
      </c>
      <c r="H112" s="44">
        <v>-2.0605739337042905E-13</v>
      </c>
      <c r="I112" s="44">
        <v>0</v>
      </c>
      <c r="J112" s="44">
        <v>0</v>
      </c>
      <c r="K112" s="44">
        <v>0</v>
      </c>
      <c r="L112" s="44">
        <v>0</v>
      </c>
      <c r="M112" s="44">
        <v>0</v>
      </c>
      <c r="N112">
        <v>0</v>
      </c>
    </row>
    <row r="114" spans="1:57" s="2" customFormat="1">
      <c r="A114" s="2" t="s">
        <v>428</v>
      </c>
    </row>
    <row r="115" spans="1:57" s="1" customFormat="1">
      <c r="A115" s="1" t="s">
        <v>429</v>
      </c>
      <c r="B115" s="1" t="s">
        <v>430</v>
      </c>
      <c r="C115" s="1" t="s">
        <v>431</v>
      </c>
      <c r="D115" s="1">
        <v>2017</v>
      </c>
      <c r="E115" s="1">
        <v>2018</v>
      </c>
      <c r="F115" s="1">
        <v>2019</v>
      </c>
      <c r="G115" s="1">
        <v>2020</v>
      </c>
      <c r="H115" s="1">
        <v>2021</v>
      </c>
      <c r="I115" s="1">
        <v>2022</v>
      </c>
      <c r="J115" s="1">
        <v>2023</v>
      </c>
      <c r="K115" s="1">
        <v>2024</v>
      </c>
      <c r="L115" s="1">
        <v>2025</v>
      </c>
      <c r="M115" s="1">
        <v>2026</v>
      </c>
      <c r="N115" s="1">
        <v>2027</v>
      </c>
      <c r="O115" s="1">
        <v>2028</v>
      </c>
      <c r="P115" s="1">
        <v>2029</v>
      </c>
      <c r="Q115" s="1">
        <v>2030</v>
      </c>
      <c r="R115" s="1">
        <v>2031</v>
      </c>
      <c r="S115" s="1">
        <v>2032</v>
      </c>
      <c r="T115" s="1">
        <v>2033</v>
      </c>
      <c r="U115" s="1">
        <v>2034</v>
      </c>
      <c r="V115" s="1">
        <v>2035</v>
      </c>
      <c r="W115" s="1">
        <v>2036</v>
      </c>
      <c r="X115" s="1">
        <v>2037</v>
      </c>
      <c r="Y115" s="1">
        <v>2038</v>
      </c>
      <c r="Z115" s="1">
        <v>2039</v>
      </c>
      <c r="AA115" s="1">
        <v>2040</v>
      </c>
      <c r="AB115" s="1">
        <v>2041</v>
      </c>
      <c r="AC115" s="1">
        <v>2042</v>
      </c>
      <c r="AD115" s="1">
        <v>2043</v>
      </c>
      <c r="AE115" s="1">
        <v>2044</v>
      </c>
      <c r="AF115" s="1">
        <v>2045</v>
      </c>
      <c r="AG115" s="1">
        <v>2046</v>
      </c>
      <c r="AH115" s="1">
        <v>2047</v>
      </c>
      <c r="AI115" s="1">
        <v>2048</v>
      </c>
      <c r="AJ115" s="1">
        <v>2049</v>
      </c>
      <c r="AK115" s="1">
        <v>2050</v>
      </c>
      <c r="AL115" s="1">
        <v>2051</v>
      </c>
      <c r="AM115" s="1">
        <v>2052</v>
      </c>
      <c r="AN115" s="1">
        <v>2053</v>
      </c>
      <c r="AO115" s="1">
        <v>2054</v>
      </c>
      <c r="AP115" s="1">
        <v>2055</v>
      </c>
      <c r="AQ115" s="1">
        <v>2056</v>
      </c>
      <c r="AR115" s="1">
        <v>2057</v>
      </c>
      <c r="AS115" s="1">
        <v>2058</v>
      </c>
      <c r="AT115" s="1">
        <v>2059</v>
      </c>
      <c r="AU115" s="1">
        <v>2060</v>
      </c>
      <c r="AV115" s="1">
        <v>2061</v>
      </c>
      <c r="AW115" s="1">
        <v>2062</v>
      </c>
      <c r="AX115" s="1">
        <v>2063</v>
      </c>
      <c r="AY115" s="1">
        <v>2064</v>
      </c>
      <c r="AZ115" s="1">
        <v>2065</v>
      </c>
      <c r="BA115" s="1">
        <v>2066</v>
      </c>
      <c r="BB115" s="1">
        <v>2067</v>
      </c>
      <c r="BC115" s="1">
        <v>2068</v>
      </c>
      <c r="BD115" s="1">
        <v>2069</v>
      </c>
      <c r="BE115" s="1">
        <v>2070</v>
      </c>
    </row>
    <row r="116" spans="1:57">
      <c r="A116" t="s">
        <v>58</v>
      </c>
      <c r="B116" t="s">
        <v>432</v>
      </c>
      <c r="C116" t="s">
        <v>433</v>
      </c>
      <c r="D116">
        <f>G6</f>
        <v>16.218950595318944</v>
      </c>
      <c r="E116">
        <f t="shared" ref="E116:H119" si="13">($I116-$D116)/5+D116</f>
        <v>16.739721788663086</v>
      </c>
      <c r="F116">
        <f t="shared" si="13"/>
        <v>17.260492982007229</v>
      </c>
      <c r="G116">
        <f t="shared" si="13"/>
        <v>17.781264175351371</v>
      </c>
      <c r="H116">
        <f t="shared" si="13"/>
        <v>18.302035368695513</v>
      </c>
      <c r="I116">
        <f>H6</f>
        <v>18.822806562039663</v>
      </c>
      <c r="J116">
        <f t="shared" ref="J116:M119" si="14">($N116-$I116)/5+I116</f>
        <v>21.268053909202532</v>
      </c>
      <c r="K116">
        <f t="shared" si="14"/>
        <v>23.713301256365401</v>
      </c>
      <c r="L116">
        <f t="shared" si="14"/>
        <v>26.158548603528271</v>
      </c>
      <c r="M116">
        <f t="shared" si="14"/>
        <v>28.60379595069114</v>
      </c>
      <c r="N116">
        <f>I6</f>
        <v>31.049043297854016</v>
      </c>
      <c r="O116">
        <f t="shared" ref="O116:R119" si="15">($S116-$N116)/5+N116</f>
        <v>35.007158163143401</v>
      </c>
      <c r="P116">
        <f t="shared" si="15"/>
        <v>38.965273028432783</v>
      </c>
      <c r="Q116">
        <f t="shared" si="15"/>
        <v>42.923387893722165</v>
      </c>
      <c r="R116">
        <f t="shared" si="15"/>
        <v>46.881502759011546</v>
      </c>
      <c r="S116">
        <f>J6</f>
        <v>50.839617624300928</v>
      </c>
      <c r="T116">
        <f t="shared" ref="T116:W119" si="16">($X116-$S116)/5+S116</f>
        <v>55.919020759331417</v>
      </c>
      <c r="U116">
        <f t="shared" si="16"/>
        <v>60.998423894361906</v>
      </c>
      <c r="V116">
        <f t="shared" si="16"/>
        <v>66.077827029392395</v>
      </c>
      <c r="W116">
        <f t="shared" si="16"/>
        <v>71.157230164422884</v>
      </c>
      <c r="X116">
        <f>K6</f>
        <v>76.236633299453374</v>
      </c>
      <c r="Y116">
        <f t="shared" ref="Y116:AB119" si="17">($AC116-$X116)/5+X116</f>
        <v>82.545175674389085</v>
      </c>
      <c r="Z116">
        <f t="shared" si="17"/>
        <v>88.853718049324797</v>
      </c>
      <c r="AA116">
        <f t="shared" si="17"/>
        <v>95.162260424260509</v>
      </c>
      <c r="AB116">
        <f t="shared" si="17"/>
        <v>101.47080279919622</v>
      </c>
      <c r="AC116">
        <f>L6</f>
        <v>107.77934517413192</v>
      </c>
      <c r="AD116">
        <f t="shared" ref="AD116:AG119" si="18">($AH116-$AC116)/5+AC116</f>
        <v>115.43541932454187</v>
      </c>
      <c r="AE116">
        <f t="shared" si="18"/>
        <v>123.09149347495182</v>
      </c>
      <c r="AF116">
        <f t="shared" si="18"/>
        <v>130.74756762536177</v>
      </c>
      <c r="AG116">
        <f t="shared" si="18"/>
        <v>138.40364177577172</v>
      </c>
      <c r="AH116">
        <f>M6</f>
        <v>146.05971592618167</v>
      </c>
      <c r="AI116">
        <f t="shared" ref="AI116:AK119" si="19">($AH116-$AC116)/5+AH116</f>
        <v>153.71579007659162</v>
      </c>
      <c r="AJ116">
        <f t="shared" si="19"/>
        <v>161.37186422700157</v>
      </c>
      <c r="AK116">
        <f t="shared" si="19"/>
        <v>169.02793837741152</v>
      </c>
      <c r="AL116">
        <f t="shared" ref="AL116:AL119" si="20">($AH116-$AC116)/5+AK116</f>
        <v>176.68401252782147</v>
      </c>
      <c r="AM116">
        <f t="shared" ref="AM116:AM119" si="21">($AH116-$AC116)/5+AL116</f>
        <v>184.34008667823142</v>
      </c>
      <c r="AN116">
        <f t="shared" ref="AN116:AN119" si="22">($AH116-$AC116)/5+AM116</f>
        <v>191.99616082864137</v>
      </c>
      <c r="AO116">
        <f t="shared" ref="AO116:AO119" si="23">($AH116-$AC116)/5+AN116</f>
        <v>199.65223497905131</v>
      </c>
      <c r="AP116">
        <f t="shared" ref="AP116:AP119" si="24">($AH116-$AC116)/5+AO116</f>
        <v>207.30830912946126</v>
      </c>
      <c r="AQ116">
        <f t="shared" ref="AQ116:AQ119" si="25">($AH116-$AC116)/5+AP116</f>
        <v>214.96438327987121</v>
      </c>
      <c r="AR116">
        <f t="shared" ref="AR116:AR119" si="26">($AH116-$AC116)/5+AQ116</f>
        <v>222.62045743028116</v>
      </c>
      <c r="AS116">
        <f t="shared" ref="AS116:AS119" si="27">($AH116-$AC116)/5+AR116</f>
        <v>230.27653158069111</v>
      </c>
      <c r="AT116">
        <f t="shared" ref="AT116:AT119" si="28">($AH116-$AC116)/5+AS116</f>
        <v>237.93260573110106</v>
      </c>
      <c r="AU116">
        <f t="shared" ref="AU116:AU119" si="29">($AH116-$AC116)/5+AT116</f>
        <v>245.58867988151101</v>
      </c>
      <c r="AV116">
        <f t="shared" ref="AV116:AV119" si="30">($AH116-$AC116)/5+AU116</f>
        <v>253.24475403192096</v>
      </c>
      <c r="AW116">
        <f t="shared" ref="AW116:AW119" si="31">($AH116-$AC116)/5+AV116</f>
        <v>260.90082818233088</v>
      </c>
      <c r="AX116">
        <f t="shared" ref="AX116:AX119" si="32">($AH116-$AC116)/5+AW116</f>
        <v>268.55690233274083</v>
      </c>
      <c r="AY116">
        <f t="shared" ref="AY116:AY119" si="33">($AH116-$AC116)/5+AX116</f>
        <v>276.21297648315078</v>
      </c>
      <c r="AZ116">
        <f t="shared" ref="AZ116:AZ119" si="34">($AH116-$AC116)/5+AY116</f>
        <v>283.86905063356073</v>
      </c>
      <c r="BA116">
        <f t="shared" ref="BA116:BA119" si="35">($AH116-$AC116)/5+AZ116</f>
        <v>291.52512478397068</v>
      </c>
      <c r="BB116">
        <f t="shared" ref="BB116:BB119" si="36">($AH116-$AC116)/5+BA116</f>
        <v>299.18119893438063</v>
      </c>
      <c r="BC116">
        <f t="shared" ref="BC116:BC119" si="37">($AH116-$AC116)/5+BB116</f>
        <v>306.83727308479058</v>
      </c>
      <c r="BD116">
        <f t="shared" ref="BD116:BD119" si="38">($AH116-$AC116)/5+BC116</f>
        <v>314.49334723520053</v>
      </c>
      <c r="BE116">
        <f t="shared" ref="BE116:BE119" si="39">($AH116-$AC116)/5+BD116</f>
        <v>322.14942138561048</v>
      </c>
    </row>
    <row r="117" spans="1:57">
      <c r="A117" t="s">
        <v>58</v>
      </c>
      <c r="B117" t="s">
        <v>364</v>
      </c>
      <c r="C117" t="s">
        <v>433</v>
      </c>
      <c r="D117">
        <f>G15</f>
        <v>39.659084791767427</v>
      </c>
      <c r="E117">
        <f>($I117-$D117)/5+D117</f>
        <v>39.940411387354331</v>
      </c>
      <c r="F117">
        <f t="shared" si="13"/>
        <v>40.221737982941235</v>
      </c>
      <c r="G117">
        <f t="shared" si="13"/>
        <v>40.503064578528139</v>
      </c>
      <c r="H117">
        <f t="shared" si="13"/>
        <v>40.784391174115044</v>
      </c>
      <c r="I117">
        <f>H15</f>
        <v>41.065717769701955</v>
      </c>
      <c r="J117">
        <f t="shared" si="14"/>
        <v>42.250026478735663</v>
      </c>
      <c r="K117">
        <f t="shared" si="14"/>
        <v>43.434335187769371</v>
      </c>
      <c r="L117">
        <f t="shared" si="14"/>
        <v>44.618643896803079</v>
      </c>
      <c r="M117">
        <f t="shared" si="14"/>
        <v>45.802952605836786</v>
      </c>
      <c r="N117">
        <f>I15</f>
        <v>46.987261314870508</v>
      </c>
      <c r="O117">
        <f t="shared" si="15"/>
        <v>48.599023270643734</v>
      </c>
      <c r="P117">
        <f t="shared" si="15"/>
        <v>50.210785226416959</v>
      </c>
      <c r="Q117">
        <f t="shared" si="15"/>
        <v>51.822547182190185</v>
      </c>
      <c r="R117">
        <f t="shared" si="15"/>
        <v>53.43430913796341</v>
      </c>
      <c r="S117">
        <f>J15</f>
        <v>55.046071093736629</v>
      </c>
      <c r="T117">
        <f t="shared" si="16"/>
        <v>56.793247566381211</v>
      </c>
      <c r="U117">
        <f t="shared" si="16"/>
        <v>58.540424039025794</v>
      </c>
      <c r="V117">
        <f t="shared" si="16"/>
        <v>60.287600511670377</v>
      </c>
      <c r="W117">
        <f t="shared" si="16"/>
        <v>62.034776984314959</v>
      </c>
      <c r="X117">
        <f>K15</f>
        <v>63.781953456959535</v>
      </c>
      <c r="Y117">
        <f t="shared" si="17"/>
        <v>65.652456314289395</v>
      </c>
      <c r="Z117">
        <f t="shared" si="17"/>
        <v>67.522959171619249</v>
      </c>
      <c r="AA117">
        <f t="shared" si="17"/>
        <v>69.393462028949102</v>
      </c>
      <c r="AB117">
        <f t="shared" si="17"/>
        <v>71.263964886278956</v>
      </c>
      <c r="AC117">
        <f>L15</f>
        <v>73.134467743608823</v>
      </c>
      <c r="AD117">
        <f t="shared" si="18"/>
        <v>75.135920595039067</v>
      </c>
      <c r="AE117">
        <f t="shared" si="18"/>
        <v>77.137373446469311</v>
      </c>
      <c r="AF117">
        <f t="shared" si="18"/>
        <v>79.138826297899556</v>
      </c>
      <c r="AG117">
        <f t="shared" si="18"/>
        <v>81.1402791493298</v>
      </c>
      <c r="AH117">
        <f>M15</f>
        <v>83.141732000760072</v>
      </c>
      <c r="AI117">
        <f t="shared" si="19"/>
        <v>85.143184852190316</v>
      </c>
      <c r="AJ117">
        <f t="shared" si="19"/>
        <v>87.14463770362056</v>
      </c>
      <c r="AK117">
        <f t="shared" si="19"/>
        <v>89.146090555050804</v>
      </c>
      <c r="AL117">
        <f t="shared" si="20"/>
        <v>91.147543406481049</v>
      </c>
      <c r="AM117">
        <f t="shared" si="21"/>
        <v>93.148996257911293</v>
      </c>
      <c r="AN117">
        <f t="shared" si="22"/>
        <v>95.150449109341537</v>
      </c>
      <c r="AO117">
        <f t="shared" si="23"/>
        <v>97.151901960771781</v>
      </c>
      <c r="AP117">
        <f t="shared" si="24"/>
        <v>99.153354812202025</v>
      </c>
      <c r="AQ117">
        <f t="shared" si="25"/>
        <v>101.15480766363227</v>
      </c>
      <c r="AR117">
        <f t="shared" si="26"/>
        <v>103.15626051506251</v>
      </c>
      <c r="AS117">
        <f t="shared" si="27"/>
        <v>105.15771336649276</v>
      </c>
      <c r="AT117">
        <f t="shared" si="28"/>
        <v>107.159166217923</v>
      </c>
      <c r="AU117">
        <f t="shared" si="29"/>
        <v>109.16061906935325</v>
      </c>
      <c r="AV117">
        <f t="shared" si="30"/>
        <v>111.16207192078349</v>
      </c>
      <c r="AW117">
        <f t="shared" si="31"/>
        <v>113.16352477221373</v>
      </c>
      <c r="AX117">
        <f t="shared" si="32"/>
        <v>115.16497762364398</v>
      </c>
      <c r="AY117">
        <f t="shared" si="33"/>
        <v>117.16643047507422</v>
      </c>
      <c r="AZ117">
        <f t="shared" si="34"/>
        <v>119.16788332650447</v>
      </c>
      <c r="BA117">
        <f t="shared" si="35"/>
        <v>121.16933617793471</v>
      </c>
      <c r="BB117">
        <f t="shared" si="36"/>
        <v>123.17078902936495</v>
      </c>
      <c r="BC117">
        <f t="shared" si="37"/>
        <v>125.1722418807952</v>
      </c>
      <c r="BD117">
        <f t="shared" si="38"/>
        <v>127.17369473222544</v>
      </c>
      <c r="BE117">
        <f t="shared" si="39"/>
        <v>129.1751475836557</v>
      </c>
    </row>
    <row r="118" spans="1:57">
      <c r="A118" t="s">
        <v>58</v>
      </c>
      <c r="B118" t="s">
        <v>434</v>
      </c>
      <c r="C118" t="s">
        <v>433</v>
      </c>
      <c r="D118">
        <f>SUM(G5,G22,G28,G33,-G108)</f>
        <v>129.67873511449491</v>
      </c>
      <c r="E118">
        <f t="shared" si="13"/>
        <v>136.98432831816257</v>
      </c>
      <c r="F118">
        <f t="shared" si="13"/>
        <v>144.28992152183022</v>
      </c>
      <c r="G118">
        <f t="shared" si="13"/>
        <v>151.59551472549788</v>
      </c>
      <c r="H118">
        <f t="shared" si="13"/>
        <v>158.90110792916553</v>
      </c>
      <c r="I118">
        <f>SUM(H5,H22,H28,H33,-H108)</f>
        <v>166.20670113283319</v>
      </c>
      <c r="J118">
        <f t="shared" si="14"/>
        <v>175.86352849631535</v>
      </c>
      <c r="K118">
        <f t="shared" si="14"/>
        <v>185.52035585979752</v>
      </c>
      <c r="L118">
        <f t="shared" si="14"/>
        <v>195.17718322327968</v>
      </c>
      <c r="M118">
        <f t="shared" si="14"/>
        <v>204.83401058676185</v>
      </c>
      <c r="N118">
        <f>SUM(I5,I22,I28,I33,-I108)</f>
        <v>214.49083795024404</v>
      </c>
      <c r="O118">
        <f t="shared" si="15"/>
        <v>225.28401988913336</v>
      </c>
      <c r="P118">
        <f t="shared" si="15"/>
        <v>236.07720182802268</v>
      </c>
      <c r="Q118">
        <f t="shared" si="15"/>
        <v>246.870383766912</v>
      </c>
      <c r="R118">
        <f t="shared" si="15"/>
        <v>257.66356570580132</v>
      </c>
      <c r="S118">
        <f>SUM(J5,J22,J28,J33,-J108)</f>
        <v>268.45674764469061</v>
      </c>
      <c r="T118">
        <f t="shared" si="16"/>
        <v>276.55896786170143</v>
      </c>
      <c r="U118">
        <f t="shared" si="16"/>
        <v>284.66118807871226</v>
      </c>
      <c r="V118">
        <f t="shared" si="16"/>
        <v>292.76340829572308</v>
      </c>
      <c r="W118">
        <f t="shared" si="16"/>
        <v>300.86562851273391</v>
      </c>
      <c r="X118">
        <f>SUM(K5,K22,K28,K33,-K108)</f>
        <v>308.96784872974479</v>
      </c>
      <c r="Y118">
        <f t="shared" si="17"/>
        <v>318.66559644452826</v>
      </c>
      <c r="Z118">
        <f t="shared" si="17"/>
        <v>328.36334415931174</v>
      </c>
      <c r="AA118">
        <f t="shared" si="17"/>
        <v>338.06109187409521</v>
      </c>
      <c r="AB118">
        <f t="shared" si="17"/>
        <v>347.75883958887869</v>
      </c>
      <c r="AC118">
        <f>SUM(L5,L22,L28,L33,-L108)</f>
        <v>357.45658730366205</v>
      </c>
      <c r="AD118">
        <f t="shared" si="18"/>
        <v>367.36994327996331</v>
      </c>
      <c r="AE118">
        <f t="shared" si="18"/>
        <v>377.28329925626457</v>
      </c>
      <c r="AF118">
        <f t="shared" si="18"/>
        <v>387.19665523256583</v>
      </c>
      <c r="AG118">
        <f t="shared" si="18"/>
        <v>397.11001120886709</v>
      </c>
      <c r="AH118">
        <f>SUM(M5,M22,M28,M33,-M108)</f>
        <v>407.02336718516841</v>
      </c>
      <c r="AI118">
        <f t="shared" si="19"/>
        <v>416.93672316146967</v>
      </c>
      <c r="AJ118">
        <f t="shared" si="19"/>
        <v>426.85007913777093</v>
      </c>
      <c r="AK118">
        <f t="shared" si="19"/>
        <v>436.76343511407219</v>
      </c>
      <c r="AL118">
        <f t="shared" si="20"/>
        <v>446.67679109037346</v>
      </c>
      <c r="AM118">
        <f t="shared" si="21"/>
        <v>456.59014706667472</v>
      </c>
      <c r="AN118">
        <f t="shared" si="22"/>
        <v>466.50350304297598</v>
      </c>
      <c r="AO118">
        <f t="shared" si="23"/>
        <v>476.41685901927724</v>
      </c>
      <c r="AP118">
        <f t="shared" si="24"/>
        <v>486.3302149955785</v>
      </c>
      <c r="AQ118">
        <f t="shared" si="25"/>
        <v>496.24357097187976</v>
      </c>
      <c r="AR118">
        <f t="shared" si="26"/>
        <v>506.15692694818102</v>
      </c>
      <c r="AS118">
        <f t="shared" si="27"/>
        <v>516.07028292448229</v>
      </c>
      <c r="AT118">
        <f t="shared" si="28"/>
        <v>525.9836389007836</v>
      </c>
      <c r="AU118">
        <f t="shared" si="29"/>
        <v>535.89699487708492</v>
      </c>
      <c r="AV118">
        <f t="shared" si="30"/>
        <v>545.81035085338624</v>
      </c>
      <c r="AW118">
        <f t="shared" si="31"/>
        <v>555.72370682968756</v>
      </c>
      <c r="AX118">
        <f t="shared" si="32"/>
        <v>565.63706280598888</v>
      </c>
      <c r="AY118">
        <f t="shared" si="33"/>
        <v>575.55041878229019</v>
      </c>
      <c r="AZ118">
        <f t="shared" si="34"/>
        <v>585.46377475859151</v>
      </c>
      <c r="BA118">
        <f t="shared" si="35"/>
        <v>595.37713073489283</v>
      </c>
      <c r="BB118">
        <f t="shared" si="36"/>
        <v>605.29048671119415</v>
      </c>
      <c r="BC118">
        <f t="shared" si="37"/>
        <v>615.20384268749547</v>
      </c>
      <c r="BD118">
        <f t="shared" si="38"/>
        <v>625.11719866379678</v>
      </c>
      <c r="BE118">
        <f t="shared" si="39"/>
        <v>635.0305546400981</v>
      </c>
    </row>
    <row r="119" spans="1:57">
      <c r="A119" t="s">
        <v>58</v>
      </c>
      <c r="B119" t="s">
        <v>435</v>
      </c>
      <c r="C119" t="s">
        <v>433</v>
      </c>
      <c r="D119" s="26">
        <f>H34</f>
        <v>42.931820310047556</v>
      </c>
      <c r="E119">
        <f t="shared" si="13"/>
        <v>42.931820310047556</v>
      </c>
      <c r="F119">
        <f t="shared" si="13"/>
        <v>42.931820310047556</v>
      </c>
      <c r="G119">
        <f t="shared" si="13"/>
        <v>42.931820310047556</v>
      </c>
      <c r="H119">
        <f t="shared" si="13"/>
        <v>42.931820310047556</v>
      </c>
      <c r="I119">
        <f>H34</f>
        <v>42.931820310047556</v>
      </c>
      <c r="J119">
        <f t="shared" si="14"/>
        <v>48.245940562766293</v>
      </c>
      <c r="K119">
        <f t="shared" si="14"/>
        <v>53.560060815485031</v>
      </c>
      <c r="L119">
        <f t="shared" si="14"/>
        <v>58.874181068203768</v>
      </c>
      <c r="M119">
        <f t="shared" si="14"/>
        <v>64.188301320922506</v>
      </c>
      <c r="N119">
        <f>I34</f>
        <v>69.502421573641229</v>
      </c>
      <c r="O119">
        <f t="shared" si="15"/>
        <v>77.694509483477233</v>
      </c>
      <c r="P119">
        <f t="shared" si="15"/>
        <v>85.886597393313238</v>
      </c>
      <c r="Q119">
        <f t="shared" si="15"/>
        <v>94.078685303149243</v>
      </c>
      <c r="R119">
        <f t="shared" si="15"/>
        <v>102.27077321298525</v>
      </c>
      <c r="S119">
        <f>J34</f>
        <v>110.46286112282122</v>
      </c>
      <c r="T119">
        <f t="shared" si="16"/>
        <v>122.83371430855728</v>
      </c>
      <c r="U119">
        <f t="shared" si="16"/>
        <v>135.20456749429334</v>
      </c>
      <c r="V119">
        <f t="shared" si="16"/>
        <v>147.5754206800294</v>
      </c>
      <c r="W119">
        <f t="shared" si="16"/>
        <v>159.94627386576545</v>
      </c>
      <c r="X119">
        <f>K34</f>
        <v>172.3171270515015</v>
      </c>
      <c r="Y119">
        <f t="shared" si="17"/>
        <v>185.65596055879624</v>
      </c>
      <c r="Z119">
        <f t="shared" si="17"/>
        <v>198.99479406609098</v>
      </c>
      <c r="AA119">
        <f t="shared" si="17"/>
        <v>212.33362757338571</v>
      </c>
      <c r="AB119">
        <f t="shared" si="17"/>
        <v>225.67246108068045</v>
      </c>
      <c r="AC119">
        <f>L34</f>
        <v>239.01129458797513</v>
      </c>
      <c r="AD119">
        <f t="shared" si="18"/>
        <v>253.46532559895385</v>
      </c>
      <c r="AE119">
        <f t="shared" si="18"/>
        <v>267.91935660993255</v>
      </c>
      <c r="AF119">
        <f t="shared" si="18"/>
        <v>282.37338762091127</v>
      </c>
      <c r="AG119">
        <f t="shared" si="18"/>
        <v>296.82741863189</v>
      </c>
      <c r="AH119">
        <f>M34</f>
        <v>311.28144964286872</v>
      </c>
      <c r="AI119">
        <f t="shared" si="19"/>
        <v>325.73548065384745</v>
      </c>
      <c r="AJ119">
        <f t="shared" si="19"/>
        <v>340.18951166482617</v>
      </c>
      <c r="AK119">
        <f t="shared" si="19"/>
        <v>354.64354267580489</v>
      </c>
      <c r="AL119">
        <f t="shared" si="20"/>
        <v>369.09757368678362</v>
      </c>
      <c r="AM119">
        <f t="shared" si="21"/>
        <v>383.55160469776234</v>
      </c>
      <c r="AN119">
        <f t="shared" si="22"/>
        <v>398.00563570874107</v>
      </c>
      <c r="AO119">
        <f t="shared" si="23"/>
        <v>412.45966671971979</v>
      </c>
      <c r="AP119">
        <f t="shared" si="24"/>
        <v>426.91369773069852</v>
      </c>
      <c r="AQ119">
        <f t="shared" si="25"/>
        <v>441.36772874167724</v>
      </c>
      <c r="AR119">
        <f t="shared" si="26"/>
        <v>455.82175975265596</v>
      </c>
      <c r="AS119">
        <f t="shared" si="27"/>
        <v>470.27579076363469</v>
      </c>
      <c r="AT119">
        <f t="shared" si="28"/>
        <v>484.72982177461341</v>
      </c>
      <c r="AU119">
        <f t="shared" si="29"/>
        <v>499.18385278559214</v>
      </c>
      <c r="AV119">
        <f t="shared" si="30"/>
        <v>513.6378837965708</v>
      </c>
      <c r="AW119">
        <f t="shared" si="31"/>
        <v>528.09191480754953</v>
      </c>
      <c r="AX119">
        <f t="shared" si="32"/>
        <v>542.54594581852825</v>
      </c>
      <c r="AY119">
        <f t="shared" si="33"/>
        <v>556.99997682950698</v>
      </c>
      <c r="AZ119">
        <f t="shared" si="34"/>
        <v>571.4540078404857</v>
      </c>
      <c r="BA119">
        <f t="shared" si="35"/>
        <v>585.90803885146443</v>
      </c>
      <c r="BB119">
        <f t="shared" si="36"/>
        <v>600.36206986244315</v>
      </c>
      <c r="BC119">
        <f t="shared" si="37"/>
        <v>614.81610087342187</v>
      </c>
      <c r="BD119">
        <f t="shared" si="38"/>
        <v>629.2701318844006</v>
      </c>
      <c r="BE119">
        <f t="shared" si="39"/>
        <v>643.72416289537932</v>
      </c>
    </row>
    <row r="120" spans="1:57">
      <c r="AH120">
        <f>SUM(AH116:AH119)</f>
        <v>947.50626475497893</v>
      </c>
    </row>
    <row r="121" spans="1:57" s="2" customFormat="1">
      <c r="A121" s="2" t="s">
        <v>409</v>
      </c>
    </row>
    <row r="122" spans="1:57">
      <c r="A122" t="s">
        <v>399</v>
      </c>
      <c r="B122" t="s">
        <v>436</v>
      </c>
      <c r="C122" t="s">
        <v>437</v>
      </c>
      <c r="D122">
        <f>-G99</f>
        <v>79.173519192738695</v>
      </c>
      <c r="E122">
        <f t="shared" ref="E122:H122" si="40">($I122-$D122)/5+D122</f>
        <v>80.54915434473412</v>
      </c>
      <c r="F122">
        <f t="shared" si="40"/>
        <v>81.924789496729545</v>
      </c>
      <c r="G122">
        <f t="shared" si="40"/>
        <v>83.30042464872497</v>
      </c>
      <c r="H122">
        <f t="shared" si="40"/>
        <v>84.676059800720395</v>
      </c>
      <c r="I122">
        <f>-H99</f>
        <v>86.051694952715806</v>
      </c>
      <c r="J122">
        <f t="shared" ref="J122:M122" si="41">($N122-$I122)/5+I122</f>
        <v>86.1159667143897</v>
      </c>
      <c r="K122">
        <f t="shared" si="41"/>
        <v>86.180238476063593</v>
      </c>
      <c r="L122">
        <f t="shared" si="41"/>
        <v>86.244510237737487</v>
      </c>
      <c r="M122">
        <f t="shared" si="41"/>
        <v>86.30878199941138</v>
      </c>
      <c r="N122">
        <f>-I99</f>
        <v>86.373053761085302</v>
      </c>
      <c r="O122">
        <f t="shared" ref="O122:R122" si="42">($S122-$N122)/5+N122</f>
        <v>87.069724478978628</v>
      </c>
      <c r="P122">
        <f t="shared" si="42"/>
        <v>87.766395196871954</v>
      </c>
      <c r="Q122">
        <f t="shared" si="42"/>
        <v>88.463065914765281</v>
      </c>
      <c r="R122">
        <f t="shared" si="42"/>
        <v>89.159736632658607</v>
      </c>
      <c r="S122">
        <f>-J99</f>
        <v>89.856407350551905</v>
      </c>
      <c r="T122">
        <f t="shared" ref="T122:W122" si="43">($X122-$S122)/5+S122</f>
        <v>90.815127318448944</v>
      </c>
      <c r="U122">
        <f t="shared" si="43"/>
        <v>91.773847286345983</v>
      </c>
      <c r="V122">
        <f t="shared" si="43"/>
        <v>92.732567254243023</v>
      </c>
      <c r="W122">
        <f t="shared" si="43"/>
        <v>93.691287222140062</v>
      </c>
      <c r="X122">
        <f>-K99</f>
        <v>94.65000719003713</v>
      </c>
      <c r="Y122">
        <f t="shared" ref="Y122:AB122" si="44">($AC122-$X122)/5+X122</f>
        <v>93.400180432819099</v>
      </c>
      <c r="Z122">
        <f t="shared" si="44"/>
        <v>92.150353675601067</v>
      </c>
      <c r="AA122">
        <f t="shared" si="44"/>
        <v>90.900526918383036</v>
      </c>
      <c r="AB122">
        <f t="shared" si="44"/>
        <v>89.650700161165005</v>
      </c>
      <c r="AC122">
        <f>-L99</f>
        <v>88.40087340394696</v>
      </c>
      <c r="AD122">
        <f t="shared" ref="AD122:AG122" si="45">($AH122-$AC122)/5+AC122</f>
        <v>88.152509767763163</v>
      </c>
      <c r="AE122">
        <f t="shared" si="45"/>
        <v>87.904146131579367</v>
      </c>
      <c r="AF122">
        <f t="shared" si="45"/>
        <v>87.65578249539557</v>
      </c>
      <c r="AG122">
        <f t="shared" si="45"/>
        <v>87.407418859211774</v>
      </c>
      <c r="AH122">
        <f>-M99</f>
        <v>87.159055223027963</v>
      </c>
      <c r="AI122">
        <f t="shared" ref="AI122:AK122" si="46">($AH122-$AC122)/5+AH122</f>
        <v>86.910691586844166</v>
      </c>
      <c r="AJ122">
        <f t="shared" si="46"/>
        <v>86.662327950660369</v>
      </c>
      <c r="AK122">
        <f t="shared" si="46"/>
        <v>86.413964314476573</v>
      </c>
      <c r="AL122">
        <f t="shared" ref="AL122:AL127" si="47">($AH122-$AC122)/5+AK122</f>
        <v>86.165600678292776</v>
      </c>
      <c r="AM122">
        <f t="shared" ref="AM122:AM127" si="48">($AH122-$AC122)/5+AL122</f>
        <v>85.917237042108979</v>
      </c>
      <c r="AN122">
        <f t="shared" ref="AN122:AN127" si="49">($AH122-$AC122)/5+AM122</f>
        <v>85.668873405925183</v>
      </c>
      <c r="AO122">
        <f t="shared" ref="AO122:AO127" si="50">($AH122-$AC122)/5+AN122</f>
        <v>85.420509769741386</v>
      </c>
      <c r="AP122">
        <f t="shared" ref="AP122:AP127" si="51">($AH122-$AC122)/5+AO122</f>
        <v>85.17214613355759</v>
      </c>
      <c r="AQ122">
        <f t="shared" ref="AQ122:AQ127" si="52">($AH122-$AC122)/5+AP122</f>
        <v>84.923782497373793</v>
      </c>
      <c r="AR122">
        <f t="shared" ref="AR122:AR127" si="53">($AH122-$AC122)/5+AQ122</f>
        <v>84.675418861189996</v>
      </c>
      <c r="AS122">
        <f t="shared" ref="AS122:AS127" si="54">($AH122-$AC122)/5+AR122</f>
        <v>84.4270552250062</v>
      </c>
      <c r="AT122">
        <f t="shared" ref="AT122:AT127" si="55">($AH122-$AC122)/5+AS122</f>
        <v>84.178691588822403</v>
      </c>
      <c r="AU122">
        <f t="shared" ref="AU122:AU127" si="56">($AH122-$AC122)/5+AT122</f>
        <v>83.930327952638606</v>
      </c>
      <c r="AV122">
        <f t="shared" ref="AV122:AV127" si="57">($AH122-$AC122)/5+AU122</f>
        <v>83.68196431645481</v>
      </c>
      <c r="AW122">
        <f t="shared" ref="AW122:AW127" si="58">($AH122-$AC122)/5+AV122</f>
        <v>83.433600680271013</v>
      </c>
      <c r="AX122">
        <f t="shared" ref="AX122:AX127" si="59">($AH122-$AC122)/5+AW122</f>
        <v>83.185237044087216</v>
      </c>
      <c r="AY122">
        <f t="shared" ref="AY122:AY127" si="60">($AH122-$AC122)/5+AX122</f>
        <v>82.93687340790342</v>
      </c>
      <c r="AZ122">
        <f t="shared" ref="AZ122:AZ127" si="61">($AH122-$AC122)/5+AY122</f>
        <v>82.688509771719623</v>
      </c>
      <c r="BA122">
        <f t="shared" ref="BA122:BA127" si="62">($AH122-$AC122)/5+AZ122</f>
        <v>82.440146135535826</v>
      </c>
      <c r="BB122">
        <f t="shared" ref="BB122:BB127" si="63">($AH122-$AC122)/5+BA122</f>
        <v>82.19178249935203</v>
      </c>
      <c r="BC122">
        <f t="shared" ref="BC122:BC127" si="64">($AH122-$AC122)/5+BB122</f>
        <v>81.943418863168233</v>
      </c>
      <c r="BD122">
        <f t="shared" ref="BD122:BD127" si="65">($AH122-$AC122)/5+BC122</f>
        <v>81.695055226984437</v>
      </c>
      <c r="BE122">
        <f t="shared" ref="BE122:BE127" si="66">($AH122-$AC122)/5+BD122</f>
        <v>81.44669159080064</v>
      </c>
    </row>
    <row r="123" spans="1:57">
      <c r="A123" t="s">
        <v>423</v>
      </c>
      <c r="B123" t="s">
        <v>436</v>
      </c>
      <c r="C123" t="s">
        <v>437</v>
      </c>
      <c r="D123">
        <f>-G98</f>
        <v>88.429821776953617</v>
      </c>
      <c r="E123">
        <f t="shared" ref="E123:H123" si="67">($I123-$D123)/5+D123</f>
        <v>82.113241787352578</v>
      </c>
      <c r="F123">
        <f t="shared" si="67"/>
        <v>75.79666179775154</v>
      </c>
      <c r="G123">
        <f t="shared" si="67"/>
        <v>69.480081808150501</v>
      </c>
      <c r="H123">
        <f t="shared" si="67"/>
        <v>63.16350181854947</v>
      </c>
      <c r="I123">
        <f>-H98</f>
        <v>56.846921828948446</v>
      </c>
      <c r="J123">
        <f t="shared" ref="J123:M123" si="68">($N123-$I123)/5+I123</f>
        <v>49.979892376287289</v>
      </c>
      <c r="K123">
        <f t="shared" si="68"/>
        <v>43.112862923626132</v>
      </c>
      <c r="L123">
        <f t="shared" si="68"/>
        <v>36.245833470964975</v>
      </c>
      <c r="M123">
        <f t="shared" si="68"/>
        <v>29.378804018303814</v>
      </c>
      <c r="N123">
        <f>-I98</f>
        <v>22.51177456564265</v>
      </c>
      <c r="O123">
        <f t="shared" ref="O123:R123" si="69">($S123-$N123)/5+N123</f>
        <v>20.174371010081835</v>
      </c>
      <c r="P123">
        <f t="shared" si="69"/>
        <v>17.836967454521016</v>
      </c>
      <c r="Q123">
        <f t="shared" si="69"/>
        <v>15.499563898960199</v>
      </c>
      <c r="R123">
        <f t="shared" si="69"/>
        <v>13.162160343399382</v>
      </c>
      <c r="S123">
        <f>-J98</f>
        <v>10.824756787838565</v>
      </c>
      <c r="T123">
        <f t="shared" ref="T123:W123" si="70">($X123-$S123)/5+S123</f>
        <v>8.6598054302708523</v>
      </c>
      <c r="U123">
        <f t="shared" si="70"/>
        <v>6.4948540727031396</v>
      </c>
      <c r="V123">
        <f t="shared" si="70"/>
        <v>4.329902715135427</v>
      </c>
      <c r="W123">
        <f t="shared" si="70"/>
        <v>2.164951357567714</v>
      </c>
      <c r="X123">
        <f>-K98</f>
        <v>0</v>
      </c>
      <c r="Y123">
        <f t="shared" ref="Y123:AB123" si="71">($AC123-$X123)/5+X123</f>
        <v>0</v>
      </c>
      <c r="Z123">
        <f t="shared" si="71"/>
        <v>0</v>
      </c>
      <c r="AA123">
        <f t="shared" si="71"/>
        <v>0</v>
      </c>
      <c r="AB123">
        <f t="shared" si="71"/>
        <v>0</v>
      </c>
      <c r="AC123">
        <f>-L98</f>
        <v>0</v>
      </c>
      <c r="AD123">
        <f t="shared" ref="AD123:AG123" si="72">($AH123-$AC123)/5+AC123</f>
        <v>0</v>
      </c>
      <c r="AE123">
        <f t="shared" si="72"/>
        <v>0</v>
      </c>
      <c r="AF123">
        <f t="shared" si="72"/>
        <v>0</v>
      </c>
      <c r="AG123">
        <f t="shared" si="72"/>
        <v>0</v>
      </c>
      <c r="AH123">
        <f>-M98</f>
        <v>0</v>
      </c>
      <c r="AI123">
        <f t="shared" ref="AI123:AK123" si="73">($AH123-$AC123)/5+AH123</f>
        <v>0</v>
      </c>
      <c r="AJ123">
        <f t="shared" si="73"/>
        <v>0</v>
      </c>
      <c r="AK123">
        <f t="shared" si="73"/>
        <v>0</v>
      </c>
      <c r="AL123">
        <f t="shared" si="47"/>
        <v>0</v>
      </c>
      <c r="AM123">
        <f t="shared" si="48"/>
        <v>0</v>
      </c>
      <c r="AN123">
        <f t="shared" si="49"/>
        <v>0</v>
      </c>
      <c r="AO123">
        <f t="shared" si="50"/>
        <v>0</v>
      </c>
      <c r="AP123">
        <f t="shared" si="51"/>
        <v>0</v>
      </c>
      <c r="AQ123">
        <f t="shared" si="52"/>
        <v>0</v>
      </c>
      <c r="AR123">
        <f t="shared" si="53"/>
        <v>0</v>
      </c>
      <c r="AS123">
        <f t="shared" si="54"/>
        <v>0</v>
      </c>
      <c r="AT123">
        <f t="shared" si="55"/>
        <v>0</v>
      </c>
      <c r="AU123">
        <f t="shared" si="56"/>
        <v>0</v>
      </c>
      <c r="AV123">
        <f t="shared" si="57"/>
        <v>0</v>
      </c>
      <c r="AW123">
        <f t="shared" si="58"/>
        <v>0</v>
      </c>
      <c r="AX123">
        <f t="shared" si="59"/>
        <v>0</v>
      </c>
      <c r="AY123">
        <f t="shared" si="60"/>
        <v>0</v>
      </c>
      <c r="AZ123">
        <f t="shared" si="61"/>
        <v>0</v>
      </c>
      <c r="BA123">
        <f t="shared" si="62"/>
        <v>0</v>
      </c>
      <c r="BB123">
        <f t="shared" si="63"/>
        <v>0</v>
      </c>
      <c r="BC123">
        <f t="shared" si="64"/>
        <v>0</v>
      </c>
      <c r="BD123">
        <f t="shared" si="65"/>
        <v>0</v>
      </c>
      <c r="BE123">
        <f t="shared" si="66"/>
        <v>0</v>
      </c>
    </row>
    <row r="124" spans="1:57">
      <c r="A124" t="s">
        <v>425</v>
      </c>
      <c r="B124" t="s">
        <v>436</v>
      </c>
      <c r="C124" t="s">
        <v>437</v>
      </c>
      <c r="D124">
        <f>-G100</f>
        <v>23.350115752108358</v>
      </c>
      <c r="E124">
        <f t="shared" ref="E124:H124" si="74">($I124-$D124)/5+D124</f>
        <v>25.899422007559487</v>
      </c>
      <c r="F124">
        <f t="shared" si="74"/>
        <v>28.448728263010615</v>
      </c>
      <c r="G124">
        <f t="shared" si="74"/>
        <v>30.998034518461743</v>
      </c>
      <c r="H124">
        <f t="shared" si="74"/>
        <v>33.547340773912872</v>
      </c>
      <c r="I124">
        <f>-H100</f>
        <v>36.096647029364007</v>
      </c>
      <c r="J124">
        <f t="shared" ref="J124:M124" si="75">($N124-$I124)/5+I124</f>
        <v>39.731862310708053</v>
      </c>
      <c r="K124">
        <f t="shared" si="75"/>
        <v>43.367077592052098</v>
      </c>
      <c r="L124">
        <f t="shared" si="75"/>
        <v>47.002292873396144</v>
      </c>
      <c r="M124">
        <f t="shared" si="75"/>
        <v>50.637508154740189</v>
      </c>
      <c r="N124">
        <f>-I100</f>
        <v>54.272723436084249</v>
      </c>
      <c r="O124">
        <f t="shared" ref="O124:R124" si="76">($S124-$N124)/5+N124</f>
        <v>57.169602665240859</v>
      </c>
      <c r="P124">
        <f t="shared" si="76"/>
        <v>60.066481894397469</v>
      </c>
      <c r="Q124">
        <f t="shared" si="76"/>
        <v>62.96336112355408</v>
      </c>
      <c r="R124">
        <f t="shared" si="76"/>
        <v>65.86024035271069</v>
      </c>
      <c r="S124">
        <f>-J100</f>
        <v>68.757119581867286</v>
      </c>
      <c r="T124">
        <f t="shared" ref="T124:W124" si="77">($X124-$S124)/5+S124</f>
        <v>71.534189896806396</v>
      </c>
      <c r="U124">
        <f t="shared" si="77"/>
        <v>74.311260211745505</v>
      </c>
      <c r="V124">
        <f t="shared" si="77"/>
        <v>77.088330526684615</v>
      </c>
      <c r="W124">
        <f t="shared" si="77"/>
        <v>79.865400841623725</v>
      </c>
      <c r="X124">
        <f>-K100</f>
        <v>82.642471156562848</v>
      </c>
      <c r="Y124">
        <f t="shared" ref="Y124:AB124" si="78">($AC124-$X124)/5+X124</f>
        <v>85.985397643438858</v>
      </c>
      <c r="Z124">
        <f t="shared" si="78"/>
        <v>89.328324130314869</v>
      </c>
      <c r="AA124">
        <f t="shared" si="78"/>
        <v>92.671250617190879</v>
      </c>
      <c r="AB124">
        <f t="shared" si="78"/>
        <v>96.014177104066889</v>
      </c>
      <c r="AC124">
        <f>-L100</f>
        <v>99.357103590942884</v>
      </c>
      <c r="AD124">
        <f t="shared" ref="AD124:AG124" si="79">($AH124-$AC124)/5+AC124</f>
        <v>101.17287855112788</v>
      </c>
      <c r="AE124">
        <f t="shared" si="79"/>
        <v>102.98865351131288</v>
      </c>
      <c r="AF124">
        <f t="shared" si="79"/>
        <v>104.80442847149787</v>
      </c>
      <c r="AG124">
        <f t="shared" si="79"/>
        <v>106.62020343168287</v>
      </c>
      <c r="AH124">
        <f>-M100</f>
        <v>108.43597839186786</v>
      </c>
      <c r="AI124">
        <f t="shared" ref="AI124:AK124" si="80">($AH124-$AC124)/5+AH124</f>
        <v>110.25175335205286</v>
      </c>
      <c r="AJ124">
        <f t="shared" si="80"/>
        <v>112.06752831223785</v>
      </c>
      <c r="AK124">
        <f t="shared" si="80"/>
        <v>113.88330327242285</v>
      </c>
      <c r="AL124">
        <f t="shared" si="47"/>
        <v>115.69907823260785</v>
      </c>
      <c r="AM124">
        <f t="shared" si="48"/>
        <v>117.51485319279284</v>
      </c>
      <c r="AN124">
        <f t="shared" si="49"/>
        <v>119.33062815297784</v>
      </c>
      <c r="AO124">
        <f t="shared" si="50"/>
        <v>121.14640311316283</v>
      </c>
      <c r="AP124">
        <f t="shared" si="51"/>
        <v>122.96217807334783</v>
      </c>
      <c r="AQ124">
        <f t="shared" si="52"/>
        <v>124.77795303353282</v>
      </c>
      <c r="AR124">
        <f t="shared" si="53"/>
        <v>126.59372799371782</v>
      </c>
      <c r="AS124">
        <f t="shared" si="54"/>
        <v>128.4095029539028</v>
      </c>
      <c r="AT124">
        <f t="shared" si="55"/>
        <v>130.2252779140878</v>
      </c>
      <c r="AU124">
        <f t="shared" si="56"/>
        <v>132.04105287427279</v>
      </c>
      <c r="AV124">
        <f t="shared" si="57"/>
        <v>133.85682783445779</v>
      </c>
      <c r="AW124">
        <f t="shared" si="58"/>
        <v>135.67260279464278</v>
      </c>
      <c r="AX124">
        <f t="shared" si="59"/>
        <v>137.48837775482778</v>
      </c>
      <c r="AY124">
        <f t="shared" si="60"/>
        <v>139.30415271501278</v>
      </c>
      <c r="AZ124">
        <f t="shared" si="61"/>
        <v>141.11992767519777</v>
      </c>
      <c r="BA124">
        <f t="shared" si="62"/>
        <v>142.93570263538277</v>
      </c>
      <c r="BB124">
        <f t="shared" si="63"/>
        <v>144.75147759556776</v>
      </c>
      <c r="BC124">
        <f t="shared" si="64"/>
        <v>146.56725255575276</v>
      </c>
      <c r="BD124">
        <f t="shared" si="65"/>
        <v>148.38302751593775</v>
      </c>
      <c r="BE124">
        <f t="shared" si="66"/>
        <v>150.19880247612275</v>
      </c>
    </row>
    <row r="125" spans="1:57">
      <c r="A125" t="s">
        <v>399</v>
      </c>
      <c r="B125" t="s">
        <v>436</v>
      </c>
      <c r="C125" t="s">
        <v>438</v>
      </c>
      <c r="D125">
        <f>-G89</f>
        <v>56.048578693822087</v>
      </c>
      <c r="E125">
        <f>($I125-$D125)/5+D125</f>
        <v>59.872742535654552</v>
      </c>
      <c r="F125">
        <f>($I125-$D125)/5+E125</f>
        <v>63.696906377487018</v>
      </c>
      <c r="G125">
        <f>($I125-$D125)/5+F125</f>
        <v>67.521070219319483</v>
      </c>
      <c r="H125">
        <f t="shared" ref="H125" si="81">($I125-$D125)/5+G125</f>
        <v>71.345234061151942</v>
      </c>
      <c r="I125">
        <f>-H89</f>
        <v>75.1693979029844</v>
      </c>
      <c r="J125">
        <f t="shared" ref="J125:M125" si="82">($N125-$I125)/5+I125</f>
        <v>77.516036088753054</v>
      </c>
      <c r="K125">
        <f t="shared" si="82"/>
        <v>79.862674274521709</v>
      </c>
      <c r="L125">
        <f>($N125-$I125)/5+K125</f>
        <v>82.209312460290363</v>
      </c>
      <c r="M125">
        <f t="shared" si="82"/>
        <v>84.555950646059017</v>
      </c>
      <c r="N125">
        <f>-I89</f>
        <v>86.902588831827643</v>
      </c>
      <c r="O125">
        <f t="shared" ref="O125:R125" si="83">($S125-$N125)/5+N125</f>
        <v>92.493319539701091</v>
      </c>
      <c r="P125">
        <f t="shared" si="83"/>
        <v>98.084050247574538</v>
      </c>
      <c r="Q125">
        <f t="shared" si="83"/>
        <v>103.67478095544799</v>
      </c>
      <c r="R125">
        <f t="shared" si="83"/>
        <v>109.26551166332143</v>
      </c>
      <c r="S125">
        <f>-J89</f>
        <v>114.85624237119488</v>
      </c>
      <c r="T125">
        <f t="shared" ref="T125:W125" si="84">($X125-$S125)/5+S125</f>
        <v>114.63986911286655</v>
      </c>
      <c r="U125">
        <f t="shared" si="84"/>
        <v>114.42349585453822</v>
      </c>
      <c r="V125">
        <f t="shared" si="84"/>
        <v>114.20712259620989</v>
      </c>
      <c r="W125">
        <f t="shared" si="84"/>
        <v>113.99074933788155</v>
      </c>
      <c r="X125">
        <f>-K89</f>
        <v>113.77437607955325</v>
      </c>
      <c r="Y125">
        <f t="shared" ref="Y125:AB125" si="85">($AC125-$X125)/5+X125</f>
        <v>113.65617207301513</v>
      </c>
      <c r="Z125">
        <f t="shared" si="85"/>
        <v>113.53796806647701</v>
      </c>
      <c r="AA125">
        <f t="shared" si="85"/>
        <v>113.41976405993888</v>
      </c>
      <c r="AB125">
        <f t="shared" si="85"/>
        <v>113.30156005340076</v>
      </c>
      <c r="AC125">
        <f>-L89</f>
        <v>113.18335604686261</v>
      </c>
      <c r="AD125">
        <f t="shared" ref="AD125:AG125" si="86">($AH125-$AC125)/5+AC125</f>
        <v>112.73262616698811</v>
      </c>
      <c r="AE125">
        <f t="shared" si="86"/>
        <v>112.28189628711361</v>
      </c>
      <c r="AF125">
        <f t="shared" si="86"/>
        <v>111.83116640723911</v>
      </c>
      <c r="AG125">
        <f t="shared" si="86"/>
        <v>111.38043652736461</v>
      </c>
      <c r="AH125">
        <f>-M89</f>
        <v>110.92970664749014</v>
      </c>
      <c r="AI125">
        <f t="shared" ref="AI125:AK125" si="87">($AH125-$AC125)/5+AH125</f>
        <v>110.47897676761563</v>
      </c>
      <c r="AJ125">
        <f t="shared" si="87"/>
        <v>110.02824688774113</v>
      </c>
      <c r="AK125">
        <f t="shared" si="87"/>
        <v>109.57751700786663</v>
      </c>
      <c r="AL125">
        <f t="shared" si="47"/>
        <v>109.12678712799213</v>
      </c>
      <c r="AM125">
        <f t="shared" si="48"/>
        <v>108.67605724811763</v>
      </c>
      <c r="AN125">
        <f t="shared" si="49"/>
        <v>108.22532736824313</v>
      </c>
      <c r="AO125">
        <f t="shared" si="50"/>
        <v>107.77459748836863</v>
      </c>
      <c r="AP125">
        <f t="shared" si="51"/>
        <v>107.32386760849413</v>
      </c>
      <c r="AQ125">
        <f t="shared" si="52"/>
        <v>106.87313772861962</v>
      </c>
      <c r="AR125">
        <f t="shared" si="53"/>
        <v>106.42240784874512</v>
      </c>
      <c r="AS125">
        <f t="shared" si="54"/>
        <v>105.97167796887062</v>
      </c>
      <c r="AT125">
        <f t="shared" si="55"/>
        <v>105.52094808899612</v>
      </c>
      <c r="AU125">
        <f t="shared" si="56"/>
        <v>105.07021820912162</v>
      </c>
      <c r="AV125">
        <f t="shared" si="57"/>
        <v>104.61948832924712</v>
      </c>
      <c r="AW125">
        <f t="shared" si="58"/>
        <v>104.16875844937262</v>
      </c>
      <c r="AX125">
        <f t="shared" si="59"/>
        <v>103.71802856949812</v>
      </c>
      <c r="AY125">
        <f t="shared" si="60"/>
        <v>103.26729868962362</v>
      </c>
      <c r="AZ125">
        <f t="shared" si="61"/>
        <v>102.81656880974911</v>
      </c>
      <c r="BA125">
        <f t="shared" si="62"/>
        <v>102.36583892987461</v>
      </c>
      <c r="BB125">
        <f t="shared" si="63"/>
        <v>101.91510905000011</v>
      </c>
      <c r="BC125">
        <f t="shared" si="64"/>
        <v>101.46437917012561</v>
      </c>
      <c r="BD125">
        <f t="shared" si="65"/>
        <v>101.01364929025111</v>
      </c>
      <c r="BE125">
        <f t="shared" si="66"/>
        <v>100.56291941037661</v>
      </c>
    </row>
    <row r="126" spans="1:57">
      <c r="A126" t="s">
        <v>423</v>
      </c>
      <c r="B126" t="s">
        <v>436</v>
      </c>
      <c r="C126" t="s">
        <v>438</v>
      </c>
      <c r="D126">
        <f>-G88</f>
        <v>678.7850116382341</v>
      </c>
      <c r="E126">
        <f t="shared" ref="E126:H126" si="88">($I126-$D126)/5+D126</f>
        <v>641.03881918602121</v>
      </c>
      <c r="F126">
        <f t="shared" si="88"/>
        <v>603.29262673380833</v>
      </c>
      <c r="G126">
        <f t="shared" si="88"/>
        <v>565.54643428159545</v>
      </c>
      <c r="H126">
        <f t="shared" si="88"/>
        <v>527.80024182938257</v>
      </c>
      <c r="I126">
        <f>-H88</f>
        <v>490.05404937716963</v>
      </c>
      <c r="J126">
        <f t="shared" ref="J126:M126" si="89">($N126-$I126)/5+I126</f>
        <v>456.75692387980928</v>
      </c>
      <c r="K126">
        <f t="shared" si="89"/>
        <v>423.45979838244892</v>
      </c>
      <c r="L126">
        <f t="shared" si="89"/>
        <v>390.16267288508857</v>
      </c>
      <c r="M126">
        <f t="shared" si="89"/>
        <v>356.86554738772821</v>
      </c>
      <c r="N126">
        <f>-I88</f>
        <v>323.56842189036786</v>
      </c>
      <c r="O126">
        <f t="shared" ref="O126:R126" si="90">($S126-$N126)/5+N126</f>
        <v>299.03159819807161</v>
      </c>
      <c r="P126">
        <f t="shared" si="90"/>
        <v>274.49477450577535</v>
      </c>
      <c r="Q126">
        <f t="shared" si="90"/>
        <v>249.95795081347913</v>
      </c>
      <c r="R126">
        <f t="shared" si="90"/>
        <v>225.42112712118291</v>
      </c>
      <c r="S126">
        <f>-J88</f>
        <v>200.88430342888671</v>
      </c>
      <c r="T126">
        <f t="shared" ref="T126:W126" si="91">($X126-$S126)/5+S126</f>
        <v>183.61382309268348</v>
      </c>
      <c r="U126">
        <f t="shared" si="91"/>
        <v>166.34334275648024</v>
      </c>
      <c r="V126">
        <f t="shared" si="91"/>
        <v>149.072862420277</v>
      </c>
      <c r="W126">
        <f t="shared" si="91"/>
        <v>131.80238208407377</v>
      </c>
      <c r="X126">
        <f>-K88</f>
        <v>114.53190174787048</v>
      </c>
      <c r="Y126">
        <f t="shared" ref="Y126:AB126" si="92">($AC126-$X126)/5+X126</f>
        <v>110.07033768966653</v>
      </c>
      <c r="Z126">
        <f t="shared" si="92"/>
        <v>105.60877363146258</v>
      </c>
      <c r="AA126">
        <f t="shared" si="92"/>
        <v>101.14720957325864</v>
      </c>
      <c r="AB126">
        <f t="shared" si="92"/>
        <v>96.685645515054688</v>
      </c>
      <c r="AC126">
        <f>-L88</f>
        <v>92.224081456850755</v>
      </c>
      <c r="AD126">
        <f t="shared" ref="AD126:AG126" si="93">($AH126-$AC126)/5+AC126</f>
        <v>87.834094303448396</v>
      </c>
      <c r="AE126">
        <f t="shared" si="93"/>
        <v>83.444107150046037</v>
      </c>
      <c r="AF126">
        <f t="shared" si="93"/>
        <v>79.054119996643678</v>
      </c>
      <c r="AG126">
        <f t="shared" si="93"/>
        <v>74.664132843241319</v>
      </c>
      <c r="AH126">
        <f>-M88</f>
        <v>70.274145689838974</v>
      </c>
      <c r="AI126">
        <f t="shared" ref="AI126:AK126" si="94">($AH126-$AC126)/5+AH126</f>
        <v>65.884158536436615</v>
      </c>
      <c r="AJ126">
        <f t="shared" si="94"/>
        <v>61.494171383034256</v>
      </c>
      <c r="AK126">
        <f t="shared" si="94"/>
        <v>57.104184229631898</v>
      </c>
      <c r="AL126">
        <f t="shared" si="47"/>
        <v>52.714197076229539</v>
      </c>
      <c r="AM126">
        <f t="shared" si="48"/>
        <v>48.32420992282718</v>
      </c>
      <c r="AN126">
        <f t="shared" si="49"/>
        <v>43.934222769424821</v>
      </c>
      <c r="AO126">
        <f t="shared" si="50"/>
        <v>39.544235616022462</v>
      </c>
      <c r="AP126">
        <f t="shared" si="51"/>
        <v>35.154248462620103</v>
      </c>
      <c r="AQ126">
        <f t="shared" si="52"/>
        <v>30.764261309217748</v>
      </c>
      <c r="AR126">
        <f t="shared" si="53"/>
        <v>26.374274155815392</v>
      </c>
      <c r="AS126">
        <f t="shared" si="54"/>
        <v>21.984287002413037</v>
      </c>
      <c r="AT126">
        <f t="shared" si="55"/>
        <v>17.594299849010682</v>
      </c>
      <c r="AU126">
        <f t="shared" si="56"/>
        <v>13.204312695608326</v>
      </c>
      <c r="AV126">
        <f t="shared" si="57"/>
        <v>8.814325542205971</v>
      </c>
      <c r="AW126">
        <f t="shared" si="58"/>
        <v>4.4243383888036147</v>
      </c>
      <c r="AX126">
        <f t="shared" si="59"/>
        <v>3.4351235401258506E-2</v>
      </c>
      <c r="AY126">
        <f t="shared" si="60"/>
        <v>-4.3556359180010977</v>
      </c>
      <c r="AZ126">
        <f t="shared" si="61"/>
        <v>-8.745623071403454</v>
      </c>
      <c r="BA126">
        <f t="shared" si="62"/>
        <v>-13.135610224805809</v>
      </c>
      <c r="BB126">
        <f t="shared" si="63"/>
        <v>-17.525597378208165</v>
      </c>
      <c r="BC126">
        <f t="shared" si="64"/>
        <v>-21.91558453161052</v>
      </c>
      <c r="BD126">
        <f t="shared" si="65"/>
        <v>-26.305571685012875</v>
      </c>
      <c r="BE126">
        <f t="shared" si="66"/>
        <v>-30.695558838415231</v>
      </c>
    </row>
    <row r="127" spans="1:57">
      <c r="A127" t="s">
        <v>425</v>
      </c>
      <c r="B127" t="s">
        <v>436</v>
      </c>
      <c r="C127" t="s">
        <v>438</v>
      </c>
      <c r="D127" s="44">
        <f>-G90</f>
        <v>13.74371278315944</v>
      </c>
      <c r="E127">
        <f t="shared" ref="E127:H127" si="95">($I127-$D127)/5+D127</f>
        <v>14.91370116651999</v>
      </c>
      <c r="F127">
        <f t="shared" si="95"/>
        <v>16.083689549880543</v>
      </c>
      <c r="G127">
        <f t="shared" si="95"/>
        <v>17.253677933241093</v>
      </c>
      <c r="H127">
        <f t="shared" si="95"/>
        <v>18.423666316601643</v>
      </c>
      <c r="I127">
        <f>-H90</f>
        <v>19.593654699962194</v>
      </c>
      <c r="J127">
        <f t="shared" ref="J127:M127" si="96">($N127-$I127)/5+I127</f>
        <v>20.555167664811307</v>
      </c>
      <c r="K127">
        <f t="shared" si="96"/>
        <v>21.516680629660421</v>
      </c>
      <c r="L127">
        <f t="shared" si="96"/>
        <v>22.478193594509534</v>
      </c>
      <c r="M127">
        <f t="shared" si="96"/>
        <v>23.439706559358648</v>
      </c>
      <c r="N127">
        <f>-I90</f>
        <v>24.401219524207765</v>
      </c>
      <c r="O127">
        <f t="shared" ref="O127:R127" si="97">($S127-$N127)/5+N127</f>
        <v>25.887209232277907</v>
      </c>
      <c r="P127">
        <f t="shared" si="97"/>
        <v>27.37319894034805</v>
      </c>
      <c r="Q127">
        <f t="shared" si="97"/>
        <v>28.859188648418193</v>
      </c>
      <c r="R127">
        <f t="shared" si="97"/>
        <v>30.345178356488336</v>
      </c>
      <c r="S127">
        <f>-J90</f>
        <v>31.831168064558483</v>
      </c>
      <c r="T127">
        <f t="shared" ref="T127:W127" si="98">($X127-$S127)/5+S127</f>
        <v>33.620548034778814</v>
      </c>
      <c r="U127">
        <f t="shared" si="98"/>
        <v>35.409928004999145</v>
      </c>
      <c r="V127">
        <f t="shared" si="98"/>
        <v>37.199307975219476</v>
      </c>
      <c r="W127">
        <f t="shared" si="98"/>
        <v>38.988687945439807</v>
      </c>
      <c r="X127">
        <f>-K90</f>
        <v>40.778067915660152</v>
      </c>
      <c r="Y127">
        <f t="shared" ref="Y127:AB127" si="99">($AC127-$X127)/5+X127</f>
        <v>42.055913411761416</v>
      </c>
      <c r="Z127">
        <f t="shared" si="99"/>
        <v>43.333758907862681</v>
      </c>
      <c r="AA127">
        <f t="shared" si="99"/>
        <v>44.611604403963945</v>
      </c>
      <c r="AB127">
        <f t="shared" si="99"/>
        <v>45.889449900065209</v>
      </c>
      <c r="AC127">
        <f>-L90</f>
        <v>47.16729539616648</v>
      </c>
      <c r="AD127">
        <f t="shared" ref="AD127:AG127" si="100">($AH127-$AC127)/5+AC127</f>
        <v>48.335000400486429</v>
      </c>
      <c r="AE127">
        <f t="shared" si="100"/>
        <v>49.502705404806377</v>
      </c>
      <c r="AF127">
        <f t="shared" si="100"/>
        <v>50.670410409126326</v>
      </c>
      <c r="AG127">
        <f t="shared" si="100"/>
        <v>51.838115413446275</v>
      </c>
      <c r="AH127">
        <f>-M90</f>
        <v>53.00582041776623</v>
      </c>
      <c r="AI127">
        <f t="shared" ref="AI127:AK127" si="101">($AH127-$AC127)/5+AH127</f>
        <v>54.173525422086179</v>
      </c>
      <c r="AJ127">
        <f t="shared" si="101"/>
        <v>55.341230426406128</v>
      </c>
      <c r="AK127">
        <f t="shared" si="101"/>
        <v>56.508935430726076</v>
      </c>
      <c r="AL127">
        <f t="shared" si="47"/>
        <v>57.676640435046025</v>
      </c>
      <c r="AM127">
        <f t="shared" si="48"/>
        <v>58.844345439365974</v>
      </c>
      <c r="AN127">
        <f t="shared" si="49"/>
        <v>60.012050443685922</v>
      </c>
      <c r="AO127">
        <f t="shared" si="50"/>
        <v>61.179755448005871</v>
      </c>
      <c r="AP127">
        <f t="shared" si="51"/>
        <v>62.347460452325819</v>
      </c>
      <c r="AQ127">
        <f t="shared" si="52"/>
        <v>63.515165456645768</v>
      </c>
      <c r="AR127">
        <f t="shared" si="53"/>
        <v>64.682870460965717</v>
      </c>
      <c r="AS127">
        <f t="shared" si="54"/>
        <v>65.850575465285672</v>
      </c>
      <c r="AT127">
        <f t="shared" si="55"/>
        <v>67.018280469605628</v>
      </c>
      <c r="AU127">
        <f t="shared" si="56"/>
        <v>68.185985473925584</v>
      </c>
      <c r="AV127">
        <f t="shared" si="57"/>
        <v>69.353690478245539</v>
      </c>
      <c r="AW127">
        <f t="shared" si="58"/>
        <v>70.521395482565495</v>
      </c>
      <c r="AX127">
        <f t="shared" si="59"/>
        <v>71.689100486885451</v>
      </c>
      <c r="AY127">
        <f t="shared" si="60"/>
        <v>72.856805491205407</v>
      </c>
      <c r="AZ127">
        <f t="shared" si="61"/>
        <v>74.024510495525362</v>
      </c>
      <c r="BA127">
        <f t="shared" si="62"/>
        <v>75.192215499845318</v>
      </c>
      <c r="BB127">
        <f t="shared" si="63"/>
        <v>76.359920504165274</v>
      </c>
      <c r="BC127">
        <f t="shared" si="64"/>
        <v>77.527625508485229</v>
      </c>
      <c r="BD127">
        <f t="shared" si="65"/>
        <v>78.695330512805185</v>
      </c>
      <c r="BE127">
        <f t="shared" si="66"/>
        <v>79.863035517125141</v>
      </c>
    </row>
    <row r="129" spans="1:57">
      <c r="A129" t="s">
        <v>439</v>
      </c>
      <c r="B129" t="s">
        <v>436</v>
      </c>
      <c r="C129" t="s">
        <v>53</v>
      </c>
      <c r="D129">
        <f>SUM(D122,D125)</f>
        <v>135.22209788656079</v>
      </c>
      <c r="E129">
        <f t="shared" ref="E129:AK129" si="102">SUM(E122,E125)</f>
        <v>140.42189688038866</v>
      </c>
      <c r="F129">
        <f t="shared" si="102"/>
        <v>145.62169587421656</v>
      </c>
      <c r="G129">
        <f t="shared" si="102"/>
        <v>150.82149486804445</v>
      </c>
      <c r="H129">
        <f t="shared" si="102"/>
        <v>156.02129386187232</v>
      </c>
      <c r="I129">
        <f t="shared" si="102"/>
        <v>161.22109285570019</v>
      </c>
      <c r="J129">
        <f t="shared" si="102"/>
        <v>163.63200280314277</v>
      </c>
      <c r="K129">
        <f t="shared" si="102"/>
        <v>166.04291275058529</v>
      </c>
      <c r="L129">
        <f t="shared" si="102"/>
        <v>168.45382269802786</v>
      </c>
      <c r="M129">
        <f t="shared" si="102"/>
        <v>170.86473264547038</v>
      </c>
      <c r="N129">
        <f t="shared" si="102"/>
        <v>173.27564259291296</v>
      </c>
      <c r="O129">
        <f t="shared" si="102"/>
        <v>179.5630440186797</v>
      </c>
      <c r="P129">
        <f t="shared" si="102"/>
        <v>185.85044544444651</v>
      </c>
      <c r="Q129">
        <f t="shared" si="102"/>
        <v>192.13784687021325</v>
      </c>
      <c r="R129">
        <f t="shared" si="102"/>
        <v>198.42524829598005</v>
      </c>
      <c r="S129">
        <f t="shared" si="102"/>
        <v>204.7126497217468</v>
      </c>
      <c r="T129">
        <f t="shared" si="102"/>
        <v>205.45499643131549</v>
      </c>
      <c r="U129">
        <f t="shared" si="102"/>
        <v>206.19734314088419</v>
      </c>
      <c r="V129">
        <f t="shared" si="102"/>
        <v>206.93968985045291</v>
      </c>
      <c r="W129">
        <f t="shared" si="102"/>
        <v>207.68203656002163</v>
      </c>
      <c r="X129">
        <f t="shared" si="102"/>
        <v>208.42438326959038</v>
      </c>
      <c r="Y129">
        <f t="shared" si="102"/>
        <v>207.05635250583424</v>
      </c>
      <c r="Z129">
        <f t="shared" si="102"/>
        <v>205.68832174207807</v>
      </c>
      <c r="AA129">
        <f t="shared" si="102"/>
        <v>204.32029097832191</v>
      </c>
      <c r="AB129">
        <f t="shared" si="102"/>
        <v>202.95226021456577</v>
      </c>
      <c r="AC129">
        <f t="shared" si="102"/>
        <v>201.58422945080957</v>
      </c>
      <c r="AD129">
        <f t="shared" si="102"/>
        <v>200.88513593475128</v>
      </c>
      <c r="AE129">
        <f t="shared" si="102"/>
        <v>200.18604241869298</v>
      </c>
      <c r="AF129">
        <f t="shared" si="102"/>
        <v>199.48694890263468</v>
      </c>
      <c r="AG129">
        <f t="shared" si="102"/>
        <v>198.78785538657638</v>
      </c>
      <c r="AH129">
        <f t="shared" si="102"/>
        <v>198.08876187051811</v>
      </c>
      <c r="AI129">
        <f t="shared" si="102"/>
        <v>197.38966835445979</v>
      </c>
      <c r="AJ129">
        <f t="shared" si="102"/>
        <v>196.69057483840152</v>
      </c>
      <c r="AK129">
        <f t="shared" si="102"/>
        <v>195.99148132234319</v>
      </c>
      <c r="AL129">
        <f t="shared" ref="AL129:BE129" si="103">SUM(AL122,AL125)</f>
        <v>195.29238780628492</v>
      </c>
      <c r="AM129">
        <f t="shared" si="103"/>
        <v>194.59329429022659</v>
      </c>
      <c r="AN129">
        <f t="shared" si="103"/>
        <v>193.89420077416833</v>
      </c>
      <c r="AO129">
        <f t="shared" si="103"/>
        <v>193.19510725811</v>
      </c>
      <c r="AP129">
        <f t="shared" si="103"/>
        <v>192.49601374205173</v>
      </c>
      <c r="AQ129">
        <f t="shared" si="103"/>
        <v>191.7969202259934</v>
      </c>
      <c r="AR129">
        <f t="shared" si="103"/>
        <v>191.09782670993513</v>
      </c>
      <c r="AS129">
        <f t="shared" si="103"/>
        <v>190.39873319387681</v>
      </c>
      <c r="AT129">
        <f t="shared" si="103"/>
        <v>189.69963967781854</v>
      </c>
      <c r="AU129">
        <f t="shared" si="103"/>
        <v>189.00054616176021</v>
      </c>
      <c r="AV129">
        <f t="shared" si="103"/>
        <v>188.30145264570194</v>
      </c>
      <c r="AW129">
        <f t="shared" si="103"/>
        <v>187.60235912964362</v>
      </c>
      <c r="AX129">
        <f t="shared" si="103"/>
        <v>186.90326561358535</v>
      </c>
      <c r="AY129">
        <f t="shared" si="103"/>
        <v>186.20417209752702</v>
      </c>
      <c r="AZ129">
        <f t="shared" si="103"/>
        <v>185.50507858146875</v>
      </c>
      <c r="BA129">
        <f t="shared" si="103"/>
        <v>184.80598506541043</v>
      </c>
      <c r="BB129">
        <f t="shared" si="103"/>
        <v>184.10689154935216</v>
      </c>
      <c r="BC129">
        <f t="shared" si="103"/>
        <v>183.40779803329383</v>
      </c>
      <c r="BD129">
        <f t="shared" si="103"/>
        <v>182.70870451723556</v>
      </c>
      <c r="BE129">
        <f t="shared" si="103"/>
        <v>182.00961100117723</v>
      </c>
    </row>
    <row r="131" spans="1:57" s="10" customFormat="1">
      <c r="A131" s="2" t="s">
        <v>440</v>
      </c>
    </row>
    <row r="132" spans="1:57" s="1" customFormat="1">
      <c r="A132" s="1" t="s">
        <v>430</v>
      </c>
      <c r="B132" s="1" t="s">
        <v>431</v>
      </c>
      <c r="C132" s="1">
        <v>2020</v>
      </c>
    </row>
    <row r="133" spans="1:57">
      <c r="A133" t="s">
        <v>432</v>
      </c>
      <c r="B133" t="s">
        <v>433</v>
      </c>
      <c r="C133">
        <f>H6/($H$61-H108)</f>
        <v>4.2851509736804752E-2</v>
      </c>
    </row>
    <row r="134" spans="1:57">
      <c r="A134" t="s">
        <v>364</v>
      </c>
      <c r="B134" t="s">
        <v>433</v>
      </c>
      <c r="C134">
        <f>H15/($H$61-H108)</f>
        <v>9.3489140371135648E-2</v>
      </c>
    </row>
    <row r="135" spans="1:57">
      <c r="A135" t="s">
        <v>434</v>
      </c>
      <c r="B135" t="s">
        <v>433</v>
      </c>
      <c r="C135">
        <f>SUM(G5,G22,G28,G33,-G108)/($G$61-G108)</f>
        <v>0.44869570817979904</v>
      </c>
    </row>
    <row r="136" spans="1:57">
      <c r="A136" t="s">
        <v>435</v>
      </c>
      <c r="B136" t="s">
        <v>433</v>
      </c>
      <c r="C136">
        <f>H34/($H$61-H108)</f>
        <v>9.7737460668851667E-2</v>
      </c>
    </row>
    <row r="137" spans="1:57" s="1" customFormat="1"/>
    <row r="138" spans="1:57">
      <c r="A138" s="2" t="s">
        <v>441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57">
      <c r="B139" t="s">
        <v>442</v>
      </c>
      <c r="E139">
        <v>2012</v>
      </c>
      <c r="F139">
        <v>2017</v>
      </c>
      <c r="G139">
        <v>2022</v>
      </c>
      <c r="H139">
        <v>2027</v>
      </c>
      <c r="I139">
        <v>2032</v>
      </c>
      <c r="J139">
        <v>2037</v>
      </c>
      <c r="K139">
        <v>2042</v>
      </c>
      <c r="L139">
        <v>2047</v>
      </c>
      <c r="M139" s="1"/>
    </row>
    <row r="140" spans="1:57">
      <c r="B140" t="s">
        <v>364</v>
      </c>
      <c r="E140" s="44">
        <v>11.198952863173743</v>
      </c>
      <c r="F140" s="44">
        <v>12.153059949678164</v>
      </c>
      <c r="G140" s="44">
        <v>13.666397890563484</v>
      </c>
      <c r="H140" s="44">
        <v>15.884944404871201</v>
      </c>
      <c r="I140" s="44">
        <v>19.200851936742779</v>
      </c>
      <c r="J140" s="44">
        <v>26.508871916902862</v>
      </c>
      <c r="K140" s="44">
        <v>35.693628156684994</v>
      </c>
      <c r="L140" s="44">
        <v>47.591264487931788</v>
      </c>
      <c r="M140" s="1"/>
    </row>
    <row r="141" spans="1:57">
      <c r="B141" t="s">
        <v>443</v>
      </c>
      <c r="E141" s="44">
        <v>44.207005213441704</v>
      </c>
      <c r="F141" s="44">
        <v>53.040583723255835</v>
      </c>
      <c r="G141" s="44">
        <v>65.752582309533182</v>
      </c>
      <c r="H141" s="44">
        <v>83.931101800330822</v>
      </c>
      <c r="I141" s="44">
        <v>110.85667990574912</v>
      </c>
      <c r="J141" s="44">
        <v>149.06396545093614</v>
      </c>
      <c r="K141" s="44">
        <v>193.957362654695</v>
      </c>
      <c r="L141" s="44">
        <v>247.27524537615597</v>
      </c>
      <c r="M141" s="1"/>
    </row>
    <row r="142" spans="1:57">
      <c r="B142" t="s">
        <v>55</v>
      </c>
      <c r="E142" s="44">
        <v>8.9124178504941227</v>
      </c>
      <c r="F142" s="44">
        <v>9.6765378393452437</v>
      </c>
      <c r="G142" s="44">
        <v>10.888531573223194</v>
      </c>
      <c r="H142" s="44">
        <v>12.666365845636019</v>
      </c>
      <c r="I142" s="44">
        <v>15.325473810713934</v>
      </c>
      <c r="J142" s="44">
        <v>21.158489407266519</v>
      </c>
      <c r="K142" s="44">
        <v>28.489452724639552</v>
      </c>
      <c r="L142" s="44">
        <v>37.98574562896642</v>
      </c>
      <c r="M142" s="1"/>
    </row>
    <row r="143" spans="1:57">
      <c r="B143" t="s">
        <v>56</v>
      </c>
      <c r="C143" s="5"/>
      <c r="E143" s="44">
        <v>64.318375927109571</v>
      </c>
      <c r="F143" s="44">
        <v>74.870181512279245</v>
      </c>
      <c r="G143" s="44">
        <v>90.30751177331986</v>
      </c>
      <c r="H143" s="44">
        <v>112.48241205083805</v>
      </c>
      <c r="I143" s="44">
        <v>145.38300565320583</v>
      </c>
      <c r="J143" s="44">
        <v>196.73132677510552</v>
      </c>
      <c r="K143" s="44">
        <v>258.14044353601952</v>
      </c>
      <c r="L143" s="44">
        <v>332.85225549305414</v>
      </c>
      <c r="M143" s="1"/>
    </row>
    <row r="144" spans="1:57">
      <c r="M144" s="1"/>
    </row>
    <row r="145" spans="1:56">
      <c r="A145" t="s">
        <v>444</v>
      </c>
    </row>
    <row r="146" spans="1:56">
      <c r="G146">
        <v>2012</v>
      </c>
      <c r="H146">
        <v>2017</v>
      </c>
      <c r="I146">
        <v>2022</v>
      </c>
      <c r="J146">
        <v>2027</v>
      </c>
      <c r="K146">
        <v>2032</v>
      </c>
      <c r="L146">
        <v>2037</v>
      </c>
      <c r="M146">
        <v>2042</v>
      </c>
      <c r="N146">
        <v>2047</v>
      </c>
    </row>
    <row r="147" spans="1:56">
      <c r="A147" t="s">
        <v>445</v>
      </c>
      <c r="D147" t="s">
        <v>446</v>
      </c>
      <c r="G147">
        <v>4</v>
      </c>
      <c r="H147">
        <v>4</v>
      </c>
      <c r="I147">
        <v>4</v>
      </c>
      <c r="J147">
        <v>4</v>
      </c>
      <c r="K147">
        <v>4</v>
      </c>
      <c r="L147">
        <v>4</v>
      </c>
      <c r="M147">
        <v>4</v>
      </c>
      <c r="N147">
        <v>4</v>
      </c>
    </row>
    <row r="148" spans="1:56">
      <c r="A148" t="s">
        <v>447</v>
      </c>
      <c r="D148" t="s">
        <v>448</v>
      </c>
      <c r="G148">
        <v>1.1666666666666667E-12</v>
      </c>
      <c r="H148">
        <v>1.1666666666666667E-12</v>
      </c>
      <c r="I148">
        <v>1.1666666666666667E-12</v>
      </c>
      <c r="J148">
        <v>1.1666666666666667E-12</v>
      </c>
      <c r="K148">
        <v>1.1666666666666667E-12</v>
      </c>
      <c r="L148">
        <v>1.1666666666666667E-12</v>
      </c>
      <c r="M148">
        <v>1.1666666666666667E-12</v>
      </c>
      <c r="N148">
        <v>1.1666666666666667E-12</v>
      </c>
    </row>
    <row r="149" spans="1:56">
      <c r="A149" t="s">
        <v>449</v>
      </c>
      <c r="D149" t="s">
        <v>450</v>
      </c>
      <c r="G149">
        <v>31</v>
      </c>
      <c r="H149">
        <v>31</v>
      </c>
      <c r="I149">
        <v>31</v>
      </c>
      <c r="J149">
        <v>31</v>
      </c>
      <c r="K149">
        <v>31</v>
      </c>
      <c r="L149">
        <v>31</v>
      </c>
      <c r="M149">
        <v>31</v>
      </c>
      <c r="N149">
        <v>31</v>
      </c>
    </row>
    <row r="150" spans="1:56">
      <c r="A150" t="s">
        <v>451</v>
      </c>
      <c r="D150" t="s">
        <v>452</v>
      </c>
      <c r="G150">
        <v>300</v>
      </c>
      <c r="H150">
        <v>300</v>
      </c>
      <c r="I150">
        <v>300</v>
      </c>
      <c r="J150">
        <v>300</v>
      </c>
      <c r="K150">
        <v>300</v>
      </c>
      <c r="L150">
        <v>300</v>
      </c>
      <c r="M150">
        <v>300</v>
      </c>
      <c r="N150">
        <v>300</v>
      </c>
    </row>
    <row r="151" spans="1:56">
      <c r="A151" t="s">
        <v>453</v>
      </c>
      <c r="G151">
        <v>364784309.04110998</v>
      </c>
      <c r="H151">
        <v>424158374.99491948</v>
      </c>
      <c r="I151">
        <v>482458494.79469979</v>
      </c>
      <c r="J151">
        <v>533422357.77163601</v>
      </c>
      <c r="K151">
        <v>592099904.92963326</v>
      </c>
      <c r="L151">
        <v>643228365.17252755</v>
      </c>
      <c r="M151">
        <v>700342373.86447597</v>
      </c>
      <c r="N151">
        <v>749836068.25319278</v>
      </c>
    </row>
    <row r="152" spans="1:56">
      <c r="A152" t="s">
        <v>454</v>
      </c>
      <c r="D152" t="s">
        <v>359</v>
      </c>
      <c r="G152" s="38">
        <v>15.831639012384173</v>
      </c>
      <c r="H152" s="38">
        <v>18.408473474779505</v>
      </c>
      <c r="I152" s="38">
        <v>20.93869867408997</v>
      </c>
      <c r="J152" s="38">
        <v>23.150530327289001</v>
      </c>
      <c r="K152" s="38">
        <v>25.697135873946081</v>
      </c>
      <c r="L152" s="38">
        <v>27.916111048487693</v>
      </c>
      <c r="M152" s="38">
        <v>30.394859025718254</v>
      </c>
      <c r="N152" s="38">
        <v>32.542885362188564</v>
      </c>
      <c r="P152" t="s">
        <v>455</v>
      </c>
    </row>
    <row r="153" spans="1:56">
      <c r="A153" t="s">
        <v>456</v>
      </c>
      <c r="D153" t="s">
        <v>359</v>
      </c>
      <c r="G153" s="38">
        <v>9.6387429599999977E-2</v>
      </c>
      <c r="H153" s="38">
        <v>0.24549842492524407</v>
      </c>
      <c r="I153" s="38">
        <v>0.38083585947069509</v>
      </c>
      <c r="J153" s="38">
        <v>0.54446425711584445</v>
      </c>
      <c r="K153" s="38">
        <v>0.81044319810973564</v>
      </c>
      <c r="L153" s="38">
        <v>1.1772517634494035</v>
      </c>
      <c r="M153" s="38">
        <v>1.741892871605518</v>
      </c>
      <c r="N153" s="38">
        <v>2.3713813508285555</v>
      </c>
    </row>
    <row r="154" spans="1:56">
      <c r="A154" t="s">
        <v>457</v>
      </c>
      <c r="D154" t="s">
        <v>359</v>
      </c>
      <c r="G154" s="38">
        <v>15.735251582784173</v>
      </c>
      <c r="H154" s="38">
        <v>18.162975049854261</v>
      </c>
      <c r="I154" s="38">
        <v>20.557862814619273</v>
      </c>
      <c r="J154" s="38">
        <v>22.606066070173156</v>
      </c>
      <c r="K154" s="38">
        <v>24.886692675836347</v>
      </c>
      <c r="L154" s="38">
        <v>26.738859285038288</v>
      </c>
      <c r="M154" s="38">
        <v>28.652966154112736</v>
      </c>
      <c r="N154" s="38">
        <v>30.171504011360007</v>
      </c>
    </row>
    <row r="155" spans="1:56">
      <c r="A155" t="s">
        <v>458</v>
      </c>
      <c r="G155" s="38">
        <v>0.5435424164524405</v>
      </c>
      <c r="H155" s="38">
        <v>0.5435424164524405</v>
      </c>
      <c r="I155" s="38">
        <v>0.5435424164524405</v>
      </c>
      <c r="J155" s="38">
        <v>0.5435424164524405</v>
      </c>
      <c r="K155" s="38">
        <v>0.5435424164524405</v>
      </c>
      <c r="L155" s="38">
        <v>0.5435424164524405</v>
      </c>
      <c r="M155" s="38">
        <v>0.5435424164524405</v>
      </c>
      <c r="N155" s="38">
        <v>0.5435424164524405</v>
      </c>
    </row>
    <row r="156" spans="1:56">
      <c r="A156" t="s">
        <v>459</v>
      </c>
      <c r="G156" s="38">
        <v>28.949445538186428</v>
      </c>
      <c r="H156" s="38">
        <v>33.415929465816596</v>
      </c>
      <c r="I156" s="38">
        <v>37.822002832446969</v>
      </c>
      <c r="J156" s="38">
        <v>41.590251994898665</v>
      </c>
      <c r="K156" s="38">
        <v>45.786109643963563</v>
      </c>
      <c r="L156" s="38">
        <v>49.193693952269342</v>
      </c>
      <c r="M156" s="38">
        <v>52.715234886585613</v>
      </c>
      <c r="N156" s="38">
        <v>55.509014748621716</v>
      </c>
    </row>
    <row r="157" spans="1:56">
      <c r="M157" s="1"/>
    </row>
    <row r="158" spans="1:56" s="2" customFormat="1">
      <c r="A158" s="2" t="s">
        <v>460</v>
      </c>
    </row>
    <row r="159" spans="1:56" s="1" customFormat="1">
      <c r="A159" s="1" t="s">
        <v>430</v>
      </c>
      <c r="B159" s="1" t="s">
        <v>431</v>
      </c>
      <c r="C159" s="1">
        <v>2017</v>
      </c>
      <c r="D159" s="1">
        <v>2018</v>
      </c>
      <c r="E159" s="1">
        <v>2019</v>
      </c>
      <c r="F159" s="1">
        <v>2020</v>
      </c>
      <c r="G159" s="1">
        <v>2021</v>
      </c>
      <c r="H159" s="1">
        <v>2022</v>
      </c>
      <c r="I159" s="1">
        <v>2023</v>
      </c>
      <c r="J159" s="1">
        <v>2024</v>
      </c>
      <c r="K159" s="1">
        <v>2025</v>
      </c>
      <c r="L159" s="1">
        <v>2026</v>
      </c>
      <c r="M159" s="1">
        <v>2027</v>
      </c>
      <c r="N159" s="1">
        <v>2028</v>
      </c>
      <c r="O159" s="1">
        <v>2029</v>
      </c>
      <c r="P159" s="1">
        <v>2030</v>
      </c>
      <c r="Q159" s="1">
        <v>2031</v>
      </c>
      <c r="R159" s="1">
        <v>2032</v>
      </c>
      <c r="S159" s="1">
        <v>2033</v>
      </c>
      <c r="T159" s="1">
        <v>2034</v>
      </c>
      <c r="U159" s="1">
        <v>2035</v>
      </c>
      <c r="V159" s="1">
        <v>2036</v>
      </c>
      <c r="W159" s="1">
        <v>2037</v>
      </c>
      <c r="X159" s="1">
        <v>2038</v>
      </c>
      <c r="Y159" s="1">
        <v>2039</v>
      </c>
      <c r="Z159" s="1">
        <v>2040</v>
      </c>
      <c r="AA159" s="1">
        <v>2041</v>
      </c>
      <c r="AB159" s="1">
        <v>2042</v>
      </c>
      <c r="AC159" s="1">
        <v>2043</v>
      </c>
      <c r="AD159" s="1">
        <v>2044</v>
      </c>
      <c r="AE159" s="1">
        <v>2045</v>
      </c>
      <c r="AF159" s="1">
        <v>2046</v>
      </c>
      <c r="AG159" s="1">
        <v>2047</v>
      </c>
      <c r="AH159" s="1">
        <v>2048</v>
      </c>
      <c r="AI159" s="1">
        <v>2049</v>
      </c>
      <c r="AJ159" s="1">
        <v>2050</v>
      </c>
      <c r="AK159" s="1">
        <v>2051</v>
      </c>
      <c r="AL159" s="1">
        <v>2052</v>
      </c>
      <c r="AM159" s="1">
        <v>2053</v>
      </c>
      <c r="AN159" s="1">
        <v>2054</v>
      </c>
      <c r="AO159" s="1">
        <v>2055</v>
      </c>
      <c r="AP159" s="1">
        <v>2056</v>
      </c>
      <c r="AQ159" s="1">
        <v>2057</v>
      </c>
      <c r="AR159" s="1">
        <v>2058</v>
      </c>
      <c r="AS159" s="1">
        <v>2059</v>
      </c>
      <c r="AT159" s="1">
        <v>2060</v>
      </c>
      <c r="AU159" s="1">
        <v>2061</v>
      </c>
      <c r="AV159" s="1">
        <v>2062</v>
      </c>
      <c r="AW159" s="1">
        <v>2063</v>
      </c>
      <c r="AX159" s="1">
        <v>2064</v>
      </c>
      <c r="AY159" s="1">
        <v>2065</v>
      </c>
      <c r="AZ159" s="1">
        <v>2066</v>
      </c>
      <c r="BA159" s="1">
        <v>2067</v>
      </c>
      <c r="BB159" s="1">
        <v>2068</v>
      </c>
      <c r="BC159" s="1">
        <v>2069</v>
      </c>
      <c r="BD159" s="1">
        <v>2070</v>
      </c>
    </row>
    <row r="160" spans="1:56">
      <c r="A160" t="s">
        <v>432</v>
      </c>
      <c r="B160" t="s">
        <v>433</v>
      </c>
      <c r="C160">
        <v>1</v>
      </c>
      <c r="D160">
        <f t="shared" ref="D160:G163" si="104">($H160-$C160)/5+C160</f>
        <v>1.0479331021415728</v>
      </c>
      <c r="E160">
        <f t="shared" si="104"/>
        <v>1.0958662042831455</v>
      </c>
      <c r="F160">
        <f t="shared" si="104"/>
        <v>1.1437993064247183</v>
      </c>
      <c r="G160">
        <f t="shared" si="104"/>
        <v>1.191732408566291</v>
      </c>
      <c r="H160">
        <f>G141/F141</f>
        <v>1.2396655107078642</v>
      </c>
      <c r="I160">
        <f t="shared" ref="I160:L163" si="105">($M160-$H160)/5+H160</f>
        <v>1.3082112099243199</v>
      </c>
      <c r="J160">
        <f t="shared" si="105"/>
        <v>1.3767569091407756</v>
      </c>
      <c r="K160">
        <f t="shared" si="105"/>
        <v>1.4453026083572313</v>
      </c>
      <c r="L160">
        <f t="shared" si="105"/>
        <v>1.513848307573687</v>
      </c>
      <c r="M160">
        <f>H141/F141</f>
        <v>1.5823940067901425</v>
      </c>
      <c r="N160">
        <f t="shared" ref="N160:Q163" si="106">($R160-$M160)/5+M160</f>
        <v>1.6839222186435603</v>
      </c>
      <c r="O160">
        <f t="shared" si="106"/>
        <v>1.785450430496978</v>
      </c>
      <c r="P160">
        <f t="shared" si="106"/>
        <v>1.8869786423503958</v>
      </c>
      <c r="Q160">
        <f t="shared" si="106"/>
        <v>1.9885068542038136</v>
      </c>
      <c r="R160">
        <f>I141/F141</f>
        <v>2.0900350660572311</v>
      </c>
      <c r="S160">
        <f t="shared" ref="S160:V163" si="107">($W160-$R160)/5+R160</f>
        <v>2.2341031847059138</v>
      </c>
      <c r="T160">
        <f t="shared" si="107"/>
        <v>2.3781713033545966</v>
      </c>
      <c r="U160">
        <f t="shared" si="107"/>
        <v>2.5222394220032793</v>
      </c>
      <c r="V160">
        <f t="shared" si="107"/>
        <v>2.6663075406519621</v>
      </c>
      <c r="W160">
        <f>J141/F141</f>
        <v>2.8103756593006444</v>
      </c>
      <c r="X160">
        <f t="shared" ref="X160:AA163" si="108">($AB160-$W160)/5+W160</f>
        <v>2.9796550829133039</v>
      </c>
      <c r="Y160">
        <f t="shared" si="108"/>
        <v>3.1489345065259635</v>
      </c>
      <c r="Z160">
        <f t="shared" si="108"/>
        <v>3.3182139301386231</v>
      </c>
      <c r="AA160">
        <f t="shared" si="108"/>
        <v>3.4874933537512827</v>
      </c>
      <c r="AB160">
        <f>K141/F141</f>
        <v>3.6567727773639431</v>
      </c>
      <c r="AC160">
        <f t="shared" ref="AC160:AF163" si="109">($AG160-$AB160)/5+AB160</f>
        <v>3.8578183880218195</v>
      </c>
      <c r="AD160">
        <f t="shared" si="109"/>
        <v>4.0588639986796959</v>
      </c>
      <c r="AE160">
        <f t="shared" si="109"/>
        <v>4.2599096093375728</v>
      </c>
      <c r="AF160">
        <f t="shared" si="109"/>
        <v>4.4609552199954496</v>
      </c>
      <c r="AG160">
        <f>L141/F141</f>
        <v>4.6620008306533256</v>
      </c>
      <c r="AH160">
        <f t="shared" ref="AH160:AJ163" si="110">($AG160-$AB160)/5+AG160</f>
        <v>4.8630464413112025</v>
      </c>
      <c r="AI160">
        <f t="shared" si="110"/>
        <v>5.0640920519690793</v>
      </c>
      <c r="AJ160">
        <f t="shared" si="110"/>
        <v>5.2651376626269561</v>
      </c>
      <c r="AK160">
        <f t="shared" ref="AK160:AK163" si="111">($AG160-$AB160)/5+AJ160</f>
        <v>5.466183273284833</v>
      </c>
      <c r="AL160">
        <f t="shared" ref="AL160:AL163" si="112">($AG160-$AB160)/5+AK160</f>
        <v>5.6672288839427098</v>
      </c>
      <c r="AM160">
        <f t="shared" ref="AM160:AM163" si="113">($AG160-$AB160)/5+AL160</f>
        <v>5.8682744946005867</v>
      </c>
      <c r="AN160">
        <f t="shared" ref="AN160:AN163" si="114">($AG160-$AB160)/5+AM160</f>
        <v>6.0693201052584635</v>
      </c>
      <c r="AO160">
        <f t="shared" ref="AO160:AO163" si="115">($AG160-$AB160)/5+AN160</f>
        <v>6.2703657159163404</v>
      </c>
      <c r="AP160">
        <f t="shared" ref="AP160:AP163" si="116">($AG160-$AB160)/5+AO160</f>
        <v>6.4714113265742172</v>
      </c>
      <c r="AQ160">
        <f t="shared" ref="AQ160:AQ163" si="117">($AG160-$AB160)/5+AP160</f>
        <v>6.6724569372320941</v>
      </c>
      <c r="AR160">
        <f t="shared" ref="AR160:AR163" si="118">($AG160-$AB160)/5+AQ160</f>
        <v>6.8735025478899709</v>
      </c>
      <c r="AS160">
        <f t="shared" ref="AS160:AS163" si="119">($AG160-$AB160)/5+AR160</f>
        <v>7.0745481585478478</v>
      </c>
      <c r="AT160">
        <f t="shared" ref="AT160:AT163" si="120">($AG160-$AB160)/5+AS160</f>
        <v>7.2755937692057246</v>
      </c>
      <c r="AU160">
        <f t="shared" ref="AU160:AU163" si="121">($AG160-$AB160)/5+AT160</f>
        <v>7.4766393798636015</v>
      </c>
      <c r="AV160">
        <f t="shared" ref="AV160:AV163" si="122">($AG160-$AB160)/5+AU160</f>
        <v>7.6776849905214783</v>
      </c>
      <c r="AW160">
        <f t="shared" ref="AW160:AW163" si="123">($AG160-$AB160)/5+AV160</f>
        <v>7.8787306011793552</v>
      </c>
      <c r="AX160">
        <f t="shared" ref="AX160:AX163" si="124">($AG160-$AB160)/5+AW160</f>
        <v>8.0797762118372312</v>
      </c>
      <c r="AY160">
        <f t="shared" ref="AY160:AY163" si="125">($AG160-$AB160)/5+AX160</f>
        <v>8.280821822495108</v>
      </c>
      <c r="AZ160">
        <f t="shared" ref="AZ160:AZ163" si="126">($AG160-$AB160)/5+AY160</f>
        <v>8.4818674331529849</v>
      </c>
      <c r="BA160">
        <f t="shared" ref="BA160:BA163" si="127">($AG160-$AB160)/5+AZ160</f>
        <v>8.6829130438108617</v>
      </c>
      <c r="BB160">
        <f t="shared" ref="BB160:BB163" si="128">($AG160-$AB160)/5+BA160</f>
        <v>8.8839586544687386</v>
      </c>
      <c r="BC160">
        <f t="shared" ref="BC160:BC163" si="129">($AG160-$AB160)/5+BB160</f>
        <v>9.0850042651266154</v>
      </c>
      <c r="BD160">
        <f t="shared" ref="BD160:BD163" si="130">($AG160-$AB160)/5+BC160</f>
        <v>9.2860498757844923</v>
      </c>
    </row>
    <row r="161" spans="1:56">
      <c r="A161" t="s">
        <v>364</v>
      </c>
      <c r="B161" t="s">
        <v>433</v>
      </c>
      <c r="C161">
        <v>1</v>
      </c>
      <c r="D161">
        <f t="shared" si="104"/>
        <v>1.0249046404305016</v>
      </c>
      <c r="E161">
        <f t="shared" si="104"/>
        <v>1.0498092808610031</v>
      </c>
      <c r="F161">
        <f t="shared" si="104"/>
        <v>1.0747139212915047</v>
      </c>
      <c r="G161">
        <f t="shared" si="104"/>
        <v>1.0996185617220062</v>
      </c>
      <c r="H161">
        <f>G140/F140</f>
        <v>1.1245232021525078</v>
      </c>
      <c r="I161">
        <f t="shared" si="105"/>
        <v>1.1610332913562802</v>
      </c>
      <c r="J161">
        <f t="shared" si="105"/>
        <v>1.1975433805600526</v>
      </c>
      <c r="K161">
        <f t="shared" si="105"/>
        <v>1.234053469763825</v>
      </c>
      <c r="L161">
        <f t="shared" si="105"/>
        <v>1.2705635589675974</v>
      </c>
      <c r="M161">
        <f>H140/F140</f>
        <v>1.3070736481713696</v>
      </c>
      <c r="N161">
        <f t="shared" si="106"/>
        <v>1.3616427451000719</v>
      </c>
      <c r="O161">
        <f t="shared" si="106"/>
        <v>1.4162118420287741</v>
      </c>
      <c r="P161">
        <f t="shared" si="106"/>
        <v>1.4707809389574764</v>
      </c>
      <c r="Q161">
        <f t="shared" si="106"/>
        <v>1.5253500358861787</v>
      </c>
      <c r="R161">
        <f>I140/F140</f>
        <v>1.5799191328148805</v>
      </c>
      <c r="S161">
        <f t="shared" si="107"/>
        <v>1.7001854692012752</v>
      </c>
      <c r="T161">
        <f t="shared" si="107"/>
        <v>1.8204518055876699</v>
      </c>
      <c r="U161">
        <f t="shared" si="107"/>
        <v>1.9407181419740647</v>
      </c>
      <c r="V161">
        <f t="shared" si="107"/>
        <v>2.0609844783604596</v>
      </c>
      <c r="W161">
        <f>J140/F140</f>
        <v>2.1812508147468543</v>
      </c>
      <c r="X161">
        <f t="shared" si="108"/>
        <v>2.3324021507529826</v>
      </c>
      <c r="Y161">
        <f t="shared" si="108"/>
        <v>2.4835534867591109</v>
      </c>
      <c r="Z161">
        <f t="shared" si="108"/>
        <v>2.6347048227652392</v>
      </c>
      <c r="AA161">
        <f t="shared" si="108"/>
        <v>2.7858561587713675</v>
      </c>
      <c r="AB161">
        <f>K140/F140</f>
        <v>2.9370074947774967</v>
      </c>
      <c r="AC161">
        <f t="shared" si="109"/>
        <v>3.1328040493984894</v>
      </c>
      <c r="AD161">
        <f t="shared" si="109"/>
        <v>3.3286006040194822</v>
      </c>
      <c r="AE161">
        <f t="shared" si="109"/>
        <v>3.524397158640475</v>
      </c>
      <c r="AF161">
        <f t="shared" si="109"/>
        <v>3.7201937132614677</v>
      </c>
      <c r="AG161">
        <f>L140/F140</f>
        <v>3.9159902678824596</v>
      </c>
      <c r="AH161">
        <f t="shared" si="110"/>
        <v>4.1117868225034524</v>
      </c>
      <c r="AI161">
        <f t="shared" si="110"/>
        <v>4.3075833771244447</v>
      </c>
      <c r="AJ161">
        <f t="shared" si="110"/>
        <v>4.503379931745437</v>
      </c>
      <c r="AK161">
        <f t="shared" si="111"/>
        <v>4.6991764863664294</v>
      </c>
      <c r="AL161">
        <f t="shared" si="112"/>
        <v>4.8949730409874217</v>
      </c>
      <c r="AM161">
        <f t="shared" si="113"/>
        <v>5.090769595608414</v>
      </c>
      <c r="AN161">
        <f t="shared" si="114"/>
        <v>5.2865661502294063</v>
      </c>
      <c r="AO161">
        <f t="shared" si="115"/>
        <v>5.4823627048503987</v>
      </c>
      <c r="AP161">
        <f t="shared" si="116"/>
        <v>5.678159259471391</v>
      </c>
      <c r="AQ161">
        <f t="shared" si="117"/>
        <v>5.8739558140923833</v>
      </c>
      <c r="AR161">
        <f t="shared" si="118"/>
        <v>6.0697523687133756</v>
      </c>
      <c r="AS161">
        <f t="shared" si="119"/>
        <v>6.265548923334368</v>
      </c>
      <c r="AT161">
        <f t="shared" si="120"/>
        <v>6.4613454779553603</v>
      </c>
      <c r="AU161">
        <f t="shared" si="121"/>
        <v>6.6571420325763526</v>
      </c>
      <c r="AV161">
        <f t="shared" si="122"/>
        <v>6.8529385871973449</v>
      </c>
      <c r="AW161">
        <f t="shared" si="123"/>
        <v>7.0487351418183373</v>
      </c>
      <c r="AX161">
        <f t="shared" si="124"/>
        <v>7.2445316964393296</v>
      </c>
      <c r="AY161">
        <f t="shared" si="125"/>
        <v>7.4403282510603219</v>
      </c>
      <c r="AZ161">
        <f t="shared" si="126"/>
        <v>7.6361248056813142</v>
      </c>
      <c r="BA161">
        <f t="shared" si="127"/>
        <v>7.8319213603023066</v>
      </c>
      <c r="BB161">
        <f t="shared" si="128"/>
        <v>8.0277179149232989</v>
      </c>
      <c r="BC161">
        <f t="shared" si="129"/>
        <v>8.2235144695442912</v>
      </c>
      <c r="BD161">
        <f t="shared" si="130"/>
        <v>8.4193110241652835</v>
      </c>
    </row>
    <row r="162" spans="1:56">
      <c r="A162" t="s">
        <v>434</v>
      </c>
      <c r="B162" t="s">
        <v>433</v>
      </c>
      <c r="C162">
        <v>1</v>
      </c>
      <c r="D162">
        <f t="shared" si="104"/>
        <v>1.0274897883605285</v>
      </c>
      <c r="E162">
        <f t="shared" si="104"/>
        <v>1.054979576721057</v>
      </c>
      <c r="F162">
        <f t="shared" si="104"/>
        <v>1.0824693650815855</v>
      </c>
      <c r="G162">
        <f t="shared" si="104"/>
        <v>1.109959153442114</v>
      </c>
      <c r="H162">
        <f>I152/H152</f>
        <v>1.137448941802643</v>
      </c>
      <c r="I162">
        <f t="shared" si="105"/>
        <v>1.1614795237651219</v>
      </c>
      <c r="J162">
        <f t="shared" si="105"/>
        <v>1.1855101057276007</v>
      </c>
      <c r="K162">
        <f t="shared" si="105"/>
        <v>1.2095406876900796</v>
      </c>
      <c r="L162">
        <f t="shared" si="105"/>
        <v>1.2335712696525585</v>
      </c>
      <c r="M162">
        <f>J152/H152</f>
        <v>1.2576018516150371</v>
      </c>
      <c r="N162">
        <f t="shared" si="106"/>
        <v>1.2852696052736559</v>
      </c>
      <c r="O162">
        <f t="shared" si="106"/>
        <v>1.3129373589322746</v>
      </c>
      <c r="P162">
        <f t="shared" si="106"/>
        <v>1.3406051125908933</v>
      </c>
      <c r="Q162">
        <f t="shared" si="106"/>
        <v>1.3682728662495121</v>
      </c>
      <c r="R162">
        <f>K152/H152</f>
        <v>1.3959406199081306</v>
      </c>
      <c r="S162">
        <f t="shared" si="107"/>
        <v>1.4200488131005939</v>
      </c>
      <c r="T162">
        <f t="shared" si="107"/>
        <v>1.4441570062930573</v>
      </c>
      <c r="U162">
        <f t="shared" si="107"/>
        <v>1.4682651994855207</v>
      </c>
      <c r="V162">
        <f t="shared" si="107"/>
        <v>1.4923733926779841</v>
      </c>
      <c r="W162">
        <f>L152/H152</f>
        <v>1.5164815858704477</v>
      </c>
      <c r="X162">
        <f t="shared" si="108"/>
        <v>1.5434120967639942</v>
      </c>
      <c r="Y162">
        <f t="shared" si="108"/>
        <v>1.5703426076575406</v>
      </c>
      <c r="Z162">
        <f t="shared" si="108"/>
        <v>1.5972731185510871</v>
      </c>
      <c r="AA162">
        <f t="shared" si="108"/>
        <v>1.6242036294446336</v>
      </c>
      <c r="AB162">
        <f>M152/H152</f>
        <v>1.6511341403381803</v>
      </c>
      <c r="AC162">
        <f t="shared" si="109"/>
        <v>1.6744715054859554</v>
      </c>
      <c r="AD162">
        <f t="shared" si="109"/>
        <v>1.6978088706337304</v>
      </c>
      <c r="AE162">
        <f t="shared" si="109"/>
        <v>1.7211462357815055</v>
      </c>
      <c r="AF162">
        <f t="shared" si="109"/>
        <v>1.7444836009292806</v>
      </c>
      <c r="AG162">
        <f>N152/H152</f>
        <v>1.7678209660770559</v>
      </c>
      <c r="AH162">
        <f t="shared" si="110"/>
        <v>1.7911583312248309</v>
      </c>
      <c r="AI162">
        <f t="shared" si="110"/>
        <v>1.814495696372606</v>
      </c>
      <c r="AJ162">
        <f t="shared" si="110"/>
        <v>1.8378330615203811</v>
      </c>
      <c r="AK162">
        <f t="shared" si="111"/>
        <v>1.8611704266681561</v>
      </c>
      <c r="AL162">
        <f t="shared" si="112"/>
        <v>1.8845077918159312</v>
      </c>
      <c r="AM162">
        <f t="shared" si="113"/>
        <v>1.9078451569637063</v>
      </c>
      <c r="AN162">
        <f t="shared" si="114"/>
        <v>1.9311825221114813</v>
      </c>
      <c r="AO162">
        <f t="shared" si="115"/>
        <v>1.9545198872592564</v>
      </c>
      <c r="AP162">
        <f t="shared" si="116"/>
        <v>1.9778572524070315</v>
      </c>
      <c r="AQ162">
        <f t="shared" si="117"/>
        <v>2.0011946175548068</v>
      </c>
      <c r="AR162">
        <f t="shared" si="118"/>
        <v>2.0245319827025821</v>
      </c>
      <c r="AS162">
        <f t="shared" si="119"/>
        <v>2.0478693478503573</v>
      </c>
      <c r="AT162">
        <f t="shared" si="120"/>
        <v>2.0712067129981326</v>
      </c>
      <c r="AU162">
        <f t="shared" si="121"/>
        <v>2.0945440781459079</v>
      </c>
      <c r="AV162">
        <f t="shared" si="122"/>
        <v>2.1178814432936832</v>
      </c>
      <c r="AW162">
        <f t="shared" si="123"/>
        <v>2.1412188084414585</v>
      </c>
      <c r="AX162">
        <f t="shared" si="124"/>
        <v>2.1645561735892338</v>
      </c>
      <c r="AY162">
        <f t="shared" si="125"/>
        <v>2.1878935387370091</v>
      </c>
      <c r="AZ162">
        <f t="shared" si="126"/>
        <v>2.2112309038847844</v>
      </c>
      <c r="BA162">
        <f t="shared" si="127"/>
        <v>2.2345682690325597</v>
      </c>
      <c r="BB162">
        <f t="shared" si="128"/>
        <v>2.257905634180335</v>
      </c>
      <c r="BC162">
        <f t="shared" si="129"/>
        <v>2.2812429993281103</v>
      </c>
      <c r="BD162">
        <f t="shared" si="130"/>
        <v>2.3045803644758855</v>
      </c>
    </row>
    <row r="163" spans="1:56">
      <c r="A163" t="s">
        <v>435</v>
      </c>
      <c r="B163" t="s">
        <v>433</v>
      </c>
      <c r="C163">
        <v>1</v>
      </c>
      <c r="D163">
        <f t="shared" si="104"/>
        <v>1.032655170450804</v>
      </c>
      <c r="E163">
        <f t="shared" si="104"/>
        <v>1.065310340901608</v>
      </c>
      <c r="F163">
        <f t="shared" si="104"/>
        <v>1.097965511352412</v>
      </c>
      <c r="G163">
        <f>($H163-$C163)/5+F163</f>
        <v>1.1306206818032161</v>
      </c>
      <c r="H163">
        <f>H142/G142</f>
        <v>1.1632758522540203</v>
      </c>
      <c r="I163">
        <f t="shared" si="105"/>
        <v>1.1924160895395246</v>
      </c>
      <c r="J163">
        <f t="shared" si="105"/>
        <v>1.2215563268250289</v>
      </c>
      <c r="K163">
        <f t="shared" si="105"/>
        <v>1.2506965641105332</v>
      </c>
      <c r="L163">
        <f t="shared" si="105"/>
        <v>1.2798368013960375</v>
      </c>
      <c r="M163">
        <f>H142/F142</f>
        <v>1.3089770386815416</v>
      </c>
      <c r="N163">
        <f t="shared" si="106"/>
        <v>1.3639369429205528</v>
      </c>
      <c r="O163">
        <f t="shared" si="106"/>
        <v>1.418896847159564</v>
      </c>
      <c r="P163">
        <f t="shared" si="106"/>
        <v>1.4738567513985752</v>
      </c>
      <c r="Q163">
        <f t="shared" si="106"/>
        <v>1.5288166556375864</v>
      </c>
      <c r="R163">
        <f>I142/F142</f>
        <v>1.5837765598765976</v>
      </c>
      <c r="S163">
        <f t="shared" si="107"/>
        <v>1.7043365306718397</v>
      </c>
      <c r="T163">
        <f t="shared" si="107"/>
        <v>1.8248965014670817</v>
      </c>
      <c r="U163">
        <f t="shared" si="107"/>
        <v>1.9454564722623238</v>
      </c>
      <c r="V163">
        <f t="shared" si="107"/>
        <v>2.0660164430575656</v>
      </c>
      <c r="W163">
        <f>J142/F142</f>
        <v>2.1865764138528077</v>
      </c>
      <c r="X163">
        <f t="shared" si="108"/>
        <v>2.4388292296815064</v>
      </c>
      <c r="Y163">
        <f t="shared" si="108"/>
        <v>2.6910820455102051</v>
      </c>
      <c r="Z163">
        <f t="shared" si="108"/>
        <v>2.9433348613389039</v>
      </c>
      <c r="AA163">
        <f t="shared" si="108"/>
        <v>3.1955876771676026</v>
      </c>
      <c r="AB163">
        <f>K143/F143</f>
        <v>3.4478404929963022</v>
      </c>
      <c r="AC163">
        <f t="shared" si="109"/>
        <v>3.5433826530375785</v>
      </c>
      <c r="AD163">
        <f t="shared" si="109"/>
        <v>3.6389248130788547</v>
      </c>
      <c r="AE163">
        <f t="shared" si="109"/>
        <v>3.734466973120131</v>
      </c>
      <c r="AF163">
        <f t="shared" si="109"/>
        <v>3.8300091331614072</v>
      </c>
      <c r="AG163">
        <f>L142/F142</f>
        <v>3.9255512932026835</v>
      </c>
      <c r="AH163">
        <f t="shared" si="110"/>
        <v>4.0210934532439602</v>
      </c>
      <c r="AI163">
        <f t="shared" si="110"/>
        <v>4.1166356132852364</v>
      </c>
      <c r="AJ163">
        <f t="shared" si="110"/>
        <v>4.2121777733265127</v>
      </c>
      <c r="AK163">
        <f t="shared" si="111"/>
        <v>4.3077199333677889</v>
      </c>
      <c r="AL163">
        <f t="shared" si="112"/>
        <v>4.4032620934090652</v>
      </c>
      <c r="AM163">
        <f t="shared" si="113"/>
        <v>4.4988042534503414</v>
      </c>
      <c r="AN163">
        <f t="shared" si="114"/>
        <v>4.5943464134916177</v>
      </c>
      <c r="AO163">
        <f t="shared" si="115"/>
        <v>4.6898885735328939</v>
      </c>
      <c r="AP163">
        <f t="shared" si="116"/>
        <v>4.7854307335741701</v>
      </c>
      <c r="AQ163">
        <f t="shared" si="117"/>
        <v>4.8809728936154464</v>
      </c>
      <c r="AR163">
        <f t="shared" si="118"/>
        <v>4.9765150536567226</v>
      </c>
      <c r="AS163">
        <f t="shared" si="119"/>
        <v>5.0720572136979989</v>
      </c>
      <c r="AT163">
        <f t="shared" si="120"/>
        <v>5.1675993737392751</v>
      </c>
      <c r="AU163">
        <f t="shared" si="121"/>
        <v>5.2631415337805514</v>
      </c>
      <c r="AV163">
        <f t="shared" si="122"/>
        <v>5.3586836938218276</v>
      </c>
      <c r="AW163">
        <f t="shared" si="123"/>
        <v>5.4542258538631039</v>
      </c>
      <c r="AX163">
        <f t="shared" si="124"/>
        <v>5.5497680139043801</v>
      </c>
      <c r="AY163">
        <f t="shared" si="125"/>
        <v>5.6453101739456564</v>
      </c>
      <c r="AZ163">
        <f t="shared" si="126"/>
        <v>5.7408523339869326</v>
      </c>
      <c r="BA163">
        <f t="shared" si="127"/>
        <v>5.8363944940282089</v>
      </c>
      <c r="BB163">
        <f t="shared" si="128"/>
        <v>5.9319366540694851</v>
      </c>
      <c r="BC163">
        <f t="shared" si="129"/>
        <v>6.0274788141107614</v>
      </c>
      <c r="BD163">
        <f t="shared" si="130"/>
        <v>6.1230209741520376</v>
      </c>
    </row>
    <row r="164" spans="1:56" s="1" customFormat="1"/>
    <row r="165" spans="1:56" s="10" customFormat="1">
      <c r="A165" s="2" t="s">
        <v>461</v>
      </c>
    </row>
    <row r="166" spans="1:56" s="1" customFormat="1">
      <c r="A166" s="1" t="s">
        <v>430</v>
      </c>
      <c r="B166" s="1" t="s">
        <v>431</v>
      </c>
      <c r="C166" s="1">
        <v>2020</v>
      </c>
    </row>
    <row r="167" spans="1:56">
      <c r="A167" t="s">
        <v>432</v>
      </c>
      <c r="B167" t="s">
        <v>433</v>
      </c>
      <c r="C167">
        <f>G141/($G$143+$I$152)</f>
        <v>0.59105458105125164</v>
      </c>
    </row>
    <row r="168" spans="1:56">
      <c r="A168" t="s">
        <v>364</v>
      </c>
      <c r="B168" t="s">
        <v>433</v>
      </c>
      <c r="C168">
        <f>G140/($G$143+$I$152)</f>
        <v>0.12284821060960179</v>
      </c>
    </row>
    <row r="169" spans="1:56">
      <c r="A169" t="s">
        <v>434</v>
      </c>
      <c r="B169" t="s">
        <v>433</v>
      </c>
      <c r="C169">
        <f>I152/($G$143+$I$152)</f>
        <v>0.1882194331822967</v>
      </c>
    </row>
    <row r="170" spans="1:56">
      <c r="A170" t="s">
        <v>435</v>
      </c>
      <c r="B170" t="s">
        <v>433</v>
      </c>
      <c r="C170">
        <f>G142/($G$143+$I$152)</f>
        <v>9.7877775156849978E-2</v>
      </c>
    </row>
  </sheetData>
  <hyperlinks>
    <hyperlink ref="B7" r:id="rId1" xr:uid="{5B98F092-42E1-4631-8CF7-0A983FF7AC3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5"/>
  <sheetViews>
    <sheetView workbookViewId="0">
      <selection activeCell="A3" sqref="A3"/>
    </sheetView>
  </sheetViews>
  <sheetFormatPr defaultRowHeight="14.45"/>
  <cols>
    <col min="1" max="1" width="26.140625" customWidth="1"/>
    <col min="2" max="2" width="12" bestFit="1" customWidth="1"/>
    <col min="6" max="6" width="19.85546875" customWidth="1"/>
    <col min="7" max="7" width="11.5703125" customWidth="1"/>
    <col min="8" max="8" width="12.140625" customWidth="1"/>
    <col min="9" max="9" width="13" customWidth="1"/>
  </cols>
  <sheetData>
    <row r="1" spans="1:9">
      <c r="A1" s="1" t="s">
        <v>462</v>
      </c>
      <c r="F1" s="2" t="s">
        <v>463</v>
      </c>
      <c r="G1" s="10"/>
      <c r="H1" s="10"/>
      <c r="I1" s="10"/>
    </row>
    <row r="2" spans="1:9">
      <c r="A2" t="s">
        <v>464</v>
      </c>
      <c r="F2" s="34" t="s">
        <v>465</v>
      </c>
      <c r="G2" s="35" t="s">
        <v>466</v>
      </c>
      <c r="H2" s="35" t="s">
        <v>467</v>
      </c>
      <c r="I2" s="35" t="s">
        <v>468</v>
      </c>
    </row>
    <row r="3" spans="1:9">
      <c r="A3" s="5">
        <f>3.41214*10^9</f>
        <v>3412140000</v>
      </c>
      <c r="F3" s="34"/>
      <c r="G3" s="35" t="s">
        <v>469</v>
      </c>
      <c r="H3" s="35" t="s">
        <v>470</v>
      </c>
      <c r="I3" s="35" t="s">
        <v>471</v>
      </c>
    </row>
    <row r="4" spans="1:9">
      <c r="F4" s="36" t="s">
        <v>119</v>
      </c>
      <c r="G4" s="35">
        <v>1</v>
      </c>
      <c r="H4" s="35">
        <v>1.8440000000000001</v>
      </c>
      <c r="I4" s="35">
        <v>11.6</v>
      </c>
    </row>
    <row r="5" spans="1:9">
      <c r="A5" s="1" t="s">
        <v>472</v>
      </c>
      <c r="F5" s="36" t="s">
        <v>473</v>
      </c>
      <c r="G5" s="35">
        <v>1</v>
      </c>
      <c r="H5" s="35">
        <v>1.411</v>
      </c>
      <c r="I5" s="35">
        <v>8.8800000000000008</v>
      </c>
    </row>
    <row r="6" spans="1:9">
      <c r="A6">
        <v>947817120000</v>
      </c>
      <c r="F6" s="36" t="s">
        <v>474</v>
      </c>
      <c r="G6" s="35">
        <v>1</v>
      </c>
      <c r="H6" s="35">
        <v>1.21</v>
      </c>
      <c r="I6" s="35">
        <v>7.61</v>
      </c>
    </row>
    <row r="7" spans="1:9">
      <c r="F7" s="36" t="s">
        <v>475</v>
      </c>
      <c r="G7" s="35">
        <v>1</v>
      </c>
      <c r="H7" s="35">
        <v>1.2849999999999999</v>
      </c>
      <c r="I7" s="35">
        <v>8.08</v>
      </c>
    </row>
    <row r="8" spans="1:9">
      <c r="F8" s="36" t="s">
        <v>476</v>
      </c>
      <c r="G8" s="35">
        <v>1</v>
      </c>
      <c r="H8" s="35">
        <v>1.288</v>
      </c>
      <c r="I8" s="35">
        <v>8.1</v>
      </c>
    </row>
    <row r="9" spans="1:9">
      <c r="A9" s="1" t="s">
        <v>477</v>
      </c>
      <c r="F9" s="36" t="s">
        <v>478</v>
      </c>
      <c r="G9" s="35">
        <v>1</v>
      </c>
      <c r="H9" s="35">
        <v>1.1719999999999999</v>
      </c>
      <c r="I9" s="35">
        <v>7.37</v>
      </c>
    </row>
    <row r="10" spans="1:9">
      <c r="A10">
        <v>11300</v>
      </c>
      <c r="B10" t="s">
        <v>479</v>
      </c>
      <c r="F10" s="36" t="s">
        <v>480</v>
      </c>
      <c r="G10" s="35">
        <v>1</v>
      </c>
      <c r="H10" s="35">
        <v>1.071</v>
      </c>
      <c r="I10" s="35">
        <v>6.74</v>
      </c>
    </row>
    <row r="11" spans="1:9">
      <c r="A11">
        <f>A10*1000</f>
        <v>11300000</v>
      </c>
      <c r="B11" t="s">
        <v>481</v>
      </c>
      <c r="F11" s="36" t="s">
        <v>482</v>
      </c>
      <c r="G11" s="35">
        <v>1</v>
      </c>
      <c r="H11" s="35">
        <v>1.17</v>
      </c>
      <c r="I11" s="35">
        <v>7.33</v>
      </c>
    </row>
    <row r="12" spans="1:9">
      <c r="A12">
        <v>3.9656699999999998</v>
      </c>
      <c r="B12" t="s">
        <v>483</v>
      </c>
      <c r="F12" s="37" t="s">
        <v>484</v>
      </c>
    </row>
    <row r="13" spans="1:9">
      <c r="A13" s="5">
        <f>A11*A12</f>
        <v>44812071</v>
      </c>
      <c r="B13" t="s">
        <v>485</v>
      </c>
    </row>
    <row r="14" spans="1:9">
      <c r="A14" s="5">
        <f>A13*1000</f>
        <v>44812071000</v>
      </c>
      <c r="B14" t="s">
        <v>486</v>
      </c>
    </row>
    <row r="16" spans="1:9">
      <c r="A16" s="1" t="s">
        <v>487</v>
      </c>
    </row>
    <row r="17" spans="1:3">
      <c r="A17">
        <v>10450</v>
      </c>
      <c r="B17" t="s">
        <v>479</v>
      </c>
    </row>
    <row r="18" spans="1:3">
      <c r="A18">
        <f>A17*1000</f>
        <v>10450000</v>
      </c>
      <c r="B18" t="s">
        <v>481</v>
      </c>
    </row>
    <row r="19" spans="1:3">
      <c r="A19">
        <v>3.9656699999999998</v>
      </c>
      <c r="B19" t="s">
        <v>483</v>
      </c>
    </row>
    <row r="20" spans="1:3">
      <c r="A20" s="5">
        <f>A18*A19</f>
        <v>41441251.5</v>
      </c>
      <c r="B20" t="s">
        <v>485</v>
      </c>
    </row>
    <row r="21" spans="1:3">
      <c r="A21" s="5">
        <f>A20*1000</f>
        <v>41441251500</v>
      </c>
      <c r="B21" t="s">
        <v>486</v>
      </c>
    </row>
    <row r="23" spans="1:3">
      <c r="A23" s="1" t="s">
        <v>488</v>
      </c>
    </row>
    <row r="24" spans="1:3">
      <c r="A24" t="s">
        <v>489</v>
      </c>
      <c r="B24">
        <f>AVERAGE(2500,3850)</f>
        <v>3175</v>
      </c>
      <c r="C24" t="s">
        <v>479</v>
      </c>
    </row>
    <row r="25" spans="1:3">
      <c r="A25" t="s">
        <v>490</v>
      </c>
      <c r="B25">
        <f>AVERAGE(3140,3290)</f>
        <v>3215</v>
      </c>
      <c r="C25" t="s">
        <v>479</v>
      </c>
    </row>
    <row r="26" spans="1:3">
      <c r="A26" t="s">
        <v>491</v>
      </c>
      <c r="B26">
        <f>AVERAGE(B24:B25)</f>
        <v>3195</v>
      </c>
      <c r="C26" t="s">
        <v>479</v>
      </c>
    </row>
    <row r="27" spans="1:3">
      <c r="B27" s="9">
        <v>3.9656699999999998</v>
      </c>
      <c r="C27" t="s">
        <v>483</v>
      </c>
    </row>
    <row r="28" spans="1:3">
      <c r="B28" s="26">
        <f>B26*B27</f>
        <v>12670.315649999999</v>
      </c>
      <c r="C28" t="s">
        <v>492</v>
      </c>
    </row>
    <row r="30" spans="1:3">
      <c r="A30" s="1" t="s">
        <v>493</v>
      </c>
      <c r="B30" s="1"/>
      <c r="C30" s="1"/>
    </row>
    <row r="31" spans="1:3">
      <c r="B31">
        <v>5.8170000000000002</v>
      </c>
      <c r="C31" t="s">
        <v>494</v>
      </c>
    </row>
    <row r="32" spans="1:3">
      <c r="B32">
        <v>7.61</v>
      </c>
      <c r="C32" t="s">
        <v>495</v>
      </c>
    </row>
    <row r="33" spans="2:3">
      <c r="B33" s="9">
        <f>B32*B31</f>
        <v>44.26737</v>
      </c>
      <c r="C33" t="s">
        <v>496</v>
      </c>
    </row>
    <row r="34" spans="2:3">
      <c r="B34">
        <f>B33*1000</f>
        <v>44267.37</v>
      </c>
      <c r="C34" t="s">
        <v>497</v>
      </c>
    </row>
    <row r="35" spans="2:3">
      <c r="B35" s="5">
        <f>B34*10^6</f>
        <v>44267370000</v>
      </c>
      <c r="C35" t="s">
        <v>498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BE151"/>
  <sheetViews>
    <sheetView zoomScale="85" zoomScaleNormal="85" workbookViewId="0">
      <pane ySplit="1" topLeftCell="AH165" activePane="bottomLeft" state="frozen"/>
      <selection pane="bottomLeft" activeCell="AJ105" sqref="AJ105:BE124"/>
    </sheetView>
  </sheetViews>
  <sheetFormatPr defaultRowHeight="14.45"/>
  <cols>
    <col min="1" max="1" width="16.85546875" bestFit="1" customWidth="1"/>
    <col min="2" max="2" width="28.7109375" bestFit="1" customWidth="1"/>
    <col min="3" max="3" width="22.28515625" bestFit="1" customWidth="1"/>
    <col min="4" max="4" width="12" bestFit="1" customWidth="1"/>
    <col min="5" max="5" width="12.5703125" bestFit="1" customWidth="1"/>
    <col min="6" max="8" width="12.42578125" bestFit="1" customWidth="1"/>
    <col min="38" max="38" width="16" bestFit="1" customWidth="1"/>
  </cols>
  <sheetData>
    <row r="1" spans="1:57">
      <c r="A1" t="s">
        <v>431</v>
      </c>
      <c r="B1" t="s">
        <v>499</v>
      </c>
      <c r="C1" t="s">
        <v>500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  <c r="AL1">
        <v>2051</v>
      </c>
      <c r="AM1">
        <v>2052</v>
      </c>
      <c r="AN1">
        <v>2053</v>
      </c>
      <c r="AO1">
        <v>2054</v>
      </c>
      <c r="AP1">
        <v>2055</v>
      </c>
      <c r="AQ1">
        <v>2056</v>
      </c>
      <c r="AR1">
        <v>2057</v>
      </c>
      <c r="AS1">
        <v>2058</v>
      </c>
      <c r="AT1">
        <v>2059</v>
      </c>
      <c r="AU1">
        <v>2060</v>
      </c>
      <c r="AV1">
        <v>2061</v>
      </c>
      <c r="AW1">
        <v>2062</v>
      </c>
      <c r="AX1">
        <v>2063</v>
      </c>
      <c r="AY1">
        <v>2064</v>
      </c>
      <c r="AZ1">
        <v>2065</v>
      </c>
      <c r="BA1">
        <v>2066</v>
      </c>
      <c r="BB1">
        <v>2067</v>
      </c>
      <c r="BC1">
        <v>2068</v>
      </c>
      <c r="BD1">
        <v>2069</v>
      </c>
      <c r="BE1">
        <v>2070</v>
      </c>
    </row>
    <row r="2" spans="1:57">
      <c r="A2" t="s">
        <v>437</v>
      </c>
      <c r="B2" t="s">
        <v>501</v>
      </c>
      <c r="C2" t="s">
        <v>502</v>
      </c>
      <c r="D2" s="58">
        <v>0</v>
      </c>
      <c r="E2" s="58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>
      <c r="A3" t="s">
        <v>437</v>
      </c>
      <c r="B3" t="s">
        <v>501</v>
      </c>
      <c r="C3" t="s">
        <v>503</v>
      </c>
      <c r="D3" s="66">
        <f>('Elec Use'!$D$24*BTU_per_GWh)*'IESS Demand'!$C133*'IESS Demand'!G$77*'IESS Demand'!D116/'IESS Demand'!$D116</f>
        <v>16657047003299.965</v>
      </c>
      <c r="E3" s="66">
        <f>('Elec Use'!$D$18*BTU_per_GWh)*'IESS Demand'!$C133*'IESS Demand'!H$77*'IESS Demand'!E116/'IESS Demand'!$E116</f>
        <v>14006486376863.396</v>
      </c>
      <c r="F3" s="5">
        <f>('Elec Use'!$D$19*BTU_per_GWh)*'IESS Demand'!$C133*'IESS Demand'!I$77*'IESS Demand'!F116/'IESS Demand'!$F116</f>
        <v>15065585649546.586</v>
      </c>
      <c r="G3" s="5">
        <f>('Elec Use'!$D$19*BTU_per_GWh)*'IESS Demand'!$C133*'IESS Demand'!J$77*'IESS Demand'!G116/'IESS Demand'!$F116</f>
        <v>15825421462314.885</v>
      </c>
      <c r="H3" s="5">
        <f>('Elec Use'!$D$19*BTU_per_GWh)*'IESS Demand'!$C133*'IESS Demand'!K$77*'IESS Demand'!H116/'IESS Demand'!$F116</f>
        <v>16592891264657.348</v>
      </c>
      <c r="I3" s="5">
        <f>('Elec Use'!$D$19*BTU_per_GWh)*'IESS Demand'!$C133*'IESS Demand'!L$77*'IESS Demand'!I116/'IESS Demand'!$F116</f>
        <v>17367627584288.836</v>
      </c>
      <c r="J3" s="5">
        <f>('Elec Use'!$D$19*BTU_per_GWh)*'IESS Demand'!$C133*'IESS Demand'!M$77*'IESS Demand'!J116/'IESS Demand'!$F116</f>
        <v>19954943257007.469</v>
      </c>
      <c r="K3" s="5">
        <f>('Elec Use'!$D$19*BTU_per_GWh)*'IESS Demand'!$C133*'IESS Demand'!N$77*'IESS Demand'!K116/'IESS Demand'!$F116</f>
        <v>22636137494334.313</v>
      </c>
      <c r="L3" s="5">
        <f>('Elec Use'!$D$19*BTU_per_GWh)*'IESS Demand'!$C133*'IESS Demand'!O$77*'IESS Demand'!L116/'IESS Demand'!$F116</f>
        <v>25383948073688.035</v>
      </c>
      <c r="M3" s="5">
        <f>('Elec Use'!$D$19*BTU_per_GWh)*'IESS Demand'!$C133*'IESS Demand'!P$77*'IESS Demand'!M116/'IESS Demand'!$F116</f>
        <v>28195336363626.414</v>
      </c>
      <c r="N3" s="5">
        <f>('Elec Use'!$D$19*BTU_per_GWh)*'IESS Demand'!$C133*'IESS Demand'!Q$77*'IESS Demand'!N116/'IESS Demand'!$F116</f>
        <v>31067445770021.543</v>
      </c>
      <c r="O3" s="5">
        <f>('Elec Use'!$D$19*BTU_per_GWh)*'IESS Demand'!$C133*'IESS Demand'!R$77*'IESS Demand'!O116/'IESS Demand'!$F116</f>
        <v>35606628528130.195</v>
      </c>
      <c r="P3" s="5">
        <f>('Elec Use'!$D$19*BTU_per_GWh)*'IESS Demand'!$C133*'IESS Demand'!S$77*'IESS Demand'!P116/'IESS Demand'!$F116</f>
        <v>40257825413959.648</v>
      </c>
      <c r="Q3" s="5">
        <f>('Elec Use'!$D$19*BTU_per_GWh)*'IESS Demand'!$C133*'IESS Demand'!T$77*'IESS Demand'!Q116/'IESS Demand'!$F116</f>
        <v>45016189677279.891</v>
      </c>
      <c r="R3" s="5">
        <f>('Elec Use'!$D$19*BTU_per_GWh)*'IESS Demand'!$C133*'IESS Demand'!U$77*'IESS Demand'!R116/'IESS Demand'!$F116</f>
        <v>49877150211587.672</v>
      </c>
      <c r="S3" s="5">
        <f>('Elec Use'!$D$19*BTU_per_GWh)*'IESS Demand'!$C133*'IESS Demand'!V$77*'IESS Demand'!S116/'IESS Demand'!$F116</f>
        <v>54836392233343.297</v>
      </c>
      <c r="T3" s="5">
        <f>('Elec Use'!$D$19*BTU_per_GWh)*'IESS Demand'!$C133*'IESS Demand'!W$77*'IESS Demand'!T116/'IESS Demand'!$F116</f>
        <v>61236056197934.977</v>
      </c>
      <c r="U3" s="5">
        <f>('Elec Use'!$D$19*BTU_per_GWh)*'IESS Demand'!$C133*'IESS Demand'!X$77*'IESS Demand'!U116/'IESS Demand'!$F116</f>
        <v>67776010489379.531</v>
      </c>
      <c r="V3" s="5">
        <f>('Elec Use'!$D$19*BTU_per_GWh)*'IESS Demand'!$C133*'IESS Demand'!Y$77*'IESS Demand'!V116/'IESS Demand'!$F116</f>
        <v>74450670843742.453</v>
      </c>
      <c r="W3" s="5">
        <f>('Elec Use'!$D$19*BTU_per_GWh)*'IESS Demand'!$C133*'IESS Demand'!Z$77*'IESS Demand'!W116/'IESS Demand'!$F116</f>
        <v>81254745492061.188</v>
      </c>
      <c r="X3" s="5">
        <f>('Elec Use'!$D$19*BTU_per_GWh)*'IESS Demand'!$C133*'IESS Demand'!AA$77*'IESS Demand'!X116/'IESS Demand'!$F116</f>
        <v>88183216257339.078</v>
      </c>
      <c r="Y3" s="5">
        <f>('Elec Use'!$D$19*BTU_per_GWh)*'IESS Demand'!$C133*'IESS Demand'!AB$77*'IESS Demand'!Y116/'IESS Demand'!$F116</f>
        <v>96833231577004.734</v>
      </c>
      <c r="Z3" s="5">
        <f>('Elec Use'!$D$19*BTU_per_GWh)*'IESS Demand'!$C133*'IESS Demand'!AC$77*'IESS Demand'!Z116/'IESS Demand'!$F116</f>
        <v>105654515899097.48</v>
      </c>
      <c r="AA3" s="5">
        <f>('Elec Use'!$D$19*BTU_per_GWh)*'IESS Demand'!$C133*'IESS Demand'!AD$77*'IESS Demand'!AA116/'IESS Demand'!$F116</f>
        <v>114640878233334.72</v>
      </c>
      <c r="AB3" s="5">
        <f>('Elec Use'!$D$19*BTU_per_GWh)*'IESS Demand'!$C133*'IESS Demand'!AE$77*'IESS Demand'!AB116/'IESS Demand'!$F116</f>
        <v>123786422424111.02</v>
      </c>
      <c r="AC3" s="5">
        <f>('Elec Use'!$D$19*BTU_per_GWh)*'IESS Demand'!$C133*'IESS Demand'!AF$77*'IESS Demand'!AC116/'IESS Demand'!$F116</f>
        <v>133085529805795.78</v>
      </c>
      <c r="AD3" s="5">
        <f>('Elec Use'!$D$19*BTU_per_GWh)*'IESS Demand'!$C133*'IESS Demand'!AG$77*'IESS Demand'!AD116/'IESS Demand'!$F116</f>
        <v>144422186695856.91</v>
      </c>
      <c r="AE3" s="5">
        <f>('Elec Use'!$D$19*BTU_per_GWh)*'IESS Demand'!$C133*'IESS Demand'!AH$77*'IESS Demand'!AE116/'IESS Demand'!$F116</f>
        <v>155963646173280.47</v>
      </c>
      <c r="AF3" s="5">
        <f>('Elec Use'!$D$19*BTU_per_GWh)*'IESS Demand'!$C133*'IESS Demand'!AI$77*'IESS Demand'!AF116/'IESS Demand'!$F116</f>
        <v>167703104428008.25</v>
      </c>
      <c r="AG3" s="5">
        <f>('Elec Use'!$D$19*BTU_per_GWh)*'IESS Demand'!$C133*'IESS Demand'!AJ$77*'IESS Demand'!AG116/'IESS Demand'!$F116</f>
        <v>179634055724474.66</v>
      </c>
      <c r="AH3" s="5">
        <f>('Elec Use'!$D$19*BTU_per_GWh)*'IESS Demand'!$C133*'IESS Demand'!AK$77*'IESS Demand'!AH116/'IESS Demand'!$F116</f>
        <v>191750276255173.25</v>
      </c>
      <c r="AI3" s="5">
        <f>('Elec Use'!$D$19*BTU_per_GWh)*'IESS Demand'!$C133*'IESS Demand'!AL$77*'IESS Demand'!AI116/'IESS Demand'!$F116</f>
        <v>204045809032531.25</v>
      </c>
      <c r="AJ3" s="5">
        <f>('Elec Use'!$D$19*BTU_per_GWh)*'IESS Demand'!$C133*'IESS Demand'!AM$77*'IESS Demand'!AJ116/'IESS Demand'!$F116</f>
        <v>216514949742038.88</v>
      </c>
      <c r="AK3" s="5">
        <f>('Elec Use'!$D$19*BTU_per_GWh)*'IESS Demand'!$C133*'IESS Demand'!AN$77*'IESS Demand'!AK116/'IESS Demand'!$F116</f>
        <v>229152233486013</v>
      </c>
      <c r="AL3" s="5">
        <f>('Elec Use'!$D$19*BTU_per_GWh)*'IESS Demand'!$C133*'IESS Demand'!AO$77*'IESS Demand'!AL116/'IESS Demand'!$F116</f>
        <v>241952422353264.59</v>
      </c>
      <c r="AM3" s="5">
        <f>('Elec Use'!$D$19*BTU_per_GWh)*'IESS Demand'!$C133*'IESS Demand'!AP$77*'IESS Demand'!AM116/'IESS Demand'!$F116</f>
        <v>254910493755262.09</v>
      </c>
      <c r="AN3" s="5">
        <f>('Elec Use'!$D$19*BTU_per_GWh)*'IESS Demand'!$C133*'IESS Demand'!AQ$77*'IESS Demand'!AN116/'IESS Demand'!$F116</f>
        <v>268021629474191.5</v>
      </c>
      <c r="AO3" s="5">
        <f>('Elec Use'!$D$19*BTU_per_GWh)*'IESS Demand'!$C133*'IESS Demand'!AR$77*'IESS Demand'!AO116/'IESS Demand'!$F116</f>
        <v>281281205372752.53</v>
      </c>
      <c r="AP3" s="5">
        <f>('Elec Use'!$D$19*BTU_per_GWh)*'IESS Demand'!$C133*'IESS Demand'!AS$77*'IESS Demand'!AP116/'IESS Demand'!$F116</f>
        <v>294684781719492.38</v>
      </c>
      <c r="AQ3" s="5">
        <f>('Elec Use'!$D$19*BTU_per_GWh)*'IESS Demand'!$C133*'IESS Demand'!AT$77*'IESS Demand'!AQ116/'IESS Demand'!$F116</f>
        <v>308228094087149.56</v>
      </c>
      <c r="AR3" s="5">
        <f>('Elec Use'!$D$19*BTU_per_GWh)*'IESS Demand'!$C133*'IESS Demand'!AU$77*'IESS Demand'!AR116/'IESS Demand'!$F116</f>
        <v>321907044784808.75</v>
      </c>
      <c r="AS3" s="5">
        <f>('Elec Use'!$D$19*BTU_per_GWh)*'IESS Demand'!$C133*'IESS Demand'!AV$77*'IESS Demand'!AS116/'IESS Demand'!$F116</f>
        <v>335717694787675.81</v>
      </c>
      <c r="AT3" s="5">
        <f>('Elec Use'!$D$19*BTU_per_GWh)*'IESS Demand'!$C133*'IESS Demand'!AW$77*'IESS Demand'!AT116/'IESS Demand'!$F116</f>
        <v>349656256131100.81</v>
      </c>
      <c r="AU3" s="5">
        <f>('Elec Use'!$D$19*BTU_per_GWh)*'IESS Demand'!$C133*'IESS Demand'!AX$77*'IESS Demand'!AU116/'IESS Demand'!$F116</f>
        <v>363719084737962.06</v>
      </c>
      <c r="AV3" s="5">
        <f>('Elec Use'!$D$19*BTU_per_GWh)*'IESS Demand'!$C133*'IESS Demand'!AY$77*'IESS Demand'!AV116/'IESS Demand'!$F116</f>
        <v>377902673650901.38</v>
      </c>
      <c r="AW3" s="5">
        <f>('Elec Use'!$D$19*BTU_per_GWh)*'IESS Demand'!$C133*'IESS Demand'!AZ$77*'IESS Demand'!AW116/'IESS Demand'!$F116</f>
        <v>392203646642977.69</v>
      </c>
      <c r="AX3" s="5">
        <f>('Elec Use'!$D$19*BTU_per_GWh)*'IESS Demand'!$C133*'IESS Demand'!BA$77*'IESS Demand'!AX116/'IESS Demand'!$F116</f>
        <v>406618752182290.88</v>
      </c>
      <c r="AY3" s="5">
        <f>('Elec Use'!$D$19*BTU_per_GWh)*'IESS Demand'!$C133*'IESS Demand'!BB$77*'IESS Demand'!AY116/'IESS Demand'!$F116</f>
        <v>421144857727912.56</v>
      </c>
      <c r="AZ3" s="5">
        <f>('Elec Use'!$D$19*BTU_per_GWh)*'IESS Demand'!$C133*'IESS Demand'!BC$77*'IESS Demand'!AZ116/'IESS Demand'!$F116</f>
        <v>435778944336080.31</v>
      </c>
      <c r="BA3" s="5">
        <f>('Elec Use'!$D$19*BTU_per_GWh)*'IESS Demand'!$C133*'IESS Demand'!BD$77*'IESS Demand'!BA116/'IESS Demand'!$F116</f>
        <v>450518101557166.5</v>
      </c>
      <c r="BB3" s="5">
        <f>('Elec Use'!$D$19*BTU_per_GWh)*'IESS Demand'!$C133*'IESS Demand'!BE$77*'IESS Demand'!BB116/'IESS Demand'!$F116</f>
        <v>465359522605276.44</v>
      </c>
      <c r="BC3" s="5">
        <f>('Elec Use'!$D$19*BTU_per_GWh)*'IESS Demand'!$C133*'IESS Demand'!BF$77*'IESS Demand'!BC116/'IESS Demand'!$F116</f>
        <v>480300499783640.81</v>
      </c>
      <c r="BD3" s="5">
        <f>('Elec Use'!$D$19*BTU_per_GWh)*'IESS Demand'!$C133*'IESS Demand'!BG$77*'IESS Demand'!BD116/'IESS Demand'!$F116</f>
        <v>495338420150147</v>
      </c>
      <c r="BE3" s="5">
        <f>('Elec Use'!$D$19*BTU_per_GWh)*'IESS Demand'!$C133*'IESS Demand'!BH$77*'IESS Demand'!BE116/'IESS Demand'!$F116</f>
        <v>510470761408407.06</v>
      </c>
    </row>
    <row r="4" spans="1:57">
      <c r="A4" t="s">
        <v>437</v>
      </c>
      <c r="B4" t="s">
        <v>501</v>
      </c>
      <c r="C4" t="s">
        <v>364</v>
      </c>
      <c r="D4" s="66">
        <f>('Elec Use'!$D$24*BTU_per_GWh)*'IESS Demand'!$C134*'IESS Demand'!J$77*'IESS Demand'!H117/'IESS Demand'!$H117</f>
        <v>38464434659967.68</v>
      </c>
      <c r="E4" s="66">
        <f>('Elec Use'!$D$18*BTU_per_GWh)*'IESS Demand'!$C134*'IESS Demand'!H$77*'IESS Demand'!E117/'IESS Demand'!$E117</f>
        <v>30557951844303.473</v>
      </c>
      <c r="F4" s="5">
        <f>('Elec Use'!$D$19*BTU_per_GWh)*'IESS Demand'!$C134*'IESS Demand'!I$77*'IESS Demand'!F117/'IESS Demand'!$F117</f>
        <v>32868588766526.176</v>
      </c>
      <c r="G4" s="5">
        <f>('Elec Use'!$D$19*BTU_per_GWh)*'IESS Demand'!$C134*'IESS Demand'!J$77*'IESS Demand'!G117/'IESS Demand'!$F117</f>
        <v>33749546156825.777</v>
      </c>
      <c r="H4" s="5">
        <f>('Elec Use'!$D$19*BTU_per_GWh)*'IESS Demand'!$C134*'IESS Demand'!K$77*'IESS Demand'!H117/'IESS Demand'!$F117</f>
        <v>34618166508145.508</v>
      </c>
      <c r="I4" s="5">
        <f>('Elec Use'!$D$19*BTU_per_GWh)*'IESS Demand'!$C134*'IESS Demand'!L$77*'IESS Demand'!I117/'IESS Demand'!$F117</f>
        <v>35475043680335.391</v>
      </c>
      <c r="J4" s="5">
        <f>('Elec Use'!$D$19*BTU_per_GWh)*'IESS Demand'!$C134*'IESS Demand'!M$77*'IESS Demand'!J117/'IESS Demand'!$F117</f>
        <v>37113946054336.125</v>
      </c>
      <c r="K4" s="5">
        <f>('Elec Use'!$D$19*BTU_per_GWh)*'IESS Demand'!$C134*'IESS Demand'!N$77*'IESS Demand'!K117/'IESS Demand'!$F117</f>
        <v>38817797048165.047</v>
      </c>
      <c r="L4" s="5">
        <f>('Elec Use'!$D$19*BTU_per_GWh)*'IESS Demand'!$C134*'IESS Demand'!O$77*'IESS Demand'!L117/'IESS Demand'!$F117</f>
        <v>40536784441886.75</v>
      </c>
      <c r="M4" s="5">
        <f>('Elec Use'!$D$19*BTU_per_GWh)*'IESS Demand'!$C134*'IESS Demand'!P$77*'IESS Demand'!M117/'IESS Demand'!$F117</f>
        <v>42270217805206.57</v>
      </c>
      <c r="N4" s="5">
        <f>('Elec Use'!$D$19*BTU_per_GWh)*'IESS Demand'!$C134*'IESS Demand'!Q$77*'IESS Demand'!N117/'IESS Demand'!$F117</f>
        <v>44017448069897.445</v>
      </c>
      <c r="O4" s="5">
        <f>('Elec Use'!$D$19*BTU_per_GWh)*'IESS Demand'!$C134*'IESS Demand'!R$77*'IESS Demand'!O117/'IESS Demand'!$F117</f>
        <v>46279530029661.82</v>
      </c>
      <c r="P4" s="5">
        <f>('Elec Use'!$D$19*BTU_per_GWh)*'IESS Demand'!$C134*'IESS Demand'!S$77*'IESS Demand'!P117/'IESS Demand'!$F117</f>
        <v>48568758646796.32</v>
      </c>
      <c r="Q4" s="5">
        <f>('Elec Use'!$D$19*BTU_per_GWh)*'IESS Demand'!$C134*'IESS Demand'!T$77*'IESS Demand'!Q117/'IESS Demand'!$F117</f>
        <v>50883959309932.188</v>
      </c>
      <c r="R4" s="5">
        <f>('Elec Use'!$D$19*BTU_per_GWh)*'IESS Demand'!$C134*'IESS Demand'!U$77*'IESS Demand'!R117/'IESS Demand'!$F117</f>
        <v>53224024210040.359</v>
      </c>
      <c r="S4" s="5">
        <f>('Elec Use'!$D$19*BTU_per_GWh)*'IESS Demand'!$C134*'IESS Demand'!V$77*'IESS Demand'!S117/'IESS Demand'!$F117</f>
        <v>55587907658039.414</v>
      </c>
      <c r="T4" s="5">
        <f>('Elec Use'!$D$19*BTU_per_GWh)*'IESS Demand'!$C134*'IESS Demand'!W$77*'IESS Demand'!T117/'IESS Demand'!$F117</f>
        <v>58227984901580.648</v>
      </c>
      <c r="U4" s="5">
        <f>('Elec Use'!$D$19*BTU_per_GWh)*'IESS Demand'!$C134*'IESS Demand'!X$77*'IESS Demand'!U117/'IESS Demand'!$F117</f>
        <v>60897666791378.172</v>
      </c>
      <c r="V4" s="5">
        <f>('Elec Use'!$D$19*BTU_per_GWh)*'IESS Demand'!$C134*'IESS Demand'!Y$77*'IESS Demand'!V117/'IESS Demand'!$F117</f>
        <v>63595774912910.523</v>
      </c>
      <c r="W4" s="5">
        <f>('Elec Use'!$D$19*BTU_per_GWh)*'IESS Demand'!$C134*'IESS Demand'!Z$77*'IESS Demand'!W117/'IESS Demand'!$F117</f>
        <v>66321192575157.594</v>
      </c>
      <c r="X4" s="5">
        <f>('Elec Use'!$D$19*BTU_per_GWh)*'IESS Demand'!$C134*'IESS Demand'!AA$77*'IESS Demand'!X117/'IESS Demand'!$F117</f>
        <v>69072860821610.125</v>
      </c>
      <c r="Y4" s="5">
        <f>('Elec Use'!$D$19*BTU_per_GWh)*'IESS Demand'!$C134*'IESS Demand'!AB$77*'IESS Demand'!Y117/'IESS Demand'!$F117</f>
        <v>72105951291071.453</v>
      </c>
      <c r="Z4" s="5">
        <f>('Elec Use'!$D$19*BTU_per_GWh)*'IESS Demand'!$C134*'IESS Demand'!AC$77*'IESS Demand'!Z117/'IESS Demand'!$F117</f>
        <v>75171173118663.188</v>
      </c>
      <c r="AA4" s="5">
        <f>('Elec Use'!$D$19*BTU_per_GWh)*'IESS Demand'!$C134*'IESS Demand'!AD$77*'IESS Demand'!AA117/'IESS Demand'!$F117</f>
        <v>78267364827859.875</v>
      </c>
      <c r="AB4" s="5">
        <f>('Elec Use'!$D$19*BTU_per_GWh)*'IESS Demand'!$C134*'IESS Demand'!AE$77*'IESS Demand'!AB117/'IESS Demand'!$F117</f>
        <v>81393420255346.75</v>
      </c>
      <c r="AC4" s="5">
        <f>('Elec Use'!$D$19*BTU_per_GWh)*'IESS Demand'!$C134*'IESS Demand'!AF$77*'IESS Demand'!AC117/'IESS Demand'!$F117</f>
        <v>84548285297024.469</v>
      </c>
      <c r="AD4" s="5">
        <f>('Elec Use'!$D$19*BTU_per_GWh)*'IESS Demand'!$C134*'IESS Demand'!AG$77*'IESS Demand'!AD117/'IESS Demand'!$F117</f>
        <v>88009559114663.859</v>
      </c>
      <c r="AE4" s="5">
        <f>('Elec Use'!$D$19*BTU_per_GWh)*'IESS Demand'!$C134*'IESS Demand'!AH$77*'IESS Demand'!AE117/'IESS Demand'!$F117</f>
        <v>91505581997459.109</v>
      </c>
      <c r="AF4" s="5">
        <f>('Elec Use'!$D$19*BTU_per_GWh)*'IESS Demand'!$C134*'IESS Demand'!AI$77*'IESS Demand'!AF117/'IESS Demand'!$F117</f>
        <v>95035199535976.141</v>
      </c>
      <c r="AG4" s="5">
        <f>('Elec Use'!$D$19*BTU_per_GWh)*'IESS Demand'!$C134*'IESS Demand'!AJ$77*'IESS Demand'!AG117/'IESS Demand'!$F117</f>
        <v>98597307895385.172</v>
      </c>
      <c r="AH4" s="5">
        <f>('Elec Use'!$D$19*BTU_per_GWh)*'IESS Demand'!$C134*'IESS Demand'!AK$77*'IESS Demand'!AH117/'IESS Demand'!$F117</f>
        <v>102190851075880.61</v>
      </c>
      <c r="AI4" s="5">
        <f>('Elec Use'!$D$19*BTU_per_GWh)*'IESS Demand'!$C134*'IESS Demand'!AL$77*'IESS Demand'!AI117/'IESS Demand'!$F117</f>
        <v>105814818349267.63</v>
      </c>
      <c r="AJ4" s="5">
        <f>('Elec Use'!$D$19*BTU_per_GWh)*'IESS Demand'!$C134*'IESS Demand'!AM$77*'IESS Demand'!AJ117/'IESS Demand'!$F117</f>
        <v>109468241858650.13</v>
      </c>
      <c r="AK4" s="5">
        <f>('Elec Use'!$D$19*BTU_per_GWh)*'IESS Demand'!$C134*'IESS Demand'!AN$77*'IESS Demand'!AK117/'IESS Demand'!$F117</f>
        <v>113150194369230.7</v>
      </c>
      <c r="AL4" s="5">
        <f>('Elec Use'!$D$19*BTU_per_GWh)*'IESS Demand'!$C134*'IESS Demand'!AO$77*'IESS Demand'!AL117/'IESS Demand'!$F117</f>
        <v>116859787159242.52</v>
      </c>
      <c r="AM4" s="5">
        <f>('Elec Use'!$D$19*BTU_per_GWh)*'IESS Demand'!$C134*'IESS Demand'!AP$77*'IESS Demand'!AM117/'IESS Demand'!$F117</f>
        <v>120596168040935.98</v>
      </c>
      <c r="AN4" s="5">
        <f>('Elec Use'!$D$19*BTU_per_GWh)*'IESS Demand'!$C134*'IESS Demand'!AQ$77*'IESS Demand'!AN117/'IESS Demand'!$F117</f>
        <v>124358519502349.92</v>
      </c>
      <c r="AO4" s="5">
        <f>('Elec Use'!$D$19*BTU_per_GWh)*'IESS Demand'!$C134*'IESS Demand'!AR$77*'IESS Demand'!AO117/'IESS Demand'!$F117</f>
        <v>128146056961363.73</v>
      </c>
      <c r="AP4" s="5">
        <f>('Elec Use'!$D$19*BTU_per_GWh)*'IESS Demand'!$C134*'IESS Demand'!AS$77*'IESS Demand'!AP117/'IESS Demand'!$F117</f>
        <v>131958027124186.25</v>
      </c>
      <c r="AQ4" s="5">
        <f>('Elec Use'!$D$19*BTU_per_GWh)*'IESS Demand'!$C134*'IESS Demand'!AT$77*'IESS Demand'!AQ117/'IESS Demand'!$F117</f>
        <v>135793706441067.66</v>
      </c>
      <c r="AR4" s="5">
        <f>('Elec Use'!$D$19*BTU_per_GWh)*'IESS Demand'!$C134*'IESS Demand'!AU$77*'IESS Demand'!AR117/'IESS Demand'!$F117</f>
        <v>139652399652585.91</v>
      </c>
      <c r="AS4" s="5">
        <f>('Elec Use'!$D$19*BTU_per_GWh)*'IESS Demand'!$C134*'IESS Demand'!AV$77*'IESS Demand'!AS117/'IESS Demand'!$F117</f>
        <v>143533438420361.69</v>
      </c>
      <c r="AT4" s="5">
        <f>('Elec Use'!$D$19*BTU_per_GWh)*'IESS Demand'!$C134*'IESS Demand'!AW$77*'IESS Demand'!AT117/'IESS Demand'!$F117</f>
        <v>147436180036546.38</v>
      </c>
      <c r="AU4" s="5">
        <f>('Elec Use'!$D$19*BTU_per_GWh)*'IESS Demand'!$C134*'IESS Demand'!AX$77*'IESS Demand'!AU117/'IESS Demand'!$F117</f>
        <v>151360006206834.81</v>
      </c>
      <c r="AV4" s="5">
        <f>('Elec Use'!$D$19*BTU_per_GWh)*'IESS Demand'!$C134*'IESS Demand'!AY$77*'IESS Demand'!AV117/'IESS Demand'!$F117</f>
        <v>155304321902173.66</v>
      </c>
      <c r="AW4" s="5">
        <f>('Elec Use'!$D$19*BTU_per_GWh)*'IESS Demand'!$C134*'IESS Demand'!AZ$77*'IESS Demand'!AW117/'IESS Demand'!$F117</f>
        <v>159268554274673.47</v>
      </c>
      <c r="AX4" s="5">
        <f>('Elec Use'!$D$19*BTU_per_GWh)*'IESS Demand'!$C134*'IESS Demand'!BA$77*'IESS Demand'!AX117/'IESS Demand'!$F117</f>
        <v>163252151633579.84</v>
      </c>
      <c r="AY4" s="5">
        <f>('Elec Use'!$D$19*BTU_per_GWh)*'IESS Demand'!$C134*'IESS Demand'!BB$77*'IESS Demand'!AY117/'IESS Demand'!$F117</f>
        <v>167254582477459.34</v>
      </c>
      <c r="AZ4" s="5">
        <f>('Elec Use'!$D$19*BTU_per_GWh)*'IESS Demand'!$C134*'IESS Demand'!BC$77*'IESS Demand'!AZ117/'IESS Demand'!$F117</f>
        <v>171275334579025.53</v>
      </c>
      <c r="BA4" s="5">
        <f>('Elec Use'!$D$19*BTU_per_GWh)*'IESS Demand'!$C134*'IESS Demand'!BD$77*'IESS Demand'!BA117/'IESS Demand'!$F117</f>
        <v>175313914119303.75</v>
      </c>
      <c r="BB4" s="5">
        <f>('Elec Use'!$D$19*BTU_per_GWh)*'IESS Demand'!$C134*'IESS Demand'!BE$77*'IESS Demand'!BB117/'IESS Demand'!$F117</f>
        <v>179369844868051.25</v>
      </c>
      <c r="BC4" s="5">
        <f>('Elec Use'!$D$19*BTU_per_GWh)*'IESS Demand'!$C134*'IESS Demand'!BF$77*'IESS Demand'!BC117/'IESS Demand'!$F117</f>
        <v>183442667407578.28</v>
      </c>
      <c r="BD4" s="5">
        <f>('Elec Use'!$D$19*BTU_per_GWh)*'IESS Demand'!$C134*'IESS Demand'!BG$77*'IESS Demand'!BD117/'IESS Demand'!$F117</f>
        <v>187531938397315.75</v>
      </c>
      <c r="BE4" s="5">
        <f>('Elec Use'!$D$19*BTU_per_GWh)*'IESS Demand'!$C134*'IESS Demand'!BH$77*'IESS Demand'!BE117/'IESS Demand'!$F117</f>
        <v>191637229876646.84</v>
      </c>
    </row>
    <row r="5" spans="1:57" ht="15">
      <c r="A5" t="s">
        <v>437</v>
      </c>
      <c r="B5" t="s">
        <v>501</v>
      </c>
      <c r="C5" t="s">
        <v>434</v>
      </c>
      <c r="D5" s="66">
        <f>('Elec Use'!$D$17*BTU_per_GWh)*'IESS Demand'!$C135*'IESS Demand'!G$77*'IESS Demand'!D118/'IESS Demand'!$D118</f>
        <v>134881144356497.34</v>
      </c>
      <c r="E5" s="66">
        <f>('Elec Use'!$D$18*BTU_per_GWh)*'IESS Demand'!$C135*'IESS Demand'!H$77*'IESS Demand'!E118/'IESS Demand'!$E118</f>
        <v>146661117953088.19</v>
      </c>
      <c r="F5" s="5">
        <f>('Elec Use'!$D$19*BTU_per_GWh)*'IESS Demand'!$C135*'IESS Demand'!I$77*'IESS Demand'!F118/'IESS Demand'!$F118</f>
        <v>157750885877440.66</v>
      </c>
      <c r="G5" s="5">
        <f>('Elec Use'!$D$19*BTU_per_GWh)*'IESS Demand'!$C135*'IESS Demand'!J$77*'IESS Demand'!G118/'IESS Demand'!$F118</f>
        <v>168998164976410.34</v>
      </c>
      <c r="H5" s="5">
        <f>('Elec Use'!$D$19*BTU_per_GWh)*'IESS Demand'!$C135*'IESS Demand'!K$77*'IESS Demand'!H118/'IESS Demand'!$F118</f>
        <v>180448214253798.53</v>
      </c>
      <c r="I5" s="5">
        <f>('Elec Use'!$D$19*BTU_per_GWh)*'IESS Demand'!$C135*'IESS Demand'!L$77*'IESS Demand'!I118/'IESS Demand'!$F118</f>
        <v>192091273096221.19</v>
      </c>
      <c r="J5" s="5">
        <f>('Elec Use'!$D$19*BTU_per_GWh)*'IESS Demand'!$C135*'IESS Demand'!M$77*'IESS Demand'!J118/'IESS Demand'!$F118</f>
        <v>206681456581787.22</v>
      </c>
      <c r="K5" s="5">
        <f>('Elec Use'!$D$19*BTU_per_GWh)*'IESS Demand'!$C135*'IESS Demand'!N$77*'IESS Demand'!K118/'IESS Demand'!$F118</f>
        <v>221822124064046.59</v>
      </c>
      <c r="L5" s="5">
        <f>('Elec Use'!$D$19*BTU_per_GWh)*'IESS Demand'!$C135*'IESS Demand'!O$77*'IESS Demand'!L118/'IESS Demand'!$F118</f>
        <v>237234342947564.94</v>
      </c>
      <c r="M5" s="5">
        <f>('Elec Use'!$D$19*BTU_per_GWh)*'IESS Demand'!$C135*'IESS Demand'!P$77*'IESS Demand'!M118/'IESS Demand'!$F118</f>
        <v>252905726712743.66</v>
      </c>
      <c r="N5" s="5">
        <f>('Elec Use'!$D$19*BTU_per_GWh)*'IESS Demand'!$C135*'IESS Demand'!Q$77*'IESS Demand'!N118/'IESS Demand'!$F118</f>
        <v>268824630887452.81</v>
      </c>
      <c r="O5" s="5">
        <f>('Elec Use'!$D$19*BTU_per_GWh)*'IESS Demand'!$C135*'IESS Demand'!R$77*'IESS Demand'!O118/'IESS Demand'!$F118</f>
        <v>287016834481013.44</v>
      </c>
      <c r="P5" s="5">
        <f>('Elec Use'!$D$19*BTU_per_GWh)*'IESS Demand'!$C135*'IESS Demand'!S$77*'IESS Demand'!P118/'IESS Demand'!$F118</f>
        <v>305512949988505.31</v>
      </c>
      <c r="Q5" s="5">
        <f>('Elec Use'!$D$19*BTU_per_GWh)*'IESS Demand'!$C135*'IESS Demand'!T$77*'IESS Demand'!Q118/'IESS Demand'!$F118</f>
        <v>324299827415647.5</v>
      </c>
      <c r="R5" s="5">
        <f>('Elec Use'!$D$19*BTU_per_GWh)*'IESS Demand'!$C135*'IESS Demand'!U$77*'IESS Demand'!R118/'IESS Demand'!$F118</f>
        <v>343365064632864.25</v>
      </c>
      <c r="S5" s="5">
        <f>('Elec Use'!$D$19*BTU_per_GWh)*'IESS Demand'!$C135*'IESS Demand'!V$77*'IESS Demand'!S118/'IESS Demand'!$F118</f>
        <v>362696954955024.44</v>
      </c>
      <c r="T5" s="5">
        <f>('Elec Use'!$D$19*BTU_per_GWh)*'IESS Demand'!$C135*'IESS Demand'!W$77*'IESS Demand'!T118/'IESS Demand'!$F118</f>
        <v>379348514249125.75</v>
      </c>
      <c r="U5" s="5">
        <f>('Elec Use'!$D$19*BTU_per_GWh)*'IESS Demand'!$C135*'IESS Demand'!X$77*'IESS Demand'!U118/'IESS Demand'!$F118</f>
        <v>396176427643508.56</v>
      </c>
      <c r="V5" s="5">
        <f>('Elec Use'!$D$19*BTU_per_GWh)*'IESS Demand'!$C135*'IESS Demand'!Y$77*'IESS Demand'!V118/'IESS Demand'!$F118</f>
        <v>413173675353815.69</v>
      </c>
      <c r="W5" s="5">
        <f>('Elec Use'!$D$19*BTU_per_GWh)*'IESS Demand'!$C135*'IESS Demand'!Z$77*'IESS Demand'!W118/'IESS Demand'!$F118</f>
        <v>430333605280966.44</v>
      </c>
      <c r="X5" s="5">
        <f>('Elec Use'!$D$19*BTU_per_GWh)*'IESS Demand'!$C135*'IESS Demand'!AA$77*'IESS Demand'!X118/'IESS Demand'!$F118</f>
        <v>447649909248845.56</v>
      </c>
      <c r="Y5" s="5">
        <f>('Elec Use'!$D$19*BTU_per_GWh)*'IESS Demand'!$C135*'IESS Demand'!AB$77*'IESS Demand'!Y118/'IESS Demand'!$F118</f>
        <v>468242570043040.88</v>
      </c>
      <c r="Z5" s="5">
        <f>('Elec Use'!$D$19*BTU_per_GWh)*'IESS Demand'!$C135*'IESS Demand'!AC$77*'IESS Demand'!Z118/'IESS Demand'!$F118</f>
        <v>489068977228395.25</v>
      </c>
      <c r="AA5" s="5">
        <f>('Elec Use'!$D$19*BTU_per_GWh)*'IESS Demand'!$C135*'IESS Demand'!AD$77*'IESS Demand'!AA118/'IESS Demand'!$F118</f>
        <v>510120681397162.94</v>
      </c>
      <c r="AB5" s="5">
        <f>('Elec Use'!$D$19*BTU_per_GWh)*'IESS Demand'!$C135*'IESS Demand'!AE$77*'IESS Demand'!AB118/'IESS Demand'!$F118</f>
        <v>531389635529302.38</v>
      </c>
      <c r="AC5" s="5">
        <f>('Elec Use'!$D$19*BTU_per_GWh)*'IESS Demand'!$C135*'IESS Demand'!AF$77*'IESS Demand'!AC118/'IESS Demand'!$F118</f>
        <v>552868171320593.75</v>
      </c>
      <c r="AD5" s="5">
        <f>('Elec Use'!$D$19*BTU_per_GWh)*'IESS Demand'!$C135*'IESS Demand'!AG$77*'IESS Demand'!AD118/'IESS Demand'!$F118</f>
        <v>575706905835371.63</v>
      </c>
      <c r="AE5" s="5">
        <f>('Elec Use'!$D$19*BTU_per_GWh)*'IESS Demand'!$C135*'IESS Demand'!AH$77*'IESS Demand'!AE118/'IESS Demand'!$F118</f>
        <v>598778097787113.5</v>
      </c>
      <c r="AF5" s="5">
        <f>('Elec Use'!$D$19*BTU_per_GWh)*'IESS Demand'!$C135*'IESS Demand'!AI$77*'IESS Demand'!AF118/'IESS Demand'!$F118</f>
        <v>622074024635456.25</v>
      </c>
      <c r="AG5" s="5">
        <f>('Elec Use'!$D$19*BTU_per_GWh)*'IESS Demand'!$C135*'IESS Demand'!AJ$77*'IESS Demand'!AG118/'IESS Demand'!$F118</f>
        <v>645587302164041.38</v>
      </c>
      <c r="AH5" s="5">
        <f>('Elec Use'!$D$19*BTU_per_GWh)*'IESS Demand'!$C135*'IESS Demand'!AK$77*'IESS Demand'!AH118/'IESS Demand'!$F118</f>
        <v>669310866153812.75</v>
      </c>
      <c r="AI5" s="5">
        <f>('Elec Use'!$D$19*BTU_per_GWh)*'IESS Demand'!$C135*'IESS Demand'!AL$77*'IESS Demand'!AI118/'IESS Demand'!$F118</f>
        <v>693237955234800.88</v>
      </c>
      <c r="AJ5" s="5">
        <f>('Elec Use'!$D$19*BTU_per_GWh)*'IESS Demand'!$C135*'IESS Demand'!AM$77*'IESS Demand'!AJ118/'IESS Demand'!$F118</f>
        <v>717362094828987.38</v>
      </c>
      <c r="AK5" s="5">
        <f>('Elec Use'!$D$19*BTU_per_GWh)*'IESS Demand'!$C135*'IESS Demand'!AN$77*'IESS Demand'!AK118/'IESS Demand'!$F118</f>
        <v>741677082104050.88</v>
      </c>
      <c r="AL5" s="5">
        <f>('Elec Use'!$D$19*BTU_per_GWh)*'IESS Demand'!$C135*'IESS Demand'!AO$77*'IESS Demand'!AL118/'IESS Demand'!$F118</f>
        <v>766176971864540.75</v>
      </c>
      <c r="AM5" s="5">
        <f>('Elec Use'!$D$19*BTU_per_GWh)*'IESS Demand'!$C135*'IESS Demand'!AP$77*'IESS Demand'!AM118/'IESS Demand'!$F118</f>
        <v>790856063313062.75</v>
      </c>
      <c r="AN5" s="5">
        <f>('Elec Use'!$D$19*BTU_per_GWh)*'IESS Demand'!$C135*'IESS Demand'!AQ$77*'IESS Demand'!AN118/'IESS Demand'!$F118</f>
        <v>815708887619468</v>
      </c>
      <c r="AO5" s="5">
        <f>('Elec Use'!$D$19*BTU_per_GWh)*'IESS Demand'!$C135*'IESS Demand'!AR$77*'IESS Demand'!AO118/'IESS Demand'!$F118</f>
        <v>840730196241154.75</v>
      </c>
      <c r="AP5" s="5">
        <f>('Elec Use'!$D$19*BTU_per_GWh)*'IESS Demand'!$C135*'IESS Demand'!AS$77*'IESS Demand'!AP118/'IESS Demand'!$F118</f>
        <v>865914949942010.88</v>
      </c>
      <c r="AQ5" s="5">
        <f>('Elec Use'!$D$19*BTU_per_GWh)*'IESS Demand'!$C135*'IESS Demand'!AT$77*'IESS Demand'!AQ118/'IESS Demand'!$F118</f>
        <v>891258308461741.88</v>
      </c>
      <c r="AR5" s="5">
        <f>('Elec Use'!$D$19*BTU_per_GWh)*'IESS Demand'!$C135*'IESS Demand'!AU$77*'IESS Demand'!AR118/'IESS Demand'!$F118</f>
        <v>916755620791103.5</v>
      </c>
      <c r="AS5" s="5">
        <f>('Elec Use'!$D$19*BTU_per_GWh)*'IESS Demand'!$C135*'IESS Demand'!AV$77*'IESS Demand'!AS118/'IESS Demand'!$F118</f>
        <v>942402416011929</v>
      </c>
      <c r="AT5" s="5">
        <f>('Elec Use'!$D$19*BTU_per_GWh)*'IESS Demand'!$C135*'IESS Demand'!AW$77*'IESS Demand'!AT118/'IESS Demand'!$F118</f>
        <v>968194394664116.5</v>
      </c>
      <c r="AU5" s="5">
        <f>('Elec Use'!$D$19*BTU_per_GWh)*'IESS Demand'!$C135*'IESS Demand'!AX$77*'IESS Demand'!AU118/'IESS Demand'!$F118</f>
        <v>994127420604468.63</v>
      </c>
      <c r="AV5" s="5">
        <f>('Elec Use'!$D$19*BTU_per_GWh)*'IESS Demand'!$C135*'IESS Demand'!AY$77*'IESS Demand'!AV118/'IESS Demand'!$F118</f>
        <v>1020197513325077</v>
      </c>
      <c r="AW5" s="5">
        <f>('Elec Use'!$D$19*BTU_per_GWh)*'IESS Demand'!$C135*'IESS Demand'!AZ$77*'IESS Demand'!AW118/'IESS Demand'!$F118</f>
        <v>1046400840701205.3</v>
      </c>
      <c r="AX5" s="5">
        <f>('Elec Use'!$D$19*BTU_per_GWh)*'IESS Demand'!$C135*'IESS Demand'!BA$77*'IESS Demand'!AX118/'IESS Demand'!$F118</f>
        <v>1072733712140942.8</v>
      </c>
      <c r="AY5" s="5">
        <f>('Elec Use'!$D$19*BTU_per_GWh)*'IESS Demand'!$C135*'IESS Demand'!BB$77*'IESS Demand'!AY118/'IESS Demand'!$F118</f>
        <v>1099192572110913.1</v>
      </c>
      <c r="AZ5" s="5">
        <f>('Elec Use'!$D$19*BTU_per_GWh)*'IESS Demand'!$C135*'IESS Demand'!BC$77*'IESS Demand'!AZ118/'IESS Demand'!$F118</f>
        <v>1125773994014124.3</v>
      </c>
      <c r="BA5" s="5">
        <f>('Elec Use'!$D$19*BTU_per_GWh)*'IESS Demand'!$C135*'IESS Demand'!BD$77*'IESS Demand'!BA118/'IESS Demand'!$F118</f>
        <v>1152474674397874.3</v>
      </c>
      <c r="BB5" s="5">
        <f>('Elec Use'!$D$19*BTU_per_GWh)*'IESS Demand'!$C135*'IESS Demand'!BE$77*'IESS Demand'!BB118/'IESS Demand'!$F118</f>
        <v>1179291427471088</v>
      </c>
      <c r="BC5" s="5">
        <f>('Elec Use'!$D$19*BTU_per_GWh)*'IESS Demand'!$C135*'IESS Demand'!BF$77*'IESS Demand'!BC118/'IESS Demand'!$F118</f>
        <v>1206221179911989.3</v>
      </c>
      <c r="BD5" s="5">
        <f>('Elec Use'!$D$19*BTU_per_GWh)*'IESS Demand'!$C135*'IESS Demand'!BG$77*'IESS Demand'!BD118/'IESS Demand'!$F118</f>
        <v>1233260965948350</v>
      </c>
      <c r="BE5" s="5">
        <f>('Elec Use'!$D$19*BTU_per_GWh)*'IESS Demand'!$C135*'IESS Demand'!BH$77*'IESS Demand'!BE118/'IESS Demand'!$F118</f>
        <v>1260407922693710.5</v>
      </c>
    </row>
    <row r="6" spans="1:57">
      <c r="A6" t="s">
        <v>437</v>
      </c>
      <c r="B6" t="s">
        <v>501</v>
      </c>
      <c r="C6" t="s">
        <v>435</v>
      </c>
      <c r="D6" s="66">
        <f>('Elec Use'!$D$17*BTU_per_GWh)*'IESS Demand'!$C136*'IESS Demand'!G$77*'IESS Demand'!D119/'IESS Demand'!$D119</f>
        <v>29380580872929.281</v>
      </c>
      <c r="E6" s="66">
        <f>('Elec Use'!$D$18*BTU_per_GWh)*'IESS Demand'!$C136*'IESS Demand'!H$77*'IESS Demand'!E119/'IESS Demand'!$E119</f>
        <v>31946561971227.523</v>
      </c>
      <c r="F6" s="5">
        <f>('Elec Use'!$D$19*BTU_per_GWh)*'IESS Demand'!$C136*'IESS Demand'!I$77*'IESS Demand'!F119/'IESS Demand'!$F119</f>
        <v>34362198529754.094</v>
      </c>
      <c r="G6" s="5">
        <f>('Elec Use'!$D$19*BTU_per_GWh)*'IESS Demand'!$C136*'IESS Demand'!J$77*'IESS Demand'!G119/'IESS Demand'!$F119</f>
        <v>35038117935349.785</v>
      </c>
      <c r="H6" s="5">
        <f>('Elec Use'!$D$24*BTU_per_GWh)*'IESS Demand'!$C136*'IESS Demand'!K$77*'IESS Demand'!H119/'IESS Demand'!$F119</f>
        <v>40962765079656.656</v>
      </c>
      <c r="I6" s="5">
        <f>('Elec Use'!$D$19*BTU_per_GWh)*'IESS Demand'!$C136*'IESS Demand'!L$77*'IESS Demand'!I119/'IESS Demand'!$F119</f>
        <v>36324884179679.945</v>
      </c>
      <c r="J6" s="5">
        <f>('Elec Use'!$D$19*BTU_per_GWh)*'IESS Demand'!$C136*'IESS Demand'!M$77*'IESS Demand'!J119/'IESS Demand'!$F119</f>
        <v>41509962270259.844</v>
      </c>
      <c r="K6" s="5">
        <f>('Elec Use'!$D$19*BTU_per_GWh)*'IESS Demand'!$C136*'IESS Demand'!N$77*'IESS Demand'!K119/'IESS Demand'!$F119</f>
        <v>46883516929760.719</v>
      </c>
      <c r="L6" s="5">
        <f>('Elec Use'!$D$19*BTU_per_GWh)*'IESS Demand'!$C136*'IESS Demand'!O$77*'IESS Demand'!L119/'IESS Demand'!$F119</f>
        <v>52388893116412.156</v>
      </c>
      <c r="M6" s="5">
        <f>('Elec Use'!$D$19*BTU_per_GWh)*'IESS Demand'!$C136*'IESS Demand'!P$77*'IESS Demand'!M119/'IESS Demand'!$F119</f>
        <v>58020077935705.469</v>
      </c>
      <c r="N6" s="5">
        <f>('Elec Use'!$D$19*BTU_per_GWh)*'IESS Demand'!$C136*'IESS Demand'!Q$77*'IESS Demand'!N119/'IESS Demand'!$F119</f>
        <v>63771418711601.555</v>
      </c>
      <c r="O6" s="5">
        <f>('Elec Use'!$D$19*BTU_per_GWh)*'IESS Demand'!$C136*'IESS Demand'!R$77*'IESS Demand'!O119/'IESS Demand'!$F119</f>
        <v>72465808608354.172</v>
      </c>
      <c r="P6" s="5">
        <f>('Elec Use'!$D$19*BTU_per_GWh)*'IESS Demand'!$C136*'IESS Demand'!S$77*'IESS Demand'!P119/'IESS Demand'!$F119</f>
        <v>81370465850211.328</v>
      </c>
      <c r="Q6" s="5">
        <f>('Elec Use'!$D$19*BTU_per_GWh)*'IESS Demand'!$C136*'IESS Demand'!T$77*'IESS Demand'!Q119/'IESS Demand'!$F119</f>
        <v>90476292358886.078</v>
      </c>
      <c r="R6" s="5">
        <f>('Elec Use'!$D$19*BTU_per_GWh)*'IESS Demand'!$C136*'IESS Demand'!U$77*'IESS Demand'!R119/'IESS Demand'!$F119</f>
        <v>99774707480775.234</v>
      </c>
      <c r="S6" s="5">
        <f>('Elec Use'!$D$19*BTU_per_GWh)*'IESS Demand'!$C136*'IESS Demand'!V$77*'IESS Demand'!S119/'IESS Demand'!$F119</f>
        <v>109257611718984.53</v>
      </c>
      <c r="T6" s="5">
        <f>('Elec Use'!$D$19*BTU_per_GWh)*'IESS Demand'!$C136*'IESS Demand'!W$77*'IESS Demand'!T119/'IESS Demand'!$F119</f>
        <v>123348552196829.11</v>
      </c>
      <c r="U6" s="5">
        <f>('Elec Use'!$D$19*BTU_per_GWh)*'IESS Demand'!$C136*'IESS Demand'!X$77*'IESS Demand'!U119/'IESS Demand'!$F119</f>
        <v>137758234210656.05</v>
      </c>
      <c r="V6" s="5">
        <f>('Elec Use'!$D$19*BTU_per_GWh)*'IESS Demand'!$C136*'IESS Demand'!Y$77*'IESS Demand'!V119/'IESS Demand'!$F119</f>
        <v>152473970236644.25</v>
      </c>
      <c r="W6" s="5">
        <f>('Elec Use'!$D$19*BTU_per_GWh)*'IESS Demand'!$C136*'IESS Demand'!Z$77*'IESS Demand'!W119/'IESS Demand'!$F119</f>
        <v>167483737303538.22</v>
      </c>
      <c r="X6" s="5">
        <f>('Elec Use'!$D$19*BTU_per_GWh)*'IESS Demand'!$C136*'IESS Demand'!AA$77*'IESS Demand'!X119/'IESS Demand'!$F119</f>
        <v>182776134044760.06</v>
      </c>
      <c r="Y6" s="5">
        <f>('Elec Use'!$D$19*BTU_per_GWh)*'IESS Demand'!$C136*'IESS Demand'!AB$77*'IESS Demand'!Y119/'IESS Demand'!$F119</f>
        <v>199714888837949.72</v>
      </c>
      <c r="Z6" s="5">
        <f>('Elec Use'!$D$19*BTU_per_GWh)*'IESS Demand'!$C136*'IESS Demand'!AC$77*'IESS Demand'!Z119/'IESS Demand'!$F119</f>
        <v>216981641521185.03</v>
      </c>
      <c r="AA6" s="5">
        <f>('Elec Use'!$D$19*BTU_per_GWh)*'IESS Demand'!$C136*'IESS Demand'!AD$77*'IESS Demand'!AA119/'IESS Demand'!$F119</f>
        <v>234564535706437.91</v>
      </c>
      <c r="AB6" s="5">
        <f>('Elec Use'!$D$19*BTU_per_GWh)*'IESS Demand'!$C136*'IESS Demand'!AE$77*'IESS Demand'!AB119/'IESS Demand'!$F119</f>
        <v>252452279644643.56</v>
      </c>
      <c r="AC6" s="5">
        <f>('Elec Use'!$D$19*BTU_per_GWh)*'IESS Demand'!$C136*'IESS Demand'!AF$77*'IESS Demand'!AC119/'IESS Demand'!$F119</f>
        <v>270634113008798.34</v>
      </c>
      <c r="AD6" s="5">
        <f>('Elec Use'!$D$19*BTU_per_GWh)*'IESS Demand'!$C136*'IESS Demand'!AG$77*'IESS Demand'!AD119/'IESS Demand'!$F119</f>
        <v>290791832041206.13</v>
      </c>
      <c r="AE6" s="5">
        <f>('Elec Use'!$D$19*BTU_per_GWh)*'IESS Demand'!$C136*'IESS Demand'!AH$77*'IESS Demand'!AE119/'IESS Demand'!$F119</f>
        <v>311292205723208.38</v>
      </c>
      <c r="AF6" s="5">
        <f>('Elec Use'!$D$19*BTU_per_GWh)*'IESS Demand'!$C136*'IESS Demand'!AI$77*'IESS Demand'!AF119/'IESS Demand'!$F119</f>
        <v>332123850618778.44</v>
      </c>
      <c r="AG6" s="5">
        <f>('Elec Use'!$D$19*BTU_per_GWh)*'IESS Demand'!$C136*'IESS Demand'!AJ$77*'IESS Demand'!AG119/'IESS Demand'!$F119</f>
        <v>353275881999508.06</v>
      </c>
      <c r="AH6" s="5">
        <f>('Elec Use'!$D$19*BTU_per_GWh)*'IESS Demand'!$C136*'IESS Demand'!AK$77*'IESS Demand'!AH119/'IESS Demand'!$F119</f>
        <v>374737886830056.38</v>
      </c>
      <c r="AI6" s="5">
        <f>('Elec Use'!$D$19*BTU_per_GWh)*'IESS Demand'!$C136*'IESS Demand'!AL$77*'IESS Demand'!AI119/'IESS Demand'!$F119</f>
        <v>396499898490783.69</v>
      </c>
      <c r="AJ6" s="5">
        <f>('Elec Use'!$D$19*BTU_per_GWh)*'IESS Demand'!$C136*'IESS Demand'!AM$77*'IESS Demand'!AJ119/'IESS Demand'!$F119</f>
        <v>418552373108662.19</v>
      </c>
      <c r="AK6" s="5">
        <f>('Elec Use'!$D$19*BTU_per_GWh)*'IESS Demand'!$C136*'IESS Demand'!AN$77*'IESS Demand'!AK119/'IESS Demand'!$F119</f>
        <v>440886167378303.5</v>
      </c>
      <c r="AL6" s="5">
        <f>('Elec Use'!$D$19*BTU_per_GWh)*'IESS Demand'!$C136*'IESS Demand'!AO$77*'IESS Demand'!AL119/'IESS Demand'!$F119</f>
        <v>463492517764801.75</v>
      </c>
      <c r="AM6" s="5">
        <f>('Elec Use'!$D$19*BTU_per_GWh)*'IESS Demand'!$C136*'IESS Demand'!AP$77*'IESS Demand'!AM119/'IESS Demand'!$F119</f>
        <v>486363020989001.75</v>
      </c>
      <c r="AN6" s="5">
        <f>('Elec Use'!$D$19*BTU_per_GWh)*'IESS Demand'!$C136*'IESS Demand'!AQ$77*'IESS Demand'!AN119/'IESS Demand'!$F119</f>
        <v>509489615703837.44</v>
      </c>
      <c r="AO6" s="5">
        <f>('Elec Use'!$D$19*BTU_per_GWh)*'IESS Demand'!$C136*'IESS Demand'!AR$77*'IESS Demand'!AO119/'IESS Demand'!$F119</f>
        <v>532864565277820.63</v>
      </c>
      <c r="AP6" s="5">
        <f>('Elec Use'!$D$19*BTU_per_GWh)*'IESS Demand'!$C136*'IESS Demand'!AS$77*'IESS Demand'!AP119/'IESS Demand'!$F119</f>
        <v>556480441608382.56</v>
      </c>
      <c r="AQ6" s="5">
        <f>('Elec Use'!$D$19*BTU_per_GWh)*'IESS Demand'!$C136*'IESS Demand'!AT$77*'IESS Demand'!AQ119/'IESS Demand'!$F119</f>
        <v>580330109893918</v>
      </c>
      <c r="AR6" s="5">
        <f>('Elec Use'!$D$19*BTU_per_GWh)*'IESS Demand'!$C136*'IESS Demand'!AU$77*'IESS Demand'!AR119/'IESS Demand'!$F119</f>
        <v>604406714298948.13</v>
      </c>
      <c r="AS6" s="5">
        <f>('Elec Use'!$D$19*BTU_per_GWh)*'IESS Demand'!$C136*'IESS Demand'!AV$77*'IESS Demand'!AS119/'IESS Demand'!$F119</f>
        <v>628703664451846.75</v>
      </c>
      <c r="AT6" s="5">
        <f>('Elec Use'!$D$19*BTU_per_GWh)*'IESS Demand'!$C136*'IESS Demand'!AW$77*'IESS Demand'!AT119/'IESS Demand'!$F119</f>
        <v>653214622719303.5</v>
      </c>
      <c r="AU6" s="5">
        <f>('Elec Use'!$D$19*BTU_per_GWh)*'IESS Demand'!$C136*'IESS Demand'!AX$77*'IESS Demand'!AU119/'IESS Demand'!$F119</f>
        <v>677933492205838</v>
      </c>
      <c r="AV6" s="5">
        <f>('Elec Use'!$D$19*BTU_per_GWh)*'IESS Demand'!$C136*'IESS Demand'!AY$77*'IESS Demand'!AV119/'IESS Demand'!$F119</f>
        <v>702854405430671.63</v>
      </c>
      <c r="AW6" s="5">
        <f>('Elec Use'!$D$19*BTU_per_GWh)*'IESS Demand'!$C136*'IESS Demand'!AZ$77*'IESS Demand'!AW119/'IESS Demand'!$F119</f>
        <v>727971713637730.75</v>
      </c>
      <c r="AX6" s="5">
        <f>('Elec Use'!$D$19*BTU_per_GWh)*'IESS Demand'!$C136*'IESS Demand'!BA$77*'IESS Demand'!AX119/'IESS Demand'!$F119</f>
        <v>753279976697872.25</v>
      </c>
      <c r="AY6" s="5">
        <f>('Elec Use'!$D$19*BTU_per_GWh)*'IESS Demand'!$C136*'IESS Demand'!BB$77*'IESS Demand'!AY119/'IESS Demand'!$F119</f>
        <v>778773953565424.63</v>
      </c>
      <c r="AZ6" s="5">
        <f>('Elec Use'!$D$19*BTU_per_GWh)*'IESS Demand'!$C136*'IESS Demand'!BC$77*'IESS Demand'!AZ119/'IESS Demand'!$F119</f>
        <v>804448593253823.25</v>
      </c>
      <c r="BA6" s="5">
        <f>('Elec Use'!$D$19*BTU_per_GWh)*'IESS Demand'!$C136*'IESS Demand'!BD$77*'IESS Demand'!BA119/'IESS Demand'!$F119</f>
        <v>830299026297745</v>
      </c>
      <c r="BB6" s="5">
        <f>('Elec Use'!$D$19*BTU_per_GWh)*'IESS Demand'!$C136*'IESS Demand'!BE$77*'IESS Demand'!BB119/'IESS Demand'!$F119</f>
        <v>856320556671374.88</v>
      </c>
      <c r="BC6" s="5">
        <f>('Elec Use'!$D$19*BTU_per_GWh)*'IESS Demand'!$C136*'IESS Demand'!BF$77*'IESS Demand'!BC119/'IESS Demand'!$F119</f>
        <v>882508654134642.63</v>
      </c>
      <c r="BD6" s="5">
        <f>('Elec Use'!$D$19*BTU_per_GWh)*'IESS Demand'!$C136*'IESS Demand'!BG$77*'IESS Demand'!BD119/'IESS Demand'!$F119</f>
        <v>908858946981236.25</v>
      </c>
      <c r="BE6" s="5">
        <f>('Elec Use'!$D$19*BTU_per_GWh)*'IESS Demand'!$C136*'IESS Demand'!BH$77*'IESS Demand'!BE119/'IESS Demand'!$F119</f>
        <v>935367215163956.88</v>
      </c>
    </row>
    <row r="7" spans="1:57">
      <c r="A7" t="s">
        <v>438</v>
      </c>
      <c r="B7" t="s">
        <v>501</v>
      </c>
      <c r="C7" t="s">
        <v>502</v>
      </c>
      <c r="D7" s="67">
        <v>0</v>
      </c>
      <c r="E7" s="67">
        <v>0</v>
      </c>
      <c r="F7" s="26">
        <v>0</v>
      </c>
      <c r="G7" s="26">
        <v>0</v>
      </c>
      <c r="H7" s="26">
        <v>0</v>
      </c>
      <c r="I7" s="26">
        <v>0</v>
      </c>
      <c r="J7" s="26">
        <v>0</v>
      </c>
      <c r="K7" s="26">
        <v>0</v>
      </c>
      <c r="L7" s="26">
        <v>0</v>
      </c>
      <c r="M7" s="26">
        <v>0</v>
      </c>
      <c r="N7" s="26">
        <v>0</v>
      </c>
      <c r="O7" s="26">
        <v>0</v>
      </c>
      <c r="P7" s="26">
        <v>0</v>
      </c>
      <c r="Q7" s="26">
        <v>0</v>
      </c>
      <c r="R7" s="26">
        <v>0</v>
      </c>
      <c r="S7" s="26">
        <v>0</v>
      </c>
      <c r="T7" s="26">
        <v>0</v>
      </c>
      <c r="U7" s="26">
        <v>0</v>
      </c>
      <c r="V7" s="26">
        <v>0</v>
      </c>
      <c r="W7" s="26">
        <v>0</v>
      </c>
      <c r="X7" s="26">
        <v>0</v>
      </c>
      <c r="Y7" s="26">
        <v>0</v>
      </c>
      <c r="Z7" s="26">
        <v>0</v>
      </c>
      <c r="AA7" s="26">
        <v>0</v>
      </c>
      <c r="AB7" s="26">
        <v>0</v>
      </c>
      <c r="AC7" s="26">
        <v>0</v>
      </c>
      <c r="AD7" s="26">
        <v>0</v>
      </c>
      <c r="AE7" s="26">
        <v>0</v>
      </c>
      <c r="AF7" s="26">
        <v>0</v>
      </c>
      <c r="AG7" s="26">
        <v>0</v>
      </c>
      <c r="AH7" s="26">
        <v>0</v>
      </c>
      <c r="AI7" s="26">
        <v>0</v>
      </c>
      <c r="AJ7" s="26">
        <v>0</v>
      </c>
      <c r="AK7" s="26">
        <v>0</v>
      </c>
      <c r="AL7" s="26">
        <v>0</v>
      </c>
      <c r="AM7" s="26">
        <v>0</v>
      </c>
      <c r="AN7" s="26">
        <v>0</v>
      </c>
      <c r="AO7" s="26">
        <v>0</v>
      </c>
      <c r="AP7" s="26">
        <v>0</v>
      </c>
      <c r="AQ7" s="26">
        <v>0</v>
      </c>
      <c r="AR7" s="26">
        <v>0</v>
      </c>
      <c r="AS7" s="26">
        <v>0</v>
      </c>
      <c r="AT7" s="26">
        <v>0</v>
      </c>
      <c r="AU7" s="26">
        <v>0</v>
      </c>
      <c r="AV7" s="26">
        <v>0</v>
      </c>
      <c r="AW7" s="26">
        <v>0</v>
      </c>
      <c r="AX7" s="26">
        <v>0</v>
      </c>
      <c r="AY7" s="26">
        <v>0</v>
      </c>
      <c r="AZ7" s="26">
        <v>0</v>
      </c>
      <c r="BA7" s="26">
        <v>0</v>
      </c>
      <c r="BB7" s="26">
        <v>0</v>
      </c>
      <c r="BC7" s="26">
        <v>0</v>
      </c>
      <c r="BD7" s="26">
        <v>0</v>
      </c>
      <c r="BE7" s="26">
        <v>0</v>
      </c>
    </row>
    <row r="8" spans="1:57">
      <c r="A8" t="s">
        <v>438</v>
      </c>
      <c r="B8" t="s">
        <v>501</v>
      </c>
      <c r="C8" t="s">
        <v>503</v>
      </c>
      <c r="D8" s="66">
        <f>('Elec Use'!$D$17*BTU_per_GWh)*'IESS Demand'!$C133*'IESS Demand'!G$78*'IESS Demand'!D116/'IESS Demand'!$D116</f>
        <v>24524217422798.121</v>
      </c>
      <c r="E8" s="66">
        <f>('Elec Use'!$D$18*BTU_per_GWh)*'IESS Demand'!$C133*'IESS Demand'!H$78*'IESS Demand'!E116/'IESS Demand'!$E116</f>
        <v>25989991657424.863</v>
      </c>
      <c r="F8" s="5">
        <f>('Elec Use'!$D$19*BTU_per_GWh)*'IESS Demand'!$C133*'IESS Demand'!I$78*'IESS Demand'!F116/'IESS Demand'!$F116</f>
        <v>27079965605410.914</v>
      </c>
      <c r="G8" s="5">
        <f>('Elec Use'!$D$19*BTU_per_GWh)*'IESS Demand'!$C133*'IESS Demand'!J$78*'IESS Demand'!G116/'IESS Demand'!$F116</f>
        <v>27591715085372.68</v>
      </c>
      <c r="H8" s="5">
        <f>('Elec Use'!$D$24*BTU_per_GWh)*'IESS Demand'!$C133*'IESS Demand'!K$78*'IESS Demand'!H116/'IESS Demand'!$F116</f>
        <v>32244848725508.859</v>
      </c>
      <c r="I8" s="5">
        <f>('Elec Use'!$D$19*BTU_per_GWh)*'IESS Demand'!$C133*'IESS Demand'!L$78*'IESS Demand'!I116/'IESS Demand'!$F116</f>
        <v>28592679548858.879</v>
      </c>
      <c r="J8" s="5">
        <f>('Elec Use'!$D$19*BTU_per_GWh)*'IESS Demand'!$C133*'IESS Demand'!M$78*'IESS Demand'!J116/'IESS Demand'!$F116</f>
        <v>31976010109033.488</v>
      </c>
      <c r="K8" s="5">
        <f>('Elec Use'!$D$19*BTU_per_GWh)*'IESS Demand'!$C133*'IESS Demand'!N$78*'IESS Demand'!K116/'IESS Demand'!$F116</f>
        <v>35265462104599.867</v>
      </c>
      <c r="L8" s="5">
        <f>('Elec Use'!$D$19*BTU_per_GWh)*'IESS Demand'!$C133*'IESS Demand'!O$78*'IESS Demand'!L116/'IESS Demand'!$F116</f>
        <v>38488297758139.383</v>
      </c>
      <c r="M8" s="5">
        <f>('Elec Use'!$D$19*BTU_per_GWh)*'IESS Demand'!$C133*'IESS Demand'!P$78*'IESS Demand'!M116/'IESS Demand'!$F116</f>
        <v>41647555701094.242</v>
      </c>
      <c r="N8" s="5">
        <f>('Elec Use'!$D$19*BTU_per_GWh)*'IESS Demand'!$C133*'IESS Demand'!Q$78*'IESS Demand'!N116/'IESS Demand'!$F116</f>
        <v>44746092527592.367</v>
      </c>
      <c r="O8" s="5">
        <f>('Elec Use'!$D$19*BTU_per_GWh)*'IESS Demand'!$C133*'IESS Demand'!R$78*'IESS Demand'!O116/'IESS Demand'!$F116</f>
        <v>49871577696521.313</v>
      </c>
      <c r="P8" s="5">
        <f>('Elec Use'!$D$19*BTU_per_GWh)*'IESS Demand'!$C133*'IESS Demand'!S$78*'IESS Demand'!P116/'IESS Demand'!$F116</f>
        <v>54885048737729.469</v>
      </c>
      <c r="Q8" s="5">
        <f>('Elec Use'!$D$19*BTU_per_GWh)*'IESS Demand'!$C133*'IESS Demand'!T$78*'IESS Demand'!Q116/'IESS Demand'!$F116</f>
        <v>59791352401446.828</v>
      </c>
      <c r="R8" s="5">
        <f>('Elec Use'!$D$19*BTU_per_GWh)*'IESS Demand'!$C133*'IESS Demand'!U$78*'IESS Demand'!R116/'IESS Demand'!$F116</f>
        <v>64595059794176.648</v>
      </c>
      <c r="S8" s="5">
        <f>('Elec Use'!$D$19*BTU_per_GWh)*'IESS Demand'!$C133*'IESS Demand'!V$78*'IESS Demand'!S116/'IESS Demand'!$F116</f>
        <v>69300485699458.617</v>
      </c>
      <c r="T8" s="5">
        <f>('Elec Use'!$D$19*BTU_per_GWh)*'IESS Demand'!$C133*'IESS Demand'!W$78*'IESS Demand'!T116/'IESS Demand'!$F116</f>
        <v>75303378567697.578</v>
      </c>
      <c r="U8" s="5">
        <f>('Elec Use'!$D$19*BTU_per_GWh)*'IESS Demand'!$C133*'IESS Demand'!X$78*'IESS Demand'!U116/'IESS Demand'!$F116</f>
        <v>81165981109083.688</v>
      </c>
      <c r="V8" s="5">
        <f>('Elec Use'!$D$19*BTU_per_GWh)*'IESS Demand'!$C133*'IESS Demand'!Y$78*'IESS Demand'!V116/'IESS Demand'!$F116</f>
        <v>86893877587551.422</v>
      </c>
      <c r="W8" s="5">
        <f>('Elec Use'!$D$19*BTU_per_GWh)*'IESS Demand'!$C133*'IESS Demand'!Z$78*'IESS Demand'!W116/'IESS Demand'!$F116</f>
        <v>92492359772063.344</v>
      </c>
      <c r="X8" s="5">
        <f>('Elec Use'!$D$19*BTU_per_GWh)*'IESS Demand'!$C133*'IESS Demand'!AA$78*'IESS Demand'!X116/'IESS Demand'!$F116</f>
        <v>97966445839616.094</v>
      </c>
      <c r="Y8" s="5">
        <f>('Elec Use'!$D$19*BTU_per_GWh)*'IESS Demand'!$C133*'IESS Demand'!AB$78*'IESS Demand'!Y116/'IESS Demand'!$F116</f>
        <v>104720219756102.66</v>
      </c>
      <c r="Z8" s="5">
        <f>('Elec Use'!$D$19*BTU_per_GWh)*'IESS Demand'!$C133*'IESS Demand'!AC$78*'IESS Demand'!Z116/'IESS Demand'!$F116</f>
        <v>111302724670162.19</v>
      </c>
      <c r="AA8" s="5">
        <f>('Elec Use'!$D$19*BTU_per_GWh)*'IESS Demand'!$C133*'IESS Demand'!AD$78*'IESS Demand'!AA116/'IESS Demand'!$F116</f>
        <v>117720151572077.17</v>
      </c>
      <c r="AB8" s="5">
        <f>('Elec Use'!$D$19*BTU_per_GWh)*'IESS Demand'!$C133*'IESS Demand'!AE$78*'IESS Demand'!AB116/'IESS Demand'!$F116</f>
        <v>123978396617453.17</v>
      </c>
      <c r="AC8" s="5">
        <f>('Elec Use'!$D$19*BTU_per_GWh)*'IESS Demand'!$C133*'IESS Demand'!AF$78*'IESS Demand'!AC116/'IESS Demand'!$F116</f>
        <v>130083078471920.63</v>
      </c>
      <c r="AD8" s="5">
        <f>('Elec Use'!$D$19*BTU_per_GWh)*'IESS Demand'!$C133*'IESS Demand'!AG$78*'IESS Demand'!AD116/'IESS Demand'!$F116</f>
        <v>137440526428935.17</v>
      </c>
      <c r="AE8" s="5">
        <f>('Elec Use'!$D$19*BTU_per_GWh)*'IESS Demand'!$C133*'IESS Demand'!AH$78*'IESS Demand'!AE116/'IESS Demand'!$F116</f>
        <v>144593171798587.34</v>
      </c>
      <c r="AF8" s="5">
        <f>('Elec Use'!$D$19*BTU_per_GWh)*'IESS Demand'!$C133*'IESS Demand'!AI$78*'IESS Demand'!AF116/'IESS Demand'!$F116</f>
        <v>151547818390935.28</v>
      </c>
      <c r="AG8" s="5">
        <f>('Elec Use'!$D$19*BTU_per_GWh)*'IESS Demand'!$C133*'IESS Demand'!AJ$78*'IESS Demand'!AG116/'IESS Demand'!$F116</f>
        <v>158310971941544.59</v>
      </c>
      <c r="AH8" s="5">
        <f>('Elec Use'!$D$19*BTU_per_GWh)*'IESS Demand'!$C133*'IESS Demand'!AK$78*'IESS Demand'!AH116/'IESS Demand'!$F116</f>
        <v>164888856257921.78</v>
      </c>
      <c r="AI8" s="5">
        <f>('Elec Use'!$D$19*BTU_per_GWh)*'IESS Demand'!$C133*'IESS Demand'!AL$78*'IESS Demand'!AI116/'IESS Demand'!$F116</f>
        <v>171287428327639.44</v>
      </c>
      <c r="AJ8" s="5">
        <f>('Elec Use'!$D$19*BTU_per_GWh)*'IESS Demand'!$C133*'IESS Demand'!AM$78*'IESS Demand'!AJ116/'IESS Demand'!$F116</f>
        <v>177512392465207.47</v>
      </c>
      <c r="AK8" s="5">
        <f>('Elec Use'!$D$19*BTU_per_GWh)*'IESS Demand'!$C133*'IESS Demand'!AN$78*'IESS Demand'!AK116/'IESS Demand'!$F116</f>
        <v>183569213568309.16</v>
      </c>
      <c r="AL8" s="5">
        <f>('Elec Use'!$D$19*BTU_per_GWh)*'IESS Demand'!$C133*'IESS Demand'!AO$78*'IESS Demand'!AL116/'IESS Demand'!$F116</f>
        <v>189463129548133.25</v>
      </c>
      <c r="AM8" s="5">
        <f>('Elec Use'!$D$19*BTU_per_GWh)*'IESS Demand'!$C133*'IESS Demand'!AP$78*'IESS Demand'!AM116/'IESS Demand'!$F116</f>
        <v>195199162993211.47</v>
      </c>
      <c r="AN8" s="5">
        <f>('Elec Use'!$D$19*BTU_per_GWh)*'IESS Demand'!$C133*'IESS Demand'!AQ$78*'IESS Demand'!AN116/'IESS Demand'!$F116</f>
        <v>200782132121357.78</v>
      </c>
      <c r="AO8" s="5">
        <f>('Elec Use'!$D$19*BTU_per_GWh)*'IESS Demand'!$C133*'IESS Demand'!AR$78*'IESS Demand'!AO116/'IESS Demand'!$F116</f>
        <v>206216661069872.47</v>
      </c>
      <c r="AP8" s="5">
        <f>('Elec Use'!$D$19*BTU_per_GWh)*'IESS Demand'!$C133*'IESS Demand'!AS$78*'IESS Demand'!AP116/'IESS Demand'!$F116</f>
        <v>211507189570208.28</v>
      </c>
      <c r="AQ8" s="5">
        <f>('Elec Use'!$D$19*BTU_per_GWh)*'IESS Demand'!$C133*'IESS Demand'!AT$78*'IESS Demand'!AQ116/'IESS Demand'!$F116</f>
        <v>216657982049626.84</v>
      </c>
      <c r="AR8" s="5">
        <f>('Elec Use'!$D$19*BTU_per_GWh)*'IESS Demand'!$C133*'IESS Demand'!AU$78*'IESS Demand'!AR116/'IESS Demand'!$F116</f>
        <v>221673136199043.41</v>
      </c>
      <c r="AS8" s="5">
        <f>('Elec Use'!$D$19*BTU_per_GWh)*'IESS Demand'!$C133*'IESS Demand'!AV$78*'IESS Demand'!AS116/'IESS Demand'!$F116</f>
        <v>226556591043252.03</v>
      </c>
      <c r="AT8" s="5">
        <f>('Elec Use'!$D$19*BTU_per_GWh)*'IESS Demand'!$C133*'IESS Demand'!AW$78*'IESS Demand'!AT116/'IESS Demand'!$F116</f>
        <v>231312134546902.72</v>
      </c>
      <c r="AU8" s="5">
        <f>('Elec Use'!$D$19*BTU_per_GWh)*'IESS Demand'!$C133*'IESS Demand'!AX$78*'IESS Demand'!AU116/'IESS Demand'!$F116</f>
        <v>235943410787117.16</v>
      </c>
      <c r="AV8" s="5">
        <f>('Elec Use'!$D$19*BTU_per_GWh)*'IESS Demand'!$C133*'IESS Demand'!AY$78*'IESS Demand'!AV116/'IESS Demand'!$F116</f>
        <v>240453926721253.66</v>
      </c>
      <c r="AW8" s="5">
        <f>('Elec Use'!$D$19*BTU_per_GWh)*'IESS Demand'!$C133*'IESS Demand'!AZ$78*'IESS Demand'!AW116/'IESS Demand'!$F116</f>
        <v>244847058576252.91</v>
      </c>
      <c r="AX8" s="5">
        <f>('Elec Use'!$D$19*BTU_per_GWh)*'IESS Demand'!$C133*'IESS Demand'!BA$78*'IESS Demand'!AX116/'IESS Demand'!$F116</f>
        <v>249126057884015.47</v>
      </c>
      <c r="AY8" s="5">
        <f>('Elec Use'!$D$19*BTU_per_GWh)*'IESS Demand'!$C133*'IESS Demand'!BB$78*'IESS Demand'!AY116/'IESS Demand'!$F116</f>
        <v>253294057185469.5</v>
      </c>
      <c r="AZ8" s="5">
        <f>('Elec Use'!$D$19*BTU_per_GWh)*'IESS Demand'!$C133*'IESS Demand'!BC$78*'IESS Demand'!AZ116/'IESS Demand'!$F116</f>
        <v>257354075424377.47</v>
      </c>
      <c r="BA8" s="5">
        <f>('Elec Use'!$D$19*BTU_per_GWh)*'IESS Demand'!$C133*'IESS Demand'!BD$78*'IESS Demand'!BA116/'IESS Demand'!$F116</f>
        <v>261309023050367</v>
      </c>
      <c r="BB8" s="5">
        <f>('Elec Use'!$D$19*BTU_per_GWh)*'IESS Demand'!$C133*'IESS Demand'!BE$78*'IESS Demand'!BB116/'IESS Demand'!$F116</f>
        <v>265161706849332.88</v>
      </c>
      <c r="BC8" s="5">
        <f>('Elec Use'!$D$19*BTU_per_GWh)*'IESS Demand'!$C133*'IESS Demand'!BF$78*'IESS Demand'!BC116/'IESS Demand'!$F116</f>
        <v>268914834518044.06</v>
      </c>
      <c r="BD8" s="5">
        <f>('Elec Use'!$D$19*BTU_per_GWh)*'IESS Demand'!$C133*'IESS Demand'!BG$78*'IESS Demand'!BD116/'IESS Demand'!$F116</f>
        <v>272571018998613.72</v>
      </c>
      <c r="BE8" s="5">
        <f>('Elec Use'!$D$19*BTU_per_GWh)*'IESS Demand'!$C133*'IESS Demand'!BH$78*'IESS Demand'!BE116/'IESS Demand'!$F116</f>
        <v>276132782587429.34</v>
      </c>
    </row>
    <row r="9" spans="1:57">
      <c r="A9" t="s">
        <v>438</v>
      </c>
      <c r="B9" t="s">
        <v>501</v>
      </c>
      <c r="C9" t="s">
        <v>364</v>
      </c>
      <c r="D9" s="66">
        <f>('Elec Use'!$D$17*BTU_per_GWh)*'IESS Demand'!$C134*'IESS Demand'!G$78*'IESS Demand'!D117/'IESS Demand'!$D117</f>
        <v>53504486054618.625</v>
      </c>
      <c r="E9" s="66">
        <f>('Elec Use'!$D$18*BTU_per_GWh)*'IESS Demand'!$C134*'IESS Demand'!H$78*'IESS Demand'!E117/'IESS Demand'!$E117</f>
        <v>56702365756292.609</v>
      </c>
      <c r="F9" s="5">
        <f>('Elec Use'!$D$19*BTU_per_GWh)*'IESS Demand'!$C134*'IESS Demand'!I$78*'IESS Demand'!F117/'IESS Demand'!$F117</f>
        <v>59080361958760.773</v>
      </c>
      <c r="G9" s="5">
        <f>('Elec Use'!$D$19*BTU_per_GWh)*'IESS Demand'!$C134*'IESS Demand'!J$78*'IESS Demand'!G117/'IESS Demand'!$F117</f>
        <v>58842531558306.914</v>
      </c>
      <c r="H9" s="5">
        <f>('Elec Use'!$D$24*BTU_per_GWh)*'IESS Demand'!$C134*'IESS Demand'!K$78*'IESS Demand'!H117/'IESS Demand'!$F117</f>
        <v>67273239148335.977</v>
      </c>
      <c r="I9" s="5">
        <f>('Elec Use'!$D$19*BTU_per_GWh)*'IESS Demand'!$C134*'IESS Demand'!L$78*'IESS Demand'!I117/'IESS Demand'!$F117</f>
        <v>58403288014488.797</v>
      </c>
      <c r="J9" s="5">
        <f>('Elec Use'!$D$19*BTU_per_GWh)*'IESS Demand'!$C134*'IESS Demand'!M$78*'IESS Demand'!J117/'IESS Demand'!$F117</f>
        <v>59471775937164.289</v>
      </c>
      <c r="K9" s="5">
        <f>('Elec Use'!$D$19*BTU_per_GWh)*'IESS Demand'!$C134*'IESS Demand'!N$78*'IESS Demand'!K117/'IESS Demand'!$F117</f>
        <v>60475315240011.578</v>
      </c>
      <c r="L9" s="5">
        <f>('Elec Use'!$D$19*BTU_per_GWh)*'IESS Demand'!$C134*'IESS Demand'!O$78*'IESS Demand'!L117/'IESS Demand'!$F117</f>
        <v>61463718142966.102</v>
      </c>
      <c r="M9" s="5">
        <f>('Elec Use'!$D$19*BTU_per_GWh)*'IESS Demand'!$C134*'IESS Demand'!P$78*'IESS Demand'!M117/'IESS Demand'!$F117</f>
        <v>62437675076322.516</v>
      </c>
      <c r="N9" s="5">
        <f>('Elec Use'!$D$19*BTU_per_GWh)*'IESS Demand'!$C134*'IESS Demand'!Q$78*'IESS Demand'!N117/'IESS Demand'!$F117</f>
        <v>63397835108307.883</v>
      </c>
      <c r="O9" s="5">
        <f>('Elec Use'!$D$19*BTU_per_GWh)*'IESS Demand'!$C134*'IESS Demand'!R$78*'IESS Demand'!O117/'IESS Demand'!$F117</f>
        <v>64820323435266.055</v>
      </c>
      <c r="P9" s="5">
        <f>('Elec Use'!$D$19*BTU_per_GWh)*'IESS Demand'!$C134*'IESS Demand'!S$78*'IESS Demand'!P117/'IESS Demand'!$F117</f>
        <v>66215665104854.094</v>
      </c>
      <c r="Q9" s="5">
        <f>('Elec Use'!$D$19*BTU_per_GWh)*'IESS Demand'!$C134*'IESS Demand'!T$78*'IESS Demand'!Q117/'IESS Demand'!$F117</f>
        <v>67585034728440.742</v>
      </c>
      <c r="R9" s="5">
        <f>('Elec Use'!$D$19*BTU_per_GWh)*'IESS Demand'!$C134*'IESS Demand'!U$78*'IESS Demand'!R117/'IESS Demand'!$F117</f>
        <v>68929540115055.133</v>
      </c>
      <c r="S9" s="5">
        <f>('Elec Use'!$D$19*BTU_per_GWh)*'IESS Demand'!$C134*'IESS Demand'!V$78*'IESS Demand'!S117/'IESS Demand'!$F117</f>
        <v>70250226953778.578</v>
      </c>
      <c r="T9" s="5">
        <f>('Elec Use'!$D$19*BTU_per_GWh)*'IESS Demand'!$C134*'IESS Demand'!W$78*'IESS Demand'!T117/'IESS Demand'!$F117</f>
        <v>71604284510173.438</v>
      </c>
      <c r="U9" s="5">
        <f>('Elec Use'!$D$19*BTU_per_GWh)*'IESS Demand'!$C134*'IESS Demand'!X$78*'IESS Demand'!U117/'IESS Demand'!$F117</f>
        <v>72928737420312.031</v>
      </c>
      <c r="V9" s="5">
        <f>('Elec Use'!$D$19*BTU_per_GWh)*'IESS Demand'!$C134*'IESS Demand'!Y$78*'IESS Demand'!V117/'IESS Demand'!$F117</f>
        <v>74224764098715.781</v>
      </c>
      <c r="W9" s="5">
        <f>('Elec Use'!$D$19*BTU_per_GWh)*'IESS Demand'!$C134*'IESS Demand'!Z$78*'IESS Demand'!W117/'IESS Demand'!$F117</f>
        <v>75493481236404.828</v>
      </c>
      <c r="X9" s="5">
        <f>('Elec Use'!$D$19*BTU_per_GWh)*'IESS Demand'!$C134*'IESS Demand'!AA$78*'IESS Demand'!X117/'IESS Demand'!$F117</f>
        <v>76735947789888.375</v>
      </c>
      <c r="Y9" s="5">
        <f>('Elec Use'!$D$19*BTU_per_GWh)*'IESS Demand'!$C134*'IESS Demand'!AB$78*'IESS Demand'!Y117/'IESS Demand'!$F117</f>
        <v>77978922544984.875</v>
      </c>
      <c r="Z9" s="5">
        <f>('Elec Use'!$D$19*BTU_per_GWh)*'IESS Demand'!$C134*'IESS Demand'!AC$78*'IESS Demand'!Z117/'IESS Demand'!$F117</f>
        <v>79189765941950.953</v>
      </c>
      <c r="AA9" s="5">
        <f>('Elec Use'!$D$19*BTU_per_GWh)*'IESS Demand'!$C134*'IESS Demand'!AD$78*'IESS Demand'!AA117/'IESS Demand'!$F117</f>
        <v>80369639457312.063</v>
      </c>
      <c r="AB9" s="5">
        <f>('Elec Use'!$D$19*BTU_per_GWh)*'IESS Demand'!$C134*'IESS Demand'!AE$78*'IESS Demand'!AB117/'IESS Demand'!$F117</f>
        <v>81519649254383.031</v>
      </c>
      <c r="AC9" s="5">
        <f>('Elec Use'!$D$19*BTU_per_GWh)*'IESS Demand'!$C134*'IESS Demand'!AF$78*'IESS Demand'!AC117/'IESS Demand'!$F117</f>
        <v>82640849437263.156</v>
      </c>
      <c r="AD9" s="5">
        <f>('Elec Use'!$D$19*BTU_per_GWh)*'IESS Demand'!$C134*'IESS Demand'!AG$78*'IESS Demand'!AD117/'IESS Demand'!$F117</f>
        <v>83754999229941.031</v>
      </c>
      <c r="AE9" s="5">
        <f>('Elec Use'!$D$19*BTU_per_GWh)*'IESS Demand'!$C134*'IESS Demand'!AH$78*'IESS Demand'!AE117/'IESS Demand'!$F117</f>
        <v>84834399957463.063</v>
      </c>
      <c r="AF9" s="5">
        <f>('Elec Use'!$D$19*BTU_per_GWh)*'IESS Demand'!$C134*'IESS Demand'!AI$78*'IESS Demand'!AF117/'IESS Demand'!$F117</f>
        <v>85880206029263.313</v>
      </c>
      <c r="AG9" s="5">
        <f>('Elec Use'!$D$19*BTU_per_GWh)*'IESS Demand'!$C134*'IESS Demand'!AJ$78*'IESS Demand'!AG117/'IESS Demand'!$F117</f>
        <v>86893521280171.547</v>
      </c>
      <c r="AH9" s="5">
        <f>('Elec Use'!$D$19*BTU_per_GWh)*'IESS Demand'!$C134*'IESS Demand'!AK$78*'IESS Demand'!AH117/'IESS Demand'!$F117</f>
        <v>87875401709993.469</v>
      </c>
      <c r="AI9" s="5">
        <f>('Elec Use'!$D$19*BTU_per_GWh)*'IESS Demand'!$C134*'IESS Demand'!AL$78*'IESS Demand'!AI117/'IESS Demand'!$F117</f>
        <v>88826858046923.734</v>
      </c>
      <c r="AJ9" s="5">
        <f>('Elec Use'!$D$19*BTU_per_GWh)*'IESS Demand'!$C134*'IESS Demand'!AM$78*'IESS Demand'!AJ117/'IESS Demand'!$F117</f>
        <v>89748858147858.484</v>
      </c>
      <c r="AK9" s="5">
        <f>('Elec Use'!$D$19*BTU_per_GWh)*'IESS Demand'!$C134*'IESS Demand'!AN$78*'IESS Demand'!AK117/'IESS Demand'!$F117</f>
        <v>90642329247595.203</v>
      </c>
      <c r="AL9" s="5">
        <f>('Elec Use'!$D$19*BTU_per_GWh)*'IESS Demand'!$C134*'IESS Demand'!AO$78*'IESS Demand'!AL117/'IESS Demand'!$F117</f>
        <v>91508160067900.672</v>
      </c>
      <c r="AM9" s="5">
        <f>('Elec Use'!$D$19*BTU_per_GWh)*'IESS Demand'!$C134*'IESS Demand'!AP$78*'IESS Demand'!AM117/'IESS Demand'!$F117</f>
        <v>92347202796524.469</v>
      </c>
      <c r="AN9" s="5">
        <f>('Elec Use'!$D$19*BTU_per_GWh)*'IESS Demand'!$C134*'IESS Demand'!AQ$78*'IESS Demand'!AN117/'IESS Demand'!$F117</f>
        <v>93160274945427.844</v>
      </c>
      <c r="AO9" s="5">
        <f>('Elec Use'!$D$19*BTU_per_GWh)*'IESS Demand'!$C134*'IESS Demand'!AR$78*'IESS Demand'!AO117/'IESS Demand'!$F117</f>
        <v>93948161096731.281</v>
      </c>
      <c r="AP9" s="5">
        <f>('Elec Use'!$D$19*BTU_per_GWh)*'IESS Demand'!$C134*'IESS Demand'!AS$78*'IESS Demand'!AP117/'IESS Demand'!$F117</f>
        <v>94711614544226.031</v>
      </c>
      <c r="AQ9" s="5">
        <f>('Elec Use'!$D$19*BTU_per_GWh)*'IESS Demand'!$C134*'IESS Demand'!AT$78*'IESS Demand'!AQ117/'IESS Demand'!$F117</f>
        <v>95451358837661.922</v>
      </c>
      <c r="AR9" s="5">
        <f>('Elec Use'!$D$19*BTU_per_GWh)*'IESS Demand'!$C134*'IESS Demand'!AU$78*'IESS Demand'!AR117/'IESS Demand'!$F117</f>
        <v>96168089236460.953</v>
      </c>
      <c r="AS9" s="5">
        <f>('Elec Use'!$D$19*BTU_per_GWh)*'IESS Demand'!$C134*'IESS Demand'!AV$78*'IESS Demand'!AS117/'IESS Demand'!$F117</f>
        <v>96862474079002.391</v>
      </c>
      <c r="AT9" s="5">
        <f>('Elec Use'!$D$19*BTU_per_GWh)*'IESS Demand'!$C134*'IESS Demand'!AW$78*'IESS Demand'!AT117/'IESS Demand'!$F117</f>
        <v>97535156073135.016</v>
      </c>
      <c r="AU9" s="5">
        <f>('Elec Use'!$D$19*BTU_per_GWh)*'IESS Demand'!$C134*'IESS Demand'!AX$78*'IESS Demand'!AU117/'IESS Demand'!$F117</f>
        <v>98186753513163.844</v>
      </c>
      <c r="AV9" s="5">
        <f>('Elec Use'!$D$19*BTU_per_GWh)*'IESS Demand'!$C134*'IESS Demand'!AY$78*'IESS Demand'!AV117/'IESS Demand'!$F117</f>
        <v>98817861428142.313</v>
      </c>
      <c r="AW9" s="5">
        <f>('Elec Use'!$D$19*BTU_per_GWh)*'IESS Demand'!$C134*'IESS Demand'!AZ$78*'IESS Demand'!AW117/'IESS Demand'!$F117</f>
        <v>99429052665959.75</v>
      </c>
      <c r="AX9" s="5">
        <f>('Elec Use'!$D$19*BTU_per_GWh)*'IESS Demand'!$C134*'IESS Demand'!BA$78*'IESS Demand'!AX117/'IESS Demand'!$F117</f>
        <v>100020878917370.69</v>
      </c>
      <c r="AY9" s="5">
        <f>('Elec Use'!$D$19*BTU_per_GWh)*'IESS Demand'!$C134*'IESS Demand'!BB$78*'IESS Demand'!AY117/'IESS Demand'!$F117</f>
        <v>100593871683808.47</v>
      </c>
      <c r="AZ9" s="5">
        <f>('Elec Use'!$D$19*BTU_per_GWh)*'IESS Demand'!$C134*'IESS Demand'!BC$78*'IESS Demand'!AZ117/'IESS Demand'!$F117</f>
        <v>101148543192559.55</v>
      </c>
      <c r="BA9" s="5">
        <f>('Elec Use'!$D$19*BTU_per_GWh)*'IESS Demand'!$C134*'IESS Demand'!BD$78*'IESS Demand'!BA117/'IESS Demand'!$F117</f>
        <v>101685387262598.61</v>
      </c>
      <c r="BB9" s="5">
        <f>('Elec Use'!$D$19*BTU_per_GWh)*'IESS Demand'!$C134*'IESS Demand'!BE$78*'IESS Demand'!BB117/'IESS Demand'!$F117</f>
        <v>102204880124168.39</v>
      </c>
      <c r="BC9" s="5">
        <f>('Elec Use'!$D$19*BTU_per_GWh)*'IESS Demand'!$C134*'IESS Demand'!BF$78*'IESS Demand'!BC117/'IESS Demand'!$F117</f>
        <v>102707481194958.63</v>
      </c>
      <c r="BD9" s="5">
        <f>('Elec Use'!$D$19*BTU_per_GWh)*'IESS Demand'!$C134*'IESS Demand'!BG$78*'IESS Demand'!BD117/'IESS Demand'!$F117</f>
        <v>103193633815538.47</v>
      </c>
      <c r="BE9" s="5">
        <f>('Elec Use'!$D$19*BTU_per_GWh)*'IESS Demand'!$C134*'IESS Demand'!BH$78*'IESS Demand'!BE117/'IESS Demand'!$F117</f>
        <v>103663765946524.66</v>
      </c>
    </row>
    <row r="10" spans="1:57">
      <c r="A10" t="s">
        <v>438</v>
      </c>
      <c r="B10" t="s">
        <v>501</v>
      </c>
      <c r="C10" t="s">
        <v>434</v>
      </c>
      <c r="D10" s="66">
        <f>('Elec Use'!$D$17*BTU_per_GWh)*'IESS Demand'!$C135*'IESS Demand'!G$78*'IESS Demand'!D118/'IESS Demand'!$D118</f>
        <v>256791678325083.97</v>
      </c>
      <c r="E10" s="66">
        <f>('Elec Use'!$D$18*BTU_per_GWh)*'IESS Demand'!$C135*'IESS Demand'!H$78*'IESS Demand'!E118/'IESS Demand'!$E118</f>
        <v>272139716522036.13</v>
      </c>
      <c r="F10" s="5">
        <f>('Elec Use'!$D$19*BTU_per_GWh)*'IESS Demand'!$C135*'IESS Demand'!I$78*'IESS Demand'!F118/'IESS Demand'!$F118</f>
        <v>283552771406053</v>
      </c>
      <c r="G10" s="5">
        <f>('Elec Use'!$D$19*BTU_per_GWh)*'IESS Demand'!$C135*'IESS Demand'!J$78*'IESS Demand'!G118/'IESS Demand'!$F118</f>
        <v>294649291273778.25</v>
      </c>
      <c r="H10" s="5">
        <f>('Elec Use'!$D$24*BTU_per_GWh)*'IESS Demand'!$C135*'IESS Demand'!K$78*'IESS Demand'!H118/'IESS Demand'!$F118</f>
        <v>350663743804271.88</v>
      </c>
      <c r="I10" s="5">
        <f>('Elec Use'!$D$24*BTU_per_GWh)*'IESS Demand'!$C135*'IESS Demand'!L$78*'IESS Demand'!I118/'IESS Demand'!$F118</f>
        <v>362944702917679.69</v>
      </c>
      <c r="J10" s="5">
        <f>('Elec Use'!$D$24*BTU_per_GWh)*'IESS Demand'!$C135*'IESS Demand'!M$78*'IESS Demand'!J118/'IESS Demand'!$F118</f>
        <v>380096400973032.75</v>
      </c>
      <c r="K10" s="5">
        <f>('Elec Use'!$D$24*BTU_per_GWh)*'IESS Demand'!$C135*'IESS Demand'!N$78*'IESS Demand'!K118/'IESS Demand'!$F118</f>
        <v>396616322966406.5</v>
      </c>
      <c r="L10" s="5">
        <f>('Elec Use'!$D$24*BTU_per_GWh)*'IESS Demand'!$C135*'IESS Demand'!O$78*'IESS Demand'!L118/'IESS Demand'!$F118</f>
        <v>412824592530385.69</v>
      </c>
      <c r="M10" s="5">
        <f>('Elec Use'!$D$24*BTU_per_GWh)*'IESS Demand'!$C135*'IESS Demand'!P$78*'IESS Demand'!M118/'IESS Demand'!$F118</f>
        <v>428735425349024.06</v>
      </c>
      <c r="N10" s="5">
        <f>('Elec Use'!$D$24*BTU_per_GWh)*'IESS Demand'!$C135*'IESS Demand'!Q$78*'IESS Demand'!N118/'IESS Demand'!$F118</f>
        <v>444362185477934.88</v>
      </c>
      <c r="O10" s="5">
        <f>('Elec Use'!$D$24*BTU_per_GWh)*'IESS Demand'!$C135*'IESS Demand'!R$78*'IESS Demand'!O118/'IESS Demand'!$F118</f>
        <v>461368662283544.13</v>
      </c>
      <c r="P10" s="5">
        <f>('Elec Use'!$D$24*BTU_per_GWh)*'IESS Demand'!$C135*'IESS Demand'!S$78*'IESS Demand'!P118/'IESS Demand'!$F118</f>
        <v>478026347347113.06</v>
      </c>
      <c r="Q10" s="5">
        <f>('Elec Use'!$D$24*BTU_per_GWh)*'IESS Demand'!$C135*'IESS Demand'!T$78*'IESS Demand'!Q118/'IESS Demand'!$F118</f>
        <v>494350332572587.19</v>
      </c>
      <c r="R10" s="5">
        <f>('Elec Use'!$D$24*BTU_per_GWh)*'IESS Demand'!$C135*'IESS Demand'!U$78*'IESS Demand'!R118/'IESS Demand'!$F118</f>
        <v>510354851559182.5</v>
      </c>
      <c r="S10" s="5">
        <f>('Elec Use'!$D$24*BTU_per_GWh)*'IESS Demand'!$C135*'IESS Demand'!V$78*'IESS Demand'!S118/'IESS Demand'!$F118</f>
        <v>526053339762743.81</v>
      </c>
      <c r="T10" s="5">
        <f>('Elec Use'!$D$24*BTU_per_GWh)*'IESS Demand'!$C135*'IESS Demand'!W$78*'IESS Demand'!T118/'IESS Demand'!$F118</f>
        <v>535382417869472.31</v>
      </c>
      <c r="U10" s="5">
        <f>('Elec Use'!$D$24*BTU_per_GWh)*'IESS Demand'!$C135*'IESS Demand'!X$78*'IESS Demand'!U118/'IESS Demand'!$F118</f>
        <v>544509098995255.06</v>
      </c>
      <c r="V10" s="5">
        <f>('Elec Use'!$D$24*BTU_per_GWh)*'IESS Demand'!$C135*'IESS Demand'!Y$78*'IESS Demand'!V118/'IESS Demand'!$F118</f>
        <v>553441439562701.63</v>
      </c>
      <c r="W10" s="5">
        <f>('Elec Use'!$D$24*BTU_per_GWh)*'IESS Demand'!$C135*'IESS Demand'!Z$78*'IESS Demand'!W118/'IESS Demand'!$F118</f>
        <v>562187074011661.5</v>
      </c>
      <c r="X10" s="5">
        <f>('Elec Use'!$D$24*BTU_per_GWh)*'IESS Demand'!$C135*'IESS Demand'!AA$78*'IESS Demand'!X118/'IESS Demand'!$F118</f>
        <v>570753242070607.5</v>
      </c>
      <c r="Y10" s="5">
        <f>('Elec Use'!$D$24*BTU_per_GWh)*'IESS Demand'!$C135*'IESS Demand'!AB$78*'IESS Demand'!Y118/'IESS Demand'!$F118</f>
        <v>581159688859010.88</v>
      </c>
      <c r="Z10" s="5">
        <f>('Elec Use'!$D$24*BTU_per_GWh)*'IESS Demand'!$C135*'IESS Demand'!AC$78*'IESS Demand'!Z118/'IESS Demand'!$F118</f>
        <v>591297871037734.13</v>
      </c>
      <c r="AA10" s="5">
        <f>('Elec Use'!$D$24*BTU_per_GWh)*'IESS Demand'!$C135*'IESS Demand'!AD$78*'IESS Demand'!AA118/'IESS Demand'!$F118</f>
        <v>601177485770696.88</v>
      </c>
      <c r="AB10" s="5">
        <f>('Elec Use'!$D$24*BTU_per_GWh)*'IESS Demand'!$C135*'IESS Demand'!AE$78*'IESS Demand'!AB118/'IESS Demand'!$F118</f>
        <v>610807768411994.38</v>
      </c>
      <c r="AC10" s="5">
        <f>('Elec Use'!$D$24*BTU_per_GWh)*'IESS Demand'!$C135*'IESS Demand'!AF$78*'IESS Demand'!AC118/'IESS Demand'!$F118</f>
        <v>620197519673491.88</v>
      </c>
      <c r="AD10" s="5">
        <f>('Elec Use'!$D$24*BTU_per_GWh)*'IESS Demand'!$C135*'IESS Demand'!AG$78*'IESS Demand'!AD118/'IESS Demand'!$F118</f>
        <v>628783013938169.25</v>
      </c>
      <c r="AE10" s="5">
        <f>('Elec Use'!$D$24*BTU_per_GWh)*'IESS Demand'!$C135*'IESS Demand'!AH$78*'IESS Demand'!AE118/'IESS Demand'!$F118</f>
        <v>637101722892129.25</v>
      </c>
      <c r="AF10" s="5">
        <f>('Elec Use'!$D$24*BTU_per_GWh)*'IESS Demand'!$C135*'IESS Demand'!AI$78*'IESS Demand'!AF118/'IESS Demand'!$F118</f>
        <v>645162509492639</v>
      </c>
      <c r="AG10" s="5">
        <f>('Elec Use'!$D$24*BTU_per_GWh)*'IESS Demand'!$C135*'IESS Demand'!AJ$78*'IESS Demand'!AG118/'IESS Demand'!$F118</f>
        <v>652973848411368.88</v>
      </c>
      <c r="AH10" s="5">
        <f>('Elec Use'!$D$24*BTU_per_GWh)*'IESS Demand'!$C135*'IESS Demand'!AK$78*'IESS Demand'!AH118/'IESS Demand'!$F118</f>
        <v>660543847067468.63</v>
      </c>
      <c r="AI10" s="5">
        <f>('Elec Use'!$D$24*BTU_per_GWh)*'IESS Demand'!$C135*'IESS Demand'!AL$78*'IESS Demand'!AI118/'IESS Demand'!$F118</f>
        <v>667880265308124</v>
      </c>
      <c r="AJ10" s="5">
        <f>('Elec Use'!$D$24*BTU_per_GWh)*'IESS Demand'!$C135*'IESS Demand'!AM$78*'IESS Demand'!AJ118/'IESS Demand'!$F118</f>
        <v>674990533836912.88</v>
      </c>
      <c r="AK10" s="5">
        <f>('Elec Use'!$D$24*BTU_per_GWh)*'IESS Demand'!$C135*'IESS Demand'!AN$78*'IESS Demand'!AK118/'IESS Demand'!$F118</f>
        <v>681881771481994.63</v>
      </c>
      <c r="AL10" s="5">
        <f>('Elec Use'!$D$24*BTU_per_GWh)*'IESS Demand'!$C135*'IESS Demand'!AO$78*'IESS Demand'!AL118/'IESS Demand'!$F118</f>
        <v>688560801388441.75</v>
      </c>
      <c r="AM10" s="5">
        <f>('Elec Use'!$D$24*BTU_per_GWh)*'IESS Demand'!$C135*'IESS Demand'!AP$78*'IESS Demand'!AM118/'IESS Demand'!$F118</f>
        <v>695034166212079.63</v>
      </c>
      <c r="AN10" s="5">
        <f>('Elec Use'!$D$24*BTU_per_GWh)*'IESS Demand'!$C135*'IESS Demand'!AQ$78*'IESS Demand'!AN118/'IESS Demand'!$F118</f>
        <v>701308142386003.75</v>
      </c>
      <c r="AO10" s="5">
        <f>('Elec Use'!$D$24*BTU_per_GWh)*'IESS Demand'!$C135*'IESS Demand'!AR$78*'IESS Demand'!AO118/'IESS Demand'!$F118</f>
        <v>707388753525061.75</v>
      </c>
      <c r="AP10" s="5">
        <f>('Elec Use'!$D$24*BTU_per_GWh)*'IESS Demand'!$C135*'IESS Demand'!AS$78*'IESS Demand'!AP118/'IESS Demand'!$F118</f>
        <v>713281783028526.25</v>
      </c>
      <c r="AQ10" s="5">
        <f>('Elec Use'!$D$24*BTU_per_GWh)*'IESS Demand'!$C135*'IESS Demand'!AT$78*'IESS Demand'!AQ118/'IESS Demand'!$F118</f>
        <v>718992785936338</v>
      </c>
      <c r="AR10" s="5">
        <f>('Elec Use'!$D$24*BTU_per_GWh)*'IESS Demand'!$C135*'IESS Demand'!AU$78*'IESS Demand'!AR118/'IESS Demand'!$F118</f>
        <v>724527100089963.75</v>
      </c>
      <c r="AS10" s="5">
        <f>('Elec Use'!$D$24*BTU_per_GWh)*'IESS Demand'!$C135*'IESS Demand'!AV$78*'IESS Demand'!AS118/'IESS Demand'!$F118</f>
        <v>729889856645058.38</v>
      </c>
      <c r="AT10" s="5">
        <f>('Elec Use'!$D$24*BTU_per_GWh)*'IESS Demand'!$C135*'IESS Demand'!AW$78*'IESS Demand'!AT118/'IESS Demand'!$F118</f>
        <v>735085989979348.5</v>
      </c>
      <c r="AU10" s="5">
        <f>('Elec Use'!$D$24*BTU_per_GWh)*'IESS Demand'!$C135*'IESS Demand'!AX$78*'IESS Demand'!AU118/'IESS Demand'!$F118</f>
        <v>740120247036027.13</v>
      </c>
      <c r="AV10" s="5">
        <f>('Elec Use'!$D$24*BTU_per_GWh)*'IESS Demand'!$C135*'IESS Demand'!AY$78*'IESS Demand'!AV118/'IESS Demand'!$F118</f>
        <v>744997196139743.25</v>
      </c>
      <c r="AW10" s="5">
        <f>('Elec Use'!$D$24*BTU_per_GWh)*'IESS Demand'!$C135*'IESS Demand'!AZ$78*'IESS Demand'!AW118/'IESS Demand'!$F118</f>
        <v>749721235319666.13</v>
      </c>
      <c r="AX10" s="5">
        <f>('Elec Use'!$D$24*BTU_per_GWh)*'IESS Demand'!$C135*'IESS Demand'!BA$78*'IESS Demand'!AX118/'IESS Demand'!$F118</f>
        <v>754296600171450.38</v>
      </c>
      <c r="AY10" s="5">
        <f>('Elec Use'!$D$24*BTU_per_GWh)*'IESS Demand'!$C135*'IESS Demand'!BB$78*'IESS Demand'!AY118/'IESS Demand'!$F118</f>
        <v>758727371287606.75</v>
      </c>
      <c r="AZ10" s="5">
        <f>('Elec Use'!$D$24*BTU_per_GWh)*'IESS Demand'!$C135*'IESS Demand'!BC$78*'IESS Demand'!AZ118/'IESS Demand'!$F118</f>
        <v>763017481283736.75</v>
      </c>
      <c r="BA10" s="5">
        <f>('Elec Use'!$D$24*BTU_per_GWh)*'IESS Demand'!$C135*'IESS Demand'!BD$78*'IESS Demand'!BA118/'IESS Demand'!$F118</f>
        <v>767170721445966.25</v>
      </c>
      <c r="BB10" s="5">
        <f>('Elec Use'!$D$24*BTU_per_GWh)*'IESS Demand'!$C135*'IESS Demand'!BE$78*'IESS Demand'!BB118/'IESS Demand'!$F118</f>
        <v>771190748023253.38</v>
      </c>
      <c r="BC10" s="5">
        <f>('Elec Use'!$D$24*BTU_per_GWh)*'IESS Demand'!$C135*'IESS Demand'!BF$78*'IESS Demand'!BC118/'IESS Demand'!$F118</f>
        <v>775081088186489</v>
      </c>
      <c r="BD10" s="5">
        <f>('Elec Use'!$D$24*BTU_per_GWh)*'IESS Demand'!$C135*'IESS Demand'!BG$78*'IESS Demand'!BD118/'IESS Demand'!$F118</f>
        <v>778845145674766</v>
      </c>
      <c r="BE10" s="5">
        <f>('Elec Use'!$D$24*BTU_per_GWh)*'IESS Demand'!$C135*'IESS Demand'!BH$78*'IESS Demand'!BE118/'IESS Demand'!$F118</f>
        <v>782486206147873.63</v>
      </c>
    </row>
    <row r="11" spans="1:57">
      <c r="A11" t="s">
        <v>438</v>
      </c>
      <c r="B11" t="s">
        <v>501</v>
      </c>
      <c r="C11" t="s">
        <v>435</v>
      </c>
      <c r="D11" s="66">
        <f>('Elec Use'!$D$17*BTU_per_GWh)*'IESS Demand'!$C136*'IESS Demand'!G$78*'IESS Demand'!D119/'IESS Demand'!$D119</f>
        <v>55935829344570.188</v>
      </c>
      <c r="E11" s="66">
        <f>('Elec Use'!$D$18*BTU_per_GWh)*'IESS Demand'!$C136*'IESS Demand'!H$78*'IESS Demand'!E119/'IESS Demand'!$E119</f>
        <v>59279026643478.906</v>
      </c>
      <c r="F11" s="5">
        <f>('Elec Use'!$D$19*BTU_per_GWh)*'IESS Demand'!$C136*'IESS Demand'!I$78*'IESS Demand'!F119/'IESS Demand'!$F119</f>
        <v>61765083413139.508</v>
      </c>
      <c r="G11" s="5">
        <f>('Elec Use'!$D$19*BTU_per_GWh)*'IESS Demand'!$C136*'IESS Demand'!J$78*'IESS Demand'!G119/'IESS Demand'!$F119</f>
        <v>61089164007543.797</v>
      </c>
      <c r="H11" s="5">
        <f>('Elec Use'!$D$19*BTU_per_GWh)*'IESS Demand'!$C136*'IESS Demand'!K$78*'IESS Demand'!H119/'IESS Demand'!$F119</f>
        <v>60435289172518.422</v>
      </c>
      <c r="I11" s="5">
        <f>('Elec Use'!$D$19*BTU_per_GWh)*'IESS Demand'!$C136*'IESS Demand'!L$78*'IESS Demand'!I119/'IESS Demand'!$F119</f>
        <v>59802397763213.641</v>
      </c>
      <c r="J11" s="5">
        <f>('Elec Use'!$D$19*BTU_per_GWh)*'IESS Demand'!$C136*'IESS Demand'!M$78*'IESS Demand'!J119/'IESS Demand'!$F119</f>
        <v>66515998371146.383</v>
      </c>
      <c r="K11" s="5">
        <f>('Elec Use'!$D$19*BTU_per_GWh)*'IESS Demand'!$C136*'IESS Demand'!N$78*'IESS Demand'!K119/'IESS Demand'!$F119</f>
        <v>73041122410158.141</v>
      </c>
      <c r="L11" s="5">
        <f>('Elec Use'!$D$19*BTU_per_GWh)*'IESS Demand'!$C136*'IESS Demand'!O$78*'IESS Demand'!L119/'IESS Demand'!$F119</f>
        <v>79434424922019.344</v>
      </c>
      <c r="M11" s="5">
        <f>('Elec Use'!$D$19*BTU_per_GWh)*'IESS Demand'!$C136*'IESS Demand'!P$78*'IESS Demand'!M119/'IESS Demand'!$F119</f>
        <v>85701918801238.672</v>
      </c>
      <c r="N11" s="5">
        <f>('Elec Use'!$D$19*BTU_per_GWh)*'IESS Demand'!$C136*'IESS Demand'!Q$78*'IESS Demand'!N119/'IESS Demand'!$F119</f>
        <v>91849256723855.203</v>
      </c>
      <c r="O11" s="5">
        <f>('Elec Use'!$D$19*BTU_per_GWh)*'IESS Demand'!$C136*'IESS Demand'!R$78*'IESS Demand'!O119/'IESS Demand'!$F119</f>
        <v>101497511944935.53</v>
      </c>
      <c r="P11" s="5">
        <f>('Elec Use'!$D$19*BTU_per_GWh)*'IESS Demand'!$C136*'IESS Demand'!S$78*'IESS Demand'!P119/'IESS Demand'!$F119</f>
        <v>110935499820911.36</v>
      </c>
      <c r="Q11" s="5">
        <f>('Elec Use'!$D$19*BTU_per_GWh)*'IESS Demand'!$C136*'IESS Demand'!T$78*'IESS Demand'!Q119/'IESS Demand'!$F119</f>
        <v>120172318430069.55</v>
      </c>
      <c r="R11" s="5">
        <f>('Elec Use'!$D$19*BTU_per_GWh)*'IESS Demand'!$C136*'IESS Demand'!U$78*'IESS Demand'!R119/'IESS Demand'!$F119</f>
        <v>129216548426013.36</v>
      </c>
      <c r="S11" s="5">
        <f>('Elec Use'!$D$19*BTU_per_GWh)*'IESS Demand'!$C136*'IESS Demand'!V$78*'IESS Demand'!S119/'IESS Demand'!$F119</f>
        <v>138076289305636.92</v>
      </c>
      <c r="T11" s="5">
        <f>('Elec Use'!$D$19*BTU_per_GWh)*'IESS Demand'!$C136*'IESS Demand'!W$78*'IESS Demand'!T119/'IESS Demand'!$F119</f>
        <v>151684535199842.91</v>
      </c>
      <c r="U11" s="5">
        <f>('Elec Use'!$D$19*BTU_per_GWh)*'IESS Demand'!$C136*'IESS Demand'!X$78*'IESS Demand'!U119/'IESS Demand'!$F119</f>
        <v>164974039558066.56</v>
      </c>
      <c r="V11" s="5">
        <f>('Elec Use'!$D$19*BTU_per_GWh)*'IESS Demand'!$C136*'IESS Demand'!Y$78*'IESS Demand'!V119/'IESS Demand'!$F119</f>
        <v>177957489904128.94</v>
      </c>
      <c r="W11" s="5">
        <f>('Elec Use'!$D$19*BTU_per_GWh)*'IESS Demand'!$C136*'IESS Demand'!Z$78*'IESS Demand'!W119/'IESS Demand'!$F119</f>
        <v>190646909209285.59</v>
      </c>
      <c r="X11" s="5">
        <f>('Elec Use'!$D$19*BTU_per_GWh)*'IESS Demand'!$C136*'IESS Demand'!AA$78*'IESS Demand'!X119/'IESS Demand'!$F119</f>
        <v>203053698840114.25</v>
      </c>
      <c r="Y11" s="5">
        <f>('Elec Use'!$D$19*BTU_per_GWh)*'IESS Demand'!$C136*'IESS Demand'!AB$78*'IESS Demand'!Y119/'IESS Demand'!$F119</f>
        <v>215981504562760.69</v>
      </c>
      <c r="Z11" s="5">
        <f>('Elec Use'!$D$19*BTU_per_GWh)*'IESS Demand'!$C136*'IESS Demand'!AC$78*'IESS Demand'!Z119/'IESS Demand'!$F119</f>
        <v>228581312395361.5</v>
      </c>
      <c r="AA11" s="5">
        <f>('Elec Use'!$D$19*BTU_per_GWh)*'IESS Demand'!$C136*'IESS Demand'!AD$78*'IESS Demand'!AA119/'IESS Demand'!$F119</f>
        <v>240864978725944.69</v>
      </c>
      <c r="AB11" s="5">
        <f>('Elec Use'!$D$19*BTU_per_GWh)*'IESS Demand'!$C136*'IESS Demand'!AE$78*'IESS Demand'!AB119/'IESS Demand'!$F119</f>
        <v>252843795303575.22</v>
      </c>
      <c r="AC11" s="5">
        <f>('Elec Use'!$D$19*BTU_per_GWh)*'IESS Demand'!$C136*'IESS Demand'!AF$78*'IESS Demand'!AC119/'IESS Demand'!$F119</f>
        <v>264528522455256.41</v>
      </c>
      <c r="AD11" s="5">
        <f>('Elec Use'!$D$19*BTU_per_GWh)*'IESS Demand'!$C136*'IESS Demand'!AG$78*'IESS Demand'!AD119/'IESS Demand'!$F119</f>
        <v>276734367421985.75</v>
      </c>
      <c r="AE11" s="5">
        <f>('Elec Use'!$D$19*BTU_per_GWh)*'IESS Demand'!$C136*'IESS Demand'!AH$78*'IESS Demand'!AE119/'IESS Demand'!$F119</f>
        <v>288597557739120.56</v>
      </c>
      <c r="AF11" s="5">
        <f>('Elec Use'!$D$19*BTU_per_GWh)*'IESS Demand'!$C136*'IESS Demand'!AI$78*'IESS Demand'!AF119/'IESS Demand'!$F119</f>
        <v>300129476842687.69</v>
      </c>
      <c r="AG11" s="5">
        <f>('Elec Use'!$D$19*BTU_per_GWh)*'IESS Demand'!$C136*'IESS Demand'!AJ$78*'IESS Demand'!AG119/'IESS Demand'!$F119</f>
        <v>311341009461095.06</v>
      </c>
      <c r="AH11" s="5">
        <f>('Elec Use'!$D$19*BTU_per_GWh)*'IESS Demand'!$C136*'IESS Demand'!AK$78*'IESS Demand'!AH119/'IESS Demand'!$F119</f>
        <v>322242568629684</v>
      </c>
      <c r="AI11" s="5">
        <f>('Elec Use'!$D$19*BTU_per_GWh)*'IESS Demand'!$C136*'IESS Demand'!AL$78*'IESS Demand'!AI119/'IESS Demand'!$F119</f>
        <v>332844120968093.75</v>
      </c>
      <c r="AJ11" s="5">
        <f>('Elec Use'!$D$19*BTU_per_GWh)*'IESS Demand'!$C136*'IESS Demand'!AM$78*'IESS Demand'!AJ119/'IESS Demand'!$F119</f>
        <v>343155210349352.31</v>
      </c>
      <c r="AK11" s="5">
        <f>('Elec Use'!$D$19*BTU_per_GWh)*'IESS Demand'!$C136*'IESS Demand'!AN$78*'IESS Demand'!AK119/'IESS Demand'!$F119</f>
        <v>353184980078848.31</v>
      </c>
      <c r="AL11" s="5">
        <f>('Elec Use'!$D$19*BTU_per_GWh)*'IESS Demand'!$C136*'IESS Demand'!AO$78*'IESS Demand'!AL119/'IESS Demand'!$F119</f>
        <v>362942193691487.25</v>
      </c>
      <c r="AM11" s="5">
        <f>('Elec Use'!$D$19*BTU_per_GWh)*'IESS Demand'!$C136*'IESS Demand'!AP$78*'IESS Demand'!AM119/'IESS Demand'!$F119</f>
        <v>372435254466424.19</v>
      </c>
      <c r="AN11" s="5">
        <f>('Elec Use'!$D$19*BTU_per_GWh)*'IESS Demand'!$C136*'IESS Demand'!AQ$78*'IESS Demand'!AN119/'IESS Demand'!$F119</f>
        <v>381672223750725.63</v>
      </c>
      <c r="AO11" s="5">
        <f>('Elec Use'!$D$19*BTU_per_GWh)*'IESS Demand'!$C136*'IESS Demand'!AR$78*'IESS Demand'!AO119/'IESS Demand'!$F119</f>
        <v>390660838175879.63</v>
      </c>
      <c r="AP11" s="5">
        <f>('Elec Use'!$D$19*BTU_per_GWh)*'IESS Demand'!$C136*'IESS Demand'!AS$78*'IESS Demand'!AP119/'IESS Demand'!$F119</f>
        <v>399408525844454.69</v>
      </c>
      <c r="AQ11" s="5">
        <f>('Elec Use'!$D$19*BTU_per_GWh)*'IESS Demand'!$C136*'IESS Demand'!AT$78*'IESS Demand'!AQ119/'IESS Demand'!$F119</f>
        <v>407922421558056.31</v>
      </c>
      <c r="AR11" s="5">
        <f>('Elec Use'!$D$19*BTU_per_GWh)*'IESS Demand'!$C136*'IESS Demand'!AU$78*'IESS Demand'!AR119/'IESS Demand'!$F119</f>
        <v>416209381152163.56</v>
      </c>
      <c r="AS11" s="5">
        <f>('Elec Use'!$D$19*BTU_per_GWh)*'IESS Demand'!$C136*'IESS Demand'!AV$78*'IESS Demand'!AS119/'IESS Demand'!$F119</f>
        <v>424275994998402.06</v>
      </c>
      <c r="AT11" s="5">
        <f>('Elec Use'!$D$19*BTU_per_GWh)*'IESS Demand'!$C136*'IESS Demand'!AW$78*'IESS Demand'!AT119/'IESS Demand'!$F119</f>
        <v>432128600730082.25</v>
      </c>
      <c r="AU11" s="5">
        <f>('Elec Use'!$D$19*BTU_per_GWh)*'IESS Demand'!$C136*'IESS Demand'!AX$78*'IESS Demand'!AU119/'IESS Demand'!$F119</f>
        <v>439773295242684.94</v>
      </c>
      <c r="AV11" s="5">
        <f>('Elec Use'!$D$19*BTU_per_GWh)*'IESS Demand'!$C136*'IESS Demand'!AY$78*'IESS Demand'!AV119/'IESS Demand'!$F119</f>
        <v>447215946016988.25</v>
      </c>
      <c r="AW11" s="5">
        <f>('Elec Use'!$D$19*BTU_per_GWh)*'IESS Demand'!$C136*'IESS Demand'!AZ$78*'IESS Demand'!AW119/'IESS Demand'!$F119</f>
        <v>454462201809066.31</v>
      </c>
      <c r="AX11" s="5">
        <f>('Elec Use'!$D$19*BTU_per_GWh)*'IESS Demand'!$C136*'IESS Demand'!BA$78*'IESS Demand'!AX119/'IESS Demand'!$F119</f>
        <v>461517502748061.88</v>
      </c>
      <c r="AY11" s="5">
        <f>('Elec Use'!$D$19*BTU_per_GWh)*'IESS Demand'!$C136*'IESS Demand'!BB$78*'IESS Demand'!AY119/'IESS Demand'!$F119</f>
        <v>468387089879646.81</v>
      </c>
      <c r="AZ11" s="5">
        <f>('Elec Use'!$D$19*BTU_per_GWh)*'IESS Demand'!$C136*'IESS Demand'!BC$78*'IESS Demand'!AZ119/'IESS Demand'!$F119</f>
        <v>475076014190385.19</v>
      </c>
      <c r="BA11" s="5">
        <f>('Elec Use'!$D$19*BTU_per_GWh)*'IESS Demand'!$C136*'IESS Demand'!BD$78*'IESS Demand'!BA119/'IESS Demand'!$F119</f>
        <v>481589145145600.69</v>
      </c>
      <c r="BB11" s="5">
        <f>('Elec Use'!$D$19*BTU_per_GWh)*'IESS Demand'!$C136*'IESS Demand'!BE$78*'IESS Demand'!BB119/'IESS Demand'!$F119</f>
        <v>487931178771108</v>
      </c>
      <c r="BC11" s="5">
        <f>('Elec Use'!$D$19*BTU_per_GWh)*'IESS Demand'!$C136*'IESS Demand'!BF$78*'IESS Demand'!BC119/'IESS Demand'!$F119</f>
        <v>494106645306977.13</v>
      </c>
      <c r="BD11" s="5">
        <f>('Elec Use'!$D$19*BTU_per_GWh)*'IESS Demand'!$C136*'IESS Demand'!BG$78*'IESS Demand'!BD119/'IESS Demand'!$F119</f>
        <v>500119916459520.88</v>
      </c>
      <c r="BE11" s="5">
        <f>('Elec Use'!$D$19*BTU_per_GWh)*'IESS Demand'!$C136*'IESS Demand'!BH$78*'IESS Demand'!BE119/'IESS Demand'!$F119</f>
        <v>505975212275937.31</v>
      </c>
    </row>
    <row r="12" spans="1:57">
      <c r="A12" t="s">
        <v>53</v>
      </c>
      <c r="B12" t="s">
        <v>501</v>
      </c>
      <c r="C12" t="s">
        <v>502</v>
      </c>
      <c r="D12" s="58">
        <v>0</v>
      </c>
      <c r="E12" s="58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</row>
    <row r="13" spans="1:57">
      <c r="A13" t="s">
        <v>53</v>
      </c>
      <c r="B13" t="s">
        <v>501</v>
      </c>
      <c r="C13" t="s">
        <v>503</v>
      </c>
      <c r="D13" s="66">
        <f>('Elec Use'!$E$17*BTU_per_GWh)*'IESS Demand'!$C167*'IESS Demand'!C160/'IESS Demand'!$C160</f>
        <v>181155554865756.66</v>
      </c>
      <c r="E13" s="66">
        <f>('Elec Use'!$E$18*BTU_per_GWh)*'IESS Demand'!$C167*'IESS Demand'!D160/'IESS Demand'!$D160</f>
        <v>189081425510036.34</v>
      </c>
      <c r="F13" s="5">
        <f>('Elec Use'!$E$19*BTU_per_GWh)*'IESS Demand'!$C167*'IESS Demand'!E160/'IESS Demand'!$E160</f>
        <v>198102397365472.25</v>
      </c>
      <c r="G13" s="5">
        <f>('Elec Use'!$E$19*BTU_per_GWh)*'IESS Demand'!$C167*'IESS Demand'!F160/'IESS Demand'!$E160</f>
        <v>206767380746012.91</v>
      </c>
      <c r="H13" s="5">
        <f>('Elec Use'!$E$24*BTU_per_GWh)*'IESS Demand'!$C167*'IESS Demand'!G160/'IESS Demand'!$E160</f>
        <v>190698216209897.25</v>
      </c>
      <c r="I13" s="5">
        <f>('Elec Use'!$E$19*BTU_per_GWh)*'IESS Demand'!$C167*'IESS Demand'!H160/'IESS Demand'!$E160</f>
        <v>224097347507094.25</v>
      </c>
      <c r="J13" s="5">
        <f>('Elec Use'!$E$19*BTU_per_GWh)*'IESS Demand'!$C167*'IESS Demand'!I160/'IESS Demand'!$E160</f>
        <v>236488520161930.47</v>
      </c>
      <c r="K13" s="5">
        <f>('Elec Use'!$E$19*BTU_per_GWh)*'IESS Demand'!$C167*'IESS Demand'!J160/'IESS Demand'!$E160</f>
        <v>248879692816766.66</v>
      </c>
      <c r="L13" s="5">
        <f>('Elec Use'!$E$19*BTU_per_GWh)*'IESS Demand'!$C167*'IESS Demand'!K160/'IESS Demand'!$E160</f>
        <v>261270865471602.84</v>
      </c>
      <c r="M13" s="5">
        <f>('Elec Use'!$E$19*BTU_per_GWh)*'IESS Demand'!$C167*'IESS Demand'!L160/'IESS Demand'!$E160</f>
        <v>273662038126439.03</v>
      </c>
      <c r="N13" s="5">
        <f>('Elec Use'!$E$19*BTU_per_GWh)*'IESS Demand'!$C167*'IESS Demand'!M160/'IESS Demand'!$E160</f>
        <v>286053210781275.19</v>
      </c>
      <c r="O13" s="5">
        <f>('Elec Use'!$E$19*BTU_per_GWh)*'IESS Demand'!$C167*'IESS Demand'!N160/'IESS Demand'!$E160</f>
        <v>304406712412935.06</v>
      </c>
      <c r="P13" s="5">
        <f>('Elec Use'!$E$19*BTU_per_GWh)*'IESS Demand'!$C167*'IESS Demand'!O160/'IESS Demand'!$E160</f>
        <v>322760214044594.88</v>
      </c>
      <c r="Q13" s="5">
        <f>('Elec Use'!$E$19*BTU_per_GWh)*'IESS Demand'!$C167*'IESS Demand'!P160/'IESS Demand'!$E160</f>
        <v>341113715676254.75</v>
      </c>
      <c r="R13" s="5">
        <f>('Elec Use'!$E$19*BTU_per_GWh)*'IESS Demand'!$C167*'IESS Demand'!Q160/'IESS Demand'!$E160</f>
        <v>359467217307914.63</v>
      </c>
      <c r="S13" s="5">
        <f>('Elec Use'!$E$19*BTU_per_GWh)*'IESS Demand'!$C167*'IESS Demand'!R160/'IESS Demand'!$E160</f>
        <v>377820718939574.5</v>
      </c>
      <c r="T13" s="5">
        <f>('Elec Use'!$E$19*BTU_per_GWh)*'IESS Demand'!$C167*'IESS Demand'!S160/'IESS Demand'!$E160</f>
        <v>403864262920298.69</v>
      </c>
      <c r="U13" s="5">
        <f>('Elec Use'!$E$19*BTU_per_GWh)*'IESS Demand'!$C167*'IESS Demand'!T160/'IESS Demand'!$E160</f>
        <v>429907806901022.81</v>
      </c>
      <c r="V13" s="5">
        <f>('Elec Use'!$E$19*BTU_per_GWh)*'IESS Demand'!$C167*'IESS Demand'!U160/'IESS Demand'!$E160</f>
        <v>455951350881747</v>
      </c>
      <c r="W13" s="5">
        <f>('Elec Use'!$E$19*BTU_per_GWh)*'IESS Demand'!$C167*'IESS Demand'!V160/'IESS Demand'!$E160</f>
        <v>481994894862471.19</v>
      </c>
      <c r="X13" s="5">
        <f>('Elec Use'!$E$19*BTU_per_GWh)*'IESS Demand'!$C167*'IESS Demand'!W160/'IESS Demand'!$E160</f>
        <v>508038438843195.25</v>
      </c>
      <c r="Y13" s="5">
        <f>('Elec Use'!$E$19*BTU_per_GWh)*'IESS Demand'!$C167*'IESS Demand'!X160/'IESS Demand'!$E160</f>
        <v>538639491700966</v>
      </c>
      <c r="Z13" s="5">
        <f>('Elec Use'!$E$19*BTU_per_GWh)*'IESS Demand'!$C167*'IESS Demand'!Y160/'IESS Demand'!$E160</f>
        <v>569240544558736.88</v>
      </c>
      <c r="AA13" s="5">
        <f>('Elec Use'!$E$19*BTU_per_GWh)*'IESS Demand'!$C167*'IESS Demand'!Z160/'IESS Demand'!$E160</f>
        <v>599841597416507.63</v>
      </c>
      <c r="AB13" s="5">
        <f>('Elec Use'!$E$19*BTU_per_GWh)*'IESS Demand'!$C167*'IESS Demand'!AA160/'IESS Demand'!$E160</f>
        <v>630442650274278.5</v>
      </c>
      <c r="AC13" s="5">
        <f>('Elec Use'!$E$19*BTU_per_GWh)*'IESS Demand'!$C167*'IESS Demand'!AB160/'IESS Demand'!$E160</f>
        <v>661043703132049.5</v>
      </c>
      <c r="AD13" s="5">
        <f>('Elec Use'!$E$19*BTU_per_GWh)*'IESS Demand'!$C167*'IESS Demand'!AC160/'IESS Demand'!$E160</f>
        <v>697387206833017.75</v>
      </c>
      <c r="AE13" s="5">
        <f>('Elec Use'!$E$19*BTU_per_GWh)*'IESS Demand'!$C167*'IESS Demand'!AD160/'IESS Demand'!$E160</f>
        <v>733730710533986.13</v>
      </c>
      <c r="AF13" s="5">
        <f>('Elec Use'!$E$19*BTU_per_GWh)*'IESS Demand'!$C167*'IESS Demand'!AE160/'IESS Demand'!$E160</f>
        <v>770074214234954.63</v>
      </c>
      <c r="AG13" s="5">
        <f>('Elec Use'!$E$19*BTU_per_GWh)*'IESS Demand'!$C167*'IESS Demand'!AF160/'IESS Demand'!$E160</f>
        <v>806417717935923</v>
      </c>
      <c r="AH13" s="5">
        <f>('Elec Use'!$E$19*BTU_per_GWh)*'IESS Demand'!$C167*'IESS Demand'!AG160/'IESS Demand'!$E160</f>
        <v>842761221636891.25</v>
      </c>
      <c r="AI13" s="5">
        <f>('Elec Use'!$E$19*BTU_per_GWh)*'IESS Demand'!$C167*'IESS Demand'!AH160/'IESS Demand'!$E160</f>
        <v>879104725337859.75</v>
      </c>
      <c r="AJ13" s="5">
        <f>('Elec Use'!$E$19*BTU_per_GWh)*'IESS Demand'!$C167*'IESS Demand'!AI160/'IESS Demand'!$E160</f>
        <v>915448229038828.13</v>
      </c>
      <c r="AK13" s="5">
        <f>('Elec Use'!$E$19*BTU_per_GWh)*'IESS Demand'!$C167*'IESS Demand'!AJ160/'IESS Demand'!$E160</f>
        <v>951791732739796.63</v>
      </c>
      <c r="AL13" s="5">
        <f>('Elec Use'!$E$19*BTU_per_GWh)*'IESS Demand'!$C167*'IESS Demand'!AK160/'IESS Demand'!$E160</f>
        <v>988135236440765.13</v>
      </c>
      <c r="AM13" s="5">
        <f>('Elec Use'!$E$19*BTU_per_GWh)*'IESS Demand'!$C167*'IESS Demand'!AL160/'IESS Demand'!$E160</f>
        <v>1024478740141733.5</v>
      </c>
      <c r="AN13" s="5">
        <f>('Elec Use'!$E$19*BTU_per_GWh)*'IESS Demand'!$C167*'IESS Demand'!AM160/'IESS Demand'!$E160</f>
        <v>1060822243842702</v>
      </c>
      <c r="AO13" s="5">
        <f>('Elec Use'!$E$19*BTU_per_GWh)*'IESS Demand'!$C167*'IESS Demand'!AN160/'IESS Demand'!$E160</f>
        <v>1097165747543670.4</v>
      </c>
      <c r="AP13" s="5">
        <f>('Elec Use'!$E$19*BTU_per_GWh)*'IESS Demand'!$C167*'IESS Demand'!AO160/'IESS Demand'!$E160</f>
        <v>1133509251244639</v>
      </c>
      <c r="AQ13" s="5">
        <f>('Elec Use'!$E$19*BTU_per_GWh)*'IESS Demand'!$C167*'IESS Demand'!AP160/'IESS Demand'!$E160</f>
        <v>1169852754945607.3</v>
      </c>
      <c r="AR13" s="5">
        <f>('Elec Use'!$E$19*BTU_per_GWh)*'IESS Demand'!$C167*'IESS Demand'!AQ160/'IESS Demand'!$E160</f>
        <v>1206196258646575.8</v>
      </c>
      <c r="AS13" s="5">
        <f>('Elec Use'!$E$19*BTU_per_GWh)*'IESS Demand'!$C167*'IESS Demand'!AR160/'IESS Demand'!$E160</f>
        <v>1242539762347544.3</v>
      </c>
      <c r="AT13" s="5">
        <f>('Elec Use'!$E$19*BTU_per_GWh)*'IESS Demand'!$C167*'IESS Demand'!AS160/'IESS Demand'!$E160</f>
        <v>1278883266048512.8</v>
      </c>
      <c r="AU13" s="5">
        <f>('Elec Use'!$E$19*BTU_per_GWh)*'IESS Demand'!$C167*'IESS Demand'!AT160/'IESS Demand'!$E160</f>
        <v>1315226769749481.3</v>
      </c>
      <c r="AV13" s="5">
        <f>('Elec Use'!$E$19*BTU_per_GWh)*'IESS Demand'!$C167*'IESS Demand'!AU160/'IESS Demand'!$E160</f>
        <v>1351570273450449.5</v>
      </c>
      <c r="AW13" s="5">
        <f>('Elec Use'!$E$19*BTU_per_GWh)*'IESS Demand'!$C167*'IESS Demand'!AV160/'IESS Demand'!$E160</f>
        <v>1387913777151418</v>
      </c>
      <c r="AX13" s="5">
        <f>('Elec Use'!$E$19*BTU_per_GWh)*'IESS Demand'!$C167*'IESS Demand'!AW160/'IESS Demand'!$E160</f>
        <v>1424257280852386.5</v>
      </c>
      <c r="AY13" s="5">
        <f>('Elec Use'!$E$19*BTU_per_GWh)*'IESS Demand'!$C167*'IESS Demand'!AX160/'IESS Demand'!$E160</f>
        <v>1460600784553354.8</v>
      </c>
      <c r="AZ13" s="5">
        <f>('Elec Use'!$E$19*BTU_per_GWh)*'IESS Demand'!$C167*'IESS Demand'!AY160/'IESS Demand'!$E160</f>
        <v>1496944288254323.3</v>
      </c>
      <c r="BA13" s="5">
        <f>('Elec Use'!$E$19*BTU_per_GWh)*'IESS Demand'!$C167*'IESS Demand'!AZ160/'IESS Demand'!$E160</f>
        <v>1533287791955291.8</v>
      </c>
      <c r="BB13" s="5">
        <f>('Elec Use'!$E$19*BTU_per_GWh)*'IESS Demand'!$C167*'IESS Demand'!BA160/'IESS Demand'!$E160</f>
        <v>1569631295656260</v>
      </c>
      <c r="BC13" s="5">
        <f>('Elec Use'!$E$19*BTU_per_GWh)*'IESS Demand'!$C167*'IESS Demand'!BB160/'IESS Demand'!$E160</f>
        <v>1605974799357228.5</v>
      </c>
      <c r="BD13" s="5">
        <f>('Elec Use'!$E$19*BTU_per_GWh)*'IESS Demand'!$C167*'IESS Demand'!BC160/'IESS Demand'!$E160</f>
        <v>1642318303058197</v>
      </c>
      <c r="BE13" s="5">
        <f>('Elec Use'!$E$19*BTU_per_GWh)*'IESS Demand'!$C167*'IESS Demand'!BD160/'IESS Demand'!$E160</f>
        <v>1678661806759165.5</v>
      </c>
    </row>
    <row r="14" spans="1:57">
      <c r="A14" t="s">
        <v>53</v>
      </c>
      <c r="B14" t="s">
        <v>501</v>
      </c>
      <c r="C14" t="s">
        <v>364</v>
      </c>
      <c r="D14" s="66">
        <f>('Elec Use'!$E$17*BTU_per_GWh)*'IESS Demand'!$C168*'IESS Demand'!C161/'IESS Demand'!$C161</f>
        <v>37652420725114.047</v>
      </c>
      <c r="E14" s="66">
        <f>('Elec Use'!$E$18*BTU_per_GWh)*'IESS Demand'!$C168*'IESS Demand'!D161/'IESS Demand'!$D161</f>
        <v>39299779627977.367</v>
      </c>
      <c r="F14" s="5">
        <f>('Elec Use'!$E$19*BTU_per_GWh)*'IESS Demand'!$C168*'IESS Demand'!E161/'IESS Demand'!$E161</f>
        <v>41174750715129.445</v>
      </c>
      <c r="G14" s="5">
        <f>('Elec Use'!$E$19*BTU_per_GWh)*'IESS Demand'!$C168*'IESS Demand'!F161/'IESS Demand'!$E161</f>
        <v>42151539909196.023</v>
      </c>
      <c r="H14" s="5">
        <f>('Elec Use'!$E$24*BTU_per_GWh)*'IESS Demand'!$C168*'IESS Demand'!G161/'IESS Demand'!$E161</f>
        <v>38176693931066.828</v>
      </c>
      <c r="I14" s="5">
        <f>('Elec Use'!$E$19*BTU_per_GWh)*'IESS Demand'!$C168*'IESS Demand'!H161/'IESS Demand'!$E161</f>
        <v>44105118297329.188</v>
      </c>
      <c r="J14" s="5">
        <f>('Elec Use'!$E$19*BTU_per_GWh)*'IESS Demand'!$C168*'IESS Demand'!I161/'IESS Demand'!$E161</f>
        <v>45537086797664.352</v>
      </c>
      <c r="K14" s="5">
        <f>('Elec Use'!$E$19*BTU_per_GWh)*'IESS Demand'!$C168*'IESS Demand'!J161/'IESS Demand'!$E161</f>
        <v>46969055297999.516</v>
      </c>
      <c r="L14" s="5">
        <f>('Elec Use'!$E$19*BTU_per_GWh)*'IESS Demand'!$C168*'IESS Demand'!K161/'IESS Demand'!$E161</f>
        <v>48401023798334.68</v>
      </c>
      <c r="M14" s="5">
        <f>('Elec Use'!$E$19*BTU_per_GWh)*'IESS Demand'!$C168*'IESS Demand'!L161/'IESS Demand'!$E161</f>
        <v>49832992298669.844</v>
      </c>
      <c r="N14" s="5">
        <f>('Elec Use'!$E$19*BTU_per_GWh)*'IESS Demand'!$C168*'IESS Demand'!M161/'IESS Demand'!$E161</f>
        <v>51264960799005</v>
      </c>
      <c r="O14" s="5">
        <f>('Elec Use'!$E$19*BTU_per_GWh)*'IESS Demand'!$C168*'IESS Demand'!N161/'IESS Demand'!$E161</f>
        <v>53405224753374.195</v>
      </c>
      <c r="P14" s="5">
        <f>('Elec Use'!$E$19*BTU_per_GWh)*'IESS Demand'!$C168*'IESS Demand'!O161/'IESS Demand'!$E161</f>
        <v>55545488707743.391</v>
      </c>
      <c r="Q14" s="5">
        <f>('Elec Use'!$E$19*BTU_per_GWh)*'IESS Demand'!$C168*'IESS Demand'!P161/'IESS Demand'!$E161</f>
        <v>57685752662112.586</v>
      </c>
      <c r="R14" s="5">
        <f>('Elec Use'!$E$19*BTU_per_GWh)*'IESS Demand'!$C168*'IESS Demand'!Q161/'IESS Demand'!$E161</f>
        <v>59826016616481.781</v>
      </c>
      <c r="S14" s="5">
        <f>('Elec Use'!$E$19*BTU_per_GWh)*'IESS Demand'!$C168*'IESS Demand'!R161/'IESS Demand'!$E161</f>
        <v>61966280570850.961</v>
      </c>
      <c r="T14" s="5">
        <f>('Elec Use'!$E$19*BTU_per_GWh)*'IESS Demand'!$C168*'IESS Demand'!S161/'IESS Demand'!$E161</f>
        <v>66683267275398.25</v>
      </c>
      <c r="U14" s="5">
        <f>('Elec Use'!$E$19*BTU_per_GWh)*'IESS Demand'!$C168*'IESS Demand'!T161/'IESS Demand'!$E161</f>
        <v>71400253979945.547</v>
      </c>
      <c r="V14" s="5">
        <f>('Elec Use'!$E$19*BTU_per_GWh)*'IESS Demand'!$C168*'IESS Demand'!U161/'IESS Demand'!$E161</f>
        <v>76117240684492.844</v>
      </c>
      <c r="W14" s="5">
        <f>('Elec Use'!$E$19*BTU_per_GWh)*'IESS Demand'!$C168*'IESS Demand'!V161/'IESS Demand'!$E161</f>
        <v>80834227389040.125</v>
      </c>
      <c r="X14" s="5">
        <f>('Elec Use'!$E$19*BTU_per_GWh)*'IESS Demand'!$C168*'IESS Demand'!W161/'IESS Demand'!$E161</f>
        <v>85551214093587.422</v>
      </c>
      <c r="Y14" s="5">
        <f>('Elec Use'!$E$19*BTU_per_GWh)*'IESS Demand'!$C168*'IESS Demand'!X161/'IESS Demand'!$E161</f>
        <v>91479546690539.5</v>
      </c>
      <c r="Z14" s="5">
        <f>('Elec Use'!$E$19*BTU_per_GWh)*'IESS Demand'!$C168*'IESS Demand'!Y161/'IESS Demand'!$E161</f>
        <v>97407879287491.563</v>
      </c>
      <c r="AA14" s="5">
        <f>('Elec Use'!$E$19*BTU_per_GWh)*'IESS Demand'!$C168*'IESS Demand'!Z161/'IESS Demand'!$E161</f>
        <v>103336211884443.66</v>
      </c>
      <c r="AB14" s="5">
        <f>('Elec Use'!$E$19*BTU_per_GWh)*'IESS Demand'!$C168*'IESS Demand'!AA161/'IESS Demand'!$E161</f>
        <v>109264544481395.73</v>
      </c>
      <c r="AC14" s="5">
        <f>('Elec Use'!$E$19*BTU_per_GWh)*'IESS Demand'!$C168*'IESS Demand'!AB161/'IESS Demand'!$E161</f>
        <v>115192877078347.83</v>
      </c>
      <c r="AD14" s="5">
        <f>('Elec Use'!$E$19*BTU_per_GWh)*'IESS Demand'!$C168*'IESS Demand'!AC161/'IESS Demand'!$E161</f>
        <v>122872247488169.94</v>
      </c>
      <c r="AE14" s="5">
        <f>('Elec Use'!$E$19*BTU_per_GWh)*'IESS Demand'!$C168*'IESS Demand'!AD161/'IESS Demand'!$E161</f>
        <v>130551617897992.03</v>
      </c>
      <c r="AF14" s="5">
        <f>('Elec Use'!$E$19*BTU_per_GWh)*'IESS Demand'!$C168*'IESS Demand'!AE161/'IESS Demand'!$E161</f>
        <v>138230988307814.14</v>
      </c>
      <c r="AG14" s="5">
        <f>('Elec Use'!$E$19*BTU_per_GWh)*'IESS Demand'!$C168*'IESS Demand'!AF161/'IESS Demand'!$E161</f>
        <v>145910358717636.22</v>
      </c>
      <c r="AH14" s="5">
        <f>('Elec Use'!$E$19*BTU_per_GWh)*'IESS Demand'!$C168*'IESS Demand'!AG161/'IESS Demand'!$E161</f>
        <v>153589729127458.28</v>
      </c>
      <c r="AI14" s="5">
        <f>('Elec Use'!$E$19*BTU_per_GWh)*'IESS Demand'!$C168*'IESS Demand'!AH161/'IESS Demand'!$E161</f>
        <v>161269099537280.38</v>
      </c>
      <c r="AJ14" s="5">
        <f>('Elec Use'!$E$19*BTU_per_GWh)*'IESS Demand'!$C168*'IESS Demand'!AI161/'IESS Demand'!$E161</f>
        <v>168948469947102.47</v>
      </c>
      <c r="AK14" s="5">
        <f>('Elec Use'!$E$19*BTU_per_GWh)*'IESS Demand'!$C168*'IESS Demand'!AJ161/'IESS Demand'!$E161</f>
        <v>176627840356924.56</v>
      </c>
      <c r="AL14" s="5">
        <f>('Elec Use'!$E$19*BTU_per_GWh)*'IESS Demand'!$C168*'IESS Demand'!AK161/'IESS Demand'!$E161</f>
        <v>184307210766746.66</v>
      </c>
      <c r="AM14" s="5">
        <f>('Elec Use'!$E$19*BTU_per_GWh)*'IESS Demand'!$C168*'IESS Demand'!AL161/'IESS Demand'!$E161</f>
        <v>191986581176568.72</v>
      </c>
      <c r="AN14" s="5">
        <f>('Elec Use'!$E$19*BTU_per_GWh)*'IESS Demand'!$C168*'IESS Demand'!AM161/'IESS Demand'!$E161</f>
        <v>199665951586390.78</v>
      </c>
      <c r="AO14" s="5">
        <f>('Elec Use'!$E$19*BTU_per_GWh)*'IESS Demand'!$C168*'IESS Demand'!AN161/'IESS Demand'!$E161</f>
        <v>207345321996212.88</v>
      </c>
      <c r="AP14" s="5">
        <f>('Elec Use'!$E$19*BTU_per_GWh)*'IESS Demand'!$C168*'IESS Demand'!AO161/'IESS Demand'!$E161</f>
        <v>215024692406034.94</v>
      </c>
      <c r="AQ14" s="5">
        <f>('Elec Use'!$E$19*BTU_per_GWh)*'IESS Demand'!$C168*'IESS Demand'!AP161/'IESS Demand'!$E161</f>
        <v>222704062815857.03</v>
      </c>
      <c r="AR14" s="5">
        <f>('Elec Use'!$E$19*BTU_per_GWh)*'IESS Demand'!$C168*'IESS Demand'!AQ161/'IESS Demand'!$E161</f>
        <v>230383433225679.13</v>
      </c>
      <c r="AS14" s="5">
        <f>('Elec Use'!$E$19*BTU_per_GWh)*'IESS Demand'!$C168*'IESS Demand'!AR161/'IESS Demand'!$E161</f>
        <v>238062803635501.22</v>
      </c>
      <c r="AT14" s="5">
        <f>('Elec Use'!$E$19*BTU_per_GWh)*'IESS Demand'!$C168*'IESS Demand'!AS161/'IESS Demand'!$E161</f>
        <v>245742174045323.25</v>
      </c>
      <c r="AU14" s="5">
        <f>('Elec Use'!$E$19*BTU_per_GWh)*'IESS Demand'!$C168*'IESS Demand'!AT161/'IESS Demand'!$E161</f>
        <v>253421544455145.34</v>
      </c>
      <c r="AV14" s="5">
        <f>('Elec Use'!$E$19*BTU_per_GWh)*'IESS Demand'!$C168*'IESS Demand'!AU161/'IESS Demand'!$E161</f>
        <v>261100914864967.44</v>
      </c>
      <c r="AW14" s="5">
        <f>('Elec Use'!$E$19*BTU_per_GWh)*'IESS Demand'!$C168*'IESS Demand'!AV161/'IESS Demand'!$E161</f>
        <v>268780285274789.53</v>
      </c>
      <c r="AX14" s="5">
        <f>('Elec Use'!$E$19*BTU_per_GWh)*'IESS Demand'!$C168*'IESS Demand'!AW161/'IESS Demand'!$E161</f>
        <v>276459655684611.59</v>
      </c>
      <c r="AY14" s="5">
        <f>('Elec Use'!$E$19*BTU_per_GWh)*'IESS Demand'!$C168*'IESS Demand'!AX161/'IESS Demand'!$E161</f>
        <v>284139026094433.69</v>
      </c>
      <c r="AZ14" s="5">
        <f>('Elec Use'!$E$19*BTU_per_GWh)*'IESS Demand'!$C168*'IESS Demand'!AY161/'IESS Demand'!$E161</f>
        <v>291818396504255.75</v>
      </c>
      <c r="BA14" s="5">
        <f>('Elec Use'!$E$19*BTU_per_GWh)*'IESS Demand'!$C168*'IESS Demand'!AZ161/'IESS Demand'!$E161</f>
        <v>299497766914077.81</v>
      </c>
      <c r="BB14" s="5">
        <f>('Elec Use'!$E$19*BTU_per_GWh)*'IESS Demand'!$C168*'IESS Demand'!BA161/'IESS Demand'!$E161</f>
        <v>307177137323899.94</v>
      </c>
      <c r="BC14" s="5">
        <f>('Elec Use'!$E$19*BTU_per_GWh)*'IESS Demand'!$C168*'IESS Demand'!BB161/'IESS Demand'!$E161</f>
        <v>314856507733722</v>
      </c>
      <c r="BD14" s="5">
        <f>('Elec Use'!$E$19*BTU_per_GWh)*'IESS Demand'!$C168*'IESS Demand'!BC161/'IESS Demand'!$E161</f>
        <v>322535878143544.06</v>
      </c>
      <c r="BE14" s="5">
        <f>('Elec Use'!$E$19*BTU_per_GWh)*'IESS Demand'!$C168*'IESS Demand'!BD161/'IESS Demand'!$E161</f>
        <v>330215248553366.19</v>
      </c>
    </row>
    <row r="15" spans="1:57">
      <c r="A15" t="s">
        <v>53</v>
      </c>
      <c r="B15" t="s">
        <v>501</v>
      </c>
      <c r="C15" t="s">
        <v>434</v>
      </c>
      <c r="D15" s="66">
        <f>('Elec Use'!$E$17*BTU_per_GWh)*'IESS Demand'!$C169*'IESS Demand'!C162/'IESS Demand'!$C162</f>
        <v>57688404671548.508</v>
      </c>
      <c r="E15" s="66">
        <f>('Elec Use'!$E$18*BTU_per_GWh)*'IESS Demand'!$C169*'IESS Demand'!D162/'IESS Demand'!$D162</f>
        <v>60212372724531.367</v>
      </c>
      <c r="F15" s="5">
        <f>('Elec Use'!$E$19*BTU_per_GWh)*'IESS Demand'!$C169*'IESS Demand'!E162/'IESS Demand'!$E162</f>
        <v>63085072241323.313</v>
      </c>
      <c r="G15" s="5">
        <f>('Elec Use'!$E$19*BTU_per_GWh)*'IESS Demand'!$C169*'IESS Demand'!F162/'IESS Demand'!$E162</f>
        <v>64728891062928.008</v>
      </c>
      <c r="H15" s="5">
        <f>('Elec Use'!$E$24*BTU_per_GWh)*'IESS Demand'!$C169*'IESS Demand'!G162/'IESS Demand'!$E162</f>
        <v>58752348707281.906</v>
      </c>
      <c r="I15" s="5">
        <f>('Elec Use'!$E$19*BTU_per_GWh)*'IESS Demand'!$C169*'IESS Demand'!H162/'IESS Demand'!$E162</f>
        <v>68016528706137.422</v>
      </c>
      <c r="J15" s="5">
        <f>('Elec Use'!$E$19*BTU_per_GWh)*'IESS Demand'!$C169*'IESS Demand'!I162/'IESS Demand'!$E162</f>
        <v>69453495859393.383</v>
      </c>
      <c r="K15" s="5">
        <f>('Elec Use'!$E$19*BTU_per_GWh)*'IESS Demand'!$C169*'IESS Demand'!J162/'IESS Demand'!$E162</f>
        <v>70890463012649.328</v>
      </c>
      <c r="L15" s="5">
        <f>('Elec Use'!$E$19*BTU_per_GWh)*'IESS Demand'!$C169*'IESS Demand'!K162/'IESS Demand'!$E162</f>
        <v>72327430165905.266</v>
      </c>
      <c r="M15" s="5">
        <f>('Elec Use'!$E$19*BTU_per_GWh)*'IESS Demand'!$C169*'IESS Demand'!L162/'IESS Demand'!$E162</f>
        <v>73764397319161.219</v>
      </c>
      <c r="N15" s="5">
        <f>('Elec Use'!$E$19*BTU_per_GWh)*'IESS Demand'!$C169*'IESS Demand'!M162/'IESS Demand'!$E162</f>
        <v>75201364472417.141</v>
      </c>
      <c r="O15" s="5">
        <f>('Elec Use'!$E$19*BTU_per_GWh)*'IESS Demand'!$C169*'IESS Demand'!N162/'IESS Demand'!$E162</f>
        <v>76855825162295.125</v>
      </c>
      <c r="P15" s="5">
        <f>('Elec Use'!$E$19*BTU_per_GWh)*'IESS Demand'!$C169*'IESS Demand'!O162/'IESS Demand'!$E162</f>
        <v>78510285852173.109</v>
      </c>
      <c r="Q15" s="5">
        <f>('Elec Use'!$E$19*BTU_per_GWh)*'IESS Demand'!$C169*'IESS Demand'!P162/'IESS Demand'!$E162</f>
        <v>80164746542051.094</v>
      </c>
      <c r="R15" s="5">
        <f>('Elec Use'!$E$19*BTU_per_GWh)*'IESS Demand'!$C169*'IESS Demand'!Q162/'IESS Demand'!$E162</f>
        <v>81819207231929.078</v>
      </c>
      <c r="S15" s="5">
        <f>('Elec Use'!$E$19*BTU_per_GWh)*'IESS Demand'!$C169*'IESS Demand'!R162/'IESS Demand'!$E162</f>
        <v>83473667921807.031</v>
      </c>
      <c r="T15" s="5">
        <f>('Elec Use'!$E$19*BTU_per_GWh)*'IESS Demand'!$C169*'IESS Demand'!S162/'IESS Demand'!$E162</f>
        <v>84915276027512.063</v>
      </c>
      <c r="U15" s="5">
        <f>('Elec Use'!$E$19*BTU_per_GWh)*'IESS Demand'!$C169*'IESS Demand'!T162/'IESS Demand'!$E162</f>
        <v>86356884133217.094</v>
      </c>
      <c r="V15" s="5">
        <f>('Elec Use'!$E$19*BTU_per_GWh)*'IESS Demand'!$C169*'IESS Demand'!U162/'IESS Demand'!$E162</f>
        <v>87798492238922.109</v>
      </c>
      <c r="W15" s="5">
        <f>('Elec Use'!$E$19*BTU_per_GWh)*'IESS Demand'!$C169*'IESS Demand'!V162/'IESS Demand'!$E162</f>
        <v>89240100344627.141</v>
      </c>
      <c r="X15" s="5">
        <f>('Elec Use'!$E$19*BTU_per_GWh)*'IESS Demand'!$C169*'IESS Demand'!W162/'IESS Demand'!$E162</f>
        <v>90681708450332.172</v>
      </c>
      <c r="Y15" s="5">
        <f>('Elec Use'!$E$19*BTU_per_GWh)*'IESS Demand'!$C169*'IESS Demand'!X162/'IESS Demand'!$E162</f>
        <v>92292083914182.813</v>
      </c>
      <c r="Z15" s="5">
        <f>('Elec Use'!$E$19*BTU_per_GWh)*'IESS Demand'!$C169*'IESS Demand'!Y162/'IESS Demand'!$E162</f>
        <v>93902459378033.453</v>
      </c>
      <c r="AA15" s="5">
        <f>('Elec Use'!$E$19*BTU_per_GWh)*'IESS Demand'!$C169*'IESS Demand'!Z162/'IESS Demand'!$E162</f>
        <v>95512834841884.094</v>
      </c>
      <c r="AB15" s="5">
        <f>('Elec Use'!$E$19*BTU_per_GWh)*'IESS Demand'!$C169*'IESS Demand'!AA162/'IESS Demand'!$E162</f>
        <v>97123210305734.734</v>
      </c>
      <c r="AC15" s="5">
        <f>('Elec Use'!$E$19*BTU_per_GWh)*'IESS Demand'!$C169*'IESS Demand'!AB162/'IESS Demand'!$E162</f>
        <v>98733585769585.391</v>
      </c>
      <c r="AD15" s="5">
        <f>('Elec Use'!$E$19*BTU_per_GWh)*'IESS Demand'!$C169*'IESS Demand'!AC162/'IESS Demand'!$E162</f>
        <v>100129100335701.78</v>
      </c>
      <c r="AE15" s="5">
        <f>('Elec Use'!$E$19*BTU_per_GWh)*'IESS Demand'!$C169*'IESS Demand'!AD162/'IESS Demand'!$E162</f>
        <v>101524614901818.16</v>
      </c>
      <c r="AF15" s="5">
        <f>('Elec Use'!$E$19*BTU_per_GWh)*'IESS Demand'!$C169*'IESS Demand'!AE162/'IESS Demand'!$E162</f>
        <v>102920129467934.55</v>
      </c>
      <c r="AG15" s="5">
        <f>('Elec Use'!$E$19*BTU_per_GWh)*'IESS Demand'!$C169*'IESS Demand'!AF162/'IESS Demand'!$E162</f>
        <v>104315644034050.92</v>
      </c>
      <c r="AH15" s="5">
        <f>('Elec Use'!$E$19*BTU_per_GWh)*'IESS Demand'!$C169*'IESS Demand'!AG162/'IESS Demand'!$E162</f>
        <v>105711158600167.31</v>
      </c>
      <c r="AI15" s="5">
        <f>('Elec Use'!$E$19*BTU_per_GWh)*'IESS Demand'!$C169*'IESS Demand'!AH162/'IESS Demand'!$E162</f>
        <v>107106673166283.69</v>
      </c>
      <c r="AJ15" s="5">
        <f>('Elec Use'!$E$19*BTU_per_GWh)*'IESS Demand'!$C169*'IESS Demand'!AI162/'IESS Demand'!$E162</f>
        <v>108502187732400.08</v>
      </c>
      <c r="AK15" s="5">
        <f>('Elec Use'!$E$19*BTU_per_GWh)*'IESS Demand'!$C169*'IESS Demand'!AJ162/'IESS Demand'!$E162</f>
        <v>109897702298516.45</v>
      </c>
      <c r="AL15" s="5">
        <f>('Elec Use'!$E$19*BTU_per_GWh)*'IESS Demand'!$C169*'IESS Demand'!AK162/'IESS Demand'!$E162</f>
        <v>111293216864632.84</v>
      </c>
      <c r="AM15" s="5">
        <f>('Elec Use'!$E$19*BTU_per_GWh)*'IESS Demand'!$C169*'IESS Demand'!AL162/'IESS Demand'!$E162</f>
        <v>112688731430749.22</v>
      </c>
      <c r="AN15" s="5">
        <f>('Elec Use'!$E$19*BTU_per_GWh)*'IESS Demand'!$C169*'IESS Demand'!AM162/'IESS Demand'!$E162</f>
        <v>114084245996865.61</v>
      </c>
      <c r="AO15" s="5">
        <f>('Elec Use'!$E$19*BTU_per_GWh)*'IESS Demand'!$C169*'IESS Demand'!AN162/'IESS Demand'!$E162</f>
        <v>115479760562981.98</v>
      </c>
      <c r="AP15" s="5">
        <f>('Elec Use'!$E$19*BTU_per_GWh)*'IESS Demand'!$C169*'IESS Demand'!AO162/'IESS Demand'!$E162</f>
        <v>116875275129098.38</v>
      </c>
      <c r="AQ15" s="5">
        <f>('Elec Use'!$E$19*BTU_per_GWh)*'IESS Demand'!$C169*'IESS Demand'!AP162/'IESS Demand'!$E162</f>
        <v>118270789695214.75</v>
      </c>
      <c r="AR15" s="5">
        <f>('Elec Use'!$E$19*BTU_per_GWh)*'IESS Demand'!$C169*'IESS Demand'!AQ162/'IESS Demand'!$E162</f>
        <v>119666304261331.16</v>
      </c>
      <c r="AS15" s="5">
        <f>('Elec Use'!$E$19*BTU_per_GWh)*'IESS Demand'!$C169*'IESS Demand'!AR162/'IESS Demand'!$E162</f>
        <v>121061818827447.55</v>
      </c>
      <c r="AT15" s="5">
        <f>('Elec Use'!$E$19*BTU_per_GWh)*'IESS Demand'!$C169*'IESS Demand'!AS162/'IESS Demand'!$E162</f>
        <v>122457333393563.95</v>
      </c>
      <c r="AU15" s="5">
        <f>('Elec Use'!$E$19*BTU_per_GWh)*'IESS Demand'!$C169*'IESS Demand'!AT162/'IESS Demand'!$E162</f>
        <v>123852847959680.34</v>
      </c>
      <c r="AV15" s="5">
        <f>('Elec Use'!$E$19*BTU_per_GWh)*'IESS Demand'!$C169*'IESS Demand'!AU162/'IESS Demand'!$E162</f>
        <v>125248362525796.73</v>
      </c>
      <c r="AW15" s="5">
        <f>('Elec Use'!$E$19*BTU_per_GWh)*'IESS Demand'!$C169*'IESS Demand'!AV162/'IESS Demand'!$E162</f>
        <v>126643877091913.14</v>
      </c>
      <c r="AX15" s="5">
        <f>('Elec Use'!$E$19*BTU_per_GWh)*'IESS Demand'!$C169*'IESS Demand'!AW162/'IESS Demand'!$E162</f>
        <v>128039391658029.53</v>
      </c>
      <c r="AY15" s="5">
        <f>('Elec Use'!$E$19*BTU_per_GWh)*'IESS Demand'!$C169*'IESS Demand'!AX162/'IESS Demand'!$E162</f>
        <v>129434906224145.92</v>
      </c>
      <c r="AZ15" s="5">
        <f>('Elec Use'!$E$19*BTU_per_GWh)*'IESS Demand'!$C169*'IESS Demand'!AY162/'IESS Demand'!$E162</f>
        <v>130830420790262.31</v>
      </c>
      <c r="BA15" s="5">
        <f>('Elec Use'!$E$19*BTU_per_GWh)*'IESS Demand'!$C169*'IESS Demand'!AZ162/'IESS Demand'!$E162</f>
        <v>132225935356378.72</v>
      </c>
      <c r="BB15" s="5">
        <f>('Elec Use'!$E$19*BTU_per_GWh)*'IESS Demand'!$C169*'IESS Demand'!BA162/'IESS Demand'!$E162</f>
        <v>133621449922495.11</v>
      </c>
      <c r="BC15" s="5">
        <f>('Elec Use'!$E$19*BTU_per_GWh)*'IESS Demand'!$C169*'IESS Demand'!BB162/'IESS Demand'!$E162</f>
        <v>135016964488611.5</v>
      </c>
      <c r="BD15" s="5">
        <f>('Elec Use'!$E$19*BTU_per_GWh)*'IESS Demand'!$C169*'IESS Demand'!BC162/'IESS Demand'!$E162</f>
        <v>136412479054727.91</v>
      </c>
      <c r="BE15" s="5">
        <f>('Elec Use'!$E$19*BTU_per_GWh)*'IESS Demand'!$C169*'IESS Demand'!BD162/'IESS Demand'!$E162</f>
        <v>137807993620844.3</v>
      </c>
    </row>
    <row r="16" spans="1:57" ht="15">
      <c r="A16" t="s">
        <v>53</v>
      </c>
      <c r="B16" t="s">
        <v>501</v>
      </c>
      <c r="C16" t="s">
        <v>435</v>
      </c>
      <c r="D16" s="66">
        <f>('Elec Use'!$E$17*BTU_per_GWh)*'IESS Demand'!$C170*'IESS Demand'!C163/'IESS Demand'!$C163</f>
        <v>29999095237580.82</v>
      </c>
      <c r="E16" s="66">
        <f>('Elec Use'!$E$18*BTU_per_GWh)*'IESS Demand'!$C170*'IESS Demand'!D163/'IESS Demand'!$D163</f>
        <v>31311607837454.938</v>
      </c>
      <c r="F16" s="5">
        <f>('Elec Use'!$E$19*BTU_per_GWh)*'IESS Demand'!$C170*'IESS Demand'!E163/'IESS Demand'!$E163</f>
        <v>32805467598075.023</v>
      </c>
      <c r="G16" s="5">
        <f>('Elec Use'!$E$19*BTU_per_GWh)*'IESS Demand'!$C170*'IESS Demand'!F163/'IESS Demand'!$E163</f>
        <v>33811060142334.773</v>
      </c>
      <c r="H16" s="72">
        <f>('Elec Use'!$E$24*BTU_per_GWh)*'IESS Demand'!$C170*'IESS Demand'!G163/'IESS Demand'!$E163</f>
        <v>30819294903308.074</v>
      </c>
      <c r="I16" s="72">
        <f>('Elec Use'!$E$24*BTU_per_GWh)*'IESS Demand'!$C170*'IESS Demand'!H163/'IESS Demand'!$E163</f>
        <v>31709433695600.477</v>
      </c>
      <c r="J16" s="72">
        <f>('Elec Use'!$E$24*BTU_per_GWh)*'IESS Demand'!$C170*'IESS Demand'!I163/'IESS Demand'!$E163</f>
        <v>32503759839557.078</v>
      </c>
      <c r="K16" s="72">
        <f>('Elec Use'!$E$24*BTU_per_GWh)*'IESS Demand'!$C170*'IESS Demand'!J163/'IESS Demand'!$E163</f>
        <v>33298085983513.672</v>
      </c>
      <c r="L16" s="72">
        <f>('Elec Use'!$E$24*BTU_per_GWh)*'IESS Demand'!$C170*'IESS Demand'!K163/'IESS Demand'!$E163</f>
        <v>34092412127470.277</v>
      </c>
      <c r="M16" s="72">
        <f>('Elec Use'!$E$24*BTU_per_GWh)*'IESS Demand'!$C170*'IESS Demand'!L163/'IESS Demand'!$E163</f>
        <v>34886738271426.879</v>
      </c>
      <c r="N16" s="72">
        <f>('Elec Use'!$E$24*BTU_per_GWh)*'IESS Demand'!$C170*'IESS Demand'!M163/'IESS Demand'!$E163</f>
        <v>35681064415383.469</v>
      </c>
      <c r="O16" s="72">
        <f>('Elec Use'!$E$24*BTU_per_GWh)*'IESS Demand'!$C170*'IESS Demand'!N163/'IESS Demand'!$E163</f>
        <v>37179202140847.852</v>
      </c>
      <c r="P16" s="72">
        <f>('Elec Use'!$E$24*BTU_per_GWh)*'IESS Demand'!$C170*'IESS Demand'!O163/'IESS Demand'!$E163</f>
        <v>38677339866312.234</v>
      </c>
      <c r="Q16" s="72">
        <f>('Elec Use'!$E$24*BTU_per_GWh)*'IESS Demand'!$C170*'IESS Demand'!P163/'IESS Demand'!$E163</f>
        <v>40175477591776.617</v>
      </c>
      <c r="R16" s="72">
        <f>('Elec Use'!$E$24*BTU_per_GWh)*'IESS Demand'!$C170*'IESS Demand'!Q163/'IESS Demand'!$E163</f>
        <v>41673615317240.992</v>
      </c>
      <c r="S16" s="72">
        <f>('Elec Use'!$E$24*BTU_per_GWh)*'IESS Demand'!$C170*'IESS Demand'!R163/'IESS Demand'!$E163</f>
        <v>43171753042705.375</v>
      </c>
      <c r="T16" s="72">
        <f>('Elec Use'!$E$24*BTU_per_GWh)*'IESS Demand'!$C170*'IESS Demand'!S163/'IESS Demand'!$E163</f>
        <v>46458065908968.219</v>
      </c>
      <c r="U16" s="72">
        <f>('Elec Use'!$E$24*BTU_per_GWh)*'IESS Demand'!$C170*'IESS Demand'!T163/'IESS Demand'!$E163</f>
        <v>49744378775231.055</v>
      </c>
      <c r="V16" s="72">
        <f>('Elec Use'!$E$24*BTU_per_GWh)*'IESS Demand'!$C170*'IESS Demand'!U163/'IESS Demand'!$E163</f>
        <v>53030691641493.898</v>
      </c>
      <c r="W16" s="72">
        <f>('Elec Use'!$E$24*BTU_per_GWh)*'IESS Demand'!$C170*'IESS Demand'!V163/'IESS Demand'!$E163</f>
        <v>56317004507756.727</v>
      </c>
      <c r="X16" s="72">
        <f>('Elec Use'!$E$24*BTU_per_GWh)*'IESS Demand'!$C170*'IESS Demand'!W163/'IESS Demand'!$E163</f>
        <v>59603317374019.57</v>
      </c>
      <c r="Y16" s="72">
        <f>('Elec Use'!$E$24*BTU_per_GWh)*'IESS Demand'!$C170*'IESS Demand'!X163/'IESS Demand'!$E163</f>
        <v>66479411227897.641</v>
      </c>
      <c r="Z16" s="72">
        <f>('Elec Use'!$E$24*BTU_per_GWh)*'IESS Demand'!$C170*'IESS Demand'!Y163/'IESS Demand'!$E163</f>
        <v>73355505081775.719</v>
      </c>
      <c r="AA16" s="72">
        <f>('Elec Use'!$E$24*BTU_per_GWh)*'IESS Demand'!$C170*'IESS Demand'!Z163/'IESS Demand'!$E163</f>
        <v>80231598935653.781</v>
      </c>
      <c r="AB16" s="72">
        <f>('Elec Use'!$E$24*BTU_per_GWh)*'IESS Demand'!$C170*'IESS Demand'!AA163/'IESS Demand'!$E163</f>
        <v>87107692789531.844</v>
      </c>
      <c r="AC16" s="72">
        <f>('Elec Use'!$E$24*BTU_per_GWh)*'IESS Demand'!$C170*'IESS Demand'!AB163/'IESS Demand'!$E163</f>
        <v>93983786643409.938</v>
      </c>
      <c r="AD16" s="72">
        <f>('Elec Use'!$E$24*BTU_per_GWh)*'IESS Demand'!$C170*'IESS Demand'!AC163/'IESS Demand'!$E163</f>
        <v>96588145517612.5</v>
      </c>
      <c r="AE16" s="72">
        <f>('Elec Use'!$E$24*BTU_per_GWh)*'IESS Demand'!$C170*'IESS Demand'!AD163/'IESS Demand'!$E163</f>
        <v>99192504391815.047</v>
      </c>
      <c r="AF16" s="72">
        <f>('Elec Use'!$E$24*BTU_per_GWh)*'IESS Demand'!$C170*'IESS Demand'!AE163/'IESS Demand'!$E163</f>
        <v>101796863266017.61</v>
      </c>
      <c r="AG16" s="72">
        <f>('Elec Use'!$E$24*BTU_per_GWh)*'IESS Demand'!$C170*'IESS Demand'!AF163/'IESS Demand'!$E163</f>
        <v>104401222140220.17</v>
      </c>
      <c r="AH16" s="72">
        <f>('Elec Use'!$E$24*BTU_per_GWh)*'IESS Demand'!$C170*'IESS Demand'!AG163/'IESS Demand'!$E163</f>
        <v>107005581014422.72</v>
      </c>
      <c r="AI16" s="72">
        <f>('Elec Use'!$E$24*BTU_per_GWh)*'IESS Demand'!$C170*'IESS Demand'!AH163/'IESS Demand'!$E163</f>
        <v>109609939888625.3</v>
      </c>
      <c r="AJ16" s="72">
        <f>('Elec Use'!$E$24*BTU_per_GWh)*'IESS Demand'!$C170*'IESS Demand'!AI163/'IESS Demand'!$E163</f>
        <v>112214298762827.84</v>
      </c>
      <c r="AK16" s="72">
        <f>('Elec Use'!$E$24*BTU_per_GWh)*'IESS Demand'!$C170*'IESS Demand'!AJ163/'IESS Demand'!$E163</f>
        <v>114818657637030.41</v>
      </c>
      <c r="AL16" s="72">
        <f>('Elec Use'!$E$24*BTU_per_GWh)*'IESS Demand'!$C170*'IESS Demand'!AK163/'IESS Demand'!$E163</f>
        <v>117423016511232.95</v>
      </c>
      <c r="AM16" s="72">
        <f>('Elec Use'!$E$24*BTU_per_GWh)*'IESS Demand'!$C170*'IESS Demand'!AL163/'IESS Demand'!$E163</f>
        <v>120027375385435.52</v>
      </c>
      <c r="AN16" s="72">
        <f>('Elec Use'!$E$24*BTU_per_GWh)*'IESS Demand'!$C170*'IESS Demand'!AM163/'IESS Demand'!$E163</f>
        <v>122631734259638.06</v>
      </c>
      <c r="AO16" s="72">
        <f>('Elec Use'!$E$24*BTU_per_GWh)*'IESS Demand'!$C170*'IESS Demand'!AN163/'IESS Demand'!$E163</f>
        <v>125236093133840.63</v>
      </c>
      <c r="AP16" s="72">
        <f>('Elec Use'!$E$24*BTU_per_GWh)*'IESS Demand'!$C170*'IESS Demand'!AO163/'IESS Demand'!$E163</f>
        <v>127840452008043.17</v>
      </c>
      <c r="AQ16" s="72">
        <f>('Elec Use'!$E$24*BTU_per_GWh)*'IESS Demand'!$C170*'IESS Demand'!AP163/'IESS Demand'!$E163</f>
        <v>130444810882245.73</v>
      </c>
      <c r="AR16" s="72">
        <f>('Elec Use'!$E$24*BTU_per_GWh)*'IESS Demand'!$C170*'IESS Demand'!AQ163/'IESS Demand'!$E163</f>
        <v>133049169756448.28</v>
      </c>
      <c r="AS16" s="72">
        <f>('Elec Use'!$E$24*BTU_per_GWh)*'IESS Demand'!$C170*'IESS Demand'!AR163/'IESS Demand'!$E163</f>
        <v>135653528630650.83</v>
      </c>
      <c r="AT16" s="72">
        <f>('Elec Use'!$E$24*BTU_per_GWh)*'IESS Demand'!$C170*'IESS Demand'!AS163/'IESS Demand'!$E163</f>
        <v>138257887504853.39</v>
      </c>
      <c r="AU16" s="72">
        <f>('Elec Use'!$E$24*BTU_per_GWh)*'IESS Demand'!$C170*'IESS Demand'!AT163/'IESS Demand'!$E163</f>
        <v>140862246379055.97</v>
      </c>
      <c r="AV16" s="72">
        <f>('Elec Use'!$E$24*BTU_per_GWh)*'IESS Demand'!$C170*'IESS Demand'!AU163/'IESS Demand'!$E163</f>
        <v>143466605253258.5</v>
      </c>
      <c r="AW16" s="72">
        <f>('Elec Use'!$E$24*BTU_per_GWh)*'IESS Demand'!$C170*'IESS Demand'!AV163/'IESS Demand'!$E163</f>
        <v>146070964127461.06</v>
      </c>
      <c r="AX16" s="72">
        <f>('Elec Use'!$E$24*BTU_per_GWh)*'IESS Demand'!$C170*'IESS Demand'!AW163/'IESS Demand'!$E163</f>
        <v>148675323001663.59</v>
      </c>
      <c r="AY16" s="72">
        <f>('Elec Use'!$E$24*BTU_per_GWh)*'IESS Demand'!$C170*'IESS Demand'!AX163/'IESS Demand'!$E163</f>
        <v>151279681875866.19</v>
      </c>
      <c r="AZ16" s="72">
        <f>('Elec Use'!$E$24*BTU_per_GWh)*'IESS Demand'!$C170*'IESS Demand'!AY163/'IESS Demand'!$E163</f>
        <v>153884040750068.72</v>
      </c>
      <c r="BA16" s="72">
        <f>('Elec Use'!$E$24*BTU_per_GWh)*'IESS Demand'!$C170*'IESS Demand'!AZ163/'IESS Demand'!$E163</f>
        <v>156488399624271.28</v>
      </c>
      <c r="BB16" s="72">
        <f>('Elec Use'!$E$24*BTU_per_GWh)*'IESS Demand'!$C170*'IESS Demand'!BA163/'IESS Demand'!$E163</f>
        <v>159092758498473.84</v>
      </c>
      <c r="BC16" s="72">
        <f>('Elec Use'!$E$24*BTU_per_GWh)*'IESS Demand'!$C170*'IESS Demand'!BB163/'IESS Demand'!$E163</f>
        <v>161697117372676.41</v>
      </c>
      <c r="BD16" s="72">
        <f>('Elec Use'!$E$24*BTU_per_GWh)*'IESS Demand'!$C170*'IESS Demand'!BC163/'IESS Demand'!$E163</f>
        <v>164301476246878.94</v>
      </c>
      <c r="BE16" s="72">
        <f>('Elec Use'!$E$24*BTU_per_GWh)*'IESS Demand'!$C170*'IESS Demand'!BD163/'IESS Demand'!$E163</f>
        <v>166905835121081.5</v>
      </c>
    </row>
    <row r="17" spans="1:57">
      <c r="A17" t="s">
        <v>437</v>
      </c>
      <c r="B17" t="s">
        <v>504</v>
      </c>
      <c r="C17" t="s">
        <v>502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>
      <c r="A18" t="s">
        <v>437</v>
      </c>
      <c r="B18" t="s">
        <v>504</v>
      </c>
      <c r="C18" t="s">
        <v>503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</row>
    <row r="19" spans="1:57">
      <c r="A19" t="s">
        <v>437</v>
      </c>
      <c r="B19" t="s">
        <v>504</v>
      </c>
      <c r="C19" t="s">
        <v>364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</row>
    <row r="20" spans="1:57">
      <c r="A20" t="s">
        <v>437</v>
      </c>
      <c r="B20" t="s">
        <v>504</v>
      </c>
      <c r="C20" t="s">
        <v>434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</row>
    <row r="21" spans="1:57">
      <c r="A21" t="s">
        <v>437</v>
      </c>
      <c r="B21" t="s">
        <v>504</v>
      </c>
      <c r="C21" t="s">
        <v>435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>
      <c r="A22" t="s">
        <v>438</v>
      </c>
      <c r="B22" t="s">
        <v>504</v>
      </c>
      <c r="C22" t="s">
        <v>502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</row>
    <row r="23" spans="1:57">
      <c r="A23" t="s">
        <v>438</v>
      </c>
      <c r="B23" t="s">
        <v>504</v>
      </c>
      <c r="C23" t="s">
        <v>503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</row>
    <row r="24" spans="1:57">
      <c r="A24" t="s">
        <v>438</v>
      </c>
      <c r="B24" t="s">
        <v>504</v>
      </c>
      <c r="C24" t="s">
        <v>364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</row>
    <row r="25" spans="1:57">
      <c r="A25" t="s">
        <v>438</v>
      </c>
      <c r="B25" t="s">
        <v>504</v>
      </c>
      <c r="C25" t="s">
        <v>434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</row>
    <row r="26" spans="1:57">
      <c r="A26" t="s">
        <v>438</v>
      </c>
      <c r="B26" t="s">
        <v>504</v>
      </c>
      <c r="C26" t="s">
        <v>435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>
      <c r="A27" t="s">
        <v>53</v>
      </c>
      <c r="B27" t="s">
        <v>504</v>
      </c>
      <c r="C27" t="s">
        <v>502</v>
      </c>
      <c r="D27">
        <f>'Summed Activity Data'!$E$40*BTU_per_PJ*'IESS Demand'!D129/'IESS Demand'!$D$129</f>
        <v>0</v>
      </c>
      <c r="E27">
        <f>'Summed Activity Data'!$E$40*BTU_per_PJ*'IESS Demand'!E129/'IESS Demand'!$D$129</f>
        <v>0</v>
      </c>
      <c r="F27">
        <f>'Summed Activity Data'!$E$40*BTU_per_PJ*'IESS Demand'!F129/'IESS Demand'!$D$129</f>
        <v>0</v>
      </c>
      <c r="G27">
        <f>'Summed Activity Data'!$E$40*BTU_per_PJ*'IESS Demand'!G129/'IESS Demand'!$D$129</f>
        <v>0</v>
      </c>
      <c r="H27">
        <f>'Summed Activity Data'!$E$40*BTU_per_PJ*'IESS Demand'!H129/'IESS Demand'!$D$129</f>
        <v>0</v>
      </c>
      <c r="I27">
        <f>'Summed Activity Data'!$E$40*BTU_per_PJ*'IESS Demand'!I129/'IESS Demand'!$D$129</f>
        <v>0</v>
      </c>
      <c r="J27">
        <f>'Summed Activity Data'!$E$40*BTU_per_PJ*'IESS Demand'!J129/'IESS Demand'!$D$129</f>
        <v>0</v>
      </c>
      <c r="K27">
        <f>'Summed Activity Data'!$E$40*BTU_per_PJ*'IESS Demand'!K129/'IESS Demand'!$D$129</f>
        <v>0</v>
      </c>
      <c r="L27">
        <f>'Summed Activity Data'!$E$40*BTU_per_PJ*'IESS Demand'!L129/'IESS Demand'!$D$129</f>
        <v>0</v>
      </c>
      <c r="M27">
        <f>'Summed Activity Data'!$E$40*BTU_per_PJ*'IESS Demand'!M129/'IESS Demand'!$D$129</f>
        <v>0</v>
      </c>
      <c r="N27">
        <f>'Summed Activity Data'!$E$40*BTU_per_PJ*'IESS Demand'!N129/'IESS Demand'!$D$129</f>
        <v>0</v>
      </c>
      <c r="O27">
        <f>'Summed Activity Data'!$E$40*BTU_per_PJ*'IESS Demand'!O129/'IESS Demand'!$D$129</f>
        <v>0</v>
      </c>
      <c r="P27">
        <f>'Summed Activity Data'!$E$40*BTU_per_PJ*'IESS Demand'!P129/'IESS Demand'!$D$129</f>
        <v>0</v>
      </c>
      <c r="Q27">
        <f>'Summed Activity Data'!$E$40*BTU_per_PJ*'IESS Demand'!Q129/'IESS Demand'!$D$129</f>
        <v>0</v>
      </c>
      <c r="R27">
        <f>'Summed Activity Data'!$E$40*BTU_per_PJ*'IESS Demand'!R129/'IESS Demand'!$D$129</f>
        <v>0</v>
      </c>
      <c r="S27">
        <f>'Summed Activity Data'!$E$40*BTU_per_PJ*'IESS Demand'!S129/'IESS Demand'!$D$129</f>
        <v>0</v>
      </c>
      <c r="T27">
        <f>'Summed Activity Data'!$E$40*BTU_per_PJ*'IESS Demand'!T129/'IESS Demand'!$D$129</f>
        <v>0</v>
      </c>
      <c r="U27">
        <f>'Summed Activity Data'!$E$40*BTU_per_PJ*'IESS Demand'!U129/'IESS Demand'!$D$129</f>
        <v>0</v>
      </c>
      <c r="V27">
        <f>'Summed Activity Data'!$E$40*BTU_per_PJ*'IESS Demand'!V129/'IESS Demand'!$D$129</f>
        <v>0</v>
      </c>
      <c r="W27">
        <f>'Summed Activity Data'!$E$40*BTU_per_PJ*'IESS Demand'!W129/'IESS Demand'!$D$129</f>
        <v>0</v>
      </c>
      <c r="X27">
        <f>'Summed Activity Data'!$E$40*BTU_per_PJ*'IESS Demand'!X129/'IESS Demand'!$D$129</f>
        <v>0</v>
      </c>
      <c r="Y27">
        <f>'Summed Activity Data'!$E$40*BTU_per_PJ*'IESS Demand'!Y129/'IESS Demand'!$D$129</f>
        <v>0</v>
      </c>
      <c r="Z27">
        <f>'Summed Activity Data'!$E$40*BTU_per_PJ*'IESS Demand'!Z129/'IESS Demand'!$D$129</f>
        <v>0</v>
      </c>
      <c r="AA27">
        <f>'Summed Activity Data'!$E$40*BTU_per_PJ*'IESS Demand'!AA129/'IESS Demand'!$D$129</f>
        <v>0</v>
      </c>
      <c r="AB27">
        <f>'Summed Activity Data'!$E$40*BTU_per_PJ*'IESS Demand'!AB129/'IESS Demand'!$D$129</f>
        <v>0</v>
      </c>
      <c r="AC27">
        <f>'Summed Activity Data'!$E$40*BTU_per_PJ*'IESS Demand'!AC129/'IESS Demand'!$D$129</f>
        <v>0</v>
      </c>
      <c r="AD27">
        <f>'Summed Activity Data'!$E$40*BTU_per_PJ*'IESS Demand'!AD129/'IESS Demand'!$D$129</f>
        <v>0</v>
      </c>
      <c r="AE27">
        <f>'Summed Activity Data'!$E$40*BTU_per_PJ*'IESS Demand'!AE129/'IESS Demand'!$D$129</f>
        <v>0</v>
      </c>
      <c r="AF27">
        <f>'Summed Activity Data'!$E$40*BTU_per_PJ*'IESS Demand'!AF129/'IESS Demand'!$D$129</f>
        <v>0</v>
      </c>
      <c r="AG27">
        <f>'Summed Activity Data'!$E$40*BTU_per_PJ*'IESS Demand'!AG129/'IESS Demand'!$D$129</f>
        <v>0</v>
      </c>
      <c r="AH27">
        <f>'Summed Activity Data'!$E$40*BTU_per_PJ*'IESS Demand'!AH129/'IESS Demand'!$D$129</f>
        <v>0</v>
      </c>
      <c r="AI27">
        <f>'Summed Activity Data'!$E$40*BTU_per_PJ*'IESS Demand'!AI129/'IESS Demand'!$D$129</f>
        <v>0</v>
      </c>
      <c r="AJ27">
        <f>'Summed Activity Data'!$E$40*BTU_per_PJ*'IESS Demand'!AJ129/'IESS Demand'!$D$129</f>
        <v>0</v>
      </c>
      <c r="AK27">
        <f>'Summed Activity Data'!$E$40*BTU_per_PJ*'IESS Demand'!AK129/'IESS Demand'!$D$129</f>
        <v>0</v>
      </c>
      <c r="AL27">
        <f>'Summed Activity Data'!$E$40*BTU_per_PJ*'IESS Demand'!AL129/'IESS Demand'!$D$129</f>
        <v>0</v>
      </c>
      <c r="AM27">
        <f>'Summed Activity Data'!$E$40*BTU_per_PJ*'IESS Demand'!AM129/'IESS Demand'!$D$129</f>
        <v>0</v>
      </c>
      <c r="AN27">
        <f>'Summed Activity Data'!$E$40*BTU_per_PJ*'IESS Demand'!AN129/'IESS Demand'!$D$129</f>
        <v>0</v>
      </c>
      <c r="AO27">
        <f>'Summed Activity Data'!$E$40*BTU_per_PJ*'IESS Demand'!AO129/'IESS Demand'!$D$129</f>
        <v>0</v>
      </c>
      <c r="AP27">
        <f>'Summed Activity Data'!$E$40*BTU_per_PJ*'IESS Demand'!AP129/'IESS Demand'!$D$129</f>
        <v>0</v>
      </c>
      <c r="AQ27">
        <f>'Summed Activity Data'!$E$40*BTU_per_PJ*'IESS Demand'!AQ129/'IESS Demand'!$D$129</f>
        <v>0</v>
      </c>
      <c r="AR27">
        <f>'Summed Activity Data'!$E$40*BTU_per_PJ*'IESS Demand'!AR129/'IESS Demand'!$D$129</f>
        <v>0</v>
      </c>
      <c r="AS27">
        <f>'Summed Activity Data'!$E$40*BTU_per_PJ*'IESS Demand'!AS129/'IESS Demand'!$D$129</f>
        <v>0</v>
      </c>
      <c r="AT27">
        <f>'Summed Activity Data'!$E$40*BTU_per_PJ*'IESS Demand'!AT129/'IESS Demand'!$D$129</f>
        <v>0</v>
      </c>
      <c r="AU27">
        <f>'Summed Activity Data'!$E$40*BTU_per_PJ*'IESS Demand'!AU129/'IESS Demand'!$D$129</f>
        <v>0</v>
      </c>
      <c r="AV27">
        <f>'Summed Activity Data'!$E$40*BTU_per_PJ*'IESS Demand'!AV129/'IESS Demand'!$D$129</f>
        <v>0</v>
      </c>
      <c r="AW27">
        <f>'Summed Activity Data'!$E$40*BTU_per_PJ*'IESS Demand'!AW129/'IESS Demand'!$D$129</f>
        <v>0</v>
      </c>
      <c r="AX27">
        <f>'Summed Activity Data'!$E$40*BTU_per_PJ*'IESS Demand'!AX129/'IESS Demand'!$D$129</f>
        <v>0</v>
      </c>
      <c r="AY27">
        <f>'Summed Activity Data'!$E$40*BTU_per_PJ*'IESS Demand'!AY129/'IESS Demand'!$D$129</f>
        <v>0</v>
      </c>
      <c r="AZ27">
        <f>'Summed Activity Data'!$E$40*BTU_per_PJ*'IESS Demand'!AZ129/'IESS Demand'!$D$129</f>
        <v>0</v>
      </c>
      <c r="BA27">
        <f>'Summed Activity Data'!$E$40*BTU_per_PJ*'IESS Demand'!BA129/'IESS Demand'!$D$129</f>
        <v>0</v>
      </c>
      <c r="BB27">
        <f>'Summed Activity Data'!$E$40*BTU_per_PJ*'IESS Demand'!BB129/'IESS Demand'!$D$129</f>
        <v>0</v>
      </c>
      <c r="BC27">
        <f>'Summed Activity Data'!$E$40*BTU_per_PJ*'IESS Demand'!BC129/'IESS Demand'!$D$129</f>
        <v>0</v>
      </c>
      <c r="BD27">
        <f>'Summed Activity Data'!$E$40*BTU_per_PJ*'IESS Demand'!BD129/'IESS Demand'!$D$129</f>
        <v>0</v>
      </c>
      <c r="BE27">
        <f>'Summed Activity Data'!$E$40*BTU_per_PJ*'IESS Demand'!BE129/'IESS Demand'!$D$129</f>
        <v>0</v>
      </c>
    </row>
    <row r="28" spans="1:57">
      <c r="A28" t="s">
        <v>53</v>
      </c>
      <c r="B28" t="s">
        <v>504</v>
      </c>
      <c r="C28" t="s">
        <v>503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>
      <c r="A29" t="s">
        <v>53</v>
      </c>
      <c r="B29" t="s">
        <v>504</v>
      </c>
      <c r="C29" t="s">
        <v>364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>
      <c r="A30" t="s">
        <v>53</v>
      </c>
      <c r="B30" t="s">
        <v>504</v>
      </c>
      <c r="C30" t="s">
        <v>434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>
      <c r="A31" t="s">
        <v>53</v>
      </c>
      <c r="B31" t="s">
        <v>504</v>
      </c>
      <c r="C31" t="s">
        <v>435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>
      <c r="A32" t="s">
        <v>437</v>
      </c>
      <c r="B32" t="s">
        <v>505</v>
      </c>
      <c r="C32" t="s">
        <v>502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>
      <c r="A33" t="s">
        <v>437</v>
      </c>
      <c r="B33" t="s">
        <v>505</v>
      </c>
      <c r="C33" t="s">
        <v>503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>
      <c r="A34" t="s">
        <v>437</v>
      </c>
      <c r="B34" t="s">
        <v>505</v>
      </c>
      <c r="C34" t="s">
        <v>364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>
      <c r="A35" t="s">
        <v>437</v>
      </c>
      <c r="B35" t="s">
        <v>505</v>
      </c>
      <c r="C35" t="s">
        <v>434</v>
      </c>
      <c r="D35">
        <f>BTU_per_GWh*1000*'IESS Demand'!D124</f>
        <v>79673863962399.016</v>
      </c>
      <c r="E35">
        <f>BTU_per_GWh*1000*'IESS Demand'!E124</f>
        <v>88372453808874.031</v>
      </c>
      <c r="F35">
        <f>BTU_per_GWh*1000*'IESS Demand'!F124</f>
        <v>97071043655349.047</v>
      </c>
      <c r="G35">
        <f>BTU_per_GWh*1000*'IESS Demand'!G124</f>
        <v>105769633501824.05</v>
      </c>
      <c r="H35">
        <f>BTU_per_GWh*1000*'IESS Demand'!H124</f>
        <v>114468223348299.06</v>
      </c>
      <c r="I35">
        <f>BTU_per_GWh*1000*'IESS Demand'!I124</f>
        <v>123166813194774.11</v>
      </c>
      <c r="J35">
        <f>BTU_per_GWh*1000*'IESS Demand'!J124</f>
        <v>135570676664859.38</v>
      </c>
      <c r="K35">
        <f>BTU_per_GWh*1000*'IESS Demand'!K124</f>
        <v>147974540134944.66</v>
      </c>
      <c r="L35">
        <f>BTU_per_GWh*1000*'IESS Demand'!L124</f>
        <v>160378403605029.91</v>
      </c>
      <c r="M35">
        <f>BTU_per_GWh*1000*'IESS Demand'!M124</f>
        <v>172782267075115.19</v>
      </c>
      <c r="N35">
        <f>BTU_per_GWh*1000*'IESS Demand'!N124</f>
        <v>185186130545200.5</v>
      </c>
      <c r="O35">
        <f>BTU_per_GWh*1000*'IESS Demand'!O124</f>
        <v>195070688038174.94</v>
      </c>
      <c r="P35">
        <f>BTU_per_GWh*1000*'IESS Demand'!P124</f>
        <v>204955245531149.38</v>
      </c>
      <c r="Q35">
        <f>BTU_per_GWh*1000*'IESS Demand'!Q124</f>
        <v>214839803024123.81</v>
      </c>
      <c r="R35">
        <f>BTU_per_GWh*1000*'IESS Demand'!R124</f>
        <v>224724360517098.25</v>
      </c>
      <c r="S35">
        <f>BTU_per_GWh*1000*'IESS Demand'!S124</f>
        <v>234608918010072.66</v>
      </c>
      <c r="T35">
        <f>BTU_per_GWh*1000*'IESS Demand'!T124</f>
        <v>244084670714488.97</v>
      </c>
      <c r="U35">
        <f>BTU_per_GWh*1000*'IESS Demand'!U124</f>
        <v>253560423418905.31</v>
      </c>
      <c r="V35">
        <f>BTU_per_GWh*1000*'IESS Demand'!V124</f>
        <v>263036176123321.66</v>
      </c>
      <c r="W35">
        <f>BTU_per_GWh*1000*'IESS Demand'!W124</f>
        <v>272511928827737.97</v>
      </c>
      <c r="X35">
        <f>BTU_per_GWh*1000*'IESS Demand'!X124</f>
        <v>281987681532154.38</v>
      </c>
      <c r="Y35">
        <f>BTU_per_GWh*1000*'IESS Demand'!Y124</f>
        <v>293394214715083.44</v>
      </c>
      <c r="Z35">
        <f>BTU_per_GWh*1000*'IESS Demand'!Z124</f>
        <v>304800747898012.56</v>
      </c>
      <c r="AA35">
        <f>BTU_per_GWh*1000*'IESS Demand'!AA124</f>
        <v>316207281080941.69</v>
      </c>
      <c r="AB35">
        <f>BTU_per_GWh*1000*'IESS Demand'!AB124</f>
        <v>327613814263870.81</v>
      </c>
      <c r="AC35">
        <f>BTU_per_GWh*1000*'IESS Demand'!AC124</f>
        <v>339020347446799.88</v>
      </c>
      <c r="AD35">
        <f>BTU_per_GWh*1000*'IESS Demand'!AD124</f>
        <v>345216025819445.5</v>
      </c>
      <c r="AE35">
        <f>BTU_per_GWh*1000*'IESS Demand'!AE124</f>
        <v>351411704192091.13</v>
      </c>
      <c r="AF35">
        <f>BTU_per_GWh*1000*'IESS Demand'!AF124</f>
        <v>357607382564736.75</v>
      </c>
      <c r="AG35">
        <f>BTU_per_GWh*1000*'IESS Demand'!AG124</f>
        <v>363803060937382.38</v>
      </c>
      <c r="AH35">
        <f>BTU_per_GWh*1000*'IESS Demand'!AH124</f>
        <v>369998739310028</v>
      </c>
      <c r="AI35">
        <f>BTU_per_GWh*1000*'IESS Demand'!AI124</f>
        <v>376194417682673.63</v>
      </c>
      <c r="AJ35">
        <f>BTU_per_GWh*1000*'IESS Demand'!AJ124</f>
        <v>382390096055319.25</v>
      </c>
      <c r="AK35">
        <f>BTU_per_GWh*1000*'IESS Demand'!AK124</f>
        <v>388585774427964.88</v>
      </c>
      <c r="AL35">
        <f>BTU_per_GWh*1000*'IESS Demand'!AL124</f>
        <v>394781452800610.56</v>
      </c>
      <c r="AM35">
        <f>BTU_per_GWh*1000*'IESS Demand'!AM124</f>
        <v>400977131173256.19</v>
      </c>
      <c r="AN35">
        <f>BTU_per_GWh*1000*'IESS Demand'!AN124</f>
        <v>407172809545901.81</v>
      </c>
      <c r="AO35">
        <f>BTU_per_GWh*1000*'IESS Demand'!AO124</f>
        <v>413368487918547.44</v>
      </c>
      <c r="AP35">
        <f>BTU_per_GWh*1000*'IESS Demand'!AP124</f>
        <v>419564166291193.06</v>
      </c>
      <c r="AQ35">
        <f>BTU_per_GWh*1000*'IESS Demand'!AQ124</f>
        <v>425759844663838.69</v>
      </c>
      <c r="AR35">
        <f>BTU_per_GWh*1000*'IESS Demand'!AR124</f>
        <v>431955523036484.31</v>
      </c>
      <c r="AS35">
        <f>BTU_per_GWh*1000*'IESS Demand'!AS124</f>
        <v>438151201409129.94</v>
      </c>
      <c r="AT35">
        <f>BTU_per_GWh*1000*'IESS Demand'!AT124</f>
        <v>444346879781775.56</v>
      </c>
      <c r="AU35">
        <f>BTU_per_GWh*1000*'IESS Demand'!AU124</f>
        <v>450542558154421.19</v>
      </c>
      <c r="AV35">
        <f>BTU_per_GWh*1000*'IESS Demand'!AV124</f>
        <v>456738236527066.81</v>
      </c>
      <c r="AW35">
        <f>BTU_per_GWh*1000*'IESS Demand'!AW124</f>
        <v>462933914899712.44</v>
      </c>
      <c r="AX35">
        <f>BTU_per_GWh*1000*'IESS Demand'!AX124</f>
        <v>469129593272358.06</v>
      </c>
      <c r="AY35">
        <f>BTU_per_GWh*1000*'IESS Demand'!AY124</f>
        <v>475325271645003.69</v>
      </c>
      <c r="AZ35">
        <f>BTU_per_GWh*1000*'IESS Demand'!AZ124</f>
        <v>481520950017649.31</v>
      </c>
      <c r="BA35">
        <f>BTU_per_GWh*1000*'IESS Demand'!BA124</f>
        <v>487716628390294.94</v>
      </c>
      <c r="BB35">
        <f>BTU_per_GWh*1000*'IESS Demand'!BB124</f>
        <v>493912306762940.56</v>
      </c>
      <c r="BC35">
        <f>BTU_per_GWh*1000*'IESS Demand'!BC124</f>
        <v>500107985135586.25</v>
      </c>
      <c r="BD35">
        <f>BTU_per_GWh*1000*'IESS Demand'!BD124</f>
        <v>506303663508231.88</v>
      </c>
      <c r="BE35">
        <f>BTU_per_GWh*1000*'IESS Demand'!BE124</f>
        <v>512499341880877.5</v>
      </c>
    </row>
    <row r="36" spans="1:57">
      <c r="A36" t="s">
        <v>437</v>
      </c>
      <c r="B36" t="s">
        <v>505</v>
      </c>
      <c r="C36" t="s">
        <v>435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>
      <c r="A37" t="s">
        <v>438</v>
      </c>
      <c r="B37" t="s">
        <v>505</v>
      </c>
      <c r="C37" t="s">
        <v>502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>
      <c r="A38" t="s">
        <v>438</v>
      </c>
      <c r="B38" t="s">
        <v>505</v>
      </c>
      <c r="C38" t="s">
        <v>503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>
      <c r="A39" t="s">
        <v>438</v>
      </c>
      <c r="B39" t="s">
        <v>505</v>
      </c>
      <c r="C39" t="s">
        <v>364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>
      <c r="A40" t="s">
        <v>438</v>
      </c>
      <c r="B40" t="s">
        <v>505</v>
      </c>
      <c r="C40" t="s">
        <v>434</v>
      </c>
      <c r="D40">
        <f>BTU_per_GWh*1000*'IESS Demand'!D127</f>
        <v>46895472135929.648</v>
      </c>
      <c r="E40">
        <f>BTU_per_GWh*1000*'IESS Demand'!E127</f>
        <v>50887636298329.523</v>
      </c>
      <c r="F40">
        <f>BTU_per_GWh*1000*'IESS Demand'!F127</f>
        <v>54879800460729.391</v>
      </c>
      <c r="G40">
        <f>BTU_per_GWh*1000*'IESS Demand'!G127</f>
        <v>58871964623129.266</v>
      </c>
      <c r="H40">
        <f>BTU_per_GWh*1000*'IESS Demand'!H127</f>
        <v>62864128785529.133</v>
      </c>
      <c r="I40">
        <f>BTU_per_GWh*1000*'IESS Demand'!I127</f>
        <v>66856292947929</v>
      </c>
      <c r="J40">
        <f>BTU_per_GWh*1000*'IESS Demand'!J127</f>
        <v>70137109795809.258</v>
      </c>
      <c r="K40">
        <f>BTU_per_GWh*1000*'IESS Demand'!K127</f>
        <v>73417926643689.516</v>
      </c>
      <c r="L40">
        <f>BTU_per_GWh*1000*'IESS Demand'!L127</f>
        <v>76698743491569.766</v>
      </c>
      <c r="M40">
        <f>BTU_per_GWh*1000*'IESS Demand'!M127</f>
        <v>79979560339450.016</v>
      </c>
      <c r="N40">
        <f>BTU_per_GWh*1000*'IESS Demand'!N127</f>
        <v>83260377187330.281</v>
      </c>
      <c r="O40">
        <f>BTU_per_GWh*1000*'IESS Demand'!O127</f>
        <v>88330782109824.734</v>
      </c>
      <c r="P40">
        <f>BTU_per_GWh*1000*'IESS Demand'!P127</f>
        <v>93401187032319.203</v>
      </c>
      <c r="Q40">
        <f>BTU_per_GWh*1000*'IESS Demand'!Q127</f>
        <v>98471591954813.656</v>
      </c>
      <c r="R40">
        <f>BTU_per_GWh*1000*'IESS Demand'!R127</f>
        <v>103541996877308.11</v>
      </c>
      <c r="S40">
        <f>BTU_per_GWh*1000*'IESS Demand'!S127</f>
        <v>108612401799802.58</v>
      </c>
      <c r="T40">
        <f>BTU_per_GWh*1000*'IESS Demand'!T127</f>
        <v>114718016771390.19</v>
      </c>
      <c r="U40">
        <f>BTU_per_GWh*1000*'IESS Demand'!U127</f>
        <v>120823631742977.78</v>
      </c>
      <c r="V40">
        <f>BTU_per_GWh*1000*'IESS Demand'!V127</f>
        <v>126929246714565.38</v>
      </c>
      <c r="W40">
        <f>BTU_per_GWh*1000*'IESS Demand'!W127</f>
        <v>133034861686152.98</v>
      </c>
      <c r="X40">
        <f>BTU_per_GWh*1000*'IESS Demand'!X127</f>
        <v>139140476657740.63</v>
      </c>
      <c r="Y40">
        <f>BTU_per_GWh*1000*'IESS Demand'!Y127</f>
        <v>143500664388807.59</v>
      </c>
      <c r="Z40">
        <f>BTU_per_GWh*1000*'IESS Demand'!Z127</f>
        <v>147860852119874.56</v>
      </c>
      <c r="AA40">
        <f>BTU_per_GWh*1000*'IESS Demand'!AA127</f>
        <v>152221039850941.53</v>
      </c>
      <c r="AB40">
        <f>BTU_per_GWh*1000*'IESS Demand'!AB127</f>
        <v>156581227582008.5</v>
      </c>
      <c r="AC40">
        <f>BTU_per_GWh*1000*'IESS Demand'!AC127</f>
        <v>160941415313075.5</v>
      </c>
      <c r="AD40">
        <f>BTU_per_GWh*1000*'IESS Demand'!AD127</f>
        <v>164925788266515.75</v>
      </c>
      <c r="AE40">
        <f>BTU_per_GWh*1000*'IESS Demand'!AE127</f>
        <v>168910161219956.03</v>
      </c>
      <c r="AF40">
        <f>BTU_per_GWh*1000*'IESS Demand'!AF127</f>
        <v>172894534173396.31</v>
      </c>
      <c r="AG40">
        <f>BTU_per_GWh*1000*'IESS Demand'!AG127</f>
        <v>176878907126836.56</v>
      </c>
      <c r="AH40">
        <f>BTU_per_GWh*1000*'IESS Demand'!AH127</f>
        <v>180863280080276.88</v>
      </c>
      <c r="AI40">
        <f>BTU_per_GWh*1000*'IESS Demand'!AI127</f>
        <v>184847653033717.13</v>
      </c>
      <c r="AJ40">
        <f>BTU_per_GWh*1000*'IESS Demand'!AJ127</f>
        <v>188832025987157.41</v>
      </c>
      <c r="AK40">
        <f>BTU_per_GWh*1000*'IESS Demand'!AK127</f>
        <v>192816398940597.69</v>
      </c>
      <c r="AL40">
        <f>BTU_per_GWh*1000*'IESS Demand'!AL127</f>
        <v>196800771894037.94</v>
      </c>
      <c r="AM40">
        <f>BTU_per_GWh*1000*'IESS Demand'!AM127</f>
        <v>200785144847478.22</v>
      </c>
      <c r="AN40">
        <f>BTU_per_GWh*1000*'IESS Demand'!AN127</f>
        <v>204769517800918.47</v>
      </c>
      <c r="AO40">
        <f>BTU_per_GWh*1000*'IESS Demand'!AO127</f>
        <v>208753890754358.75</v>
      </c>
      <c r="AP40">
        <f>BTU_per_GWh*1000*'IESS Demand'!AP127</f>
        <v>212738263707799.03</v>
      </c>
      <c r="AQ40">
        <f>BTU_per_GWh*1000*'IESS Demand'!AQ127</f>
        <v>216722636661239.28</v>
      </c>
      <c r="AR40">
        <f>BTU_per_GWh*1000*'IESS Demand'!AR127</f>
        <v>220707009614679.56</v>
      </c>
      <c r="AS40">
        <f>BTU_per_GWh*1000*'IESS Demand'!AS127</f>
        <v>224691382568119.84</v>
      </c>
      <c r="AT40">
        <f>BTU_per_GWh*1000*'IESS Demand'!AT127</f>
        <v>228675755521560.16</v>
      </c>
      <c r="AU40">
        <f>BTU_per_GWh*1000*'IESS Demand'!AU127</f>
        <v>232660128475000.44</v>
      </c>
      <c r="AV40">
        <f>BTU_per_GWh*1000*'IESS Demand'!AV127</f>
        <v>236644501428440.75</v>
      </c>
      <c r="AW40">
        <f>BTU_per_GWh*1000*'IESS Demand'!AW127</f>
        <v>240628874381881.03</v>
      </c>
      <c r="AX40">
        <f>BTU_per_GWh*1000*'IESS Demand'!AX127</f>
        <v>244613247335321.31</v>
      </c>
      <c r="AY40">
        <f>BTU_per_GWh*1000*'IESS Demand'!AY127</f>
        <v>248597620288761.63</v>
      </c>
      <c r="AZ40">
        <f>BTU_per_GWh*1000*'IESS Demand'!AZ127</f>
        <v>252581993242201.91</v>
      </c>
      <c r="BA40">
        <f>BTU_per_GWh*1000*'IESS Demand'!BA127</f>
        <v>256566366195642.22</v>
      </c>
      <c r="BB40">
        <f>BTU_per_GWh*1000*'IESS Demand'!BB127</f>
        <v>260550739149082.5</v>
      </c>
      <c r="BC40">
        <f>BTU_per_GWh*1000*'IESS Demand'!BC127</f>
        <v>264535112102522.78</v>
      </c>
      <c r="BD40">
        <f>BTU_per_GWh*1000*'IESS Demand'!BD127</f>
        <v>268519485055963.09</v>
      </c>
      <c r="BE40">
        <f>BTU_per_GWh*1000*'IESS Demand'!BE127</f>
        <v>272503858009403.38</v>
      </c>
    </row>
    <row r="41" spans="1:57">
      <c r="A41" t="s">
        <v>438</v>
      </c>
      <c r="B41" t="s">
        <v>505</v>
      </c>
      <c r="C41" t="s">
        <v>435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>
      <c r="A42" t="s">
        <v>53</v>
      </c>
      <c r="B42" t="s">
        <v>505</v>
      </c>
      <c r="C42" t="s">
        <v>502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>
      <c r="A43" t="s">
        <v>53</v>
      </c>
      <c r="B43" t="s">
        <v>505</v>
      </c>
      <c r="C43" t="s">
        <v>503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>
      <c r="A44" t="s">
        <v>53</v>
      </c>
      <c r="B44" t="s">
        <v>505</v>
      </c>
      <c r="C44" t="s">
        <v>364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>
      <c r="A45" t="s">
        <v>53</v>
      </c>
      <c r="B45" t="s">
        <v>505</v>
      </c>
      <c r="C45" t="s">
        <v>434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>
      <c r="A46" t="s">
        <v>53</v>
      </c>
      <c r="B46" t="s">
        <v>505</v>
      </c>
      <c r="C46" t="s">
        <v>435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>
      <c r="A47" t="s">
        <v>437</v>
      </c>
      <c r="B47" t="s">
        <v>506</v>
      </c>
      <c r="C47" t="s">
        <v>502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>
      <c r="A48" t="s">
        <v>437</v>
      </c>
      <c r="B48" t="s">
        <v>506</v>
      </c>
      <c r="C48" t="s">
        <v>503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>
      <c r="A49" t="s">
        <v>437</v>
      </c>
      <c r="B49" t="s">
        <v>506</v>
      </c>
      <c r="C49" t="s">
        <v>364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>
      <c r="A50" t="s">
        <v>437</v>
      </c>
      <c r="B50" t="s">
        <v>506</v>
      </c>
      <c r="C50" t="s">
        <v>434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>
      <c r="A51" t="s">
        <v>437</v>
      </c>
      <c r="B51" t="s">
        <v>506</v>
      </c>
      <c r="C51" t="s">
        <v>435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>
      <c r="A52" t="s">
        <v>438</v>
      </c>
      <c r="B52" t="s">
        <v>506</v>
      </c>
      <c r="C52" t="s">
        <v>502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>
      <c r="A53" t="s">
        <v>438</v>
      </c>
      <c r="B53" t="s">
        <v>506</v>
      </c>
      <c r="C53" t="s">
        <v>503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>
      <c r="A54" t="s">
        <v>438</v>
      </c>
      <c r="B54" t="s">
        <v>506</v>
      </c>
      <c r="C54" t="s">
        <v>364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>
      <c r="A55" t="s">
        <v>438</v>
      </c>
      <c r="B55" t="s">
        <v>506</v>
      </c>
      <c r="C55" t="s">
        <v>434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>
      <c r="A56" t="s">
        <v>438</v>
      </c>
      <c r="B56" t="s">
        <v>506</v>
      </c>
      <c r="C56" t="s">
        <v>435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>
      <c r="A57" t="s">
        <v>53</v>
      </c>
      <c r="B57" t="s">
        <v>506</v>
      </c>
      <c r="C57" t="s">
        <v>502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>
      <c r="A58" t="s">
        <v>53</v>
      </c>
      <c r="B58" t="s">
        <v>506</v>
      </c>
      <c r="C58" t="s">
        <v>503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>
      <c r="A59" t="s">
        <v>53</v>
      </c>
      <c r="B59" t="s">
        <v>506</v>
      </c>
      <c r="C59" t="s">
        <v>364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>
      <c r="A60" t="s">
        <v>53</v>
      </c>
      <c r="B60" t="s">
        <v>506</v>
      </c>
      <c r="C60" t="s">
        <v>434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>
      <c r="A61" t="s">
        <v>53</v>
      </c>
      <c r="B61" t="s">
        <v>506</v>
      </c>
      <c r="C61" t="s">
        <v>435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>
      <c r="A62" t="s">
        <v>437</v>
      </c>
      <c r="B62" t="s">
        <v>507</v>
      </c>
      <c r="C62" t="s">
        <v>502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>
      <c r="A63" t="s">
        <v>437</v>
      </c>
      <c r="B63" t="s">
        <v>507</v>
      </c>
      <c r="C63" t="s">
        <v>503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>
      <c r="A64" t="s">
        <v>437</v>
      </c>
      <c r="B64" t="s">
        <v>507</v>
      </c>
      <c r="C64" t="s">
        <v>364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</row>
    <row r="65" spans="1:57">
      <c r="A65" t="s">
        <v>437</v>
      </c>
      <c r="B65" t="s">
        <v>507</v>
      </c>
      <c r="C65" t="s">
        <v>434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</row>
    <row r="66" spans="1:57">
      <c r="A66" t="s">
        <v>437</v>
      </c>
      <c r="B66" t="s">
        <v>507</v>
      </c>
      <c r="C66" t="s">
        <v>435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</row>
    <row r="67" spans="1:57">
      <c r="A67" t="s">
        <v>438</v>
      </c>
      <c r="B67" t="s">
        <v>507</v>
      </c>
      <c r="C67" t="s">
        <v>502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</row>
    <row r="68" spans="1:57">
      <c r="A68" t="s">
        <v>438</v>
      </c>
      <c r="B68" t="s">
        <v>507</v>
      </c>
      <c r="C68" t="s">
        <v>503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>
      <c r="A69" t="s">
        <v>438</v>
      </c>
      <c r="B69" t="s">
        <v>507</v>
      </c>
      <c r="C69" t="s">
        <v>364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ht="15">
      <c r="A70" t="s">
        <v>438</v>
      </c>
      <c r="B70" t="s">
        <v>507</v>
      </c>
      <c r="C70" t="s">
        <v>434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ht="15">
      <c r="A71" t="s">
        <v>438</v>
      </c>
      <c r="B71" t="s">
        <v>507</v>
      </c>
      <c r="C71" t="s">
        <v>435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ht="15">
      <c r="A72" t="s">
        <v>53</v>
      </c>
      <c r="B72" t="s">
        <v>507</v>
      </c>
      <c r="C72" t="s">
        <v>502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>
      <c r="A73" t="s">
        <v>53</v>
      </c>
      <c r="B73" t="s">
        <v>507</v>
      </c>
      <c r="C73" t="s">
        <v>503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>
      <c r="A74" t="s">
        <v>53</v>
      </c>
      <c r="B74" t="s">
        <v>507</v>
      </c>
      <c r="C74" t="s">
        <v>364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>
      <c r="A75" t="s">
        <v>53</v>
      </c>
      <c r="B75" t="s">
        <v>507</v>
      </c>
      <c r="C75" t="s">
        <v>434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>
      <c r="A76" t="s">
        <v>53</v>
      </c>
      <c r="B76" t="s">
        <v>507</v>
      </c>
      <c r="C76" t="s">
        <v>435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>
      <c r="A77" t="s">
        <v>437</v>
      </c>
      <c r="B77" t="s">
        <v>508</v>
      </c>
      <c r="C77" t="s">
        <v>502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>
      <c r="A78" t="s">
        <v>437</v>
      </c>
      <c r="B78" t="s">
        <v>508</v>
      </c>
      <c r="C78" t="s">
        <v>503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>
      <c r="A79" t="s">
        <v>437</v>
      </c>
      <c r="B79" t="s">
        <v>508</v>
      </c>
      <c r="C79" t="s">
        <v>364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>
      <c r="A80" t="s">
        <v>437</v>
      </c>
      <c r="B80" t="s">
        <v>508</v>
      </c>
      <c r="C80" t="s">
        <v>434</v>
      </c>
      <c r="D80">
        <f>MAX((-'IESS Demand'!$G$98*BTU_per_GWh*1000+'Summed Activity Data'!$B$40*BTU_per_PJ*('IESS Demand'!$G$98/SUM('IESS Demand'!$G$98,'IESS Demand'!$G$88)))*'IESS Demand'!D123/'IESS Demand'!$D$123,0)</f>
        <v>445691698173606.5</v>
      </c>
      <c r="E80">
        <f>MAX((-'IESS Demand'!$G$98*BTU_per_GWh*1000+'Summed Activity Data'!$B$40*BTU_per_PJ*('IESS Demand'!$G$98/SUM('IESS Demand'!$G$98,'IESS Demand'!$G$88)))*'IESS Demand'!E123/'IESS Demand'!$D$123,0)</f>
        <v>413855749557588.69</v>
      </c>
      <c r="F80">
        <f>MAX((-'IESS Demand'!$G$98*BTU_per_GWh*1000+'Summed Activity Data'!$B$40*BTU_per_PJ*('IESS Demand'!$G$98/SUM('IESS Demand'!$G$98,'IESS Demand'!$G$88)))*'IESS Demand'!F123/'IESS Demand'!$D$123,0)</f>
        <v>382019800941570.88</v>
      </c>
      <c r="G80">
        <f>MAX((-'IESS Demand'!$G$98*BTU_per_GWh*1000+'Summed Activity Data'!$B$40*BTU_per_PJ*('IESS Demand'!$G$98/SUM('IESS Demand'!$G$98,'IESS Demand'!$G$88)))*'IESS Demand'!G123/'IESS Demand'!$D$123,0)</f>
        <v>350183852325553.06</v>
      </c>
      <c r="H80">
        <f>MAX((-'IESS Demand'!$G$98*BTU_per_GWh*1000+'Summed Activity Data'!$B$40*BTU_per_PJ*('IESS Demand'!$G$98/SUM('IESS Demand'!$G$98,'IESS Demand'!$G$88)))*'IESS Demand'!H123/'IESS Demand'!$D$123,0)</f>
        <v>318347903709535.25</v>
      </c>
      <c r="I80">
        <f>MAX((-'IESS Demand'!$G$98*BTU_per_GWh*1000+'Summed Activity Data'!$B$40*BTU_per_PJ*('IESS Demand'!$G$98/SUM('IESS Demand'!$G$98,'IESS Demand'!$G$88)))*'IESS Demand'!I123/'IESS Demand'!$D$123,0)</f>
        <v>286511955093517.5</v>
      </c>
      <c r="J80">
        <f>MAX((-'IESS Demand'!$G$98*BTU_per_GWh*1000+'Summed Activity Data'!$B$40*BTU_per_PJ*('IESS Demand'!$G$98/SUM('IESS Demand'!$G$98,'IESS Demand'!$G$88)))*'IESS Demand'!J123/'IESS Demand'!$D$123,0)</f>
        <v>251901707592573.66</v>
      </c>
      <c r="K80">
        <f>MAX((-'IESS Demand'!$G$98*BTU_per_GWh*1000+'Summed Activity Data'!$B$40*BTU_per_PJ*('IESS Demand'!$G$98/SUM('IESS Demand'!$G$98,'IESS Demand'!$G$88)))*'IESS Demand'!K123/'IESS Demand'!$D$123,0)</f>
        <v>217291460091629.75</v>
      </c>
      <c r="L80">
        <f>MAX((-'IESS Demand'!$G$98*BTU_per_GWh*1000+'Summed Activity Data'!$B$40*BTU_per_PJ*('IESS Demand'!$G$98/SUM('IESS Demand'!$G$98,'IESS Demand'!$G$88)))*'IESS Demand'!L123/'IESS Demand'!$D$123,0)</f>
        <v>182681212590685.88</v>
      </c>
      <c r="M80">
        <f>MAX((-'IESS Demand'!$G$98*BTU_per_GWh*1000+'Summed Activity Data'!$B$40*BTU_per_PJ*('IESS Demand'!$G$98/SUM('IESS Demand'!$G$98,'IESS Demand'!$G$88)))*'IESS Demand'!M123/'IESS Demand'!$D$123,0)</f>
        <v>148070965089741.97</v>
      </c>
      <c r="N80">
        <f>MAX((-'IESS Demand'!$G$98*BTU_per_GWh*1000+'Summed Activity Data'!$B$40*BTU_per_PJ*('IESS Demand'!$G$98/SUM('IESS Demand'!$G$98,'IESS Demand'!$G$88)))*'IESS Demand'!N123/'IESS Demand'!$D$123,0)</f>
        <v>113460717588798.03</v>
      </c>
      <c r="O80">
        <f>MAX((-'IESS Demand'!$G$98*BTU_per_GWh*1000+'Summed Activity Data'!$B$40*BTU_per_PJ*('IESS Demand'!$G$98/SUM('IESS Demand'!$G$98,'IESS Demand'!$G$88)))*'IESS Demand'!O123/'IESS Demand'!$D$123,0)</f>
        <v>101680061029039.73</v>
      </c>
      <c r="P80">
        <f>MAX((-'IESS Demand'!$G$98*BTU_per_GWh*1000+'Summed Activity Data'!$B$40*BTU_per_PJ*('IESS Demand'!$G$98/SUM('IESS Demand'!$G$98,'IESS Demand'!$G$88)))*'IESS Demand'!P123/'IESS Demand'!$D$123,0)</f>
        <v>89899404469281.422</v>
      </c>
      <c r="Q80">
        <f>MAX((-'IESS Demand'!$G$98*BTU_per_GWh*1000+'Summed Activity Data'!$B$40*BTU_per_PJ*('IESS Demand'!$G$98/SUM('IESS Demand'!$G$98,'IESS Demand'!$G$88)))*'IESS Demand'!Q123/'IESS Demand'!$D$123,0)</f>
        <v>78118747909523.109</v>
      </c>
      <c r="R80">
        <f>MAX((-'IESS Demand'!$G$98*BTU_per_GWh*1000+'Summed Activity Data'!$B$40*BTU_per_PJ*('IESS Demand'!$G$98/SUM('IESS Demand'!$G$98,'IESS Demand'!$G$88)))*'IESS Demand'!R123/'IESS Demand'!$D$123,0)</f>
        <v>66338091349764.805</v>
      </c>
      <c r="S80">
        <f>MAX((-'IESS Demand'!$G$98*BTU_per_GWh*1000+'Summed Activity Data'!$B$40*BTU_per_PJ*('IESS Demand'!$G$98/SUM('IESS Demand'!$G$98,'IESS Demand'!$G$88)))*'IESS Demand'!S123/'IESS Demand'!$D$123,0)</f>
        <v>54557434790006.508</v>
      </c>
      <c r="T80">
        <f>MAX((-'IESS Demand'!$G$98*BTU_per_GWh*1000+'Summed Activity Data'!$B$40*BTU_per_PJ*('IESS Demand'!$G$98/SUM('IESS Demand'!$G$98,'IESS Demand'!$G$88)))*'IESS Demand'!T123/'IESS Demand'!$D$123,0)</f>
        <v>43645947832005.203</v>
      </c>
      <c r="U80">
        <f>MAX((-'IESS Demand'!$G$98*BTU_per_GWh*1000+'Summed Activity Data'!$B$40*BTU_per_PJ*('IESS Demand'!$G$98/SUM('IESS Demand'!$G$98,'IESS Demand'!$G$88)))*'IESS Demand'!U123/'IESS Demand'!$D$123,0)</f>
        <v>32734460874003.902</v>
      </c>
      <c r="V80">
        <f>MAX((-'IESS Demand'!$G$98*BTU_per_GWh*1000+'Summed Activity Data'!$B$40*BTU_per_PJ*('IESS Demand'!$G$98/SUM('IESS Demand'!$G$98,'IESS Demand'!$G$88)))*'IESS Demand'!V123/'IESS Demand'!$D$123,0)</f>
        <v>21822973916002.605</v>
      </c>
      <c r="W80">
        <f>MAX((-'IESS Demand'!$G$98*BTU_per_GWh*1000+'Summed Activity Data'!$B$40*BTU_per_PJ*('IESS Demand'!$G$98/SUM('IESS Demand'!$G$98,'IESS Demand'!$G$88)))*'IESS Demand'!W123/'IESS Demand'!$D$123,0)</f>
        <v>10911486958001.307</v>
      </c>
      <c r="X80">
        <f>MAX((-'IESS Demand'!$G$98*BTU_per_GWh*1000+'Summed Activity Data'!$B$40*BTU_per_PJ*('IESS Demand'!$G$98/SUM('IESS Demand'!$G$98,'IESS Demand'!$G$88)))*'IESS Demand'!X123/'IESS Demand'!$D$123,0)</f>
        <v>0</v>
      </c>
      <c r="Y80">
        <f>MAX((-'IESS Demand'!$G$98*BTU_per_GWh*1000+'Summed Activity Data'!$B$40*BTU_per_PJ*('IESS Demand'!$G$98/SUM('IESS Demand'!$G$98,'IESS Demand'!$G$88)))*'IESS Demand'!Y123/'IESS Demand'!$D$123,0)</f>
        <v>0</v>
      </c>
      <c r="Z80">
        <f>MAX((-'IESS Demand'!$G$98*BTU_per_GWh*1000+'Summed Activity Data'!$B$40*BTU_per_PJ*('IESS Demand'!$G$98/SUM('IESS Demand'!$G$98,'IESS Demand'!$G$88)))*'IESS Demand'!Z123/'IESS Demand'!$D$123,0)</f>
        <v>0</v>
      </c>
      <c r="AA80">
        <f>MAX((-'IESS Demand'!$G$98*BTU_per_GWh*1000+'Summed Activity Data'!$B$40*BTU_per_PJ*('IESS Demand'!$G$98/SUM('IESS Demand'!$G$98,'IESS Demand'!$G$88)))*'IESS Demand'!AA123/'IESS Demand'!$D$123,0)</f>
        <v>0</v>
      </c>
      <c r="AB80">
        <f>MAX((-'IESS Demand'!$G$98*BTU_per_GWh*1000+'Summed Activity Data'!$B$40*BTU_per_PJ*('IESS Demand'!$G$98/SUM('IESS Demand'!$G$98,'IESS Demand'!$G$88)))*'IESS Demand'!AB123/'IESS Demand'!$D$123,0)</f>
        <v>0</v>
      </c>
      <c r="AC80">
        <f>MAX((-'IESS Demand'!$G$98*BTU_per_GWh*1000+'Summed Activity Data'!$B$40*BTU_per_PJ*('IESS Demand'!$G$98/SUM('IESS Demand'!$G$98,'IESS Demand'!$G$88)))*'IESS Demand'!AC123/'IESS Demand'!$D$123,0)</f>
        <v>0</v>
      </c>
      <c r="AD80">
        <f>MAX((-'IESS Demand'!$G$98*BTU_per_GWh*1000+'Summed Activity Data'!$B$40*BTU_per_PJ*('IESS Demand'!$G$98/SUM('IESS Demand'!$G$98,'IESS Demand'!$G$88)))*'IESS Demand'!AD123/'IESS Demand'!$D$123,0)</f>
        <v>0</v>
      </c>
      <c r="AE80">
        <f>MAX((-'IESS Demand'!$G$98*BTU_per_GWh*1000+'Summed Activity Data'!$B$40*BTU_per_PJ*('IESS Demand'!$G$98/SUM('IESS Demand'!$G$98,'IESS Demand'!$G$88)))*'IESS Demand'!AE123/'IESS Demand'!$D$123,0)</f>
        <v>0</v>
      </c>
      <c r="AF80">
        <f>MAX((-'IESS Demand'!$G$98*BTU_per_GWh*1000+'Summed Activity Data'!$B$40*BTU_per_PJ*('IESS Demand'!$G$98/SUM('IESS Demand'!$G$98,'IESS Demand'!$G$88)))*'IESS Demand'!AF123/'IESS Demand'!$D$123,0)</f>
        <v>0</v>
      </c>
      <c r="AG80">
        <f>MAX((-'IESS Demand'!$G$98*BTU_per_GWh*1000+'Summed Activity Data'!$B$40*BTU_per_PJ*('IESS Demand'!$G$98/SUM('IESS Demand'!$G$98,'IESS Demand'!$G$88)))*'IESS Demand'!AG123/'IESS Demand'!$D$123,0)</f>
        <v>0</v>
      </c>
      <c r="AH80">
        <f>MAX((-'IESS Demand'!$G$98*BTU_per_GWh*1000+'Summed Activity Data'!$B$40*BTU_per_PJ*('IESS Demand'!$G$98/SUM('IESS Demand'!$G$98,'IESS Demand'!$G$88)))*'IESS Demand'!AH123/'IESS Demand'!$D$123,0)</f>
        <v>0</v>
      </c>
      <c r="AI80">
        <f>MAX((-'IESS Demand'!$G$98*BTU_per_GWh*1000+'Summed Activity Data'!$B$40*BTU_per_PJ*('IESS Demand'!$G$98/SUM('IESS Demand'!$G$98,'IESS Demand'!$G$88)))*'IESS Demand'!AI123/'IESS Demand'!$D$123,0)</f>
        <v>0</v>
      </c>
      <c r="AJ80">
        <f>MAX((-'IESS Demand'!$G$98*BTU_per_GWh*1000+'Summed Activity Data'!$B$40*BTU_per_PJ*('IESS Demand'!$G$98/SUM('IESS Demand'!$G$98,'IESS Demand'!$G$88)))*'IESS Demand'!AJ123/'IESS Demand'!$D$123,0)</f>
        <v>0</v>
      </c>
      <c r="AK80">
        <f>MAX((-'IESS Demand'!$G$98*BTU_per_GWh*1000+'Summed Activity Data'!$B$40*BTU_per_PJ*('IESS Demand'!$G$98/SUM('IESS Demand'!$G$98,'IESS Demand'!$G$88)))*'IESS Demand'!AK123/'IESS Demand'!$D$123,0)</f>
        <v>0</v>
      </c>
      <c r="AL80">
        <f>MAX((-'IESS Demand'!$G$98*BTU_per_GWh*1000+'Summed Activity Data'!$B$40*BTU_per_PJ*('IESS Demand'!$G$98/SUM('IESS Demand'!$G$98,'IESS Demand'!$G$88)))*'IESS Demand'!AL123/'IESS Demand'!$D$123,0)</f>
        <v>0</v>
      </c>
      <c r="AM80">
        <f>MAX((-'IESS Demand'!$G$98*BTU_per_GWh*1000+'Summed Activity Data'!$B$40*BTU_per_PJ*('IESS Demand'!$G$98/SUM('IESS Demand'!$G$98,'IESS Demand'!$G$88)))*'IESS Demand'!AM123/'IESS Demand'!$D$123,0)</f>
        <v>0</v>
      </c>
      <c r="AN80">
        <f>MAX((-'IESS Demand'!$G$98*BTU_per_GWh*1000+'Summed Activity Data'!$B$40*BTU_per_PJ*('IESS Demand'!$G$98/SUM('IESS Demand'!$G$98,'IESS Demand'!$G$88)))*'IESS Demand'!AN123/'IESS Demand'!$D$123,0)</f>
        <v>0</v>
      </c>
      <c r="AO80">
        <f>MAX((-'IESS Demand'!$G$98*BTU_per_GWh*1000+'Summed Activity Data'!$B$40*BTU_per_PJ*('IESS Demand'!$G$98/SUM('IESS Demand'!$G$98,'IESS Demand'!$G$88)))*'IESS Demand'!AO123/'IESS Demand'!$D$123,0)</f>
        <v>0</v>
      </c>
      <c r="AP80">
        <f>MAX((-'IESS Demand'!$G$98*BTU_per_GWh*1000+'Summed Activity Data'!$B$40*BTU_per_PJ*('IESS Demand'!$G$98/SUM('IESS Demand'!$G$98,'IESS Demand'!$G$88)))*'IESS Demand'!AP123/'IESS Demand'!$D$123,0)</f>
        <v>0</v>
      </c>
      <c r="AQ80">
        <f>MAX((-'IESS Demand'!$G$98*BTU_per_GWh*1000+'Summed Activity Data'!$B$40*BTU_per_PJ*('IESS Demand'!$G$98/SUM('IESS Demand'!$G$98,'IESS Demand'!$G$88)))*'IESS Demand'!AQ123/'IESS Demand'!$D$123,0)</f>
        <v>0</v>
      </c>
      <c r="AR80">
        <f>MAX((-'IESS Demand'!$G$98*BTU_per_GWh*1000+'Summed Activity Data'!$B$40*BTU_per_PJ*('IESS Demand'!$G$98/SUM('IESS Demand'!$G$98,'IESS Demand'!$G$88)))*'IESS Demand'!AR123/'IESS Demand'!$D$123,0)</f>
        <v>0</v>
      </c>
      <c r="AS80">
        <f>MAX((-'IESS Demand'!$G$98*BTU_per_GWh*1000+'Summed Activity Data'!$B$40*BTU_per_PJ*('IESS Demand'!$G$98/SUM('IESS Demand'!$G$98,'IESS Demand'!$G$88)))*'IESS Demand'!AS123/'IESS Demand'!$D$123,0)</f>
        <v>0</v>
      </c>
      <c r="AT80">
        <f>MAX((-'IESS Demand'!$G$98*BTU_per_GWh*1000+'Summed Activity Data'!$B$40*BTU_per_PJ*('IESS Demand'!$G$98/SUM('IESS Demand'!$G$98,'IESS Demand'!$G$88)))*'IESS Demand'!AT123/'IESS Demand'!$D$123,0)</f>
        <v>0</v>
      </c>
      <c r="AU80">
        <f>MAX((-'IESS Demand'!$G$98*BTU_per_GWh*1000+'Summed Activity Data'!$B$40*BTU_per_PJ*('IESS Demand'!$G$98/SUM('IESS Demand'!$G$98,'IESS Demand'!$G$88)))*'IESS Demand'!AU123/'IESS Demand'!$D$123,0)</f>
        <v>0</v>
      </c>
      <c r="AV80">
        <f>MAX((-'IESS Demand'!$G$98*BTU_per_GWh*1000+'Summed Activity Data'!$B$40*BTU_per_PJ*('IESS Demand'!$G$98/SUM('IESS Demand'!$G$98,'IESS Demand'!$G$88)))*'IESS Demand'!AV123/'IESS Demand'!$D$123,0)</f>
        <v>0</v>
      </c>
      <c r="AW80">
        <f>MAX((-'IESS Demand'!$G$98*BTU_per_GWh*1000+'Summed Activity Data'!$B$40*BTU_per_PJ*('IESS Demand'!$G$98/SUM('IESS Demand'!$G$98,'IESS Demand'!$G$88)))*'IESS Demand'!AW123/'IESS Demand'!$D$123,0)</f>
        <v>0</v>
      </c>
      <c r="AX80">
        <f>MAX((-'IESS Demand'!$G$98*BTU_per_GWh*1000+'Summed Activity Data'!$B$40*BTU_per_PJ*('IESS Demand'!$G$98/SUM('IESS Demand'!$G$98,'IESS Demand'!$G$88)))*'IESS Demand'!AX123/'IESS Demand'!$D$123,0)</f>
        <v>0</v>
      </c>
      <c r="AY80">
        <f>MAX((-'IESS Demand'!$G$98*BTU_per_GWh*1000+'Summed Activity Data'!$B$40*BTU_per_PJ*('IESS Demand'!$G$98/SUM('IESS Demand'!$G$98,'IESS Demand'!$G$88)))*'IESS Demand'!AY123/'IESS Demand'!$D$123,0)</f>
        <v>0</v>
      </c>
      <c r="AZ80">
        <f>MAX((-'IESS Demand'!$G$98*BTU_per_GWh*1000+'Summed Activity Data'!$B$40*BTU_per_PJ*('IESS Demand'!$G$98/SUM('IESS Demand'!$G$98,'IESS Demand'!$G$88)))*'IESS Demand'!AZ123/'IESS Demand'!$D$123,0)</f>
        <v>0</v>
      </c>
      <c r="BA80">
        <f>MAX((-'IESS Demand'!$G$98*BTU_per_GWh*1000+'Summed Activity Data'!$B$40*BTU_per_PJ*('IESS Demand'!$G$98/SUM('IESS Demand'!$G$98,'IESS Demand'!$G$88)))*'IESS Demand'!BA123/'IESS Demand'!$D$123,0)</f>
        <v>0</v>
      </c>
      <c r="BB80">
        <f>MAX((-'IESS Demand'!$G$98*BTU_per_GWh*1000+'Summed Activity Data'!$B$40*BTU_per_PJ*('IESS Demand'!$G$98/SUM('IESS Demand'!$G$98,'IESS Demand'!$G$88)))*'IESS Demand'!BB123/'IESS Demand'!$D$123,0)</f>
        <v>0</v>
      </c>
      <c r="BC80">
        <f>MAX((-'IESS Demand'!$G$98*BTU_per_GWh*1000+'Summed Activity Data'!$B$40*BTU_per_PJ*('IESS Demand'!$G$98/SUM('IESS Demand'!$G$98,'IESS Demand'!$G$88)))*'IESS Demand'!BC123/'IESS Demand'!$D$123,0)</f>
        <v>0</v>
      </c>
      <c r="BD80">
        <f>MAX((-'IESS Demand'!$G$98*BTU_per_GWh*1000+'Summed Activity Data'!$B$40*BTU_per_PJ*('IESS Demand'!$G$98/SUM('IESS Demand'!$G$98,'IESS Demand'!$G$88)))*'IESS Demand'!BD123/'IESS Demand'!$D$123,0)</f>
        <v>0</v>
      </c>
      <c r="BE80">
        <f>MAX((-'IESS Demand'!$G$98*BTU_per_GWh*1000+'Summed Activity Data'!$B$40*BTU_per_PJ*('IESS Demand'!$G$98/SUM('IESS Demand'!$G$98,'IESS Demand'!$G$88)))*'IESS Demand'!BE123/'IESS Demand'!$D$123,0)</f>
        <v>0</v>
      </c>
    </row>
    <row r="81" spans="1:57">
      <c r="A81" t="s">
        <v>437</v>
      </c>
      <c r="B81" t="s">
        <v>508</v>
      </c>
      <c r="C81" t="s">
        <v>435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>
      <c r="A82" t="s">
        <v>438</v>
      </c>
      <c r="B82" t="s">
        <v>508</v>
      </c>
      <c r="C82" t="s">
        <v>502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>
      <c r="A83" t="s">
        <v>438</v>
      </c>
      <c r="B83" t="s">
        <v>508</v>
      </c>
      <c r="C83" t="s">
        <v>503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>
      <c r="A84" t="s">
        <v>438</v>
      </c>
      <c r="B84" t="s">
        <v>508</v>
      </c>
      <c r="C84" t="s">
        <v>364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>
      <c r="A85" t="s">
        <v>438</v>
      </c>
      <c r="B85" t="s">
        <v>508</v>
      </c>
      <c r="C85" t="s">
        <v>434</v>
      </c>
      <c r="D85">
        <f>(-'IESS Demand'!$G$88*BTU_per_GWh*1000+'Summed Activity Data'!$B$40*BTU_per_PJ*('IESS Demand'!$G$88/SUM('IESS Demand'!$G$98,'IESS Demand'!$G$88)))*'IESS Demand'!D126/'IESS Demand'!$D$126</f>
        <v>3421117881419051</v>
      </c>
      <c r="E85">
        <f>(-'IESS Demand'!$G$88*BTU_per_GWh*1000+'Summed Activity Data'!$B$40*BTU_per_PJ*('IESS Demand'!$G$88/SUM('IESS Demand'!$G$98,'IESS Demand'!$G$88)))*'IESS Demand'!E126/'IESS Demand'!$D$126</f>
        <v>3230874768003674</v>
      </c>
      <c r="F85">
        <f>(-'IESS Demand'!$G$88*BTU_per_GWh*1000+'Summed Activity Data'!$B$40*BTU_per_PJ*('IESS Demand'!$G$88/SUM('IESS Demand'!$G$98,'IESS Demand'!$G$88)))*'IESS Demand'!F126/'IESS Demand'!$D$126</f>
        <v>3040631654588297.5</v>
      </c>
      <c r="G85">
        <f>(-'IESS Demand'!$G$88*BTU_per_GWh*1000+'Summed Activity Data'!$B$40*BTU_per_PJ*('IESS Demand'!$G$88/SUM('IESS Demand'!$G$98,'IESS Demand'!$G$88)))*'IESS Demand'!G126/'IESS Demand'!$D$126</f>
        <v>2850388541172921</v>
      </c>
      <c r="H85">
        <f>(-'IESS Demand'!$G$88*BTU_per_GWh*1000+'Summed Activity Data'!$B$40*BTU_per_PJ*('IESS Demand'!$G$88/SUM('IESS Demand'!$G$98,'IESS Demand'!$G$88)))*'IESS Demand'!H126/'IESS Demand'!$D$126</f>
        <v>2660145427757544.5</v>
      </c>
      <c r="I85">
        <f>(-'IESS Demand'!$G$88*BTU_per_GWh*1000+'Summed Activity Data'!$B$40*BTU_per_PJ*('IESS Demand'!$G$88/SUM('IESS Demand'!$G$98,'IESS Demand'!$G$88)))*'IESS Demand'!I126/'IESS Demand'!$D$126</f>
        <v>2469902314342167.5</v>
      </c>
      <c r="J85">
        <f>(-'IESS Demand'!$G$88*BTU_per_GWh*1000+'Summed Activity Data'!$B$40*BTU_per_PJ*('IESS Demand'!$G$88/SUM('IESS Demand'!$G$98,'IESS Demand'!$G$88)))*'IESS Demand'!J126/'IESS Demand'!$D$126</f>
        <v>2302082769882949.5</v>
      </c>
      <c r="K85">
        <f>(-'IESS Demand'!$G$88*BTU_per_GWh*1000+'Summed Activity Data'!$B$40*BTU_per_PJ*('IESS Demand'!$G$88/SUM('IESS Demand'!$G$98,'IESS Demand'!$G$88)))*'IESS Demand'!K126/'IESS Demand'!$D$126</f>
        <v>2134263225423730.8</v>
      </c>
      <c r="L85">
        <f>(-'IESS Demand'!$G$88*BTU_per_GWh*1000+'Summed Activity Data'!$B$40*BTU_per_PJ*('IESS Demand'!$G$88/SUM('IESS Demand'!$G$98,'IESS Demand'!$G$88)))*'IESS Demand'!L126/'IESS Demand'!$D$126</f>
        <v>1966443680964512.5</v>
      </c>
      <c r="M85">
        <f>(-'IESS Demand'!$G$88*BTU_per_GWh*1000+'Summed Activity Data'!$B$40*BTU_per_PJ*('IESS Demand'!$G$88/SUM('IESS Demand'!$G$98,'IESS Demand'!$G$88)))*'IESS Demand'!M126/'IESS Demand'!$D$126</f>
        <v>1798624136505293.8</v>
      </c>
      <c r="N85">
        <f>(-'IESS Demand'!$G$88*BTU_per_GWh*1000+'Summed Activity Data'!$B$40*BTU_per_PJ*('IESS Demand'!$G$88/SUM('IESS Demand'!$G$98,'IESS Demand'!$G$88)))*'IESS Demand'!N126/'IESS Demand'!$D$126</f>
        <v>1630804592046075.5</v>
      </c>
      <c r="O85">
        <f>(-'IESS Demand'!$G$88*BTU_per_GWh*1000+'Summed Activity Data'!$B$40*BTU_per_PJ*('IESS Demand'!$G$88/SUM('IESS Demand'!$G$98,'IESS Demand'!$G$88)))*'IESS Demand'!O126/'IESS Demand'!$D$126</f>
        <v>1507137503280597.8</v>
      </c>
      <c r="P85">
        <f>(-'IESS Demand'!$G$88*BTU_per_GWh*1000+'Summed Activity Data'!$B$40*BTU_per_PJ*('IESS Demand'!$G$88/SUM('IESS Demand'!$G$98,'IESS Demand'!$G$88)))*'IESS Demand'!P126/'IESS Demand'!$D$126</f>
        <v>1383470414515120</v>
      </c>
      <c r="Q85">
        <f>(-'IESS Demand'!$G$88*BTU_per_GWh*1000+'Summed Activity Data'!$B$40*BTU_per_PJ*('IESS Demand'!$G$88/SUM('IESS Demand'!$G$98,'IESS Demand'!$G$88)))*'IESS Demand'!Q126/'IESS Demand'!$D$126</f>
        <v>1259803325749642.5</v>
      </c>
      <c r="R85">
        <f>(-'IESS Demand'!$G$88*BTU_per_GWh*1000+'Summed Activity Data'!$B$40*BTU_per_PJ*('IESS Demand'!$G$88/SUM('IESS Demand'!$G$98,'IESS Demand'!$G$88)))*'IESS Demand'!R126/'IESS Demand'!$D$126</f>
        <v>1136136236984165</v>
      </c>
      <c r="S85">
        <f>(-'IESS Demand'!$G$88*BTU_per_GWh*1000+'Summed Activity Data'!$B$40*BTU_per_PJ*('IESS Demand'!$G$88/SUM('IESS Demand'!$G$98,'IESS Demand'!$G$88)))*'IESS Demand'!S126/'IESS Demand'!$D$126</f>
        <v>1012469148218687.5</v>
      </c>
      <c r="T85">
        <f>(-'IESS Demand'!$G$88*BTU_per_GWh*1000+'Summed Activity Data'!$B$40*BTU_per_PJ*('IESS Demand'!$G$88/SUM('IESS Demand'!$G$98,'IESS Demand'!$G$88)))*'IESS Demand'!T126/'IESS Demand'!$D$126</f>
        <v>925424873395526.38</v>
      </c>
      <c r="U85">
        <f>(-'IESS Demand'!$G$88*BTU_per_GWh*1000+'Summed Activity Data'!$B$40*BTU_per_PJ*('IESS Demand'!$G$88/SUM('IESS Demand'!$G$98,'IESS Demand'!$G$88)))*'IESS Demand'!U126/'IESS Demand'!$D$126</f>
        <v>838380598572365.38</v>
      </c>
      <c r="V85">
        <f>(-'IESS Demand'!$G$88*BTU_per_GWh*1000+'Summed Activity Data'!$B$40*BTU_per_PJ*('IESS Demand'!$G$88/SUM('IESS Demand'!$G$98,'IESS Demand'!$G$88)))*'IESS Demand'!V126/'IESS Demand'!$D$126</f>
        <v>751336323749204.38</v>
      </c>
      <c r="W85">
        <f>(-'IESS Demand'!$G$88*BTU_per_GWh*1000+'Summed Activity Data'!$B$40*BTU_per_PJ*('IESS Demand'!$G$88/SUM('IESS Demand'!$G$98,'IESS Demand'!$G$88)))*'IESS Demand'!W126/'IESS Demand'!$D$126</f>
        <v>664292048926043.38</v>
      </c>
      <c r="X85">
        <f>(-'IESS Demand'!$G$88*BTU_per_GWh*1000+'Summed Activity Data'!$B$40*BTU_per_PJ*('IESS Demand'!$G$88/SUM('IESS Demand'!$G$98,'IESS Demand'!$G$88)))*'IESS Demand'!X126/'IESS Demand'!$D$126</f>
        <v>577247774102882.13</v>
      </c>
      <c r="Y85">
        <f>(-'IESS Demand'!$G$88*BTU_per_GWh*1000+'Summed Activity Data'!$B$40*BTU_per_PJ*('IESS Demand'!$G$88/SUM('IESS Demand'!$G$98,'IESS Demand'!$G$88)))*'IESS Demand'!Y126/'IESS Demand'!$D$126</f>
        <v>554761218983198.75</v>
      </c>
      <c r="Z85">
        <f>(-'IESS Demand'!$G$88*BTU_per_GWh*1000+'Summed Activity Data'!$B$40*BTU_per_PJ*('IESS Demand'!$G$88/SUM('IESS Demand'!$G$98,'IESS Demand'!$G$88)))*'IESS Demand'!Z126/'IESS Demand'!$D$126</f>
        <v>532274663863515.38</v>
      </c>
      <c r="AA85">
        <f>(-'IESS Demand'!$G$88*BTU_per_GWh*1000+'Summed Activity Data'!$B$40*BTU_per_PJ*('IESS Demand'!$G$88/SUM('IESS Demand'!$G$98,'IESS Demand'!$G$88)))*'IESS Demand'!AA126/'IESS Demand'!$D$126</f>
        <v>509788108743831.94</v>
      </c>
      <c r="AB85">
        <f>(-'IESS Demand'!$G$88*BTU_per_GWh*1000+'Summed Activity Data'!$B$40*BTU_per_PJ*('IESS Demand'!$G$88/SUM('IESS Demand'!$G$98,'IESS Demand'!$G$88)))*'IESS Demand'!AB126/'IESS Demand'!$D$126</f>
        <v>487301553624148.63</v>
      </c>
      <c r="AC85">
        <f>(-'IESS Demand'!$G$88*BTU_per_GWh*1000+'Summed Activity Data'!$B$40*BTU_per_PJ*('IESS Demand'!$G$88/SUM('IESS Demand'!$G$98,'IESS Demand'!$G$88)))*'IESS Demand'!AC126/'IESS Demand'!$D$126</f>
        <v>464814998504465.31</v>
      </c>
      <c r="AD85">
        <f>(-'IESS Demand'!$G$88*BTU_per_GWh*1000+'Summed Activity Data'!$B$40*BTU_per_PJ*('IESS Demand'!$G$88/SUM('IESS Demand'!$G$98,'IESS Demand'!$G$88)))*'IESS Demand'!AD126/'IESS Demand'!$D$126</f>
        <v>442689195352952.75</v>
      </c>
      <c r="AE85">
        <f>(-'IESS Demand'!$G$88*BTU_per_GWh*1000+'Summed Activity Data'!$B$40*BTU_per_PJ*('IESS Demand'!$G$88/SUM('IESS Demand'!$G$98,'IESS Demand'!$G$88)))*'IESS Demand'!AE126/'IESS Demand'!$D$126</f>
        <v>420563392201440.19</v>
      </c>
      <c r="AF85">
        <f>(-'IESS Demand'!$G$88*BTU_per_GWh*1000+'Summed Activity Data'!$B$40*BTU_per_PJ*('IESS Demand'!$G$88/SUM('IESS Demand'!$G$98,'IESS Demand'!$G$88)))*'IESS Demand'!AF126/'IESS Demand'!$D$126</f>
        <v>398437589049927.63</v>
      </c>
      <c r="AG85">
        <f>(-'IESS Demand'!$G$88*BTU_per_GWh*1000+'Summed Activity Data'!$B$40*BTU_per_PJ*('IESS Demand'!$G$88/SUM('IESS Demand'!$G$98,'IESS Demand'!$G$88)))*'IESS Demand'!AG126/'IESS Demand'!$D$126</f>
        <v>376311785898415.06</v>
      </c>
      <c r="AH85">
        <f>(-'IESS Demand'!$G$88*BTU_per_GWh*1000+'Summed Activity Data'!$B$40*BTU_per_PJ*('IESS Demand'!$G$88/SUM('IESS Demand'!$G$98,'IESS Demand'!$G$88)))*'IESS Demand'!AH126/'IESS Demand'!$D$126</f>
        <v>354185982746902.56</v>
      </c>
      <c r="AI85">
        <f>(-'IESS Demand'!$G$88*BTU_per_GWh*1000+'Summed Activity Data'!$B$40*BTU_per_PJ*('IESS Demand'!$G$88/SUM('IESS Demand'!$G$98,'IESS Demand'!$G$88)))*'IESS Demand'!AI126/'IESS Demand'!$D$126</f>
        <v>332060179595390</v>
      </c>
      <c r="AJ85">
        <f>(-'IESS Demand'!$G$88*BTU_per_GWh*1000+'Summed Activity Data'!$B$40*BTU_per_PJ*('IESS Demand'!$G$88/SUM('IESS Demand'!$G$98,'IESS Demand'!$G$88)))*'IESS Demand'!AJ126/'IESS Demand'!$D$126</f>
        <v>309934376443877.44</v>
      </c>
      <c r="AK85">
        <f>(-'IESS Demand'!$G$88*BTU_per_GWh*1000+'Summed Activity Data'!$B$40*BTU_per_PJ*('IESS Demand'!$G$88/SUM('IESS Demand'!$G$98,'IESS Demand'!$G$88)))*'IESS Demand'!AK126/'IESS Demand'!$D$126</f>
        <v>287808573292364.94</v>
      </c>
      <c r="AL85">
        <f>(-'IESS Demand'!$G$88*BTU_per_GWh*1000+'Summed Activity Data'!$B$40*BTU_per_PJ*('IESS Demand'!$G$88/SUM('IESS Demand'!$G$98,'IESS Demand'!$G$88)))*'IESS Demand'!AL126/'IESS Demand'!$D$126</f>
        <v>265682770140852.34</v>
      </c>
      <c r="AM85">
        <f>(-'IESS Demand'!$G$88*BTU_per_GWh*1000+'Summed Activity Data'!$B$40*BTU_per_PJ*('IESS Demand'!$G$88/SUM('IESS Demand'!$G$98,'IESS Demand'!$G$88)))*'IESS Demand'!AM126/'IESS Demand'!$D$126</f>
        <v>243556966989339.78</v>
      </c>
      <c r="AN85">
        <f>(-'IESS Demand'!$G$88*BTU_per_GWh*1000+'Summed Activity Data'!$B$40*BTU_per_PJ*('IESS Demand'!$G$88/SUM('IESS Demand'!$G$98,'IESS Demand'!$G$88)))*'IESS Demand'!AN126/'IESS Demand'!$D$126</f>
        <v>221431163837827.22</v>
      </c>
      <c r="AO85">
        <f>(-'IESS Demand'!$G$88*BTU_per_GWh*1000+'Summed Activity Data'!$B$40*BTU_per_PJ*('IESS Demand'!$G$88/SUM('IESS Demand'!$G$98,'IESS Demand'!$G$88)))*'IESS Demand'!AO126/'IESS Demand'!$D$126</f>
        <v>199305360686314.66</v>
      </c>
      <c r="AP85">
        <f>(-'IESS Demand'!$G$88*BTU_per_GWh*1000+'Summed Activity Data'!$B$40*BTU_per_PJ*('IESS Demand'!$G$88/SUM('IESS Demand'!$G$98,'IESS Demand'!$G$88)))*'IESS Demand'!AP126/'IESS Demand'!$D$126</f>
        <v>177179557534802.13</v>
      </c>
      <c r="AQ85">
        <f>(-'IESS Demand'!$G$88*BTU_per_GWh*1000+'Summed Activity Data'!$B$40*BTU_per_PJ*('IESS Demand'!$G$88/SUM('IESS Demand'!$G$98,'IESS Demand'!$G$88)))*'IESS Demand'!AQ126/'IESS Demand'!$D$126</f>
        <v>155053754383289.56</v>
      </c>
      <c r="AR85">
        <f>(-'IESS Demand'!$G$88*BTU_per_GWh*1000+'Summed Activity Data'!$B$40*BTU_per_PJ*('IESS Demand'!$G$88/SUM('IESS Demand'!$G$98,'IESS Demand'!$G$88)))*'IESS Demand'!AR126/'IESS Demand'!$D$126</f>
        <v>132927951231777.03</v>
      </c>
      <c r="AS85">
        <f>(-'IESS Demand'!$G$88*BTU_per_GWh*1000+'Summed Activity Data'!$B$40*BTU_per_PJ*('IESS Demand'!$G$88/SUM('IESS Demand'!$G$98,'IESS Demand'!$G$88)))*'IESS Demand'!AS126/'IESS Demand'!$D$126</f>
        <v>110802148080264.48</v>
      </c>
      <c r="AT85">
        <f>(-'IESS Demand'!$G$88*BTU_per_GWh*1000+'Summed Activity Data'!$B$40*BTU_per_PJ*('IESS Demand'!$G$88/SUM('IESS Demand'!$G$98,'IESS Demand'!$G$88)))*'IESS Demand'!AT126/'IESS Demand'!$D$126</f>
        <v>88676344928751.953</v>
      </c>
      <c r="AU85">
        <f>(-'IESS Demand'!$G$88*BTU_per_GWh*1000+'Summed Activity Data'!$B$40*BTU_per_PJ*('IESS Demand'!$G$88/SUM('IESS Demand'!$G$98,'IESS Demand'!$G$88)))*'IESS Demand'!AU126/'IESS Demand'!$D$126</f>
        <v>66550541777239.398</v>
      </c>
      <c r="AV85">
        <f>(-'IESS Demand'!$G$88*BTU_per_GWh*1000+'Summed Activity Data'!$B$40*BTU_per_PJ*('IESS Demand'!$G$88/SUM('IESS Demand'!$G$98,'IESS Demand'!$G$88)))*'IESS Demand'!AV126/'IESS Demand'!$D$126</f>
        <v>44424738625726.867</v>
      </c>
      <c r="AW85">
        <f>(-'IESS Demand'!$G$88*BTU_per_GWh*1000+'Summed Activity Data'!$B$40*BTU_per_PJ*('IESS Demand'!$G$88/SUM('IESS Demand'!$G$98,'IESS Demand'!$G$88)))*'IESS Demand'!AW126/'IESS Demand'!$D$126</f>
        <v>22298935474214.324</v>
      </c>
      <c r="AX85">
        <f>(-'IESS Demand'!$G$88*BTU_per_GWh*1000+'Summed Activity Data'!$B$40*BTU_per_PJ*('IESS Demand'!$G$88/SUM('IESS Demand'!$G$98,'IESS Demand'!$G$88)))*'IESS Demand'!AX126/'IESS Demand'!$D$126</f>
        <v>173132322701.77759</v>
      </c>
      <c r="AY85">
        <f>(-'IESS Demand'!$G$88*BTU_per_GWh*1000+'Summed Activity Data'!$B$40*BTU_per_PJ*('IESS Demand'!$G$88/SUM('IESS Demand'!$G$98,'IESS Demand'!$G$88)))*'IESS Demand'!AY126/'IESS Demand'!$D$126</f>
        <v>-21952670828810.766</v>
      </c>
      <c r="AZ85">
        <f>(-'IESS Demand'!$G$88*BTU_per_GWh*1000+'Summed Activity Data'!$B$40*BTU_per_PJ*('IESS Demand'!$G$88/SUM('IESS Demand'!$G$98,'IESS Demand'!$G$88)))*'IESS Demand'!AZ126/'IESS Demand'!$D$126</f>
        <v>-44078473980323.313</v>
      </c>
      <c r="BA85">
        <f>(-'IESS Demand'!$G$88*BTU_per_GWh*1000+'Summed Activity Data'!$B$40*BTU_per_PJ*('IESS Demand'!$G$88/SUM('IESS Demand'!$G$98,'IESS Demand'!$G$88)))*'IESS Demand'!BA126/'IESS Demand'!$D$126</f>
        <v>-66204277131835.852</v>
      </c>
      <c r="BB85">
        <f>(-'IESS Demand'!$G$88*BTU_per_GWh*1000+'Summed Activity Data'!$B$40*BTU_per_PJ*('IESS Demand'!$G$88/SUM('IESS Demand'!$G$98,'IESS Demand'!$G$88)))*'IESS Demand'!BB126/'IESS Demand'!$D$126</f>
        <v>-88330080283348.391</v>
      </c>
      <c r="BC85">
        <f>(-'IESS Demand'!$G$88*BTU_per_GWh*1000+'Summed Activity Data'!$B$40*BTU_per_PJ*('IESS Demand'!$G$88/SUM('IESS Demand'!$G$98,'IESS Demand'!$G$88)))*'IESS Demand'!BC126/'IESS Demand'!$D$126</f>
        <v>-110455883434860.92</v>
      </c>
      <c r="BD85">
        <f>(-'IESS Demand'!$G$88*BTU_per_GWh*1000+'Summed Activity Data'!$B$40*BTU_per_PJ*('IESS Demand'!$G$88/SUM('IESS Demand'!$G$98,'IESS Demand'!$G$88)))*'IESS Demand'!BD126/'IESS Demand'!$D$126</f>
        <v>-132581686586373.47</v>
      </c>
      <c r="BE85">
        <f>(-'IESS Demand'!$G$88*BTU_per_GWh*1000+'Summed Activity Data'!$B$40*BTU_per_PJ*('IESS Demand'!$G$88/SUM('IESS Demand'!$G$98,'IESS Demand'!$G$88)))*'IESS Demand'!BE126/'IESS Demand'!$D$126</f>
        <v>-154707489737886.03</v>
      </c>
    </row>
    <row r="86" spans="1:57">
      <c r="A86" t="s">
        <v>438</v>
      </c>
      <c r="B86" t="s">
        <v>508</v>
      </c>
      <c r="C86" t="s">
        <v>435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>
      <c r="A87" t="s">
        <v>53</v>
      </c>
      <c r="B87" t="s">
        <v>508</v>
      </c>
      <c r="C87" t="s">
        <v>502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>
      <c r="A88" t="s">
        <v>53</v>
      </c>
      <c r="B88" t="s">
        <v>508</v>
      </c>
      <c r="C88" t="s">
        <v>503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>
      <c r="A89" t="s">
        <v>53</v>
      </c>
      <c r="B89" t="s">
        <v>508</v>
      </c>
      <c r="C89" t="s">
        <v>364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>
      <c r="A90" t="s">
        <v>53</v>
      </c>
      <c r="B90" t="s">
        <v>508</v>
      </c>
      <c r="C90" t="s">
        <v>434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>
      <c r="A91" t="s">
        <v>53</v>
      </c>
      <c r="B91" t="s">
        <v>508</v>
      </c>
      <c r="C91" t="s">
        <v>435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>
      <c r="A92" t="s">
        <v>437</v>
      </c>
      <c r="B92" t="s">
        <v>509</v>
      </c>
      <c r="C92" t="s">
        <v>502</v>
      </c>
      <c r="D92" s="58">
        <v>0</v>
      </c>
      <c r="E92" s="58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>
      <c r="A93" t="s">
        <v>437</v>
      </c>
      <c r="B93" t="s">
        <v>509</v>
      </c>
      <c r="C93" t="s">
        <v>503</v>
      </c>
      <c r="D93" s="58">
        <v>0</v>
      </c>
      <c r="E93" s="58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>
      <c r="A94" t="s">
        <v>437</v>
      </c>
      <c r="B94" t="s">
        <v>509</v>
      </c>
      <c r="C94" t="s">
        <v>364</v>
      </c>
      <c r="D94" s="58">
        <v>0</v>
      </c>
      <c r="E94" s="58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>
      <c r="A95" t="s">
        <v>437</v>
      </c>
      <c r="B95" t="s">
        <v>509</v>
      </c>
      <c r="C95" t="s">
        <v>434</v>
      </c>
      <c r="D95" s="58">
        <v>0</v>
      </c>
      <c r="E95" s="58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>
      <c r="A96" t="s">
        <v>437</v>
      </c>
      <c r="B96" t="s">
        <v>509</v>
      </c>
      <c r="C96" t="s">
        <v>435</v>
      </c>
      <c r="D96" s="58">
        <v>0</v>
      </c>
      <c r="E96" s="58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>
      <c r="A97" t="s">
        <v>438</v>
      </c>
      <c r="B97" t="s">
        <v>509</v>
      </c>
      <c r="C97" t="s">
        <v>502</v>
      </c>
      <c r="D97" s="58">
        <v>0</v>
      </c>
      <c r="E97" s="58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>
      <c r="A98" t="s">
        <v>438</v>
      </c>
      <c r="B98" t="s">
        <v>509</v>
      </c>
      <c r="C98" t="s">
        <v>503</v>
      </c>
      <c r="D98" s="58">
        <v>0</v>
      </c>
      <c r="E98" s="5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>
      <c r="A99" t="s">
        <v>438</v>
      </c>
      <c r="B99" t="s">
        <v>509</v>
      </c>
      <c r="C99" t="s">
        <v>364</v>
      </c>
      <c r="D99" s="58">
        <f>'LPG, Kerosene, Diesel Use'!B33*BTU_per_thousand_tons_kerosene*'LPG, Kerosene, Diesel Use'!B66</f>
        <v>194098721180562</v>
      </c>
      <c r="E99" s="58">
        <f>'LPG, Kerosene, Diesel Use'!B36*BTU_per_thousand_tons_kerosene*'LPG, Kerosene, Diesel Use'!B66</f>
        <v>135522465334096.5</v>
      </c>
      <c r="F99">
        <f>'LPG, Kerosene, Diesel Use'!B39*BTU_per_thousand_tons_kerosene*'LPG, Kerosene, Diesel Use'!B66</f>
        <v>120514847633383.5</v>
      </c>
      <c r="G99">
        <f>F99-($F$99-$I$99)/3</f>
        <v>80343231755589</v>
      </c>
      <c r="H99">
        <f>'LPG, Kerosene, Diesel Use'!B50*BTU_per_thousand_tons_kerosene*'LPG, Kerosene, Diesel Use'!B66</f>
        <v>0</v>
      </c>
      <c r="I99">
        <f>'IESS Demand'!H48</f>
        <v>0</v>
      </c>
      <c r="J99">
        <f t="shared" ref="J99:S100" si="0">$I$99</f>
        <v>0</v>
      </c>
      <c r="K99">
        <f t="shared" si="0"/>
        <v>0</v>
      </c>
      <c r="L99">
        <f t="shared" si="0"/>
        <v>0</v>
      </c>
      <c r="M99">
        <f t="shared" si="0"/>
        <v>0</v>
      </c>
      <c r="N99">
        <f t="shared" si="0"/>
        <v>0</v>
      </c>
      <c r="O99">
        <f t="shared" si="0"/>
        <v>0</v>
      </c>
      <c r="P99">
        <f t="shared" si="0"/>
        <v>0</v>
      </c>
      <c r="Q99">
        <f t="shared" si="0"/>
        <v>0</v>
      </c>
      <c r="R99">
        <f t="shared" si="0"/>
        <v>0</v>
      </c>
      <c r="S99">
        <f t="shared" si="0"/>
        <v>0</v>
      </c>
      <c r="T99">
        <f t="shared" ref="T99:AC100" si="1">$I$99</f>
        <v>0</v>
      </c>
      <c r="U99">
        <f t="shared" si="1"/>
        <v>0</v>
      </c>
      <c r="V99">
        <f t="shared" si="1"/>
        <v>0</v>
      </c>
      <c r="W99">
        <f t="shared" si="1"/>
        <v>0</v>
      </c>
      <c r="X99">
        <f t="shared" si="1"/>
        <v>0</v>
      </c>
      <c r="Y99">
        <f t="shared" si="1"/>
        <v>0</v>
      </c>
      <c r="Z99">
        <f t="shared" si="1"/>
        <v>0</v>
      </c>
      <c r="AA99">
        <f t="shared" si="1"/>
        <v>0</v>
      </c>
      <c r="AB99">
        <f t="shared" si="1"/>
        <v>0</v>
      </c>
      <c r="AC99">
        <f t="shared" si="1"/>
        <v>0</v>
      </c>
      <c r="AD99">
        <f t="shared" ref="AD99:AS100" si="2">$I$99</f>
        <v>0</v>
      </c>
      <c r="AE99">
        <f t="shared" si="2"/>
        <v>0</v>
      </c>
      <c r="AF99">
        <f t="shared" si="2"/>
        <v>0</v>
      </c>
      <c r="AG99">
        <f t="shared" si="2"/>
        <v>0</v>
      </c>
      <c r="AH99">
        <f t="shared" si="2"/>
        <v>0</v>
      </c>
      <c r="AI99">
        <f t="shared" si="2"/>
        <v>0</v>
      </c>
      <c r="AJ99">
        <f t="shared" si="2"/>
        <v>0</v>
      </c>
      <c r="AK99">
        <f t="shared" si="2"/>
        <v>0</v>
      </c>
      <c r="AL99">
        <f t="shared" si="2"/>
        <v>0</v>
      </c>
      <c r="AM99">
        <f t="shared" si="2"/>
        <v>0</v>
      </c>
      <c r="AN99">
        <f t="shared" si="2"/>
        <v>0</v>
      </c>
      <c r="AO99">
        <f t="shared" si="2"/>
        <v>0</v>
      </c>
      <c r="AP99">
        <f t="shared" si="2"/>
        <v>0</v>
      </c>
      <c r="AQ99">
        <f t="shared" si="2"/>
        <v>0</v>
      </c>
      <c r="AR99">
        <f t="shared" si="2"/>
        <v>0</v>
      </c>
      <c r="AS99">
        <f t="shared" si="2"/>
        <v>0</v>
      </c>
      <c r="AT99">
        <f t="shared" ref="AL99:BE100" si="3">$I$99</f>
        <v>0</v>
      </c>
      <c r="AU99">
        <f t="shared" si="3"/>
        <v>0</v>
      </c>
      <c r="AV99">
        <f t="shared" si="3"/>
        <v>0</v>
      </c>
      <c r="AW99">
        <f t="shared" si="3"/>
        <v>0</v>
      </c>
      <c r="AX99">
        <f t="shared" si="3"/>
        <v>0</v>
      </c>
      <c r="AY99">
        <f t="shared" si="3"/>
        <v>0</v>
      </c>
      <c r="AZ99">
        <f t="shared" si="3"/>
        <v>0</v>
      </c>
      <c r="BA99">
        <f t="shared" si="3"/>
        <v>0</v>
      </c>
      <c r="BB99">
        <f t="shared" si="3"/>
        <v>0</v>
      </c>
      <c r="BC99">
        <f t="shared" si="3"/>
        <v>0</v>
      </c>
      <c r="BD99">
        <f t="shared" si="3"/>
        <v>0</v>
      </c>
      <c r="BE99">
        <f t="shared" si="3"/>
        <v>0</v>
      </c>
    </row>
    <row r="100" spans="1:57">
      <c r="A100" t="s">
        <v>438</v>
      </c>
      <c r="B100" t="s">
        <v>509</v>
      </c>
      <c r="C100" t="s">
        <v>434</v>
      </c>
      <c r="D100" s="58">
        <f>'LPG, Kerosene, Diesel Use'!B33*BTU_per_thousand_tons_kerosene*'LPG, Kerosene, Diesel Use'!B67</f>
        <v>21566524575618</v>
      </c>
      <c r="E100" s="58">
        <f>'LPG, Kerosene, Diesel Use'!B36*BTU_per_thousand_tons_kerosene*'LPG, Kerosene, Diesel Use'!B67</f>
        <v>15058051703788.5</v>
      </c>
      <c r="F100">
        <f>'LPG, Kerosene, Diesel Use'!B39*BTU_per_thousand_tons_kerosene*'LPG, Kerosene, Diesel Use'!B67</f>
        <v>13390538625931.5</v>
      </c>
      <c r="G100">
        <f>F100-($F$100-$I$100)/3</f>
        <v>8927025750621</v>
      </c>
      <c r="H100">
        <f>G100-($F$100-$I$100)/3</f>
        <v>4463512875310.5</v>
      </c>
      <c r="I100">
        <f>'IESS Demand'!H48</f>
        <v>0</v>
      </c>
      <c r="J100">
        <f t="shared" si="0"/>
        <v>0</v>
      </c>
      <c r="K100">
        <f t="shared" si="0"/>
        <v>0</v>
      </c>
      <c r="L100">
        <f t="shared" si="0"/>
        <v>0</v>
      </c>
      <c r="M100">
        <f t="shared" si="0"/>
        <v>0</v>
      </c>
      <c r="N100">
        <f t="shared" si="0"/>
        <v>0</v>
      </c>
      <c r="O100">
        <f t="shared" si="0"/>
        <v>0</v>
      </c>
      <c r="P100">
        <f t="shared" si="0"/>
        <v>0</v>
      </c>
      <c r="Q100">
        <f t="shared" si="0"/>
        <v>0</v>
      </c>
      <c r="R100">
        <f t="shared" si="0"/>
        <v>0</v>
      </c>
      <c r="S100">
        <f t="shared" si="0"/>
        <v>0</v>
      </c>
      <c r="T100">
        <f t="shared" si="1"/>
        <v>0</v>
      </c>
      <c r="U100">
        <f t="shared" si="1"/>
        <v>0</v>
      </c>
      <c r="V100">
        <f t="shared" si="1"/>
        <v>0</v>
      </c>
      <c r="W100">
        <f t="shared" si="1"/>
        <v>0</v>
      </c>
      <c r="X100">
        <f t="shared" si="1"/>
        <v>0</v>
      </c>
      <c r="Y100">
        <f t="shared" si="1"/>
        <v>0</v>
      </c>
      <c r="Z100">
        <f t="shared" si="1"/>
        <v>0</v>
      </c>
      <c r="AA100">
        <f t="shared" si="1"/>
        <v>0</v>
      </c>
      <c r="AB100">
        <f t="shared" si="1"/>
        <v>0</v>
      </c>
      <c r="AC100">
        <f t="shared" si="1"/>
        <v>0</v>
      </c>
      <c r="AD100">
        <f t="shared" si="2"/>
        <v>0</v>
      </c>
      <c r="AE100">
        <f t="shared" si="2"/>
        <v>0</v>
      </c>
      <c r="AF100">
        <f t="shared" si="2"/>
        <v>0</v>
      </c>
      <c r="AG100">
        <f t="shared" si="2"/>
        <v>0</v>
      </c>
      <c r="AH100">
        <f t="shared" si="2"/>
        <v>0</v>
      </c>
      <c r="AI100">
        <f t="shared" si="2"/>
        <v>0</v>
      </c>
      <c r="AJ100">
        <f t="shared" si="2"/>
        <v>0</v>
      </c>
      <c r="AK100">
        <f t="shared" si="2"/>
        <v>0</v>
      </c>
      <c r="AL100">
        <f t="shared" si="3"/>
        <v>0</v>
      </c>
      <c r="AM100">
        <f t="shared" si="3"/>
        <v>0</v>
      </c>
      <c r="AN100">
        <f t="shared" si="3"/>
        <v>0</v>
      </c>
      <c r="AO100">
        <f t="shared" si="3"/>
        <v>0</v>
      </c>
      <c r="AP100">
        <f t="shared" si="3"/>
        <v>0</v>
      </c>
      <c r="AQ100">
        <f t="shared" si="3"/>
        <v>0</v>
      </c>
      <c r="AR100">
        <f t="shared" si="3"/>
        <v>0</v>
      </c>
      <c r="AS100">
        <f t="shared" si="3"/>
        <v>0</v>
      </c>
      <c r="AT100">
        <f t="shared" si="3"/>
        <v>0</v>
      </c>
      <c r="AU100">
        <f t="shared" si="3"/>
        <v>0</v>
      </c>
      <c r="AV100">
        <f t="shared" si="3"/>
        <v>0</v>
      </c>
      <c r="AW100">
        <f t="shared" si="3"/>
        <v>0</v>
      </c>
      <c r="AX100">
        <f t="shared" si="3"/>
        <v>0</v>
      </c>
      <c r="AY100">
        <f t="shared" si="3"/>
        <v>0</v>
      </c>
      <c r="AZ100">
        <f t="shared" si="3"/>
        <v>0</v>
      </c>
      <c r="BA100">
        <f t="shared" si="3"/>
        <v>0</v>
      </c>
      <c r="BB100">
        <f t="shared" si="3"/>
        <v>0</v>
      </c>
      <c r="BC100">
        <f t="shared" si="3"/>
        <v>0</v>
      </c>
      <c r="BD100">
        <f t="shared" si="3"/>
        <v>0</v>
      </c>
      <c r="BE100">
        <f t="shared" si="3"/>
        <v>0</v>
      </c>
    </row>
    <row r="101" spans="1:57">
      <c r="A101" t="s">
        <v>438</v>
      </c>
      <c r="B101" t="s">
        <v>509</v>
      </c>
      <c r="C101" t="s">
        <v>435</v>
      </c>
      <c r="D101" s="58">
        <v>0</v>
      </c>
      <c r="E101" s="58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>
      <c r="A102" t="s">
        <v>53</v>
      </c>
      <c r="B102" t="s">
        <v>509</v>
      </c>
      <c r="C102" t="s">
        <v>502</v>
      </c>
      <c r="D102" s="58">
        <v>0</v>
      </c>
      <c r="E102" s="58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>
      <c r="A103" t="s">
        <v>53</v>
      </c>
      <c r="B103" t="s">
        <v>509</v>
      </c>
      <c r="C103" t="s">
        <v>503</v>
      </c>
      <c r="D103" s="58">
        <v>0</v>
      </c>
      <c r="E103" s="58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>
      <c r="A104" t="s">
        <v>53</v>
      </c>
      <c r="B104" t="s">
        <v>509</v>
      </c>
      <c r="C104" t="s">
        <v>364</v>
      </c>
      <c r="D104" s="58">
        <f>'LPG, Kerosene, Diesel Use'!B34*BTU_per_thousand_tons_kerosene*'LPG, Kerosene, Diesel Use'!B66</f>
        <v>2875981412848.5</v>
      </c>
      <c r="E104" s="58">
        <f>'LPG, Kerosene, Diesel Use'!B37*BTU_per_thousand_tons_kerosene*'LPG, Kerosene, Diesel Use'!B66</f>
        <v>3617448284686.5</v>
      </c>
      <c r="F104">
        <f>'LPG, Kerosene, Diesel Use'!B40*BTU_per_thousand_tons_kerosene*'LPG, Kerosene, Diesel Use'!B66</f>
        <v>3629010393855</v>
      </c>
      <c r="G104">
        <f>F104-($F$104-$I$104)/3</f>
        <v>15569561071053</v>
      </c>
      <c r="H104" s="1">
        <f>'LPG, Kerosene, Diesel Use'!B51*BTU_per_thousand_tons_kerosene*'LPG, Kerosene, Diesel Use'!B66</f>
        <v>59175993638173.492</v>
      </c>
      <c r="I104" s="1">
        <f>H104-($H$104-$K$104)/3</f>
        <v>39450662425449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>
      <c r="A105" t="s">
        <v>53</v>
      </c>
      <c r="B105" t="s">
        <v>509</v>
      </c>
      <c r="C105" t="s">
        <v>434</v>
      </c>
      <c r="D105" s="58">
        <f>'LPG, Kerosene, Diesel Use'!B34*BTU_per_thousand_tons_kerosene*'LPG, Kerosene, Diesel Use'!B67</f>
        <v>319553490316.5</v>
      </c>
      <c r="E105" s="58">
        <f>'LPG, Kerosene, Diesel Use'!B37*BTU_per_thousand_tons_kerosene*'LPG, Kerosene, Diesel Use'!B67</f>
        <v>401938698298.5</v>
      </c>
      <c r="F105">
        <f>'LPG, Kerosene, Diesel Use'!B40*BTU_per_thousand_tons_kerosene*'LPG, Kerosene, Diesel Use'!B67</f>
        <v>403223377095</v>
      </c>
      <c r="G105">
        <f>F105-($F$105-$I$105)/3</f>
        <v>1729951230117</v>
      </c>
      <c r="H105" s="1">
        <f>'LPG, Kerosene, Diesel Use'!B51*BTU_per_thousand_tons_kerosene*'LPG, Kerosene, Diesel Use'!B67</f>
        <v>6575110404241.5</v>
      </c>
      <c r="I105" s="1">
        <f>H105-($H$105-$K$105)/3</f>
        <v>4383406936161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>
      <c r="A106" t="s">
        <v>53</v>
      </c>
      <c r="B106" t="s">
        <v>509</v>
      </c>
      <c r="C106" t="s">
        <v>435</v>
      </c>
      <c r="D106" s="58">
        <v>0</v>
      </c>
      <c r="E106" s="58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>
      <c r="A107" t="s">
        <v>437</v>
      </c>
      <c r="B107" t="s">
        <v>510</v>
      </c>
      <c r="C107" t="s">
        <v>502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>
      <c r="A108" t="s">
        <v>437</v>
      </c>
      <c r="B108" t="s">
        <v>510</v>
      </c>
      <c r="C108" t="s">
        <v>503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>
      <c r="A109" t="s">
        <v>437</v>
      </c>
      <c r="B109" t="s">
        <v>510</v>
      </c>
      <c r="C109" t="s">
        <v>364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>
      <c r="A110" t="s">
        <v>437</v>
      </c>
      <c r="B110" t="s">
        <v>510</v>
      </c>
      <c r="C110" t="s">
        <v>434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>
      <c r="A111" t="s">
        <v>437</v>
      </c>
      <c r="B111" t="s">
        <v>510</v>
      </c>
      <c r="C111" t="s">
        <v>435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>
      <c r="A112" t="s">
        <v>438</v>
      </c>
      <c r="B112" t="s">
        <v>510</v>
      </c>
      <c r="C112" t="s">
        <v>502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>
      <c r="A113" t="s">
        <v>438</v>
      </c>
      <c r="B113" t="s">
        <v>510</v>
      </c>
      <c r="C113" t="s">
        <v>503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>
      <c r="A114" t="s">
        <v>438</v>
      </c>
      <c r="B114" t="s">
        <v>510</v>
      </c>
      <c r="C114" t="s">
        <v>364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>
      <c r="A115" t="s">
        <v>438</v>
      </c>
      <c r="B115" t="s">
        <v>510</v>
      </c>
      <c r="C115" t="s">
        <v>434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>
      <c r="A116" t="s">
        <v>438</v>
      </c>
      <c r="B116" t="s">
        <v>510</v>
      </c>
      <c r="C116" t="s">
        <v>435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>
      <c r="A117" t="s">
        <v>53</v>
      </c>
      <c r="B117" t="s">
        <v>510</v>
      </c>
      <c r="C117" t="s">
        <v>502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>
      <c r="A118" t="s">
        <v>53</v>
      </c>
      <c r="B118" t="s">
        <v>510</v>
      </c>
      <c r="C118" t="s">
        <v>503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>
      <c r="A119" t="s">
        <v>53</v>
      </c>
      <c r="B119" t="s">
        <v>510</v>
      </c>
      <c r="C119" t="s">
        <v>364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>
      <c r="A120" t="s">
        <v>53</v>
      </c>
      <c r="B120" t="s">
        <v>510</v>
      </c>
      <c r="C120" t="s">
        <v>434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>
      <c r="A121" t="s">
        <v>53</v>
      </c>
      <c r="B121" t="s">
        <v>510</v>
      </c>
      <c r="C121" t="s">
        <v>435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>
      <c r="A122" t="s">
        <v>437</v>
      </c>
      <c r="B122" t="s">
        <v>511</v>
      </c>
      <c r="C122" t="s">
        <v>502</v>
      </c>
      <c r="D122" s="58">
        <v>0</v>
      </c>
      <c r="E122" s="58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>
      <c r="A123" t="s">
        <v>437</v>
      </c>
      <c r="B123" t="s">
        <v>511</v>
      </c>
      <c r="C123" t="s">
        <v>503</v>
      </c>
      <c r="D123" s="58">
        <v>0</v>
      </c>
      <c r="E123" s="58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>
      <c r="A124" t="s">
        <v>437</v>
      </c>
      <c r="B124" t="s">
        <v>511</v>
      </c>
      <c r="C124" t="s">
        <v>364</v>
      </c>
      <c r="D124" s="58">
        <v>0</v>
      </c>
      <c r="E124" s="58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>
      <c r="A125" t="s">
        <v>437</v>
      </c>
      <c r="B125" t="s">
        <v>511</v>
      </c>
      <c r="C125" t="s">
        <v>434</v>
      </c>
      <c r="D125" s="58">
        <f>'LPG, Kerosene, Diesel Use'!$B$2*BTU_per_thousand_tons_LPG*'IESS Demand'!$G$99/SUM('IESS Demand'!$G$89,'IESS Demand'!$G$99)*'IESS Demand'!D122/'IESS Demand'!$D$122</f>
        <v>495133384726832.19</v>
      </c>
      <c r="E125" s="58">
        <f>'LPG, Kerosene, Diesel Use'!$B$5*BTU_per_thousand_tons_LPG*'IESS Demand'!$G$99/SUM('IESS Demand'!$G$89,'IESS Demand'!$G$99)*'IESS Demand'!E122/'IESS Demand'!$E$122</f>
        <v>533991555612341</v>
      </c>
      <c r="F125">
        <f>'LPG, Kerosene, Diesel Use'!$B$8*BTU_per_thousand_tons_LPG*'IESS Demand'!$G$99/SUM('IESS Demand'!$G$89,'IESS Demand'!$G$99)*'IESS Demand'!F122/'IESS Demand'!$F$122</f>
        <v>570094758271666</v>
      </c>
      <c r="G125">
        <f>'LPG, Kerosene, Diesel Use'!$B$8*BTU_per_thousand_tons_LPG*'IESS Demand'!$G$99/SUM('IESS Demand'!$G$89,'IESS Demand'!$G$99)*'IESS Demand'!G122/'IESS Demand'!$F$122</f>
        <v>579667469953496.38</v>
      </c>
      <c r="H125">
        <f>'LPG, Kerosene, Diesel Use'!$B$20*BTU_per_thousand_tons_LPG*'IESS Demand'!$H$99/SUM('IESS Demand'!$H$89,'IESS Demand'!$H$99)*'IESS Demand'!I122/'IESS Demand'!$I$122</f>
        <v>601022190570259.63</v>
      </c>
      <c r="I125">
        <f>'LPG, Kerosene, Diesel Use'!$B$20*BTU_per_thousand_tons_LPG*'IESS Demand'!$H$99/SUM('IESS Demand'!$H$89,'IESS Demand'!$H$99)*'IESS Demand'!J122/'IESS Demand'!$I$122</f>
        <v>601471092303273.5</v>
      </c>
      <c r="J125">
        <f>'LPG, Kerosene, Diesel Use'!$B$20*BTU_per_thousand_tons_LPG*'IESS Demand'!$H$99/SUM('IESS Demand'!$H$89,'IESS Demand'!$H$99)*'IESS Demand'!K122/'IESS Demand'!$I$122</f>
        <v>601919994036287.25</v>
      </c>
      <c r="K125">
        <f>'LPG, Kerosene, Diesel Use'!$B$20*BTU_per_thousand_tons_LPG*'IESS Demand'!$H$99/SUM('IESS Demand'!$H$89,'IESS Demand'!$H$99)*'IESS Demand'!L122/'IESS Demand'!$I$122</f>
        <v>602368895769301.13</v>
      </c>
      <c r="L125">
        <f>'LPG, Kerosene, Diesel Use'!$B$20*BTU_per_thousand_tons_LPG*'IESS Demand'!$H$99/SUM('IESS Demand'!$H$89,'IESS Demand'!$H$99)*'IESS Demand'!M122/'IESS Demand'!$I$122</f>
        <v>602817797502315.13</v>
      </c>
      <c r="M125">
        <f>'LPG, Kerosene, Diesel Use'!$B$20*BTU_per_thousand_tons_LPG*'IESS Demand'!$H$99/SUM('IESS Demand'!$H$89,'IESS Demand'!$H$99)*'IESS Demand'!N122/'IESS Demand'!$I$122</f>
        <v>603266699235329</v>
      </c>
      <c r="N125">
        <f>'LPG, Kerosene, Diesel Use'!$B$20*BTU_per_thousand_tons_LPG*'IESS Demand'!$H$99/SUM('IESS Demand'!$H$89,'IESS Demand'!$H$99)*'IESS Demand'!O122/'IESS Demand'!$I$122</f>
        <v>608132548318307.38</v>
      </c>
      <c r="O125">
        <f>'LPG, Kerosene, Diesel Use'!$B$20*BTU_per_thousand_tons_LPG*'IESS Demand'!$H$99/SUM('IESS Demand'!$H$89,'IESS Demand'!$H$99)*'IESS Demand'!P122/'IESS Demand'!$I$122</f>
        <v>612998397401285.75</v>
      </c>
      <c r="P125">
        <f>'LPG, Kerosene, Diesel Use'!$B$20*BTU_per_thousand_tons_LPG*'IESS Demand'!$H$99/SUM('IESS Demand'!$H$89,'IESS Demand'!$H$99)*'IESS Demand'!Q122/'IESS Demand'!$I$122</f>
        <v>617864246484264</v>
      </c>
      <c r="Q125">
        <f>'LPG, Kerosene, Diesel Use'!$B$20*BTU_per_thousand_tons_LPG*'IESS Demand'!$H$99/SUM('IESS Demand'!$H$89,'IESS Demand'!$H$99)*'IESS Demand'!R122/'IESS Demand'!$I$122</f>
        <v>622730095567242.25</v>
      </c>
      <c r="R125">
        <f>'LPG, Kerosene, Diesel Use'!$B$20*BTU_per_thousand_tons_LPG*'IESS Demand'!$H$99/SUM('IESS Demand'!$H$89,'IESS Demand'!$H$99)*'IESS Demand'!S122/'IESS Demand'!$I$122</f>
        <v>627595944650220.5</v>
      </c>
      <c r="S125">
        <f>'LPG, Kerosene, Diesel Use'!$B$20*BTU_per_thousand_tons_LPG*'IESS Demand'!$H$99/SUM('IESS Demand'!$H$89,'IESS Demand'!$H$99)*'IESS Demand'!T122/'IESS Demand'!$I$122</f>
        <v>634292058835601.13</v>
      </c>
      <c r="T125">
        <f>'LPG, Kerosene, Diesel Use'!$B$20*BTU_per_thousand_tons_LPG*'IESS Demand'!$H$99/SUM('IESS Demand'!$H$89,'IESS Demand'!$H$99)*'IESS Demand'!U122/'IESS Demand'!$I$122</f>
        <v>640988173020981.75</v>
      </c>
      <c r="U125">
        <f>'LPG, Kerosene, Diesel Use'!$B$20*BTU_per_thousand_tons_LPG*'IESS Demand'!$H$99/SUM('IESS Demand'!$H$89,'IESS Demand'!$H$99)*'IESS Demand'!V122/'IESS Demand'!$I$122</f>
        <v>647684287206362.38</v>
      </c>
      <c r="V125">
        <f>'LPG, Kerosene, Diesel Use'!$B$20*BTU_per_thousand_tons_LPG*'IESS Demand'!$H$99/SUM('IESS Demand'!$H$89,'IESS Demand'!$H$99)*'IESS Demand'!W122/'IESS Demand'!$I$122</f>
        <v>654380401391743</v>
      </c>
      <c r="W125">
        <f>'LPG, Kerosene, Diesel Use'!$B$20*BTU_per_thousand_tons_LPG*'IESS Demand'!$H$99/SUM('IESS Demand'!$H$89,'IESS Demand'!$H$99)*'IESS Demand'!X122/'IESS Demand'!$I$122</f>
        <v>661076515577123.75</v>
      </c>
      <c r="X125">
        <f>'LPG, Kerosene, Diesel Use'!$B$20*BTU_per_thousand_tons_LPG*'IESS Demand'!$H$99/SUM('IESS Demand'!$H$89,'IESS Demand'!$H$99)*'IESS Demand'!Y122/'IESS Demand'!$I$122</f>
        <v>652347185889088.5</v>
      </c>
      <c r="Y125">
        <f>'LPG, Kerosene, Diesel Use'!$B$20*BTU_per_thousand_tons_LPG*'IESS Demand'!$H$99/SUM('IESS Demand'!$H$89,'IESS Demand'!$H$99)*'IESS Demand'!Z122/'IESS Demand'!$I$122</f>
        <v>643617856201053.13</v>
      </c>
      <c r="Z125">
        <f>'LPG, Kerosene, Diesel Use'!$B$20*BTU_per_thousand_tons_LPG*'IESS Demand'!$H$99/SUM('IESS Demand'!$H$89,'IESS Demand'!$H$99)*'IESS Demand'!AA122/'IESS Demand'!$I$122</f>
        <v>634888526513017.75</v>
      </c>
      <c r="AA125">
        <f>'LPG, Kerosene, Diesel Use'!$B$20*BTU_per_thousand_tons_LPG*'IESS Demand'!$H$99/SUM('IESS Demand'!$H$89,'IESS Demand'!$H$99)*'IESS Demand'!AB122/'IESS Demand'!$I$122</f>
        <v>626159196824982.38</v>
      </c>
      <c r="AB125">
        <f>'LPG, Kerosene, Diesel Use'!$B$20*BTU_per_thousand_tons_LPG*'IESS Demand'!$H$99/SUM('IESS Demand'!$H$89,'IESS Demand'!$H$99)*'IESS Demand'!AC122/'IESS Demand'!$I$122</f>
        <v>617429867136947</v>
      </c>
      <c r="AC125">
        <f>'LPG, Kerosene, Diesel Use'!$B$20*BTU_per_thousand_tons_LPG*'IESS Demand'!$H$99/SUM('IESS Demand'!$H$89,'IESS Demand'!$H$99)*'IESS Demand'!AD122/'IESS Demand'!$I$122</f>
        <v>615695188270258.63</v>
      </c>
      <c r="AD125">
        <f>'LPG, Kerosene, Diesel Use'!$B$20*BTU_per_thousand_tons_LPG*'IESS Demand'!$H$99/SUM('IESS Demand'!$H$89,'IESS Demand'!$H$99)*'IESS Demand'!AE122/'IESS Demand'!$I$122</f>
        <v>613960509403570.5</v>
      </c>
      <c r="AE125">
        <f>'LPG, Kerosene, Diesel Use'!$B$20*BTU_per_thousand_tons_LPG*'IESS Demand'!$H$99/SUM('IESS Demand'!$H$89,'IESS Demand'!$H$99)*'IESS Demand'!AF122/'IESS Demand'!$I$122</f>
        <v>612225830536882.13</v>
      </c>
      <c r="AF125">
        <f>'LPG, Kerosene, Diesel Use'!$B$20*BTU_per_thousand_tons_LPG*'IESS Demand'!$H$99/SUM('IESS Demand'!$H$89,'IESS Demand'!$H$99)*'IESS Demand'!AG122/'IESS Demand'!$I$122</f>
        <v>610491151670193.88</v>
      </c>
      <c r="AG125">
        <f>'LPG, Kerosene, Diesel Use'!$B$20*BTU_per_thousand_tons_LPG*'IESS Demand'!$H$99/SUM('IESS Demand'!$H$89,'IESS Demand'!$H$99)*'IESS Demand'!AH122/'IESS Demand'!$I$122</f>
        <v>608756472803505.5</v>
      </c>
      <c r="AH125">
        <f>'LPG, Kerosene, Diesel Use'!$B$20*BTU_per_thousand_tons_LPG*'IESS Demand'!$H$99/SUM('IESS Demand'!$H$89,'IESS Demand'!$H$99)*'IESS Demand'!AI122/'IESS Demand'!$I$122</f>
        <v>607021793936817.25</v>
      </c>
      <c r="AI125">
        <f>'LPG, Kerosene, Diesel Use'!$B$20*BTU_per_thousand_tons_LPG*'IESS Demand'!$H$99/SUM('IESS Demand'!$H$89,'IESS Demand'!$H$99)*'IESS Demand'!AJ122/'IESS Demand'!$I$122</f>
        <v>605287115070129</v>
      </c>
      <c r="AJ125">
        <f>'LPG, Kerosene, Diesel Use'!$B$20*BTU_per_thousand_tons_LPG*'IESS Demand'!$H$99/SUM('IESS Demand'!$H$89,'IESS Demand'!$H$99)*'IESS Demand'!AK122/'IESS Demand'!$I$122</f>
        <v>603552436203440.75</v>
      </c>
      <c r="AK125">
        <f>'LPG, Kerosene, Diesel Use'!$B$20*BTU_per_thousand_tons_LPG*'IESS Demand'!$H$99/SUM('IESS Demand'!$H$89,'IESS Demand'!$H$99)*'IESS Demand'!AL122/'IESS Demand'!$I$122</f>
        <v>601817757336752.5</v>
      </c>
      <c r="AL125">
        <f>'LPG, Kerosene, Diesel Use'!$B$20*BTU_per_thousand_tons_LPG*'IESS Demand'!$H$99/SUM('IESS Demand'!$H$89,'IESS Demand'!$H$99)*'IESS Demand'!AM122/'IESS Demand'!$I$122</f>
        <v>600083078470064.25</v>
      </c>
      <c r="AM125">
        <f>'LPG, Kerosene, Diesel Use'!$B$20*BTU_per_thousand_tons_LPG*'IESS Demand'!$H$99/SUM('IESS Demand'!$H$89,'IESS Demand'!$H$99)*'IESS Demand'!AN122/'IESS Demand'!$I$122</f>
        <v>598348399603376</v>
      </c>
      <c r="AN125">
        <f>'LPG, Kerosene, Diesel Use'!$B$20*BTU_per_thousand_tons_LPG*'IESS Demand'!$H$99/SUM('IESS Demand'!$H$89,'IESS Demand'!$H$99)*'IESS Demand'!AO122/'IESS Demand'!$I$122</f>
        <v>596613720736687.75</v>
      </c>
      <c r="AO125">
        <f>'LPG, Kerosene, Diesel Use'!$B$20*BTU_per_thousand_tons_LPG*'IESS Demand'!$H$99/SUM('IESS Demand'!$H$89,'IESS Demand'!$H$99)*'IESS Demand'!AP122/'IESS Demand'!$I$122</f>
        <v>594879041869999.5</v>
      </c>
      <c r="AP125">
        <f>'LPG, Kerosene, Diesel Use'!$B$20*BTU_per_thousand_tons_LPG*'IESS Demand'!$H$99/SUM('IESS Demand'!$H$89,'IESS Demand'!$H$99)*'IESS Demand'!AQ122/'IESS Demand'!$I$122</f>
        <v>593144363003311.25</v>
      </c>
      <c r="AQ125">
        <f>'LPG, Kerosene, Diesel Use'!$B$20*BTU_per_thousand_tons_LPG*'IESS Demand'!$H$99/SUM('IESS Demand'!$H$89,'IESS Demand'!$H$99)*'IESS Demand'!AR122/'IESS Demand'!$I$122</f>
        <v>591409684136623</v>
      </c>
      <c r="AR125">
        <f>'LPG, Kerosene, Diesel Use'!$B$20*BTU_per_thousand_tons_LPG*'IESS Demand'!$H$99/SUM('IESS Demand'!$H$89,'IESS Demand'!$H$99)*'IESS Demand'!AS122/'IESS Demand'!$I$122</f>
        <v>589675005269934.75</v>
      </c>
      <c r="AS125">
        <f>'LPG, Kerosene, Diesel Use'!$B$20*BTU_per_thousand_tons_LPG*'IESS Demand'!$H$99/SUM('IESS Demand'!$H$89,'IESS Demand'!$H$99)*'IESS Demand'!AT122/'IESS Demand'!$I$122</f>
        <v>587940326403246.5</v>
      </c>
      <c r="AT125">
        <f>'LPG, Kerosene, Diesel Use'!$B$20*BTU_per_thousand_tons_LPG*'IESS Demand'!$H$99/SUM('IESS Demand'!$H$89,'IESS Demand'!$H$99)*'IESS Demand'!AU122/'IESS Demand'!$I$122</f>
        <v>586205647536558.25</v>
      </c>
      <c r="AU125">
        <f>'LPG, Kerosene, Diesel Use'!$B$20*BTU_per_thousand_tons_LPG*'IESS Demand'!$H$99/SUM('IESS Demand'!$H$89,'IESS Demand'!$H$99)*'IESS Demand'!AV122/'IESS Demand'!$I$122</f>
        <v>584470968669870</v>
      </c>
      <c r="AV125">
        <f>'LPG, Kerosene, Diesel Use'!$B$20*BTU_per_thousand_tons_LPG*'IESS Demand'!$H$99/SUM('IESS Demand'!$H$89,'IESS Demand'!$H$99)*'IESS Demand'!AW122/'IESS Demand'!$I$122</f>
        <v>582736289803181.63</v>
      </c>
      <c r="AW125">
        <f>'LPG, Kerosene, Diesel Use'!$B$20*BTU_per_thousand_tons_LPG*'IESS Demand'!$H$99/SUM('IESS Demand'!$H$89,'IESS Demand'!$H$99)*'IESS Demand'!AX122/'IESS Demand'!$I$122</f>
        <v>581001610936493.5</v>
      </c>
      <c r="AX125">
        <f>'LPG, Kerosene, Diesel Use'!$B$20*BTU_per_thousand_tons_LPG*'IESS Demand'!$H$99/SUM('IESS Demand'!$H$89,'IESS Demand'!$H$99)*'IESS Demand'!AY122/'IESS Demand'!$I$122</f>
        <v>579266932069805.13</v>
      </c>
      <c r="AY125">
        <f>'LPG, Kerosene, Diesel Use'!$B$20*BTU_per_thousand_tons_LPG*'IESS Demand'!$H$99/SUM('IESS Demand'!$H$89,'IESS Demand'!$H$99)*'IESS Demand'!AZ122/'IESS Demand'!$I$122</f>
        <v>577532253203117</v>
      </c>
      <c r="AZ125">
        <f>'LPG, Kerosene, Diesel Use'!$B$20*BTU_per_thousand_tons_LPG*'IESS Demand'!$H$99/SUM('IESS Demand'!$H$89,'IESS Demand'!$H$99)*'IESS Demand'!BA122/'IESS Demand'!$I$122</f>
        <v>575797574336428.63</v>
      </c>
      <c r="BA125">
        <f>'LPG, Kerosene, Diesel Use'!$B$20*BTU_per_thousand_tons_LPG*'IESS Demand'!$H$99/SUM('IESS Demand'!$H$89,'IESS Demand'!$H$99)*'IESS Demand'!BB122/'IESS Demand'!$I$122</f>
        <v>574062895469740.5</v>
      </c>
      <c r="BB125">
        <f>'LPG, Kerosene, Diesel Use'!$B$20*BTU_per_thousand_tons_LPG*'IESS Demand'!$H$99/SUM('IESS Demand'!$H$89,'IESS Demand'!$H$99)*'IESS Demand'!BC122/'IESS Demand'!$I$122</f>
        <v>572328216603052.13</v>
      </c>
      <c r="BC125">
        <f>'LPG, Kerosene, Diesel Use'!$B$20*BTU_per_thousand_tons_LPG*'IESS Demand'!$H$99/SUM('IESS Demand'!$H$89,'IESS Demand'!$H$99)*'IESS Demand'!BD122/'IESS Demand'!$I$122</f>
        <v>570593537736364</v>
      </c>
      <c r="BD125">
        <f>'LPG, Kerosene, Diesel Use'!$B$20*BTU_per_thousand_tons_LPG*'IESS Demand'!$H$99/SUM('IESS Demand'!$H$89,'IESS Demand'!$H$99)*'IESS Demand'!BE122/'IESS Demand'!$I$122</f>
        <v>568858858869675.63</v>
      </c>
      <c r="BE125">
        <f>'LPG, Kerosene, Diesel Use'!$B$20*BTU_per_thousand_tons_LPG*'IESS Demand'!$H$99/SUM('IESS Demand'!$H$89,'IESS Demand'!$H$99)*'IESS Demand'!BF122/'IESS Demand'!$I$122</f>
        <v>0</v>
      </c>
    </row>
    <row r="126" spans="1:57">
      <c r="A126" t="s">
        <v>437</v>
      </c>
      <c r="B126" t="s">
        <v>511</v>
      </c>
      <c r="C126" t="s">
        <v>435</v>
      </c>
      <c r="D126" s="58">
        <v>0</v>
      </c>
      <c r="E126" s="58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>
      <c r="A127" t="s">
        <v>438</v>
      </c>
      <c r="B127" t="s">
        <v>511</v>
      </c>
      <c r="C127" t="s">
        <v>502</v>
      </c>
      <c r="D127" s="58">
        <v>0</v>
      </c>
      <c r="E127" s="58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>
      <c r="A128" t="s">
        <v>438</v>
      </c>
      <c r="B128" t="s">
        <v>511</v>
      </c>
      <c r="C128" t="s">
        <v>503</v>
      </c>
      <c r="D128" s="58">
        <v>0</v>
      </c>
      <c r="E128" s="5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</row>
    <row r="129" spans="1:57">
      <c r="A129" t="s">
        <v>438</v>
      </c>
      <c r="B129" t="s">
        <v>511</v>
      </c>
      <c r="C129" t="s">
        <v>364</v>
      </c>
      <c r="D129" s="58">
        <v>0</v>
      </c>
      <c r="E129" s="58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</row>
    <row r="130" spans="1:57">
      <c r="A130" t="s">
        <v>438</v>
      </c>
      <c r="B130" t="s">
        <v>511</v>
      </c>
      <c r="C130" t="s">
        <v>434</v>
      </c>
      <c r="D130" s="58">
        <f>'LPG, Kerosene, Diesel Use'!$B$2*BTU_per_thousand_tons_LPG*'IESS Demand'!$G$89/SUM('IESS Demand'!$G$89,'IESS Demand'!$G$99)*'IESS Demand'!D125/'IESS Demand'!$D$125</f>
        <v>350515207114167.75</v>
      </c>
      <c r="E130" s="58">
        <f>'LPG, Kerosene, Diesel Use'!$B$5*BTU_per_thousand_tons_LPG*'IESS Demand'!$G$89/SUM('IESS Demand'!$G$89,'IESS Demand'!$G$99)*'IESS Demand'!E125/'IESS Demand'!$E$125</f>
        <v>378023713379658.88</v>
      </c>
      <c r="F130">
        <f>'LPG, Kerosene, Diesel Use'!$B$8*BTU_per_thousand_tons_LPG*'IESS Demand'!$G$89/SUM('IESS Demand'!$G$89,'IESS Demand'!$G$99)*'IESS Demand'!F125/'IESS Demand'!$F$125</f>
        <v>403581920416333.88</v>
      </c>
      <c r="G130">
        <f>'LPG, Kerosene, Diesel Use'!$B$8*BTU_per_thousand_tons_LPG*'IESS Demand'!$G$89/SUM('IESS Demand'!$G$89,'IESS Demand'!$G$99)*'IESS Demand'!G125/'IESS Demand'!$F$125</f>
        <v>427811721752791.5</v>
      </c>
      <c r="H130">
        <f>'LPG, Kerosene, Diesel Use'!$B$8*BTU_per_thousand_tons_LPG*'IESS Demand'!$G$89/SUM('IESS Demand'!$G$89,'IESS Demand'!$G$99)*'IESS Demand'!H125/'IESS Demand'!$F$125</f>
        <v>452041523089249.13</v>
      </c>
      <c r="I130">
        <f>'LPG, Kerosene, Diesel Use'!$B$8*BTU_per_thousand_tons_LPG*'IESS Demand'!$G$89/SUM('IESS Demand'!$G$89,'IESS Demand'!$G$99)*'IESS Demand'!I125/'IESS Demand'!$F$125</f>
        <v>476271324425706.69</v>
      </c>
      <c r="J130">
        <f>'LPG, Kerosene, Diesel Use'!$B$8*BTU_per_thousand_tons_LPG*'IESS Demand'!$G$89/SUM('IESS Demand'!$G$89,'IESS Demand'!$G$99)*'IESS Demand'!J125/'IESS Demand'!$F$125</f>
        <v>491139562137633.38</v>
      </c>
      <c r="K130">
        <f>'LPG, Kerosene, Diesel Use'!$B$8*BTU_per_thousand_tons_LPG*'IESS Demand'!$G$89/SUM('IESS Demand'!$G$89,'IESS Demand'!$G$99)*'IESS Demand'!K125/'IESS Demand'!$F$125</f>
        <v>506007799849560.06</v>
      </c>
      <c r="L130">
        <f>'LPG, Kerosene, Diesel Use'!$B$8*BTU_per_thousand_tons_LPG*'IESS Demand'!$G$89/SUM('IESS Demand'!$G$89,'IESS Demand'!$G$99)*'IESS Demand'!L125/'IESS Demand'!$F$125</f>
        <v>520876037561486.75</v>
      </c>
      <c r="M130">
        <f>'LPG, Kerosene, Diesel Use'!$B$8*BTU_per_thousand_tons_LPG*'IESS Demand'!$G$89/SUM('IESS Demand'!$G$89,'IESS Demand'!$G$99)*'IESS Demand'!M125/'IESS Demand'!$F$125</f>
        <v>535744275273413.38</v>
      </c>
      <c r="N130">
        <f>'LPG, Kerosene, Diesel Use'!$B$8*BTU_per_thousand_tons_LPG*'IESS Demand'!$G$89/SUM('IESS Demand'!$G$89,'IESS Demand'!$G$99)*'IESS Demand'!N125/'IESS Demand'!$F$125</f>
        <v>550612512985339.88</v>
      </c>
      <c r="O130">
        <f>'LPG, Kerosene, Diesel Use'!$B$8*BTU_per_thousand_tons_LPG*'IESS Demand'!$G$89/SUM('IESS Demand'!$G$89,'IESS Demand'!$G$99)*'IESS Demand'!O125/'IESS Demand'!$F$125</f>
        <v>586035235436608</v>
      </c>
      <c r="P130">
        <f>'LPG, Kerosene, Diesel Use'!$B$8*BTU_per_thousand_tons_LPG*'IESS Demand'!$G$89/SUM('IESS Demand'!$G$89,'IESS Demand'!$G$99)*'IESS Demand'!P125/'IESS Demand'!$F$125</f>
        <v>621457957887876.25</v>
      </c>
      <c r="Q130">
        <f>'LPG, Kerosene, Diesel Use'!$B$8*BTU_per_thousand_tons_LPG*'IESS Demand'!$G$89/SUM('IESS Demand'!$G$89,'IESS Demand'!$G$99)*'IESS Demand'!Q125/'IESS Demand'!$F$125</f>
        <v>656880680339144.38</v>
      </c>
      <c r="R130">
        <f>'LPG, Kerosene, Diesel Use'!$B$8*BTU_per_thousand_tons_LPG*'IESS Demand'!$G$89/SUM('IESS Demand'!$G$89,'IESS Demand'!$G$99)*'IESS Demand'!R125/'IESS Demand'!$F$125</f>
        <v>692303402790412.5</v>
      </c>
      <c r="S130">
        <f>'LPG, Kerosene, Diesel Use'!$B$8*BTU_per_thousand_tons_LPG*'IESS Demand'!$G$89/SUM('IESS Demand'!$G$89,'IESS Demand'!$G$99)*'IESS Demand'!S125/'IESS Demand'!$F$125</f>
        <v>727726125241680.75</v>
      </c>
      <c r="T130">
        <f>'LPG, Kerosene, Diesel Use'!$B$8*BTU_per_thousand_tons_LPG*'IESS Demand'!$G$89/SUM('IESS Demand'!$G$89,'IESS Demand'!$G$99)*'IESS Demand'!T125/'IESS Demand'!$F$125</f>
        <v>726355189978272.88</v>
      </c>
      <c r="U130">
        <f>'LPG, Kerosene, Diesel Use'!$B$8*BTU_per_thousand_tons_LPG*'IESS Demand'!$G$89/SUM('IESS Demand'!$G$89,'IESS Demand'!$G$99)*'IESS Demand'!U125/'IESS Demand'!$F$125</f>
        <v>724984254714864.88</v>
      </c>
      <c r="V130">
        <f>'LPG, Kerosene, Diesel Use'!$B$8*BTU_per_thousand_tons_LPG*'IESS Demand'!$G$89/SUM('IESS Demand'!$G$89,'IESS Demand'!$G$99)*'IESS Demand'!V125/'IESS Demand'!$F$125</f>
        <v>723613319451457</v>
      </c>
      <c r="W130">
        <f>'LPG, Kerosene, Diesel Use'!$B$8*BTU_per_thousand_tons_LPG*'IESS Demand'!$G$89/SUM('IESS Demand'!$G$89,'IESS Demand'!$G$99)*'IESS Demand'!W125/'IESS Demand'!$F$125</f>
        <v>722242384188049.13</v>
      </c>
      <c r="X130">
        <f>'LPG, Kerosene, Diesel Use'!$B$8*BTU_per_thousand_tons_LPG*'IESS Demand'!$G$89/SUM('IESS Demand'!$G$89,'IESS Demand'!$G$99)*'IESS Demand'!X125/'IESS Demand'!$F$125</f>
        <v>720871448924641.5</v>
      </c>
      <c r="Y130">
        <f>'LPG, Kerosene, Diesel Use'!$B$8*BTU_per_thousand_tons_LPG*'IESS Demand'!$G$89/SUM('IESS Demand'!$G$89,'IESS Demand'!$G$99)*'IESS Demand'!Y125/'IESS Demand'!$F$125</f>
        <v>720122511453850.63</v>
      </c>
      <c r="Z130">
        <f>'LPG, Kerosene, Diesel Use'!$B$8*BTU_per_thousand_tons_LPG*'IESS Demand'!$G$89/SUM('IESS Demand'!$G$89,'IESS Demand'!$G$99)*'IESS Demand'!Z125/'IESS Demand'!$F$125</f>
        <v>719373573983059.75</v>
      </c>
      <c r="AA130">
        <f>'LPG, Kerosene, Diesel Use'!$B$8*BTU_per_thousand_tons_LPG*'IESS Demand'!$G$89/SUM('IESS Demand'!$G$89,'IESS Demand'!$G$99)*'IESS Demand'!AA125/'IESS Demand'!$F$125</f>
        <v>718624636512268.75</v>
      </c>
      <c r="AB130">
        <f>'LPG, Kerosene, Diesel Use'!$B$8*BTU_per_thousand_tons_LPG*'IESS Demand'!$G$89/SUM('IESS Demand'!$G$89,'IESS Demand'!$G$99)*'IESS Demand'!AB125/'IESS Demand'!$F$125</f>
        <v>717875699041477.88</v>
      </c>
      <c r="AC130">
        <f>'LPG, Kerosene, Diesel Use'!$B$8*BTU_per_thousand_tons_LPG*'IESS Demand'!$G$89/SUM('IESS Demand'!$G$89,'IESS Demand'!$G$99)*'IESS Demand'!AC125/'IESS Demand'!$F$125</f>
        <v>717126761570686.75</v>
      </c>
      <c r="AD130">
        <f>'LPG, Kerosene, Diesel Use'!$B$8*BTU_per_thousand_tons_LPG*'IESS Demand'!$G$89/SUM('IESS Demand'!$G$89,'IESS Demand'!$G$99)*'IESS Demand'!AD125/'IESS Demand'!$F$125</f>
        <v>714270948928378.13</v>
      </c>
      <c r="AE130">
        <f>'LPG, Kerosene, Diesel Use'!$B$8*BTU_per_thousand_tons_LPG*'IESS Demand'!$G$89/SUM('IESS Demand'!$G$89,'IESS Demand'!$G$99)*'IESS Demand'!AE125/'IESS Demand'!$F$125</f>
        <v>711415136286069.5</v>
      </c>
      <c r="AF130">
        <f>'LPG, Kerosene, Diesel Use'!$B$8*BTU_per_thousand_tons_LPG*'IESS Demand'!$G$89/SUM('IESS Demand'!$G$89,'IESS Demand'!$G$99)*'IESS Demand'!AF125/'IESS Demand'!$F$125</f>
        <v>708559323643761</v>
      </c>
      <c r="AG130">
        <f>'LPG, Kerosene, Diesel Use'!$B$8*BTU_per_thousand_tons_LPG*'IESS Demand'!$G$89/SUM('IESS Demand'!$G$89,'IESS Demand'!$G$99)*'IESS Demand'!AG125/'IESS Demand'!$F$125</f>
        <v>705703511001452.38</v>
      </c>
      <c r="AH130">
        <f>'LPG, Kerosene, Diesel Use'!$B$8*BTU_per_thousand_tons_LPG*'IESS Demand'!$G$89/SUM('IESS Demand'!$G$89,'IESS Demand'!$G$99)*'IESS Demand'!AH125/'IESS Demand'!$F$125</f>
        <v>702847698359143.88</v>
      </c>
      <c r="AI130">
        <f>'LPG, Kerosene, Diesel Use'!$B$8*BTU_per_thousand_tons_LPG*'IESS Demand'!$G$89/SUM('IESS Demand'!$G$89,'IESS Demand'!$G$99)*'IESS Demand'!AI125/'IESS Demand'!$F$125</f>
        <v>699991885716835.38</v>
      </c>
      <c r="AJ130">
        <f>'LPG, Kerosene, Diesel Use'!$B$8*BTU_per_thousand_tons_LPG*'IESS Demand'!$G$89/SUM('IESS Demand'!$G$89,'IESS Demand'!$G$99)*'IESS Demand'!AJ125/'IESS Demand'!$F$125</f>
        <v>697136073074526.75</v>
      </c>
      <c r="AK130">
        <f>'LPG, Kerosene, Diesel Use'!$B$8*BTU_per_thousand_tons_LPG*'IESS Demand'!$G$89/SUM('IESS Demand'!$G$89,'IESS Demand'!$G$99)*'IESS Demand'!AK125/'IESS Demand'!$F$125</f>
        <v>694280260432218.13</v>
      </c>
      <c r="AL130">
        <f>'LPG, Kerosene, Diesel Use'!$B$8*BTU_per_thousand_tons_LPG*'IESS Demand'!$G$89/SUM('IESS Demand'!$G$89,'IESS Demand'!$G$99)*'IESS Demand'!AL125/'IESS Demand'!$F$125</f>
        <v>691424447789909.5</v>
      </c>
      <c r="AM130">
        <f>'LPG, Kerosene, Diesel Use'!$B$8*BTU_per_thousand_tons_LPG*'IESS Demand'!$G$89/SUM('IESS Demand'!$G$89,'IESS Demand'!$G$99)*'IESS Demand'!AM125/'IESS Demand'!$F$125</f>
        <v>688568635147600.88</v>
      </c>
      <c r="AN130">
        <f>'LPG, Kerosene, Diesel Use'!$B$8*BTU_per_thousand_tons_LPG*'IESS Demand'!$G$89/SUM('IESS Demand'!$G$89,'IESS Demand'!$G$99)*'IESS Demand'!AN125/'IESS Demand'!$F$125</f>
        <v>685712822505292.25</v>
      </c>
      <c r="AO130">
        <f>'LPG, Kerosene, Diesel Use'!$B$8*BTU_per_thousand_tons_LPG*'IESS Demand'!$G$89/SUM('IESS Demand'!$G$89,'IESS Demand'!$G$99)*'IESS Demand'!AO125/'IESS Demand'!$F$125</f>
        <v>682857009862983.75</v>
      </c>
      <c r="AP130">
        <f>'LPG, Kerosene, Diesel Use'!$B$8*BTU_per_thousand_tons_LPG*'IESS Demand'!$G$89/SUM('IESS Demand'!$G$89,'IESS Demand'!$G$99)*'IESS Demand'!AP125/'IESS Demand'!$F$125</f>
        <v>680001197220675.13</v>
      </c>
      <c r="AQ130">
        <f>'LPG, Kerosene, Diesel Use'!$B$8*BTU_per_thousand_tons_LPG*'IESS Demand'!$G$89/SUM('IESS Demand'!$G$89,'IESS Demand'!$G$99)*'IESS Demand'!AQ125/'IESS Demand'!$F$125</f>
        <v>677145384578366.5</v>
      </c>
      <c r="AR130">
        <f>'LPG, Kerosene, Diesel Use'!$B$8*BTU_per_thousand_tons_LPG*'IESS Demand'!$G$89/SUM('IESS Demand'!$G$89,'IESS Demand'!$G$99)*'IESS Demand'!AR125/'IESS Demand'!$F$125</f>
        <v>674289571936057.88</v>
      </c>
      <c r="AS130">
        <f>'LPG, Kerosene, Diesel Use'!$B$8*BTU_per_thousand_tons_LPG*'IESS Demand'!$G$89/SUM('IESS Demand'!$G$89,'IESS Demand'!$G$99)*'IESS Demand'!AS125/'IESS Demand'!$F$125</f>
        <v>671433759293749.38</v>
      </c>
      <c r="AT130">
        <f>'LPG, Kerosene, Diesel Use'!$B$8*BTU_per_thousand_tons_LPG*'IESS Demand'!$G$89/SUM('IESS Demand'!$G$89,'IESS Demand'!$G$99)*'IESS Demand'!AT125/'IESS Demand'!$F$125</f>
        <v>668577946651440.75</v>
      </c>
      <c r="AU130">
        <f>'LPG, Kerosene, Diesel Use'!$B$8*BTU_per_thousand_tons_LPG*'IESS Demand'!$G$89/SUM('IESS Demand'!$G$89,'IESS Demand'!$G$99)*'IESS Demand'!AU125/'IESS Demand'!$F$125</f>
        <v>665722134009132.25</v>
      </c>
      <c r="AV130">
        <f>'LPG, Kerosene, Diesel Use'!$B$8*BTU_per_thousand_tons_LPG*'IESS Demand'!$G$89/SUM('IESS Demand'!$G$89,'IESS Demand'!$G$99)*'IESS Demand'!AV125/'IESS Demand'!$F$125</f>
        <v>662866321366823.63</v>
      </c>
      <c r="AW130">
        <f>'LPG, Kerosene, Diesel Use'!$B$8*BTU_per_thousand_tons_LPG*'IESS Demand'!$G$89/SUM('IESS Demand'!$G$89,'IESS Demand'!$G$99)*'IESS Demand'!AW125/'IESS Demand'!$F$125</f>
        <v>660010508724515</v>
      </c>
      <c r="AX130">
        <f>'LPG, Kerosene, Diesel Use'!$B$8*BTU_per_thousand_tons_LPG*'IESS Demand'!$G$89/SUM('IESS Demand'!$G$89,'IESS Demand'!$G$99)*'IESS Demand'!AX125/'IESS Demand'!$F$125</f>
        <v>657154696082206.38</v>
      </c>
      <c r="AY130">
        <f>'LPG, Kerosene, Diesel Use'!$B$8*BTU_per_thousand_tons_LPG*'IESS Demand'!$G$89/SUM('IESS Demand'!$G$89,'IESS Demand'!$G$99)*'IESS Demand'!AY125/'IESS Demand'!$F$125</f>
        <v>654298883439897.75</v>
      </c>
      <c r="AZ130">
        <f>'LPG, Kerosene, Diesel Use'!$B$8*BTU_per_thousand_tons_LPG*'IESS Demand'!$G$89/SUM('IESS Demand'!$G$89,'IESS Demand'!$G$99)*'IESS Demand'!AZ125/'IESS Demand'!$F$125</f>
        <v>651443070797589.13</v>
      </c>
      <c r="BA130">
        <f>'LPG, Kerosene, Diesel Use'!$B$8*BTU_per_thousand_tons_LPG*'IESS Demand'!$G$89/SUM('IESS Demand'!$G$89,'IESS Demand'!$G$99)*'IESS Demand'!BA125/'IESS Demand'!$F$125</f>
        <v>648587258155280.63</v>
      </c>
      <c r="BB130">
        <f>'LPG, Kerosene, Diesel Use'!$B$8*BTU_per_thousand_tons_LPG*'IESS Demand'!$G$89/SUM('IESS Demand'!$G$89,'IESS Demand'!$G$99)*'IESS Demand'!BB125/'IESS Demand'!$F$125</f>
        <v>645731445512972</v>
      </c>
      <c r="BC130">
        <f>'LPG, Kerosene, Diesel Use'!$B$8*BTU_per_thousand_tons_LPG*'IESS Demand'!$G$89/SUM('IESS Demand'!$G$89,'IESS Demand'!$G$99)*'IESS Demand'!BC125/'IESS Demand'!$F$125</f>
        <v>642875632870663.38</v>
      </c>
      <c r="BD130">
        <f>'LPG, Kerosene, Diesel Use'!$B$8*BTU_per_thousand_tons_LPG*'IESS Demand'!$G$89/SUM('IESS Demand'!$G$89,'IESS Demand'!$G$99)*'IESS Demand'!BD125/'IESS Demand'!$F$125</f>
        <v>640019820228354.75</v>
      </c>
      <c r="BE130">
        <f>'LPG, Kerosene, Diesel Use'!$B$8*BTU_per_thousand_tons_LPG*'IESS Demand'!$G$89/SUM('IESS Demand'!$G$89,'IESS Demand'!$G$99)*'IESS Demand'!BE125/'IESS Demand'!$F$125</f>
        <v>637164007586046.13</v>
      </c>
    </row>
    <row r="131" spans="1:57">
      <c r="A131" t="s">
        <v>438</v>
      </c>
      <c r="B131" t="s">
        <v>511</v>
      </c>
      <c r="C131" t="s">
        <v>435</v>
      </c>
      <c r="D131" s="58">
        <v>0</v>
      </c>
      <c r="E131" s="58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</row>
    <row r="132" spans="1:57">
      <c r="A132" t="s">
        <v>53</v>
      </c>
      <c r="B132" t="s">
        <v>511</v>
      </c>
      <c r="C132" t="s">
        <v>502</v>
      </c>
      <c r="D132" s="58">
        <v>0</v>
      </c>
      <c r="E132" s="58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>
      <c r="A133" t="s">
        <v>53</v>
      </c>
      <c r="B133" t="s">
        <v>511</v>
      </c>
      <c r="C133" t="s">
        <v>503</v>
      </c>
      <c r="D133" s="58">
        <v>0</v>
      </c>
      <c r="E133" s="58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>
      <c r="A134" t="s">
        <v>53</v>
      </c>
      <c r="B134" t="s">
        <v>511</v>
      </c>
      <c r="C134" t="s">
        <v>364</v>
      </c>
      <c r="D134" s="58">
        <v>0</v>
      </c>
      <c r="E134" s="58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>
      <c r="A135" t="s">
        <v>53</v>
      </c>
      <c r="B135" t="s">
        <v>511</v>
      </c>
      <c r="C135" t="s">
        <v>434</v>
      </c>
      <c r="D135" s="58">
        <f>'LPG, Kerosene, Diesel Use'!$B$3*BTU_per_thousand_tons_LPG*'IESS Demand'!D129/'IESS Demand'!$D$129</f>
        <v>79586238096000</v>
      </c>
      <c r="E135" s="58">
        <f>'LPG, Kerosene, Diesel Use'!$B$6*BTU_per_thousand_tons_LPG*'IESS Demand'!E129/'IESS Demand'!$E$129</f>
        <v>93477980106000</v>
      </c>
      <c r="F135">
        <f>'LPG, Kerosene, Diesel Use'!$B$9*BTU_per_thousand_tons_LPG*'IESS Demand'!F129/'IESS Demand'!$F$129</f>
        <v>105935735844000</v>
      </c>
      <c r="G135">
        <f>'LPG, Kerosene, Diesel Use'!$B$9*BTU_per_thousand_tons_LPG*'IESS Demand'!G129/'IESS Demand'!$F$129</f>
        <v>109718445071118.53</v>
      </c>
      <c r="H135">
        <f>'LPG, Kerosene, Diesel Use'!$B$20*BTU_per_thousand_tons_LPG*'IESS Demand'!H129/'IESS Demand'!$F$129</f>
        <v>1206453893911210.3</v>
      </c>
      <c r="I135">
        <f>'LPG, Kerosene, Diesel Use'!$B$20*BTU_per_thousand_tons_LPG*'IESS Demand'!I129/'IESS Demand'!$F$129</f>
        <v>1246661980822815.3</v>
      </c>
      <c r="J135">
        <f>'LPG, Kerosene, Diesel Use'!$B$20*BTU_per_thousand_tons_LPG*'IESS Demand'!J129/'IESS Demand'!$F$129</f>
        <v>1265304639282861.3</v>
      </c>
      <c r="K135">
        <f>'LPG, Kerosene, Diesel Use'!$B$20*BTU_per_thousand_tons_LPG*'IESS Demand'!K129/'IESS Demand'!$F$129</f>
        <v>1283947297742907</v>
      </c>
      <c r="L135">
        <f>'LPG, Kerosene, Diesel Use'!$B$20*BTU_per_thousand_tons_LPG*'IESS Demand'!L129/'IESS Demand'!$F$129</f>
        <v>1302589956202953</v>
      </c>
      <c r="M135">
        <f>'LPG, Kerosene, Diesel Use'!$B$20*BTU_per_thousand_tons_LPG*'IESS Demand'!M129/'IESS Demand'!$F$129</f>
        <v>1321232614662998.5</v>
      </c>
      <c r="N135">
        <f>'LPG, Kerosene, Diesel Use'!$B$20*BTU_per_thousand_tons_LPG*'IESS Demand'!N129/'IESS Demand'!$F$129</f>
        <v>1339875273123044.5</v>
      </c>
      <c r="O135">
        <f>'LPG, Kerosene, Diesel Use'!$B$20*BTU_per_thousand_tons_LPG*'IESS Demand'!O129/'IESS Demand'!$F$129</f>
        <v>1388493379952838.5</v>
      </c>
      <c r="P135">
        <f>'LPG, Kerosene, Diesel Use'!$B$20*BTU_per_thousand_tons_LPG*'IESS Demand'!P129/'IESS Demand'!$F$129</f>
        <v>1437111486782633</v>
      </c>
      <c r="Q135">
        <f>'LPG, Kerosene, Diesel Use'!$B$20*BTU_per_thousand_tons_LPG*'IESS Demand'!Q129/'IESS Demand'!$F$129</f>
        <v>1485729593612427</v>
      </c>
      <c r="R135">
        <f>'LPG, Kerosene, Diesel Use'!$B$20*BTU_per_thousand_tons_LPG*'IESS Demand'!R129/'IESS Demand'!$F$129</f>
        <v>1534347700442221.3</v>
      </c>
      <c r="S135">
        <f>'LPG, Kerosene, Diesel Use'!$B$20*BTU_per_thousand_tons_LPG*'IESS Demand'!S129/'IESS Demand'!$F$129</f>
        <v>1582965807272015.3</v>
      </c>
      <c r="T135">
        <f>'LPG, Kerosene, Diesel Use'!$B$20*BTU_per_thousand_tons_LPG*'IESS Demand'!T129/'IESS Demand'!$F$129</f>
        <v>1588706094743187.3</v>
      </c>
      <c r="U135">
        <f>'LPG, Kerosene, Diesel Use'!$B$20*BTU_per_thousand_tons_LPG*'IESS Demand'!U129/'IESS Demand'!$F$129</f>
        <v>1594446382214359</v>
      </c>
      <c r="V135">
        <f>'LPG, Kerosene, Diesel Use'!$B$20*BTU_per_thousand_tons_LPG*'IESS Demand'!V129/'IESS Demand'!$F$129</f>
        <v>1600186669685531</v>
      </c>
      <c r="W135">
        <f>'LPG, Kerosene, Diesel Use'!$B$20*BTU_per_thousand_tons_LPG*'IESS Demand'!W129/'IESS Demand'!$F$129</f>
        <v>1605926957156703.3</v>
      </c>
      <c r="X135">
        <f>'LPG, Kerosene, Diesel Use'!$B$20*BTU_per_thousand_tons_LPG*'IESS Demand'!X129/'IESS Demand'!$F$129</f>
        <v>1611667244627875.5</v>
      </c>
      <c r="Y135">
        <f>'LPG, Kerosene, Diesel Use'!$B$20*BTU_per_thousand_tons_LPG*'IESS Demand'!Y129/'IESS Demand'!$F$129</f>
        <v>1601088778054043</v>
      </c>
      <c r="Z135">
        <f>'LPG, Kerosene, Diesel Use'!$B$20*BTU_per_thousand_tons_LPG*'IESS Demand'!Z129/'IESS Demand'!$F$129</f>
        <v>1590510311480210.3</v>
      </c>
      <c r="AA135">
        <f>'LPG, Kerosene, Diesel Use'!$B$20*BTU_per_thousand_tons_LPG*'IESS Demand'!AA129/'IESS Demand'!$F$129</f>
        <v>1579931844906377.5</v>
      </c>
      <c r="AB135">
        <f>'LPG, Kerosene, Diesel Use'!$B$20*BTU_per_thousand_tons_LPG*'IESS Demand'!AB129/'IESS Demand'!$F$129</f>
        <v>1569353378332544.8</v>
      </c>
      <c r="AC135">
        <f>'LPG, Kerosene, Diesel Use'!$B$20*BTU_per_thousand_tons_LPG*'IESS Demand'!AC129/'IESS Demand'!$F$129</f>
        <v>1558774911758711.8</v>
      </c>
      <c r="AD135">
        <f>'LPG, Kerosene, Diesel Use'!$B$20*BTU_per_thousand_tons_LPG*'IESS Demand'!AD129/'IESS Demand'!$F$129</f>
        <v>1553369084939948.8</v>
      </c>
      <c r="AE135">
        <f>'LPG, Kerosene, Diesel Use'!$B$20*BTU_per_thousand_tons_LPG*'IESS Demand'!AE129/'IESS Demand'!$F$129</f>
        <v>1547963258121185.8</v>
      </c>
      <c r="AF135">
        <f>'LPG, Kerosene, Diesel Use'!$B$20*BTU_per_thousand_tons_LPG*'IESS Demand'!AF129/'IESS Demand'!$F$129</f>
        <v>1542557431302422.8</v>
      </c>
      <c r="AG135">
        <f>'LPG, Kerosene, Diesel Use'!$B$20*BTU_per_thousand_tons_LPG*'IESS Demand'!AG129/'IESS Demand'!$F$129</f>
        <v>1537151604483659.8</v>
      </c>
      <c r="AH135">
        <f>'LPG, Kerosene, Diesel Use'!$B$20*BTU_per_thousand_tons_LPG*'IESS Demand'!AH129/'IESS Demand'!$F$129</f>
        <v>1531745777664897</v>
      </c>
      <c r="AI135">
        <f>'LPG, Kerosene, Diesel Use'!$B$20*BTU_per_thousand_tons_LPG*'IESS Demand'!AI129/'IESS Demand'!$F$129</f>
        <v>1526339950846133.8</v>
      </c>
      <c r="AJ135">
        <f>'LPG, Kerosene, Diesel Use'!$B$20*BTU_per_thousand_tons_LPG*'IESS Demand'!AJ129/'IESS Demand'!$F$129</f>
        <v>1520934124027371</v>
      </c>
      <c r="AK135">
        <f>'LPG, Kerosene, Diesel Use'!$B$20*BTU_per_thousand_tons_LPG*'IESS Demand'!AK129/'IESS Demand'!$F$129</f>
        <v>1515528297208607.8</v>
      </c>
      <c r="AL135">
        <f>'LPG, Kerosene, Diesel Use'!$B$20*BTU_per_thousand_tons_LPG*'IESS Demand'!AL129/'IESS Demand'!$F$129</f>
        <v>1510122470389845</v>
      </c>
      <c r="AM135">
        <f>'LPG, Kerosene, Diesel Use'!$B$20*BTU_per_thousand_tons_LPG*'IESS Demand'!AM129/'IESS Demand'!$F$129</f>
        <v>1504716643571081.8</v>
      </c>
      <c r="AN135">
        <f>'LPG, Kerosene, Diesel Use'!$B$20*BTU_per_thousand_tons_LPG*'IESS Demand'!AN129/'IESS Demand'!$F$129</f>
        <v>1499310816752319</v>
      </c>
      <c r="AO135">
        <f>'LPG, Kerosene, Diesel Use'!$B$20*BTU_per_thousand_tons_LPG*'IESS Demand'!AO129/'IESS Demand'!$F$129</f>
        <v>1493904989933555.8</v>
      </c>
      <c r="AP135">
        <f>'LPG, Kerosene, Diesel Use'!$B$20*BTU_per_thousand_tons_LPG*'IESS Demand'!AP129/'IESS Demand'!$F$129</f>
        <v>1488499163114793</v>
      </c>
      <c r="AQ135">
        <f>'LPG, Kerosene, Diesel Use'!$B$20*BTU_per_thousand_tons_LPG*'IESS Demand'!AQ129/'IESS Demand'!$F$129</f>
        <v>1483093336296029.8</v>
      </c>
      <c r="AR135">
        <f>'LPG, Kerosene, Diesel Use'!$B$20*BTU_per_thousand_tons_LPG*'IESS Demand'!AR129/'IESS Demand'!$F$129</f>
        <v>1477687509477267</v>
      </c>
      <c r="AS135">
        <f>'LPG, Kerosene, Diesel Use'!$B$20*BTU_per_thousand_tons_LPG*'IESS Demand'!AS129/'IESS Demand'!$F$129</f>
        <v>1472281682658503.8</v>
      </c>
      <c r="AT135">
        <f>'LPG, Kerosene, Diesel Use'!$B$20*BTU_per_thousand_tons_LPG*'IESS Demand'!AT129/'IESS Demand'!$F$129</f>
        <v>1466875855839741</v>
      </c>
      <c r="AU135">
        <f>'LPG, Kerosene, Diesel Use'!$B$20*BTU_per_thousand_tons_LPG*'IESS Demand'!AU129/'IESS Demand'!$F$129</f>
        <v>1461470029020977.8</v>
      </c>
      <c r="AV135">
        <f>'LPG, Kerosene, Diesel Use'!$B$20*BTU_per_thousand_tons_LPG*'IESS Demand'!AV129/'IESS Demand'!$F$129</f>
        <v>1456064202202215</v>
      </c>
      <c r="AW135">
        <f>'LPG, Kerosene, Diesel Use'!$B$20*BTU_per_thousand_tons_LPG*'IESS Demand'!AW129/'IESS Demand'!$F$129</f>
        <v>1450658375383451.8</v>
      </c>
      <c r="AX135">
        <f>'LPG, Kerosene, Diesel Use'!$B$20*BTU_per_thousand_tons_LPG*'IESS Demand'!AX129/'IESS Demand'!$F$129</f>
        <v>1445252548564689</v>
      </c>
      <c r="AY135">
        <f>'LPG, Kerosene, Diesel Use'!$B$20*BTU_per_thousand_tons_LPG*'IESS Demand'!AY129/'IESS Demand'!$F$129</f>
        <v>1439846721745925.8</v>
      </c>
      <c r="AZ135">
        <f>'LPG, Kerosene, Diesel Use'!$B$20*BTU_per_thousand_tons_LPG*'IESS Demand'!AZ129/'IESS Demand'!$F$129</f>
        <v>1434440894927163</v>
      </c>
      <c r="BA135">
        <f>'LPG, Kerosene, Diesel Use'!$B$20*BTU_per_thousand_tons_LPG*'IESS Demand'!BA129/'IESS Demand'!$F$129</f>
        <v>1429035068108399.8</v>
      </c>
      <c r="BB135">
        <f>'LPG, Kerosene, Diesel Use'!$B$20*BTU_per_thousand_tons_LPG*'IESS Demand'!BB129/'IESS Demand'!$F$129</f>
        <v>1423629241289637</v>
      </c>
      <c r="BC135">
        <f>'LPG, Kerosene, Diesel Use'!$B$20*BTU_per_thousand_tons_LPG*'IESS Demand'!BC129/'IESS Demand'!$F$129</f>
        <v>1418223414470873.8</v>
      </c>
      <c r="BD135">
        <f>'LPG, Kerosene, Diesel Use'!$B$20*BTU_per_thousand_tons_LPG*'IESS Demand'!BD129/'IESS Demand'!$F$129</f>
        <v>1412817587652111</v>
      </c>
      <c r="BE135">
        <f>'LPG, Kerosene, Diesel Use'!$B$20*BTU_per_thousand_tons_LPG*'IESS Demand'!BE129/'IESS Demand'!$F$129</f>
        <v>1407411760833347.8</v>
      </c>
    </row>
    <row r="136" spans="1:57">
      <c r="A136" t="s">
        <v>53</v>
      </c>
      <c r="B136" t="s">
        <v>511</v>
      </c>
      <c r="C136" t="s">
        <v>435</v>
      </c>
      <c r="D136" s="58">
        <v>0</v>
      </c>
      <c r="E136" s="58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>
      <c r="A137" t="s">
        <v>437</v>
      </c>
      <c r="B137" t="s">
        <v>512</v>
      </c>
      <c r="C137" t="s">
        <v>502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>
      <c r="A138" t="s">
        <v>437</v>
      </c>
      <c r="B138" t="s">
        <v>512</v>
      </c>
      <c r="C138" t="s">
        <v>503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>
      <c r="A139" t="s">
        <v>437</v>
      </c>
      <c r="B139" t="s">
        <v>512</v>
      </c>
      <c r="C139" t="s">
        <v>364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>
      <c r="A140" t="s">
        <v>437</v>
      </c>
      <c r="B140" t="s">
        <v>512</v>
      </c>
      <c r="C140" t="s">
        <v>434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>
      <c r="A141" t="s">
        <v>437</v>
      </c>
      <c r="B141" t="s">
        <v>512</v>
      </c>
      <c r="C141" t="s">
        <v>435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>
      <c r="A142" t="s">
        <v>438</v>
      </c>
      <c r="B142" t="s">
        <v>512</v>
      </c>
      <c r="C142" t="s">
        <v>502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>
      <c r="A143" t="s">
        <v>438</v>
      </c>
      <c r="B143" t="s">
        <v>512</v>
      </c>
      <c r="C143" t="s">
        <v>503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>
      <c r="A144" t="s">
        <v>438</v>
      </c>
      <c r="B144" t="s">
        <v>512</v>
      </c>
      <c r="C144" t="s">
        <v>364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>
      <c r="A145" t="s">
        <v>438</v>
      </c>
      <c r="B145" t="s">
        <v>512</v>
      </c>
      <c r="C145" t="s">
        <v>434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>
      <c r="A146" t="s">
        <v>438</v>
      </c>
      <c r="B146" t="s">
        <v>512</v>
      </c>
      <c r="C146" t="s">
        <v>435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>
      <c r="A147" t="s">
        <v>53</v>
      </c>
      <c r="B147" t="s">
        <v>512</v>
      </c>
      <c r="C147" t="s">
        <v>502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>
      <c r="A148" t="s">
        <v>53</v>
      </c>
      <c r="B148" t="s">
        <v>512</v>
      </c>
      <c r="C148" t="s">
        <v>503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>
      <c r="A149" t="s">
        <v>53</v>
      </c>
      <c r="B149" t="s">
        <v>512</v>
      </c>
      <c r="C149" t="s">
        <v>364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>
      <c r="A150" t="s">
        <v>53</v>
      </c>
      <c r="B150" t="s">
        <v>512</v>
      </c>
      <c r="C150" t="s">
        <v>434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>
      <c r="A151" t="s">
        <v>53</v>
      </c>
      <c r="B151" t="s">
        <v>512</v>
      </c>
      <c r="C151" t="s">
        <v>435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</sheetData>
  <sortState xmlns:xlrd2="http://schemas.microsoft.com/office/spreadsheetml/2017/richdata2" ref="A2:AK151">
    <sortCondition ref="B2:B151"/>
    <sortCondition descending="1" ref="A2:A151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Y11"/>
  <sheetViews>
    <sheetView workbookViewId="0">
      <pane xSplit="1" ySplit="1" topLeftCell="B5" activePane="bottomRight" state="frozen"/>
      <selection pane="bottomRight" activeCell="B5" sqref="B5"/>
      <selection pane="bottomLeft"/>
      <selection pane="topRight"/>
    </sheetView>
  </sheetViews>
  <sheetFormatPr defaultColWidth="9" defaultRowHeight="14.45"/>
  <cols>
    <col min="1" max="1" width="29.28515625" customWidth="1"/>
    <col min="23" max="23" width="9" customWidth="1"/>
  </cols>
  <sheetData>
    <row r="1" spans="1:51">
      <c r="A1" s="1" t="s">
        <v>49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>
      <c r="A2" s="1" t="s">
        <v>501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>
      <c r="A3" s="1" t="s">
        <v>504</v>
      </c>
      <c r="B3">
        <f>Calculations!H17</f>
        <v>0</v>
      </c>
      <c r="C3">
        <f>Calculations!I17</f>
        <v>0</v>
      </c>
      <c r="D3">
        <f>Calculations!J17</f>
        <v>0</v>
      </c>
      <c r="E3">
        <f>Calculations!K17</f>
        <v>0</v>
      </c>
      <c r="F3">
        <f>Calculations!L17</f>
        <v>0</v>
      </c>
      <c r="G3">
        <f>Calculations!M17</f>
        <v>0</v>
      </c>
      <c r="H3">
        <f>Calculations!N17</f>
        <v>0</v>
      </c>
      <c r="I3">
        <f>Calculations!O17</f>
        <v>0</v>
      </c>
      <c r="J3">
        <f>Calculations!P17</f>
        <v>0</v>
      </c>
      <c r="K3">
        <f>Calculations!Q17</f>
        <v>0</v>
      </c>
      <c r="L3">
        <f>Calculations!R17</f>
        <v>0</v>
      </c>
      <c r="M3">
        <f>Calculations!S17</f>
        <v>0</v>
      </c>
      <c r="N3">
        <f>Calculations!T17</f>
        <v>0</v>
      </c>
      <c r="O3">
        <f>Calculations!U17</f>
        <v>0</v>
      </c>
      <c r="P3">
        <f>Calculations!V17</f>
        <v>0</v>
      </c>
      <c r="Q3">
        <f>Calculations!W17</f>
        <v>0</v>
      </c>
      <c r="R3">
        <f>Calculations!X17</f>
        <v>0</v>
      </c>
      <c r="S3">
        <f>Calculations!Y17</f>
        <v>0</v>
      </c>
      <c r="T3">
        <f>Calculations!Z17</f>
        <v>0</v>
      </c>
      <c r="U3">
        <f>Calculations!AA17</f>
        <v>0</v>
      </c>
      <c r="V3">
        <f>Calculations!AB17</f>
        <v>0</v>
      </c>
      <c r="W3">
        <f>Calculations!AC17</f>
        <v>0</v>
      </c>
      <c r="X3">
        <f>Calculations!AD17</f>
        <v>0</v>
      </c>
      <c r="Y3">
        <f>Calculations!AE17</f>
        <v>0</v>
      </c>
      <c r="Z3">
        <f>Calculations!AF17</f>
        <v>0</v>
      </c>
      <c r="AA3">
        <f>Calculations!AG17</f>
        <v>0</v>
      </c>
      <c r="AB3">
        <f>Calculations!AH17</f>
        <v>0</v>
      </c>
      <c r="AC3">
        <f>Calculations!AI17</f>
        <v>0</v>
      </c>
      <c r="AD3">
        <f>Calculations!AJ17</f>
        <v>0</v>
      </c>
      <c r="AE3">
        <f>Calculations!AK17</f>
        <v>0</v>
      </c>
      <c r="AF3">
        <f>Calculations!AL17</f>
        <v>0</v>
      </c>
      <c r="AG3">
        <f>Calculations!AM17</f>
        <v>0</v>
      </c>
      <c r="AH3">
        <f>Calculations!AN17</f>
        <v>0</v>
      </c>
      <c r="AI3">
        <f>Calculations!AO17</f>
        <v>0</v>
      </c>
      <c r="AJ3">
        <f>Calculations!AP17</f>
        <v>0</v>
      </c>
      <c r="AK3">
        <f>Calculations!AQ17</f>
        <v>0</v>
      </c>
      <c r="AL3">
        <f>Calculations!AR17</f>
        <v>0</v>
      </c>
      <c r="AM3">
        <f>Calculations!AS17</f>
        <v>0</v>
      </c>
      <c r="AN3">
        <f>Calculations!AT17</f>
        <v>0</v>
      </c>
      <c r="AO3">
        <f>Calculations!AU17</f>
        <v>0</v>
      </c>
      <c r="AP3">
        <f>Calculations!AV17</f>
        <v>0</v>
      </c>
      <c r="AQ3">
        <f>Calculations!AW17</f>
        <v>0</v>
      </c>
      <c r="AR3">
        <f>Calculations!AX17</f>
        <v>0</v>
      </c>
      <c r="AS3">
        <f>Calculations!AY17</f>
        <v>0</v>
      </c>
      <c r="AT3">
        <f>Calculations!AZ17</f>
        <v>0</v>
      </c>
      <c r="AU3">
        <f>Calculations!BA17</f>
        <v>0</v>
      </c>
      <c r="AV3">
        <f>Calculations!BB17</f>
        <v>0</v>
      </c>
      <c r="AW3">
        <f>Calculations!BC17</f>
        <v>0</v>
      </c>
      <c r="AX3">
        <f>Calculations!BD17</f>
        <v>0</v>
      </c>
      <c r="AY3">
        <f>Calculations!BE17</f>
        <v>0</v>
      </c>
    </row>
    <row r="4" spans="1:51">
      <c r="A4" s="1" t="s">
        <v>505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>
      <c r="A5" s="1" t="s">
        <v>506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>
      <c r="A6" s="1" t="s">
        <v>507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>
      <c r="A7" s="1" t="s">
        <v>508</v>
      </c>
      <c r="B7">
        <f>Calculations!H77</f>
        <v>0</v>
      </c>
      <c r="C7">
        <f>Calculations!I77</f>
        <v>0</v>
      </c>
      <c r="D7">
        <f>Calculations!J77</f>
        <v>0</v>
      </c>
      <c r="E7">
        <f>Calculations!K77</f>
        <v>0</v>
      </c>
      <c r="F7">
        <f>Calculations!L77</f>
        <v>0</v>
      </c>
      <c r="G7">
        <f>Calculations!M77</f>
        <v>0</v>
      </c>
      <c r="H7">
        <f>Calculations!N77</f>
        <v>0</v>
      </c>
      <c r="I7">
        <f>Calculations!O77</f>
        <v>0</v>
      </c>
      <c r="J7">
        <f>Calculations!P77</f>
        <v>0</v>
      </c>
      <c r="K7">
        <f>Calculations!Q77</f>
        <v>0</v>
      </c>
      <c r="L7">
        <f>Calculations!R77</f>
        <v>0</v>
      </c>
      <c r="M7">
        <f>Calculations!S77</f>
        <v>0</v>
      </c>
      <c r="N7">
        <f>Calculations!T77</f>
        <v>0</v>
      </c>
      <c r="O7">
        <f>Calculations!U77</f>
        <v>0</v>
      </c>
      <c r="P7">
        <f>Calculations!V77</f>
        <v>0</v>
      </c>
      <c r="Q7">
        <f>Calculations!W77</f>
        <v>0</v>
      </c>
      <c r="R7">
        <f>Calculations!X77</f>
        <v>0</v>
      </c>
      <c r="S7">
        <f>Calculations!Y77</f>
        <v>0</v>
      </c>
      <c r="T7">
        <f>Calculations!Z77</f>
        <v>0</v>
      </c>
      <c r="U7">
        <f>Calculations!AA77</f>
        <v>0</v>
      </c>
      <c r="V7">
        <f>Calculations!AB77</f>
        <v>0</v>
      </c>
      <c r="W7">
        <f>Calculations!AC77</f>
        <v>0</v>
      </c>
      <c r="X7">
        <f>Calculations!AD77</f>
        <v>0</v>
      </c>
      <c r="Y7">
        <f>Calculations!AE77</f>
        <v>0</v>
      </c>
      <c r="Z7">
        <f>Calculations!AF77</f>
        <v>0</v>
      </c>
      <c r="AA7">
        <f>Calculations!AG77</f>
        <v>0</v>
      </c>
      <c r="AB7">
        <f>Calculations!AH77</f>
        <v>0</v>
      </c>
      <c r="AC7">
        <f>Calculations!AI77</f>
        <v>0</v>
      </c>
      <c r="AD7">
        <f>Calculations!AJ77</f>
        <v>0</v>
      </c>
      <c r="AE7">
        <f>Calculations!AK77</f>
        <v>0</v>
      </c>
      <c r="AF7">
        <f>Calculations!AL77</f>
        <v>0</v>
      </c>
      <c r="AG7">
        <f>Calculations!AM77</f>
        <v>0</v>
      </c>
      <c r="AH7">
        <f>Calculations!AN77</f>
        <v>0</v>
      </c>
      <c r="AI7">
        <f>Calculations!AO77</f>
        <v>0</v>
      </c>
      <c r="AJ7">
        <f>Calculations!AP77</f>
        <v>0</v>
      </c>
      <c r="AK7">
        <f>Calculations!AQ77</f>
        <v>0</v>
      </c>
      <c r="AL7">
        <f>Calculations!AR77</f>
        <v>0</v>
      </c>
      <c r="AM7">
        <f>Calculations!AS77</f>
        <v>0</v>
      </c>
      <c r="AN7">
        <f>Calculations!AT77</f>
        <v>0</v>
      </c>
      <c r="AO7">
        <f>Calculations!AU77</f>
        <v>0</v>
      </c>
      <c r="AP7">
        <f>Calculations!AV77</f>
        <v>0</v>
      </c>
      <c r="AQ7">
        <f>Calculations!AW77</f>
        <v>0</v>
      </c>
      <c r="AR7">
        <f>Calculations!AX77</f>
        <v>0</v>
      </c>
      <c r="AS7">
        <f>Calculations!AY77</f>
        <v>0</v>
      </c>
      <c r="AT7">
        <f>Calculations!AZ77</f>
        <v>0</v>
      </c>
      <c r="AU7">
        <f>Calculations!BA77</f>
        <v>0</v>
      </c>
      <c r="AV7">
        <f>Calculations!BB77</f>
        <v>0</v>
      </c>
      <c r="AW7">
        <f>Calculations!BC77</f>
        <v>0</v>
      </c>
      <c r="AX7">
        <f>Calculations!BD77</f>
        <v>0</v>
      </c>
      <c r="AY7">
        <f>Calculations!BE77</f>
        <v>0</v>
      </c>
    </row>
    <row r="8" spans="1:51">
      <c r="A8" s="1" t="s">
        <v>509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>
      <c r="A9" s="1" t="s">
        <v>510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>
      <c r="A10" s="1" t="s">
        <v>511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>
      <c r="A11" s="1" t="s">
        <v>512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Y11"/>
  <sheetViews>
    <sheetView workbookViewId="0">
      <pane xSplit="1" ySplit="1" topLeftCell="AY2" activePane="bottomRight" state="frozen"/>
      <selection pane="bottomRight" activeCell="AY2" sqref="AY2"/>
      <selection pane="bottomLeft" activeCell="B2" sqref="B2:AI11"/>
      <selection pane="topRight" activeCell="B2" sqref="B2:AI11"/>
    </sheetView>
  </sheetViews>
  <sheetFormatPr defaultRowHeight="14.45"/>
  <cols>
    <col min="1" max="1" width="25.85546875" customWidth="1"/>
    <col min="8" max="8" width="9.28515625" bestFit="1" customWidth="1"/>
  </cols>
  <sheetData>
    <row r="1" spans="1:51">
      <c r="A1" s="1" t="s">
        <v>49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>
      <c r="A2" s="1" t="s">
        <v>501</v>
      </c>
      <c r="B2" s="5">
        <f>Calculations!H3</f>
        <v>16592891264657.348</v>
      </c>
      <c r="C2" s="5">
        <f>Calculations!I3</f>
        <v>17367627584288.836</v>
      </c>
      <c r="D2" s="5">
        <f>Calculations!J3</f>
        <v>19954943257007.469</v>
      </c>
      <c r="E2" s="5">
        <f>Calculations!K3</f>
        <v>22636137494334.313</v>
      </c>
      <c r="F2" s="5">
        <f>Calculations!L3</f>
        <v>25383948073688.035</v>
      </c>
      <c r="G2" s="5">
        <f>Calculations!M3</f>
        <v>28195336363626.414</v>
      </c>
      <c r="H2" s="5">
        <f>Calculations!N3</f>
        <v>31067445770021.543</v>
      </c>
      <c r="I2" s="5">
        <f>Calculations!O3</f>
        <v>35606628528130.195</v>
      </c>
      <c r="J2" s="5">
        <f>Calculations!P3</f>
        <v>40257825413959.648</v>
      </c>
      <c r="K2" s="5">
        <f>Calculations!Q3</f>
        <v>45016189677279.891</v>
      </c>
      <c r="L2" s="5">
        <f>Calculations!R3</f>
        <v>49877150211587.672</v>
      </c>
      <c r="M2" s="5">
        <f>Calculations!S3</f>
        <v>54836392233343.297</v>
      </c>
      <c r="N2" s="5">
        <f>Calculations!T3</f>
        <v>61236056197934.977</v>
      </c>
      <c r="O2" s="5">
        <f>Calculations!U3</f>
        <v>67776010489379.531</v>
      </c>
      <c r="P2" s="5">
        <f>Calculations!V3</f>
        <v>74450670843742.453</v>
      </c>
      <c r="Q2" s="5">
        <f>Calculations!W3</f>
        <v>81254745492061.188</v>
      </c>
      <c r="R2" s="5">
        <f>Calculations!X3</f>
        <v>88183216257339.078</v>
      </c>
      <c r="S2" s="5">
        <f>Calculations!Y3</f>
        <v>96833231577004.734</v>
      </c>
      <c r="T2" s="5">
        <f>Calculations!Z3</f>
        <v>105654515899097.48</v>
      </c>
      <c r="U2" s="5">
        <f>Calculations!AA3</f>
        <v>114640878233334.72</v>
      </c>
      <c r="V2" s="5">
        <f>Calculations!AB3</f>
        <v>123786422424111.02</v>
      </c>
      <c r="W2" s="5">
        <f>Calculations!AC3</f>
        <v>133085529805795.78</v>
      </c>
      <c r="X2" s="5">
        <f>Calculations!AD3</f>
        <v>144422186695856.91</v>
      </c>
      <c r="Y2" s="5">
        <f>Calculations!AE3</f>
        <v>155963646173280.47</v>
      </c>
      <c r="Z2" s="5">
        <f>Calculations!AF3</f>
        <v>167703104428008.25</v>
      </c>
      <c r="AA2" s="5">
        <f>Calculations!AG3</f>
        <v>179634055724474.66</v>
      </c>
      <c r="AB2" s="5">
        <f>Calculations!AH3</f>
        <v>191750276255173.25</v>
      </c>
      <c r="AC2" s="5">
        <f>Calculations!AI3</f>
        <v>204045809032531.25</v>
      </c>
      <c r="AD2" s="5">
        <f>Calculations!AJ3</f>
        <v>216514949742038.88</v>
      </c>
      <c r="AE2" s="5">
        <f>Calculations!AK3</f>
        <v>229152233486013</v>
      </c>
      <c r="AF2" s="5">
        <f>Calculations!AL3</f>
        <v>241952422353264.59</v>
      </c>
      <c r="AG2" s="5">
        <f>Calculations!AM3</f>
        <v>254910493755262.09</v>
      </c>
      <c r="AH2" s="5">
        <f>Calculations!AN3</f>
        <v>268021629474191.5</v>
      </c>
      <c r="AI2" s="5">
        <f>Calculations!AO3</f>
        <v>281281205372752.53</v>
      </c>
      <c r="AJ2" s="5">
        <f>Calculations!AP3</f>
        <v>294684781719492.38</v>
      </c>
      <c r="AK2" s="5">
        <f>Calculations!AQ3</f>
        <v>308228094087149.56</v>
      </c>
      <c r="AL2" s="5">
        <f>Calculations!AR3</f>
        <v>321907044784808.75</v>
      </c>
      <c r="AM2" s="5">
        <f>Calculations!AS3</f>
        <v>335717694787675.81</v>
      </c>
      <c r="AN2" s="5">
        <f>Calculations!AT3</f>
        <v>349656256131100.81</v>
      </c>
      <c r="AO2" s="5">
        <f>Calculations!AU3</f>
        <v>363719084737962.06</v>
      </c>
      <c r="AP2" s="5">
        <f>Calculations!AV3</f>
        <v>377902673650901.38</v>
      </c>
      <c r="AQ2" s="5">
        <f>Calculations!AW3</f>
        <v>392203646642977.69</v>
      </c>
      <c r="AR2" s="5">
        <f>Calculations!AX3</f>
        <v>406618752182290.88</v>
      </c>
      <c r="AS2" s="5">
        <f>Calculations!AY3</f>
        <v>421144857727912.56</v>
      </c>
      <c r="AT2" s="5">
        <f>Calculations!AZ3</f>
        <v>435778944336080.31</v>
      </c>
      <c r="AU2" s="5">
        <f>Calculations!BA3</f>
        <v>450518101557166.5</v>
      </c>
      <c r="AV2" s="5">
        <f>Calculations!BB3</f>
        <v>465359522605276.44</v>
      </c>
      <c r="AW2" s="5">
        <f>Calculations!BC3</f>
        <v>480300499783640.81</v>
      </c>
      <c r="AX2" s="5">
        <f>Calculations!BD3</f>
        <v>495338420150147</v>
      </c>
      <c r="AY2" s="5">
        <f>Calculations!BE3</f>
        <v>510470761408407.06</v>
      </c>
    </row>
    <row r="3" spans="1:51">
      <c r="A3" s="1" t="s">
        <v>504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>
      <c r="A4" s="1" t="s">
        <v>505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>
      <c r="A5" s="1" t="s">
        <v>506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>
      <c r="A6" s="1" t="s">
        <v>507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>
      <c r="A7" s="1" t="s">
        <v>508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>
      <c r="A8" s="1" t="s">
        <v>509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>
      <c r="A9" s="1" t="s">
        <v>510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>
      <c r="A10" s="1" t="s">
        <v>511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>
      <c r="A11" s="1" t="s">
        <v>512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Y16"/>
  <sheetViews>
    <sheetView workbookViewId="0">
      <pane xSplit="1" ySplit="1" topLeftCell="AN2" activePane="bottomRight" state="frozen"/>
      <selection pane="bottomRight" activeCell="AE2" sqref="AE2:AY2"/>
      <selection pane="bottomLeft" activeCell="B2" sqref="B2:AI11"/>
      <selection pane="topRight" activeCell="B2" sqref="B2:AI11"/>
    </sheetView>
  </sheetViews>
  <sheetFormatPr defaultRowHeight="14.45"/>
  <cols>
    <col min="1" max="1" width="28.85546875" bestFit="1" customWidth="1"/>
    <col min="2" max="2" width="9.28515625" bestFit="1" customWidth="1"/>
  </cols>
  <sheetData>
    <row r="1" spans="1:51">
      <c r="A1" s="1" t="s">
        <v>49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>
      <c r="A2" s="1" t="s">
        <v>501</v>
      </c>
      <c r="B2" s="5">
        <f>Calculations!H4</f>
        <v>34618166508145.508</v>
      </c>
      <c r="C2" s="5">
        <f>Calculations!I4</f>
        <v>35475043680335.391</v>
      </c>
      <c r="D2" s="5">
        <f>Calculations!J4</f>
        <v>37113946054336.125</v>
      </c>
      <c r="E2" s="5">
        <f>Calculations!K4</f>
        <v>38817797048165.047</v>
      </c>
      <c r="F2" s="5">
        <f>Calculations!L4</f>
        <v>40536784441886.75</v>
      </c>
      <c r="G2" s="5">
        <f>Calculations!M4</f>
        <v>42270217805206.57</v>
      </c>
      <c r="H2" s="5">
        <f>Calculations!N4</f>
        <v>44017448069897.445</v>
      </c>
      <c r="I2" s="5">
        <f>Calculations!O4</f>
        <v>46279530029661.82</v>
      </c>
      <c r="J2" s="5">
        <f>Calculations!P4</f>
        <v>48568758646796.32</v>
      </c>
      <c r="K2" s="5">
        <f>Calculations!Q4</f>
        <v>50883959309932.188</v>
      </c>
      <c r="L2" s="5">
        <f>Calculations!R4</f>
        <v>53224024210040.359</v>
      </c>
      <c r="M2" s="5">
        <f>Calculations!S4</f>
        <v>55587907658039.414</v>
      </c>
      <c r="N2" s="5">
        <f>Calculations!T4</f>
        <v>58227984901580.648</v>
      </c>
      <c r="O2" s="5">
        <f>Calculations!U4</f>
        <v>60897666791378.172</v>
      </c>
      <c r="P2" s="5">
        <f>Calculations!V4</f>
        <v>63595774912910.523</v>
      </c>
      <c r="Q2" s="5">
        <f>Calculations!W4</f>
        <v>66321192575157.594</v>
      </c>
      <c r="R2" s="5">
        <f>Calculations!X4</f>
        <v>69072860821610.125</v>
      </c>
      <c r="S2" s="5">
        <f>Calculations!Y4</f>
        <v>72105951291071.453</v>
      </c>
      <c r="T2" s="5">
        <f>Calculations!Z4</f>
        <v>75171173118663.188</v>
      </c>
      <c r="U2" s="5">
        <f>Calculations!AA4</f>
        <v>78267364827859.875</v>
      </c>
      <c r="V2" s="5">
        <f>Calculations!AB4</f>
        <v>81393420255346.75</v>
      </c>
      <c r="W2" s="5">
        <f>Calculations!AC4</f>
        <v>84548285297024.469</v>
      </c>
      <c r="X2" s="5">
        <f>Calculations!AD4</f>
        <v>88009559114663.859</v>
      </c>
      <c r="Y2" s="5">
        <f>Calculations!AE4</f>
        <v>91505581997459.109</v>
      </c>
      <c r="Z2" s="5">
        <f>Calculations!AF4</f>
        <v>95035199535976.141</v>
      </c>
      <c r="AA2" s="5">
        <f>Calculations!AG4</f>
        <v>98597307895385.172</v>
      </c>
      <c r="AB2" s="5">
        <f>Calculations!AH4</f>
        <v>102190851075880.61</v>
      </c>
      <c r="AC2" s="5">
        <f>Calculations!AI4</f>
        <v>105814818349267.63</v>
      </c>
      <c r="AD2" s="5">
        <f>Calculations!AJ4</f>
        <v>109468241858650.13</v>
      </c>
      <c r="AE2" s="5">
        <f>Calculations!AK4</f>
        <v>113150194369230.7</v>
      </c>
      <c r="AF2" s="5">
        <f>Calculations!AL4</f>
        <v>116859787159242.52</v>
      </c>
      <c r="AG2" s="5">
        <f>Calculations!AM4</f>
        <v>120596168040935.98</v>
      </c>
      <c r="AH2" s="5">
        <f>Calculations!AN4</f>
        <v>124358519502349.92</v>
      </c>
      <c r="AI2" s="5">
        <f>Calculations!AO4</f>
        <v>128146056961363.73</v>
      </c>
      <c r="AJ2" s="5">
        <f>Calculations!AP4</f>
        <v>131958027124186.25</v>
      </c>
      <c r="AK2" s="5">
        <f>Calculations!AQ4</f>
        <v>135793706441067.66</v>
      </c>
      <c r="AL2" s="5">
        <f>Calculations!AR4</f>
        <v>139652399652585.91</v>
      </c>
      <c r="AM2" s="5">
        <f>Calculations!AS4</f>
        <v>143533438420361.69</v>
      </c>
      <c r="AN2" s="5">
        <f>Calculations!AT4</f>
        <v>147436180036546.38</v>
      </c>
      <c r="AO2" s="5">
        <f>Calculations!AU4</f>
        <v>151360006206834.81</v>
      </c>
      <c r="AP2" s="5">
        <f>Calculations!AV4</f>
        <v>155304321902173.66</v>
      </c>
      <c r="AQ2" s="5">
        <f>Calculations!AW4</f>
        <v>159268554274673.47</v>
      </c>
      <c r="AR2" s="5">
        <f>Calculations!AX4</f>
        <v>163252151633579.84</v>
      </c>
      <c r="AS2" s="5">
        <f>Calculations!AY4</f>
        <v>167254582477459.34</v>
      </c>
      <c r="AT2" s="5">
        <f>Calculations!AZ4</f>
        <v>171275334579025.53</v>
      </c>
      <c r="AU2" s="5">
        <f>Calculations!BA4</f>
        <v>175313914119303.75</v>
      </c>
      <c r="AV2" s="5">
        <f>Calculations!BB4</f>
        <v>179369844868051.25</v>
      </c>
      <c r="AW2" s="5">
        <f>Calculations!BC4</f>
        <v>183442667407578.28</v>
      </c>
      <c r="AX2" s="5">
        <f>Calculations!BD4</f>
        <v>187531938397315.75</v>
      </c>
      <c r="AY2" s="5">
        <f>Calculations!BE4</f>
        <v>191637229876646.84</v>
      </c>
    </row>
    <row r="3" spans="1:51">
      <c r="A3" s="1" t="s">
        <v>504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>
      <c r="A4" s="1" t="s">
        <v>505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>
      <c r="A5" s="1" t="s">
        <v>506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>
      <c r="A6" s="1" t="s">
        <v>507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>
      <c r="A7" s="1" t="s">
        <v>508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>
      <c r="A8" s="1" t="s">
        <v>509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>
      <c r="A9" s="1" t="s">
        <v>510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>
      <c r="A10" s="1" t="s">
        <v>511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>
      <c r="A11" s="1" t="s">
        <v>512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6" spans="1:51">
      <c r="E16" s="5"/>
    </row>
  </sheetData>
  <pageMargins left="0.7" right="0.7" top="0.75" bottom="0.75" header="0.3" footer="0.3"/>
  <pageSetup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BC11"/>
  <sheetViews>
    <sheetView workbookViewId="0">
      <pane xSplit="1" ySplit="1" topLeftCell="AI10" activePane="bottomRight" state="frozen"/>
      <selection pane="bottomRight" activeCell="AI10" sqref="AI10"/>
      <selection pane="bottomLeft" activeCell="B2" sqref="B2:AI11"/>
      <selection pane="topRight" activeCell="B2" sqref="B2:AI11"/>
    </sheetView>
  </sheetViews>
  <sheetFormatPr defaultRowHeight="14.45"/>
  <cols>
    <col min="1" max="1" width="28.42578125" customWidth="1"/>
    <col min="2" max="2" width="12.7109375" customWidth="1"/>
    <col min="3" max="3" width="12" bestFit="1" customWidth="1"/>
    <col min="4" max="4" width="9.28515625" bestFit="1" customWidth="1"/>
    <col min="12" max="12" width="9.28515625" bestFit="1" customWidth="1"/>
  </cols>
  <sheetData>
    <row r="1" spans="1:55">
      <c r="A1" s="1" t="s">
        <v>49</v>
      </c>
      <c r="B1" s="1">
        <v>2017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  <c r="AJ1" s="1">
        <v>2051</v>
      </c>
      <c r="AK1" s="1">
        <v>2052</v>
      </c>
      <c r="AL1" s="1">
        <v>2053</v>
      </c>
      <c r="AM1" s="1">
        <v>2054</v>
      </c>
      <c r="AN1" s="1">
        <v>2055</v>
      </c>
      <c r="AO1" s="1">
        <v>2056</v>
      </c>
      <c r="AP1" s="1">
        <v>2057</v>
      </c>
      <c r="AQ1" s="1">
        <v>2058</v>
      </c>
      <c r="AR1" s="1">
        <v>2059</v>
      </c>
      <c r="AS1" s="1">
        <v>2060</v>
      </c>
      <c r="AT1" s="1">
        <v>2061</v>
      </c>
      <c r="AU1" s="1">
        <v>2062</v>
      </c>
      <c r="AV1" s="1">
        <v>2063</v>
      </c>
      <c r="AW1" s="1">
        <v>2064</v>
      </c>
      <c r="AX1" s="1">
        <v>2065</v>
      </c>
      <c r="AY1" s="1">
        <v>2066</v>
      </c>
      <c r="AZ1" s="1">
        <v>2067</v>
      </c>
      <c r="BA1" s="1">
        <v>2068</v>
      </c>
      <c r="BB1" s="1">
        <v>2069</v>
      </c>
      <c r="BC1" s="1">
        <v>2070</v>
      </c>
    </row>
    <row r="2" spans="1:55">
      <c r="A2" s="1" t="s">
        <v>501</v>
      </c>
      <c r="B2" s="5">
        <f>Calculations!D5</f>
        <v>134881144356497.34</v>
      </c>
      <c r="C2" s="5">
        <f>Calculations!E5</f>
        <v>146661117953088.19</v>
      </c>
      <c r="D2" s="5">
        <f>Calculations!F5</f>
        <v>157750885877440.66</v>
      </c>
      <c r="E2" s="5">
        <f>Calculations!G5</f>
        <v>168998164976410.34</v>
      </c>
      <c r="F2" s="5">
        <f>Calculations!H5</f>
        <v>180448214253798.53</v>
      </c>
      <c r="G2" s="5">
        <f>Calculations!I5</f>
        <v>192091273096221.19</v>
      </c>
      <c r="H2" s="5">
        <f>Calculations!J5</f>
        <v>206681456581787.22</v>
      </c>
      <c r="I2" s="5">
        <f>Calculations!K5</f>
        <v>221822124064046.59</v>
      </c>
      <c r="J2" s="5">
        <f>Calculations!L5</f>
        <v>237234342947564.94</v>
      </c>
      <c r="K2" s="5">
        <f>Calculations!M5</f>
        <v>252905726712743.66</v>
      </c>
      <c r="L2" s="5">
        <f>Calculations!N5</f>
        <v>268824630887452.81</v>
      </c>
      <c r="M2" s="5">
        <f>Calculations!O5</f>
        <v>287016834481013.44</v>
      </c>
      <c r="N2" s="5">
        <f>Calculations!P5</f>
        <v>305512949988505.31</v>
      </c>
      <c r="O2" s="5">
        <f>Calculations!Q5</f>
        <v>324299827415647.5</v>
      </c>
      <c r="P2" s="5">
        <f>Calculations!R5</f>
        <v>343365064632864.25</v>
      </c>
      <c r="Q2" s="5">
        <f>Calculations!S5</f>
        <v>362696954955024.44</v>
      </c>
      <c r="R2" s="5">
        <f>Calculations!T5</f>
        <v>379348514249125.75</v>
      </c>
      <c r="S2" s="5">
        <f>Calculations!U5</f>
        <v>396176427643508.56</v>
      </c>
      <c r="T2" s="5">
        <f>Calculations!V5</f>
        <v>413173675353815.69</v>
      </c>
      <c r="U2" s="5">
        <f>Calculations!W5</f>
        <v>430333605280966.44</v>
      </c>
      <c r="V2" s="5">
        <f>Calculations!X5</f>
        <v>447649909248845.56</v>
      </c>
      <c r="W2" s="5">
        <f>Calculations!Y5</f>
        <v>468242570043040.88</v>
      </c>
      <c r="X2" s="5">
        <f>Calculations!Z5</f>
        <v>489068977228395.25</v>
      </c>
      <c r="Y2" s="5">
        <f>Calculations!AA5</f>
        <v>510120681397162.94</v>
      </c>
      <c r="Z2" s="5">
        <f>Calculations!AB5</f>
        <v>531389635529302.38</v>
      </c>
      <c r="AA2" s="5">
        <f>Calculations!AC5</f>
        <v>552868171320593.75</v>
      </c>
      <c r="AB2" s="5">
        <f>Calculations!AD5</f>
        <v>575706905835371.63</v>
      </c>
      <c r="AC2" s="5">
        <f>Calculations!AE5</f>
        <v>598778097787113.5</v>
      </c>
      <c r="AD2" s="5">
        <f>Calculations!AF5</f>
        <v>622074024635456.25</v>
      </c>
      <c r="AE2" s="5">
        <f>Calculations!AG5</f>
        <v>645587302164041.38</v>
      </c>
      <c r="AF2" s="5">
        <f>Calculations!AH5</f>
        <v>669310866153812.75</v>
      </c>
      <c r="AG2" s="5">
        <f>Calculations!AI5</f>
        <v>693237955234800.88</v>
      </c>
      <c r="AH2" s="5">
        <f>Calculations!AJ5</f>
        <v>717362094828987.38</v>
      </c>
      <c r="AI2" s="5">
        <f>Calculations!AK5</f>
        <v>741677082104050.88</v>
      </c>
    </row>
    <row r="3" spans="1:55">
      <c r="A3" s="1" t="s">
        <v>504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>
      <c r="A4" s="1" t="s">
        <v>505</v>
      </c>
      <c r="B4">
        <f>Calculations!D35</f>
        <v>79673863962399.016</v>
      </c>
      <c r="C4">
        <f>Calculations!E35</f>
        <v>88372453808874.031</v>
      </c>
      <c r="D4">
        <f>Calculations!F35</f>
        <v>97071043655349.047</v>
      </c>
      <c r="E4">
        <f>Calculations!G35</f>
        <v>105769633501824.05</v>
      </c>
      <c r="F4">
        <f>Calculations!H35</f>
        <v>114468223348299.06</v>
      </c>
      <c r="G4">
        <f>Calculations!I35</f>
        <v>123166813194774.11</v>
      </c>
      <c r="H4">
        <f>Calculations!J35</f>
        <v>135570676664859.38</v>
      </c>
      <c r="I4">
        <f>Calculations!K35</f>
        <v>147974540134944.66</v>
      </c>
      <c r="J4">
        <f>Calculations!L35</f>
        <v>160378403605029.91</v>
      </c>
      <c r="K4">
        <f>Calculations!M35</f>
        <v>172782267075115.19</v>
      </c>
      <c r="L4">
        <f>Calculations!N35</f>
        <v>185186130545200.5</v>
      </c>
      <c r="M4">
        <f>Calculations!O35</f>
        <v>195070688038174.94</v>
      </c>
      <c r="N4">
        <f>Calculations!P35</f>
        <v>204955245531149.38</v>
      </c>
      <c r="O4">
        <f>Calculations!Q35</f>
        <v>214839803024123.81</v>
      </c>
      <c r="P4">
        <f>Calculations!R35</f>
        <v>224724360517098.25</v>
      </c>
      <c r="Q4">
        <f>Calculations!S35</f>
        <v>234608918010072.66</v>
      </c>
      <c r="R4">
        <f>Calculations!T35</f>
        <v>244084670714488.97</v>
      </c>
      <c r="S4">
        <f>Calculations!U35</f>
        <v>253560423418905.31</v>
      </c>
      <c r="T4">
        <f>Calculations!V35</f>
        <v>263036176123321.66</v>
      </c>
      <c r="U4">
        <f>Calculations!W35</f>
        <v>272511928827737.97</v>
      </c>
      <c r="V4">
        <f>Calculations!X35</f>
        <v>281987681532154.38</v>
      </c>
      <c r="W4">
        <f>Calculations!Y35</f>
        <v>293394214715083.44</v>
      </c>
      <c r="X4">
        <f>Calculations!Z35</f>
        <v>304800747898012.56</v>
      </c>
      <c r="Y4">
        <f>Calculations!AA35</f>
        <v>316207281080941.69</v>
      </c>
      <c r="Z4">
        <f>Calculations!AB35</f>
        <v>327613814263870.81</v>
      </c>
      <c r="AA4">
        <f>Calculations!AC35</f>
        <v>339020347446799.88</v>
      </c>
      <c r="AB4">
        <f>Calculations!AD35</f>
        <v>345216025819445.5</v>
      </c>
      <c r="AC4">
        <f>Calculations!AE35</f>
        <v>351411704192091.13</v>
      </c>
      <c r="AD4">
        <f>Calculations!AF35</f>
        <v>357607382564736.75</v>
      </c>
      <c r="AE4">
        <f>Calculations!AG35</f>
        <v>363803060937382.38</v>
      </c>
      <c r="AF4">
        <f>Calculations!AH35</f>
        <v>369998739310028</v>
      </c>
      <c r="AG4">
        <f>Calculations!AI35</f>
        <v>376194417682673.63</v>
      </c>
      <c r="AH4">
        <f>Calculations!AJ35</f>
        <v>382390096055319.25</v>
      </c>
      <c r="AI4">
        <f>Calculations!AK35</f>
        <v>388585774427964.88</v>
      </c>
    </row>
    <row r="5" spans="1:55">
      <c r="A5" s="1" t="s">
        <v>506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>
      <c r="A6" s="1" t="s">
        <v>507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>
      <c r="A7" s="1" t="s">
        <v>508</v>
      </c>
      <c r="B7">
        <f>Calculations!D80</f>
        <v>445691698173606.5</v>
      </c>
      <c r="C7">
        <f>Calculations!E80</f>
        <v>413855749557588.69</v>
      </c>
      <c r="D7">
        <f>Calculations!F80</f>
        <v>382019800941570.88</v>
      </c>
      <c r="E7">
        <f>Calculations!G80</f>
        <v>350183852325553.06</v>
      </c>
      <c r="F7">
        <f>Calculations!H80</f>
        <v>318347903709535.25</v>
      </c>
      <c r="G7">
        <f>Calculations!I80</f>
        <v>286511955093517.5</v>
      </c>
      <c r="H7">
        <f>Calculations!J80</f>
        <v>251901707592573.66</v>
      </c>
      <c r="I7">
        <f>Calculations!K80</f>
        <v>217291460091629.75</v>
      </c>
      <c r="J7">
        <f>Calculations!L80</f>
        <v>182681212590685.88</v>
      </c>
      <c r="K7">
        <f>Calculations!M80</f>
        <v>148070965089741.97</v>
      </c>
      <c r="L7">
        <f>Calculations!N80</f>
        <v>113460717588798.03</v>
      </c>
      <c r="M7">
        <f>Calculations!O80</f>
        <v>101680061029039.73</v>
      </c>
      <c r="N7">
        <f>Calculations!P80</f>
        <v>89899404469281.422</v>
      </c>
      <c r="O7">
        <f>Calculations!Q80</f>
        <v>78118747909523.109</v>
      </c>
      <c r="P7">
        <f>Calculations!R80</f>
        <v>66338091349764.805</v>
      </c>
      <c r="Q7">
        <f>Calculations!S80</f>
        <v>54557434790006.508</v>
      </c>
      <c r="R7">
        <f>Calculations!T80</f>
        <v>43645947832005.203</v>
      </c>
      <c r="S7">
        <f>Calculations!U80</f>
        <v>32734460874003.902</v>
      </c>
      <c r="T7">
        <f>Calculations!V80</f>
        <v>21822973916002.605</v>
      </c>
      <c r="U7">
        <f>Calculations!W80</f>
        <v>10911486958001.307</v>
      </c>
      <c r="V7">
        <f>Calculations!X80</f>
        <v>0</v>
      </c>
      <c r="W7">
        <f>Calculations!Y80</f>
        <v>0</v>
      </c>
      <c r="X7">
        <f>Calculations!Z80</f>
        <v>0</v>
      </c>
      <c r="Y7">
        <f>Calculations!AA80</f>
        <v>0</v>
      </c>
      <c r="Z7">
        <f>Calculations!AB80</f>
        <v>0</v>
      </c>
      <c r="AA7">
        <f>Calculations!AC80</f>
        <v>0</v>
      </c>
      <c r="AB7">
        <f>Calculations!AD80</f>
        <v>0</v>
      </c>
      <c r="AC7">
        <f>Calculations!AE80</f>
        <v>0</v>
      </c>
      <c r="AD7">
        <f>Calculations!AF80</f>
        <v>0</v>
      </c>
      <c r="AE7">
        <f>Calculations!AG80</f>
        <v>0</v>
      </c>
      <c r="AF7">
        <f>Calculations!AH80</f>
        <v>0</v>
      </c>
      <c r="AG7">
        <f>Calculations!AI80</f>
        <v>0</v>
      </c>
      <c r="AH7">
        <f>Calculations!AJ80</f>
        <v>0</v>
      </c>
      <c r="AI7">
        <f>Calculations!AK80</f>
        <v>0</v>
      </c>
      <c r="AJ7">
        <f>Calculations!AL80</f>
        <v>0</v>
      </c>
      <c r="AK7">
        <f>Calculations!AM80</f>
        <v>0</v>
      </c>
      <c r="AL7">
        <f>Calculations!AN80</f>
        <v>0</v>
      </c>
      <c r="AM7">
        <f>Calculations!AO80</f>
        <v>0</v>
      </c>
      <c r="AN7">
        <f>Calculations!AP80</f>
        <v>0</v>
      </c>
      <c r="AO7">
        <f>Calculations!AQ80</f>
        <v>0</v>
      </c>
      <c r="AP7">
        <f>Calculations!AR80</f>
        <v>0</v>
      </c>
      <c r="AQ7">
        <f>Calculations!AS80</f>
        <v>0</v>
      </c>
      <c r="AR7">
        <f>Calculations!AT80</f>
        <v>0</v>
      </c>
      <c r="AS7">
        <f>Calculations!AU80</f>
        <v>0</v>
      </c>
      <c r="AT7">
        <f>Calculations!AV80</f>
        <v>0</v>
      </c>
      <c r="AU7">
        <f>Calculations!AW80</f>
        <v>0</v>
      </c>
      <c r="AV7">
        <f>Calculations!AX80</f>
        <v>0</v>
      </c>
      <c r="AW7">
        <f>Calculations!AY80</f>
        <v>0</v>
      </c>
      <c r="AX7">
        <f>Calculations!AZ80</f>
        <v>0</v>
      </c>
      <c r="AY7">
        <f>Calculations!BA80</f>
        <v>0</v>
      </c>
      <c r="AZ7">
        <f>Calculations!BB80</f>
        <v>0</v>
      </c>
      <c r="BA7">
        <f>Calculations!BC80</f>
        <v>0</v>
      </c>
      <c r="BB7">
        <f>Calculations!BD80</f>
        <v>0</v>
      </c>
      <c r="BC7">
        <f>Calculations!BE80</f>
        <v>0</v>
      </c>
    </row>
    <row r="8" spans="1:55">
      <c r="A8" s="1" t="s">
        <v>509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>
      <c r="A9" s="1" t="s">
        <v>510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>
      <c r="A10" s="1" t="s">
        <v>511</v>
      </c>
      <c r="B10">
        <f>Calculations!D125</f>
        <v>495133384726832.19</v>
      </c>
      <c r="C10">
        <f>Calculations!E125</f>
        <v>533991555612341</v>
      </c>
      <c r="D10">
        <f>Calculations!F125</f>
        <v>570094758271666</v>
      </c>
      <c r="E10">
        <f>Calculations!G125</f>
        <v>579667469953496.38</v>
      </c>
      <c r="F10">
        <f>Calculations!H125</f>
        <v>601022190570259.63</v>
      </c>
      <c r="G10">
        <f>Calculations!I125</f>
        <v>601471092303273.5</v>
      </c>
      <c r="H10">
        <f>Calculations!J125</f>
        <v>601919994036287.25</v>
      </c>
      <c r="I10">
        <f>Calculations!K125</f>
        <v>602368895769301.13</v>
      </c>
      <c r="J10">
        <f>Calculations!L125</f>
        <v>602817797502315.13</v>
      </c>
      <c r="K10">
        <f>Calculations!M125</f>
        <v>603266699235329</v>
      </c>
      <c r="L10">
        <f>Calculations!N125</f>
        <v>608132548318307.38</v>
      </c>
      <c r="M10">
        <f>Calculations!O125</f>
        <v>612998397401285.75</v>
      </c>
      <c r="N10">
        <f>Calculations!P125</f>
        <v>617864246484264</v>
      </c>
      <c r="O10">
        <f>Calculations!Q125</f>
        <v>622730095567242.25</v>
      </c>
      <c r="P10">
        <f>Calculations!R125</f>
        <v>627595944650220.5</v>
      </c>
      <c r="Q10">
        <f>Calculations!S125</f>
        <v>634292058835601.13</v>
      </c>
      <c r="R10">
        <f>Calculations!T125</f>
        <v>640988173020981.75</v>
      </c>
      <c r="S10">
        <f>Calculations!U125</f>
        <v>647684287206362.38</v>
      </c>
      <c r="T10">
        <f>Calculations!V125</f>
        <v>654380401391743</v>
      </c>
      <c r="U10">
        <f>Calculations!W125</f>
        <v>661076515577123.75</v>
      </c>
      <c r="V10">
        <f>Calculations!X125</f>
        <v>652347185889088.5</v>
      </c>
      <c r="W10">
        <f>Calculations!Y125</f>
        <v>643617856201053.13</v>
      </c>
      <c r="X10">
        <f>Calculations!Z125</f>
        <v>634888526513017.75</v>
      </c>
      <c r="Y10">
        <f>Calculations!AA125</f>
        <v>626159196824982.38</v>
      </c>
      <c r="Z10">
        <f>Calculations!AB125</f>
        <v>617429867136947</v>
      </c>
      <c r="AA10">
        <f>Calculations!AC125</f>
        <v>615695188270258.63</v>
      </c>
      <c r="AB10">
        <f>Calculations!AD125</f>
        <v>613960509403570.5</v>
      </c>
      <c r="AC10">
        <f>Calculations!AE125</f>
        <v>612225830536882.13</v>
      </c>
      <c r="AD10">
        <f>Calculations!AF125</f>
        <v>610491151670193.88</v>
      </c>
      <c r="AE10">
        <f>Calculations!AG125</f>
        <v>608756472803505.5</v>
      </c>
      <c r="AF10">
        <f>Calculations!AH125</f>
        <v>607021793936817.25</v>
      </c>
      <c r="AG10">
        <f>Calculations!AI125</f>
        <v>605287115070129</v>
      </c>
      <c r="AH10">
        <f>Calculations!AJ125</f>
        <v>603552436203440.75</v>
      </c>
      <c r="AI10">
        <f>Calculations!AK125</f>
        <v>601817757336752.5</v>
      </c>
    </row>
    <row r="11" spans="1:55">
      <c r="A11" s="1" t="s">
        <v>512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Z11"/>
  <sheetViews>
    <sheetView workbookViewId="0">
      <pane xSplit="1" ySplit="1" topLeftCell="AO2" activePane="bottomRight" state="frozen"/>
      <selection pane="bottomRight" activeCell="AQ2" sqref="AQ2:AZ2"/>
      <selection pane="bottomLeft" activeCell="B2" sqref="B2:AI11"/>
      <selection pane="topRight" activeCell="B2" sqref="B2:AI11"/>
    </sheetView>
  </sheetViews>
  <sheetFormatPr defaultRowHeight="14.45"/>
  <cols>
    <col min="1" max="1" width="28.42578125" customWidth="1"/>
    <col min="2" max="2" width="13.28515625" customWidth="1"/>
    <col min="3" max="3" width="12" bestFit="1" customWidth="1"/>
  </cols>
  <sheetData>
    <row r="1" spans="1:52">
      <c r="A1" s="1" t="s">
        <v>49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s="1" t="s">
        <v>501</v>
      </c>
      <c r="B2" s="5">
        <f>Calculations!G6</f>
        <v>35038117935349.785</v>
      </c>
      <c r="C2" s="5">
        <f>Calculations!H6</f>
        <v>40962765079656.656</v>
      </c>
      <c r="D2" s="5">
        <f>Calculations!I6</f>
        <v>36324884179679.945</v>
      </c>
      <c r="E2" s="5">
        <f>Calculations!J6</f>
        <v>41509962270259.844</v>
      </c>
      <c r="F2" s="5">
        <f>Calculations!K6</f>
        <v>46883516929760.719</v>
      </c>
      <c r="G2" s="5">
        <f>Calculations!L6</f>
        <v>52388893116412.156</v>
      </c>
      <c r="H2" s="5">
        <f>Calculations!M6</f>
        <v>58020077935705.469</v>
      </c>
      <c r="I2" s="5">
        <f>Calculations!N6</f>
        <v>63771418711601.555</v>
      </c>
      <c r="J2" s="5">
        <f>Calculations!O6</f>
        <v>72465808608354.172</v>
      </c>
      <c r="K2" s="5">
        <f>Calculations!P6</f>
        <v>81370465850211.328</v>
      </c>
      <c r="L2" s="5">
        <f>Calculations!Q6</f>
        <v>90476292358886.078</v>
      </c>
      <c r="M2" s="5">
        <f>Calculations!R6</f>
        <v>99774707480775.234</v>
      </c>
      <c r="N2" s="5">
        <f>Calculations!S6</f>
        <v>109257611718984.53</v>
      </c>
      <c r="O2" s="5">
        <f>Calculations!T6</f>
        <v>123348552196829.11</v>
      </c>
      <c r="P2" s="5">
        <f>Calculations!U6</f>
        <v>137758234210656.05</v>
      </c>
      <c r="Q2" s="5">
        <f>Calculations!V6</f>
        <v>152473970236644.25</v>
      </c>
      <c r="R2" s="5">
        <f>Calculations!W6</f>
        <v>167483737303538.22</v>
      </c>
      <c r="S2" s="5">
        <f>Calculations!X6</f>
        <v>182776134044760.06</v>
      </c>
      <c r="T2" s="5">
        <f>Calculations!Y6</f>
        <v>199714888837949.72</v>
      </c>
      <c r="U2" s="5">
        <f>Calculations!Z6</f>
        <v>216981641521185.03</v>
      </c>
      <c r="V2" s="5">
        <f>Calculations!AA6</f>
        <v>234564535706437.91</v>
      </c>
      <c r="W2" s="5">
        <f>Calculations!AB6</f>
        <v>252452279644643.56</v>
      </c>
      <c r="X2" s="5">
        <f>Calculations!AC6</f>
        <v>270634113008798.34</v>
      </c>
      <c r="Y2" s="5">
        <f>Calculations!AD6</f>
        <v>290791832041206.13</v>
      </c>
      <c r="Z2" s="5">
        <f>Calculations!AE6</f>
        <v>311292205723208.38</v>
      </c>
      <c r="AA2" s="5">
        <f>Calculations!AF6</f>
        <v>332123850618778.44</v>
      </c>
      <c r="AB2" s="5">
        <f>Calculations!AG6</f>
        <v>353275881999508.06</v>
      </c>
      <c r="AC2" s="5">
        <f>Calculations!AH6</f>
        <v>374737886830056.38</v>
      </c>
      <c r="AD2" s="5">
        <f>Calculations!AI6</f>
        <v>396499898490783.69</v>
      </c>
      <c r="AE2" s="5">
        <f>Calculations!AJ6</f>
        <v>418552373108662.19</v>
      </c>
      <c r="AF2" s="5">
        <f>Calculations!AK6</f>
        <v>440886167378303.5</v>
      </c>
      <c r="AG2" s="5">
        <f>Calculations!AL6</f>
        <v>463492517764801.75</v>
      </c>
      <c r="AH2" s="5">
        <f>Calculations!AM6</f>
        <v>486363020989001.75</v>
      </c>
      <c r="AI2" s="5">
        <f>Calculations!AN6</f>
        <v>509489615703837.44</v>
      </c>
      <c r="AJ2" s="5">
        <f>Calculations!AO6</f>
        <v>532864565277820.63</v>
      </c>
      <c r="AK2" s="5">
        <f>Calculations!AP6</f>
        <v>556480441608382.56</v>
      </c>
      <c r="AL2" s="5">
        <f>Calculations!AQ6</f>
        <v>580330109893918</v>
      </c>
      <c r="AM2" s="5">
        <f>Calculations!AR6</f>
        <v>604406714298948.13</v>
      </c>
      <c r="AN2" s="5">
        <f>Calculations!AS6</f>
        <v>628703664451846.75</v>
      </c>
      <c r="AO2" s="5">
        <f>Calculations!AT6</f>
        <v>653214622719303.5</v>
      </c>
      <c r="AP2" s="5">
        <f>Calculations!AU6</f>
        <v>677933492205838</v>
      </c>
      <c r="AQ2" s="5">
        <f>Calculations!AV6</f>
        <v>702854405430671.63</v>
      </c>
      <c r="AR2" s="5">
        <f>Calculations!AW6</f>
        <v>727971713637730.75</v>
      </c>
      <c r="AS2" s="5">
        <f>Calculations!AX6</f>
        <v>753279976697872.25</v>
      </c>
      <c r="AT2" s="5">
        <f>Calculations!AY6</f>
        <v>778773953565424.63</v>
      </c>
      <c r="AU2" s="5">
        <f>Calculations!AZ6</f>
        <v>804448593253823.25</v>
      </c>
      <c r="AV2" s="5">
        <f>Calculations!BA6</f>
        <v>830299026297745</v>
      </c>
      <c r="AW2" s="5">
        <f>Calculations!BB6</f>
        <v>856320556671374.88</v>
      </c>
      <c r="AX2" s="5">
        <f>Calculations!BC6</f>
        <v>882508654134642.63</v>
      </c>
      <c r="AY2" s="5">
        <f>Calculations!BD6</f>
        <v>908858946981236.25</v>
      </c>
      <c r="AZ2" s="5">
        <f>Calculations!BE6</f>
        <v>935367215163956.88</v>
      </c>
    </row>
    <row r="3" spans="1:52">
      <c r="A3" s="1" t="s">
        <v>504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>
      <c r="A4" s="1" t="s">
        <v>505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>
      <c r="A5" s="1" t="s">
        <v>506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>
      <c r="A6" s="1" t="s">
        <v>507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>
      <c r="A7" s="1" t="s">
        <v>508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>
      <c r="A8" s="1" t="s">
        <v>509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>
      <c r="A9" s="1" t="s">
        <v>510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>
      <c r="A10" s="1" t="s">
        <v>511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>
      <c r="A11" s="1" t="s">
        <v>512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Y11"/>
  <sheetViews>
    <sheetView workbookViewId="0">
      <pane xSplit="1" ySplit="1" topLeftCell="AE2" activePane="bottomRight" state="frozen"/>
      <selection pane="bottomRight" activeCell="AE2" sqref="AE2"/>
      <selection pane="bottomLeft" activeCell="B2" sqref="B2:AI11"/>
      <selection pane="topRight" activeCell="B2" sqref="B2:AI11"/>
    </sheetView>
  </sheetViews>
  <sheetFormatPr defaultRowHeight="14.45"/>
  <cols>
    <col min="1" max="1" width="28" customWidth="1"/>
    <col min="2" max="2" width="13.5703125" customWidth="1"/>
  </cols>
  <sheetData>
    <row r="1" spans="1:51">
      <c r="A1" s="1" t="s">
        <v>49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>
      <c r="A2" s="1" t="s">
        <v>501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>
      <c r="A3" s="1" t="s">
        <v>504</v>
      </c>
      <c r="B3">
        <f>Calculations!H22</f>
        <v>0</v>
      </c>
      <c r="C3">
        <f>Calculations!I22</f>
        <v>0</v>
      </c>
      <c r="D3">
        <f>Calculations!J22</f>
        <v>0</v>
      </c>
      <c r="E3">
        <f>Calculations!K22</f>
        <v>0</v>
      </c>
      <c r="F3">
        <f>Calculations!L22</f>
        <v>0</v>
      </c>
      <c r="G3">
        <f>Calculations!M22</f>
        <v>0</v>
      </c>
      <c r="H3">
        <f>Calculations!N22</f>
        <v>0</v>
      </c>
      <c r="I3">
        <f>Calculations!O22</f>
        <v>0</v>
      </c>
      <c r="J3">
        <f>Calculations!P22</f>
        <v>0</v>
      </c>
      <c r="K3">
        <f>Calculations!Q22</f>
        <v>0</v>
      </c>
      <c r="L3">
        <f>Calculations!R22</f>
        <v>0</v>
      </c>
      <c r="M3">
        <f>Calculations!S22</f>
        <v>0</v>
      </c>
      <c r="N3">
        <f>Calculations!T22</f>
        <v>0</v>
      </c>
      <c r="O3">
        <f>Calculations!U22</f>
        <v>0</v>
      </c>
      <c r="P3">
        <f>Calculations!V22</f>
        <v>0</v>
      </c>
      <c r="Q3">
        <f>Calculations!W22</f>
        <v>0</v>
      </c>
      <c r="R3">
        <f>Calculations!X22</f>
        <v>0</v>
      </c>
      <c r="S3">
        <f>Calculations!Y22</f>
        <v>0</v>
      </c>
      <c r="T3">
        <f>Calculations!Z22</f>
        <v>0</v>
      </c>
      <c r="U3">
        <f>Calculations!AA22</f>
        <v>0</v>
      </c>
      <c r="V3">
        <f>Calculations!AB22</f>
        <v>0</v>
      </c>
      <c r="W3">
        <f>Calculations!AC22</f>
        <v>0</v>
      </c>
      <c r="X3">
        <f>Calculations!AD22</f>
        <v>0</v>
      </c>
      <c r="Y3">
        <f>Calculations!AE22</f>
        <v>0</v>
      </c>
      <c r="Z3">
        <f>Calculations!AF22</f>
        <v>0</v>
      </c>
      <c r="AA3">
        <f>Calculations!AG22</f>
        <v>0</v>
      </c>
      <c r="AB3">
        <f>Calculations!AH22</f>
        <v>0</v>
      </c>
      <c r="AC3">
        <f>Calculations!AI22</f>
        <v>0</v>
      </c>
      <c r="AD3">
        <f>Calculations!AJ22</f>
        <v>0</v>
      </c>
      <c r="AE3">
        <f>Calculations!AK22</f>
        <v>0</v>
      </c>
      <c r="AF3">
        <f>Calculations!AL22</f>
        <v>0</v>
      </c>
      <c r="AG3">
        <f>Calculations!AM22</f>
        <v>0</v>
      </c>
      <c r="AH3">
        <f>Calculations!AN22</f>
        <v>0</v>
      </c>
      <c r="AI3">
        <f>Calculations!AO22</f>
        <v>0</v>
      </c>
      <c r="AJ3">
        <f>Calculations!AP22</f>
        <v>0</v>
      </c>
      <c r="AK3">
        <f>Calculations!AQ22</f>
        <v>0</v>
      </c>
      <c r="AL3">
        <f>Calculations!AR22</f>
        <v>0</v>
      </c>
      <c r="AM3">
        <f>Calculations!AS22</f>
        <v>0</v>
      </c>
      <c r="AN3">
        <f>Calculations!AT22</f>
        <v>0</v>
      </c>
      <c r="AO3">
        <f>Calculations!AU22</f>
        <v>0</v>
      </c>
      <c r="AP3">
        <f>Calculations!AV22</f>
        <v>0</v>
      </c>
      <c r="AQ3">
        <f>Calculations!AW22</f>
        <v>0</v>
      </c>
      <c r="AR3">
        <f>Calculations!AX22</f>
        <v>0</v>
      </c>
      <c r="AS3">
        <f>Calculations!AY22</f>
        <v>0</v>
      </c>
      <c r="AT3">
        <f>Calculations!AZ22</f>
        <v>0</v>
      </c>
      <c r="AU3">
        <f>Calculations!BA22</f>
        <v>0</v>
      </c>
      <c r="AV3">
        <f>Calculations!BB22</f>
        <v>0</v>
      </c>
      <c r="AW3">
        <f>Calculations!BC22</f>
        <v>0</v>
      </c>
      <c r="AX3">
        <f>Calculations!BD22</f>
        <v>0</v>
      </c>
      <c r="AY3">
        <f>Calculations!BE22</f>
        <v>0</v>
      </c>
    </row>
    <row r="4" spans="1:51">
      <c r="A4" s="1" t="s">
        <v>505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>
      <c r="A5" s="1" t="s">
        <v>506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>
      <c r="A6" s="1" t="s">
        <v>507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>
      <c r="A7" s="1" t="s">
        <v>508</v>
      </c>
      <c r="B7">
        <f>Calculations!H82</f>
        <v>0</v>
      </c>
      <c r="C7">
        <f>Calculations!I82</f>
        <v>0</v>
      </c>
      <c r="D7">
        <f>Calculations!J82</f>
        <v>0</v>
      </c>
      <c r="E7">
        <f>Calculations!K82</f>
        <v>0</v>
      </c>
      <c r="F7">
        <f>Calculations!L82</f>
        <v>0</v>
      </c>
      <c r="G7">
        <f>Calculations!M82</f>
        <v>0</v>
      </c>
      <c r="H7">
        <f>Calculations!N82</f>
        <v>0</v>
      </c>
      <c r="I7">
        <f>Calculations!O82</f>
        <v>0</v>
      </c>
      <c r="J7">
        <f>Calculations!P82</f>
        <v>0</v>
      </c>
      <c r="K7">
        <f>Calculations!Q82</f>
        <v>0</v>
      </c>
      <c r="L7">
        <f>Calculations!R82</f>
        <v>0</v>
      </c>
      <c r="M7">
        <f>Calculations!S82</f>
        <v>0</v>
      </c>
      <c r="N7">
        <f>Calculations!T82</f>
        <v>0</v>
      </c>
      <c r="O7">
        <f>Calculations!U82</f>
        <v>0</v>
      </c>
      <c r="P7">
        <f>Calculations!V82</f>
        <v>0</v>
      </c>
      <c r="Q7">
        <f>Calculations!W82</f>
        <v>0</v>
      </c>
      <c r="R7">
        <f>Calculations!X82</f>
        <v>0</v>
      </c>
      <c r="S7">
        <f>Calculations!Y82</f>
        <v>0</v>
      </c>
      <c r="T7">
        <f>Calculations!Z82</f>
        <v>0</v>
      </c>
      <c r="U7">
        <f>Calculations!AA82</f>
        <v>0</v>
      </c>
      <c r="V7">
        <f>Calculations!AB82</f>
        <v>0</v>
      </c>
      <c r="W7">
        <f>Calculations!AC82</f>
        <v>0</v>
      </c>
      <c r="X7">
        <f>Calculations!AD82</f>
        <v>0</v>
      </c>
      <c r="Y7">
        <f>Calculations!AE82</f>
        <v>0</v>
      </c>
      <c r="Z7">
        <f>Calculations!AF82</f>
        <v>0</v>
      </c>
      <c r="AA7">
        <f>Calculations!AG82</f>
        <v>0</v>
      </c>
      <c r="AB7">
        <f>Calculations!AH82</f>
        <v>0</v>
      </c>
      <c r="AC7">
        <f>Calculations!AI82</f>
        <v>0</v>
      </c>
      <c r="AD7">
        <f>Calculations!AJ82</f>
        <v>0</v>
      </c>
      <c r="AE7">
        <f>Calculations!AK82</f>
        <v>0</v>
      </c>
      <c r="AF7">
        <f>Calculations!AL82</f>
        <v>0</v>
      </c>
      <c r="AG7">
        <f>Calculations!AM82</f>
        <v>0</v>
      </c>
      <c r="AH7">
        <f>Calculations!AN82</f>
        <v>0</v>
      </c>
      <c r="AI7">
        <f>Calculations!AO82</f>
        <v>0</v>
      </c>
      <c r="AJ7">
        <f>Calculations!AP82</f>
        <v>0</v>
      </c>
      <c r="AK7">
        <f>Calculations!AQ82</f>
        <v>0</v>
      </c>
      <c r="AL7">
        <f>Calculations!AR82</f>
        <v>0</v>
      </c>
      <c r="AM7">
        <f>Calculations!AS82</f>
        <v>0</v>
      </c>
      <c r="AN7">
        <f>Calculations!AT82</f>
        <v>0</v>
      </c>
      <c r="AO7">
        <f>Calculations!AU82</f>
        <v>0</v>
      </c>
      <c r="AP7">
        <f>Calculations!AV82</f>
        <v>0</v>
      </c>
      <c r="AQ7">
        <f>Calculations!AW82</f>
        <v>0</v>
      </c>
      <c r="AR7">
        <f>Calculations!AX82</f>
        <v>0</v>
      </c>
      <c r="AS7">
        <f>Calculations!AY82</f>
        <v>0</v>
      </c>
      <c r="AT7">
        <f>Calculations!AZ82</f>
        <v>0</v>
      </c>
      <c r="AU7">
        <f>Calculations!BA82</f>
        <v>0</v>
      </c>
      <c r="AV7">
        <f>Calculations!BB82</f>
        <v>0</v>
      </c>
      <c r="AW7">
        <f>Calculations!BC82</f>
        <v>0</v>
      </c>
      <c r="AX7">
        <f>Calculations!BD82</f>
        <v>0</v>
      </c>
      <c r="AY7">
        <f>Calculations!BE82</f>
        <v>0</v>
      </c>
    </row>
    <row r="8" spans="1:51">
      <c r="A8" s="1" t="s">
        <v>509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>
      <c r="A9" s="1" t="s">
        <v>510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>
      <c r="A10" s="1" t="s">
        <v>511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>
      <c r="A11" s="1" t="s">
        <v>512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Y11"/>
  <sheetViews>
    <sheetView workbookViewId="0">
      <pane xSplit="1" ySplit="1" topLeftCell="AP2" activePane="bottomRight" state="frozen"/>
      <selection pane="bottomRight" activeCell="AE2" sqref="AE2:AY2"/>
      <selection pane="bottomLeft" activeCell="B2" sqref="B2:AI11"/>
      <selection pane="topRight" activeCell="B2" sqref="B2:AI11"/>
    </sheetView>
  </sheetViews>
  <sheetFormatPr defaultRowHeight="14.45"/>
  <cols>
    <col min="1" max="1" width="27.85546875" customWidth="1"/>
    <col min="2" max="2" width="12" bestFit="1" customWidth="1"/>
  </cols>
  <sheetData>
    <row r="1" spans="1:51">
      <c r="A1" s="1" t="s">
        <v>49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>
      <c r="A2" s="1" t="s">
        <v>501</v>
      </c>
      <c r="B2" s="5">
        <f>Calculations!H8</f>
        <v>32244848725508.859</v>
      </c>
      <c r="C2" s="5">
        <f>Calculations!I8</f>
        <v>28592679548858.879</v>
      </c>
      <c r="D2" s="5">
        <f>Calculations!J8</f>
        <v>31976010109033.488</v>
      </c>
      <c r="E2" s="5">
        <f>Calculations!K8</f>
        <v>35265462104599.867</v>
      </c>
      <c r="F2" s="5">
        <f>Calculations!L8</f>
        <v>38488297758139.383</v>
      </c>
      <c r="G2" s="5">
        <f>Calculations!M8</f>
        <v>41647555701094.242</v>
      </c>
      <c r="H2" s="5">
        <f>Calculations!N8</f>
        <v>44746092527592.367</v>
      </c>
      <c r="I2" s="5">
        <f>Calculations!O8</f>
        <v>49871577696521.313</v>
      </c>
      <c r="J2" s="5">
        <f>Calculations!P8</f>
        <v>54885048737729.469</v>
      </c>
      <c r="K2" s="5">
        <f>Calculations!Q8</f>
        <v>59791352401446.828</v>
      </c>
      <c r="L2" s="5">
        <f>Calculations!R8</f>
        <v>64595059794176.648</v>
      </c>
      <c r="M2" s="5">
        <f>Calculations!S8</f>
        <v>69300485699458.617</v>
      </c>
      <c r="N2" s="5">
        <f>Calculations!T8</f>
        <v>75303378567697.578</v>
      </c>
      <c r="O2" s="5">
        <f>Calculations!U8</f>
        <v>81165981109083.688</v>
      </c>
      <c r="P2" s="5">
        <f>Calculations!V8</f>
        <v>86893877587551.422</v>
      </c>
      <c r="Q2" s="5">
        <f>Calculations!W8</f>
        <v>92492359772063.344</v>
      </c>
      <c r="R2" s="5">
        <f>Calculations!X8</f>
        <v>97966445839616.094</v>
      </c>
      <c r="S2" s="5">
        <f>Calculations!Y8</f>
        <v>104720219756102.66</v>
      </c>
      <c r="T2" s="5">
        <f>Calculations!Z8</f>
        <v>111302724670162.19</v>
      </c>
      <c r="U2" s="5">
        <f>Calculations!AA8</f>
        <v>117720151572077.17</v>
      </c>
      <c r="V2" s="5">
        <f>Calculations!AB8</f>
        <v>123978396617453.17</v>
      </c>
      <c r="W2" s="5">
        <f>Calculations!AC8</f>
        <v>130083078471920.63</v>
      </c>
      <c r="X2" s="5">
        <f>Calculations!AD8</f>
        <v>137440526428935.17</v>
      </c>
      <c r="Y2" s="5">
        <f>Calculations!AE8</f>
        <v>144593171798587.34</v>
      </c>
      <c r="Z2" s="5">
        <f>Calculations!AF8</f>
        <v>151547818390935.28</v>
      </c>
      <c r="AA2" s="5">
        <f>Calculations!AG8</f>
        <v>158310971941544.59</v>
      </c>
      <c r="AB2" s="5">
        <f>Calculations!AH8</f>
        <v>164888856257921.78</v>
      </c>
      <c r="AC2" s="5">
        <f>Calculations!AI8</f>
        <v>171287428327639.44</v>
      </c>
      <c r="AD2" s="5">
        <f>Calculations!AJ8</f>
        <v>177512392465207.47</v>
      </c>
      <c r="AE2" s="5">
        <f>Calculations!AK8</f>
        <v>183569213568309.16</v>
      </c>
      <c r="AF2" s="5">
        <f>Calculations!AL8</f>
        <v>189463129548133.25</v>
      </c>
      <c r="AG2" s="5">
        <f>Calculations!AM8</f>
        <v>195199162993211.47</v>
      </c>
      <c r="AH2" s="5">
        <f>Calculations!AN8</f>
        <v>200782132121357.78</v>
      </c>
      <c r="AI2" s="5">
        <f>Calculations!AO8</f>
        <v>206216661069872.47</v>
      </c>
      <c r="AJ2" s="5">
        <f>Calculations!AP8</f>
        <v>211507189570208.28</v>
      </c>
      <c r="AK2" s="5">
        <f>Calculations!AQ8</f>
        <v>216657982049626.84</v>
      </c>
      <c r="AL2" s="5">
        <f>Calculations!AR8</f>
        <v>221673136199043.41</v>
      </c>
      <c r="AM2" s="5">
        <f>Calculations!AS8</f>
        <v>226556591043252.03</v>
      </c>
      <c r="AN2" s="5">
        <f>Calculations!AT8</f>
        <v>231312134546902.72</v>
      </c>
      <c r="AO2" s="5">
        <f>Calculations!AU8</f>
        <v>235943410787117.16</v>
      </c>
      <c r="AP2" s="5">
        <f>Calculations!AV8</f>
        <v>240453926721253.66</v>
      </c>
      <c r="AQ2" s="5">
        <f>Calculations!AW8</f>
        <v>244847058576252.91</v>
      </c>
      <c r="AR2" s="5">
        <f>Calculations!AX8</f>
        <v>249126057884015.47</v>
      </c>
      <c r="AS2" s="5">
        <f>Calculations!AY8</f>
        <v>253294057185469.5</v>
      </c>
      <c r="AT2" s="5">
        <f>Calculations!AZ8</f>
        <v>257354075424377.47</v>
      </c>
      <c r="AU2" s="5">
        <f>Calculations!BA8</f>
        <v>261309023050367</v>
      </c>
      <c r="AV2" s="5">
        <f>Calculations!BB8</f>
        <v>265161706849332.88</v>
      </c>
      <c r="AW2" s="5">
        <f>Calculations!BC8</f>
        <v>268914834518044.06</v>
      </c>
      <c r="AX2" s="5">
        <f>Calculations!BD8</f>
        <v>272571018998613.72</v>
      </c>
      <c r="AY2" s="5">
        <f>Calculations!BE8</f>
        <v>276132782587429.34</v>
      </c>
    </row>
    <row r="3" spans="1:51">
      <c r="A3" s="1" t="s">
        <v>504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>
      <c r="A4" s="1" t="s">
        <v>505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>
      <c r="A5" s="1" t="s">
        <v>506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>
      <c r="A6" s="1" t="s">
        <v>507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>
      <c r="A7" s="1" t="s">
        <v>508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>
      <c r="A8" s="1" t="s">
        <v>509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>
      <c r="A9" s="1" t="s">
        <v>510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>
      <c r="A10" s="1" t="s">
        <v>511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>
      <c r="A11" s="1" t="s">
        <v>512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Y11"/>
  <sheetViews>
    <sheetView workbookViewId="0">
      <pane xSplit="1" ySplit="1" topLeftCell="AS2" activePane="bottomRight" state="frozen"/>
      <selection pane="bottomRight" activeCell="AE2" sqref="AE2:AY2"/>
      <selection pane="bottomLeft" activeCell="B2" sqref="B2:AI11"/>
      <selection pane="topRight" activeCell="B2" sqref="B2:AI11"/>
    </sheetView>
  </sheetViews>
  <sheetFormatPr defaultRowHeight="14.45"/>
  <cols>
    <col min="1" max="1" width="28.85546875" bestFit="1" customWidth="1"/>
  </cols>
  <sheetData>
    <row r="1" spans="1:51">
      <c r="A1" s="1" t="s">
        <v>49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>
      <c r="A2" s="1" t="s">
        <v>501</v>
      </c>
      <c r="B2" s="5">
        <f>Calculations!H9</f>
        <v>67273239148335.977</v>
      </c>
      <c r="C2" s="5">
        <f>Calculations!I9</f>
        <v>58403288014488.797</v>
      </c>
      <c r="D2" s="5">
        <f>Calculations!J9</f>
        <v>59471775937164.289</v>
      </c>
      <c r="E2" s="5">
        <f>Calculations!K9</f>
        <v>60475315240011.578</v>
      </c>
      <c r="F2" s="5">
        <f>Calculations!L9</f>
        <v>61463718142966.102</v>
      </c>
      <c r="G2" s="5">
        <f>Calculations!M9</f>
        <v>62437675076322.516</v>
      </c>
      <c r="H2" s="5">
        <f>Calculations!N9</f>
        <v>63397835108307.883</v>
      </c>
      <c r="I2" s="5">
        <f>Calculations!O9</f>
        <v>64820323435266.055</v>
      </c>
      <c r="J2" s="5">
        <f>Calculations!P9</f>
        <v>66215665104854.094</v>
      </c>
      <c r="K2" s="5">
        <f>Calculations!Q9</f>
        <v>67585034728440.742</v>
      </c>
      <c r="L2" s="5">
        <f>Calculations!R9</f>
        <v>68929540115055.133</v>
      </c>
      <c r="M2" s="5">
        <f>Calculations!S9</f>
        <v>70250226953778.578</v>
      </c>
      <c r="N2" s="5">
        <f>Calculations!T9</f>
        <v>71604284510173.438</v>
      </c>
      <c r="O2" s="5">
        <f>Calculations!U9</f>
        <v>72928737420312.031</v>
      </c>
      <c r="P2" s="5">
        <f>Calculations!V9</f>
        <v>74224764098715.781</v>
      </c>
      <c r="Q2" s="5">
        <f>Calculations!W9</f>
        <v>75493481236404.828</v>
      </c>
      <c r="R2" s="5">
        <f>Calculations!X9</f>
        <v>76735947789888.375</v>
      </c>
      <c r="S2" s="5">
        <f>Calculations!Y9</f>
        <v>77978922544984.875</v>
      </c>
      <c r="T2" s="5">
        <f>Calculations!Z9</f>
        <v>79189765941950.953</v>
      </c>
      <c r="U2" s="5">
        <f>Calculations!AA9</f>
        <v>80369639457312.063</v>
      </c>
      <c r="V2" s="5">
        <f>Calculations!AB9</f>
        <v>81519649254383.031</v>
      </c>
      <c r="W2" s="5">
        <f>Calculations!AC9</f>
        <v>82640849437263.156</v>
      </c>
      <c r="X2" s="5">
        <f>Calculations!AD9</f>
        <v>83754999229941.031</v>
      </c>
      <c r="Y2" s="5">
        <f>Calculations!AE9</f>
        <v>84834399957463.063</v>
      </c>
      <c r="Z2" s="5">
        <f>Calculations!AF9</f>
        <v>85880206029263.313</v>
      </c>
      <c r="AA2" s="5">
        <f>Calculations!AG9</f>
        <v>86893521280171.547</v>
      </c>
      <c r="AB2" s="5">
        <f>Calculations!AH9</f>
        <v>87875401709993.469</v>
      </c>
      <c r="AC2" s="5">
        <f>Calculations!AI9</f>
        <v>88826858046923.734</v>
      </c>
      <c r="AD2" s="5">
        <f>Calculations!AJ9</f>
        <v>89748858147858.484</v>
      </c>
      <c r="AE2" s="5">
        <f>Calculations!AK9</f>
        <v>90642329247595.203</v>
      </c>
      <c r="AF2" s="5">
        <f>Calculations!AL9</f>
        <v>91508160067900.672</v>
      </c>
      <c r="AG2" s="5">
        <f>Calculations!AM9</f>
        <v>92347202796524.469</v>
      </c>
      <c r="AH2" s="5">
        <f>Calculations!AN9</f>
        <v>93160274945427.844</v>
      </c>
      <c r="AI2" s="5">
        <f>Calculations!AO9</f>
        <v>93948161096731.281</v>
      </c>
      <c r="AJ2" s="5">
        <f>Calculations!AP9</f>
        <v>94711614544226.031</v>
      </c>
      <c r="AK2" s="5">
        <f>Calculations!AQ9</f>
        <v>95451358837661.922</v>
      </c>
      <c r="AL2" s="5">
        <f>Calculations!AR9</f>
        <v>96168089236460.953</v>
      </c>
      <c r="AM2" s="5">
        <f>Calculations!AS9</f>
        <v>96862474079002.391</v>
      </c>
      <c r="AN2" s="5">
        <f>Calculations!AT9</f>
        <v>97535156073135.016</v>
      </c>
      <c r="AO2" s="5">
        <f>Calculations!AU9</f>
        <v>98186753513163.844</v>
      </c>
      <c r="AP2" s="5">
        <f>Calculations!AV9</f>
        <v>98817861428142.313</v>
      </c>
      <c r="AQ2" s="5">
        <f>Calculations!AW9</f>
        <v>99429052665959.75</v>
      </c>
      <c r="AR2" s="5">
        <f>Calculations!AX9</f>
        <v>100020878917370.69</v>
      </c>
      <c r="AS2" s="5">
        <f>Calculations!AY9</f>
        <v>100593871683808.47</v>
      </c>
      <c r="AT2" s="5">
        <f>Calculations!AZ9</f>
        <v>101148543192559.55</v>
      </c>
      <c r="AU2" s="5">
        <f>Calculations!BA9</f>
        <v>101685387262598.61</v>
      </c>
      <c r="AV2" s="5">
        <f>Calculations!BB9</f>
        <v>102204880124168.39</v>
      </c>
      <c r="AW2" s="5">
        <f>Calculations!BC9</f>
        <v>102707481194958.63</v>
      </c>
      <c r="AX2" s="5">
        <f>Calculations!BD9</f>
        <v>103193633815538.47</v>
      </c>
      <c r="AY2" s="5">
        <f>Calculations!BE9</f>
        <v>103663765946524.66</v>
      </c>
    </row>
    <row r="3" spans="1:51">
      <c r="A3" s="1" t="s">
        <v>504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>
      <c r="A4" s="1" t="s">
        <v>505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>
      <c r="A5" s="1" t="s">
        <v>506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>
      <c r="A6" s="1" t="s">
        <v>507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>
      <c r="A7" s="1" t="s">
        <v>508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>
      <c r="A8" s="1" t="s">
        <v>509</v>
      </c>
      <c r="B8">
        <f>Calculations!H99</f>
        <v>0</v>
      </c>
      <c r="C8">
        <f>Calculations!I99</f>
        <v>0</v>
      </c>
      <c r="D8">
        <f>Calculations!J99</f>
        <v>0</v>
      </c>
      <c r="E8">
        <f>Calculations!K99</f>
        <v>0</v>
      </c>
      <c r="F8">
        <f>Calculations!L99</f>
        <v>0</v>
      </c>
      <c r="G8">
        <f>Calculations!M99</f>
        <v>0</v>
      </c>
      <c r="H8">
        <f>Calculations!N99</f>
        <v>0</v>
      </c>
      <c r="I8">
        <f>Calculations!O99</f>
        <v>0</v>
      </c>
      <c r="J8">
        <f>Calculations!P99</f>
        <v>0</v>
      </c>
      <c r="K8">
        <f>Calculations!Q99</f>
        <v>0</v>
      </c>
      <c r="L8">
        <f>Calculations!R99</f>
        <v>0</v>
      </c>
      <c r="M8">
        <f>Calculations!S99</f>
        <v>0</v>
      </c>
      <c r="N8">
        <f>Calculations!T99</f>
        <v>0</v>
      </c>
      <c r="O8">
        <f>Calculations!U99</f>
        <v>0</v>
      </c>
      <c r="P8">
        <f>Calculations!V99</f>
        <v>0</v>
      </c>
      <c r="Q8">
        <f>Calculations!W99</f>
        <v>0</v>
      </c>
      <c r="R8">
        <f>Calculations!X99</f>
        <v>0</v>
      </c>
      <c r="S8">
        <f>Calculations!Y99</f>
        <v>0</v>
      </c>
      <c r="T8">
        <f>Calculations!Z99</f>
        <v>0</v>
      </c>
      <c r="U8">
        <f>Calculations!AA99</f>
        <v>0</v>
      </c>
      <c r="V8">
        <f>Calculations!AB99</f>
        <v>0</v>
      </c>
      <c r="W8">
        <f>Calculations!AC99</f>
        <v>0</v>
      </c>
      <c r="X8">
        <f>Calculations!AD99</f>
        <v>0</v>
      </c>
      <c r="Y8">
        <f>Calculations!AE99</f>
        <v>0</v>
      </c>
      <c r="Z8">
        <f>Calculations!AF99</f>
        <v>0</v>
      </c>
      <c r="AA8">
        <f>Calculations!AG99</f>
        <v>0</v>
      </c>
      <c r="AB8">
        <f>Calculations!AH99</f>
        <v>0</v>
      </c>
      <c r="AC8">
        <f>Calculations!AI99</f>
        <v>0</v>
      </c>
      <c r="AD8">
        <f>Calculations!AJ99</f>
        <v>0</v>
      </c>
      <c r="AE8">
        <f>Calculations!AK99</f>
        <v>0</v>
      </c>
      <c r="AF8">
        <f>Calculations!AL99</f>
        <v>0</v>
      </c>
      <c r="AG8">
        <f>Calculations!AM99</f>
        <v>0</v>
      </c>
      <c r="AH8">
        <f>Calculations!AN99</f>
        <v>0</v>
      </c>
      <c r="AI8">
        <f>Calculations!AO99</f>
        <v>0</v>
      </c>
      <c r="AJ8">
        <f>Calculations!AP99</f>
        <v>0</v>
      </c>
      <c r="AK8">
        <f>Calculations!AQ99</f>
        <v>0</v>
      </c>
      <c r="AL8">
        <f>Calculations!AR99</f>
        <v>0</v>
      </c>
      <c r="AM8">
        <f>Calculations!AS99</f>
        <v>0</v>
      </c>
      <c r="AN8">
        <f>Calculations!AT99</f>
        <v>0</v>
      </c>
      <c r="AO8">
        <f>Calculations!AU99</f>
        <v>0</v>
      </c>
      <c r="AP8">
        <f>Calculations!AV99</f>
        <v>0</v>
      </c>
      <c r="AQ8">
        <f>Calculations!AW99</f>
        <v>0</v>
      </c>
      <c r="AR8">
        <f>Calculations!AX99</f>
        <v>0</v>
      </c>
      <c r="AS8">
        <f>Calculations!AY99</f>
        <v>0</v>
      </c>
      <c r="AT8">
        <f>Calculations!AZ99</f>
        <v>0</v>
      </c>
      <c r="AU8">
        <f>Calculations!BA99</f>
        <v>0</v>
      </c>
      <c r="AV8">
        <f>Calculations!BB99</f>
        <v>0</v>
      </c>
      <c r="AW8">
        <f>Calculations!BC99</f>
        <v>0</v>
      </c>
      <c r="AX8">
        <f>Calculations!BD99</f>
        <v>0</v>
      </c>
      <c r="AY8">
        <f>Calculations!BE99</f>
        <v>0</v>
      </c>
    </row>
    <row r="9" spans="1:51">
      <c r="A9" s="1" t="s">
        <v>510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>
      <c r="A10" s="1" t="s">
        <v>511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>
      <c r="A11" s="1" t="s">
        <v>512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AY11"/>
  <sheetViews>
    <sheetView workbookViewId="0">
      <pane xSplit="1" ySplit="1" topLeftCell="AW2" activePane="bottomRight" state="frozen"/>
      <selection pane="bottomRight" activeCell="AX11" sqref="AX11"/>
      <selection pane="bottomLeft" activeCell="B2" sqref="B2:AI11"/>
      <selection pane="topRight" activeCell="B2" sqref="B2:AI11"/>
    </sheetView>
  </sheetViews>
  <sheetFormatPr defaultRowHeight="14.45"/>
  <cols>
    <col min="1" max="1" width="27.85546875" customWidth="1"/>
    <col min="2" max="31" width="12.5703125" bestFit="1" customWidth="1"/>
    <col min="32" max="32" width="10.5703125" customWidth="1"/>
  </cols>
  <sheetData>
    <row r="1" spans="1:51">
      <c r="A1" s="1" t="s">
        <v>49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>
      <c r="A2" s="1" t="s">
        <v>501</v>
      </c>
      <c r="B2" s="25">
        <f>Calculations!H10</f>
        <v>350663743804271.88</v>
      </c>
      <c r="C2" s="25">
        <f>Calculations!I10</f>
        <v>362944702917679.69</v>
      </c>
      <c r="D2" s="25">
        <f>Calculations!J10</f>
        <v>380096400973032.75</v>
      </c>
      <c r="E2" s="25">
        <f>Calculations!K10</f>
        <v>396616322966406.5</v>
      </c>
      <c r="F2" s="25">
        <f>Calculations!L10</f>
        <v>412824592530385.69</v>
      </c>
      <c r="G2" s="25">
        <f>Calculations!M10</f>
        <v>428735425349024.06</v>
      </c>
      <c r="H2" s="25">
        <f>Calculations!N10</f>
        <v>444362185477934.88</v>
      </c>
      <c r="I2" s="25">
        <f>Calculations!O10</f>
        <v>461368662283544.13</v>
      </c>
      <c r="J2" s="25">
        <f>Calculations!P10</f>
        <v>478026347347113.06</v>
      </c>
      <c r="K2" s="25">
        <f>Calculations!Q10</f>
        <v>494350332572587.19</v>
      </c>
      <c r="L2" s="25">
        <f>Calculations!R10</f>
        <v>510354851559182.5</v>
      </c>
      <c r="M2" s="25">
        <f>Calculations!S10</f>
        <v>526053339762743.81</v>
      </c>
      <c r="N2" s="25">
        <f>Calculations!T10</f>
        <v>535382417869472.31</v>
      </c>
      <c r="O2" s="25">
        <f>Calculations!U10</f>
        <v>544509098995255.06</v>
      </c>
      <c r="P2" s="25">
        <f>Calculations!V10</f>
        <v>553441439562701.63</v>
      </c>
      <c r="Q2" s="25">
        <f>Calculations!W10</f>
        <v>562187074011661.5</v>
      </c>
      <c r="R2" s="25">
        <f>Calculations!X10</f>
        <v>570753242070607.5</v>
      </c>
      <c r="S2" s="25">
        <f>Calculations!Y10</f>
        <v>581159688859010.88</v>
      </c>
      <c r="T2" s="25">
        <f>Calculations!Z10</f>
        <v>591297871037734.13</v>
      </c>
      <c r="U2" s="25">
        <f>Calculations!AA10</f>
        <v>601177485770696.88</v>
      </c>
      <c r="V2" s="25">
        <f>Calculations!AB10</f>
        <v>610807768411994.38</v>
      </c>
      <c r="W2" s="25">
        <f>Calculations!AC10</f>
        <v>620197519673491.88</v>
      </c>
      <c r="X2" s="25">
        <f>Calculations!AD10</f>
        <v>628783013938169.25</v>
      </c>
      <c r="Y2" s="25">
        <f>Calculations!AE10</f>
        <v>637101722892129.25</v>
      </c>
      <c r="Z2" s="25">
        <f>Calculations!AF10</f>
        <v>645162509492639</v>
      </c>
      <c r="AA2" s="25">
        <f>Calculations!AG10</f>
        <v>652973848411368.88</v>
      </c>
      <c r="AB2" s="25">
        <f>Calculations!AH10</f>
        <v>660543847067468.63</v>
      </c>
      <c r="AC2" s="25">
        <f>Calculations!AI10</f>
        <v>667880265308124</v>
      </c>
      <c r="AD2" s="25">
        <f>Calculations!AJ10</f>
        <v>674990533836912.88</v>
      </c>
      <c r="AE2" s="25">
        <f>Calculations!AK10</f>
        <v>681881771481994.63</v>
      </c>
      <c r="AF2" s="25">
        <f>Calculations!AL10</f>
        <v>688560801388441.75</v>
      </c>
      <c r="AG2" s="25">
        <f>Calculations!AM10</f>
        <v>695034166212079.63</v>
      </c>
      <c r="AH2" s="25">
        <f>Calculations!AN10</f>
        <v>701308142386003.75</v>
      </c>
      <c r="AI2" s="25">
        <f>Calculations!AO10</f>
        <v>707388753525061.75</v>
      </c>
      <c r="AJ2" s="25">
        <f>Calculations!AP10</f>
        <v>713281783028526.25</v>
      </c>
      <c r="AK2" s="25">
        <f>Calculations!AQ10</f>
        <v>718992785936338</v>
      </c>
      <c r="AL2" s="25">
        <f>Calculations!AR10</f>
        <v>724527100089963.75</v>
      </c>
      <c r="AM2" s="25">
        <f>Calculations!AS10</f>
        <v>729889856645058.38</v>
      </c>
      <c r="AN2" s="25">
        <f>Calculations!AT10</f>
        <v>735085989979348.5</v>
      </c>
      <c r="AO2" s="25">
        <f>Calculations!AU10</f>
        <v>740120247036027.13</v>
      </c>
      <c r="AP2" s="25">
        <f>Calculations!AV10</f>
        <v>744997196139743.25</v>
      </c>
      <c r="AQ2" s="25">
        <f>Calculations!AW10</f>
        <v>749721235319666.13</v>
      </c>
      <c r="AR2" s="25">
        <f>Calculations!AX10</f>
        <v>754296600171450.38</v>
      </c>
      <c r="AS2" s="25">
        <f>Calculations!AY10</f>
        <v>758727371287606.75</v>
      </c>
      <c r="AT2" s="25">
        <f>Calculations!AZ10</f>
        <v>763017481283736.75</v>
      </c>
      <c r="AU2" s="25">
        <f>Calculations!BA10</f>
        <v>767170721445966.25</v>
      </c>
      <c r="AV2" s="25">
        <f>Calculations!BB10</f>
        <v>771190748023253.38</v>
      </c>
      <c r="AW2" s="25">
        <f>Calculations!BC10</f>
        <v>775081088186489</v>
      </c>
      <c r="AX2" s="25">
        <f>Calculations!BD10</f>
        <v>778845145674766</v>
      </c>
      <c r="AY2" s="25">
        <f>Calculations!BE10</f>
        <v>782486206147873.63</v>
      </c>
    </row>
    <row r="3" spans="1:51">
      <c r="A3" s="1" t="s">
        <v>504</v>
      </c>
      <c r="B3" s="25">
        <v>0</v>
      </c>
      <c r="C3" s="25">
        <v>0</v>
      </c>
      <c r="D3" s="25">
        <v>0</v>
      </c>
      <c r="E3" s="25">
        <v>0</v>
      </c>
      <c r="F3" s="25">
        <v>0</v>
      </c>
      <c r="G3" s="25">
        <v>0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</v>
      </c>
      <c r="S3" s="25">
        <v>0</v>
      </c>
      <c r="T3" s="25">
        <v>0</v>
      </c>
      <c r="U3" s="25">
        <v>0</v>
      </c>
      <c r="V3" s="25">
        <v>0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0</v>
      </c>
      <c r="AC3" s="25">
        <v>0</v>
      </c>
      <c r="AD3" s="25">
        <v>0</v>
      </c>
      <c r="AE3" s="25">
        <v>0</v>
      </c>
      <c r="AF3" s="25">
        <v>0</v>
      </c>
      <c r="AG3" s="25">
        <v>0</v>
      </c>
      <c r="AH3" s="25">
        <v>0</v>
      </c>
      <c r="AI3" s="25">
        <v>0</v>
      </c>
      <c r="AJ3" s="25">
        <v>0</v>
      </c>
      <c r="AK3" s="25">
        <v>0</v>
      </c>
      <c r="AL3" s="25">
        <v>0</v>
      </c>
      <c r="AM3" s="25">
        <v>0</v>
      </c>
      <c r="AN3" s="25">
        <v>0</v>
      </c>
      <c r="AO3" s="25">
        <v>0</v>
      </c>
      <c r="AP3" s="25">
        <v>0</v>
      </c>
      <c r="AQ3" s="25">
        <v>0</v>
      </c>
      <c r="AR3" s="25">
        <v>0</v>
      </c>
      <c r="AS3" s="25">
        <v>0</v>
      </c>
      <c r="AT3" s="25">
        <v>0</v>
      </c>
      <c r="AU3" s="25">
        <v>0</v>
      </c>
      <c r="AV3" s="25">
        <v>0</v>
      </c>
      <c r="AW3" s="25">
        <v>0</v>
      </c>
      <c r="AX3" s="25">
        <v>0</v>
      </c>
      <c r="AY3" s="25">
        <v>0</v>
      </c>
    </row>
    <row r="4" spans="1:51">
      <c r="A4" s="1" t="s">
        <v>505</v>
      </c>
      <c r="B4" s="25">
        <f>Calculations!H40</f>
        <v>62864128785529.133</v>
      </c>
      <c r="C4" s="25">
        <f>Calculations!I40</f>
        <v>66856292947929</v>
      </c>
      <c r="D4" s="25">
        <f>Calculations!J40</f>
        <v>70137109795809.258</v>
      </c>
      <c r="E4" s="25">
        <f>Calculations!K40</f>
        <v>73417926643689.516</v>
      </c>
      <c r="F4" s="25">
        <f>Calculations!L40</f>
        <v>76698743491569.766</v>
      </c>
      <c r="G4" s="25">
        <f>Calculations!M40</f>
        <v>79979560339450.016</v>
      </c>
      <c r="H4" s="25">
        <f>Calculations!N40</f>
        <v>83260377187330.281</v>
      </c>
      <c r="I4" s="25">
        <f>Calculations!O40</f>
        <v>88330782109824.734</v>
      </c>
      <c r="J4" s="25">
        <f>Calculations!P40</f>
        <v>93401187032319.203</v>
      </c>
      <c r="K4" s="25">
        <f>Calculations!Q40</f>
        <v>98471591954813.656</v>
      </c>
      <c r="L4" s="25">
        <f>Calculations!R40</f>
        <v>103541996877308.11</v>
      </c>
      <c r="M4" s="25">
        <f>Calculations!S40</f>
        <v>108612401799802.58</v>
      </c>
      <c r="N4" s="25">
        <f>Calculations!T40</f>
        <v>114718016771390.19</v>
      </c>
      <c r="O4" s="25">
        <f>Calculations!U40</f>
        <v>120823631742977.78</v>
      </c>
      <c r="P4" s="25">
        <f>Calculations!V40</f>
        <v>126929246714565.38</v>
      </c>
      <c r="Q4" s="25">
        <f>Calculations!W40</f>
        <v>133034861686152.98</v>
      </c>
      <c r="R4" s="25">
        <f>Calculations!X40</f>
        <v>139140476657740.63</v>
      </c>
      <c r="S4" s="25">
        <f>Calculations!Y40</f>
        <v>143500664388807.59</v>
      </c>
      <c r="T4" s="25">
        <f>Calculations!Z40</f>
        <v>147860852119874.56</v>
      </c>
      <c r="U4" s="25">
        <f>Calculations!AA40</f>
        <v>152221039850941.53</v>
      </c>
      <c r="V4" s="25">
        <f>Calculations!AB40</f>
        <v>156581227582008.5</v>
      </c>
      <c r="W4" s="25">
        <f>Calculations!AC40</f>
        <v>160941415313075.5</v>
      </c>
      <c r="X4" s="25">
        <f>Calculations!AD40</f>
        <v>164925788266515.75</v>
      </c>
      <c r="Y4" s="25">
        <f>Calculations!AE40</f>
        <v>168910161219956.03</v>
      </c>
      <c r="Z4" s="25">
        <f>Calculations!AF40</f>
        <v>172894534173396.31</v>
      </c>
      <c r="AA4" s="25">
        <f>Calculations!AG40</f>
        <v>176878907126836.56</v>
      </c>
      <c r="AB4" s="25">
        <f>Calculations!AH40</f>
        <v>180863280080276.88</v>
      </c>
      <c r="AC4" s="25">
        <f>Calculations!AI40</f>
        <v>184847653033717.13</v>
      </c>
      <c r="AD4" s="25">
        <f>Calculations!AJ40</f>
        <v>188832025987157.41</v>
      </c>
      <c r="AE4" s="25">
        <f>Calculations!AK40</f>
        <v>192816398940597.69</v>
      </c>
      <c r="AF4" s="25">
        <f>Calculations!AL40</f>
        <v>196800771894037.94</v>
      </c>
      <c r="AG4" s="25">
        <f>Calculations!AM40</f>
        <v>200785144847478.22</v>
      </c>
      <c r="AH4" s="25">
        <f>Calculations!AN40</f>
        <v>204769517800918.47</v>
      </c>
      <c r="AI4" s="25">
        <f>Calculations!AO40</f>
        <v>208753890754358.75</v>
      </c>
      <c r="AJ4" s="25">
        <f>Calculations!AP40</f>
        <v>212738263707799.03</v>
      </c>
      <c r="AK4" s="25">
        <f>Calculations!AQ40</f>
        <v>216722636661239.28</v>
      </c>
      <c r="AL4" s="25">
        <f>Calculations!AR40</f>
        <v>220707009614679.56</v>
      </c>
      <c r="AM4" s="25">
        <f>Calculations!AS40</f>
        <v>224691382568119.84</v>
      </c>
      <c r="AN4" s="25">
        <f>Calculations!AT40</f>
        <v>228675755521560.16</v>
      </c>
      <c r="AO4" s="25">
        <f>Calculations!AU40</f>
        <v>232660128475000.44</v>
      </c>
      <c r="AP4" s="25">
        <f>Calculations!AV40</f>
        <v>236644501428440.75</v>
      </c>
      <c r="AQ4" s="25">
        <f>Calculations!AW40</f>
        <v>240628874381881.03</v>
      </c>
      <c r="AR4" s="25">
        <f>Calculations!AX40</f>
        <v>244613247335321.31</v>
      </c>
      <c r="AS4" s="25">
        <f>Calculations!AY40</f>
        <v>248597620288761.63</v>
      </c>
      <c r="AT4" s="25">
        <f>Calculations!AZ40</f>
        <v>252581993242201.91</v>
      </c>
      <c r="AU4" s="25">
        <f>Calculations!BA40</f>
        <v>256566366195642.22</v>
      </c>
      <c r="AV4" s="25">
        <f>Calculations!BB40</f>
        <v>260550739149082.5</v>
      </c>
      <c r="AW4" s="25">
        <f>Calculations!BC40</f>
        <v>264535112102522.78</v>
      </c>
      <c r="AX4" s="25">
        <f>Calculations!BD40</f>
        <v>268519485055963.09</v>
      </c>
      <c r="AY4" s="25">
        <f>Calculations!BE40</f>
        <v>272503858009403.38</v>
      </c>
    </row>
    <row r="5" spans="1:51">
      <c r="A5" s="1" t="s">
        <v>506</v>
      </c>
      <c r="B5" s="25">
        <v>0</v>
      </c>
      <c r="C5" s="25">
        <v>0</v>
      </c>
      <c r="D5" s="25">
        <v>0</v>
      </c>
      <c r="E5" s="25">
        <v>0</v>
      </c>
      <c r="F5" s="25">
        <v>0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0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0</v>
      </c>
      <c r="AD5" s="25">
        <v>0</v>
      </c>
      <c r="AE5" s="25">
        <v>0</v>
      </c>
      <c r="AF5" s="25">
        <v>0</v>
      </c>
      <c r="AG5" s="25">
        <v>0</v>
      </c>
      <c r="AH5" s="25">
        <v>0</v>
      </c>
      <c r="AI5" s="25">
        <v>0</v>
      </c>
      <c r="AJ5" s="25">
        <v>0</v>
      </c>
      <c r="AK5" s="25">
        <v>0</v>
      </c>
      <c r="AL5" s="25">
        <v>0</v>
      </c>
      <c r="AM5" s="25">
        <v>0</v>
      </c>
      <c r="AN5" s="25">
        <v>0</v>
      </c>
      <c r="AO5" s="25">
        <v>0</v>
      </c>
      <c r="AP5" s="25">
        <v>0</v>
      </c>
      <c r="AQ5" s="25">
        <v>0</v>
      </c>
      <c r="AR5" s="25">
        <v>0</v>
      </c>
      <c r="AS5" s="25">
        <v>0</v>
      </c>
      <c r="AT5" s="25">
        <v>0</v>
      </c>
      <c r="AU5" s="25">
        <v>0</v>
      </c>
      <c r="AV5" s="25">
        <v>0</v>
      </c>
      <c r="AW5" s="25">
        <v>0</v>
      </c>
      <c r="AX5" s="25">
        <v>0</v>
      </c>
      <c r="AY5" s="25">
        <v>0</v>
      </c>
    </row>
    <row r="6" spans="1:51">
      <c r="A6" s="1" t="s">
        <v>507</v>
      </c>
      <c r="B6" s="25">
        <v>0</v>
      </c>
      <c r="C6" s="25">
        <v>0</v>
      </c>
      <c r="D6" s="25">
        <v>0</v>
      </c>
      <c r="E6" s="25">
        <v>0</v>
      </c>
      <c r="F6" s="25">
        <v>0</v>
      </c>
      <c r="G6" s="25">
        <v>0</v>
      </c>
      <c r="H6" s="25">
        <v>0</v>
      </c>
      <c r="I6" s="25">
        <v>0</v>
      </c>
      <c r="J6" s="25">
        <v>0</v>
      </c>
      <c r="K6" s="25">
        <v>0</v>
      </c>
      <c r="L6" s="25">
        <v>0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0</v>
      </c>
      <c r="Z6" s="25">
        <v>0</v>
      </c>
      <c r="AA6" s="25">
        <v>0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>
        <v>0</v>
      </c>
      <c r="AH6" s="25">
        <v>0</v>
      </c>
      <c r="AI6" s="25">
        <v>0</v>
      </c>
      <c r="AJ6" s="25">
        <v>0</v>
      </c>
      <c r="AK6" s="25">
        <v>0</v>
      </c>
      <c r="AL6" s="25">
        <v>0</v>
      </c>
      <c r="AM6" s="25">
        <v>0</v>
      </c>
      <c r="AN6" s="25">
        <v>0</v>
      </c>
      <c r="AO6" s="25">
        <v>0</v>
      </c>
      <c r="AP6" s="25">
        <v>0</v>
      </c>
      <c r="AQ6" s="25">
        <v>0</v>
      </c>
      <c r="AR6" s="25">
        <v>0</v>
      </c>
      <c r="AS6" s="25">
        <v>0</v>
      </c>
      <c r="AT6" s="25">
        <v>0</v>
      </c>
      <c r="AU6" s="25">
        <v>0</v>
      </c>
      <c r="AV6" s="25">
        <v>0</v>
      </c>
      <c r="AW6" s="25">
        <v>0</v>
      </c>
      <c r="AX6" s="25">
        <v>0</v>
      </c>
      <c r="AY6" s="25">
        <v>0</v>
      </c>
    </row>
    <row r="7" spans="1:51">
      <c r="A7" s="1" t="s">
        <v>508</v>
      </c>
      <c r="B7" s="25">
        <f>Calculations!H85</f>
        <v>2660145427757544.5</v>
      </c>
      <c r="C7" s="25">
        <f>Calculations!I85</f>
        <v>2469902314342167.5</v>
      </c>
      <c r="D7" s="25">
        <f>Calculations!J85</f>
        <v>2302082769882949.5</v>
      </c>
      <c r="E7" s="25">
        <f>Calculations!K85</f>
        <v>2134263225423730.8</v>
      </c>
      <c r="F7" s="25">
        <f>Calculations!L85</f>
        <v>1966443680964512.5</v>
      </c>
      <c r="G7" s="25">
        <f>Calculations!M85</f>
        <v>1798624136505293.8</v>
      </c>
      <c r="H7" s="25">
        <f>Calculations!N85</f>
        <v>1630804592046075.5</v>
      </c>
      <c r="I7" s="25">
        <f>Calculations!O85</f>
        <v>1507137503280597.8</v>
      </c>
      <c r="J7" s="25">
        <f>Calculations!P85</f>
        <v>1383470414515120</v>
      </c>
      <c r="K7" s="25">
        <f>Calculations!Q85</f>
        <v>1259803325749642.5</v>
      </c>
      <c r="L7" s="25">
        <f>Calculations!R85</f>
        <v>1136136236984165</v>
      </c>
      <c r="M7" s="25">
        <f>Calculations!S85</f>
        <v>1012469148218687.5</v>
      </c>
      <c r="N7" s="25">
        <f>Calculations!T85</f>
        <v>925424873395526.38</v>
      </c>
      <c r="O7" s="25">
        <f>Calculations!U85</f>
        <v>838380598572365.38</v>
      </c>
      <c r="P7" s="25">
        <f>Calculations!V85</f>
        <v>751336323749204.38</v>
      </c>
      <c r="Q7" s="25">
        <f>Calculations!W85</f>
        <v>664292048926043.38</v>
      </c>
      <c r="R7" s="25">
        <f>Calculations!X85</f>
        <v>577247774102882.13</v>
      </c>
      <c r="S7" s="25">
        <f>Calculations!Y85</f>
        <v>554761218983198.75</v>
      </c>
      <c r="T7" s="25">
        <f>Calculations!Z85</f>
        <v>532274663863515.38</v>
      </c>
      <c r="U7" s="25">
        <f>Calculations!AA85</f>
        <v>509788108743831.94</v>
      </c>
      <c r="V7" s="25">
        <f>Calculations!AB85</f>
        <v>487301553624148.63</v>
      </c>
      <c r="W7" s="25">
        <f>Calculations!AC85</f>
        <v>464814998504465.31</v>
      </c>
      <c r="X7" s="25">
        <f>Calculations!AD85</f>
        <v>442689195352952.75</v>
      </c>
      <c r="Y7" s="25">
        <f>Calculations!AE85</f>
        <v>420563392201440.19</v>
      </c>
      <c r="Z7" s="25">
        <f>Calculations!AF85</f>
        <v>398437589049927.63</v>
      </c>
      <c r="AA7" s="25">
        <f>Calculations!AG85</f>
        <v>376311785898415.06</v>
      </c>
      <c r="AB7" s="25">
        <f>Calculations!AH85</f>
        <v>354185982746902.56</v>
      </c>
      <c r="AC7" s="25">
        <f>Calculations!AI85</f>
        <v>332060179595390</v>
      </c>
      <c r="AD7" s="25">
        <f>Calculations!AJ85</f>
        <v>309934376443877.44</v>
      </c>
      <c r="AE7" s="25">
        <f>Calculations!AK85</f>
        <v>287808573292364.94</v>
      </c>
      <c r="AF7" s="25">
        <f>Calculations!AL85</f>
        <v>265682770140852.34</v>
      </c>
      <c r="AG7" s="25">
        <f>Calculations!AM85</f>
        <v>243556966989339.78</v>
      </c>
      <c r="AH7" s="25">
        <f>Calculations!AN85</f>
        <v>221431163837827.22</v>
      </c>
      <c r="AI7" s="25">
        <f>Calculations!AO85</f>
        <v>199305360686314.66</v>
      </c>
      <c r="AJ7" s="25">
        <f>Calculations!AP85</f>
        <v>177179557534802.13</v>
      </c>
      <c r="AK7" s="25">
        <f>Calculations!AQ85</f>
        <v>155053754383289.56</v>
      </c>
      <c r="AL7" s="25">
        <f>Calculations!AR85</f>
        <v>132927951231777.03</v>
      </c>
      <c r="AM7" s="25">
        <f>Calculations!AS85</f>
        <v>110802148080264.48</v>
      </c>
      <c r="AN7" s="25">
        <f>Calculations!AT85</f>
        <v>88676344928751.953</v>
      </c>
      <c r="AO7" s="25">
        <f>Calculations!AU85</f>
        <v>66550541777239.398</v>
      </c>
      <c r="AP7" s="25">
        <f>Calculations!AV85</f>
        <v>44424738625726.867</v>
      </c>
      <c r="AQ7" s="25">
        <f>Calculations!AW85</f>
        <v>22298935474214.324</v>
      </c>
      <c r="AR7" s="25">
        <f>Calculations!AX85</f>
        <v>173132322701.77759</v>
      </c>
      <c r="AS7" s="25">
        <f>Calculations!AY85</f>
        <v>-21952670828810.766</v>
      </c>
      <c r="AT7" s="25">
        <f>Calculations!AZ85</f>
        <v>-44078473980323.313</v>
      </c>
      <c r="AU7" s="25">
        <f>Calculations!BA85</f>
        <v>-66204277131835.852</v>
      </c>
      <c r="AV7" s="25">
        <f>Calculations!BB85</f>
        <v>-88330080283348.391</v>
      </c>
      <c r="AW7" s="25">
        <f>Calculations!BC85</f>
        <v>-110455883434860.92</v>
      </c>
      <c r="AX7" s="25">
        <f>Calculations!BD85</f>
        <v>-132581686586373.47</v>
      </c>
      <c r="AY7" s="25">
        <f>Calculations!BE85</f>
        <v>-154707489737886.03</v>
      </c>
    </row>
    <row r="8" spans="1:51">
      <c r="A8" s="1" t="s">
        <v>509</v>
      </c>
      <c r="B8" s="25">
        <f>Calculations!H100</f>
        <v>4463512875310.5</v>
      </c>
      <c r="C8" s="25">
        <f>Calculations!I100</f>
        <v>0</v>
      </c>
      <c r="D8" s="25">
        <f>Calculations!J100</f>
        <v>0</v>
      </c>
      <c r="E8" s="25">
        <f>Calculations!K100</f>
        <v>0</v>
      </c>
      <c r="F8" s="25">
        <f>Calculations!L100</f>
        <v>0</v>
      </c>
      <c r="G8" s="25">
        <f>Calculations!M100</f>
        <v>0</v>
      </c>
      <c r="H8" s="25">
        <f>Calculations!N100</f>
        <v>0</v>
      </c>
      <c r="I8" s="25">
        <f>Calculations!O100</f>
        <v>0</v>
      </c>
      <c r="J8" s="25">
        <f>Calculations!P100</f>
        <v>0</v>
      </c>
      <c r="K8" s="25">
        <f>Calculations!Q100</f>
        <v>0</v>
      </c>
      <c r="L8" s="25">
        <f>Calculations!R100</f>
        <v>0</v>
      </c>
      <c r="M8" s="25">
        <f>Calculations!S100</f>
        <v>0</v>
      </c>
      <c r="N8" s="25">
        <f>Calculations!T100</f>
        <v>0</v>
      </c>
      <c r="O8" s="25">
        <f>Calculations!U100</f>
        <v>0</v>
      </c>
      <c r="P8" s="25">
        <f>Calculations!V100</f>
        <v>0</v>
      </c>
      <c r="Q8" s="25">
        <f>Calculations!W100</f>
        <v>0</v>
      </c>
      <c r="R8" s="25">
        <f>Calculations!X100</f>
        <v>0</v>
      </c>
      <c r="S8" s="25">
        <f>Calculations!Y100</f>
        <v>0</v>
      </c>
      <c r="T8" s="25">
        <f>Calculations!Z100</f>
        <v>0</v>
      </c>
      <c r="U8" s="25">
        <f>Calculations!AA100</f>
        <v>0</v>
      </c>
      <c r="V8" s="25">
        <f>Calculations!AB100</f>
        <v>0</v>
      </c>
      <c r="W8" s="25">
        <f>Calculations!AC100</f>
        <v>0</v>
      </c>
      <c r="X8" s="25">
        <f>Calculations!AD100</f>
        <v>0</v>
      </c>
      <c r="Y8" s="25">
        <f>Calculations!AE100</f>
        <v>0</v>
      </c>
      <c r="Z8" s="25">
        <f>Calculations!AF100</f>
        <v>0</v>
      </c>
      <c r="AA8" s="25">
        <f>Calculations!AG100</f>
        <v>0</v>
      </c>
      <c r="AB8" s="25">
        <f>Calculations!AH100</f>
        <v>0</v>
      </c>
      <c r="AC8" s="25">
        <f>Calculations!AI100</f>
        <v>0</v>
      </c>
      <c r="AD8" s="25">
        <f>Calculations!AJ100</f>
        <v>0</v>
      </c>
      <c r="AE8" s="25">
        <f>Calculations!AK100</f>
        <v>0</v>
      </c>
      <c r="AF8" s="25">
        <f>Calculations!AL100</f>
        <v>0</v>
      </c>
      <c r="AG8" s="25">
        <f>Calculations!AM100</f>
        <v>0</v>
      </c>
      <c r="AH8" s="25">
        <f>Calculations!AN100</f>
        <v>0</v>
      </c>
      <c r="AI8" s="25">
        <f>Calculations!AO100</f>
        <v>0</v>
      </c>
      <c r="AJ8" s="25">
        <f>Calculations!AP100</f>
        <v>0</v>
      </c>
      <c r="AK8" s="25">
        <f>Calculations!AQ100</f>
        <v>0</v>
      </c>
      <c r="AL8" s="25">
        <f>Calculations!AR100</f>
        <v>0</v>
      </c>
      <c r="AM8" s="25">
        <f>Calculations!AS100</f>
        <v>0</v>
      </c>
      <c r="AN8" s="25">
        <f>Calculations!AT100</f>
        <v>0</v>
      </c>
      <c r="AO8" s="25">
        <f>Calculations!AU100</f>
        <v>0</v>
      </c>
      <c r="AP8" s="25">
        <f>Calculations!AV100</f>
        <v>0</v>
      </c>
      <c r="AQ8" s="25">
        <f>Calculations!AW100</f>
        <v>0</v>
      </c>
      <c r="AR8" s="25">
        <f>Calculations!AX100</f>
        <v>0</v>
      </c>
      <c r="AS8" s="25">
        <f>Calculations!AY100</f>
        <v>0</v>
      </c>
      <c r="AT8" s="25">
        <f>Calculations!AZ100</f>
        <v>0</v>
      </c>
      <c r="AU8" s="25">
        <f>Calculations!BA100</f>
        <v>0</v>
      </c>
      <c r="AV8" s="25">
        <f>Calculations!BB100</f>
        <v>0</v>
      </c>
      <c r="AW8" s="25">
        <f>Calculations!BC100</f>
        <v>0</v>
      </c>
      <c r="AX8" s="25">
        <f>Calculations!BD100</f>
        <v>0</v>
      </c>
      <c r="AY8" s="25">
        <f>Calculations!BE100</f>
        <v>0</v>
      </c>
    </row>
    <row r="9" spans="1:51">
      <c r="A9" s="1" t="s">
        <v>510</v>
      </c>
      <c r="B9" s="25">
        <v>0</v>
      </c>
      <c r="C9" s="25">
        <v>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0</v>
      </c>
      <c r="AB9" s="25">
        <v>0</v>
      </c>
      <c r="AC9" s="25">
        <v>0</v>
      </c>
      <c r="AD9" s="25">
        <v>0</v>
      </c>
      <c r="AE9" s="25">
        <v>0</v>
      </c>
      <c r="AF9" s="25">
        <v>1</v>
      </c>
      <c r="AG9" s="25">
        <v>2</v>
      </c>
      <c r="AH9" s="25">
        <v>3</v>
      </c>
      <c r="AI9" s="25">
        <v>4</v>
      </c>
      <c r="AJ9" s="25">
        <v>5</v>
      </c>
      <c r="AK9" s="25">
        <v>6</v>
      </c>
      <c r="AL9" s="25">
        <v>7</v>
      </c>
      <c r="AM9" s="25">
        <v>8</v>
      </c>
      <c r="AN9" s="25">
        <v>9</v>
      </c>
      <c r="AO9" s="25">
        <v>10</v>
      </c>
      <c r="AP9" s="25">
        <v>11</v>
      </c>
      <c r="AQ9" s="25">
        <v>12</v>
      </c>
      <c r="AR9" s="25">
        <v>13</v>
      </c>
      <c r="AS9" s="25">
        <v>14</v>
      </c>
      <c r="AT9" s="25">
        <v>15</v>
      </c>
      <c r="AU9" s="25">
        <v>16</v>
      </c>
      <c r="AV9" s="25">
        <v>17</v>
      </c>
      <c r="AW9" s="25">
        <v>18</v>
      </c>
      <c r="AX9" s="25">
        <v>19</v>
      </c>
      <c r="AY9" s="25">
        <v>20</v>
      </c>
    </row>
    <row r="10" spans="1:51">
      <c r="A10" s="1" t="s">
        <v>511</v>
      </c>
      <c r="B10" s="25">
        <f>Calculations!H130</f>
        <v>452041523089249.13</v>
      </c>
      <c r="C10" s="25">
        <f>Calculations!I130</f>
        <v>476271324425706.69</v>
      </c>
      <c r="D10" s="25">
        <f>Calculations!J130</f>
        <v>491139562137633.38</v>
      </c>
      <c r="E10" s="25">
        <f>Calculations!K130</f>
        <v>506007799849560.06</v>
      </c>
      <c r="F10" s="25">
        <f>Calculations!L130</f>
        <v>520876037561486.75</v>
      </c>
      <c r="G10" s="25">
        <f>Calculations!M130</f>
        <v>535744275273413.38</v>
      </c>
      <c r="H10" s="25">
        <f>Calculations!N130</f>
        <v>550612512985339.88</v>
      </c>
      <c r="I10" s="25">
        <f>Calculations!O130</f>
        <v>586035235436608</v>
      </c>
      <c r="J10" s="25">
        <f>Calculations!P130</f>
        <v>621457957887876.25</v>
      </c>
      <c r="K10" s="25">
        <f>Calculations!Q130</f>
        <v>656880680339144.38</v>
      </c>
      <c r="L10" s="25">
        <f>Calculations!R130</f>
        <v>692303402790412.5</v>
      </c>
      <c r="M10" s="25">
        <f>Calculations!S130</f>
        <v>727726125241680.75</v>
      </c>
      <c r="N10" s="25">
        <f>Calculations!T130</f>
        <v>726355189978272.88</v>
      </c>
      <c r="O10" s="25">
        <f>Calculations!U130</f>
        <v>724984254714864.88</v>
      </c>
      <c r="P10" s="25">
        <f>Calculations!V130</f>
        <v>723613319451457</v>
      </c>
      <c r="Q10" s="25">
        <f>Calculations!W130</f>
        <v>722242384188049.13</v>
      </c>
      <c r="R10" s="25">
        <f>Calculations!X130</f>
        <v>720871448924641.5</v>
      </c>
      <c r="S10" s="25">
        <f>Calculations!Y130</f>
        <v>720122511453850.63</v>
      </c>
      <c r="T10" s="25">
        <f>Calculations!Z130</f>
        <v>719373573983059.75</v>
      </c>
      <c r="U10" s="25">
        <f>Calculations!AA130</f>
        <v>718624636512268.75</v>
      </c>
      <c r="V10" s="25">
        <f>Calculations!AB130</f>
        <v>717875699041477.88</v>
      </c>
      <c r="W10" s="25">
        <f>Calculations!AC130</f>
        <v>717126761570686.75</v>
      </c>
      <c r="X10" s="25">
        <f>Calculations!AD130</f>
        <v>714270948928378.13</v>
      </c>
      <c r="Y10" s="25">
        <f>Calculations!AE130</f>
        <v>711415136286069.5</v>
      </c>
      <c r="Z10" s="25">
        <f>Calculations!AF130</f>
        <v>708559323643761</v>
      </c>
      <c r="AA10" s="25">
        <f>Calculations!AG130</f>
        <v>705703511001452.38</v>
      </c>
      <c r="AB10" s="25">
        <f>Calculations!AH130</f>
        <v>702847698359143.88</v>
      </c>
      <c r="AC10" s="25">
        <f>Calculations!AI130</f>
        <v>699991885716835.38</v>
      </c>
      <c r="AD10" s="25">
        <f>Calculations!AJ130</f>
        <v>697136073074526.75</v>
      </c>
      <c r="AE10" s="25">
        <f>Calculations!AK130</f>
        <v>694280260432218.13</v>
      </c>
      <c r="AF10" s="25">
        <f>Calculations!AL130</f>
        <v>691424447789909.5</v>
      </c>
      <c r="AG10" s="25">
        <f>Calculations!AM130</f>
        <v>688568635147600.88</v>
      </c>
      <c r="AH10" s="25">
        <f>Calculations!AN130</f>
        <v>685712822505292.25</v>
      </c>
      <c r="AI10" s="25">
        <f>Calculations!AO130</f>
        <v>682857009862983.75</v>
      </c>
      <c r="AJ10" s="25">
        <f>Calculations!AP130</f>
        <v>680001197220675.13</v>
      </c>
      <c r="AK10" s="25">
        <f>Calculations!AQ130</f>
        <v>677145384578366.5</v>
      </c>
      <c r="AL10" s="25">
        <f>Calculations!AR130</f>
        <v>674289571936057.88</v>
      </c>
      <c r="AM10" s="25">
        <f>Calculations!AS130</f>
        <v>671433759293749.38</v>
      </c>
      <c r="AN10" s="25">
        <f>Calculations!AT130</f>
        <v>668577946651440.75</v>
      </c>
      <c r="AO10" s="25">
        <f>Calculations!AU130</f>
        <v>665722134009132.25</v>
      </c>
      <c r="AP10" s="25">
        <f>Calculations!AV130</f>
        <v>662866321366823.63</v>
      </c>
      <c r="AQ10" s="25">
        <f>Calculations!AW130</f>
        <v>660010508724515</v>
      </c>
      <c r="AR10" s="25">
        <f>Calculations!AX130</f>
        <v>657154696082206.38</v>
      </c>
      <c r="AS10" s="25">
        <f>Calculations!AY130</f>
        <v>654298883439897.75</v>
      </c>
      <c r="AT10" s="25">
        <f>Calculations!AZ130</f>
        <v>651443070797589.13</v>
      </c>
      <c r="AU10" s="25">
        <f>Calculations!BA130</f>
        <v>648587258155280.63</v>
      </c>
      <c r="AV10" s="25">
        <f>Calculations!BB130</f>
        <v>645731445512972</v>
      </c>
      <c r="AW10" s="25">
        <f>Calculations!BC130</f>
        <v>642875632870663.38</v>
      </c>
      <c r="AX10" s="25">
        <f>Calculations!BD130</f>
        <v>640019820228354.75</v>
      </c>
      <c r="AY10" s="25">
        <f>Calculations!BE130</f>
        <v>637164007586046.13</v>
      </c>
    </row>
    <row r="11" spans="1:51">
      <c r="A11" s="1" t="s">
        <v>512</v>
      </c>
      <c r="B11" s="25">
        <v>0</v>
      </c>
      <c r="C11" s="25">
        <v>0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0</v>
      </c>
      <c r="T11" s="25">
        <v>0</v>
      </c>
      <c r="U11" s="25">
        <v>0</v>
      </c>
      <c r="V11" s="25">
        <v>0</v>
      </c>
      <c r="W11" s="25">
        <v>0</v>
      </c>
      <c r="X11" s="25">
        <v>0</v>
      </c>
      <c r="Y11" s="25">
        <v>0</v>
      </c>
      <c r="Z11" s="25">
        <v>0</v>
      </c>
      <c r="AA11" s="25">
        <v>0</v>
      </c>
      <c r="AB11" s="25">
        <v>0</v>
      </c>
      <c r="AC11" s="25">
        <v>0</v>
      </c>
      <c r="AD11" s="25">
        <v>0</v>
      </c>
      <c r="AE11" s="25">
        <v>0</v>
      </c>
      <c r="AF11" s="25">
        <v>0</v>
      </c>
      <c r="AG11" s="25">
        <v>0</v>
      </c>
      <c r="AH11" s="25">
        <v>0</v>
      </c>
      <c r="AI11" s="25">
        <v>0</v>
      </c>
      <c r="AJ11" s="25">
        <v>0</v>
      </c>
      <c r="AK11" s="25">
        <v>0</v>
      </c>
      <c r="AL11" s="25">
        <v>0</v>
      </c>
      <c r="AM11" s="25">
        <v>0</v>
      </c>
      <c r="AN11" s="25">
        <v>0</v>
      </c>
      <c r="AO11" s="25">
        <v>0</v>
      </c>
      <c r="AP11" s="25">
        <v>0</v>
      </c>
      <c r="AQ11" s="25">
        <v>0</v>
      </c>
      <c r="AR11" s="25">
        <v>0</v>
      </c>
      <c r="AS11" s="25">
        <v>0</v>
      </c>
      <c r="AT11" s="25">
        <v>0</v>
      </c>
      <c r="AU11" s="25">
        <v>0</v>
      </c>
      <c r="AV11" s="25">
        <v>0</v>
      </c>
      <c r="AW11" s="25">
        <v>0</v>
      </c>
      <c r="AX11" s="25">
        <v>0</v>
      </c>
      <c r="AY11" s="25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3"/>
  </sheetPr>
  <dimension ref="A1:AY11"/>
  <sheetViews>
    <sheetView workbookViewId="0">
      <pane xSplit="1" ySplit="1" topLeftCell="AQ8" activePane="bottomRight" state="frozen"/>
      <selection pane="bottomRight" activeCell="AE2" sqref="AE2:AY2"/>
      <selection pane="bottomLeft" activeCell="B2" sqref="B2:AI11"/>
      <selection pane="topRight" activeCell="B2" sqref="B2:AI11"/>
    </sheetView>
  </sheetViews>
  <sheetFormatPr defaultRowHeight="14.45"/>
  <cols>
    <col min="1" max="1" width="25.85546875" customWidth="1"/>
    <col min="7" max="7" width="12" bestFit="1" customWidth="1"/>
  </cols>
  <sheetData>
    <row r="1" spans="1:51">
      <c r="A1" s="1" t="s">
        <v>49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>
      <c r="A2" s="1" t="s">
        <v>501</v>
      </c>
      <c r="B2" s="5">
        <f>Calculations!H6</f>
        <v>40962765079656.656</v>
      </c>
      <c r="C2" s="5">
        <f>Calculations!I6</f>
        <v>36324884179679.945</v>
      </c>
      <c r="D2" s="5">
        <f>Calculations!J6</f>
        <v>41509962270259.844</v>
      </c>
      <c r="E2" s="5">
        <f>Calculations!K6</f>
        <v>46883516929760.719</v>
      </c>
      <c r="F2" s="5">
        <f>Calculations!L6</f>
        <v>52388893116412.156</v>
      </c>
      <c r="G2" s="5">
        <f>Calculations!M6</f>
        <v>58020077935705.469</v>
      </c>
      <c r="H2" s="5">
        <f>Calculations!N6</f>
        <v>63771418711601.555</v>
      </c>
      <c r="I2" s="5">
        <f>Calculations!O6</f>
        <v>72465808608354.172</v>
      </c>
      <c r="J2" s="5">
        <f>Calculations!P6</f>
        <v>81370465850211.328</v>
      </c>
      <c r="K2" s="5">
        <f>Calculations!Q6</f>
        <v>90476292358886.078</v>
      </c>
      <c r="L2" s="5">
        <f>Calculations!R6</f>
        <v>99774707480775.234</v>
      </c>
      <c r="M2" s="5">
        <f>Calculations!S6</f>
        <v>109257611718984.53</v>
      </c>
      <c r="N2" s="5">
        <f>Calculations!T6</f>
        <v>123348552196829.11</v>
      </c>
      <c r="O2" s="5">
        <f>Calculations!U6</f>
        <v>137758234210656.05</v>
      </c>
      <c r="P2" s="5">
        <f>Calculations!V6</f>
        <v>152473970236644.25</v>
      </c>
      <c r="Q2" s="5">
        <f>Calculations!W6</f>
        <v>167483737303538.22</v>
      </c>
      <c r="R2" s="5">
        <f>Calculations!X6</f>
        <v>182776134044760.06</v>
      </c>
      <c r="S2" s="5">
        <f>Calculations!Y6</f>
        <v>199714888837949.72</v>
      </c>
      <c r="T2" s="5">
        <f>Calculations!Z6</f>
        <v>216981641521185.03</v>
      </c>
      <c r="U2" s="5">
        <f>Calculations!AA6</f>
        <v>234564535706437.91</v>
      </c>
      <c r="V2" s="5">
        <f>Calculations!AB6</f>
        <v>252452279644643.56</v>
      </c>
      <c r="W2" s="5">
        <f>Calculations!AC6</f>
        <v>270634113008798.34</v>
      </c>
      <c r="X2" s="5">
        <f>Calculations!AD6</f>
        <v>290791832041206.13</v>
      </c>
      <c r="Y2" s="5">
        <f>Calculations!AE6</f>
        <v>311292205723208.38</v>
      </c>
      <c r="Z2" s="5">
        <f>Calculations!AF6</f>
        <v>332123850618778.44</v>
      </c>
      <c r="AA2" s="5">
        <f>Calculations!AG6</f>
        <v>353275881999508.06</v>
      </c>
      <c r="AB2" s="5">
        <f>Calculations!AH6</f>
        <v>374737886830056.38</v>
      </c>
      <c r="AC2" s="5">
        <f>Calculations!AI6</f>
        <v>396499898490783.69</v>
      </c>
      <c r="AD2" s="5">
        <f>Calculations!AJ6</f>
        <v>418552373108662.19</v>
      </c>
      <c r="AE2" s="5">
        <f>Calculations!AK6</f>
        <v>440886167378303.5</v>
      </c>
      <c r="AF2" s="5">
        <f>Calculations!AL6</f>
        <v>463492517764801.75</v>
      </c>
      <c r="AG2" s="5">
        <f>Calculations!AM6</f>
        <v>486363020989001.75</v>
      </c>
      <c r="AH2" s="5">
        <f>Calculations!AN6</f>
        <v>509489615703837.44</v>
      </c>
      <c r="AI2" s="5">
        <f>Calculations!AO6</f>
        <v>532864565277820.63</v>
      </c>
      <c r="AJ2" s="5">
        <f>Calculations!AP6</f>
        <v>556480441608382.56</v>
      </c>
      <c r="AK2" s="5">
        <f>Calculations!AQ6</f>
        <v>580330109893918</v>
      </c>
      <c r="AL2" s="5">
        <f>Calculations!AR6</f>
        <v>604406714298948.13</v>
      </c>
      <c r="AM2" s="5">
        <f>Calculations!AS6</f>
        <v>628703664451846.75</v>
      </c>
      <c r="AN2" s="5">
        <f>Calculations!AT6</f>
        <v>653214622719303.5</v>
      </c>
      <c r="AO2" s="5">
        <f>Calculations!AU6</f>
        <v>677933492205838</v>
      </c>
      <c r="AP2" s="5">
        <f>Calculations!AV6</f>
        <v>702854405430671.63</v>
      </c>
      <c r="AQ2" s="5">
        <f>Calculations!AW6</f>
        <v>727971713637730.75</v>
      </c>
      <c r="AR2" s="5">
        <f>Calculations!AX6</f>
        <v>753279976697872.25</v>
      </c>
      <c r="AS2" s="5">
        <f>Calculations!AY6</f>
        <v>778773953565424.63</v>
      </c>
      <c r="AT2" s="5">
        <f>Calculations!AZ6</f>
        <v>804448593253823.25</v>
      </c>
      <c r="AU2" s="5">
        <f>Calculations!BA6</f>
        <v>830299026297745</v>
      </c>
      <c r="AV2" s="5">
        <f>Calculations!BB6</f>
        <v>856320556671374.88</v>
      </c>
      <c r="AW2" s="5">
        <f>Calculations!BC6</f>
        <v>882508654134642.63</v>
      </c>
      <c r="AX2" s="5">
        <f>Calculations!BD6</f>
        <v>908858946981236.25</v>
      </c>
      <c r="AY2" s="5">
        <f>Calculations!BE6</f>
        <v>935367215163956.88</v>
      </c>
    </row>
    <row r="3" spans="1:51">
      <c r="A3" s="1" t="s">
        <v>504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>
      <c r="A4" s="1" t="s">
        <v>505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>
      <c r="A5" s="1" t="s">
        <v>506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>
      <c r="A6" s="1" t="s">
        <v>507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>
      <c r="A7" s="1" t="s">
        <v>508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>
      <c r="A8" s="1" t="s">
        <v>509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>
      <c r="A9" s="1" t="s">
        <v>510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>
      <c r="A10" s="1" t="s">
        <v>511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>
      <c r="A11" s="1" t="s">
        <v>512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/>
  </sheetPr>
  <dimension ref="A1:AY11"/>
  <sheetViews>
    <sheetView workbookViewId="0">
      <pane xSplit="1" ySplit="1" topLeftCell="AC2" activePane="bottomRight" state="frozen"/>
      <selection pane="bottomRight" activeCell="AC2" sqref="AC2"/>
      <selection pane="bottomLeft" activeCell="B2" sqref="B2:AI11"/>
      <selection pane="topRight" activeCell="B2" sqref="B2:AI11"/>
    </sheetView>
  </sheetViews>
  <sheetFormatPr defaultRowHeight="14.45"/>
  <cols>
    <col min="1" max="1" width="27.7109375" customWidth="1"/>
  </cols>
  <sheetData>
    <row r="1" spans="1:51">
      <c r="A1" s="1" t="s">
        <v>49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>
      <c r="A2" s="1" t="s">
        <v>501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>
      <c r="A3" s="1" t="s">
        <v>504</v>
      </c>
      <c r="B3">
        <f>Calculations!H27</f>
        <v>0</v>
      </c>
      <c r="C3">
        <f>Calculations!I27</f>
        <v>0</v>
      </c>
      <c r="D3">
        <f>Calculations!J27</f>
        <v>0</v>
      </c>
      <c r="E3">
        <f>Calculations!K27</f>
        <v>0</v>
      </c>
      <c r="F3">
        <f>Calculations!L27</f>
        <v>0</v>
      </c>
      <c r="G3">
        <f>Calculations!M27</f>
        <v>0</v>
      </c>
      <c r="H3">
        <f>Calculations!N27</f>
        <v>0</v>
      </c>
      <c r="I3">
        <f>Calculations!O27</f>
        <v>0</v>
      </c>
      <c r="J3">
        <f>Calculations!P27</f>
        <v>0</v>
      </c>
      <c r="K3">
        <f>Calculations!Q27</f>
        <v>0</v>
      </c>
      <c r="L3">
        <f>Calculations!R27</f>
        <v>0</v>
      </c>
      <c r="M3">
        <f>Calculations!S27</f>
        <v>0</v>
      </c>
      <c r="N3">
        <f>Calculations!T27</f>
        <v>0</v>
      </c>
      <c r="O3">
        <f>Calculations!U27</f>
        <v>0</v>
      </c>
      <c r="P3">
        <f>Calculations!V27</f>
        <v>0</v>
      </c>
      <c r="Q3">
        <f>Calculations!W27</f>
        <v>0</v>
      </c>
      <c r="R3">
        <f>Calculations!X27</f>
        <v>0</v>
      </c>
      <c r="S3">
        <f>Calculations!Y27</f>
        <v>0</v>
      </c>
      <c r="T3">
        <f>Calculations!Z27</f>
        <v>0</v>
      </c>
      <c r="U3">
        <f>Calculations!AA27</f>
        <v>0</v>
      </c>
      <c r="V3">
        <f>Calculations!AB27</f>
        <v>0</v>
      </c>
      <c r="W3">
        <f>Calculations!AC27</f>
        <v>0</v>
      </c>
      <c r="X3">
        <f>Calculations!AD27</f>
        <v>0</v>
      </c>
      <c r="Y3">
        <f>Calculations!AE27</f>
        <v>0</v>
      </c>
      <c r="Z3">
        <f>Calculations!AF27</f>
        <v>0</v>
      </c>
      <c r="AA3">
        <f>Calculations!AG27</f>
        <v>0</v>
      </c>
      <c r="AB3">
        <f>Calculations!AH27</f>
        <v>0</v>
      </c>
      <c r="AC3">
        <f>Calculations!AI27</f>
        <v>0</v>
      </c>
      <c r="AD3">
        <f>Calculations!AJ27</f>
        <v>0</v>
      </c>
      <c r="AE3">
        <f>Calculations!AK27</f>
        <v>0</v>
      </c>
      <c r="AF3">
        <f>Calculations!AL27</f>
        <v>0</v>
      </c>
      <c r="AG3">
        <f>Calculations!AM27</f>
        <v>0</v>
      </c>
      <c r="AH3">
        <f>Calculations!AN27</f>
        <v>0</v>
      </c>
      <c r="AI3">
        <f>Calculations!AO27</f>
        <v>0</v>
      </c>
      <c r="AJ3">
        <f>Calculations!AP27</f>
        <v>0</v>
      </c>
      <c r="AK3">
        <f>Calculations!AQ27</f>
        <v>0</v>
      </c>
      <c r="AL3">
        <f>Calculations!AR27</f>
        <v>0</v>
      </c>
      <c r="AM3">
        <f>Calculations!AS27</f>
        <v>0</v>
      </c>
      <c r="AN3">
        <f>Calculations!AT27</f>
        <v>0</v>
      </c>
      <c r="AO3">
        <f>Calculations!AU27</f>
        <v>0</v>
      </c>
      <c r="AP3">
        <f>Calculations!AV27</f>
        <v>0</v>
      </c>
      <c r="AQ3">
        <f>Calculations!AW27</f>
        <v>0</v>
      </c>
      <c r="AR3">
        <f>Calculations!AX27</f>
        <v>0</v>
      </c>
      <c r="AS3">
        <f>Calculations!AY27</f>
        <v>0</v>
      </c>
      <c r="AT3">
        <f>Calculations!AZ27</f>
        <v>0</v>
      </c>
      <c r="AU3">
        <f>Calculations!BA27</f>
        <v>0</v>
      </c>
      <c r="AV3">
        <f>Calculations!BB27</f>
        <v>0</v>
      </c>
      <c r="AW3">
        <f>Calculations!BC27</f>
        <v>0</v>
      </c>
      <c r="AX3">
        <f>Calculations!BD27</f>
        <v>0</v>
      </c>
      <c r="AY3">
        <f>Calculations!BE27</f>
        <v>0</v>
      </c>
    </row>
    <row r="4" spans="1:51">
      <c r="A4" s="1" t="s">
        <v>505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>
      <c r="A5" s="1" t="s">
        <v>506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>
      <c r="A6" s="1" t="s">
        <v>507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>
      <c r="A7" s="1" t="s">
        <v>508</v>
      </c>
      <c r="B7">
        <f>Calculations!H87</f>
        <v>0</v>
      </c>
      <c r="C7">
        <f>Calculations!I87</f>
        <v>0</v>
      </c>
      <c r="D7">
        <f>Calculations!J87</f>
        <v>0</v>
      </c>
      <c r="E7">
        <f>Calculations!K87</f>
        <v>0</v>
      </c>
      <c r="F7">
        <f>Calculations!L87</f>
        <v>0</v>
      </c>
      <c r="G7">
        <f>Calculations!M87</f>
        <v>0</v>
      </c>
      <c r="H7">
        <f>Calculations!N87</f>
        <v>0</v>
      </c>
      <c r="I7">
        <f>Calculations!O87</f>
        <v>0</v>
      </c>
      <c r="J7">
        <f>Calculations!P87</f>
        <v>0</v>
      </c>
      <c r="K7">
        <f>Calculations!Q87</f>
        <v>0</v>
      </c>
      <c r="L7">
        <f>Calculations!R87</f>
        <v>0</v>
      </c>
      <c r="M7">
        <f>Calculations!S87</f>
        <v>0</v>
      </c>
      <c r="N7">
        <f>Calculations!T87</f>
        <v>0</v>
      </c>
      <c r="O7">
        <f>Calculations!U87</f>
        <v>0</v>
      </c>
      <c r="P7">
        <f>Calculations!V87</f>
        <v>0</v>
      </c>
      <c r="Q7">
        <f>Calculations!W87</f>
        <v>0</v>
      </c>
      <c r="R7">
        <f>Calculations!X87</f>
        <v>0</v>
      </c>
      <c r="S7">
        <f>Calculations!Y87</f>
        <v>0</v>
      </c>
      <c r="T7">
        <f>Calculations!Z87</f>
        <v>0</v>
      </c>
      <c r="U7">
        <f>Calculations!AA87</f>
        <v>0</v>
      </c>
      <c r="V7">
        <f>Calculations!AB87</f>
        <v>0</v>
      </c>
      <c r="W7">
        <f>Calculations!AC87</f>
        <v>0</v>
      </c>
      <c r="X7">
        <f>Calculations!AD87</f>
        <v>0</v>
      </c>
      <c r="Y7">
        <f>Calculations!AE87</f>
        <v>0</v>
      </c>
      <c r="Z7">
        <f>Calculations!AF87</f>
        <v>0</v>
      </c>
      <c r="AA7">
        <f>Calculations!AG87</f>
        <v>0</v>
      </c>
      <c r="AB7">
        <f>Calculations!AH87</f>
        <v>0</v>
      </c>
      <c r="AC7">
        <f>Calculations!AI87</f>
        <v>0</v>
      </c>
      <c r="AD7">
        <f>Calculations!AJ87</f>
        <v>0</v>
      </c>
      <c r="AE7">
        <f>Calculations!AK87</f>
        <v>0</v>
      </c>
      <c r="AF7">
        <f>Calculations!AL87</f>
        <v>0</v>
      </c>
      <c r="AG7">
        <f>Calculations!AM87</f>
        <v>0</v>
      </c>
      <c r="AH7">
        <f>Calculations!AN87</f>
        <v>0</v>
      </c>
      <c r="AI7">
        <f>Calculations!AO87</f>
        <v>0</v>
      </c>
      <c r="AJ7">
        <f>Calculations!AP87</f>
        <v>0</v>
      </c>
      <c r="AK7">
        <f>Calculations!AQ87</f>
        <v>0</v>
      </c>
      <c r="AL7">
        <f>Calculations!AR87</f>
        <v>0</v>
      </c>
      <c r="AM7">
        <f>Calculations!AS87</f>
        <v>0</v>
      </c>
      <c r="AN7">
        <f>Calculations!AT87</f>
        <v>0</v>
      </c>
      <c r="AO7">
        <f>Calculations!AU87</f>
        <v>0</v>
      </c>
      <c r="AP7">
        <f>Calculations!AV87</f>
        <v>0</v>
      </c>
      <c r="AQ7">
        <f>Calculations!AW87</f>
        <v>0</v>
      </c>
      <c r="AR7">
        <f>Calculations!AX87</f>
        <v>0</v>
      </c>
      <c r="AS7">
        <f>Calculations!AY87</f>
        <v>0</v>
      </c>
      <c r="AT7">
        <f>Calculations!AZ87</f>
        <v>0</v>
      </c>
      <c r="AU7">
        <f>Calculations!BA87</f>
        <v>0</v>
      </c>
      <c r="AV7">
        <f>Calculations!BB87</f>
        <v>0</v>
      </c>
      <c r="AW7">
        <f>Calculations!BC87</f>
        <v>0</v>
      </c>
      <c r="AX7">
        <f>Calculations!BD87</f>
        <v>0</v>
      </c>
      <c r="AY7">
        <f>Calculations!BE87</f>
        <v>0</v>
      </c>
    </row>
    <row r="8" spans="1:51">
      <c r="A8" s="1" t="s">
        <v>509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>
      <c r="A9" s="1" t="s">
        <v>510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>
      <c r="A10" s="1" t="s">
        <v>511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>
      <c r="A11" s="1" t="s">
        <v>512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3"/>
  </sheetPr>
  <dimension ref="A1:AY11"/>
  <sheetViews>
    <sheetView workbookViewId="0">
      <pane xSplit="1" ySplit="1" topLeftCell="AZ2" activePane="bottomRight" state="frozen"/>
      <selection pane="bottomRight" activeCell="AE2" sqref="AE2:AY2"/>
      <selection pane="bottomLeft" activeCell="B2" sqref="B2:AI11"/>
      <selection pane="topRight" activeCell="B2" sqref="B2:AI11"/>
    </sheetView>
  </sheetViews>
  <sheetFormatPr defaultRowHeight="14.45"/>
  <cols>
    <col min="1" max="1" width="27.5703125" customWidth="1"/>
    <col min="2" max="2" width="12" bestFit="1" customWidth="1"/>
  </cols>
  <sheetData>
    <row r="1" spans="1:51">
      <c r="A1" s="1" t="s">
        <v>49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>
      <c r="A2" s="1" t="s">
        <v>501</v>
      </c>
      <c r="B2" s="5">
        <f>Calculations!H13</f>
        <v>190698216209897.25</v>
      </c>
      <c r="C2" s="5">
        <f>Calculations!I13</f>
        <v>224097347507094.25</v>
      </c>
      <c r="D2" s="5">
        <f>Calculations!J13</f>
        <v>236488520161930.47</v>
      </c>
      <c r="E2" s="5">
        <f>Calculations!K13</f>
        <v>248879692816766.66</v>
      </c>
      <c r="F2" s="5">
        <f>Calculations!L13</f>
        <v>261270865471602.84</v>
      </c>
      <c r="G2" s="5">
        <f>Calculations!M13</f>
        <v>273662038126439.03</v>
      </c>
      <c r="H2" s="5">
        <f>Calculations!N13</f>
        <v>286053210781275.19</v>
      </c>
      <c r="I2" s="5">
        <f>Calculations!O13</f>
        <v>304406712412935.06</v>
      </c>
      <c r="J2" s="5">
        <f>Calculations!P13</f>
        <v>322760214044594.88</v>
      </c>
      <c r="K2" s="5">
        <f>Calculations!Q13</f>
        <v>341113715676254.75</v>
      </c>
      <c r="L2" s="5">
        <f>Calculations!R13</f>
        <v>359467217307914.63</v>
      </c>
      <c r="M2" s="5">
        <f>Calculations!S13</f>
        <v>377820718939574.5</v>
      </c>
      <c r="N2" s="5">
        <f>Calculations!T13</f>
        <v>403864262920298.69</v>
      </c>
      <c r="O2" s="5">
        <f>Calculations!U13</f>
        <v>429907806901022.81</v>
      </c>
      <c r="P2" s="5">
        <f>Calculations!V13</f>
        <v>455951350881747</v>
      </c>
      <c r="Q2" s="5">
        <f>Calculations!W13</f>
        <v>481994894862471.19</v>
      </c>
      <c r="R2" s="5">
        <f>Calculations!X13</f>
        <v>508038438843195.25</v>
      </c>
      <c r="S2" s="5">
        <f>Calculations!Y13</f>
        <v>538639491700966</v>
      </c>
      <c r="T2" s="5">
        <f>Calculations!Z13</f>
        <v>569240544558736.88</v>
      </c>
      <c r="U2" s="5">
        <f>Calculations!AA13</f>
        <v>599841597416507.63</v>
      </c>
      <c r="V2" s="5">
        <f>Calculations!AB13</f>
        <v>630442650274278.5</v>
      </c>
      <c r="W2" s="5">
        <f>Calculations!AC13</f>
        <v>661043703132049.5</v>
      </c>
      <c r="X2" s="5">
        <f>Calculations!AD13</f>
        <v>697387206833017.75</v>
      </c>
      <c r="Y2" s="5">
        <f>Calculations!AE13</f>
        <v>733730710533986.13</v>
      </c>
      <c r="Z2" s="5">
        <f>Calculations!AF13</f>
        <v>770074214234954.63</v>
      </c>
      <c r="AA2" s="5">
        <f>Calculations!AG13</f>
        <v>806417717935923</v>
      </c>
      <c r="AB2" s="5">
        <f>Calculations!AH13</f>
        <v>842761221636891.25</v>
      </c>
      <c r="AC2" s="5">
        <f>Calculations!AI13</f>
        <v>879104725337859.75</v>
      </c>
      <c r="AD2" s="5">
        <f>Calculations!AJ13</f>
        <v>915448229038828.13</v>
      </c>
      <c r="AE2" s="5">
        <f>Calculations!AK13</f>
        <v>951791732739796.63</v>
      </c>
      <c r="AF2" s="5">
        <f>Calculations!AL13</f>
        <v>988135236440765.13</v>
      </c>
      <c r="AG2" s="5">
        <f>Calculations!AM13</f>
        <v>1024478740141733.5</v>
      </c>
      <c r="AH2" s="5">
        <f>Calculations!AN13</f>
        <v>1060822243842702</v>
      </c>
      <c r="AI2" s="5">
        <f>Calculations!AO13</f>
        <v>1097165747543670.4</v>
      </c>
      <c r="AJ2" s="5">
        <f>Calculations!AP13</f>
        <v>1133509251244639</v>
      </c>
      <c r="AK2" s="5">
        <f>Calculations!AQ13</f>
        <v>1169852754945607.3</v>
      </c>
      <c r="AL2" s="5">
        <f>Calculations!AR13</f>
        <v>1206196258646575.8</v>
      </c>
      <c r="AM2" s="5">
        <f>Calculations!AS13</f>
        <v>1242539762347544.3</v>
      </c>
      <c r="AN2" s="5">
        <f>Calculations!AT13</f>
        <v>1278883266048512.8</v>
      </c>
      <c r="AO2" s="5">
        <f>Calculations!AU13</f>
        <v>1315226769749481.3</v>
      </c>
      <c r="AP2" s="5">
        <f>Calculations!AV13</f>
        <v>1351570273450449.5</v>
      </c>
      <c r="AQ2" s="5">
        <f>Calculations!AW13</f>
        <v>1387913777151418</v>
      </c>
      <c r="AR2" s="5">
        <f>Calculations!AX13</f>
        <v>1424257280852386.5</v>
      </c>
      <c r="AS2" s="5">
        <f>Calculations!AY13</f>
        <v>1460600784553354.8</v>
      </c>
      <c r="AT2" s="5">
        <f>Calculations!AZ13</f>
        <v>1496944288254323.3</v>
      </c>
      <c r="AU2" s="5">
        <f>Calculations!BA13</f>
        <v>1533287791955291.8</v>
      </c>
      <c r="AV2" s="5">
        <f>Calculations!BB13</f>
        <v>1569631295656260</v>
      </c>
      <c r="AW2" s="5">
        <f>Calculations!BC13</f>
        <v>1605974799357228.5</v>
      </c>
      <c r="AX2" s="5">
        <f>Calculations!BD13</f>
        <v>1642318303058197</v>
      </c>
      <c r="AY2" s="5">
        <f>Calculations!BE13</f>
        <v>1678661806759165.5</v>
      </c>
    </row>
    <row r="3" spans="1:51">
      <c r="A3" s="1" t="s">
        <v>504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>
      <c r="A4" s="1" t="s">
        <v>505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>
      <c r="A5" s="1" t="s">
        <v>506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>
      <c r="A6" s="1" t="s">
        <v>507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>
      <c r="A7" s="1" t="s">
        <v>508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>
      <c r="A8" s="1" t="s">
        <v>509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>
      <c r="A9" s="1" t="s">
        <v>510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>
      <c r="A10" s="1" t="s">
        <v>511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>
      <c r="A11" s="1" t="s">
        <v>512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3"/>
  </sheetPr>
  <dimension ref="A1:AY11"/>
  <sheetViews>
    <sheetView workbookViewId="0">
      <pane xSplit="1" ySplit="1" topLeftCell="AS2" activePane="bottomRight" state="frozen"/>
      <selection pane="bottomRight" activeCell="AE2" sqref="AE2:AY2"/>
      <selection pane="bottomLeft" activeCell="B2" sqref="B2:AI11"/>
      <selection pane="topRight" activeCell="B2" sqref="B2:AI11"/>
    </sheetView>
  </sheetViews>
  <sheetFormatPr defaultRowHeight="14.45"/>
  <cols>
    <col min="1" max="1" width="28" customWidth="1"/>
    <col min="2" max="2" width="12" bestFit="1" customWidth="1"/>
  </cols>
  <sheetData>
    <row r="1" spans="1:51">
      <c r="A1" s="1" t="s">
        <v>49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>
      <c r="A2" s="1" t="s">
        <v>501</v>
      </c>
      <c r="B2" s="5">
        <f>Calculations!H14</f>
        <v>38176693931066.828</v>
      </c>
      <c r="C2" s="5">
        <f>Calculations!I14</f>
        <v>44105118297329.188</v>
      </c>
      <c r="D2" s="5">
        <f>Calculations!J14</f>
        <v>45537086797664.352</v>
      </c>
      <c r="E2" s="5">
        <f>Calculations!K14</f>
        <v>46969055297999.516</v>
      </c>
      <c r="F2" s="5">
        <f>Calculations!L14</f>
        <v>48401023798334.68</v>
      </c>
      <c r="G2" s="5">
        <f>Calculations!M14</f>
        <v>49832992298669.844</v>
      </c>
      <c r="H2" s="5">
        <f>Calculations!N14</f>
        <v>51264960799005</v>
      </c>
      <c r="I2" s="5">
        <f>Calculations!O14</f>
        <v>53405224753374.195</v>
      </c>
      <c r="J2" s="5">
        <f>Calculations!P14</f>
        <v>55545488707743.391</v>
      </c>
      <c r="K2" s="5">
        <f>Calculations!Q14</f>
        <v>57685752662112.586</v>
      </c>
      <c r="L2" s="5">
        <f>Calculations!R14</f>
        <v>59826016616481.781</v>
      </c>
      <c r="M2" s="5">
        <f>Calculations!S14</f>
        <v>61966280570850.961</v>
      </c>
      <c r="N2" s="5">
        <f>Calculations!T14</f>
        <v>66683267275398.25</v>
      </c>
      <c r="O2" s="5">
        <f>Calculations!U14</f>
        <v>71400253979945.547</v>
      </c>
      <c r="P2" s="5">
        <f>Calculations!V14</f>
        <v>76117240684492.844</v>
      </c>
      <c r="Q2" s="5">
        <f>Calculations!W14</f>
        <v>80834227389040.125</v>
      </c>
      <c r="R2" s="5">
        <f>Calculations!X14</f>
        <v>85551214093587.422</v>
      </c>
      <c r="S2" s="5">
        <f>Calculations!Y14</f>
        <v>91479546690539.5</v>
      </c>
      <c r="T2" s="5">
        <f>Calculations!Z14</f>
        <v>97407879287491.563</v>
      </c>
      <c r="U2" s="5">
        <f>Calculations!AA14</f>
        <v>103336211884443.66</v>
      </c>
      <c r="V2" s="5">
        <f>Calculations!AB14</f>
        <v>109264544481395.73</v>
      </c>
      <c r="W2" s="5">
        <f>Calculations!AC14</f>
        <v>115192877078347.83</v>
      </c>
      <c r="X2" s="5">
        <f>Calculations!AD14</f>
        <v>122872247488169.94</v>
      </c>
      <c r="Y2" s="5">
        <f>Calculations!AE14</f>
        <v>130551617897992.03</v>
      </c>
      <c r="Z2" s="5">
        <f>Calculations!AF14</f>
        <v>138230988307814.14</v>
      </c>
      <c r="AA2" s="5">
        <f>Calculations!AG14</f>
        <v>145910358717636.22</v>
      </c>
      <c r="AB2" s="5">
        <f>Calculations!AH14</f>
        <v>153589729127458.28</v>
      </c>
      <c r="AC2" s="5">
        <f>Calculations!AI14</f>
        <v>161269099537280.38</v>
      </c>
      <c r="AD2" s="5">
        <f>Calculations!AJ14</f>
        <v>168948469947102.47</v>
      </c>
      <c r="AE2" s="5">
        <f>Calculations!AK14</f>
        <v>176627840356924.56</v>
      </c>
      <c r="AF2" s="5">
        <f>Calculations!AL14</f>
        <v>184307210766746.66</v>
      </c>
      <c r="AG2" s="5">
        <f>Calculations!AM14</f>
        <v>191986581176568.72</v>
      </c>
      <c r="AH2" s="5">
        <f>Calculations!AN14</f>
        <v>199665951586390.78</v>
      </c>
      <c r="AI2" s="5">
        <f>Calculations!AO14</f>
        <v>207345321996212.88</v>
      </c>
      <c r="AJ2" s="5">
        <f>Calculations!AP14</f>
        <v>215024692406034.94</v>
      </c>
      <c r="AK2" s="5">
        <f>Calculations!AQ14</f>
        <v>222704062815857.03</v>
      </c>
      <c r="AL2" s="5">
        <f>Calculations!AR14</f>
        <v>230383433225679.13</v>
      </c>
      <c r="AM2" s="5">
        <f>Calculations!AS14</f>
        <v>238062803635501.22</v>
      </c>
      <c r="AN2" s="5">
        <f>Calculations!AT14</f>
        <v>245742174045323.25</v>
      </c>
      <c r="AO2" s="5">
        <f>Calculations!AU14</f>
        <v>253421544455145.34</v>
      </c>
      <c r="AP2" s="5">
        <f>Calculations!AV14</f>
        <v>261100914864967.44</v>
      </c>
      <c r="AQ2" s="5">
        <f>Calculations!AW14</f>
        <v>268780285274789.53</v>
      </c>
      <c r="AR2" s="5">
        <f>Calculations!AX14</f>
        <v>276459655684611.59</v>
      </c>
      <c r="AS2" s="5">
        <f>Calculations!AY14</f>
        <v>284139026094433.69</v>
      </c>
      <c r="AT2" s="5">
        <f>Calculations!AZ14</f>
        <v>291818396504255.75</v>
      </c>
      <c r="AU2" s="5">
        <f>Calculations!BA14</f>
        <v>299497766914077.81</v>
      </c>
      <c r="AV2" s="5">
        <f>Calculations!BB14</f>
        <v>307177137323899.94</v>
      </c>
      <c r="AW2" s="5">
        <f>Calculations!BC14</f>
        <v>314856507733722</v>
      </c>
      <c r="AX2" s="5">
        <f>Calculations!BD14</f>
        <v>322535878143544.06</v>
      </c>
      <c r="AY2" s="5">
        <f>Calculations!BE14</f>
        <v>330215248553366.19</v>
      </c>
    </row>
    <row r="3" spans="1:51">
      <c r="A3" s="1" t="s">
        <v>504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>
      <c r="A4" s="1" t="s">
        <v>505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>
      <c r="A5" s="1" t="s">
        <v>506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>
      <c r="A6" s="1" t="s">
        <v>507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>
      <c r="A7" s="1" t="s">
        <v>508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>
      <c r="A8" s="1" t="s">
        <v>509</v>
      </c>
      <c r="B8">
        <f>Calculations!H104</f>
        <v>59175993638173.492</v>
      </c>
      <c r="C8">
        <f>Calculations!I104</f>
        <v>39450662425449</v>
      </c>
      <c r="D8">
        <f>Calculations!J104</f>
        <v>0</v>
      </c>
      <c r="E8">
        <f>Calculations!K104</f>
        <v>0</v>
      </c>
      <c r="F8">
        <f>Calculations!L104</f>
        <v>0</v>
      </c>
      <c r="G8">
        <f>Calculations!M104</f>
        <v>0</v>
      </c>
      <c r="H8">
        <f>Calculations!N104</f>
        <v>0</v>
      </c>
      <c r="I8">
        <f>Calculations!O104</f>
        <v>0</v>
      </c>
      <c r="J8">
        <f>Calculations!P104</f>
        <v>0</v>
      </c>
      <c r="K8">
        <f>Calculations!Q104</f>
        <v>0</v>
      </c>
      <c r="L8">
        <f>Calculations!R104</f>
        <v>0</v>
      </c>
      <c r="M8">
        <f>Calculations!S104</f>
        <v>0</v>
      </c>
      <c r="N8">
        <f>Calculations!T104</f>
        <v>0</v>
      </c>
      <c r="O8">
        <f>Calculations!U104</f>
        <v>0</v>
      </c>
      <c r="P8">
        <f>Calculations!V104</f>
        <v>0</v>
      </c>
      <c r="Q8">
        <f>Calculations!W104</f>
        <v>0</v>
      </c>
      <c r="R8">
        <f>Calculations!X104</f>
        <v>0</v>
      </c>
      <c r="S8">
        <f>Calculations!Y104</f>
        <v>0</v>
      </c>
      <c r="T8">
        <f>Calculations!Z104</f>
        <v>0</v>
      </c>
      <c r="U8">
        <f>Calculations!AA104</f>
        <v>0</v>
      </c>
      <c r="V8">
        <f>Calculations!AB104</f>
        <v>0</v>
      </c>
      <c r="W8">
        <f>Calculations!AC104</f>
        <v>0</v>
      </c>
      <c r="X8">
        <f>Calculations!AD104</f>
        <v>0</v>
      </c>
      <c r="Y8">
        <f>Calculations!AE104</f>
        <v>0</v>
      </c>
      <c r="Z8">
        <f>Calculations!AF104</f>
        <v>0</v>
      </c>
      <c r="AA8">
        <f>Calculations!AG104</f>
        <v>0</v>
      </c>
      <c r="AB8">
        <f>Calculations!AH104</f>
        <v>0</v>
      </c>
      <c r="AC8">
        <f>Calculations!AI104</f>
        <v>0</v>
      </c>
      <c r="AD8">
        <f>Calculations!AJ104</f>
        <v>0</v>
      </c>
      <c r="AE8">
        <f>Calculations!AK104</f>
        <v>0</v>
      </c>
      <c r="AF8">
        <f>Calculations!AL104</f>
        <v>0</v>
      </c>
      <c r="AG8">
        <f>Calculations!AM104</f>
        <v>0</v>
      </c>
      <c r="AH8">
        <f>Calculations!AN104</f>
        <v>0</v>
      </c>
      <c r="AI8">
        <f>Calculations!AO104</f>
        <v>0</v>
      </c>
      <c r="AJ8">
        <f>Calculations!AP104</f>
        <v>0</v>
      </c>
      <c r="AK8">
        <f>Calculations!AQ104</f>
        <v>0</v>
      </c>
      <c r="AL8">
        <f>Calculations!AR104</f>
        <v>0</v>
      </c>
      <c r="AM8">
        <f>Calculations!AS104</f>
        <v>0</v>
      </c>
      <c r="AN8">
        <f>Calculations!AT104</f>
        <v>0</v>
      </c>
      <c r="AO8">
        <f>Calculations!AU104</f>
        <v>0</v>
      </c>
      <c r="AP8">
        <f>Calculations!AV104</f>
        <v>0</v>
      </c>
      <c r="AQ8">
        <f>Calculations!AW104</f>
        <v>0</v>
      </c>
      <c r="AR8">
        <f>Calculations!AX104</f>
        <v>0</v>
      </c>
      <c r="AS8">
        <f>Calculations!AY104</f>
        <v>0</v>
      </c>
      <c r="AT8">
        <f>Calculations!AZ104</f>
        <v>0</v>
      </c>
      <c r="AU8">
        <f>Calculations!BA104</f>
        <v>0</v>
      </c>
      <c r="AV8">
        <f>Calculations!BB104</f>
        <v>0</v>
      </c>
      <c r="AW8">
        <f>Calculations!BC104</f>
        <v>0</v>
      </c>
      <c r="AX8">
        <f>Calculations!BD104</f>
        <v>0</v>
      </c>
      <c r="AY8">
        <f>Calculations!BE104</f>
        <v>0</v>
      </c>
    </row>
    <row r="9" spans="1:51">
      <c r="A9" s="1" t="s">
        <v>510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>
      <c r="A10" s="1" t="s">
        <v>511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>
      <c r="A11" s="1" t="s">
        <v>512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3"/>
  </sheetPr>
  <dimension ref="A1:AY11"/>
  <sheetViews>
    <sheetView workbookViewId="0">
      <pane xSplit="1" ySplit="1" topLeftCell="AT2" activePane="bottomRight" state="frozen"/>
      <selection pane="bottomRight" activeCell="AB10" sqref="AB10:AY10"/>
      <selection pane="bottomLeft" activeCell="B2" sqref="B2:AI11"/>
      <selection pane="topRight" activeCell="B2" sqref="B2:AI11"/>
    </sheetView>
  </sheetViews>
  <sheetFormatPr defaultRowHeight="14.45"/>
  <cols>
    <col min="1" max="1" width="25.85546875" customWidth="1"/>
    <col min="2" max="2" width="12" bestFit="1" customWidth="1"/>
    <col min="4" max="4" width="11.5703125" bestFit="1" customWidth="1"/>
  </cols>
  <sheetData>
    <row r="1" spans="1:51">
      <c r="A1" s="1" t="s">
        <v>49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>
      <c r="A2" s="1" t="s">
        <v>501</v>
      </c>
      <c r="B2" s="5">
        <f>Calculations!H15</f>
        <v>58752348707281.906</v>
      </c>
      <c r="C2" s="5">
        <f>Calculations!I15</f>
        <v>68016528706137.422</v>
      </c>
      <c r="D2" s="5">
        <f>Calculations!J15</f>
        <v>69453495859393.383</v>
      </c>
      <c r="E2" s="5">
        <f>Calculations!K15</f>
        <v>70890463012649.328</v>
      </c>
      <c r="F2" s="5">
        <f>Calculations!L15</f>
        <v>72327430165905.266</v>
      </c>
      <c r="G2" s="5">
        <f>Calculations!M15</f>
        <v>73764397319161.219</v>
      </c>
      <c r="H2" s="5">
        <f>Calculations!N15</f>
        <v>75201364472417.141</v>
      </c>
      <c r="I2" s="5">
        <f>Calculations!O15</f>
        <v>76855825162295.125</v>
      </c>
      <c r="J2" s="5">
        <f>Calculations!P15</f>
        <v>78510285852173.109</v>
      </c>
      <c r="K2" s="5">
        <f>Calculations!Q15</f>
        <v>80164746542051.094</v>
      </c>
      <c r="L2" s="5">
        <f>Calculations!R15</f>
        <v>81819207231929.078</v>
      </c>
      <c r="M2" s="5">
        <f>Calculations!S15</f>
        <v>83473667921807.031</v>
      </c>
      <c r="N2" s="5">
        <f>Calculations!T15</f>
        <v>84915276027512.063</v>
      </c>
      <c r="O2" s="5">
        <f>Calculations!U15</f>
        <v>86356884133217.094</v>
      </c>
      <c r="P2" s="5">
        <f>Calculations!V15</f>
        <v>87798492238922.109</v>
      </c>
      <c r="Q2" s="5">
        <f>Calculations!W15</f>
        <v>89240100344627.141</v>
      </c>
      <c r="R2" s="5">
        <f>Calculations!X15</f>
        <v>90681708450332.172</v>
      </c>
      <c r="S2" s="5">
        <f>Calculations!Y15</f>
        <v>92292083914182.813</v>
      </c>
      <c r="T2" s="5">
        <f>Calculations!Z15</f>
        <v>93902459378033.453</v>
      </c>
      <c r="U2" s="5">
        <f>Calculations!AA15</f>
        <v>95512834841884.094</v>
      </c>
      <c r="V2" s="5">
        <f>Calculations!AB15</f>
        <v>97123210305734.734</v>
      </c>
      <c r="W2" s="5">
        <f>Calculations!AC15</f>
        <v>98733585769585.391</v>
      </c>
      <c r="X2" s="5">
        <f>Calculations!AD15</f>
        <v>100129100335701.78</v>
      </c>
      <c r="Y2" s="5">
        <f>Calculations!AE15</f>
        <v>101524614901818.16</v>
      </c>
      <c r="Z2" s="5">
        <f>Calculations!AF15</f>
        <v>102920129467934.55</v>
      </c>
      <c r="AA2" s="5">
        <f>Calculations!AG15</f>
        <v>104315644034050.92</v>
      </c>
      <c r="AB2" s="5">
        <f>Calculations!AH15</f>
        <v>105711158600167.31</v>
      </c>
      <c r="AC2" s="5">
        <f>Calculations!AI15</f>
        <v>107106673166283.69</v>
      </c>
      <c r="AD2" s="5">
        <f>Calculations!AJ15</f>
        <v>108502187732400.08</v>
      </c>
      <c r="AE2" s="5">
        <f>Calculations!AK15</f>
        <v>109897702298516.45</v>
      </c>
      <c r="AF2" s="5">
        <f>Calculations!AL15</f>
        <v>111293216864632.84</v>
      </c>
      <c r="AG2" s="5">
        <f>Calculations!AM15</f>
        <v>112688731430749.22</v>
      </c>
      <c r="AH2" s="5">
        <f>Calculations!AN15</f>
        <v>114084245996865.61</v>
      </c>
      <c r="AI2" s="5">
        <f>Calculations!AO15</f>
        <v>115479760562981.98</v>
      </c>
      <c r="AJ2" s="5">
        <f>Calculations!AP15</f>
        <v>116875275129098.38</v>
      </c>
      <c r="AK2" s="5">
        <f>Calculations!AQ15</f>
        <v>118270789695214.75</v>
      </c>
      <c r="AL2" s="5">
        <f>Calculations!AR15</f>
        <v>119666304261331.16</v>
      </c>
      <c r="AM2" s="5">
        <f>Calculations!AS15</f>
        <v>121061818827447.55</v>
      </c>
      <c r="AN2" s="5">
        <f>Calculations!AT15</f>
        <v>122457333393563.95</v>
      </c>
      <c r="AO2" s="5">
        <f>Calculations!AU15</f>
        <v>123852847959680.34</v>
      </c>
      <c r="AP2" s="5">
        <f>Calculations!AV15</f>
        <v>125248362525796.73</v>
      </c>
      <c r="AQ2" s="5">
        <f>Calculations!AW15</f>
        <v>126643877091913.14</v>
      </c>
      <c r="AR2" s="5">
        <f>Calculations!AX15</f>
        <v>128039391658029.53</v>
      </c>
      <c r="AS2" s="5">
        <f>Calculations!AY15</f>
        <v>129434906224145.92</v>
      </c>
      <c r="AT2" s="5">
        <f>Calculations!AZ15</f>
        <v>130830420790262.31</v>
      </c>
      <c r="AU2" s="5">
        <f>Calculations!BA15</f>
        <v>132225935356378.72</v>
      </c>
      <c r="AV2" s="5">
        <f>Calculations!BB15</f>
        <v>133621449922495.11</v>
      </c>
      <c r="AW2" s="5">
        <f>Calculations!BC15</f>
        <v>135016964488611.5</v>
      </c>
      <c r="AX2" s="5">
        <f>Calculations!BD15</f>
        <v>136412479054727.91</v>
      </c>
      <c r="AY2" s="5">
        <f>Calculations!BE15</f>
        <v>137807993620844.3</v>
      </c>
    </row>
    <row r="3" spans="1:51">
      <c r="A3" s="1" t="s">
        <v>504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>
      <c r="A4" s="1" t="s">
        <v>505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>
      <c r="A5" s="1" t="s">
        <v>506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>
      <c r="A6" s="1" t="s">
        <v>507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>
      <c r="A7" s="1" t="s">
        <v>508</v>
      </c>
      <c r="B7">
        <f>Calculations!H90</f>
        <v>0</v>
      </c>
      <c r="C7">
        <f>Calculations!I90</f>
        <v>0</v>
      </c>
      <c r="D7">
        <f>Calculations!J90</f>
        <v>0</v>
      </c>
      <c r="E7">
        <f>Calculations!K90</f>
        <v>0</v>
      </c>
      <c r="F7">
        <f>Calculations!L90</f>
        <v>0</v>
      </c>
      <c r="G7">
        <f>Calculations!M90</f>
        <v>0</v>
      </c>
      <c r="H7">
        <f>Calculations!N90</f>
        <v>0</v>
      </c>
      <c r="I7">
        <f>Calculations!O90</f>
        <v>0</v>
      </c>
      <c r="J7">
        <f>Calculations!P90</f>
        <v>0</v>
      </c>
      <c r="K7">
        <f>Calculations!Q90</f>
        <v>0</v>
      </c>
      <c r="L7">
        <f>Calculations!R90</f>
        <v>0</v>
      </c>
      <c r="M7">
        <f>Calculations!S90</f>
        <v>0</v>
      </c>
      <c r="N7">
        <f>Calculations!T90</f>
        <v>0</v>
      </c>
      <c r="O7">
        <f>Calculations!U90</f>
        <v>0</v>
      </c>
      <c r="P7">
        <f>Calculations!V90</f>
        <v>0</v>
      </c>
      <c r="Q7">
        <f>Calculations!W90</f>
        <v>0</v>
      </c>
      <c r="R7">
        <f>Calculations!X90</f>
        <v>0</v>
      </c>
      <c r="S7">
        <f>Calculations!Y90</f>
        <v>0</v>
      </c>
      <c r="T7">
        <f>Calculations!Z90</f>
        <v>0</v>
      </c>
      <c r="U7">
        <f>Calculations!AA90</f>
        <v>0</v>
      </c>
      <c r="V7">
        <f>Calculations!AB90</f>
        <v>0</v>
      </c>
      <c r="W7">
        <f>Calculations!AC90</f>
        <v>0</v>
      </c>
      <c r="X7">
        <f>Calculations!AD90</f>
        <v>0</v>
      </c>
      <c r="Y7">
        <f>Calculations!AE90</f>
        <v>0</v>
      </c>
      <c r="Z7">
        <f>Calculations!AF90</f>
        <v>0</v>
      </c>
      <c r="AA7">
        <f>Calculations!AG90</f>
        <v>0</v>
      </c>
      <c r="AB7">
        <f>Calculations!AH90</f>
        <v>0</v>
      </c>
      <c r="AC7">
        <f>Calculations!AI90</f>
        <v>0</v>
      </c>
      <c r="AD7">
        <f>Calculations!AJ90</f>
        <v>0</v>
      </c>
      <c r="AE7">
        <f>Calculations!AK90</f>
        <v>0</v>
      </c>
      <c r="AF7">
        <f>Calculations!AL90</f>
        <v>0</v>
      </c>
      <c r="AG7">
        <f>Calculations!AM90</f>
        <v>0</v>
      </c>
      <c r="AH7">
        <f>Calculations!AN90</f>
        <v>0</v>
      </c>
      <c r="AI7">
        <f>Calculations!AO90</f>
        <v>0</v>
      </c>
      <c r="AJ7">
        <f>Calculations!AP90</f>
        <v>0</v>
      </c>
      <c r="AK7">
        <f>Calculations!AQ90</f>
        <v>0</v>
      </c>
      <c r="AL7">
        <f>Calculations!AR90</f>
        <v>0</v>
      </c>
      <c r="AM7">
        <f>Calculations!AS90</f>
        <v>0</v>
      </c>
      <c r="AN7">
        <f>Calculations!AT90</f>
        <v>0</v>
      </c>
      <c r="AO7">
        <f>Calculations!AU90</f>
        <v>0</v>
      </c>
      <c r="AP7">
        <f>Calculations!AV90</f>
        <v>0</v>
      </c>
      <c r="AQ7">
        <f>Calculations!AW90</f>
        <v>0</v>
      </c>
      <c r="AR7">
        <f>Calculations!AX90</f>
        <v>0</v>
      </c>
      <c r="AS7">
        <f>Calculations!AY90</f>
        <v>0</v>
      </c>
      <c r="AT7">
        <f>Calculations!AZ90</f>
        <v>0</v>
      </c>
      <c r="AU7">
        <f>Calculations!BA90</f>
        <v>0</v>
      </c>
      <c r="AV7">
        <f>Calculations!BB90</f>
        <v>0</v>
      </c>
      <c r="AW7">
        <f>Calculations!BC90</f>
        <v>0</v>
      </c>
      <c r="AX7">
        <f>Calculations!BD90</f>
        <v>0</v>
      </c>
      <c r="AY7">
        <f>Calculations!BE90</f>
        <v>0</v>
      </c>
    </row>
    <row r="8" spans="1:51">
      <c r="A8" s="1" t="s">
        <v>509</v>
      </c>
      <c r="B8">
        <f>Calculations!H105</f>
        <v>6575110404241.5</v>
      </c>
      <c r="C8">
        <f>Calculations!I105</f>
        <v>4383406936161</v>
      </c>
      <c r="D8">
        <f>Calculations!J105</f>
        <v>0</v>
      </c>
      <c r="E8">
        <f>Calculations!K105</f>
        <v>0</v>
      </c>
      <c r="F8">
        <f>Calculations!L105</f>
        <v>0</v>
      </c>
      <c r="G8">
        <f>Calculations!M105</f>
        <v>0</v>
      </c>
      <c r="H8">
        <f>Calculations!N105</f>
        <v>0</v>
      </c>
      <c r="I8">
        <f>Calculations!O105</f>
        <v>0</v>
      </c>
      <c r="J8">
        <f>Calculations!P105</f>
        <v>0</v>
      </c>
      <c r="K8">
        <f>Calculations!Q105</f>
        <v>0</v>
      </c>
      <c r="L8">
        <f>Calculations!R105</f>
        <v>0</v>
      </c>
      <c r="M8">
        <f>Calculations!S105</f>
        <v>0</v>
      </c>
      <c r="N8">
        <f>Calculations!T105</f>
        <v>0</v>
      </c>
      <c r="O8">
        <f>Calculations!U105</f>
        <v>0</v>
      </c>
      <c r="P8">
        <f>Calculations!V105</f>
        <v>0</v>
      </c>
      <c r="Q8">
        <f>Calculations!W105</f>
        <v>0</v>
      </c>
      <c r="R8">
        <f>Calculations!X105</f>
        <v>0</v>
      </c>
      <c r="S8">
        <f>Calculations!Y105</f>
        <v>0</v>
      </c>
      <c r="T8">
        <f>Calculations!Z105</f>
        <v>0</v>
      </c>
      <c r="U8">
        <f>Calculations!AA105</f>
        <v>0</v>
      </c>
      <c r="V8">
        <f>Calculations!AB105</f>
        <v>0</v>
      </c>
      <c r="W8">
        <f>Calculations!AC105</f>
        <v>0</v>
      </c>
      <c r="X8">
        <f>Calculations!AD105</f>
        <v>0</v>
      </c>
      <c r="Y8">
        <f>Calculations!AE105</f>
        <v>0</v>
      </c>
      <c r="Z8">
        <f>Calculations!AF105</f>
        <v>0</v>
      </c>
      <c r="AA8">
        <f>Calculations!AG105</f>
        <v>0</v>
      </c>
      <c r="AB8">
        <f>Calculations!AH105</f>
        <v>0</v>
      </c>
      <c r="AC8">
        <f>Calculations!AI105</f>
        <v>0</v>
      </c>
      <c r="AD8">
        <f>Calculations!AJ105</f>
        <v>0</v>
      </c>
      <c r="AE8">
        <f>Calculations!AK105</f>
        <v>0</v>
      </c>
      <c r="AF8">
        <f>Calculations!AL105</f>
        <v>0</v>
      </c>
      <c r="AG8">
        <f>Calculations!AM105</f>
        <v>0</v>
      </c>
      <c r="AH8">
        <f>Calculations!AN105</f>
        <v>0</v>
      </c>
      <c r="AI8">
        <f>Calculations!AO105</f>
        <v>0</v>
      </c>
      <c r="AJ8">
        <f>Calculations!AP105</f>
        <v>0</v>
      </c>
      <c r="AK8">
        <f>Calculations!AQ105</f>
        <v>0</v>
      </c>
      <c r="AL8">
        <f>Calculations!AR105</f>
        <v>0</v>
      </c>
      <c r="AM8">
        <f>Calculations!AS105</f>
        <v>0</v>
      </c>
      <c r="AN8">
        <f>Calculations!AT105</f>
        <v>0</v>
      </c>
      <c r="AO8">
        <f>Calculations!AU105</f>
        <v>0</v>
      </c>
      <c r="AP8">
        <f>Calculations!AV105</f>
        <v>0</v>
      </c>
      <c r="AQ8">
        <f>Calculations!AW105</f>
        <v>0</v>
      </c>
      <c r="AR8">
        <f>Calculations!AX105</f>
        <v>0</v>
      </c>
      <c r="AS8">
        <f>Calculations!AY105</f>
        <v>0</v>
      </c>
      <c r="AT8">
        <f>Calculations!AZ105</f>
        <v>0</v>
      </c>
      <c r="AU8">
        <f>Calculations!BA105</f>
        <v>0</v>
      </c>
      <c r="AV8">
        <f>Calculations!BB105</f>
        <v>0</v>
      </c>
      <c r="AW8">
        <f>Calculations!BC105</f>
        <v>0</v>
      </c>
      <c r="AX8">
        <f>Calculations!BD105</f>
        <v>0</v>
      </c>
      <c r="AY8">
        <f>Calculations!BE105</f>
        <v>0</v>
      </c>
    </row>
    <row r="9" spans="1:51">
      <c r="A9" s="1" t="s">
        <v>510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f>Calculations!AH106</f>
        <v>0</v>
      </c>
      <c r="AC9">
        <f>Calculations!AI106</f>
        <v>0</v>
      </c>
      <c r="AD9">
        <f>Calculations!AJ106</f>
        <v>0</v>
      </c>
      <c r="AE9">
        <f>Calculations!AK106</f>
        <v>0</v>
      </c>
      <c r="AF9">
        <f>Calculations!AL106</f>
        <v>0</v>
      </c>
      <c r="AG9">
        <f>Calculations!AM106</f>
        <v>0</v>
      </c>
      <c r="AH9">
        <f>Calculations!AN106</f>
        <v>0</v>
      </c>
      <c r="AI9">
        <f>Calculations!AO106</f>
        <v>0</v>
      </c>
      <c r="AJ9">
        <f>Calculations!AP106</f>
        <v>0</v>
      </c>
      <c r="AK9">
        <f>Calculations!AQ106</f>
        <v>0</v>
      </c>
      <c r="AL9">
        <f>Calculations!AR106</f>
        <v>0</v>
      </c>
      <c r="AM9">
        <f>Calculations!AS106</f>
        <v>0</v>
      </c>
      <c r="AN9">
        <f>Calculations!AT106</f>
        <v>0</v>
      </c>
      <c r="AO9">
        <f>Calculations!AU106</f>
        <v>0</v>
      </c>
      <c r="AP9">
        <f>Calculations!AV106</f>
        <v>0</v>
      </c>
      <c r="AQ9">
        <f>Calculations!AW106</f>
        <v>0</v>
      </c>
      <c r="AR9">
        <f>Calculations!AX106</f>
        <v>0</v>
      </c>
      <c r="AS9">
        <f>Calculations!AY106</f>
        <v>0</v>
      </c>
      <c r="AT9">
        <f>Calculations!AZ106</f>
        <v>0</v>
      </c>
      <c r="AU9">
        <f>Calculations!BA106</f>
        <v>0</v>
      </c>
      <c r="AV9">
        <f>Calculations!BB106</f>
        <v>0</v>
      </c>
      <c r="AW9">
        <f>Calculations!BC106</f>
        <v>0</v>
      </c>
      <c r="AX9">
        <f>Calculations!BD106</f>
        <v>0</v>
      </c>
      <c r="AY9">
        <f>Calculations!BE106</f>
        <v>0</v>
      </c>
    </row>
    <row r="10" spans="1:51">
      <c r="A10" s="1" t="s">
        <v>511</v>
      </c>
      <c r="B10">
        <f>Calculations!H135</f>
        <v>1206453893911210.3</v>
      </c>
      <c r="C10">
        <f>Calculations!I135</f>
        <v>1246661980822815.3</v>
      </c>
      <c r="D10">
        <f>Calculations!J135</f>
        <v>1265304639282861.3</v>
      </c>
      <c r="E10">
        <f>Calculations!K135</f>
        <v>1283947297742907</v>
      </c>
      <c r="F10">
        <f>Calculations!L135</f>
        <v>1302589956202953</v>
      </c>
      <c r="G10">
        <f>Calculations!M135</f>
        <v>1321232614662998.5</v>
      </c>
      <c r="H10">
        <f>Calculations!N135</f>
        <v>1339875273123044.5</v>
      </c>
      <c r="I10">
        <f>Calculations!O135</f>
        <v>1388493379952838.5</v>
      </c>
      <c r="J10">
        <f>Calculations!P135</f>
        <v>1437111486782633</v>
      </c>
      <c r="K10">
        <f>Calculations!Q135</f>
        <v>1485729593612427</v>
      </c>
      <c r="L10">
        <f>Calculations!R135</f>
        <v>1534347700442221.3</v>
      </c>
      <c r="M10">
        <f>Calculations!S135</f>
        <v>1582965807272015.3</v>
      </c>
      <c r="N10">
        <f>Calculations!T135</f>
        <v>1588706094743187.3</v>
      </c>
      <c r="O10">
        <f>Calculations!U135</f>
        <v>1594446382214359</v>
      </c>
      <c r="P10">
        <f>Calculations!V135</f>
        <v>1600186669685531</v>
      </c>
      <c r="Q10">
        <f>Calculations!W135</f>
        <v>1605926957156703.3</v>
      </c>
      <c r="R10">
        <f>Calculations!X135</f>
        <v>1611667244627875.5</v>
      </c>
      <c r="S10">
        <f>Calculations!Y135</f>
        <v>1601088778054043</v>
      </c>
      <c r="T10">
        <f>Calculations!Z135</f>
        <v>1590510311480210.3</v>
      </c>
      <c r="U10">
        <f>Calculations!AA135</f>
        <v>1579931844906377.5</v>
      </c>
      <c r="V10">
        <f>Calculations!AB135</f>
        <v>1569353378332544.8</v>
      </c>
      <c r="W10">
        <f>Calculations!AC135</f>
        <v>1558774911758711.8</v>
      </c>
      <c r="X10">
        <f>Calculations!AD135</f>
        <v>1553369084939948.8</v>
      </c>
      <c r="Y10">
        <f>Calculations!AE135</f>
        <v>1547963258121185.8</v>
      </c>
      <c r="Z10">
        <f>Calculations!AF135</f>
        <v>1542557431302422.8</v>
      </c>
      <c r="AA10">
        <f>Calculations!AG135</f>
        <v>1537151604483659.8</v>
      </c>
      <c r="AB10">
        <f>Calculations!AH135</f>
        <v>1531745777664897</v>
      </c>
      <c r="AC10">
        <f>Calculations!AI135</f>
        <v>1526339950846133.8</v>
      </c>
      <c r="AD10">
        <f>Calculations!AJ135</f>
        <v>1520934124027371</v>
      </c>
      <c r="AE10">
        <f>Calculations!AK135</f>
        <v>1515528297208607.8</v>
      </c>
      <c r="AF10">
        <f>Calculations!AL135</f>
        <v>1510122470389845</v>
      </c>
      <c r="AG10">
        <f>Calculations!AM135</f>
        <v>1504716643571081.8</v>
      </c>
      <c r="AH10">
        <f>Calculations!AN135</f>
        <v>1499310816752319</v>
      </c>
      <c r="AI10">
        <f>Calculations!AO135</f>
        <v>1493904989933555.8</v>
      </c>
      <c r="AJ10">
        <f>Calculations!AP135</f>
        <v>1488499163114793</v>
      </c>
      <c r="AK10">
        <f>Calculations!AQ135</f>
        <v>1483093336296029.8</v>
      </c>
      <c r="AL10">
        <f>Calculations!AR135</f>
        <v>1477687509477267</v>
      </c>
      <c r="AM10">
        <f>Calculations!AS135</f>
        <v>1472281682658503.8</v>
      </c>
      <c r="AN10">
        <f>Calculations!AT135</f>
        <v>1466875855839741</v>
      </c>
      <c r="AO10">
        <f>Calculations!AU135</f>
        <v>1461470029020977.8</v>
      </c>
      <c r="AP10">
        <f>Calculations!AV135</f>
        <v>1456064202202215</v>
      </c>
      <c r="AQ10">
        <f>Calculations!AW135</f>
        <v>1450658375383451.8</v>
      </c>
      <c r="AR10">
        <f>Calculations!AX135</f>
        <v>1445252548564689</v>
      </c>
      <c r="AS10">
        <f>Calculations!AY135</f>
        <v>1439846721745925.8</v>
      </c>
      <c r="AT10">
        <f>Calculations!AZ135</f>
        <v>1434440894927163</v>
      </c>
      <c r="AU10">
        <f>Calculations!BA135</f>
        <v>1429035068108399.8</v>
      </c>
      <c r="AV10">
        <f>Calculations!BB135</f>
        <v>1423629241289637</v>
      </c>
      <c r="AW10">
        <f>Calculations!BC135</f>
        <v>1418223414470873.8</v>
      </c>
      <c r="AX10">
        <f>Calculations!BD135</f>
        <v>1412817587652111</v>
      </c>
      <c r="AY10">
        <f>Calculations!BE135</f>
        <v>1407411760833347.8</v>
      </c>
    </row>
    <row r="11" spans="1:51">
      <c r="A11" s="1" t="s">
        <v>512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/>
  </sheetPr>
  <dimension ref="A1:AY11"/>
  <sheetViews>
    <sheetView tabSelected="1" workbookViewId="0">
      <pane xSplit="1" ySplit="1" topLeftCell="AP2" activePane="bottomRight" state="frozen"/>
      <selection pane="bottomRight" activeCell="AE2" sqref="AE2:AY2"/>
      <selection pane="bottomLeft" activeCell="B2" sqref="B2:AI11"/>
      <selection pane="topRight" activeCell="B2" sqref="B2:AI11"/>
    </sheetView>
  </sheetViews>
  <sheetFormatPr defaultRowHeight="14.45"/>
  <cols>
    <col min="1" max="1" width="25.85546875" customWidth="1"/>
    <col min="2" max="2" width="11" bestFit="1" customWidth="1"/>
  </cols>
  <sheetData>
    <row r="1" spans="1:51">
      <c r="A1" s="1" t="s">
        <v>49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>
      <c r="A2" s="1" t="s">
        <v>501</v>
      </c>
      <c r="B2" s="5">
        <f>Calculations!H16</f>
        <v>30819294903308.074</v>
      </c>
      <c r="C2" s="5">
        <f>Calculations!I16</f>
        <v>31709433695600.477</v>
      </c>
      <c r="D2" s="5">
        <f>Calculations!J16</f>
        <v>32503759839557.078</v>
      </c>
      <c r="E2" s="5">
        <f>Calculations!K16</f>
        <v>33298085983513.672</v>
      </c>
      <c r="F2" s="5">
        <f>Calculations!L16</f>
        <v>34092412127470.277</v>
      </c>
      <c r="G2" s="5">
        <f>Calculations!M16</f>
        <v>34886738271426.879</v>
      </c>
      <c r="H2" s="5">
        <f>Calculations!N16</f>
        <v>35681064415383.469</v>
      </c>
      <c r="I2" s="5">
        <f>Calculations!O16</f>
        <v>37179202140847.852</v>
      </c>
      <c r="J2" s="5">
        <f>Calculations!P16</f>
        <v>38677339866312.234</v>
      </c>
      <c r="K2" s="5">
        <f>Calculations!Q16</f>
        <v>40175477591776.617</v>
      </c>
      <c r="L2" s="5">
        <f>Calculations!R16</f>
        <v>41673615317240.992</v>
      </c>
      <c r="M2" s="5">
        <f>Calculations!S16</f>
        <v>43171753042705.375</v>
      </c>
      <c r="N2" s="5">
        <f>Calculations!T16</f>
        <v>46458065908968.219</v>
      </c>
      <c r="O2" s="5">
        <f>Calculations!U16</f>
        <v>49744378775231.055</v>
      </c>
      <c r="P2" s="5">
        <f>Calculations!V16</f>
        <v>53030691641493.898</v>
      </c>
      <c r="Q2" s="5">
        <f>Calculations!W16</f>
        <v>56317004507756.727</v>
      </c>
      <c r="R2" s="5">
        <f>Calculations!X16</f>
        <v>59603317374019.57</v>
      </c>
      <c r="S2" s="5">
        <f>Calculations!Y16</f>
        <v>66479411227897.641</v>
      </c>
      <c r="T2" s="5">
        <f>Calculations!Z16</f>
        <v>73355505081775.719</v>
      </c>
      <c r="U2" s="5">
        <f>Calculations!AA16</f>
        <v>80231598935653.781</v>
      </c>
      <c r="V2" s="5">
        <f>Calculations!AB16</f>
        <v>87107692789531.844</v>
      </c>
      <c r="W2" s="5">
        <f>Calculations!AC16</f>
        <v>93983786643409.938</v>
      </c>
      <c r="X2" s="5">
        <f>Calculations!AD16</f>
        <v>96588145517612.5</v>
      </c>
      <c r="Y2" s="5">
        <f>Calculations!AE16</f>
        <v>99192504391815.047</v>
      </c>
      <c r="Z2" s="5">
        <f>Calculations!AF16</f>
        <v>101796863266017.61</v>
      </c>
      <c r="AA2" s="5">
        <f>Calculations!AG16</f>
        <v>104401222140220.17</v>
      </c>
      <c r="AB2" s="5">
        <f>Calculations!AH16</f>
        <v>107005581014422.72</v>
      </c>
      <c r="AC2" s="5">
        <f>Calculations!AI16</f>
        <v>109609939888625.3</v>
      </c>
      <c r="AD2" s="5">
        <f>Calculations!AJ16</f>
        <v>112214298762827.84</v>
      </c>
      <c r="AE2" s="5">
        <f>Calculations!AK16</f>
        <v>114818657637030.41</v>
      </c>
      <c r="AF2" s="5">
        <f>Calculations!AL16</f>
        <v>117423016511232.95</v>
      </c>
      <c r="AG2" s="5">
        <f>Calculations!AM16</f>
        <v>120027375385435.52</v>
      </c>
      <c r="AH2" s="5">
        <f>Calculations!AN16</f>
        <v>122631734259638.06</v>
      </c>
      <c r="AI2" s="5">
        <f>Calculations!AO16</f>
        <v>125236093133840.63</v>
      </c>
      <c r="AJ2" s="5">
        <f>Calculations!AP16</f>
        <v>127840452008043.17</v>
      </c>
      <c r="AK2" s="5">
        <f>Calculations!AQ16</f>
        <v>130444810882245.73</v>
      </c>
      <c r="AL2" s="5">
        <f>Calculations!AR16</f>
        <v>133049169756448.28</v>
      </c>
      <c r="AM2" s="5">
        <f>Calculations!AS16</f>
        <v>135653528630650.83</v>
      </c>
      <c r="AN2" s="5">
        <f>Calculations!AT16</f>
        <v>138257887504853.39</v>
      </c>
      <c r="AO2" s="5">
        <f>Calculations!AU16</f>
        <v>140862246379055.97</v>
      </c>
      <c r="AP2" s="5">
        <f>Calculations!AV16</f>
        <v>143466605253258.5</v>
      </c>
      <c r="AQ2" s="5">
        <f>Calculations!AW16</f>
        <v>146070964127461.06</v>
      </c>
      <c r="AR2" s="5">
        <f>Calculations!AX16</f>
        <v>148675323001663.59</v>
      </c>
      <c r="AS2" s="5">
        <f>Calculations!AY16</f>
        <v>151279681875866.19</v>
      </c>
      <c r="AT2" s="5">
        <f>Calculations!AZ16</f>
        <v>153884040750068.72</v>
      </c>
      <c r="AU2" s="5">
        <f>Calculations!BA16</f>
        <v>156488399624271.28</v>
      </c>
      <c r="AV2" s="5">
        <f>Calculations!BB16</f>
        <v>159092758498473.84</v>
      </c>
      <c r="AW2" s="5">
        <f>Calculations!BC16</f>
        <v>161697117372676.41</v>
      </c>
      <c r="AX2" s="5">
        <f>Calculations!BD16</f>
        <v>164301476246878.94</v>
      </c>
      <c r="AY2" s="5">
        <f>Calculations!BE16</f>
        <v>166905835121081.5</v>
      </c>
    </row>
    <row r="3" spans="1:51">
      <c r="A3" s="1" t="s">
        <v>504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>
      <c r="A4" s="1" t="s">
        <v>505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>
      <c r="A5" s="1" t="s">
        <v>506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>
      <c r="A6" s="1" t="s">
        <v>507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>
      <c r="A7" s="1" t="s">
        <v>508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>
      <c r="A8" s="1" t="s">
        <v>509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>
      <c r="A9" s="1" t="s">
        <v>510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>
      <c r="A10" s="1" t="s">
        <v>511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>
      <c r="A11" s="1" t="s">
        <v>512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3"/>
  </sheetPr>
  <dimension ref="A1:BA11"/>
  <sheetViews>
    <sheetView workbookViewId="0">
      <selection activeCell="AG2" sqref="AG2"/>
    </sheetView>
  </sheetViews>
  <sheetFormatPr defaultRowHeight="14.45"/>
  <cols>
    <col min="1" max="1" width="29.85546875" customWidth="1"/>
    <col min="2" max="33" width="9.85546875" customWidth="1"/>
  </cols>
  <sheetData>
    <row r="1" spans="1:53">
      <c r="A1" s="1" t="s">
        <v>49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>
        <v>2051</v>
      </c>
      <c r="AI1" s="1">
        <v>2052</v>
      </c>
      <c r="AJ1" s="1">
        <v>2053</v>
      </c>
      <c r="AK1" s="1">
        <v>2054</v>
      </c>
      <c r="AL1" s="1">
        <v>2055</v>
      </c>
      <c r="AM1" s="1">
        <v>2056</v>
      </c>
      <c r="AN1" s="1">
        <v>2057</v>
      </c>
      <c r="AO1" s="1">
        <v>2058</v>
      </c>
      <c r="AP1" s="1">
        <v>2059</v>
      </c>
      <c r="AQ1" s="1">
        <v>2060</v>
      </c>
      <c r="AR1" s="1">
        <v>2061</v>
      </c>
      <c r="AS1" s="1">
        <v>2062</v>
      </c>
      <c r="AT1" s="1">
        <v>2063</v>
      </c>
      <c r="AU1" s="1">
        <v>2064</v>
      </c>
      <c r="AV1" s="1">
        <v>2065</v>
      </c>
      <c r="AW1" s="1">
        <v>2066</v>
      </c>
      <c r="AX1" s="1">
        <v>2067</v>
      </c>
      <c r="AY1" s="1">
        <v>2068</v>
      </c>
      <c r="AZ1" s="1">
        <v>2069</v>
      </c>
      <c r="BA1" s="1">
        <v>2070</v>
      </c>
    </row>
    <row r="2" spans="1:53">
      <c r="A2" s="1" t="s">
        <v>501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>
      <c r="A3" s="1" t="s">
        <v>504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>
      <c r="A4" s="1" t="s">
        <v>505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>
      <c r="A5" s="1" t="s">
        <v>506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 spans="1:53">
      <c r="A6" s="1" t="s">
        <v>507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 spans="1:53">
      <c r="A7" s="1" t="s">
        <v>508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>
      <c r="A8" s="1" t="s">
        <v>509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>
      <c r="A9" s="1" t="s">
        <v>510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</row>
    <row r="10" spans="1:53">
      <c r="A10" s="1" t="s">
        <v>511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 spans="1:53">
      <c r="A11" s="1" t="s">
        <v>512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8DB71-A5D7-4B75-A47C-C9AD638FF976}"/>
</file>

<file path=customXml/itemProps2.xml><?xml version="1.0" encoding="utf-8"?>
<ds:datastoreItem xmlns:ds="http://schemas.openxmlformats.org/officeDocument/2006/customXml" ds:itemID="{25BFC9C7-DCAD-4723-BCA4-BC862DD6D2A6}"/>
</file>

<file path=customXml/itemProps3.xml><?xml version="1.0" encoding="utf-8"?>
<ds:datastoreItem xmlns:ds="http://schemas.openxmlformats.org/officeDocument/2006/customXml" ds:itemID="{4398BF15-3109-4CE6-81DF-1C3F425FD7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Richa Richa</cp:lastModifiedBy>
  <cp:revision/>
  <dcterms:created xsi:type="dcterms:W3CDTF">2014-04-18T00:48:59Z</dcterms:created>
  <dcterms:modified xsi:type="dcterms:W3CDTF">2024-10-30T05:25:37Z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