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newri-my.sharepoint.com/personal/khushi_parakh_wri_org/Documents/Desktop/EPS update/current WIP/"/>
    </mc:Choice>
  </mc:AlternateContent>
  <xr:revisionPtr revIDLastSave="171" documentId="8_{0F15E7E8-4D68-4239-A80F-EE712B6DB1DE}" xr6:coauthVersionLast="47" xr6:coauthVersionMax="47" xr10:uidLastSave="{8195D72D-8E7C-4141-B20E-6F4F21C5B085}"/>
  <bookViews>
    <workbookView xWindow="-110" yWindow="-110" windowWidth="19420" windowHeight="10300" firstSheet="84" activeTab="85" xr2:uid="{00000000-000D-0000-FFFF-FFFF00000000}"/>
  </bookViews>
  <sheets>
    <sheet name="About" sheetId="1" r:id="rId1"/>
    <sheet name="Max Biofuel Blends" sheetId="50" r:id="rId2"/>
    <sheet name="LDVs-psgr" sheetId="17" r:id="rId3"/>
    <sheet name="MPoEFUbVT-LDVs-psgr-batelc" sheetId="2" r:id="rId4"/>
    <sheet name="MPoEFUbVT-LDVs-psgr-natgas" sheetId="3" r:id="rId5"/>
    <sheet name="MPoEFUbVT-LDVs-psgr-gasveh" sheetId="5" r:id="rId6"/>
    <sheet name="MPoEFUbVT-LDVs-psgr-dslveh" sheetId="6" r:id="rId7"/>
    <sheet name="MPoEFUbVT-LDVs-psgr-plghyb" sheetId="7" r:id="rId8"/>
    <sheet name="MPoEFUbVT-LDVs-psgr-LPG" sheetId="70" r:id="rId9"/>
    <sheet name="MPoEFUbVT-LDVs-psgr-hydgn" sheetId="71" r:id="rId10"/>
    <sheet name="LDVs-frgt" sheetId="51" r:id="rId11"/>
    <sheet name="MPoEFUbVT-LDVs-frgt-batelc" sheetId="52" r:id="rId12"/>
    <sheet name="MPoEFUbVT-LDVs-frgt-natgas" sheetId="53" r:id="rId13"/>
    <sheet name="MPoEFUbVT-LDVs-frgt-gasveh" sheetId="54" r:id="rId14"/>
    <sheet name="MPoEFUbVT-LDVs-frgt-dslveh" sheetId="55" r:id="rId15"/>
    <sheet name="MPoEFUbVT-LDVs-frgt-plghyb" sheetId="56" r:id="rId16"/>
    <sheet name="MPoEFUbVT-LDVs-frgt-LPG" sheetId="72" r:id="rId17"/>
    <sheet name="MPoEFUbVT-LDVs-frgt-hydgn" sheetId="73" r:id="rId18"/>
    <sheet name="HDVs-psgr" sheetId="24" r:id="rId19"/>
    <sheet name="MPoEFUbVT-HDVs-psgr-batelc" sheetId="19" r:id="rId20"/>
    <sheet name="MPoEFUbVT-HDVs-psgr-natgas" sheetId="20" r:id="rId21"/>
    <sheet name="MPoEFUbVT-HDVs-psgr-gasveh" sheetId="21" r:id="rId22"/>
    <sheet name="MPoEFUbVT-HDVs-psgr-dslveh" sheetId="22" r:id="rId23"/>
    <sheet name="MPoEFUbVT-HDVs-psgr-plghyb" sheetId="23" r:id="rId24"/>
    <sheet name="MPoEFUbVT-HDVs-psgr-LPG" sheetId="76" r:id="rId25"/>
    <sheet name="MPoEFUbVT-HDVs-psgr-hydgn" sheetId="77" r:id="rId26"/>
    <sheet name="HDVs-frgt" sheetId="57" r:id="rId27"/>
    <sheet name="MPoEFUbVT-HDVs-frgt-batelc" sheetId="58" r:id="rId28"/>
    <sheet name="MPoEFUbVT-HDVs-frgt-natgas" sheetId="59" r:id="rId29"/>
    <sheet name="MPoEFUbVT-HDVs-frgt-gasveh" sheetId="60" r:id="rId30"/>
    <sheet name="MPoEFUbVT-HDVs-frgt-dslveh" sheetId="61" r:id="rId31"/>
    <sheet name="MPoEFUbVT-HDVs-frgt-plghyb" sheetId="62" r:id="rId32"/>
    <sheet name="MPoEFUbVT-HDVs-frgt-LPG" sheetId="74" r:id="rId33"/>
    <sheet name="MPoEFUbVT-HDVs-frgt-hydgn" sheetId="75" r:id="rId34"/>
    <sheet name="aircraft-psgr" sheetId="82" r:id="rId35"/>
    <sheet name="MPoEFUbVT-aircraft-psgr-batelc" sheetId="83" r:id="rId36"/>
    <sheet name="MPoEFUbVT-aircraft-psgr-natgas" sheetId="84" r:id="rId37"/>
    <sheet name="MPoEFUbVT-aircraft-psgr-gasveh" sheetId="85" r:id="rId38"/>
    <sheet name="MPoEFUbVT-aircraft-psgr-dslveh" sheetId="86" r:id="rId39"/>
    <sheet name="MPoEFUbVT-aircraft-psgr-hydgn" sheetId="87" r:id="rId40"/>
    <sheet name="aircraft-frgt" sheetId="88" r:id="rId41"/>
    <sheet name="MPoEFUbVT-aircraft-frgt-batelc" sheetId="89" r:id="rId42"/>
    <sheet name="MPoEFUbVT-aircraft-frgt-natgas" sheetId="90" r:id="rId43"/>
    <sheet name="MPoEFUbVT-aircraft-frgt-gasveh" sheetId="91" r:id="rId44"/>
    <sheet name="MPoEFUbVT-aircraft-frgt-dslveh" sheetId="92" r:id="rId45"/>
    <sheet name="MPoEFUbVT-aircraft-frgt-hydgn" sheetId="93" r:id="rId46"/>
    <sheet name="rail-psgr" sheetId="94" r:id="rId47"/>
    <sheet name="MPoEFUbVT-rail-psgr-batelc" sheetId="95" r:id="rId48"/>
    <sheet name="MPoEFUbVT-rail-psgr-natgas" sheetId="96" r:id="rId49"/>
    <sheet name="MPoEFUbVT-rail-psgr-gasveh" sheetId="97" r:id="rId50"/>
    <sheet name="MPoEFUbVT-rail-psgr-dslveh" sheetId="98" r:id="rId51"/>
    <sheet name="MPoEFUbVT-rail-psgr-hydgn" sheetId="99" r:id="rId52"/>
    <sheet name="rail-frgt" sheetId="100" r:id="rId53"/>
    <sheet name="MPoEFUbVT-rail-frgt-batelc" sheetId="101" r:id="rId54"/>
    <sheet name="MPoEFUbVT-rail-frgt-natgas" sheetId="102" r:id="rId55"/>
    <sheet name="MPoEFUbVT-rail-frgt-gasveh" sheetId="103" r:id="rId56"/>
    <sheet name="MPoEFUbVT-rail-frgt-dslveh" sheetId="104" r:id="rId57"/>
    <sheet name="MPoEFUbVT-rail-frgt-hydgn" sheetId="105" r:id="rId58"/>
    <sheet name="ships-psgr" sheetId="106" r:id="rId59"/>
    <sheet name="MPoEFUbVT-ships-psgr-batelc" sheetId="107" r:id="rId60"/>
    <sheet name="MPoEFUbVT-ships-psgr-natgas" sheetId="108" r:id="rId61"/>
    <sheet name="MPoEFUbVT-ships-psgr-gasveh" sheetId="109" r:id="rId62"/>
    <sheet name="MPoEFUbVT-ships-psgr-dslveh" sheetId="110" r:id="rId63"/>
    <sheet name="MPoEFUbVT-ships-psgr-hydgn" sheetId="111" r:id="rId64"/>
    <sheet name="ships-frgt" sheetId="112" r:id="rId65"/>
    <sheet name="MPoEFUbVT-ships-frgt-batelc" sheetId="113" r:id="rId66"/>
    <sheet name="MPoEFUbVT-ships-frgt-natgas" sheetId="114" r:id="rId67"/>
    <sheet name="MPoEFUbVT-ships-frgt-gasveh" sheetId="115" r:id="rId68"/>
    <sheet name="MPoEFUbVT-ships-frgt-dslveh" sheetId="116" r:id="rId69"/>
    <sheet name="MPoEFUbVT-ships-frgt-hydgn" sheetId="117" r:id="rId70"/>
    <sheet name="mtrbks-psgr" sheetId="38" r:id="rId71"/>
    <sheet name="MPoEFUbVT-mtrbks-psgr-batelc" sheetId="39" r:id="rId72"/>
    <sheet name="MPoEFUbVT-mtrbks-psgr-natgas" sheetId="40" r:id="rId73"/>
    <sheet name="MPoEFUbVT-mtrbks-psgr-gasveh" sheetId="41" r:id="rId74"/>
    <sheet name="MPoEFUbVT-mtrbks-psgr-dslveh" sheetId="42" r:id="rId75"/>
    <sheet name="MPoEFUbVT-mtrbks-psgr-plghyb" sheetId="43" r:id="rId76"/>
    <sheet name="MPoEFUbVT-mtrbks-psgr-LPG" sheetId="78" r:id="rId77"/>
    <sheet name="MPoEFUbVT-mtrbks-psgr-hydgn" sheetId="79" r:id="rId78"/>
    <sheet name="mtrbks-frgt" sheetId="64" r:id="rId79"/>
    <sheet name="MPoEFUbVT-mtrbks-frgt-batelc" sheetId="65" r:id="rId80"/>
    <sheet name="MPoEFUbVT-mtrbks-frgt-natgas" sheetId="66" r:id="rId81"/>
    <sheet name="MPoEFUbVT-mtrbks-frgt-gasveh" sheetId="67" r:id="rId82"/>
    <sheet name="MPoEFUbVT-mtrbks-frgt-dslveh" sheetId="68" r:id="rId83"/>
    <sheet name="MPoEFUbVT-mtrbks-frgt-plghyb" sheetId="69" r:id="rId84"/>
    <sheet name="MPoEFUbVT-mtrbks-frgt-LPG" sheetId="80" r:id="rId85"/>
    <sheet name="MPoEFUbVT-mtrbks-frgt-hydgn" sheetId="81" r:id="rId86"/>
  </sheets>
  <definedNames>
    <definedName name="max_biodsl">'Max Biofuel Blends'!$A$3</definedName>
    <definedName name="max_biogas">'Max Biofuel Blends'!$A$2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6" i="69" l="1"/>
  <c r="AG6" i="69"/>
  <c r="AH6" i="69"/>
  <c r="AI6" i="69"/>
  <c r="AJ6" i="69"/>
  <c r="AK6" i="69"/>
  <c r="AL6" i="69"/>
  <c r="AM6" i="69"/>
  <c r="AN6" i="69"/>
  <c r="AO6" i="69"/>
  <c r="AP6" i="69"/>
  <c r="AQ6" i="69"/>
  <c r="AR6" i="69"/>
  <c r="AS6" i="69"/>
  <c r="AT6" i="69"/>
  <c r="AU6" i="69"/>
  <c r="AV6" i="69"/>
  <c r="AW6" i="69"/>
  <c r="AX6" i="69"/>
  <c r="AY6" i="69"/>
  <c r="AF7" i="68"/>
  <c r="AG7" i="68"/>
  <c r="AH7" i="68"/>
  <c r="AI7" i="68"/>
  <c r="AJ7" i="68"/>
  <c r="AK7" i="68"/>
  <c r="AL7" i="68"/>
  <c r="AM7" i="68"/>
  <c r="AN7" i="68"/>
  <c r="AO7" i="68"/>
  <c r="AP7" i="68"/>
  <c r="AQ7" i="68"/>
  <c r="AR7" i="68"/>
  <c r="AS7" i="68"/>
  <c r="AT7" i="68"/>
  <c r="AU7" i="68"/>
  <c r="AV7" i="68"/>
  <c r="AW7" i="68"/>
  <c r="AX7" i="68"/>
  <c r="AY7" i="68"/>
  <c r="AY6" i="67"/>
  <c r="AF6" i="67"/>
  <c r="AG6" i="67"/>
  <c r="AH6" i="67"/>
  <c r="AI6" i="67"/>
  <c r="AJ6" i="67"/>
  <c r="AK6" i="67"/>
  <c r="AL6" i="67"/>
  <c r="AM6" i="67"/>
  <c r="AN6" i="67"/>
  <c r="AO6" i="67"/>
  <c r="AP6" i="67"/>
  <c r="AQ6" i="67"/>
  <c r="AR6" i="67"/>
  <c r="AS6" i="67"/>
  <c r="AT6" i="67"/>
  <c r="AU6" i="67"/>
  <c r="AV6" i="67"/>
  <c r="AW6" i="67"/>
  <c r="AX6" i="67"/>
  <c r="AF6" i="43"/>
  <c r="AG6" i="43"/>
  <c r="AH6" i="43"/>
  <c r="AI6" i="43"/>
  <c r="AJ6" i="43"/>
  <c r="AK6" i="43"/>
  <c r="AL6" i="43"/>
  <c r="AM6" i="43"/>
  <c r="AN6" i="43"/>
  <c r="AO6" i="43"/>
  <c r="AP6" i="43"/>
  <c r="AQ6" i="43"/>
  <c r="AR6" i="43"/>
  <c r="AS6" i="43"/>
  <c r="AT6" i="43"/>
  <c r="AU6" i="43"/>
  <c r="AV6" i="43"/>
  <c r="AW6" i="43"/>
  <c r="AX6" i="43"/>
  <c r="AY6" i="43"/>
  <c r="AF7" i="42"/>
  <c r="AG7" i="42"/>
  <c r="AH7" i="42"/>
  <c r="AI7" i="42"/>
  <c r="AJ7" i="42"/>
  <c r="AK7" i="42"/>
  <c r="AL7" i="42"/>
  <c r="AM7" i="42"/>
  <c r="AN7" i="42"/>
  <c r="AO7" i="42"/>
  <c r="AP7" i="42"/>
  <c r="AQ7" i="42"/>
  <c r="AR7" i="42"/>
  <c r="AS7" i="42"/>
  <c r="AT7" i="42"/>
  <c r="AU7" i="42"/>
  <c r="AV7" i="42"/>
  <c r="AW7" i="42"/>
  <c r="AX7" i="42"/>
  <c r="AY7" i="42"/>
  <c r="AF6" i="41"/>
  <c r="AG6" i="41"/>
  <c r="AH6" i="41"/>
  <c r="AI6" i="41"/>
  <c r="AJ6" i="41"/>
  <c r="AK6" i="41"/>
  <c r="AL6" i="41"/>
  <c r="AM6" i="41"/>
  <c r="AN6" i="41"/>
  <c r="AO6" i="41"/>
  <c r="AP6" i="41"/>
  <c r="AQ6" i="41"/>
  <c r="AR6" i="41"/>
  <c r="AS6" i="41"/>
  <c r="AT6" i="41"/>
  <c r="AU6" i="41"/>
  <c r="AV6" i="41"/>
  <c r="AW6" i="41"/>
  <c r="AX6" i="41"/>
  <c r="AY6" i="41"/>
  <c r="AF7" i="116"/>
  <c r="AG7" i="116"/>
  <c r="AH7" i="116"/>
  <c r="AI7" i="116"/>
  <c r="AJ7" i="116"/>
  <c r="AK7" i="116"/>
  <c r="AL7" i="116"/>
  <c r="AM7" i="116"/>
  <c r="AN7" i="116"/>
  <c r="AO7" i="116"/>
  <c r="AP7" i="116"/>
  <c r="AQ7" i="116"/>
  <c r="AR7" i="116"/>
  <c r="AS7" i="116"/>
  <c r="AT7" i="116"/>
  <c r="AU7" i="116"/>
  <c r="AV7" i="116"/>
  <c r="AW7" i="116"/>
  <c r="AX7" i="116"/>
  <c r="AY7" i="116"/>
  <c r="AF6" i="115"/>
  <c r="AG6" i="115"/>
  <c r="AH6" i="115"/>
  <c r="AI6" i="115"/>
  <c r="AJ6" i="115"/>
  <c r="AK6" i="115"/>
  <c r="AL6" i="115"/>
  <c r="AM6" i="115"/>
  <c r="AN6" i="115"/>
  <c r="AO6" i="115"/>
  <c r="AP6" i="115"/>
  <c r="AQ6" i="115"/>
  <c r="AR6" i="115"/>
  <c r="AS6" i="115"/>
  <c r="AT6" i="115"/>
  <c r="AU6" i="115"/>
  <c r="AV6" i="115"/>
  <c r="AW6" i="115"/>
  <c r="AX6" i="115"/>
  <c r="AY6" i="115"/>
  <c r="AF7" i="110"/>
  <c r="AG7" i="110"/>
  <c r="AH7" i="110"/>
  <c r="AI7" i="110"/>
  <c r="AJ7" i="110"/>
  <c r="AK7" i="110"/>
  <c r="AL7" i="110"/>
  <c r="AM7" i="110"/>
  <c r="AN7" i="110"/>
  <c r="AO7" i="110"/>
  <c r="AP7" i="110"/>
  <c r="AQ7" i="110"/>
  <c r="AR7" i="110"/>
  <c r="AS7" i="110"/>
  <c r="AT7" i="110"/>
  <c r="AU7" i="110"/>
  <c r="AV7" i="110"/>
  <c r="AW7" i="110"/>
  <c r="AX7" i="110"/>
  <c r="AY7" i="110"/>
  <c r="AF6" i="109"/>
  <c r="AG6" i="109"/>
  <c r="AH6" i="109"/>
  <c r="AI6" i="109"/>
  <c r="AJ6" i="109"/>
  <c r="AK6" i="109"/>
  <c r="AL6" i="109"/>
  <c r="AM6" i="109"/>
  <c r="AN6" i="109"/>
  <c r="AO6" i="109"/>
  <c r="AP6" i="109"/>
  <c r="AQ6" i="109"/>
  <c r="AR6" i="109"/>
  <c r="AS6" i="109"/>
  <c r="AT6" i="109"/>
  <c r="AU6" i="109"/>
  <c r="AV6" i="109"/>
  <c r="AW6" i="109"/>
  <c r="AX6" i="109"/>
  <c r="AY6" i="109"/>
  <c r="AF7" i="104"/>
  <c r="AG7" i="104"/>
  <c r="AH7" i="104"/>
  <c r="AI7" i="104"/>
  <c r="AJ7" i="104"/>
  <c r="AK7" i="104"/>
  <c r="AL7" i="104"/>
  <c r="AM7" i="104"/>
  <c r="AN7" i="104"/>
  <c r="AO7" i="104"/>
  <c r="AP7" i="104"/>
  <c r="AQ7" i="104"/>
  <c r="AR7" i="104"/>
  <c r="AS7" i="104"/>
  <c r="AT7" i="104"/>
  <c r="AU7" i="104"/>
  <c r="AV7" i="104"/>
  <c r="AW7" i="104"/>
  <c r="AX7" i="104"/>
  <c r="AY7" i="104"/>
  <c r="AF6" i="103"/>
  <c r="AG6" i="103"/>
  <c r="AH6" i="103"/>
  <c r="AI6" i="103"/>
  <c r="AJ6" i="103"/>
  <c r="AK6" i="103"/>
  <c r="AL6" i="103"/>
  <c r="AM6" i="103"/>
  <c r="AN6" i="103"/>
  <c r="AO6" i="103"/>
  <c r="AP6" i="103"/>
  <c r="AQ6" i="103"/>
  <c r="AR6" i="103"/>
  <c r="AS6" i="103"/>
  <c r="AT6" i="103"/>
  <c r="AU6" i="103"/>
  <c r="AV6" i="103"/>
  <c r="AW6" i="103"/>
  <c r="AX6" i="103"/>
  <c r="AY6" i="103"/>
  <c r="AF7" i="98"/>
  <c r="AG7" i="98"/>
  <c r="AH7" i="98"/>
  <c r="AI7" i="98"/>
  <c r="AJ7" i="98"/>
  <c r="AK7" i="98"/>
  <c r="AL7" i="98"/>
  <c r="AM7" i="98"/>
  <c r="AN7" i="98"/>
  <c r="AO7" i="98"/>
  <c r="AP7" i="98"/>
  <c r="AQ7" i="98"/>
  <c r="AR7" i="98"/>
  <c r="AS7" i="98"/>
  <c r="AT7" i="98"/>
  <c r="AU7" i="98"/>
  <c r="AV7" i="98"/>
  <c r="AW7" i="98"/>
  <c r="AX7" i="98"/>
  <c r="AY7" i="98"/>
  <c r="AF6" i="97"/>
  <c r="AG6" i="97"/>
  <c r="AH6" i="97"/>
  <c r="AI6" i="97"/>
  <c r="AJ6" i="97"/>
  <c r="AK6" i="97"/>
  <c r="AL6" i="97"/>
  <c r="AM6" i="97"/>
  <c r="AN6" i="97"/>
  <c r="AO6" i="97"/>
  <c r="AP6" i="97"/>
  <c r="AQ6" i="97"/>
  <c r="AR6" i="97"/>
  <c r="AS6" i="97"/>
  <c r="AT6" i="97"/>
  <c r="AU6" i="97"/>
  <c r="AV6" i="97"/>
  <c r="AW6" i="97"/>
  <c r="AX6" i="97"/>
  <c r="AY6" i="97"/>
  <c r="AF7" i="92"/>
  <c r="AG7" i="92"/>
  <c r="AH7" i="92"/>
  <c r="AI7" i="92"/>
  <c r="AJ7" i="92"/>
  <c r="AK7" i="92"/>
  <c r="AL7" i="92"/>
  <c r="AM7" i="92"/>
  <c r="AN7" i="92"/>
  <c r="AO7" i="92"/>
  <c r="AP7" i="92"/>
  <c r="AQ7" i="92"/>
  <c r="AR7" i="92"/>
  <c r="AS7" i="92"/>
  <c r="AT7" i="92"/>
  <c r="AU7" i="92"/>
  <c r="AV7" i="92"/>
  <c r="AW7" i="92"/>
  <c r="AX7" i="92"/>
  <c r="AY7" i="92"/>
  <c r="AF6" i="91"/>
  <c r="AG6" i="91"/>
  <c r="AH6" i="91"/>
  <c r="AI6" i="91"/>
  <c r="AJ6" i="91"/>
  <c r="AK6" i="91"/>
  <c r="AL6" i="91"/>
  <c r="AM6" i="91"/>
  <c r="AN6" i="91"/>
  <c r="AO6" i="91"/>
  <c r="AP6" i="91"/>
  <c r="AQ6" i="91"/>
  <c r="AR6" i="91"/>
  <c r="AS6" i="91"/>
  <c r="AT6" i="91"/>
  <c r="AU6" i="91"/>
  <c r="AV6" i="91"/>
  <c r="AW6" i="91"/>
  <c r="AX6" i="91"/>
  <c r="AY6" i="91"/>
  <c r="AF7" i="86" l="1"/>
  <c r="AG7" i="86"/>
  <c r="AH7" i="86"/>
  <c r="AI7" i="86"/>
  <c r="AJ7" i="86"/>
  <c r="AK7" i="86"/>
  <c r="AL7" i="86"/>
  <c r="AM7" i="86"/>
  <c r="AN7" i="86"/>
  <c r="AO7" i="86"/>
  <c r="AP7" i="86"/>
  <c r="AQ7" i="86"/>
  <c r="AR7" i="86"/>
  <c r="AS7" i="86"/>
  <c r="AT7" i="86"/>
  <c r="AU7" i="86"/>
  <c r="AV7" i="86"/>
  <c r="AW7" i="86"/>
  <c r="AX7" i="86"/>
  <c r="AY7" i="86"/>
  <c r="AX11" i="50"/>
  <c r="AU11" i="50"/>
  <c r="AV6" i="85" s="1"/>
  <c r="AN11" i="50"/>
  <c r="AO11" i="50" s="1"/>
  <c r="AE11" i="50"/>
  <c r="AF11" i="50"/>
  <c r="AG6" i="85" s="1"/>
  <c r="AG11" i="50"/>
  <c r="AH6" i="85" s="1"/>
  <c r="AH11" i="50"/>
  <c r="AI11" i="50"/>
  <c r="AJ11" i="50"/>
  <c r="AK6" i="85" s="1"/>
  <c r="AK11" i="50"/>
  <c r="AL11" i="50" s="1"/>
  <c r="B11" i="50"/>
  <c r="J11" i="50"/>
  <c r="I11" i="50"/>
  <c r="AF6" i="85"/>
  <c r="AI6" i="85"/>
  <c r="AJ6" i="85"/>
  <c r="AL6" i="85"/>
  <c r="AO6" i="85"/>
  <c r="AY6" i="85"/>
  <c r="AF7" i="62"/>
  <c r="AG7" i="62"/>
  <c r="AH7" i="62"/>
  <c r="AI7" i="62"/>
  <c r="AJ7" i="62"/>
  <c r="AK7" i="62"/>
  <c r="AL7" i="62"/>
  <c r="AM7" i="62"/>
  <c r="AN7" i="62"/>
  <c r="AO7" i="62"/>
  <c r="AP7" i="62"/>
  <c r="AQ7" i="62"/>
  <c r="AR7" i="62"/>
  <c r="AS7" i="62"/>
  <c r="AT7" i="62"/>
  <c r="AU7" i="62"/>
  <c r="AV7" i="62"/>
  <c r="AW7" i="62"/>
  <c r="AX7" i="62"/>
  <c r="AY7" i="62"/>
  <c r="AF7" i="61"/>
  <c r="AG7" i="61"/>
  <c r="AH7" i="61"/>
  <c r="AI7" i="61"/>
  <c r="AJ7" i="61"/>
  <c r="AK7" i="61"/>
  <c r="AL7" i="61"/>
  <c r="AM7" i="61"/>
  <c r="AN7" i="61"/>
  <c r="AO7" i="61"/>
  <c r="AP7" i="61"/>
  <c r="AQ7" i="61"/>
  <c r="AR7" i="61"/>
  <c r="AS7" i="61"/>
  <c r="AT7" i="61"/>
  <c r="AU7" i="61"/>
  <c r="AV7" i="61"/>
  <c r="AW7" i="61"/>
  <c r="AX7" i="61"/>
  <c r="AY7" i="61"/>
  <c r="AF6" i="60"/>
  <c r="AG6" i="60"/>
  <c r="AH6" i="60"/>
  <c r="AI6" i="60"/>
  <c r="AJ6" i="60"/>
  <c r="AK6" i="60"/>
  <c r="AL6" i="60"/>
  <c r="AM6" i="60"/>
  <c r="AN6" i="60"/>
  <c r="AO6" i="60"/>
  <c r="AP6" i="60"/>
  <c r="AQ6" i="60"/>
  <c r="AR6" i="60"/>
  <c r="AS6" i="60"/>
  <c r="AT6" i="60"/>
  <c r="AU6" i="60"/>
  <c r="AV6" i="60"/>
  <c r="AW6" i="60"/>
  <c r="AX6" i="60"/>
  <c r="AY6" i="60"/>
  <c r="AF7" i="23"/>
  <c r="AG7" i="23"/>
  <c r="AH7" i="23"/>
  <c r="AI7" i="23"/>
  <c r="AJ7" i="23"/>
  <c r="AK7" i="23"/>
  <c r="AL7" i="23"/>
  <c r="AM7" i="23"/>
  <c r="AN7" i="23"/>
  <c r="AO7" i="23"/>
  <c r="AP7" i="23"/>
  <c r="AQ7" i="23"/>
  <c r="AR7" i="23"/>
  <c r="AS7" i="23"/>
  <c r="AT7" i="23"/>
  <c r="AU7" i="23"/>
  <c r="AV7" i="23"/>
  <c r="AW7" i="23"/>
  <c r="AX7" i="23"/>
  <c r="AY7" i="23"/>
  <c r="AF7" i="22"/>
  <c r="AG7" i="22"/>
  <c r="AH7" i="22"/>
  <c r="AI7" i="22"/>
  <c r="AJ7" i="22"/>
  <c r="AK7" i="22"/>
  <c r="AL7" i="22"/>
  <c r="AM7" i="22"/>
  <c r="AN7" i="22"/>
  <c r="AO7" i="22"/>
  <c r="AP7" i="22"/>
  <c r="AQ7" i="22"/>
  <c r="AR7" i="22"/>
  <c r="AS7" i="22"/>
  <c r="AT7" i="22"/>
  <c r="AU7" i="22"/>
  <c r="AV7" i="22"/>
  <c r="AW7" i="22"/>
  <c r="AX7" i="22"/>
  <c r="AY7" i="22"/>
  <c r="AF6" i="21"/>
  <c r="AG6" i="21"/>
  <c r="AH6" i="21"/>
  <c r="AI6" i="21"/>
  <c r="AJ6" i="21"/>
  <c r="AK6" i="21"/>
  <c r="AL6" i="21"/>
  <c r="AM6" i="21"/>
  <c r="AN6" i="21"/>
  <c r="AO6" i="21"/>
  <c r="AP6" i="21"/>
  <c r="AQ6" i="21"/>
  <c r="AR6" i="21"/>
  <c r="AS6" i="21"/>
  <c r="AT6" i="21"/>
  <c r="AU6" i="21"/>
  <c r="AV6" i="21"/>
  <c r="AW6" i="21"/>
  <c r="AX6" i="21"/>
  <c r="AY6" i="21"/>
  <c r="AF6" i="56"/>
  <c r="AG6" i="56"/>
  <c r="AH6" i="56"/>
  <c r="AI6" i="56"/>
  <c r="AJ6" i="56"/>
  <c r="AK6" i="56"/>
  <c r="AL6" i="56"/>
  <c r="AM6" i="56"/>
  <c r="AN6" i="56"/>
  <c r="AO6" i="56"/>
  <c r="AP6" i="56"/>
  <c r="AQ6" i="56"/>
  <c r="AR6" i="56"/>
  <c r="AS6" i="56"/>
  <c r="AT6" i="56"/>
  <c r="AU6" i="56"/>
  <c r="AV6" i="56"/>
  <c r="AW6" i="56"/>
  <c r="AX6" i="56"/>
  <c r="AY6" i="56"/>
  <c r="AF7" i="55"/>
  <c r="AG7" i="55"/>
  <c r="AH7" i="55"/>
  <c r="AI7" i="55"/>
  <c r="AJ7" i="55"/>
  <c r="AK7" i="55"/>
  <c r="AL7" i="55"/>
  <c r="AM7" i="55"/>
  <c r="AN7" i="55"/>
  <c r="AO7" i="55"/>
  <c r="AP7" i="55"/>
  <c r="AQ7" i="55"/>
  <c r="AR7" i="55"/>
  <c r="AS7" i="55"/>
  <c r="AT7" i="55"/>
  <c r="AU7" i="55"/>
  <c r="AV7" i="55"/>
  <c r="AW7" i="55"/>
  <c r="AX7" i="55"/>
  <c r="AY7" i="55"/>
  <c r="AF6" i="54"/>
  <c r="AG6" i="54"/>
  <c r="AH6" i="54"/>
  <c r="AI6" i="54"/>
  <c r="AJ6" i="54"/>
  <c r="AK6" i="54"/>
  <c r="AL6" i="54"/>
  <c r="AM6" i="54"/>
  <c r="AN6" i="54"/>
  <c r="AO6" i="54"/>
  <c r="AP6" i="54"/>
  <c r="AQ6" i="54"/>
  <c r="AR6" i="54"/>
  <c r="AS6" i="54"/>
  <c r="AT6" i="54"/>
  <c r="AU6" i="54"/>
  <c r="AV6" i="54"/>
  <c r="AW6" i="54"/>
  <c r="AX6" i="54"/>
  <c r="AY6" i="54"/>
  <c r="AF6" i="7"/>
  <c r="AG6" i="7"/>
  <c r="AH6" i="7"/>
  <c r="AI6" i="7"/>
  <c r="AJ6" i="7"/>
  <c r="AK6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L11" i="50"/>
  <c r="M11" i="50"/>
  <c r="N11" i="50"/>
  <c r="O11" i="50"/>
  <c r="P11" i="50"/>
  <c r="Q11" i="50"/>
  <c r="R11" i="50"/>
  <c r="S11" i="50"/>
  <c r="K11" i="50"/>
  <c r="T11" i="50"/>
  <c r="C11" i="50"/>
  <c r="D11" i="50"/>
  <c r="E11" i="50"/>
  <c r="F11" i="50"/>
  <c r="G11" i="50"/>
  <c r="H11" i="50"/>
  <c r="AV11" i="50" l="1"/>
  <c r="AP11" i="50"/>
  <c r="AP6" i="85"/>
  <c r="AM6" i="85"/>
  <c r="AM11" i="50"/>
  <c r="AN6" i="85" s="1"/>
  <c r="N7" i="116"/>
  <c r="N7" i="104"/>
  <c r="N7" i="92"/>
  <c r="N6" i="115"/>
  <c r="N6" i="103"/>
  <c r="N6" i="91"/>
  <c r="N7" i="110"/>
  <c r="N7" i="98"/>
  <c r="N7" i="86"/>
  <c r="N6" i="85"/>
  <c r="N6" i="109"/>
  <c r="N6" i="97"/>
  <c r="Q7" i="110"/>
  <c r="Q7" i="98"/>
  <c r="Q7" i="86"/>
  <c r="Q7" i="116"/>
  <c r="Q6" i="85"/>
  <c r="Q6" i="103"/>
  <c r="Q6" i="109"/>
  <c r="Q6" i="97"/>
  <c r="Q7" i="104"/>
  <c r="Q7" i="92"/>
  <c r="Q6" i="91"/>
  <c r="Q6" i="115"/>
  <c r="I7" i="116"/>
  <c r="I7" i="110"/>
  <c r="I7" i="98"/>
  <c r="I7" i="86"/>
  <c r="I7" i="104"/>
  <c r="I7" i="92"/>
  <c r="I6" i="91"/>
  <c r="I6" i="85"/>
  <c r="I6" i="109"/>
  <c r="I6" i="97"/>
  <c r="I6" i="103"/>
  <c r="I6" i="115"/>
  <c r="R7" i="110"/>
  <c r="R7" i="98"/>
  <c r="R7" i="86"/>
  <c r="R6" i="85"/>
  <c r="R6" i="109"/>
  <c r="R6" i="97"/>
  <c r="R7" i="116"/>
  <c r="R7" i="104"/>
  <c r="R7" i="92"/>
  <c r="R6" i="115"/>
  <c r="R6" i="103"/>
  <c r="R6" i="91"/>
  <c r="P6" i="115"/>
  <c r="P6" i="103"/>
  <c r="P6" i="91"/>
  <c r="P7" i="110"/>
  <c r="P7" i="98"/>
  <c r="P7" i="86"/>
  <c r="P6" i="109"/>
  <c r="P6" i="97"/>
  <c r="P7" i="116"/>
  <c r="P7" i="104"/>
  <c r="P7" i="92"/>
  <c r="P6" i="85"/>
  <c r="H6" i="115"/>
  <c r="H6" i="103"/>
  <c r="H6" i="91"/>
  <c r="H7" i="110"/>
  <c r="H7" i="98"/>
  <c r="H7" i="86"/>
  <c r="H6" i="109"/>
  <c r="H6" i="97"/>
  <c r="H7" i="116"/>
  <c r="H7" i="104"/>
  <c r="H7" i="92"/>
  <c r="H6" i="85"/>
  <c r="S6" i="115"/>
  <c r="S6" i="91"/>
  <c r="S6" i="109"/>
  <c r="S6" i="97"/>
  <c r="S6" i="85"/>
  <c r="S6" i="103"/>
  <c r="S7" i="98"/>
  <c r="S7" i="86"/>
  <c r="S7" i="116"/>
  <c r="S7" i="104"/>
  <c r="S7" i="92"/>
  <c r="S7" i="110"/>
  <c r="O7" i="116"/>
  <c r="O6" i="115"/>
  <c r="O6" i="103"/>
  <c r="O6" i="91"/>
  <c r="O7" i="104"/>
  <c r="O7" i="92"/>
  <c r="O7" i="110"/>
  <c r="O7" i="98"/>
  <c r="O7" i="86"/>
  <c r="O6" i="97"/>
  <c r="O6" i="109"/>
  <c r="O6" i="85"/>
  <c r="G7" i="116"/>
  <c r="G6" i="85"/>
  <c r="G7" i="92"/>
  <c r="G6" i="115"/>
  <c r="G6" i="103"/>
  <c r="G6" i="91"/>
  <c r="G6" i="109"/>
  <c r="G6" i="97"/>
  <c r="G7" i="110"/>
  <c r="G7" i="98"/>
  <c r="G7" i="86"/>
  <c r="G7" i="104"/>
  <c r="F7" i="116"/>
  <c r="F7" i="104"/>
  <c r="F7" i="92"/>
  <c r="F6" i="115"/>
  <c r="F6" i="103"/>
  <c r="F6" i="91"/>
  <c r="F7" i="110"/>
  <c r="F7" i="98"/>
  <c r="F7" i="86"/>
  <c r="F6" i="85"/>
  <c r="F6" i="109"/>
  <c r="F6" i="97"/>
  <c r="U7" i="98"/>
  <c r="U7" i="116"/>
  <c r="U7" i="104"/>
  <c r="U7" i="92"/>
  <c r="U6" i="115"/>
  <c r="U6" i="103"/>
  <c r="U6" i="91"/>
  <c r="U6" i="85"/>
  <c r="U7" i="110"/>
  <c r="U7" i="86"/>
  <c r="U6" i="109"/>
  <c r="U6" i="97"/>
  <c r="M7" i="116"/>
  <c r="M7" i="104"/>
  <c r="M7" i="92"/>
  <c r="M7" i="98"/>
  <c r="M6" i="97"/>
  <c r="M7" i="110"/>
  <c r="M7" i="86"/>
  <c r="M6" i="115"/>
  <c r="M6" i="103"/>
  <c r="M6" i="91"/>
  <c r="M6" i="85"/>
  <c r="M6" i="109"/>
  <c r="E6" i="97"/>
  <c r="E7" i="116"/>
  <c r="E7" i="104"/>
  <c r="E7" i="92"/>
  <c r="E6" i="115"/>
  <c r="E6" i="103"/>
  <c r="E6" i="91"/>
  <c r="E6" i="85"/>
  <c r="E7" i="110"/>
  <c r="E7" i="98"/>
  <c r="E7" i="86"/>
  <c r="E6" i="109"/>
  <c r="T6" i="109"/>
  <c r="T6" i="97"/>
  <c r="T7" i="116"/>
  <c r="T7" i="104"/>
  <c r="T7" i="92"/>
  <c r="T6" i="85"/>
  <c r="T6" i="115"/>
  <c r="T6" i="103"/>
  <c r="T6" i="91"/>
  <c r="T7" i="110"/>
  <c r="T7" i="98"/>
  <c r="T7" i="86"/>
  <c r="L6" i="109"/>
  <c r="L6" i="97"/>
  <c r="L7" i="116"/>
  <c r="L7" i="104"/>
  <c r="L7" i="92"/>
  <c r="L6" i="85"/>
  <c r="L6" i="115"/>
  <c r="L6" i="103"/>
  <c r="L6" i="91"/>
  <c r="L7" i="110"/>
  <c r="L7" i="98"/>
  <c r="L7" i="86"/>
  <c r="D6" i="109"/>
  <c r="D6" i="97"/>
  <c r="D7" i="116"/>
  <c r="D7" i="104"/>
  <c r="D7" i="92"/>
  <c r="D6" i="85"/>
  <c r="D6" i="115"/>
  <c r="D6" i="103"/>
  <c r="D6" i="91"/>
  <c r="D7" i="110"/>
  <c r="D7" i="98"/>
  <c r="D7" i="86"/>
  <c r="C6" i="109"/>
  <c r="C6" i="97"/>
  <c r="C6" i="85"/>
  <c r="C6" i="115"/>
  <c r="C6" i="91"/>
  <c r="C7" i="116"/>
  <c r="C7" i="104"/>
  <c r="C7" i="92"/>
  <c r="C6" i="103"/>
  <c r="C7" i="110"/>
  <c r="C7" i="98"/>
  <c r="C7" i="86"/>
  <c r="K7" i="98"/>
  <c r="K6" i="109"/>
  <c r="K6" i="97"/>
  <c r="K6" i="85"/>
  <c r="K6" i="115"/>
  <c r="K6" i="103"/>
  <c r="K7" i="116"/>
  <c r="K7" i="104"/>
  <c r="K7" i="92"/>
  <c r="K6" i="91"/>
  <c r="K7" i="86"/>
  <c r="K7" i="110"/>
  <c r="J7" i="110"/>
  <c r="J7" i="98"/>
  <c r="J7" i="86"/>
  <c r="J6" i="85"/>
  <c r="J6" i="109"/>
  <c r="J6" i="97"/>
  <c r="J7" i="116"/>
  <c r="J7" i="104"/>
  <c r="J7" i="92"/>
  <c r="J6" i="115"/>
  <c r="J6" i="103"/>
  <c r="J6" i="91"/>
  <c r="B7" i="110"/>
  <c r="B7" i="98"/>
  <c r="B7" i="86"/>
  <c r="B6" i="85"/>
  <c r="B6" i="109"/>
  <c r="B6" i="97"/>
  <c r="B7" i="116"/>
  <c r="B7" i="104"/>
  <c r="B7" i="92"/>
  <c r="B6" i="115"/>
  <c r="B6" i="103"/>
  <c r="B6" i="91"/>
  <c r="U11" i="50"/>
  <c r="AE6" i="69"/>
  <c r="AD6" i="69"/>
  <c r="AC6" i="69"/>
  <c r="AB6" i="69"/>
  <c r="AA6" i="69"/>
  <c r="Z6" i="69"/>
  <c r="Y6" i="69"/>
  <c r="X6" i="69"/>
  <c r="W6" i="69"/>
  <c r="V6" i="69"/>
  <c r="U6" i="69"/>
  <c r="T6" i="69"/>
  <c r="S6" i="69"/>
  <c r="R6" i="69"/>
  <c r="Q6" i="69"/>
  <c r="P6" i="69"/>
  <c r="O6" i="69"/>
  <c r="N6" i="69"/>
  <c r="M6" i="69"/>
  <c r="L6" i="69"/>
  <c r="K6" i="69"/>
  <c r="J6" i="69"/>
  <c r="I6" i="69"/>
  <c r="H6" i="69"/>
  <c r="G6" i="69"/>
  <c r="F6" i="69"/>
  <c r="E6" i="69"/>
  <c r="D6" i="69"/>
  <c r="C6" i="69"/>
  <c r="B6" i="69"/>
  <c r="AE7" i="68"/>
  <c r="AD7" i="68"/>
  <c r="AC7" i="68"/>
  <c r="AB7" i="68"/>
  <c r="AA7" i="68"/>
  <c r="Z7" i="68"/>
  <c r="Y7" i="68"/>
  <c r="X7" i="68"/>
  <c r="W7" i="68"/>
  <c r="V7" i="68"/>
  <c r="U7" i="68"/>
  <c r="T7" i="68"/>
  <c r="S7" i="68"/>
  <c r="R7" i="68"/>
  <c r="Q7" i="68"/>
  <c r="P7" i="68"/>
  <c r="O7" i="68"/>
  <c r="N7" i="68"/>
  <c r="M7" i="68"/>
  <c r="L7" i="68"/>
  <c r="K7" i="68"/>
  <c r="J7" i="68"/>
  <c r="I7" i="68"/>
  <c r="H7" i="68"/>
  <c r="G7" i="68"/>
  <c r="F7" i="68"/>
  <c r="E7" i="68"/>
  <c r="D7" i="68"/>
  <c r="C7" i="68"/>
  <c r="B7" i="68"/>
  <c r="AE6" i="67"/>
  <c r="AD6" i="67"/>
  <c r="AC6" i="67"/>
  <c r="AB6" i="67"/>
  <c r="AA6" i="67"/>
  <c r="Z6" i="67"/>
  <c r="Y6" i="67"/>
  <c r="X6" i="67"/>
  <c r="W6" i="67"/>
  <c r="V6" i="67"/>
  <c r="U6" i="67"/>
  <c r="T6" i="67"/>
  <c r="S6" i="67"/>
  <c r="R6" i="67"/>
  <c r="Q6" i="67"/>
  <c r="P6" i="67"/>
  <c r="O6" i="67"/>
  <c r="N6" i="67"/>
  <c r="M6" i="67"/>
  <c r="L6" i="67"/>
  <c r="K6" i="67"/>
  <c r="J6" i="67"/>
  <c r="I6" i="67"/>
  <c r="H6" i="67"/>
  <c r="G6" i="67"/>
  <c r="F6" i="67"/>
  <c r="E6" i="67"/>
  <c r="D6" i="67"/>
  <c r="C6" i="67"/>
  <c r="B6" i="67"/>
  <c r="AE7" i="62"/>
  <c r="AD7" i="62"/>
  <c r="AC7" i="62"/>
  <c r="AB7" i="62"/>
  <c r="AA7" i="62"/>
  <c r="Z7" i="62"/>
  <c r="Y7" i="62"/>
  <c r="X7" i="62"/>
  <c r="W7" i="62"/>
  <c r="V7" i="62"/>
  <c r="U7" i="62"/>
  <c r="T7" i="62"/>
  <c r="S7" i="62"/>
  <c r="R7" i="62"/>
  <c r="Q7" i="62"/>
  <c r="P7" i="62"/>
  <c r="O7" i="62"/>
  <c r="N7" i="62"/>
  <c r="M7" i="62"/>
  <c r="L7" i="62"/>
  <c r="K7" i="62"/>
  <c r="J7" i="62"/>
  <c r="I7" i="62"/>
  <c r="H7" i="62"/>
  <c r="G7" i="62"/>
  <c r="F7" i="62"/>
  <c r="E7" i="62"/>
  <c r="D7" i="62"/>
  <c r="C7" i="62"/>
  <c r="B7" i="62"/>
  <c r="AE7" i="61"/>
  <c r="AD7" i="61"/>
  <c r="AC7" i="61"/>
  <c r="AB7" i="61"/>
  <c r="AA7" i="61"/>
  <c r="Z7" i="61"/>
  <c r="Y7" i="61"/>
  <c r="X7" i="61"/>
  <c r="W7" i="61"/>
  <c r="V7" i="61"/>
  <c r="U7" i="61"/>
  <c r="T7" i="61"/>
  <c r="S7" i="61"/>
  <c r="R7" i="61"/>
  <c r="Q7" i="61"/>
  <c r="P7" i="61"/>
  <c r="O7" i="61"/>
  <c r="N7" i="61"/>
  <c r="M7" i="61"/>
  <c r="L7" i="61"/>
  <c r="K7" i="61"/>
  <c r="J7" i="61"/>
  <c r="I7" i="61"/>
  <c r="H7" i="61"/>
  <c r="G7" i="61"/>
  <c r="F7" i="61"/>
  <c r="E7" i="61"/>
  <c r="D7" i="61"/>
  <c r="C7" i="61"/>
  <c r="B7" i="61"/>
  <c r="AE6" i="60"/>
  <c r="AD6" i="60"/>
  <c r="AC6" i="60"/>
  <c r="AB6" i="60"/>
  <c r="AA6" i="60"/>
  <c r="Z6" i="60"/>
  <c r="Y6" i="60"/>
  <c r="X6" i="60"/>
  <c r="W6" i="60"/>
  <c r="V6" i="60"/>
  <c r="U6" i="60"/>
  <c r="T6" i="60"/>
  <c r="S6" i="60"/>
  <c r="R6" i="60"/>
  <c r="Q6" i="60"/>
  <c r="P6" i="60"/>
  <c r="O6" i="60"/>
  <c r="N6" i="60"/>
  <c r="M6" i="60"/>
  <c r="L6" i="60"/>
  <c r="K6" i="60"/>
  <c r="J6" i="60"/>
  <c r="I6" i="60"/>
  <c r="H6" i="60"/>
  <c r="G6" i="60"/>
  <c r="F6" i="60"/>
  <c r="E6" i="60"/>
  <c r="D6" i="60"/>
  <c r="C6" i="60"/>
  <c r="B6" i="60"/>
  <c r="AE6" i="56"/>
  <c r="AD6" i="56"/>
  <c r="AC6" i="56"/>
  <c r="AB6" i="56"/>
  <c r="AA6" i="56"/>
  <c r="Z6" i="56"/>
  <c r="Y6" i="56"/>
  <c r="X6" i="56"/>
  <c r="W6" i="56"/>
  <c r="V6" i="56"/>
  <c r="U6" i="56"/>
  <c r="T6" i="56"/>
  <c r="S6" i="56"/>
  <c r="R6" i="56"/>
  <c r="Q6" i="56"/>
  <c r="P6" i="56"/>
  <c r="O6" i="56"/>
  <c r="N6" i="56"/>
  <c r="M6" i="56"/>
  <c r="L6" i="56"/>
  <c r="K6" i="56"/>
  <c r="J6" i="56"/>
  <c r="I6" i="56"/>
  <c r="H6" i="56"/>
  <c r="G6" i="56"/>
  <c r="F6" i="56"/>
  <c r="E6" i="56"/>
  <c r="D6" i="56"/>
  <c r="C6" i="56"/>
  <c r="B6" i="56"/>
  <c r="AE7" i="55"/>
  <c r="AD7" i="55"/>
  <c r="AC7" i="55"/>
  <c r="AB7" i="55"/>
  <c r="AA7" i="55"/>
  <c r="Z7" i="55"/>
  <c r="Y7" i="55"/>
  <c r="X7" i="55"/>
  <c r="W7" i="55"/>
  <c r="V7" i="55"/>
  <c r="U7" i="55"/>
  <c r="T7" i="55"/>
  <c r="S7" i="55"/>
  <c r="R7" i="55"/>
  <c r="Q7" i="55"/>
  <c r="P7" i="55"/>
  <c r="O7" i="55"/>
  <c r="N7" i="55"/>
  <c r="M7" i="55"/>
  <c r="L7" i="55"/>
  <c r="K7" i="55"/>
  <c r="J7" i="55"/>
  <c r="I7" i="55"/>
  <c r="H7" i="55"/>
  <c r="G7" i="55"/>
  <c r="F7" i="55"/>
  <c r="E7" i="55"/>
  <c r="D7" i="55"/>
  <c r="C7" i="55"/>
  <c r="B7" i="55"/>
  <c r="AE6" i="54"/>
  <c r="AD6" i="54"/>
  <c r="AC6" i="54"/>
  <c r="AB6" i="54"/>
  <c r="AA6" i="54"/>
  <c r="Z6" i="54"/>
  <c r="Y6" i="54"/>
  <c r="X6" i="54"/>
  <c r="W6" i="54"/>
  <c r="V6" i="54"/>
  <c r="U6" i="54"/>
  <c r="T6" i="54"/>
  <c r="S6" i="54"/>
  <c r="R6" i="54"/>
  <c r="Q6" i="54"/>
  <c r="P6" i="54"/>
  <c r="O6" i="54"/>
  <c r="N6" i="54"/>
  <c r="M6" i="54"/>
  <c r="L6" i="54"/>
  <c r="K6" i="54"/>
  <c r="J6" i="54"/>
  <c r="I6" i="54"/>
  <c r="H6" i="54"/>
  <c r="G6" i="54"/>
  <c r="F6" i="54"/>
  <c r="E6" i="54"/>
  <c r="D6" i="54"/>
  <c r="C6" i="54"/>
  <c r="B6" i="54"/>
  <c r="AW6" i="85" l="1"/>
  <c r="AW11" i="50"/>
  <c r="AX6" i="85" s="1"/>
  <c r="AQ11" i="50"/>
  <c r="AQ6" i="85"/>
  <c r="V7" i="116"/>
  <c r="V7" i="104"/>
  <c r="V7" i="92"/>
  <c r="V6" i="115"/>
  <c r="V6" i="103"/>
  <c r="V6" i="91"/>
  <c r="V7" i="110"/>
  <c r="V7" i="98"/>
  <c r="V7" i="86"/>
  <c r="V6" i="85"/>
  <c r="V6" i="109"/>
  <c r="V6" i="97"/>
  <c r="V11" i="50"/>
  <c r="B6" i="41"/>
  <c r="C6" i="41"/>
  <c r="D6" i="41"/>
  <c r="E6" i="41"/>
  <c r="F6" i="41"/>
  <c r="G6" i="41"/>
  <c r="H6" i="41"/>
  <c r="I6" i="41"/>
  <c r="J6" i="41"/>
  <c r="K6" i="41"/>
  <c r="L6" i="41"/>
  <c r="M6" i="41"/>
  <c r="N6" i="41"/>
  <c r="O6" i="41"/>
  <c r="P6" i="41"/>
  <c r="Q6" i="41"/>
  <c r="R6" i="41"/>
  <c r="S6" i="41"/>
  <c r="T6" i="41"/>
  <c r="U6" i="41"/>
  <c r="V6" i="41"/>
  <c r="W6" i="41"/>
  <c r="X6" i="41"/>
  <c r="Y6" i="41"/>
  <c r="Z6" i="41"/>
  <c r="AA6" i="41"/>
  <c r="AB6" i="41"/>
  <c r="AC6" i="41"/>
  <c r="AD6" i="41"/>
  <c r="AE6" i="41"/>
  <c r="B7" i="42"/>
  <c r="C7" i="42"/>
  <c r="D7" i="42"/>
  <c r="E7" i="42"/>
  <c r="F7" i="42"/>
  <c r="G7" i="42"/>
  <c r="H7" i="42"/>
  <c r="I7" i="42"/>
  <c r="J7" i="42"/>
  <c r="K7" i="42"/>
  <c r="L7" i="42"/>
  <c r="M7" i="42"/>
  <c r="N7" i="42"/>
  <c r="O7" i="42"/>
  <c r="P7" i="42"/>
  <c r="Q7" i="42"/>
  <c r="R7" i="42"/>
  <c r="S7" i="42"/>
  <c r="T7" i="42"/>
  <c r="U7" i="42"/>
  <c r="V7" i="42"/>
  <c r="W7" i="42"/>
  <c r="X7" i="42"/>
  <c r="Y7" i="42"/>
  <c r="Z7" i="42"/>
  <c r="AA7" i="42"/>
  <c r="AB7" i="42"/>
  <c r="AC7" i="42"/>
  <c r="AD7" i="42"/>
  <c r="AE7" i="42"/>
  <c r="B6" i="43"/>
  <c r="C6" i="43"/>
  <c r="D6" i="43"/>
  <c r="E6" i="43"/>
  <c r="F6" i="43"/>
  <c r="G6" i="43"/>
  <c r="H6" i="43"/>
  <c r="I6" i="43"/>
  <c r="J6" i="43"/>
  <c r="K6" i="43"/>
  <c r="L6" i="43"/>
  <c r="M6" i="43"/>
  <c r="N6" i="43"/>
  <c r="O6" i="43"/>
  <c r="P6" i="43"/>
  <c r="Q6" i="43"/>
  <c r="R6" i="43"/>
  <c r="S6" i="43"/>
  <c r="T6" i="43"/>
  <c r="U6" i="43"/>
  <c r="V6" i="43"/>
  <c r="W6" i="43"/>
  <c r="X6" i="43"/>
  <c r="Y6" i="43"/>
  <c r="Z6" i="43"/>
  <c r="AA6" i="43"/>
  <c r="AB6" i="43"/>
  <c r="AC6" i="43"/>
  <c r="AD6" i="43"/>
  <c r="AE6" i="43"/>
  <c r="AR6" i="85" l="1"/>
  <c r="AR11" i="50"/>
  <c r="W7" i="116"/>
  <c r="W6" i="109"/>
  <c r="W6" i="115"/>
  <c r="W6" i="103"/>
  <c r="W6" i="91"/>
  <c r="W6" i="97"/>
  <c r="W7" i="110"/>
  <c r="W7" i="98"/>
  <c r="W7" i="86"/>
  <c r="W6" i="85"/>
  <c r="W7" i="92"/>
  <c r="W7" i="104"/>
  <c r="W11" i="50"/>
  <c r="B7" i="23"/>
  <c r="C7" i="23"/>
  <c r="D7" i="23"/>
  <c r="E7" i="23"/>
  <c r="F7" i="23"/>
  <c r="G7" i="23"/>
  <c r="H7" i="23"/>
  <c r="I7" i="23"/>
  <c r="J7" i="23"/>
  <c r="K7" i="23"/>
  <c r="L7" i="23"/>
  <c r="M7" i="23"/>
  <c r="N7" i="23"/>
  <c r="O7" i="23"/>
  <c r="P7" i="23"/>
  <c r="Q7" i="23"/>
  <c r="R7" i="23"/>
  <c r="S7" i="23"/>
  <c r="T7" i="23"/>
  <c r="U7" i="23"/>
  <c r="V7" i="23"/>
  <c r="W7" i="23"/>
  <c r="X7" i="23"/>
  <c r="Y7" i="23"/>
  <c r="Z7" i="23"/>
  <c r="AA7" i="23"/>
  <c r="AB7" i="23"/>
  <c r="AC7" i="23"/>
  <c r="AD7" i="23"/>
  <c r="AE7" i="23"/>
  <c r="B7" i="22"/>
  <c r="C7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S6" i="85" l="1"/>
  <c r="AS11" i="50"/>
  <c r="X6" i="115"/>
  <c r="X6" i="103"/>
  <c r="X6" i="91"/>
  <c r="X7" i="110"/>
  <c r="X7" i="98"/>
  <c r="X7" i="86"/>
  <c r="X6" i="109"/>
  <c r="X6" i="97"/>
  <c r="X7" i="116"/>
  <c r="X7" i="104"/>
  <c r="X7" i="92"/>
  <c r="X6" i="85"/>
  <c r="X11" i="50"/>
  <c r="AT6" i="85" l="1"/>
  <c r="AT11" i="50"/>
  <c r="AU6" i="85" s="1"/>
  <c r="Y7" i="104"/>
  <c r="Y7" i="92"/>
  <c r="Y7" i="110"/>
  <c r="Y7" i="98"/>
  <c r="Y7" i="86"/>
  <c r="Y6" i="91"/>
  <c r="Y6" i="109"/>
  <c r="Y6" i="97"/>
  <c r="Y7" i="116"/>
  <c r="Y6" i="85"/>
  <c r="Y6" i="115"/>
  <c r="Y6" i="103"/>
  <c r="Y11" i="50"/>
  <c r="Z7" i="110" l="1"/>
  <c r="Z7" i="98"/>
  <c r="Z7" i="86"/>
  <c r="Z6" i="85"/>
  <c r="Z6" i="109"/>
  <c r="Z6" i="97"/>
  <c r="Z7" i="116"/>
  <c r="Z7" i="104"/>
  <c r="Z7" i="92"/>
  <c r="Z6" i="115"/>
  <c r="Z6" i="103"/>
  <c r="Z6" i="91"/>
  <c r="Z11" i="50"/>
  <c r="AA6" i="103" l="1"/>
  <c r="AA7" i="86"/>
  <c r="AA6" i="109"/>
  <c r="AA6" i="97"/>
  <c r="AA6" i="85"/>
  <c r="AA7" i="116"/>
  <c r="AA7" i="104"/>
  <c r="AA7" i="92"/>
  <c r="AA6" i="115"/>
  <c r="AA6" i="91"/>
  <c r="AA7" i="98"/>
  <c r="AA7" i="110"/>
  <c r="AA11" i="50"/>
  <c r="AB6" i="109" l="1"/>
  <c r="AB6" i="97"/>
  <c r="AB7" i="116"/>
  <c r="AB7" i="104"/>
  <c r="AB7" i="92"/>
  <c r="AB6" i="85"/>
  <c r="AB6" i="115"/>
  <c r="AB6" i="103"/>
  <c r="AB6" i="91"/>
  <c r="AB7" i="110"/>
  <c r="AB7" i="98"/>
  <c r="AB7" i="86"/>
  <c r="AB11" i="50"/>
  <c r="AC7" i="110" l="1"/>
  <c r="AC7" i="116"/>
  <c r="AC7" i="104"/>
  <c r="AC7" i="92"/>
  <c r="AC7" i="86"/>
  <c r="AC6" i="97"/>
  <c r="AC6" i="115"/>
  <c r="AC6" i="103"/>
  <c r="AC6" i="91"/>
  <c r="AC6" i="85"/>
  <c r="AC7" i="98"/>
  <c r="AC6" i="109"/>
  <c r="AC11" i="50"/>
  <c r="AD7" i="116" l="1"/>
  <c r="AD7" i="104"/>
  <c r="AD7" i="92"/>
  <c r="AD6" i="115"/>
  <c r="AD6" i="103"/>
  <c r="AD6" i="91"/>
  <c r="AD7" i="110"/>
  <c r="AD7" i="98"/>
  <c r="AD7" i="86"/>
  <c r="AD6" i="85"/>
  <c r="AD6" i="109"/>
  <c r="AD6" i="97"/>
  <c r="AD11" i="50"/>
  <c r="AE7" i="116" l="1"/>
  <c r="AE6" i="97"/>
  <c r="AE6" i="115"/>
  <c r="AE6" i="103"/>
  <c r="AE6" i="91"/>
  <c r="AE6" i="109"/>
  <c r="AE6" i="85"/>
  <c r="AE7" i="110"/>
  <c r="AE7" i="98"/>
  <c r="AE7" i="86"/>
  <c r="AE7" i="92"/>
  <c r="AE7" i="104"/>
</calcChain>
</file>

<file path=xl/sharedStrings.xml><?xml version="1.0" encoding="utf-8"?>
<sst xmlns="http://schemas.openxmlformats.org/spreadsheetml/2006/main" count="858" uniqueCount="76">
  <si>
    <t>MPoEFUbVT Max Perc of Each Fuel Usable by Veh Technology</t>
  </si>
  <si>
    <t>Sources:</t>
  </si>
  <si>
    <t>ethanol</t>
  </si>
  <si>
    <t>Wikipedia</t>
  </si>
  <si>
    <t>Common ethanol fuel mixtures</t>
  </si>
  <si>
    <t>https://en.wikipedia.org/wiki/Common_ethanol_fuel_mixtures</t>
  </si>
  <si>
    <t>Introduction and "E20, E25" sections</t>
  </si>
  <si>
    <t>biodiesel for on-road modes</t>
  </si>
  <si>
    <t>DoE Alternative Fuels Data Center</t>
  </si>
  <si>
    <t>unspecified date</t>
  </si>
  <si>
    <t>Biodiesel Blends</t>
  </si>
  <si>
    <t>https://www.afdc.energy.gov/fuels/biodiesel_blends.html</t>
  </si>
  <si>
    <t>biofuel for aircraft</t>
  </si>
  <si>
    <t>International Energy Agency</t>
  </si>
  <si>
    <t>Commentary: Are aviation biofuels ready for take off?</t>
  </si>
  <si>
    <t>https://www.iea.org/newsroom/news/2019/march/are-aviation-biofuels-ready-for-take-off.html</t>
  </si>
  <si>
    <t>Aviation fuel consumption in the SFS, 2025-2040</t>
  </si>
  <si>
    <t>biofuel for ships</t>
  </si>
  <si>
    <t>Ship&amp;Bunker</t>
  </si>
  <si>
    <t>https://shipandbunker.com/news/features/industry-insight/637086-industry-insight-sustainable-marine-biofuel-scaling-up-for-a-crucial-role-in-a-low-emission-future-for-shipping</t>
  </si>
  <si>
    <t>Taken from text</t>
  </si>
  <si>
    <t>nonroad modes, other fuels</t>
  </si>
  <si>
    <t>see note below and BPoEFUbVT variable's sources</t>
  </si>
  <si>
    <t>About</t>
  </si>
  <si>
    <t>This variable is used in the LCFS calculations.</t>
  </si>
  <si>
    <t>We include sheets for all possible vehicle type / vehicle technology</t>
  </si>
  <si>
    <t>combinations that the model supports, even though some combinations are not used</t>
  </si>
  <si>
    <t>in the U.S. dataset.  (For example, there are no natural gas motorbikes in the U.S. model.)</t>
  </si>
  <si>
    <t>This is to support adaptation to other countries that may wish to use that vehicle</t>
  </si>
  <si>
    <t>combination.</t>
  </si>
  <si>
    <t>Biofuel Gasoline</t>
  </si>
  <si>
    <t>For maximum ethanol use in gasoline vehicles, we use 25%, based on what is achieved</t>
  </si>
  <si>
    <t>in Brazil today with minor engine modifications.  Though there exist flex fuel vehicles</t>
  </si>
  <si>
    <t>that can run on up to 100% ethanol, we consider those not to be covered by the</t>
  </si>
  <si>
    <t>"gasoline vehicle" technology type.</t>
  </si>
  <si>
    <t>Note that the U.S. blend wall (allowable ethanol mix) today is 15% for new vehicles,</t>
  </si>
  <si>
    <t>which works without engine modifications.  A model adapter may consider using</t>
  </si>
  <si>
    <t>a value of 15% if wishing to limit the simulation to values achievable without any</t>
  </si>
  <si>
    <t>engine modifications.</t>
  </si>
  <si>
    <t>Biofuel Diesel</t>
  </si>
  <si>
    <t>We use a 20% maximum value.  BD20 (20% biofuel diesel) is the most common biofuel blend</t>
  </si>
  <si>
    <t>in the U.S. today and is widely supported by recent engines.  Though blends up to</t>
  </si>
  <si>
    <t>BD100 are possible, BD100 requires special handling and may require engine</t>
  </si>
  <si>
    <t>modifications, particularly in cold weather, so we do not use 100% as our maximum</t>
  </si>
  <si>
    <t>potential here.</t>
  </si>
  <si>
    <t>Plug-in Hybrid Vehicle Electricity Use</t>
  </si>
  <si>
    <t>Technically, the maximum share of electricity usable by these vehicles is 100%.</t>
  </si>
  <si>
    <t>That would require drivers to only drive within their cars' electric ranges.</t>
  </si>
  <si>
    <t>However, this variable is used to help govern the way the LCFS policy works, and that</t>
  </si>
  <si>
    <t>policy affects fuel suppliers.  It doesn't affect driving behavior by plug-in hybrid owners.</t>
  </si>
  <si>
    <t>Accordingly, we set the maximum electricity share equal to the BAU electricity share.</t>
  </si>
  <si>
    <t>Nonroad Modes</t>
  </si>
  <si>
    <t>For nonroad modes, we use the same percentages as in the BAU case (see variable BPoEFUbVT),</t>
  </si>
  <si>
    <t>except for biofuel, where we use data from sources specified above.</t>
  </si>
  <si>
    <t>Note that if you wish to have the non-road vehicles contribute to meeting the LCFS,</t>
  </si>
  <si>
    <t>these modes must be enabled in variable trans/BVTStL.</t>
  </si>
  <si>
    <t>Ships, Rail</t>
  </si>
  <si>
    <t>The potential percentage biofuel use in ships and rail was assumed to be the same as</t>
  </si>
  <si>
    <t>in aircraft.</t>
  </si>
  <si>
    <t>all vehicles except aircraft and ships</t>
  </si>
  <si>
    <t>biofuel gasoline</t>
  </si>
  <si>
    <t>biofuel diesel</t>
  </si>
  <si>
    <t>aircraft</t>
  </si>
  <si>
    <t>Interpolate and extrapolate:</t>
  </si>
  <si>
    <t>ships, rail</t>
  </si>
  <si>
    <t>assumed to be the same as aircraft</t>
  </si>
  <si>
    <t>Max Fraction (dimensionless)</t>
  </si>
  <si>
    <t>electricity</t>
  </si>
  <si>
    <t>natural gas</t>
  </si>
  <si>
    <t>petroleum gasoline</t>
  </si>
  <si>
    <t>petroleum diesel</t>
  </si>
  <si>
    <t>jet fuel</t>
  </si>
  <si>
    <t>heavy or residual fuel oil</t>
  </si>
  <si>
    <t>LPG propane or butane</t>
  </si>
  <si>
    <t>hydrogen</t>
  </si>
  <si>
    <t>Percentage Fuel Use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</si>
</sst>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5" fillId="0" borderId="0" xfId="8"/>
    <xf numFmtId="0" fontId="1" fillId="0" borderId="0" xfId="0" applyFont="1" applyAlignment="1">
      <alignment wrapText="1"/>
    </xf>
  </cellXfs>
  <cellStyles count="9">
    <cellStyle name="Body: normal cell" xfId="4" xr:uid="{00000000-0005-0000-0000-000000000000}"/>
    <cellStyle name="Font: Calibri, 9pt regular" xfId="6" xr:uid="{00000000-0005-0000-0000-000001000000}"/>
    <cellStyle name="Footnotes: top row" xfId="2" xr:uid="{00000000-0005-0000-0000-000002000000}"/>
    <cellStyle name="Header: bottom row" xfId="5" xr:uid="{00000000-0005-0000-0000-000003000000}"/>
    <cellStyle name="Hyperlink" xfId="8" builtinId="8"/>
    <cellStyle name="Normal" xfId="0" builtinId="0"/>
    <cellStyle name="Normal 2" xfId="1" xr:uid="{00000000-0005-0000-0000-000006000000}"/>
    <cellStyle name="Parent row" xfId="3" xr:uid="{00000000-0005-0000-0000-000007000000}"/>
    <cellStyle name="Table title" xfId="7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tyles" Target="styles.xml"/><Relationship Id="rId9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hipandbunker.com/news/features/industry-insight/637086-industry-insight-sustainable-marine-biofuel-scaling-up-for-a-crucial-role-in-a-low-emission-future-for-shipping" TargetMode="External"/><Relationship Id="rId1" Type="http://schemas.openxmlformats.org/officeDocument/2006/relationships/hyperlink" Target="https://www.iea.org/newsroom/news/2019/march/are-aviation-biofuels-ready-for-take-off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"/>
  <sheetViews>
    <sheetView workbookViewId="0">
      <selection activeCell="B16" sqref="B16:B21"/>
    </sheetView>
  </sheetViews>
  <sheetFormatPr defaultRowHeight="14.5" x14ac:dyDescent="0.35"/>
  <cols>
    <col min="2" max="2" width="69.26953125" customWidth="1"/>
  </cols>
  <sheetData>
    <row r="1" spans="1:2" x14ac:dyDescent="0.35">
      <c r="A1" s="1" t="s">
        <v>0</v>
      </c>
    </row>
    <row r="3" spans="1:2" x14ac:dyDescent="0.35">
      <c r="A3" s="1" t="s">
        <v>1</v>
      </c>
      <c r="B3" s="2" t="s">
        <v>2</v>
      </c>
    </row>
    <row r="4" spans="1:2" x14ac:dyDescent="0.35">
      <c r="B4" t="s">
        <v>3</v>
      </c>
    </row>
    <row r="5" spans="1:2" x14ac:dyDescent="0.35">
      <c r="B5" s="3">
        <v>2017</v>
      </c>
    </row>
    <row r="6" spans="1:2" x14ac:dyDescent="0.35">
      <c r="B6" t="s">
        <v>4</v>
      </c>
    </row>
    <row r="7" spans="1:2" x14ac:dyDescent="0.35">
      <c r="B7" t="s">
        <v>5</v>
      </c>
    </row>
    <row r="8" spans="1:2" x14ac:dyDescent="0.35">
      <c r="B8" t="s">
        <v>6</v>
      </c>
    </row>
    <row r="10" spans="1:2" x14ac:dyDescent="0.35">
      <c r="B10" s="2" t="s">
        <v>7</v>
      </c>
    </row>
    <row r="11" spans="1:2" x14ac:dyDescent="0.35">
      <c r="B11" t="s">
        <v>8</v>
      </c>
    </row>
    <row r="12" spans="1:2" x14ac:dyDescent="0.35">
      <c r="B12" s="3" t="s">
        <v>9</v>
      </c>
    </row>
    <row r="13" spans="1:2" x14ac:dyDescent="0.35">
      <c r="B13" t="s">
        <v>10</v>
      </c>
    </row>
    <row r="14" spans="1:2" x14ac:dyDescent="0.35">
      <c r="B14" t="s">
        <v>11</v>
      </c>
    </row>
    <row r="16" spans="1:2" x14ac:dyDescent="0.35">
      <c r="B16" s="2" t="s">
        <v>12</v>
      </c>
    </row>
    <row r="17" spans="1:2" x14ac:dyDescent="0.35">
      <c r="B17" t="s">
        <v>13</v>
      </c>
    </row>
    <row r="18" spans="1:2" x14ac:dyDescent="0.35">
      <c r="B18" s="3">
        <v>2019</v>
      </c>
    </row>
    <row r="19" spans="1:2" x14ac:dyDescent="0.35">
      <c r="B19" t="s">
        <v>14</v>
      </c>
    </row>
    <row r="20" spans="1:2" x14ac:dyDescent="0.35">
      <c r="B20" s="4" t="s">
        <v>15</v>
      </c>
    </row>
    <row r="21" spans="1:2" x14ac:dyDescent="0.35">
      <c r="B21" t="s">
        <v>16</v>
      </c>
    </row>
    <row r="23" spans="1:2" x14ac:dyDescent="0.35">
      <c r="B23" s="2" t="s">
        <v>17</v>
      </c>
    </row>
    <row r="24" spans="1:2" x14ac:dyDescent="0.35">
      <c r="B24" t="s">
        <v>18</v>
      </c>
    </row>
    <row r="25" spans="1:2" x14ac:dyDescent="0.35">
      <c r="B25" s="3">
        <v>2016</v>
      </c>
    </row>
    <row r="26" spans="1:2" x14ac:dyDescent="0.35">
      <c r="B26" s="4" t="s">
        <v>19</v>
      </c>
    </row>
    <row r="27" spans="1:2" x14ac:dyDescent="0.35">
      <c r="B27" t="s">
        <v>20</v>
      </c>
    </row>
    <row r="29" spans="1:2" x14ac:dyDescent="0.35">
      <c r="B29" s="2" t="s">
        <v>21</v>
      </c>
    </row>
    <row r="30" spans="1:2" x14ac:dyDescent="0.35">
      <c r="B30" t="s">
        <v>22</v>
      </c>
    </row>
    <row r="32" spans="1:2" x14ac:dyDescent="0.35">
      <c r="A32" s="1" t="s">
        <v>23</v>
      </c>
    </row>
    <row r="33" spans="1:1" x14ac:dyDescent="0.35">
      <c r="A33" t="s">
        <v>24</v>
      </c>
    </row>
    <row r="34" spans="1:1" x14ac:dyDescent="0.35">
      <c r="A34" s="1"/>
    </row>
    <row r="35" spans="1:1" x14ac:dyDescent="0.35">
      <c r="A35" t="s">
        <v>25</v>
      </c>
    </row>
    <row r="36" spans="1:1" x14ac:dyDescent="0.35">
      <c r="A36" t="s">
        <v>26</v>
      </c>
    </row>
    <row r="37" spans="1:1" x14ac:dyDescent="0.35">
      <c r="A37" t="s">
        <v>27</v>
      </c>
    </row>
    <row r="38" spans="1:1" x14ac:dyDescent="0.35">
      <c r="A38" t="s">
        <v>28</v>
      </c>
    </row>
    <row r="39" spans="1:1" x14ac:dyDescent="0.35">
      <c r="A39" t="s">
        <v>29</v>
      </c>
    </row>
    <row r="41" spans="1:1" x14ac:dyDescent="0.35">
      <c r="A41" s="1" t="s">
        <v>30</v>
      </c>
    </row>
    <row r="42" spans="1:1" x14ac:dyDescent="0.35">
      <c r="A42" t="s">
        <v>31</v>
      </c>
    </row>
    <row r="43" spans="1:1" x14ac:dyDescent="0.35">
      <c r="A43" t="s">
        <v>32</v>
      </c>
    </row>
    <row r="44" spans="1:1" x14ac:dyDescent="0.35">
      <c r="A44" t="s">
        <v>33</v>
      </c>
    </row>
    <row r="45" spans="1:1" x14ac:dyDescent="0.35">
      <c r="A45" t="s">
        <v>34</v>
      </c>
    </row>
    <row r="47" spans="1:1" x14ac:dyDescent="0.35">
      <c r="A47" t="s">
        <v>35</v>
      </c>
    </row>
    <row r="48" spans="1:1" x14ac:dyDescent="0.35">
      <c r="A48" t="s">
        <v>36</v>
      </c>
    </row>
    <row r="49" spans="1:1" x14ac:dyDescent="0.35">
      <c r="A49" t="s">
        <v>37</v>
      </c>
    </row>
    <row r="50" spans="1:1" x14ac:dyDescent="0.35">
      <c r="A50" t="s">
        <v>38</v>
      </c>
    </row>
    <row r="52" spans="1:1" x14ac:dyDescent="0.35">
      <c r="A52" s="1" t="s">
        <v>39</v>
      </c>
    </row>
    <row r="53" spans="1:1" x14ac:dyDescent="0.35">
      <c r="A53" t="s">
        <v>40</v>
      </c>
    </row>
    <row r="54" spans="1:1" x14ac:dyDescent="0.35">
      <c r="A54" t="s">
        <v>41</v>
      </c>
    </row>
    <row r="55" spans="1:1" x14ac:dyDescent="0.35">
      <c r="A55" t="s">
        <v>42</v>
      </c>
    </row>
    <row r="56" spans="1:1" x14ac:dyDescent="0.35">
      <c r="A56" t="s">
        <v>43</v>
      </c>
    </row>
    <row r="57" spans="1:1" x14ac:dyDescent="0.35">
      <c r="A57" t="s">
        <v>44</v>
      </c>
    </row>
    <row r="59" spans="1:1" x14ac:dyDescent="0.35">
      <c r="A59" s="1" t="s">
        <v>45</v>
      </c>
    </row>
    <row r="60" spans="1:1" x14ac:dyDescent="0.35">
      <c r="A60" t="s">
        <v>46</v>
      </c>
    </row>
    <row r="61" spans="1:1" x14ac:dyDescent="0.35">
      <c r="A61" t="s">
        <v>47</v>
      </c>
    </row>
    <row r="62" spans="1:1" x14ac:dyDescent="0.35">
      <c r="A62" t="s">
        <v>48</v>
      </c>
    </row>
    <row r="63" spans="1:1" x14ac:dyDescent="0.35">
      <c r="A63" t="s">
        <v>49</v>
      </c>
    </row>
    <row r="64" spans="1:1" x14ac:dyDescent="0.35">
      <c r="A64" t="s">
        <v>50</v>
      </c>
    </row>
    <row r="66" spans="1:1" x14ac:dyDescent="0.35">
      <c r="A66" s="1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2" spans="1:1" x14ac:dyDescent="0.35">
      <c r="A72" s="1" t="s">
        <v>56</v>
      </c>
    </row>
    <row r="73" spans="1:1" x14ac:dyDescent="0.35">
      <c r="A73" t="s">
        <v>57</v>
      </c>
    </row>
    <row r="74" spans="1:1" x14ac:dyDescent="0.35">
      <c r="A74" t="s">
        <v>58</v>
      </c>
    </row>
  </sheetData>
  <hyperlinks>
    <hyperlink ref="B20" r:id="rId1" xr:uid="{00000000-0004-0000-0000-000000000000}"/>
    <hyperlink ref="B26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14"/>
  <sheetViews>
    <sheetView topLeftCell="AN1" workbookViewId="0">
      <selection activeCell="AZ10" sqref="AZ10"/>
    </sheetView>
  </sheetViews>
  <sheetFormatPr defaultRowHeight="14.5" x14ac:dyDescent="0.35"/>
  <sheetData>
    <row r="1" spans="1:50" x14ac:dyDescent="0.35">
      <c r="A1" s="1" t="s">
        <v>59</v>
      </c>
    </row>
    <row r="2" spans="1:50" x14ac:dyDescent="0.35">
      <c r="A2">
        <v>0.25</v>
      </c>
      <c r="B2" t="s">
        <v>60</v>
      </c>
    </row>
    <row r="3" spans="1:50" x14ac:dyDescent="0.35">
      <c r="A3">
        <v>0.2</v>
      </c>
      <c r="B3" t="s">
        <v>61</v>
      </c>
    </row>
    <row r="5" spans="1:50" x14ac:dyDescent="0.35">
      <c r="A5" s="1" t="s">
        <v>62</v>
      </c>
    </row>
    <row r="6" spans="1:50" x14ac:dyDescent="0.35">
      <c r="A6">
        <v>2030</v>
      </c>
      <c r="B6">
        <v>2040</v>
      </c>
    </row>
    <row r="7" spans="1:50" x14ac:dyDescent="0.35">
      <c r="A7">
        <v>0.1</v>
      </c>
      <c r="B7">
        <v>0.2</v>
      </c>
    </row>
    <row r="9" spans="1:50" x14ac:dyDescent="0.35">
      <c r="A9" s="1" t="s">
        <v>63</v>
      </c>
    </row>
    <row r="10" spans="1:50" x14ac:dyDescent="0.35">
      <c r="A10">
        <v>2021</v>
      </c>
      <c r="B10">
        <v>2022</v>
      </c>
      <c r="C10">
        <v>2023</v>
      </c>
      <c r="D10">
        <v>2024</v>
      </c>
      <c r="E10">
        <v>2025</v>
      </c>
      <c r="F10">
        <v>2026</v>
      </c>
      <c r="G10">
        <v>2027</v>
      </c>
      <c r="H10">
        <v>2028</v>
      </c>
      <c r="I10">
        <v>2029</v>
      </c>
      <c r="J10">
        <v>2030</v>
      </c>
      <c r="K10">
        <v>2031</v>
      </c>
      <c r="L10">
        <v>2032</v>
      </c>
      <c r="M10">
        <v>2033</v>
      </c>
      <c r="N10">
        <v>2034</v>
      </c>
      <c r="O10">
        <v>2035</v>
      </c>
      <c r="P10">
        <v>2036</v>
      </c>
      <c r="Q10">
        <v>2037</v>
      </c>
      <c r="R10">
        <v>2038</v>
      </c>
      <c r="S10">
        <v>2039</v>
      </c>
      <c r="T10">
        <v>2040</v>
      </c>
      <c r="U10">
        <v>2041</v>
      </c>
      <c r="V10">
        <v>2042</v>
      </c>
      <c r="W10">
        <v>2043</v>
      </c>
      <c r="X10">
        <v>2044</v>
      </c>
      <c r="Y10">
        <v>2045</v>
      </c>
      <c r="Z10">
        <v>2046</v>
      </c>
      <c r="AA10">
        <v>2047</v>
      </c>
      <c r="AB10">
        <v>2048</v>
      </c>
      <c r="AC10">
        <v>2049</v>
      </c>
      <c r="AD10">
        <v>2050</v>
      </c>
      <c r="AE10">
        <v>2051</v>
      </c>
      <c r="AF10">
        <v>2052</v>
      </c>
      <c r="AG10">
        <v>2053</v>
      </c>
      <c r="AH10">
        <v>2054</v>
      </c>
      <c r="AI10">
        <v>2055</v>
      </c>
      <c r="AJ10">
        <v>2056</v>
      </c>
      <c r="AK10">
        <v>2057</v>
      </c>
      <c r="AL10">
        <v>2058</v>
      </c>
      <c r="AM10">
        <v>2059</v>
      </c>
      <c r="AN10">
        <v>2060</v>
      </c>
      <c r="AO10">
        <v>2061</v>
      </c>
      <c r="AP10">
        <v>2062</v>
      </c>
      <c r="AQ10">
        <v>2063</v>
      </c>
      <c r="AR10">
        <v>2064</v>
      </c>
      <c r="AS10">
        <v>2065</v>
      </c>
      <c r="AT10">
        <v>2066</v>
      </c>
      <c r="AU10">
        <v>2067</v>
      </c>
      <c r="AV10">
        <v>2068</v>
      </c>
      <c r="AW10">
        <v>2069</v>
      </c>
      <c r="AX10">
        <v>2070</v>
      </c>
    </row>
    <row r="11" spans="1:50" x14ac:dyDescent="0.35">
      <c r="A11">
        <v>0</v>
      </c>
      <c r="B11">
        <f>FORECAST(B10,$A$7:$B$7,$A$6:$B$6)</f>
        <v>1.9999999999996021E-2</v>
      </c>
      <c r="C11">
        <f t="shared" ref="C11:I11" si="0">FORECAST(C10,$A$7:$B$7,$A$6:$B$6)</f>
        <v>2.9999999999997584E-2</v>
      </c>
      <c r="D11">
        <f t="shared" si="0"/>
        <v>3.9999999999999147E-2</v>
      </c>
      <c r="E11">
        <f t="shared" si="0"/>
        <v>4.9999999999997158E-2</v>
      </c>
      <c r="F11">
        <f t="shared" si="0"/>
        <v>5.9999999999998721E-2</v>
      </c>
      <c r="G11">
        <f t="shared" si="0"/>
        <v>6.9999999999996732E-2</v>
      </c>
      <c r="H11">
        <f t="shared" si="0"/>
        <v>7.9999999999998295E-2</v>
      </c>
      <c r="I11">
        <f>FORECAST(I10,$A$7:$B$7,$A$6:$B$6)</f>
        <v>8.9999999999996305E-2</v>
      </c>
      <c r="J11">
        <f>A7</f>
        <v>0.1</v>
      </c>
      <c r="K11">
        <f>FORECAST(K10,$A$7:$B$7,$A$6:$B$6)</f>
        <v>0.10999999999999588</v>
      </c>
      <c r="L11">
        <f t="shared" ref="L11:S11" si="1">FORECAST(L10,$A$7:$B$7,$A$6:$B$6)</f>
        <v>0.11999999999999744</v>
      </c>
      <c r="M11">
        <f t="shared" si="1"/>
        <v>0.12999999999999901</v>
      </c>
      <c r="N11">
        <f t="shared" si="1"/>
        <v>0.13999999999999702</v>
      </c>
      <c r="O11">
        <f t="shared" si="1"/>
        <v>0.14999999999999858</v>
      </c>
      <c r="P11">
        <f t="shared" si="1"/>
        <v>0.15999999999999659</v>
      </c>
      <c r="Q11">
        <f t="shared" si="1"/>
        <v>0.16999999999999815</v>
      </c>
      <c r="R11">
        <f t="shared" si="1"/>
        <v>0.17999999999999616</v>
      </c>
      <c r="S11">
        <f t="shared" si="1"/>
        <v>0.18999999999999773</v>
      </c>
      <c r="T11">
        <f>B7</f>
        <v>0.2</v>
      </c>
      <c r="U11">
        <f>T11</f>
        <v>0.2</v>
      </c>
      <c r="V11">
        <f t="shared" ref="V11:AD11" si="2">U11</f>
        <v>0.2</v>
      </c>
      <c r="W11">
        <f t="shared" si="2"/>
        <v>0.2</v>
      </c>
      <c r="X11">
        <f t="shared" si="2"/>
        <v>0.2</v>
      </c>
      <c r="Y11">
        <f t="shared" si="2"/>
        <v>0.2</v>
      </c>
      <c r="Z11">
        <f t="shared" si="2"/>
        <v>0.2</v>
      </c>
      <c r="AA11">
        <f t="shared" si="2"/>
        <v>0.2</v>
      </c>
      <c r="AB11">
        <f t="shared" si="2"/>
        <v>0.2</v>
      </c>
      <c r="AC11">
        <f t="shared" si="2"/>
        <v>0.2</v>
      </c>
      <c r="AD11">
        <f t="shared" si="2"/>
        <v>0.2</v>
      </c>
      <c r="AE11">
        <f t="shared" ref="AE11" si="3">AD11</f>
        <v>0.2</v>
      </c>
      <c r="AF11">
        <f t="shared" ref="AF11" si="4">AE11</f>
        <v>0.2</v>
      </c>
      <c r="AG11">
        <f t="shared" ref="AG11" si="5">AF11</f>
        <v>0.2</v>
      </c>
      <c r="AH11">
        <f t="shared" ref="AH11" si="6">AG11</f>
        <v>0.2</v>
      </c>
      <c r="AI11">
        <f t="shared" ref="AI11" si="7">AH11</f>
        <v>0.2</v>
      </c>
      <c r="AJ11">
        <f t="shared" ref="AJ11" si="8">AI11</f>
        <v>0.2</v>
      </c>
      <c r="AK11">
        <f t="shared" ref="AK11" si="9">AJ11</f>
        <v>0.2</v>
      </c>
      <c r="AL11">
        <f t="shared" ref="AL11" si="10">AK11</f>
        <v>0.2</v>
      </c>
      <c r="AM11">
        <f t="shared" ref="AM11" si="11">AL11</f>
        <v>0.2</v>
      </c>
      <c r="AN11">
        <f t="shared" ref="AN11" si="12">AM11</f>
        <v>0.2</v>
      </c>
      <c r="AO11">
        <f t="shared" ref="AO11" si="13">AN11</f>
        <v>0.2</v>
      </c>
      <c r="AP11">
        <f t="shared" ref="AP11" si="14">AO11</f>
        <v>0.2</v>
      </c>
      <c r="AQ11">
        <f t="shared" ref="AQ11" si="15">AP11</f>
        <v>0.2</v>
      </c>
      <c r="AR11">
        <f t="shared" ref="AR11" si="16">AQ11</f>
        <v>0.2</v>
      </c>
      <c r="AS11">
        <f t="shared" ref="AS11" si="17">AR11</f>
        <v>0.2</v>
      </c>
      <c r="AT11">
        <f t="shared" ref="AT11" si="18">AS11</f>
        <v>0.2</v>
      </c>
      <c r="AU11">
        <f t="shared" ref="AU11" si="19">AT11</f>
        <v>0.2</v>
      </c>
      <c r="AV11">
        <f t="shared" ref="AV11" si="20">AU11</f>
        <v>0.2</v>
      </c>
      <c r="AW11">
        <f t="shared" ref="AW11:AX11" si="21">AV11</f>
        <v>0.2</v>
      </c>
      <c r="AX11">
        <f t="shared" si="21"/>
        <v>0.2</v>
      </c>
    </row>
    <row r="13" spans="1:50" x14ac:dyDescent="0.35">
      <c r="A13" s="1" t="s">
        <v>64</v>
      </c>
    </row>
    <row r="14" spans="1:50" x14ac:dyDescent="0.35">
      <c r="A14" t="s">
        <v>65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Y11"/>
  <sheetViews>
    <sheetView workbookViewId="0">
      <selection activeCell="F13" sqref="F13"/>
    </sheetView>
  </sheetViews>
  <sheetFormatPr defaultRowHeight="14.5" x14ac:dyDescent="0.35"/>
  <cols>
    <col min="1" max="1" width="23.2695312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Y11"/>
  <sheetViews>
    <sheetView workbookViewId="0">
      <selection activeCell="D14" sqref="D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Y11"/>
  <sheetViews>
    <sheetView workbookViewId="0">
      <selection activeCell="E15" sqref="E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f t="shared" ref="B6:AY6" si="0">max_biogas</f>
        <v>0.25</v>
      </c>
      <c r="C6">
        <f t="shared" si="0"/>
        <v>0.25</v>
      </c>
      <c r="D6">
        <f t="shared" si="0"/>
        <v>0.25</v>
      </c>
      <c r="E6">
        <f t="shared" si="0"/>
        <v>0.25</v>
      </c>
      <c r="F6">
        <f t="shared" si="0"/>
        <v>0.25</v>
      </c>
      <c r="G6">
        <f t="shared" si="0"/>
        <v>0.25</v>
      </c>
      <c r="H6">
        <f t="shared" si="0"/>
        <v>0.25</v>
      </c>
      <c r="I6">
        <f t="shared" si="0"/>
        <v>0.25</v>
      </c>
      <c r="J6">
        <f t="shared" si="0"/>
        <v>0.25</v>
      </c>
      <c r="K6">
        <f t="shared" si="0"/>
        <v>0.25</v>
      </c>
      <c r="L6">
        <f t="shared" si="0"/>
        <v>0.25</v>
      </c>
      <c r="M6">
        <f t="shared" si="0"/>
        <v>0.25</v>
      </c>
      <c r="N6">
        <f t="shared" si="0"/>
        <v>0.25</v>
      </c>
      <c r="O6">
        <f t="shared" si="0"/>
        <v>0.25</v>
      </c>
      <c r="P6">
        <f t="shared" si="0"/>
        <v>0.25</v>
      </c>
      <c r="Q6">
        <f t="shared" si="0"/>
        <v>0.25</v>
      </c>
      <c r="R6">
        <f t="shared" si="0"/>
        <v>0.25</v>
      </c>
      <c r="S6">
        <f t="shared" si="0"/>
        <v>0.25</v>
      </c>
      <c r="T6">
        <f t="shared" si="0"/>
        <v>0.25</v>
      </c>
      <c r="U6">
        <f t="shared" si="0"/>
        <v>0.25</v>
      </c>
      <c r="V6">
        <f t="shared" si="0"/>
        <v>0.25</v>
      </c>
      <c r="W6">
        <f t="shared" si="0"/>
        <v>0.25</v>
      </c>
      <c r="X6">
        <f t="shared" si="0"/>
        <v>0.25</v>
      </c>
      <c r="Y6">
        <f t="shared" si="0"/>
        <v>0.25</v>
      </c>
      <c r="Z6">
        <f t="shared" si="0"/>
        <v>0.25</v>
      </c>
      <c r="AA6">
        <f t="shared" si="0"/>
        <v>0.25</v>
      </c>
      <c r="AB6">
        <f t="shared" si="0"/>
        <v>0.25</v>
      </c>
      <c r="AC6">
        <f t="shared" si="0"/>
        <v>0.25</v>
      </c>
      <c r="AD6">
        <f t="shared" si="0"/>
        <v>0.25</v>
      </c>
      <c r="AE6">
        <f t="shared" si="0"/>
        <v>0.25</v>
      </c>
      <c r="AF6">
        <f t="shared" si="0"/>
        <v>0.25</v>
      </c>
      <c r="AG6">
        <f t="shared" si="0"/>
        <v>0.25</v>
      </c>
      <c r="AH6">
        <f t="shared" si="0"/>
        <v>0.25</v>
      </c>
      <c r="AI6">
        <f t="shared" si="0"/>
        <v>0.25</v>
      </c>
      <c r="AJ6">
        <f t="shared" si="0"/>
        <v>0.25</v>
      </c>
      <c r="AK6">
        <f t="shared" si="0"/>
        <v>0.25</v>
      </c>
      <c r="AL6">
        <f t="shared" si="0"/>
        <v>0.25</v>
      </c>
      <c r="AM6">
        <f t="shared" si="0"/>
        <v>0.25</v>
      </c>
      <c r="AN6">
        <f t="shared" si="0"/>
        <v>0.25</v>
      </c>
      <c r="AO6">
        <f t="shared" si="0"/>
        <v>0.25</v>
      </c>
      <c r="AP6">
        <f t="shared" si="0"/>
        <v>0.25</v>
      </c>
      <c r="AQ6">
        <f t="shared" si="0"/>
        <v>0.25</v>
      </c>
      <c r="AR6">
        <f t="shared" si="0"/>
        <v>0.25</v>
      </c>
      <c r="AS6">
        <f t="shared" si="0"/>
        <v>0.25</v>
      </c>
      <c r="AT6">
        <f t="shared" si="0"/>
        <v>0.25</v>
      </c>
      <c r="AU6">
        <f t="shared" si="0"/>
        <v>0.25</v>
      </c>
      <c r="AV6">
        <f t="shared" si="0"/>
        <v>0.25</v>
      </c>
      <c r="AW6">
        <f t="shared" si="0"/>
        <v>0.25</v>
      </c>
      <c r="AX6">
        <f t="shared" si="0"/>
        <v>0.25</v>
      </c>
      <c r="AY6">
        <f t="shared" si="0"/>
        <v>0.25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Y11"/>
  <sheetViews>
    <sheetView workbookViewId="0">
      <selection activeCell="AX14" sqref="AX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f t="shared" ref="B7:AY7" si="0">max_biodsl</f>
        <v>0.2</v>
      </c>
      <c r="C7">
        <f t="shared" si="0"/>
        <v>0.2</v>
      </c>
      <c r="D7">
        <f t="shared" si="0"/>
        <v>0.2</v>
      </c>
      <c r="E7">
        <f t="shared" si="0"/>
        <v>0.2</v>
      </c>
      <c r="F7">
        <f t="shared" si="0"/>
        <v>0.2</v>
      </c>
      <c r="G7">
        <f t="shared" si="0"/>
        <v>0.2</v>
      </c>
      <c r="H7">
        <f t="shared" si="0"/>
        <v>0.2</v>
      </c>
      <c r="I7">
        <f t="shared" si="0"/>
        <v>0.2</v>
      </c>
      <c r="J7">
        <f t="shared" si="0"/>
        <v>0.2</v>
      </c>
      <c r="K7">
        <f t="shared" si="0"/>
        <v>0.2</v>
      </c>
      <c r="L7">
        <f t="shared" si="0"/>
        <v>0.2</v>
      </c>
      <c r="M7">
        <f t="shared" si="0"/>
        <v>0.2</v>
      </c>
      <c r="N7">
        <f t="shared" si="0"/>
        <v>0.2</v>
      </c>
      <c r="O7">
        <f t="shared" si="0"/>
        <v>0.2</v>
      </c>
      <c r="P7">
        <f t="shared" si="0"/>
        <v>0.2</v>
      </c>
      <c r="Q7">
        <f t="shared" si="0"/>
        <v>0.2</v>
      </c>
      <c r="R7">
        <f t="shared" si="0"/>
        <v>0.2</v>
      </c>
      <c r="S7">
        <f t="shared" si="0"/>
        <v>0.2</v>
      </c>
      <c r="T7">
        <f t="shared" si="0"/>
        <v>0.2</v>
      </c>
      <c r="U7">
        <f t="shared" si="0"/>
        <v>0.2</v>
      </c>
      <c r="V7">
        <f t="shared" si="0"/>
        <v>0.2</v>
      </c>
      <c r="W7">
        <f t="shared" si="0"/>
        <v>0.2</v>
      </c>
      <c r="X7">
        <f t="shared" si="0"/>
        <v>0.2</v>
      </c>
      <c r="Y7">
        <f t="shared" si="0"/>
        <v>0.2</v>
      </c>
      <c r="Z7">
        <f t="shared" si="0"/>
        <v>0.2</v>
      </c>
      <c r="AA7">
        <f t="shared" si="0"/>
        <v>0.2</v>
      </c>
      <c r="AB7">
        <f t="shared" si="0"/>
        <v>0.2</v>
      </c>
      <c r="AC7">
        <f t="shared" si="0"/>
        <v>0.2</v>
      </c>
      <c r="AD7">
        <f t="shared" si="0"/>
        <v>0.2</v>
      </c>
      <c r="AE7">
        <f t="shared" si="0"/>
        <v>0.2</v>
      </c>
      <c r="AF7">
        <f t="shared" si="0"/>
        <v>0.2</v>
      </c>
      <c r="AG7">
        <f t="shared" si="0"/>
        <v>0.2</v>
      </c>
      <c r="AH7">
        <f t="shared" si="0"/>
        <v>0.2</v>
      </c>
      <c r="AI7">
        <f t="shared" si="0"/>
        <v>0.2</v>
      </c>
      <c r="AJ7">
        <f t="shared" si="0"/>
        <v>0.2</v>
      </c>
      <c r="AK7">
        <f t="shared" si="0"/>
        <v>0.2</v>
      </c>
      <c r="AL7">
        <f t="shared" si="0"/>
        <v>0.2</v>
      </c>
      <c r="AM7">
        <f t="shared" si="0"/>
        <v>0.2</v>
      </c>
      <c r="AN7">
        <f t="shared" si="0"/>
        <v>0.2</v>
      </c>
      <c r="AO7">
        <f t="shared" si="0"/>
        <v>0.2</v>
      </c>
      <c r="AP7">
        <f t="shared" si="0"/>
        <v>0.2</v>
      </c>
      <c r="AQ7">
        <f t="shared" si="0"/>
        <v>0.2</v>
      </c>
      <c r="AR7">
        <f t="shared" si="0"/>
        <v>0.2</v>
      </c>
      <c r="AS7">
        <f t="shared" si="0"/>
        <v>0.2</v>
      </c>
      <c r="AT7">
        <f t="shared" si="0"/>
        <v>0.2</v>
      </c>
      <c r="AU7">
        <f t="shared" si="0"/>
        <v>0.2</v>
      </c>
      <c r="AV7">
        <f t="shared" si="0"/>
        <v>0.2</v>
      </c>
      <c r="AW7">
        <f t="shared" si="0"/>
        <v>0.2</v>
      </c>
      <c r="AX7">
        <f t="shared" si="0"/>
        <v>0.2</v>
      </c>
      <c r="AY7">
        <f t="shared" si="0"/>
        <v>0.2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Y11"/>
  <sheetViews>
    <sheetView workbookViewId="0">
      <selection activeCell="AW14" sqref="AW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  <c r="AK2">
        <v>0.55000000000000004</v>
      </c>
      <c r="AL2">
        <v>0.55000000000000004</v>
      </c>
      <c r="AM2">
        <v>0.55000000000000004</v>
      </c>
      <c r="AN2">
        <v>0.55000000000000004</v>
      </c>
      <c r="AO2">
        <v>0.55000000000000004</v>
      </c>
      <c r="AP2">
        <v>0.55000000000000004</v>
      </c>
      <c r="AQ2">
        <v>0.55000000000000004</v>
      </c>
      <c r="AR2">
        <v>0.55000000000000004</v>
      </c>
      <c r="AS2">
        <v>0.55000000000000004</v>
      </c>
      <c r="AT2">
        <v>0.55000000000000004</v>
      </c>
      <c r="AU2">
        <v>0.55000000000000004</v>
      </c>
      <c r="AV2">
        <v>0.55000000000000004</v>
      </c>
      <c r="AW2">
        <v>0.55000000000000004</v>
      </c>
      <c r="AX2">
        <v>0.55000000000000004</v>
      </c>
      <c r="AY2">
        <v>0.55000000000000004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f t="shared" ref="B6:AY6" si="0">max_biogas</f>
        <v>0.25</v>
      </c>
      <c r="C6">
        <f t="shared" si="0"/>
        <v>0.25</v>
      </c>
      <c r="D6">
        <f t="shared" si="0"/>
        <v>0.25</v>
      </c>
      <c r="E6">
        <f t="shared" si="0"/>
        <v>0.25</v>
      </c>
      <c r="F6">
        <f t="shared" si="0"/>
        <v>0.25</v>
      </c>
      <c r="G6">
        <f t="shared" si="0"/>
        <v>0.25</v>
      </c>
      <c r="H6">
        <f t="shared" si="0"/>
        <v>0.25</v>
      </c>
      <c r="I6">
        <f t="shared" si="0"/>
        <v>0.25</v>
      </c>
      <c r="J6">
        <f t="shared" si="0"/>
        <v>0.25</v>
      </c>
      <c r="K6">
        <f t="shared" si="0"/>
        <v>0.25</v>
      </c>
      <c r="L6">
        <f t="shared" si="0"/>
        <v>0.25</v>
      </c>
      <c r="M6">
        <f t="shared" si="0"/>
        <v>0.25</v>
      </c>
      <c r="N6">
        <f t="shared" si="0"/>
        <v>0.25</v>
      </c>
      <c r="O6">
        <f t="shared" si="0"/>
        <v>0.25</v>
      </c>
      <c r="P6">
        <f t="shared" si="0"/>
        <v>0.25</v>
      </c>
      <c r="Q6">
        <f t="shared" si="0"/>
        <v>0.25</v>
      </c>
      <c r="R6">
        <f t="shared" si="0"/>
        <v>0.25</v>
      </c>
      <c r="S6">
        <f t="shared" si="0"/>
        <v>0.25</v>
      </c>
      <c r="T6">
        <f t="shared" si="0"/>
        <v>0.25</v>
      </c>
      <c r="U6">
        <f t="shared" si="0"/>
        <v>0.25</v>
      </c>
      <c r="V6">
        <f t="shared" si="0"/>
        <v>0.25</v>
      </c>
      <c r="W6">
        <f t="shared" si="0"/>
        <v>0.25</v>
      </c>
      <c r="X6">
        <f t="shared" si="0"/>
        <v>0.25</v>
      </c>
      <c r="Y6">
        <f t="shared" si="0"/>
        <v>0.25</v>
      </c>
      <c r="Z6">
        <f t="shared" si="0"/>
        <v>0.25</v>
      </c>
      <c r="AA6">
        <f t="shared" si="0"/>
        <v>0.25</v>
      </c>
      <c r="AB6">
        <f t="shared" si="0"/>
        <v>0.25</v>
      </c>
      <c r="AC6">
        <f t="shared" si="0"/>
        <v>0.25</v>
      </c>
      <c r="AD6">
        <f t="shared" si="0"/>
        <v>0.25</v>
      </c>
      <c r="AE6">
        <f t="shared" si="0"/>
        <v>0.25</v>
      </c>
      <c r="AF6">
        <f t="shared" si="0"/>
        <v>0.25</v>
      </c>
      <c r="AG6">
        <f t="shared" si="0"/>
        <v>0.25</v>
      </c>
      <c r="AH6">
        <f t="shared" si="0"/>
        <v>0.25</v>
      </c>
      <c r="AI6">
        <f t="shared" si="0"/>
        <v>0.25</v>
      </c>
      <c r="AJ6">
        <f t="shared" si="0"/>
        <v>0.25</v>
      </c>
      <c r="AK6">
        <f t="shared" si="0"/>
        <v>0.25</v>
      </c>
      <c r="AL6">
        <f t="shared" si="0"/>
        <v>0.25</v>
      </c>
      <c r="AM6">
        <f t="shared" si="0"/>
        <v>0.25</v>
      </c>
      <c r="AN6">
        <f t="shared" si="0"/>
        <v>0.25</v>
      </c>
      <c r="AO6">
        <f t="shared" si="0"/>
        <v>0.25</v>
      </c>
      <c r="AP6">
        <f t="shared" si="0"/>
        <v>0.25</v>
      </c>
      <c r="AQ6">
        <f t="shared" si="0"/>
        <v>0.25</v>
      </c>
      <c r="AR6">
        <f t="shared" si="0"/>
        <v>0.25</v>
      </c>
      <c r="AS6">
        <f t="shared" si="0"/>
        <v>0.25</v>
      </c>
      <c r="AT6">
        <f t="shared" si="0"/>
        <v>0.25</v>
      </c>
      <c r="AU6">
        <f t="shared" si="0"/>
        <v>0.25</v>
      </c>
      <c r="AV6">
        <f t="shared" si="0"/>
        <v>0.25</v>
      </c>
      <c r="AW6">
        <f t="shared" si="0"/>
        <v>0.25</v>
      </c>
      <c r="AX6">
        <f t="shared" si="0"/>
        <v>0.25</v>
      </c>
      <c r="AY6">
        <f t="shared" si="0"/>
        <v>0.25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Y11"/>
  <sheetViews>
    <sheetView workbookViewId="0">
      <selection activeCell="AW14" sqref="AW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Y11"/>
  <sheetViews>
    <sheetView workbookViewId="0">
      <selection activeCell="AW14" sqref="AW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Y11"/>
  <sheetViews>
    <sheetView workbookViewId="0">
      <selection activeCell="AV16" sqref="AV16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Y11"/>
  <sheetViews>
    <sheetView workbookViewId="0">
      <selection activeCell="AW13" sqref="AW13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Y11"/>
  <sheetViews>
    <sheetView workbookViewId="0">
      <selection activeCell="AT15" sqref="AT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f t="shared" ref="B6:AY6" si="0">max_biogas</f>
        <v>0.25</v>
      </c>
      <c r="C6">
        <f t="shared" si="0"/>
        <v>0.25</v>
      </c>
      <c r="D6">
        <f t="shared" si="0"/>
        <v>0.25</v>
      </c>
      <c r="E6">
        <f t="shared" si="0"/>
        <v>0.25</v>
      </c>
      <c r="F6">
        <f t="shared" si="0"/>
        <v>0.25</v>
      </c>
      <c r="G6">
        <f t="shared" si="0"/>
        <v>0.25</v>
      </c>
      <c r="H6">
        <f t="shared" si="0"/>
        <v>0.25</v>
      </c>
      <c r="I6">
        <f t="shared" si="0"/>
        <v>0.25</v>
      </c>
      <c r="J6">
        <f t="shared" si="0"/>
        <v>0.25</v>
      </c>
      <c r="K6">
        <f t="shared" si="0"/>
        <v>0.25</v>
      </c>
      <c r="L6">
        <f t="shared" si="0"/>
        <v>0.25</v>
      </c>
      <c r="M6">
        <f t="shared" si="0"/>
        <v>0.25</v>
      </c>
      <c r="N6">
        <f t="shared" si="0"/>
        <v>0.25</v>
      </c>
      <c r="O6">
        <f t="shared" si="0"/>
        <v>0.25</v>
      </c>
      <c r="P6">
        <f t="shared" si="0"/>
        <v>0.25</v>
      </c>
      <c r="Q6">
        <f t="shared" si="0"/>
        <v>0.25</v>
      </c>
      <c r="R6">
        <f t="shared" si="0"/>
        <v>0.25</v>
      </c>
      <c r="S6">
        <f t="shared" si="0"/>
        <v>0.25</v>
      </c>
      <c r="T6">
        <f t="shared" si="0"/>
        <v>0.25</v>
      </c>
      <c r="U6">
        <f t="shared" si="0"/>
        <v>0.25</v>
      </c>
      <c r="V6">
        <f t="shared" si="0"/>
        <v>0.25</v>
      </c>
      <c r="W6">
        <f t="shared" si="0"/>
        <v>0.25</v>
      </c>
      <c r="X6">
        <f t="shared" si="0"/>
        <v>0.25</v>
      </c>
      <c r="Y6">
        <f t="shared" si="0"/>
        <v>0.25</v>
      </c>
      <c r="Z6">
        <f t="shared" si="0"/>
        <v>0.25</v>
      </c>
      <c r="AA6">
        <f t="shared" si="0"/>
        <v>0.25</v>
      </c>
      <c r="AB6">
        <f t="shared" si="0"/>
        <v>0.25</v>
      </c>
      <c r="AC6">
        <f t="shared" si="0"/>
        <v>0.25</v>
      </c>
      <c r="AD6">
        <f t="shared" si="0"/>
        <v>0.25</v>
      </c>
      <c r="AE6">
        <f t="shared" si="0"/>
        <v>0.25</v>
      </c>
      <c r="AF6">
        <f t="shared" si="0"/>
        <v>0.25</v>
      </c>
      <c r="AG6">
        <f t="shared" si="0"/>
        <v>0.25</v>
      </c>
      <c r="AH6">
        <f t="shared" si="0"/>
        <v>0.25</v>
      </c>
      <c r="AI6">
        <f t="shared" si="0"/>
        <v>0.25</v>
      </c>
      <c r="AJ6">
        <f t="shared" si="0"/>
        <v>0.25</v>
      </c>
      <c r="AK6">
        <f t="shared" si="0"/>
        <v>0.25</v>
      </c>
      <c r="AL6">
        <f t="shared" si="0"/>
        <v>0.25</v>
      </c>
      <c r="AM6">
        <f t="shared" si="0"/>
        <v>0.25</v>
      </c>
      <c r="AN6">
        <f t="shared" si="0"/>
        <v>0.25</v>
      </c>
      <c r="AO6">
        <f t="shared" si="0"/>
        <v>0.25</v>
      </c>
      <c r="AP6">
        <f t="shared" si="0"/>
        <v>0.25</v>
      </c>
      <c r="AQ6">
        <f t="shared" si="0"/>
        <v>0.25</v>
      </c>
      <c r="AR6">
        <f t="shared" si="0"/>
        <v>0.25</v>
      </c>
      <c r="AS6">
        <f t="shared" si="0"/>
        <v>0.25</v>
      </c>
      <c r="AT6">
        <f t="shared" si="0"/>
        <v>0.25</v>
      </c>
      <c r="AU6">
        <f t="shared" si="0"/>
        <v>0.25</v>
      </c>
      <c r="AV6">
        <f t="shared" si="0"/>
        <v>0.25</v>
      </c>
      <c r="AW6">
        <f t="shared" si="0"/>
        <v>0.25</v>
      </c>
      <c r="AX6">
        <f t="shared" si="0"/>
        <v>0.25</v>
      </c>
      <c r="AY6">
        <f t="shared" si="0"/>
        <v>0.25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Y11"/>
  <sheetViews>
    <sheetView topLeftCell="B1" workbookViewId="0">
      <selection activeCell="AW13" sqref="AW13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f t="shared" ref="B7:AY7" si="0">max_biodsl</f>
        <v>0.2</v>
      </c>
      <c r="C7">
        <f t="shared" si="0"/>
        <v>0.2</v>
      </c>
      <c r="D7">
        <f t="shared" si="0"/>
        <v>0.2</v>
      </c>
      <c r="E7">
        <f t="shared" si="0"/>
        <v>0.2</v>
      </c>
      <c r="F7">
        <f t="shared" si="0"/>
        <v>0.2</v>
      </c>
      <c r="G7">
        <f t="shared" si="0"/>
        <v>0.2</v>
      </c>
      <c r="H7">
        <f t="shared" si="0"/>
        <v>0.2</v>
      </c>
      <c r="I7">
        <f t="shared" si="0"/>
        <v>0.2</v>
      </c>
      <c r="J7">
        <f t="shared" si="0"/>
        <v>0.2</v>
      </c>
      <c r="K7">
        <f t="shared" si="0"/>
        <v>0.2</v>
      </c>
      <c r="L7">
        <f t="shared" si="0"/>
        <v>0.2</v>
      </c>
      <c r="M7">
        <f t="shared" si="0"/>
        <v>0.2</v>
      </c>
      <c r="N7">
        <f t="shared" si="0"/>
        <v>0.2</v>
      </c>
      <c r="O7">
        <f t="shared" si="0"/>
        <v>0.2</v>
      </c>
      <c r="P7">
        <f t="shared" si="0"/>
        <v>0.2</v>
      </c>
      <c r="Q7">
        <f t="shared" si="0"/>
        <v>0.2</v>
      </c>
      <c r="R7">
        <f t="shared" si="0"/>
        <v>0.2</v>
      </c>
      <c r="S7">
        <f t="shared" si="0"/>
        <v>0.2</v>
      </c>
      <c r="T7">
        <f t="shared" si="0"/>
        <v>0.2</v>
      </c>
      <c r="U7">
        <f t="shared" si="0"/>
        <v>0.2</v>
      </c>
      <c r="V7">
        <f t="shared" si="0"/>
        <v>0.2</v>
      </c>
      <c r="W7">
        <f t="shared" si="0"/>
        <v>0.2</v>
      </c>
      <c r="X7">
        <f t="shared" si="0"/>
        <v>0.2</v>
      </c>
      <c r="Y7">
        <f t="shared" si="0"/>
        <v>0.2</v>
      </c>
      <c r="Z7">
        <f t="shared" si="0"/>
        <v>0.2</v>
      </c>
      <c r="AA7">
        <f t="shared" si="0"/>
        <v>0.2</v>
      </c>
      <c r="AB7">
        <f t="shared" si="0"/>
        <v>0.2</v>
      </c>
      <c r="AC7">
        <f t="shared" si="0"/>
        <v>0.2</v>
      </c>
      <c r="AD7">
        <f t="shared" si="0"/>
        <v>0.2</v>
      </c>
      <c r="AE7">
        <f t="shared" si="0"/>
        <v>0.2</v>
      </c>
      <c r="AF7">
        <f t="shared" si="0"/>
        <v>0.2</v>
      </c>
      <c r="AG7">
        <f t="shared" si="0"/>
        <v>0.2</v>
      </c>
      <c r="AH7">
        <f t="shared" si="0"/>
        <v>0.2</v>
      </c>
      <c r="AI7">
        <f t="shared" si="0"/>
        <v>0.2</v>
      </c>
      <c r="AJ7">
        <f t="shared" si="0"/>
        <v>0.2</v>
      </c>
      <c r="AK7">
        <f t="shared" si="0"/>
        <v>0.2</v>
      </c>
      <c r="AL7">
        <f t="shared" si="0"/>
        <v>0.2</v>
      </c>
      <c r="AM7">
        <f t="shared" si="0"/>
        <v>0.2</v>
      </c>
      <c r="AN7">
        <f t="shared" si="0"/>
        <v>0.2</v>
      </c>
      <c r="AO7">
        <f t="shared" si="0"/>
        <v>0.2</v>
      </c>
      <c r="AP7">
        <f t="shared" si="0"/>
        <v>0.2</v>
      </c>
      <c r="AQ7">
        <f t="shared" si="0"/>
        <v>0.2</v>
      </c>
      <c r="AR7">
        <f t="shared" si="0"/>
        <v>0.2</v>
      </c>
      <c r="AS7">
        <f t="shared" si="0"/>
        <v>0.2</v>
      </c>
      <c r="AT7">
        <f t="shared" si="0"/>
        <v>0.2</v>
      </c>
      <c r="AU7">
        <f t="shared" si="0"/>
        <v>0.2</v>
      </c>
      <c r="AV7">
        <f t="shared" si="0"/>
        <v>0.2</v>
      </c>
      <c r="AW7">
        <f t="shared" si="0"/>
        <v>0.2</v>
      </c>
      <c r="AX7">
        <f t="shared" si="0"/>
        <v>0.2</v>
      </c>
      <c r="AY7">
        <f t="shared" si="0"/>
        <v>0.2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Y11"/>
  <sheetViews>
    <sheetView workbookViewId="0">
      <selection activeCell="AV15" sqref="AV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  <c r="AK2">
        <v>0.55000000000000004</v>
      </c>
      <c r="AL2">
        <v>0.55000000000000004</v>
      </c>
      <c r="AM2">
        <v>0.55000000000000004</v>
      </c>
      <c r="AN2">
        <v>0.55000000000000004</v>
      </c>
      <c r="AO2">
        <v>0.55000000000000004</v>
      </c>
      <c r="AP2">
        <v>0.55000000000000004</v>
      </c>
      <c r="AQ2">
        <v>0.55000000000000004</v>
      </c>
      <c r="AR2">
        <v>0.55000000000000004</v>
      </c>
      <c r="AS2">
        <v>0.55000000000000004</v>
      </c>
      <c r="AT2">
        <v>0.55000000000000004</v>
      </c>
      <c r="AU2">
        <v>0.55000000000000004</v>
      </c>
      <c r="AV2">
        <v>0.55000000000000004</v>
      </c>
      <c r="AW2">
        <v>0.55000000000000004</v>
      </c>
      <c r="AX2">
        <v>0.55000000000000004</v>
      </c>
      <c r="AY2">
        <v>0.55000000000000004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f t="shared" ref="B6:AY6" si="0">max_biogas</f>
        <v>0.25</v>
      </c>
      <c r="C6">
        <f t="shared" si="0"/>
        <v>0.25</v>
      </c>
      <c r="D6">
        <f t="shared" si="0"/>
        <v>0.25</v>
      </c>
      <c r="E6">
        <f t="shared" si="0"/>
        <v>0.25</v>
      </c>
      <c r="F6">
        <f t="shared" si="0"/>
        <v>0.25</v>
      </c>
      <c r="G6">
        <f t="shared" si="0"/>
        <v>0.25</v>
      </c>
      <c r="H6">
        <f t="shared" si="0"/>
        <v>0.25</v>
      </c>
      <c r="I6">
        <f t="shared" si="0"/>
        <v>0.25</v>
      </c>
      <c r="J6">
        <f t="shared" si="0"/>
        <v>0.25</v>
      </c>
      <c r="K6">
        <f t="shared" si="0"/>
        <v>0.25</v>
      </c>
      <c r="L6">
        <f t="shared" si="0"/>
        <v>0.25</v>
      </c>
      <c r="M6">
        <f t="shared" si="0"/>
        <v>0.25</v>
      </c>
      <c r="N6">
        <f t="shared" si="0"/>
        <v>0.25</v>
      </c>
      <c r="O6">
        <f t="shared" si="0"/>
        <v>0.25</v>
      </c>
      <c r="P6">
        <f t="shared" si="0"/>
        <v>0.25</v>
      </c>
      <c r="Q6">
        <f t="shared" si="0"/>
        <v>0.25</v>
      </c>
      <c r="R6">
        <f t="shared" si="0"/>
        <v>0.25</v>
      </c>
      <c r="S6">
        <f t="shared" si="0"/>
        <v>0.25</v>
      </c>
      <c r="T6">
        <f t="shared" si="0"/>
        <v>0.25</v>
      </c>
      <c r="U6">
        <f t="shared" si="0"/>
        <v>0.25</v>
      </c>
      <c r="V6">
        <f t="shared" si="0"/>
        <v>0.25</v>
      </c>
      <c r="W6">
        <f t="shared" si="0"/>
        <v>0.25</v>
      </c>
      <c r="X6">
        <f t="shared" si="0"/>
        <v>0.25</v>
      </c>
      <c r="Y6">
        <f t="shared" si="0"/>
        <v>0.25</v>
      </c>
      <c r="Z6">
        <f t="shared" si="0"/>
        <v>0.25</v>
      </c>
      <c r="AA6">
        <f t="shared" si="0"/>
        <v>0.25</v>
      </c>
      <c r="AB6">
        <f t="shared" si="0"/>
        <v>0.25</v>
      </c>
      <c r="AC6">
        <f t="shared" si="0"/>
        <v>0.25</v>
      </c>
      <c r="AD6">
        <f t="shared" si="0"/>
        <v>0.25</v>
      </c>
      <c r="AE6">
        <f t="shared" si="0"/>
        <v>0.25</v>
      </c>
      <c r="AF6">
        <f t="shared" si="0"/>
        <v>0.25</v>
      </c>
      <c r="AG6">
        <f t="shared" si="0"/>
        <v>0.25</v>
      </c>
      <c r="AH6">
        <f t="shared" si="0"/>
        <v>0.25</v>
      </c>
      <c r="AI6">
        <f t="shared" si="0"/>
        <v>0.25</v>
      </c>
      <c r="AJ6">
        <f t="shared" si="0"/>
        <v>0.25</v>
      </c>
      <c r="AK6">
        <f t="shared" si="0"/>
        <v>0.25</v>
      </c>
      <c r="AL6">
        <f t="shared" si="0"/>
        <v>0.25</v>
      </c>
      <c r="AM6">
        <f t="shared" si="0"/>
        <v>0.25</v>
      </c>
      <c r="AN6">
        <f t="shared" si="0"/>
        <v>0.25</v>
      </c>
      <c r="AO6">
        <f t="shared" si="0"/>
        <v>0.25</v>
      </c>
      <c r="AP6">
        <f t="shared" si="0"/>
        <v>0.25</v>
      </c>
      <c r="AQ6">
        <f t="shared" si="0"/>
        <v>0.25</v>
      </c>
      <c r="AR6">
        <f t="shared" si="0"/>
        <v>0.25</v>
      </c>
      <c r="AS6">
        <f t="shared" si="0"/>
        <v>0.25</v>
      </c>
      <c r="AT6">
        <f t="shared" si="0"/>
        <v>0.25</v>
      </c>
      <c r="AU6">
        <f t="shared" si="0"/>
        <v>0.25</v>
      </c>
      <c r="AV6">
        <f t="shared" si="0"/>
        <v>0.25</v>
      </c>
      <c r="AW6">
        <f t="shared" si="0"/>
        <v>0.25</v>
      </c>
      <c r="AX6">
        <f t="shared" si="0"/>
        <v>0.25</v>
      </c>
      <c r="AY6">
        <f t="shared" si="0"/>
        <v>0.25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Y11"/>
  <sheetViews>
    <sheetView topLeftCell="AI1" workbookViewId="0">
      <selection activeCell="AX12" sqref="AX12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Y11"/>
  <sheetViews>
    <sheetView topLeftCell="AH1" workbookViewId="0">
      <selection activeCell="AW15" sqref="AW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A1:AY11"/>
  <sheetViews>
    <sheetView topLeftCell="AN1" workbookViewId="0">
      <selection activeCell="BA11" sqref="BA11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3"/>
  </sheetPr>
  <dimension ref="A1:AY11"/>
  <sheetViews>
    <sheetView topLeftCell="AI1" workbookViewId="0">
      <selection activeCell="AW14" sqref="AW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3"/>
  </sheetPr>
  <dimension ref="A1:AY11"/>
  <sheetViews>
    <sheetView topLeftCell="AK1" workbookViewId="0">
      <selection activeCell="AX14" sqref="AX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f t="shared" ref="B6:AY6" si="0">max_biogas</f>
        <v>0.25</v>
      </c>
      <c r="C6">
        <f t="shared" si="0"/>
        <v>0.25</v>
      </c>
      <c r="D6">
        <f t="shared" si="0"/>
        <v>0.25</v>
      </c>
      <c r="E6">
        <f t="shared" si="0"/>
        <v>0.25</v>
      </c>
      <c r="F6">
        <f t="shared" si="0"/>
        <v>0.25</v>
      </c>
      <c r="G6">
        <f t="shared" si="0"/>
        <v>0.25</v>
      </c>
      <c r="H6">
        <f t="shared" si="0"/>
        <v>0.25</v>
      </c>
      <c r="I6">
        <f t="shared" si="0"/>
        <v>0.25</v>
      </c>
      <c r="J6">
        <f t="shared" si="0"/>
        <v>0.25</v>
      </c>
      <c r="K6">
        <f t="shared" si="0"/>
        <v>0.25</v>
      </c>
      <c r="L6">
        <f t="shared" si="0"/>
        <v>0.25</v>
      </c>
      <c r="M6">
        <f t="shared" si="0"/>
        <v>0.25</v>
      </c>
      <c r="N6">
        <f t="shared" si="0"/>
        <v>0.25</v>
      </c>
      <c r="O6">
        <f t="shared" si="0"/>
        <v>0.25</v>
      </c>
      <c r="P6">
        <f t="shared" si="0"/>
        <v>0.25</v>
      </c>
      <c r="Q6">
        <f t="shared" si="0"/>
        <v>0.25</v>
      </c>
      <c r="R6">
        <f t="shared" si="0"/>
        <v>0.25</v>
      </c>
      <c r="S6">
        <f t="shared" si="0"/>
        <v>0.25</v>
      </c>
      <c r="T6">
        <f t="shared" si="0"/>
        <v>0.25</v>
      </c>
      <c r="U6">
        <f t="shared" si="0"/>
        <v>0.25</v>
      </c>
      <c r="V6">
        <f t="shared" si="0"/>
        <v>0.25</v>
      </c>
      <c r="W6">
        <f t="shared" si="0"/>
        <v>0.25</v>
      </c>
      <c r="X6">
        <f t="shared" si="0"/>
        <v>0.25</v>
      </c>
      <c r="Y6">
        <f t="shared" si="0"/>
        <v>0.25</v>
      </c>
      <c r="Z6">
        <f t="shared" si="0"/>
        <v>0.25</v>
      </c>
      <c r="AA6">
        <f t="shared" si="0"/>
        <v>0.25</v>
      </c>
      <c r="AB6">
        <f t="shared" si="0"/>
        <v>0.25</v>
      </c>
      <c r="AC6">
        <f t="shared" si="0"/>
        <v>0.25</v>
      </c>
      <c r="AD6">
        <f t="shared" si="0"/>
        <v>0.25</v>
      </c>
      <c r="AE6">
        <f t="shared" si="0"/>
        <v>0.25</v>
      </c>
      <c r="AF6">
        <f t="shared" si="0"/>
        <v>0.25</v>
      </c>
      <c r="AG6">
        <f t="shared" si="0"/>
        <v>0.25</v>
      </c>
      <c r="AH6">
        <f t="shared" si="0"/>
        <v>0.25</v>
      </c>
      <c r="AI6">
        <f t="shared" si="0"/>
        <v>0.25</v>
      </c>
      <c r="AJ6">
        <f t="shared" si="0"/>
        <v>0.25</v>
      </c>
      <c r="AK6">
        <f t="shared" si="0"/>
        <v>0.25</v>
      </c>
      <c r="AL6">
        <f t="shared" si="0"/>
        <v>0.25</v>
      </c>
      <c r="AM6">
        <f t="shared" si="0"/>
        <v>0.25</v>
      </c>
      <c r="AN6">
        <f t="shared" si="0"/>
        <v>0.25</v>
      </c>
      <c r="AO6">
        <f t="shared" si="0"/>
        <v>0.25</v>
      </c>
      <c r="AP6">
        <f t="shared" si="0"/>
        <v>0.25</v>
      </c>
      <c r="AQ6">
        <f t="shared" si="0"/>
        <v>0.25</v>
      </c>
      <c r="AR6">
        <f t="shared" si="0"/>
        <v>0.25</v>
      </c>
      <c r="AS6">
        <f t="shared" si="0"/>
        <v>0.25</v>
      </c>
      <c r="AT6">
        <f t="shared" si="0"/>
        <v>0.25</v>
      </c>
      <c r="AU6">
        <f t="shared" si="0"/>
        <v>0.25</v>
      </c>
      <c r="AV6">
        <f t="shared" si="0"/>
        <v>0.25</v>
      </c>
      <c r="AW6">
        <f t="shared" si="0"/>
        <v>0.25</v>
      </c>
      <c r="AX6">
        <f t="shared" si="0"/>
        <v>0.25</v>
      </c>
      <c r="AY6">
        <f t="shared" si="0"/>
        <v>0.25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3"/>
  </sheetPr>
  <dimension ref="A1:AY11"/>
  <sheetViews>
    <sheetView topLeftCell="AH1" workbookViewId="0">
      <selection activeCell="AV16" sqref="AV16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f t="shared" ref="B7:AY7" si="0">max_biodsl</f>
        <v>0.2</v>
      </c>
      <c r="C7">
        <f t="shared" si="0"/>
        <v>0.2</v>
      </c>
      <c r="D7">
        <f t="shared" si="0"/>
        <v>0.2</v>
      </c>
      <c r="E7">
        <f t="shared" si="0"/>
        <v>0.2</v>
      </c>
      <c r="F7">
        <f t="shared" si="0"/>
        <v>0.2</v>
      </c>
      <c r="G7">
        <f t="shared" si="0"/>
        <v>0.2</v>
      </c>
      <c r="H7">
        <f t="shared" si="0"/>
        <v>0.2</v>
      </c>
      <c r="I7">
        <f t="shared" si="0"/>
        <v>0.2</v>
      </c>
      <c r="J7">
        <f t="shared" si="0"/>
        <v>0.2</v>
      </c>
      <c r="K7">
        <f t="shared" si="0"/>
        <v>0.2</v>
      </c>
      <c r="L7">
        <f t="shared" si="0"/>
        <v>0.2</v>
      </c>
      <c r="M7">
        <f t="shared" si="0"/>
        <v>0.2</v>
      </c>
      <c r="N7">
        <f t="shared" si="0"/>
        <v>0.2</v>
      </c>
      <c r="O7">
        <f t="shared" si="0"/>
        <v>0.2</v>
      </c>
      <c r="P7">
        <f t="shared" si="0"/>
        <v>0.2</v>
      </c>
      <c r="Q7">
        <f t="shared" si="0"/>
        <v>0.2</v>
      </c>
      <c r="R7">
        <f t="shared" si="0"/>
        <v>0.2</v>
      </c>
      <c r="S7">
        <f t="shared" si="0"/>
        <v>0.2</v>
      </c>
      <c r="T7">
        <f t="shared" si="0"/>
        <v>0.2</v>
      </c>
      <c r="U7">
        <f t="shared" si="0"/>
        <v>0.2</v>
      </c>
      <c r="V7">
        <f t="shared" si="0"/>
        <v>0.2</v>
      </c>
      <c r="W7">
        <f t="shared" si="0"/>
        <v>0.2</v>
      </c>
      <c r="X7">
        <f t="shared" si="0"/>
        <v>0.2</v>
      </c>
      <c r="Y7">
        <f t="shared" si="0"/>
        <v>0.2</v>
      </c>
      <c r="Z7">
        <f t="shared" si="0"/>
        <v>0.2</v>
      </c>
      <c r="AA7">
        <f t="shared" si="0"/>
        <v>0.2</v>
      </c>
      <c r="AB7">
        <f t="shared" si="0"/>
        <v>0.2</v>
      </c>
      <c r="AC7">
        <f t="shared" si="0"/>
        <v>0.2</v>
      </c>
      <c r="AD7">
        <f t="shared" si="0"/>
        <v>0.2</v>
      </c>
      <c r="AE7">
        <f t="shared" si="0"/>
        <v>0.2</v>
      </c>
      <c r="AF7">
        <f t="shared" si="0"/>
        <v>0.2</v>
      </c>
      <c r="AG7">
        <f t="shared" si="0"/>
        <v>0.2</v>
      </c>
      <c r="AH7">
        <f t="shared" si="0"/>
        <v>0.2</v>
      </c>
      <c r="AI7">
        <f t="shared" si="0"/>
        <v>0.2</v>
      </c>
      <c r="AJ7">
        <f t="shared" si="0"/>
        <v>0.2</v>
      </c>
      <c r="AK7">
        <f t="shared" si="0"/>
        <v>0.2</v>
      </c>
      <c r="AL7">
        <f t="shared" si="0"/>
        <v>0.2</v>
      </c>
      <c r="AM7">
        <f t="shared" si="0"/>
        <v>0.2</v>
      </c>
      <c r="AN7">
        <f t="shared" si="0"/>
        <v>0.2</v>
      </c>
      <c r="AO7">
        <f t="shared" si="0"/>
        <v>0.2</v>
      </c>
      <c r="AP7">
        <f t="shared" si="0"/>
        <v>0.2</v>
      </c>
      <c r="AQ7">
        <f t="shared" si="0"/>
        <v>0.2</v>
      </c>
      <c r="AR7">
        <f t="shared" si="0"/>
        <v>0.2</v>
      </c>
      <c r="AS7">
        <f t="shared" si="0"/>
        <v>0.2</v>
      </c>
      <c r="AT7">
        <f t="shared" si="0"/>
        <v>0.2</v>
      </c>
      <c r="AU7">
        <f t="shared" si="0"/>
        <v>0.2</v>
      </c>
      <c r="AV7">
        <f t="shared" si="0"/>
        <v>0.2</v>
      </c>
      <c r="AW7">
        <f t="shared" si="0"/>
        <v>0.2</v>
      </c>
      <c r="AX7">
        <f t="shared" si="0"/>
        <v>0.2</v>
      </c>
      <c r="AY7">
        <f t="shared" si="0"/>
        <v>0.2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/>
  </sheetPr>
  <dimension ref="A1:AY11"/>
  <sheetViews>
    <sheetView topLeftCell="AG1" workbookViewId="0">
      <selection activeCell="AU15" sqref="AU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  <c r="AK2">
        <v>0.55000000000000004</v>
      </c>
      <c r="AL2">
        <v>0.55000000000000004</v>
      </c>
      <c r="AM2">
        <v>0.55000000000000004</v>
      </c>
      <c r="AN2">
        <v>0.55000000000000004</v>
      </c>
      <c r="AO2">
        <v>0.55000000000000004</v>
      </c>
      <c r="AP2">
        <v>0.55000000000000004</v>
      </c>
      <c r="AQ2">
        <v>0.55000000000000004</v>
      </c>
      <c r="AR2">
        <v>0.55000000000000004</v>
      </c>
      <c r="AS2">
        <v>0.55000000000000004</v>
      </c>
      <c r="AT2">
        <v>0.55000000000000004</v>
      </c>
      <c r="AU2">
        <v>0.55000000000000004</v>
      </c>
      <c r="AV2">
        <v>0.55000000000000004</v>
      </c>
      <c r="AW2">
        <v>0.55000000000000004</v>
      </c>
      <c r="AX2">
        <v>0.55000000000000004</v>
      </c>
      <c r="AY2">
        <v>0.55000000000000004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f t="shared" ref="B7:AY7" si="0">max_biodsl</f>
        <v>0.2</v>
      </c>
      <c r="C7">
        <f t="shared" si="0"/>
        <v>0.2</v>
      </c>
      <c r="D7">
        <f t="shared" si="0"/>
        <v>0.2</v>
      </c>
      <c r="E7">
        <f t="shared" si="0"/>
        <v>0.2</v>
      </c>
      <c r="F7">
        <f t="shared" si="0"/>
        <v>0.2</v>
      </c>
      <c r="G7">
        <f t="shared" si="0"/>
        <v>0.2</v>
      </c>
      <c r="H7">
        <f t="shared" si="0"/>
        <v>0.2</v>
      </c>
      <c r="I7">
        <f t="shared" si="0"/>
        <v>0.2</v>
      </c>
      <c r="J7">
        <f t="shared" si="0"/>
        <v>0.2</v>
      </c>
      <c r="K7">
        <f t="shared" si="0"/>
        <v>0.2</v>
      </c>
      <c r="L7">
        <f t="shared" si="0"/>
        <v>0.2</v>
      </c>
      <c r="M7">
        <f t="shared" si="0"/>
        <v>0.2</v>
      </c>
      <c r="N7">
        <f t="shared" si="0"/>
        <v>0.2</v>
      </c>
      <c r="O7">
        <f t="shared" si="0"/>
        <v>0.2</v>
      </c>
      <c r="P7">
        <f t="shared" si="0"/>
        <v>0.2</v>
      </c>
      <c r="Q7">
        <f t="shared" si="0"/>
        <v>0.2</v>
      </c>
      <c r="R7">
        <f t="shared" si="0"/>
        <v>0.2</v>
      </c>
      <c r="S7">
        <f t="shared" si="0"/>
        <v>0.2</v>
      </c>
      <c r="T7">
        <f t="shared" si="0"/>
        <v>0.2</v>
      </c>
      <c r="U7">
        <f t="shared" si="0"/>
        <v>0.2</v>
      </c>
      <c r="V7">
        <f t="shared" si="0"/>
        <v>0.2</v>
      </c>
      <c r="W7">
        <f t="shared" si="0"/>
        <v>0.2</v>
      </c>
      <c r="X7">
        <f t="shared" si="0"/>
        <v>0.2</v>
      </c>
      <c r="Y7">
        <f t="shared" si="0"/>
        <v>0.2</v>
      </c>
      <c r="Z7">
        <f t="shared" si="0"/>
        <v>0.2</v>
      </c>
      <c r="AA7">
        <f t="shared" si="0"/>
        <v>0.2</v>
      </c>
      <c r="AB7">
        <f t="shared" si="0"/>
        <v>0.2</v>
      </c>
      <c r="AC7">
        <f t="shared" si="0"/>
        <v>0.2</v>
      </c>
      <c r="AD7">
        <f t="shared" si="0"/>
        <v>0.2</v>
      </c>
      <c r="AE7">
        <f t="shared" si="0"/>
        <v>0.2</v>
      </c>
      <c r="AF7">
        <f t="shared" si="0"/>
        <v>0.2</v>
      </c>
      <c r="AG7">
        <f t="shared" si="0"/>
        <v>0.2</v>
      </c>
      <c r="AH7">
        <f t="shared" si="0"/>
        <v>0.2</v>
      </c>
      <c r="AI7">
        <f t="shared" si="0"/>
        <v>0.2</v>
      </c>
      <c r="AJ7">
        <f t="shared" si="0"/>
        <v>0.2</v>
      </c>
      <c r="AK7">
        <f t="shared" si="0"/>
        <v>0.2</v>
      </c>
      <c r="AL7">
        <f t="shared" si="0"/>
        <v>0.2</v>
      </c>
      <c r="AM7">
        <f t="shared" si="0"/>
        <v>0.2</v>
      </c>
      <c r="AN7">
        <f t="shared" si="0"/>
        <v>0.2</v>
      </c>
      <c r="AO7">
        <f t="shared" si="0"/>
        <v>0.2</v>
      </c>
      <c r="AP7">
        <f t="shared" si="0"/>
        <v>0.2</v>
      </c>
      <c r="AQ7">
        <f t="shared" si="0"/>
        <v>0.2</v>
      </c>
      <c r="AR7">
        <f t="shared" si="0"/>
        <v>0.2</v>
      </c>
      <c r="AS7">
        <f t="shared" si="0"/>
        <v>0.2</v>
      </c>
      <c r="AT7">
        <f t="shared" si="0"/>
        <v>0.2</v>
      </c>
      <c r="AU7">
        <f t="shared" si="0"/>
        <v>0.2</v>
      </c>
      <c r="AV7">
        <f t="shared" si="0"/>
        <v>0.2</v>
      </c>
      <c r="AW7">
        <f t="shared" si="0"/>
        <v>0.2</v>
      </c>
      <c r="AX7">
        <f t="shared" si="0"/>
        <v>0.2</v>
      </c>
      <c r="AY7">
        <f t="shared" si="0"/>
        <v>0.2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3"/>
  </sheetPr>
  <dimension ref="A1:AY11"/>
  <sheetViews>
    <sheetView topLeftCell="AN1" workbookViewId="0">
      <selection activeCell="BC9" sqref="BC9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3"/>
  </sheetPr>
  <dimension ref="A1:AY11"/>
  <sheetViews>
    <sheetView topLeftCell="AL1" workbookViewId="0">
      <selection activeCell="BA11" sqref="BA11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3"/>
  </sheetPr>
  <dimension ref="A1:AY11"/>
  <sheetViews>
    <sheetView topLeftCell="AK1" workbookViewId="0">
      <selection activeCell="BA10" sqref="BA10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3"/>
  </sheetPr>
  <dimension ref="A1:AY11"/>
  <sheetViews>
    <sheetView topLeftCell="AG1" workbookViewId="0">
      <selection activeCell="AU16" sqref="AU16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3"/>
  </sheetPr>
  <dimension ref="A1:AY11"/>
  <sheetViews>
    <sheetView topLeftCell="AO1" workbookViewId="0">
      <selection activeCell="BB11" sqref="BB11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f t="shared" ref="B6:AY6" si="0">max_biogas</f>
        <v>0.25</v>
      </c>
      <c r="C6">
        <f t="shared" si="0"/>
        <v>0.25</v>
      </c>
      <c r="D6">
        <f t="shared" si="0"/>
        <v>0.25</v>
      </c>
      <c r="E6">
        <f t="shared" si="0"/>
        <v>0.25</v>
      </c>
      <c r="F6">
        <f t="shared" si="0"/>
        <v>0.25</v>
      </c>
      <c r="G6">
        <f t="shared" si="0"/>
        <v>0.25</v>
      </c>
      <c r="H6">
        <f t="shared" si="0"/>
        <v>0.25</v>
      </c>
      <c r="I6">
        <f t="shared" si="0"/>
        <v>0.25</v>
      </c>
      <c r="J6">
        <f t="shared" si="0"/>
        <v>0.25</v>
      </c>
      <c r="K6">
        <f t="shared" si="0"/>
        <v>0.25</v>
      </c>
      <c r="L6">
        <f t="shared" si="0"/>
        <v>0.25</v>
      </c>
      <c r="M6">
        <f t="shared" si="0"/>
        <v>0.25</v>
      </c>
      <c r="N6">
        <f t="shared" si="0"/>
        <v>0.25</v>
      </c>
      <c r="O6">
        <f t="shared" si="0"/>
        <v>0.25</v>
      </c>
      <c r="P6">
        <f t="shared" si="0"/>
        <v>0.25</v>
      </c>
      <c r="Q6">
        <f t="shared" si="0"/>
        <v>0.25</v>
      </c>
      <c r="R6">
        <f t="shared" si="0"/>
        <v>0.25</v>
      </c>
      <c r="S6">
        <f t="shared" si="0"/>
        <v>0.25</v>
      </c>
      <c r="T6">
        <f t="shared" si="0"/>
        <v>0.25</v>
      </c>
      <c r="U6">
        <f t="shared" si="0"/>
        <v>0.25</v>
      </c>
      <c r="V6">
        <f t="shared" si="0"/>
        <v>0.25</v>
      </c>
      <c r="W6">
        <f t="shared" si="0"/>
        <v>0.25</v>
      </c>
      <c r="X6">
        <f t="shared" si="0"/>
        <v>0.25</v>
      </c>
      <c r="Y6">
        <f t="shared" si="0"/>
        <v>0.25</v>
      </c>
      <c r="Z6">
        <f t="shared" si="0"/>
        <v>0.25</v>
      </c>
      <c r="AA6">
        <f t="shared" si="0"/>
        <v>0.25</v>
      </c>
      <c r="AB6">
        <f t="shared" si="0"/>
        <v>0.25</v>
      </c>
      <c r="AC6">
        <f t="shared" si="0"/>
        <v>0.25</v>
      </c>
      <c r="AD6">
        <f t="shared" si="0"/>
        <v>0.25</v>
      </c>
      <c r="AE6">
        <f t="shared" si="0"/>
        <v>0.25</v>
      </c>
      <c r="AF6">
        <f t="shared" si="0"/>
        <v>0.25</v>
      </c>
      <c r="AG6">
        <f t="shared" si="0"/>
        <v>0.25</v>
      </c>
      <c r="AH6">
        <f t="shared" si="0"/>
        <v>0.25</v>
      </c>
      <c r="AI6">
        <f t="shared" si="0"/>
        <v>0.25</v>
      </c>
      <c r="AJ6">
        <f t="shared" si="0"/>
        <v>0.25</v>
      </c>
      <c r="AK6">
        <f t="shared" si="0"/>
        <v>0.25</v>
      </c>
      <c r="AL6">
        <f t="shared" si="0"/>
        <v>0.25</v>
      </c>
      <c r="AM6">
        <f t="shared" si="0"/>
        <v>0.25</v>
      </c>
      <c r="AN6">
        <f t="shared" si="0"/>
        <v>0.25</v>
      </c>
      <c r="AO6">
        <f t="shared" si="0"/>
        <v>0.25</v>
      </c>
      <c r="AP6">
        <f t="shared" si="0"/>
        <v>0.25</v>
      </c>
      <c r="AQ6">
        <f t="shared" si="0"/>
        <v>0.25</v>
      </c>
      <c r="AR6">
        <f t="shared" si="0"/>
        <v>0.25</v>
      </c>
      <c r="AS6">
        <f t="shared" si="0"/>
        <v>0.25</v>
      </c>
      <c r="AT6">
        <f t="shared" si="0"/>
        <v>0.25</v>
      </c>
      <c r="AU6">
        <f t="shared" si="0"/>
        <v>0.25</v>
      </c>
      <c r="AV6">
        <f t="shared" si="0"/>
        <v>0.25</v>
      </c>
      <c r="AW6">
        <f t="shared" si="0"/>
        <v>0.25</v>
      </c>
      <c r="AX6">
        <f t="shared" si="0"/>
        <v>0.25</v>
      </c>
      <c r="AY6">
        <f t="shared" si="0"/>
        <v>0.25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3"/>
  </sheetPr>
  <dimension ref="A1:AY11"/>
  <sheetViews>
    <sheetView topLeftCell="AG1" workbookViewId="0">
      <selection activeCell="AU16" sqref="AU16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f t="shared" ref="B7:AY7" si="0">max_biodsl</f>
        <v>0.2</v>
      </c>
      <c r="C7">
        <f t="shared" si="0"/>
        <v>0.2</v>
      </c>
      <c r="D7">
        <f t="shared" si="0"/>
        <v>0.2</v>
      </c>
      <c r="E7">
        <f t="shared" si="0"/>
        <v>0.2</v>
      </c>
      <c r="F7">
        <f t="shared" si="0"/>
        <v>0.2</v>
      </c>
      <c r="G7">
        <f t="shared" si="0"/>
        <v>0.2</v>
      </c>
      <c r="H7">
        <f t="shared" si="0"/>
        <v>0.2</v>
      </c>
      <c r="I7">
        <f t="shared" si="0"/>
        <v>0.2</v>
      </c>
      <c r="J7">
        <f t="shared" si="0"/>
        <v>0.2</v>
      </c>
      <c r="K7">
        <f t="shared" si="0"/>
        <v>0.2</v>
      </c>
      <c r="L7">
        <f t="shared" si="0"/>
        <v>0.2</v>
      </c>
      <c r="M7">
        <f t="shared" si="0"/>
        <v>0.2</v>
      </c>
      <c r="N7">
        <f t="shared" si="0"/>
        <v>0.2</v>
      </c>
      <c r="O7">
        <f t="shared" si="0"/>
        <v>0.2</v>
      </c>
      <c r="P7">
        <f t="shared" si="0"/>
        <v>0.2</v>
      </c>
      <c r="Q7">
        <f t="shared" si="0"/>
        <v>0.2</v>
      </c>
      <c r="R7">
        <f t="shared" si="0"/>
        <v>0.2</v>
      </c>
      <c r="S7">
        <f t="shared" si="0"/>
        <v>0.2</v>
      </c>
      <c r="T7">
        <f t="shared" si="0"/>
        <v>0.2</v>
      </c>
      <c r="U7">
        <f t="shared" si="0"/>
        <v>0.2</v>
      </c>
      <c r="V7">
        <f t="shared" si="0"/>
        <v>0.2</v>
      </c>
      <c r="W7">
        <f t="shared" si="0"/>
        <v>0.2</v>
      </c>
      <c r="X7">
        <f t="shared" si="0"/>
        <v>0.2</v>
      </c>
      <c r="Y7">
        <f t="shared" si="0"/>
        <v>0.2</v>
      </c>
      <c r="Z7">
        <f t="shared" si="0"/>
        <v>0.2</v>
      </c>
      <c r="AA7">
        <f t="shared" si="0"/>
        <v>0.2</v>
      </c>
      <c r="AB7">
        <f t="shared" si="0"/>
        <v>0.2</v>
      </c>
      <c r="AC7">
        <f t="shared" si="0"/>
        <v>0.2</v>
      </c>
      <c r="AD7">
        <f t="shared" si="0"/>
        <v>0.2</v>
      </c>
      <c r="AE7">
        <f t="shared" si="0"/>
        <v>0.2</v>
      </c>
      <c r="AF7">
        <f t="shared" si="0"/>
        <v>0.2</v>
      </c>
      <c r="AG7">
        <f t="shared" si="0"/>
        <v>0.2</v>
      </c>
      <c r="AH7">
        <f t="shared" si="0"/>
        <v>0.2</v>
      </c>
      <c r="AI7">
        <f t="shared" si="0"/>
        <v>0.2</v>
      </c>
      <c r="AJ7">
        <f t="shared" si="0"/>
        <v>0.2</v>
      </c>
      <c r="AK7">
        <f t="shared" si="0"/>
        <v>0.2</v>
      </c>
      <c r="AL7">
        <f t="shared" si="0"/>
        <v>0.2</v>
      </c>
      <c r="AM7">
        <f t="shared" si="0"/>
        <v>0.2</v>
      </c>
      <c r="AN7">
        <f t="shared" si="0"/>
        <v>0.2</v>
      </c>
      <c r="AO7">
        <f t="shared" si="0"/>
        <v>0.2</v>
      </c>
      <c r="AP7">
        <f t="shared" si="0"/>
        <v>0.2</v>
      </c>
      <c r="AQ7">
        <f t="shared" si="0"/>
        <v>0.2</v>
      </c>
      <c r="AR7">
        <f t="shared" si="0"/>
        <v>0.2</v>
      </c>
      <c r="AS7">
        <f t="shared" si="0"/>
        <v>0.2</v>
      </c>
      <c r="AT7">
        <f t="shared" si="0"/>
        <v>0.2</v>
      </c>
      <c r="AU7">
        <f t="shared" si="0"/>
        <v>0.2</v>
      </c>
      <c r="AV7">
        <f t="shared" si="0"/>
        <v>0.2</v>
      </c>
      <c r="AW7">
        <f t="shared" si="0"/>
        <v>0.2</v>
      </c>
      <c r="AX7">
        <f t="shared" si="0"/>
        <v>0.2</v>
      </c>
      <c r="AY7">
        <f t="shared" si="0"/>
        <v>0.2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3"/>
  </sheetPr>
  <dimension ref="A1:AY11"/>
  <sheetViews>
    <sheetView topLeftCell="AH1" workbookViewId="0">
      <selection activeCell="AW13" sqref="AW13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  <c r="AK2">
        <v>0.55000000000000004</v>
      </c>
      <c r="AL2">
        <v>0.55000000000000004</v>
      </c>
      <c r="AM2">
        <v>0.55000000000000004</v>
      </c>
      <c r="AN2">
        <v>0.55000000000000004</v>
      </c>
      <c r="AO2">
        <v>0.55000000000000004</v>
      </c>
      <c r="AP2">
        <v>0.55000000000000004</v>
      </c>
      <c r="AQ2">
        <v>0.55000000000000004</v>
      </c>
      <c r="AR2">
        <v>0.55000000000000004</v>
      </c>
      <c r="AS2">
        <v>0.55000000000000004</v>
      </c>
      <c r="AT2">
        <v>0.55000000000000004</v>
      </c>
      <c r="AU2">
        <v>0.55000000000000004</v>
      </c>
      <c r="AV2">
        <v>0.55000000000000004</v>
      </c>
      <c r="AW2">
        <v>0.55000000000000004</v>
      </c>
      <c r="AX2">
        <v>0.55000000000000004</v>
      </c>
      <c r="AY2">
        <v>0.55000000000000004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f t="shared" ref="B7:AY7" si="0">max_biodsl</f>
        <v>0.2</v>
      </c>
      <c r="C7">
        <f t="shared" si="0"/>
        <v>0.2</v>
      </c>
      <c r="D7">
        <f t="shared" si="0"/>
        <v>0.2</v>
      </c>
      <c r="E7">
        <f t="shared" si="0"/>
        <v>0.2</v>
      </c>
      <c r="F7">
        <f t="shared" si="0"/>
        <v>0.2</v>
      </c>
      <c r="G7">
        <f t="shared" si="0"/>
        <v>0.2</v>
      </c>
      <c r="H7">
        <f t="shared" si="0"/>
        <v>0.2</v>
      </c>
      <c r="I7">
        <f t="shared" si="0"/>
        <v>0.2</v>
      </c>
      <c r="J7">
        <f t="shared" si="0"/>
        <v>0.2</v>
      </c>
      <c r="K7">
        <f t="shared" si="0"/>
        <v>0.2</v>
      </c>
      <c r="L7">
        <f t="shared" si="0"/>
        <v>0.2</v>
      </c>
      <c r="M7">
        <f t="shared" si="0"/>
        <v>0.2</v>
      </c>
      <c r="N7">
        <f t="shared" si="0"/>
        <v>0.2</v>
      </c>
      <c r="O7">
        <f t="shared" si="0"/>
        <v>0.2</v>
      </c>
      <c r="P7">
        <f t="shared" si="0"/>
        <v>0.2</v>
      </c>
      <c r="Q7">
        <f t="shared" si="0"/>
        <v>0.2</v>
      </c>
      <c r="R7">
        <f t="shared" si="0"/>
        <v>0.2</v>
      </c>
      <c r="S7">
        <f t="shared" si="0"/>
        <v>0.2</v>
      </c>
      <c r="T7">
        <f t="shared" si="0"/>
        <v>0.2</v>
      </c>
      <c r="U7">
        <f t="shared" si="0"/>
        <v>0.2</v>
      </c>
      <c r="V7">
        <f t="shared" si="0"/>
        <v>0.2</v>
      </c>
      <c r="W7">
        <f t="shared" si="0"/>
        <v>0.2</v>
      </c>
      <c r="X7">
        <f t="shared" si="0"/>
        <v>0.2</v>
      </c>
      <c r="Y7">
        <f t="shared" si="0"/>
        <v>0.2</v>
      </c>
      <c r="Z7">
        <f t="shared" si="0"/>
        <v>0.2</v>
      </c>
      <c r="AA7">
        <f t="shared" si="0"/>
        <v>0.2</v>
      </c>
      <c r="AB7">
        <f t="shared" si="0"/>
        <v>0.2</v>
      </c>
      <c r="AC7">
        <f t="shared" si="0"/>
        <v>0.2</v>
      </c>
      <c r="AD7">
        <f t="shared" si="0"/>
        <v>0.2</v>
      </c>
      <c r="AE7">
        <f t="shared" si="0"/>
        <v>0.2</v>
      </c>
      <c r="AF7">
        <f t="shared" si="0"/>
        <v>0.2</v>
      </c>
      <c r="AG7">
        <f t="shared" si="0"/>
        <v>0.2</v>
      </c>
      <c r="AH7">
        <f t="shared" si="0"/>
        <v>0.2</v>
      </c>
      <c r="AI7">
        <f t="shared" si="0"/>
        <v>0.2</v>
      </c>
      <c r="AJ7">
        <f t="shared" si="0"/>
        <v>0.2</v>
      </c>
      <c r="AK7">
        <f t="shared" si="0"/>
        <v>0.2</v>
      </c>
      <c r="AL7">
        <f t="shared" si="0"/>
        <v>0.2</v>
      </c>
      <c r="AM7">
        <f t="shared" si="0"/>
        <v>0.2</v>
      </c>
      <c r="AN7">
        <f t="shared" si="0"/>
        <v>0.2</v>
      </c>
      <c r="AO7">
        <f t="shared" si="0"/>
        <v>0.2</v>
      </c>
      <c r="AP7">
        <f t="shared" si="0"/>
        <v>0.2</v>
      </c>
      <c r="AQ7">
        <f t="shared" si="0"/>
        <v>0.2</v>
      </c>
      <c r="AR7">
        <f t="shared" si="0"/>
        <v>0.2</v>
      </c>
      <c r="AS7">
        <f t="shared" si="0"/>
        <v>0.2</v>
      </c>
      <c r="AT7">
        <f t="shared" si="0"/>
        <v>0.2</v>
      </c>
      <c r="AU7">
        <f t="shared" si="0"/>
        <v>0.2</v>
      </c>
      <c r="AV7">
        <f t="shared" si="0"/>
        <v>0.2</v>
      </c>
      <c r="AW7">
        <f t="shared" si="0"/>
        <v>0.2</v>
      </c>
      <c r="AX7">
        <f t="shared" si="0"/>
        <v>0.2</v>
      </c>
      <c r="AY7">
        <f t="shared" si="0"/>
        <v>0.2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3"/>
  </sheetPr>
  <dimension ref="A1:AY11"/>
  <sheetViews>
    <sheetView topLeftCell="AH1" workbookViewId="0">
      <selection activeCell="AV14" sqref="AV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3"/>
  </sheetPr>
  <dimension ref="A1:AY11"/>
  <sheetViews>
    <sheetView topLeftCell="AG1" workbookViewId="0">
      <selection activeCell="AU13" sqref="AU13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3"/>
  </sheetPr>
  <dimension ref="A1:AY11"/>
  <sheetViews>
    <sheetView workbookViewId="0">
      <selection activeCell="BA10" sqref="BA10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75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3"/>
  </sheetPr>
  <dimension ref="A1:AY11"/>
  <sheetViews>
    <sheetView workbookViewId="0">
      <selection activeCell="BA10" sqref="BA10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75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3"/>
  </sheetPr>
  <dimension ref="A1:AY11"/>
  <sheetViews>
    <sheetView topLeftCell="AM1" workbookViewId="0">
      <selection activeCell="AF6" sqref="AF6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75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f>'Max Biofuel Blends'!A$11</f>
        <v>0</v>
      </c>
      <c r="C6">
        <f>'Max Biofuel Blends'!B$11</f>
        <v>1.9999999999996021E-2</v>
      </c>
      <c r="D6">
        <f>'Max Biofuel Blends'!C$11</f>
        <v>2.9999999999997584E-2</v>
      </c>
      <c r="E6">
        <f>'Max Biofuel Blends'!D$11</f>
        <v>3.9999999999999147E-2</v>
      </c>
      <c r="F6">
        <f>'Max Biofuel Blends'!E$11</f>
        <v>4.9999999999997158E-2</v>
      </c>
      <c r="G6">
        <f>'Max Biofuel Blends'!F$11</f>
        <v>5.9999999999998721E-2</v>
      </c>
      <c r="H6">
        <f>'Max Biofuel Blends'!G$11</f>
        <v>6.9999999999996732E-2</v>
      </c>
      <c r="I6">
        <f>'Max Biofuel Blends'!H$11</f>
        <v>7.9999999999998295E-2</v>
      </c>
      <c r="J6">
        <f>'Max Biofuel Blends'!I$11</f>
        <v>8.9999999999996305E-2</v>
      </c>
      <c r="K6">
        <f>'Max Biofuel Blends'!J$11</f>
        <v>0.1</v>
      </c>
      <c r="L6">
        <f>'Max Biofuel Blends'!K$11</f>
        <v>0.10999999999999588</v>
      </c>
      <c r="M6">
        <f>'Max Biofuel Blends'!L$11</f>
        <v>0.11999999999999744</v>
      </c>
      <c r="N6">
        <f>'Max Biofuel Blends'!M$11</f>
        <v>0.12999999999999901</v>
      </c>
      <c r="O6">
        <f>'Max Biofuel Blends'!N$11</f>
        <v>0.13999999999999702</v>
      </c>
      <c r="P6">
        <f>'Max Biofuel Blends'!O$11</f>
        <v>0.14999999999999858</v>
      </c>
      <c r="Q6">
        <f>'Max Biofuel Blends'!P$11</f>
        <v>0.15999999999999659</v>
      </c>
      <c r="R6">
        <f>'Max Biofuel Blends'!Q$11</f>
        <v>0.16999999999999815</v>
      </c>
      <c r="S6">
        <f>'Max Biofuel Blends'!R$11</f>
        <v>0.17999999999999616</v>
      </c>
      <c r="T6">
        <f>'Max Biofuel Blends'!S$11</f>
        <v>0.18999999999999773</v>
      </c>
      <c r="U6">
        <f>'Max Biofuel Blends'!T$11</f>
        <v>0.2</v>
      </c>
      <c r="V6">
        <f>'Max Biofuel Blends'!U$11</f>
        <v>0.2</v>
      </c>
      <c r="W6">
        <f>'Max Biofuel Blends'!V$11</f>
        <v>0.2</v>
      </c>
      <c r="X6">
        <f>'Max Biofuel Blends'!W$11</f>
        <v>0.2</v>
      </c>
      <c r="Y6">
        <f>'Max Biofuel Blends'!X$11</f>
        <v>0.2</v>
      </c>
      <c r="Z6">
        <f>'Max Biofuel Blends'!Y$11</f>
        <v>0.2</v>
      </c>
      <c r="AA6">
        <f>'Max Biofuel Blends'!Z$11</f>
        <v>0.2</v>
      </c>
      <c r="AB6">
        <f>'Max Biofuel Blends'!AA$11</f>
        <v>0.2</v>
      </c>
      <c r="AC6">
        <f>'Max Biofuel Blends'!AB$11</f>
        <v>0.2</v>
      </c>
      <c r="AD6">
        <f>'Max Biofuel Blends'!AC$11</f>
        <v>0.2</v>
      </c>
      <c r="AE6">
        <f>'Max Biofuel Blends'!AD$11</f>
        <v>0.2</v>
      </c>
      <c r="AF6">
        <f>'Max Biofuel Blends'!AE$11</f>
        <v>0.2</v>
      </c>
      <c r="AG6">
        <f>'Max Biofuel Blends'!AF$11</f>
        <v>0.2</v>
      </c>
      <c r="AH6">
        <f>'Max Biofuel Blends'!AG$11</f>
        <v>0.2</v>
      </c>
      <c r="AI6">
        <f>'Max Biofuel Blends'!AH$11</f>
        <v>0.2</v>
      </c>
      <c r="AJ6">
        <f>'Max Biofuel Blends'!AI$11</f>
        <v>0.2</v>
      </c>
      <c r="AK6">
        <f>'Max Biofuel Blends'!AJ$11</f>
        <v>0.2</v>
      </c>
      <c r="AL6">
        <f>'Max Biofuel Blends'!AK$11</f>
        <v>0.2</v>
      </c>
      <c r="AM6">
        <f>'Max Biofuel Blends'!AL$11</f>
        <v>0.2</v>
      </c>
      <c r="AN6">
        <f>'Max Biofuel Blends'!AM$11</f>
        <v>0.2</v>
      </c>
      <c r="AO6">
        <f>'Max Biofuel Blends'!AN$11</f>
        <v>0.2</v>
      </c>
      <c r="AP6">
        <f>'Max Biofuel Blends'!AO$11</f>
        <v>0.2</v>
      </c>
      <c r="AQ6">
        <f>'Max Biofuel Blends'!AP$11</f>
        <v>0.2</v>
      </c>
      <c r="AR6">
        <f>'Max Biofuel Blends'!AQ$11</f>
        <v>0.2</v>
      </c>
      <c r="AS6">
        <f>'Max Biofuel Blends'!AR$11</f>
        <v>0.2</v>
      </c>
      <c r="AT6">
        <f>'Max Biofuel Blends'!AS$11</f>
        <v>0.2</v>
      </c>
      <c r="AU6">
        <f>'Max Biofuel Blends'!AT$11</f>
        <v>0.2</v>
      </c>
      <c r="AV6">
        <f>'Max Biofuel Blends'!AU$11</f>
        <v>0.2</v>
      </c>
      <c r="AW6">
        <f>'Max Biofuel Blends'!AV$11</f>
        <v>0.2</v>
      </c>
      <c r="AX6">
        <f>'Max Biofuel Blends'!AW$11</f>
        <v>0.2</v>
      </c>
      <c r="AY6">
        <f>'Max Biofuel Blends'!AX$11</f>
        <v>0.2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3"/>
  </sheetPr>
  <dimension ref="A1:AY11"/>
  <sheetViews>
    <sheetView workbookViewId="0">
      <selection activeCell="AU15" sqref="AU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75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f>'Max Biofuel Blends'!A$11</f>
        <v>0</v>
      </c>
      <c r="C7">
        <f>'Max Biofuel Blends'!B$11</f>
        <v>1.9999999999996021E-2</v>
      </c>
      <c r="D7">
        <f>'Max Biofuel Blends'!C$11</f>
        <v>2.9999999999997584E-2</v>
      </c>
      <c r="E7">
        <f>'Max Biofuel Blends'!D$11</f>
        <v>3.9999999999999147E-2</v>
      </c>
      <c r="F7">
        <f>'Max Biofuel Blends'!E$11</f>
        <v>4.9999999999997158E-2</v>
      </c>
      <c r="G7">
        <f>'Max Biofuel Blends'!F$11</f>
        <v>5.9999999999998721E-2</v>
      </c>
      <c r="H7">
        <f>'Max Biofuel Blends'!G$11</f>
        <v>6.9999999999996732E-2</v>
      </c>
      <c r="I7">
        <f>'Max Biofuel Blends'!H$11</f>
        <v>7.9999999999998295E-2</v>
      </c>
      <c r="J7">
        <f>'Max Biofuel Blends'!I$11</f>
        <v>8.9999999999996305E-2</v>
      </c>
      <c r="K7">
        <f>'Max Biofuel Blends'!J$11</f>
        <v>0.1</v>
      </c>
      <c r="L7">
        <f>'Max Biofuel Blends'!K$11</f>
        <v>0.10999999999999588</v>
      </c>
      <c r="M7">
        <f>'Max Biofuel Blends'!L$11</f>
        <v>0.11999999999999744</v>
      </c>
      <c r="N7">
        <f>'Max Biofuel Blends'!M$11</f>
        <v>0.12999999999999901</v>
      </c>
      <c r="O7">
        <f>'Max Biofuel Blends'!N$11</f>
        <v>0.13999999999999702</v>
      </c>
      <c r="P7">
        <f>'Max Biofuel Blends'!O$11</f>
        <v>0.14999999999999858</v>
      </c>
      <c r="Q7">
        <f>'Max Biofuel Blends'!P$11</f>
        <v>0.15999999999999659</v>
      </c>
      <c r="R7">
        <f>'Max Biofuel Blends'!Q$11</f>
        <v>0.16999999999999815</v>
      </c>
      <c r="S7">
        <f>'Max Biofuel Blends'!R$11</f>
        <v>0.17999999999999616</v>
      </c>
      <c r="T7">
        <f>'Max Biofuel Blends'!S$11</f>
        <v>0.18999999999999773</v>
      </c>
      <c r="U7">
        <f>'Max Biofuel Blends'!T$11</f>
        <v>0.2</v>
      </c>
      <c r="V7">
        <f>'Max Biofuel Blends'!U$11</f>
        <v>0.2</v>
      </c>
      <c r="W7">
        <f>'Max Biofuel Blends'!V$11</f>
        <v>0.2</v>
      </c>
      <c r="X7">
        <f>'Max Biofuel Blends'!W$11</f>
        <v>0.2</v>
      </c>
      <c r="Y7">
        <f>'Max Biofuel Blends'!X$11</f>
        <v>0.2</v>
      </c>
      <c r="Z7">
        <f>'Max Biofuel Blends'!Y$11</f>
        <v>0.2</v>
      </c>
      <c r="AA7">
        <f>'Max Biofuel Blends'!Z$11</f>
        <v>0.2</v>
      </c>
      <c r="AB7">
        <f>'Max Biofuel Blends'!AA$11</f>
        <v>0.2</v>
      </c>
      <c r="AC7">
        <f>'Max Biofuel Blends'!AB$11</f>
        <v>0.2</v>
      </c>
      <c r="AD7">
        <f>'Max Biofuel Blends'!AC$11</f>
        <v>0.2</v>
      </c>
      <c r="AE7">
        <f>'Max Biofuel Blends'!AD$11</f>
        <v>0.2</v>
      </c>
      <c r="AF7">
        <f>'Max Biofuel Blends'!AE$11</f>
        <v>0.2</v>
      </c>
      <c r="AG7">
        <f>'Max Biofuel Blends'!AF$11</f>
        <v>0.2</v>
      </c>
      <c r="AH7">
        <f>'Max Biofuel Blends'!AG$11</f>
        <v>0.2</v>
      </c>
      <c r="AI7">
        <f>'Max Biofuel Blends'!AH$11</f>
        <v>0.2</v>
      </c>
      <c r="AJ7">
        <f>'Max Biofuel Blends'!AI$11</f>
        <v>0.2</v>
      </c>
      <c r="AK7">
        <f>'Max Biofuel Blends'!AJ$11</f>
        <v>0.2</v>
      </c>
      <c r="AL7">
        <f>'Max Biofuel Blends'!AK$11</f>
        <v>0.2</v>
      </c>
      <c r="AM7">
        <f>'Max Biofuel Blends'!AL$11</f>
        <v>0.2</v>
      </c>
      <c r="AN7">
        <f>'Max Biofuel Blends'!AM$11</f>
        <v>0.2</v>
      </c>
      <c r="AO7">
        <f>'Max Biofuel Blends'!AN$11</f>
        <v>0.2</v>
      </c>
      <c r="AP7">
        <f>'Max Biofuel Blends'!AO$11</f>
        <v>0.2</v>
      </c>
      <c r="AQ7">
        <f>'Max Biofuel Blends'!AP$11</f>
        <v>0.2</v>
      </c>
      <c r="AR7">
        <f>'Max Biofuel Blends'!AQ$11</f>
        <v>0.2</v>
      </c>
      <c r="AS7">
        <f>'Max Biofuel Blends'!AR$11</f>
        <v>0.2</v>
      </c>
      <c r="AT7">
        <f>'Max Biofuel Blends'!AS$11</f>
        <v>0.2</v>
      </c>
      <c r="AU7">
        <f>'Max Biofuel Blends'!AT$11</f>
        <v>0.2</v>
      </c>
      <c r="AV7">
        <f>'Max Biofuel Blends'!AU$11</f>
        <v>0.2</v>
      </c>
      <c r="AW7">
        <f>'Max Biofuel Blends'!AV$11</f>
        <v>0.2</v>
      </c>
      <c r="AX7">
        <f>'Max Biofuel Blends'!AW$11</f>
        <v>0.2</v>
      </c>
      <c r="AY7">
        <f>'Max Biofuel Blends'!AX$11</f>
        <v>0.2</v>
      </c>
    </row>
    <row r="8" spans="1:51" x14ac:dyDescent="0.35">
      <c r="A8" t="s">
        <v>71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3"/>
  </sheetPr>
  <dimension ref="A1:AY11"/>
  <sheetViews>
    <sheetView workbookViewId="0">
      <selection activeCell="AW13" sqref="AW13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75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3"/>
  </sheetPr>
  <dimension ref="A1:AY11"/>
  <sheetViews>
    <sheetView topLeftCell="AG1" workbookViewId="0">
      <selection activeCell="AT15" sqref="AT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75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3"/>
  </sheetPr>
  <dimension ref="A1:AY11"/>
  <sheetViews>
    <sheetView topLeftCell="AG1" workbookViewId="0">
      <selection activeCell="AV15" sqref="AV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75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3"/>
  </sheetPr>
  <dimension ref="A1:AY11"/>
  <sheetViews>
    <sheetView topLeftCell="AI1" workbookViewId="0">
      <selection activeCell="AV14" sqref="AV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75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f>'Max Biofuel Blends'!A$11</f>
        <v>0</v>
      </c>
      <c r="C6">
        <f>'Max Biofuel Blends'!B$11</f>
        <v>1.9999999999996021E-2</v>
      </c>
      <c r="D6">
        <f>'Max Biofuel Blends'!C$11</f>
        <v>2.9999999999997584E-2</v>
      </c>
      <c r="E6">
        <f>'Max Biofuel Blends'!D$11</f>
        <v>3.9999999999999147E-2</v>
      </c>
      <c r="F6">
        <f>'Max Biofuel Blends'!E$11</f>
        <v>4.9999999999997158E-2</v>
      </c>
      <c r="G6">
        <f>'Max Biofuel Blends'!F$11</f>
        <v>5.9999999999998721E-2</v>
      </c>
      <c r="H6">
        <f>'Max Biofuel Blends'!G$11</f>
        <v>6.9999999999996732E-2</v>
      </c>
      <c r="I6">
        <f>'Max Biofuel Blends'!H$11</f>
        <v>7.9999999999998295E-2</v>
      </c>
      <c r="J6">
        <f>'Max Biofuel Blends'!I$11</f>
        <v>8.9999999999996305E-2</v>
      </c>
      <c r="K6">
        <f>'Max Biofuel Blends'!J$11</f>
        <v>0.1</v>
      </c>
      <c r="L6">
        <f>'Max Biofuel Blends'!K$11</f>
        <v>0.10999999999999588</v>
      </c>
      <c r="M6">
        <f>'Max Biofuel Blends'!L$11</f>
        <v>0.11999999999999744</v>
      </c>
      <c r="N6">
        <f>'Max Biofuel Blends'!M$11</f>
        <v>0.12999999999999901</v>
      </c>
      <c r="O6">
        <f>'Max Biofuel Blends'!N$11</f>
        <v>0.13999999999999702</v>
      </c>
      <c r="P6">
        <f>'Max Biofuel Blends'!O$11</f>
        <v>0.14999999999999858</v>
      </c>
      <c r="Q6">
        <f>'Max Biofuel Blends'!P$11</f>
        <v>0.15999999999999659</v>
      </c>
      <c r="R6">
        <f>'Max Biofuel Blends'!Q$11</f>
        <v>0.16999999999999815</v>
      </c>
      <c r="S6">
        <f>'Max Biofuel Blends'!R$11</f>
        <v>0.17999999999999616</v>
      </c>
      <c r="T6">
        <f>'Max Biofuel Blends'!S$11</f>
        <v>0.18999999999999773</v>
      </c>
      <c r="U6">
        <f>'Max Biofuel Blends'!T$11</f>
        <v>0.2</v>
      </c>
      <c r="V6">
        <f>'Max Biofuel Blends'!U$11</f>
        <v>0.2</v>
      </c>
      <c r="W6">
        <f>'Max Biofuel Blends'!V$11</f>
        <v>0.2</v>
      </c>
      <c r="X6">
        <f>'Max Biofuel Blends'!W$11</f>
        <v>0.2</v>
      </c>
      <c r="Y6">
        <f>'Max Biofuel Blends'!X$11</f>
        <v>0.2</v>
      </c>
      <c r="Z6">
        <f>'Max Biofuel Blends'!Y$11</f>
        <v>0.2</v>
      </c>
      <c r="AA6">
        <f>'Max Biofuel Blends'!Z$11</f>
        <v>0.2</v>
      </c>
      <c r="AB6">
        <f>'Max Biofuel Blends'!AA$11</f>
        <v>0.2</v>
      </c>
      <c r="AC6">
        <f>'Max Biofuel Blends'!AB$11</f>
        <v>0.2</v>
      </c>
      <c r="AD6">
        <f>'Max Biofuel Blends'!AC$11</f>
        <v>0.2</v>
      </c>
      <c r="AE6">
        <f>'Max Biofuel Blends'!AD$11</f>
        <v>0.2</v>
      </c>
      <c r="AF6">
        <f>'Max Biofuel Blends'!AE$11</f>
        <v>0.2</v>
      </c>
      <c r="AG6">
        <f>'Max Biofuel Blends'!AF$11</f>
        <v>0.2</v>
      </c>
      <c r="AH6">
        <f>'Max Biofuel Blends'!AG$11</f>
        <v>0.2</v>
      </c>
      <c r="AI6">
        <f>'Max Biofuel Blends'!AH$11</f>
        <v>0.2</v>
      </c>
      <c r="AJ6">
        <f>'Max Biofuel Blends'!AI$11</f>
        <v>0.2</v>
      </c>
      <c r="AK6">
        <f>'Max Biofuel Blends'!AJ$11</f>
        <v>0.2</v>
      </c>
      <c r="AL6">
        <f>'Max Biofuel Blends'!AK$11</f>
        <v>0.2</v>
      </c>
      <c r="AM6">
        <f>'Max Biofuel Blends'!AL$11</f>
        <v>0.2</v>
      </c>
      <c r="AN6">
        <f>'Max Biofuel Blends'!AM$11</f>
        <v>0.2</v>
      </c>
      <c r="AO6">
        <f>'Max Biofuel Blends'!AN$11</f>
        <v>0.2</v>
      </c>
      <c r="AP6">
        <f>'Max Biofuel Blends'!AO$11</f>
        <v>0.2</v>
      </c>
      <c r="AQ6">
        <f>'Max Biofuel Blends'!AP$11</f>
        <v>0.2</v>
      </c>
      <c r="AR6">
        <f>'Max Biofuel Blends'!AQ$11</f>
        <v>0.2</v>
      </c>
      <c r="AS6">
        <f>'Max Biofuel Blends'!AR$11</f>
        <v>0.2</v>
      </c>
      <c r="AT6">
        <f>'Max Biofuel Blends'!AS$11</f>
        <v>0.2</v>
      </c>
      <c r="AU6">
        <f>'Max Biofuel Blends'!AT$11</f>
        <v>0.2</v>
      </c>
      <c r="AV6">
        <f>'Max Biofuel Blends'!AU$11</f>
        <v>0.2</v>
      </c>
      <c r="AW6">
        <f>'Max Biofuel Blends'!AV$11</f>
        <v>0.2</v>
      </c>
      <c r="AX6">
        <f>'Max Biofuel Blends'!AW$11</f>
        <v>0.2</v>
      </c>
      <c r="AY6">
        <f>'Max Biofuel Blends'!AX$11</f>
        <v>0.2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3"/>
  </sheetPr>
  <dimension ref="A1:AY11"/>
  <sheetViews>
    <sheetView topLeftCell="AH1" workbookViewId="0">
      <selection activeCell="AU13" sqref="AU13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75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f>'Max Biofuel Blends'!A$11</f>
        <v>0</v>
      </c>
      <c r="C7">
        <f>'Max Biofuel Blends'!B$11</f>
        <v>1.9999999999996021E-2</v>
      </c>
      <c r="D7">
        <f>'Max Biofuel Blends'!C$11</f>
        <v>2.9999999999997584E-2</v>
      </c>
      <c r="E7">
        <f>'Max Biofuel Blends'!D$11</f>
        <v>3.9999999999999147E-2</v>
      </c>
      <c r="F7">
        <f>'Max Biofuel Blends'!E$11</f>
        <v>4.9999999999997158E-2</v>
      </c>
      <c r="G7">
        <f>'Max Biofuel Blends'!F$11</f>
        <v>5.9999999999998721E-2</v>
      </c>
      <c r="H7">
        <f>'Max Biofuel Blends'!G$11</f>
        <v>6.9999999999996732E-2</v>
      </c>
      <c r="I7">
        <f>'Max Biofuel Blends'!H$11</f>
        <v>7.9999999999998295E-2</v>
      </c>
      <c r="J7">
        <f>'Max Biofuel Blends'!I$11</f>
        <v>8.9999999999996305E-2</v>
      </c>
      <c r="K7">
        <f>'Max Biofuel Blends'!J$11</f>
        <v>0.1</v>
      </c>
      <c r="L7">
        <f>'Max Biofuel Blends'!K$11</f>
        <v>0.10999999999999588</v>
      </c>
      <c r="M7">
        <f>'Max Biofuel Blends'!L$11</f>
        <v>0.11999999999999744</v>
      </c>
      <c r="N7">
        <f>'Max Biofuel Blends'!M$11</f>
        <v>0.12999999999999901</v>
      </c>
      <c r="O7">
        <f>'Max Biofuel Blends'!N$11</f>
        <v>0.13999999999999702</v>
      </c>
      <c r="P7">
        <f>'Max Biofuel Blends'!O$11</f>
        <v>0.14999999999999858</v>
      </c>
      <c r="Q7">
        <f>'Max Biofuel Blends'!P$11</f>
        <v>0.15999999999999659</v>
      </c>
      <c r="R7">
        <f>'Max Biofuel Blends'!Q$11</f>
        <v>0.16999999999999815</v>
      </c>
      <c r="S7">
        <f>'Max Biofuel Blends'!R$11</f>
        <v>0.17999999999999616</v>
      </c>
      <c r="T7">
        <f>'Max Biofuel Blends'!S$11</f>
        <v>0.18999999999999773</v>
      </c>
      <c r="U7">
        <f>'Max Biofuel Blends'!T$11</f>
        <v>0.2</v>
      </c>
      <c r="V7">
        <f>'Max Biofuel Blends'!U$11</f>
        <v>0.2</v>
      </c>
      <c r="W7">
        <f>'Max Biofuel Blends'!V$11</f>
        <v>0.2</v>
      </c>
      <c r="X7">
        <f>'Max Biofuel Blends'!W$11</f>
        <v>0.2</v>
      </c>
      <c r="Y7">
        <f>'Max Biofuel Blends'!X$11</f>
        <v>0.2</v>
      </c>
      <c r="Z7">
        <f>'Max Biofuel Blends'!Y$11</f>
        <v>0.2</v>
      </c>
      <c r="AA7">
        <f>'Max Biofuel Blends'!Z$11</f>
        <v>0.2</v>
      </c>
      <c r="AB7">
        <f>'Max Biofuel Blends'!AA$11</f>
        <v>0.2</v>
      </c>
      <c r="AC7">
        <f>'Max Biofuel Blends'!AB$11</f>
        <v>0.2</v>
      </c>
      <c r="AD7">
        <f>'Max Biofuel Blends'!AC$11</f>
        <v>0.2</v>
      </c>
      <c r="AE7">
        <f>'Max Biofuel Blends'!AD$11</f>
        <v>0.2</v>
      </c>
      <c r="AF7">
        <f>'Max Biofuel Blends'!AE$11</f>
        <v>0.2</v>
      </c>
      <c r="AG7">
        <f>'Max Biofuel Blends'!AF$11</f>
        <v>0.2</v>
      </c>
      <c r="AH7">
        <f>'Max Biofuel Blends'!AG$11</f>
        <v>0.2</v>
      </c>
      <c r="AI7">
        <f>'Max Biofuel Blends'!AH$11</f>
        <v>0.2</v>
      </c>
      <c r="AJ7">
        <f>'Max Biofuel Blends'!AI$11</f>
        <v>0.2</v>
      </c>
      <c r="AK7">
        <f>'Max Biofuel Blends'!AJ$11</f>
        <v>0.2</v>
      </c>
      <c r="AL7">
        <f>'Max Biofuel Blends'!AK$11</f>
        <v>0.2</v>
      </c>
      <c r="AM7">
        <f>'Max Biofuel Blends'!AL$11</f>
        <v>0.2</v>
      </c>
      <c r="AN7">
        <f>'Max Biofuel Blends'!AM$11</f>
        <v>0.2</v>
      </c>
      <c r="AO7">
        <f>'Max Biofuel Blends'!AN$11</f>
        <v>0.2</v>
      </c>
      <c r="AP7">
        <f>'Max Biofuel Blends'!AO$11</f>
        <v>0.2</v>
      </c>
      <c r="AQ7">
        <f>'Max Biofuel Blends'!AP$11</f>
        <v>0.2</v>
      </c>
      <c r="AR7">
        <f>'Max Biofuel Blends'!AQ$11</f>
        <v>0.2</v>
      </c>
      <c r="AS7">
        <f>'Max Biofuel Blends'!AR$11</f>
        <v>0.2</v>
      </c>
      <c r="AT7">
        <f>'Max Biofuel Blends'!AS$11</f>
        <v>0.2</v>
      </c>
      <c r="AU7">
        <f>'Max Biofuel Blends'!AT$11</f>
        <v>0.2</v>
      </c>
      <c r="AV7">
        <f>'Max Biofuel Blends'!AU$11</f>
        <v>0.2</v>
      </c>
      <c r="AW7">
        <f>'Max Biofuel Blends'!AV$11</f>
        <v>0.2</v>
      </c>
      <c r="AX7">
        <f>'Max Biofuel Blends'!AW$11</f>
        <v>0.2</v>
      </c>
      <c r="AY7">
        <f>'Max Biofuel Blends'!AX$11</f>
        <v>0.2</v>
      </c>
    </row>
    <row r="8" spans="1:51" x14ac:dyDescent="0.35">
      <c r="A8" t="s">
        <v>71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3"/>
  </sheetPr>
  <dimension ref="A1:AY11"/>
  <sheetViews>
    <sheetView workbookViewId="0">
      <selection activeCell="D15" sqref="D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75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3"/>
  </sheetPr>
  <dimension ref="A1:AY11"/>
  <sheetViews>
    <sheetView topLeftCell="AM1" workbookViewId="0">
      <selection activeCell="BB8" sqref="BB8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75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3"/>
  </sheetPr>
  <dimension ref="A1:AY11"/>
  <sheetViews>
    <sheetView topLeftCell="AG1" workbookViewId="0">
      <selection activeCell="AS15" sqref="AS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75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3"/>
  </sheetPr>
  <dimension ref="A1:AY11"/>
  <sheetViews>
    <sheetView topLeftCell="AK1" workbookViewId="0">
      <selection activeCell="AV14" sqref="AV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75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f>'Max Biofuel Blends'!A$11</f>
        <v>0</v>
      </c>
      <c r="C6">
        <f>'Max Biofuel Blends'!B$11</f>
        <v>1.9999999999996021E-2</v>
      </c>
      <c r="D6">
        <f>'Max Biofuel Blends'!C$11</f>
        <v>2.9999999999997584E-2</v>
      </c>
      <c r="E6">
        <f>'Max Biofuel Blends'!D$11</f>
        <v>3.9999999999999147E-2</v>
      </c>
      <c r="F6">
        <f>'Max Biofuel Blends'!E$11</f>
        <v>4.9999999999997158E-2</v>
      </c>
      <c r="G6">
        <f>'Max Biofuel Blends'!F$11</f>
        <v>5.9999999999998721E-2</v>
      </c>
      <c r="H6">
        <f>'Max Biofuel Blends'!G$11</f>
        <v>6.9999999999996732E-2</v>
      </c>
      <c r="I6">
        <f>'Max Biofuel Blends'!H$11</f>
        <v>7.9999999999998295E-2</v>
      </c>
      <c r="J6">
        <f>'Max Biofuel Blends'!I$11</f>
        <v>8.9999999999996305E-2</v>
      </c>
      <c r="K6">
        <f>'Max Biofuel Blends'!J$11</f>
        <v>0.1</v>
      </c>
      <c r="L6">
        <f>'Max Biofuel Blends'!K$11</f>
        <v>0.10999999999999588</v>
      </c>
      <c r="M6">
        <f>'Max Biofuel Blends'!L$11</f>
        <v>0.11999999999999744</v>
      </c>
      <c r="N6">
        <f>'Max Biofuel Blends'!M$11</f>
        <v>0.12999999999999901</v>
      </c>
      <c r="O6">
        <f>'Max Biofuel Blends'!N$11</f>
        <v>0.13999999999999702</v>
      </c>
      <c r="P6">
        <f>'Max Biofuel Blends'!O$11</f>
        <v>0.14999999999999858</v>
      </c>
      <c r="Q6">
        <f>'Max Biofuel Blends'!P$11</f>
        <v>0.15999999999999659</v>
      </c>
      <c r="R6">
        <f>'Max Biofuel Blends'!Q$11</f>
        <v>0.16999999999999815</v>
      </c>
      <c r="S6">
        <f>'Max Biofuel Blends'!R$11</f>
        <v>0.17999999999999616</v>
      </c>
      <c r="T6">
        <f>'Max Biofuel Blends'!S$11</f>
        <v>0.18999999999999773</v>
      </c>
      <c r="U6">
        <f>'Max Biofuel Blends'!T$11</f>
        <v>0.2</v>
      </c>
      <c r="V6">
        <f>'Max Biofuel Blends'!U$11</f>
        <v>0.2</v>
      </c>
      <c r="W6">
        <f>'Max Biofuel Blends'!V$11</f>
        <v>0.2</v>
      </c>
      <c r="X6">
        <f>'Max Biofuel Blends'!W$11</f>
        <v>0.2</v>
      </c>
      <c r="Y6">
        <f>'Max Biofuel Blends'!X$11</f>
        <v>0.2</v>
      </c>
      <c r="Z6">
        <f>'Max Biofuel Blends'!Y$11</f>
        <v>0.2</v>
      </c>
      <c r="AA6">
        <f>'Max Biofuel Blends'!Z$11</f>
        <v>0.2</v>
      </c>
      <c r="AB6">
        <f>'Max Biofuel Blends'!AA$11</f>
        <v>0.2</v>
      </c>
      <c r="AC6">
        <f>'Max Biofuel Blends'!AB$11</f>
        <v>0.2</v>
      </c>
      <c r="AD6">
        <f>'Max Biofuel Blends'!AC$11</f>
        <v>0.2</v>
      </c>
      <c r="AE6">
        <f>'Max Biofuel Blends'!AD$11</f>
        <v>0.2</v>
      </c>
      <c r="AF6">
        <f>'Max Biofuel Blends'!AE$11</f>
        <v>0.2</v>
      </c>
      <c r="AG6">
        <f>'Max Biofuel Blends'!AF$11</f>
        <v>0.2</v>
      </c>
      <c r="AH6">
        <f>'Max Biofuel Blends'!AG$11</f>
        <v>0.2</v>
      </c>
      <c r="AI6">
        <f>'Max Biofuel Blends'!AH$11</f>
        <v>0.2</v>
      </c>
      <c r="AJ6">
        <f>'Max Biofuel Blends'!AI$11</f>
        <v>0.2</v>
      </c>
      <c r="AK6">
        <f>'Max Biofuel Blends'!AJ$11</f>
        <v>0.2</v>
      </c>
      <c r="AL6">
        <f>'Max Biofuel Blends'!AK$11</f>
        <v>0.2</v>
      </c>
      <c r="AM6">
        <f>'Max Biofuel Blends'!AL$11</f>
        <v>0.2</v>
      </c>
      <c r="AN6">
        <f>'Max Biofuel Blends'!AM$11</f>
        <v>0.2</v>
      </c>
      <c r="AO6">
        <f>'Max Biofuel Blends'!AN$11</f>
        <v>0.2</v>
      </c>
      <c r="AP6">
        <f>'Max Biofuel Blends'!AO$11</f>
        <v>0.2</v>
      </c>
      <c r="AQ6">
        <f>'Max Biofuel Blends'!AP$11</f>
        <v>0.2</v>
      </c>
      <c r="AR6">
        <f>'Max Biofuel Blends'!AQ$11</f>
        <v>0.2</v>
      </c>
      <c r="AS6">
        <f>'Max Biofuel Blends'!AR$11</f>
        <v>0.2</v>
      </c>
      <c r="AT6">
        <f>'Max Biofuel Blends'!AS$11</f>
        <v>0.2</v>
      </c>
      <c r="AU6">
        <f>'Max Biofuel Blends'!AT$11</f>
        <v>0.2</v>
      </c>
      <c r="AV6">
        <f>'Max Biofuel Blends'!AU$11</f>
        <v>0.2</v>
      </c>
      <c r="AW6">
        <f>'Max Biofuel Blends'!AV$11</f>
        <v>0.2</v>
      </c>
      <c r="AX6">
        <f>'Max Biofuel Blends'!AW$11</f>
        <v>0.2</v>
      </c>
      <c r="AY6">
        <f>'Max Biofuel Blends'!AX$11</f>
        <v>0.2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3"/>
  </sheetPr>
  <dimension ref="A1:AY11"/>
  <sheetViews>
    <sheetView topLeftCell="AG1" workbookViewId="0">
      <selection activeCell="AU15" sqref="AU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75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f>'Max Biofuel Blends'!A$11</f>
        <v>0</v>
      </c>
      <c r="C7">
        <f>'Max Biofuel Blends'!B$11</f>
        <v>1.9999999999996021E-2</v>
      </c>
      <c r="D7">
        <f>'Max Biofuel Blends'!C$11</f>
        <v>2.9999999999997584E-2</v>
      </c>
      <c r="E7">
        <f>'Max Biofuel Blends'!D$11</f>
        <v>3.9999999999999147E-2</v>
      </c>
      <c r="F7">
        <f>'Max Biofuel Blends'!E$11</f>
        <v>4.9999999999997158E-2</v>
      </c>
      <c r="G7">
        <f>'Max Biofuel Blends'!F$11</f>
        <v>5.9999999999998721E-2</v>
      </c>
      <c r="H7">
        <f>'Max Biofuel Blends'!G$11</f>
        <v>6.9999999999996732E-2</v>
      </c>
      <c r="I7">
        <f>'Max Biofuel Blends'!H$11</f>
        <v>7.9999999999998295E-2</v>
      </c>
      <c r="J7">
        <f>'Max Biofuel Blends'!I$11</f>
        <v>8.9999999999996305E-2</v>
      </c>
      <c r="K7">
        <f>'Max Biofuel Blends'!J$11</f>
        <v>0.1</v>
      </c>
      <c r="L7">
        <f>'Max Biofuel Blends'!K$11</f>
        <v>0.10999999999999588</v>
      </c>
      <c r="M7">
        <f>'Max Biofuel Blends'!L$11</f>
        <v>0.11999999999999744</v>
      </c>
      <c r="N7">
        <f>'Max Biofuel Blends'!M$11</f>
        <v>0.12999999999999901</v>
      </c>
      <c r="O7">
        <f>'Max Biofuel Blends'!N$11</f>
        <v>0.13999999999999702</v>
      </c>
      <c r="P7">
        <f>'Max Biofuel Blends'!O$11</f>
        <v>0.14999999999999858</v>
      </c>
      <c r="Q7">
        <f>'Max Biofuel Blends'!P$11</f>
        <v>0.15999999999999659</v>
      </c>
      <c r="R7">
        <f>'Max Biofuel Blends'!Q$11</f>
        <v>0.16999999999999815</v>
      </c>
      <c r="S7">
        <f>'Max Biofuel Blends'!R$11</f>
        <v>0.17999999999999616</v>
      </c>
      <c r="T7">
        <f>'Max Biofuel Blends'!S$11</f>
        <v>0.18999999999999773</v>
      </c>
      <c r="U7">
        <f>'Max Biofuel Blends'!T$11</f>
        <v>0.2</v>
      </c>
      <c r="V7">
        <f>'Max Biofuel Blends'!U$11</f>
        <v>0.2</v>
      </c>
      <c r="W7">
        <f>'Max Biofuel Blends'!V$11</f>
        <v>0.2</v>
      </c>
      <c r="X7">
        <f>'Max Biofuel Blends'!W$11</f>
        <v>0.2</v>
      </c>
      <c r="Y7">
        <f>'Max Biofuel Blends'!X$11</f>
        <v>0.2</v>
      </c>
      <c r="Z7">
        <f>'Max Biofuel Blends'!Y$11</f>
        <v>0.2</v>
      </c>
      <c r="AA7">
        <f>'Max Biofuel Blends'!Z$11</f>
        <v>0.2</v>
      </c>
      <c r="AB7">
        <f>'Max Biofuel Blends'!AA$11</f>
        <v>0.2</v>
      </c>
      <c r="AC7">
        <f>'Max Biofuel Blends'!AB$11</f>
        <v>0.2</v>
      </c>
      <c r="AD7">
        <f>'Max Biofuel Blends'!AC$11</f>
        <v>0.2</v>
      </c>
      <c r="AE7">
        <f>'Max Biofuel Blends'!AD$11</f>
        <v>0.2</v>
      </c>
      <c r="AF7">
        <f>'Max Biofuel Blends'!AE$11</f>
        <v>0.2</v>
      </c>
      <c r="AG7">
        <f>'Max Biofuel Blends'!AF$11</f>
        <v>0.2</v>
      </c>
      <c r="AH7">
        <f>'Max Biofuel Blends'!AG$11</f>
        <v>0.2</v>
      </c>
      <c r="AI7">
        <f>'Max Biofuel Blends'!AH$11</f>
        <v>0.2</v>
      </c>
      <c r="AJ7">
        <f>'Max Biofuel Blends'!AI$11</f>
        <v>0.2</v>
      </c>
      <c r="AK7">
        <f>'Max Biofuel Blends'!AJ$11</f>
        <v>0.2</v>
      </c>
      <c r="AL7">
        <f>'Max Biofuel Blends'!AK$11</f>
        <v>0.2</v>
      </c>
      <c r="AM7">
        <f>'Max Biofuel Blends'!AL$11</f>
        <v>0.2</v>
      </c>
      <c r="AN7">
        <f>'Max Biofuel Blends'!AM$11</f>
        <v>0.2</v>
      </c>
      <c r="AO7">
        <f>'Max Biofuel Blends'!AN$11</f>
        <v>0.2</v>
      </c>
      <c r="AP7">
        <f>'Max Biofuel Blends'!AO$11</f>
        <v>0.2</v>
      </c>
      <c r="AQ7">
        <f>'Max Biofuel Blends'!AP$11</f>
        <v>0.2</v>
      </c>
      <c r="AR7">
        <f>'Max Biofuel Blends'!AQ$11</f>
        <v>0.2</v>
      </c>
      <c r="AS7">
        <f>'Max Biofuel Blends'!AR$11</f>
        <v>0.2</v>
      </c>
      <c r="AT7">
        <f>'Max Biofuel Blends'!AS$11</f>
        <v>0.2</v>
      </c>
      <c r="AU7">
        <f>'Max Biofuel Blends'!AT$11</f>
        <v>0.2</v>
      </c>
      <c r="AV7">
        <f>'Max Biofuel Blends'!AU$11</f>
        <v>0.2</v>
      </c>
      <c r="AW7">
        <f>'Max Biofuel Blends'!AV$11</f>
        <v>0.2</v>
      </c>
      <c r="AX7">
        <f>'Max Biofuel Blends'!AW$11</f>
        <v>0.2</v>
      </c>
      <c r="AY7">
        <f>'Max Biofuel Blends'!AX$11</f>
        <v>0.2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3"/>
  </sheetPr>
  <dimension ref="A1:AY11"/>
  <sheetViews>
    <sheetView topLeftCell="AJ1" workbookViewId="0">
      <selection activeCell="AW14" sqref="AW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75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3"/>
  </sheetPr>
  <dimension ref="A1:AY11"/>
  <sheetViews>
    <sheetView topLeftCell="AQ1" workbookViewId="0">
      <selection activeCell="BB11" sqref="BB11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75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3"/>
  </sheetPr>
  <dimension ref="A1:AY11"/>
  <sheetViews>
    <sheetView topLeftCell="AG1" workbookViewId="0">
      <selection activeCell="AV15" sqref="AV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75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3"/>
  </sheetPr>
  <dimension ref="A1:AY11"/>
  <sheetViews>
    <sheetView topLeftCell="AG1" workbookViewId="0">
      <selection activeCell="AU14" sqref="AU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75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f>'Max Biofuel Blends'!A$11</f>
        <v>0</v>
      </c>
      <c r="C6">
        <f>'Max Biofuel Blends'!B$11</f>
        <v>1.9999999999996021E-2</v>
      </c>
      <c r="D6">
        <f>'Max Biofuel Blends'!C$11</f>
        <v>2.9999999999997584E-2</v>
      </c>
      <c r="E6">
        <f>'Max Biofuel Blends'!D$11</f>
        <v>3.9999999999999147E-2</v>
      </c>
      <c r="F6">
        <f>'Max Biofuel Blends'!E$11</f>
        <v>4.9999999999997158E-2</v>
      </c>
      <c r="G6">
        <f>'Max Biofuel Blends'!F$11</f>
        <v>5.9999999999998721E-2</v>
      </c>
      <c r="H6">
        <f>'Max Biofuel Blends'!G$11</f>
        <v>6.9999999999996732E-2</v>
      </c>
      <c r="I6">
        <f>'Max Biofuel Blends'!H$11</f>
        <v>7.9999999999998295E-2</v>
      </c>
      <c r="J6">
        <f>'Max Biofuel Blends'!I$11</f>
        <v>8.9999999999996305E-2</v>
      </c>
      <c r="K6">
        <f>'Max Biofuel Blends'!J$11</f>
        <v>0.1</v>
      </c>
      <c r="L6">
        <f>'Max Biofuel Blends'!K$11</f>
        <v>0.10999999999999588</v>
      </c>
      <c r="M6">
        <f>'Max Biofuel Blends'!L$11</f>
        <v>0.11999999999999744</v>
      </c>
      <c r="N6">
        <f>'Max Biofuel Blends'!M$11</f>
        <v>0.12999999999999901</v>
      </c>
      <c r="O6">
        <f>'Max Biofuel Blends'!N$11</f>
        <v>0.13999999999999702</v>
      </c>
      <c r="P6">
        <f>'Max Biofuel Blends'!O$11</f>
        <v>0.14999999999999858</v>
      </c>
      <c r="Q6">
        <f>'Max Biofuel Blends'!P$11</f>
        <v>0.15999999999999659</v>
      </c>
      <c r="R6">
        <f>'Max Biofuel Blends'!Q$11</f>
        <v>0.16999999999999815</v>
      </c>
      <c r="S6">
        <f>'Max Biofuel Blends'!R$11</f>
        <v>0.17999999999999616</v>
      </c>
      <c r="T6">
        <f>'Max Biofuel Blends'!S$11</f>
        <v>0.18999999999999773</v>
      </c>
      <c r="U6">
        <f>'Max Biofuel Blends'!T$11</f>
        <v>0.2</v>
      </c>
      <c r="V6">
        <f>'Max Biofuel Blends'!U$11</f>
        <v>0.2</v>
      </c>
      <c r="W6">
        <f>'Max Biofuel Blends'!V$11</f>
        <v>0.2</v>
      </c>
      <c r="X6">
        <f>'Max Biofuel Blends'!W$11</f>
        <v>0.2</v>
      </c>
      <c r="Y6">
        <f>'Max Biofuel Blends'!X$11</f>
        <v>0.2</v>
      </c>
      <c r="Z6">
        <f>'Max Biofuel Blends'!Y$11</f>
        <v>0.2</v>
      </c>
      <c r="AA6">
        <f>'Max Biofuel Blends'!Z$11</f>
        <v>0.2</v>
      </c>
      <c r="AB6">
        <f>'Max Biofuel Blends'!AA$11</f>
        <v>0.2</v>
      </c>
      <c r="AC6">
        <f>'Max Biofuel Blends'!AB$11</f>
        <v>0.2</v>
      </c>
      <c r="AD6">
        <f>'Max Biofuel Blends'!AC$11</f>
        <v>0.2</v>
      </c>
      <c r="AE6">
        <f>'Max Biofuel Blends'!AD$11</f>
        <v>0.2</v>
      </c>
      <c r="AF6">
        <f>'Max Biofuel Blends'!AE$11</f>
        <v>0.2</v>
      </c>
      <c r="AG6">
        <f>'Max Biofuel Blends'!AF$11</f>
        <v>0.2</v>
      </c>
      <c r="AH6">
        <f>'Max Biofuel Blends'!AG$11</f>
        <v>0.2</v>
      </c>
      <c r="AI6">
        <f>'Max Biofuel Blends'!AH$11</f>
        <v>0.2</v>
      </c>
      <c r="AJ6">
        <f>'Max Biofuel Blends'!AI$11</f>
        <v>0.2</v>
      </c>
      <c r="AK6">
        <f>'Max Biofuel Blends'!AJ$11</f>
        <v>0.2</v>
      </c>
      <c r="AL6">
        <f>'Max Biofuel Blends'!AK$11</f>
        <v>0.2</v>
      </c>
      <c r="AM6">
        <f>'Max Biofuel Blends'!AL$11</f>
        <v>0.2</v>
      </c>
      <c r="AN6">
        <f>'Max Biofuel Blends'!AM$11</f>
        <v>0.2</v>
      </c>
      <c r="AO6">
        <f>'Max Biofuel Blends'!AN$11</f>
        <v>0.2</v>
      </c>
      <c r="AP6">
        <f>'Max Biofuel Blends'!AO$11</f>
        <v>0.2</v>
      </c>
      <c r="AQ6">
        <f>'Max Biofuel Blends'!AP$11</f>
        <v>0.2</v>
      </c>
      <c r="AR6">
        <f>'Max Biofuel Blends'!AQ$11</f>
        <v>0.2</v>
      </c>
      <c r="AS6">
        <f>'Max Biofuel Blends'!AR$11</f>
        <v>0.2</v>
      </c>
      <c r="AT6">
        <f>'Max Biofuel Blends'!AS$11</f>
        <v>0.2</v>
      </c>
      <c r="AU6">
        <f>'Max Biofuel Blends'!AT$11</f>
        <v>0.2</v>
      </c>
      <c r="AV6">
        <f>'Max Biofuel Blends'!AU$11</f>
        <v>0.2</v>
      </c>
      <c r="AW6">
        <f>'Max Biofuel Blends'!AV$11</f>
        <v>0.2</v>
      </c>
      <c r="AX6">
        <f>'Max Biofuel Blends'!AW$11</f>
        <v>0.2</v>
      </c>
      <c r="AY6">
        <f>'Max Biofuel Blends'!AX$11</f>
        <v>0.2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3"/>
  </sheetPr>
  <dimension ref="A1:AY11"/>
  <sheetViews>
    <sheetView topLeftCell="AG1" workbookViewId="0">
      <selection activeCell="AV15" sqref="AV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75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f>'Max Biofuel Blends'!A$11</f>
        <v>0</v>
      </c>
      <c r="C7">
        <f>'Max Biofuel Blends'!B$11</f>
        <v>1.9999999999996021E-2</v>
      </c>
      <c r="D7">
        <f>'Max Biofuel Blends'!C$11</f>
        <v>2.9999999999997584E-2</v>
      </c>
      <c r="E7">
        <f>'Max Biofuel Blends'!D$11</f>
        <v>3.9999999999999147E-2</v>
      </c>
      <c r="F7">
        <f>'Max Biofuel Blends'!E$11</f>
        <v>4.9999999999997158E-2</v>
      </c>
      <c r="G7">
        <f>'Max Biofuel Blends'!F$11</f>
        <v>5.9999999999998721E-2</v>
      </c>
      <c r="H7">
        <f>'Max Biofuel Blends'!G$11</f>
        <v>6.9999999999996732E-2</v>
      </c>
      <c r="I7">
        <f>'Max Biofuel Blends'!H$11</f>
        <v>7.9999999999998295E-2</v>
      </c>
      <c r="J7">
        <f>'Max Biofuel Blends'!I$11</f>
        <v>8.9999999999996305E-2</v>
      </c>
      <c r="K7">
        <f>'Max Biofuel Blends'!J$11</f>
        <v>0.1</v>
      </c>
      <c r="L7">
        <f>'Max Biofuel Blends'!K$11</f>
        <v>0.10999999999999588</v>
      </c>
      <c r="M7">
        <f>'Max Biofuel Blends'!L$11</f>
        <v>0.11999999999999744</v>
      </c>
      <c r="N7">
        <f>'Max Biofuel Blends'!M$11</f>
        <v>0.12999999999999901</v>
      </c>
      <c r="O7">
        <f>'Max Biofuel Blends'!N$11</f>
        <v>0.13999999999999702</v>
      </c>
      <c r="P7">
        <f>'Max Biofuel Blends'!O$11</f>
        <v>0.14999999999999858</v>
      </c>
      <c r="Q7">
        <f>'Max Biofuel Blends'!P$11</f>
        <v>0.15999999999999659</v>
      </c>
      <c r="R7">
        <f>'Max Biofuel Blends'!Q$11</f>
        <v>0.16999999999999815</v>
      </c>
      <c r="S7">
        <f>'Max Biofuel Blends'!R$11</f>
        <v>0.17999999999999616</v>
      </c>
      <c r="T7">
        <f>'Max Biofuel Blends'!S$11</f>
        <v>0.18999999999999773</v>
      </c>
      <c r="U7">
        <f>'Max Biofuel Blends'!T$11</f>
        <v>0.2</v>
      </c>
      <c r="V7">
        <f>'Max Biofuel Blends'!U$11</f>
        <v>0.2</v>
      </c>
      <c r="W7">
        <f>'Max Biofuel Blends'!V$11</f>
        <v>0.2</v>
      </c>
      <c r="X7">
        <f>'Max Biofuel Blends'!W$11</f>
        <v>0.2</v>
      </c>
      <c r="Y7">
        <f>'Max Biofuel Blends'!X$11</f>
        <v>0.2</v>
      </c>
      <c r="Z7">
        <f>'Max Biofuel Blends'!Y$11</f>
        <v>0.2</v>
      </c>
      <c r="AA7">
        <f>'Max Biofuel Blends'!Z$11</f>
        <v>0.2</v>
      </c>
      <c r="AB7">
        <f>'Max Biofuel Blends'!AA$11</f>
        <v>0.2</v>
      </c>
      <c r="AC7">
        <f>'Max Biofuel Blends'!AB$11</f>
        <v>0.2</v>
      </c>
      <c r="AD7">
        <f>'Max Biofuel Blends'!AC$11</f>
        <v>0.2</v>
      </c>
      <c r="AE7">
        <f>'Max Biofuel Blends'!AD$11</f>
        <v>0.2</v>
      </c>
      <c r="AF7">
        <f>'Max Biofuel Blends'!AE$11</f>
        <v>0.2</v>
      </c>
      <c r="AG7">
        <f>'Max Biofuel Blends'!AF$11</f>
        <v>0.2</v>
      </c>
      <c r="AH7">
        <f>'Max Biofuel Blends'!AG$11</f>
        <v>0.2</v>
      </c>
      <c r="AI7">
        <f>'Max Biofuel Blends'!AH$11</f>
        <v>0.2</v>
      </c>
      <c r="AJ7">
        <f>'Max Biofuel Blends'!AI$11</f>
        <v>0.2</v>
      </c>
      <c r="AK7">
        <f>'Max Biofuel Blends'!AJ$11</f>
        <v>0.2</v>
      </c>
      <c r="AL7">
        <f>'Max Biofuel Blends'!AK$11</f>
        <v>0.2</v>
      </c>
      <c r="AM7">
        <f>'Max Biofuel Blends'!AL$11</f>
        <v>0.2</v>
      </c>
      <c r="AN7">
        <f>'Max Biofuel Blends'!AM$11</f>
        <v>0.2</v>
      </c>
      <c r="AO7">
        <f>'Max Biofuel Blends'!AN$11</f>
        <v>0.2</v>
      </c>
      <c r="AP7">
        <f>'Max Biofuel Blends'!AO$11</f>
        <v>0.2</v>
      </c>
      <c r="AQ7">
        <f>'Max Biofuel Blends'!AP$11</f>
        <v>0.2</v>
      </c>
      <c r="AR7">
        <f>'Max Biofuel Blends'!AQ$11</f>
        <v>0.2</v>
      </c>
      <c r="AS7">
        <f>'Max Biofuel Blends'!AR$11</f>
        <v>0.2</v>
      </c>
      <c r="AT7">
        <f>'Max Biofuel Blends'!AS$11</f>
        <v>0.2</v>
      </c>
      <c r="AU7">
        <f>'Max Biofuel Blends'!AT$11</f>
        <v>0.2</v>
      </c>
      <c r="AV7">
        <f>'Max Biofuel Blends'!AU$11</f>
        <v>0.2</v>
      </c>
      <c r="AW7">
        <f>'Max Biofuel Blends'!AV$11</f>
        <v>0.2</v>
      </c>
      <c r="AX7">
        <f>'Max Biofuel Blends'!AW$11</f>
        <v>0.2</v>
      </c>
      <c r="AY7">
        <f>'Max Biofuel Blends'!AX$11</f>
        <v>0.2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3"/>
  </sheetPr>
  <dimension ref="A1:AY11"/>
  <sheetViews>
    <sheetView topLeftCell="AJ1" workbookViewId="0">
      <selection activeCell="AV12" sqref="AV12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75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3"/>
  </sheetPr>
  <dimension ref="A1:AY11"/>
  <sheetViews>
    <sheetView topLeftCell="AJ1" workbookViewId="0">
      <selection activeCell="AV15" sqref="AV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75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3"/>
  </sheetPr>
  <dimension ref="A1:AY11"/>
  <sheetViews>
    <sheetView topLeftCell="AJ1" workbookViewId="0">
      <selection activeCell="AW14" sqref="AW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75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theme="3"/>
  </sheetPr>
  <dimension ref="A1:AY11"/>
  <sheetViews>
    <sheetView topLeftCell="AH1" workbookViewId="0">
      <selection activeCell="AW15" sqref="AW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75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f>'Max Biofuel Blends'!A$11</f>
        <v>0</v>
      </c>
      <c r="C6">
        <f>'Max Biofuel Blends'!B$11</f>
        <v>1.9999999999996021E-2</v>
      </c>
      <c r="D6">
        <f>'Max Biofuel Blends'!C$11</f>
        <v>2.9999999999997584E-2</v>
      </c>
      <c r="E6">
        <f>'Max Biofuel Blends'!D$11</f>
        <v>3.9999999999999147E-2</v>
      </c>
      <c r="F6">
        <f>'Max Biofuel Blends'!E$11</f>
        <v>4.9999999999997158E-2</v>
      </c>
      <c r="G6">
        <f>'Max Biofuel Blends'!F$11</f>
        <v>5.9999999999998721E-2</v>
      </c>
      <c r="H6">
        <f>'Max Biofuel Blends'!G$11</f>
        <v>6.9999999999996732E-2</v>
      </c>
      <c r="I6">
        <f>'Max Biofuel Blends'!H$11</f>
        <v>7.9999999999998295E-2</v>
      </c>
      <c r="J6">
        <f>'Max Biofuel Blends'!I$11</f>
        <v>8.9999999999996305E-2</v>
      </c>
      <c r="K6">
        <f>'Max Biofuel Blends'!J$11</f>
        <v>0.1</v>
      </c>
      <c r="L6">
        <f>'Max Biofuel Blends'!K$11</f>
        <v>0.10999999999999588</v>
      </c>
      <c r="M6">
        <f>'Max Biofuel Blends'!L$11</f>
        <v>0.11999999999999744</v>
      </c>
      <c r="N6">
        <f>'Max Biofuel Blends'!M$11</f>
        <v>0.12999999999999901</v>
      </c>
      <c r="O6">
        <f>'Max Biofuel Blends'!N$11</f>
        <v>0.13999999999999702</v>
      </c>
      <c r="P6">
        <f>'Max Biofuel Blends'!O$11</f>
        <v>0.14999999999999858</v>
      </c>
      <c r="Q6">
        <f>'Max Biofuel Blends'!P$11</f>
        <v>0.15999999999999659</v>
      </c>
      <c r="R6">
        <f>'Max Biofuel Blends'!Q$11</f>
        <v>0.16999999999999815</v>
      </c>
      <c r="S6">
        <f>'Max Biofuel Blends'!R$11</f>
        <v>0.17999999999999616</v>
      </c>
      <c r="T6">
        <f>'Max Biofuel Blends'!S$11</f>
        <v>0.18999999999999773</v>
      </c>
      <c r="U6">
        <f>'Max Biofuel Blends'!T$11</f>
        <v>0.2</v>
      </c>
      <c r="V6">
        <f>'Max Biofuel Blends'!U$11</f>
        <v>0.2</v>
      </c>
      <c r="W6">
        <f>'Max Biofuel Blends'!V$11</f>
        <v>0.2</v>
      </c>
      <c r="X6">
        <f>'Max Biofuel Blends'!W$11</f>
        <v>0.2</v>
      </c>
      <c r="Y6">
        <f>'Max Biofuel Blends'!X$11</f>
        <v>0.2</v>
      </c>
      <c r="Z6">
        <f>'Max Biofuel Blends'!Y$11</f>
        <v>0.2</v>
      </c>
      <c r="AA6">
        <f>'Max Biofuel Blends'!Z$11</f>
        <v>0.2</v>
      </c>
      <c r="AB6">
        <f>'Max Biofuel Blends'!AA$11</f>
        <v>0.2</v>
      </c>
      <c r="AC6">
        <f>'Max Biofuel Blends'!AB$11</f>
        <v>0.2</v>
      </c>
      <c r="AD6">
        <f>'Max Biofuel Blends'!AC$11</f>
        <v>0.2</v>
      </c>
      <c r="AE6">
        <f>'Max Biofuel Blends'!AD$11</f>
        <v>0.2</v>
      </c>
      <c r="AF6">
        <f>'Max Biofuel Blends'!AE$11</f>
        <v>0.2</v>
      </c>
      <c r="AG6">
        <f>'Max Biofuel Blends'!AF$11</f>
        <v>0.2</v>
      </c>
      <c r="AH6">
        <f>'Max Biofuel Blends'!AG$11</f>
        <v>0.2</v>
      </c>
      <c r="AI6">
        <f>'Max Biofuel Blends'!AH$11</f>
        <v>0.2</v>
      </c>
      <c r="AJ6">
        <f>'Max Biofuel Blends'!AI$11</f>
        <v>0.2</v>
      </c>
      <c r="AK6">
        <f>'Max Biofuel Blends'!AJ$11</f>
        <v>0.2</v>
      </c>
      <c r="AL6">
        <f>'Max Biofuel Blends'!AK$11</f>
        <v>0.2</v>
      </c>
      <c r="AM6">
        <f>'Max Biofuel Blends'!AL$11</f>
        <v>0.2</v>
      </c>
      <c r="AN6">
        <f>'Max Biofuel Blends'!AM$11</f>
        <v>0.2</v>
      </c>
      <c r="AO6">
        <f>'Max Biofuel Blends'!AN$11</f>
        <v>0.2</v>
      </c>
      <c r="AP6">
        <f>'Max Biofuel Blends'!AO$11</f>
        <v>0.2</v>
      </c>
      <c r="AQ6">
        <f>'Max Biofuel Blends'!AP$11</f>
        <v>0.2</v>
      </c>
      <c r="AR6">
        <f>'Max Biofuel Blends'!AQ$11</f>
        <v>0.2</v>
      </c>
      <c r="AS6">
        <f>'Max Biofuel Blends'!AR$11</f>
        <v>0.2</v>
      </c>
      <c r="AT6">
        <f>'Max Biofuel Blends'!AS$11</f>
        <v>0.2</v>
      </c>
      <c r="AU6">
        <f>'Max Biofuel Blends'!AT$11</f>
        <v>0.2</v>
      </c>
      <c r="AV6">
        <f>'Max Biofuel Blends'!AU$11</f>
        <v>0.2</v>
      </c>
      <c r="AW6">
        <f>'Max Biofuel Blends'!AV$11</f>
        <v>0.2</v>
      </c>
      <c r="AX6">
        <f>'Max Biofuel Blends'!AW$11</f>
        <v>0.2</v>
      </c>
      <c r="AY6">
        <f>'Max Biofuel Blends'!AX$11</f>
        <v>0.2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3"/>
  </sheetPr>
  <dimension ref="A1:AY11"/>
  <sheetViews>
    <sheetView topLeftCell="AH1" workbookViewId="0">
      <selection activeCell="AV15" sqref="AV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75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f>'Max Biofuel Blends'!A$11</f>
        <v>0</v>
      </c>
      <c r="C7">
        <f>'Max Biofuel Blends'!B$11</f>
        <v>1.9999999999996021E-2</v>
      </c>
      <c r="D7">
        <f>'Max Biofuel Blends'!C$11</f>
        <v>2.9999999999997584E-2</v>
      </c>
      <c r="E7">
        <f>'Max Biofuel Blends'!D$11</f>
        <v>3.9999999999999147E-2</v>
      </c>
      <c r="F7">
        <f>'Max Biofuel Blends'!E$11</f>
        <v>4.9999999999997158E-2</v>
      </c>
      <c r="G7">
        <f>'Max Biofuel Blends'!F$11</f>
        <v>5.9999999999998721E-2</v>
      </c>
      <c r="H7">
        <f>'Max Biofuel Blends'!G$11</f>
        <v>6.9999999999996732E-2</v>
      </c>
      <c r="I7">
        <f>'Max Biofuel Blends'!H$11</f>
        <v>7.9999999999998295E-2</v>
      </c>
      <c r="J7">
        <f>'Max Biofuel Blends'!I$11</f>
        <v>8.9999999999996305E-2</v>
      </c>
      <c r="K7">
        <f>'Max Biofuel Blends'!J$11</f>
        <v>0.1</v>
      </c>
      <c r="L7">
        <f>'Max Biofuel Blends'!K$11</f>
        <v>0.10999999999999588</v>
      </c>
      <c r="M7">
        <f>'Max Biofuel Blends'!L$11</f>
        <v>0.11999999999999744</v>
      </c>
      <c r="N7">
        <f>'Max Biofuel Blends'!M$11</f>
        <v>0.12999999999999901</v>
      </c>
      <c r="O7">
        <f>'Max Biofuel Blends'!N$11</f>
        <v>0.13999999999999702</v>
      </c>
      <c r="P7">
        <f>'Max Biofuel Blends'!O$11</f>
        <v>0.14999999999999858</v>
      </c>
      <c r="Q7">
        <f>'Max Biofuel Blends'!P$11</f>
        <v>0.15999999999999659</v>
      </c>
      <c r="R7">
        <f>'Max Biofuel Blends'!Q$11</f>
        <v>0.16999999999999815</v>
      </c>
      <c r="S7">
        <f>'Max Biofuel Blends'!R$11</f>
        <v>0.17999999999999616</v>
      </c>
      <c r="T7">
        <f>'Max Biofuel Blends'!S$11</f>
        <v>0.18999999999999773</v>
      </c>
      <c r="U7">
        <f>'Max Biofuel Blends'!T$11</f>
        <v>0.2</v>
      </c>
      <c r="V7">
        <f>'Max Biofuel Blends'!U$11</f>
        <v>0.2</v>
      </c>
      <c r="W7">
        <f>'Max Biofuel Blends'!V$11</f>
        <v>0.2</v>
      </c>
      <c r="X7">
        <f>'Max Biofuel Blends'!W$11</f>
        <v>0.2</v>
      </c>
      <c r="Y7">
        <f>'Max Biofuel Blends'!X$11</f>
        <v>0.2</v>
      </c>
      <c r="Z7">
        <f>'Max Biofuel Blends'!Y$11</f>
        <v>0.2</v>
      </c>
      <c r="AA7">
        <f>'Max Biofuel Blends'!Z$11</f>
        <v>0.2</v>
      </c>
      <c r="AB7">
        <f>'Max Biofuel Blends'!AA$11</f>
        <v>0.2</v>
      </c>
      <c r="AC7">
        <f>'Max Biofuel Blends'!AB$11</f>
        <v>0.2</v>
      </c>
      <c r="AD7">
        <f>'Max Biofuel Blends'!AC$11</f>
        <v>0.2</v>
      </c>
      <c r="AE7">
        <f>'Max Biofuel Blends'!AD$11</f>
        <v>0.2</v>
      </c>
      <c r="AF7">
        <f>'Max Biofuel Blends'!AE$11</f>
        <v>0.2</v>
      </c>
      <c r="AG7">
        <f>'Max Biofuel Blends'!AF$11</f>
        <v>0.2</v>
      </c>
      <c r="AH7">
        <f>'Max Biofuel Blends'!AG$11</f>
        <v>0.2</v>
      </c>
      <c r="AI7">
        <f>'Max Biofuel Blends'!AH$11</f>
        <v>0.2</v>
      </c>
      <c r="AJ7">
        <f>'Max Biofuel Blends'!AI$11</f>
        <v>0.2</v>
      </c>
      <c r="AK7">
        <f>'Max Biofuel Blends'!AJ$11</f>
        <v>0.2</v>
      </c>
      <c r="AL7">
        <f>'Max Biofuel Blends'!AK$11</f>
        <v>0.2</v>
      </c>
      <c r="AM7">
        <f>'Max Biofuel Blends'!AL$11</f>
        <v>0.2</v>
      </c>
      <c r="AN7">
        <f>'Max Biofuel Blends'!AM$11</f>
        <v>0.2</v>
      </c>
      <c r="AO7">
        <f>'Max Biofuel Blends'!AN$11</f>
        <v>0.2</v>
      </c>
      <c r="AP7">
        <f>'Max Biofuel Blends'!AO$11</f>
        <v>0.2</v>
      </c>
      <c r="AQ7">
        <f>'Max Biofuel Blends'!AP$11</f>
        <v>0.2</v>
      </c>
      <c r="AR7">
        <f>'Max Biofuel Blends'!AQ$11</f>
        <v>0.2</v>
      </c>
      <c r="AS7">
        <f>'Max Biofuel Blends'!AR$11</f>
        <v>0.2</v>
      </c>
      <c r="AT7">
        <f>'Max Biofuel Blends'!AS$11</f>
        <v>0.2</v>
      </c>
      <c r="AU7">
        <f>'Max Biofuel Blends'!AT$11</f>
        <v>0.2</v>
      </c>
      <c r="AV7">
        <f>'Max Biofuel Blends'!AU$11</f>
        <v>0.2</v>
      </c>
      <c r="AW7">
        <f>'Max Biofuel Blends'!AV$11</f>
        <v>0.2</v>
      </c>
      <c r="AX7">
        <f>'Max Biofuel Blends'!AW$11</f>
        <v>0.2</v>
      </c>
      <c r="AY7">
        <f>'Max Biofuel Blends'!AX$11</f>
        <v>0.2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3"/>
  </sheetPr>
  <dimension ref="A1:AY11"/>
  <sheetViews>
    <sheetView topLeftCell="AK1" workbookViewId="0">
      <selection activeCell="BA11" sqref="BA11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75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3"/>
  </sheetPr>
  <dimension ref="A1:AY11"/>
  <sheetViews>
    <sheetView topLeftCell="AG1" workbookViewId="0">
      <selection activeCell="AV16" sqref="AV16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75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3"/>
  </sheetPr>
  <dimension ref="A1:AY11"/>
  <sheetViews>
    <sheetView topLeftCell="AI1" workbookViewId="0">
      <selection activeCell="AW16" sqref="AW16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75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3"/>
  </sheetPr>
  <dimension ref="A1:AY11"/>
  <sheetViews>
    <sheetView topLeftCell="AJ1" workbookViewId="0">
      <selection activeCell="BA9" sqref="BA9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75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f>'Max Biofuel Blends'!A$11</f>
        <v>0</v>
      </c>
      <c r="C6">
        <f>'Max Biofuel Blends'!B$11</f>
        <v>1.9999999999996021E-2</v>
      </c>
      <c r="D6">
        <f>'Max Biofuel Blends'!C$11</f>
        <v>2.9999999999997584E-2</v>
      </c>
      <c r="E6">
        <f>'Max Biofuel Blends'!D$11</f>
        <v>3.9999999999999147E-2</v>
      </c>
      <c r="F6">
        <f>'Max Biofuel Blends'!E$11</f>
        <v>4.9999999999997158E-2</v>
      </c>
      <c r="G6">
        <f>'Max Biofuel Blends'!F$11</f>
        <v>5.9999999999998721E-2</v>
      </c>
      <c r="H6">
        <f>'Max Biofuel Blends'!G$11</f>
        <v>6.9999999999996732E-2</v>
      </c>
      <c r="I6">
        <f>'Max Biofuel Blends'!H$11</f>
        <v>7.9999999999998295E-2</v>
      </c>
      <c r="J6">
        <f>'Max Biofuel Blends'!I$11</f>
        <v>8.9999999999996305E-2</v>
      </c>
      <c r="K6">
        <f>'Max Biofuel Blends'!J$11</f>
        <v>0.1</v>
      </c>
      <c r="L6">
        <f>'Max Biofuel Blends'!K$11</f>
        <v>0.10999999999999588</v>
      </c>
      <c r="M6">
        <f>'Max Biofuel Blends'!L$11</f>
        <v>0.11999999999999744</v>
      </c>
      <c r="N6">
        <f>'Max Biofuel Blends'!M$11</f>
        <v>0.12999999999999901</v>
      </c>
      <c r="O6">
        <f>'Max Biofuel Blends'!N$11</f>
        <v>0.13999999999999702</v>
      </c>
      <c r="P6">
        <f>'Max Biofuel Blends'!O$11</f>
        <v>0.14999999999999858</v>
      </c>
      <c r="Q6">
        <f>'Max Biofuel Blends'!P$11</f>
        <v>0.15999999999999659</v>
      </c>
      <c r="R6">
        <f>'Max Biofuel Blends'!Q$11</f>
        <v>0.16999999999999815</v>
      </c>
      <c r="S6">
        <f>'Max Biofuel Blends'!R$11</f>
        <v>0.17999999999999616</v>
      </c>
      <c r="T6">
        <f>'Max Biofuel Blends'!S$11</f>
        <v>0.18999999999999773</v>
      </c>
      <c r="U6">
        <f>'Max Biofuel Blends'!T$11</f>
        <v>0.2</v>
      </c>
      <c r="V6">
        <f>'Max Biofuel Blends'!U$11</f>
        <v>0.2</v>
      </c>
      <c r="W6">
        <f>'Max Biofuel Blends'!V$11</f>
        <v>0.2</v>
      </c>
      <c r="X6">
        <f>'Max Biofuel Blends'!W$11</f>
        <v>0.2</v>
      </c>
      <c r="Y6">
        <f>'Max Biofuel Blends'!X$11</f>
        <v>0.2</v>
      </c>
      <c r="Z6">
        <f>'Max Biofuel Blends'!Y$11</f>
        <v>0.2</v>
      </c>
      <c r="AA6">
        <f>'Max Biofuel Blends'!Z$11</f>
        <v>0.2</v>
      </c>
      <c r="AB6">
        <f>'Max Biofuel Blends'!AA$11</f>
        <v>0.2</v>
      </c>
      <c r="AC6">
        <f>'Max Biofuel Blends'!AB$11</f>
        <v>0.2</v>
      </c>
      <c r="AD6">
        <f>'Max Biofuel Blends'!AC$11</f>
        <v>0.2</v>
      </c>
      <c r="AE6">
        <f>'Max Biofuel Blends'!AD$11</f>
        <v>0.2</v>
      </c>
      <c r="AF6">
        <f>'Max Biofuel Blends'!AE$11</f>
        <v>0.2</v>
      </c>
      <c r="AG6">
        <f>'Max Biofuel Blends'!AF$11</f>
        <v>0.2</v>
      </c>
      <c r="AH6">
        <f>'Max Biofuel Blends'!AG$11</f>
        <v>0.2</v>
      </c>
      <c r="AI6">
        <f>'Max Biofuel Blends'!AH$11</f>
        <v>0.2</v>
      </c>
      <c r="AJ6">
        <f>'Max Biofuel Blends'!AI$11</f>
        <v>0.2</v>
      </c>
      <c r="AK6">
        <f>'Max Biofuel Blends'!AJ$11</f>
        <v>0.2</v>
      </c>
      <c r="AL6">
        <f>'Max Biofuel Blends'!AK$11</f>
        <v>0.2</v>
      </c>
      <c r="AM6">
        <f>'Max Biofuel Blends'!AL$11</f>
        <v>0.2</v>
      </c>
      <c r="AN6">
        <f>'Max Biofuel Blends'!AM$11</f>
        <v>0.2</v>
      </c>
      <c r="AO6">
        <f>'Max Biofuel Blends'!AN$11</f>
        <v>0.2</v>
      </c>
      <c r="AP6">
        <f>'Max Biofuel Blends'!AO$11</f>
        <v>0.2</v>
      </c>
      <c r="AQ6">
        <f>'Max Biofuel Blends'!AP$11</f>
        <v>0.2</v>
      </c>
      <c r="AR6">
        <f>'Max Biofuel Blends'!AQ$11</f>
        <v>0.2</v>
      </c>
      <c r="AS6">
        <f>'Max Biofuel Blends'!AR$11</f>
        <v>0.2</v>
      </c>
      <c r="AT6">
        <f>'Max Biofuel Blends'!AS$11</f>
        <v>0.2</v>
      </c>
      <c r="AU6">
        <f>'Max Biofuel Blends'!AT$11</f>
        <v>0.2</v>
      </c>
      <c r="AV6">
        <f>'Max Biofuel Blends'!AU$11</f>
        <v>0.2</v>
      </c>
      <c r="AW6">
        <f>'Max Biofuel Blends'!AV$11</f>
        <v>0.2</v>
      </c>
      <c r="AX6">
        <f>'Max Biofuel Blends'!AW$11</f>
        <v>0.2</v>
      </c>
      <c r="AY6">
        <f>'Max Biofuel Blends'!AX$11</f>
        <v>0.2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3"/>
  </sheetPr>
  <dimension ref="A1:AY11"/>
  <sheetViews>
    <sheetView topLeftCell="AG1" workbookViewId="0">
      <selection activeCell="AV15" sqref="AV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75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0.52807893237929593</v>
      </c>
      <c r="C5">
        <v>0.41144083793075992</v>
      </c>
      <c r="D5">
        <v>0.38714020981241315</v>
      </c>
      <c r="E5">
        <v>0.37318683813305176</v>
      </c>
      <c r="F5">
        <v>0.36227641691431084</v>
      </c>
      <c r="G5">
        <v>0.36738289601408408</v>
      </c>
      <c r="H5">
        <v>0.36883941191709019</v>
      </c>
      <c r="I5">
        <v>0.37011725174240567</v>
      </c>
      <c r="J5">
        <v>0.36629540926530535</v>
      </c>
      <c r="K5">
        <v>0.37796687807238966</v>
      </c>
      <c r="L5">
        <v>0.37769090536161032</v>
      </c>
      <c r="M5">
        <v>0.37706611181805411</v>
      </c>
      <c r="N5">
        <v>0.37687569900937279</v>
      </c>
      <c r="O5">
        <v>0.3779043994059314</v>
      </c>
      <c r="P5">
        <v>0.40261310493982638</v>
      </c>
      <c r="Q5">
        <v>0.40226397545437403</v>
      </c>
      <c r="R5">
        <v>0.40817892306204245</v>
      </c>
      <c r="S5">
        <v>0.40857266254979441</v>
      </c>
      <c r="T5">
        <v>0.40857488891534016</v>
      </c>
      <c r="U5">
        <v>0.40904611845037336</v>
      </c>
      <c r="V5">
        <v>0.41024016624588211</v>
      </c>
      <c r="W5">
        <v>0.41216171542315017</v>
      </c>
      <c r="X5">
        <v>0.4007583860817206</v>
      </c>
      <c r="Y5">
        <v>0.41483602666212011</v>
      </c>
      <c r="Z5">
        <v>0.41554240859749336</v>
      </c>
      <c r="AA5">
        <v>0.42351505232984016</v>
      </c>
      <c r="AB5">
        <v>0.42541202066113892</v>
      </c>
      <c r="AC5">
        <v>0.4274002982432264</v>
      </c>
      <c r="AD5">
        <v>0.42797471805180676</v>
      </c>
      <c r="AE5">
        <v>0.42991564609237387</v>
      </c>
      <c r="AF5">
        <v>0.43185657413294098</v>
      </c>
      <c r="AG5">
        <v>0.43379750217350799</v>
      </c>
      <c r="AH5">
        <v>0.43573843021407499</v>
      </c>
      <c r="AI5">
        <v>0.43767935825464199</v>
      </c>
      <c r="AJ5">
        <v>0.439620286295209</v>
      </c>
      <c r="AK5">
        <v>0.441561214335777</v>
      </c>
      <c r="AL5">
        <v>0.443502142376344</v>
      </c>
      <c r="AM5">
        <v>0.445443070416911</v>
      </c>
      <c r="AN5">
        <v>0.447383998457478</v>
      </c>
      <c r="AO5">
        <v>0.44932492649804501</v>
      </c>
      <c r="AP5">
        <v>0.45126585453861201</v>
      </c>
      <c r="AQ5">
        <v>0.45320678257917901</v>
      </c>
      <c r="AR5">
        <v>0.45514771061974602</v>
      </c>
      <c r="AS5">
        <v>0.45708863866031302</v>
      </c>
      <c r="AT5">
        <v>0.45902956670088102</v>
      </c>
      <c r="AU5">
        <v>0.46097049474144802</v>
      </c>
      <c r="AV5">
        <v>0.46291142278201503</v>
      </c>
      <c r="AW5">
        <v>0.46485235082258197</v>
      </c>
      <c r="AX5">
        <v>0.46679327886314897</v>
      </c>
      <c r="AY5">
        <v>0.46873420690371598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f>'Max Biofuel Blends'!A$11</f>
        <v>0</v>
      </c>
      <c r="C7">
        <f>'Max Biofuel Blends'!B$11</f>
        <v>1.9999999999996021E-2</v>
      </c>
      <c r="D7">
        <f>'Max Biofuel Blends'!C$11</f>
        <v>2.9999999999997584E-2</v>
      </c>
      <c r="E7">
        <f>'Max Biofuel Blends'!D$11</f>
        <v>3.9999999999999147E-2</v>
      </c>
      <c r="F7">
        <f>'Max Biofuel Blends'!E$11</f>
        <v>4.9999999999997158E-2</v>
      </c>
      <c r="G7">
        <f>'Max Biofuel Blends'!F$11</f>
        <v>5.9999999999998721E-2</v>
      </c>
      <c r="H7">
        <f>'Max Biofuel Blends'!G$11</f>
        <v>6.9999999999996732E-2</v>
      </c>
      <c r="I7">
        <f>'Max Biofuel Blends'!H$11</f>
        <v>7.9999999999998295E-2</v>
      </c>
      <c r="J7">
        <f>'Max Biofuel Blends'!I$11</f>
        <v>8.9999999999996305E-2</v>
      </c>
      <c r="K7">
        <f>'Max Biofuel Blends'!J$11</f>
        <v>0.1</v>
      </c>
      <c r="L7">
        <f>'Max Biofuel Blends'!K$11</f>
        <v>0.10999999999999588</v>
      </c>
      <c r="M7">
        <f>'Max Biofuel Blends'!L$11</f>
        <v>0.11999999999999744</v>
      </c>
      <c r="N7">
        <f>'Max Biofuel Blends'!M$11</f>
        <v>0.12999999999999901</v>
      </c>
      <c r="O7">
        <f>'Max Biofuel Blends'!N$11</f>
        <v>0.13999999999999702</v>
      </c>
      <c r="P7">
        <f>'Max Biofuel Blends'!O$11</f>
        <v>0.14999999999999858</v>
      </c>
      <c r="Q7">
        <f>'Max Biofuel Blends'!P$11</f>
        <v>0.15999999999999659</v>
      </c>
      <c r="R7">
        <f>'Max Biofuel Blends'!Q$11</f>
        <v>0.16999999999999815</v>
      </c>
      <c r="S7">
        <f>'Max Biofuel Blends'!R$11</f>
        <v>0.17999999999999616</v>
      </c>
      <c r="T7">
        <f>'Max Biofuel Blends'!S$11</f>
        <v>0.18999999999999773</v>
      </c>
      <c r="U7">
        <f>'Max Biofuel Blends'!T$11</f>
        <v>0.2</v>
      </c>
      <c r="V7">
        <f>'Max Biofuel Blends'!U$11</f>
        <v>0.2</v>
      </c>
      <c r="W7">
        <f>'Max Biofuel Blends'!V$11</f>
        <v>0.2</v>
      </c>
      <c r="X7">
        <f>'Max Biofuel Blends'!W$11</f>
        <v>0.2</v>
      </c>
      <c r="Y7">
        <f>'Max Biofuel Blends'!X$11</f>
        <v>0.2</v>
      </c>
      <c r="Z7">
        <f>'Max Biofuel Blends'!Y$11</f>
        <v>0.2</v>
      </c>
      <c r="AA7">
        <f>'Max Biofuel Blends'!Z$11</f>
        <v>0.2</v>
      </c>
      <c r="AB7">
        <f>'Max Biofuel Blends'!AA$11</f>
        <v>0.2</v>
      </c>
      <c r="AC7">
        <f>'Max Biofuel Blends'!AB$11</f>
        <v>0.2</v>
      </c>
      <c r="AD7">
        <f>'Max Biofuel Blends'!AC$11</f>
        <v>0.2</v>
      </c>
      <c r="AE7">
        <f>'Max Biofuel Blends'!AD$11</f>
        <v>0.2</v>
      </c>
      <c r="AF7">
        <f>'Max Biofuel Blends'!AE$11</f>
        <v>0.2</v>
      </c>
      <c r="AG7">
        <f>'Max Biofuel Blends'!AF$11</f>
        <v>0.2</v>
      </c>
      <c r="AH7">
        <f>'Max Biofuel Blends'!AG$11</f>
        <v>0.2</v>
      </c>
      <c r="AI7">
        <f>'Max Biofuel Blends'!AH$11</f>
        <v>0.2</v>
      </c>
      <c r="AJ7">
        <f>'Max Biofuel Blends'!AI$11</f>
        <v>0.2</v>
      </c>
      <c r="AK7">
        <f>'Max Biofuel Blends'!AJ$11</f>
        <v>0.2</v>
      </c>
      <c r="AL7">
        <f>'Max Biofuel Blends'!AK$11</f>
        <v>0.2</v>
      </c>
      <c r="AM7">
        <f>'Max Biofuel Blends'!AL$11</f>
        <v>0.2</v>
      </c>
      <c r="AN7">
        <f>'Max Biofuel Blends'!AM$11</f>
        <v>0.2</v>
      </c>
      <c r="AO7">
        <f>'Max Biofuel Blends'!AN$11</f>
        <v>0.2</v>
      </c>
      <c r="AP7">
        <f>'Max Biofuel Blends'!AO$11</f>
        <v>0.2</v>
      </c>
      <c r="AQ7">
        <f>'Max Biofuel Blends'!AP$11</f>
        <v>0.2</v>
      </c>
      <c r="AR7">
        <f>'Max Biofuel Blends'!AQ$11</f>
        <v>0.2</v>
      </c>
      <c r="AS7">
        <f>'Max Biofuel Blends'!AR$11</f>
        <v>0.2</v>
      </c>
      <c r="AT7">
        <f>'Max Biofuel Blends'!AS$11</f>
        <v>0.2</v>
      </c>
      <c r="AU7">
        <f>'Max Biofuel Blends'!AT$11</f>
        <v>0.2</v>
      </c>
      <c r="AV7">
        <f>'Max Biofuel Blends'!AU$11</f>
        <v>0.2</v>
      </c>
      <c r="AW7">
        <f>'Max Biofuel Blends'!AV$11</f>
        <v>0.2</v>
      </c>
      <c r="AX7">
        <f>'Max Biofuel Blends'!AW$11</f>
        <v>0.2</v>
      </c>
      <c r="AY7">
        <f>'Max Biofuel Blends'!AX$11</f>
        <v>0.2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0.47192106762070402</v>
      </c>
      <c r="C9">
        <v>0.58855916206924008</v>
      </c>
      <c r="D9">
        <v>0.61285979018758685</v>
      </c>
      <c r="E9">
        <v>0.62681316186694824</v>
      </c>
      <c r="F9">
        <v>0.63772358308568922</v>
      </c>
      <c r="G9">
        <v>0.63261710398591597</v>
      </c>
      <c r="H9">
        <v>0.63116058808290987</v>
      </c>
      <c r="I9">
        <v>0.62988274825759449</v>
      </c>
      <c r="J9">
        <v>0.63370459073469476</v>
      </c>
      <c r="K9">
        <v>0.62203312192761029</v>
      </c>
      <c r="L9">
        <v>0.62230909463838957</v>
      </c>
      <c r="M9">
        <v>0.62293388818194595</v>
      </c>
      <c r="N9">
        <v>0.62312430099062721</v>
      </c>
      <c r="O9">
        <v>0.62209560059406865</v>
      </c>
      <c r="P9">
        <v>0.59738689506017362</v>
      </c>
      <c r="Q9">
        <v>0.59773602454562591</v>
      </c>
      <c r="R9">
        <v>0.59182107693795749</v>
      </c>
      <c r="S9">
        <v>0.59142733745020548</v>
      </c>
      <c r="T9">
        <v>0.59142511108465967</v>
      </c>
      <c r="U9">
        <v>0.59095388154962658</v>
      </c>
      <c r="V9">
        <v>0.58975983375411789</v>
      </c>
      <c r="W9">
        <v>0.58783828457684983</v>
      </c>
      <c r="X9">
        <v>0.59924161391827946</v>
      </c>
      <c r="Y9">
        <v>0.58516397333787995</v>
      </c>
      <c r="Z9">
        <v>0.58445759140250664</v>
      </c>
      <c r="AA9">
        <v>0.5764849476701599</v>
      </c>
      <c r="AB9">
        <v>0.57458797933886097</v>
      </c>
      <c r="AC9">
        <v>0.57259970175677366</v>
      </c>
      <c r="AD9">
        <v>0.57202528194819324</v>
      </c>
      <c r="AE9">
        <v>0.57008435390762602</v>
      </c>
      <c r="AF9">
        <v>0.56814342586705902</v>
      </c>
      <c r="AG9">
        <v>0.56620249782649201</v>
      </c>
      <c r="AH9">
        <v>0.56426156978592401</v>
      </c>
      <c r="AI9">
        <v>0.56232064174535701</v>
      </c>
      <c r="AJ9">
        <v>0.56037971370479001</v>
      </c>
      <c r="AK9">
        <v>0.558438785664223</v>
      </c>
      <c r="AL9">
        <v>0.556497857623655</v>
      </c>
      <c r="AM9">
        <v>0.554556929583088</v>
      </c>
      <c r="AN9">
        <v>0.552616001542521</v>
      </c>
      <c r="AO9">
        <v>0.55067507350195399</v>
      </c>
      <c r="AP9">
        <v>0.54873414546138699</v>
      </c>
      <c r="AQ9">
        <v>0.54679321742081899</v>
      </c>
      <c r="AR9">
        <v>0.54485228938025199</v>
      </c>
      <c r="AS9">
        <v>0.54291136133968498</v>
      </c>
      <c r="AT9">
        <v>0.54097043329911798</v>
      </c>
      <c r="AU9">
        <v>0.53902950525854998</v>
      </c>
      <c r="AV9">
        <v>0.53708857721798298</v>
      </c>
      <c r="AW9">
        <v>0.53514764917741597</v>
      </c>
      <c r="AX9">
        <v>0.53320672113684897</v>
      </c>
      <c r="AY9">
        <v>0.53126579309628197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3"/>
  </sheetPr>
  <dimension ref="A1:AY11"/>
  <sheetViews>
    <sheetView topLeftCell="AH1" workbookViewId="0">
      <selection activeCell="AV15" sqref="AV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75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3"/>
  </sheetPr>
  <dimension ref="A1:AY11"/>
  <sheetViews>
    <sheetView topLeftCell="AH1" workbookViewId="0">
      <selection activeCell="AR13" sqref="AR13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theme="3"/>
  </sheetPr>
  <dimension ref="A1:AY11"/>
  <sheetViews>
    <sheetView topLeftCell="AL1" workbookViewId="0">
      <selection activeCell="BA10" sqref="BA10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theme="3"/>
  </sheetPr>
  <dimension ref="A1:AY11"/>
  <sheetViews>
    <sheetView topLeftCell="AI1" workbookViewId="0">
      <selection activeCell="AT13" sqref="AT13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f t="shared" ref="B6:AY6" si="0">max_biogas</f>
        <v>0.25</v>
      </c>
      <c r="C6">
        <f t="shared" si="0"/>
        <v>0.25</v>
      </c>
      <c r="D6">
        <f t="shared" si="0"/>
        <v>0.25</v>
      </c>
      <c r="E6">
        <f t="shared" si="0"/>
        <v>0.25</v>
      </c>
      <c r="F6">
        <f t="shared" si="0"/>
        <v>0.25</v>
      </c>
      <c r="G6">
        <f t="shared" si="0"/>
        <v>0.25</v>
      </c>
      <c r="H6">
        <f t="shared" si="0"/>
        <v>0.25</v>
      </c>
      <c r="I6">
        <f t="shared" si="0"/>
        <v>0.25</v>
      </c>
      <c r="J6">
        <f t="shared" si="0"/>
        <v>0.25</v>
      </c>
      <c r="K6">
        <f t="shared" si="0"/>
        <v>0.25</v>
      </c>
      <c r="L6">
        <f t="shared" si="0"/>
        <v>0.25</v>
      </c>
      <c r="M6">
        <f t="shared" si="0"/>
        <v>0.25</v>
      </c>
      <c r="N6">
        <f t="shared" si="0"/>
        <v>0.25</v>
      </c>
      <c r="O6">
        <f t="shared" si="0"/>
        <v>0.25</v>
      </c>
      <c r="P6">
        <f t="shared" si="0"/>
        <v>0.25</v>
      </c>
      <c r="Q6">
        <f t="shared" si="0"/>
        <v>0.25</v>
      </c>
      <c r="R6">
        <f t="shared" si="0"/>
        <v>0.25</v>
      </c>
      <c r="S6">
        <f t="shared" si="0"/>
        <v>0.25</v>
      </c>
      <c r="T6">
        <f t="shared" si="0"/>
        <v>0.25</v>
      </c>
      <c r="U6">
        <f t="shared" si="0"/>
        <v>0.25</v>
      </c>
      <c r="V6">
        <f t="shared" si="0"/>
        <v>0.25</v>
      </c>
      <c r="W6">
        <f t="shared" si="0"/>
        <v>0.25</v>
      </c>
      <c r="X6">
        <f t="shared" si="0"/>
        <v>0.25</v>
      </c>
      <c r="Y6">
        <f t="shared" si="0"/>
        <v>0.25</v>
      </c>
      <c r="Z6">
        <f t="shared" si="0"/>
        <v>0.25</v>
      </c>
      <c r="AA6">
        <f t="shared" si="0"/>
        <v>0.25</v>
      </c>
      <c r="AB6">
        <f t="shared" si="0"/>
        <v>0.25</v>
      </c>
      <c r="AC6">
        <f t="shared" si="0"/>
        <v>0.25</v>
      </c>
      <c r="AD6">
        <f t="shared" si="0"/>
        <v>0.25</v>
      </c>
      <c r="AE6">
        <f t="shared" si="0"/>
        <v>0.25</v>
      </c>
      <c r="AF6">
        <f t="shared" si="0"/>
        <v>0.25</v>
      </c>
      <c r="AG6">
        <f t="shared" si="0"/>
        <v>0.25</v>
      </c>
      <c r="AH6">
        <f t="shared" si="0"/>
        <v>0.25</v>
      </c>
      <c r="AI6">
        <f t="shared" si="0"/>
        <v>0.25</v>
      </c>
      <c r="AJ6">
        <f t="shared" si="0"/>
        <v>0.25</v>
      </c>
      <c r="AK6">
        <f t="shared" si="0"/>
        <v>0.25</v>
      </c>
      <c r="AL6">
        <f t="shared" si="0"/>
        <v>0.25</v>
      </c>
      <c r="AM6">
        <f t="shared" si="0"/>
        <v>0.25</v>
      </c>
      <c r="AN6">
        <f t="shared" si="0"/>
        <v>0.25</v>
      </c>
      <c r="AO6">
        <f t="shared" si="0"/>
        <v>0.25</v>
      </c>
      <c r="AP6">
        <f t="shared" si="0"/>
        <v>0.25</v>
      </c>
      <c r="AQ6">
        <f t="shared" si="0"/>
        <v>0.25</v>
      </c>
      <c r="AR6">
        <f t="shared" si="0"/>
        <v>0.25</v>
      </c>
      <c r="AS6">
        <f t="shared" si="0"/>
        <v>0.25</v>
      </c>
      <c r="AT6">
        <f t="shared" si="0"/>
        <v>0.25</v>
      </c>
      <c r="AU6">
        <f t="shared" si="0"/>
        <v>0.25</v>
      </c>
      <c r="AV6">
        <f t="shared" si="0"/>
        <v>0.25</v>
      </c>
      <c r="AW6">
        <f t="shared" si="0"/>
        <v>0.25</v>
      </c>
      <c r="AX6">
        <f t="shared" si="0"/>
        <v>0.25</v>
      </c>
      <c r="AY6">
        <f t="shared" si="0"/>
        <v>0.25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theme="3"/>
  </sheetPr>
  <dimension ref="A1:AY11"/>
  <sheetViews>
    <sheetView topLeftCell="AH1" workbookViewId="0">
      <selection activeCell="AU15" sqref="AU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f t="shared" ref="B7:AY7" si="0">max_biodsl</f>
        <v>0.2</v>
      </c>
      <c r="C7">
        <f t="shared" si="0"/>
        <v>0.2</v>
      </c>
      <c r="D7">
        <f t="shared" si="0"/>
        <v>0.2</v>
      </c>
      <c r="E7">
        <f t="shared" si="0"/>
        <v>0.2</v>
      </c>
      <c r="F7">
        <f t="shared" si="0"/>
        <v>0.2</v>
      </c>
      <c r="G7">
        <f t="shared" si="0"/>
        <v>0.2</v>
      </c>
      <c r="H7">
        <f t="shared" si="0"/>
        <v>0.2</v>
      </c>
      <c r="I7">
        <f t="shared" si="0"/>
        <v>0.2</v>
      </c>
      <c r="J7">
        <f t="shared" si="0"/>
        <v>0.2</v>
      </c>
      <c r="K7">
        <f t="shared" si="0"/>
        <v>0.2</v>
      </c>
      <c r="L7">
        <f t="shared" si="0"/>
        <v>0.2</v>
      </c>
      <c r="M7">
        <f t="shared" si="0"/>
        <v>0.2</v>
      </c>
      <c r="N7">
        <f t="shared" si="0"/>
        <v>0.2</v>
      </c>
      <c r="O7">
        <f t="shared" si="0"/>
        <v>0.2</v>
      </c>
      <c r="P7">
        <f t="shared" si="0"/>
        <v>0.2</v>
      </c>
      <c r="Q7">
        <f t="shared" si="0"/>
        <v>0.2</v>
      </c>
      <c r="R7">
        <f t="shared" si="0"/>
        <v>0.2</v>
      </c>
      <c r="S7">
        <f t="shared" si="0"/>
        <v>0.2</v>
      </c>
      <c r="T7">
        <f t="shared" si="0"/>
        <v>0.2</v>
      </c>
      <c r="U7">
        <f t="shared" si="0"/>
        <v>0.2</v>
      </c>
      <c r="V7">
        <f t="shared" si="0"/>
        <v>0.2</v>
      </c>
      <c r="W7">
        <f t="shared" si="0"/>
        <v>0.2</v>
      </c>
      <c r="X7">
        <f t="shared" si="0"/>
        <v>0.2</v>
      </c>
      <c r="Y7">
        <f t="shared" si="0"/>
        <v>0.2</v>
      </c>
      <c r="Z7">
        <f t="shared" si="0"/>
        <v>0.2</v>
      </c>
      <c r="AA7">
        <f t="shared" si="0"/>
        <v>0.2</v>
      </c>
      <c r="AB7">
        <f t="shared" si="0"/>
        <v>0.2</v>
      </c>
      <c r="AC7">
        <f t="shared" si="0"/>
        <v>0.2</v>
      </c>
      <c r="AD7">
        <f t="shared" si="0"/>
        <v>0.2</v>
      </c>
      <c r="AE7">
        <f t="shared" si="0"/>
        <v>0.2</v>
      </c>
      <c r="AF7">
        <f t="shared" si="0"/>
        <v>0.2</v>
      </c>
      <c r="AG7">
        <f t="shared" si="0"/>
        <v>0.2</v>
      </c>
      <c r="AH7">
        <f t="shared" si="0"/>
        <v>0.2</v>
      </c>
      <c r="AI7">
        <f t="shared" si="0"/>
        <v>0.2</v>
      </c>
      <c r="AJ7">
        <f t="shared" si="0"/>
        <v>0.2</v>
      </c>
      <c r="AK7">
        <f t="shared" si="0"/>
        <v>0.2</v>
      </c>
      <c r="AL7">
        <f t="shared" si="0"/>
        <v>0.2</v>
      </c>
      <c r="AM7">
        <f t="shared" si="0"/>
        <v>0.2</v>
      </c>
      <c r="AN7">
        <f t="shared" si="0"/>
        <v>0.2</v>
      </c>
      <c r="AO7">
        <f t="shared" si="0"/>
        <v>0.2</v>
      </c>
      <c r="AP7">
        <f t="shared" si="0"/>
        <v>0.2</v>
      </c>
      <c r="AQ7">
        <f t="shared" si="0"/>
        <v>0.2</v>
      </c>
      <c r="AR7">
        <f t="shared" si="0"/>
        <v>0.2</v>
      </c>
      <c r="AS7">
        <f t="shared" si="0"/>
        <v>0.2</v>
      </c>
      <c r="AT7">
        <f t="shared" si="0"/>
        <v>0.2</v>
      </c>
      <c r="AU7">
        <f t="shared" si="0"/>
        <v>0.2</v>
      </c>
      <c r="AV7">
        <f t="shared" si="0"/>
        <v>0.2</v>
      </c>
      <c r="AW7">
        <f t="shared" si="0"/>
        <v>0.2</v>
      </c>
      <c r="AX7">
        <f t="shared" si="0"/>
        <v>0.2</v>
      </c>
      <c r="AY7">
        <f t="shared" si="0"/>
        <v>0.2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theme="3"/>
  </sheetPr>
  <dimension ref="A1:AY11"/>
  <sheetViews>
    <sheetView topLeftCell="AI1" workbookViewId="0">
      <selection activeCell="BB9" sqref="BB9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  <c r="AK2">
        <v>0.55000000000000004</v>
      </c>
      <c r="AL2">
        <v>0.55000000000000004</v>
      </c>
      <c r="AM2">
        <v>0.55000000000000004</v>
      </c>
      <c r="AN2">
        <v>0.55000000000000004</v>
      </c>
      <c r="AO2">
        <v>0.55000000000000004</v>
      </c>
      <c r="AP2">
        <v>0.55000000000000004</v>
      </c>
      <c r="AQ2">
        <v>0.55000000000000004</v>
      </c>
      <c r="AR2">
        <v>0.55000000000000004</v>
      </c>
      <c r="AS2">
        <v>0.55000000000000004</v>
      </c>
      <c r="AT2">
        <v>0.55000000000000004</v>
      </c>
      <c r="AU2">
        <v>0.55000000000000004</v>
      </c>
      <c r="AV2">
        <v>0.55000000000000004</v>
      </c>
      <c r="AW2">
        <v>0.55000000000000004</v>
      </c>
      <c r="AX2">
        <v>0.55000000000000004</v>
      </c>
      <c r="AY2">
        <v>0.55000000000000004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f t="shared" ref="B6:AY6" si="0">max_biogas</f>
        <v>0.25</v>
      </c>
      <c r="C6">
        <f t="shared" si="0"/>
        <v>0.25</v>
      </c>
      <c r="D6">
        <f t="shared" si="0"/>
        <v>0.25</v>
      </c>
      <c r="E6">
        <f t="shared" si="0"/>
        <v>0.25</v>
      </c>
      <c r="F6">
        <f t="shared" si="0"/>
        <v>0.25</v>
      </c>
      <c r="G6">
        <f t="shared" si="0"/>
        <v>0.25</v>
      </c>
      <c r="H6">
        <f t="shared" si="0"/>
        <v>0.25</v>
      </c>
      <c r="I6">
        <f t="shared" si="0"/>
        <v>0.25</v>
      </c>
      <c r="J6">
        <f t="shared" si="0"/>
        <v>0.25</v>
      </c>
      <c r="K6">
        <f t="shared" si="0"/>
        <v>0.25</v>
      </c>
      <c r="L6">
        <f t="shared" si="0"/>
        <v>0.25</v>
      </c>
      <c r="M6">
        <f t="shared" si="0"/>
        <v>0.25</v>
      </c>
      <c r="N6">
        <f t="shared" si="0"/>
        <v>0.25</v>
      </c>
      <c r="O6">
        <f t="shared" si="0"/>
        <v>0.25</v>
      </c>
      <c r="P6">
        <f t="shared" si="0"/>
        <v>0.25</v>
      </c>
      <c r="Q6">
        <f t="shared" si="0"/>
        <v>0.25</v>
      </c>
      <c r="R6">
        <f t="shared" si="0"/>
        <v>0.25</v>
      </c>
      <c r="S6">
        <f t="shared" si="0"/>
        <v>0.25</v>
      </c>
      <c r="T6">
        <f t="shared" si="0"/>
        <v>0.25</v>
      </c>
      <c r="U6">
        <f t="shared" si="0"/>
        <v>0.25</v>
      </c>
      <c r="V6">
        <f t="shared" si="0"/>
        <v>0.25</v>
      </c>
      <c r="W6">
        <f t="shared" si="0"/>
        <v>0.25</v>
      </c>
      <c r="X6">
        <f t="shared" si="0"/>
        <v>0.25</v>
      </c>
      <c r="Y6">
        <f t="shared" si="0"/>
        <v>0.25</v>
      </c>
      <c r="Z6">
        <f t="shared" si="0"/>
        <v>0.25</v>
      </c>
      <c r="AA6">
        <f t="shared" si="0"/>
        <v>0.25</v>
      </c>
      <c r="AB6">
        <f t="shared" si="0"/>
        <v>0.25</v>
      </c>
      <c r="AC6">
        <f t="shared" si="0"/>
        <v>0.25</v>
      </c>
      <c r="AD6">
        <f t="shared" si="0"/>
        <v>0.25</v>
      </c>
      <c r="AE6">
        <f t="shared" si="0"/>
        <v>0.25</v>
      </c>
      <c r="AF6">
        <f t="shared" si="0"/>
        <v>0.25</v>
      </c>
      <c r="AG6">
        <f t="shared" si="0"/>
        <v>0.25</v>
      </c>
      <c r="AH6">
        <f t="shared" si="0"/>
        <v>0.25</v>
      </c>
      <c r="AI6">
        <f t="shared" si="0"/>
        <v>0.25</v>
      </c>
      <c r="AJ6">
        <f t="shared" si="0"/>
        <v>0.25</v>
      </c>
      <c r="AK6">
        <f t="shared" si="0"/>
        <v>0.25</v>
      </c>
      <c r="AL6">
        <f t="shared" si="0"/>
        <v>0.25</v>
      </c>
      <c r="AM6">
        <f t="shared" si="0"/>
        <v>0.25</v>
      </c>
      <c r="AN6">
        <f t="shared" si="0"/>
        <v>0.25</v>
      </c>
      <c r="AO6">
        <f t="shared" si="0"/>
        <v>0.25</v>
      </c>
      <c r="AP6">
        <f t="shared" si="0"/>
        <v>0.25</v>
      </c>
      <c r="AQ6">
        <f t="shared" si="0"/>
        <v>0.25</v>
      </c>
      <c r="AR6">
        <f t="shared" si="0"/>
        <v>0.25</v>
      </c>
      <c r="AS6">
        <f t="shared" si="0"/>
        <v>0.25</v>
      </c>
      <c r="AT6">
        <f t="shared" si="0"/>
        <v>0.25</v>
      </c>
      <c r="AU6">
        <f t="shared" si="0"/>
        <v>0.25</v>
      </c>
      <c r="AV6">
        <f t="shared" si="0"/>
        <v>0.25</v>
      </c>
      <c r="AW6">
        <f t="shared" si="0"/>
        <v>0.25</v>
      </c>
      <c r="AX6">
        <f t="shared" si="0"/>
        <v>0.25</v>
      </c>
      <c r="AY6">
        <f t="shared" si="0"/>
        <v>0.25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theme="3"/>
  </sheetPr>
  <dimension ref="A1:AY11"/>
  <sheetViews>
    <sheetView topLeftCell="AK1" workbookViewId="0">
      <selection activeCell="BB7" sqref="BB7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theme="3"/>
  </sheetPr>
  <dimension ref="A1:AY11"/>
  <sheetViews>
    <sheetView topLeftCell="AI1" workbookViewId="0">
      <selection activeCell="BA6" sqref="BA6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theme="3"/>
  </sheetPr>
  <dimension ref="A1:AY11"/>
  <sheetViews>
    <sheetView topLeftCell="AI1" workbookViewId="0">
      <selection activeCell="AU13" sqref="AU13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theme="3"/>
  </sheetPr>
  <dimension ref="A1:AY11"/>
  <sheetViews>
    <sheetView topLeftCell="AG1" workbookViewId="0">
      <selection activeCell="AU15" sqref="AU15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theme="3"/>
  </sheetPr>
  <dimension ref="A1:AY11"/>
  <sheetViews>
    <sheetView topLeftCell="AI1" workbookViewId="0">
      <selection activeCell="AU16" sqref="AU16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f t="shared" ref="B6:AY6" si="0">max_biogas</f>
        <v>0.25</v>
      </c>
      <c r="C6">
        <f t="shared" si="0"/>
        <v>0.25</v>
      </c>
      <c r="D6">
        <f t="shared" si="0"/>
        <v>0.25</v>
      </c>
      <c r="E6">
        <f t="shared" si="0"/>
        <v>0.25</v>
      </c>
      <c r="F6">
        <f t="shared" si="0"/>
        <v>0.25</v>
      </c>
      <c r="G6">
        <f t="shared" si="0"/>
        <v>0.25</v>
      </c>
      <c r="H6">
        <f t="shared" si="0"/>
        <v>0.25</v>
      </c>
      <c r="I6">
        <f t="shared" si="0"/>
        <v>0.25</v>
      </c>
      <c r="J6">
        <f t="shared" si="0"/>
        <v>0.25</v>
      </c>
      <c r="K6">
        <f t="shared" si="0"/>
        <v>0.25</v>
      </c>
      <c r="L6">
        <f t="shared" si="0"/>
        <v>0.25</v>
      </c>
      <c r="M6">
        <f t="shared" si="0"/>
        <v>0.25</v>
      </c>
      <c r="N6">
        <f t="shared" si="0"/>
        <v>0.25</v>
      </c>
      <c r="O6">
        <f t="shared" si="0"/>
        <v>0.25</v>
      </c>
      <c r="P6">
        <f t="shared" si="0"/>
        <v>0.25</v>
      </c>
      <c r="Q6">
        <f t="shared" si="0"/>
        <v>0.25</v>
      </c>
      <c r="R6">
        <f t="shared" si="0"/>
        <v>0.25</v>
      </c>
      <c r="S6">
        <f t="shared" si="0"/>
        <v>0.25</v>
      </c>
      <c r="T6">
        <f t="shared" si="0"/>
        <v>0.25</v>
      </c>
      <c r="U6">
        <f t="shared" si="0"/>
        <v>0.25</v>
      </c>
      <c r="V6">
        <f t="shared" si="0"/>
        <v>0.25</v>
      </c>
      <c r="W6">
        <f t="shared" si="0"/>
        <v>0.25</v>
      </c>
      <c r="X6">
        <f t="shared" si="0"/>
        <v>0.25</v>
      </c>
      <c r="Y6">
        <f t="shared" si="0"/>
        <v>0.25</v>
      </c>
      <c r="Z6">
        <f t="shared" si="0"/>
        <v>0.25</v>
      </c>
      <c r="AA6">
        <f t="shared" si="0"/>
        <v>0.25</v>
      </c>
      <c r="AB6">
        <f t="shared" si="0"/>
        <v>0.25</v>
      </c>
      <c r="AC6">
        <f t="shared" si="0"/>
        <v>0.25</v>
      </c>
      <c r="AD6">
        <f t="shared" si="0"/>
        <v>0.25</v>
      </c>
      <c r="AE6">
        <f t="shared" si="0"/>
        <v>0.25</v>
      </c>
      <c r="AF6">
        <f t="shared" si="0"/>
        <v>0.25</v>
      </c>
      <c r="AG6">
        <f t="shared" si="0"/>
        <v>0.25</v>
      </c>
      <c r="AH6">
        <f t="shared" si="0"/>
        <v>0.25</v>
      </c>
      <c r="AI6">
        <f t="shared" si="0"/>
        <v>0.25</v>
      </c>
      <c r="AJ6">
        <f t="shared" si="0"/>
        <v>0.25</v>
      </c>
      <c r="AK6">
        <f t="shared" si="0"/>
        <v>0.25</v>
      </c>
      <c r="AL6">
        <f t="shared" si="0"/>
        <v>0.25</v>
      </c>
      <c r="AM6">
        <f t="shared" si="0"/>
        <v>0.25</v>
      </c>
      <c r="AN6">
        <f t="shared" si="0"/>
        <v>0.25</v>
      </c>
      <c r="AO6">
        <f t="shared" si="0"/>
        <v>0.25</v>
      </c>
      <c r="AP6">
        <f t="shared" si="0"/>
        <v>0.25</v>
      </c>
      <c r="AQ6">
        <f t="shared" si="0"/>
        <v>0.25</v>
      </c>
      <c r="AR6">
        <f t="shared" si="0"/>
        <v>0.25</v>
      </c>
      <c r="AS6">
        <f t="shared" si="0"/>
        <v>0.25</v>
      </c>
      <c r="AT6">
        <f t="shared" si="0"/>
        <v>0.25</v>
      </c>
      <c r="AU6">
        <f t="shared" si="0"/>
        <v>0.25</v>
      </c>
      <c r="AV6">
        <f t="shared" si="0"/>
        <v>0.25</v>
      </c>
      <c r="AW6">
        <f t="shared" si="0"/>
        <v>0.25</v>
      </c>
      <c r="AX6">
        <f t="shared" si="0"/>
        <v>0.25</v>
      </c>
      <c r="AY6">
        <f t="shared" si="0"/>
        <v>0.25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theme="3"/>
  </sheetPr>
  <dimension ref="A1:AY11"/>
  <sheetViews>
    <sheetView topLeftCell="AJ1" workbookViewId="0">
      <selection activeCell="BA6" sqref="BA6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f t="shared" ref="B7:AY7" si="0">max_biodsl</f>
        <v>0.2</v>
      </c>
      <c r="C7">
        <f t="shared" si="0"/>
        <v>0.2</v>
      </c>
      <c r="D7">
        <f t="shared" si="0"/>
        <v>0.2</v>
      </c>
      <c r="E7">
        <f t="shared" si="0"/>
        <v>0.2</v>
      </c>
      <c r="F7">
        <f t="shared" si="0"/>
        <v>0.2</v>
      </c>
      <c r="G7">
        <f t="shared" si="0"/>
        <v>0.2</v>
      </c>
      <c r="H7">
        <f t="shared" si="0"/>
        <v>0.2</v>
      </c>
      <c r="I7">
        <f t="shared" si="0"/>
        <v>0.2</v>
      </c>
      <c r="J7">
        <f t="shared" si="0"/>
        <v>0.2</v>
      </c>
      <c r="K7">
        <f t="shared" si="0"/>
        <v>0.2</v>
      </c>
      <c r="L7">
        <f t="shared" si="0"/>
        <v>0.2</v>
      </c>
      <c r="M7">
        <f t="shared" si="0"/>
        <v>0.2</v>
      </c>
      <c r="N7">
        <f t="shared" si="0"/>
        <v>0.2</v>
      </c>
      <c r="O7">
        <f t="shared" si="0"/>
        <v>0.2</v>
      </c>
      <c r="P7">
        <f t="shared" si="0"/>
        <v>0.2</v>
      </c>
      <c r="Q7">
        <f t="shared" si="0"/>
        <v>0.2</v>
      </c>
      <c r="R7">
        <f t="shared" si="0"/>
        <v>0.2</v>
      </c>
      <c r="S7">
        <f t="shared" si="0"/>
        <v>0.2</v>
      </c>
      <c r="T7">
        <f t="shared" si="0"/>
        <v>0.2</v>
      </c>
      <c r="U7">
        <f t="shared" si="0"/>
        <v>0.2</v>
      </c>
      <c r="V7">
        <f t="shared" si="0"/>
        <v>0.2</v>
      </c>
      <c r="W7">
        <f t="shared" si="0"/>
        <v>0.2</v>
      </c>
      <c r="X7">
        <f t="shared" si="0"/>
        <v>0.2</v>
      </c>
      <c r="Y7">
        <f t="shared" si="0"/>
        <v>0.2</v>
      </c>
      <c r="Z7">
        <f t="shared" si="0"/>
        <v>0.2</v>
      </c>
      <c r="AA7">
        <f t="shared" si="0"/>
        <v>0.2</v>
      </c>
      <c r="AB7">
        <f t="shared" si="0"/>
        <v>0.2</v>
      </c>
      <c r="AC7">
        <f t="shared" si="0"/>
        <v>0.2</v>
      </c>
      <c r="AD7">
        <f t="shared" si="0"/>
        <v>0.2</v>
      </c>
      <c r="AE7">
        <f t="shared" si="0"/>
        <v>0.2</v>
      </c>
      <c r="AF7">
        <f t="shared" si="0"/>
        <v>0.2</v>
      </c>
      <c r="AG7">
        <f t="shared" si="0"/>
        <v>0.2</v>
      </c>
      <c r="AH7">
        <f t="shared" si="0"/>
        <v>0.2</v>
      </c>
      <c r="AI7">
        <f t="shared" si="0"/>
        <v>0.2</v>
      </c>
      <c r="AJ7">
        <f t="shared" si="0"/>
        <v>0.2</v>
      </c>
      <c r="AK7">
        <f t="shared" si="0"/>
        <v>0.2</v>
      </c>
      <c r="AL7">
        <f t="shared" si="0"/>
        <v>0.2</v>
      </c>
      <c r="AM7">
        <f t="shared" si="0"/>
        <v>0.2</v>
      </c>
      <c r="AN7">
        <f t="shared" si="0"/>
        <v>0.2</v>
      </c>
      <c r="AO7">
        <f t="shared" si="0"/>
        <v>0.2</v>
      </c>
      <c r="AP7">
        <f t="shared" si="0"/>
        <v>0.2</v>
      </c>
      <c r="AQ7">
        <f t="shared" si="0"/>
        <v>0.2</v>
      </c>
      <c r="AR7">
        <f t="shared" si="0"/>
        <v>0.2</v>
      </c>
      <c r="AS7">
        <f t="shared" si="0"/>
        <v>0.2</v>
      </c>
      <c r="AT7">
        <f t="shared" si="0"/>
        <v>0.2</v>
      </c>
      <c r="AU7">
        <f t="shared" si="0"/>
        <v>0.2</v>
      </c>
      <c r="AV7">
        <f t="shared" si="0"/>
        <v>0.2</v>
      </c>
      <c r="AW7">
        <f t="shared" si="0"/>
        <v>0.2</v>
      </c>
      <c r="AX7">
        <f t="shared" si="0"/>
        <v>0.2</v>
      </c>
      <c r="AY7">
        <f t="shared" si="0"/>
        <v>0.2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theme="3"/>
  </sheetPr>
  <dimension ref="A1:AY11"/>
  <sheetViews>
    <sheetView workbookViewId="0">
      <selection activeCell="B2" sqref="B2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  <c r="AK2">
        <v>0.55000000000000004</v>
      </c>
      <c r="AL2">
        <v>0.55000000000000004</v>
      </c>
      <c r="AM2">
        <v>0.55000000000000004</v>
      </c>
      <c r="AN2">
        <v>0.55000000000000004</v>
      </c>
      <c r="AO2">
        <v>0.55000000000000004</v>
      </c>
      <c r="AP2">
        <v>0.55000000000000004</v>
      </c>
      <c r="AQ2">
        <v>0.55000000000000004</v>
      </c>
      <c r="AR2">
        <v>0.55000000000000004</v>
      </c>
      <c r="AS2">
        <v>0.55000000000000004</v>
      </c>
      <c r="AT2">
        <v>0.55000000000000004</v>
      </c>
      <c r="AU2">
        <v>0.55000000000000004</v>
      </c>
      <c r="AV2">
        <v>0.55000000000000004</v>
      </c>
      <c r="AW2">
        <v>0.55000000000000004</v>
      </c>
      <c r="AX2">
        <v>0.55000000000000004</v>
      </c>
      <c r="AY2">
        <v>0.55000000000000004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f t="shared" ref="B6:AY6" si="0">max_biogas</f>
        <v>0.25</v>
      </c>
      <c r="C6">
        <f t="shared" si="0"/>
        <v>0.25</v>
      </c>
      <c r="D6">
        <f t="shared" si="0"/>
        <v>0.25</v>
      </c>
      <c r="E6">
        <f t="shared" si="0"/>
        <v>0.25</v>
      </c>
      <c r="F6">
        <f t="shared" si="0"/>
        <v>0.25</v>
      </c>
      <c r="G6">
        <f t="shared" si="0"/>
        <v>0.25</v>
      </c>
      <c r="H6">
        <f t="shared" si="0"/>
        <v>0.25</v>
      </c>
      <c r="I6">
        <f t="shared" si="0"/>
        <v>0.25</v>
      </c>
      <c r="J6">
        <f t="shared" si="0"/>
        <v>0.25</v>
      </c>
      <c r="K6">
        <f t="shared" si="0"/>
        <v>0.25</v>
      </c>
      <c r="L6">
        <f t="shared" si="0"/>
        <v>0.25</v>
      </c>
      <c r="M6">
        <f t="shared" si="0"/>
        <v>0.25</v>
      </c>
      <c r="N6">
        <f t="shared" si="0"/>
        <v>0.25</v>
      </c>
      <c r="O6">
        <f t="shared" si="0"/>
        <v>0.25</v>
      </c>
      <c r="P6">
        <f t="shared" si="0"/>
        <v>0.25</v>
      </c>
      <c r="Q6">
        <f t="shared" si="0"/>
        <v>0.25</v>
      </c>
      <c r="R6">
        <f t="shared" si="0"/>
        <v>0.25</v>
      </c>
      <c r="S6">
        <f t="shared" si="0"/>
        <v>0.25</v>
      </c>
      <c r="T6">
        <f t="shared" si="0"/>
        <v>0.25</v>
      </c>
      <c r="U6">
        <f t="shared" si="0"/>
        <v>0.25</v>
      </c>
      <c r="V6">
        <f t="shared" si="0"/>
        <v>0.25</v>
      </c>
      <c r="W6">
        <f t="shared" si="0"/>
        <v>0.25</v>
      </c>
      <c r="X6">
        <f t="shared" si="0"/>
        <v>0.25</v>
      </c>
      <c r="Y6">
        <f t="shared" si="0"/>
        <v>0.25</v>
      </c>
      <c r="Z6">
        <f t="shared" si="0"/>
        <v>0.25</v>
      </c>
      <c r="AA6">
        <f t="shared" si="0"/>
        <v>0.25</v>
      </c>
      <c r="AB6">
        <f t="shared" si="0"/>
        <v>0.25</v>
      </c>
      <c r="AC6">
        <f t="shared" si="0"/>
        <v>0.25</v>
      </c>
      <c r="AD6">
        <f t="shared" si="0"/>
        <v>0.25</v>
      </c>
      <c r="AE6">
        <f t="shared" si="0"/>
        <v>0.25</v>
      </c>
      <c r="AF6">
        <f t="shared" si="0"/>
        <v>0.25</v>
      </c>
      <c r="AG6">
        <f t="shared" si="0"/>
        <v>0.25</v>
      </c>
      <c r="AH6">
        <f t="shared" si="0"/>
        <v>0.25</v>
      </c>
      <c r="AI6">
        <f t="shared" si="0"/>
        <v>0.25</v>
      </c>
      <c r="AJ6">
        <f t="shared" si="0"/>
        <v>0.25</v>
      </c>
      <c r="AK6">
        <f t="shared" si="0"/>
        <v>0.25</v>
      </c>
      <c r="AL6">
        <f t="shared" si="0"/>
        <v>0.25</v>
      </c>
      <c r="AM6">
        <f t="shared" si="0"/>
        <v>0.25</v>
      </c>
      <c r="AN6">
        <f t="shared" si="0"/>
        <v>0.25</v>
      </c>
      <c r="AO6">
        <f t="shared" si="0"/>
        <v>0.25</v>
      </c>
      <c r="AP6">
        <f t="shared" si="0"/>
        <v>0.25</v>
      </c>
      <c r="AQ6">
        <f t="shared" si="0"/>
        <v>0.25</v>
      </c>
      <c r="AR6">
        <f t="shared" si="0"/>
        <v>0.25</v>
      </c>
      <c r="AS6">
        <f t="shared" si="0"/>
        <v>0.25</v>
      </c>
      <c r="AT6">
        <f t="shared" si="0"/>
        <v>0.25</v>
      </c>
      <c r="AU6">
        <f t="shared" si="0"/>
        <v>0.25</v>
      </c>
      <c r="AV6">
        <f t="shared" si="0"/>
        <v>0.25</v>
      </c>
      <c r="AW6">
        <f t="shared" si="0"/>
        <v>0.25</v>
      </c>
      <c r="AX6">
        <f t="shared" si="0"/>
        <v>0.25</v>
      </c>
      <c r="AY6">
        <f t="shared" si="0"/>
        <v>0.25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theme="3"/>
  </sheetPr>
  <dimension ref="A1:AY11"/>
  <sheetViews>
    <sheetView topLeftCell="AJ1" workbookViewId="0">
      <selection activeCell="AW13" sqref="AW13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3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theme="3"/>
  </sheetPr>
  <dimension ref="A1:AY11"/>
  <sheetViews>
    <sheetView tabSelected="1" topLeftCell="AH1" workbookViewId="0">
      <selection activeCell="AU14" sqref="AU14"/>
    </sheetView>
  </sheetViews>
  <sheetFormatPr defaultRowHeight="14.5" x14ac:dyDescent="0.35"/>
  <cols>
    <col min="1" max="1" width="22.54296875" customWidth="1"/>
  </cols>
  <sheetData>
    <row r="1" spans="1:51" ht="29" x14ac:dyDescent="0.35">
      <c r="A1" s="5" t="s">
        <v>66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3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35">
      <c r="A3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35">
      <c r="A4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3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74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360515-9D90-4C94-AD5C-A6C43B24EC2E}"/>
</file>

<file path=customXml/itemProps2.xml><?xml version="1.0" encoding="utf-8"?>
<ds:datastoreItem xmlns:ds="http://schemas.openxmlformats.org/officeDocument/2006/customXml" ds:itemID="{E8BE3463-FBC9-4C29-8B54-6B9516D207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ED31DA-F64E-46BB-84E4-AFEEBAF771D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86</vt:i4>
      </vt:variant>
      <vt:variant>
        <vt:lpstr>Named Ranges</vt:lpstr>
      </vt:variant>
      <vt:variant>
        <vt:i4>2</vt:i4>
      </vt:variant>
    </vt:vector>
  </HeadingPairs>
  <TitlesOfParts>
    <vt:vector size="88" baseType="lpstr">
      <vt:lpstr>About</vt:lpstr>
      <vt:lpstr>Max Biofuel Blends</vt:lpstr>
      <vt:lpstr>LDVs-psgr</vt:lpstr>
      <vt:lpstr>MPoEFUbVT-LDVs-psgr-batelc</vt:lpstr>
      <vt:lpstr>MPoEFUbVT-LDVs-psgr-natgas</vt:lpstr>
      <vt:lpstr>MPoEFUbVT-LDVs-psgr-gasveh</vt:lpstr>
      <vt:lpstr>MPoEFUbVT-LDVs-psgr-dslveh</vt:lpstr>
      <vt:lpstr>MPoEFUbVT-LDVs-psgr-plghyb</vt:lpstr>
      <vt:lpstr>MPoEFUbVT-LDVs-psgr-LPG</vt:lpstr>
      <vt:lpstr>MPoEFUbVT-LDVs-psgr-hydgn</vt:lpstr>
      <vt:lpstr>LDVs-frgt</vt:lpstr>
      <vt:lpstr>MPoEFUbVT-LDVs-frgt-batelc</vt:lpstr>
      <vt:lpstr>MPoEFUbVT-LDVs-frgt-natgas</vt:lpstr>
      <vt:lpstr>MPoEFUbVT-LDVs-frgt-gasveh</vt:lpstr>
      <vt:lpstr>MPoEFUbVT-LDVs-frgt-dslveh</vt:lpstr>
      <vt:lpstr>MPoEFUbVT-LDVs-frgt-plghyb</vt:lpstr>
      <vt:lpstr>MPoEFUbVT-LDVs-frgt-LPG</vt:lpstr>
      <vt:lpstr>MPoEFUbVT-LDVs-frgt-hydgn</vt:lpstr>
      <vt:lpstr>HDVs-psgr</vt:lpstr>
      <vt:lpstr>MPoEFUbVT-HDVs-psgr-batelc</vt:lpstr>
      <vt:lpstr>MPoEFUbVT-HDVs-psgr-natgas</vt:lpstr>
      <vt:lpstr>MPoEFUbVT-HDVs-psgr-gasveh</vt:lpstr>
      <vt:lpstr>MPoEFUbVT-HDVs-psgr-dslveh</vt:lpstr>
      <vt:lpstr>MPoEFUbVT-HDVs-psgr-plghyb</vt:lpstr>
      <vt:lpstr>MPoEFUbVT-HDVs-psgr-LPG</vt:lpstr>
      <vt:lpstr>MPoEFUbVT-HDVs-psgr-hydgn</vt:lpstr>
      <vt:lpstr>HDVs-frgt</vt:lpstr>
      <vt:lpstr>MPoEFUbVT-HDVs-frgt-batelc</vt:lpstr>
      <vt:lpstr>MPoEFUbVT-HDVs-frgt-natgas</vt:lpstr>
      <vt:lpstr>MPoEFUbVT-HDVs-frgt-gasveh</vt:lpstr>
      <vt:lpstr>MPoEFUbVT-HDVs-frgt-dslveh</vt:lpstr>
      <vt:lpstr>MPoEFUbVT-HDVs-frgt-plghyb</vt:lpstr>
      <vt:lpstr>MPoEFUbVT-HDVs-frgt-LPG</vt:lpstr>
      <vt:lpstr>MPoEFUbVT-HDVs-frgt-hydgn</vt:lpstr>
      <vt:lpstr>aircraft-psgr</vt:lpstr>
      <vt:lpstr>MPoEFUbVT-aircraft-psgr-batelc</vt:lpstr>
      <vt:lpstr>MPoEFUbVT-aircraft-psgr-natgas</vt:lpstr>
      <vt:lpstr>MPoEFUbVT-aircraft-psgr-gasveh</vt:lpstr>
      <vt:lpstr>MPoEFUbVT-aircraft-psgr-dslveh</vt:lpstr>
      <vt:lpstr>MPoEFUbVT-aircraft-psgr-hydgn</vt:lpstr>
      <vt:lpstr>aircraft-frgt</vt:lpstr>
      <vt:lpstr>MPoEFUbVT-aircraft-frgt-batelc</vt:lpstr>
      <vt:lpstr>MPoEFUbVT-aircraft-frgt-natgas</vt:lpstr>
      <vt:lpstr>MPoEFUbVT-aircraft-frgt-gasveh</vt:lpstr>
      <vt:lpstr>MPoEFUbVT-aircraft-frgt-dslveh</vt:lpstr>
      <vt:lpstr>MPoEFUbVT-aircraft-frgt-hydgn</vt:lpstr>
      <vt:lpstr>rail-psgr</vt:lpstr>
      <vt:lpstr>MPoEFUbVT-rail-psgr-batelc</vt:lpstr>
      <vt:lpstr>MPoEFUbVT-rail-psgr-natgas</vt:lpstr>
      <vt:lpstr>MPoEFUbVT-rail-psgr-gasveh</vt:lpstr>
      <vt:lpstr>MPoEFUbVT-rail-psgr-dslveh</vt:lpstr>
      <vt:lpstr>MPoEFUbVT-rail-psgr-hydgn</vt:lpstr>
      <vt:lpstr>rail-frgt</vt:lpstr>
      <vt:lpstr>MPoEFUbVT-rail-frgt-batelc</vt:lpstr>
      <vt:lpstr>MPoEFUbVT-rail-frgt-natgas</vt:lpstr>
      <vt:lpstr>MPoEFUbVT-rail-frgt-gasveh</vt:lpstr>
      <vt:lpstr>MPoEFUbVT-rail-frgt-dslveh</vt:lpstr>
      <vt:lpstr>MPoEFUbVT-rail-frgt-hydgn</vt:lpstr>
      <vt:lpstr>ships-psgr</vt:lpstr>
      <vt:lpstr>MPoEFUbVT-ships-psgr-batelc</vt:lpstr>
      <vt:lpstr>MPoEFUbVT-ships-psgr-natgas</vt:lpstr>
      <vt:lpstr>MPoEFUbVT-ships-psgr-gasveh</vt:lpstr>
      <vt:lpstr>MPoEFUbVT-ships-psgr-dslveh</vt:lpstr>
      <vt:lpstr>MPoEFUbVT-ships-psgr-hydgn</vt:lpstr>
      <vt:lpstr>ships-frgt</vt:lpstr>
      <vt:lpstr>MPoEFUbVT-ships-frgt-batelc</vt:lpstr>
      <vt:lpstr>MPoEFUbVT-ships-frgt-natgas</vt:lpstr>
      <vt:lpstr>MPoEFUbVT-ships-frgt-gasveh</vt:lpstr>
      <vt:lpstr>MPoEFUbVT-ships-frgt-dslveh</vt:lpstr>
      <vt:lpstr>MPoEFUbVT-ships-frgt-hydgn</vt:lpstr>
      <vt:lpstr>mtrbks-psgr</vt:lpstr>
      <vt:lpstr>MPoEFUbVT-mtrbks-psgr-batelc</vt:lpstr>
      <vt:lpstr>MPoEFUbVT-mtrbks-psgr-natgas</vt:lpstr>
      <vt:lpstr>MPoEFUbVT-mtrbks-psgr-gasveh</vt:lpstr>
      <vt:lpstr>MPoEFUbVT-mtrbks-psgr-dslveh</vt:lpstr>
      <vt:lpstr>MPoEFUbVT-mtrbks-psgr-plghyb</vt:lpstr>
      <vt:lpstr>MPoEFUbVT-mtrbks-psgr-LPG</vt:lpstr>
      <vt:lpstr>MPoEFUbVT-mtrbks-psgr-hydgn</vt:lpstr>
      <vt:lpstr>mtrbks-frgt</vt:lpstr>
      <vt:lpstr>MPoEFUbVT-mtrbks-frgt-batelc</vt:lpstr>
      <vt:lpstr>MPoEFUbVT-mtrbks-frgt-natgas</vt:lpstr>
      <vt:lpstr>MPoEFUbVT-mtrbks-frgt-gasveh</vt:lpstr>
      <vt:lpstr>MPoEFUbVT-mtrbks-frgt-dslveh</vt:lpstr>
      <vt:lpstr>MPoEFUbVT-mtrbks-frgt-plghyb</vt:lpstr>
      <vt:lpstr>MPoEFUbVT-mtrbks-frgt-LPG</vt:lpstr>
      <vt:lpstr>MPoEFUbVT-mtrbks-frgt-hydgn</vt:lpstr>
      <vt:lpstr>max_biodsl</vt:lpstr>
      <vt:lpstr>max_biogas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Khushi Parakh</cp:lastModifiedBy>
  <cp:revision/>
  <dcterms:created xsi:type="dcterms:W3CDTF">2017-06-23T20:50:52Z</dcterms:created>
  <dcterms:modified xsi:type="dcterms:W3CDTF">2025-02-26T05:58:14Z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