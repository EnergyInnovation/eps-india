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.richa\Downloads\SYDEC\SYDEC\"/>
    </mc:Choice>
  </mc:AlternateContent>
  <xr:revisionPtr revIDLastSave="37" documentId="13_ncr:1_{4C736606-44A1-4D21-A6FB-0FE93C1D1C69}" xr6:coauthVersionLast="47" xr6:coauthVersionMax="47" xr10:uidLastSave="{5FADF190-4EC6-4FE9-A476-798DCAA587E0}"/>
  <bookViews>
    <workbookView xWindow="-110" yWindow="-110" windowWidth="19420" windowHeight="10300" tabRatio="670" activeTab="2" xr2:uid="{00000000-000D-0000-FFFF-FFFF00000000}"/>
  </bookViews>
  <sheets>
    <sheet name="About" sheetId="1" r:id="rId1"/>
    <sheet name="BDEQ - Combined" sheetId="13" r:id="rId2"/>
    <sheet name="SYDEC" sheetId="6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6" l="1"/>
  <c r="D18" i="6"/>
  <c r="B20" i="6"/>
  <c r="B18" i="6"/>
  <c r="C18" i="6"/>
  <c r="B19" i="6"/>
  <c r="C19" i="6"/>
  <c r="D19" i="6"/>
  <c r="C20" i="6"/>
  <c r="D20" i="6"/>
  <c r="B21" i="6"/>
  <c r="C21" i="6"/>
  <c r="B22" i="6"/>
  <c r="C22" i="6"/>
  <c r="D22" i="6"/>
  <c r="B23" i="6"/>
  <c r="C23" i="6"/>
  <c r="D23" i="6"/>
  <c r="B24" i="6"/>
  <c r="C24" i="6"/>
  <c r="D24" i="6"/>
  <c r="B25" i="6"/>
  <c r="C25" i="6"/>
  <c r="D25" i="6"/>
  <c r="B2" i="6"/>
  <c r="B12" i="6"/>
  <c r="B3" i="6"/>
  <c r="B4" i="6"/>
  <c r="B5" i="6"/>
  <c r="B6" i="6"/>
  <c r="B7" i="6"/>
  <c r="B8" i="6"/>
  <c r="B9" i="6"/>
  <c r="B10" i="6"/>
  <c r="B11" i="6"/>
  <c r="B13" i="6"/>
  <c r="B14" i="6"/>
  <c r="B15" i="6"/>
  <c r="B16" i="6"/>
  <c r="B17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2" i="6"/>
  <c r="C2" i="6"/>
</calcChain>
</file>

<file path=xl/sharedStrings.xml><?xml version="1.0" encoding="utf-8"?>
<sst xmlns="http://schemas.openxmlformats.org/spreadsheetml/2006/main" count="205" uniqueCount="57">
  <si>
    <t>SYDEC Start Year Distributed Electricity Capacity</t>
  </si>
  <si>
    <t>Sources:</t>
  </si>
  <si>
    <t>Distributed Generation Quantity, Urban vs. Rural Shares</t>
  </si>
  <si>
    <t>Distributed Rooftop PV Capacity Factor projections</t>
  </si>
  <si>
    <t>NITI Aayog, Government of India</t>
  </si>
  <si>
    <t>See variable "bldgs/DSCF" for more info</t>
  </si>
  <si>
    <t>India Energy Security Scenarios 2047 downloadable Excel model</t>
  </si>
  <si>
    <t>Back up electricity from diesel generators</t>
  </si>
  <si>
    <t>http://indiaenergy.gov.in/iess/docs/IESS_Version2.2.xlsx</t>
  </si>
  <si>
    <t>Tab IV.e</t>
  </si>
  <si>
    <t>Residential vs. Non-Residential Shares</t>
  </si>
  <si>
    <t>CPI, ICRIER, SEI</t>
  </si>
  <si>
    <t>Tab I.e</t>
  </si>
  <si>
    <t>Scaling up Rooftop Solar Power in India: The Potential of Municipal Solar Bonds</t>
  </si>
  <si>
    <t>http://icrier.org/pdf/Working_Paper_353.pdf</t>
  </si>
  <si>
    <t>Page 3, Figure 2</t>
  </si>
  <si>
    <t>Solar DC to AC Derate Value</t>
  </si>
  <si>
    <t>Jens Schoene, EnerNex</t>
  </si>
  <si>
    <t>Production Levels of Utility-Scale and Residential-Scale PV Systems</t>
  </si>
  <si>
    <t>http://brattle.com/system/publications/pdfs/000/005/188/original/Comparative_Generation_Costs_of_Utility-Scale_and_Residential-Scale_PV_in_Xcel_Energy_Colorado's_Service_Area.pdf?1436797265</t>
  </si>
  <si>
    <t>This document is included as Appendix B of a report by Brattle Group.  It is on Page 10 of the EnerNex report, which is Page 70 of the PDF</t>
  </si>
  <si>
    <t>Notes</t>
  </si>
  <si>
    <t>The start year is the year before the first simulated year.</t>
  </si>
  <si>
    <t>This can be adjusted using the yellow field below.</t>
  </si>
  <si>
    <t>The start year is:</t>
  </si>
  <si>
    <t>Data copied from BDEQ - BAU Distributed Electricity Quantities</t>
  </si>
  <si>
    <t>BDESC-urban-residential</t>
  </si>
  <si>
    <t>MW</t>
  </si>
  <si>
    <t>urban residential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</si>
  <si>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</si>
  <si>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</si>
  <si>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</si>
  <si>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</si>
  <si>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</si>
  <si>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</si>
  <si>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</si>
  <si>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</si>
  <si>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</si>
  <si>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</si>
  <si>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</si>
  <si>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</si>
  <si>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</si>
  <si>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</si>
  <si>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</si>
  <si>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</si>
  <si>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</si>
  <si>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</si>
  <si>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</si>
  <si>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</si>
  <si>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</si>
  <si>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</si>
  <si>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</si>
  <si>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</si>
  <si>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BDESC-rural-residential</t>
  </si>
  <si>
    <t>rural residential</t>
  </si>
  <si>
    <t>BDESC-commercial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</si>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</sst>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5" fillId="0" borderId="5" applyNumberFormat="0" applyProtection="0">
      <alignment horizontal="left" wrapText="1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wrapText="1"/>
    </xf>
    <xf numFmtId="0" fontId="0" fillId="3" borderId="6" xfId="0" applyFill="1" applyBorder="1"/>
    <xf numFmtId="0" fontId="0" fillId="0" borderId="0" xfId="0" applyAlignment="1">
      <alignment horizontal="right"/>
    </xf>
    <xf numFmtId="0" fontId="7" fillId="0" borderId="0" xfId="0" applyFont="1"/>
    <xf numFmtId="0" fontId="6" fillId="0" borderId="0" xfId="9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9" applyAlignment="1">
      <alignment horizontal="left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</cellXfs>
  <cellStyles count="10">
    <cellStyle name="Body: normal cell" xfId="5" xr:uid="{00000000-0005-0000-0000-000000000000}"/>
    <cellStyle name="Font: Calibri, 9pt regular" xfId="1" xr:uid="{00000000-0005-0000-0000-000001000000}"/>
    <cellStyle name="Footnotes: top row" xfId="6" xr:uid="{00000000-0005-0000-0000-000002000000}"/>
    <cellStyle name="Header: bottom row" xfId="2" xr:uid="{00000000-0005-0000-0000-000003000000}"/>
    <cellStyle name="Header: top rows" xfId="8" xr:uid="{00000000-0005-0000-0000-000004000000}"/>
    <cellStyle name="Hyperlink" xfId="9" builtinId="8"/>
    <cellStyle name="Normal" xfId="0" builtinId="0"/>
    <cellStyle name="Normal 2" xfId="7" xr:uid="{00000000-0005-0000-0000-000007000000}"/>
    <cellStyle name="Parent row" xfId="4" xr:uid="{00000000-0005-0000-0000-000008000000}"/>
    <cellStyle name="Table title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diaEPS/Shared%20Documents/Final%20US%204.0%20InputData/bldgs/BDESC/BAU%20Distribued%20Electricity%20Source%20Capacit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IndiaEPS/Shared%20Documents/Completed%20EPS%20Variables/bldgs/bldgs/BDESC/BAU%20Distribued%20Electricity%20Source%20Quant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a Dist Solar PV Data"/>
      <sheetName val="Back up generator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diaenergy.gov.in/iess/docs/IESS_Version2.2.xlsx" TargetMode="External"/><Relationship Id="rId2" Type="http://schemas.openxmlformats.org/officeDocument/2006/relationships/hyperlink" Target="http://icrier.org/pdf/Working_Paper_353.pdf" TargetMode="External"/><Relationship Id="rId1" Type="http://schemas.openxmlformats.org/officeDocument/2006/relationships/hyperlink" Target="http://indiaenergy.gov.in/iess/docs/IESS_Version2.2.xlsx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A32" workbookViewId="0">
      <selection activeCell="G14" sqref="G14"/>
    </sheetView>
  </sheetViews>
  <sheetFormatPr defaultRowHeight="14.45"/>
  <cols>
    <col min="2" max="2" width="51" customWidth="1"/>
  </cols>
  <sheetData>
    <row r="1" spans="1:5">
      <c r="A1" s="1" t="s">
        <v>0</v>
      </c>
    </row>
    <row r="3" spans="1:5">
      <c r="A3" s="1" t="s">
        <v>1</v>
      </c>
      <c r="B3" s="3" t="s">
        <v>2</v>
      </c>
      <c r="E3" s="3" t="s">
        <v>3</v>
      </c>
    </row>
    <row r="4" spans="1:5">
      <c r="A4" s="1"/>
      <c r="B4" t="s">
        <v>4</v>
      </c>
      <c r="E4" s="7" t="s">
        <v>5</v>
      </c>
    </row>
    <row r="5" spans="1:5">
      <c r="A5" s="1"/>
      <c r="B5" s="2">
        <v>2023</v>
      </c>
      <c r="E5" s="2"/>
    </row>
    <row r="6" spans="1:5">
      <c r="A6" s="1"/>
      <c r="B6" t="s">
        <v>6</v>
      </c>
      <c r="E6" s="3" t="s">
        <v>7</v>
      </c>
    </row>
    <row r="7" spans="1:5">
      <c r="A7" s="1"/>
      <c r="B7" s="8" t="s">
        <v>8</v>
      </c>
      <c r="E7" t="s">
        <v>4</v>
      </c>
    </row>
    <row r="8" spans="1:5">
      <c r="A8" s="1"/>
      <c r="B8" t="s">
        <v>9</v>
      </c>
      <c r="E8" s="2">
        <v>2023</v>
      </c>
    </row>
    <row r="9" spans="1:5">
      <c r="A9" s="1"/>
      <c r="E9" t="s">
        <v>6</v>
      </c>
    </row>
    <row r="10" spans="1:5">
      <c r="A10" s="1"/>
      <c r="B10" s="3" t="s">
        <v>10</v>
      </c>
      <c r="E10" s="8" t="s">
        <v>8</v>
      </c>
    </row>
    <row r="11" spans="1:5">
      <c r="A11" s="1"/>
      <c r="B11" t="s">
        <v>11</v>
      </c>
      <c r="E11" t="s">
        <v>12</v>
      </c>
    </row>
    <row r="12" spans="1:5">
      <c r="A12" s="1"/>
      <c r="B12" s="2">
        <v>2018</v>
      </c>
    </row>
    <row r="13" spans="1:5">
      <c r="A13" s="1"/>
      <c r="B13" t="s">
        <v>13</v>
      </c>
      <c r="E13" s="9"/>
    </row>
    <row r="14" spans="1:5">
      <c r="A14" s="1"/>
      <c r="B14" s="8" t="s">
        <v>14</v>
      </c>
    </row>
    <row r="15" spans="1:5">
      <c r="A15" s="1"/>
      <c r="B15" t="s">
        <v>15</v>
      </c>
      <c r="E15" s="2"/>
    </row>
    <row r="16" spans="1:5">
      <c r="A16" s="1"/>
      <c r="E16" s="4"/>
    </row>
    <row r="17" spans="1:5">
      <c r="A17" s="1"/>
      <c r="B17" s="10" t="s">
        <v>16</v>
      </c>
      <c r="E17" s="8"/>
    </row>
    <row r="18" spans="1:5">
      <c r="A18" s="1"/>
      <c r="B18" s="2" t="s">
        <v>17</v>
      </c>
    </row>
    <row r="19" spans="1:5">
      <c r="A19" s="1"/>
      <c r="B19" s="2">
        <v>2015</v>
      </c>
    </row>
    <row r="20" spans="1:5">
      <c r="A20" s="1"/>
      <c r="B20" s="2" t="s">
        <v>18</v>
      </c>
    </row>
    <row r="21" spans="1:5">
      <c r="A21" s="1"/>
      <c r="B21" s="11" t="s">
        <v>19</v>
      </c>
    </row>
    <row r="22" spans="1:5">
      <c r="A22" s="1"/>
      <c r="B22" s="2" t="s">
        <v>20</v>
      </c>
    </row>
    <row r="24" spans="1:5">
      <c r="A24" s="1" t="s">
        <v>21</v>
      </c>
    </row>
    <row r="25" spans="1:5">
      <c r="A25" t="s">
        <v>22</v>
      </c>
    </row>
    <row r="26" spans="1:5">
      <c r="A26" t="s">
        <v>23</v>
      </c>
    </row>
    <row r="27" spans="1:5" ht="15" thickBot="1">
      <c r="A27" t="s">
        <v>24</v>
      </c>
    </row>
    <row r="28" spans="1:5" ht="15" thickBot="1">
      <c r="A28" s="5">
        <v>2022</v>
      </c>
    </row>
    <row r="30" spans="1:5">
      <c r="A30" t="s">
        <v>25</v>
      </c>
    </row>
  </sheetData>
  <hyperlinks>
    <hyperlink ref="B7" r:id="rId1" xr:uid="{00000000-0004-0000-0000-000000000000}"/>
    <hyperlink ref="B14" r:id="rId2" xr:uid="{00000000-0004-0000-0000-000001000000}"/>
    <hyperlink ref="E10" r:id="rId3" xr:uid="{00000000-0004-0000-0000-000002000000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9"/>
  <sheetViews>
    <sheetView topLeftCell="A12" workbookViewId="0">
      <selection activeCell="C21" sqref="C21"/>
    </sheetView>
  </sheetViews>
  <sheetFormatPr defaultRowHeight="14.45"/>
  <cols>
    <col min="1" max="1" width="14.85546875" customWidth="1"/>
    <col min="2" max="2" width="30.140625" customWidth="1"/>
  </cols>
  <sheetData>
    <row r="1" spans="1:33">
      <c r="A1" t="s">
        <v>26</v>
      </c>
    </row>
    <row r="2" spans="1:33">
      <c r="A2" s="6"/>
      <c r="B2" t="s">
        <v>27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>
      <c r="A3" s="6" t="s">
        <v>28</v>
      </c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6" t="s">
        <v>28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6" t="s">
        <v>28</v>
      </c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1757.4503999999979</v>
      </c>
      <c r="AF5">
        <v>1770.3061999999991</v>
      </c>
      <c r="AG5">
        <v>1783.1619999999998</v>
      </c>
    </row>
    <row r="6" spans="1:33">
      <c r="A6" s="6" t="s">
        <v>28</v>
      </c>
      <c r="B6" t="s">
        <v>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s="6" t="s">
        <v>28</v>
      </c>
      <c r="B7" t="s">
        <v>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6" t="s">
        <v>28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572.29220000000009</v>
      </c>
      <c r="AF8">
        <v>572.32460000000003</v>
      </c>
      <c r="AG8">
        <v>572.35699999999997</v>
      </c>
    </row>
    <row r="9" spans="1:33">
      <c r="A9" s="6" t="s">
        <v>28</v>
      </c>
      <c r="B9" t="s">
        <v>35</v>
      </c>
      <c r="C9">
        <v>116.37606357433583</v>
      </c>
      <c r="D9">
        <v>157.21797479517363</v>
      </c>
      <c r="E9">
        <v>198.05988601599722</v>
      </c>
      <c r="F9">
        <v>238.90179723683502</v>
      </c>
      <c r="G9">
        <v>249.08587064201271</v>
      </c>
      <c r="H9">
        <v>259.26994404718687</v>
      </c>
      <c r="I9">
        <v>269.4540174523645</v>
      </c>
      <c r="J9">
        <v>279.63809085754224</v>
      </c>
      <c r="K9">
        <v>289.82216426271634</v>
      </c>
      <c r="L9">
        <v>345.54817574520769</v>
      </c>
      <c r="M9">
        <v>401.27418722768482</v>
      </c>
      <c r="N9">
        <v>457.00019871016195</v>
      </c>
      <c r="O9">
        <v>512.7262101926533</v>
      </c>
      <c r="P9">
        <v>568.45222167513043</v>
      </c>
      <c r="Q9">
        <v>653.86585014204002</v>
      </c>
      <c r="R9">
        <v>739.2794786089496</v>
      </c>
      <c r="S9">
        <v>824.69310707588761</v>
      </c>
      <c r="T9">
        <v>910.1067355427972</v>
      </c>
      <c r="U9">
        <v>995.52036400970678</v>
      </c>
      <c r="V9">
        <v>1084.4738557727851</v>
      </c>
      <c r="W9">
        <v>1173.427347535835</v>
      </c>
      <c r="X9">
        <v>1262.3808392988849</v>
      </c>
      <c r="Y9">
        <v>1351.3343310619632</v>
      </c>
      <c r="Z9">
        <v>1440.2878228250131</v>
      </c>
      <c r="AA9">
        <v>1503.2485753952187</v>
      </c>
      <c r="AB9">
        <v>1566.2093279654243</v>
      </c>
      <c r="AC9">
        <v>1629.1700805356299</v>
      </c>
      <c r="AD9">
        <v>1692.1308331058071</v>
      </c>
      <c r="AE9">
        <v>64130.903799999971</v>
      </c>
      <c r="AF9">
        <v>65974.059400000144</v>
      </c>
      <c r="AG9">
        <v>67817.215000000011</v>
      </c>
    </row>
    <row r="10" spans="1:33">
      <c r="A10" s="6" t="s">
        <v>28</v>
      </c>
      <c r="B10" t="s">
        <v>36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 s="6" t="s">
        <v>28</v>
      </c>
      <c r="B11" t="s">
        <v>37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6" t="s">
        <v>28</v>
      </c>
      <c r="B12" t="s">
        <v>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6" t="s">
        <v>28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12.052999999999999</v>
      </c>
      <c r="AF13">
        <v>12.052999999999999</v>
      </c>
      <c r="AG13">
        <v>12.052999999999999</v>
      </c>
    </row>
    <row r="14" spans="1:33">
      <c r="A14" s="6" t="s">
        <v>28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6" t="s">
        <v>28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6" t="s">
        <v>28</v>
      </c>
      <c r="B16" t="s">
        <v>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6" t="s">
        <v>28</v>
      </c>
      <c r="B17" t="s">
        <v>43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 s="6" t="s">
        <v>28</v>
      </c>
      <c r="B18" t="s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6" t="s">
        <v>28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ht="15">
      <c r="A20" s="6" t="s">
        <v>28</v>
      </c>
      <c r="B20" s="14" t="s">
        <v>46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ht="15">
      <c r="A21" s="6" t="s">
        <v>28</v>
      </c>
      <c r="B21" s="14" t="s">
        <v>47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ht="15">
      <c r="A22" s="6" t="s">
        <v>28</v>
      </c>
      <c r="B22" s="14" t="s">
        <v>48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ht="15">
      <c r="A23" s="6" t="s">
        <v>28</v>
      </c>
      <c r="B23" s="14" t="s">
        <v>49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ht="15">
      <c r="A24" s="6" t="s">
        <v>28</v>
      </c>
      <c r="B24" s="14" t="s">
        <v>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ht="15">
      <c r="A25" s="6" t="s">
        <v>28</v>
      </c>
      <c r="B25" s="13" t="s">
        <v>51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ht="15">
      <c r="A26" s="6" t="s">
        <v>28</v>
      </c>
      <c r="B26" s="13" t="s">
        <v>52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8" spans="1:33">
      <c r="A28" t="s">
        <v>53</v>
      </c>
    </row>
    <row r="29" spans="1:33">
      <c r="B29" t="s">
        <v>27</v>
      </c>
      <c r="C29">
        <v>2020</v>
      </c>
      <c r="D29">
        <v>2021</v>
      </c>
      <c r="E29">
        <v>2022</v>
      </c>
      <c r="F29">
        <v>2023</v>
      </c>
      <c r="G29">
        <v>2024</v>
      </c>
      <c r="H29">
        <v>2025</v>
      </c>
      <c r="I29">
        <v>2026</v>
      </c>
      <c r="J29">
        <v>2027</v>
      </c>
      <c r="K29">
        <v>2028</v>
      </c>
      <c r="L29">
        <v>2029</v>
      </c>
      <c r="M29">
        <v>2030</v>
      </c>
      <c r="N29">
        <v>2031</v>
      </c>
      <c r="O29">
        <v>2032</v>
      </c>
      <c r="P29">
        <v>2033</v>
      </c>
      <c r="Q29">
        <v>2034</v>
      </c>
      <c r="R29">
        <v>2035</v>
      </c>
      <c r="S29">
        <v>2036</v>
      </c>
      <c r="T29">
        <v>2037</v>
      </c>
      <c r="U29">
        <v>2038</v>
      </c>
      <c r="V29">
        <v>2039</v>
      </c>
      <c r="W29">
        <v>2040</v>
      </c>
      <c r="X29">
        <v>2041</v>
      </c>
      <c r="Y29">
        <v>2042</v>
      </c>
      <c r="Z29">
        <v>2043</v>
      </c>
      <c r="AA29">
        <v>2044</v>
      </c>
      <c r="AB29">
        <v>2045</v>
      </c>
      <c r="AC29">
        <v>2046</v>
      </c>
      <c r="AD29">
        <v>2047</v>
      </c>
      <c r="AE29">
        <v>2048</v>
      </c>
      <c r="AF29">
        <v>2049</v>
      </c>
      <c r="AG29">
        <v>2050</v>
      </c>
    </row>
    <row r="30" spans="1:33">
      <c r="A30" s="6" t="s">
        <v>54</v>
      </c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 s="6" t="s">
        <v>54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 s="6" t="s">
        <v>54</v>
      </c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 s="6" t="s">
        <v>54</v>
      </c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 s="6" t="s">
        <v>54</v>
      </c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 s="6" t="s">
        <v>54</v>
      </c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 s="6" t="s">
        <v>54</v>
      </c>
      <c r="B36" t="s">
        <v>35</v>
      </c>
      <c r="C36">
        <v>212.14717985930065</v>
      </c>
      <c r="D36">
        <v>283.0028886391176</v>
      </c>
      <c r="E36">
        <v>353.85859741896297</v>
      </c>
      <c r="F36">
        <v>424.71430619877992</v>
      </c>
      <c r="G36">
        <v>430.433763010468</v>
      </c>
      <c r="H36">
        <v>436.15321982211873</v>
      </c>
      <c r="I36">
        <v>441.87267663376952</v>
      </c>
      <c r="J36">
        <v>447.59213344542025</v>
      </c>
      <c r="K36">
        <v>453.31159025707103</v>
      </c>
      <c r="L36">
        <v>519.65036200166992</v>
      </c>
      <c r="M36">
        <v>585.98913374623862</v>
      </c>
      <c r="N36">
        <v>652.32790549080732</v>
      </c>
      <c r="O36">
        <v>718.66667723537603</v>
      </c>
      <c r="P36">
        <v>785.00544897994473</v>
      </c>
      <c r="Q36">
        <v>871.35378149741882</v>
      </c>
      <c r="R36">
        <v>957.70211401492134</v>
      </c>
      <c r="S36">
        <v>1044.0504465324238</v>
      </c>
      <c r="T36">
        <v>1130.3987790499264</v>
      </c>
      <c r="U36">
        <v>1216.7471115674289</v>
      </c>
      <c r="V36">
        <v>1285.4600508660212</v>
      </c>
      <c r="W36">
        <v>1354.1729901646136</v>
      </c>
      <c r="X36">
        <v>1422.8859294632343</v>
      </c>
      <c r="Y36">
        <v>1491.5988687618267</v>
      </c>
      <c r="Z36">
        <v>1560.3118080604474</v>
      </c>
      <c r="AA36">
        <v>1585.5023393821668</v>
      </c>
      <c r="AB36">
        <v>1610.6928707039003</v>
      </c>
      <c r="AC36">
        <v>1635.8834020256409</v>
      </c>
      <c r="AD36">
        <v>1661.0739333473746</v>
      </c>
      <c r="AE36">
        <v>1686.2644646691151</v>
      </c>
      <c r="AF36">
        <v>1711.4549959908486</v>
      </c>
      <c r="AG36">
        <v>1736.6455273125823</v>
      </c>
    </row>
    <row r="37" spans="1:33">
      <c r="A37" s="6" t="s">
        <v>54</v>
      </c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>
      <c r="A38" s="6" t="s">
        <v>54</v>
      </c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 s="6" t="s">
        <v>54</v>
      </c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s="6" t="s">
        <v>54</v>
      </c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s="6" t="s">
        <v>54</v>
      </c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s="6" t="s">
        <v>54</v>
      </c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s="6" t="s">
        <v>54</v>
      </c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 s="6" t="s">
        <v>54</v>
      </c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s="6" t="s">
        <v>54</v>
      </c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>
      <c r="A46" s="6" t="s">
        <v>54</v>
      </c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ht="15">
      <c r="A47" s="6" t="s">
        <v>54</v>
      </c>
      <c r="B47" s="14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ht="15">
      <c r="A48" s="6" t="s">
        <v>54</v>
      </c>
      <c r="B48" s="14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ht="15">
      <c r="A49" s="6" t="s">
        <v>54</v>
      </c>
      <c r="B49" s="14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ht="15">
      <c r="A50" s="6" t="s">
        <v>54</v>
      </c>
      <c r="B50" s="14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ht="15">
      <c r="A51" s="6" t="s">
        <v>54</v>
      </c>
      <c r="B51" s="14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ht="15">
      <c r="A52" s="6" t="s">
        <v>54</v>
      </c>
      <c r="B52" s="13" t="s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ht="15">
      <c r="A53" s="6" t="s">
        <v>54</v>
      </c>
      <c r="B53" s="13" t="s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5" spans="1:33">
      <c r="A55" t="s">
        <v>55</v>
      </c>
    </row>
    <row r="56" spans="1:33">
      <c r="B56" t="s">
        <v>27</v>
      </c>
      <c r="C56">
        <v>2020</v>
      </c>
      <c r="D56">
        <v>2021</v>
      </c>
      <c r="E56">
        <v>2022</v>
      </c>
      <c r="F56">
        <v>2023</v>
      </c>
      <c r="G56">
        <v>2024</v>
      </c>
      <c r="H56">
        <v>2025</v>
      </c>
      <c r="I56">
        <v>2026</v>
      </c>
      <c r="J56">
        <v>2027</v>
      </c>
      <c r="K56">
        <v>2028</v>
      </c>
      <c r="L56">
        <v>2029</v>
      </c>
      <c r="M56">
        <v>2030</v>
      </c>
      <c r="N56">
        <v>2031</v>
      </c>
      <c r="O56">
        <v>2032</v>
      </c>
      <c r="P56">
        <v>2033</v>
      </c>
      <c r="Q56">
        <v>2034</v>
      </c>
      <c r="R56">
        <v>2035</v>
      </c>
      <c r="S56">
        <v>2036</v>
      </c>
      <c r="T56">
        <v>2037</v>
      </c>
      <c r="U56">
        <v>2038</v>
      </c>
      <c r="V56">
        <v>2039</v>
      </c>
      <c r="W56">
        <v>2040</v>
      </c>
      <c r="X56">
        <v>2041</v>
      </c>
      <c r="Y56">
        <v>2042</v>
      </c>
      <c r="Z56">
        <v>2043</v>
      </c>
      <c r="AA56">
        <v>2044</v>
      </c>
      <c r="AB56">
        <v>2045</v>
      </c>
      <c r="AC56">
        <v>2046</v>
      </c>
      <c r="AD56">
        <v>2047</v>
      </c>
      <c r="AE56">
        <v>2048</v>
      </c>
      <c r="AF56">
        <v>2049</v>
      </c>
      <c r="AG56">
        <v>2050</v>
      </c>
    </row>
    <row r="57" spans="1:33">
      <c r="A57" s="6" t="s">
        <v>56</v>
      </c>
      <c r="B57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s="6" t="s">
        <v>56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s="6" t="s">
        <v>56</v>
      </c>
      <c r="B59" t="s">
        <v>31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 s="6" t="s">
        <v>56</v>
      </c>
      <c r="B60" t="s">
        <v>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 s="6" t="s">
        <v>56</v>
      </c>
      <c r="B61" t="s">
        <v>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 s="6" t="s">
        <v>56</v>
      </c>
      <c r="B62" t="s">
        <v>34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 s="6" t="s">
        <v>56</v>
      </c>
      <c r="B63" t="s">
        <v>35</v>
      </c>
      <c r="C63">
        <v>985.56973030099471</v>
      </c>
      <c r="D63">
        <v>1320.662590302959</v>
      </c>
      <c r="E63">
        <v>1655.7554503049232</v>
      </c>
      <c r="F63">
        <v>1990.8483103070012</v>
      </c>
      <c r="G63">
        <v>2038.558900957426</v>
      </c>
      <c r="H63">
        <v>2086.2694916079081</v>
      </c>
      <c r="I63">
        <v>2133.9800822583898</v>
      </c>
      <c r="J63">
        <v>2181.6906729088714</v>
      </c>
      <c r="K63">
        <v>2229.4012635593531</v>
      </c>
      <c r="L63">
        <v>2595.5956132405618</v>
      </c>
      <c r="M63">
        <v>2961.7899629216708</v>
      </c>
      <c r="N63">
        <v>3327.9843126027799</v>
      </c>
      <c r="O63">
        <v>3694.1786622840027</v>
      </c>
      <c r="P63">
        <v>4060.3730119651118</v>
      </c>
      <c r="Q63">
        <v>4575.658894918206</v>
      </c>
      <c r="R63">
        <v>5090.9447778715275</v>
      </c>
      <c r="S63">
        <v>5606.2306608246217</v>
      </c>
      <c r="T63">
        <v>6121.5165437779433</v>
      </c>
      <c r="U63">
        <v>6636.8024267312649</v>
      </c>
      <c r="V63">
        <v>7109.8017199162769</v>
      </c>
      <c r="W63">
        <v>7582.8010131012888</v>
      </c>
      <c r="X63">
        <v>8055.8003062863008</v>
      </c>
      <c r="Y63">
        <v>8528.7995994713128</v>
      </c>
      <c r="Z63">
        <v>9001.7988926563248</v>
      </c>
      <c r="AA63">
        <v>9266.2527443321778</v>
      </c>
      <c r="AB63">
        <v>9530.7065960079162</v>
      </c>
      <c r="AC63">
        <v>9795.1604476837711</v>
      </c>
      <c r="AD63">
        <v>10059.614299359622</v>
      </c>
      <c r="AE63">
        <v>10324.068151035362</v>
      </c>
      <c r="AF63">
        <v>10588.522002711215</v>
      </c>
      <c r="AG63">
        <v>10852.975854387068</v>
      </c>
    </row>
    <row r="64" spans="1:33">
      <c r="A64" s="6" t="s">
        <v>56</v>
      </c>
      <c r="B64" t="s">
        <v>36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 s="6" t="s">
        <v>56</v>
      </c>
      <c r="B65" t="s">
        <v>37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 s="6" t="s">
        <v>56</v>
      </c>
      <c r="B66" t="s">
        <v>38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 s="6" t="s">
        <v>56</v>
      </c>
      <c r="B67" t="s">
        <v>39</v>
      </c>
      <c r="C67">
        <v>20892.165788264494</v>
      </c>
      <c r="D67">
        <v>21714.719375748471</v>
      </c>
      <c r="E67">
        <v>22537.272963232455</v>
      </c>
      <c r="F67">
        <v>22722.369142467698</v>
      </c>
      <c r="G67">
        <v>22907.465321703115</v>
      </c>
      <c r="H67">
        <v>23092.561500938587</v>
      </c>
      <c r="I67">
        <v>23277.657680174001</v>
      </c>
      <c r="J67">
        <v>23462.753859409419</v>
      </c>
      <c r="K67">
        <v>22918.550305111465</v>
      </c>
      <c r="L67">
        <v>22374.346750813631</v>
      </c>
      <c r="M67">
        <v>21830.143196515564</v>
      </c>
      <c r="N67">
        <v>21285.939642217727</v>
      </c>
      <c r="O67">
        <v>20741.736087919664</v>
      </c>
      <c r="P67">
        <v>19449.608047051242</v>
      </c>
      <c r="Q67">
        <v>18157.480006182595</v>
      </c>
      <c r="R67">
        <v>16865.351965313948</v>
      </c>
      <c r="S67">
        <v>15573.223924445301</v>
      </c>
      <c r="T67">
        <v>14281.095883576199</v>
      </c>
      <c r="U67">
        <v>11424.876706861141</v>
      </c>
      <c r="V67">
        <v>8568.6575301460834</v>
      </c>
      <c r="W67">
        <v>5712.4383534310255</v>
      </c>
      <c r="X67">
        <v>2856.219176715058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 s="6" t="s">
        <v>56</v>
      </c>
      <c r="B68" t="s">
        <v>40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 s="6" t="s">
        <v>56</v>
      </c>
      <c r="B69" t="s">
        <v>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s="6" t="s">
        <v>56</v>
      </c>
      <c r="B70" t="s">
        <v>42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 s="6" t="s">
        <v>56</v>
      </c>
      <c r="B71" t="s">
        <v>43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 s="6" t="s">
        <v>56</v>
      </c>
      <c r="B72" t="s">
        <v>44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 s="6" t="s">
        <v>56</v>
      </c>
      <c r="B73" t="s">
        <v>45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ht="15">
      <c r="A74" s="6" t="s">
        <v>56</v>
      </c>
      <c r="B74" s="14" t="s">
        <v>46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ht="15">
      <c r="A75" s="6" t="s">
        <v>56</v>
      </c>
      <c r="B75" s="14" t="s">
        <v>47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ht="15">
      <c r="A76" s="6" t="s">
        <v>56</v>
      </c>
      <c r="B76" s="14" t="s">
        <v>48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ht="15">
      <c r="A77" s="6" t="s">
        <v>56</v>
      </c>
      <c r="B77" s="14" t="s">
        <v>49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ht="15">
      <c r="A78" s="6" t="s">
        <v>56</v>
      </c>
      <c r="B78" s="14" t="s">
        <v>50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ht="15">
      <c r="A79" s="6" t="s">
        <v>56</v>
      </c>
      <c r="B79" s="13" t="s">
        <v>51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D25"/>
  <sheetViews>
    <sheetView tabSelected="1" topLeftCell="A3" workbookViewId="0">
      <selection activeCell="G28" sqref="G28"/>
    </sheetView>
  </sheetViews>
  <sheetFormatPr defaultRowHeight="14.45"/>
  <cols>
    <col min="1" max="4" width="23.42578125" customWidth="1"/>
  </cols>
  <sheetData>
    <row r="1" spans="1:4">
      <c r="A1" t="s">
        <v>27</v>
      </c>
      <c r="B1" s="6" t="s">
        <v>28</v>
      </c>
      <c r="C1" s="6" t="s">
        <v>54</v>
      </c>
      <c r="D1" s="6" t="s">
        <v>56</v>
      </c>
    </row>
    <row r="2" spans="1:4" ht="15">
      <c r="A2" t="s">
        <v>29</v>
      </c>
      <c r="B2">
        <f>SUMIFS(INDEX('BDEQ - Combined'!$G$3:$AJ$56,,MATCH(About!$A$28,'BDEQ - Combined'!$D$2:$AG$2,0)),'BDEQ - Combined'!$A$3:$A$56,SYDEC!B$1,'BDEQ - Combined'!$B$3:$B$56,SYDEC!$A2)</f>
        <v>0</v>
      </c>
      <c r="C2">
        <f>SUMIFS(INDEX('BDEQ - Combined'!$G$3:$AJ$56,,MATCH(About!$A$28,'BDEQ - Combined'!$D$2:$AG$2,0)),'BDEQ - Combined'!$A$3:$A$56,SYDEC!C$1,'BDEQ - Combined'!$B$3:$B$56,SYDEC!$A2)</f>
        <v>0</v>
      </c>
      <c r="D2">
        <f>SUMIFS(INDEX('BDEQ - Combined'!$G$3:$AJ$56,,MATCH(About!$A$28,'BDEQ - Combined'!$D$2:$AG$2,0)),'BDEQ - Combined'!$A$3:$A$56,SYDEC!D$1,'BDEQ - Combined'!$B$3:$B$56,SYDEC!$A2)</f>
        <v>0</v>
      </c>
    </row>
    <row r="3" spans="1:4" ht="15">
      <c r="A3" s="12" t="s">
        <v>30</v>
      </c>
      <c r="B3">
        <f>SUMIFS(INDEX('BDEQ - Combined'!$G$3:$AJ$56,,MATCH(About!$A$28,'BDEQ - Combined'!$D$2:$AG$2,0)),'BDEQ - Combined'!$A$3:$A$56,SYDEC!B$1,'BDEQ - Combined'!$B$3:$B$56,SYDEC!$A3)</f>
        <v>0</v>
      </c>
      <c r="C3">
        <f>SUMIFS(INDEX('BDEQ - Combined'!$G$3:$AJ$56,,MATCH(About!$A$28,'BDEQ - Combined'!$D$2:$AG$2,0)),'BDEQ - Combined'!$A$3:$A$56,SYDEC!C$1,'BDEQ - Combined'!$B$3:$B$56,SYDEC!$A3)</f>
        <v>0</v>
      </c>
      <c r="D3">
        <f>SUMIFS(INDEX('BDEQ - Combined'!$G$3:$AJ$56,,MATCH(About!$A$28,'BDEQ - Combined'!$D$2:$AG$2,0)),'BDEQ - Combined'!$A$3:$A$56,SYDEC!D$1,'BDEQ - Combined'!$B$3:$B$56,SYDEC!$A3)</f>
        <v>0</v>
      </c>
    </row>
    <row r="4" spans="1:4" ht="15">
      <c r="A4" s="12" t="s">
        <v>31</v>
      </c>
      <c r="B4">
        <f>SUMIFS(INDEX('BDEQ - Combined'!$G$3:$AJ$56,,MATCH(About!$A$28,'BDEQ - Combined'!$D$2:$AG$2,0)),'BDEQ - Combined'!$A$3:$A$56,SYDEC!B$1,'BDEQ - Combined'!$B$3:$B$56,SYDEC!$A4)</f>
        <v>0</v>
      </c>
      <c r="C4">
        <f>SUMIFS(INDEX('BDEQ - Combined'!$G$3:$AJ$56,,MATCH(About!$A$28,'BDEQ - Combined'!$D$2:$AG$2,0)),'BDEQ - Combined'!$A$3:$A$56,SYDEC!C$1,'BDEQ - Combined'!$B$3:$B$56,SYDEC!$A4)</f>
        <v>0</v>
      </c>
      <c r="D4">
        <f>SUMIFS(INDEX('BDEQ - Combined'!$G$3:$AJ$56,,MATCH(About!$A$28,'BDEQ - Combined'!$D$2:$AG$2,0)),'BDEQ - Combined'!$A$3:$A$56,SYDEC!D$1,'BDEQ - Combined'!$B$3:$B$56,SYDEC!$A4)</f>
        <v>0</v>
      </c>
    </row>
    <row r="5" spans="1:4" ht="15">
      <c r="A5" t="s">
        <v>32</v>
      </c>
      <c r="B5">
        <f>SUMIFS(INDEX('BDEQ - Combined'!$G$3:$AJ$56,,MATCH(About!$A$28,'BDEQ - Combined'!$D$2:$AG$2,0)),'BDEQ - Combined'!$A$3:$A$56,SYDEC!B$1,'BDEQ - Combined'!$B$3:$B$56,SYDEC!$A5)</f>
        <v>0</v>
      </c>
      <c r="C5">
        <f>SUMIFS(INDEX('BDEQ - Combined'!$G$3:$AJ$56,,MATCH(About!$A$28,'BDEQ - Combined'!$D$2:$AG$2,0)),'BDEQ - Combined'!$A$3:$A$56,SYDEC!C$1,'BDEQ - Combined'!$B$3:$B$56,SYDEC!$A5)</f>
        <v>0</v>
      </c>
      <c r="D5">
        <f>SUMIFS(INDEX('BDEQ - Combined'!$G$3:$AJ$56,,MATCH(About!$A$28,'BDEQ - Combined'!$D$2:$AG$2,0)),'BDEQ - Combined'!$A$3:$A$56,SYDEC!D$1,'BDEQ - Combined'!$B$3:$B$56,SYDEC!$A5)</f>
        <v>0</v>
      </c>
    </row>
    <row r="6" spans="1:4" ht="15">
      <c r="A6" t="s">
        <v>33</v>
      </c>
      <c r="B6">
        <f>SUMIFS(INDEX('BDEQ - Combined'!$G$3:$AJ$56,,MATCH(About!$A$28,'BDEQ - Combined'!$D$2:$AG$2,0)),'BDEQ - Combined'!$A$3:$A$56,SYDEC!B$1,'BDEQ - Combined'!$B$3:$B$56,SYDEC!$A6)</f>
        <v>0</v>
      </c>
      <c r="C6">
        <f>SUMIFS(INDEX('BDEQ - Combined'!$G$3:$AJ$56,,MATCH(About!$A$28,'BDEQ - Combined'!$D$2:$AG$2,0)),'BDEQ - Combined'!$A$3:$A$56,SYDEC!C$1,'BDEQ - Combined'!$B$3:$B$56,SYDEC!$A6)</f>
        <v>0</v>
      </c>
      <c r="D6">
        <f>SUMIFS(INDEX('BDEQ - Combined'!$G$3:$AJ$56,,MATCH(About!$A$28,'BDEQ - Combined'!$D$2:$AG$2,0)),'BDEQ - Combined'!$A$3:$A$56,SYDEC!D$1,'BDEQ - Combined'!$B$3:$B$56,SYDEC!$A6)</f>
        <v>0</v>
      </c>
    </row>
    <row r="7" spans="1:4" ht="15">
      <c r="A7" t="s">
        <v>34</v>
      </c>
      <c r="B7">
        <f>SUMIFS(INDEX('BDEQ - Combined'!$G$3:$AJ$56,,MATCH(About!$A$28,'BDEQ - Combined'!$D$2:$AG$2,0)),'BDEQ - Combined'!$A$3:$A$56,SYDEC!B$1,'BDEQ - Combined'!$B$3:$B$56,SYDEC!$A7)</f>
        <v>0</v>
      </c>
      <c r="C7">
        <f>SUMIFS(INDEX('BDEQ - Combined'!$G$3:$AJ$56,,MATCH(About!$A$28,'BDEQ - Combined'!$D$2:$AG$2,0)),'BDEQ - Combined'!$A$3:$A$56,SYDEC!C$1,'BDEQ - Combined'!$B$3:$B$56,SYDEC!$A7)</f>
        <v>0</v>
      </c>
      <c r="D7">
        <f>SUMIFS(INDEX('BDEQ - Combined'!$G$3:$AJ$56,,MATCH(About!$A$28,'BDEQ - Combined'!$D$2:$AG$2,0)),'BDEQ - Combined'!$A$3:$A$56,SYDEC!D$1,'BDEQ - Combined'!$B$3:$B$56,SYDEC!$A7)</f>
        <v>0</v>
      </c>
    </row>
    <row r="8" spans="1:4" ht="15">
      <c r="A8" t="s">
        <v>35</v>
      </c>
      <c r="B8">
        <f>SUMIFS(INDEX('BDEQ - Combined'!$G$3:$AJ$56,,MATCH(About!$A$28,'BDEQ - Combined'!$D$2:$AG$2,0)),'BDEQ - Combined'!$A$3:$A$56,SYDEC!B$1,'BDEQ - Combined'!$B$3:$B$56,SYDEC!$A8)</f>
        <v>259.26994404718687</v>
      </c>
      <c r="C8">
        <f>SUMIFS(INDEX('BDEQ - Combined'!$G$3:$AJ$56,,MATCH(About!$A$28,'BDEQ - Combined'!$D$2:$AG$2,0)),'BDEQ - Combined'!$A$3:$A$56,SYDEC!C$1,'BDEQ - Combined'!$B$3:$B$56,SYDEC!$A8)</f>
        <v>436.15321982211873</v>
      </c>
      <c r="D8">
        <f>SUMIFS(INDEX('BDEQ - Combined'!$G$3:$AJ$56,,MATCH(About!$A$28,'BDEQ - Combined'!$D$2:$AG$2,0)),'BDEQ - Combined'!$A$3:$A$56,SYDEC!D$1,'BDEQ - Combined'!$B$3:$B$56,SYDEC!$A8)</f>
        <v>0</v>
      </c>
    </row>
    <row r="9" spans="1:4" ht="15">
      <c r="A9" t="s">
        <v>36</v>
      </c>
      <c r="B9">
        <f>SUMIFS(INDEX('BDEQ - Combined'!$G$3:$AJ$56,,MATCH(About!$A$28,'BDEQ - Combined'!$D$2:$AG$2,0)),'BDEQ - Combined'!$A$3:$A$56,SYDEC!B$1,'BDEQ - Combined'!$B$3:$B$56,SYDEC!$A9)</f>
        <v>0</v>
      </c>
      <c r="C9">
        <f>SUMIFS(INDEX('BDEQ - Combined'!$G$3:$AJ$56,,MATCH(About!$A$28,'BDEQ - Combined'!$D$2:$AG$2,0)),'BDEQ - Combined'!$A$3:$A$56,SYDEC!C$1,'BDEQ - Combined'!$B$3:$B$56,SYDEC!$A9)</f>
        <v>0</v>
      </c>
      <c r="D9">
        <f>SUMIFS(INDEX('BDEQ - Combined'!$G$3:$AJ$56,,MATCH(About!$A$28,'BDEQ - Combined'!$D$2:$AG$2,0)),'BDEQ - Combined'!$A$3:$A$56,SYDEC!D$1,'BDEQ - Combined'!$B$3:$B$56,SYDEC!$A9)</f>
        <v>0</v>
      </c>
    </row>
    <row r="10" spans="1:4" ht="15">
      <c r="A10" t="s">
        <v>37</v>
      </c>
      <c r="B10">
        <f>SUMIFS(INDEX('BDEQ - Combined'!$G$3:$AJ$56,,MATCH(About!$A$28,'BDEQ - Combined'!$D$2:$AG$2,0)),'BDEQ - Combined'!$A$3:$A$56,SYDEC!B$1,'BDEQ - Combined'!$B$3:$B$56,SYDEC!$A10)</f>
        <v>0</v>
      </c>
      <c r="C10">
        <f>SUMIFS(INDEX('BDEQ - Combined'!$G$3:$AJ$56,,MATCH(About!$A$28,'BDEQ - Combined'!$D$2:$AG$2,0)),'BDEQ - Combined'!$A$3:$A$56,SYDEC!C$1,'BDEQ - Combined'!$B$3:$B$56,SYDEC!$A10)</f>
        <v>0</v>
      </c>
      <c r="D10">
        <f>SUMIFS(INDEX('BDEQ - Combined'!$G$3:$AJ$56,,MATCH(About!$A$28,'BDEQ - Combined'!$D$2:$AG$2,0)),'BDEQ - Combined'!$A$3:$A$56,SYDEC!D$1,'BDEQ - Combined'!$B$3:$B$56,SYDEC!$A10)</f>
        <v>0</v>
      </c>
    </row>
    <row r="11" spans="1:4" ht="15">
      <c r="A11" t="s">
        <v>38</v>
      </c>
      <c r="B11">
        <f>SUMIFS(INDEX('BDEQ - Combined'!$G$3:$AJ$56,,MATCH(About!$A$28,'BDEQ - Combined'!$D$2:$AG$2,0)),'BDEQ - Combined'!$A$3:$A$56,SYDEC!B$1,'BDEQ - Combined'!$B$3:$B$56,SYDEC!$A11)</f>
        <v>0</v>
      </c>
      <c r="C11">
        <f>SUMIFS(INDEX('BDEQ - Combined'!$G$3:$AJ$56,,MATCH(About!$A$28,'BDEQ - Combined'!$D$2:$AG$2,0)),'BDEQ - Combined'!$A$3:$A$56,SYDEC!C$1,'BDEQ - Combined'!$B$3:$B$56,SYDEC!$A11)</f>
        <v>0</v>
      </c>
      <c r="D11">
        <f>SUMIFS(INDEX('BDEQ - Combined'!$G$3:$AJ$56,,MATCH(About!$A$28,'BDEQ - Combined'!$D$2:$AG$2,0)),'BDEQ - Combined'!$A$3:$A$56,SYDEC!D$1,'BDEQ - Combined'!$B$3:$B$56,SYDEC!$A11)</f>
        <v>0</v>
      </c>
    </row>
    <row r="12" spans="1:4" ht="15">
      <c r="A12" t="s">
        <v>39</v>
      </c>
      <c r="B12">
        <f>SUMIFS(INDEX('BDEQ - Combined'!$G$3:$AJ$56,,MATCH(About!$A$28,'BDEQ - Combined'!$D$2:$AG$2,0)),'BDEQ - Combined'!$A$3:$A$56,SYDEC!B$1,'BDEQ - Combined'!$B$3:$B$56,SYDEC!$A12)</f>
        <v>0</v>
      </c>
      <c r="C12">
        <f>SUMIFS(INDEX('BDEQ - Combined'!$G$3:$AJ$56,,MATCH(About!$A$28,'BDEQ - Combined'!$D$2:$AG$2,0)),'BDEQ - Combined'!$A$3:$A$56,SYDEC!C$1,'BDEQ - Combined'!$B$3:$B$56,SYDEC!$A12)</f>
        <v>0</v>
      </c>
      <c r="D12">
        <f>SUMIFS(INDEX('BDEQ - Combined'!$G$3:$AJ$56,,MATCH(About!$A$28,'BDEQ - Combined'!$D$2:$AG$2,0)),'BDEQ - Combined'!$A$3:$A$56,SYDEC!D$1,'BDEQ - Combined'!$B$3:$B$56,SYDEC!$A12)</f>
        <v>0</v>
      </c>
    </row>
    <row r="13" spans="1:4" ht="15">
      <c r="A13" t="s">
        <v>40</v>
      </c>
      <c r="B13">
        <f>SUMIFS(INDEX('BDEQ - Combined'!$G$3:$AJ$56,,MATCH(About!$A$28,'BDEQ - Combined'!$D$2:$AG$2,0)),'BDEQ - Combined'!$A$3:$A$56,SYDEC!B$1,'BDEQ - Combined'!$B$3:$B$56,SYDEC!$A13)</f>
        <v>0</v>
      </c>
      <c r="C13">
        <f>SUMIFS(INDEX('BDEQ - Combined'!$G$3:$AJ$56,,MATCH(About!$A$28,'BDEQ - Combined'!$D$2:$AG$2,0)),'BDEQ - Combined'!$A$3:$A$56,SYDEC!C$1,'BDEQ - Combined'!$B$3:$B$56,SYDEC!$A13)</f>
        <v>0</v>
      </c>
      <c r="D13">
        <f>SUMIFS(INDEX('BDEQ - Combined'!$G$3:$AJ$56,,MATCH(About!$A$28,'BDEQ - Combined'!$D$2:$AG$2,0)),'BDEQ - Combined'!$A$3:$A$56,SYDEC!D$1,'BDEQ - Combined'!$B$3:$B$56,SYDEC!$A13)</f>
        <v>0</v>
      </c>
    </row>
    <row r="14" spans="1:4" ht="15">
      <c r="A14" t="s">
        <v>41</v>
      </c>
      <c r="B14">
        <f>SUMIFS(INDEX('BDEQ - Combined'!$G$3:$AJ$56,,MATCH(About!$A$28,'BDEQ - Combined'!$D$2:$AG$2,0)),'BDEQ - Combined'!$A$3:$A$56,SYDEC!B$1,'BDEQ - Combined'!$B$3:$B$56,SYDEC!$A14)</f>
        <v>0</v>
      </c>
      <c r="C14">
        <f>SUMIFS(INDEX('BDEQ - Combined'!$G$3:$AJ$56,,MATCH(About!$A$28,'BDEQ - Combined'!$D$2:$AG$2,0)),'BDEQ - Combined'!$A$3:$A$56,SYDEC!C$1,'BDEQ - Combined'!$B$3:$B$56,SYDEC!$A14)</f>
        <v>0</v>
      </c>
      <c r="D14">
        <f>SUMIFS(INDEX('BDEQ - Combined'!$G$3:$AJ$56,,MATCH(About!$A$28,'BDEQ - Combined'!$D$2:$AG$2,0)),'BDEQ - Combined'!$A$3:$A$56,SYDEC!D$1,'BDEQ - Combined'!$B$3:$B$56,SYDEC!$A14)</f>
        <v>0</v>
      </c>
    </row>
    <row r="15" spans="1:4" ht="15">
      <c r="A15" t="s">
        <v>42</v>
      </c>
      <c r="B15">
        <f>SUMIFS(INDEX('BDEQ - Combined'!$G$3:$AJ$56,,MATCH(About!$A$28,'BDEQ - Combined'!$D$2:$AG$2,0)),'BDEQ - Combined'!$A$3:$A$56,SYDEC!B$1,'BDEQ - Combined'!$B$3:$B$56,SYDEC!$A15)</f>
        <v>0</v>
      </c>
      <c r="C15">
        <f>SUMIFS(INDEX('BDEQ - Combined'!$G$3:$AJ$56,,MATCH(About!$A$28,'BDEQ - Combined'!$D$2:$AG$2,0)),'BDEQ - Combined'!$A$3:$A$56,SYDEC!C$1,'BDEQ - Combined'!$B$3:$B$56,SYDEC!$A15)</f>
        <v>0</v>
      </c>
      <c r="D15">
        <f>SUMIFS(INDEX('BDEQ - Combined'!$G$3:$AJ$56,,MATCH(About!$A$28,'BDEQ - Combined'!$D$2:$AG$2,0)),'BDEQ - Combined'!$A$3:$A$56,SYDEC!D$1,'BDEQ - Combined'!$B$3:$B$56,SYDEC!$A15)</f>
        <v>0</v>
      </c>
    </row>
    <row r="16" spans="1:4" ht="15">
      <c r="A16" t="s">
        <v>43</v>
      </c>
      <c r="B16">
        <f>SUMIFS(INDEX('BDEQ - Combined'!$G$3:$AJ$56,,MATCH(About!$A$28,'BDEQ - Combined'!$D$2:$AG$2,0)),'BDEQ - Combined'!$A$3:$A$56,SYDEC!B$1,'BDEQ - Combined'!$B$3:$B$56,SYDEC!$A16)</f>
        <v>0</v>
      </c>
      <c r="C16">
        <f>SUMIFS(INDEX('BDEQ - Combined'!$G$3:$AJ$56,,MATCH(About!$A$28,'BDEQ - Combined'!$D$2:$AG$2,0)),'BDEQ - Combined'!$A$3:$A$56,SYDEC!C$1,'BDEQ - Combined'!$B$3:$B$56,SYDEC!$A16)</f>
        <v>0</v>
      </c>
      <c r="D16">
        <f>SUMIFS(INDEX('BDEQ - Combined'!$G$3:$AJ$56,,MATCH(About!$A$28,'BDEQ - Combined'!$D$2:$AG$2,0)),'BDEQ - Combined'!$A$3:$A$56,SYDEC!D$1,'BDEQ - Combined'!$B$3:$B$56,SYDEC!$A16)</f>
        <v>0</v>
      </c>
    </row>
    <row r="17" spans="1:4" ht="15">
      <c r="A17" t="s">
        <v>44</v>
      </c>
      <c r="B17">
        <f>SUMIFS(INDEX('BDEQ - Combined'!$G$3:$AJ$56,,MATCH(About!$A$28,'BDEQ - Combined'!$D$2:$AG$2,0)),'BDEQ - Combined'!$A$3:$A$56,SYDEC!B$1,'BDEQ - Combined'!$B$3:$B$56,SYDEC!$A17)</f>
        <v>0</v>
      </c>
      <c r="C17">
        <f>SUMIFS(INDEX('BDEQ - Combined'!$G$3:$AJ$56,,MATCH(About!$A$28,'BDEQ - Combined'!$D$2:$AG$2,0)),'BDEQ - Combined'!$A$3:$A$56,SYDEC!C$1,'BDEQ - Combined'!$B$3:$B$56,SYDEC!$A17)</f>
        <v>0</v>
      </c>
      <c r="D17">
        <f>SUMIFS(INDEX('BDEQ - Combined'!$G$3:$AJ$56,,MATCH(About!$A$28,'BDEQ - Combined'!$D$2:$AG$2,0)),'BDEQ - Combined'!$A$3:$A$56,SYDEC!D$1,'BDEQ - Combined'!$B$3:$B$56,SYDEC!$A17)</f>
        <v>0</v>
      </c>
    </row>
    <row r="18" spans="1:4" ht="15">
      <c r="A18" t="s">
        <v>45</v>
      </c>
      <c r="B18">
        <f>SUMIFS(INDEX('BDEQ - Combined'!$G$3:$AJ$56,,MATCH(About!$A$28,'BDEQ - Combined'!$D$2:$AG$2,0)),'BDEQ - Combined'!$A$3:$A$56,SYDEC!B$1,'BDEQ - Combined'!$B$3:$B$56,SYDEC!$A18)</f>
        <v>0</v>
      </c>
      <c r="C18">
        <f>SUMIFS(INDEX('BDEQ - Combined'!$G$3:$AJ$56,,MATCH(About!$A$28,'BDEQ - Combined'!$D$2:$AG$2,0)),'BDEQ - Combined'!$A$3:$A$56,SYDEC!C$1,'BDEQ - Combined'!$B$3:$B$56,SYDEC!$A18)</f>
        <v>0</v>
      </c>
      <c r="D18">
        <f>SUMIFS(INDEX('BDEQ - Combined'!$G$3:$AJ$56,,MATCH(About!$A$28,'BDEQ - Combined'!$D$2:$AG$2,0)),'BDEQ - Combined'!$A$3:$A$56,SYDEC!D$1,'BDEQ - Combined'!$B$3:$B$56,SYDEC!$A18)</f>
        <v>0</v>
      </c>
    </row>
    <row r="19" spans="1:4" ht="15">
      <c r="A19" s="12" t="s">
        <v>46</v>
      </c>
      <c r="B19">
        <f>SUMIFS(INDEX('BDEQ - Combined'!$G$3:$AJ$56,,MATCH(About!$A$28,'BDEQ - Combined'!$D$2:$AG$2,0)),'BDEQ - Combined'!$A$3:$A$56,SYDEC!B$1,'BDEQ - Combined'!$B$3:$B$56,SYDEC!$A19)</f>
        <v>0</v>
      </c>
      <c r="C19">
        <f>SUMIFS(INDEX('BDEQ - Combined'!$G$3:$AJ$56,,MATCH(About!$A$28,'BDEQ - Combined'!$D$2:$AG$2,0)),'BDEQ - Combined'!$A$3:$A$56,SYDEC!C$1,'BDEQ - Combined'!$B$3:$B$56,SYDEC!$A19)</f>
        <v>0</v>
      </c>
      <c r="D19">
        <f>SUMIFS(INDEX('BDEQ - Combined'!$G$3:$AJ$56,,MATCH(About!$A$28,'BDEQ - Combined'!$D$2:$AG$2,0)),'BDEQ - Combined'!$A$3:$A$56,SYDEC!D$1,'BDEQ - Combined'!$B$3:$B$56,SYDEC!$A19)</f>
        <v>0</v>
      </c>
    </row>
    <row r="20" spans="1:4" ht="15">
      <c r="A20" s="12" t="s">
        <v>47</v>
      </c>
      <c r="B20">
        <f>SUMIFS(INDEX('BDEQ - Combined'!$G$3:$AJ$56,,MATCH(About!$A$28,'BDEQ - Combined'!$D$2:$AG$2,0)),'BDEQ - Combined'!$A$3:$A$56,SYDEC!B$1,'BDEQ - Combined'!$B$3:$B$56,SYDEC!$A20)</f>
        <v>0</v>
      </c>
      <c r="C20">
        <f>SUMIFS(INDEX('BDEQ - Combined'!$G$3:$AJ$56,,MATCH(About!$A$28,'BDEQ - Combined'!$D$2:$AG$2,0)),'BDEQ - Combined'!$A$3:$A$56,SYDEC!C$1,'BDEQ - Combined'!$B$3:$B$56,SYDEC!$A20)</f>
        <v>0</v>
      </c>
      <c r="D20">
        <f>SUMIFS(INDEX('BDEQ - Combined'!$G$3:$AJ$56,,MATCH(About!$A$28,'BDEQ - Combined'!$D$2:$AG$2,0)),'BDEQ - Combined'!$A$3:$A$56,SYDEC!D$1,'BDEQ - Combined'!$B$3:$B$56,SYDEC!$A20)</f>
        <v>0</v>
      </c>
    </row>
    <row r="21" spans="1:4" ht="15">
      <c r="A21" s="12" t="s">
        <v>48</v>
      </c>
      <c r="B21">
        <f>SUMIFS(INDEX('BDEQ - Combined'!$G$3:$AJ$56,,MATCH(About!$A$28,'BDEQ - Combined'!$D$2:$AG$2,0)),'BDEQ - Combined'!$A$3:$A$56,SYDEC!B$1,'BDEQ - Combined'!$B$3:$B$56,SYDEC!$A21)</f>
        <v>0</v>
      </c>
      <c r="C21">
        <f>SUMIFS(INDEX('BDEQ - Combined'!$G$3:$AJ$56,,MATCH(About!$A$28,'BDEQ - Combined'!$D$2:$AG$2,0)),'BDEQ - Combined'!$A$3:$A$56,SYDEC!C$1,'BDEQ - Combined'!$B$3:$B$56,SYDEC!$A21)</f>
        <v>0</v>
      </c>
      <c r="D21">
        <f>SUMIFS(INDEX('BDEQ - Combined'!$G$3:$AJ$56,,MATCH(About!$A$28,'BDEQ - Combined'!$D$2:$AG$2,0)),'BDEQ - Combined'!$A$3:$A$56,SYDEC!D$1,'BDEQ - Combined'!$B$3:$B$56,SYDEC!$A21)</f>
        <v>0</v>
      </c>
    </row>
    <row r="22" spans="1:4" ht="15">
      <c r="A22" s="12" t="s">
        <v>49</v>
      </c>
      <c r="B22">
        <f>SUMIFS(INDEX('BDEQ - Combined'!$G$3:$AJ$56,,MATCH(About!$A$28,'BDEQ - Combined'!$D$2:$AG$2,0)),'BDEQ - Combined'!$A$3:$A$56,SYDEC!B$1,'BDEQ - Combined'!$B$3:$B$56,SYDEC!$A22)</f>
        <v>0</v>
      </c>
      <c r="C22">
        <f>SUMIFS(INDEX('BDEQ - Combined'!$G$3:$AJ$56,,MATCH(About!$A$28,'BDEQ - Combined'!$D$2:$AG$2,0)),'BDEQ - Combined'!$A$3:$A$56,SYDEC!C$1,'BDEQ - Combined'!$B$3:$B$56,SYDEC!$A22)</f>
        <v>0</v>
      </c>
      <c r="D22">
        <f>SUMIFS(INDEX('BDEQ - Combined'!$G$3:$AJ$56,,MATCH(About!$A$28,'BDEQ - Combined'!$D$2:$AG$2,0)),'BDEQ - Combined'!$A$3:$A$56,SYDEC!D$1,'BDEQ - Combined'!$B$3:$B$56,SYDEC!$A22)</f>
        <v>0</v>
      </c>
    </row>
    <row r="23" spans="1:4" ht="15">
      <c r="A23" s="12" t="s">
        <v>50</v>
      </c>
      <c r="B23">
        <f>SUMIFS(INDEX('BDEQ - Combined'!$G$3:$AJ$56,,MATCH(About!$A$28,'BDEQ - Combined'!$D$2:$AG$2,0)),'BDEQ - Combined'!$A$3:$A$56,SYDEC!B$1,'BDEQ - Combined'!$B$3:$B$56,SYDEC!$A23)</f>
        <v>0</v>
      </c>
      <c r="C23">
        <f>SUMIFS(INDEX('BDEQ - Combined'!$G$3:$AJ$56,,MATCH(About!$A$28,'BDEQ - Combined'!$D$2:$AG$2,0)),'BDEQ - Combined'!$A$3:$A$56,SYDEC!C$1,'BDEQ - Combined'!$B$3:$B$56,SYDEC!$A23)</f>
        <v>0</v>
      </c>
      <c r="D23">
        <f>SUMIFS(INDEX('BDEQ - Combined'!$G$3:$AJ$56,,MATCH(About!$A$28,'BDEQ - Combined'!$D$2:$AG$2,0)),'BDEQ - Combined'!$A$3:$A$56,SYDEC!D$1,'BDEQ - Combined'!$B$3:$B$56,SYDEC!$A23)</f>
        <v>0</v>
      </c>
    </row>
    <row r="24" spans="1:4" ht="15">
      <c r="A24" s="13" t="s">
        <v>51</v>
      </c>
      <c r="B24">
        <f>SUMIFS(INDEX('BDEQ - Combined'!$G$3:$AJ$56,,MATCH(About!$A$28,'BDEQ - Combined'!$D$2:$AG$2,0)),'BDEQ - Combined'!$A$3:$A$56,SYDEC!B$1,'BDEQ - Combined'!$B$3:$B$56,SYDEC!$A24)</f>
        <v>0</v>
      </c>
      <c r="C24">
        <f>SUMIFS(INDEX('BDEQ - Combined'!$G$3:$AJ$56,,MATCH(About!$A$28,'BDEQ - Combined'!$D$2:$AG$2,0)),'BDEQ - Combined'!$A$3:$A$56,SYDEC!C$1,'BDEQ - Combined'!$B$3:$B$56,SYDEC!$A24)</f>
        <v>0</v>
      </c>
      <c r="D24">
        <f>SUMIFS(INDEX('BDEQ - Combined'!$G$3:$AJ$56,,MATCH(About!$A$28,'BDEQ - Combined'!$D$2:$AG$2,0)),'BDEQ - Combined'!$A$3:$A$56,SYDEC!D$1,'BDEQ - Combined'!$B$3:$B$56,SYDEC!$A24)</f>
        <v>0</v>
      </c>
    </row>
    <row r="25" spans="1:4" ht="15">
      <c r="A25" s="13" t="s">
        <v>52</v>
      </c>
      <c r="B25">
        <f>SUMIFS(INDEX('BDEQ - Combined'!$G$3:$AJ$56,,MATCH(About!$A$28,'BDEQ - Combined'!$D$2:$AG$2,0)),'BDEQ - Combined'!$A$3:$A$56,SYDEC!B$1,'BDEQ - Combined'!$B$3:$B$56,SYDEC!$A25)</f>
        <v>0</v>
      </c>
      <c r="C25">
        <f>SUMIFS(INDEX('BDEQ - Combined'!$G$3:$AJ$56,,MATCH(About!$A$28,'BDEQ - Combined'!$D$2:$AG$2,0)),'BDEQ - Combined'!$A$3:$A$56,SYDEC!C$1,'BDEQ - Combined'!$B$3:$B$56,SYDEC!$A25)</f>
        <v>0</v>
      </c>
      <c r="D25">
        <f>SUMIFS(INDEX('BDEQ - Combined'!$G$3:$AJ$56,,MATCH(About!$A$28,'BDEQ - Combined'!$D$2:$AG$2,0)),'BDEQ - Combined'!$A$3:$A$56,SYDEC!D$1,'BDEQ - Combined'!$B$3:$B$56,SYDEC!$A25)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B22FEF-3A13-43E8-BD13-74B9598EA04C}"/>
</file>

<file path=customXml/itemProps2.xml><?xml version="1.0" encoding="utf-8"?>
<ds:datastoreItem xmlns:ds="http://schemas.openxmlformats.org/officeDocument/2006/customXml" ds:itemID="{37EC9A9E-5BE1-484F-B288-8C1D5F713229}"/>
</file>

<file path=customXml/itemProps3.xml><?xml version="1.0" encoding="utf-8"?>
<ds:datastoreItem xmlns:ds="http://schemas.openxmlformats.org/officeDocument/2006/customXml" ds:itemID="{A09B1048-AB5F-42D6-9B99-D951BF5A0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2016-01-26T19:10:58Z</dcterms:created>
  <dcterms:modified xsi:type="dcterms:W3CDTF">2024-07-02T06:06:11Z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