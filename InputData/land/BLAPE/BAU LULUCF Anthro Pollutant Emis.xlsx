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land/land/BLAPE/"/>
    </mc:Choice>
  </mc:AlternateContent>
  <xr:revisionPtr revIDLastSave="40" documentId="13_ncr:1_{50659B3C-A97F-4DDE-8C2C-D3112541B55D}" xr6:coauthVersionLast="47" xr6:coauthVersionMax="47" xr10:uidLastSave="{9999097C-400F-4527-8F8F-826CCE7F62AB}"/>
  <bookViews>
    <workbookView xWindow="43095" yWindow="1080" windowWidth="14610" windowHeight="15585" firstSheet="2" xr2:uid="{00000000-000D-0000-FFFF-FFFF00000000}"/>
  </bookViews>
  <sheets>
    <sheet name="About" sheetId="1" r:id="rId1"/>
    <sheet name="Data" sheetId="2" r:id="rId2"/>
    <sheet name="BLAP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" i="3" l="1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</calcChain>
</file>

<file path=xl/sharedStrings.xml><?xml version="1.0" encoding="utf-8"?>
<sst xmlns="http://schemas.openxmlformats.org/spreadsheetml/2006/main" count="44" uniqueCount="44">
  <si>
    <t>BLACE BAU LULUCF Anthropogenic CO2 Emissions</t>
  </si>
  <si>
    <t>Source:</t>
  </si>
  <si>
    <t>LULUCF Emissions</t>
  </si>
  <si>
    <t>Ministry of Environment, Forest and Climate Change, Government of India</t>
  </si>
  <si>
    <t>India's Second Biennial Update Report to the United Nations Framework Convention on Climate Change</t>
  </si>
  <si>
    <t>https://unfccc.int/sites/default/files/resource/INDIA%20SECOND%20BUR%20High%20Res.pdf</t>
  </si>
  <si>
    <t>Table 2.2, Page 60</t>
  </si>
  <si>
    <t>LULUCF BAU Assumptions</t>
  </si>
  <si>
    <t>Forsell, Nickolas et al.</t>
  </si>
  <si>
    <t xml:space="preserve">Carbon Balance and Management </t>
  </si>
  <si>
    <t>Assessing the INDCs’ land use, land use change, and forest emission projections</t>
  </si>
  <si>
    <t xml:space="preserve">Fekete, Hanna et al. </t>
  </si>
  <si>
    <t>Emerging economies - potentials, pledges and fair shares of greenhouse gas reduction</t>
  </si>
  <si>
    <t>https://www.researchgate.net/publication/262600993_Emerging_economies_-_potentials_pledges_and_fair_shares_of_greenhouse_gas_reduction?enrichId=rgreq-8e493c3386b9334e2d0a1a71572d4743-XXX&amp;enrichSource=Y292ZXJQYWdlOzI2MjYwMDk5MztBUzoxMTQ4MDEwOTEwMjY5NDRAMTQwNDM4MjEyMjQ2MA%3D%3D&amp;el=1_x_3&amp;_esc=publicationCoverPdf</t>
  </si>
  <si>
    <t>Pg. 65</t>
  </si>
  <si>
    <t>Notes</t>
  </si>
  <si>
    <t>India's INDC does not provide LULUCF emission projections neither for the BAU scenario nor for the INDC mitigation</t>
  </si>
  <si>
    <t>scenario. No BAU scenario projection for the LULUCF sector is provided in the 2nd Biennial Update report as well</t>
  </si>
  <si>
    <t xml:space="preserve">Also, Forsell et al. and Fekete et al. assume that India's net emissions from the LULUCF stay constant over time. </t>
  </si>
  <si>
    <t xml:space="preserve">Based on this, we also assume India's LULUCF net emissions will stay constant 2050. </t>
  </si>
  <si>
    <t>Table 2.2: Summary table of greenhouse gas emissions (Gg), by sectors, 2014</t>
  </si>
  <si>
    <t xml:space="preserve">CO2 emission </t>
  </si>
  <si>
    <t xml:space="preserve"> CO2 removal</t>
  </si>
  <si>
    <t xml:space="preserve"> CH4 </t>
  </si>
  <si>
    <t>N2 O</t>
  </si>
  <si>
    <t xml:space="preserve">HFC 23 </t>
  </si>
  <si>
    <t xml:space="preserve">CF4 </t>
  </si>
  <si>
    <t xml:space="preserve">C2 F6 </t>
  </si>
  <si>
    <t xml:space="preserve">SF6 </t>
  </si>
  <si>
    <t>CO2 equivalent</t>
  </si>
  <si>
    <t xml:space="preserve">LULUCF Total </t>
  </si>
  <si>
    <t>Year</t>
  </si>
  <si>
    <t>CO2 (g)</t>
  </si>
  <si>
    <t>VOCs (g)</t>
  </si>
  <si>
    <t>CO (g)</t>
  </si>
  <si>
    <t>NOx (g)</t>
  </si>
  <si>
    <t>PM10 (g)</t>
  </si>
  <si>
    <t>PM25 (g)</t>
  </si>
  <si>
    <t>SOx (g)</t>
  </si>
  <si>
    <t>BC (g)</t>
  </si>
  <si>
    <t>OC (g)</t>
  </si>
  <si>
    <t>CH4 (g)</t>
  </si>
  <si>
    <t>N2O (g)</t>
  </si>
  <si>
    <t>F gases (g 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</si>
</sst>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1"/>
    <xf numFmtId="0" fontId="0" fillId="0" borderId="1" xfId="0" applyBorder="1"/>
    <xf numFmtId="0" fontId="0" fillId="0" borderId="0" xfId="0" applyAlignment="1">
      <alignment horizontal="left"/>
    </xf>
    <xf numFmtId="1" fontId="0" fillId="0" borderId="0" xfId="0" applyNumberFormat="1"/>
    <xf numFmtId="0" fontId="1" fillId="2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4" fontId="0" fillId="0" borderId="0" xfId="0" applyNumberFormat="1"/>
    <xf numFmtId="2" fontId="0" fillId="0" borderId="0" xfId="0" applyNumberFormat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nfccc.int/sites/default/files/resource/INDIA%20SECOND%20BUR%20High%20Res.pdf" TargetMode="External"/><Relationship Id="rId1" Type="http://schemas.openxmlformats.org/officeDocument/2006/relationships/hyperlink" Target="https://www.researchgate.net/publication/262600993_Emerging_economies_-_potentials_pledges_and_fair_shares_of_greenhouse_gas_reduction?enrichId=rgreq-8e493c3386b9334e2d0a1a71572d4743-XXX&amp;enrichSource=Y292ZXJQYWdlOzI2MjYwMDk5MztBUzoxMTQ4MDEwOTEwMjY5NDRAMTQwNDM4MjEyMjQ2MA%3D%3D&amp;el=1_x_3&amp;_esc=publicationCover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7" sqref="B17"/>
    </sheetView>
  </sheetViews>
  <sheetFormatPr defaultRowHeight="15"/>
  <cols>
    <col min="1" max="1" width="9.42578125" customWidth="1"/>
    <col min="2" max="2" width="102.8554687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A4" s="1"/>
      <c r="B4" s="8" t="s">
        <v>3</v>
      </c>
    </row>
    <row r="5" spans="1:2">
      <c r="B5" s="4">
        <v>2018</v>
      </c>
    </row>
    <row r="6" spans="1:2">
      <c r="B6" s="9" t="s">
        <v>4</v>
      </c>
    </row>
    <row r="7" spans="1:2">
      <c r="B7" s="2" t="s">
        <v>5</v>
      </c>
    </row>
    <row r="8" spans="1:2">
      <c r="B8" t="s">
        <v>6</v>
      </c>
    </row>
    <row r="10" spans="1:2">
      <c r="B10" s="6" t="s">
        <v>7</v>
      </c>
    </row>
    <row r="11" spans="1:2">
      <c r="B11" t="s">
        <v>8</v>
      </c>
    </row>
    <row r="12" spans="1:2">
      <c r="B12" s="4">
        <v>2016</v>
      </c>
    </row>
    <row r="13" spans="1:2">
      <c r="B13" t="s">
        <v>9</v>
      </c>
    </row>
    <row r="14" spans="1:2">
      <c r="B14" t="s">
        <v>10</v>
      </c>
    </row>
    <row r="16" spans="1:2">
      <c r="B16" t="s">
        <v>11</v>
      </c>
    </row>
    <row r="17" spans="1:2">
      <c r="B17" s="4">
        <v>2013</v>
      </c>
    </row>
    <row r="18" spans="1:2">
      <c r="B18" t="s">
        <v>12</v>
      </c>
    </row>
    <row r="19" spans="1:2">
      <c r="B19" s="2" t="s">
        <v>13</v>
      </c>
    </row>
    <row r="20" spans="1:2">
      <c r="B20" t="s">
        <v>14</v>
      </c>
    </row>
    <row r="23" spans="1:2">
      <c r="A23" s="1" t="s">
        <v>15</v>
      </c>
      <c r="B23" s="7" t="s">
        <v>16</v>
      </c>
    </row>
    <row r="24" spans="1:2">
      <c r="B24" t="s">
        <v>17</v>
      </c>
    </row>
    <row r="26" spans="1:2">
      <c r="B26" t="s">
        <v>18</v>
      </c>
    </row>
    <row r="27" spans="1:2">
      <c r="B27" t="s">
        <v>19</v>
      </c>
    </row>
  </sheetData>
  <hyperlinks>
    <hyperlink ref="B19" r:id="rId1" display="https://www.researchgate.net/publication/262600993_Emerging_economies_-_potentials_pledges_and_fair_shares_of_greenhouse_gas_reduction?enrichId=rgreq-8e493c3386b9334e2d0a1a71572d4743-XXX&amp;enrichSource=Y292ZXJQYWdlOzI2MjYwMDk5MztBUzoxMTQ4MDEwOTEwMjY5NDRAMTQwNDM4MjEyMjQ2MA%3D%3D&amp;el=1_x_3&amp;_esc=publicationCoverPdf" xr:uid="{FE053336-96A4-4C14-8A4E-3AC1C5EB4842}"/>
    <hyperlink ref="B7" r:id="rId2" xr:uid="{32B81C0B-2041-4362-A6FE-38C29FD87EC6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workbookViewId="0">
      <selection activeCell="B3" sqref="B3"/>
    </sheetView>
  </sheetViews>
  <sheetFormatPr defaultRowHeight="15"/>
  <cols>
    <col min="1" max="1" width="12.42578125" customWidth="1"/>
    <col min="2" max="2" width="13.85546875" customWidth="1"/>
    <col min="3" max="3" width="13.28515625" customWidth="1"/>
    <col min="10" max="10" width="14.85546875" customWidth="1"/>
  </cols>
  <sheetData>
    <row r="1" spans="1:15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1"/>
      <c r="O1" s="1"/>
    </row>
    <row r="2" spans="1:15"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</row>
    <row r="3" spans="1:15">
      <c r="A3" t="s">
        <v>30</v>
      </c>
      <c r="B3" s="11">
        <v>17216.04</v>
      </c>
      <c r="C3">
        <v>319860.23</v>
      </c>
      <c r="D3" s="11">
        <v>48.19</v>
      </c>
      <c r="E3" s="11">
        <v>1.42</v>
      </c>
      <c r="F3" s="11">
        <v>0</v>
      </c>
      <c r="G3" s="11">
        <v>0</v>
      </c>
      <c r="H3" s="11">
        <v>0</v>
      </c>
      <c r="I3" s="11">
        <v>0</v>
      </c>
      <c r="J3" s="11">
        <v>-301192.69</v>
      </c>
    </row>
    <row r="6" spans="1:15">
      <c r="B6" s="10"/>
    </row>
    <row r="8" spans="1:15">
      <c r="C8" s="5"/>
      <c r="D8" s="5"/>
      <c r="E8" s="5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Y13"/>
  <sheetViews>
    <sheetView workbookViewId="0">
      <selection activeCell="B2" sqref="B2:AY2"/>
    </sheetView>
  </sheetViews>
  <sheetFormatPr defaultRowHeight="15"/>
  <cols>
    <col min="1" max="1" width="16.7109375" customWidth="1"/>
    <col min="2" max="11" width="11.28515625" bestFit="1" customWidth="1"/>
    <col min="12" max="12" width="11.7109375" bestFit="1" customWidth="1"/>
    <col min="22" max="22" width="11.7109375" bestFit="1" customWidth="1"/>
  </cols>
  <sheetData>
    <row r="1" spans="1:51">
      <c r="A1" t="s">
        <v>31</v>
      </c>
      <c r="B1">
        <v>2021</v>
      </c>
      <c r="C1">
        <v>2022</v>
      </c>
      <c r="D1">
        <v>2023</v>
      </c>
      <c r="E1">
        <v>2024</v>
      </c>
      <c r="F1" s="3">
        <v>2025</v>
      </c>
      <c r="G1">
        <v>2026</v>
      </c>
      <c r="H1">
        <v>2027</v>
      </c>
      <c r="I1">
        <v>2028</v>
      </c>
      <c r="J1">
        <v>2029</v>
      </c>
      <c r="K1" s="3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32</v>
      </c>
      <c r="B2" s="12">
        <f>(Data!$B3-Data!$C3)*10^9</f>
        <v>-302644190000000</v>
      </c>
      <c r="C2" s="12">
        <f>(Data!$B3-Data!$C3)*10^9</f>
        <v>-302644190000000</v>
      </c>
      <c r="D2" s="12">
        <f>(Data!$B3-Data!$C3)*10^9</f>
        <v>-302644190000000</v>
      </c>
      <c r="E2" s="12">
        <f>(Data!$B3-Data!$C3)*10^9</f>
        <v>-302644190000000</v>
      </c>
      <c r="F2" s="12">
        <f>(Data!$B3-Data!$C3)*10^9</f>
        <v>-302644190000000</v>
      </c>
      <c r="G2" s="12">
        <f>(Data!$B3-Data!$C3)*10^9</f>
        <v>-302644190000000</v>
      </c>
      <c r="H2" s="12">
        <f>(Data!$B3-Data!$C3)*10^9</f>
        <v>-302644190000000</v>
      </c>
      <c r="I2" s="12">
        <f>(Data!$B3-Data!$C3)*10^9</f>
        <v>-302644190000000</v>
      </c>
      <c r="J2" s="12">
        <f>(Data!$B3-Data!$C3)*10^9</f>
        <v>-302644190000000</v>
      </c>
      <c r="K2" s="12">
        <f>(Data!$B3-Data!$C3)*10^9</f>
        <v>-302644190000000</v>
      </c>
      <c r="L2" s="12">
        <f>(Data!$B3-Data!$C3)*10^9</f>
        <v>-302644190000000</v>
      </c>
      <c r="M2" s="12">
        <f>(Data!$B3-Data!$C3)*10^9</f>
        <v>-302644190000000</v>
      </c>
      <c r="N2" s="12">
        <f>(Data!$B3-Data!$C3)*10^9</f>
        <v>-302644190000000</v>
      </c>
      <c r="O2" s="12">
        <f>(Data!$B3-Data!$C3)*10^9</f>
        <v>-302644190000000</v>
      </c>
      <c r="P2" s="12">
        <f>(Data!$B3-Data!$C3)*10^9</f>
        <v>-302644190000000</v>
      </c>
      <c r="Q2" s="12">
        <f>(Data!$B3-Data!$C3)*10^9</f>
        <v>-302644190000000</v>
      </c>
      <c r="R2" s="12">
        <f>(Data!$B3-Data!$C3)*10^9</f>
        <v>-302644190000000</v>
      </c>
      <c r="S2" s="12">
        <f>(Data!$B3-Data!$C3)*10^9</f>
        <v>-302644190000000</v>
      </c>
      <c r="T2" s="12">
        <f>(Data!$B3-Data!$C3)*10^9</f>
        <v>-302644190000000</v>
      </c>
      <c r="U2" s="12">
        <f>(Data!$B3-Data!$C3)*10^9</f>
        <v>-302644190000000</v>
      </c>
      <c r="V2" s="12">
        <f>(Data!$B3-Data!$C3)*10^9</f>
        <v>-302644190000000</v>
      </c>
      <c r="W2" s="12">
        <f>(Data!$B3-Data!$C3)*10^9</f>
        <v>-302644190000000</v>
      </c>
      <c r="X2" s="12">
        <f>(Data!$B3-Data!$C3)*10^9</f>
        <v>-302644190000000</v>
      </c>
      <c r="Y2" s="12">
        <f>(Data!$B3-Data!$C3)*10^9</f>
        <v>-302644190000000</v>
      </c>
      <c r="Z2" s="12">
        <f>(Data!$B3-Data!$C3)*10^9</f>
        <v>-302644190000000</v>
      </c>
      <c r="AA2" s="12">
        <f>(Data!$B3-Data!$C3)*10^9</f>
        <v>-302644190000000</v>
      </c>
      <c r="AB2" s="12">
        <f>(Data!$B3-Data!$C3)*10^9</f>
        <v>-302644190000000</v>
      </c>
      <c r="AC2" s="12">
        <f>(Data!$B3-Data!$C3)*10^9</f>
        <v>-302644190000000</v>
      </c>
      <c r="AD2" s="12">
        <f>(Data!$B3-Data!$C3)*10^9</f>
        <v>-302644190000000</v>
      </c>
      <c r="AE2" s="12">
        <f>(Data!$B3-Data!$C3)*10^9</f>
        <v>-302644190000000</v>
      </c>
      <c r="AF2" s="12">
        <f>(Data!$B3-Data!$C3)*10^9</f>
        <v>-302644190000000</v>
      </c>
      <c r="AG2" s="12">
        <f>(Data!$B3-Data!$C3)*10^9</f>
        <v>-302644190000000</v>
      </c>
      <c r="AH2" s="12">
        <f>(Data!$B3-Data!$C3)*10^9</f>
        <v>-302644190000000</v>
      </c>
      <c r="AI2" s="12">
        <f>(Data!$B3-Data!$C3)*10^9</f>
        <v>-302644190000000</v>
      </c>
      <c r="AJ2" s="12">
        <f>(Data!$B3-Data!$C3)*10^9</f>
        <v>-302644190000000</v>
      </c>
      <c r="AK2" s="12">
        <f>(Data!$B3-Data!$C3)*10^9</f>
        <v>-302644190000000</v>
      </c>
      <c r="AL2" s="12">
        <f>(Data!$B3-Data!$C3)*10^9</f>
        <v>-302644190000000</v>
      </c>
      <c r="AM2" s="12">
        <f>(Data!$B3-Data!$C3)*10^9</f>
        <v>-302644190000000</v>
      </c>
      <c r="AN2" s="12">
        <f>(Data!$B3-Data!$C3)*10^9</f>
        <v>-302644190000000</v>
      </c>
      <c r="AO2" s="12">
        <f>(Data!$B3-Data!$C3)*10^9</f>
        <v>-302644190000000</v>
      </c>
      <c r="AP2" s="12">
        <f>(Data!$B3-Data!$C3)*10^9</f>
        <v>-302644190000000</v>
      </c>
      <c r="AQ2" s="12">
        <f>(Data!$B3-Data!$C3)*10^9</f>
        <v>-302644190000000</v>
      </c>
      <c r="AR2" s="12">
        <f>(Data!$B3-Data!$C3)*10^9</f>
        <v>-302644190000000</v>
      </c>
      <c r="AS2" s="12">
        <f>(Data!$B3-Data!$C3)*10^9</f>
        <v>-302644190000000</v>
      </c>
      <c r="AT2" s="12">
        <f>(Data!$B3-Data!$C3)*10^9</f>
        <v>-302644190000000</v>
      </c>
      <c r="AU2" s="12">
        <f>(Data!$B3-Data!$C3)*10^9</f>
        <v>-302644190000000</v>
      </c>
      <c r="AV2" s="12">
        <f>(Data!$B3-Data!$C3)*10^9</f>
        <v>-302644190000000</v>
      </c>
      <c r="AW2" s="12">
        <f>(Data!$B3-Data!$C3)*10^9</f>
        <v>-302644190000000</v>
      </c>
      <c r="AX2" s="12">
        <f>(Data!$B3-Data!$C3)*10^9</f>
        <v>-302644190000000</v>
      </c>
      <c r="AY2" s="12">
        <f>(Data!$B3-Data!$C3)*10^9</f>
        <v>-302644190000000</v>
      </c>
    </row>
    <row r="3" spans="1:51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41</v>
      </c>
      <c r="B11" s="12">
        <f>Data!$D3*10^9</f>
        <v>48190000000</v>
      </c>
      <c r="C11" s="12">
        <f>Data!$D3*10^9</f>
        <v>48190000000</v>
      </c>
      <c r="D11" s="12">
        <f>Data!$D3*10^9</f>
        <v>48190000000</v>
      </c>
      <c r="E11" s="12">
        <f>Data!$D3*10^9</f>
        <v>48190000000</v>
      </c>
      <c r="F11" s="12">
        <f>Data!$D3*10^9</f>
        <v>48190000000</v>
      </c>
      <c r="G11" s="12">
        <f>Data!$D3*10^9</f>
        <v>48190000000</v>
      </c>
      <c r="H11" s="12">
        <f>Data!$D3*10^9</f>
        <v>48190000000</v>
      </c>
      <c r="I11" s="12">
        <f>Data!$D3*10^9</f>
        <v>48190000000</v>
      </c>
      <c r="J11" s="12">
        <f>Data!$D3*10^9</f>
        <v>48190000000</v>
      </c>
      <c r="K11" s="12">
        <f>Data!$D3*10^9</f>
        <v>48190000000</v>
      </c>
      <c r="L11" s="12">
        <f>Data!$D3*10^9</f>
        <v>48190000000</v>
      </c>
      <c r="M11" s="12">
        <f>Data!$D3*10^9</f>
        <v>48190000000</v>
      </c>
      <c r="N11" s="12">
        <f>Data!$D3*10^9</f>
        <v>48190000000</v>
      </c>
      <c r="O11" s="12">
        <f>Data!$D3*10^9</f>
        <v>48190000000</v>
      </c>
      <c r="P11" s="12">
        <f>Data!$D3*10^9</f>
        <v>48190000000</v>
      </c>
      <c r="Q11" s="12">
        <f>Data!$D3*10^9</f>
        <v>48190000000</v>
      </c>
      <c r="R11" s="12">
        <f>Data!$D3*10^9</f>
        <v>48190000000</v>
      </c>
      <c r="S11" s="12">
        <f>Data!$D3*10^9</f>
        <v>48190000000</v>
      </c>
      <c r="T11" s="12">
        <f>Data!$D3*10^9</f>
        <v>48190000000</v>
      </c>
      <c r="U11" s="12">
        <f>Data!$D3*10^9</f>
        <v>48190000000</v>
      </c>
      <c r="V11" s="12">
        <f>Data!$D3*10^9</f>
        <v>48190000000</v>
      </c>
      <c r="W11" s="12">
        <f>Data!$D3*10^9</f>
        <v>48190000000</v>
      </c>
      <c r="X11" s="12">
        <f>Data!$D3*10^9</f>
        <v>48190000000</v>
      </c>
      <c r="Y11" s="12">
        <f>Data!$D3*10^9</f>
        <v>48190000000</v>
      </c>
      <c r="Z11" s="12">
        <f>Data!$D3*10^9</f>
        <v>48190000000</v>
      </c>
      <c r="AA11" s="12">
        <f>Data!$D3*10^9</f>
        <v>48190000000</v>
      </c>
      <c r="AB11" s="12">
        <f>Data!$D3*10^9</f>
        <v>48190000000</v>
      </c>
      <c r="AC11" s="12">
        <f>Data!$D3*10^9</f>
        <v>48190000000</v>
      </c>
      <c r="AD11" s="12">
        <f>Data!$D3*10^9</f>
        <v>48190000000</v>
      </c>
      <c r="AE11" s="12">
        <f>Data!$D3*10^9</f>
        <v>48190000000</v>
      </c>
      <c r="AF11" s="12">
        <f>Data!$D3*10^9</f>
        <v>48190000000</v>
      </c>
      <c r="AG11" s="12">
        <f>Data!$D3*10^9</f>
        <v>48190000000</v>
      </c>
      <c r="AH11" s="12">
        <f>Data!$D3*10^9</f>
        <v>48190000000</v>
      </c>
      <c r="AI11" s="12">
        <f>Data!$D3*10^9</f>
        <v>48190000000</v>
      </c>
      <c r="AJ11" s="12">
        <f>Data!$D3*10^9</f>
        <v>48190000000</v>
      </c>
      <c r="AK11" s="12">
        <f>Data!$D3*10^9</f>
        <v>48190000000</v>
      </c>
      <c r="AL11" s="12">
        <f>Data!$D3*10^9</f>
        <v>48190000000</v>
      </c>
      <c r="AM11" s="12">
        <f>Data!$D3*10^9</f>
        <v>48190000000</v>
      </c>
      <c r="AN11" s="12">
        <f>Data!$D3*10^9</f>
        <v>48190000000</v>
      </c>
      <c r="AO11" s="12">
        <f>Data!$D3*10^9</f>
        <v>48190000000</v>
      </c>
      <c r="AP11" s="12">
        <f>Data!$D3*10^9</f>
        <v>48190000000</v>
      </c>
      <c r="AQ11" s="12">
        <f>Data!$D3*10^9</f>
        <v>48190000000</v>
      </c>
      <c r="AR11" s="12">
        <f>Data!$D3*10^9</f>
        <v>48190000000</v>
      </c>
      <c r="AS11" s="12">
        <f>Data!$D3*10^9</f>
        <v>48190000000</v>
      </c>
      <c r="AT11" s="12">
        <f>Data!$D3*10^9</f>
        <v>48190000000</v>
      </c>
      <c r="AU11" s="12">
        <f>Data!$D3*10^9</f>
        <v>48190000000</v>
      </c>
      <c r="AV11" s="12">
        <f>Data!$D3*10^9</f>
        <v>48190000000</v>
      </c>
      <c r="AW11" s="12">
        <f>Data!$D3*10^9</f>
        <v>48190000000</v>
      </c>
      <c r="AX11" s="12">
        <f>Data!$D3*10^9</f>
        <v>48190000000</v>
      </c>
      <c r="AY11" s="12">
        <f>Data!$D3*10^9</f>
        <v>48190000000</v>
      </c>
    </row>
    <row r="12" spans="1:51">
      <c r="A12" t="s">
        <v>42</v>
      </c>
      <c r="B12" s="12">
        <f>Data!$E3*10^9</f>
        <v>1420000000</v>
      </c>
      <c r="C12" s="12">
        <f>Data!$E3*10^9</f>
        <v>1420000000</v>
      </c>
      <c r="D12" s="12">
        <f>Data!$E3*10^9</f>
        <v>1420000000</v>
      </c>
      <c r="E12" s="12">
        <f>Data!$E3*10^9</f>
        <v>1420000000</v>
      </c>
      <c r="F12" s="12">
        <f>Data!$E3*10^9</f>
        <v>1420000000</v>
      </c>
      <c r="G12" s="12">
        <f>Data!$E3*10^9</f>
        <v>1420000000</v>
      </c>
      <c r="H12" s="12">
        <f>Data!$E3*10^9</f>
        <v>1420000000</v>
      </c>
      <c r="I12" s="12">
        <f>Data!$E3*10^9</f>
        <v>1420000000</v>
      </c>
      <c r="J12" s="12">
        <f>Data!$E3*10^9</f>
        <v>1420000000</v>
      </c>
      <c r="K12" s="12">
        <f>Data!$E3*10^9</f>
        <v>1420000000</v>
      </c>
      <c r="L12" s="12">
        <f>Data!$E3*10^9</f>
        <v>1420000000</v>
      </c>
      <c r="M12" s="12">
        <f>Data!$E3*10^9</f>
        <v>1420000000</v>
      </c>
      <c r="N12" s="12">
        <f>Data!$E3*10^9</f>
        <v>1420000000</v>
      </c>
      <c r="O12" s="12">
        <f>Data!$E3*10^9</f>
        <v>1420000000</v>
      </c>
      <c r="P12" s="12">
        <f>Data!$E3*10^9</f>
        <v>1420000000</v>
      </c>
      <c r="Q12" s="12">
        <f>Data!$E3*10^9</f>
        <v>1420000000</v>
      </c>
      <c r="R12" s="12">
        <f>Data!$E3*10^9</f>
        <v>1420000000</v>
      </c>
      <c r="S12" s="12">
        <f>Data!$E3*10^9</f>
        <v>1420000000</v>
      </c>
      <c r="T12" s="12">
        <f>Data!$E3*10^9</f>
        <v>1420000000</v>
      </c>
      <c r="U12" s="12">
        <f>Data!$E3*10^9</f>
        <v>1420000000</v>
      </c>
      <c r="V12" s="12">
        <f>Data!$E3*10^9</f>
        <v>1420000000</v>
      </c>
      <c r="W12" s="12">
        <f>Data!$E3*10^9</f>
        <v>1420000000</v>
      </c>
      <c r="X12" s="12">
        <f>Data!$E3*10^9</f>
        <v>1420000000</v>
      </c>
      <c r="Y12" s="12">
        <f>Data!$E3*10^9</f>
        <v>1420000000</v>
      </c>
      <c r="Z12" s="12">
        <f>Data!$E3*10^9</f>
        <v>1420000000</v>
      </c>
      <c r="AA12" s="12">
        <f>Data!$E3*10^9</f>
        <v>1420000000</v>
      </c>
      <c r="AB12" s="12">
        <f>Data!$E3*10^9</f>
        <v>1420000000</v>
      </c>
      <c r="AC12" s="12">
        <f>Data!$E3*10^9</f>
        <v>1420000000</v>
      </c>
      <c r="AD12" s="12">
        <f>Data!$E3*10^9</f>
        <v>1420000000</v>
      </c>
      <c r="AE12" s="12">
        <f>Data!$E3*10^9</f>
        <v>1420000000</v>
      </c>
      <c r="AF12" s="12">
        <f>Data!$E3*10^9</f>
        <v>1420000000</v>
      </c>
      <c r="AG12" s="12">
        <f>Data!$E3*10^9</f>
        <v>1420000000</v>
      </c>
      <c r="AH12" s="12">
        <f>Data!$E3*10^9</f>
        <v>1420000000</v>
      </c>
      <c r="AI12" s="12">
        <f>Data!$E3*10^9</f>
        <v>1420000000</v>
      </c>
      <c r="AJ12" s="12">
        <f>Data!$E3*10^9</f>
        <v>1420000000</v>
      </c>
      <c r="AK12" s="12">
        <f>Data!$E3*10^9</f>
        <v>1420000000</v>
      </c>
      <c r="AL12" s="12">
        <f>Data!$E3*10^9</f>
        <v>1420000000</v>
      </c>
      <c r="AM12" s="12">
        <f>Data!$E3*10^9</f>
        <v>1420000000</v>
      </c>
      <c r="AN12" s="12">
        <f>Data!$E3*10^9</f>
        <v>1420000000</v>
      </c>
      <c r="AO12" s="12">
        <f>Data!$E3*10^9</f>
        <v>1420000000</v>
      </c>
      <c r="AP12" s="12">
        <f>Data!$E3*10^9</f>
        <v>1420000000</v>
      </c>
      <c r="AQ12" s="12">
        <f>Data!$E3*10^9</f>
        <v>1420000000</v>
      </c>
      <c r="AR12" s="12">
        <f>Data!$E3*10^9</f>
        <v>1420000000</v>
      </c>
      <c r="AS12" s="12">
        <f>Data!$E3*10^9</f>
        <v>1420000000</v>
      </c>
      <c r="AT12" s="12">
        <f>Data!$E3*10^9</f>
        <v>1420000000</v>
      </c>
      <c r="AU12" s="12">
        <f>Data!$E3*10^9</f>
        <v>1420000000</v>
      </c>
      <c r="AV12" s="12">
        <f>Data!$E3*10^9</f>
        <v>1420000000</v>
      </c>
      <c r="AW12" s="12">
        <f>Data!$E3*10^9</f>
        <v>1420000000</v>
      </c>
      <c r="AX12" s="12">
        <f>Data!$E3*10^9</f>
        <v>1420000000</v>
      </c>
      <c r="AY12" s="12">
        <f>Data!$E3*10^9</f>
        <v>1420000000</v>
      </c>
    </row>
    <row r="13" spans="1:51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2C78F9-7F2A-4113-8FB4-70F907B61A4E}"/>
</file>

<file path=customXml/itemProps2.xml><?xml version="1.0" encoding="utf-8"?>
<ds:datastoreItem xmlns:ds="http://schemas.openxmlformats.org/officeDocument/2006/customXml" ds:itemID="{17363A24-08E4-4164-844C-AE6C05DEC1A6}"/>
</file>

<file path=customXml/itemProps3.xml><?xml version="1.0" encoding="utf-8"?>
<ds:datastoreItem xmlns:ds="http://schemas.openxmlformats.org/officeDocument/2006/customXml" ds:itemID="{699DD2A3-4357-4B7E-B953-6D5EC83338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2015-08-06T00:31:42Z</dcterms:created>
  <dcterms:modified xsi:type="dcterms:W3CDTF">2024-08-14T10:30:31Z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