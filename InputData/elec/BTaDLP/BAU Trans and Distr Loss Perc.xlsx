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us\InputData\elec\BTaDLP\"/>
    </mc:Choice>
  </mc:AlternateContent>
  <xr:revisionPtr revIDLastSave="114" documentId="13_ncr:1_{5A6FC856-0827-4238-87A9-5A3724A150AB}" xr6:coauthVersionLast="47" xr6:coauthVersionMax="47" xr10:uidLastSave="{AA66C980-8CD6-4719-8C3E-A42EAE4EE74B}"/>
  <bookViews>
    <workbookView xWindow="-19305" yWindow="-5760" windowWidth="19410" windowHeight="20985" firstSheet="2" xr2:uid="{00000000-000D-0000-FFFF-FFFF00000000}"/>
  </bookViews>
  <sheets>
    <sheet name="About" sheetId="1" r:id="rId1"/>
    <sheet name="India Calculations" sheetId="4" r:id="rId2"/>
    <sheet name="BTaDL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8" i="4" l="1"/>
  <c r="BC8" i="4"/>
  <c r="BD8" i="4"/>
  <c r="BA8" i="4"/>
  <c r="AW8" i="4"/>
  <c r="AX8" i="4"/>
  <c r="AY8" i="4"/>
  <c r="AV8" i="4"/>
  <c r="AR8" i="4"/>
  <c r="AS8" i="4"/>
  <c r="AT8" i="4"/>
  <c r="AQ8" i="4"/>
  <c r="AM8" i="4"/>
  <c r="AN8" i="4"/>
  <c r="AO8" i="4"/>
  <c r="AL8" i="4"/>
  <c r="AH8" i="4"/>
  <c r="AI8" i="4"/>
  <c r="AJ8" i="4"/>
  <c r="AG8" i="4"/>
  <c r="AC8" i="4"/>
  <c r="AD8" i="4"/>
  <c r="AE8" i="4"/>
  <c r="AB8" i="4"/>
  <c r="X8" i="4"/>
  <c r="Y8" i="4"/>
  <c r="Z8" i="4"/>
  <c r="W8" i="4"/>
  <c r="S8" i="4"/>
  <c r="T8" i="4"/>
  <c r="U8" i="4"/>
  <c r="R8" i="4"/>
  <c r="L8" i="4"/>
  <c r="M8" i="4"/>
  <c r="N8" i="4"/>
  <c r="O8" i="4"/>
  <c r="P8" i="4"/>
  <c r="K8" i="4"/>
  <c r="H8" i="4"/>
  <c r="I8" i="4"/>
  <c r="J8" i="4"/>
  <c r="Q8" i="4"/>
  <c r="V8" i="4"/>
  <c r="AA8" i="4"/>
  <c r="AF8" i="4"/>
  <c r="AK8" i="4"/>
  <c r="AP8" i="4"/>
  <c r="AU8" i="4"/>
  <c r="AZ8" i="4"/>
  <c r="BE8" i="4"/>
  <c r="G8" i="4"/>
</calcChain>
</file>

<file path=xl/sharedStrings.xml><?xml version="1.0" encoding="utf-8"?>
<sst xmlns="http://schemas.openxmlformats.org/spreadsheetml/2006/main" count="12" uniqueCount="12">
  <si>
    <t>BTaDLP BAU Transmission and Distribution Loss Percentage</t>
  </si>
  <si>
    <t>Source:</t>
  </si>
  <si>
    <t>India Energy Security Scenarios (IESS 2070, Version 4)</t>
  </si>
  <si>
    <t>IESS 2070 - Trajectory 2</t>
  </si>
  <si>
    <t>Not publicly accessible yet</t>
  </si>
  <si>
    <t>Tab VII.b, T&amp;D losses</t>
  </si>
  <si>
    <t>Notes:</t>
  </si>
  <si>
    <t>This variable represents the percentage difference in generation</t>
  </si>
  <si>
    <t>and delivered energy from the U.S. power system.</t>
  </si>
  <si>
    <t>IESS  Lv 2 TnD loss Trajectory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</si>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</sst>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right" wrapText="1"/>
    </xf>
    <xf numFmtId="10" fontId="0" fillId="0" borderId="0" xfId="0" applyNumberFormat="1"/>
    <xf numFmtId="49" fontId="0" fillId="0" borderId="0" xfId="0" applyNumberFormat="1" applyAlignment="1">
      <alignment horizontal="left" indent="4"/>
    </xf>
    <xf numFmtId="0" fontId="0" fillId="2" borderId="0" xfId="0" applyFill="1"/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A0D66D47-893E-4339-ABA2-2AA2E8FD2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6" sqref="G6"/>
    </sheetView>
  </sheetViews>
  <sheetFormatPr defaultRowHeight="14.45"/>
  <sheetData>
    <row r="1" spans="1:6">
      <c r="A1" s="1" t="s">
        <v>0</v>
      </c>
    </row>
    <row r="3" spans="1:6">
      <c r="A3" s="1" t="s">
        <v>1</v>
      </c>
      <c r="B3" s="10" t="s">
        <v>2</v>
      </c>
      <c r="C3" s="10"/>
      <c r="D3" s="10"/>
      <c r="E3" s="10"/>
      <c r="F3" s="10"/>
    </row>
    <row r="4" spans="1:6">
      <c r="B4" s="2">
        <v>2024</v>
      </c>
    </row>
    <row r="5" spans="1:6">
      <c r="B5" t="s">
        <v>3</v>
      </c>
    </row>
    <row r="6" spans="1:6">
      <c r="B6" s="3" t="s">
        <v>4</v>
      </c>
    </row>
    <row r="7" spans="1:6">
      <c r="B7" t="s">
        <v>5</v>
      </c>
    </row>
    <row r="9" spans="1:6">
      <c r="A9" t="s">
        <v>6</v>
      </c>
    </row>
    <row r="10" spans="1:6">
      <c r="A10" t="s">
        <v>7</v>
      </c>
    </row>
    <row r="11" spans="1:6">
      <c r="A11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8"/>
  <sheetViews>
    <sheetView topLeftCell="AC1" workbookViewId="0">
      <selection activeCell="G7" sqref="G7:BE8"/>
    </sheetView>
  </sheetViews>
  <sheetFormatPr defaultRowHeight="14.45"/>
  <cols>
    <col min="1" max="1" width="11.42578125" customWidth="1"/>
    <col min="2" max="2" width="9.42578125" bestFit="1" customWidth="1"/>
    <col min="3" max="3" width="12.28515625" customWidth="1"/>
    <col min="4" max="4" width="10.5703125" bestFit="1" customWidth="1"/>
  </cols>
  <sheetData>
    <row r="1" spans="1:57">
      <c r="A1" t="s">
        <v>9</v>
      </c>
      <c r="B1" s="1"/>
      <c r="C1" s="1"/>
      <c r="D1" s="1"/>
    </row>
    <row r="2" spans="1:57">
      <c r="A2" s="1"/>
      <c r="B2" s="5"/>
      <c r="C2" s="5"/>
      <c r="D2" s="4"/>
    </row>
    <row r="3" spans="1:57" ht="15">
      <c r="A3">
        <v>2020</v>
      </c>
      <c r="B3" s="5">
        <v>2022</v>
      </c>
      <c r="C3" s="5">
        <v>2023</v>
      </c>
      <c r="D3" s="9">
        <v>2030</v>
      </c>
      <c r="E3">
        <v>2035</v>
      </c>
      <c r="F3">
        <v>2040</v>
      </c>
      <c r="G3">
        <v>2045</v>
      </c>
      <c r="H3">
        <v>2047</v>
      </c>
      <c r="I3">
        <v>2050</v>
      </c>
      <c r="J3">
        <v>2055</v>
      </c>
      <c r="K3">
        <v>2060</v>
      </c>
      <c r="L3">
        <v>2065</v>
      </c>
      <c r="M3">
        <v>2070</v>
      </c>
    </row>
    <row r="4" spans="1:57" ht="15">
      <c r="A4" s="8">
        <v>0.2046</v>
      </c>
      <c r="B4" s="8">
        <v>0.19270000000000001</v>
      </c>
      <c r="C4" s="8">
        <v>0.19</v>
      </c>
      <c r="D4" s="8">
        <v>0.1837</v>
      </c>
      <c r="E4" s="8">
        <v>0.17319999999999999</v>
      </c>
      <c r="F4" s="8">
        <v>0.1628</v>
      </c>
      <c r="G4" s="8">
        <v>0.15229999999999999</v>
      </c>
      <c r="H4" s="8">
        <v>0.14810000000000001</v>
      </c>
      <c r="I4" s="8">
        <v>0.14180000000000001</v>
      </c>
      <c r="J4" s="8">
        <v>0.13139999999999999</v>
      </c>
      <c r="K4" s="8">
        <v>0.12089999999999999</v>
      </c>
      <c r="L4" s="8">
        <v>0.1105</v>
      </c>
      <c r="M4" s="8">
        <v>0.1</v>
      </c>
      <c r="N4" s="8"/>
    </row>
    <row r="5" spans="1:57" ht="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57">
      <c r="A6" s="1"/>
      <c r="B6" s="5"/>
      <c r="C6" s="5"/>
      <c r="D6" s="4"/>
    </row>
    <row r="7" spans="1:57">
      <c r="A7" s="1"/>
      <c r="B7" s="5">
        <v>2015</v>
      </c>
      <c r="C7" s="5">
        <v>2016</v>
      </c>
      <c r="D7" s="5">
        <v>2017</v>
      </c>
      <c r="E7">
        <v>2018</v>
      </c>
      <c r="F7">
        <v>2019</v>
      </c>
      <c r="G7">
        <v>2020</v>
      </c>
      <c r="H7">
        <v>2021</v>
      </c>
      <c r="I7">
        <v>2022</v>
      </c>
      <c r="J7">
        <v>2023</v>
      </c>
      <c r="K7">
        <v>2024</v>
      </c>
      <c r="L7">
        <v>2025</v>
      </c>
      <c r="M7">
        <v>2026</v>
      </c>
      <c r="N7">
        <v>2027</v>
      </c>
      <c r="O7">
        <v>2028</v>
      </c>
      <c r="P7">
        <v>2029</v>
      </c>
      <c r="Q7">
        <v>2030</v>
      </c>
      <c r="R7">
        <v>2031</v>
      </c>
      <c r="S7">
        <v>2032</v>
      </c>
      <c r="T7">
        <v>2033</v>
      </c>
      <c r="U7">
        <v>2034</v>
      </c>
      <c r="V7">
        <v>2035</v>
      </c>
      <c r="W7">
        <v>2036</v>
      </c>
      <c r="X7">
        <v>2037</v>
      </c>
      <c r="Y7">
        <v>2038</v>
      </c>
      <c r="Z7">
        <v>2039</v>
      </c>
      <c r="AA7">
        <v>2040</v>
      </c>
      <c r="AB7">
        <v>2041</v>
      </c>
      <c r="AC7">
        <v>2042</v>
      </c>
      <c r="AD7">
        <v>2043</v>
      </c>
      <c r="AE7">
        <v>2044</v>
      </c>
      <c r="AF7">
        <v>2045</v>
      </c>
      <c r="AG7">
        <v>2046</v>
      </c>
      <c r="AH7">
        <v>2047</v>
      </c>
      <c r="AI7">
        <v>2048</v>
      </c>
      <c r="AJ7">
        <v>2049</v>
      </c>
      <c r="AK7">
        <v>2050</v>
      </c>
      <c r="AL7">
        <v>2051</v>
      </c>
      <c r="AM7">
        <v>2052</v>
      </c>
      <c r="AN7">
        <v>2053</v>
      </c>
      <c r="AO7">
        <v>2054</v>
      </c>
      <c r="AP7">
        <v>2055</v>
      </c>
      <c r="AQ7">
        <v>2056</v>
      </c>
      <c r="AR7">
        <v>2057</v>
      </c>
      <c r="AS7">
        <v>2058</v>
      </c>
      <c r="AT7">
        <v>2059</v>
      </c>
      <c r="AU7">
        <v>2060</v>
      </c>
      <c r="AV7">
        <v>2061</v>
      </c>
      <c r="AW7">
        <v>2062</v>
      </c>
      <c r="AX7">
        <v>2063</v>
      </c>
      <c r="AY7">
        <v>2064</v>
      </c>
      <c r="AZ7">
        <v>2065</v>
      </c>
      <c r="BA7">
        <v>2066</v>
      </c>
      <c r="BB7">
        <v>2067</v>
      </c>
      <c r="BC7">
        <v>2068</v>
      </c>
      <c r="BD7">
        <v>2069</v>
      </c>
      <c r="BE7">
        <v>2070</v>
      </c>
    </row>
    <row r="8" spans="1:57">
      <c r="A8" s="1"/>
      <c r="B8" s="5"/>
      <c r="C8" s="5"/>
      <c r="D8" s="4"/>
      <c r="G8" s="8">
        <f>HLOOKUP(G7,$A$3:$M$4,2)</f>
        <v>0.2046</v>
      </c>
      <c r="H8" s="8">
        <f>AVERAGE(G8,J8)</f>
        <v>0.1973</v>
      </c>
      <c r="I8" s="8">
        <f t="shared" ref="H8:BE8" si="0">HLOOKUP(I7,$A$3:$M$4,2)</f>
        <v>0.19270000000000001</v>
      </c>
      <c r="J8" s="8">
        <f t="shared" si="0"/>
        <v>0.19</v>
      </c>
      <c r="K8" s="8">
        <f>J8+($Q$8-$J$8)/(2030-2023)</f>
        <v>0.18909999999999999</v>
      </c>
      <c r="L8" s="8">
        <f t="shared" ref="L8:P8" si="1">K8+($Q$8-$J$8)/(2030-2023)</f>
        <v>0.18819999999999998</v>
      </c>
      <c r="M8" s="8">
        <f t="shared" si="1"/>
        <v>0.18729999999999997</v>
      </c>
      <c r="N8" s="8">
        <f t="shared" si="1"/>
        <v>0.18639999999999995</v>
      </c>
      <c r="O8" s="8">
        <f t="shared" si="1"/>
        <v>0.18549999999999994</v>
      </c>
      <c r="P8" s="8">
        <f t="shared" si="1"/>
        <v>0.18459999999999993</v>
      </c>
      <c r="Q8" s="8">
        <f t="shared" si="0"/>
        <v>0.1837</v>
      </c>
      <c r="R8" s="8">
        <f>Q8+($V$8-$Q$8)/(2035-2030)</f>
        <v>0.18160000000000001</v>
      </c>
      <c r="S8" s="8">
        <f t="shared" ref="S8:W8" si="2">R8+($V$8-$Q$8)/(2035-2030)</f>
        <v>0.17950000000000002</v>
      </c>
      <c r="T8" s="8">
        <f t="shared" si="2"/>
        <v>0.17740000000000003</v>
      </c>
      <c r="U8" s="8">
        <f t="shared" si="2"/>
        <v>0.17530000000000004</v>
      </c>
      <c r="V8" s="8">
        <f t="shared" si="0"/>
        <v>0.17319999999999999</v>
      </c>
      <c r="W8" s="8">
        <f>V8+($AA$8-$V$8)/(2040-2035)</f>
        <v>0.17111999999999999</v>
      </c>
      <c r="X8" s="8">
        <f t="shared" ref="X8:AB8" si="3">W8+($AA$8-$V$8)/(2040-2035)</f>
        <v>0.16904</v>
      </c>
      <c r="Y8" s="8">
        <f t="shared" si="3"/>
        <v>0.16696</v>
      </c>
      <c r="Z8" s="8">
        <f t="shared" si="3"/>
        <v>0.16488</v>
      </c>
      <c r="AA8" s="8">
        <f t="shared" si="0"/>
        <v>0.1628</v>
      </c>
      <c r="AB8" s="8">
        <f>AA8+($AF$8-$AA$8)/(2045-2040)</f>
        <v>0.16070000000000001</v>
      </c>
      <c r="AC8" s="8">
        <f t="shared" ref="AC8:AG8" si="4">AB8+($AF$8-$AA$8)/(2045-2040)</f>
        <v>0.15860000000000002</v>
      </c>
      <c r="AD8" s="8">
        <f t="shared" si="4"/>
        <v>0.15650000000000003</v>
      </c>
      <c r="AE8" s="8">
        <f t="shared" si="4"/>
        <v>0.15440000000000004</v>
      </c>
      <c r="AF8" s="8">
        <f t="shared" si="0"/>
        <v>0.15229999999999999</v>
      </c>
      <c r="AG8" s="8">
        <f>AF8+($AK$8-$AF$8)/(2050-2045)</f>
        <v>0.1502</v>
      </c>
      <c r="AH8" s="8">
        <f t="shared" ref="AH8:AL8" si="5">AG8+($AK$8-$AF$8)/(2050-2045)</f>
        <v>0.14810000000000001</v>
      </c>
      <c r="AI8" s="8">
        <f t="shared" si="5"/>
        <v>0.14600000000000002</v>
      </c>
      <c r="AJ8" s="8">
        <f t="shared" si="5"/>
        <v>0.14390000000000003</v>
      </c>
      <c r="AK8" s="8">
        <f t="shared" si="0"/>
        <v>0.14180000000000001</v>
      </c>
      <c r="AL8" s="8">
        <f>AK8+($AP$8-$AK$8)/(2055-2050)</f>
        <v>0.13972000000000001</v>
      </c>
      <c r="AM8" s="8">
        <f t="shared" ref="AM8:AQ8" si="6">AL8+($AP$8-$AK$8)/(2055-2050)</f>
        <v>0.13764000000000001</v>
      </c>
      <c r="AN8" s="8">
        <f t="shared" si="6"/>
        <v>0.13556000000000001</v>
      </c>
      <c r="AO8" s="8">
        <f t="shared" si="6"/>
        <v>0.13348000000000002</v>
      </c>
      <c r="AP8" s="8">
        <f t="shared" si="0"/>
        <v>0.13139999999999999</v>
      </c>
      <c r="AQ8" s="8">
        <f>AP8+($AU$8-$AP$8)/(2060-2055)</f>
        <v>0.1293</v>
      </c>
      <c r="AR8" s="8">
        <f t="shared" ref="AR8:AV8" si="7">AQ8+($AU$8-$AP$8)/(2060-2055)</f>
        <v>0.12720000000000001</v>
      </c>
      <c r="AS8" s="8">
        <f t="shared" si="7"/>
        <v>0.12510000000000002</v>
      </c>
      <c r="AT8" s="8">
        <f t="shared" si="7"/>
        <v>0.12300000000000001</v>
      </c>
      <c r="AU8" s="8">
        <f t="shared" si="0"/>
        <v>0.12089999999999999</v>
      </c>
      <c r="AV8" s="8">
        <f>AU8+($AZ$8-$AU$8)/(2065-2060)</f>
        <v>0.11882</v>
      </c>
      <c r="AW8" s="8">
        <f t="shared" ref="AW8:BA8" si="8">AV8+($AZ$8-$AU$8)/(2065-2060)</f>
        <v>0.11674</v>
      </c>
      <c r="AX8" s="8">
        <f t="shared" si="8"/>
        <v>0.11466</v>
      </c>
      <c r="AY8" s="8">
        <f t="shared" si="8"/>
        <v>0.11258</v>
      </c>
      <c r="AZ8" s="8">
        <f t="shared" si="0"/>
        <v>0.1105</v>
      </c>
      <c r="BA8" s="8">
        <f>AZ8+($BE$8-$AZ$8)/(2070-2065)</f>
        <v>0.1084</v>
      </c>
      <c r="BB8" s="8">
        <f t="shared" ref="BB8:BD8" si="9">BA8+($BE$8-$AZ$8)/(2070-2065)</f>
        <v>0.10629999999999999</v>
      </c>
      <c r="BC8" s="8">
        <f t="shared" si="9"/>
        <v>0.10419999999999999</v>
      </c>
      <c r="BD8" s="8">
        <f t="shared" si="9"/>
        <v>0.10209999999999998</v>
      </c>
      <c r="BE8" s="8">
        <f t="shared" si="0"/>
        <v>0.1</v>
      </c>
    </row>
    <row r="9" spans="1:57">
      <c r="A9" s="1"/>
      <c r="B9" s="5"/>
      <c r="C9" s="5"/>
      <c r="D9" s="4"/>
    </row>
    <row r="10" spans="1:57">
      <c r="A10" s="1"/>
      <c r="B10" s="5"/>
      <c r="C10" s="5"/>
      <c r="D10" s="4"/>
    </row>
    <row r="11" spans="1:57">
      <c r="A11" s="1"/>
      <c r="B11" s="5"/>
      <c r="C11" s="5"/>
      <c r="D11" s="4"/>
    </row>
    <row r="12" spans="1:57">
      <c r="A12" s="1"/>
      <c r="B12" s="5"/>
      <c r="C12" s="5"/>
      <c r="D12" s="4"/>
    </row>
    <row r="13" spans="1:57">
      <c r="A13" s="1"/>
      <c r="B13" s="5"/>
      <c r="C13" s="5"/>
      <c r="D13" s="4"/>
    </row>
    <row r="14" spans="1:57">
      <c r="A14" s="1"/>
      <c r="B14" s="5"/>
      <c r="C14" s="5"/>
      <c r="D14" s="4"/>
    </row>
    <row r="15" spans="1:57">
      <c r="A15" s="1"/>
      <c r="B15" s="5"/>
      <c r="C15" s="5"/>
      <c r="D15" s="4"/>
    </row>
    <row r="16" spans="1:57">
      <c r="A16" s="1"/>
      <c r="B16" s="5"/>
      <c r="C16" s="5"/>
      <c r="D16" s="4"/>
    </row>
    <row r="17" spans="1:4">
      <c r="A17" s="1"/>
      <c r="B17" s="5"/>
      <c r="C17" s="5"/>
      <c r="D17" s="4"/>
    </row>
    <row r="18" spans="1:4">
      <c r="A18" s="1"/>
      <c r="B18" s="5"/>
      <c r="C18" s="5"/>
      <c r="D18" s="4"/>
    </row>
    <row r="19" spans="1:4">
      <c r="A19" s="1"/>
      <c r="B19" s="5"/>
      <c r="C19" s="5"/>
      <c r="D19" s="4"/>
    </row>
    <row r="20" spans="1:4">
      <c r="A20" s="1"/>
      <c r="B20" s="5"/>
      <c r="C20" s="5"/>
      <c r="D20" s="4"/>
    </row>
    <row r="21" spans="1:4">
      <c r="A21" s="1"/>
      <c r="B21" s="5"/>
      <c r="C21" s="5"/>
      <c r="D21" s="4"/>
    </row>
    <row r="22" spans="1:4">
      <c r="A22" s="1"/>
      <c r="B22" s="5"/>
      <c r="C22" s="5"/>
      <c r="D22" s="4"/>
    </row>
    <row r="23" spans="1:4">
      <c r="A23" s="1"/>
      <c r="B23" s="5"/>
      <c r="C23" s="5"/>
      <c r="D23" s="4"/>
    </row>
    <row r="24" spans="1:4">
      <c r="A24" s="1"/>
      <c r="B24" s="5"/>
      <c r="C24" s="5"/>
      <c r="D24" s="4"/>
    </row>
    <row r="28" spans="1:4">
      <c r="A28" s="1"/>
      <c r="B28" s="1"/>
      <c r="C28" s="1"/>
      <c r="D28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E2"/>
  <sheetViews>
    <sheetView workbookViewId="0">
      <selection activeCell="G2" sqref="B2:G2"/>
    </sheetView>
  </sheetViews>
  <sheetFormatPr defaultRowHeight="14.45"/>
  <cols>
    <col min="1" max="1" width="20.42578125" customWidth="1"/>
    <col min="2" max="2" width="9" customWidth="1"/>
  </cols>
  <sheetData>
    <row r="1" spans="1:57">
      <c r="A1" t="s">
        <v>10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  <c r="AQ1">
        <v>2056</v>
      </c>
      <c r="AR1">
        <v>2057</v>
      </c>
      <c r="AS1">
        <v>2058</v>
      </c>
      <c r="AT1">
        <v>2059</v>
      </c>
      <c r="AU1">
        <v>2060</v>
      </c>
      <c r="AV1">
        <v>2061</v>
      </c>
      <c r="AW1">
        <v>2062</v>
      </c>
      <c r="AX1">
        <v>2063</v>
      </c>
      <c r="AY1">
        <v>2064</v>
      </c>
      <c r="AZ1">
        <v>2065</v>
      </c>
      <c r="BA1">
        <v>2066</v>
      </c>
      <c r="BB1">
        <v>2067</v>
      </c>
      <c r="BC1">
        <v>2068</v>
      </c>
      <c r="BD1">
        <v>2069</v>
      </c>
      <c r="BE1">
        <v>2070</v>
      </c>
    </row>
    <row r="2" spans="1:57" ht="29.1">
      <c r="A2" s="7" t="s">
        <v>11</v>
      </c>
      <c r="B2" s="4">
        <v>0.2046</v>
      </c>
      <c r="C2" s="4">
        <v>0.2046</v>
      </c>
      <c r="D2" s="4">
        <v>0.2046</v>
      </c>
      <c r="E2" s="4">
        <v>0.2046</v>
      </c>
      <c r="F2" s="4">
        <v>0.2046</v>
      </c>
      <c r="G2" s="4">
        <v>0.2046</v>
      </c>
      <c r="H2" s="4">
        <v>0.1973</v>
      </c>
      <c r="I2" s="4">
        <v>0.19270000000000001</v>
      </c>
      <c r="J2" s="4">
        <v>0.19</v>
      </c>
      <c r="K2" s="4">
        <v>0.18909999999999999</v>
      </c>
      <c r="L2" s="4">
        <v>0.18819999999999998</v>
      </c>
      <c r="M2" s="4">
        <v>0.18729999999999997</v>
      </c>
      <c r="N2" s="4">
        <v>0.18639999999999995</v>
      </c>
      <c r="O2" s="4">
        <v>0.18549999999999994</v>
      </c>
      <c r="P2" s="4">
        <v>0.18459999999999993</v>
      </c>
      <c r="Q2" s="4">
        <v>0.1837</v>
      </c>
      <c r="R2" s="4">
        <v>0.18160000000000001</v>
      </c>
      <c r="S2" s="4">
        <v>0.17950000000000002</v>
      </c>
      <c r="T2" s="4">
        <v>0.17740000000000003</v>
      </c>
      <c r="U2" s="4">
        <v>0.17530000000000004</v>
      </c>
      <c r="V2" s="4">
        <v>0.17319999999999999</v>
      </c>
      <c r="W2" s="4">
        <v>0.17111999999999999</v>
      </c>
      <c r="X2" s="4">
        <v>0.16904</v>
      </c>
      <c r="Y2" s="4">
        <v>0.16696</v>
      </c>
      <c r="Z2" s="4">
        <v>0.16488</v>
      </c>
      <c r="AA2" s="4">
        <v>0.1628</v>
      </c>
      <c r="AB2" s="4">
        <v>0.16070000000000001</v>
      </c>
      <c r="AC2" s="4">
        <v>0.15860000000000002</v>
      </c>
      <c r="AD2" s="4">
        <v>0.15650000000000003</v>
      </c>
      <c r="AE2" s="4">
        <v>0.15440000000000004</v>
      </c>
      <c r="AF2" s="4">
        <v>0.15229999999999999</v>
      </c>
      <c r="AG2" s="4">
        <v>0.1502</v>
      </c>
      <c r="AH2" s="4">
        <v>0.14810000000000001</v>
      </c>
      <c r="AI2" s="4">
        <v>0.14600000000000002</v>
      </c>
      <c r="AJ2" s="4">
        <v>0.14390000000000003</v>
      </c>
      <c r="AK2" s="4">
        <v>0.14180000000000001</v>
      </c>
      <c r="AL2">
        <v>0.13972000000000001</v>
      </c>
      <c r="AM2">
        <v>0.13764000000000001</v>
      </c>
      <c r="AN2">
        <v>0.13556000000000001</v>
      </c>
      <c r="AO2">
        <v>0.13348000000000002</v>
      </c>
      <c r="AP2">
        <v>0.13139999999999999</v>
      </c>
      <c r="AQ2">
        <v>0.1293</v>
      </c>
      <c r="AR2">
        <v>0.12720000000000001</v>
      </c>
      <c r="AS2">
        <v>0.12510000000000002</v>
      </c>
      <c r="AT2">
        <v>0.12300000000000001</v>
      </c>
      <c r="AU2">
        <v>0.12089999999999999</v>
      </c>
      <c r="AV2">
        <v>0.11882</v>
      </c>
      <c r="AW2">
        <v>0.11674</v>
      </c>
      <c r="AX2">
        <v>0.11466</v>
      </c>
      <c r="AY2">
        <v>0.11258</v>
      </c>
      <c r="AZ2">
        <v>0.1105</v>
      </c>
      <c r="BA2">
        <v>0.1084</v>
      </c>
      <c r="BB2">
        <v>0.10629999999999999</v>
      </c>
      <c r="BC2">
        <v>0.10419999999999999</v>
      </c>
      <c r="BD2">
        <v>0.10209999999999998</v>
      </c>
      <c r="BE2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14A209-ACAD-4242-9BCB-8EDB3088EE07}"/>
</file>

<file path=customXml/itemProps2.xml><?xml version="1.0" encoding="utf-8"?>
<ds:datastoreItem xmlns:ds="http://schemas.openxmlformats.org/officeDocument/2006/customXml" ds:itemID="{D26A9220-30B7-4E21-9142-66464947C01D}"/>
</file>

<file path=customXml/itemProps3.xml><?xml version="1.0" encoding="utf-8"?>
<ds:datastoreItem xmlns:ds="http://schemas.openxmlformats.org/officeDocument/2006/customXml" ds:itemID="{483063A9-416B-491C-A0BE-982340217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2015-06-09T20:22:53Z</dcterms:created>
  <dcterms:modified xsi:type="dcterms:W3CDTF">2024-10-22T12:46:19Z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