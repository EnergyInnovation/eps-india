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fuels/BFPIaE/"/>
    </mc:Choice>
  </mc:AlternateContent>
  <xr:revisionPtr revIDLastSave="282" documentId="8_{15AC6422-D533-4DAF-A368-4B92C683E7CF}" xr6:coauthVersionLast="47" xr6:coauthVersionMax="47" xr10:uidLastSave="{AFD4D7FE-E48E-43DC-872A-880D1CE79499}"/>
  <bookViews>
    <workbookView xWindow="9510" yWindow="0" windowWidth="9780" windowHeight="11370" tabRatio="684" firstSheet="14" activeTab="15" xr2:uid="{00000000-000D-0000-FFFF-FFFF00000000}"/>
  </bookViews>
  <sheets>
    <sheet name="About" sheetId="4" r:id="rId1"/>
    <sheet name="Conversion Factors" sheetId="20" r:id="rId2"/>
    <sheet name="Heat content of coal" sheetId="32" r:id="rId3"/>
    <sheet name="BAU Total Primary Fuel Use" sheetId="31" r:id="rId4"/>
    <sheet name="Crude Oil" sheetId="21" r:id="rId5"/>
    <sheet name="Natural Gas" sheetId="22" r:id="rId6"/>
    <sheet name="Petroleum Products" sheetId="23" r:id="rId7"/>
    <sheet name="Coal &amp; Lignite" sheetId="26" r:id="rId8"/>
    <sheet name="Biofuels" sheetId="27" r:id="rId9"/>
    <sheet name="MSW" sheetId="28" r:id="rId10"/>
    <sheet name="Biomass" sheetId="29" r:id="rId11"/>
    <sheet name="Nuclear" sheetId="30" r:id="rId12"/>
    <sheet name="AEO Table 73" sheetId="15" r:id="rId13"/>
    <sheet name="BFPIaE-production" sheetId="12" r:id="rId14"/>
    <sheet name="BFPIaE-imports" sheetId="19" r:id="rId15"/>
    <sheet name="BFPIaE-exports" sheetId="13" r:id="rId16"/>
  </sheets>
  <externalReferences>
    <externalReference r:id="rId17"/>
    <externalReference r:id="rId18"/>
  </externalReferences>
  <definedNames>
    <definedName name="gal_per_barrel">[1]About!$A$63</definedName>
    <definedName name="preferences.energyunits">[2]Preferences!$C$3</definedName>
    <definedName name="Preferences.PowerUnits">[2]Preferences!$C$5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1" l="1"/>
  <c r="C14" i="22"/>
  <c r="B6" i="32"/>
  <c r="B6" i="27" l="1"/>
  <c r="B4" i="27"/>
  <c r="I10" i="27"/>
  <c r="I14" i="27" s="1"/>
  <c r="C23" i="27"/>
  <c r="D24" i="27"/>
  <c r="D25" i="27" s="1"/>
  <c r="AZ10" i="30"/>
  <c r="BA10" i="30"/>
  <c r="AJ10" i="30"/>
  <c r="AK10" i="30" s="1"/>
  <c r="AL10" i="30" s="1"/>
  <c r="AM10" i="30" s="1"/>
  <c r="AN10" i="30" s="1"/>
  <c r="AO10" i="30" s="1"/>
  <c r="AP10" i="30" s="1"/>
  <c r="AQ10" i="30" s="1"/>
  <c r="AR10" i="30" s="1"/>
  <c r="AS10" i="30" s="1"/>
  <c r="AT10" i="30" s="1"/>
  <c r="AU10" i="30" s="1"/>
  <c r="AV10" i="30" s="1"/>
  <c r="AW10" i="30" s="1"/>
  <c r="AX10" i="30" s="1"/>
  <c r="AY10" i="30" s="1"/>
  <c r="B31" i="23"/>
  <c r="B30" i="23"/>
  <c r="H18" i="26"/>
  <c r="I11" i="27" l="1"/>
  <c r="I12" i="27" s="1"/>
  <c r="C4" i="22"/>
  <c r="C5" i="22" s="1"/>
  <c r="B4" i="22"/>
  <c r="B5" i="22" s="1"/>
  <c r="B7" i="32" l="1"/>
  <c r="B9" i="32"/>
  <c r="B62" i="20" s="1"/>
  <c r="B18" i="13" l="1"/>
  <c r="C18" i="13" s="1"/>
  <c r="D18" i="13" s="1"/>
  <c r="E18" i="13" s="1"/>
  <c r="F18" i="13" s="1"/>
  <c r="G18" i="13" s="1"/>
  <c r="H18" i="13" s="1"/>
  <c r="I18" i="13" s="1"/>
  <c r="J18" i="13" s="1"/>
  <c r="K18" i="13" s="1"/>
  <c r="L18" i="13" s="1"/>
  <c r="M18" i="13" s="1"/>
  <c r="N18" i="13" s="1"/>
  <c r="O18" i="13" s="1"/>
  <c r="P18" i="13" s="1"/>
  <c r="Q18" i="13" s="1"/>
  <c r="R18" i="13" s="1"/>
  <c r="S18" i="13" s="1"/>
  <c r="T18" i="13" s="1"/>
  <c r="U18" i="13" s="1"/>
  <c r="V18" i="13" s="1"/>
  <c r="W18" i="13" s="1"/>
  <c r="X18" i="13" s="1"/>
  <c r="Y18" i="13" s="1"/>
  <c r="Z18" i="13" s="1"/>
  <c r="AA18" i="13" s="1"/>
  <c r="AB18" i="13" s="1"/>
  <c r="AC18" i="13" s="1"/>
  <c r="AD18" i="13" s="1"/>
  <c r="AE18" i="13" s="1"/>
  <c r="C13" i="13"/>
  <c r="D13" i="13" s="1"/>
  <c r="E13" i="13" s="1"/>
  <c r="F13" i="13" s="1"/>
  <c r="G13" i="13" s="1"/>
  <c r="H13" i="13" s="1"/>
  <c r="I13" i="13" s="1"/>
  <c r="J13" i="13" s="1"/>
  <c r="K13" i="13" s="1"/>
  <c r="L13" i="13" s="1"/>
  <c r="M13" i="13" s="1"/>
  <c r="N13" i="13" s="1"/>
  <c r="O13" i="13" s="1"/>
  <c r="P13" i="13" s="1"/>
  <c r="Q13" i="13" s="1"/>
  <c r="R13" i="13" s="1"/>
  <c r="S13" i="13" s="1"/>
  <c r="T13" i="13" s="1"/>
  <c r="U13" i="13" s="1"/>
  <c r="V13" i="13" s="1"/>
  <c r="W13" i="13" s="1"/>
  <c r="X13" i="13" s="1"/>
  <c r="Y13" i="13" s="1"/>
  <c r="Z13" i="13" s="1"/>
  <c r="AA13" i="13" s="1"/>
  <c r="AB13" i="13" s="1"/>
  <c r="AC13" i="13" s="1"/>
  <c r="AD13" i="13" s="1"/>
  <c r="AE13" i="13" s="1"/>
  <c r="C9" i="13"/>
  <c r="D9" i="13" s="1"/>
  <c r="E9" i="13" s="1"/>
  <c r="F9" i="13" s="1"/>
  <c r="G9" i="13" s="1"/>
  <c r="H9" i="13" s="1"/>
  <c r="I9" i="13" s="1"/>
  <c r="J9" i="13" s="1"/>
  <c r="K9" i="13" s="1"/>
  <c r="L9" i="13" s="1"/>
  <c r="M9" i="13" s="1"/>
  <c r="N9" i="13" s="1"/>
  <c r="O9" i="13" s="1"/>
  <c r="P9" i="13" s="1"/>
  <c r="Q9" i="13" s="1"/>
  <c r="R9" i="13" s="1"/>
  <c r="S9" i="13" s="1"/>
  <c r="T9" i="13" s="1"/>
  <c r="U9" i="13" s="1"/>
  <c r="V9" i="13" s="1"/>
  <c r="W9" i="13" s="1"/>
  <c r="X9" i="13" s="1"/>
  <c r="Y9" i="13" s="1"/>
  <c r="Z9" i="13" s="1"/>
  <c r="AA9" i="13" s="1"/>
  <c r="AB9" i="13" s="1"/>
  <c r="AC9" i="13" s="1"/>
  <c r="AD9" i="13" s="1"/>
  <c r="AE9" i="13" s="1"/>
  <c r="C5" i="13"/>
  <c r="D5" i="13" s="1"/>
  <c r="E5" i="13" s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B4" i="13"/>
  <c r="C4" i="13" s="1"/>
  <c r="D4" i="13" s="1"/>
  <c r="E4" i="13" s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AC4" i="13" s="1"/>
  <c r="AD4" i="13" s="1"/>
  <c r="AE4" i="13" s="1"/>
  <c r="C21" i="19"/>
  <c r="D21" i="19" s="1"/>
  <c r="E21" i="19" s="1"/>
  <c r="F21" i="19" s="1"/>
  <c r="G21" i="19" s="1"/>
  <c r="H21" i="19" s="1"/>
  <c r="I21" i="19" s="1"/>
  <c r="J21" i="19" s="1"/>
  <c r="K21" i="19" s="1"/>
  <c r="L21" i="19" s="1"/>
  <c r="M21" i="19" s="1"/>
  <c r="N21" i="19" s="1"/>
  <c r="O21" i="19" s="1"/>
  <c r="P21" i="19" s="1"/>
  <c r="Q21" i="19" s="1"/>
  <c r="R21" i="19" s="1"/>
  <c r="S21" i="19" s="1"/>
  <c r="T21" i="19" s="1"/>
  <c r="U21" i="19" s="1"/>
  <c r="V21" i="19" s="1"/>
  <c r="W21" i="19" s="1"/>
  <c r="X21" i="19" s="1"/>
  <c r="Y21" i="19" s="1"/>
  <c r="Z21" i="19" s="1"/>
  <c r="AA21" i="19" s="1"/>
  <c r="AB21" i="19" s="1"/>
  <c r="AC21" i="19" s="1"/>
  <c r="AD21" i="19" s="1"/>
  <c r="AE21" i="19" s="1"/>
  <c r="C13" i="19"/>
  <c r="D13" i="19" s="1"/>
  <c r="E13" i="19" s="1"/>
  <c r="F13" i="19" s="1"/>
  <c r="G13" i="19" s="1"/>
  <c r="H13" i="19" s="1"/>
  <c r="I13" i="19" s="1"/>
  <c r="J13" i="19" s="1"/>
  <c r="K13" i="19" s="1"/>
  <c r="L13" i="19" s="1"/>
  <c r="M13" i="19" s="1"/>
  <c r="N13" i="19" s="1"/>
  <c r="O13" i="19" s="1"/>
  <c r="P13" i="19" s="1"/>
  <c r="Q13" i="19" s="1"/>
  <c r="R13" i="19" s="1"/>
  <c r="S13" i="19" s="1"/>
  <c r="T13" i="19" s="1"/>
  <c r="U13" i="19" s="1"/>
  <c r="V13" i="19" s="1"/>
  <c r="W13" i="19" s="1"/>
  <c r="X13" i="19" s="1"/>
  <c r="Y13" i="19" s="1"/>
  <c r="Z13" i="19" s="1"/>
  <c r="AA13" i="19" s="1"/>
  <c r="AB13" i="19" s="1"/>
  <c r="AC13" i="19" s="1"/>
  <c r="AD13" i="19" s="1"/>
  <c r="AE13" i="19" s="1"/>
  <c r="C12" i="19"/>
  <c r="D12" i="19" s="1"/>
  <c r="E12" i="19" s="1"/>
  <c r="F12" i="19" s="1"/>
  <c r="G12" i="19" s="1"/>
  <c r="H12" i="19" s="1"/>
  <c r="I12" i="19" s="1"/>
  <c r="J12" i="19" s="1"/>
  <c r="K12" i="19" s="1"/>
  <c r="L12" i="19" s="1"/>
  <c r="M12" i="19" s="1"/>
  <c r="N12" i="19" s="1"/>
  <c r="O12" i="19" s="1"/>
  <c r="P12" i="19" s="1"/>
  <c r="Q12" i="19" s="1"/>
  <c r="R12" i="19" s="1"/>
  <c r="S12" i="19" s="1"/>
  <c r="T12" i="19" s="1"/>
  <c r="U12" i="19" s="1"/>
  <c r="V12" i="19" s="1"/>
  <c r="W12" i="19" s="1"/>
  <c r="X12" i="19" s="1"/>
  <c r="Y12" i="19" s="1"/>
  <c r="Z12" i="19" s="1"/>
  <c r="AA12" i="19" s="1"/>
  <c r="AB12" i="19" s="1"/>
  <c r="AC12" i="19" s="1"/>
  <c r="AD12" i="19" s="1"/>
  <c r="AE12" i="19" s="1"/>
  <c r="C9" i="19"/>
  <c r="D9" i="19" s="1"/>
  <c r="E9" i="19" s="1"/>
  <c r="F9" i="19" s="1"/>
  <c r="G9" i="19" s="1"/>
  <c r="H9" i="19" s="1"/>
  <c r="I9" i="19" s="1"/>
  <c r="J9" i="19" s="1"/>
  <c r="K9" i="19" s="1"/>
  <c r="L9" i="19" s="1"/>
  <c r="M9" i="19" s="1"/>
  <c r="N9" i="19" s="1"/>
  <c r="O9" i="19" s="1"/>
  <c r="P9" i="19" s="1"/>
  <c r="Q9" i="19" s="1"/>
  <c r="R9" i="19" s="1"/>
  <c r="S9" i="19" s="1"/>
  <c r="T9" i="19" s="1"/>
  <c r="U9" i="19" s="1"/>
  <c r="V9" i="19" s="1"/>
  <c r="W9" i="19" s="1"/>
  <c r="X9" i="19" s="1"/>
  <c r="Y9" i="19" s="1"/>
  <c r="Z9" i="19" s="1"/>
  <c r="AA9" i="19" s="1"/>
  <c r="AB9" i="19" s="1"/>
  <c r="AC9" i="19" s="1"/>
  <c r="AD9" i="19" s="1"/>
  <c r="AE9" i="19" s="1"/>
  <c r="C22" i="19"/>
  <c r="D22" i="19" s="1"/>
  <c r="E22" i="19" s="1"/>
  <c r="F22" i="19" s="1"/>
  <c r="G22" i="19" s="1"/>
  <c r="H22" i="19" s="1"/>
  <c r="I22" i="19" s="1"/>
  <c r="J22" i="19" s="1"/>
  <c r="K22" i="19" s="1"/>
  <c r="L22" i="19" s="1"/>
  <c r="M22" i="19" s="1"/>
  <c r="N22" i="19" s="1"/>
  <c r="O22" i="19" s="1"/>
  <c r="P22" i="19" s="1"/>
  <c r="Q22" i="19" s="1"/>
  <c r="R22" i="19" s="1"/>
  <c r="S22" i="19" s="1"/>
  <c r="T22" i="19" s="1"/>
  <c r="U22" i="19" s="1"/>
  <c r="V22" i="19" s="1"/>
  <c r="W22" i="19" s="1"/>
  <c r="X22" i="19" s="1"/>
  <c r="Y22" i="19" s="1"/>
  <c r="Z22" i="19" s="1"/>
  <c r="AA22" i="19" s="1"/>
  <c r="AB22" i="19" s="1"/>
  <c r="AC22" i="19" s="1"/>
  <c r="AD22" i="19" s="1"/>
  <c r="AE22" i="19" s="1"/>
  <c r="C16" i="19"/>
  <c r="D16" i="19" s="1"/>
  <c r="E16" i="19" s="1"/>
  <c r="F16" i="19" s="1"/>
  <c r="G16" i="19" s="1"/>
  <c r="H16" i="19" s="1"/>
  <c r="I16" i="19" s="1"/>
  <c r="J16" i="19" s="1"/>
  <c r="K16" i="19" s="1"/>
  <c r="L16" i="19" s="1"/>
  <c r="M16" i="19" s="1"/>
  <c r="N16" i="19" s="1"/>
  <c r="O16" i="19" s="1"/>
  <c r="P16" i="19" s="1"/>
  <c r="Q16" i="19" s="1"/>
  <c r="R16" i="19" s="1"/>
  <c r="S16" i="19" s="1"/>
  <c r="T16" i="19" s="1"/>
  <c r="U16" i="19" s="1"/>
  <c r="V16" i="19" s="1"/>
  <c r="W16" i="19" s="1"/>
  <c r="X16" i="19" s="1"/>
  <c r="Y16" i="19" s="1"/>
  <c r="Z16" i="19" s="1"/>
  <c r="AA16" i="19" s="1"/>
  <c r="AB16" i="19" s="1"/>
  <c r="AC16" i="19" s="1"/>
  <c r="AD16" i="19" s="1"/>
  <c r="AE16" i="19" s="1"/>
  <c r="C15" i="19"/>
  <c r="D15" i="19" s="1"/>
  <c r="E15" i="19" s="1"/>
  <c r="F15" i="19" s="1"/>
  <c r="G15" i="19" s="1"/>
  <c r="H15" i="19" s="1"/>
  <c r="I15" i="19" s="1"/>
  <c r="J15" i="19" s="1"/>
  <c r="K15" i="19" s="1"/>
  <c r="L15" i="19" s="1"/>
  <c r="M15" i="19" s="1"/>
  <c r="N15" i="19" s="1"/>
  <c r="O15" i="19" s="1"/>
  <c r="P15" i="19" s="1"/>
  <c r="Q15" i="19" s="1"/>
  <c r="R15" i="19" s="1"/>
  <c r="S15" i="19" s="1"/>
  <c r="T15" i="19" s="1"/>
  <c r="U15" i="19" s="1"/>
  <c r="V15" i="19" s="1"/>
  <c r="W15" i="19" s="1"/>
  <c r="X15" i="19" s="1"/>
  <c r="Y15" i="19" s="1"/>
  <c r="Z15" i="19" s="1"/>
  <c r="AA15" i="19" s="1"/>
  <c r="AB15" i="19" s="1"/>
  <c r="AC15" i="19" s="1"/>
  <c r="AD15" i="19" s="1"/>
  <c r="AE15" i="19" s="1"/>
  <c r="C8" i="19"/>
  <c r="D8" i="19" s="1"/>
  <c r="E8" i="19" s="1"/>
  <c r="F8" i="19" s="1"/>
  <c r="G8" i="19" s="1"/>
  <c r="H8" i="19" s="1"/>
  <c r="I8" i="19" s="1"/>
  <c r="J8" i="19" s="1"/>
  <c r="K8" i="19" s="1"/>
  <c r="L8" i="19" s="1"/>
  <c r="M8" i="19" s="1"/>
  <c r="N8" i="19" s="1"/>
  <c r="O8" i="19" s="1"/>
  <c r="P8" i="19" s="1"/>
  <c r="Q8" i="19" s="1"/>
  <c r="R8" i="19" s="1"/>
  <c r="S8" i="19" s="1"/>
  <c r="T8" i="19" s="1"/>
  <c r="U8" i="19" s="1"/>
  <c r="V8" i="19" s="1"/>
  <c r="W8" i="19" s="1"/>
  <c r="X8" i="19" s="1"/>
  <c r="Y8" i="19" s="1"/>
  <c r="Z8" i="19" s="1"/>
  <c r="AA8" i="19" s="1"/>
  <c r="AB8" i="19" s="1"/>
  <c r="AC8" i="19" s="1"/>
  <c r="AD8" i="19" s="1"/>
  <c r="AE8" i="19" s="1"/>
  <c r="C7" i="19"/>
  <c r="D7" i="19" s="1"/>
  <c r="E7" i="19" s="1"/>
  <c r="F7" i="19" s="1"/>
  <c r="G7" i="19" s="1"/>
  <c r="H7" i="19" s="1"/>
  <c r="I7" i="19" s="1"/>
  <c r="J7" i="19" s="1"/>
  <c r="K7" i="19" s="1"/>
  <c r="L7" i="19" s="1"/>
  <c r="M7" i="19" s="1"/>
  <c r="N7" i="19" s="1"/>
  <c r="O7" i="19" s="1"/>
  <c r="P7" i="19" s="1"/>
  <c r="Q7" i="19" s="1"/>
  <c r="R7" i="19" s="1"/>
  <c r="S7" i="19" s="1"/>
  <c r="T7" i="19" s="1"/>
  <c r="U7" i="19" s="1"/>
  <c r="V7" i="19" s="1"/>
  <c r="W7" i="19" s="1"/>
  <c r="X7" i="19" s="1"/>
  <c r="Y7" i="19" s="1"/>
  <c r="Z7" i="19" s="1"/>
  <c r="AA7" i="19" s="1"/>
  <c r="AB7" i="19" s="1"/>
  <c r="AC7" i="19" s="1"/>
  <c r="AD7" i="19" s="1"/>
  <c r="AE7" i="19" s="1"/>
  <c r="C6" i="19"/>
  <c r="D6" i="19" s="1"/>
  <c r="E6" i="19" s="1"/>
  <c r="F6" i="19" s="1"/>
  <c r="G6" i="19" s="1"/>
  <c r="H6" i="19" s="1"/>
  <c r="I6" i="19" s="1"/>
  <c r="J6" i="19" s="1"/>
  <c r="K6" i="19" s="1"/>
  <c r="L6" i="19" s="1"/>
  <c r="M6" i="19" s="1"/>
  <c r="N6" i="19" s="1"/>
  <c r="O6" i="19" s="1"/>
  <c r="P6" i="19" s="1"/>
  <c r="Q6" i="19" s="1"/>
  <c r="R6" i="19" s="1"/>
  <c r="S6" i="19" s="1"/>
  <c r="T6" i="19" s="1"/>
  <c r="U6" i="19" s="1"/>
  <c r="V6" i="19" s="1"/>
  <c r="W6" i="19" s="1"/>
  <c r="X6" i="19" s="1"/>
  <c r="Y6" i="19" s="1"/>
  <c r="Z6" i="19" s="1"/>
  <c r="AA6" i="19" s="1"/>
  <c r="AB6" i="19" s="1"/>
  <c r="AC6" i="19" s="1"/>
  <c r="AD6" i="19" s="1"/>
  <c r="AE6" i="19" s="1"/>
  <c r="C2" i="19"/>
  <c r="D2" i="19" s="1"/>
  <c r="E2" i="19" s="1"/>
  <c r="F2" i="19" s="1"/>
  <c r="G2" i="19" s="1"/>
  <c r="H2" i="19" s="1"/>
  <c r="I2" i="19" s="1"/>
  <c r="J2" i="19" s="1"/>
  <c r="K2" i="19" s="1"/>
  <c r="L2" i="19" s="1"/>
  <c r="M2" i="19" s="1"/>
  <c r="N2" i="19" s="1"/>
  <c r="O2" i="19" s="1"/>
  <c r="P2" i="19" s="1"/>
  <c r="Q2" i="19" s="1"/>
  <c r="R2" i="19" s="1"/>
  <c r="S2" i="19" s="1"/>
  <c r="T2" i="19" s="1"/>
  <c r="U2" i="19" s="1"/>
  <c r="V2" i="19" s="1"/>
  <c r="W2" i="19" s="1"/>
  <c r="X2" i="19" s="1"/>
  <c r="Y2" i="19" s="1"/>
  <c r="Z2" i="19" s="1"/>
  <c r="AA2" i="19" s="1"/>
  <c r="AB2" i="19" s="1"/>
  <c r="AC2" i="19" s="1"/>
  <c r="AD2" i="19" s="1"/>
  <c r="AE2" i="19" s="1"/>
  <c r="C28" i="27" l="1"/>
  <c r="D28" i="27" s="1"/>
  <c r="E28" i="27" s="1"/>
  <c r="F28" i="27" s="1"/>
  <c r="G28" i="27" s="1"/>
  <c r="H28" i="27" s="1"/>
  <c r="I28" i="27" s="1"/>
  <c r="J28" i="27" s="1"/>
  <c r="K28" i="27" s="1"/>
  <c r="L28" i="27" s="1"/>
  <c r="M28" i="27" s="1"/>
  <c r="N28" i="27" s="1"/>
  <c r="O28" i="27" s="1"/>
  <c r="P28" i="27" s="1"/>
  <c r="Q28" i="27" s="1"/>
  <c r="R28" i="27" s="1"/>
  <c r="S28" i="27" s="1"/>
  <c r="T28" i="27" s="1"/>
  <c r="U28" i="27" s="1"/>
  <c r="V28" i="27" s="1"/>
  <c r="W28" i="27" s="1"/>
  <c r="X28" i="27" s="1"/>
  <c r="Y28" i="27" s="1"/>
  <c r="Z28" i="27" s="1"/>
  <c r="AA28" i="27" s="1"/>
  <c r="AB28" i="27" s="1"/>
  <c r="AC28" i="27" s="1"/>
  <c r="AD28" i="27" s="1"/>
  <c r="AE28" i="27" s="1"/>
  <c r="AF28" i="27" s="1"/>
  <c r="AG28" i="27" s="1"/>
  <c r="AH28" i="27" s="1"/>
  <c r="AI28" i="27" s="1"/>
  <c r="D23" i="27"/>
  <c r="E23" i="27"/>
  <c r="E24" i="27" s="1"/>
  <c r="E25" i="27" s="1"/>
  <c r="F23" i="27"/>
  <c r="F24" i="27" s="1"/>
  <c r="F25" i="27" s="1"/>
  <c r="G23" i="27"/>
  <c r="H23" i="27"/>
  <c r="B23" i="27"/>
  <c r="G24" i="27" l="1"/>
  <c r="G25" i="27" s="1"/>
  <c r="C24" i="27"/>
  <c r="C25" i="27" s="1"/>
  <c r="H24" i="27"/>
  <c r="H25" i="27" s="1"/>
  <c r="B90" i="20"/>
  <c r="B92" i="20" s="1"/>
  <c r="C10" i="30"/>
  <c r="D10" i="30" s="1"/>
  <c r="E10" i="30" s="1"/>
  <c r="F10" i="30" s="1"/>
  <c r="G10" i="30" s="1"/>
  <c r="H10" i="30" s="1"/>
  <c r="I10" i="30" s="1"/>
  <c r="J10" i="30" s="1"/>
  <c r="K10" i="30" s="1"/>
  <c r="L10" i="30" s="1"/>
  <c r="M10" i="30" s="1"/>
  <c r="N10" i="30" s="1"/>
  <c r="O10" i="30" s="1"/>
  <c r="P10" i="30" s="1"/>
  <c r="Q10" i="30" s="1"/>
  <c r="R10" i="30" s="1"/>
  <c r="S10" i="30" s="1"/>
  <c r="T10" i="30" s="1"/>
  <c r="U10" i="30" s="1"/>
  <c r="V10" i="30" s="1"/>
  <c r="W10" i="30" s="1"/>
  <c r="X10" i="30" s="1"/>
  <c r="Y10" i="30" s="1"/>
  <c r="Z10" i="30" s="1"/>
  <c r="AA10" i="30" s="1"/>
  <c r="AB10" i="30" s="1"/>
  <c r="AC10" i="30" s="1"/>
  <c r="AD10" i="30" s="1"/>
  <c r="AE10" i="30" s="1"/>
  <c r="AF10" i="30" s="1"/>
  <c r="AG10" i="30" s="1"/>
  <c r="AH10" i="30" s="1"/>
  <c r="AI10" i="30" s="1"/>
  <c r="D6" i="30" l="1"/>
  <c r="L12" i="30" s="1"/>
  <c r="L5" i="19" s="1"/>
  <c r="H6" i="30"/>
  <c r="AF12" i="30" s="1"/>
  <c r="D5" i="30"/>
  <c r="H5" i="30"/>
  <c r="F5" i="30"/>
  <c r="C6" i="30"/>
  <c r="G12" i="30" s="1"/>
  <c r="G5" i="19" s="1"/>
  <c r="G5" i="30"/>
  <c r="E6" i="30"/>
  <c r="Q12" i="30" s="1"/>
  <c r="Q5" i="19" s="1"/>
  <c r="B6" i="30"/>
  <c r="B12" i="30" s="1"/>
  <c r="B5" i="19" s="1"/>
  <c r="E5" i="30"/>
  <c r="F6" i="30"/>
  <c r="V12" i="30" s="1"/>
  <c r="V5" i="19" s="1"/>
  <c r="G6" i="30"/>
  <c r="AA12" i="30" s="1"/>
  <c r="AA5" i="19" s="1"/>
  <c r="B5" i="30"/>
  <c r="B11" i="30" s="1"/>
  <c r="C5" i="30"/>
  <c r="C12" i="30"/>
  <c r="C5" i="19" s="1"/>
  <c r="F12" i="30"/>
  <c r="F5" i="19" s="1"/>
  <c r="AC12" i="30"/>
  <c r="AC5" i="19" s="1"/>
  <c r="D12" i="30"/>
  <c r="D5" i="19" s="1"/>
  <c r="K12" i="30"/>
  <c r="K5" i="19" s="1"/>
  <c r="U12" i="30"/>
  <c r="U5" i="19" s="1"/>
  <c r="K11" i="23"/>
  <c r="K12" i="23" s="1"/>
  <c r="L11" i="23"/>
  <c r="L12" i="23" s="1"/>
  <c r="J11" i="23"/>
  <c r="J12" i="23" s="1"/>
  <c r="K4" i="23"/>
  <c r="K5" i="23" s="1"/>
  <c r="L4" i="23"/>
  <c r="L5" i="23" s="1"/>
  <c r="J4" i="23"/>
  <c r="J5" i="23" s="1"/>
  <c r="C18" i="23"/>
  <c r="C19" i="23" s="1"/>
  <c r="C20" i="23" s="1"/>
  <c r="C21" i="23" s="1"/>
  <c r="D18" i="23"/>
  <c r="D19" i="23" s="1"/>
  <c r="D20" i="23" s="1"/>
  <c r="D21" i="23" s="1"/>
  <c r="B18" i="23"/>
  <c r="B19" i="23" s="1"/>
  <c r="B20" i="23" s="1"/>
  <c r="B21" i="23" s="1"/>
  <c r="C11" i="23"/>
  <c r="C12" i="23" s="1"/>
  <c r="D11" i="23"/>
  <c r="D12" i="23" s="1"/>
  <c r="B11" i="23"/>
  <c r="B12" i="23" s="1"/>
  <c r="AE12" i="30" l="1"/>
  <c r="AE5" i="19" s="1"/>
  <c r="X12" i="30"/>
  <c r="X5" i="19" s="1"/>
  <c r="AD12" i="30"/>
  <c r="AD5" i="19" s="1"/>
  <c r="Y12" i="30"/>
  <c r="Y5" i="19" s="1"/>
  <c r="AB12" i="30"/>
  <c r="AB5" i="19" s="1"/>
  <c r="Z12" i="30"/>
  <c r="Z5" i="19" s="1"/>
  <c r="W12" i="30"/>
  <c r="W5" i="19" s="1"/>
  <c r="P12" i="30"/>
  <c r="P5" i="19" s="1"/>
  <c r="R12" i="30"/>
  <c r="R5" i="19" s="1"/>
  <c r="T12" i="30"/>
  <c r="T5" i="19" s="1"/>
  <c r="M12" i="30"/>
  <c r="M5" i="19" s="1"/>
  <c r="H12" i="30"/>
  <c r="H5" i="19" s="1"/>
  <c r="N12" i="30"/>
  <c r="N5" i="19" s="1"/>
  <c r="O12" i="30"/>
  <c r="O5" i="19" s="1"/>
  <c r="S12" i="30"/>
  <c r="S5" i="19" s="1"/>
  <c r="E12" i="30"/>
  <c r="E5" i="19" s="1"/>
  <c r="I12" i="30"/>
  <c r="I5" i="19" s="1"/>
  <c r="J12" i="30"/>
  <c r="J5" i="19" s="1"/>
  <c r="B19" i="12"/>
  <c r="C19" i="12" s="1"/>
  <c r="D19" i="12" s="1"/>
  <c r="B19" i="19"/>
  <c r="C19" i="19" s="1"/>
  <c r="B19" i="13"/>
  <c r="C19" i="13" s="1"/>
  <c r="D19" i="13" s="1"/>
  <c r="E19" i="13" s="1"/>
  <c r="F19" i="13" s="1"/>
  <c r="G19" i="13" s="1"/>
  <c r="H19" i="13" s="1"/>
  <c r="I19" i="13" s="1"/>
  <c r="J19" i="13" s="1"/>
  <c r="K19" i="13" s="1"/>
  <c r="L19" i="13" s="1"/>
  <c r="M19" i="13" s="1"/>
  <c r="N19" i="13" s="1"/>
  <c r="O19" i="13" s="1"/>
  <c r="P19" i="13" s="1"/>
  <c r="Q19" i="13" s="1"/>
  <c r="R19" i="13" s="1"/>
  <c r="S19" i="13" s="1"/>
  <c r="T19" i="13" s="1"/>
  <c r="U19" i="13" s="1"/>
  <c r="V19" i="13" s="1"/>
  <c r="W19" i="13" s="1"/>
  <c r="X19" i="13" s="1"/>
  <c r="Y19" i="13" s="1"/>
  <c r="Z19" i="13" s="1"/>
  <c r="AA19" i="13" s="1"/>
  <c r="AB19" i="13" s="1"/>
  <c r="AC19" i="13" s="1"/>
  <c r="AD19" i="13" s="1"/>
  <c r="AE19" i="13" s="1"/>
  <c r="AG12" i="30"/>
  <c r="B5" i="12"/>
  <c r="C11" i="30"/>
  <c r="C4" i="23"/>
  <c r="D4" i="23"/>
  <c r="B4" i="23"/>
  <c r="B54" i="20"/>
  <c r="B55" i="20" s="1"/>
  <c r="C14" i="26"/>
  <c r="D14" i="26"/>
  <c r="B14" i="26"/>
  <c r="B82" i="20"/>
  <c r="B84" i="20" s="1"/>
  <c r="B85" i="20" s="1"/>
  <c r="E19" i="12" l="1"/>
  <c r="D19" i="19"/>
  <c r="AH12" i="30"/>
  <c r="C5" i="12"/>
  <c r="D11" i="30"/>
  <c r="D5" i="23"/>
  <c r="B5" i="23"/>
  <c r="C5" i="23"/>
  <c r="B15" i="26"/>
  <c r="G18" i="26" s="1"/>
  <c r="C15" i="26"/>
  <c r="G19" i="26" s="1"/>
  <c r="D15" i="26"/>
  <c r="B17" i="13" s="1"/>
  <c r="C17" i="13" s="1"/>
  <c r="D17" i="13" s="1"/>
  <c r="E17" i="13" s="1"/>
  <c r="F17" i="13" s="1"/>
  <c r="G17" i="13" s="1"/>
  <c r="H17" i="13" s="1"/>
  <c r="I17" i="13" s="1"/>
  <c r="J17" i="13" s="1"/>
  <c r="K17" i="13" s="1"/>
  <c r="L17" i="13" s="1"/>
  <c r="M17" i="13" s="1"/>
  <c r="N17" i="13" s="1"/>
  <c r="O17" i="13" s="1"/>
  <c r="P17" i="13" s="1"/>
  <c r="Q17" i="13" s="1"/>
  <c r="R17" i="13" s="1"/>
  <c r="S17" i="13" s="1"/>
  <c r="T17" i="13" s="1"/>
  <c r="U17" i="13" s="1"/>
  <c r="V17" i="13" s="1"/>
  <c r="W17" i="13" s="1"/>
  <c r="X17" i="13" s="1"/>
  <c r="Y17" i="13" s="1"/>
  <c r="Z17" i="13" s="1"/>
  <c r="AA17" i="13" s="1"/>
  <c r="AB17" i="13" s="1"/>
  <c r="AC17" i="13" s="1"/>
  <c r="AD17" i="13" s="1"/>
  <c r="AE17" i="13" s="1"/>
  <c r="J8" i="26"/>
  <c r="J9" i="26" s="1"/>
  <c r="K8" i="26"/>
  <c r="K9" i="26" s="1"/>
  <c r="L8" i="26"/>
  <c r="L9" i="26" s="1"/>
  <c r="M8" i="26"/>
  <c r="M9" i="26" s="1"/>
  <c r="N8" i="26"/>
  <c r="N9" i="26" s="1"/>
  <c r="I8" i="26"/>
  <c r="I9" i="26" s="1"/>
  <c r="M5" i="26"/>
  <c r="J4" i="26"/>
  <c r="J5" i="26" s="1"/>
  <c r="K4" i="26"/>
  <c r="K5" i="26" s="1"/>
  <c r="L4" i="26"/>
  <c r="L5" i="26" s="1"/>
  <c r="M4" i="26"/>
  <c r="N4" i="26"/>
  <c r="N5" i="26" s="1"/>
  <c r="I4" i="26"/>
  <c r="I5" i="26" s="1"/>
  <c r="I8" i="22"/>
  <c r="I9" i="22" s="1"/>
  <c r="J8" i="22"/>
  <c r="J9" i="22" s="1"/>
  <c r="K8" i="22"/>
  <c r="K9" i="22" s="1"/>
  <c r="L8" i="22"/>
  <c r="L9" i="22" s="1"/>
  <c r="M8" i="22"/>
  <c r="M9" i="22" s="1"/>
  <c r="H8" i="22"/>
  <c r="H9" i="22" s="1"/>
  <c r="I4" i="22"/>
  <c r="I5" i="22" s="1"/>
  <c r="J4" i="22"/>
  <c r="J5" i="22" s="1"/>
  <c r="K4" i="22"/>
  <c r="K5" i="22" s="1"/>
  <c r="L4" i="22"/>
  <c r="L5" i="22" s="1"/>
  <c r="M4" i="22"/>
  <c r="M5" i="22" s="1"/>
  <c r="H4" i="22"/>
  <c r="H5" i="22" s="1"/>
  <c r="C13" i="22"/>
  <c r="D13" i="22" s="1"/>
  <c r="E13" i="22" s="1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AH13" i="22" s="1"/>
  <c r="AI13" i="22" s="1"/>
  <c r="AJ13" i="22" s="1"/>
  <c r="AK13" i="22" s="1"/>
  <c r="AL13" i="22" s="1"/>
  <c r="AM13" i="22" s="1"/>
  <c r="AN13" i="22" s="1"/>
  <c r="AO13" i="22" s="1"/>
  <c r="AP13" i="22" s="1"/>
  <c r="AQ13" i="22" s="1"/>
  <c r="AR13" i="22" s="1"/>
  <c r="AS13" i="22" s="1"/>
  <c r="AT13" i="22" s="1"/>
  <c r="AU13" i="22" s="1"/>
  <c r="AV13" i="22" s="1"/>
  <c r="AW13" i="22" s="1"/>
  <c r="AX13" i="22" s="1"/>
  <c r="AY13" i="22" s="1"/>
  <c r="I8" i="21"/>
  <c r="I9" i="21" s="1"/>
  <c r="J8" i="21"/>
  <c r="J9" i="21" s="1"/>
  <c r="K8" i="21"/>
  <c r="K9" i="21" s="1"/>
  <c r="L8" i="21"/>
  <c r="L9" i="21" s="1"/>
  <c r="M8" i="21"/>
  <c r="M9" i="21" s="1"/>
  <c r="H8" i="21"/>
  <c r="H9" i="21" s="1"/>
  <c r="F19" i="12" l="1"/>
  <c r="E19" i="19"/>
  <c r="B17" i="12"/>
  <c r="B20" i="19"/>
  <c r="C20" i="19" s="1"/>
  <c r="E11" i="30"/>
  <c r="D5" i="12"/>
  <c r="B20" i="12"/>
  <c r="C20" i="12" s="1"/>
  <c r="D20" i="12" s="1"/>
  <c r="AI12" i="30"/>
  <c r="H19" i="26"/>
  <c r="B17" i="19"/>
  <c r="B20" i="13"/>
  <c r="C20" i="13" s="1"/>
  <c r="D20" i="13" s="1"/>
  <c r="E20" i="13" s="1"/>
  <c r="F20" i="13" s="1"/>
  <c r="G20" i="13" s="1"/>
  <c r="H20" i="13" s="1"/>
  <c r="I20" i="13" s="1"/>
  <c r="J20" i="13" s="1"/>
  <c r="K20" i="13" s="1"/>
  <c r="L20" i="13" s="1"/>
  <c r="M20" i="13" s="1"/>
  <c r="N20" i="13" s="1"/>
  <c r="O20" i="13" s="1"/>
  <c r="P20" i="13" s="1"/>
  <c r="Q20" i="13" s="1"/>
  <c r="R20" i="13" s="1"/>
  <c r="S20" i="13" s="1"/>
  <c r="T20" i="13" s="1"/>
  <c r="U20" i="13" s="1"/>
  <c r="V20" i="13" s="1"/>
  <c r="W20" i="13" s="1"/>
  <c r="X20" i="13" s="1"/>
  <c r="Y20" i="13" s="1"/>
  <c r="Z20" i="13" s="1"/>
  <c r="AA20" i="13" s="1"/>
  <c r="AB20" i="13" s="1"/>
  <c r="AC20" i="13" s="1"/>
  <c r="AD20" i="13" s="1"/>
  <c r="AE20" i="13" s="1"/>
  <c r="E20" i="12" l="1"/>
  <c r="D20" i="19"/>
  <c r="G19" i="12"/>
  <c r="F19" i="19"/>
  <c r="I19" i="26"/>
  <c r="C17" i="19"/>
  <c r="F11" i="30"/>
  <c r="E5" i="12"/>
  <c r="I18" i="26"/>
  <c r="D17" i="19" s="1"/>
  <c r="C17" i="12"/>
  <c r="C13" i="21"/>
  <c r="D13" i="21" s="1"/>
  <c r="I4" i="21"/>
  <c r="I5" i="21" s="1"/>
  <c r="J4" i="21"/>
  <c r="J5" i="21" s="1"/>
  <c r="K4" i="21"/>
  <c r="K5" i="21" s="1"/>
  <c r="L4" i="21"/>
  <c r="L5" i="21" s="1"/>
  <c r="M4" i="21"/>
  <c r="M5" i="21" s="1"/>
  <c r="H4" i="21"/>
  <c r="H5" i="21" s="1"/>
  <c r="H19" i="12" l="1"/>
  <c r="G19" i="19"/>
  <c r="F20" i="12"/>
  <c r="E20" i="19"/>
  <c r="E13" i="21"/>
  <c r="F13" i="21" s="1"/>
  <c r="G13" i="21" s="1"/>
  <c r="H13" i="21" s="1"/>
  <c r="I13" i="21" s="1"/>
  <c r="J13" i="21" s="1"/>
  <c r="K13" i="21" s="1"/>
  <c r="L13" i="21" s="1"/>
  <c r="M13" i="21" s="1"/>
  <c r="N13" i="21" s="1"/>
  <c r="O13" i="21" s="1"/>
  <c r="P13" i="21" s="1"/>
  <c r="Q13" i="21" s="1"/>
  <c r="R13" i="21" s="1"/>
  <c r="S13" i="21" s="1"/>
  <c r="T13" i="21" s="1"/>
  <c r="U13" i="21" s="1"/>
  <c r="V13" i="21" s="1"/>
  <c r="W13" i="21" s="1"/>
  <c r="X13" i="21" s="1"/>
  <c r="Y13" i="21" s="1"/>
  <c r="Z13" i="21" s="1"/>
  <c r="AA13" i="21" s="1"/>
  <c r="AB13" i="21" s="1"/>
  <c r="AC13" i="21" s="1"/>
  <c r="AD13" i="21" s="1"/>
  <c r="AE13" i="21" s="1"/>
  <c r="AF13" i="21" s="1"/>
  <c r="AG13" i="21" s="1"/>
  <c r="AH13" i="21" s="1"/>
  <c r="AI13" i="21" s="1"/>
  <c r="AJ13" i="21" s="1"/>
  <c r="AK13" i="21" s="1"/>
  <c r="AL13" i="21" s="1"/>
  <c r="AM13" i="21" s="1"/>
  <c r="AN13" i="21" s="1"/>
  <c r="AO13" i="21" s="1"/>
  <c r="AP13" i="21" s="1"/>
  <c r="AQ13" i="21" s="1"/>
  <c r="AR13" i="21" s="1"/>
  <c r="AS13" i="21" s="1"/>
  <c r="AT13" i="21" s="1"/>
  <c r="AU13" i="21" s="1"/>
  <c r="AV13" i="21" s="1"/>
  <c r="AW13" i="21" s="1"/>
  <c r="AX13" i="21" s="1"/>
  <c r="AY13" i="21" s="1"/>
  <c r="AZ13" i="21" s="1"/>
  <c r="BA13" i="21" s="1"/>
  <c r="G11" i="30"/>
  <c r="F5" i="12"/>
  <c r="J18" i="26"/>
  <c r="E17" i="19" s="1"/>
  <c r="D17" i="12"/>
  <c r="J19" i="26"/>
  <c r="D3" i="29"/>
  <c r="C3" i="29"/>
  <c r="B3" i="29"/>
  <c r="B15" i="29" s="1"/>
  <c r="B16" i="29" s="1"/>
  <c r="L3" i="29"/>
  <c r="L4" i="29" s="1"/>
  <c r="M3" i="29"/>
  <c r="M4" i="29" s="1"/>
  <c r="N3" i="29"/>
  <c r="N4" i="29" s="1"/>
  <c r="O3" i="29"/>
  <c r="O4" i="29" s="1"/>
  <c r="P3" i="29"/>
  <c r="P4" i="29" s="1"/>
  <c r="Q3" i="29"/>
  <c r="Q4" i="29" s="1"/>
  <c r="K3" i="29"/>
  <c r="K4" i="29" s="1"/>
  <c r="G20" i="12" l="1"/>
  <c r="F20" i="19"/>
  <c r="I19" i="12"/>
  <c r="H19" i="19"/>
  <c r="K19" i="26"/>
  <c r="H11" i="30"/>
  <c r="G5" i="12"/>
  <c r="K18" i="26"/>
  <c r="F17" i="19" s="1"/>
  <c r="E17" i="12"/>
  <c r="C15" i="29"/>
  <c r="C14" i="29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AG14" i="29" s="1"/>
  <c r="AH14" i="29" s="1"/>
  <c r="AI14" i="29" s="1"/>
  <c r="B78" i="20"/>
  <c r="B79" i="20" s="1"/>
  <c r="J3" i="28"/>
  <c r="J2" i="28"/>
  <c r="J4" i="28" s="1"/>
  <c r="J5" i="28" s="1"/>
  <c r="J7" i="28" s="1"/>
  <c r="K1" i="28"/>
  <c r="K3" i="28" s="1"/>
  <c r="C9" i="28"/>
  <c r="J19" i="12" l="1"/>
  <c r="I19" i="19"/>
  <c r="H20" i="12"/>
  <c r="G20" i="19"/>
  <c r="L1" i="28"/>
  <c r="K2" i="28"/>
  <c r="K4" i="28" s="1"/>
  <c r="K5" i="28" s="1"/>
  <c r="K7" i="28" s="1"/>
  <c r="D15" i="29"/>
  <c r="C16" i="29"/>
  <c r="I11" i="30"/>
  <c r="H5" i="12"/>
  <c r="J6" i="28"/>
  <c r="J8" i="28" s="1"/>
  <c r="L18" i="26"/>
  <c r="G17" i="19" s="1"/>
  <c r="F17" i="12"/>
  <c r="L19" i="26"/>
  <c r="J10" i="28"/>
  <c r="I13" i="27"/>
  <c r="B29" i="27" s="1"/>
  <c r="C4" i="26"/>
  <c r="D4" i="26"/>
  <c r="B4" i="26"/>
  <c r="K6" i="28" l="1"/>
  <c r="K8" i="28" s="1"/>
  <c r="K10" i="28" s="1"/>
  <c r="K19" i="12"/>
  <c r="J19" i="19"/>
  <c r="I20" i="12"/>
  <c r="H20" i="19"/>
  <c r="B12" i="12"/>
  <c r="C29" i="27"/>
  <c r="M19" i="26"/>
  <c r="J11" i="30"/>
  <c r="I5" i="12"/>
  <c r="M1" i="28"/>
  <c r="L2" i="28"/>
  <c r="L3" i="28"/>
  <c r="M18" i="26"/>
  <c r="H17" i="19" s="1"/>
  <c r="G17" i="12"/>
  <c r="E15" i="29"/>
  <c r="D16" i="29"/>
  <c r="I15" i="27"/>
  <c r="C4" i="21"/>
  <c r="C5" i="21" s="1"/>
  <c r="C6" i="21" s="1"/>
  <c r="C7" i="21" s="1"/>
  <c r="B15" i="21" s="1"/>
  <c r="B4" i="21"/>
  <c r="B5" i="21" s="1"/>
  <c r="B6" i="21" s="1"/>
  <c r="B68" i="20"/>
  <c r="I16" i="27" l="1"/>
  <c r="I17" i="27" s="1"/>
  <c r="B30" i="27" s="1"/>
  <c r="L4" i="28"/>
  <c r="J20" i="12"/>
  <c r="I20" i="19"/>
  <c r="L19" i="12"/>
  <c r="K19" i="19"/>
  <c r="F15" i="29"/>
  <c r="E16" i="29"/>
  <c r="C15" i="21"/>
  <c r="B18" i="19"/>
  <c r="N19" i="26"/>
  <c r="N18" i="26"/>
  <c r="I17" i="19" s="1"/>
  <c r="H17" i="12"/>
  <c r="C12" i="12"/>
  <c r="D29" i="27"/>
  <c r="L5" i="28"/>
  <c r="L7" i="28" s="1"/>
  <c r="L6" i="28"/>
  <c r="L8" i="28" s="1"/>
  <c r="L10" i="28" s="1"/>
  <c r="N1" i="28"/>
  <c r="M2" i="28"/>
  <c r="M3" i="28"/>
  <c r="K11" i="30"/>
  <c r="J5" i="12"/>
  <c r="B7" i="21"/>
  <c r="B14" i="21" s="1"/>
  <c r="B13" i="12" l="1"/>
  <c r="C30" i="27"/>
  <c r="C13" i="12" s="1"/>
  <c r="M19" i="12"/>
  <c r="L19" i="19"/>
  <c r="K20" i="12"/>
  <c r="J20" i="19"/>
  <c r="O18" i="26"/>
  <c r="J17" i="19" s="1"/>
  <c r="I17" i="12"/>
  <c r="O19" i="26"/>
  <c r="D15" i="21"/>
  <c r="C18" i="19"/>
  <c r="B18" i="12"/>
  <c r="L11" i="30"/>
  <c r="K5" i="12"/>
  <c r="M4" i="28"/>
  <c r="D12" i="12"/>
  <c r="E29" i="27"/>
  <c r="O1" i="28"/>
  <c r="N3" i="28"/>
  <c r="N2" i="28"/>
  <c r="N4" i="28" s="1"/>
  <c r="G15" i="29"/>
  <c r="F16" i="29"/>
  <c r="B63" i="20"/>
  <c r="B64" i="20" s="1"/>
  <c r="B5" i="26" s="1"/>
  <c r="G14" i="26" s="1"/>
  <c r="B59" i="20"/>
  <c r="B49" i="20"/>
  <c r="B50" i="20" s="1"/>
  <c r="B43" i="20"/>
  <c r="B44" i="20" s="1"/>
  <c r="B45" i="20" s="1"/>
  <c r="B38" i="20"/>
  <c r="B30" i="20"/>
  <c r="B29" i="20"/>
  <c r="B3" i="12" l="1"/>
  <c r="H14" i="26"/>
  <c r="D30" i="27"/>
  <c r="L20" i="12"/>
  <c r="K20" i="19"/>
  <c r="N19" i="12"/>
  <c r="M19" i="19"/>
  <c r="E12" i="12"/>
  <c r="F29" i="27"/>
  <c r="M11" i="30"/>
  <c r="L5" i="12"/>
  <c r="D14" i="21"/>
  <c r="C18" i="12"/>
  <c r="P19" i="26"/>
  <c r="P1" i="28"/>
  <c r="O3" i="28"/>
  <c r="P3" i="28" s="1"/>
  <c r="Q3" i="28" s="1"/>
  <c r="R3" i="28" s="1"/>
  <c r="S3" i="28" s="1"/>
  <c r="T3" i="28" s="1"/>
  <c r="U3" i="28" s="1"/>
  <c r="V3" i="28" s="1"/>
  <c r="W3" i="28" s="1"/>
  <c r="X3" i="28" s="1"/>
  <c r="Y3" i="28" s="1"/>
  <c r="Z3" i="28" s="1"/>
  <c r="AA3" i="28" s="1"/>
  <c r="AB3" i="28" s="1"/>
  <c r="AC3" i="28" s="1"/>
  <c r="AD3" i="28" s="1"/>
  <c r="AE3" i="28" s="1"/>
  <c r="AF3" i="28" s="1"/>
  <c r="AG3" i="28" s="1"/>
  <c r="AH3" i="28" s="1"/>
  <c r="AI3" i="28" s="1"/>
  <c r="AJ3" i="28" s="1"/>
  <c r="AK3" i="28" s="1"/>
  <c r="AL3" i="28" s="1"/>
  <c r="AM3" i="28" s="1"/>
  <c r="AN3" i="28" s="1"/>
  <c r="AO3" i="28" s="1"/>
  <c r="AP3" i="28" s="1"/>
  <c r="AQ3" i="28" s="1"/>
  <c r="O2" i="28"/>
  <c r="N5" i="28"/>
  <c r="N7" i="28" s="1"/>
  <c r="N6" i="28"/>
  <c r="N8" i="28" s="1"/>
  <c r="N10" i="28" s="1"/>
  <c r="B31" i="20"/>
  <c r="B33" i="20" s="1"/>
  <c r="B34" i="20" s="1"/>
  <c r="L9" i="28" s="1"/>
  <c r="L11" i="28" s="1"/>
  <c r="D21" i="12" s="1"/>
  <c r="H15" i="29"/>
  <c r="G16" i="29"/>
  <c r="G17" i="29" s="1"/>
  <c r="G9" i="12" s="1"/>
  <c r="E30" i="27"/>
  <c r="D13" i="12"/>
  <c r="M5" i="28"/>
  <c r="M7" i="28" s="1"/>
  <c r="M6" i="28"/>
  <c r="M8" i="28" s="1"/>
  <c r="M10" i="28" s="1"/>
  <c r="E15" i="21"/>
  <c r="D18" i="19"/>
  <c r="P18" i="26"/>
  <c r="K17" i="19" s="1"/>
  <c r="J17" i="12"/>
  <c r="K6" i="23"/>
  <c r="B10" i="19" s="1"/>
  <c r="C10" i="19" s="1"/>
  <c r="L6" i="23"/>
  <c r="J6" i="23"/>
  <c r="J13" i="23"/>
  <c r="K13" i="23"/>
  <c r="L13" i="23"/>
  <c r="C13" i="23"/>
  <c r="D13" i="23"/>
  <c r="B13" i="23"/>
  <c r="C17" i="29"/>
  <c r="C9" i="12" s="1"/>
  <c r="E17" i="29"/>
  <c r="E9" i="12" s="1"/>
  <c r="F17" i="29"/>
  <c r="F9" i="12" s="1"/>
  <c r="M9" i="28"/>
  <c r="M11" i="28" s="1"/>
  <c r="E21" i="12" s="1"/>
  <c r="N9" i="28"/>
  <c r="N11" i="28" s="1"/>
  <c r="F21" i="12" s="1"/>
  <c r="K9" i="28"/>
  <c r="K11" i="28" s="1"/>
  <c r="C21" i="12" s="1"/>
  <c r="C6" i="22"/>
  <c r="B15" i="22" s="1"/>
  <c r="B6" i="22"/>
  <c r="B14" i="22" s="1"/>
  <c r="C5" i="26"/>
  <c r="G15" i="26" s="1"/>
  <c r="H15" i="26" s="1"/>
  <c r="D5" i="26"/>
  <c r="B3" i="13" s="1"/>
  <c r="C3" i="13" s="1"/>
  <c r="D3" i="13" s="1"/>
  <c r="E3" i="13" s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AC3" i="13" s="1"/>
  <c r="AD3" i="13" s="1"/>
  <c r="AE3" i="13" s="1"/>
  <c r="O4" i="28" l="1"/>
  <c r="C30" i="23"/>
  <c r="K30" i="23"/>
  <c r="S30" i="23"/>
  <c r="AA30" i="23"/>
  <c r="D30" i="23"/>
  <c r="L30" i="23"/>
  <c r="T30" i="23"/>
  <c r="AB30" i="23"/>
  <c r="E30" i="23"/>
  <c r="M30" i="23"/>
  <c r="U30" i="23"/>
  <c r="AC30" i="23"/>
  <c r="F30" i="23"/>
  <c r="N30" i="23"/>
  <c r="V30" i="23"/>
  <c r="AD30" i="23"/>
  <c r="G30" i="23"/>
  <c r="O30" i="23"/>
  <c r="W30" i="23"/>
  <c r="AE30" i="23"/>
  <c r="H30" i="23"/>
  <c r="P30" i="23"/>
  <c r="X30" i="23"/>
  <c r="AF30" i="23"/>
  <c r="I30" i="23"/>
  <c r="Q30" i="23"/>
  <c r="Y30" i="23"/>
  <c r="AG30" i="23"/>
  <c r="J30" i="23"/>
  <c r="Z30" i="23"/>
  <c r="R30" i="23"/>
  <c r="O19" i="12"/>
  <c r="N19" i="19"/>
  <c r="M20" i="12"/>
  <c r="L20" i="19"/>
  <c r="B3" i="19"/>
  <c r="B11" i="12"/>
  <c r="C11" i="12" s="1"/>
  <c r="D11" i="12" s="1"/>
  <c r="E11" i="12" s="1"/>
  <c r="F11" i="12" s="1"/>
  <c r="G11" i="12" s="1"/>
  <c r="H11" i="12" s="1"/>
  <c r="I11" i="12" s="1"/>
  <c r="J11" i="12" s="1"/>
  <c r="K11" i="12" s="1"/>
  <c r="L11" i="12" s="1"/>
  <c r="M11" i="12" s="1"/>
  <c r="N11" i="12" s="1"/>
  <c r="O11" i="12" s="1"/>
  <c r="P11" i="12" s="1"/>
  <c r="Q11" i="12" s="1"/>
  <c r="R11" i="12" s="1"/>
  <c r="S11" i="12" s="1"/>
  <c r="T11" i="12" s="1"/>
  <c r="U11" i="12" s="1"/>
  <c r="V11" i="12" s="1"/>
  <c r="W11" i="12" s="1"/>
  <c r="X11" i="12" s="1"/>
  <c r="Y11" i="12" s="1"/>
  <c r="Z11" i="12" s="1"/>
  <c r="AA11" i="12" s="1"/>
  <c r="AB11" i="12" s="1"/>
  <c r="AC11" i="12" s="1"/>
  <c r="AD11" i="12" s="1"/>
  <c r="AE11" i="12" s="1"/>
  <c r="B4" i="12"/>
  <c r="B17" i="29"/>
  <c r="B9" i="12" s="1"/>
  <c r="D17" i="29"/>
  <c r="D9" i="12" s="1"/>
  <c r="K25" i="23"/>
  <c r="K23" i="23" s="1"/>
  <c r="B10" i="12"/>
  <c r="C10" i="12" s="1"/>
  <c r="D10" i="12" s="1"/>
  <c r="E10" i="12" s="1"/>
  <c r="F10" i="12" s="1"/>
  <c r="G10" i="12" s="1"/>
  <c r="H10" i="12" s="1"/>
  <c r="I10" i="12" s="1"/>
  <c r="J10" i="12" s="1"/>
  <c r="K10" i="12" s="1"/>
  <c r="L10" i="12" s="1"/>
  <c r="M10" i="12" s="1"/>
  <c r="N10" i="12" s="1"/>
  <c r="O10" i="12" s="1"/>
  <c r="P10" i="12" s="1"/>
  <c r="Q10" i="12" s="1"/>
  <c r="R10" i="12" s="1"/>
  <c r="S10" i="12" s="1"/>
  <c r="T10" i="12" s="1"/>
  <c r="U10" i="12" s="1"/>
  <c r="V10" i="12" s="1"/>
  <c r="W10" i="12" s="1"/>
  <c r="X10" i="12" s="1"/>
  <c r="Y10" i="12" s="1"/>
  <c r="Z10" i="12" s="1"/>
  <c r="AA10" i="12" s="1"/>
  <c r="AB10" i="12" s="1"/>
  <c r="AC10" i="12" s="1"/>
  <c r="AD10" i="12" s="1"/>
  <c r="AE10" i="12" s="1"/>
  <c r="Q18" i="26"/>
  <c r="L17" i="19" s="1"/>
  <c r="K17" i="12"/>
  <c r="I15" i="29"/>
  <c r="H16" i="29"/>
  <c r="H17" i="29" s="1"/>
  <c r="H9" i="12" s="1"/>
  <c r="O5" i="28"/>
  <c r="O7" i="28" s="1"/>
  <c r="O9" i="28" s="1"/>
  <c r="O6" i="28"/>
  <c r="O8" i="28" s="1"/>
  <c r="O10" i="28" s="1"/>
  <c r="Q19" i="26"/>
  <c r="N11" i="30"/>
  <c r="M5" i="12"/>
  <c r="B11" i="13"/>
  <c r="C11" i="13" s="1"/>
  <c r="D11" i="13" s="1"/>
  <c r="F12" i="12"/>
  <c r="G29" i="27"/>
  <c r="L25" i="23"/>
  <c r="L23" i="23" s="1"/>
  <c r="C15" i="22"/>
  <c r="B4" i="19"/>
  <c r="B10" i="13"/>
  <c r="C10" i="13" s="1"/>
  <c r="D10" i="13" s="1"/>
  <c r="J9" i="28"/>
  <c r="J11" i="28" s="1"/>
  <c r="B21" i="12" s="1"/>
  <c r="B14" i="12"/>
  <c r="C14" i="12" s="1"/>
  <c r="D14" i="12" s="1"/>
  <c r="E14" i="12" s="1"/>
  <c r="F14" i="12" s="1"/>
  <c r="G14" i="12" s="1"/>
  <c r="H14" i="12" s="1"/>
  <c r="I14" i="12" s="1"/>
  <c r="J14" i="12" s="1"/>
  <c r="K14" i="12" s="1"/>
  <c r="L14" i="12" s="1"/>
  <c r="M14" i="12" s="1"/>
  <c r="N14" i="12" s="1"/>
  <c r="O14" i="12" s="1"/>
  <c r="P14" i="12" s="1"/>
  <c r="Q14" i="12" s="1"/>
  <c r="R14" i="12" s="1"/>
  <c r="S14" i="12" s="1"/>
  <c r="T14" i="12" s="1"/>
  <c r="U14" i="12" s="1"/>
  <c r="V14" i="12" s="1"/>
  <c r="W14" i="12" s="1"/>
  <c r="X14" i="12" s="1"/>
  <c r="Y14" i="12" s="1"/>
  <c r="Z14" i="12" s="1"/>
  <c r="AA14" i="12" s="1"/>
  <c r="AB14" i="12" s="1"/>
  <c r="AC14" i="12" s="1"/>
  <c r="AD14" i="12" s="1"/>
  <c r="AE14" i="12" s="1"/>
  <c r="J25" i="23"/>
  <c r="J23" i="23" s="1"/>
  <c r="B11" i="19"/>
  <c r="C11" i="19" s="1"/>
  <c r="F15" i="21"/>
  <c r="E18" i="19"/>
  <c r="E13" i="12"/>
  <c r="F30" i="27"/>
  <c r="Q1" i="28"/>
  <c r="P2" i="28"/>
  <c r="P4" i="28" s="1"/>
  <c r="E14" i="21"/>
  <c r="D18" i="12"/>
  <c r="U32" i="23" l="1"/>
  <c r="U31" i="23" s="1"/>
  <c r="W14" i="19" s="1"/>
  <c r="P32" i="23"/>
  <c r="P31" i="23" s="1"/>
  <c r="R14" i="19" s="1"/>
  <c r="M32" i="23"/>
  <c r="M31" i="23" s="1"/>
  <c r="O14" i="19" s="1"/>
  <c r="E32" i="23"/>
  <c r="E31" i="23" s="1"/>
  <c r="G14" i="19" s="1"/>
  <c r="AE32" i="23"/>
  <c r="AB32" i="23"/>
  <c r="X32" i="23"/>
  <c r="X31" i="23" s="1"/>
  <c r="Z14" i="19" s="1"/>
  <c r="W32" i="23"/>
  <c r="W31" i="23" s="1"/>
  <c r="Y14" i="19" s="1"/>
  <c r="T32" i="23"/>
  <c r="T31" i="23" s="1"/>
  <c r="V14" i="19" s="1"/>
  <c r="L32" i="23"/>
  <c r="L31" i="23" s="1"/>
  <c r="N14" i="19" s="1"/>
  <c r="T14" i="13"/>
  <c r="R32" i="23"/>
  <c r="R31" i="23" s="1"/>
  <c r="T14" i="19" s="1"/>
  <c r="J32" i="23"/>
  <c r="J31" i="23" s="1"/>
  <c r="L14" i="19" s="1"/>
  <c r="G32" i="23"/>
  <c r="G31" i="23" s="1"/>
  <c r="I14" i="19" s="1"/>
  <c r="D32" i="23"/>
  <c r="D31" i="23" s="1"/>
  <c r="F14" i="19" s="1"/>
  <c r="AG32" i="23"/>
  <c r="AD32" i="23"/>
  <c r="AA32" i="23"/>
  <c r="B32" i="23"/>
  <c r="D14" i="19" s="1"/>
  <c r="S32" i="23"/>
  <c r="S31" i="23" s="1"/>
  <c r="U14" i="19" s="1"/>
  <c r="O32" i="23"/>
  <c r="O31" i="23" s="1"/>
  <c r="Q14" i="19" s="1"/>
  <c r="N32" i="23"/>
  <c r="N31" i="23" s="1"/>
  <c r="P14" i="19" s="1"/>
  <c r="K32" i="23"/>
  <c r="K31" i="23" s="1"/>
  <c r="M14" i="19" s="1"/>
  <c r="H32" i="23"/>
  <c r="H31" i="23" s="1"/>
  <c r="J14" i="19" s="1"/>
  <c r="Z32" i="23"/>
  <c r="Y32" i="23"/>
  <c r="F32" i="23"/>
  <c r="F31" i="23" s="1"/>
  <c r="H14" i="19" s="1"/>
  <c r="C32" i="23"/>
  <c r="C31" i="23" s="1"/>
  <c r="E14" i="19" s="1"/>
  <c r="V32" i="23"/>
  <c r="V31" i="23" s="1"/>
  <c r="X14" i="19" s="1"/>
  <c r="Q32" i="23"/>
  <c r="Q31" i="23" s="1"/>
  <c r="S14" i="19" s="1"/>
  <c r="I32" i="23"/>
  <c r="I31" i="23" s="1"/>
  <c r="K14" i="19" s="1"/>
  <c r="AF32" i="23"/>
  <c r="AC32" i="23"/>
  <c r="N20" i="12"/>
  <c r="M20" i="19"/>
  <c r="K22" i="23"/>
  <c r="L22" i="23"/>
  <c r="L20" i="23"/>
  <c r="P19" i="12"/>
  <c r="O19" i="19"/>
  <c r="E10" i="13"/>
  <c r="D10" i="19"/>
  <c r="E11" i="13"/>
  <c r="D11" i="19"/>
  <c r="F13" i="12"/>
  <c r="G30" i="27"/>
  <c r="F14" i="21"/>
  <c r="E18" i="12"/>
  <c r="I14" i="26"/>
  <c r="D3" i="19" s="1"/>
  <c r="C3" i="12"/>
  <c r="D15" i="22"/>
  <c r="C4" i="19"/>
  <c r="G12" i="12"/>
  <c r="H29" i="27"/>
  <c r="K21" i="23"/>
  <c r="K19" i="23"/>
  <c r="K24" i="23"/>
  <c r="J21" i="23"/>
  <c r="J19" i="23"/>
  <c r="J24" i="23"/>
  <c r="R19" i="26"/>
  <c r="J15" i="29"/>
  <c r="I16" i="29"/>
  <c r="I17" i="29" s="1"/>
  <c r="I9" i="12" s="1"/>
  <c r="J22" i="23"/>
  <c r="P6" i="28"/>
  <c r="P8" i="28" s="1"/>
  <c r="P10" i="28" s="1"/>
  <c r="P5" i="28"/>
  <c r="P7" i="28" s="1"/>
  <c r="P9" i="28" s="1"/>
  <c r="J20" i="23"/>
  <c r="L21" i="23"/>
  <c r="L19" i="23"/>
  <c r="O11" i="30"/>
  <c r="N5" i="12"/>
  <c r="O11" i="28"/>
  <c r="G21" i="12" s="1"/>
  <c r="R18" i="26"/>
  <c r="M17" i="19" s="1"/>
  <c r="L17" i="12"/>
  <c r="K20" i="23"/>
  <c r="R1" i="28"/>
  <c r="Q2" i="28"/>
  <c r="Q4" i="28" s="1"/>
  <c r="G15" i="21"/>
  <c r="F18" i="19"/>
  <c r="D14" i="22"/>
  <c r="C4" i="12"/>
  <c r="I15" i="26"/>
  <c r="C3" i="19"/>
  <c r="G14" i="13" l="1"/>
  <c r="AB14" i="13"/>
  <c r="Z31" i="23"/>
  <c r="AB14" i="19" s="1"/>
  <c r="AB31" i="23"/>
  <c r="AD14" i="19" s="1"/>
  <c r="AD14" i="13"/>
  <c r="K14" i="13"/>
  <c r="D14" i="13"/>
  <c r="C14" i="13" s="1"/>
  <c r="B14" i="13" s="1"/>
  <c r="L14" i="13"/>
  <c r="AF31" i="23"/>
  <c r="AC14" i="13"/>
  <c r="AA31" i="23"/>
  <c r="AC14" i="19" s="1"/>
  <c r="AE31" i="23"/>
  <c r="AD31" i="23"/>
  <c r="B14" i="19"/>
  <c r="C14" i="19"/>
  <c r="S14" i="13"/>
  <c r="J14" i="13"/>
  <c r="X14" i="13"/>
  <c r="M14" i="13"/>
  <c r="N14" i="13"/>
  <c r="E14" i="13"/>
  <c r="P14" i="13"/>
  <c r="V14" i="13"/>
  <c r="O14" i="13"/>
  <c r="AG31" i="23"/>
  <c r="AC31" i="23"/>
  <c r="AE14" i="19" s="1"/>
  <c r="AE14" i="13"/>
  <c r="H14" i="13"/>
  <c r="Q14" i="13"/>
  <c r="F14" i="13"/>
  <c r="Y14" i="13"/>
  <c r="R14" i="13"/>
  <c r="Y31" i="23"/>
  <c r="AA14" i="19" s="1"/>
  <c r="AA14" i="13"/>
  <c r="U14" i="13"/>
  <c r="I14" i="13"/>
  <c r="Z14" i="13"/>
  <c r="W14" i="13"/>
  <c r="P11" i="28"/>
  <c r="H21" i="12" s="1"/>
  <c r="Q19" i="12"/>
  <c r="P19" i="19"/>
  <c r="O20" i="12"/>
  <c r="N20" i="19"/>
  <c r="F11" i="13"/>
  <c r="E11" i="19"/>
  <c r="F10" i="13"/>
  <c r="E10" i="19"/>
  <c r="K15" i="29"/>
  <c r="J16" i="29"/>
  <c r="J17" i="29" s="1"/>
  <c r="J9" i="12" s="1"/>
  <c r="E15" i="22"/>
  <c r="D4" i="19"/>
  <c r="G14" i="21"/>
  <c r="F18" i="12"/>
  <c r="H15" i="21"/>
  <c r="G18" i="19"/>
  <c r="Q5" i="28"/>
  <c r="Q7" i="28" s="1"/>
  <c r="Q9" i="28" s="1"/>
  <c r="Q6" i="28"/>
  <c r="Q8" i="28" s="1"/>
  <c r="Q10" i="28" s="1"/>
  <c r="S18" i="26"/>
  <c r="N17" i="19" s="1"/>
  <c r="M17" i="12"/>
  <c r="H12" i="12"/>
  <c r="I29" i="27"/>
  <c r="J29" i="27" s="1"/>
  <c r="G13" i="12"/>
  <c r="H30" i="27"/>
  <c r="J15" i="26"/>
  <c r="P11" i="30"/>
  <c r="O5" i="12"/>
  <c r="E14" i="22"/>
  <c r="D4" i="12"/>
  <c r="S1" i="28"/>
  <c r="R2" i="28"/>
  <c r="R4" i="28" s="1"/>
  <c r="S19" i="26"/>
  <c r="J14" i="26"/>
  <c r="E3" i="19" s="1"/>
  <c r="D3" i="12"/>
  <c r="P20" i="12" l="1"/>
  <c r="O20" i="19"/>
  <c r="R19" i="12"/>
  <c r="Q19" i="19"/>
  <c r="G10" i="13"/>
  <c r="F10" i="19"/>
  <c r="G11" i="13"/>
  <c r="F11" i="19"/>
  <c r="R5" i="28"/>
  <c r="R7" i="28" s="1"/>
  <c r="R9" i="28" s="1"/>
  <c r="R6" i="28"/>
  <c r="R8" i="28" s="1"/>
  <c r="R10" i="28" s="1"/>
  <c r="H13" i="12"/>
  <c r="I30" i="27"/>
  <c r="K14" i="26"/>
  <c r="F3" i="19" s="1"/>
  <c r="E3" i="12"/>
  <c r="T1" i="28"/>
  <c r="S2" i="28"/>
  <c r="S4" i="28" s="1"/>
  <c r="Q11" i="30"/>
  <c r="P5" i="12"/>
  <c r="T18" i="26"/>
  <c r="O17" i="19" s="1"/>
  <c r="N17" i="12"/>
  <c r="I15" i="21"/>
  <c r="H18" i="19"/>
  <c r="F15" i="22"/>
  <c r="E4" i="19"/>
  <c r="I12" i="12"/>
  <c r="T19" i="26"/>
  <c r="F14" i="22"/>
  <c r="E4" i="12"/>
  <c r="K15" i="26"/>
  <c r="Q11" i="28"/>
  <c r="I21" i="12" s="1"/>
  <c r="H14" i="21"/>
  <c r="G18" i="12"/>
  <c r="L15" i="29"/>
  <c r="K16" i="29"/>
  <c r="K17" i="29" s="1"/>
  <c r="K9" i="12" s="1"/>
  <c r="R11" i="28" l="1"/>
  <c r="J21" i="12" s="1"/>
  <c r="S19" i="12"/>
  <c r="R19" i="19"/>
  <c r="Q20" i="12"/>
  <c r="P20" i="19"/>
  <c r="H11" i="13"/>
  <c r="G11" i="19"/>
  <c r="H10" i="13"/>
  <c r="G10" i="19"/>
  <c r="J30" i="27"/>
  <c r="I13" i="12"/>
  <c r="L15" i="26"/>
  <c r="U19" i="26"/>
  <c r="G15" i="22"/>
  <c r="F4" i="19"/>
  <c r="U18" i="26"/>
  <c r="P17" i="19" s="1"/>
  <c r="O17" i="12"/>
  <c r="U1" i="28"/>
  <c r="T2" i="28"/>
  <c r="T4" i="28" s="1"/>
  <c r="S5" i="28"/>
  <c r="S7" i="28" s="1"/>
  <c r="S9" i="28" s="1"/>
  <c r="S6" i="28"/>
  <c r="S8" i="28" s="1"/>
  <c r="S10" i="28" s="1"/>
  <c r="I14" i="21"/>
  <c r="H18" i="12"/>
  <c r="K29" i="27"/>
  <c r="J12" i="12"/>
  <c r="M15" i="29"/>
  <c r="L16" i="29"/>
  <c r="L17" i="29" s="1"/>
  <c r="L9" i="12" s="1"/>
  <c r="G14" i="22"/>
  <c r="F4" i="12"/>
  <c r="J15" i="21"/>
  <c r="I18" i="19"/>
  <c r="R11" i="30"/>
  <c r="Q5" i="12"/>
  <c r="L14" i="26"/>
  <c r="G3" i="19" s="1"/>
  <c r="F3" i="12"/>
  <c r="S11" i="28" l="1"/>
  <c r="K21" i="12" s="1"/>
  <c r="R20" i="12"/>
  <c r="Q20" i="19"/>
  <c r="T19" i="12"/>
  <c r="S19" i="19"/>
  <c r="I10" i="13"/>
  <c r="H10" i="19"/>
  <c r="I11" i="13"/>
  <c r="H11" i="19"/>
  <c r="K15" i="21"/>
  <c r="J18" i="19"/>
  <c r="N15" i="29"/>
  <c r="M16" i="29"/>
  <c r="M17" i="29" s="1"/>
  <c r="M9" i="12" s="1"/>
  <c r="J14" i="21"/>
  <c r="I18" i="12"/>
  <c r="V1" i="28"/>
  <c r="U2" i="28"/>
  <c r="U4" i="28" s="1"/>
  <c r="H15" i="22"/>
  <c r="G4" i="19"/>
  <c r="M15" i="26"/>
  <c r="M14" i="26"/>
  <c r="H3" i="19" s="1"/>
  <c r="G3" i="12"/>
  <c r="T5" i="28"/>
  <c r="T7" i="28" s="1"/>
  <c r="T9" i="28" s="1"/>
  <c r="T6" i="28"/>
  <c r="T8" i="28" s="1"/>
  <c r="T10" i="28" s="1"/>
  <c r="S11" i="30"/>
  <c r="R5" i="12"/>
  <c r="H14" i="22"/>
  <c r="G4" i="12"/>
  <c r="L29" i="27"/>
  <c r="K12" i="12"/>
  <c r="V18" i="26"/>
  <c r="Q17" i="19" s="1"/>
  <c r="P17" i="12"/>
  <c r="V19" i="26"/>
  <c r="K30" i="27"/>
  <c r="J13" i="12"/>
  <c r="U19" i="12" l="1"/>
  <c r="T19" i="19"/>
  <c r="S20" i="12"/>
  <c r="R20" i="19"/>
  <c r="J11" i="13"/>
  <c r="I11" i="19"/>
  <c r="J10" i="13"/>
  <c r="I10" i="19"/>
  <c r="U5" i="28"/>
  <c r="U7" i="28" s="1"/>
  <c r="U9" i="28" s="1"/>
  <c r="U6" i="28"/>
  <c r="U8" i="28" s="1"/>
  <c r="U10" i="28" s="1"/>
  <c r="T11" i="28"/>
  <c r="L21" i="12" s="1"/>
  <c r="N15" i="26"/>
  <c r="W1" i="28"/>
  <c r="V2" i="28"/>
  <c r="V4" i="28" s="1"/>
  <c r="O15" i="29"/>
  <c r="N16" i="29"/>
  <c r="N17" i="29" s="1"/>
  <c r="N9" i="12" s="1"/>
  <c r="W18" i="26"/>
  <c r="R17" i="19" s="1"/>
  <c r="Q17" i="12"/>
  <c r="L30" i="27"/>
  <c r="K13" i="12"/>
  <c r="I14" i="22"/>
  <c r="H4" i="12"/>
  <c r="W19" i="26"/>
  <c r="L12" i="12"/>
  <c r="M29" i="27"/>
  <c r="T11" i="30"/>
  <c r="S5" i="12"/>
  <c r="N14" i="26"/>
  <c r="I3" i="19" s="1"/>
  <c r="H3" i="12"/>
  <c r="I15" i="22"/>
  <c r="H4" i="19"/>
  <c r="K14" i="21"/>
  <c r="J18" i="12"/>
  <c r="L15" i="21"/>
  <c r="K18" i="19"/>
  <c r="T20" i="12" l="1"/>
  <c r="S20" i="19"/>
  <c r="V19" i="12"/>
  <c r="U19" i="19"/>
  <c r="K10" i="13"/>
  <c r="J10" i="19"/>
  <c r="K11" i="13"/>
  <c r="J11" i="19"/>
  <c r="M15" i="21"/>
  <c r="L18" i="19"/>
  <c r="J15" i="22"/>
  <c r="I4" i="19"/>
  <c r="U11" i="30"/>
  <c r="T5" i="12"/>
  <c r="X19" i="26"/>
  <c r="O15" i="26"/>
  <c r="M12" i="12"/>
  <c r="N29" i="27"/>
  <c r="V5" i="28"/>
  <c r="V7" i="28" s="1"/>
  <c r="V9" i="28" s="1"/>
  <c r="V11" i="28" s="1"/>
  <c r="N21" i="12" s="1"/>
  <c r="V6" i="28"/>
  <c r="V8" i="28" s="1"/>
  <c r="V10" i="28" s="1"/>
  <c r="M30" i="27"/>
  <c r="L13" i="12"/>
  <c r="L14" i="21"/>
  <c r="K18" i="12"/>
  <c r="O14" i="26"/>
  <c r="J3" i="19" s="1"/>
  <c r="I3" i="12"/>
  <c r="J14" i="22"/>
  <c r="I4" i="12"/>
  <c r="X18" i="26"/>
  <c r="S17" i="19" s="1"/>
  <c r="R17" i="12"/>
  <c r="X1" i="28"/>
  <c r="W2" i="28"/>
  <c r="W4" i="28" s="1"/>
  <c r="P15" i="29"/>
  <c r="O16" i="29"/>
  <c r="O17" i="29" s="1"/>
  <c r="O9" i="12" s="1"/>
  <c r="U11" i="28"/>
  <c r="M21" i="12" s="1"/>
  <c r="W19" i="12" l="1"/>
  <c r="V19" i="19"/>
  <c r="U20" i="12"/>
  <c r="T20" i="19"/>
  <c r="L11" i="13"/>
  <c r="K11" i="19"/>
  <c r="L10" i="13"/>
  <c r="K10" i="19"/>
  <c r="O29" i="27"/>
  <c r="N12" i="12"/>
  <c r="Q15" i="29"/>
  <c r="P16" i="29"/>
  <c r="P17" i="29" s="1"/>
  <c r="P9" i="12" s="1"/>
  <c r="Y18" i="26"/>
  <c r="T17" i="19" s="1"/>
  <c r="S17" i="12"/>
  <c r="P14" i="26"/>
  <c r="K3" i="19" s="1"/>
  <c r="J3" i="12"/>
  <c r="M13" i="12"/>
  <c r="N30" i="27"/>
  <c r="Y19" i="26"/>
  <c r="K15" i="22"/>
  <c r="J4" i="19"/>
  <c r="W5" i="28"/>
  <c r="W7" i="28" s="1"/>
  <c r="W9" i="28" s="1"/>
  <c r="W6" i="28"/>
  <c r="W8" i="28" s="1"/>
  <c r="W10" i="28" s="1"/>
  <c r="Y1" i="28"/>
  <c r="X2" i="28"/>
  <c r="X4" i="28" s="1"/>
  <c r="K14" i="22"/>
  <c r="J4" i="12"/>
  <c r="M14" i="21"/>
  <c r="L18" i="12"/>
  <c r="P15" i="26"/>
  <c r="V11" i="30"/>
  <c r="U5" i="12"/>
  <c r="N15" i="21"/>
  <c r="M18" i="19"/>
  <c r="V20" i="12" l="1"/>
  <c r="U20" i="19"/>
  <c r="X19" i="12"/>
  <c r="W19" i="19"/>
  <c r="M10" i="13"/>
  <c r="L10" i="19"/>
  <c r="M11" i="13"/>
  <c r="L11" i="19"/>
  <c r="O15" i="21"/>
  <c r="N18" i="19"/>
  <c r="Q15" i="26"/>
  <c r="L14" i="22"/>
  <c r="K4" i="12"/>
  <c r="W11" i="28"/>
  <c r="O21" i="12" s="1"/>
  <c r="Z19" i="26"/>
  <c r="Q14" i="26"/>
  <c r="L3" i="19" s="1"/>
  <c r="K3" i="12"/>
  <c r="R15" i="29"/>
  <c r="Q16" i="29"/>
  <c r="Q17" i="29" s="1"/>
  <c r="Q9" i="12" s="1"/>
  <c r="X6" i="28"/>
  <c r="X8" i="28" s="1"/>
  <c r="X10" i="28" s="1"/>
  <c r="X5" i="28"/>
  <c r="X7" i="28" s="1"/>
  <c r="X9" i="28" s="1"/>
  <c r="X11" i="28" s="1"/>
  <c r="P21" i="12" s="1"/>
  <c r="N13" i="12"/>
  <c r="O30" i="27"/>
  <c r="W11" i="30"/>
  <c r="V5" i="12"/>
  <c r="N14" i="21"/>
  <c r="M18" i="12"/>
  <c r="Z1" i="28"/>
  <c r="Y2" i="28"/>
  <c r="Y4" i="28" s="1"/>
  <c r="L15" i="22"/>
  <c r="K4" i="19"/>
  <c r="Z18" i="26"/>
  <c r="U17" i="19" s="1"/>
  <c r="T17" i="12"/>
  <c r="P29" i="27"/>
  <c r="O12" i="12"/>
  <c r="Y19" i="12" l="1"/>
  <c r="X19" i="19"/>
  <c r="W20" i="12"/>
  <c r="V20" i="19"/>
  <c r="N11" i="13"/>
  <c r="M11" i="19"/>
  <c r="N10" i="13"/>
  <c r="M10" i="19"/>
  <c r="Q29" i="27"/>
  <c r="P12" i="12"/>
  <c r="O14" i="21"/>
  <c r="N18" i="12"/>
  <c r="R15" i="26"/>
  <c r="M15" i="22"/>
  <c r="L4" i="19"/>
  <c r="S15" i="29"/>
  <c r="R16" i="29"/>
  <c r="R17" i="29" s="1"/>
  <c r="R9" i="12" s="1"/>
  <c r="AA19" i="26"/>
  <c r="AA18" i="26"/>
  <c r="V17" i="19" s="1"/>
  <c r="U17" i="12"/>
  <c r="AA1" i="28"/>
  <c r="Z2" i="28"/>
  <c r="Z4" i="28" s="1"/>
  <c r="X11" i="30"/>
  <c r="W5" i="12"/>
  <c r="R14" i="26"/>
  <c r="M3" i="19" s="1"/>
  <c r="L3" i="12"/>
  <c r="Y5" i="28"/>
  <c r="Y7" i="28" s="1"/>
  <c r="Y9" i="28" s="1"/>
  <c r="Y6" i="28"/>
  <c r="Y8" i="28" s="1"/>
  <c r="Y10" i="28" s="1"/>
  <c r="P30" i="27"/>
  <c r="O13" i="12"/>
  <c r="M14" i="22"/>
  <c r="L4" i="12"/>
  <c r="P15" i="21"/>
  <c r="O18" i="19"/>
  <c r="X20" i="12" l="1"/>
  <c r="W20" i="19"/>
  <c r="Z19" i="12"/>
  <c r="Y19" i="19"/>
  <c r="O10" i="13"/>
  <c r="N10" i="19"/>
  <c r="O11" i="13"/>
  <c r="N11" i="19"/>
  <c r="Q15" i="21"/>
  <c r="P18" i="19"/>
  <c r="Q30" i="27"/>
  <c r="P13" i="12"/>
  <c r="S14" i="26"/>
  <c r="N3" i="19" s="1"/>
  <c r="M3" i="12"/>
  <c r="AB1" i="28"/>
  <c r="AA2" i="28"/>
  <c r="AA4" i="28" s="1"/>
  <c r="AB19" i="26"/>
  <c r="N15" i="22"/>
  <c r="M4" i="19"/>
  <c r="P14" i="21"/>
  <c r="O18" i="12"/>
  <c r="Z5" i="28"/>
  <c r="Z7" i="28" s="1"/>
  <c r="Z9" i="28" s="1"/>
  <c r="Z6" i="28"/>
  <c r="Z8" i="28" s="1"/>
  <c r="Z10" i="28" s="1"/>
  <c r="N14" i="22"/>
  <c r="M4" i="12"/>
  <c r="Y11" i="28"/>
  <c r="Q21" i="12" s="1"/>
  <c r="Y11" i="30"/>
  <c r="X5" i="12"/>
  <c r="AB18" i="26"/>
  <c r="W17" i="19" s="1"/>
  <c r="V17" i="12"/>
  <c r="T15" i="29"/>
  <c r="S16" i="29"/>
  <c r="S17" i="29" s="1"/>
  <c r="S9" i="12" s="1"/>
  <c r="S15" i="26"/>
  <c r="Q12" i="12"/>
  <c r="R29" i="27"/>
  <c r="AA19" i="12" l="1"/>
  <c r="Z19" i="19"/>
  <c r="Y20" i="12"/>
  <c r="X20" i="19"/>
  <c r="P11" i="13"/>
  <c r="O11" i="19"/>
  <c r="P10" i="13"/>
  <c r="O10" i="19"/>
  <c r="U15" i="29"/>
  <c r="T16" i="29"/>
  <c r="T17" i="29" s="1"/>
  <c r="T9" i="12" s="1"/>
  <c r="Z11" i="30"/>
  <c r="Y5" i="12"/>
  <c r="Z11" i="28"/>
  <c r="R21" i="12" s="1"/>
  <c r="O15" i="22"/>
  <c r="N4" i="19"/>
  <c r="AC1" i="28"/>
  <c r="AB2" i="28"/>
  <c r="AB4" i="28" s="1"/>
  <c r="R30" i="27"/>
  <c r="Q13" i="12"/>
  <c r="T15" i="26"/>
  <c r="AC18" i="26"/>
  <c r="X17" i="19" s="1"/>
  <c r="W17" i="12"/>
  <c r="AA5" i="28"/>
  <c r="AA7" i="28" s="1"/>
  <c r="AA9" i="28" s="1"/>
  <c r="AA6" i="28"/>
  <c r="AA8" i="28" s="1"/>
  <c r="AA10" i="28" s="1"/>
  <c r="R12" i="12"/>
  <c r="S29" i="27"/>
  <c r="O14" i="22"/>
  <c r="N4" i="12"/>
  <c r="Q14" i="21"/>
  <c r="P18" i="12"/>
  <c r="AC19" i="26"/>
  <c r="T14" i="26"/>
  <c r="O3" i="19" s="1"/>
  <c r="N3" i="12"/>
  <c r="R15" i="21"/>
  <c r="Q18" i="19"/>
  <c r="AA11" i="28" l="1"/>
  <c r="S21" i="12" s="1"/>
  <c r="Z20" i="12"/>
  <c r="Y20" i="19"/>
  <c r="AB19" i="12"/>
  <c r="AA19" i="19"/>
  <c r="Q10" i="13"/>
  <c r="P10" i="19"/>
  <c r="Q11" i="13"/>
  <c r="P11" i="19"/>
  <c r="AD1" i="28"/>
  <c r="AC2" i="28"/>
  <c r="AC4" i="28" s="1"/>
  <c r="S12" i="12"/>
  <c r="T29" i="27"/>
  <c r="AA11" i="30"/>
  <c r="Z5" i="12"/>
  <c r="AD19" i="26"/>
  <c r="P14" i="22"/>
  <c r="O4" i="12"/>
  <c r="U15" i="26"/>
  <c r="U14" i="26"/>
  <c r="P3" i="19" s="1"/>
  <c r="O3" i="12"/>
  <c r="R14" i="21"/>
  <c r="Q18" i="12"/>
  <c r="AD18" i="26"/>
  <c r="Y17" i="19" s="1"/>
  <c r="X17" i="12"/>
  <c r="R13" i="12"/>
  <c r="S30" i="27"/>
  <c r="P15" i="22"/>
  <c r="O4" i="19"/>
  <c r="S15" i="21"/>
  <c r="R18" i="19"/>
  <c r="AB5" i="28"/>
  <c r="AB7" i="28" s="1"/>
  <c r="AB9" i="28" s="1"/>
  <c r="AB6" i="28"/>
  <c r="AB8" i="28" s="1"/>
  <c r="AB10" i="28" s="1"/>
  <c r="V15" i="29"/>
  <c r="U16" i="29"/>
  <c r="U17" i="29" s="1"/>
  <c r="U9" i="12" s="1"/>
  <c r="AC19" i="12" l="1"/>
  <c r="AB19" i="19"/>
  <c r="AA20" i="12"/>
  <c r="Z20" i="19"/>
  <c r="R11" i="13"/>
  <c r="Q11" i="19"/>
  <c r="R10" i="13"/>
  <c r="Q10" i="19"/>
  <c r="U29" i="27"/>
  <c r="T12" i="12"/>
  <c r="W15" i="29"/>
  <c r="V16" i="29"/>
  <c r="V17" i="29" s="1"/>
  <c r="V9" i="12" s="1"/>
  <c r="T15" i="21"/>
  <c r="S18" i="19"/>
  <c r="S14" i="21"/>
  <c r="R18" i="12"/>
  <c r="V15" i="26"/>
  <c r="AE19" i="26"/>
  <c r="T30" i="27"/>
  <c r="S13" i="12"/>
  <c r="AC5" i="28"/>
  <c r="AC7" i="28" s="1"/>
  <c r="AC9" i="28" s="1"/>
  <c r="AC6" i="28"/>
  <c r="AC8" i="28" s="1"/>
  <c r="AC10" i="28" s="1"/>
  <c r="AB11" i="28"/>
  <c r="T21" i="12" s="1"/>
  <c r="Q15" i="22"/>
  <c r="P4" i="19"/>
  <c r="AE18" i="26"/>
  <c r="Z17" i="19" s="1"/>
  <c r="Y17" i="12"/>
  <c r="V14" i="26"/>
  <c r="Q3" i="19" s="1"/>
  <c r="P3" i="12"/>
  <c r="Q14" i="22"/>
  <c r="P4" i="12"/>
  <c r="AB11" i="30"/>
  <c r="AA5" i="12"/>
  <c r="AE1" i="28"/>
  <c r="AD2" i="28"/>
  <c r="AD4" i="28" s="1"/>
  <c r="AB20" i="12" l="1"/>
  <c r="AA20" i="19"/>
  <c r="AD19" i="12"/>
  <c r="AC19" i="19"/>
  <c r="S10" i="13"/>
  <c r="R10" i="19"/>
  <c r="S11" i="13"/>
  <c r="R11" i="19"/>
  <c r="R14" i="22"/>
  <c r="Q4" i="12"/>
  <c r="T14" i="21"/>
  <c r="S18" i="12"/>
  <c r="X15" i="29"/>
  <c r="W16" i="29"/>
  <c r="W17" i="29" s="1"/>
  <c r="W9" i="12" s="1"/>
  <c r="AC11" i="28"/>
  <c r="U21" i="12" s="1"/>
  <c r="AF19" i="26"/>
  <c r="AC11" i="30"/>
  <c r="AB5" i="12"/>
  <c r="W14" i="26"/>
  <c r="R3" i="19" s="1"/>
  <c r="Q3" i="12"/>
  <c r="R15" i="22"/>
  <c r="Q4" i="19"/>
  <c r="AF1" i="28"/>
  <c r="AE2" i="28"/>
  <c r="AE4" i="28" s="1"/>
  <c r="AF18" i="26"/>
  <c r="AA17" i="19" s="1"/>
  <c r="Z17" i="12"/>
  <c r="AD5" i="28"/>
  <c r="AD7" i="28" s="1"/>
  <c r="AD9" i="28" s="1"/>
  <c r="AD6" i="28"/>
  <c r="AD8" i="28" s="1"/>
  <c r="AD10" i="28" s="1"/>
  <c r="U30" i="27"/>
  <c r="T13" i="12"/>
  <c r="W15" i="26"/>
  <c r="U15" i="21"/>
  <c r="T18" i="19"/>
  <c r="V29" i="27"/>
  <c r="U12" i="12"/>
  <c r="AD11" i="28" l="1"/>
  <c r="V21" i="12" s="1"/>
  <c r="AC20" i="12"/>
  <c r="AB20" i="19"/>
  <c r="AE19" i="12"/>
  <c r="AD19" i="19"/>
  <c r="T10" i="13"/>
  <c r="S10" i="19"/>
  <c r="T11" i="13"/>
  <c r="S11" i="19"/>
  <c r="X15" i="26"/>
  <c r="X14" i="26"/>
  <c r="S3" i="19" s="1"/>
  <c r="R3" i="12"/>
  <c r="U14" i="21"/>
  <c r="T18" i="12"/>
  <c r="AG1" i="28"/>
  <c r="AF2" i="28"/>
  <c r="AF4" i="28" s="1"/>
  <c r="AG19" i="26"/>
  <c r="V15" i="21"/>
  <c r="U18" i="19"/>
  <c r="V30" i="27"/>
  <c r="U13" i="12"/>
  <c r="AG18" i="26"/>
  <c r="AB17" i="19" s="1"/>
  <c r="AA17" i="12"/>
  <c r="S15" i="22"/>
  <c r="R4" i="19"/>
  <c r="AD11" i="30"/>
  <c r="AC5" i="12"/>
  <c r="V12" i="12"/>
  <c r="W29" i="27"/>
  <c r="AE5" i="28"/>
  <c r="AE7" i="28" s="1"/>
  <c r="AE9" i="28" s="1"/>
  <c r="AE6" i="28"/>
  <c r="AE8" i="28" s="1"/>
  <c r="AE10" i="28" s="1"/>
  <c r="Y15" i="29"/>
  <c r="X16" i="29"/>
  <c r="X17" i="29" s="1"/>
  <c r="X9" i="12" s="1"/>
  <c r="S14" i="22"/>
  <c r="R4" i="12"/>
  <c r="AE19" i="19" l="1"/>
  <c r="AD20" i="12"/>
  <c r="AC20" i="19"/>
  <c r="U11" i="13"/>
  <c r="T11" i="19"/>
  <c r="U10" i="13"/>
  <c r="T10" i="19"/>
  <c r="AF6" i="28"/>
  <c r="AF8" i="28" s="1"/>
  <c r="AF10" i="28" s="1"/>
  <c r="AF5" i="28"/>
  <c r="AF7" i="28" s="1"/>
  <c r="AF9" i="28" s="1"/>
  <c r="AF11" i="28" s="1"/>
  <c r="X21" i="12" s="1"/>
  <c r="AE11" i="28"/>
  <c r="W21" i="12" s="1"/>
  <c r="AE11" i="30"/>
  <c r="AD5" i="12"/>
  <c r="AH18" i="26"/>
  <c r="AC17" i="19" s="1"/>
  <c r="AB17" i="12"/>
  <c r="W15" i="21"/>
  <c r="V18" i="19"/>
  <c r="AH1" i="28"/>
  <c r="AG2" i="28"/>
  <c r="AG4" i="28" s="1"/>
  <c r="Y14" i="26"/>
  <c r="T3" i="19" s="1"/>
  <c r="S3" i="12"/>
  <c r="T14" i="22"/>
  <c r="S4" i="12"/>
  <c r="W12" i="12"/>
  <c r="X29" i="27"/>
  <c r="Z15" i="29"/>
  <c r="Y16" i="29"/>
  <c r="Y17" i="29" s="1"/>
  <c r="Y9" i="12" s="1"/>
  <c r="T15" i="22"/>
  <c r="S4" i="19"/>
  <c r="W30" i="27"/>
  <c r="V13" i="12"/>
  <c r="AH19" i="26"/>
  <c r="V14" i="21"/>
  <c r="U18" i="12"/>
  <c r="Y15" i="26"/>
  <c r="AE20" i="12" l="1"/>
  <c r="AD20" i="19"/>
  <c r="V11" i="13"/>
  <c r="U11" i="19"/>
  <c r="V10" i="13"/>
  <c r="U10" i="19"/>
  <c r="Z15" i="26"/>
  <c r="AG5" i="28"/>
  <c r="AG7" i="28" s="1"/>
  <c r="AG9" i="28" s="1"/>
  <c r="AG6" i="28"/>
  <c r="AG8" i="28" s="1"/>
  <c r="AG10" i="28" s="1"/>
  <c r="U15" i="22"/>
  <c r="T4" i="19"/>
  <c r="X15" i="21"/>
  <c r="W18" i="19"/>
  <c r="W14" i="21"/>
  <c r="V18" i="12"/>
  <c r="W13" i="12"/>
  <c r="X30" i="27"/>
  <c r="AA15" i="29"/>
  <c r="Z16" i="29"/>
  <c r="Z17" i="29" s="1"/>
  <c r="Z9" i="12" s="1"/>
  <c r="U14" i="22"/>
  <c r="T4" i="12"/>
  <c r="AI1" i="28"/>
  <c r="AH2" i="28"/>
  <c r="AH4" i="28" s="1"/>
  <c r="AI18" i="26"/>
  <c r="AD17" i="19" s="1"/>
  <c r="AC17" i="12"/>
  <c r="AI19" i="26"/>
  <c r="Z14" i="26"/>
  <c r="U3" i="19" s="1"/>
  <c r="T3" i="12"/>
  <c r="AF11" i="30"/>
  <c r="AE5" i="12"/>
  <c r="Y29" i="27"/>
  <c r="X12" i="12"/>
  <c r="AE20" i="19" l="1"/>
  <c r="W10" i="13"/>
  <c r="V10" i="19"/>
  <c r="W11" i="13"/>
  <c r="V11" i="19"/>
  <c r="Y30" i="27"/>
  <c r="X13" i="12"/>
  <c r="Z29" i="27"/>
  <c r="Y12" i="12"/>
  <c r="AA14" i="26"/>
  <c r="V3" i="19" s="1"/>
  <c r="U3" i="12"/>
  <c r="AJ18" i="26"/>
  <c r="AE17" i="19" s="1"/>
  <c r="AD17" i="12"/>
  <c r="V14" i="22"/>
  <c r="U4" i="12"/>
  <c r="Y15" i="21"/>
  <c r="X18" i="19"/>
  <c r="AG11" i="28"/>
  <c r="Y21" i="12" s="1"/>
  <c r="AH5" i="28"/>
  <c r="AH7" i="28" s="1"/>
  <c r="AH9" i="28" s="1"/>
  <c r="AH6" i="28"/>
  <c r="AH8" i="28" s="1"/>
  <c r="AH10" i="28" s="1"/>
  <c r="AG11" i="30"/>
  <c r="AJ19" i="26"/>
  <c r="AJ1" i="28"/>
  <c r="AI2" i="28"/>
  <c r="AI4" i="28" s="1"/>
  <c r="AB15" i="29"/>
  <c r="AA16" i="29"/>
  <c r="AA17" i="29" s="1"/>
  <c r="AA9" i="12" s="1"/>
  <c r="X14" i="21"/>
  <c r="W18" i="12"/>
  <c r="V15" i="22"/>
  <c r="U4" i="19"/>
  <c r="AA15" i="26"/>
  <c r="X11" i="13" l="1"/>
  <c r="W11" i="19"/>
  <c r="X10" i="13"/>
  <c r="W10" i="19"/>
  <c r="AB15" i="26"/>
  <c r="Y14" i="21"/>
  <c r="X18" i="12"/>
  <c r="AK1" i="28"/>
  <c r="AJ2" i="28"/>
  <c r="AJ4" i="28" s="1"/>
  <c r="AH11" i="30"/>
  <c r="Z15" i="21"/>
  <c r="Y18" i="19"/>
  <c r="AK18" i="26"/>
  <c r="AE17" i="12"/>
  <c r="AA29" i="27"/>
  <c r="Z12" i="12"/>
  <c r="W15" i="22"/>
  <c r="V4" i="19"/>
  <c r="AC15" i="29"/>
  <c r="AB16" i="29"/>
  <c r="AB17" i="29" s="1"/>
  <c r="AB9" i="12" s="1"/>
  <c r="AK19" i="26"/>
  <c r="AH11" i="28"/>
  <c r="Z21" i="12" s="1"/>
  <c r="AI5" i="28"/>
  <c r="AI7" i="28" s="1"/>
  <c r="AI9" i="28" s="1"/>
  <c r="AI6" i="28"/>
  <c r="AI8" i="28" s="1"/>
  <c r="AI10" i="28" s="1"/>
  <c r="W14" i="22"/>
  <c r="V4" i="12"/>
  <c r="AB14" i="26"/>
  <c r="W3" i="19" s="1"/>
  <c r="V3" i="12"/>
  <c r="Z30" i="27"/>
  <c r="Y13" i="12"/>
  <c r="Y10" i="13" l="1"/>
  <c r="X10" i="19"/>
  <c r="Y11" i="13"/>
  <c r="X11" i="19"/>
  <c r="AA30" i="27"/>
  <c r="Z13" i="12"/>
  <c r="AL19" i="26"/>
  <c r="AI11" i="28"/>
  <c r="AA21" i="12" s="1"/>
  <c r="X14" i="22"/>
  <c r="W4" i="12"/>
  <c r="X15" i="22"/>
  <c r="W4" i="19"/>
  <c r="AL18" i="26"/>
  <c r="AI11" i="30"/>
  <c r="Z14" i="21"/>
  <c r="Y18" i="12"/>
  <c r="AC14" i="26"/>
  <c r="X3" i="19" s="1"/>
  <c r="W3" i="12"/>
  <c r="AJ5" i="28"/>
  <c r="AJ7" i="28" s="1"/>
  <c r="AJ9" i="28" s="1"/>
  <c r="AJ6" i="28"/>
  <c r="AJ8" i="28" s="1"/>
  <c r="AJ10" i="28" s="1"/>
  <c r="AD15" i="29"/>
  <c r="AC16" i="29"/>
  <c r="AC17" i="29" s="1"/>
  <c r="AC9" i="12" s="1"/>
  <c r="AA12" i="12"/>
  <c r="AB29" i="27"/>
  <c r="AA15" i="21"/>
  <c r="Z18" i="19"/>
  <c r="AL1" i="28"/>
  <c r="AK2" i="28"/>
  <c r="AK4" i="28" s="1"/>
  <c r="AC15" i="26"/>
  <c r="Z11" i="13" l="1"/>
  <c r="Y11" i="19"/>
  <c r="Z10" i="13"/>
  <c r="Y10" i="19"/>
  <c r="AD15" i="26"/>
  <c r="AE15" i="29"/>
  <c r="AD16" i="29"/>
  <c r="AD17" i="29" s="1"/>
  <c r="AD9" i="12" s="1"/>
  <c r="AK5" i="28"/>
  <c r="AK7" i="28" s="1"/>
  <c r="AK9" i="28" s="1"/>
  <c r="AK6" i="28"/>
  <c r="AK8" i="28" s="1"/>
  <c r="AK10" i="28" s="1"/>
  <c r="AB12" i="12"/>
  <c r="AC29" i="27"/>
  <c r="AJ11" i="28"/>
  <c r="AB21" i="12" s="1"/>
  <c r="AA14" i="21"/>
  <c r="Z18" i="12"/>
  <c r="AM18" i="26"/>
  <c r="Y14" i="22"/>
  <c r="X4" i="12"/>
  <c r="AB15" i="21"/>
  <c r="AA18" i="19"/>
  <c r="AD14" i="26"/>
  <c r="Y3" i="19" s="1"/>
  <c r="X3" i="12"/>
  <c r="Y15" i="22"/>
  <c r="X4" i="19"/>
  <c r="AM19" i="26"/>
  <c r="AM1" i="28"/>
  <c r="AL2" i="28"/>
  <c r="AL4" i="28" s="1"/>
  <c r="AB30" i="27"/>
  <c r="AA13" i="12"/>
  <c r="AA10" i="13" l="1"/>
  <c r="Z10" i="19"/>
  <c r="AA11" i="13"/>
  <c r="Z11" i="19"/>
  <c r="Z15" i="22"/>
  <c r="Y4" i="19"/>
  <c r="AF15" i="29"/>
  <c r="AE16" i="29"/>
  <c r="AE17" i="29" s="1"/>
  <c r="AE9" i="12" s="1"/>
  <c r="AB13" i="12"/>
  <c r="AC30" i="27"/>
  <c r="AN19" i="26"/>
  <c r="AE14" i="26"/>
  <c r="Z3" i="19" s="1"/>
  <c r="Y3" i="12"/>
  <c r="Z14" i="22"/>
  <c r="Y4" i="12"/>
  <c r="AB14" i="21"/>
  <c r="AA18" i="12"/>
  <c r="AN1" i="28"/>
  <c r="AM2" i="28"/>
  <c r="AM4" i="28" s="1"/>
  <c r="AC15" i="21"/>
  <c r="AB18" i="19"/>
  <c r="AN18" i="26"/>
  <c r="AD29" i="27"/>
  <c r="AC12" i="12"/>
  <c r="AL5" i="28"/>
  <c r="AL7" i="28" s="1"/>
  <c r="AL9" i="28" s="1"/>
  <c r="AL6" i="28"/>
  <c r="AL8" i="28" s="1"/>
  <c r="AL10" i="28" s="1"/>
  <c r="AK11" i="28"/>
  <c r="AC21" i="12" s="1"/>
  <c r="AE15" i="26"/>
  <c r="AB11" i="13" l="1"/>
  <c r="AA11" i="19"/>
  <c r="AB10" i="13"/>
  <c r="AA10" i="19"/>
  <c r="AM5" i="28"/>
  <c r="AM7" i="28" s="1"/>
  <c r="AM9" i="28" s="1"/>
  <c r="AM6" i="28"/>
  <c r="AM8" i="28" s="1"/>
  <c r="AM10" i="28" s="1"/>
  <c r="AA14" i="22"/>
  <c r="Z4" i="12"/>
  <c r="AC13" i="12"/>
  <c r="AD30" i="27"/>
  <c r="AL11" i="28"/>
  <c r="AD21" i="12" s="1"/>
  <c r="AO1" i="28"/>
  <c r="AN2" i="28"/>
  <c r="AN4" i="28" s="1"/>
  <c r="AG15" i="29"/>
  <c r="AF16" i="29"/>
  <c r="AF17" i="29" s="1"/>
  <c r="AF15" i="26"/>
  <c r="AE29" i="27"/>
  <c r="AD12" i="12"/>
  <c r="AD15" i="21"/>
  <c r="AE15" i="21" s="1"/>
  <c r="AF15" i="21" s="1"/>
  <c r="AG15" i="21" s="1"/>
  <c r="AH15" i="21" s="1"/>
  <c r="AI15" i="21" s="1"/>
  <c r="AC18" i="19"/>
  <c r="AC14" i="21"/>
  <c r="AB18" i="12"/>
  <c r="AF14" i="26"/>
  <c r="AA3" i="19" s="1"/>
  <c r="Z3" i="12"/>
  <c r="AA15" i="22"/>
  <c r="Z4" i="19"/>
  <c r="AC10" i="13" l="1"/>
  <c r="AB10" i="19"/>
  <c r="AC11" i="13"/>
  <c r="AB11" i="19"/>
  <c r="AG14" i="26"/>
  <c r="AA3" i="12"/>
  <c r="AG15" i="26"/>
  <c r="AH15" i="26" s="1"/>
  <c r="AI15" i="26" s="1"/>
  <c r="AJ15" i="26" s="1"/>
  <c r="AK15" i="26" s="1"/>
  <c r="AL15" i="26" s="1"/>
  <c r="AM15" i="26" s="1"/>
  <c r="AN15" i="26" s="1"/>
  <c r="AB14" i="22"/>
  <c r="AA4" i="12"/>
  <c r="AB15" i="22"/>
  <c r="AA4" i="19"/>
  <c r="AD14" i="21"/>
  <c r="AC18" i="12"/>
  <c r="AF29" i="27"/>
  <c r="AE12" i="12"/>
  <c r="AH15" i="29"/>
  <c r="AG16" i="29"/>
  <c r="AG17" i="29" s="1"/>
  <c r="AE30" i="27"/>
  <c r="AD13" i="12"/>
  <c r="AD18" i="19"/>
  <c r="AP1" i="28"/>
  <c r="AO2" i="28"/>
  <c r="AO4" i="28" s="1"/>
  <c r="AN6" i="28"/>
  <c r="AN8" i="28" s="1"/>
  <c r="AN10" i="28" s="1"/>
  <c r="AN5" i="28"/>
  <c r="AN7" i="28" s="1"/>
  <c r="AN9" i="28" s="1"/>
  <c r="AM11" i="28"/>
  <c r="AE21" i="12" s="1"/>
  <c r="AB3" i="19" l="1"/>
  <c r="AH14" i="26"/>
  <c r="AI14" i="26" s="1"/>
  <c r="AJ14" i="26" s="1"/>
  <c r="AK14" i="26" s="1"/>
  <c r="AL14" i="26" s="1"/>
  <c r="AM14" i="26" s="1"/>
  <c r="AN14" i="26" s="1"/>
  <c r="AD11" i="13"/>
  <c r="AC11" i="19"/>
  <c r="AD10" i="13"/>
  <c r="AC10" i="19"/>
  <c r="AO5" i="28"/>
  <c r="AO7" i="28" s="1"/>
  <c r="AO9" i="28" s="1"/>
  <c r="AO6" i="28"/>
  <c r="AO8" i="28" s="1"/>
  <c r="AO10" i="28" s="1"/>
  <c r="AF30" i="27"/>
  <c r="AE13" i="12"/>
  <c r="AC15" i="22"/>
  <c r="AB4" i="19"/>
  <c r="AN11" i="28"/>
  <c r="AQ1" i="28"/>
  <c r="AQ2" i="28" s="1"/>
  <c r="AQ4" i="28" s="1"/>
  <c r="AP2" i="28"/>
  <c r="AP4" i="28" s="1"/>
  <c r="AG29" i="27"/>
  <c r="AE18" i="19"/>
  <c r="AI15" i="29"/>
  <c r="AI16" i="29" s="1"/>
  <c r="AI17" i="29" s="1"/>
  <c r="AH16" i="29"/>
  <c r="AH17" i="29" s="1"/>
  <c r="AE14" i="21"/>
  <c r="AF14" i="21" s="1"/>
  <c r="AG14" i="21" s="1"/>
  <c r="AH14" i="21" s="1"/>
  <c r="AI14" i="21" s="1"/>
  <c r="AD18" i="12"/>
  <c r="AC14" i="22"/>
  <c r="AB4" i="12"/>
  <c r="AB3" i="12"/>
  <c r="AC3" i="19" l="1"/>
  <c r="AE10" i="13"/>
  <c r="AD10" i="19"/>
  <c r="AE11" i="13"/>
  <c r="AD11" i="19"/>
  <c r="AD14" i="22"/>
  <c r="AC4" i="12"/>
  <c r="AP5" i="28"/>
  <c r="AP7" i="28" s="1"/>
  <c r="AP9" i="28" s="1"/>
  <c r="AP6" i="28"/>
  <c r="AP8" i="28" s="1"/>
  <c r="AP10" i="28" s="1"/>
  <c r="AG30" i="27"/>
  <c r="AD3" i="19"/>
  <c r="AC3" i="12"/>
  <c r="AE18" i="12"/>
  <c r="AQ5" i="28"/>
  <c r="AQ7" i="28" s="1"/>
  <c r="AQ9" i="28" s="1"/>
  <c r="AQ6" i="28"/>
  <c r="AQ8" i="28" s="1"/>
  <c r="AQ10" i="28" s="1"/>
  <c r="AH29" i="27"/>
  <c r="AD15" i="22"/>
  <c r="AC4" i="19"/>
  <c r="AO11" i="28"/>
  <c r="AE11" i="19" l="1"/>
  <c r="AE10" i="19"/>
  <c r="AH30" i="27"/>
  <c r="AQ11" i="28"/>
  <c r="AP11" i="28"/>
  <c r="AE15" i="22"/>
  <c r="AD4" i="19"/>
  <c r="AI29" i="27"/>
  <c r="AE3" i="19"/>
  <c r="AD3" i="12"/>
  <c r="AE14" i="22"/>
  <c r="AD4" i="12"/>
  <c r="AI30" i="27" l="1"/>
  <c r="AF15" i="22"/>
  <c r="AE4" i="19"/>
  <c r="AF14" i="22"/>
  <c r="AE4" i="12"/>
  <c r="AE3" i="12"/>
  <c r="AG15" i="22" l="1"/>
  <c r="AG14" i="22"/>
  <c r="AH14" i="22" l="1"/>
  <c r="AH15" i="22"/>
  <c r="AI15" i="22" l="1"/>
  <c r="AI14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tc={25CD3FEE-2C1B-47D8-9359-141AD19263B2}</author>
  </authors>
  <commentList>
    <comment ref="B20" authorId="0" shapeId="0" xr:uid="{25CD3FEE-2C1B-47D8-9359-141AD19263B2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for 2021 not available in IESS 3.0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tc={CB69AF91-E34E-47E6-B323-1A82B85C1B71}</author>
  </authors>
  <commentList>
    <comment ref="I2" authorId="0" shapeId="0" xr:uid="{CB69AF91-E34E-47E6-B323-1A82B85C1B71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for 2019 not available in IESS 3.0</t>
      </text>
    </comment>
  </commentList>
</comments>
</file>

<file path=xl/sharedStrings.xml><?xml version="1.0" encoding="utf-8"?>
<sst xmlns="http://schemas.openxmlformats.org/spreadsheetml/2006/main" count="812" uniqueCount="572">
  <si>
    <t>BFPIaE BAU Fuel Production</t>
  </si>
  <si>
    <t>BFPIaE BAU Fuel Imports</t>
  </si>
  <si>
    <t>BFPIaE BAU Fuel Exports</t>
  </si>
  <si>
    <t>Source:</t>
  </si>
  <si>
    <t>Crude Oil, Natural Gas Production &amp; Imports</t>
  </si>
  <si>
    <t>Energy Contents</t>
  </si>
  <si>
    <t>Ministry of Petroleum and Natural Gas</t>
  </si>
  <si>
    <t>Biomass &amp; MSW Energy Content</t>
  </si>
  <si>
    <t>Indian Petroleum and Natural Gas Statistics 2021-22</t>
  </si>
  <si>
    <t>Indian Institute for Science, Centre for Ecological Sciences</t>
  </si>
  <si>
    <t>https://mopng.gov.in/en/petroleum-statistics/indian-png-statistics</t>
  </si>
  <si>
    <t>undated</t>
  </si>
  <si>
    <t>Table I.1 (production of crude oil and NG) ;I.4 (imports)</t>
  </si>
  <si>
    <t>http://www.ces.iisc.ernet.in/energy/paper/alternative/calorific.html</t>
  </si>
  <si>
    <t>Future Year Scaling - Crude Oil &amp; Nat Gas</t>
  </si>
  <si>
    <t>Gasoline, LPG, Natural Gas Energy Content</t>
  </si>
  <si>
    <t>NITI Aayog</t>
  </si>
  <si>
    <t>TERI</t>
  </si>
  <si>
    <t>India Energy Security Scenarios, v3</t>
  </si>
  <si>
    <t>TERI Energy and Environment Data Diary and Yearbook 2015/16</t>
  </si>
  <si>
    <t>https://iess2047.gov.in/_/theme/documents/IESS2047_Version_3.0.xlsx</t>
  </si>
  <si>
    <t>http://bookstore.teri.res.in/books/9788179935835</t>
  </si>
  <si>
    <t xml:space="preserve">Oil - Sheet XV.c, XVII.b; Gas - XV.a, XVII.b </t>
  </si>
  <si>
    <t>Page 15</t>
  </si>
  <si>
    <t>LPG, Jet Fuel, Fuel Oil, Petrol &amp; Diesel - Production, Imports &amp; Exports</t>
  </si>
  <si>
    <t>Diesel, Jet Fuel, Crude Oil Energy Content</t>
  </si>
  <si>
    <t>Energy Information Administration</t>
  </si>
  <si>
    <t>Annual Energy Outlook 2016</t>
  </si>
  <si>
    <t>http://www.eia.gov/forecasts/aeo/supplement/excel/suptab_73.xlsx</t>
  </si>
  <si>
    <t>Table VI.2, p100</t>
  </si>
  <si>
    <t>Table 73</t>
  </si>
  <si>
    <t>Ethanol Production</t>
  </si>
  <si>
    <t>Volume Conversions</t>
  </si>
  <si>
    <t>Petroleum Planning &amp; Analysis Cell</t>
  </si>
  <si>
    <t xml:space="preserve">Ethanol Booklet </t>
  </si>
  <si>
    <t>Snapshot of India's Oil &amp; Gas Data - Oct 2018</t>
  </si>
  <si>
    <t>https://mopng.gov.in/files/uploads/BPCL_Ethanol_Booklet_2023.pdf</t>
  </si>
  <si>
    <t>http://ppac.org.in/WriteReadData/Reports/201811200650439471143SnapshotofIndiasOilandGasData_October2018.pdf</t>
  </si>
  <si>
    <t>Page 2</t>
  </si>
  <si>
    <t>Table 25</t>
  </si>
  <si>
    <t>Ethanol Blending targets in Biofuels</t>
  </si>
  <si>
    <t>Ethanol Fuel conversions</t>
  </si>
  <si>
    <t>Ministry of Petroleum and Natural Gas/ Press Information Bureau</t>
  </si>
  <si>
    <t>Renewable Fuels Association</t>
  </si>
  <si>
    <t>National Policy on Biofuel - updates</t>
  </si>
  <si>
    <t>Fuel Ethanol Trade Measurements and Conversions</t>
  </si>
  <si>
    <t>https://pib.gov.in/PressReleaseIframePage.aspx?PRID=1831289</t>
  </si>
  <si>
    <t>https://ethanolrfa.org/wp-content/uploads/2015/12/Fuel-Ethanol-Trade-Measurements-and-Conversions_RFA.pdf</t>
  </si>
  <si>
    <t>Bioethanol production scaling factors</t>
  </si>
  <si>
    <t>Refuse Derived Fuel (RDF) conversions</t>
  </si>
  <si>
    <t>Ministry of Housing &amp; Urban Uffairs/Central Public Health &amp; Environmental Engg. Organisation</t>
  </si>
  <si>
    <t>Guidelines on Usage of RDF in Various Industries</t>
  </si>
  <si>
    <t>http://cpheeo.gov.in/upload/5bda791e5afb3SBMRDFBook.pdf</t>
  </si>
  <si>
    <t>Sheet V.b, 'Derived Assumptions', Net Generation from 1st and 2nd gen bioethanol</t>
  </si>
  <si>
    <t>Page xii, Net Calorific Value for median grade RDF - Grade II</t>
  </si>
  <si>
    <t>Municipal Solid Waste (MSW) Projections</t>
  </si>
  <si>
    <t>Lignite Fuel conversions</t>
  </si>
  <si>
    <t>Planning Commission</t>
  </si>
  <si>
    <t>Report of the Task Force on Waste to Energy - Vol I</t>
  </si>
  <si>
    <t>BP Statistical Review of World Energy 2019</t>
  </si>
  <si>
    <t>http://planningcommission.nic.in/reports/genrep/rep_wte1205.pdf</t>
  </si>
  <si>
    <t>https://www.bp.com/content/dam/bp/business-sites/en/global/corporate/pdfs/energy-economics/statistical-review/bp-stats-review-2019-full-report.pdf</t>
  </si>
  <si>
    <t>MSW generation projections - pii; Composition of MSW - Text Box-1, page 5;</t>
  </si>
  <si>
    <t>Page 60</t>
  </si>
  <si>
    <t>Collection % Target- Table 6, p37; Change in composition of MSW-Table 11, p54</t>
  </si>
  <si>
    <t>Unit Conversions for Heavy Fuel Oil</t>
  </si>
  <si>
    <t>Ministry of Environment, Forest and Climate Change/Central Pollution Control Board</t>
  </si>
  <si>
    <t>Solid Waste Management Rules, 2016</t>
  </si>
  <si>
    <t>Annual Energy Outlook 2019</t>
  </si>
  <si>
    <t>http://www.indiaenvironmentportal.org.in/files/file/Solid%20Waste%20Management%20Rules,%202016.pdf</t>
  </si>
  <si>
    <t>Biomass Production - Start Year</t>
  </si>
  <si>
    <t>Purohit &amp; Chaturvedi</t>
  </si>
  <si>
    <t>Unit Conversion for Uranium (U3O8)</t>
  </si>
  <si>
    <t>TradeTech</t>
  </si>
  <si>
    <t>Biomass pellets for power generation in India:a techno-economic evaluation</t>
  </si>
  <si>
    <t>https://link.springer.com/content/pdf/10.1007%2Fs11356-018-2960-8.pdf</t>
  </si>
  <si>
    <t>Uranium Primer - Price &amp; Unit Conversion Calculator &amp; Table</t>
  </si>
  <si>
    <t>Environmental Science and Pollution Research(2018) 25:29614–29632</t>
  </si>
  <si>
    <t>https://www.uranium.info/unit_conversion_table.php</t>
  </si>
  <si>
    <t>Table 2, 3</t>
  </si>
  <si>
    <t xml:space="preserve">Future Scaling factors for Biomass Production </t>
  </si>
  <si>
    <t>India Energy Security Scenarios, v2</t>
  </si>
  <si>
    <t>http://indiaenergy.gov.in/iess/docs/IESS_Version2.2.xlsx</t>
  </si>
  <si>
    <t>Sheet V.a, Table V.d, Trajectory 2</t>
  </si>
  <si>
    <t xml:space="preserve">Coal and Lignite </t>
  </si>
  <si>
    <t>Ministry of Coal, Government of India</t>
  </si>
  <si>
    <t>Coal Statistics</t>
  </si>
  <si>
    <t>http://www.coalcontroller.gov.in/writereaddata/files/download/coaldirectory/CoalDirectory2017-18.pdf</t>
  </si>
  <si>
    <t xml:space="preserve">Coal - Production - Statement 3.1, p3.1, Import - Statement 7.1, p 7.1, Export - Statement 7.6, p7.2; </t>
  </si>
  <si>
    <t>Lignite - Production - Statement 3.4, p3.2, Import &amp; Export - Tables 7.1, 7.2, p7.5</t>
  </si>
  <si>
    <t>Future Year Scaling - Coal and Lignite</t>
  </si>
  <si>
    <t xml:space="preserve">XV.b, XVII.b </t>
  </si>
  <si>
    <t xml:space="preserve">Uranium Production </t>
  </si>
  <si>
    <t>NITI aayog</t>
  </si>
  <si>
    <t>Sheet II, Row 'Fuel Use Assumptions'</t>
  </si>
  <si>
    <t>Uranium Production and Import Projections</t>
  </si>
  <si>
    <t>Notes</t>
  </si>
  <si>
    <t>Notes - India</t>
  </si>
  <si>
    <t>Notes - Modifications for EPS India v3.1.3 (2019 onward)</t>
  </si>
  <si>
    <t>Start year values:</t>
  </si>
  <si>
    <t xml:space="preserve">For refined petroleum products, we make the assumption that production and exports are constant, </t>
  </si>
  <si>
    <t>Collect Export, Import, and Production Data for Each Fuel</t>
  </si>
  <si>
    <r>
      <rPr>
        <b/>
        <sz val="11"/>
        <color theme="1"/>
        <rFont val="Calibri"/>
        <family val="2"/>
        <scheme val="minor"/>
      </rPr>
      <t>Biofuels:</t>
    </r>
    <r>
      <rPr>
        <sz val="11"/>
        <color theme="1"/>
        <rFont val="Calibri"/>
        <family val="2"/>
        <scheme val="minor"/>
      </rPr>
      <t xml:space="preserve"> MoPNG has announced the National Policy on Biofuels in 2018 with a target of </t>
    </r>
  </si>
  <si>
    <t xml:space="preserve">and the rising demand estimated by the model ('BAU Total Primary Fuel Use' tab) is met through imports. </t>
  </si>
  <si>
    <t>The consolidated data in this variable (production, imports, exports, and domestic use of each fuel)</t>
  </si>
  <si>
    <t xml:space="preserve">20% blending of ethanol in petrol by 2025-26 and 5% blending of bio-diesel in diesel by 2030. </t>
  </si>
  <si>
    <t>is used in the variable fuels/CiFIaEpUDFS.  Therefore, even though this variable only outputs</t>
  </si>
  <si>
    <t xml:space="preserve">For coal, we assume that exports are constant, and rising demand estimated by the model is met by the </t>
  </si>
  <si>
    <t>production and exports, you should also collect data on fuel imports.  (Domestic use data</t>
  </si>
  <si>
    <t>As per information provided by Ministry of Consumer Affairs, Food &amp; Public Distribution, the present</t>
  </si>
  <si>
    <t>IESS-based production projections + imports.</t>
  </si>
  <si>
    <t>can be calculated from production, imports, and exports.  We ignore changes in fuel stocks,</t>
  </si>
  <si>
    <t>ethanol production capacity in the country is about 433 crore litres, which has</t>
  </si>
  <si>
    <t>which should average to zero over multi-year timeframes.)</t>
  </si>
  <si>
    <t>been utilised to produce ethanol for supply to Oil Marketing Companies under</t>
  </si>
  <si>
    <t>the Ethanol Blended Petroleum programme</t>
  </si>
  <si>
    <t>Time Series</t>
  </si>
  <si>
    <t>This variable contains time series data.</t>
  </si>
  <si>
    <t>The MoPNG does not provide disaggregated data on biofuels for India. The alternate</t>
  </si>
  <si>
    <t>However, only data from the first year are used in variable fuels/CiFIaEpUDFS.</t>
  </si>
  <si>
    <t>source available (BP Statistical Energy Review) also reports combined biofuel statistics.</t>
  </si>
  <si>
    <t>In the future, fuels/CiFIaEpUDFS may be replaced with internal Vensim calculations,</t>
  </si>
  <si>
    <t>Hence, we use the data available on ethanol production in the country, and apportion</t>
  </si>
  <si>
    <t>making those values sensitive to changes over time.</t>
  </si>
  <si>
    <t xml:space="preserve">it between biofuel-gasoline and biodiesel based on the ratio of its blended component in </t>
  </si>
  <si>
    <t xml:space="preserve">the respective fuels. Since estimating the full volume of biofuel-gasoline and biodiesel </t>
  </si>
  <si>
    <t>Units</t>
  </si>
  <si>
    <t>based on ethanol production could lead to double counting of petroleum and diesel, we</t>
  </si>
  <si>
    <t>In this variable, units are standardized to BTU, the internal working energy unit of the model.</t>
  </si>
  <si>
    <t>retain the ethanol production values for biofuel-gasoline and biodiesel.</t>
  </si>
  <si>
    <t>Variable fuels/CiFIaEpUDFS is not sensitive to the units used, as long as the same unit is used</t>
  </si>
  <si>
    <t>for all quantities associated with the same fuel (imports, exports, production, use).</t>
  </si>
  <si>
    <t>The data from BP review is presented for reference only.</t>
  </si>
  <si>
    <t>Included Fuels</t>
  </si>
  <si>
    <r>
      <rPr>
        <b/>
        <sz val="11"/>
        <color theme="1"/>
        <rFont val="Calibri"/>
        <family val="2"/>
        <scheme val="minor"/>
      </rPr>
      <t xml:space="preserve">Municial Solid Waste: </t>
    </r>
    <r>
      <rPr>
        <sz val="11"/>
        <color theme="1"/>
        <rFont val="Calibri"/>
        <family val="2"/>
        <scheme val="minor"/>
      </rPr>
      <t>India has a recent policy update on handling of MSW in the 'Solid</t>
    </r>
  </si>
  <si>
    <t>Hydro, wind, solar, and geothermal are neither fuels nor energy carriers</t>
  </si>
  <si>
    <t xml:space="preserve">Waste Management Rules, 2016' released by CPCB. A task force set up by the Planning </t>
  </si>
  <si>
    <t>and should always contain zeroes in this variable.</t>
  </si>
  <si>
    <t xml:space="preserve">Commission in 2014 estimates the current and future projections of MSW generation in </t>
  </si>
  <si>
    <t>Electricity and heat are energy carriers and are not handled in this</t>
  </si>
  <si>
    <t>the country. We use these values, and apportion the waste into two major waste-to-energy</t>
  </si>
  <si>
    <t>part of the model.  (Electricity imports/exports are exogenous</t>
  </si>
  <si>
    <t>categories based on its composition - biogasification-based technologies (for organic component),</t>
  </si>
  <si>
    <t>and handled in the power sector.  District heat imports/exports are assumed to be negligible.)</t>
  </si>
  <si>
    <t xml:space="preserve">and combustion-based technologies (inorganic and high calorific value component that can be </t>
  </si>
  <si>
    <t>Hydrogen is an energy carrier, but can theoretically be imported</t>
  </si>
  <si>
    <t>converted to Refuse-Driven Fuel (RDF)). There is no change in composition assumed as the overall</t>
  </si>
  <si>
    <t>or exported in bulk, so is included here.</t>
  </si>
  <si>
    <t>share of organic vs. inorganic components remains relatively constant from 1996-2011.</t>
  </si>
  <si>
    <t xml:space="preserve">The weighted average calorific content is estimated based on the ratios of the two components. </t>
  </si>
  <si>
    <t xml:space="preserve">The base-year collection efficiency is 68%. We assume this improves linearly to reach 100% by 2022 </t>
  </si>
  <si>
    <t xml:space="preserve">(as a conservative alternative to the avg country target of 100% set by the committee for 12th Plan). </t>
  </si>
  <si>
    <r>
      <rPr>
        <b/>
        <sz val="11"/>
        <color theme="1"/>
        <rFont val="Calibri"/>
        <family val="2"/>
        <scheme val="minor"/>
      </rPr>
      <t>Biomass:</t>
    </r>
    <r>
      <rPr>
        <sz val="11"/>
        <color theme="1"/>
        <rFont val="Calibri"/>
        <family val="2"/>
        <scheme val="minor"/>
      </rPr>
      <t xml:space="preserve"> Purohit &amp; Chaturvedi estimate the availability of agri, forest and wasteland-based residue for </t>
    </r>
  </si>
  <si>
    <t>converting to pellets for modern bioenergy applications after adjusting for moisture content, losses,</t>
  </si>
  <si>
    <t>and alternate uses like fodder. This estimate includes the residue used for biomass power/</t>
  </si>
  <si>
    <t>bagasse cogeneration projects, and is projected for 2021 and 2031, starting from 2011.</t>
  </si>
  <si>
    <t>Projections:</t>
  </si>
  <si>
    <t xml:space="preserve">Crude Oil, Natural Gas, Coal &amp; Lignite and Biomass production and import values are projected </t>
  </si>
  <si>
    <t>as per suitable scaling factors from IESS trajectory 2 projections.</t>
  </si>
  <si>
    <t xml:space="preserve">IESS projections for Oil &amp; Petroleum products are available for all products combined, and </t>
  </si>
  <si>
    <t xml:space="preserve">it would be erroneous to scale individual petro products based on the scaling factors for the </t>
  </si>
  <si>
    <t xml:space="preserve">whole basket, as the relative shares of each product could change during the projection period </t>
  </si>
  <si>
    <t xml:space="preserve">due to price and supply uncertainties. Hence, we hold the projections of petroleum products </t>
  </si>
  <si>
    <t>as constant till 2050.</t>
  </si>
  <si>
    <t xml:space="preserve">Uranium fuel production values for nuclear are not publicly reported, and we use the </t>
  </si>
  <si>
    <t>BAU trajectory values from IESS which were developed in consultation with Nuclear sector.</t>
  </si>
  <si>
    <t>Bio-ethanol is used as the fuel for bio-gasoline and bio-diesel as India has ethanol-blended</t>
  </si>
  <si>
    <t xml:space="preserve">fuel targets in BAU. The production is scaled till 2050 on the basis of IESS BAU projections </t>
  </si>
  <si>
    <t>for 1st and 2nd generation bioethanol production.</t>
  </si>
  <si>
    <t>Since projection basis beyond 2031 is not available in the study for Biomass, we scale as per</t>
  </si>
  <si>
    <t xml:space="preserve"> IESS's projections of bioenergy feedstock till 2047.</t>
  </si>
  <si>
    <t>Biomass, Biofuels and MSW have no imports/exports as they are still very nascent.</t>
  </si>
  <si>
    <t>Currency</t>
  </si>
  <si>
    <t xml:space="preserve">Weight to Volume Conversion </t>
  </si>
  <si>
    <t>India Inflation Rates</t>
  </si>
  <si>
    <t>See scaling-factors.xlsx for source info</t>
  </si>
  <si>
    <t>Product</t>
  </si>
  <si>
    <t xml:space="preserve">Weight </t>
  </si>
  <si>
    <t xml:space="preserve">Volume </t>
  </si>
  <si>
    <t xml:space="preserve">Barrel </t>
  </si>
  <si>
    <t>Year</t>
  </si>
  <si>
    <t>Rate</t>
  </si>
  <si>
    <t>Value Indexed to 2012</t>
  </si>
  <si>
    <t>(MT)</t>
  </si>
  <si>
    <t>(KL)</t>
  </si>
  <si>
    <t>(bbl)</t>
  </si>
  <si>
    <t>LPG</t>
  </si>
  <si>
    <t>Petrol (MS)</t>
  </si>
  <si>
    <t>Diesel (HSD)</t>
  </si>
  <si>
    <t>Kerosene (SKO)</t>
  </si>
  <si>
    <t>ATF</t>
  </si>
  <si>
    <t>Light Diesel Oil (LDO)</t>
  </si>
  <si>
    <t>Furnace Oil (FO)</t>
  </si>
  <si>
    <t>Crude Oil</t>
  </si>
  <si>
    <t>Source: PPAC</t>
  </si>
  <si>
    <t>Ruppees per dollar</t>
  </si>
  <si>
    <t>Fuel-Independent Conversion Factors</t>
  </si>
  <si>
    <t>liters per barrel</t>
  </si>
  <si>
    <t>BTU/kcal</t>
  </si>
  <si>
    <t>BTU/kWh (unit conversion, not a heat rate)</t>
  </si>
  <si>
    <t>Energy in Biomass</t>
  </si>
  <si>
    <t>Wood wastes</t>
  </si>
  <si>
    <t>kcal/kg</t>
  </si>
  <si>
    <t>Cowdung</t>
  </si>
  <si>
    <t>Average of biomass fuels</t>
  </si>
  <si>
    <t>BTU/kg</t>
  </si>
  <si>
    <t>BTU/ton</t>
  </si>
  <si>
    <t xml:space="preserve">Energy in Jet Fuel </t>
  </si>
  <si>
    <t>BTU/barrel</t>
  </si>
  <si>
    <t>BTU/liter</t>
  </si>
  <si>
    <t>Energy in Petroleum Gasoline</t>
  </si>
  <si>
    <t>barrels/ton</t>
  </si>
  <si>
    <t>kcal/barrel</t>
  </si>
  <si>
    <t>Energy in Petroleum Diesel</t>
  </si>
  <si>
    <t>million BTU/barrel</t>
  </si>
  <si>
    <t>million BTU/l</t>
  </si>
  <si>
    <t>BTU/l</t>
  </si>
  <si>
    <t>Energy in LPG</t>
  </si>
  <si>
    <t>kcal/ton</t>
  </si>
  <si>
    <t>Natural Gas</t>
  </si>
  <si>
    <t>trillion BTU / billion cubic m</t>
  </si>
  <si>
    <t>BTU / thousand cubic m</t>
  </si>
  <si>
    <t>Coal</t>
  </si>
  <si>
    <t>million BTU / bbl</t>
  </si>
  <si>
    <t>BTU / bbl</t>
  </si>
  <si>
    <t>Fuel Ethanol</t>
  </si>
  <si>
    <t>bbl/mtoe</t>
  </si>
  <si>
    <t>bbl/litre</t>
  </si>
  <si>
    <t>Refuse Derived Fuel (RDF Grade II minimum)</t>
  </si>
  <si>
    <t>Lignite</t>
  </si>
  <si>
    <t>mtoe/ton</t>
  </si>
  <si>
    <t>million BTU/mtoe</t>
  </si>
  <si>
    <t>million BTU/ton</t>
  </si>
  <si>
    <t>Uranium U3O8</t>
  </si>
  <si>
    <t>kg/ton</t>
  </si>
  <si>
    <t>lb/kg</t>
  </si>
  <si>
    <t>lb/ton</t>
  </si>
  <si>
    <t>BTU/lb</t>
  </si>
  <si>
    <t>Total Coal Consumption</t>
  </si>
  <si>
    <t>By mass (million tonnes)</t>
  </si>
  <si>
    <t>By energy (petajoules)</t>
  </si>
  <si>
    <t>2021-22</t>
  </si>
  <si>
    <t>Unit conversions:</t>
  </si>
  <si>
    <t>Petajoule to Kcal</t>
  </si>
  <si>
    <t>Million tonnes to Kg</t>
  </si>
  <si>
    <t>Avg. heat content (Kcal/Kg)</t>
  </si>
  <si>
    <t>Source: https://www.mospi.gov.in/sites/default/files/publication_reports/Energy_Statistics_2023/EnergyStatisticsIndia2023.pdf</t>
  </si>
  <si>
    <t>Time (Time)</t>
  </si>
  <si>
    <t>BAU Total Primary Fuel Use[electricity] : MostRecentRun</t>
  </si>
  <si>
    <t>BAU Total Primary Fuel Use[hard coal] : MostRecentRun</t>
  </si>
  <si>
    <t>BAU Total Primary Fuel Use[natural gas] : MostRecentRun</t>
  </si>
  <si>
    <t>BAU Total Primary Fuel Use[nuclear] : MostRecentRun</t>
  </si>
  <si>
    <t>BAU Total Primary Fuel Use[hydro] : MostRecentRun</t>
  </si>
  <si>
    <t>BAU Total Primary Fuel Use[wind] : MostRecentRun</t>
  </si>
  <si>
    <t>BAU Total Primary Fuel Use[solar] : MostRecentRun</t>
  </si>
  <si>
    <t>BAU Total Primary Fuel Use[biomass] : MostRecentRun</t>
  </si>
  <si>
    <t>BAU Total Primary Fuel Use[petroleum gasoline] : MostRecentRun</t>
  </si>
  <si>
    <t>BAU Total Primary Fuel Use[petroleum diesel] : MostRecentRun</t>
  </si>
  <si>
    <t>BAU Total Primary Fuel Use[biofuel gasoline] : MostRecentRun</t>
  </si>
  <si>
    <t>BAU Total Primary Fuel Use[biofuel diesel] : MostRecentRun</t>
  </si>
  <si>
    <t>BAU Total Primary Fuel Use[jet fuel or kerosene] : MostRecentRun</t>
  </si>
  <si>
    <t>BAU Total Primary Fuel Use[heat] : MostRecentRun</t>
  </si>
  <si>
    <t>BAU Total Primary Fuel Use[geothermal] : MostRecentRun</t>
  </si>
  <si>
    <t>BAU Total Primary Fuel Use[lignite] : MostRecentRun</t>
  </si>
  <si>
    <t>BAU Total Primary Fuel Use[crude oil] : MostRecentRun</t>
  </si>
  <si>
    <t>BAU Total Primary Fuel Use[heavy or residual fuel oil] : MostRecentRun</t>
  </si>
  <si>
    <t>BAU Total Primary Fuel Use[LPG propane or butane] : MostRecentRun</t>
  </si>
  <si>
    <t>BAU Total Primary Fuel Use[municipal solid waste] : MostRecentRun</t>
  </si>
  <si>
    <t>BAU Total Primary Fuel Use[hydrogen] : MostRecentRun</t>
  </si>
  <si>
    <t>Crude Oil Production and Imports in India (2021-22)</t>
  </si>
  <si>
    <t>Domestic Oil Production</t>
  </si>
  <si>
    <t>TWh</t>
  </si>
  <si>
    <t xml:space="preserve">Production </t>
  </si>
  <si>
    <t>Imports</t>
  </si>
  <si>
    <t>Exports*</t>
  </si>
  <si>
    <t>MMT</t>
  </si>
  <si>
    <t>MT</t>
  </si>
  <si>
    <t>5yr growth</t>
  </si>
  <si>
    <t>bbl</t>
  </si>
  <si>
    <t>1yr growth</t>
  </si>
  <si>
    <t>million BTU</t>
  </si>
  <si>
    <t>Oil &amp; Petroleum products oversupply (imports) (Vector Y.05)</t>
  </si>
  <si>
    <t>BTU</t>
  </si>
  <si>
    <t>Source: Indian PNG Statistics, 2021-22</t>
  </si>
  <si>
    <t>Table I.1 ;I.4</t>
  </si>
  <si>
    <t>Source: IESS v3</t>
  </si>
  <si>
    <t>*there are no exports for crude oil in India</t>
  </si>
  <si>
    <t xml:space="preserve">XV.c, XVII.b </t>
  </si>
  <si>
    <t>Projections</t>
  </si>
  <si>
    <t>Production (BTU)</t>
  </si>
  <si>
    <t>Imports (BTU)</t>
  </si>
  <si>
    <t>Natural Gas Production and Imports in India (2021-22)</t>
  </si>
  <si>
    <t>Gas Supply (Vector C.03)</t>
  </si>
  <si>
    <t>Production (Gross)</t>
  </si>
  <si>
    <t>MMSCM</t>
  </si>
  <si>
    <t>Cubic metre</t>
  </si>
  <si>
    <t>'000 cubic metre</t>
  </si>
  <si>
    <t>Gas oversupply (imports) (Vector Y.06)</t>
  </si>
  <si>
    <t>Source: Snapshot of India's Oil and Gas Data, Mar 2023</t>
  </si>
  <si>
    <t>Table 2</t>
  </si>
  <si>
    <t>*there are no exports for natural gas in India</t>
  </si>
  <si>
    <t xml:space="preserve">XV.a, XVII.b </t>
  </si>
  <si>
    <t>LPG (2021-22)</t>
  </si>
  <si>
    <t>Petrol (Motor Spirit)  (2021-22)</t>
  </si>
  <si>
    <t>Exports</t>
  </si>
  <si>
    <t>'000 MT</t>
  </si>
  <si>
    <t>litre</t>
  </si>
  <si>
    <t>Aviation Turbine Fuel (ATF/Jet Fuel) (2021-22)</t>
  </si>
  <si>
    <t>Diesel  (2021-22)</t>
  </si>
  <si>
    <t>litres</t>
  </si>
  <si>
    <t>Fuel Oils  (2021-22)</t>
  </si>
  <si>
    <t>Source: Indian Petroleum &amp; Nat Gas Statistics 2021-22, MoPNG</t>
  </si>
  <si>
    <t>Table III.7; VI.2</t>
  </si>
  <si>
    <t>(Oil + Petroleum products basket)</t>
  </si>
  <si>
    <t>Relative shares</t>
  </si>
  <si>
    <t>Prod</t>
  </si>
  <si>
    <t>Imp</t>
  </si>
  <si>
    <t>Exp</t>
  </si>
  <si>
    <t>FO</t>
  </si>
  <si>
    <t>Petrol</t>
  </si>
  <si>
    <t>Table III.7, p47</t>
  </si>
  <si>
    <t>Diesel</t>
  </si>
  <si>
    <t>Total</t>
  </si>
  <si>
    <t>Jet fuel</t>
  </si>
  <si>
    <t>production</t>
  </si>
  <si>
    <t>imports</t>
  </si>
  <si>
    <t>exports</t>
  </si>
  <si>
    <t>Coal (2021-22)</t>
  </si>
  <si>
    <t>Indigenous production (Vector C.01)</t>
  </si>
  <si>
    <t>Million tonnes</t>
  </si>
  <si>
    <t>Coal oversupply (imports) (Vector Y.04)</t>
  </si>
  <si>
    <t>Source: Provisional Coal Statistics, 2022-23; Ministry of Coal</t>
  </si>
  <si>
    <t>Lignite (2021-22)</t>
  </si>
  <si>
    <t>Projections (Coal)</t>
  </si>
  <si>
    <t>Projections (Lignite)</t>
  </si>
  <si>
    <t>Source: Coal Statistics, 2018; Ministry of Coal</t>
  </si>
  <si>
    <t>Production - Statement 3.4, p3.2.</t>
  </si>
  <si>
    <t>Import &amp; Export - Tables 7.1, 7.2, p7.5</t>
  </si>
  <si>
    <t>Biofuel Production (2021-22)</t>
  </si>
  <si>
    <t>Ethanol Production Calculations</t>
  </si>
  <si>
    <t>Ethanol production capacity</t>
  </si>
  <si>
    <t>Crore litres</t>
  </si>
  <si>
    <t>Thousand barrels of oil equivalent per day</t>
  </si>
  <si>
    <t>OMC tendered ethanol under EBP</t>
  </si>
  <si>
    <t>crore litres</t>
  </si>
  <si>
    <t>Kboe/year</t>
  </si>
  <si>
    <t>Since the tendered quanity is greater than production capacity, we assume</t>
  </si>
  <si>
    <t>MBTU</t>
  </si>
  <si>
    <t>that the production is as per full capacity due to assured demand</t>
  </si>
  <si>
    <t>Blending Ratio target for petrol</t>
  </si>
  <si>
    <t>%</t>
  </si>
  <si>
    <t>Source: Energy Institute Statistical Review of World Energy, 2023</t>
  </si>
  <si>
    <t>Blending Ratio target for diesel</t>
  </si>
  <si>
    <t>Ethanol production apportioned to biofeul-gasoline</t>
  </si>
  <si>
    <t>Ethanol production apportioned to biodiesel</t>
  </si>
  <si>
    <t>Source: Ethanol Booklet 2023, Ministry of Petroleum and Natural Gas</t>
  </si>
  <si>
    <t>(TWh)</t>
  </si>
  <si>
    <t>Net Production of First Generation Bio Ethanol</t>
  </si>
  <si>
    <t>Net Production fo second generation bioethanol</t>
  </si>
  <si>
    <t>Total Bioethanol</t>
  </si>
  <si>
    <t>Source: IESS v2</t>
  </si>
  <si>
    <t>Ethanol prod for bio-gasoline (BTU)</t>
  </si>
  <si>
    <t>Ethanol prod for bio-diesel (BTU)</t>
  </si>
  <si>
    <t>Projections of MSW generation</t>
  </si>
  <si>
    <t>Collection Efficiency</t>
  </si>
  <si>
    <t>MSW generated</t>
  </si>
  <si>
    <t>Collection %</t>
  </si>
  <si>
    <t>MSW collected</t>
  </si>
  <si>
    <t>Composition of MSW in 2013*</t>
  </si>
  <si>
    <t>Organic (MMT)</t>
  </si>
  <si>
    <t xml:space="preserve">Organic waste </t>
  </si>
  <si>
    <t>Collection efficiency</t>
  </si>
  <si>
    <t>RDF (MMT)</t>
  </si>
  <si>
    <t>Inert &amp; Non-organic</t>
  </si>
  <si>
    <t>Organic (MT)</t>
  </si>
  <si>
    <t xml:space="preserve">Recyclable </t>
  </si>
  <si>
    <t>RDF (MT)</t>
  </si>
  <si>
    <t>Avg. Refuse Derived Fuel</t>
  </si>
  <si>
    <t>Organic (BTU)</t>
  </si>
  <si>
    <t>Source: Report of the Task Force on Waste-to-Energy, Planning Commission</t>
  </si>
  <si>
    <t>RDF (BTU)</t>
  </si>
  <si>
    <t>Page ii; Text Box-1, page 5</t>
  </si>
  <si>
    <t>MSW Weighted 
Avg (BTU)</t>
  </si>
  <si>
    <t xml:space="preserve">*In this model, we are only concerned with the amount of MSW that is used as a fuel, </t>
  </si>
  <si>
    <t>and exclude the portion that goes to landfills</t>
  </si>
  <si>
    <t>Table 11, page 54</t>
  </si>
  <si>
    <t>Table 6, page 37</t>
  </si>
  <si>
    <t>Net residue availability for biomass pellets*</t>
  </si>
  <si>
    <t>2012</t>
  </si>
  <si>
    <t>2017</t>
  </si>
  <si>
    <t>2022</t>
  </si>
  <si>
    <t>2027</t>
  </si>
  <si>
    <t>2032</t>
  </si>
  <si>
    <t>2037</t>
  </si>
  <si>
    <t>2042</t>
  </si>
  <si>
    <t>2047</t>
  </si>
  <si>
    <t>Bio Energy Feedstock
for Electricity</t>
  </si>
  <si>
    <t>All India (MMT)</t>
  </si>
  <si>
    <t>Rate of change(5yr)</t>
  </si>
  <si>
    <t>(agri-)*</t>
  </si>
  <si>
    <t>Rate of change(1yr)</t>
  </si>
  <si>
    <t>(forest, waste-) **</t>
  </si>
  <si>
    <t xml:space="preserve">*Apart from fodder and other applications, the net agricultural residue availability for biomass pellets </t>
  </si>
  <si>
    <t>Sheet V.a, Table V.d (Available feedstock for Bioenergy), Trajectory 2 (BAU)</t>
  </si>
  <si>
    <t>also takes into account the residue used for biomass power/cogeneration projects</t>
  </si>
  <si>
    <t xml:space="preserve">**Biomass surplus from forest and wasteland is kept constant at 2004 levels due to significant </t>
  </si>
  <si>
    <t>alternate uses such as consumption by local population, wood, paper industries etc.</t>
  </si>
  <si>
    <t>Source: Purohit &amp; Chaturvedi (2017)</t>
  </si>
  <si>
    <t xml:space="preserve">Biomass generation </t>
  </si>
  <si>
    <t>Fuel Use Assumptions 
(Uranium)</t>
  </si>
  <si>
    <t>Fuel Use (Domestic Nat U)(Te)</t>
  </si>
  <si>
    <t>Fuel Use (Imported Nat U)(Te)</t>
  </si>
  <si>
    <t>Domestic BTU</t>
  </si>
  <si>
    <t>Imported BTU</t>
  </si>
  <si>
    <t>Imported (BTU)</t>
  </si>
  <si>
    <t>ref2019.d111618a</t>
  </si>
  <si>
    <t>Report</t>
  </si>
  <si>
    <t>Scenario</t>
  </si>
  <si>
    <t>ref2019</t>
  </si>
  <si>
    <t>Reference case</t>
  </si>
  <si>
    <t>Datekey</t>
  </si>
  <si>
    <t>d111618a</t>
  </si>
  <si>
    <t>Release Date</t>
  </si>
  <si>
    <t xml:space="preserve"> January 2019</t>
  </si>
  <si>
    <t>CNV000</t>
  </si>
  <si>
    <t>73. Conversion Factors</t>
  </si>
  <si>
    <t>(from physical units to million Btu)</t>
  </si>
  <si>
    <t/>
  </si>
  <si>
    <t>2018-</t>
  </si>
  <si>
    <t>Petroleum and Other Liquids</t>
  </si>
  <si>
    <t>(million Btu per barrel)</t>
  </si>
  <si>
    <t>CNV000:aa_AsphaltandRoa</t>
  </si>
  <si>
    <t xml:space="preserve">  Asphalt and Road Oil</t>
  </si>
  <si>
    <t>CNV000:aa_AviationGasol</t>
  </si>
  <si>
    <t xml:space="preserve">  Aviation Gasoline</t>
  </si>
  <si>
    <t>CNV000:ea_Biodiesel</t>
  </si>
  <si>
    <t xml:space="preserve">  Biodiesel</t>
  </si>
  <si>
    <t>CNV000:aa_Distillate</t>
  </si>
  <si>
    <t xml:space="preserve">  Distillate Fuel Oil</t>
  </si>
  <si>
    <t>CNV000:aa_Residential</t>
  </si>
  <si>
    <t xml:space="preserve">    Residential</t>
  </si>
  <si>
    <t>CNV000:aa_Commercial</t>
  </si>
  <si>
    <t xml:space="preserve">    Commercial</t>
  </si>
  <si>
    <t>CNV000:aa_Transportatio</t>
  </si>
  <si>
    <t xml:space="preserve">    Transportation</t>
  </si>
  <si>
    <t>CNV000:aa_Industrial</t>
  </si>
  <si>
    <t xml:space="preserve">    Industrial</t>
  </si>
  <si>
    <t>CNV000:aa_ElectricPower</t>
  </si>
  <si>
    <t xml:space="preserve">    Electric Power</t>
  </si>
  <si>
    <t>CNV000:aa_TotalDistilla</t>
  </si>
  <si>
    <t xml:space="preserve">      Total Distillate</t>
  </si>
  <si>
    <t>CNV000:aa_DistLowSulf</t>
  </si>
  <si>
    <t xml:space="preserve">  Distillate Fuel Oil - Low Sulfur Diesel</t>
  </si>
  <si>
    <t>CNV000:aa_DistUltraLow</t>
  </si>
  <si>
    <t xml:space="preserve">  Distillate Fuel Oil - Ultra Low Sulfur Diesel</t>
  </si>
  <si>
    <t>CNV000:aa_Ethanol</t>
  </si>
  <si>
    <t xml:space="preserve">  Ethanol including denaturant</t>
  </si>
  <si>
    <t>CNV000:aa_E85</t>
  </si>
  <si>
    <t xml:space="preserve">  E85</t>
  </si>
  <si>
    <t>CNV000:aa_JetFuel-Keros</t>
  </si>
  <si>
    <t xml:space="preserve">  Jet Fuel - Kerosene</t>
  </si>
  <si>
    <t>CNV000:aa_Lubricants</t>
  </si>
  <si>
    <t xml:space="preserve">  Lubricants</t>
  </si>
  <si>
    <t>CNV000:aa_MotorGasoline</t>
  </si>
  <si>
    <t xml:space="preserve">  Motor Gasoline Average</t>
  </si>
  <si>
    <t>CNV000:aa_TradMotorGas</t>
  </si>
  <si>
    <t xml:space="preserve">     Conventional Motor Gasoline</t>
  </si>
  <si>
    <t>CNV000:aa_ReforMotorGas</t>
  </si>
  <si>
    <t xml:space="preserve">     Reformulated Motor Gasoline</t>
  </si>
  <si>
    <t>CNV000:convert_cbob</t>
  </si>
  <si>
    <t xml:space="preserve">     Conventional before Blending</t>
  </si>
  <si>
    <t>CNV000:convert_rbob</t>
  </si>
  <si>
    <t xml:space="preserve">     Reformulated before Blending</t>
  </si>
  <si>
    <t>CNV000:aa_PentanesPlus</t>
  </si>
  <si>
    <t xml:space="preserve">  Natural Gasoline</t>
  </si>
  <si>
    <t>CNV000:aa_OtherPetroleu</t>
  </si>
  <si>
    <t xml:space="preserve">  Other Petroleum</t>
  </si>
  <si>
    <t>CNV000:aa_PetrochemFeed</t>
  </si>
  <si>
    <t xml:space="preserve">  Petrochemical Feedstocks</t>
  </si>
  <si>
    <t>CNV000:aa_PetroleumCoke</t>
  </si>
  <si>
    <t xml:space="preserve">  Petroleum Coke</t>
  </si>
  <si>
    <t>CNV000:aa_ResidualFuel</t>
  </si>
  <si>
    <t xml:space="preserve">  Residual Fuel</t>
  </si>
  <si>
    <t>CNV000:aa_StillGas</t>
  </si>
  <si>
    <t xml:space="preserve">  Still Gas</t>
  </si>
  <si>
    <t>CNV000:aa_UnfinishOilIm</t>
  </si>
  <si>
    <t xml:space="preserve">  Unfinished Oils</t>
  </si>
  <si>
    <t>CNV000:aa_TotalPetroleu</t>
  </si>
  <si>
    <t xml:space="preserve">  Total Petroleum Consumption</t>
  </si>
  <si>
    <t>CNV000:aa_Imports</t>
  </si>
  <si>
    <t xml:space="preserve">  Petroleum Product Imports</t>
  </si>
  <si>
    <t>CNV000:aa_Exports</t>
  </si>
  <si>
    <t xml:space="preserve">  Petroleum Product Exports</t>
  </si>
  <si>
    <t xml:space="preserve">  Crude Oil</t>
  </si>
  <si>
    <t>CNV000:aa_CrudeOilProdu</t>
  </si>
  <si>
    <t xml:space="preserve">    Production</t>
  </si>
  <si>
    <t>CNV000:aa_CrudeOilImpor</t>
  </si>
  <si>
    <t xml:space="preserve">    Imports</t>
  </si>
  <si>
    <t>CNV000:aa_CrudeOilExpor</t>
  </si>
  <si>
    <t xml:space="preserve">    Exports</t>
  </si>
  <si>
    <t>CNV000:aa_NaturalGasPla</t>
  </si>
  <si>
    <t xml:space="preserve">  Natural Gas Plant Liquids</t>
  </si>
  <si>
    <t>Natural Gas (thousand Btu per cubic foot)</t>
  </si>
  <si>
    <t>CNV000:ba_Consumption</t>
  </si>
  <si>
    <t xml:space="preserve">  Consumption</t>
  </si>
  <si>
    <t>CNV000:ba_Utility</t>
  </si>
  <si>
    <t xml:space="preserve">    Electric Power Sector 2/</t>
  </si>
  <si>
    <t>CNV000:ba_Nonutility</t>
  </si>
  <si>
    <t xml:space="preserve">    End-use Sector</t>
  </si>
  <si>
    <t>CNV000:ba_Production</t>
  </si>
  <si>
    <t xml:space="preserve">  Production</t>
  </si>
  <si>
    <t>CNV000:ba_Imports</t>
  </si>
  <si>
    <t xml:space="preserve">  Imports</t>
  </si>
  <si>
    <t>CNV000:ba_Exports</t>
  </si>
  <si>
    <t xml:space="preserve">  Exports</t>
  </si>
  <si>
    <t>CNV000:ba_CompressedNat</t>
  </si>
  <si>
    <t xml:space="preserve">  Compressed/Liquefied Natural Gas</t>
  </si>
  <si>
    <t>Coal (million Btu per short ton)</t>
  </si>
  <si>
    <t>CNV000:ca_Production</t>
  </si>
  <si>
    <t>CNV000:ca_EastoftheMiss</t>
  </si>
  <si>
    <t xml:space="preserve">    East of the Mississippi</t>
  </si>
  <si>
    <t>CNV000:ca_WestoftheMiss</t>
  </si>
  <si>
    <t xml:space="preserve">    West of the Mississippi</t>
  </si>
  <si>
    <t>CNV000:ca_Consumption</t>
  </si>
  <si>
    <t>CNV000:ca_Residentialan</t>
  </si>
  <si>
    <t xml:space="preserve">    Commercial and Institutional</t>
  </si>
  <si>
    <t>CNV000:ca_Industrial</t>
  </si>
  <si>
    <t xml:space="preserve">    Industrial 3/</t>
  </si>
  <si>
    <t>CNV000:ca_Coking</t>
  </si>
  <si>
    <t xml:space="preserve">    Coking</t>
  </si>
  <si>
    <t>CNV000:ca_ElectricPower</t>
  </si>
  <si>
    <t xml:space="preserve">    Electric Power 2/</t>
  </si>
  <si>
    <t>CNV000:ca_Imports</t>
  </si>
  <si>
    <t>CNV000:ca_Exports</t>
  </si>
  <si>
    <t>CNV000:ca_CoaltoLiquids</t>
  </si>
  <si>
    <t xml:space="preserve">  Coal to Liquids</t>
  </si>
  <si>
    <t>- -</t>
  </si>
  <si>
    <t>CNV000:ca_WasteCoal</t>
  </si>
  <si>
    <t xml:space="preserve">  Waste Coal</t>
  </si>
  <si>
    <t>CNV000:da_Electricity</t>
  </si>
  <si>
    <t>Electricity (Btu per kilowatthour)</t>
  </si>
  <si>
    <t xml:space="preserve">   1/ Includes ethane, natural gasoline, and refinery olefins.</t>
  </si>
  <si>
    <t xml:space="preserve">   2/ Includes all electricity-only and combined heat and power plants that have a regulatory status.</t>
  </si>
  <si>
    <t xml:space="preserve">   3/ Includes combined heat and power plants that have a non-regulatory status, and small on-site generating systems.</t>
  </si>
  <si>
    <t xml:space="preserve">   - - = Not applicable.</t>
  </si>
  <si>
    <t xml:space="preserve">   Note:  Data for 2017 are model results and may differ from official EIA data reports.</t>
  </si>
  <si>
    <t xml:space="preserve">   Sources:  2017 based on:  U.S. Energy Information Administration (EIA), Monthly Energy Review, September 2018.</t>
  </si>
  <si>
    <t>2018:  EIA, Short-Term Energy Outlook, October 2018 and EIA, AEO2019 National Energy Modeling System run ref2019.d111618a.</t>
  </si>
  <si>
    <t>Projections:  EIA, AEO2019 National Energy Modeling System run ref2019.d111618a.</t>
  </si>
  <si>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</si>
  <si>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</si>
  <si>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</si>
  <si>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</si>
  <si>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</si>
  <si>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</si>
  <si>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</si>
  <si>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</si>
  <si>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</si>
  <si>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</si>
  <si>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</si>
  <si>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</si>
  <si>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</si>
  <si>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</si>
  <si>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</si>
  <si>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</si>
  <si>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</si>
  <si>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</si>
  <si>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</si>
  <si>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</si>
  <si>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</si>
  <si>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</si>
  <si>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heat (energy carrier)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</si>
</sst>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41" formatCode="_(* #,##0_);_(* \(#,##0\);_(* &quot;-&quot;_);_(@_)"/>
    <numFmt numFmtId="43" formatCode="_(* #,##0.00_);_(* \(#,##0.00\);_(* &quot;-&quot;??_);_(@_)"/>
    <numFmt numFmtId="164" formatCode="_ * #,##0.00_ ;_ * \-#,##0.00_ ;_ * &quot;-&quot;??_ ;_ @_ "/>
    <numFmt numFmtId="165" formatCode="0.0%"/>
    <numFmt numFmtId="166" formatCode="0.0000"/>
    <numFmt numFmtId="167" formatCode="0.0"/>
    <numFmt numFmtId="168" formatCode="#,##0.000"/>
    <numFmt numFmtId="169" formatCode="0.000"/>
    <numFmt numFmtId="170" formatCode="#,##0_);\(#,##0\);&quot;-&quot;_);@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_);\(#,##0.0\);&quot;-&quot;;@"/>
    <numFmt numFmtId="175" formatCode="#,##0.0_);\(#,##0.0\);&quot;-&quot;_);@"/>
    <numFmt numFmtId="176" formatCode="0%;\ \(0%\);\ \-"/>
    <numFmt numFmtId="177" formatCode="&quot;$&quot;#,##0\ ;\(&quot;$&quot;#,##0\)"/>
    <numFmt numFmtId="178" formatCode="0.00_)"/>
    <numFmt numFmtId="179" formatCode="mm/dd/yy"/>
    <numFmt numFmtId="180" formatCode="0.0_ ;\-0.0\ "/>
  </numFmts>
  <fonts count="9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6"/>
      <color theme="1"/>
      <name val="Arial"/>
      <family val="2"/>
    </font>
    <font>
      <b/>
      <sz val="10"/>
      <name val="Cambria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1"/>
      <scheme val="minor"/>
    </font>
    <font>
      <b/>
      <sz val="10"/>
      <color theme="1"/>
      <name val="Cambria"/>
      <family val="2"/>
      <scheme val="major"/>
    </font>
    <font>
      <sz val="10"/>
      <color theme="1"/>
      <name val="Cambria"/>
      <family val="2"/>
      <scheme val="major"/>
    </font>
    <font>
      <sz val="10"/>
      <color theme="1"/>
      <name val="Calibri"/>
      <family val="1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rgb="FF3F3F76"/>
      <name val="Arial"/>
      <family val="2"/>
    </font>
    <font>
      <sz val="8"/>
      <name val="Calibri"/>
      <family val="1"/>
      <scheme val="minor"/>
    </font>
    <font>
      <b/>
      <sz val="10"/>
      <name val="Calibri"/>
      <family val="1"/>
      <scheme val="minor"/>
    </font>
    <font>
      <b/>
      <sz val="10"/>
      <color theme="1"/>
      <name val="Arial"/>
      <family val="2"/>
    </font>
    <font>
      <u/>
      <sz val="10"/>
      <color theme="10"/>
      <name val="Calibri"/>
      <family val="1"/>
      <scheme val="minor"/>
    </font>
    <font>
      <sz val="10"/>
      <color indexed="8"/>
      <name val="Calibri"/>
      <family val="1"/>
    </font>
    <font>
      <u/>
      <sz val="8.5"/>
      <color theme="10"/>
      <name val="Cambria"/>
      <family val="1"/>
    </font>
    <font>
      <sz val="10"/>
      <color rgb="FF006100"/>
      <name val="Arial"/>
      <family val="2"/>
    </font>
    <font>
      <sz val="10"/>
      <color theme="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color indexed="8"/>
      <name val="Footlight MT Light"/>
      <family val="1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Helv"/>
    </font>
    <font>
      <i/>
      <sz val="9"/>
      <name val="FrankLinGothicCond"/>
    </font>
    <font>
      <sz val="10"/>
      <color indexed="8"/>
      <name val="Antique Olive"/>
      <family val="2"/>
    </font>
    <font>
      <sz val="10"/>
      <name val="MS Serif"/>
      <family val="1"/>
    </font>
    <font>
      <sz val="9"/>
      <name val="FrankLinGothicCond"/>
    </font>
    <font>
      <sz val="10"/>
      <color indexed="16"/>
      <name val="MS Serif"/>
      <family val="1"/>
    </font>
    <font>
      <sz val="16"/>
      <color indexed="8"/>
      <name val="Footlight MT Light"/>
      <family val="1"/>
    </font>
    <font>
      <sz val="8"/>
      <name val="FrankLinGothicCond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6"/>
      <name val="Times New Roman"/>
      <family val="1"/>
    </font>
    <font>
      <b/>
      <sz val="9"/>
      <name val="Helv"/>
    </font>
    <font>
      <b/>
      <sz val="10"/>
      <name val="Times New Roman"/>
      <family val="1"/>
    </font>
    <font>
      <sz val="11"/>
      <color indexed="60"/>
      <name val="Calibri"/>
      <family val="2"/>
    </font>
    <font>
      <sz val="7"/>
      <name val="Small Fonts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8"/>
      <name val="Helv"/>
    </font>
    <font>
      <b/>
      <sz val="9"/>
      <name val="FrankLinGothicCond"/>
    </font>
    <font>
      <b/>
      <i/>
      <sz val="9"/>
      <name val="FrankLinGothicCond"/>
    </font>
    <font>
      <b/>
      <sz val="8"/>
      <name val="FrankLinGothicCond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1"/>
      <name val="Times"/>
      <family val="1"/>
    </font>
    <font>
      <sz val="11"/>
      <name val="Times"/>
    </font>
    <font>
      <b/>
      <sz val="11"/>
      <name val="FranklinGothicCond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9"/>
      </patternFill>
    </fill>
    <fill>
      <patternFill patternType="solid">
        <fgColor theme="3" tint="-0.2499465926084170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1" tint="4.9989318521683403E-2"/>
      </top>
      <bottom style="thin">
        <color theme="0" tint="-0.3499862666707357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/>
      <right/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39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7" fillId="0" borderId="0" applyNumberFormat="0" applyProtection="0">
      <alignment horizontal="left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43" fontId="10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7" fillId="0" borderId="0" applyNumberFormat="0" applyProtection="0">
      <alignment horizontal="left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12" fillId="0" borderId="0" applyNumberFormat="0" applyProtection="0">
      <alignment vertical="top" wrapText="1"/>
    </xf>
    <xf numFmtId="0" fontId="13" fillId="0" borderId="5" applyNumberFormat="0" applyProtection="0">
      <alignment horizontal="left" wrapText="1"/>
    </xf>
    <xf numFmtId="0" fontId="12" fillId="0" borderId="6" applyNumberFormat="0" applyFont="0" applyFill="0" applyProtection="0">
      <alignment wrapText="1"/>
    </xf>
    <xf numFmtId="0" fontId="13" fillId="0" borderId="7" applyNumberFormat="0" applyFill="0" applyProtection="0">
      <alignment wrapText="1"/>
    </xf>
    <xf numFmtId="0" fontId="22" fillId="0" borderId="0"/>
    <xf numFmtId="176" fontId="24" fillId="0" borderId="0" applyFont="0" applyFill="0" applyBorder="0" applyAlignment="0" applyProtection="0"/>
    <xf numFmtId="175" fontId="22" fillId="0" borderId="0" applyFont="0" applyFill="0" applyBorder="0" applyAlignment="0" applyProtection="0"/>
    <xf numFmtId="0" fontId="25" fillId="14" borderId="25" applyNumberFormat="0" applyAlignment="0" applyProtection="0"/>
    <xf numFmtId="174" fontId="26" fillId="0" borderId="0" applyNumberFormat="0" applyFill="0" applyBorder="0" applyAlignment="0" applyProtection="0"/>
    <xf numFmtId="0" fontId="19" fillId="0" borderId="32" applyNumberFormat="0">
      <alignment horizontal="left" vertical="center"/>
    </xf>
    <xf numFmtId="0" fontId="11" fillId="0" borderId="0"/>
    <xf numFmtId="176" fontId="24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/>
    <xf numFmtId="0" fontId="23" fillId="39" borderId="0" applyNumberFormat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3" fillId="19" borderId="0" applyNumberFormat="0" applyBorder="0" applyAlignment="0" applyProtection="0"/>
    <xf numFmtId="0" fontId="29" fillId="0" borderId="0" applyNumberFormat="0" applyFill="0" applyBorder="0" applyAlignment="0" applyProtection="0"/>
    <xf numFmtId="0" fontId="23" fillId="0" borderId="0"/>
    <xf numFmtId="172" fontId="23" fillId="0" borderId="0" applyFont="0" applyFill="0" applyBorder="0" applyAlignment="0" applyProtection="0"/>
    <xf numFmtId="0" fontId="23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2" fillId="11" borderId="0" applyNumberFormat="0" applyBorder="0" applyAlignment="0" applyProtection="0"/>
    <xf numFmtId="0" fontId="23" fillId="39" borderId="0" applyNumberFormat="0" applyBorder="0" applyAlignment="0" applyProtection="0"/>
    <xf numFmtId="0" fontId="23" fillId="0" borderId="0"/>
    <xf numFmtId="0" fontId="23" fillId="0" borderId="0"/>
    <xf numFmtId="0" fontId="23" fillId="39" borderId="0" applyNumberFormat="0" applyBorder="0" applyAlignment="0" applyProtection="0"/>
    <xf numFmtId="0" fontId="33" fillId="38" borderId="0" applyNumberFormat="0" applyBorder="0" applyAlignment="0" applyProtection="0"/>
    <xf numFmtId="0" fontId="34" fillId="0" borderId="0" applyNumberFormat="0" applyFill="0" applyBorder="0" applyAlignment="0" applyProtection="0"/>
    <xf numFmtId="0" fontId="35" fillId="0" borderId="22" applyNumberFormat="0" applyFill="0" applyAlignment="0" applyProtection="0"/>
    <xf numFmtId="0" fontId="36" fillId="0" borderId="23" applyNumberFormat="0" applyFill="0" applyAlignment="0" applyProtection="0"/>
    <xf numFmtId="0" fontId="37" fillId="0" borderId="24" applyNumberFormat="0" applyFill="0" applyAlignment="0" applyProtection="0"/>
    <xf numFmtId="0" fontId="37" fillId="0" borderId="0" applyNumberFormat="0" applyFill="0" applyBorder="0" applyAlignment="0" applyProtection="0"/>
    <xf numFmtId="0" fontId="38" fillId="12" borderId="0" applyNumberFormat="0" applyBorder="0" applyAlignment="0" applyProtection="0"/>
    <xf numFmtId="0" fontId="39" fillId="13" borderId="0" applyNumberFormat="0" applyBorder="0" applyAlignment="0" applyProtection="0"/>
    <xf numFmtId="0" fontId="40" fillId="15" borderId="26" applyNumberFormat="0" applyAlignment="0" applyProtection="0"/>
    <xf numFmtId="0" fontId="41" fillId="15" borderId="25" applyNumberFormat="0" applyAlignment="0" applyProtection="0"/>
    <xf numFmtId="0" fontId="42" fillId="0" borderId="27" applyNumberFormat="0" applyFill="0" applyAlignment="0" applyProtection="0"/>
    <xf numFmtId="0" fontId="43" fillId="16" borderId="28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8" fillId="0" borderId="30" applyNumberFormat="0" applyFill="0" applyAlignment="0" applyProtection="0"/>
    <xf numFmtId="0" fontId="33" fillId="18" borderId="0" applyNumberFormat="0" applyBorder="0" applyAlignment="0" applyProtection="0"/>
    <xf numFmtId="0" fontId="23" fillId="20" borderId="0" applyNumberFormat="0" applyBorder="0" applyAlignment="0" applyProtection="0"/>
    <xf numFmtId="0" fontId="33" fillId="21" borderId="0" applyNumberFormat="0" applyBorder="0" applyAlignment="0" applyProtection="0"/>
    <xf numFmtId="0" fontId="3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33" fillId="25" borderId="0" applyNumberFormat="0" applyBorder="0" applyAlignment="0" applyProtection="0"/>
    <xf numFmtId="0" fontId="3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33" fillId="29" borderId="0" applyNumberFormat="0" applyBorder="0" applyAlignment="0" applyProtection="0"/>
    <xf numFmtId="0" fontId="3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33" fillId="37" borderId="0" applyNumberFormat="0" applyBorder="0" applyAlignment="0" applyProtection="0"/>
    <xf numFmtId="0" fontId="23" fillId="40" borderId="0" applyNumberFormat="0" applyBorder="0" applyAlignment="0" applyProtection="0"/>
    <xf numFmtId="0" fontId="33" fillId="41" borderId="0" applyNumberFormat="0" applyBorder="0" applyAlignment="0" applyProtection="0"/>
    <xf numFmtId="0" fontId="23" fillId="0" borderId="0"/>
    <xf numFmtId="0" fontId="23" fillId="17" borderId="29" applyNumberFormat="0" applyFont="0" applyAlignment="0" applyProtection="0"/>
    <xf numFmtId="0" fontId="23" fillId="19" borderId="0" applyNumberFormat="0" applyBorder="0" applyAlignment="0" applyProtection="0"/>
    <xf numFmtId="0" fontId="23" fillId="39" borderId="0" applyNumberFormat="0" applyBorder="0" applyAlignment="0" applyProtection="0"/>
    <xf numFmtId="0" fontId="23" fillId="0" borderId="0"/>
    <xf numFmtId="0" fontId="23" fillId="17" borderId="29" applyNumberFormat="0" applyFont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0" borderId="0"/>
    <xf numFmtId="0" fontId="23" fillId="17" borderId="29" applyNumberFormat="0" applyFont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10" fillId="0" borderId="0"/>
    <xf numFmtId="175" fontId="22" fillId="0" borderId="0" applyFont="0" applyFill="0" applyBorder="0" applyAlignment="0" applyProtection="0"/>
    <xf numFmtId="0" fontId="10" fillId="0" borderId="0"/>
    <xf numFmtId="0" fontId="23" fillId="39" borderId="0" applyNumberFormat="0" applyBorder="0" applyAlignment="0" applyProtection="0"/>
    <xf numFmtId="0" fontId="10" fillId="0" borderId="0"/>
    <xf numFmtId="43" fontId="46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5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49" borderId="0" applyNumberFormat="0" applyBorder="0" applyAlignment="0" applyProtection="0"/>
    <xf numFmtId="0" fontId="46" fillId="50" borderId="0" applyNumberFormat="0" applyBorder="0" applyAlignment="0" applyProtection="0"/>
    <xf numFmtId="0" fontId="46" fillId="51" borderId="0" applyNumberFormat="0" applyBorder="0" applyAlignment="0" applyProtection="0"/>
    <xf numFmtId="0" fontId="46" fillId="46" borderId="0" applyNumberFormat="0" applyBorder="0" applyAlignment="0" applyProtection="0"/>
    <xf numFmtId="0" fontId="46" fillId="49" borderId="0" applyNumberFormat="0" applyBorder="0" applyAlignment="0" applyProtection="0"/>
    <xf numFmtId="0" fontId="46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0" borderId="0" applyNumberFormat="0" applyBorder="0" applyAlignment="0" applyProtection="0"/>
    <xf numFmtId="0" fontId="47" fillId="51" borderId="0" applyNumberFormat="0" applyBorder="0" applyAlignment="0" applyProtection="0"/>
    <xf numFmtId="0" fontId="47" fillId="54" borderId="0" applyNumberFormat="0" applyBorder="0" applyAlignment="0" applyProtection="0"/>
    <xf numFmtId="0" fontId="47" fillId="55" borderId="0" applyNumberFormat="0" applyBorder="0" applyAlignment="0" applyProtection="0"/>
    <xf numFmtId="0" fontId="47" fillId="56" borderId="0" applyNumberFormat="0" applyBorder="0" applyAlignment="0" applyProtection="0"/>
    <xf numFmtId="0" fontId="11" fillId="49" borderId="0" applyNumberFormat="0" applyBorder="0" applyAlignment="0">
      <protection locked="0"/>
    </xf>
    <xf numFmtId="4" fontId="48" fillId="0" borderId="37" applyFill="0">
      <alignment vertical="center"/>
      <protection locked="0"/>
    </xf>
    <xf numFmtId="4" fontId="48" fillId="0" borderId="37" applyFill="0">
      <alignment vertical="center"/>
      <protection locked="0"/>
    </xf>
    <xf numFmtId="0" fontId="5" fillId="0" borderId="0" applyFill="0" applyBorder="0" applyAlignment="0"/>
    <xf numFmtId="0" fontId="49" fillId="57" borderId="38" applyNumberFormat="0" applyAlignment="0" applyProtection="0"/>
    <xf numFmtId="0" fontId="49" fillId="57" borderId="38" applyNumberFormat="0" applyAlignment="0" applyProtection="0"/>
    <xf numFmtId="0" fontId="49" fillId="57" borderId="38" applyNumberFormat="0" applyAlignment="0" applyProtection="0"/>
    <xf numFmtId="0" fontId="50" fillId="0" borderId="39" applyNumberFormat="0" applyFill="0" applyAlignment="0" applyProtection="0"/>
    <xf numFmtId="0" fontId="51" fillId="58" borderId="40" applyNumberFormat="0" applyAlignment="0" applyProtection="0"/>
    <xf numFmtId="0" fontId="47" fillId="59" borderId="0" applyNumberFormat="0" applyBorder="0" applyAlignment="0" applyProtection="0"/>
    <xf numFmtId="0" fontId="47" fillId="60" borderId="0" applyNumberFormat="0" applyBorder="0" applyAlignment="0" applyProtection="0"/>
    <xf numFmtId="0" fontId="47" fillId="61" borderId="0" applyNumberFormat="0" applyBorder="0" applyAlignment="0" applyProtection="0"/>
    <xf numFmtId="0" fontId="47" fillId="54" borderId="0" applyNumberFormat="0" applyBorder="0" applyAlignment="0" applyProtection="0"/>
    <xf numFmtId="0" fontId="47" fillId="55" borderId="0" applyNumberFormat="0" applyBorder="0" applyAlignment="0" applyProtection="0"/>
    <xf numFmtId="0" fontId="47" fillId="62" borderId="0" applyNumberFormat="0" applyBorder="0" applyAlignment="0" applyProtection="0"/>
    <xf numFmtId="0" fontId="52" fillId="0" borderId="0"/>
    <xf numFmtId="0" fontId="52" fillId="0" borderId="0"/>
    <xf numFmtId="0" fontId="53" fillId="0" borderId="31">
      <alignment horizontal="right" wrapText="1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3" fontId="54" fillId="0" borderId="0" applyFont="0" applyFill="0" applyBorder="0" applyAlignment="0" applyProtection="0"/>
    <xf numFmtId="0" fontId="55" fillId="0" borderId="0" applyNumberFormat="0" applyAlignment="0">
      <alignment horizontal="left"/>
    </xf>
    <xf numFmtId="177" fontId="54" fillId="0" borderId="0" applyFont="0" applyFill="0" applyBorder="0" applyAlignment="0" applyProtection="0"/>
    <xf numFmtId="3" fontId="56" fillId="0" borderId="0">
      <alignment horizontal="right"/>
    </xf>
    <xf numFmtId="0" fontId="56" fillId="0" borderId="0">
      <alignment horizontal="left"/>
    </xf>
    <xf numFmtId="0" fontId="54" fillId="0" borderId="0" applyFont="0" applyFill="0" applyBorder="0" applyAlignment="0" applyProtection="0"/>
    <xf numFmtId="0" fontId="57" fillId="0" borderId="0" applyNumberFormat="0" applyAlignment="0">
      <alignment horizontal="left"/>
    </xf>
    <xf numFmtId="4" fontId="58" fillId="0" borderId="0" applyFill="0" applyBorder="0">
      <protection locked="0"/>
    </xf>
    <xf numFmtId="2" fontId="54" fillId="0" borderId="0" applyFont="0" applyFill="0" applyBorder="0" applyAlignment="0" applyProtection="0"/>
    <xf numFmtId="0" fontId="59" fillId="0" borderId="0">
      <alignment wrapText="1"/>
    </xf>
    <xf numFmtId="38" fontId="6" fillId="63" borderId="0" applyNumberFormat="0" applyBorder="0" applyAlignment="0" applyProtection="0"/>
    <xf numFmtId="0" fontId="60" fillId="0" borderId="35" applyNumberFormat="0" applyAlignment="0" applyProtection="0">
      <alignment horizontal="left" vertical="center"/>
    </xf>
    <xf numFmtId="0" fontId="60" fillId="0" borderId="33">
      <alignment horizontal="left" vertical="center"/>
    </xf>
    <xf numFmtId="0" fontId="60" fillId="0" borderId="33">
      <alignment horizontal="left" vertical="center"/>
    </xf>
    <xf numFmtId="0" fontId="60" fillId="0" borderId="33">
      <alignment horizontal="left" vertical="center"/>
    </xf>
    <xf numFmtId="0" fontId="61" fillId="0" borderId="0" applyNumberFormat="0" applyFill="0" applyBorder="0" applyAlignment="0" applyProtection="0">
      <alignment vertical="top"/>
      <protection locked="0"/>
    </xf>
    <xf numFmtId="10" fontId="6" fillId="64" borderId="21" applyNumberFormat="0" applyBorder="0" applyAlignment="0" applyProtection="0"/>
    <xf numFmtId="10" fontId="6" fillId="64" borderId="21" applyNumberFormat="0" applyBorder="0" applyAlignment="0" applyProtection="0"/>
    <xf numFmtId="10" fontId="6" fillId="64" borderId="21" applyNumberFormat="0" applyBorder="0" applyAlignment="0" applyProtection="0"/>
    <xf numFmtId="178" fontId="62" fillId="0" borderId="36" applyNumberFormat="0" applyFill="0" applyBorder="0">
      <alignment horizontal="left" vertical="center"/>
    </xf>
    <xf numFmtId="178" fontId="63" fillId="0" borderId="0"/>
    <xf numFmtId="167" fontId="64" fillId="0" borderId="34">
      <alignment horizontal="right"/>
    </xf>
    <xf numFmtId="0" fontId="65" fillId="65" borderId="0" applyNumberFormat="0" applyBorder="0" applyAlignment="0" applyProtection="0"/>
    <xf numFmtId="37" fontId="66" fillId="0" borderId="0"/>
    <xf numFmtId="41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7" fillId="0" borderId="0"/>
    <xf numFmtId="0" fontId="68" fillId="0" borderId="0"/>
    <xf numFmtId="0" fontId="69" fillId="0" borderId="0"/>
    <xf numFmtId="0" fontId="11" fillId="0" borderId="0"/>
    <xf numFmtId="0" fontId="11" fillId="66" borderId="41" applyNumberFormat="0" applyFont="0" applyAlignment="0" applyProtection="0"/>
    <xf numFmtId="0" fontId="11" fillId="66" borderId="41" applyNumberFormat="0" applyFont="0" applyAlignment="0" applyProtection="0"/>
    <xf numFmtId="0" fontId="11" fillId="66" borderId="41" applyNumberFormat="0" applyFont="0" applyAlignment="0" applyProtection="0"/>
    <xf numFmtId="0" fontId="52" fillId="0" borderId="0"/>
    <xf numFmtId="0" fontId="52" fillId="0" borderId="0"/>
    <xf numFmtId="0" fontId="52" fillId="0" borderId="42"/>
    <xf numFmtId="0" fontId="52" fillId="0" borderId="42"/>
    <xf numFmtId="10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79" fontId="70" fillId="0" borderId="0" applyNumberFormat="0" applyFill="0" applyBorder="0" applyAlignment="0" applyProtection="0">
      <alignment horizontal="left"/>
    </xf>
    <xf numFmtId="0" fontId="56" fillId="0" borderId="0" applyBorder="0">
      <alignment horizontal="left" vertical="center" wrapText="1"/>
    </xf>
    <xf numFmtId="0" fontId="71" fillId="0" borderId="0" applyBorder="0">
      <alignment horizontal="left" vertical="center" wrapText="1"/>
    </xf>
    <xf numFmtId="0" fontId="72" fillId="0" borderId="0" applyBorder="0">
      <alignment horizontal="left" vertical="center" wrapText="1"/>
    </xf>
    <xf numFmtId="0" fontId="52" fillId="0" borderId="0"/>
    <xf numFmtId="0" fontId="59" fillId="0" borderId="0">
      <alignment vertical="top"/>
    </xf>
    <xf numFmtId="0" fontId="59" fillId="0" borderId="0"/>
    <xf numFmtId="0" fontId="73" fillId="0" borderId="0"/>
    <xf numFmtId="0" fontId="73" fillId="0" borderId="0">
      <alignment vertical="top"/>
    </xf>
    <xf numFmtId="0" fontId="74" fillId="0" borderId="21">
      <alignment horizontal="center"/>
    </xf>
    <xf numFmtId="0" fontId="74" fillId="0" borderId="21">
      <alignment horizontal="center"/>
    </xf>
    <xf numFmtId="0" fontId="74" fillId="0" borderId="21">
      <alignment horizontal="center"/>
    </xf>
    <xf numFmtId="0" fontId="74" fillId="0" borderId="0">
      <alignment horizontal="center" vertical="center"/>
    </xf>
    <xf numFmtId="0" fontId="75" fillId="67" borderId="0" applyNumberFormat="0" applyFill="0">
      <alignment horizontal="left" vertical="center"/>
    </xf>
    <xf numFmtId="40" fontId="76" fillId="0" borderId="0" applyBorder="0">
      <alignment horizontal="right"/>
    </xf>
    <xf numFmtId="0" fontId="52" fillId="0" borderId="0"/>
    <xf numFmtId="0" fontId="52" fillId="0" borderId="0"/>
    <xf numFmtId="0" fontId="77" fillId="0" borderId="0"/>
    <xf numFmtId="0" fontId="78" fillId="0" borderId="0"/>
    <xf numFmtId="0" fontId="77" fillId="0" borderId="0"/>
    <xf numFmtId="0" fontId="79" fillId="0" borderId="0">
      <alignment vertical="center"/>
    </xf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171" fontId="11" fillId="0" borderId="0" applyFont="0" applyFill="0" applyBorder="0" applyAlignment="0" applyProtection="0"/>
    <xf numFmtId="0" fontId="11" fillId="0" borderId="0"/>
    <xf numFmtId="0" fontId="82" fillId="0" borderId="0" applyNumberFormat="0" applyFill="0" applyBorder="0" applyAlignment="0" applyProtection="0"/>
    <xf numFmtId="0" fontId="83" fillId="0" borderId="43" applyNumberFormat="0" applyFill="0" applyAlignment="0" applyProtection="0"/>
    <xf numFmtId="0" fontId="84" fillId="0" borderId="44" applyNumberFormat="0" applyFill="0" applyAlignment="0" applyProtection="0"/>
    <xf numFmtId="0" fontId="85" fillId="0" borderId="45" applyNumberFormat="0" applyFill="0" applyAlignment="0" applyProtection="0"/>
    <xf numFmtId="0" fontId="85" fillId="0" borderId="0" applyNumberFormat="0" applyFill="0" applyBorder="0" applyAlignment="0" applyProtection="0"/>
    <xf numFmtId="0" fontId="86" fillId="0" borderId="46" applyNumberFormat="0" applyFill="0" applyAlignment="0" applyProtection="0"/>
    <xf numFmtId="0" fontId="86" fillId="0" borderId="46" applyNumberFormat="0" applyFill="0" applyAlignment="0" applyProtection="0"/>
    <xf numFmtId="0" fontId="86" fillId="0" borderId="46" applyNumberFormat="0" applyFill="0" applyAlignment="0" applyProtection="0"/>
    <xf numFmtId="0" fontId="87" fillId="44" borderId="0" applyNumberFormat="0" applyBorder="0" applyAlignment="0" applyProtection="0"/>
    <xf numFmtId="0" fontId="88" fillId="45" borderId="0" applyNumberFormat="0" applyBorder="0" applyAlignment="0" applyProtection="0"/>
    <xf numFmtId="0" fontId="2" fillId="0" borderId="0" applyNumberFormat="0" applyFill="0" applyBorder="0" applyAlignment="0" applyProtection="0"/>
    <xf numFmtId="0" fontId="23" fillId="39" borderId="0" applyNumberFormat="0" applyBorder="0" applyAlignment="0" applyProtection="0"/>
    <xf numFmtId="173" fontId="22" fillId="0" borderId="0" applyFont="0" applyFill="0" applyBorder="0" applyAlignment="0" applyProtection="0"/>
    <xf numFmtId="0" fontId="10" fillId="0" borderId="0"/>
    <xf numFmtId="0" fontId="23" fillId="39" borderId="0" applyNumberFormat="0" applyBorder="0" applyAlignment="0" applyProtection="0"/>
    <xf numFmtId="0" fontId="22" fillId="0" borderId="0"/>
    <xf numFmtId="0" fontId="10" fillId="0" borderId="0"/>
    <xf numFmtId="175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2" fontId="23" fillId="0" borderId="0" applyFont="0" applyFill="0" applyBorder="0" applyAlignment="0" applyProtection="0"/>
    <xf numFmtId="0" fontId="25" fillId="14" borderId="25" applyNumberFormat="0" applyAlignment="0" applyProtection="0"/>
    <xf numFmtId="176" fontId="24" fillId="0" borderId="0" applyFont="0" applyFill="0" applyBorder="0" applyAlignment="0" applyProtection="0"/>
    <xf numFmtId="0" fontId="22" fillId="0" borderId="0"/>
    <xf numFmtId="0" fontId="10" fillId="0" borderId="0"/>
    <xf numFmtId="0" fontId="10" fillId="39" borderId="0" applyNumberFormat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89" fillId="68" borderId="0"/>
    <xf numFmtId="167" fontId="90" fillId="42" borderId="0">
      <alignment horizontal="left"/>
    </xf>
    <xf numFmtId="1" fontId="90" fillId="42" borderId="33">
      <alignment horizontal="left"/>
    </xf>
    <xf numFmtId="180" fontId="27" fillId="42" borderId="0" applyBorder="0" applyProtection="0">
      <alignment horizontal="left"/>
    </xf>
    <xf numFmtId="9" fontId="10" fillId="0" borderId="0" applyFont="0" applyFill="0" applyBorder="0" applyAlignment="0" applyProtection="0"/>
    <xf numFmtId="167" fontId="90" fillId="42" borderId="31">
      <alignment horizontal="left"/>
    </xf>
    <xf numFmtId="9" fontId="90" fillId="42" borderId="0">
      <alignment horizontal="left"/>
    </xf>
    <xf numFmtId="0" fontId="10" fillId="0" borderId="0"/>
    <xf numFmtId="164" fontId="10" fillId="0" borderId="0" applyFont="0" applyFill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1" fontId="90" fillId="42" borderId="33">
      <alignment horizontal="left"/>
    </xf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" fontId="90" fillId="42" borderId="33">
      <alignment horizontal="left"/>
    </xf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</cellStyleXfs>
  <cellXfs count="9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2" borderId="0" xfId="0" applyFill="1"/>
    <xf numFmtId="0" fontId="3" fillId="0" borderId="0" xfId="2"/>
    <xf numFmtId="0" fontId="5" fillId="0" borderId="0" xfId="2" applyFont="1"/>
    <xf numFmtId="0" fontId="6" fillId="0" borderId="0" xfId="2" applyFont="1"/>
    <xf numFmtId="0" fontId="3" fillId="0" borderId="0" xfId="2" applyAlignment="1">
      <alignment horizontal="left"/>
    </xf>
    <xf numFmtId="0" fontId="8" fillId="0" borderId="0" xfId="2" applyFont="1"/>
    <xf numFmtId="0" fontId="1" fillId="0" borderId="0" xfId="0" applyFont="1" applyAlignment="1">
      <alignment wrapText="1"/>
    </xf>
    <xf numFmtId="1" fontId="0" fillId="0" borderId="0" xfId="0" applyNumberFormat="1"/>
    <xf numFmtId="2" fontId="0" fillId="0" borderId="0" xfId="0" applyNumberFormat="1"/>
    <xf numFmtId="0" fontId="3" fillId="0" borderId="0" xfId="10"/>
    <xf numFmtId="0" fontId="4" fillId="0" borderId="1" xfId="11">
      <alignment wrapText="1"/>
    </xf>
    <xf numFmtId="0" fontId="7" fillId="0" borderId="0" xfId="12">
      <alignment horizontal="left"/>
    </xf>
    <xf numFmtId="0" fontId="4" fillId="0" borderId="2" xfId="13">
      <alignment wrapText="1"/>
    </xf>
    <xf numFmtId="0" fontId="0" fillId="0" borderId="3" xfId="14" applyFont="1">
      <alignment wrapText="1"/>
    </xf>
    <xf numFmtId="168" fontId="0" fillId="0" borderId="3" xfId="14" applyNumberFormat="1" applyFont="1" applyAlignment="1">
      <alignment horizontal="right" wrapText="1"/>
    </xf>
    <xf numFmtId="165" fontId="0" fillId="0" borderId="3" xfId="14" applyNumberFormat="1" applyFont="1" applyAlignment="1">
      <alignment horizontal="right" wrapText="1"/>
    </xf>
    <xf numFmtId="0" fontId="3" fillId="0" borderId="2" xfId="13" applyFont="1">
      <alignment wrapText="1"/>
    </xf>
    <xf numFmtId="4" fontId="0" fillId="0" borderId="3" xfId="14" applyNumberFormat="1" applyFont="1" applyAlignment="1">
      <alignment horizontal="right" wrapText="1"/>
    </xf>
    <xf numFmtId="3" fontId="4" fillId="0" borderId="2" xfId="13" applyNumberFormat="1" applyAlignment="1">
      <alignment horizontal="right" wrapText="1"/>
    </xf>
    <xf numFmtId="165" fontId="4" fillId="0" borderId="2" xfId="13" applyNumberFormat="1" applyAlignment="1">
      <alignment horizontal="right" wrapText="1"/>
    </xf>
    <xf numFmtId="0" fontId="1" fillId="5" borderId="0" xfId="0" applyFont="1" applyFill="1"/>
    <xf numFmtId="0" fontId="14" fillId="0" borderId="0" xfId="1" applyFont="1" applyAlignment="1" applyProtection="1"/>
    <xf numFmtId="11" fontId="0" fillId="0" borderId="0" xfId="0" applyNumberFormat="1"/>
    <xf numFmtId="0" fontId="0" fillId="0" borderId="0" xfId="0" applyAlignment="1">
      <alignment horizontal="right"/>
    </xf>
    <xf numFmtId="0" fontId="1" fillId="6" borderId="0" xfId="0" applyFont="1" applyFill="1"/>
    <xf numFmtId="0" fontId="9" fillId="6" borderId="0" xfId="0" applyFont="1" applyFill="1"/>
    <xf numFmtId="0" fontId="2" fillId="6" borderId="0" xfId="1" applyFill="1" applyAlignment="1" applyProtection="1"/>
    <xf numFmtId="0" fontId="0" fillId="6" borderId="0" xfId="0" applyFill="1" applyAlignment="1">
      <alignment horizontal="right"/>
    </xf>
    <xf numFmtId="0" fontId="0" fillId="6" borderId="0" xfId="0" applyFill="1"/>
    <xf numFmtId="10" fontId="0" fillId="6" borderId="0" xfId="0" applyNumberFormat="1" applyFill="1"/>
    <xf numFmtId="169" fontId="0" fillId="6" borderId="0" xfId="0" applyNumberFormat="1" applyFill="1"/>
    <xf numFmtId="9" fontId="0" fillId="6" borderId="0" xfId="0" applyNumberFormat="1" applyFill="1"/>
    <xf numFmtId="0" fontId="9" fillId="6" borderId="0" xfId="0" applyFont="1" applyFill="1" applyAlignment="1">
      <alignment wrapText="1"/>
    </xf>
    <xf numFmtId="169" fontId="0" fillId="0" borderId="0" xfId="0" applyNumberFormat="1"/>
    <xf numFmtId="11" fontId="0" fillId="2" borderId="0" xfId="0" applyNumberFormat="1" applyFill="1"/>
    <xf numFmtId="11" fontId="0" fillId="6" borderId="0" xfId="0" applyNumberFormat="1" applyFill="1"/>
    <xf numFmtId="0" fontId="1" fillId="7" borderId="0" xfId="0" applyFont="1" applyFill="1"/>
    <xf numFmtId="0" fontId="2" fillId="0" borderId="0" xfId="1" applyAlignment="1" applyProtection="1"/>
    <xf numFmtId="0" fontId="0" fillId="6" borderId="0" xfId="0" applyFill="1" applyAlignment="1">
      <alignment horizontal="center"/>
    </xf>
    <xf numFmtId="0" fontId="15" fillId="0" borderId="0" xfId="0" applyFont="1" applyAlignment="1">
      <alignment wrapText="1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5" fillId="0" borderId="0" xfId="0" applyFont="1"/>
    <xf numFmtId="0" fontId="0" fillId="4" borderId="0" xfId="0" applyFill="1"/>
    <xf numFmtId="0" fontId="0" fillId="0" borderId="0" xfId="0" quotePrefix="1"/>
    <xf numFmtId="0" fontId="16" fillId="0" borderId="0" xfId="0" applyFont="1"/>
    <xf numFmtId="0" fontId="17" fillId="8" borderId="8" xfId="0" applyFont="1" applyFill="1" applyBorder="1" applyAlignment="1">
      <alignment horizontal="center" vertical="center"/>
    </xf>
    <xf numFmtId="170" fontId="11" fillId="8" borderId="9" xfId="9" applyNumberFormat="1" applyFont="1" applyFill="1" applyBorder="1"/>
    <xf numFmtId="0" fontId="18" fillId="0" borderId="0" xfId="0" applyFont="1"/>
    <xf numFmtId="0" fontId="0" fillId="0" borderId="0" xfId="0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9" borderId="13" xfId="0" applyFill="1" applyBorder="1"/>
    <xf numFmtId="0" fontId="0" fillId="9" borderId="14" xfId="0" applyFill="1" applyBorder="1"/>
    <xf numFmtId="0" fontId="0" fillId="9" borderId="15" xfId="0" applyFill="1" applyBorder="1"/>
    <xf numFmtId="0" fontId="0" fillId="9" borderId="16" xfId="0" applyFill="1" applyBorder="1"/>
    <xf numFmtId="0" fontId="1" fillId="9" borderId="0" xfId="0" applyFont="1" applyFill="1"/>
    <xf numFmtId="0" fontId="0" fillId="9" borderId="0" xfId="0" applyFill="1"/>
    <xf numFmtId="0" fontId="18" fillId="3" borderId="0" xfId="0" applyFont="1" applyFill="1" applyAlignment="1">
      <alignment wrapText="1"/>
    </xf>
    <xf numFmtId="0" fontId="0" fillId="8" borderId="10" xfId="0" applyFill="1" applyBorder="1" applyAlignment="1">
      <alignment vertical="center" wrapText="1"/>
    </xf>
    <xf numFmtId="0" fontId="17" fillId="8" borderId="19" xfId="0" applyFont="1" applyFill="1" applyBorder="1" applyAlignment="1">
      <alignment horizontal="center" vertical="center"/>
    </xf>
    <xf numFmtId="0" fontId="1" fillId="3" borderId="0" xfId="0" applyFont="1" applyFill="1"/>
    <xf numFmtId="0" fontId="19" fillId="8" borderId="0" xfId="0" applyFont="1" applyFill="1"/>
    <xf numFmtId="0" fontId="20" fillId="8" borderId="8" xfId="0" applyFont="1" applyFill="1" applyBorder="1" applyAlignment="1">
      <alignment horizontal="right" vertical="center"/>
    </xf>
    <xf numFmtId="0" fontId="0" fillId="8" borderId="0" xfId="0" applyFill="1" applyAlignment="1">
      <alignment horizontal="right"/>
    </xf>
    <xf numFmtId="166" fontId="0" fillId="0" borderId="0" xfId="0" applyNumberFormat="1"/>
    <xf numFmtId="0" fontId="0" fillId="5" borderId="0" xfId="0" applyFill="1"/>
    <xf numFmtId="0" fontId="20" fillId="8" borderId="20" xfId="0" applyFont="1" applyFill="1" applyBorder="1" applyAlignment="1">
      <alignment horizontal="right" vertical="center"/>
    </xf>
    <xf numFmtId="0" fontId="21" fillId="10" borderId="0" xfId="0" applyFont="1" applyFill="1"/>
    <xf numFmtId="167" fontId="0" fillId="0" borderId="0" xfId="0" applyNumberFormat="1"/>
    <xf numFmtId="169" fontId="0" fillId="5" borderId="0" xfId="0" applyNumberFormat="1" applyFill="1"/>
    <xf numFmtId="0" fontId="0" fillId="3" borderId="0" xfId="0" applyFill="1"/>
    <xf numFmtId="2" fontId="0" fillId="5" borderId="0" xfId="0" applyNumberFormat="1" applyFill="1"/>
    <xf numFmtId="175" fontId="26" fillId="6" borderId="0" xfId="24" applyNumberFormat="1" applyFill="1" applyBorder="1"/>
    <xf numFmtId="170" fontId="22" fillId="8" borderId="0" xfId="22" applyNumberFormat="1" applyFont="1" applyFill="1" applyBorder="1" applyAlignment="1">
      <alignment horizontal="right" vertical="center"/>
    </xf>
    <xf numFmtId="3" fontId="0" fillId="0" borderId="0" xfId="0" applyNumberFormat="1"/>
    <xf numFmtId="167" fontId="0" fillId="5" borderId="0" xfId="0" applyNumberFormat="1" applyFill="1"/>
    <xf numFmtId="0" fontId="91" fillId="0" borderId="0" xfId="0" applyFont="1" applyAlignment="1">
      <alignment wrapText="1"/>
    </xf>
    <xf numFmtId="0" fontId="0" fillId="0" borderId="47" xfId="0" applyBorder="1"/>
    <xf numFmtId="0" fontId="0" fillId="0" borderId="47" xfId="0" applyBorder="1" applyAlignment="1">
      <alignment horizontal="center"/>
    </xf>
    <xf numFmtId="0" fontId="3" fillId="0" borderId="4" xfId="15">
      <alignment wrapText="1"/>
    </xf>
  </cellXfs>
  <cellStyles count="639">
    <cellStyle name="20% - Accent1 2" xfId="187" xr:uid="{160FCEB9-CDBA-4190-9D8D-5901C18EB9A0}"/>
    <cellStyle name="20% - Accent1 3" xfId="346" xr:uid="{F11B87A8-FD02-4771-8134-CBB34E5CA142}"/>
    <cellStyle name="20% - Accent1 4" xfId="350" xr:uid="{22D48FD5-5D25-48A2-9FC0-E202C8281062}"/>
    <cellStyle name="20% - Accent1 5" xfId="364" xr:uid="{6444A07F-F83F-46D5-842F-31146FC94027}"/>
    <cellStyle name="20% - Accent2 2" xfId="352" xr:uid="{7E825699-C8B9-498C-AA4B-6C631E449080}"/>
    <cellStyle name="20% - Accent2 3" xfId="366" xr:uid="{EDCBD8DF-09EC-4DF9-9B8D-24873F33A416}"/>
    <cellStyle name="20% - Accent2 4" xfId="327" xr:uid="{45BB3E05-9387-4019-9C30-C16EE87019E4}"/>
    <cellStyle name="20% - Accent3 2" xfId="354" xr:uid="{D513F12B-3052-4858-9036-49CCBD033CB4}"/>
    <cellStyle name="20% - Accent3 3" xfId="368" xr:uid="{962FB67A-E70F-4EB5-8D59-99158045B5C4}"/>
    <cellStyle name="20% - Accent3 4" xfId="331" xr:uid="{01D0E0E5-07A8-4AB6-9795-FCED1BC56040}"/>
    <cellStyle name="20% - Accent4 2" xfId="356" xr:uid="{BC92C013-998C-4CCB-A7A9-A5203B7760E0}"/>
    <cellStyle name="20% - Accent4 3" xfId="370" xr:uid="{D6B5CC0F-A04E-4EF6-99AE-0AAC9960DC68}"/>
    <cellStyle name="20% - Accent4 4" xfId="335" xr:uid="{699CEA56-21F6-4A03-9779-BF4CC9F8CBD6}"/>
    <cellStyle name="20% - Accent5 2" xfId="358" xr:uid="{A1DE585D-8878-4D24-BA1E-13B3123E564C}"/>
    <cellStyle name="20% - Accent5 3" xfId="372" xr:uid="{8FBBD4DD-C5AB-49E9-A757-BE661B6B6C2B}"/>
    <cellStyle name="20% - Accent5 4" xfId="339" xr:uid="{8E3B6EB6-A256-479E-BD47-FAD32FE00883}"/>
    <cellStyle name="20% - Accent6 10" xfId="551" xr:uid="{D52298CE-CD17-49D5-B31E-53DFF26C3D4D}"/>
    <cellStyle name="20% - Accent6 2" xfId="77" xr:uid="{28AFDA3F-1010-4FA2-A172-6653B95F9C96}"/>
    <cellStyle name="20% - Accent6 3" xfId="304" xr:uid="{222421DC-F5CF-4CAF-92B4-D404A526DC0D}"/>
    <cellStyle name="20% - Accent6 3 2" xfId="517" xr:uid="{E3EDD508-54AD-4419-8666-47A60A1CCAAF}"/>
    <cellStyle name="20% - Accent6 4" xfId="307" xr:uid="{35252530-697A-471D-A657-C676F1D86221}"/>
    <cellStyle name="20% - Accent6 4 2" xfId="379" xr:uid="{F946CC62-32EA-4674-BCF4-F20CD9B33F96}"/>
    <cellStyle name="20% - Accent6 5" xfId="347" xr:uid="{9E2C3F64-1012-4F89-9CE2-30A9A5010C3C}"/>
    <cellStyle name="20% - Accent6 6" xfId="360" xr:uid="{DD741791-1382-4419-BFCB-F19583C6D9FD}"/>
    <cellStyle name="20% - Accent6 7" xfId="374" xr:uid="{6D06AFC0-6FE7-41AD-9FC4-1494F88D0EC9}"/>
    <cellStyle name="20% - Accent6 8" xfId="520" xr:uid="{C5A1010C-3036-4486-A95D-3BDD39D5F9C9}"/>
    <cellStyle name="20% - Accent6 9" xfId="539" xr:uid="{3A69CA6E-66AF-4A19-B191-6E7E0F562770}"/>
    <cellStyle name="20% - Colore 1" xfId="385" xr:uid="{BF99838B-9C81-4F93-ABF6-1358599EB980}"/>
    <cellStyle name="20% - Colore 2" xfId="386" xr:uid="{DEA0099C-D0EB-406A-ADD3-F93F4B1C7FC6}"/>
    <cellStyle name="20% - Colore 3" xfId="387" xr:uid="{8E59FF58-2281-4AF0-BDA2-15765352E019}"/>
    <cellStyle name="20% - Colore 4" xfId="388" xr:uid="{229CD422-DC2E-4726-B222-883B1ECA3F94}"/>
    <cellStyle name="20% - Colore 5" xfId="389" xr:uid="{5130527E-72F4-44CF-9DA1-4AFAE2C4297D}"/>
    <cellStyle name="20% - Colore 6" xfId="390" xr:uid="{8E8E771E-18B8-4151-A06F-3EA4FB6C9089}"/>
    <cellStyle name="40% - Accent1 2" xfId="351" xr:uid="{660A56ED-7019-4BCF-BE25-B29CD23F23A2}"/>
    <cellStyle name="40% - Accent1 3" xfId="365" xr:uid="{921B2703-9CD1-4022-AA6F-15C5C15D78D4}"/>
    <cellStyle name="40% - Accent1 4" xfId="324" xr:uid="{301BB7A3-47FC-4CF1-BAA5-9E9C73D5EA78}"/>
    <cellStyle name="40% - Accent2 2" xfId="353" xr:uid="{EAE5E4AF-2CD7-449C-A718-5A6E6EA4ED53}"/>
    <cellStyle name="40% - Accent2 3" xfId="367" xr:uid="{69CE31B5-F49F-4F86-9AB6-4E7A41E959AE}"/>
    <cellStyle name="40% - Accent2 4" xfId="328" xr:uid="{DA53C4A0-A1F9-4379-B241-504480750708}"/>
    <cellStyle name="40% - Accent3 2" xfId="355" xr:uid="{3130414B-CCD1-4BEB-8F05-76E3E3C67150}"/>
    <cellStyle name="40% - Accent3 3" xfId="369" xr:uid="{36B3C8D4-637C-4F01-B227-67E907AF82FC}"/>
    <cellStyle name="40% - Accent3 4" xfId="332" xr:uid="{791144E7-4EFE-4972-B2A9-09B002B80BDA}"/>
    <cellStyle name="40% - Accent4 2" xfId="357" xr:uid="{7A50E086-1485-4804-BB77-A2625D408BA0}"/>
    <cellStyle name="40% - Accent4 3" xfId="371" xr:uid="{0E28043A-3735-404F-B6A9-C87DD87621FA}"/>
    <cellStyle name="40% - Accent4 4" xfId="336" xr:uid="{1BE27096-CC63-4B1C-BB68-AC3FCEED82FC}"/>
    <cellStyle name="40% - Accent5 2" xfId="359" xr:uid="{57F740EC-8A32-45D8-9A27-FA6C46B53280}"/>
    <cellStyle name="40% - Accent5 3" xfId="373" xr:uid="{09BFA123-CDD0-4F2C-A7E7-9977177A1324}"/>
    <cellStyle name="40% - Accent5 4" xfId="340" xr:uid="{39A9FE8C-9318-478B-81D5-4F38AE2E296D}"/>
    <cellStyle name="40% - Accent6 2" xfId="361" xr:uid="{2A692C6C-7196-4511-8462-5825FCA5C95A}"/>
    <cellStyle name="40% - Accent6 3" xfId="375" xr:uid="{A7DC5F5A-ECCB-498E-B8A9-5A145185E03B}"/>
    <cellStyle name="40% - Accent6 4" xfId="342" xr:uid="{D2832049-149F-4463-8F74-CB82BEAB66B3}"/>
    <cellStyle name="40% - Colore 1" xfId="391" xr:uid="{9543570D-D7BA-41E0-ADAE-66381AE6CE66}"/>
    <cellStyle name="40% - Colore 2" xfId="392" xr:uid="{AD7BF6CE-746D-41B7-956F-E2F0B7A8AE37}"/>
    <cellStyle name="40% - Colore 3" xfId="393" xr:uid="{9E17B889-BD51-4C6B-B887-3FF4DDD96DF5}"/>
    <cellStyle name="40% - Colore 4" xfId="394" xr:uid="{F62A816C-6AFA-406F-B79C-E05CF692FC87}"/>
    <cellStyle name="40% - Colore 5" xfId="395" xr:uid="{0D838023-CD2F-41D9-897E-51869CD55ED1}"/>
    <cellStyle name="40% - Colore 6" xfId="396" xr:uid="{77F54C5B-08E2-4463-BB44-F727469EB2B1}"/>
    <cellStyle name="60% - Accent1 2" xfId="325" xr:uid="{A4AC9856-2DE7-4E81-8B39-7E61F9BFAE47}"/>
    <cellStyle name="60% - Accent2 2" xfId="329" xr:uid="{104A0B6C-04C0-48C9-9A21-79B51C3D880C}"/>
    <cellStyle name="60% - Accent3 2" xfId="333" xr:uid="{7F5646D7-DE48-4739-81BA-7CB4A3B04822}"/>
    <cellStyle name="60% - Accent4 2" xfId="337" xr:uid="{1CD1B1B6-20FF-4C3D-85C9-13EAF6AC47F3}"/>
    <cellStyle name="60% - Accent5 2" xfId="341" xr:uid="{AFDA3301-D5B1-4181-856E-A6272531E06F}"/>
    <cellStyle name="60% - Accent6 2" xfId="343" xr:uid="{003A1B87-BAFF-4E9B-9E6C-736911D5C6C8}"/>
    <cellStyle name="60% - Colore 1" xfId="397" xr:uid="{1E481BB0-7138-44A7-9C2E-E43A02464557}"/>
    <cellStyle name="60% - Colore 2" xfId="398" xr:uid="{666DD663-1858-47C2-A8A6-BC35057F3582}"/>
    <cellStyle name="60% - Colore 3" xfId="399" xr:uid="{814579C7-ED07-4899-A682-39EAF1C9674C}"/>
    <cellStyle name="60% - Colore 4" xfId="400" xr:uid="{D1D37478-3AFE-4CF8-ACBF-68A4755817C4}"/>
    <cellStyle name="60% - Colore 5" xfId="401" xr:uid="{7577F019-207D-4C07-972E-71A13103821C}"/>
    <cellStyle name="60% - Colore 6" xfId="402" xr:uid="{68BE2E81-2FE4-45D7-9DD6-0B6CC024DE04}"/>
    <cellStyle name="A - a heading" xfId="542" xr:uid="{E228C4FC-348E-4C46-B4A0-008424720AF5}"/>
    <cellStyle name="A - bold" xfId="545" xr:uid="{595D25D6-9B91-4D8F-B6B0-1EC9B4D69908}"/>
    <cellStyle name="A - bottom border" xfId="547" xr:uid="{FD37D24F-E68D-4165-BEC6-62893682D83A}"/>
    <cellStyle name="A - header" xfId="544" xr:uid="{03FD875E-22F0-4920-9AE5-42FC7F94CA3B}"/>
    <cellStyle name="A - header 2" xfId="559" xr:uid="{335F516A-F7F2-4995-B146-7267C4F7F4CE}"/>
    <cellStyle name="A - header 2 2" xfId="563" xr:uid="{198AF284-4D0E-406F-BFF6-533263B3C25B}"/>
    <cellStyle name="A - normal" xfId="543" xr:uid="{CC65CEEF-674F-49BE-9125-2FD84456CCE7}"/>
    <cellStyle name="A - percent" xfId="548" xr:uid="{8799E9B3-E2E6-4B4F-9212-8A50F3FCACBC}"/>
    <cellStyle name="Accent1 2" xfId="323" xr:uid="{69CF6107-3B09-45AF-AFB5-A44A223A1636}"/>
    <cellStyle name="Accent2 2" xfId="326" xr:uid="{A5464A6E-7B07-45F7-A6E0-CA188FD73AAA}"/>
    <cellStyle name="Accent3 2" xfId="330" xr:uid="{2EF90807-A2CC-4B14-AFDF-1B77B40B406E}"/>
    <cellStyle name="Accent4 2" xfId="334" xr:uid="{6EACEB92-A398-4DF2-AF9E-ECCAD30D4410}"/>
    <cellStyle name="Accent5 2" xfId="338" xr:uid="{D5759896-3CE4-45A7-BCF1-953B80F200FD}"/>
    <cellStyle name="Accent6 2" xfId="308" xr:uid="{00D66E96-FB24-42CA-A432-C3DD4244DC09}"/>
    <cellStyle name="Bad 2" xfId="314" xr:uid="{571C0C47-5DF1-44EF-99BB-C1789597BDD4}"/>
    <cellStyle name="Best" xfId="403" xr:uid="{90A02AF0-5C7F-48E9-ADFC-BA10476F5F63}"/>
    <cellStyle name="Body: normal cell" xfId="7" xr:uid="{00000000-0005-0000-0000-000000000000}"/>
    <cellStyle name="Body: normal cell 2" xfId="14" xr:uid="{00000000-0005-0000-0000-000001000000}"/>
    <cellStyle name="BORDERS" xfId="404" xr:uid="{7C87EDFD-503B-41EB-864D-BF41ADAAAFF1}"/>
    <cellStyle name="BORDERS 2" xfId="405" xr:uid="{FF1DD1D8-C8D9-4E38-AE89-5F270C3BB170}"/>
    <cellStyle name="Calc Currency (0)" xfId="406" xr:uid="{9240DE93-DB09-46BB-AE42-DC2E375FAE4E}"/>
    <cellStyle name="Calcolo" xfId="407" xr:uid="{D32FE437-20D6-4115-895F-7A6723AB6B93}"/>
    <cellStyle name="Calcolo 2" xfId="408" xr:uid="{A7177EFA-0135-492E-918D-63A2886DD363}"/>
    <cellStyle name="Calcolo 3" xfId="409" xr:uid="{E3FAA429-9AC4-4FDA-A250-B4B444127102}"/>
    <cellStyle name="Calculation 2" xfId="317" xr:uid="{11EEA249-A315-44A7-B775-0973AB7D8D77}"/>
    <cellStyle name="Cella collegata" xfId="410" xr:uid="{72CFE8D0-A29F-4891-AAA5-D04A9E0BDB8B}"/>
    <cellStyle name="Cella da controllare" xfId="411" xr:uid="{743B9041-D63A-47E7-A809-F831FCB8FDA5}"/>
    <cellStyle name="Check Cell 2" xfId="319" xr:uid="{7FC43BFB-B523-4737-8B46-CACBC6F1F800}"/>
    <cellStyle name="Colore 1" xfId="412" xr:uid="{B1A3B83D-C84D-41A6-9192-0F9C7D5268B2}"/>
    <cellStyle name="Colore 2" xfId="413" xr:uid="{D38109AA-CBD7-476F-BF0C-B724C53A9D90}"/>
    <cellStyle name="Colore 3" xfId="414" xr:uid="{3466FADB-CFB3-46EC-B5BC-73B6FA706F5D}"/>
    <cellStyle name="Colore 4" xfId="415" xr:uid="{1A398E2D-B8B0-4E8A-8DB7-DDCAB39028DA}"/>
    <cellStyle name="Colore 5" xfId="416" xr:uid="{5EAB4314-B2CB-4927-8876-BD7C2001BC52}"/>
    <cellStyle name="Colore 6" xfId="417" xr:uid="{7CD743F6-613F-4DC9-841E-8736200F7D25}"/>
    <cellStyle name="Column - Style5" xfId="418" xr:uid="{2F43F510-88B5-430D-9F35-1F71246E8C7E}"/>
    <cellStyle name="Column - Style6" xfId="419" xr:uid="{662C053F-94F9-48E5-B400-C89940CD9D95}"/>
    <cellStyle name="Column headings" xfId="420" xr:uid="{E73F46B1-BA61-40D1-9094-E0B6BAB68ACD}"/>
    <cellStyle name="Comma" xfId="9" builtinId="3"/>
    <cellStyle name="Comma 2" xfId="190" xr:uid="{2DA2BFF0-8B89-4550-B0B9-0A9B19529D57}"/>
    <cellStyle name="Comma 2 2" xfId="421" xr:uid="{A63A5C97-5C8D-4018-BC8C-9A76B6A6A9A9}"/>
    <cellStyle name="Comma 2 3" xfId="381" xr:uid="{9AA36261-D1EC-4126-946A-9239100A5C26}"/>
    <cellStyle name="Comma 2 4" xfId="534" xr:uid="{30EBE0AD-50F5-4E37-9E1F-6B347984C8C7}"/>
    <cellStyle name="Comma 3" xfId="377" xr:uid="{A332E398-8864-4D28-8DC7-F6D1FF19E3E0}"/>
    <cellStyle name="Comma 3 2" xfId="423" xr:uid="{0EE46662-8FE7-43FE-88C9-6E8B0797BD6E}"/>
    <cellStyle name="Comma 3 3" xfId="422" xr:uid="{CB7B15DB-2D1D-41C5-985B-B397A1AEAF59}"/>
    <cellStyle name="Comma 4" xfId="424" xr:uid="{DFE7BD40-AD9D-47A0-A8C0-F1A248F284E7}"/>
    <cellStyle name="Comma 4 2" xfId="523" xr:uid="{ADEA098D-FFF0-474A-9947-A4CB47590E94}"/>
    <cellStyle name="Comma 5" xfId="425" xr:uid="{FBB9372B-F045-481D-90A7-D121CC31AA78}"/>
    <cellStyle name="Comma 6" xfId="383" xr:uid="{7087E166-7B9E-478A-8FD0-6E5B106B2F7E}"/>
    <cellStyle name="Comma 7" xfId="540" xr:uid="{82CFC6D7-1001-42FD-9F83-58CB0D346A08}"/>
    <cellStyle name="Comma 8" xfId="550" xr:uid="{4BE07C1D-C99F-4B9F-B748-9D8AFCC78F4F}"/>
    <cellStyle name="Comma 9" xfId="22" xr:uid="{F4CD579C-D6D2-4B52-9B02-03AFC430E3BD}"/>
    <cellStyle name="Comma0" xfId="426" xr:uid="{BAE9C27D-E5FE-41FB-9DBA-D2B6B2E3AE2D}"/>
    <cellStyle name="Copied" xfId="427" xr:uid="{109DBBEC-A761-4083-9B8A-0097A6A0783A}"/>
    <cellStyle name="Currency 2" xfId="518" xr:uid="{66F19C4A-524B-4FDE-98B3-3338B4365FFD}"/>
    <cellStyle name="Currency0" xfId="428" xr:uid="{FC3875C7-AE1E-4D71-8126-A44BF82E64C5}"/>
    <cellStyle name="Data (Number)" xfId="429" xr:uid="{215D1005-6FBC-4E33-8E43-57F4CE1A291F}"/>
    <cellStyle name="Data (Text)" xfId="430" xr:uid="{FD9A7B5B-644D-418B-8620-93B4F9338B1B}"/>
    <cellStyle name="Date" xfId="431" xr:uid="{05ECA6A1-A0C9-4AE9-9F4E-49059483E967}"/>
    <cellStyle name="Entered" xfId="432" xr:uid="{44E34992-EA42-40D4-927B-BB173C11429B}"/>
    <cellStyle name="Excel Built-in Normal" xfId="74" xr:uid="{E1CE3040-8370-4B40-8C70-BB6E962A7249}"/>
    <cellStyle name="Explanatory Text 2" xfId="321" xr:uid="{2A0BB8C4-3870-4F31-AA11-0926018F6B87}"/>
    <cellStyle name="FIGURES" xfId="433" xr:uid="{0078ED6D-FEFC-4743-BE5D-204C80122143}"/>
    <cellStyle name="Fixed" xfId="434" xr:uid="{BBE1C9BB-8FEF-4CFE-BF98-76C30E6B2D11}"/>
    <cellStyle name="Font: Calibri, 9pt regular" xfId="3" xr:uid="{00000000-0005-0000-0000-000003000000}"/>
    <cellStyle name="Font: Calibri, 9pt regular 2" xfId="10" xr:uid="{00000000-0005-0000-0000-000004000000}"/>
    <cellStyle name="Footnote Text" xfId="435" xr:uid="{655242DE-0310-489D-891E-61ACD66AEFAA}"/>
    <cellStyle name="Footnotes: all except top row" xfId="16" xr:uid="{00000000-0005-0000-0000-000005000000}"/>
    <cellStyle name="Footnotes: top row" xfId="8" xr:uid="{00000000-0005-0000-0000-000006000000}"/>
    <cellStyle name="Footnotes: top row 2" xfId="15" xr:uid="{00000000-0005-0000-0000-000007000000}"/>
    <cellStyle name="Good 2" xfId="303" xr:uid="{82E2FDE5-FF1B-4913-8281-1EC816CA8E30}"/>
    <cellStyle name="Grey" xfId="436" xr:uid="{601BB942-7DA6-4EB3-98B1-1A6369DD51B8}"/>
    <cellStyle name="Header: bottom row" xfId="4" xr:uid="{00000000-0005-0000-0000-000008000000}"/>
    <cellStyle name="Header: bottom row 2" xfId="11" xr:uid="{00000000-0005-0000-0000-000009000000}"/>
    <cellStyle name="Header: top rows" xfId="17" xr:uid="{00000000-0005-0000-0000-00000A000000}"/>
    <cellStyle name="Header1" xfId="437" xr:uid="{77FEBE8A-430F-4573-A04D-1388F2068EAD}"/>
    <cellStyle name="Header2" xfId="438" xr:uid="{3B195663-FC1F-438B-A29F-76A57E6E4924}"/>
    <cellStyle name="Header2 2" xfId="439" xr:uid="{FB73BB6F-EAE3-4D6F-9E57-4D25C79766CF}"/>
    <cellStyle name="Header2 3" xfId="440" xr:uid="{F19E57E9-C582-4FCD-B618-AAD8E2E792CC}"/>
    <cellStyle name="Heading 1 2" xfId="310" xr:uid="{37C131DB-B4E1-4201-89A2-75BE9E8E6E13}"/>
    <cellStyle name="Heading 2 2" xfId="311" xr:uid="{825E10DE-550D-4606-9DB4-0B18D5D0DBC6}"/>
    <cellStyle name="Heading 3 2" xfId="312" xr:uid="{8022F08F-FD55-4DB0-8561-67F3C492E255}"/>
    <cellStyle name="Heading 4 2" xfId="313" xr:uid="{B72EF1FF-59B6-4DD2-BF74-9EF446032A6E}"/>
    <cellStyle name="Hyperlink" xfId="1" builtinId="8"/>
    <cellStyle name="Hyperlink 10" xfId="240" hidden="1" xr:uid="{8698AF29-D023-48EA-92A4-98133987EADD}"/>
    <cellStyle name="Hyperlink 10" xfId="85" hidden="1" xr:uid="{A8D909DC-3D00-4FDA-85B4-3567421FCFDC}"/>
    <cellStyle name="Hyperlink 10" xfId="576" xr:uid="{C4F7B195-317D-4C00-9DCB-6B7607378E53}"/>
    <cellStyle name="Hyperlink 100" xfId="290" hidden="1" xr:uid="{B0F7772D-0AD4-4BB4-B6AE-4DC5F2DEE712}"/>
    <cellStyle name="Hyperlink 100" xfId="175" hidden="1" xr:uid="{78D3D6A1-693F-4F9C-9D29-1255D1B075A4}"/>
    <cellStyle name="Hyperlink 100" xfId="626" xr:uid="{D609CF0F-9285-4FBB-8F29-133CCB079831}"/>
    <cellStyle name="Hyperlink 101" xfId="291" hidden="1" xr:uid="{B63BDE80-4116-4140-838B-8FA905E8C915}"/>
    <cellStyle name="Hyperlink 101" xfId="176" hidden="1" xr:uid="{585CA625-A242-4EAB-B2D8-315DA7E7CA66}"/>
    <cellStyle name="Hyperlink 101" xfId="627" xr:uid="{864DC64F-06B7-47D7-9CF6-762BF0A45647}"/>
    <cellStyle name="Hyperlink 102" xfId="292" hidden="1" xr:uid="{1C314F5F-B3AE-4EEB-B340-CBAC9D9131EC}"/>
    <cellStyle name="Hyperlink 102" xfId="177" hidden="1" xr:uid="{C7DC34F5-6248-443B-8819-4D25790A6D4A}"/>
    <cellStyle name="Hyperlink 102" xfId="628" xr:uid="{1D025146-7C2C-454B-ABE9-DAA4A1A3EDAF}"/>
    <cellStyle name="Hyperlink 103" xfId="293" hidden="1" xr:uid="{A01D8D19-1932-4313-9193-64B8388339F1}"/>
    <cellStyle name="Hyperlink 103" xfId="178" hidden="1" xr:uid="{506D1618-A764-4059-BD4E-0055D8B5E3C0}"/>
    <cellStyle name="Hyperlink 103" xfId="629" xr:uid="{B3399989-1E79-4B23-A893-A73A76F6F160}"/>
    <cellStyle name="Hyperlink 104" xfId="294" hidden="1" xr:uid="{15D360E9-42FD-487D-A063-47579E0ACDD6}"/>
    <cellStyle name="Hyperlink 104" xfId="179" hidden="1" xr:uid="{A8238747-1CCB-4DB3-A205-C5610B2BFAAA}"/>
    <cellStyle name="Hyperlink 104" xfId="630" xr:uid="{9365D298-8DD8-4124-A591-6E8E84038A7D}"/>
    <cellStyle name="Hyperlink 105" xfId="295" hidden="1" xr:uid="{F3D0D688-A593-4A02-AAA1-A8EB8254E60A}"/>
    <cellStyle name="Hyperlink 105" xfId="180" hidden="1" xr:uid="{6FB2A2D7-3C7B-48F3-B9B8-581810BE451E}"/>
    <cellStyle name="Hyperlink 105" xfId="631" xr:uid="{25884175-3940-4C0E-939B-36FA01751FE5}"/>
    <cellStyle name="Hyperlink 106" xfId="296" hidden="1" xr:uid="{E9C3E926-CAD3-4839-8484-5CDF8BA6ADD5}"/>
    <cellStyle name="Hyperlink 106" xfId="181" hidden="1" xr:uid="{C959D8A7-8621-48C7-8CF7-DFA9C43633C5}"/>
    <cellStyle name="Hyperlink 106" xfId="632" xr:uid="{65227D02-E549-40AB-9B0D-AED83E0FD9E1}"/>
    <cellStyle name="Hyperlink 107" xfId="297" hidden="1" xr:uid="{A7805ADE-D768-420B-B318-5B7B57FE6AF8}"/>
    <cellStyle name="Hyperlink 107" xfId="182" hidden="1" xr:uid="{AAFD2531-4A12-4153-8740-77124F5F24CE}"/>
    <cellStyle name="Hyperlink 107" xfId="633" xr:uid="{EFAE47D9-D734-4D28-90D2-F4BFF3FA8F09}"/>
    <cellStyle name="Hyperlink 108" xfId="298" hidden="1" xr:uid="{25E12A5B-E0FB-4F57-B128-22D68BBA7335}"/>
    <cellStyle name="Hyperlink 108" xfId="183" hidden="1" xr:uid="{05362A92-24A0-432D-A900-0F19431802E1}"/>
    <cellStyle name="Hyperlink 108" xfId="634" xr:uid="{AC811296-7F90-40F3-A1C0-3B4EB6FD2188}"/>
    <cellStyle name="Hyperlink 109" xfId="299" hidden="1" xr:uid="{A464B1E4-6F49-45B3-A8F2-8AE095C56BBB}"/>
    <cellStyle name="Hyperlink 109" xfId="184" hidden="1" xr:uid="{A5A1CE02-3954-40D9-85B3-21821C14FFBA}"/>
    <cellStyle name="Hyperlink 109" xfId="635" xr:uid="{BE355179-4EE9-48F2-8FBC-841CFF1EC041}"/>
    <cellStyle name="Hyperlink 11" xfId="239" hidden="1" xr:uid="{F670B77C-5950-4952-AF50-4A86916838F5}"/>
    <cellStyle name="Hyperlink 11" xfId="86" hidden="1" xr:uid="{A42FA80D-80DE-4EB9-B66B-4D996AB6247F}"/>
    <cellStyle name="Hyperlink 11" xfId="575" xr:uid="{F2C6C395-CF12-437B-AE72-C5A7D0A3FEF9}"/>
    <cellStyle name="Hyperlink 110" xfId="300" hidden="1" xr:uid="{9DB32BE4-57EB-4F0F-9A7D-716E9AEFE415}"/>
    <cellStyle name="Hyperlink 110" xfId="185" hidden="1" xr:uid="{CCFD77F2-1D6B-4064-964D-5A87CB14936E}"/>
    <cellStyle name="Hyperlink 110" xfId="636" xr:uid="{3BD67A5D-B5D1-418F-A675-5DC976935BFE}"/>
    <cellStyle name="Hyperlink 111" xfId="301" hidden="1" xr:uid="{CF6B5D25-EA1D-45C1-B0EB-DA1EA638A0D7}"/>
    <cellStyle name="Hyperlink 111" xfId="186" hidden="1" xr:uid="{FAB6AC2A-89E4-4ECB-8F45-2385CA98F8DC}"/>
    <cellStyle name="Hyperlink 111" xfId="637" xr:uid="{07C517F2-E8C9-4FB2-A9A2-D315F3E96C16}"/>
    <cellStyle name="Hyperlink 112" xfId="516" xr:uid="{BFB01548-6D7C-43A2-A446-3FDE78F85635}"/>
    <cellStyle name="Hyperlink 113" xfId="75" xr:uid="{B0D8603B-7452-4397-B6E3-CDF7962FC02B}"/>
    <cellStyle name="Hyperlink 12" xfId="238" hidden="1" xr:uid="{319DB983-C3F1-4E9D-B25B-398EC82744C2}"/>
    <cellStyle name="Hyperlink 12" xfId="87" hidden="1" xr:uid="{E953DC16-DE1C-49CD-87D2-D1631717DD42}"/>
    <cellStyle name="Hyperlink 12" xfId="574" xr:uid="{1B99B89A-AB2A-4E37-913A-1E2A206E631B}"/>
    <cellStyle name="Hyperlink 13" xfId="237" hidden="1" xr:uid="{A3F5458C-4FA7-4838-9F7F-32171E21FEC3}"/>
    <cellStyle name="Hyperlink 13" xfId="88" hidden="1" xr:uid="{FD03BEC2-9A79-43E6-A9CB-AB94DF14F78B}"/>
    <cellStyle name="Hyperlink 13" xfId="573" xr:uid="{EB77F204-9283-4292-AB7F-09600F3497BE}"/>
    <cellStyle name="Hyperlink 14" xfId="236" hidden="1" xr:uid="{A76D222E-46DF-4922-B977-E3AF42164919}"/>
    <cellStyle name="Hyperlink 14" xfId="89" hidden="1" xr:uid="{0F51E9F8-C641-4D13-9C18-CC81467BD7CB}"/>
    <cellStyle name="Hyperlink 14" xfId="28" xr:uid="{A75A3E94-794E-4AB5-8F3B-31008233D1B2}"/>
    <cellStyle name="Hyperlink 15" xfId="235" hidden="1" xr:uid="{F8657E0C-7267-4DAE-BE80-53DBFC7A52A0}"/>
    <cellStyle name="Hyperlink 15" xfId="90" hidden="1" xr:uid="{6082FEE3-7D02-45E4-8514-03CCE7B43BE6}"/>
    <cellStyle name="Hyperlink 15" xfId="29" xr:uid="{EA28798E-0701-4819-A56B-AA936B483D35}"/>
    <cellStyle name="Hyperlink 16" xfId="234" hidden="1" xr:uid="{93ECCB5A-4837-44C9-866C-9653EB6935B2}"/>
    <cellStyle name="Hyperlink 16" xfId="91" hidden="1" xr:uid="{35DB4EFB-C34C-4D30-9A89-334810F8EC1A}"/>
    <cellStyle name="Hyperlink 16" xfId="30" xr:uid="{BD248CFF-DA87-412D-AB7A-A3D5D99AA44A}"/>
    <cellStyle name="Hyperlink 17" xfId="233" hidden="1" xr:uid="{AAEE37B8-1D6B-43CB-9E68-9C60C3131D9B}"/>
    <cellStyle name="Hyperlink 17" xfId="92" hidden="1" xr:uid="{A49EF2F2-0FC9-4DBA-A6A7-D821794137BD}"/>
    <cellStyle name="Hyperlink 17" xfId="31" xr:uid="{30387890-C5FA-43C3-8F04-8940C9397587}"/>
    <cellStyle name="Hyperlink 18" xfId="232" hidden="1" xr:uid="{8A548504-D376-4711-84CF-E4314E9D85D1}"/>
    <cellStyle name="Hyperlink 18" xfId="93" hidden="1" xr:uid="{4C02838C-0725-462F-85EC-F528C4CE43D6}"/>
    <cellStyle name="Hyperlink 18" xfId="32" xr:uid="{1735EBF2-10E3-4DE5-91BC-9F14349CF17C}"/>
    <cellStyle name="Hyperlink 19" xfId="231" hidden="1" xr:uid="{F4806FA3-7BAD-48EA-8716-5400204C1D81}"/>
    <cellStyle name="Hyperlink 19" xfId="94" hidden="1" xr:uid="{C46938F6-2177-4394-9A6F-DE5114B4F618}"/>
    <cellStyle name="Hyperlink 19" xfId="33" xr:uid="{80DFBC84-AC43-470D-A9BC-1CD545D5C384}"/>
    <cellStyle name="Hyperlink 2" xfId="584" hidden="1" xr:uid="{2B93952A-1C5E-43ED-9C0A-C12609402B8F}"/>
    <cellStyle name="Hyperlink 2" xfId="73" hidden="1" xr:uid="{1C045248-DAD2-477F-9D31-789EFD593154}"/>
    <cellStyle name="Hyperlink 2" xfId="248" hidden="1" xr:uid="{2FAC655B-4975-40E7-B138-2437319D1A45}"/>
    <cellStyle name="Hyperlink 2" xfId="302" hidden="1" xr:uid="{AAEAAA99-BCD1-419E-8B46-FCA2A938E7EA}"/>
    <cellStyle name="Hyperlink 2" xfId="76" hidden="1" xr:uid="{D2391A8C-3ADD-48BC-9210-93C5884EC082}"/>
    <cellStyle name="Hyperlink 2" xfId="188" hidden="1" xr:uid="{926971DC-AFF6-4A76-9060-A17690ED1907}"/>
    <cellStyle name="Hyperlink 2" xfId="638" xr:uid="{8755BB9E-16FF-49BC-8983-9315F92E2CF7}"/>
    <cellStyle name="Hyperlink 2 2" xfId="441" xr:uid="{C640EF15-D68E-431A-8459-833288EC6A8D}"/>
    <cellStyle name="Hyperlink 20" xfId="230" hidden="1" xr:uid="{C7FAFC38-2F3B-4F5B-97C7-79DC4C2E2484}"/>
    <cellStyle name="Hyperlink 20" xfId="95" hidden="1" xr:uid="{C726879F-F940-491B-8D4E-39EA0192B4C8}"/>
    <cellStyle name="Hyperlink 20" xfId="34" xr:uid="{E99E11A3-1D61-4C80-9AFA-070116B8850D}"/>
    <cellStyle name="Hyperlink 21" xfId="229" hidden="1" xr:uid="{588B5F7D-07E3-4174-B3B6-84ACF476CED3}"/>
    <cellStyle name="Hyperlink 21" xfId="96" hidden="1" xr:uid="{DAA17B3B-E2E9-4549-96A1-C15000D158D9}"/>
    <cellStyle name="Hyperlink 21" xfId="35" xr:uid="{6AA253C8-3468-414A-AC2B-97A16B25A247}"/>
    <cellStyle name="Hyperlink 22" xfId="228" hidden="1" xr:uid="{F1038421-AA90-4016-9B2A-EE702B4746C7}"/>
    <cellStyle name="Hyperlink 22" xfId="97" hidden="1" xr:uid="{A0E54FC8-9D0E-4EFF-B8B1-3BA0EA671F03}"/>
    <cellStyle name="Hyperlink 22" xfId="36" xr:uid="{8F17384F-ADE9-4E09-93BD-906ECCF98C3B}"/>
    <cellStyle name="Hyperlink 23" xfId="227" hidden="1" xr:uid="{6DC7C423-09E0-4AE2-A6F6-FC3FB41E1612}"/>
    <cellStyle name="Hyperlink 23" xfId="98" hidden="1" xr:uid="{997FD194-A229-49D7-8605-827FE4891911}"/>
    <cellStyle name="Hyperlink 23" xfId="37" xr:uid="{538B8898-D728-4714-9709-B08B9522ED4B}"/>
    <cellStyle name="Hyperlink 24" xfId="226" hidden="1" xr:uid="{7C7473D3-5280-4A9D-85E9-8CBA9740681A}"/>
    <cellStyle name="Hyperlink 24" xfId="99" hidden="1" xr:uid="{9299A9CF-5D01-4CEA-A1F9-0E1F4A434902}"/>
    <cellStyle name="Hyperlink 24" xfId="38" xr:uid="{8278C9AC-4E9F-4DBD-9FD7-B56BF19C6E5A}"/>
    <cellStyle name="Hyperlink 25" xfId="225" hidden="1" xr:uid="{506FADE6-989D-4486-AB37-A2357EF91933}"/>
    <cellStyle name="Hyperlink 25" xfId="100" hidden="1" xr:uid="{8A3E87B9-636B-41DF-83D4-D49C33C9D9AC}"/>
    <cellStyle name="Hyperlink 25" xfId="39" xr:uid="{9F1B29F0-FBC5-4880-9B2A-54FAC095A2A7}"/>
    <cellStyle name="Hyperlink 26" xfId="224" hidden="1" xr:uid="{77A523EF-FA86-4CFB-A8FB-DB7720D18A5E}"/>
    <cellStyle name="Hyperlink 26" xfId="101" hidden="1" xr:uid="{9CC454A5-D014-4CC5-B3D6-4E4A656BE556}"/>
    <cellStyle name="Hyperlink 26" xfId="40" xr:uid="{E2FD2DDA-F28D-4953-A405-47B67AC64E42}"/>
    <cellStyle name="Hyperlink 27" xfId="223" hidden="1" xr:uid="{3D4845CC-602B-4040-B8FA-4A5A14BF7FA0}"/>
    <cellStyle name="Hyperlink 27" xfId="102" hidden="1" xr:uid="{DE5E9AA8-D020-4FC7-8BA8-462C54781CCB}"/>
    <cellStyle name="Hyperlink 27" xfId="41" xr:uid="{1D5D9291-7203-4B32-BD96-31483A205A0D}"/>
    <cellStyle name="Hyperlink 28" xfId="222" hidden="1" xr:uid="{380E2E82-C1B7-4DF0-9370-D927378BBF84}"/>
    <cellStyle name="Hyperlink 28" xfId="103" hidden="1" xr:uid="{9356D563-0292-47AD-AAB7-A1A1AAF32F4B}"/>
    <cellStyle name="Hyperlink 28" xfId="42" xr:uid="{98BB5F41-8360-4690-8582-85A9DE958D44}"/>
    <cellStyle name="Hyperlink 29" xfId="221" hidden="1" xr:uid="{BF7386EF-9143-40AB-9A56-911417330560}"/>
    <cellStyle name="Hyperlink 29" xfId="104" hidden="1" xr:uid="{51B904F8-474D-4A57-A446-3C48857878FE}"/>
    <cellStyle name="Hyperlink 29" xfId="43" xr:uid="{67FC4A61-2CF7-4E4B-A957-DD859C12F21D}"/>
    <cellStyle name="Hyperlink 3" xfId="247" hidden="1" xr:uid="{E76EECCA-F4F0-4B7C-8D3B-2E24A3BF8393}"/>
    <cellStyle name="Hyperlink 3" xfId="78" hidden="1" xr:uid="{576D461C-5994-4380-BED7-EF86130B8637}"/>
    <cellStyle name="Hyperlink 3" xfId="583" xr:uid="{FB657F2B-1EFF-4037-86FD-C093077850C4}"/>
    <cellStyle name="Hyperlink 30" xfId="220" hidden="1" xr:uid="{0EF4CE88-9418-4557-9CD8-4D5AB68D8D77}"/>
    <cellStyle name="Hyperlink 30" xfId="105" hidden="1" xr:uid="{280DE5E1-4038-4689-9118-41413646D8A9}"/>
    <cellStyle name="Hyperlink 30" xfId="44" xr:uid="{CDB26659-2388-4E0C-B1B6-02BC502313F3}"/>
    <cellStyle name="Hyperlink 31" xfId="219" hidden="1" xr:uid="{797DA339-8ACE-444E-A363-48CCED1239B3}"/>
    <cellStyle name="Hyperlink 31" xfId="106" hidden="1" xr:uid="{55F30778-5260-4D84-A7DB-98970874C34C}"/>
    <cellStyle name="Hyperlink 31" xfId="45" xr:uid="{8906756C-4A4D-4282-997D-0F890B29A0A6}"/>
    <cellStyle name="Hyperlink 32" xfId="218" hidden="1" xr:uid="{5C4BA0B6-E2A5-4AED-A043-FCA736493F3E}"/>
    <cellStyle name="Hyperlink 32" xfId="107" hidden="1" xr:uid="{9F619E9F-57A6-4349-813B-0D09DF3C965F}"/>
    <cellStyle name="Hyperlink 32" xfId="46" xr:uid="{7F73CFA9-E71C-4074-971A-2A2BCDF7A341}"/>
    <cellStyle name="Hyperlink 33" xfId="217" hidden="1" xr:uid="{AF381D5F-7CD2-437D-B527-35D67A2FAB49}"/>
    <cellStyle name="Hyperlink 33" xfId="108" hidden="1" xr:uid="{2BFD4A8B-C033-42CC-9815-78D6722A50AC}"/>
    <cellStyle name="Hyperlink 33" xfId="47" xr:uid="{989AC901-00F5-45DC-B912-AC72ED2D6297}"/>
    <cellStyle name="Hyperlink 34" xfId="216" hidden="1" xr:uid="{F3BC0C23-DB7C-4F86-BA15-B9F40EAA53C2}"/>
    <cellStyle name="Hyperlink 34" xfId="109" hidden="1" xr:uid="{5A54434C-B0F1-46F2-B808-8060A5C26FBE}"/>
    <cellStyle name="Hyperlink 34" xfId="48" xr:uid="{665162D2-1F84-4465-A139-8CA9DF22F3E2}"/>
    <cellStyle name="Hyperlink 35" xfId="215" hidden="1" xr:uid="{1FF84D5E-89D2-4014-8F85-23373C140F0B}"/>
    <cellStyle name="Hyperlink 35" xfId="110" hidden="1" xr:uid="{69366095-303D-486F-B6E8-EA49F5C95509}"/>
    <cellStyle name="Hyperlink 35" xfId="49" xr:uid="{896BC559-F5F6-4F41-B238-3FAA4B03DACD}"/>
    <cellStyle name="Hyperlink 36" xfId="214" hidden="1" xr:uid="{25D72F90-94AD-4D80-9934-AC1C69298FD7}"/>
    <cellStyle name="Hyperlink 36" xfId="111" hidden="1" xr:uid="{FBCF385A-1133-405C-866D-055C7E75DB5C}"/>
    <cellStyle name="Hyperlink 36" xfId="50" xr:uid="{8382C0EF-55FC-43B9-9B3F-B9B5C3C8019A}"/>
    <cellStyle name="Hyperlink 37" xfId="213" hidden="1" xr:uid="{ED22A611-F1F6-47E7-A1D3-E875AC1E26AF}"/>
    <cellStyle name="Hyperlink 37" xfId="112" hidden="1" xr:uid="{9E399D50-BE34-4FE6-AF28-A96A20985808}"/>
    <cellStyle name="Hyperlink 37" xfId="51" xr:uid="{4A5138FF-B0CE-47E1-A40D-53C47CED977A}"/>
    <cellStyle name="Hyperlink 38" xfId="212" hidden="1" xr:uid="{9BBEF210-BF24-4CA6-97DB-DFF156DB2468}"/>
    <cellStyle name="Hyperlink 38" xfId="113" hidden="1" xr:uid="{58D7E2CC-164F-4A62-9A97-27B8DAB73B59}"/>
    <cellStyle name="Hyperlink 38" xfId="52" xr:uid="{786C8281-E151-4A78-8CAD-61534396ECA5}"/>
    <cellStyle name="Hyperlink 39" xfId="211" hidden="1" xr:uid="{11F278A9-DDF4-4C6D-9B35-C90D9EABB0FA}"/>
    <cellStyle name="Hyperlink 39" xfId="114" hidden="1" xr:uid="{2A71B1DD-0CC7-46AE-8BBE-02BEB35C81F7}"/>
    <cellStyle name="Hyperlink 39" xfId="53" xr:uid="{230076ED-0DE0-4123-A7B7-7E303D31D13F}"/>
    <cellStyle name="Hyperlink 4" xfId="246" hidden="1" xr:uid="{0C7FA80F-2738-4F0E-9C49-4A14EF0AD145}"/>
    <cellStyle name="Hyperlink 4" xfId="79" hidden="1" xr:uid="{6F93A7CD-AE92-4824-9D1B-52AC64D1CCF6}"/>
    <cellStyle name="Hyperlink 4" xfId="582" xr:uid="{37823EF4-E1CD-4BD1-A262-8731E96BC8BC}"/>
    <cellStyle name="Hyperlink 40" xfId="210" hidden="1" xr:uid="{0AF8D95E-9594-43FA-9D1B-D96E77AEB263}"/>
    <cellStyle name="Hyperlink 40" xfId="115" hidden="1" xr:uid="{B832448A-D44E-41C8-8F13-44F26CA5AE1E}"/>
    <cellStyle name="Hyperlink 40" xfId="54" xr:uid="{4EC431EA-D89E-4C35-82A1-D9BD5AB7141F}"/>
    <cellStyle name="Hyperlink 41" xfId="209" hidden="1" xr:uid="{07D629C7-F340-418E-8150-E14E23D87BBA}"/>
    <cellStyle name="Hyperlink 41" xfId="116" hidden="1" xr:uid="{A58FCB97-28D2-4C26-B935-B20F6A2664F7}"/>
    <cellStyle name="Hyperlink 41" xfId="55" xr:uid="{A5ABD65F-4217-45CE-A33A-3E7B821407C6}"/>
    <cellStyle name="Hyperlink 42" xfId="208" hidden="1" xr:uid="{5D9B8A2D-0A36-4867-A58C-F5DEF0C46112}"/>
    <cellStyle name="Hyperlink 42" xfId="117" hidden="1" xr:uid="{1E463952-A327-428A-90F8-641E59DAB334}"/>
    <cellStyle name="Hyperlink 42" xfId="56" xr:uid="{FDE850FD-276B-490D-A625-3AB9FD501EC0}"/>
    <cellStyle name="Hyperlink 43" xfId="207" hidden="1" xr:uid="{ED904C77-3A92-4B62-85C0-9F1487FDCF09}"/>
    <cellStyle name="Hyperlink 43" xfId="118" hidden="1" xr:uid="{FF89643A-5BC4-4CDE-BDBB-7FAEF1B5A313}"/>
    <cellStyle name="Hyperlink 43" xfId="57" xr:uid="{A51BA312-6EB5-4A55-A96F-5CFACE823366}"/>
    <cellStyle name="Hyperlink 44" xfId="206" hidden="1" xr:uid="{4380D4FD-C8EE-4C5B-9D70-57290C511FDD}"/>
    <cellStyle name="Hyperlink 44" xfId="119" hidden="1" xr:uid="{34958A18-9F9A-4BFA-85D1-8416CED82BB5}"/>
    <cellStyle name="Hyperlink 44" xfId="58" xr:uid="{7BE846D8-6BC1-43E3-95F3-4D2D25FFD6E3}"/>
    <cellStyle name="Hyperlink 45" xfId="205" hidden="1" xr:uid="{E48ED5B2-98CE-49E7-BE3D-2BF7E712F5BF}"/>
    <cellStyle name="Hyperlink 45" xfId="120" hidden="1" xr:uid="{8BFC063A-0A3B-4586-8D12-F06DD9660244}"/>
    <cellStyle name="Hyperlink 45" xfId="59" xr:uid="{54A1660F-2FD4-4DA0-BD9B-EA6D52AD72EF}"/>
    <cellStyle name="Hyperlink 46" xfId="204" hidden="1" xr:uid="{B677D32F-BF76-4304-8EC0-D9C2D21766E2}"/>
    <cellStyle name="Hyperlink 46" xfId="121" hidden="1" xr:uid="{E5CB968C-A325-4DC8-A0E2-4423B083681B}"/>
    <cellStyle name="Hyperlink 46" xfId="60" xr:uid="{E2376380-2D08-492B-A3AE-C24FADB862B7}"/>
    <cellStyle name="Hyperlink 47" xfId="203" hidden="1" xr:uid="{3A72674D-556F-48B0-B5D5-4A10CF1D4947}"/>
    <cellStyle name="Hyperlink 47" xfId="122" hidden="1" xr:uid="{32173C9A-98F1-40CA-9F34-50163D10D26C}"/>
    <cellStyle name="Hyperlink 47" xfId="61" xr:uid="{8A3B6A1C-8279-4C20-83B4-CA4875E0D1A0}"/>
    <cellStyle name="Hyperlink 48" xfId="202" hidden="1" xr:uid="{F7532FAF-4870-403C-89B2-6152BA3554E7}"/>
    <cellStyle name="Hyperlink 48" xfId="123" hidden="1" xr:uid="{58CD81CB-98A3-4BFD-A585-FF9EFB397B0C}"/>
    <cellStyle name="Hyperlink 48" xfId="62" xr:uid="{93C8EDAB-423A-453D-93C1-A72C7B1A98D5}"/>
    <cellStyle name="Hyperlink 49" xfId="201" hidden="1" xr:uid="{938348E4-374B-4CA4-9601-694DFDB90E2D}"/>
    <cellStyle name="Hyperlink 49" xfId="124" hidden="1" xr:uid="{62C33754-88CD-4A3D-BFA4-F35F9C93EECF}"/>
    <cellStyle name="Hyperlink 49" xfId="63" xr:uid="{DEE76E72-EEBB-464B-9C74-BC6E4CA64B16}"/>
    <cellStyle name="Hyperlink 5" xfId="245" hidden="1" xr:uid="{0C370120-79D5-4E1F-A38A-FC7A120AFF69}"/>
    <cellStyle name="Hyperlink 5" xfId="80" hidden="1" xr:uid="{740DE05B-F071-49DA-911F-BC6F7985D417}"/>
    <cellStyle name="Hyperlink 5" xfId="581" xr:uid="{DA8991BF-0CC8-4456-BBE9-B94F1E292E4F}"/>
    <cellStyle name="Hyperlink 50" xfId="200" hidden="1" xr:uid="{30C80A5D-FFDB-47F8-A57D-44F1271C84E0}"/>
    <cellStyle name="Hyperlink 50" xfId="125" hidden="1" xr:uid="{923FDE00-E72A-4508-A2FE-7B6F611FF5DE}"/>
    <cellStyle name="Hyperlink 50" xfId="64" xr:uid="{FEC61D8B-6F45-4503-9287-E7DFBCE89794}"/>
    <cellStyle name="Hyperlink 51" xfId="199" hidden="1" xr:uid="{96DDD7FB-4083-4E1C-9802-1CC9AD37F6F1}"/>
    <cellStyle name="Hyperlink 51" xfId="126" hidden="1" xr:uid="{88DE023D-2369-44A5-87F0-A8F5C2294B2A}"/>
    <cellStyle name="Hyperlink 51" xfId="65" xr:uid="{23477E41-43B9-4A02-8368-8C7D0C666317}"/>
    <cellStyle name="Hyperlink 52" xfId="198" hidden="1" xr:uid="{496A8A0E-AA75-4A15-A3A3-96E70C70B8B2}"/>
    <cellStyle name="Hyperlink 52" xfId="127" hidden="1" xr:uid="{8FA36234-1CEB-466E-BBFF-348F9CBDCA7C}"/>
    <cellStyle name="Hyperlink 52" xfId="66" xr:uid="{831BEE0E-A937-4947-AF28-E73251861FEB}"/>
    <cellStyle name="Hyperlink 53" xfId="197" hidden="1" xr:uid="{4547E71C-9495-4681-9D26-AA9A48CD3A3E}"/>
    <cellStyle name="Hyperlink 53" xfId="128" hidden="1" xr:uid="{6D5D7C56-D610-4F2A-AB72-F2DA4729563D}"/>
    <cellStyle name="Hyperlink 53" xfId="67" xr:uid="{AFE90DEE-C129-4B76-ABB7-C31BE87F5439}"/>
    <cellStyle name="Hyperlink 54" xfId="196" hidden="1" xr:uid="{68541B28-D891-4805-A9AB-3B2BA96EC3BA}"/>
    <cellStyle name="Hyperlink 54" xfId="129" hidden="1" xr:uid="{9A11F32E-40AE-4196-8A98-D50376F47ADD}"/>
    <cellStyle name="Hyperlink 54" xfId="68" xr:uid="{D23901D7-4907-4E8C-A2DE-721D09F465AE}"/>
    <cellStyle name="Hyperlink 55" xfId="195" hidden="1" xr:uid="{BA6CCB98-A4E3-4DD6-8164-3B0401FC19BB}"/>
    <cellStyle name="Hyperlink 55" xfId="130" hidden="1" xr:uid="{C94A3A4C-ADFB-4740-B12D-D5EEDBCA78CE}"/>
    <cellStyle name="Hyperlink 55" xfId="69" xr:uid="{7A8FF55F-9ECE-464E-8BB8-0BF830666CD9}"/>
    <cellStyle name="Hyperlink 56" xfId="194" hidden="1" xr:uid="{F7B51311-41CD-4278-A3C7-6CA3D2838121}"/>
    <cellStyle name="Hyperlink 56" xfId="131" hidden="1" xr:uid="{41A6DAD1-EC30-4180-AAC6-D079F4DBC0CD}"/>
    <cellStyle name="Hyperlink 56" xfId="70" xr:uid="{2B0108BA-C2E9-4D72-B7B7-CD949744C09F}"/>
    <cellStyle name="Hyperlink 57" xfId="193" hidden="1" xr:uid="{9DFE958F-8FD8-4CCF-B7FE-5040261BD398}"/>
    <cellStyle name="Hyperlink 57" xfId="132" hidden="1" xr:uid="{2BB69BEE-5591-41AD-9927-D2AA4CBE9F3C}"/>
    <cellStyle name="Hyperlink 57" xfId="71" xr:uid="{B47C187A-5C24-42CD-813C-5144E3643895}"/>
    <cellStyle name="Hyperlink 58" xfId="249" hidden="1" xr:uid="{972D3236-CD20-4A3B-BB9E-60B225C8E4DE}"/>
    <cellStyle name="Hyperlink 58" xfId="133" hidden="1" xr:uid="{5D8418D7-FFB0-4251-BBE4-E8C2BC1C4631}"/>
    <cellStyle name="Hyperlink 58" xfId="585" xr:uid="{1357E4F7-C4E2-46C0-A1FB-AD25EEAD0290}"/>
    <cellStyle name="Hyperlink 59" xfId="192" hidden="1" xr:uid="{C9CEBDBC-A1DC-4438-8223-B42F680FD1A5}"/>
    <cellStyle name="Hyperlink 59" xfId="134" hidden="1" xr:uid="{4B4D6FC7-C620-4BC0-B310-5A4DEC8164D0}"/>
    <cellStyle name="Hyperlink 59" xfId="72" xr:uid="{98025C02-32C3-4E29-B671-58D83132A06D}"/>
    <cellStyle name="Hyperlink 6" xfId="244" hidden="1" xr:uid="{18A35680-E8AC-436E-8038-B0A8481F55BF}"/>
    <cellStyle name="Hyperlink 6" xfId="81" hidden="1" xr:uid="{7AB6CF3D-316E-4CC9-93B8-267544D4825F}"/>
    <cellStyle name="Hyperlink 6" xfId="580" xr:uid="{7E195B51-CC35-45A2-B9E3-EEB3E9C49D58}"/>
    <cellStyle name="Hyperlink 60" xfId="250" hidden="1" xr:uid="{EFC339E6-6687-4B9A-9856-F2052EBA0CFC}"/>
    <cellStyle name="Hyperlink 60" xfId="135" hidden="1" xr:uid="{E85E487D-66D8-46EC-8CE1-A4212A0F74F1}"/>
    <cellStyle name="Hyperlink 60" xfId="586" xr:uid="{0E064765-086F-4043-AB12-7007C8DA1A54}"/>
    <cellStyle name="Hyperlink 61" xfId="251" hidden="1" xr:uid="{7A6FD53A-2B2F-40E1-BA01-47C4415A5A99}"/>
    <cellStyle name="Hyperlink 61" xfId="136" hidden="1" xr:uid="{68563856-1F39-4C95-9A3E-AD6E3A65792F}"/>
    <cellStyle name="Hyperlink 61" xfId="587" xr:uid="{A1754997-A9B0-434D-AE8A-19D3D13B5117}"/>
    <cellStyle name="Hyperlink 62" xfId="252" hidden="1" xr:uid="{A0BF5482-D972-42F2-BAF4-9BA20E6AF28B}"/>
    <cellStyle name="Hyperlink 62" xfId="137" hidden="1" xr:uid="{981C36BC-0E9E-46FE-8DFC-94EB94D336DF}"/>
    <cellStyle name="Hyperlink 62" xfId="588" xr:uid="{FCE9879D-BA83-42C0-9C46-9B5993A14F37}"/>
    <cellStyle name="Hyperlink 63" xfId="253" hidden="1" xr:uid="{16A5328D-E89F-4910-B2E6-E9AADA1FC850}"/>
    <cellStyle name="Hyperlink 63" xfId="138" hidden="1" xr:uid="{967FF911-6E93-407F-96FA-CF68BE46FD38}"/>
    <cellStyle name="Hyperlink 63" xfId="589" xr:uid="{B6ED7560-E7D4-4568-A6D6-60C6DAC52A82}"/>
    <cellStyle name="Hyperlink 64" xfId="254" hidden="1" xr:uid="{8A3B883F-EBA5-4A3F-81F5-2984C762AE2D}"/>
    <cellStyle name="Hyperlink 64" xfId="139" hidden="1" xr:uid="{FDFDEA0D-B60F-4327-AAE8-24EACC2B0B14}"/>
    <cellStyle name="Hyperlink 64" xfId="590" xr:uid="{203E2D72-1483-4D16-9999-1E40BF511A54}"/>
    <cellStyle name="Hyperlink 65" xfId="255" hidden="1" xr:uid="{654F595A-4E73-4574-A02B-3EDF1D7D6979}"/>
    <cellStyle name="Hyperlink 65" xfId="140" hidden="1" xr:uid="{C30FC27A-0113-433E-B95A-A55FA9C1CBA0}"/>
    <cellStyle name="Hyperlink 65" xfId="591" xr:uid="{AE04FED5-2441-4620-8E3B-33521DCAC979}"/>
    <cellStyle name="Hyperlink 66" xfId="256" hidden="1" xr:uid="{2E4E3101-B476-4DDF-8E32-B8E5A557C440}"/>
    <cellStyle name="Hyperlink 66" xfId="141" hidden="1" xr:uid="{E4115A31-3C40-458A-920E-975627456A9F}"/>
    <cellStyle name="Hyperlink 66" xfId="592" xr:uid="{0E84F69A-CDCF-4B36-9A81-D126ED3EDBB5}"/>
    <cellStyle name="Hyperlink 67" xfId="257" hidden="1" xr:uid="{9CB671FF-CAB8-4CEE-833C-1947FC625BA2}"/>
    <cellStyle name="Hyperlink 67" xfId="142" hidden="1" xr:uid="{2752CC55-265D-4AEE-A94B-E64A6FEC8C83}"/>
    <cellStyle name="Hyperlink 67" xfId="593" xr:uid="{6FB371C3-65F0-4605-B6FF-1A2883C1FAF9}"/>
    <cellStyle name="Hyperlink 68" xfId="258" hidden="1" xr:uid="{B935FF72-419B-4A71-89DD-8A5AA88D943A}"/>
    <cellStyle name="Hyperlink 68" xfId="143" hidden="1" xr:uid="{3523481A-1BA8-4C63-A0B6-9E3D644CF326}"/>
    <cellStyle name="Hyperlink 68" xfId="594" xr:uid="{F50114D8-E1D8-47D8-97D6-B32E93505342}"/>
    <cellStyle name="Hyperlink 69" xfId="259" hidden="1" xr:uid="{CD5F060F-976E-4D15-92B2-9AD13EE68531}"/>
    <cellStyle name="Hyperlink 69" xfId="144" hidden="1" xr:uid="{5E43AA61-2299-4778-8B0F-1B3F35DD71F7}"/>
    <cellStyle name="Hyperlink 69" xfId="595" xr:uid="{94D0541C-798C-4BD5-904A-0DA3BBF01D2B}"/>
    <cellStyle name="Hyperlink 7" xfId="243" hidden="1" xr:uid="{D31294D7-6855-4031-8FC8-D9208547271B}"/>
    <cellStyle name="Hyperlink 7" xfId="82" hidden="1" xr:uid="{31B6F41A-867E-44E9-860D-2AC19BE38400}"/>
    <cellStyle name="Hyperlink 7" xfId="579" xr:uid="{F8D8539B-D643-4A26-A10A-26DA15E907F9}"/>
    <cellStyle name="Hyperlink 70" xfId="260" hidden="1" xr:uid="{A1FA0C92-4705-4ECB-8B24-287F223C9189}"/>
    <cellStyle name="Hyperlink 70" xfId="145" hidden="1" xr:uid="{D7962CEB-BC23-4324-B606-F54B7A1F728C}"/>
    <cellStyle name="Hyperlink 70" xfId="596" xr:uid="{44D8D4C1-A2E0-4438-9920-7DF37C20B897}"/>
    <cellStyle name="Hyperlink 71" xfId="261" hidden="1" xr:uid="{BB6ED246-7DC9-4AB0-96FC-ADC89103D568}"/>
    <cellStyle name="Hyperlink 71" xfId="146" hidden="1" xr:uid="{C3E5BADD-BE69-4792-A7CA-478EC91C0E50}"/>
    <cellStyle name="Hyperlink 71" xfId="597" xr:uid="{1914668A-B9AD-4359-8695-19B3E166625B}"/>
    <cellStyle name="Hyperlink 72" xfId="262" hidden="1" xr:uid="{8F55B014-FC26-473E-B7C5-9005455218BA}"/>
    <cellStyle name="Hyperlink 72" xfId="147" hidden="1" xr:uid="{D08C5412-C30E-4DAA-BC81-9E95974B7832}"/>
    <cellStyle name="Hyperlink 72" xfId="598" xr:uid="{E0E9230B-36C5-4CE8-98F8-73B1C02EDFED}"/>
    <cellStyle name="Hyperlink 73" xfId="263" hidden="1" xr:uid="{ECDDE591-8EC8-41E3-8626-36A6D759AE16}"/>
    <cellStyle name="Hyperlink 73" xfId="148" hidden="1" xr:uid="{84B7CB1D-B75B-49D8-9C9A-C0D23B4807C2}"/>
    <cellStyle name="Hyperlink 73" xfId="599" xr:uid="{B17F707E-6861-450B-9600-445FEC4F470C}"/>
    <cellStyle name="Hyperlink 74" xfId="264" hidden="1" xr:uid="{AEDEB385-D166-4844-9D9B-35EFD60AACDB}"/>
    <cellStyle name="Hyperlink 74" xfId="149" hidden="1" xr:uid="{709EC6F7-A3BA-456C-8612-581895E1AA17}"/>
    <cellStyle name="Hyperlink 74" xfId="600" xr:uid="{8A64E560-DCE6-40FA-99AA-F2F03254CB5A}"/>
    <cellStyle name="Hyperlink 75" xfId="265" hidden="1" xr:uid="{38B8AAEC-4267-43B2-9218-A144DA67A2ED}"/>
    <cellStyle name="Hyperlink 75" xfId="150" hidden="1" xr:uid="{D3AF7B2F-B835-44D5-8424-3CF417769BA1}"/>
    <cellStyle name="Hyperlink 75" xfId="601" xr:uid="{0085071D-B891-4562-B7C9-C6CEE133DB53}"/>
    <cellStyle name="Hyperlink 76" xfId="266" hidden="1" xr:uid="{BEB2F3FC-A1AF-453C-99CD-7456CCFE9532}"/>
    <cellStyle name="Hyperlink 76" xfId="151" hidden="1" xr:uid="{456A4AE0-8573-4D3E-8AEE-BAF8EA59C335}"/>
    <cellStyle name="Hyperlink 76" xfId="602" xr:uid="{BC29F9B0-D03C-4263-85A7-B4B626668AE2}"/>
    <cellStyle name="Hyperlink 77" xfId="267" hidden="1" xr:uid="{1929516B-57A5-4E09-9520-E95D16824BA9}"/>
    <cellStyle name="Hyperlink 77" xfId="152" hidden="1" xr:uid="{74D3AA51-AD83-405A-8EF9-33EF669B3E36}"/>
    <cellStyle name="Hyperlink 77" xfId="603" xr:uid="{C3535CD2-EFEA-4381-BFDC-DB17BA6C9383}"/>
    <cellStyle name="Hyperlink 78" xfId="268" hidden="1" xr:uid="{B96B6985-C9AC-494B-9E20-0536D411FA3B}"/>
    <cellStyle name="Hyperlink 78" xfId="153" hidden="1" xr:uid="{403C31E2-C196-4AAC-9270-4D5232470BDF}"/>
    <cellStyle name="Hyperlink 78" xfId="604" xr:uid="{33F402E0-2FC1-4F07-A978-84915BAF1D3B}"/>
    <cellStyle name="Hyperlink 79" xfId="269" hidden="1" xr:uid="{A781CD3A-D91E-47F3-9A01-18DC6AE450A4}"/>
    <cellStyle name="Hyperlink 79" xfId="154" hidden="1" xr:uid="{43F34368-7DB1-46C6-AD9F-58F9E5F54AFD}"/>
    <cellStyle name="Hyperlink 79" xfId="605" xr:uid="{40AD2EE3-19B9-4348-8796-D86F9ADF69E5}"/>
    <cellStyle name="Hyperlink 8" xfId="242" hidden="1" xr:uid="{252E1705-30DF-42D2-946E-18BA44CCE3F2}"/>
    <cellStyle name="Hyperlink 8" xfId="83" hidden="1" xr:uid="{0F0697F1-B7A1-491B-8403-E73D9BE2EFCB}"/>
    <cellStyle name="Hyperlink 8" xfId="578" xr:uid="{D7BC104D-3695-4283-93AE-1FE2F9EEA22B}"/>
    <cellStyle name="Hyperlink 80" xfId="270" hidden="1" xr:uid="{7AA8CAEC-B67D-479E-BF8F-1547030BB374}"/>
    <cellStyle name="Hyperlink 80" xfId="155" hidden="1" xr:uid="{0BCC3B1B-0A71-4E53-9F27-90ED3C4EA8B2}"/>
    <cellStyle name="Hyperlink 80" xfId="606" xr:uid="{5CC9E6EE-4D66-4E0A-B64C-FAC04E57140C}"/>
    <cellStyle name="Hyperlink 81" xfId="271" hidden="1" xr:uid="{005A7E89-D66A-4388-895A-503DE8EC4A03}"/>
    <cellStyle name="Hyperlink 81" xfId="156" hidden="1" xr:uid="{C6691B36-1079-4940-9206-865CC785B1B9}"/>
    <cellStyle name="Hyperlink 81" xfId="607" xr:uid="{9865B843-7DB7-45B1-8F02-6D83E2F66868}"/>
    <cellStyle name="Hyperlink 82" xfId="272" hidden="1" xr:uid="{D0811E8C-7552-4AAC-9098-5F539C316856}"/>
    <cellStyle name="Hyperlink 82" xfId="157" hidden="1" xr:uid="{911132F9-68B0-417E-AB8D-F332C0925FF7}"/>
    <cellStyle name="Hyperlink 82" xfId="608" xr:uid="{E05247C1-6BDA-437F-A81B-0A3B5F6E4DB4}"/>
    <cellStyle name="Hyperlink 83" xfId="273" hidden="1" xr:uid="{98D28DAD-CE46-4989-88C3-CBCBB2713EF4}"/>
    <cellStyle name="Hyperlink 83" xfId="158" hidden="1" xr:uid="{E3626C1C-6CD2-4685-81DE-28826B0D621E}"/>
    <cellStyle name="Hyperlink 83" xfId="609" xr:uid="{3562F6B1-0B8A-4C8B-8B68-CF643B4172EC}"/>
    <cellStyle name="Hyperlink 84" xfId="274" hidden="1" xr:uid="{DFB93233-3FC0-4248-9EAD-D4150755DD03}"/>
    <cellStyle name="Hyperlink 84" xfId="159" hidden="1" xr:uid="{B42A0629-AB22-47E0-8677-797AFF18E766}"/>
    <cellStyle name="Hyperlink 84" xfId="610" xr:uid="{45EB26B4-E3E2-4EC2-A5D5-CC857E4610C5}"/>
    <cellStyle name="Hyperlink 85" xfId="275" hidden="1" xr:uid="{D904F757-54AF-4215-B592-7A5B1A10FECB}"/>
    <cellStyle name="Hyperlink 85" xfId="160" hidden="1" xr:uid="{2225C2F5-D540-40FA-84E2-029706900D26}"/>
    <cellStyle name="Hyperlink 85" xfId="611" xr:uid="{5EF1BBC5-1F6E-4111-9D4B-B7641B38EF12}"/>
    <cellStyle name="Hyperlink 86" xfId="276" hidden="1" xr:uid="{E1B1F78E-6739-4CF6-8A6C-0D4029216048}"/>
    <cellStyle name="Hyperlink 86" xfId="161" hidden="1" xr:uid="{010CCCF3-7632-4B04-80CF-4674DE154840}"/>
    <cellStyle name="Hyperlink 86" xfId="612" xr:uid="{55522D46-1121-4B08-B6B3-74CED16AE76A}"/>
    <cellStyle name="Hyperlink 87" xfId="277" hidden="1" xr:uid="{663004ED-310F-42A2-ADB3-9E1700324C36}"/>
    <cellStyle name="Hyperlink 87" xfId="162" hidden="1" xr:uid="{472A9348-79A5-4C9F-B383-C8417B140E8C}"/>
    <cellStyle name="Hyperlink 87" xfId="613" xr:uid="{C429D6A6-E8DF-4C6B-8ED7-63D3F4F4677D}"/>
    <cellStyle name="Hyperlink 88" xfId="278" hidden="1" xr:uid="{33BF7E55-3ECE-48E9-813E-A66F7479ACD3}"/>
    <cellStyle name="Hyperlink 88" xfId="163" hidden="1" xr:uid="{E9037CD3-5E35-42E2-A947-F311346FF63D}"/>
    <cellStyle name="Hyperlink 88" xfId="614" xr:uid="{B6B6EAC2-8EC4-4237-BABC-F5E8A6C8428F}"/>
    <cellStyle name="Hyperlink 89" xfId="279" hidden="1" xr:uid="{2A1ED89E-37F1-4FF6-B312-9E700C4DAA38}"/>
    <cellStyle name="Hyperlink 89" xfId="164" hidden="1" xr:uid="{14303C40-6C3C-4E03-BDFA-D4D21EA3A6F8}"/>
    <cellStyle name="Hyperlink 89" xfId="615" xr:uid="{7453BFFD-5E3F-4C5A-AB18-B43E86A62960}"/>
    <cellStyle name="Hyperlink 9" xfId="241" hidden="1" xr:uid="{B9C5FE5C-BE9D-4FE7-9474-E0A314DF6037}"/>
    <cellStyle name="Hyperlink 9" xfId="84" hidden="1" xr:uid="{D1FF1A2C-3783-4D60-A374-B7FD2912A37F}"/>
    <cellStyle name="Hyperlink 9" xfId="577" xr:uid="{4EB2678D-561D-42B8-978C-42F7ECB33DE1}"/>
    <cellStyle name="Hyperlink 90" xfId="280" hidden="1" xr:uid="{3374F49C-1277-4143-8F7D-825628F04C7E}"/>
    <cellStyle name="Hyperlink 90" xfId="165" hidden="1" xr:uid="{F7487E47-3634-44FB-8555-EA522FC3FE46}"/>
    <cellStyle name="Hyperlink 90" xfId="616" xr:uid="{869B3A3D-A357-4398-89D1-8E555323A40F}"/>
    <cellStyle name="Hyperlink 91" xfId="281" hidden="1" xr:uid="{8CE8CDD8-4CCD-48A4-8914-E85A48C9E63A}"/>
    <cellStyle name="Hyperlink 91" xfId="166" hidden="1" xr:uid="{B5006DF7-959D-4EB8-8E05-BD1A665E3314}"/>
    <cellStyle name="Hyperlink 91" xfId="617" xr:uid="{0159E532-C88E-445A-9F38-EE031ABC580F}"/>
    <cellStyle name="Hyperlink 92" xfId="282" hidden="1" xr:uid="{12DA0851-A5DE-464D-840C-5F4EABA23B15}"/>
    <cellStyle name="Hyperlink 92" xfId="167" hidden="1" xr:uid="{CDCEE4CE-A53B-4ECA-BB34-5A33F220EA31}"/>
    <cellStyle name="Hyperlink 92" xfId="618" xr:uid="{67B044C4-DB4A-48FE-80A7-BB827B6CF362}"/>
    <cellStyle name="Hyperlink 93" xfId="283" hidden="1" xr:uid="{0EA9C0AD-237B-4537-A909-B7F9AD96262B}"/>
    <cellStyle name="Hyperlink 93" xfId="168" hidden="1" xr:uid="{00280954-15F1-45D5-9B08-338C4F298B9C}"/>
    <cellStyle name="Hyperlink 93" xfId="619" xr:uid="{9CF23AC4-6EC4-47C5-876D-B76CC3CBDD62}"/>
    <cellStyle name="Hyperlink 94" xfId="284" hidden="1" xr:uid="{4568E220-AE6D-4136-A55E-8F3A02959ACA}"/>
    <cellStyle name="Hyperlink 94" xfId="169" hidden="1" xr:uid="{016B80A9-41D4-405D-A595-5F7C3FA5C0F8}"/>
    <cellStyle name="Hyperlink 94" xfId="620" xr:uid="{723F6E5A-F2B2-479C-B859-63ECAEF7341B}"/>
    <cellStyle name="Hyperlink 95" xfId="285" hidden="1" xr:uid="{EE22DC23-B3B8-4E8F-82EB-A94EDDD80F10}"/>
    <cellStyle name="Hyperlink 95" xfId="170" hidden="1" xr:uid="{24C94B84-E118-4EAB-BE50-AB620829C079}"/>
    <cellStyle name="Hyperlink 95" xfId="621" xr:uid="{228BD981-FE25-4689-A894-F28A03349742}"/>
    <cellStyle name="Hyperlink 96" xfId="286" hidden="1" xr:uid="{1CA40461-1F7B-4F6B-9B48-23B7C39F6780}"/>
    <cellStyle name="Hyperlink 96" xfId="171" hidden="1" xr:uid="{14E0A347-9EDC-4596-924B-CFB739233252}"/>
    <cellStyle name="Hyperlink 96" xfId="622" xr:uid="{0AD900C4-8B8E-47A0-828B-A90AB9144B2C}"/>
    <cellStyle name="Hyperlink 97" xfId="287" hidden="1" xr:uid="{83F94AC2-B4DB-459A-B2DF-166C86BCA2AD}"/>
    <cellStyle name="Hyperlink 97" xfId="172" hidden="1" xr:uid="{065AE8FA-4917-4E87-BEB1-96EA546EE007}"/>
    <cellStyle name="Hyperlink 97" xfId="623" xr:uid="{624D32AA-1338-4586-AD32-0261B989138F}"/>
    <cellStyle name="Hyperlink 98" xfId="288" hidden="1" xr:uid="{78AB0372-7921-4657-9EB1-17FB38D91EFA}"/>
    <cellStyle name="Hyperlink 98" xfId="173" hidden="1" xr:uid="{317BFD29-D15E-4818-AA46-6643B2C47FD3}"/>
    <cellStyle name="Hyperlink 98" xfId="624" xr:uid="{72B61B36-366D-48E6-8A32-BF9BE401249B}"/>
    <cellStyle name="Hyperlink 99" xfId="289" hidden="1" xr:uid="{C441F048-3F20-47E6-A1F1-0A1821674F70}"/>
    <cellStyle name="Hyperlink 99" xfId="174" hidden="1" xr:uid="{737E1595-1BCA-41C4-B155-EB57C65F1C54}"/>
    <cellStyle name="Hyperlink 99" xfId="625" xr:uid="{FA931A49-E300-41BB-8E4A-3550C8236790}"/>
    <cellStyle name="Input [yellow]" xfId="442" xr:uid="{062C9A71-5AEF-4D26-B38C-4A4B3ED5092E}"/>
    <cellStyle name="Input [yellow] 2" xfId="443" xr:uid="{B296A8D1-D989-4DC0-B62C-186482CC5C70}"/>
    <cellStyle name="Input [yellow] 3" xfId="444" xr:uid="{47C4F2A6-163A-44F3-8B70-FB2D4C276BEA}"/>
    <cellStyle name="Input 2" xfId="23" xr:uid="{38355E5A-1676-4AAB-A92C-FF291C525D6A}"/>
    <cellStyle name="Input 3" xfId="535" xr:uid="{B2B46B73-F2FA-44E4-86DA-1D2167CBF14F}"/>
    <cellStyle name="ITEMS" xfId="445" xr:uid="{C1E1C594-E058-4302-AA9B-E208D9641017}"/>
    <cellStyle name="Linked Cell 2" xfId="318" xr:uid="{86FF9F03-3B02-41F0-B0DA-5EF5619E126B}"/>
    <cellStyle name="m1 - Style1" xfId="446" xr:uid="{D0671E31-06EE-484E-BA8F-38ECC345B6D5}"/>
    <cellStyle name="MANKAD" xfId="447" xr:uid="{E868590B-73D8-4119-8DCA-AE0ED0EFC8ED}"/>
    <cellStyle name="Neutral 2" xfId="315" xr:uid="{57502E67-CCCD-443D-87E1-8062C8D76AEB}"/>
    <cellStyle name="Neutrale" xfId="448" xr:uid="{70CD99C3-4D28-4ADB-A41E-6658F57F40F0}"/>
    <cellStyle name="no dec" xfId="449" xr:uid="{C43E5503-3E1E-48D1-B9FC-B86AE00B71D3}"/>
    <cellStyle name="Normal" xfId="0" builtinId="0"/>
    <cellStyle name="Normal - Style1" xfId="450" xr:uid="{9B7F2E25-B476-4151-AF4D-11527D129464}"/>
    <cellStyle name="Normal 10" xfId="451" xr:uid="{823AD600-C290-47E8-A83E-95EABE3A75E0}"/>
    <cellStyle name="Normal 11" xfId="380" xr:uid="{5671B9C8-E8C9-48B9-938F-3D8E6E5D6896}"/>
    <cellStyle name="Normal 12" xfId="527" xr:uid="{BBCE8053-B869-4F11-8466-F4C7FBEE440A}"/>
    <cellStyle name="Normal 13" xfId="533" xr:uid="{26842A0C-82E4-4923-A954-E083F2C651EB}"/>
    <cellStyle name="Normal 14" xfId="538" xr:uid="{502D8691-04D2-4372-8418-AC44C759597D}"/>
    <cellStyle name="Normal 14 2" xfId="541" xr:uid="{55C94B80-6E26-499C-A227-C79B8DBB3ED5}"/>
    <cellStyle name="Normal 14 3" xfId="554" xr:uid="{C586781B-38ED-4449-97A6-4FC306438435}"/>
    <cellStyle name="Normal 14 3 2" xfId="561" xr:uid="{D112FF8C-D6FD-4CAE-9190-46BA6DF9A411}"/>
    <cellStyle name="Normal 14 3 2 2" xfId="565" xr:uid="{2CAA5A9C-5D29-4AD8-96AE-7C22991DE7BD}"/>
    <cellStyle name="Normal 14 3 2 2 2" xfId="568" xr:uid="{D9A75A88-854D-4AB6-8C90-AF10B360FBC3}"/>
    <cellStyle name="Normal 14 4" xfId="556" xr:uid="{D08B10FA-7BB3-4E9E-8109-6F241114804A}"/>
    <cellStyle name="Normal 14 4 2" xfId="558" xr:uid="{8D2C88CD-381C-4722-A6EC-C732C5389C3D}"/>
    <cellStyle name="Normal 14 4 2 2" xfId="562" xr:uid="{634F6C41-BEBE-41CC-B7A4-69EDC7EBF072}"/>
    <cellStyle name="Normal 14 4 2 2 2" xfId="566" xr:uid="{1615E9BD-D76C-4E95-8B15-3F0008BE236C}"/>
    <cellStyle name="Normal 15" xfId="549" xr:uid="{F6517700-15FF-41A8-8351-649B2A9962A1}"/>
    <cellStyle name="Normal 16" xfId="570" xr:uid="{FCBA0ECE-9297-4652-9979-E81A50629D58}"/>
    <cellStyle name="Normal 17" xfId="571" xr:uid="{195754F0-88D5-41A5-BACE-05E04EF87A57}"/>
    <cellStyle name="Normal 18" xfId="20" xr:uid="{4F8DD8C2-DD6B-4596-811A-840E7CD41063}"/>
    <cellStyle name="Normal 19" xfId="537" xr:uid="{9A83E101-1DDC-4659-A22F-3493A391EEBD}"/>
    <cellStyle name="Normal 2" xfId="2" xr:uid="{00000000-0005-0000-0000-00000D000000}"/>
    <cellStyle name="Normal 2 2" xfId="191" xr:uid="{9E94D9D8-623E-4380-814E-A620E3F3221E}"/>
    <cellStyle name="Normal 2 2 2" xfId="306" xr:uid="{83AF0B70-0F80-48D6-AFC6-B8F7AF7547C0}"/>
    <cellStyle name="Normal 2 2 2 2" xfId="453" xr:uid="{353DE408-5268-42C3-8103-FD5900F74BE1}"/>
    <cellStyle name="Normal 2 2 3" xfId="454" xr:uid="{37300164-030A-44F3-BCE8-50D7EB12750D}"/>
    <cellStyle name="Normal 2 2 4" xfId="452" xr:uid="{9388D13C-5AB4-4FBD-B59F-F9A9451FE269}"/>
    <cellStyle name="Normal 2 3" xfId="455" xr:uid="{4629355A-3AAC-4209-BB1E-7570AA904E28}"/>
    <cellStyle name="Normal 2 4" xfId="26" xr:uid="{8FC1D60B-7F64-43E3-941B-08E9B8A474AE}"/>
    <cellStyle name="Normal 3" xfId="189" xr:uid="{B3AAE5F3-8120-4096-BAC8-D8A2B9873D6A}"/>
    <cellStyle name="Normal 3 2" xfId="305" xr:uid="{7D259C5E-4DE4-40A3-81FE-40BE2859EF85}"/>
    <cellStyle name="Normal 3 2 2" xfId="457" xr:uid="{1D40D700-2E72-46DC-8361-AD3B09D4A4AF}"/>
    <cellStyle name="Normal 3 3" xfId="458" xr:uid="{5A6EE00F-EFFD-442E-9246-6F5C2DD817B2}"/>
    <cellStyle name="Normal 3 4" xfId="456" xr:uid="{429F20C7-2139-4FDB-B96B-006D62B99D92}"/>
    <cellStyle name="Normal 4" xfId="344" xr:uid="{8486CAB6-2E4D-489B-ACF7-B85B99C42AF8}"/>
    <cellStyle name="Normal 4 2" xfId="460" xr:uid="{CF4AA2AA-9A86-4B0F-A813-7738248DA937}"/>
    <cellStyle name="Normal 4 3" xfId="459" xr:uid="{C9A8475E-F5D0-4C0B-9FA2-ECCE028B6E06}"/>
    <cellStyle name="Normal 5" xfId="348" xr:uid="{DB06AB15-5EF2-41D5-946D-8FB0A239BE7F}"/>
    <cellStyle name="Normal 5 2" xfId="461" xr:uid="{9DF94AC5-DE3C-4CE6-B291-34323C12DC97}"/>
    <cellStyle name="Normal 6" xfId="362" xr:uid="{1108AAE3-CC48-4240-9884-A6AE6E964EA3}"/>
    <cellStyle name="Normal 6 2" xfId="462" xr:uid="{80230537-94B7-48CA-A9B3-46D52C31D5A4}"/>
    <cellStyle name="Normal 7" xfId="376" xr:uid="{BCFE2730-55AD-419D-84FB-C9C2DA1D1745}"/>
    <cellStyle name="Normal 7 2" xfId="378" xr:uid="{946B5E4C-2BEB-4173-BC20-B7A835AA0410}"/>
    <cellStyle name="Normal 7 3" xfId="463" xr:uid="{FFA557BB-AD73-4D8F-B37E-F5D05BBDD0C3}"/>
    <cellStyle name="Normal 7 3 2" xfId="525" xr:uid="{F04DA1C5-DF92-42B8-A62A-A151B06A509D}"/>
    <cellStyle name="Normal 7 3 2 2" xfId="531" xr:uid="{7A47F286-2F61-4C69-942D-7D69C14DE2CB}"/>
    <cellStyle name="Normal 8" xfId="464" xr:uid="{203DB4BB-E9FA-4515-93F2-8402149F556A}"/>
    <cellStyle name="Normal 8 2" xfId="465" xr:uid="{0B1AEA99-5AB8-4CCC-930E-5A6CD2B49844}"/>
    <cellStyle name="Normal 8 2 2" xfId="521" xr:uid="{7DD89AFB-6BA1-4487-8290-C239F4350E85}"/>
    <cellStyle name="Normal 8 3" xfId="522" xr:uid="{E21BAD43-5032-49C5-A366-8D2FECF52571}"/>
    <cellStyle name="Normal 8 3 2" xfId="552" xr:uid="{127E3A00-8468-4A16-9C80-5FAD9A78AA7B}"/>
    <cellStyle name="Normal 8 3 2 2" xfId="569" xr:uid="{72DD84B0-5D0A-4042-A7FC-7A58DABF30AE}"/>
    <cellStyle name="Normal 9" xfId="466" xr:uid="{2F465000-8302-435A-B305-0F5295126940}"/>
    <cellStyle name="Normal 9 2" xfId="519" xr:uid="{D15838AA-7043-43DC-B9B4-DE7FFA290F33}"/>
    <cellStyle name="Normal 9 3" xfId="526" xr:uid="{1EE6406A-28B1-45C9-88F5-2C5206D241EA}"/>
    <cellStyle name="Normal 9 4" xfId="529" xr:uid="{41D97422-DF08-417F-8D71-0AFB432E77BB}"/>
    <cellStyle name="Normal 9 5" xfId="530" xr:uid="{6BB32205-80AB-4838-9D89-1736F38015B7}"/>
    <cellStyle name="Normal 9 6" xfId="532" xr:uid="{C2D21CE5-57FD-43B9-81EB-9F74D1E872FD}"/>
    <cellStyle name="Normal 9 6 2" xfId="553" xr:uid="{09F00C74-A287-4783-9FB4-8FAD17AB1614}"/>
    <cellStyle name="Normal 9 6 2 2" xfId="572" xr:uid="{CFF3915E-2B20-4034-AA2D-DFDD6BFAD3C1}"/>
    <cellStyle name="Nota" xfId="467" xr:uid="{13A1F24A-A5D6-43B6-B155-814C582FACBE}"/>
    <cellStyle name="Nota 2" xfId="468" xr:uid="{A3DED82D-870C-4733-8A20-EDFE77ECDE3B}"/>
    <cellStyle name="Nota 3" xfId="469" xr:uid="{92B3E9CD-8DCB-467C-B35C-EE0EBBDC16FE}"/>
    <cellStyle name="Note 2" xfId="345" xr:uid="{9CA26ED2-0BD4-4489-AFB8-A50AA2A75A75}"/>
    <cellStyle name="Note 3" xfId="349" xr:uid="{14E93976-E715-4BDE-BA60-340ABC3B4FEF}"/>
    <cellStyle name="Note 4" xfId="363" xr:uid="{3B916BAF-97B4-4194-BF02-C60FB9C6E542}"/>
    <cellStyle name="Num0 - Style7" xfId="470" xr:uid="{CE706469-DE33-4DFF-847F-ED2C72680A37}"/>
    <cellStyle name="Num2 - Style8" xfId="471" xr:uid="{D46A470B-B210-4CF1-AD1E-7C366A04C9AD}"/>
    <cellStyle name="Numeri - Style1" xfId="472" xr:uid="{9594D464-2219-41D2-AE1E-1F3D45FCD3AC}"/>
    <cellStyle name="Numeri - Style1 2" xfId="473" xr:uid="{61E4EA00-EC80-45C7-89DE-56B605C62829}"/>
    <cellStyle name="ofwhich" xfId="24" xr:uid="{D82444EC-13E7-45F2-B4F7-A42E1052A092}"/>
    <cellStyle name="Output 2" xfId="316" xr:uid="{6AF9E975-23FA-4A4E-9E1F-456EDB3EF907}"/>
    <cellStyle name="Parent row" xfId="6" xr:uid="{00000000-0005-0000-0000-00000E000000}"/>
    <cellStyle name="Parent row 2" xfId="13" xr:uid="{00000000-0005-0000-0000-00000F000000}"/>
    <cellStyle name="Percent [2]" xfId="474" xr:uid="{364BDA3B-3324-4C71-83FA-9C1F432115D0}"/>
    <cellStyle name="Percent 10" xfId="536" xr:uid="{5941CECF-7D83-4AA6-BAE4-63C526A29B05}"/>
    <cellStyle name="Percent 2" xfId="27" xr:uid="{A15BF5FA-6B2C-4E80-9718-ACC2B8980901}"/>
    <cellStyle name="Percent 2 2" xfId="384" xr:uid="{AA880C99-C84F-4E19-947C-A623B1E95841}"/>
    <cellStyle name="Percent 3" xfId="475" xr:uid="{77C1A5F9-6BBF-467A-A883-DCB116667D4D}"/>
    <cellStyle name="Percent 3 2" xfId="476" xr:uid="{F47CDF82-1824-410E-86FA-C26EE961EF83}"/>
    <cellStyle name="Percent 3 3" xfId="477" xr:uid="{71DCFA43-3026-4317-ACE5-68AE0F0D8574}"/>
    <cellStyle name="Percent 3 4" xfId="524" xr:uid="{19EAF395-C800-4457-912C-166D703568C5}"/>
    <cellStyle name="Percent 4" xfId="478" xr:uid="{8E79A0C7-FCD4-4FC5-9582-C5A512DFD642}"/>
    <cellStyle name="Percent 4 2" xfId="479" xr:uid="{E1D039F2-D1E5-4881-A367-C3C36AFFB8A5}"/>
    <cellStyle name="Percent 5" xfId="480" xr:uid="{160AD50F-5FD9-4C96-87FA-262437743AA0}"/>
    <cellStyle name="Percent 6" xfId="382" xr:uid="{34DA7598-3A6E-4D18-B23A-E9EEBBEEBA62}"/>
    <cellStyle name="Percent 7" xfId="528" xr:uid="{B4D381AD-D4CF-4C89-A7C1-091765297DCB}"/>
    <cellStyle name="Percent 8" xfId="546" xr:uid="{7CF9E0E0-4F9A-4F0C-A037-56B071E94980}"/>
    <cellStyle name="Percent 8 2" xfId="555" xr:uid="{4861AA4B-6B05-45DE-96A1-D0DC77053A78}"/>
    <cellStyle name="Percent 8 3" xfId="557" xr:uid="{5237AC03-0EA3-4704-8916-01D015DD0B7E}"/>
    <cellStyle name="Percent 8 3 2" xfId="560" xr:uid="{0E92FCF4-0FBD-48E8-9A23-C5DB0D44B83E}"/>
    <cellStyle name="Percent 8 3 2 2" xfId="564" xr:uid="{27C74396-23E4-4A6C-BA72-A411881AA521}"/>
    <cellStyle name="Percent 8 3 2 2 2" xfId="567" xr:uid="{35560073-48EB-4BCC-872F-A3386B7232F5}"/>
    <cellStyle name="Percent 9" xfId="21" xr:uid="{D9F6B103-A0DA-4F92-856C-7459089F10D6}"/>
    <cellStyle name="RevList" xfId="481" xr:uid="{A26480DF-1884-4EC2-AD57-DCA4B7C66FD4}"/>
    <cellStyle name="Row headings" xfId="482" xr:uid="{772AFFF4-C204-4A99-828D-3755A13C7FC4}"/>
    <cellStyle name="Row headings Level 1" xfId="483" xr:uid="{F463EC3D-5F73-4C49-AC40-4D6621503973}"/>
    <cellStyle name="Row headings Level 2" xfId="484" xr:uid="{3A043A80-D0C9-4F79-A9A8-C0028C9EDFB4}"/>
    <cellStyle name="Section Break" xfId="18" xr:uid="{00000000-0005-0000-0000-000010000000}"/>
    <cellStyle name="Section Break: parent row" xfId="19" xr:uid="{00000000-0005-0000-0000-000011000000}"/>
    <cellStyle name="Source - Style2" xfId="485" xr:uid="{142E0B79-4A72-4B60-B904-760CF85474BB}"/>
    <cellStyle name="Sources list" xfId="486" xr:uid="{05F802BC-82C2-4C8C-90A9-2B54A85CC3E7}"/>
    <cellStyle name="Sources list 2" xfId="487" xr:uid="{FC93994D-F375-4DCF-A3F0-24D0E9D50648}"/>
    <cellStyle name="Sources Title" xfId="488" xr:uid="{A4B9E749-8AA2-4CE9-BB42-CC809FA5D8DA}"/>
    <cellStyle name="Sources Title 2" xfId="489" xr:uid="{F46F1CC5-B44B-4D5B-AD64-6BA67A41835C}"/>
    <cellStyle name="style" xfId="490" xr:uid="{097F02B4-D811-457B-B5F3-F08E1F5D76FA}"/>
    <cellStyle name="style 2" xfId="491" xr:uid="{B3989F83-53B5-4DE1-817E-14E2EE464A68}"/>
    <cellStyle name="style 3" xfId="492" xr:uid="{CB4456E1-32AC-4C34-ADE6-3834FE48E840}"/>
    <cellStyle name="style1" xfId="493" xr:uid="{7C8EC6C3-90F2-458B-9A1F-8B6F1FA7C4AA}"/>
    <cellStyle name="style2" xfId="494" xr:uid="{39D99950-D753-407C-BAB9-67451BBFC6E2}"/>
    <cellStyle name="Subtotal" xfId="495" xr:uid="{83EA4E75-4FB9-4884-BAD6-E9F9A555BF2E}"/>
    <cellStyle name="Table  - Style3" xfId="496" xr:uid="{CDD6AC74-6D96-4AA3-904D-C15A5606D5BD}"/>
    <cellStyle name="Table  - Style4" xfId="497" xr:uid="{477D2EA5-B46E-4C94-8C38-1681DD79F64F}"/>
    <cellStyle name="Table  - Style4 2" xfId="498" xr:uid="{C315549D-46F6-4832-8174-16B682760075}"/>
    <cellStyle name="Table  - Style6" xfId="499" xr:uid="{7D9C93A5-0627-4ED8-83ED-65BE29D269C3}"/>
    <cellStyle name="Table  - Style6 2" xfId="500" xr:uid="{CD175486-6AD6-46B4-AC13-003C925F56A3}"/>
    <cellStyle name="Table no" xfId="501" xr:uid="{C1E01CCA-EB23-4848-A19B-435B16FF8BF4}"/>
    <cellStyle name="Table title" xfId="5" xr:uid="{00000000-0005-0000-0000-000012000000}"/>
    <cellStyle name="Table title 2" xfId="12" xr:uid="{00000000-0005-0000-0000-000013000000}"/>
    <cellStyle name="Table_HeaderRow" xfId="25" xr:uid="{E3F9D865-325A-447F-8535-D678320E77EC}"/>
    <cellStyle name="Testo avviso" xfId="502" xr:uid="{B2F41A9F-EB90-4540-B454-2AEE7C6FC835}"/>
    <cellStyle name="Testo descrittivo" xfId="503" xr:uid="{A9DC4387-A674-42D8-A41C-105B93E48503}"/>
    <cellStyle name="þ_x001d_ð &amp;ý&amp;†ýG_x0008_ X_x000a__x0007__x0001__x0001_" xfId="504" xr:uid="{5A90F50A-16A0-4091-8369-ED7AAD152BCB}"/>
    <cellStyle name="þ_x001d_ð&quot;_x000c_Býò_x000c_5ýU_x0001_e_x0005_¹,_x0007__x0001__x0001_" xfId="505" xr:uid="{ABC4AA17-ED43-4E5B-811F-042A07AF09FA}"/>
    <cellStyle name="Title 2" xfId="309" xr:uid="{E5FFE9C4-A2EB-4624-88A9-1790E03238CE}"/>
    <cellStyle name="Titolo" xfId="506" xr:uid="{43F24706-CA26-43D1-A507-01D7BF16B0F2}"/>
    <cellStyle name="Titolo 1" xfId="507" xr:uid="{C15E964C-8C4D-4E42-9402-BBA4F0E99B1A}"/>
    <cellStyle name="Titolo 2" xfId="508" xr:uid="{88C3B081-8646-4916-A2D4-45FF4EE3FA24}"/>
    <cellStyle name="Titolo 3" xfId="509" xr:uid="{980E6AAF-AEF0-4DC9-AA4A-8A936B2EF67D}"/>
    <cellStyle name="Titolo 4" xfId="510" xr:uid="{7ED4C3D8-2D14-4D4B-8FFD-D05BE9ED138A}"/>
    <cellStyle name="Total 2" xfId="322" xr:uid="{53206AC0-2CF5-47E6-96EF-E760A38DED44}"/>
    <cellStyle name="Totale" xfId="511" xr:uid="{68863632-ADE9-4D6D-9542-36FFD0972080}"/>
    <cellStyle name="Totale 2" xfId="512" xr:uid="{6CA90A84-67AF-41D5-84B8-76B8ADCF2622}"/>
    <cellStyle name="Totale 3" xfId="513" xr:uid="{911837BD-F1D1-4270-9992-FACC70B4BF60}"/>
    <cellStyle name="Valore non valido" xfId="514" xr:uid="{B1C4E4FD-0ED1-4441-B748-12731ADF807C}"/>
    <cellStyle name="Valore valido" xfId="515" xr:uid="{428C1C30-AAAD-4892-B80E-D818A8D63A63}"/>
    <cellStyle name="Warning Text 2" xfId="320" xr:uid="{FE3BA040-1760-409B-A23F-B6ECBB73C5B4}"/>
  </cellStyles>
  <dxfs count="4">
    <dxf>
      <fill>
        <patternFill>
          <bgColor theme="4" tint="0.79998168889431442"/>
        </patternFill>
      </fill>
    </dxf>
    <dxf>
      <font>
        <b/>
        <i val="0"/>
      </font>
      <border>
        <top style="thin">
          <color auto="1"/>
        </top>
      </border>
    </dxf>
    <dxf>
      <font>
        <b/>
        <i val="0"/>
      </font>
      <fill>
        <patternFill patternType="none">
          <bgColor auto="1"/>
        </patternFill>
      </fill>
      <border>
        <bottom style="thin">
          <color theme="0" tint="-0.34998626667073579"/>
        </bottom>
      </border>
    </dxf>
    <dxf>
      <border>
        <top style="thin">
          <color theme="1" tint="4.9989318521683403E-2"/>
        </top>
        <bottom style="thin">
          <color theme="1" tint="4.9989318521683403E-2"/>
        </bottom>
      </border>
    </dxf>
  </dxfs>
  <tableStyles count="2" defaultTableStyle="TableStyleMedium2" defaultPivotStyle="PivotStyleLight16">
    <tableStyle name="EnergyCalcTables" pivot="0" count="4" xr9:uid="{46FF2A91-459E-490F-ABEA-11C3FE9DCC78}">
      <tableStyleElement type="wholeTable" dxfId="3"/>
      <tableStyleElement type="headerRow" dxfId="2"/>
      <tableStyleElement type="totalRow" dxfId="1"/>
      <tableStyleElement type="secondRowStripe" dxfId="0"/>
    </tableStyle>
    <tableStyle name="EnergyCalcTables 2" pivot="0" count="0" xr9:uid="{1995C16F-400C-4BB5-BBBA-8C0AA8E6A3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101601</xdr:colOff>
      <xdr:row>1</xdr:row>
      <xdr:rowOff>152400</xdr:rowOff>
    </xdr:from>
    <xdr:to>
      <xdr:col>13</xdr:col>
      <xdr:colOff>443337</xdr:colOff>
      <xdr:row>27</xdr:row>
      <xdr:rowOff>2281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DCE1D0-5F1F-949D-C540-9A0EF5D81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2201" y="336550"/>
          <a:ext cx="6437736" cy="4999731"/>
        </a:xfrm>
        <a:prstGeom prst="rect">
          <a:avLst/>
        </a:prstGeom>
      </xdr:spPr>
    </xdr:pic>
    <xdr:clientData/>
  </xdr:twoCellAnchor>
  <xdr:twoCellAnchor editAs="oneCell">
    <xdr:from>
      <xdr:col>13</xdr:col>
      <xdr:colOff>425863</xdr:colOff>
      <xdr:row>1</xdr:row>
      <xdr:rowOff>158750</xdr:rowOff>
    </xdr:from>
    <xdr:to>
      <xdr:col>24</xdr:col>
      <xdr:colOff>46557</xdr:colOff>
      <xdr:row>24</xdr:row>
      <xdr:rowOff>110357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2C72F4-6674-C027-207B-EF5FBAD26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22463" y="342900"/>
          <a:ext cx="6326294" cy="45490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13</xdr:row>
      <xdr:rowOff>135200</xdr:rowOff>
    </xdr:from>
    <xdr:to>
      <xdr:col>8</xdr:col>
      <xdr:colOff>200025</xdr:colOff>
      <xdr:row>27</xdr:row>
      <xdr:rowOff>24549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F8718F-D7A6-456D-9113-72EECBC9A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2230700"/>
          <a:ext cx="5410201" cy="2546824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15</xdr:row>
      <xdr:rowOff>130990</xdr:rowOff>
    </xdr:from>
    <xdr:to>
      <xdr:col>18</xdr:col>
      <xdr:colOff>210580</xdr:colOff>
      <xdr:row>26</xdr:row>
      <xdr:rowOff>133719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642B1A7-C509-4C14-9492-8D743FA89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00" y="2807515"/>
          <a:ext cx="5849380" cy="20982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5.0-us-wipE\InputData\web-app\BCF\BTU%20Conversion%20Facto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ept/OneDrive/Desktop/Copy%20of%20IESS_Version2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>
        <row r="63">
          <cell r="A63">
            <v>42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SS V2 Main Sheet"/>
      <sheetName val="Preferences"/>
      <sheetName val="Structure of the model"/>
      <sheetName val="I.a"/>
      <sheetName val="I.b"/>
      <sheetName val="I.c"/>
      <sheetName val="I.d"/>
      <sheetName val="I.e"/>
      <sheetName val="II"/>
      <sheetName val="III"/>
      <sheetName val="IV.a"/>
      <sheetName val="IV.b"/>
      <sheetName val="IV.c.1"/>
      <sheetName val="IV.c.2"/>
      <sheetName val="IV.d"/>
      <sheetName val="IV.e"/>
      <sheetName val="IV.f"/>
      <sheetName val="V.a"/>
      <sheetName val="V.b"/>
      <sheetName val="V.c"/>
      <sheetName val="V.d"/>
      <sheetName val="V.e"/>
      <sheetName val="VI"/>
      <sheetName val="VII.a"/>
      <sheetName val="VII.b"/>
      <sheetName val="VII.C"/>
      <sheetName val="VIII"/>
      <sheetName val="GDP"/>
      <sheetName val="IX"/>
      <sheetName val="X.a"/>
      <sheetName val="X.b"/>
      <sheetName val="XI"/>
      <sheetName val="XII.a"/>
      <sheetName val="XII.b"/>
      <sheetName val="XIII.a"/>
      <sheetName val="XV.a"/>
      <sheetName val="XV.b"/>
      <sheetName val="XV.c"/>
      <sheetName val="XVI"/>
      <sheetName val="XVII.a"/>
      <sheetName val="XVII.b"/>
      <sheetName val="XIV"/>
      <sheetName val="Intermediate output"/>
      <sheetName val="Charts"/>
      <sheetName val="Control"/>
      <sheetName val="Global assumptions"/>
      <sheetName val="2012 Baseline"/>
      <sheetName val="Dispatch"/>
      <sheetName val="2012"/>
      <sheetName val="2017"/>
      <sheetName val="2022"/>
      <sheetName val="2027"/>
      <sheetName val="2032"/>
      <sheetName val="2037"/>
      <sheetName val="2042"/>
      <sheetName val="2047"/>
      <sheetName val="Conversions"/>
      <sheetName val="Constants"/>
      <sheetName val="Land Use"/>
      <sheetName val="CostAbsolute"/>
      <sheetName val="Fl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hruti Dayal" id="{7A3E23BF-217B-4876-B1E6-E82F815349C7}" userId="S::Shruti.Dayal@wri.org::2939eed8-cf56-4460-850b-e86115f8860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4-01-01T11:01:02.96" personId="{7A3E23BF-217B-4876-B1E6-E82F815349C7}" id="{25CD3FEE-2C1B-47D8-9359-141AD19263B2}">
    <text>Data for 2021 not available in IESS 3.0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2" dT="2024-01-01T11:16:53.84" personId="{7A3E23BF-217B-4876-B1E6-E82F815349C7}" id="{CB69AF91-E34E-47E6-B323-1A82B85C1B71}">
    <text>Data for 2019 not available in IESS 3.0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ess2047.gov.in/_/theme/documents/IESS2047_Version_3.0.xlsx" TargetMode="External"/><Relationship Id="rId3" Type="http://schemas.openxmlformats.org/officeDocument/2006/relationships/hyperlink" Target="http://bookstore.teri.res.in/books/9788179935835" TargetMode="External"/><Relationship Id="rId7" Type="http://schemas.openxmlformats.org/officeDocument/2006/relationships/hyperlink" Target="https://iess2047.gov.in/_/theme/documents/IESS2047_Version_3.0.xlsx" TargetMode="External"/><Relationship Id="rId2" Type="http://schemas.openxmlformats.org/officeDocument/2006/relationships/hyperlink" Target="http://www.ces.iisc.ernet.in/energy/paper/alternative/calorific.html" TargetMode="External"/><Relationship Id="rId1" Type="http://schemas.openxmlformats.org/officeDocument/2006/relationships/hyperlink" Target="https://www.uranium.info/unit_conversion_table.php" TargetMode="External"/><Relationship Id="rId6" Type="http://schemas.openxmlformats.org/officeDocument/2006/relationships/hyperlink" Target="http://www.coalcontroller.gov.in/writereaddata/files/download/coaldirectory/CoalDirectory2017-18.pdf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indiaenergy.gov.in/iess/docs/IESS_Version2.2.xlsx" TargetMode="External"/><Relationship Id="rId10" Type="http://schemas.openxmlformats.org/officeDocument/2006/relationships/hyperlink" Target="http://www.eia.gov/forecasts/aeo/supplement/excel/suptab_73.xlsx" TargetMode="External"/><Relationship Id="rId4" Type="http://schemas.openxmlformats.org/officeDocument/2006/relationships/hyperlink" Target="http://planningcommission.nic.in/reports/genrep/rep_wte1205.pdf" TargetMode="External"/><Relationship Id="rId9" Type="http://schemas.openxmlformats.org/officeDocument/2006/relationships/hyperlink" Target="https://iess2047.gov.in/_/theme/documents/IESS2047_Version_3.0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topLeftCell="A6" workbookViewId="0">
      <selection activeCell="A2" sqref="A2"/>
    </sheetView>
  </sheetViews>
  <sheetFormatPr defaultRowHeight="14.5"/>
  <cols>
    <col min="1" max="1" width="11.7265625" customWidth="1"/>
    <col min="2" max="2" width="76.26953125" customWidth="1"/>
    <col min="4" max="4" width="78.81640625" customWidth="1"/>
  </cols>
  <sheetData>
    <row r="1" spans="1:4">
      <c r="A1" s="1" t="s">
        <v>0</v>
      </c>
    </row>
    <row r="2" spans="1:4">
      <c r="A2" s="1" t="s">
        <v>1</v>
      </c>
    </row>
    <row r="3" spans="1:4">
      <c r="A3" s="1" t="s">
        <v>2</v>
      </c>
    </row>
    <row r="5" spans="1:4">
      <c r="A5" s="1" t="s">
        <v>3</v>
      </c>
      <c r="B5" s="2" t="s">
        <v>4</v>
      </c>
      <c r="D5" s="41" t="s">
        <v>5</v>
      </c>
    </row>
    <row r="6" spans="1:4">
      <c r="B6" t="s">
        <v>6</v>
      </c>
    </row>
    <row r="7" spans="1:4">
      <c r="B7" s="3">
        <v>2023</v>
      </c>
      <c r="D7" s="2" t="s">
        <v>7</v>
      </c>
    </row>
    <row r="8" spans="1:4">
      <c r="B8" t="s">
        <v>8</v>
      </c>
      <c r="D8" t="s">
        <v>9</v>
      </c>
    </row>
    <row r="9" spans="1:4">
      <c r="B9" s="4" t="s">
        <v>10</v>
      </c>
      <c r="D9" t="s">
        <v>11</v>
      </c>
    </row>
    <row r="10" spans="1:4">
      <c r="B10" t="s">
        <v>12</v>
      </c>
      <c r="D10" s="42" t="s">
        <v>13</v>
      </c>
    </row>
    <row r="11" spans="1:4">
      <c r="D11" s="42"/>
    </row>
    <row r="12" spans="1:4">
      <c r="B12" s="2" t="s">
        <v>14</v>
      </c>
      <c r="D12" s="2" t="s">
        <v>15</v>
      </c>
    </row>
    <row r="13" spans="1:4">
      <c r="B13" t="s">
        <v>16</v>
      </c>
      <c r="D13" t="s">
        <v>17</v>
      </c>
    </row>
    <row r="14" spans="1:4">
      <c r="B14" s="3">
        <v>2023</v>
      </c>
      <c r="D14" s="3">
        <v>2016</v>
      </c>
    </row>
    <row r="15" spans="1:4">
      <c r="B15" t="s">
        <v>18</v>
      </c>
      <c r="D15" t="s">
        <v>19</v>
      </c>
    </row>
    <row r="16" spans="1:4">
      <c r="B16" s="4" t="s">
        <v>20</v>
      </c>
      <c r="D16" s="42" t="s">
        <v>21</v>
      </c>
    </row>
    <row r="17" spans="2:4">
      <c r="B17" t="s">
        <v>22</v>
      </c>
      <c r="D17" t="s">
        <v>23</v>
      </c>
    </row>
    <row r="19" spans="2:4">
      <c r="B19" s="2" t="s">
        <v>24</v>
      </c>
      <c r="D19" s="2" t="s">
        <v>25</v>
      </c>
    </row>
    <row r="20" spans="2:4">
      <c r="B20" t="s">
        <v>6</v>
      </c>
      <c r="D20" t="s">
        <v>26</v>
      </c>
    </row>
    <row r="21" spans="2:4">
      <c r="B21" s="3">
        <v>2023</v>
      </c>
      <c r="D21" s="3">
        <v>2016</v>
      </c>
    </row>
    <row r="22" spans="2:4">
      <c r="B22" t="s">
        <v>8</v>
      </c>
      <c r="D22" t="s">
        <v>27</v>
      </c>
    </row>
    <row r="23" spans="2:4">
      <c r="B23" s="4" t="s">
        <v>10</v>
      </c>
      <c r="D23" s="42" t="s">
        <v>28</v>
      </c>
    </row>
    <row r="24" spans="2:4">
      <c r="B24" t="s">
        <v>29</v>
      </c>
      <c r="D24" t="s">
        <v>30</v>
      </c>
    </row>
    <row r="26" spans="2:4">
      <c r="B26" s="2" t="s">
        <v>31</v>
      </c>
      <c r="D26" s="2" t="s">
        <v>32</v>
      </c>
    </row>
    <row r="27" spans="2:4">
      <c r="B27" t="s">
        <v>6</v>
      </c>
      <c r="D27" t="s">
        <v>33</v>
      </c>
    </row>
    <row r="28" spans="2:4">
      <c r="B28" s="3">
        <v>2023</v>
      </c>
      <c r="D28" s="3">
        <v>2018</v>
      </c>
    </row>
    <row r="29" spans="2:4">
      <c r="B29" t="s">
        <v>34</v>
      </c>
      <c r="D29" t="s">
        <v>35</v>
      </c>
    </row>
    <row r="30" spans="2:4">
      <c r="B30" s="4" t="s">
        <v>36</v>
      </c>
      <c r="D30" s="26" t="s">
        <v>37</v>
      </c>
    </row>
    <row r="31" spans="2:4">
      <c r="B31" s="49" t="s">
        <v>38</v>
      </c>
      <c r="D31" t="s">
        <v>39</v>
      </c>
    </row>
    <row r="33" spans="2:4">
      <c r="B33" s="2" t="s">
        <v>40</v>
      </c>
      <c r="D33" s="2" t="s">
        <v>41</v>
      </c>
    </row>
    <row r="34" spans="2:4">
      <c r="B34" t="s">
        <v>42</v>
      </c>
      <c r="D34" t="s">
        <v>43</v>
      </c>
    </row>
    <row r="35" spans="2:4">
      <c r="B35" s="3">
        <v>2022</v>
      </c>
      <c r="D35" s="3">
        <v>2015</v>
      </c>
    </row>
    <row r="36" spans="2:4">
      <c r="B36" t="s">
        <v>44</v>
      </c>
      <c r="D36" t="s">
        <v>45</v>
      </c>
    </row>
    <row r="37" spans="2:4" ht="15.75" customHeight="1">
      <c r="B37" s="4" t="s">
        <v>46</v>
      </c>
      <c r="D37" s="26" t="s">
        <v>47</v>
      </c>
    </row>
    <row r="39" spans="2:4">
      <c r="B39" s="2" t="s">
        <v>48</v>
      </c>
      <c r="D39" s="2" t="s">
        <v>49</v>
      </c>
    </row>
    <row r="40" spans="2:4">
      <c r="B40" t="s">
        <v>16</v>
      </c>
      <c r="D40" t="s">
        <v>50</v>
      </c>
    </row>
    <row r="41" spans="2:4">
      <c r="B41" s="3">
        <v>2023</v>
      </c>
      <c r="D41" s="3">
        <v>2018</v>
      </c>
    </row>
    <row r="42" spans="2:4">
      <c r="B42" t="s">
        <v>18</v>
      </c>
      <c r="D42" t="s">
        <v>51</v>
      </c>
    </row>
    <row r="43" spans="2:4">
      <c r="B43" s="4" t="s">
        <v>10</v>
      </c>
      <c r="D43" s="26" t="s">
        <v>52</v>
      </c>
    </row>
    <row r="44" spans="2:4">
      <c r="B44" t="s">
        <v>53</v>
      </c>
      <c r="D44" t="s">
        <v>54</v>
      </c>
    </row>
    <row r="46" spans="2:4">
      <c r="B46" s="2" t="s">
        <v>55</v>
      </c>
      <c r="D46" s="2" t="s">
        <v>56</v>
      </c>
    </row>
    <row r="47" spans="2:4">
      <c r="B47" t="s">
        <v>57</v>
      </c>
      <c r="D47" t="s">
        <v>43</v>
      </c>
    </row>
    <row r="48" spans="2:4">
      <c r="B48" s="3">
        <v>2014</v>
      </c>
      <c r="D48" s="3">
        <v>2019</v>
      </c>
    </row>
    <row r="49" spans="2:4">
      <c r="B49" t="s">
        <v>58</v>
      </c>
      <c r="D49" t="s">
        <v>59</v>
      </c>
    </row>
    <row r="50" spans="2:4">
      <c r="B50" s="4" t="s">
        <v>60</v>
      </c>
      <c r="D50" t="s">
        <v>61</v>
      </c>
    </row>
    <row r="51" spans="2:4">
      <c r="B51" t="s">
        <v>62</v>
      </c>
      <c r="D51" t="s">
        <v>63</v>
      </c>
    </row>
    <row r="52" spans="2:4">
      <c r="B52" t="s">
        <v>64</v>
      </c>
    </row>
    <row r="53" spans="2:4">
      <c r="D53" s="2" t="s">
        <v>65</v>
      </c>
    </row>
    <row r="54" spans="2:4">
      <c r="B54" t="s">
        <v>66</v>
      </c>
      <c r="D54" t="s">
        <v>26</v>
      </c>
    </row>
    <row r="55" spans="2:4">
      <c r="B55" s="3">
        <v>2016</v>
      </c>
      <c r="D55" s="3">
        <v>2019</v>
      </c>
    </row>
    <row r="56" spans="2:4">
      <c r="B56" t="s">
        <v>67</v>
      </c>
      <c r="D56" t="s">
        <v>68</v>
      </c>
    </row>
    <row r="57" spans="2:4">
      <c r="B57" s="4" t="s">
        <v>69</v>
      </c>
      <c r="D57" s="26" t="s">
        <v>28</v>
      </c>
    </row>
    <row r="58" spans="2:4">
      <c r="D58" t="s">
        <v>30</v>
      </c>
    </row>
    <row r="59" spans="2:4">
      <c r="B59" s="2" t="s">
        <v>70</v>
      </c>
    </row>
    <row r="60" spans="2:4">
      <c r="B60" t="s">
        <v>71</v>
      </c>
      <c r="D60" s="2" t="s">
        <v>72</v>
      </c>
    </row>
    <row r="61" spans="2:4">
      <c r="B61" s="3">
        <v>2017</v>
      </c>
      <c r="D61" t="s">
        <v>73</v>
      </c>
    </row>
    <row r="62" spans="2:4">
      <c r="B62" t="s">
        <v>74</v>
      </c>
      <c r="D62" s="3">
        <v>2019</v>
      </c>
    </row>
    <row r="63" spans="2:4">
      <c r="B63" s="4" t="s">
        <v>75</v>
      </c>
      <c r="D63" t="s">
        <v>76</v>
      </c>
    </row>
    <row r="64" spans="2:4">
      <c r="B64" t="s">
        <v>77</v>
      </c>
      <c r="D64" s="4" t="s">
        <v>78</v>
      </c>
    </row>
    <row r="65" spans="2:2">
      <c r="B65" t="s">
        <v>79</v>
      </c>
    </row>
    <row r="67" spans="2:2">
      <c r="B67" s="2" t="s">
        <v>80</v>
      </c>
    </row>
    <row r="68" spans="2:2">
      <c r="B68" t="s">
        <v>16</v>
      </c>
    </row>
    <row r="69" spans="2:2">
      <c r="B69" s="3">
        <v>2015</v>
      </c>
    </row>
    <row r="70" spans="2:2">
      <c r="B70" t="s">
        <v>81</v>
      </c>
    </row>
    <row r="71" spans="2:2">
      <c r="B71" s="4" t="s">
        <v>82</v>
      </c>
    </row>
    <row r="72" spans="2:2">
      <c r="B72" t="s">
        <v>83</v>
      </c>
    </row>
    <row r="74" spans="2:2">
      <c r="B74" s="2" t="s">
        <v>84</v>
      </c>
    </row>
    <row r="75" spans="2:2">
      <c r="B75" t="s">
        <v>85</v>
      </c>
    </row>
    <row r="76" spans="2:2">
      <c r="B76" s="3">
        <v>2018</v>
      </c>
    </row>
    <row r="77" spans="2:2">
      <c r="B77" t="s">
        <v>86</v>
      </c>
    </row>
    <row r="78" spans="2:2">
      <c r="B78" s="42" t="s">
        <v>87</v>
      </c>
    </row>
    <row r="79" spans="2:2">
      <c r="B79" t="s">
        <v>88</v>
      </c>
    </row>
    <row r="80" spans="2:2">
      <c r="B80" t="s">
        <v>89</v>
      </c>
    </row>
    <row r="82" spans="2:2">
      <c r="B82" s="2" t="s">
        <v>90</v>
      </c>
    </row>
    <row r="83" spans="2:2">
      <c r="B83" t="s">
        <v>16</v>
      </c>
    </row>
    <row r="84" spans="2:2">
      <c r="B84" s="3">
        <v>2023</v>
      </c>
    </row>
    <row r="85" spans="2:2">
      <c r="B85" t="s">
        <v>18</v>
      </c>
    </row>
    <row r="86" spans="2:2">
      <c r="B86" s="4" t="s">
        <v>20</v>
      </c>
    </row>
    <row r="87" spans="2:2">
      <c r="B87" t="s">
        <v>91</v>
      </c>
    </row>
    <row r="89" spans="2:2">
      <c r="B89" s="2" t="s">
        <v>92</v>
      </c>
    </row>
    <row r="90" spans="2:2">
      <c r="B90" t="s">
        <v>93</v>
      </c>
    </row>
    <row r="91" spans="2:2">
      <c r="B91" s="3">
        <v>2023</v>
      </c>
    </row>
    <row r="92" spans="2:2">
      <c r="B92" t="s">
        <v>18</v>
      </c>
    </row>
    <row r="93" spans="2:2">
      <c r="B93" s="4" t="s">
        <v>20</v>
      </c>
    </row>
    <row r="94" spans="2:2">
      <c r="B94" t="s">
        <v>94</v>
      </c>
    </row>
    <row r="96" spans="2:2">
      <c r="B96" s="2" t="s">
        <v>95</v>
      </c>
    </row>
    <row r="97" spans="1:5">
      <c r="B97" t="s">
        <v>16</v>
      </c>
    </row>
    <row r="98" spans="1:5">
      <c r="B98" s="3">
        <v>2023</v>
      </c>
    </row>
    <row r="99" spans="1:5">
      <c r="B99" t="s">
        <v>18</v>
      </c>
    </row>
    <row r="100" spans="1:5">
      <c r="B100" s="4" t="s">
        <v>20</v>
      </c>
    </row>
    <row r="101" spans="1:5">
      <c r="B101" t="s">
        <v>94</v>
      </c>
    </row>
    <row r="103" spans="1:5">
      <c r="A103" s="1" t="s">
        <v>96</v>
      </c>
      <c r="D103" s="1" t="s">
        <v>97</v>
      </c>
      <c r="E103" s="1" t="s">
        <v>98</v>
      </c>
    </row>
    <row r="104" spans="1:5">
      <c r="D104" t="s">
        <v>99</v>
      </c>
      <c r="E104" t="s">
        <v>100</v>
      </c>
    </row>
    <row r="105" spans="1:5">
      <c r="A105" s="1" t="s">
        <v>101</v>
      </c>
      <c r="D105" t="s">
        <v>102</v>
      </c>
      <c r="E105" t="s">
        <v>103</v>
      </c>
    </row>
    <row r="106" spans="1:5">
      <c r="A106" t="s">
        <v>104</v>
      </c>
      <c r="D106" t="s">
        <v>105</v>
      </c>
    </row>
    <row r="107" spans="1:5">
      <c r="A107" t="s">
        <v>106</v>
      </c>
      <c r="E107" t="s">
        <v>107</v>
      </c>
    </row>
    <row r="108" spans="1:5">
      <c r="A108" t="s">
        <v>108</v>
      </c>
      <c r="D108" t="s">
        <v>109</v>
      </c>
      <c r="E108" t="s">
        <v>110</v>
      </c>
    </row>
    <row r="109" spans="1:5">
      <c r="A109" t="s">
        <v>111</v>
      </c>
      <c r="D109" t="s">
        <v>112</v>
      </c>
    </row>
    <row r="110" spans="1:5">
      <c r="A110" t="s">
        <v>113</v>
      </c>
      <c r="D110" s="54" t="s">
        <v>114</v>
      </c>
    </row>
    <row r="111" spans="1:5">
      <c r="D111" s="54" t="s">
        <v>115</v>
      </c>
    </row>
    <row r="112" spans="1:5">
      <c r="A112" s="1" t="s">
        <v>116</v>
      </c>
    </row>
    <row r="113" spans="1:4">
      <c r="A113" t="s">
        <v>117</v>
      </c>
      <c r="D113" t="s">
        <v>118</v>
      </c>
    </row>
    <row r="114" spans="1:4">
      <c r="A114" t="s">
        <v>119</v>
      </c>
      <c r="D114" t="s">
        <v>120</v>
      </c>
    </row>
    <row r="115" spans="1:4">
      <c r="A115" t="s">
        <v>121</v>
      </c>
      <c r="D115" t="s">
        <v>122</v>
      </c>
    </row>
    <row r="116" spans="1:4">
      <c r="A116" t="s">
        <v>123</v>
      </c>
      <c r="D116" t="s">
        <v>124</v>
      </c>
    </row>
    <row r="117" spans="1:4">
      <c r="D117" t="s">
        <v>125</v>
      </c>
    </row>
    <row r="118" spans="1:4">
      <c r="A118" s="1" t="s">
        <v>126</v>
      </c>
      <c r="D118" t="s">
        <v>127</v>
      </c>
    </row>
    <row r="119" spans="1:4">
      <c r="A119" t="s">
        <v>128</v>
      </c>
      <c r="D119" t="s">
        <v>129</v>
      </c>
    </row>
    <row r="120" spans="1:4">
      <c r="A120" t="s">
        <v>130</v>
      </c>
    </row>
    <row r="121" spans="1:4">
      <c r="A121" t="s">
        <v>131</v>
      </c>
      <c r="D121" t="s">
        <v>132</v>
      </c>
    </row>
    <row r="123" spans="1:4">
      <c r="A123" s="1" t="s">
        <v>133</v>
      </c>
      <c r="D123" t="s">
        <v>134</v>
      </c>
    </row>
    <row r="124" spans="1:4">
      <c r="A124" t="s">
        <v>135</v>
      </c>
      <c r="D124" t="s">
        <v>136</v>
      </c>
    </row>
    <row r="125" spans="1:4">
      <c r="A125" t="s">
        <v>137</v>
      </c>
      <c r="D125" t="s">
        <v>138</v>
      </c>
    </row>
    <row r="126" spans="1:4">
      <c r="A126" t="s">
        <v>139</v>
      </c>
      <c r="D126" t="s">
        <v>140</v>
      </c>
    </row>
    <row r="127" spans="1:4">
      <c r="A127" t="s">
        <v>141</v>
      </c>
      <c r="D127" t="s">
        <v>142</v>
      </c>
    </row>
    <row r="128" spans="1:4">
      <c r="A128" t="s">
        <v>143</v>
      </c>
      <c r="D128" t="s">
        <v>144</v>
      </c>
    </row>
    <row r="129" spans="1:4">
      <c r="A129" t="s">
        <v>145</v>
      </c>
      <c r="D129" t="s">
        <v>146</v>
      </c>
    </row>
    <row r="130" spans="1:4">
      <c r="A130" t="s">
        <v>147</v>
      </c>
      <c r="D130" t="s">
        <v>148</v>
      </c>
    </row>
    <row r="131" spans="1:4">
      <c r="D131" t="s">
        <v>149</v>
      </c>
    </row>
    <row r="132" spans="1:4">
      <c r="D132" t="s">
        <v>150</v>
      </c>
    </row>
    <row r="133" spans="1:4">
      <c r="D133" t="s">
        <v>151</v>
      </c>
    </row>
    <row r="135" spans="1:4">
      <c r="D135" t="s">
        <v>152</v>
      </c>
    </row>
    <row r="136" spans="1:4">
      <c r="D136" t="s">
        <v>153</v>
      </c>
    </row>
    <row r="137" spans="1:4">
      <c r="D137" t="s">
        <v>154</v>
      </c>
    </row>
    <row r="138" spans="1:4">
      <c r="D138" t="s">
        <v>155</v>
      </c>
    </row>
    <row r="140" spans="1:4">
      <c r="D140" s="1" t="s">
        <v>156</v>
      </c>
    </row>
    <row r="141" spans="1:4">
      <c r="D141" t="s">
        <v>157</v>
      </c>
    </row>
    <row r="142" spans="1:4">
      <c r="D142" t="s">
        <v>158</v>
      </c>
    </row>
    <row r="143" spans="1:4">
      <c r="D143" t="s">
        <v>159</v>
      </c>
    </row>
    <row r="144" spans="1:4">
      <c r="D144" t="s">
        <v>160</v>
      </c>
    </row>
    <row r="145" spans="4:4">
      <c r="D145" t="s">
        <v>161</v>
      </c>
    </row>
    <row r="146" spans="4:4">
      <c r="D146" t="s">
        <v>162</v>
      </c>
    </row>
    <row r="147" spans="4:4">
      <c r="D147" t="s">
        <v>163</v>
      </c>
    </row>
    <row r="149" spans="4:4">
      <c r="D149" t="s">
        <v>164</v>
      </c>
    </row>
    <row r="150" spans="4:4">
      <c r="D150" t="s">
        <v>165</v>
      </c>
    </row>
    <row r="152" spans="4:4">
      <c r="D152" t="s">
        <v>166</v>
      </c>
    </row>
    <row r="153" spans="4:4">
      <c r="D153" t="s">
        <v>167</v>
      </c>
    </row>
    <row r="154" spans="4:4">
      <c r="D154" t="s">
        <v>168</v>
      </c>
    </row>
    <row r="156" spans="4:4">
      <c r="D156" t="s">
        <v>169</v>
      </c>
    </row>
    <row r="157" spans="4:4">
      <c r="D157" t="s">
        <v>170</v>
      </c>
    </row>
    <row r="159" spans="4:4">
      <c r="D159" t="s">
        <v>171</v>
      </c>
    </row>
  </sheetData>
  <hyperlinks>
    <hyperlink ref="D64" r:id="rId1" xr:uid="{00000000-0004-0000-0000-000000000000}"/>
    <hyperlink ref="D10" r:id="rId2" xr:uid="{00000000-0004-0000-0000-000001000000}"/>
    <hyperlink ref="D16" r:id="rId3" xr:uid="{00000000-0004-0000-0000-000002000000}"/>
    <hyperlink ref="B50" r:id="rId4" xr:uid="{00000000-0004-0000-0000-000005000000}"/>
    <hyperlink ref="B71" r:id="rId5" xr:uid="{00000000-0004-0000-0000-000006000000}"/>
    <hyperlink ref="B78" r:id="rId6" xr:uid="{00000000-0004-0000-0000-000007000000}"/>
    <hyperlink ref="B86" r:id="rId7" xr:uid="{00000000-0004-0000-0000-00000A000000}"/>
    <hyperlink ref="B93" r:id="rId8" xr:uid="{595F1A09-B49D-451F-A2BC-1BC2148532EC}"/>
    <hyperlink ref="B100" r:id="rId9" xr:uid="{40FCCCC8-FE6E-4AC6-9C26-18F6A38CC78E}"/>
    <hyperlink ref="D23" r:id="rId10" xr:uid="{9692EDAF-9E22-41B9-BCFB-21C4701C088B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92"/>
  <sheetViews>
    <sheetView topLeftCell="A55" workbookViewId="0"/>
  </sheetViews>
  <sheetFormatPr defaultColWidth="8.81640625" defaultRowHeight="14.5"/>
  <cols>
    <col min="1" max="1" width="26" customWidth="1"/>
    <col min="2" max="2" width="21.26953125" customWidth="1"/>
    <col min="3" max="3" width="26.54296875" customWidth="1"/>
    <col min="6" max="6" width="21.1796875" customWidth="1"/>
    <col min="7" max="7" width="11.7265625" customWidth="1"/>
    <col min="8" max="8" width="26.7265625" customWidth="1"/>
    <col min="9" max="9" width="15.453125" customWidth="1"/>
  </cols>
  <sheetData>
    <row r="1" spans="1:9">
      <c r="A1" s="2" t="s">
        <v>172</v>
      </c>
      <c r="B1" s="5"/>
      <c r="C1" s="5"/>
      <c r="F1" s="2" t="s">
        <v>173</v>
      </c>
      <c r="G1" s="5"/>
      <c r="H1" s="5"/>
      <c r="I1" s="5"/>
    </row>
    <row r="2" spans="1:9">
      <c r="A2" s="29" t="s">
        <v>174</v>
      </c>
      <c r="B2" s="30" t="s">
        <v>175</v>
      </c>
      <c r="C2" s="31"/>
      <c r="F2" s="33" t="s">
        <v>176</v>
      </c>
      <c r="G2" s="43" t="s">
        <v>177</v>
      </c>
      <c r="H2" s="43" t="s">
        <v>178</v>
      </c>
      <c r="I2" s="43" t="s">
        <v>179</v>
      </c>
    </row>
    <row r="3" spans="1:9">
      <c r="A3" s="32" t="s">
        <v>180</v>
      </c>
      <c r="B3" s="32" t="s">
        <v>181</v>
      </c>
      <c r="C3" s="32" t="s">
        <v>182</v>
      </c>
      <c r="F3" s="33"/>
      <c r="G3" s="43" t="s">
        <v>183</v>
      </c>
      <c r="H3" s="43" t="s">
        <v>184</v>
      </c>
      <c r="I3" s="43" t="s">
        <v>185</v>
      </c>
    </row>
    <row r="4" spans="1:9">
      <c r="A4" s="33">
        <v>2010</v>
      </c>
      <c r="B4" s="34">
        <v>9.4700000000000006E-2</v>
      </c>
      <c r="C4" s="35">
        <v>0.84470208721577789</v>
      </c>
      <c r="F4" s="37" t="s">
        <v>186</v>
      </c>
      <c r="G4" s="43">
        <v>1</v>
      </c>
      <c r="H4" s="43">
        <v>1.8440000000000001</v>
      </c>
      <c r="I4" s="43">
        <v>11.6</v>
      </c>
    </row>
    <row r="5" spans="1:9">
      <c r="A5" s="33">
        <v>2011</v>
      </c>
      <c r="B5" s="34">
        <v>6.4899999999999999E-2</v>
      </c>
      <c r="C5" s="35">
        <v>0.8995232526760818</v>
      </c>
      <c r="F5" s="37" t="s">
        <v>187</v>
      </c>
      <c r="G5" s="43">
        <v>1</v>
      </c>
      <c r="H5" s="43">
        <v>1.411</v>
      </c>
      <c r="I5" s="43">
        <v>8.8800000000000008</v>
      </c>
    </row>
    <row r="6" spans="1:9">
      <c r="A6" s="33">
        <v>2012</v>
      </c>
      <c r="B6" s="34">
        <v>0.11169999999999999</v>
      </c>
      <c r="C6" s="33">
        <v>1</v>
      </c>
      <c r="F6" s="37" t="s">
        <v>188</v>
      </c>
      <c r="G6" s="43">
        <v>1</v>
      </c>
      <c r="H6" s="43">
        <v>1.21</v>
      </c>
      <c r="I6" s="43">
        <v>7.61</v>
      </c>
    </row>
    <row r="7" spans="1:9">
      <c r="A7" s="33">
        <v>2013</v>
      </c>
      <c r="B7" s="34">
        <v>9.1300000000000006E-2</v>
      </c>
      <c r="C7" s="35">
        <v>1.0912999999999999</v>
      </c>
      <c r="F7" s="37" t="s">
        <v>189</v>
      </c>
      <c r="G7" s="43">
        <v>1</v>
      </c>
      <c r="H7" s="43">
        <v>1.2849999999999999</v>
      </c>
      <c r="I7" s="43">
        <v>8.08</v>
      </c>
    </row>
    <row r="8" spans="1:9">
      <c r="A8" s="33">
        <v>2014</v>
      </c>
      <c r="B8" s="34">
        <v>5.8599999999999999E-2</v>
      </c>
      <c r="C8" s="35">
        <v>1.1552501799999999</v>
      </c>
      <c r="F8" s="37" t="s">
        <v>190</v>
      </c>
      <c r="G8" s="43">
        <v>1</v>
      </c>
      <c r="H8" s="43">
        <v>1.288</v>
      </c>
      <c r="I8" s="43">
        <v>8.1</v>
      </c>
    </row>
    <row r="9" spans="1:9">
      <c r="A9" s="33">
        <v>2015</v>
      </c>
      <c r="B9" s="34">
        <v>6.3200000000000006E-2</v>
      </c>
      <c r="C9" s="35">
        <v>1.2282619913759998</v>
      </c>
      <c r="F9" s="37" t="s">
        <v>191</v>
      </c>
      <c r="G9" s="43">
        <v>1</v>
      </c>
      <c r="H9" s="43">
        <v>1.1719999999999999</v>
      </c>
      <c r="I9" s="43">
        <v>7.37</v>
      </c>
    </row>
    <row r="10" spans="1:9">
      <c r="A10" s="33">
        <v>2016</v>
      </c>
      <c r="B10" s="34">
        <v>2.23E-2</v>
      </c>
      <c r="C10" s="35">
        <v>1.2556522337836846</v>
      </c>
      <c r="F10" s="37" t="s">
        <v>192</v>
      </c>
      <c r="G10" s="43">
        <v>1</v>
      </c>
      <c r="H10" s="43">
        <v>1.071</v>
      </c>
      <c r="I10" s="43">
        <v>6.74</v>
      </c>
    </row>
    <row r="11" spans="1:9">
      <c r="A11" s="33">
        <v>2017</v>
      </c>
      <c r="B11" s="36">
        <v>0.04</v>
      </c>
      <c r="C11" s="35">
        <v>1.3058783231350322</v>
      </c>
      <c r="F11" s="37" t="s">
        <v>193</v>
      </c>
      <c r="G11" s="43">
        <v>1</v>
      </c>
      <c r="H11" s="43">
        <v>1.17</v>
      </c>
      <c r="I11" s="43">
        <v>7.33</v>
      </c>
    </row>
    <row r="12" spans="1:9">
      <c r="A12" s="33">
        <v>2018</v>
      </c>
      <c r="B12" s="34">
        <v>5.2400000000000002E-2</v>
      </c>
      <c r="C12" s="33">
        <v>1.3740000000000001</v>
      </c>
      <c r="F12" s="44" t="s">
        <v>194</v>
      </c>
    </row>
    <row r="13" spans="1:9">
      <c r="A13" s="29" t="s">
        <v>195</v>
      </c>
      <c r="B13" s="30" t="s">
        <v>175</v>
      </c>
      <c r="C13" s="33"/>
    </row>
    <row r="14" spans="1:9">
      <c r="A14" s="33">
        <v>2010</v>
      </c>
      <c r="B14" s="33">
        <v>44.81</v>
      </c>
      <c r="C14" s="33"/>
    </row>
    <row r="15" spans="1:9">
      <c r="A15" s="33">
        <v>2011</v>
      </c>
      <c r="B15" s="33">
        <v>53.26</v>
      </c>
      <c r="C15" s="33"/>
    </row>
    <row r="16" spans="1:9">
      <c r="A16" s="33">
        <v>2012</v>
      </c>
      <c r="B16" s="33">
        <v>54.77</v>
      </c>
      <c r="C16" s="33"/>
    </row>
    <row r="17" spans="1:3">
      <c r="A17" s="33">
        <v>2013</v>
      </c>
      <c r="B17" s="33">
        <v>61.89</v>
      </c>
      <c r="C17" s="33"/>
    </row>
    <row r="18" spans="1:3" ht="18.75" customHeight="1">
      <c r="A18" s="33">
        <v>2014</v>
      </c>
      <c r="B18" s="33">
        <v>63.33</v>
      </c>
      <c r="C18" s="33"/>
    </row>
    <row r="19" spans="1:3">
      <c r="A19" s="33">
        <v>2015</v>
      </c>
      <c r="B19" s="33">
        <v>66.319999999999993</v>
      </c>
      <c r="C19" s="33"/>
    </row>
    <row r="20" spans="1:3">
      <c r="A20" s="33">
        <v>2016</v>
      </c>
      <c r="B20" s="33">
        <v>67.95</v>
      </c>
      <c r="C20" s="33"/>
    </row>
    <row r="21" spans="1:3">
      <c r="A21" s="33">
        <v>2017</v>
      </c>
      <c r="B21" s="33">
        <v>63.92</v>
      </c>
      <c r="C21" s="33"/>
    </row>
    <row r="22" spans="1:3">
      <c r="A22" s="33">
        <v>2018</v>
      </c>
      <c r="B22" s="33">
        <v>68.66</v>
      </c>
      <c r="C22" s="33"/>
    </row>
    <row r="23" spans="1:3">
      <c r="A23" s="2" t="s">
        <v>196</v>
      </c>
      <c r="B23" s="5"/>
      <c r="C23" s="5"/>
    </row>
    <row r="24" spans="1:3">
      <c r="A24" s="33" t="s">
        <v>197</v>
      </c>
      <c r="B24" s="33">
        <v>158.9873</v>
      </c>
      <c r="C24" s="33"/>
    </row>
    <row r="25" spans="1:3">
      <c r="A25" s="33" t="s">
        <v>198</v>
      </c>
      <c r="B25" s="33">
        <v>3.9656699999999998</v>
      </c>
      <c r="C25" s="33"/>
    </row>
    <row r="26" spans="1:3" ht="29">
      <c r="A26" s="37" t="s">
        <v>199</v>
      </c>
      <c r="B26" s="33">
        <v>3412.14</v>
      </c>
      <c r="C26" s="33"/>
    </row>
    <row r="28" spans="1:3">
      <c r="A28" s="2" t="s">
        <v>200</v>
      </c>
      <c r="B28" s="5"/>
      <c r="C28" s="5"/>
    </row>
    <row r="29" spans="1:3">
      <c r="A29" t="s">
        <v>201</v>
      </c>
      <c r="B29">
        <f>AVERAGE(2500,3850)</f>
        <v>3175</v>
      </c>
      <c r="C29" t="s">
        <v>202</v>
      </c>
    </row>
    <row r="30" spans="1:3">
      <c r="A30" t="s">
        <v>203</v>
      </c>
      <c r="B30">
        <f>AVERAGE(3140,3290)</f>
        <v>3215</v>
      </c>
      <c r="C30" t="s">
        <v>202</v>
      </c>
    </row>
    <row r="31" spans="1:3">
      <c r="A31" t="s">
        <v>204</v>
      </c>
      <c r="B31">
        <f>AVERAGE(B29:B30)</f>
        <v>3195</v>
      </c>
      <c r="C31" t="s">
        <v>202</v>
      </c>
    </row>
    <row r="32" spans="1:3">
      <c r="B32" s="38">
        <v>3.9656699999999998</v>
      </c>
      <c r="C32" t="s">
        <v>198</v>
      </c>
    </row>
    <row r="33" spans="1:3">
      <c r="B33" s="12">
        <f>B31*B32</f>
        <v>12670.315649999999</v>
      </c>
      <c r="C33" t="s">
        <v>205</v>
      </c>
    </row>
    <row r="34" spans="1:3">
      <c r="B34" s="27">
        <f>B33*1000</f>
        <v>12670315.649999999</v>
      </c>
      <c r="C34" t="s">
        <v>206</v>
      </c>
    </row>
    <row r="36" spans="1:3">
      <c r="A36" s="2" t="s">
        <v>207</v>
      </c>
      <c r="B36" s="5"/>
      <c r="C36" s="5"/>
    </row>
    <row r="37" spans="1:3">
      <c r="B37">
        <v>5670000</v>
      </c>
      <c r="C37" t="s">
        <v>208</v>
      </c>
    </row>
    <row r="38" spans="1:3">
      <c r="B38" s="12">
        <f>B37/B24</f>
        <v>35663.225930624649</v>
      </c>
      <c r="C38" t="s">
        <v>209</v>
      </c>
    </row>
    <row r="40" spans="1:3">
      <c r="A40" s="2" t="s">
        <v>210</v>
      </c>
      <c r="B40" s="5"/>
      <c r="C40" s="5"/>
    </row>
    <row r="41" spans="1:3">
      <c r="B41">
        <v>10700</v>
      </c>
      <c r="C41" t="s">
        <v>202</v>
      </c>
    </row>
    <row r="42" spans="1:3">
      <c r="B42">
        <v>8.5299999999999994</v>
      </c>
      <c r="C42" t="s">
        <v>211</v>
      </c>
    </row>
    <row r="43" spans="1:3">
      <c r="B43" s="27">
        <f>B41*1000/B42</f>
        <v>1254396.248534584</v>
      </c>
      <c r="C43" t="s">
        <v>212</v>
      </c>
    </row>
    <row r="44" spans="1:3">
      <c r="B44" s="27">
        <f>B43*B25</f>
        <v>4974521.5709261429</v>
      </c>
      <c r="C44" t="s">
        <v>208</v>
      </c>
    </row>
    <row r="45" spans="1:3">
      <c r="B45" s="27">
        <f>B44/B24</f>
        <v>31288.798356385338</v>
      </c>
      <c r="C45" t="s">
        <v>209</v>
      </c>
    </row>
    <row r="47" spans="1:3">
      <c r="A47" s="2" t="s">
        <v>213</v>
      </c>
      <c r="B47" s="5"/>
      <c r="C47" s="5"/>
    </row>
    <row r="48" spans="1:3">
      <c r="B48">
        <v>5.8170000000000002</v>
      </c>
      <c r="C48" t="s">
        <v>214</v>
      </c>
    </row>
    <row r="49" spans="1:3">
      <c r="B49">
        <f>B48/B24</f>
        <v>3.6587828084381581E-2</v>
      </c>
      <c r="C49" t="s">
        <v>215</v>
      </c>
    </row>
    <row r="50" spans="1:3">
      <c r="B50" s="27">
        <f>B49*10^6</f>
        <v>36587.828084381581</v>
      </c>
      <c r="C50" t="s">
        <v>216</v>
      </c>
    </row>
    <row r="51" spans="1:3">
      <c r="B51" s="27"/>
    </row>
    <row r="52" spans="1:3">
      <c r="A52" s="2" t="s">
        <v>217</v>
      </c>
      <c r="B52" s="39"/>
      <c r="C52" s="5"/>
    </row>
    <row r="53" spans="1:3">
      <c r="A53" s="33"/>
      <c r="B53" s="33">
        <v>11300</v>
      </c>
      <c r="C53" s="33" t="s">
        <v>202</v>
      </c>
    </row>
    <row r="54" spans="1:3">
      <c r="A54" s="33"/>
      <c r="B54" s="33">
        <f>B53*1000</f>
        <v>11300000</v>
      </c>
      <c r="C54" s="33" t="s">
        <v>218</v>
      </c>
    </row>
    <row r="55" spans="1:3">
      <c r="A55" s="33"/>
      <c r="B55" s="40">
        <f>B54*B25</f>
        <v>44812071</v>
      </c>
      <c r="C55" s="33" t="s">
        <v>206</v>
      </c>
    </row>
    <row r="57" spans="1:3">
      <c r="A57" s="2" t="s">
        <v>219</v>
      </c>
      <c r="B57" s="5"/>
      <c r="C57" s="5"/>
    </row>
    <row r="58" spans="1:3">
      <c r="A58" s="33"/>
      <c r="B58" s="33">
        <v>36</v>
      </c>
      <c r="C58" s="33" t="s">
        <v>220</v>
      </c>
    </row>
    <row r="59" spans="1:3">
      <c r="A59" s="33"/>
      <c r="B59" s="33">
        <f>B58*10^6</f>
        <v>36000000</v>
      </c>
      <c r="C59" s="33" t="s">
        <v>221</v>
      </c>
    </row>
    <row r="61" spans="1:3">
      <c r="A61" s="2" t="s">
        <v>222</v>
      </c>
      <c r="B61" s="5"/>
      <c r="C61" s="5"/>
    </row>
    <row r="62" spans="1:3">
      <c r="B62" s="13">
        <f>'Heat content of coal'!B9</f>
        <v>3616.1965529315648</v>
      </c>
      <c r="C62" t="s">
        <v>202</v>
      </c>
    </row>
    <row r="63" spans="1:3">
      <c r="B63">
        <f>B25*B62</f>
        <v>14340.642184064118</v>
      </c>
      <c r="C63" t="s">
        <v>205</v>
      </c>
    </row>
    <row r="64" spans="1:3">
      <c r="B64">
        <f>B63*1000</f>
        <v>14340642.184064118</v>
      </c>
      <c r="C64" t="s">
        <v>206</v>
      </c>
    </row>
    <row r="66" spans="1:3">
      <c r="A66" s="2" t="s">
        <v>193</v>
      </c>
      <c r="B66" s="5"/>
      <c r="C66" s="5"/>
    </row>
    <row r="67" spans="1:3">
      <c r="B67">
        <v>5.8</v>
      </c>
      <c r="C67" t="s">
        <v>223</v>
      </c>
    </row>
    <row r="68" spans="1:3">
      <c r="B68">
        <f>B67*10^6</f>
        <v>5800000</v>
      </c>
      <c r="C68" t="s">
        <v>224</v>
      </c>
    </row>
    <row r="70" spans="1:3">
      <c r="A70" s="2" t="s">
        <v>225</v>
      </c>
      <c r="B70" s="5"/>
      <c r="C70" s="5"/>
    </row>
    <row r="71" spans="1:3">
      <c r="B71">
        <v>12.93</v>
      </c>
      <c r="C71" t="s">
        <v>226</v>
      </c>
    </row>
    <row r="72" spans="1:3">
      <c r="B72">
        <v>3.2589999999999999</v>
      </c>
      <c r="C72" t="s">
        <v>223</v>
      </c>
    </row>
    <row r="73" spans="1:3">
      <c r="B73">
        <v>6.2899999999999996E-3</v>
      </c>
      <c r="C73" t="s">
        <v>227</v>
      </c>
    </row>
    <row r="75" spans="1:3">
      <c r="A75" s="2" t="s">
        <v>228</v>
      </c>
      <c r="B75" s="5"/>
      <c r="C75" s="5"/>
    </row>
    <row r="76" spans="1:3">
      <c r="B76">
        <v>3750</v>
      </c>
      <c r="C76" t="s">
        <v>202</v>
      </c>
    </row>
    <row r="77" spans="1:3">
      <c r="B77" s="38">
        <v>3.9656699999999998</v>
      </c>
      <c r="C77" t="s">
        <v>198</v>
      </c>
    </row>
    <row r="78" spans="1:3">
      <c r="B78">
        <f>B76*B77</f>
        <v>14871.262499999999</v>
      </c>
      <c r="C78" t="s">
        <v>205</v>
      </c>
    </row>
    <row r="79" spans="1:3">
      <c r="B79">
        <f>B78*1000</f>
        <v>14871262.499999998</v>
      </c>
      <c r="C79" t="s">
        <v>206</v>
      </c>
    </row>
    <row r="81" spans="1:3">
      <c r="A81" s="2" t="s">
        <v>229</v>
      </c>
      <c r="B81" s="5"/>
      <c r="C81" s="5"/>
    </row>
    <row r="82" spans="1:3">
      <c r="B82" s="38">
        <f>1/3</f>
        <v>0.33333333333333331</v>
      </c>
      <c r="C82" t="s">
        <v>230</v>
      </c>
    </row>
    <row r="83" spans="1:3">
      <c r="B83">
        <v>40</v>
      </c>
      <c r="C83" t="s">
        <v>231</v>
      </c>
    </row>
    <row r="84" spans="1:3">
      <c r="B84" s="13">
        <f>B82*B83</f>
        <v>13.333333333333332</v>
      </c>
      <c r="C84" t="s">
        <v>232</v>
      </c>
    </row>
    <row r="85" spans="1:3">
      <c r="B85">
        <f>B84*10^6</f>
        <v>13333333.333333332</v>
      </c>
      <c r="C85" t="s">
        <v>206</v>
      </c>
    </row>
    <row r="87" spans="1:3">
      <c r="A87" s="2" t="s">
        <v>233</v>
      </c>
      <c r="B87" s="5"/>
      <c r="C87" s="5"/>
    </row>
    <row r="88" spans="1:3">
      <c r="B88" s="80">
        <v>1000</v>
      </c>
      <c r="C88" t="s">
        <v>234</v>
      </c>
    </row>
    <row r="89" spans="1:3">
      <c r="B89" s="80">
        <v>2.2050000000000001</v>
      </c>
      <c r="C89" t="s">
        <v>235</v>
      </c>
    </row>
    <row r="90" spans="1:3">
      <c r="B90" s="80">
        <f>B88*B89</f>
        <v>2205</v>
      </c>
      <c r="C90" t="s">
        <v>236</v>
      </c>
    </row>
    <row r="91" spans="1:3">
      <c r="B91">
        <v>180000000</v>
      </c>
      <c r="C91" t="s">
        <v>237</v>
      </c>
    </row>
    <row r="92" spans="1:3">
      <c r="B92">
        <f>B91*B90</f>
        <v>396900000000</v>
      </c>
      <c r="C92" t="s">
        <v>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5"/>
  <cols>
    <col min="1" max="1" width="25.1796875" customWidth="1"/>
    <col min="2" max="2" width="22.81640625" customWidth="1"/>
    <col min="3" max="3" width="20.7265625" customWidth="1"/>
  </cols>
  <sheetData>
    <row r="1" spans="1:4">
      <c r="A1" s="89"/>
      <c r="B1" s="90" t="s">
        <v>238</v>
      </c>
      <c r="C1" s="90"/>
      <c r="D1" s="4"/>
    </row>
    <row r="2" spans="1:4">
      <c r="A2" s="89"/>
      <c r="B2" s="89" t="s">
        <v>239</v>
      </c>
      <c r="C2" s="89" t="s">
        <v>240</v>
      </c>
    </row>
    <row r="3" spans="1:4">
      <c r="A3" s="89" t="s">
        <v>241</v>
      </c>
      <c r="B3" s="89">
        <v>1028.1199999999999</v>
      </c>
      <c r="C3" s="89">
        <v>15556</v>
      </c>
    </row>
    <row r="5" spans="1:4">
      <c r="A5" t="s">
        <v>242</v>
      </c>
    </row>
    <row r="6" spans="1:4">
      <c r="A6" t="s">
        <v>243</v>
      </c>
      <c r="B6">
        <f>2.39 * 10^11</f>
        <v>239000000000</v>
      </c>
    </row>
    <row r="7" spans="1:4">
      <c r="A7" t="s">
        <v>244</v>
      </c>
      <c r="B7" s="27">
        <f>1 * 10^9</f>
        <v>1000000000</v>
      </c>
    </row>
    <row r="9" spans="1:4">
      <c r="A9" s="77" t="s">
        <v>245</v>
      </c>
      <c r="B9" s="83">
        <f>(C3*B6)/(B3*B7)</f>
        <v>3616.1965529315648</v>
      </c>
    </row>
    <row r="11" spans="1:4" ht="43">
      <c r="A11" s="88" t="s">
        <v>246</v>
      </c>
    </row>
  </sheetData>
  <mergeCells count="1">
    <mergeCell ref="B1:C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2"/>
  <sheetViews>
    <sheetView topLeftCell="T1" workbookViewId="0"/>
  </sheetViews>
  <sheetFormatPr defaultRowHeight="14.5"/>
  <cols>
    <col min="1" max="1" width="65.453125" bestFit="1" customWidth="1"/>
  </cols>
  <sheetData>
    <row r="1" spans="1:33">
      <c r="A1" s="11" t="s">
        <v>247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248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s="77" t="s">
        <v>249</v>
      </c>
      <c r="B3" s="27">
        <v>1.53039E+16</v>
      </c>
      <c r="C3" s="27">
        <v>1.44364E+16</v>
      </c>
      <c r="D3" s="27">
        <v>1.5324E+16</v>
      </c>
      <c r="E3" s="27">
        <v>1.59038E+16</v>
      </c>
      <c r="F3" s="27">
        <v>1.67742E+16</v>
      </c>
      <c r="G3" s="27">
        <v>1.72432E+16</v>
      </c>
      <c r="H3" s="27">
        <v>1.74593E+16</v>
      </c>
      <c r="I3" s="27">
        <v>1.76229E+16</v>
      </c>
      <c r="J3" s="27">
        <v>1.77488E+16</v>
      </c>
      <c r="K3" s="27">
        <v>1.81757E+16</v>
      </c>
      <c r="L3" s="27">
        <v>1.86622E+16</v>
      </c>
      <c r="M3" s="27">
        <v>1.91439E+16</v>
      </c>
      <c r="N3" s="27">
        <v>1.95907E+16</v>
      </c>
      <c r="O3" s="27">
        <v>2.00295E+16</v>
      </c>
      <c r="P3" s="27">
        <v>2.05347E+16</v>
      </c>
      <c r="Q3" s="27">
        <v>2.09096E+16</v>
      </c>
      <c r="R3" s="27">
        <v>2.12811E+16</v>
      </c>
      <c r="S3" s="27">
        <v>2.16529E+16</v>
      </c>
      <c r="T3" s="27">
        <v>2.2027E+16</v>
      </c>
      <c r="U3" s="27">
        <v>2.23729E+16</v>
      </c>
      <c r="V3" s="27">
        <v>2.27127E+16</v>
      </c>
      <c r="W3" s="27">
        <v>2.30536E+16</v>
      </c>
      <c r="X3" s="27">
        <v>2.33957E+16</v>
      </c>
      <c r="Y3" s="27">
        <v>2.3741E+16</v>
      </c>
      <c r="Z3" s="27">
        <v>2.40157E+16</v>
      </c>
      <c r="AA3" s="27">
        <v>2.42721E+16</v>
      </c>
      <c r="AB3" s="27">
        <v>2.45319E+16</v>
      </c>
      <c r="AC3" s="27">
        <v>2.47887E+16</v>
      </c>
      <c r="AD3" s="27">
        <v>2.50432E+16</v>
      </c>
      <c r="AE3" s="27">
        <v>2.53018E+16</v>
      </c>
      <c r="AF3" s="27">
        <v>2.55562E+16</v>
      </c>
      <c r="AG3" s="27">
        <v>2.58149E+16</v>
      </c>
    </row>
    <row r="4" spans="1:33">
      <c r="A4" t="s">
        <v>250</v>
      </c>
      <c r="B4" s="27">
        <v>1616860000000000</v>
      </c>
      <c r="C4" s="27">
        <v>1517690000000000</v>
      </c>
      <c r="D4" s="27">
        <v>1612190000000000</v>
      </c>
      <c r="E4" s="27">
        <v>1679290000000000</v>
      </c>
      <c r="F4" s="27">
        <v>1746860000000000</v>
      </c>
      <c r="G4" s="27">
        <v>1806010000000000</v>
      </c>
      <c r="H4" s="27">
        <v>1860080000000000</v>
      </c>
      <c r="I4" s="27">
        <v>1911230000000000</v>
      </c>
      <c r="J4" s="27">
        <v>1960580000000000</v>
      </c>
      <c r="K4" s="27">
        <v>2015510000000000</v>
      </c>
      <c r="L4" s="27">
        <v>2069310000000000</v>
      </c>
      <c r="M4" s="27">
        <v>2122530000000000</v>
      </c>
      <c r="N4" s="27">
        <v>2186010000000000</v>
      </c>
      <c r="O4" s="27">
        <v>2310810000000000</v>
      </c>
      <c r="P4" s="27">
        <v>2440070000000000</v>
      </c>
      <c r="Q4" s="27">
        <v>2561910000000000</v>
      </c>
      <c r="R4" s="27">
        <v>2679200000000000</v>
      </c>
      <c r="S4" s="27">
        <v>2793740000000000</v>
      </c>
      <c r="T4" s="27">
        <v>2906700000000000</v>
      </c>
      <c r="U4" s="27">
        <v>3025260000000000</v>
      </c>
      <c r="V4" s="27">
        <v>3143650000000000</v>
      </c>
      <c r="W4" s="27">
        <v>3260150000000000</v>
      </c>
      <c r="X4" s="27">
        <v>3376290000000000</v>
      </c>
      <c r="Y4" s="27">
        <v>3489430000000000</v>
      </c>
      <c r="Z4" s="27">
        <v>3581660000000000</v>
      </c>
      <c r="AA4" s="27">
        <v>3674780000000000</v>
      </c>
      <c r="AB4" s="27">
        <v>3767330000000000</v>
      </c>
      <c r="AC4" s="27">
        <v>3859280000000000</v>
      </c>
      <c r="AD4" s="27">
        <v>3950730000000000</v>
      </c>
      <c r="AE4" s="27">
        <v>4042730000000000</v>
      </c>
      <c r="AF4" s="27">
        <v>4137850000000000</v>
      </c>
      <c r="AG4" s="27">
        <v>4230930000000000</v>
      </c>
    </row>
    <row r="5" spans="1:33">
      <c r="A5" t="s">
        <v>251</v>
      </c>
      <c r="B5" s="27">
        <v>374046000000000</v>
      </c>
      <c r="C5" s="27">
        <v>402143000000000</v>
      </c>
      <c r="D5" s="27">
        <v>431265000000000</v>
      </c>
      <c r="E5" s="27">
        <v>461412000000000</v>
      </c>
      <c r="F5" s="27">
        <v>522004000000000</v>
      </c>
      <c r="G5" s="27">
        <v>614877000000000</v>
      </c>
      <c r="H5" s="27">
        <v>741441000000000</v>
      </c>
      <c r="I5" s="27">
        <v>840976000000000</v>
      </c>
      <c r="J5" s="27">
        <v>943586000000000</v>
      </c>
      <c r="K5" s="27">
        <v>952809000000000</v>
      </c>
      <c r="L5" s="27">
        <v>961264000000000</v>
      </c>
      <c r="M5" s="27">
        <v>970487000000000</v>
      </c>
      <c r="N5" s="27">
        <v>1013360000000000</v>
      </c>
      <c r="O5" s="27">
        <v>1057250000000000</v>
      </c>
      <c r="P5" s="27">
        <v>1057250000000000</v>
      </c>
      <c r="Q5" s="27">
        <v>1057250000000000</v>
      </c>
      <c r="R5" s="27">
        <v>1057250000000000</v>
      </c>
      <c r="S5" s="27">
        <v>1057250000000000</v>
      </c>
      <c r="T5" s="27">
        <v>1057250000000000</v>
      </c>
      <c r="U5" s="27">
        <v>1057250000000000</v>
      </c>
      <c r="V5" s="27">
        <v>1057250000000000</v>
      </c>
      <c r="W5" s="27">
        <v>1057250000000000</v>
      </c>
      <c r="X5" s="27">
        <v>1057250000000000</v>
      </c>
      <c r="Y5" s="27">
        <v>1057250000000000</v>
      </c>
      <c r="Z5" s="27">
        <v>1057250000000000</v>
      </c>
      <c r="AA5" s="27">
        <v>1057250000000000</v>
      </c>
      <c r="AB5" s="27">
        <v>1057250000000000</v>
      </c>
      <c r="AC5" s="27">
        <v>1057250000000000</v>
      </c>
      <c r="AD5" s="27">
        <v>1057250000000000</v>
      </c>
      <c r="AE5" s="27">
        <v>1057250000000000</v>
      </c>
      <c r="AF5" s="27">
        <v>1057250000000000</v>
      </c>
      <c r="AG5" s="27">
        <v>1057250000000000</v>
      </c>
    </row>
    <row r="6" spans="1:33">
      <c r="A6" t="s">
        <v>252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253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254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255</v>
      </c>
      <c r="B9" s="27">
        <v>5872580000000000</v>
      </c>
      <c r="C9" s="27">
        <v>5720860000000000</v>
      </c>
      <c r="D9" s="27">
        <v>5685490000000000</v>
      </c>
      <c r="E9" s="27">
        <v>5630820000000000</v>
      </c>
      <c r="F9" s="27">
        <v>5560300000000000</v>
      </c>
      <c r="G9" s="27">
        <v>5484850000000000</v>
      </c>
      <c r="H9" s="27">
        <v>5406380000000000</v>
      </c>
      <c r="I9" s="27">
        <v>5327130000000000</v>
      </c>
      <c r="J9" s="27">
        <v>5255840000000000</v>
      </c>
      <c r="K9" s="27">
        <v>5230810000000000</v>
      </c>
      <c r="L9" s="27">
        <v>5215440000000000</v>
      </c>
      <c r="M9" s="27">
        <v>5190890000000000</v>
      </c>
      <c r="N9" s="27">
        <v>5175230000000000</v>
      </c>
      <c r="O9" s="27">
        <v>5149590000000000</v>
      </c>
      <c r="P9" s="27">
        <v>5122090000000000</v>
      </c>
      <c r="Q9" s="27">
        <v>5084180000000000</v>
      </c>
      <c r="R9" s="27">
        <v>5046180000000000</v>
      </c>
      <c r="S9" s="27">
        <v>5008280000000000</v>
      </c>
      <c r="T9" s="27">
        <v>4970270000000000</v>
      </c>
      <c r="U9" s="27">
        <v>5017890000000000</v>
      </c>
      <c r="V9" s="27">
        <v>5065400000000000</v>
      </c>
      <c r="W9" s="27">
        <v>5112900000000000</v>
      </c>
      <c r="X9" s="27">
        <v>5160400000000000</v>
      </c>
      <c r="Y9" s="27">
        <v>5207910000000000</v>
      </c>
      <c r="Z9" s="27">
        <v>5235820000000000</v>
      </c>
      <c r="AA9" s="27">
        <v>5253730000000000</v>
      </c>
      <c r="AB9" s="27">
        <v>5281540000000000</v>
      </c>
      <c r="AC9" s="27">
        <v>5299440000000000</v>
      </c>
      <c r="AD9" s="27">
        <v>5317340000000000</v>
      </c>
      <c r="AE9" s="27">
        <v>5345250000000000</v>
      </c>
      <c r="AF9" s="27">
        <v>5363070000000000</v>
      </c>
      <c r="AG9" s="27">
        <v>5390980000000000</v>
      </c>
    </row>
    <row r="10" spans="1:33">
      <c r="A10" s="77" t="s">
        <v>256</v>
      </c>
      <c r="B10" s="27">
        <v>1069590000000000</v>
      </c>
      <c r="C10" s="27">
        <v>854437000000000</v>
      </c>
      <c r="D10" s="27">
        <v>1020780000000000</v>
      </c>
      <c r="E10" s="27">
        <v>1140540000000000</v>
      </c>
      <c r="F10" s="27">
        <v>1226800000000000</v>
      </c>
      <c r="G10" s="27">
        <v>1290260000000000</v>
      </c>
      <c r="H10" s="27">
        <v>1337680000000000</v>
      </c>
      <c r="I10" s="27">
        <v>1391330000000000</v>
      </c>
      <c r="J10" s="27">
        <v>1437520000000000</v>
      </c>
      <c r="K10" s="27">
        <v>1487030000000000</v>
      </c>
      <c r="L10" s="27">
        <v>1530040000000000</v>
      </c>
      <c r="M10" s="27">
        <v>1567430000000000</v>
      </c>
      <c r="N10" s="27">
        <v>1598730000000000</v>
      </c>
      <c r="O10" s="27">
        <v>1624080000000000</v>
      </c>
      <c r="P10" s="27">
        <v>1644800000000000</v>
      </c>
      <c r="Q10" s="27">
        <v>1660220000000000</v>
      </c>
      <c r="R10" s="27">
        <v>1672230000000000</v>
      </c>
      <c r="S10" s="27">
        <v>1676920000000000</v>
      </c>
      <c r="T10" s="27">
        <v>1684020000000000</v>
      </c>
      <c r="U10" s="27">
        <v>1695980000000000</v>
      </c>
      <c r="V10" s="27">
        <v>1705890000000000</v>
      </c>
      <c r="W10" s="27">
        <v>1715800000000000</v>
      </c>
      <c r="X10" s="27">
        <v>1725780000000000</v>
      </c>
      <c r="Y10" s="27">
        <v>1736040000000000</v>
      </c>
      <c r="Z10" s="27">
        <v>1746280000000000</v>
      </c>
      <c r="AA10" s="27">
        <v>1758130000000000</v>
      </c>
      <c r="AB10" s="27">
        <v>1771710000000000</v>
      </c>
      <c r="AC10" s="27">
        <v>1786350000000000</v>
      </c>
      <c r="AD10" s="27">
        <v>1800900000000000</v>
      </c>
      <c r="AE10" s="27">
        <v>1817220000000000</v>
      </c>
      <c r="AF10" s="27">
        <v>1835190000000000</v>
      </c>
      <c r="AG10" s="27">
        <v>1854690000000000</v>
      </c>
    </row>
    <row r="11" spans="1:33">
      <c r="A11" s="77" t="s">
        <v>257</v>
      </c>
      <c r="B11" s="27">
        <v>4402100000000000</v>
      </c>
      <c r="C11" s="27">
        <v>3667090000000000</v>
      </c>
      <c r="D11" s="27">
        <v>4295660000000000</v>
      </c>
      <c r="E11" s="27">
        <v>4694920000000000</v>
      </c>
      <c r="F11" s="27">
        <v>5020140000000000</v>
      </c>
      <c r="G11" s="27">
        <v>5280080000000000</v>
      </c>
      <c r="H11" s="27">
        <v>5497740000000000</v>
      </c>
      <c r="I11" s="27">
        <v>5683730000000000</v>
      </c>
      <c r="J11" s="27">
        <v>5854770000000000</v>
      </c>
      <c r="K11" s="27">
        <v>6065680000000000</v>
      </c>
      <c r="L11" s="27">
        <v>6280570000000000</v>
      </c>
      <c r="M11" s="27">
        <v>6491440000000000</v>
      </c>
      <c r="N11" s="27">
        <v>6695060000000000</v>
      </c>
      <c r="O11" s="27">
        <v>6890550000000000</v>
      </c>
      <c r="P11" s="27">
        <v>7079060000000000</v>
      </c>
      <c r="Q11" s="27">
        <v>7263380000000000</v>
      </c>
      <c r="R11" s="27">
        <v>7443750000000000</v>
      </c>
      <c r="S11" s="27">
        <v>7598490000000000</v>
      </c>
      <c r="T11" s="27">
        <v>7747150000000000</v>
      </c>
      <c r="U11" s="27">
        <v>7931280000000000</v>
      </c>
      <c r="V11" s="27">
        <v>8111050000000000</v>
      </c>
      <c r="W11" s="27">
        <v>8289870000000000</v>
      </c>
      <c r="X11" s="27">
        <v>8466440000000000</v>
      </c>
      <c r="Y11" s="27">
        <v>8643810000000000</v>
      </c>
      <c r="Z11" s="27">
        <v>8786640000000000</v>
      </c>
      <c r="AA11" s="27">
        <v>8929320000000000</v>
      </c>
      <c r="AB11" s="27">
        <v>9072490000000000</v>
      </c>
      <c r="AC11" s="27">
        <v>9216730000000000</v>
      </c>
      <c r="AD11" s="27">
        <v>9362350000000000</v>
      </c>
      <c r="AE11" s="27">
        <v>9508340000000000</v>
      </c>
      <c r="AF11" s="27">
        <v>9654070000000000</v>
      </c>
      <c r="AG11" s="27">
        <v>9798630000000000</v>
      </c>
    </row>
    <row r="12" spans="1:33">
      <c r="A12" t="s">
        <v>258</v>
      </c>
      <c r="B12" s="27">
        <v>113278000000000</v>
      </c>
      <c r="C12" s="27">
        <v>90608600000000</v>
      </c>
      <c r="D12" s="27">
        <v>137651000000000</v>
      </c>
      <c r="E12" s="27">
        <v>158180000000000</v>
      </c>
      <c r="F12" s="27">
        <v>183943000000000</v>
      </c>
      <c r="G12" s="27">
        <v>208408000000000</v>
      </c>
      <c r="H12" s="27">
        <v>233277000000000</v>
      </c>
      <c r="I12" s="27">
        <v>240610000000000</v>
      </c>
      <c r="J12" s="27">
        <v>245991000000000</v>
      </c>
      <c r="K12" s="27">
        <v>252396000000000</v>
      </c>
      <c r="L12" s="27">
        <v>257496000000000</v>
      </c>
      <c r="M12" s="27">
        <v>260787000000000</v>
      </c>
      <c r="N12" s="27">
        <v>261731000000000</v>
      </c>
      <c r="O12" s="27">
        <v>261484000000000</v>
      </c>
      <c r="P12" s="27">
        <v>260054000000000</v>
      </c>
      <c r="Q12" s="27">
        <v>257593000000000</v>
      </c>
      <c r="R12" s="27">
        <v>253609000000000</v>
      </c>
      <c r="S12" s="27">
        <v>253680000000000</v>
      </c>
      <c r="T12" s="27">
        <v>254755000000000</v>
      </c>
      <c r="U12" s="27">
        <v>256565000000000</v>
      </c>
      <c r="V12" s="27">
        <v>258063000000000</v>
      </c>
      <c r="W12" s="27">
        <v>259563000000000</v>
      </c>
      <c r="X12" s="27">
        <v>261073000000000</v>
      </c>
      <c r="Y12" s="27">
        <v>262624000000000</v>
      </c>
      <c r="Z12" s="27">
        <v>264174000000000</v>
      </c>
      <c r="AA12" s="27">
        <v>265966000000000</v>
      </c>
      <c r="AB12" s="27">
        <v>268020000000000</v>
      </c>
      <c r="AC12" s="27">
        <v>270235000000000</v>
      </c>
      <c r="AD12" s="27">
        <v>272436000000000</v>
      </c>
      <c r="AE12" s="27">
        <v>274905000000000</v>
      </c>
      <c r="AF12" s="27">
        <v>277624000000000</v>
      </c>
      <c r="AG12" s="27">
        <v>280574000000000</v>
      </c>
    </row>
    <row r="13" spans="1:33">
      <c r="A13" t="s">
        <v>259</v>
      </c>
      <c r="B13" s="27">
        <v>144128000000000</v>
      </c>
      <c r="C13" s="27">
        <v>114657000000000</v>
      </c>
      <c r="D13" s="27">
        <v>124681000000000</v>
      </c>
      <c r="E13" s="27">
        <v>132860000000000</v>
      </c>
      <c r="F13" s="27">
        <v>131928000000000</v>
      </c>
      <c r="G13" s="27">
        <v>124603000000000</v>
      </c>
      <c r="H13" s="27">
        <v>116743000000000</v>
      </c>
      <c r="I13" s="27">
        <v>113661000000000</v>
      </c>
      <c r="J13" s="27">
        <v>107700000000000</v>
      </c>
      <c r="K13" s="27">
        <v>104390000000000</v>
      </c>
      <c r="L13" s="27">
        <v>100282000000000</v>
      </c>
      <c r="M13" s="27">
        <v>92502800000000</v>
      </c>
      <c r="N13" s="27">
        <v>78911600000000</v>
      </c>
      <c r="O13" s="27">
        <v>63765300000000</v>
      </c>
      <c r="P13" s="27">
        <v>46110300000000</v>
      </c>
      <c r="Q13" s="27">
        <v>26917500000000</v>
      </c>
      <c r="R13" s="27">
        <v>2718460000000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</row>
    <row r="14" spans="1:33">
      <c r="A14" s="77" t="s">
        <v>260</v>
      </c>
      <c r="B14" s="27">
        <v>478483000000000</v>
      </c>
      <c r="C14" s="27">
        <v>373908000000000</v>
      </c>
      <c r="D14" s="27">
        <v>396551000000000</v>
      </c>
      <c r="E14" s="27">
        <v>400973000000000</v>
      </c>
      <c r="F14" s="27">
        <v>448684000000000</v>
      </c>
      <c r="G14" s="27">
        <v>490092000000000</v>
      </c>
      <c r="H14" s="27">
        <v>527652000000000</v>
      </c>
      <c r="I14" s="27">
        <v>563107000000000</v>
      </c>
      <c r="J14" s="27">
        <v>596613000000000</v>
      </c>
      <c r="K14" s="27">
        <v>637020000000000</v>
      </c>
      <c r="L14" s="27">
        <v>675653000000000</v>
      </c>
      <c r="M14" s="27">
        <v>712903000000000</v>
      </c>
      <c r="N14" s="27">
        <v>749733000000000</v>
      </c>
      <c r="O14" s="27">
        <v>786109000000000</v>
      </c>
      <c r="P14" s="27">
        <v>825898000000000</v>
      </c>
      <c r="Q14" s="27">
        <v>865251000000000</v>
      </c>
      <c r="R14" s="27">
        <v>904213000000000</v>
      </c>
      <c r="S14" s="27">
        <v>943203000000000</v>
      </c>
      <c r="T14" s="27">
        <v>981594000000000</v>
      </c>
      <c r="U14" s="27">
        <v>1025790000000000</v>
      </c>
      <c r="V14" s="27">
        <v>1070690000000000</v>
      </c>
      <c r="W14" s="27">
        <v>1115250000000000</v>
      </c>
      <c r="X14" s="27">
        <v>1159090000000000</v>
      </c>
      <c r="Y14" s="27">
        <v>1202560000000000</v>
      </c>
      <c r="Z14" s="27">
        <v>1247970000000000</v>
      </c>
      <c r="AA14" s="27">
        <v>1293040000000000</v>
      </c>
      <c r="AB14" s="27">
        <v>1338270000000000</v>
      </c>
      <c r="AC14" s="27">
        <v>1383000000000000</v>
      </c>
      <c r="AD14" s="27">
        <v>1427640000000000</v>
      </c>
      <c r="AE14" s="27">
        <v>1472200000000000</v>
      </c>
      <c r="AF14" s="27">
        <v>1516860000000000</v>
      </c>
      <c r="AG14" s="27">
        <v>1561500000000000</v>
      </c>
    </row>
    <row r="15" spans="1:33">
      <c r="A15" t="s">
        <v>261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262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s="77" t="s">
        <v>263</v>
      </c>
      <c r="B17" s="27">
        <v>9694620000000</v>
      </c>
      <c r="C17" s="27">
        <v>8425910000000</v>
      </c>
      <c r="D17" s="27">
        <v>8522060000000</v>
      </c>
      <c r="E17" s="27">
        <v>8408940000000</v>
      </c>
      <c r="F17" s="27">
        <v>9449360000000</v>
      </c>
      <c r="G17" s="27">
        <v>9823380000000</v>
      </c>
      <c r="H17" s="27">
        <v>9733310000000</v>
      </c>
      <c r="I17" s="27">
        <v>9765310000000</v>
      </c>
      <c r="J17" s="27">
        <v>9750550000000</v>
      </c>
      <c r="K17" s="27">
        <v>9781930000000</v>
      </c>
      <c r="L17" s="27">
        <v>9959260000000</v>
      </c>
      <c r="M17" s="27">
        <v>10129000000000</v>
      </c>
      <c r="N17" s="27">
        <v>10225900000000</v>
      </c>
      <c r="O17" s="27">
        <v>10351200000000</v>
      </c>
      <c r="P17" s="27">
        <v>10599900000000</v>
      </c>
      <c r="Q17" s="27">
        <v>10606500000000</v>
      </c>
      <c r="R17" s="27">
        <v>10589200000000</v>
      </c>
      <c r="S17" s="27">
        <v>10591500000000</v>
      </c>
      <c r="T17" s="27">
        <v>10616600000000</v>
      </c>
      <c r="U17" s="27">
        <v>10622200000000</v>
      </c>
      <c r="V17" s="27">
        <v>10596600000000</v>
      </c>
      <c r="W17" s="27">
        <v>10590400000000</v>
      </c>
      <c r="X17" s="27">
        <v>10674200000000</v>
      </c>
      <c r="Y17" s="27">
        <v>10590800000000</v>
      </c>
      <c r="Z17" s="27">
        <v>10616800000000</v>
      </c>
      <c r="AA17" s="27">
        <v>10611100000000</v>
      </c>
      <c r="AB17" s="27">
        <v>10606700000000</v>
      </c>
      <c r="AC17" s="27">
        <v>10602200000000</v>
      </c>
      <c r="AD17" s="27">
        <v>10591900000000</v>
      </c>
      <c r="AE17" s="27">
        <v>10590400000000</v>
      </c>
      <c r="AF17" s="27">
        <v>10578200000000</v>
      </c>
      <c r="AG17" s="27">
        <v>10575500000000</v>
      </c>
    </row>
    <row r="18" spans="1:33">
      <c r="A18" t="s">
        <v>264</v>
      </c>
      <c r="B18" s="27">
        <v>1.21155E+16</v>
      </c>
      <c r="C18" s="27">
        <v>1.15097E+16</v>
      </c>
      <c r="D18" s="27">
        <v>1.25106E+16</v>
      </c>
      <c r="E18" s="27">
        <v>1.32609E+16</v>
      </c>
      <c r="F18" s="27">
        <v>1.40334E+16</v>
      </c>
      <c r="G18" s="27">
        <v>1.47397E+16</v>
      </c>
      <c r="H18" s="27">
        <v>1.54113E+16</v>
      </c>
      <c r="I18" s="27">
        <v>1.60646E+16</v>
      </c>
      <c r="J18" s="27">
        <v>1.67084E+16</v>
      </c>
      <c r="K18" s="27">
        <v>1.75427E+16</v>
      </c>
      <c r="L18" s="27">
        <v>1.83745E+16</v>
      </c>
      <c r="M18" s="27">
        <v>1.92049E+16</v>
      </c>
      <c r="N18" s="27">
        <v>2.00347E+16</v>
      </c>
      <c r="O18" s="27">
        <v>2.08644E+16</v>
      </c>
      <c r="P18" s="27">
        <v>2.18423E+16</v>
      </c>
      <c r="Q18" s="27">
        <v>2.28202E+16</v>
      </c>
      <c r="R18" s="27">
        <v>2.37981E+16</v>
      </c>
      <c r="S18" s="27">
        <v>2.4776E+16</v>
      </c>
      <c r="T18" s="27">
        <v>2.57539E+16</v>
      </c>
      <c r="U18" s="27">
        <v>2.66832E+16</v>
      </c>
      <c r="V18" s="27">
        <v>2.76125E+16</v>
      </c>
      <c r="W18" s="27">
        <v>2.85419E+16</v>
      </c>
      <c r="X18" s="27">
        <v>2.94712E+16</v>
      </c>
      <c r="Y18" s="27">
        <v>3.04005E+16</v>
      </c>
      <c r="Z18" s="27">
        <v>3.12418E+16</v>
      </c>
      <c r="AA18" s="27">
        <v>3.20831E+16</v>
      </c>
      <c r="AB18" s="27">
        <v>3.29245E+16</v>
      </c>
      <c r="AC18" s="27">
        <v>3.37658E+16</v>
      </c>
      <c r="AD18" s="27">
        <v>3.46071E+16</v>
      </c>
      <c r="AE18" s="27">
        <v>3.54484E+16</v>
      </c>
      <c r="AF18" s="27">
        <v>3.62897E+16</v>
      </c>
      <c r="AG18" s="27">
        <v>3.7131E+16</v>
      </c>
    </row>
    <row r="19" spans="1:33">
      <c r="A19" s="77" t="s">
        <v>265</v>
      </c>
      <c r="B19" s="27">
        <v>332350000000000</v>
      </c>
      <c r="C19" s="27">
        <v>303402000000000</v>
      </c>
      <c r="D19" s="27">
        <v>328307000000000</v>
      </c>
      <c r="E19" s="27">
        <v>344671000000000</v>
      </c>
      <c r="F19" s="27">
        <v>358145000000000</v>
      </c>
      <c r="G19" s="27">
        <v>369381000000000</v>
      </c>
      <c r="H19" s="27">
        <v>379460000000000</v>
      </c>
      <c r="I19" s="27">
        <v>388938000000000</v>
      </c>
      <c r="J19" s="27">
        <v>398107000000000</v>
      </c>
      <c r="K19" s="27">
        <v>408045000000000</v>
      </c>
      <c r="L19" s="27">
        <v>417901000000000</v>
      </c>
      <c r="M19" s="27">
        <v>427715000000000</v>
      </c>
      <c r="N19" s="27">
        <v>437505000000000</v>
      </c>
      <c r="O19" s="27">
        <v>447297000000000</v>
      </c>
      <c r="P19" s="27">
        <v>458373000000000</v>
      </c>
      <c r="Q19" s="27">
        <v>469449000000000</v>
      </c>
      <c r="R19" s="27">
        <v>480525000000000</v>
      </c>
      <c r="S19" s="27">
        <v>491601000000000</v>
      </c>
      <c r="T19" s="27">
        <v>502676000000000</v>
      </c>
      <c r="U19" s="27">
        <v>517084000000000</v>
      </c>
      <c r="V19" s="27">
        <v>531491000000000</v>
      </c>
      <c r="W19" s="27">
        <v>545897000000000</v>
      </c>
      <c r="X19" s="27">
        <v>560304000000000</v>
      </c>
      <c r="Y19" s="27">
        <v>574711000000000</v>
      </c>
      <c r="Z19" s="27">
        <v>585621000000000</v>
      </c>
      <c r="AA19" s="27">
        <v>596530000000000</v>
      </c>
      <c r="AB19" s="27">
        <v>607440000000000</v>
      </c>
      <c r="AC19" s="27">
        <v>618348000000000</v>
      </c>
      <c r="AD19" s="27">
        <v>629259000000000</v>
      </c>
      <c r="AE19" s="27">
        <v>640169000000000</v>
      </c>
      <c r="AF19" s="27">
        <v>651080000000000</v>
      </c>
      <c r="AG19" s="27">
        <v>661991000000000</v>
      </c>
    </row>
    <row r="20" spans="1:33">
      <c r="A20" s="77" t="s">
        <v>266</v>
      </c>
      <c r="B20" s="27">
        <v>1743310000000000</v>
      </c>
      <c r="C20" s="27">
        <v>1777270000000000</v>
      </c>
      <c r="D20" s="27">
        <v>1855240000000000</v>
      </c>
      <c r="E20" s="27">
        <v>1926420000000000</v>
      </c>
      <c r="F20" s="27">
        <v>1980370000000000</v>
      </c>
      <c r="G20" s="27">
        <v>2032650000000000</v>
      </c>
      <c r="H20" s="27">
        <v>2083950000000000</v>
      </c>
      <c r="I20" s="27">
        <v>2134590000000000</v>
      </c>
      <c r="J20" s="27">
        <v>2185030000000000</v>
      </c>
      <c r="K20" s="27">
        <v>2271900000000000</v>
      </c>
      <c r="L20" s="27">
        <v>2358760000000000</v>
      </c>
      <c r="M20" s="27">
        <v>2445450000000000</v>
      </c>
      <c r="N20" s="27">
        <v>2532080000000000</v>
      </c>
      <c r="O20" s="27">
        <v>2618660000000000</v>
      </c>
      <c r="P20" s="27">
        <v>2668820000000000</v>
      </c>
      <c r="Q20" s="27">
        <v>2718840000000000</v>
      </c>
      <c r="R20" s="27">
        <v>2768830000000000</v>
      </c>
      <c r="S20" s="27">
        <v>2818790000000000</v>
      </c>
      <c r="T20" s="27">
        <v>2868860000000000</v>
      </c>
      <c r="U20" s="27">
        <v>2899490000000000</v>
      </c>
      <c r="V20" s="27">
        <v>2930180000000000</v>
      </c>
      <c r="W20" s="27">
        <v>2960740000000000</v>
      </c>
      <c r="X20" s="27">
        <v>2991360000000000</v>
      </c>
      <c r="Y20" s="27">
        <v>3021850000000000</v>
      </c>
      <c r="Z20" s="27">
        <v>3049280000000000</v>
      </c>
      <c r="AA20" s="27">
        <v>3076590000000000</v>
      </c>
      <c r="AB20" s="27">
        <v>3103970000000000</v>
      </c>
      <c r="AC20" s="27">
        <v>3131220000000000</v>
      </c>
      <c r="AD20" s="27">
        <v>3158450000000000</v>
      </c>
      <c r="AE20" s="27">
        <v>3185750000000000</v>
      </c>
      <c r="AF20" s="27">
        <v>3212940000000000</v>
      </c>
      <c r="AG20" s="27">
        <v>3240200000000000</v>
      </c>
    </row>
    <row r="21" spans="1:33">
      <c r="A21" t="s">
        <v>267</v>
      </c>
      <c r="B21" s="27">
        <v>392026000000</v>
      </c>
      <c r="C21" s="27">
        <v>327141000000</v>
      </c>
      <c r="D21" s="27">
        <v>308157000000</v>
      </c>
      <c r="E21" s="27">
        <v>279029000000</v>
      </c>
      <c r="F21" s="27">
        <v>314181000000</v>
      </c>
      <c r="G21" s="27">
        <v>325864000000</v>
      </c>
      <c r="H21" s="27">
        <v>304112000000</v>
      </c>
      <c r="I21" s="27">
        <v>314174000000</v>
      </c>
      <c r="J21" s="27">
        <v>322049000000</v>
      </c>
      <c r="K21" s="27">
        <v>315021000000</v>
      </c>
      <c r="L21" s="27">
        <v>324184000000</v>
      </c>
      <c r="M21" s="27">
        <v>333173000000</v>
      </c>
      <c r="N21" s="27">
        <v>329316000000</v>
      </c>
      <c r="O21" s="27">
        <v>336016000000</v>
      </c>
      <c r="P21" s="27">
        <v>359274000000</v>
      </c>
      <c r="Q21" s="27">
        <v>359655000000</v>
      </c>
      <c r="R21" s="27">
        <v>349079000000</v>
      </c>
      <c r="S21" s="27">
        <v>349207000000</v>
      </c>
      <c r="T21" s="27">
        <v>360235000000</v>
      </c>
      <c r="U21" s="27">
        <v>360556000000</v>
      </c>
      <c r="V21" s="27">
        <v>349495000000</v>
      </c>
      <c r="W21" s="27">
        <v>349146000000</v>
      </c>
      <c r="X21" s="27">
        <v>353862000000</v>
      </c>
      <c r="Y21" s="27">
        <v>349171000000</v>
      </c>
      <c r="Z21" s="27">
        <v>350625000000</v>
      </c>
      <c r="AA21" s="27">
        <v>350306000000</v>
      </c>
      <c r="AB21" s="27">
        <v>350058000000</v>
      </c>
      <c r="AC21" s="27">
        <v>349805000000</v>
      </c>
      <c r="AD21" s="27">
        <v>349233000000</v>
      </c>
      <c r="AE21" s="27">
        <v>349149000000</v>
      </c>
      <c r="AF21" s="27">
        <v>348468000000</v>
      </c>
      <c r="AG21" s="27">
        <v>348316000000</v>
      </c>
    </row>
    <row r="22" spans="1:33">
      <c r="A22" t="s">
        <v>268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7"/>
  <sheetViews>
    <sheetView workbookViewId="0"/>
  </sheetViews>
  <sheetFormatPr defaultRowHeight="14.5"/>
  <cols>
    <col min="1" max="1" width="15.81640625" customWidth="1"/>
    <col min="2" max="2" width="14.81640625" customWidth="1"/>
    <col min="3" max="3" width="9.54296875" customWidth="1"/>
    <col min="6" max="6" width="11.81640625" customWidth="1"/>
    <col min="8" max="8" width="9.81640625" customWidth="1"/>
    <col min="13" max="13" width="12" bestFit="1" customWidth="1"/>
    <col min="18" max="18" width="12" bestFit="1" customWidth="1"/>
    <col min="23" max="23" width="12" bestFit="1" customWidth="1"/>
    <col min="28" max="28" width="12" bestFit="1" customWidth="1"/>
    <col min="33" max="33" width="12" bestFit="1" customWidth="1"/>
  </cols>
  <sheetData>
    <row r="1" spans="1:53">
      <c r="A1" s="45" t="s">
        <v>269</v>
      </c>
      <c r="B1" s="45"/>
      <c r="C1" s="45"/>
      <c r="D1" s="48"/>
      <c r="F1" s="73" t="s">
        <v>270</v>
      </c>
      <c r="M1" s="75" t="s">
        <v>271</v>
      </c>
    </row>
    <row r="2" spans="1:53">
      <c r="A2" s="46" t="s">
        <v>126</v>
      </c>
      <c r="B2" s="46" t="s">
        <v>272</v>
      </c>
      <c r="C2" s="46" t="s">
        <v>273</v>
      </c>
      <c r="D2" s="46" t="s">
        <v>274</v>
      </c>
      <c r="G2" s="74">
        <v>2019</v>
      </c>
      <c r="H2" s="74">
        <v>2022</v>
      </c>
      <c r="I2" s="74">
        <v>2027</v>
      </c>
      <c r="J2" s="74">
        <v>2032</v>
      </c>
      <c r="K2" s="74">
        <v>2037</v>
      </c>
      <c r="L2" s="74">
        <v>2042</v>
      </c>
      <c r="M2" s="74">
        <v>2047</v>
      </c>
    </row>
    <row r="3" spans="1:53">
      <c r="A3" t="s">
        <v>275</v>
      </c>
      <c r="B3">
        <v>29.69</v>
      </c>
      <c r="C3">
        <v>211.98</v>
      </c>
      <c r="D3">
        <v>0</v>
      </c>
      <c r="G3" s="13">
        <v>372.44619104000009</v>
      </c>
      <c r="H3" s="13">
        <v>345.10995716952925</v>
      </c>
      <c r="I3" s="13">
        <v>512.44875193938651</v>
      </c>
      <c r="J3" s="13">
        <v>547.44520098565749</v>
      </c>
      <c r="K3" s="13">
        <v>584.8316479414035</v>
      </c>
      <c r="L3" s="13">
        <v>624.77131193779258</v>
      </c>
      <c r="M3" s="13">
        <v>667.43855876209363</v>
      </c>
    </row>
    <row r="4" spans="1:53">
      <c r="A4" t="s">
        <v>276</v>
      </c>
      <c r="B4">
        <f>B3*10^6</f>
        <v>29690000</v>
      </c>
      <c r="C4">
        <f>C3*10^6</f>
        <v>211980000</v>
      </c>
      <c r="D4">
        <v>0</v>
      </c>
      <c r="F4" t="s">
        <v>277</v>
      </c>
      <c r="H4" s="76">
        <f>(H3-G3)/G3</f>
        <v>-7.3396465121950916E-2</v>
      </c>
      <c r="I4" s="76">
        <f t="shared" ref="I4:M4" si="0">(I3-H3)/H3</f>
        <v>0.4848854438808759</v>
      </c>
      <c r="J4" s="76">
        <f t="shared" si="0"/>
        <v>6.8292583236519294E-2</v>
      </c>
      <c r="K4" s="76">
        <f t="shared" si="0"/>
        <v>6.8292583236519225E-2</v>
      </c>
      <c r="L4" s="76">
        <f t="shared" si="0"/>
        <v>6.8292583236519336E-2</v>
      </c>
      <c r="M4" s="76">
        <f t="shared" si="0"/>
        <v>6.8292583236519294E-2</v>
      </c>
    </row>
    <row r="5" spans="1:53">
      <c r="A5" t="s">
        <v>278</v>
      </c>
      <c r="B5">
        <f>B4*'Conversion Factors'!$I$11</f>
        <v>217627700</v>
      </c>
      <c r="C5">
        <f>C4*'Conversion Factors'!$I$11</f>
        <v>1553813400</v>
      </c>
      <c r="D5">
        <v>0</v>
      </c>
      <c r="F5" t="s">
        <v>279</v>
      </c>
      <c r="H5" s="76">
        <f>H4/5</f>
        <v>-1.4679293024390184E-2</v>
      </c>
      <c r="I5" s="76">
        <f t="shared" ref="I5:M5" si="1">I4/5</f>
        <v>9.6977088776175183E-2</v>
      </c>
      <c r="J5" s="76">
        <f t="shared" si="1"/>
        <v>1.3658516647303859E-2</v>
      </c>
      <c r="K5" s="76">
        <f t="shared" si="1"/>
        <v>1.3658516647303845E-2</v>
      </c>
      <c r="L5" s="76">
        <f t="shared" si="1"/>
        <v>1.3658516647303868E-2</v>
      </c>
      <c r="M5" s="76">
        <f t="shared" si="1"/>
        <v>1.3658516647303859E-2</v>
      </c>
    </row>
    <row r="6" spans="1:53">
      <c r="A6" t="s">
        <v>280</v>
      </c>
      <c r="B6">
        <f>B5*'AEO Table 73'!D48</f>
        <v>1244816515.8271999</v>
      </c>
      <c r="C6">
        <f>C5*'AEO Table 73'!$D49</f>
        <v>9532211695.0613995</v>
      </c>
      <c r="D6">
        <v>0</v>
      </c>
      <c r="F6" s="73" t="s">
        <v>281</v>
      </c>
    </row>
    <row r="7" spans="1:53">
      <c r="A7" t="s">
        <v>282</v>
      </c>
      <c r="B7">
        <f>B6*10^6</f>
        <v>1244816515827200</v>
      </c>
      <c r="C7">
        <f>C6*10^6</f>
        <v>9532211695061400</v>
      </c>
      <c r="D7">
        <v>0</v>
      </c>
      <c r="G7">
        <v>2392.3432642438102</v>
      </c>
      <c r="H7">
        <v>2344.6184208022501</v>
      </c>
      <c r="I7">
        <v>2869.17797865797</v>
      </c>
      <c r="J7">
        <v>3296.1786399407101</v>
      </c>
      <c r="K7">
        <v>3560.73399968492</v>
      </c>
      <c r="L7">
        <v>3707.0574982738299</v>
      </c>
      <c r="M7">
        <v>3702.3360028373399</v>
      </c>
    </row>
    <row r="8" spans="1:53">
      <c r="F8" t="s">
        <v>277</v>
      </c>
      <c r="H8" s="76">
        <f>(H7-G7)/G7</f>
        <v>-1.994899484319836E-2</v>
      </c>
      <c r="I8" s="76">
        <f t="shared" ref="I8:M8" si="2">(I7-H7)/H7</f>
        <v>0.22372918049335858</v>
      </c>
      <c r="J8" s="76">
        <f t="shared" si="2"/>
        <v>0.14882334398874256</v>
      </c>
      <c r="K8" s="76">
        <f t="shared" si="2"/>
        <v>8.026123236723863E-2</v>
      </c>
      <c r="L8" s="76">
        <f t="shared" si="2"/>
        <v>4.1093633672680305E-2</v>
      </c>
      <c r="M8" s="76">
        <f t="shared" si="2"/>
        <v>-1.2736504461256586E-3</v>
      </c>
    </row>
    <row r="9" spans="1:53">
      <c r="A9" s="47" t="s">
        <v>283</v>
      </c>
      <c r="F9" t="s">
        <v>279</v>
      </c>
      <c r="H9" s="76">
        <f>H8/5</f>
        <v>-3.9897989686396721E-3</v>
      </c>
      <c r="I9" s="76">
        <f t="shared" ref="I9:M9" si="3">I8/5</f>
        <v>4.4745836098671714E-2</v>
      </c>
      <c r="J9" s="76">
        <f t="shared" si="3"/>
        <v>2.9764668797748511E-2</v>
      </c>
      <c r="K9" s="76">
        <f t="shared" si="3"/>
        <v>1.6052246473447725E-2</v>
      </c>
      <c r="L9" s="76">
        <f t="shared" si="3"/>
        <v>8.2187267345360613E-3</v>
      </c>
      <c r="M9" s="76">
        <f t="shared" si="3"/>
        <v>-2.5473008922513173E-4</v>
      </c>
    </row>
    <row r="10" spans="1:53">
      <c r="A10" s="47" t="s">
        <v>284</v>
      </c>
      <c r="F10" s="47" t="s">
        <v>285</v>
      </c>
    </row>
    <row r="11" spans="1:53">
      <c r="A11" s="47" t="s">
        <v>286</v>
      </c>
      <c r="F11" s="47" t="s">
        <v>287</v>
      </c>
    </row>
    <row r="13" spans="1:53">
      <c r="A13" s="45" t="s">
        <v>288</v>
      </c>
      <c r="B13" s="25">
        <v>2021</v>
      </c>
      <c r="C13" s="1">
        <f>B13+1</f>
        <v>2022</v>
      </c>
      <c r="D13" s="1">
        <f t="shared" ref="D13:AI13" si="4">C13+1</f>
        <v>2023</v>
      </c>
      <c r="E13" s="1">
        <f>D13+1</f>
        <v>2024</v>
      </c>
      <c r="F13" s="1">
        <f t="shared" si="4"/>
        <v>2025</v>
      </c>
      <c r="G13" s="25">
        <f t="shared" si="4"/>
        <v>2026</v>
      </c>
      <c r="H13" s="1">
        <f t="shared" si="4"/>
        <v>2027</v>
      </c>
      <c r="I13" s="1">
        <f t="shared" si="4"/>
        <v>2028</v>
      </c>
      <c r="J13" s="1">
        <f t="shared" si="4"/>
        <v>2029</v>
      </c>
      <c r="K13" s="1">
        <f t="shared" si="4"/>
        <v>2030</v>
      </c>
      <c r="L13" s="25">
        <f t="shared" si="4"/>
        <v>2031</v>
      </c>
      <c r="M13" s="1">
        <f t="shared" si="4"/>
        <v>2032</v>
      </c>
      <c r="N13" s="1">
        <f t="shared" si="4"/>
        <v>2033</v>
      </c>
      <c r="O13" s="1">
        <f t="shared" si="4"/>
        <v>2034</v>
      </c>
      <c r="P13" s="1">
        <f t="shared" si="4"/>
        <v>2035</v>
      </c>
      <c r="Q13" s="25">
        <f t="shared" si="4"/>
        <v>2036</v>
      </c>
      <c r="R13" s="1">
        <f t="shared" si="4"/>
        <v>2037</v>
      </c>
      <c r="S13" s="1">
        <f t="shared" si="4"/>
        <v>2038</v>
      </c>
      <c r="T13" s="1">
        <f t="shared" si="4"/>
        <v>2039</v>
      </c>
      <c r="U13" s="1">
        <f t="shared" si="4"/>
        <v>2040</v>
      </c>
      <c r="V13" s="25">
        <f t="shared" si="4"/>
        <v>2041</v>
      </c>
      <c r="W13" s="1">
        <f t="shared" si="4"/>
        <v>2042</v>
      </c>
      <c r="X13" s="1">
        <f t="shared" si="4"/>
        <v>2043</v>
      </c>
      <c r="Y13" s="1">
        <f t="shared" si="4"/>
        <v>2044</v>
      </c>
      <c r="Z13" s="1">
        <f t="shared" si="4"/>
        <v>2045</v>
      </c>
      <c r="AA13" s="25">
        <f t="shared" si="4"/>
        <v>2046</v>
      </c>
      <c r="AB13" s="1">
        <f t="shared" si="4"/>
        <v>2047</v>
      </c>
      <c r="AC13" s="1">
        <f t="shared" si="4"/>
        <v>2048</v>
      </c>
      <c r="AD13" s="1">
        <f t="shared" si="4"/>
        <v>2049</v>
      </c>
      <c r="AE13" s="1">
        <f t="shared" si="4"/>
        <v>2050</v>
      </c>
      <c r="AF13" s="25">
        <f t="shared" si="4"/>
        <v>2051</v>
      </c>
      <c r="AG13" s="1">
        <f t="shared" si="4"/>
        <v>2052</v>
      </c>
      <c r="AH13" s="1">
        <f t="shared" si="4"/>
        <v>2053</v>
      </c>
      <c r="AI13" s="1">
        <f t="shared" si="4"/>
        <v>2054</v>
      </c>
      <c r="AJ13" s="1">
        <f t="shared" ref="AJ13" si="5">AI13+1</f>
        <v>2055</v>
      </c>
      <c r="AK13" s="1">
        <f t="shared" ref="AK13" si="6">AJ13+1</f>
        <v>2056</v>
      </c>
      <c r="AL13" s="1">
        <f t="shared" ref="AL13" si="7">AK13+1</f>
        <v>2057</v>
      </c>
      <c r="AM13" s="1">
        <f t="shared" ref="AM13" si="8">AL13+1</f>
        <v>2058</v>
      </c>
      <c r="AN13" s="1">
        <f t="shared" ref="AN13" si="9">AM13+1</f>
        <v>2059</v>
      </c>
      <c r="AO13" s="1">
        <f t="shared" ref="AO13" si="10">AN13+1</f>
        <v>2060</v>
      </c>
      <c r="AP13" s="1">
        <f t="shared" ref="AP13" si="11">AO13+1</f>
        <v>2061</v>
      </c>
      <c r="AQ13" s="1">
        <f t="shared" ref="AQ13" si="12">AP13+1</f>
        <v>2062</v>
      </c>
      <c r="AR13" s="1">
        <f t="shared" ref="AR13" si="13">AQ13+1</f>
        <v>2063</v>
      </c>
      <c r="AS13" s="1">
        <f t="shared" ref="AS13" si="14">AR13+1</f>
        <v>2064</v>
      </c>
      <c r="AT13" s="1">
        <f t="shared" ref="AT13" si="15">AS13+1</f>
        <v>2065</v>
      </c>
      <c r="AU13" s="1">
        <f t="shared" ref="AU13" si="16">AT13+1</f>
        <v>2066</v>
      </c>
      <c r="AV13" s="1">
        <f t="shared" ref="AV13" si="17">AU13+1</f>
        <v>2067</v>
      </c>
      <c r="AW13" s="1">
        <f t="shared" ref="AW13" si="18">AV13+1</f>
        <v>2068</v>
      </c>
      <c r="AX13" s="1">
        <f t="shared" ref="AX13" si="19">AW13+1</f>
        <v>2069</v>
      </c>
      <c r="AY13" s="1">
        <f t="shared" ref="AY13" si="20">AX13+1</f>
        <v>2070</v>
      </c>
      <c r="AZ13" s="1">
        <f t="shared" ref="AZ13:BA13" si="21">AY13+1</f>
        <v>2071</v>
      </c>
      <c r="BA13" s="1">
        <f t="shared" si="21"/>
        <v>2072</v>
      </c>
    </row>
    <row r="14" spans="1:53">
      <c r="A14" t="s">
        <v>289</v>
      </c>
      <c r="B14">
        <f>B7</f>
        <v>1244816515827200</v>
      </c>
      <c r="C14">
        <f>B14*(1+$H$5)</f>
        <v>1226543489429772</v>
      </c>
      <c r="D14">
        <f t="shared" ref="D14:G14" si="22">C14*(1+$H$5)</f>
        <v>1208538698141274.3</v>
      </c>
      <c r="E14">
        <f t="shared" si="22"/>
        <v>1190798204459943.5</v>
      </c>
      <c r="F14">
        <f t="shared" si="22"/>
        <v>1173318128683758.3</v>
      </c>
      <c r="G14">
        <f t="shared" si="22"/>
        <v>1156094648061980.3</v>
      </c>
      <c r="H14">
        <f>G14*(1+$I$5)</f>
        <v>1268209341380748</v>
      </c>
      <c r="I14">
        <f t="shared" ref="I14:L14" si="23">H14*(1+$I$5)</f>
        <v>1391196591266603.5</v>
      </c>
      <c r="J14">
        <f t="shared" si="23"/>
        <v>1526110786602977.3</v>
      </c>
      <c r="K14">
        <f t="shared" si="23"/>
        <v>1674108567837652.8</v>
      </c>
      <c r="L14">
        <f t="shared" si="23"/>
        <v>1836458743041800.3</v>
      </c>
      <c r="M14">
        <f>L14*(1+$J$5)</f>
        <v>1861542045355723.3</v>
      </c>
      <c r="N14">
        <f t="shared" ref="N14:Q14" si="24">M14*(1+$J$5)</f>
        <v>1886967948371870.3</v>
      </c>
      <c r="O14">
        <f t="shared" si="24"/>
        <v>1912741131507636</v>
      </c>
      <c r="P14">
        <f t="shared" si="24"/>
        <v>1938866338094315.8</v>
      </c>
      <c r="Q14">
        <f t="shared" si="24"/>
        <v>1965348376250073.8</v>
      </c>
      <c r="R14">
        <f>Q14*(1+$K$5)</f>
        <v>1992192119764836.8</v>
      </c>
      <c r="S14">
        <f t="shared" ref="S14:V14" si="25">R14*(1+$K$5)</f>
        <v>2019402508997272.3</v>
      </c>
      <c r="T14">
        <f t="shared" si="25"/>
        <v>2046984551784018.5</v>
      </c>
      <c r="U14">
        <f t="shared" si="25"/>
        <v>2074943324361334.3</v>
      </c>
      <c r="V14">
        <f t="shared" si="25"/>
        <v>2103283972299335.3</v>
      </c>
      <c r="W14">
        <f>V14*(1+$L$5)</f>
        <v>2132011711448993</v>
      </c>
      <c r="X14">
        <f t="shared" ref="X14:AA14" si="26">W14*(1+$L$5)</f>
        <v>2161131828902065.8</v>
      </c>
      <c r="Y14">
        <f t="shared" si="26"/>
        <v>2190649683964142.8</v>
      </c>
      <c r="Z14">
        <f t="shared" si="26"/>
        <v>2220570709140977.8</v>
      </c>
      <c r="AA14">
        <f t="shared" si="26"/>
        <v>2250900411138295</v>
      </c>
      <c r="AB14">
        <f>AA14*(1+$M$5)</f>
        <v>2281644371875250.5</v>
      </c>
      <c r="AC14">
        <f t="shared" ref="AC14:AE14" si="27">AB14*(1+$M$5)</f>
        <v>2312808249511735.5</v>
      </c>
      <c r="AD14">
        <f t="shared" si="27"/>
        <v>2344397779489713</v>
      </c>
      <c r="AE14">
        <f t="shared" si="27"/>
        <v>2376418775588775.5</v>
      </c>
      <c r="AF14">
        <f t="shared" ref="AF14" si="28">AE14*(1+$M$5)</f>
        <v>2408877130996120</v>
      </c>
      <c r="AG14">
        <f t="shared" ref="AG14" si="29">AF14*(1+$M$5)</f>
        <v>2441778819391140</v>
      </c>
      <c r="AH14">
        <f t="shared" ref="AH14" si="30">AG14*(1+$M$5)</f>
        <v>2475129896044827.5</v>
      </c>
      <c r="AI14">
        <f t="shared" ref="AI14" si="31">AH14*(1+$M$5)</f>
        <v>2508936498934195</v>
      </c>
    </row>
    <row r="15" spans="1:53">
      <c r="A15" t="s">
        <v>290</v>
      </c>
      <c r="B15">
        <f>C7</f>
        <v>9532211695061400</v>
      </c>
      <c r="C15">
        <f>B15*(1+$H$9)</f>
        <v>9494180086671588</v>
      </c>
      <c r="D15">
        <f t="shared" ref="D15:G15" si="32">C15*(1+$H$9)</f>
        <v>9456300216753706</v>
      </c>
      <c r="E15">
        <f t="shared" si="32"/>
        <v>9418571479901754</v>
      </c>
      <c r="F15">
        <f t="shared" si="32"/>
        <v>9380993273125182</v>
      </c>
      <c r="G15">
        <f t="shared" si="32"/>
        <v>9343564995839252</v>
      </c>
      <c r="H15">
        <f>G15*(1+$I$9)</f>
        <v>9761650623720360</v>
      </c>
      <c r="I15">
        <f t="shared" ref="I15:L15" si="33">H15*(1+$I$9)</f>
        <v>1.0198443842581848E+16</v>
      </c>
      <c r="J15">
        <f t="shared" si="33"/>
        <v>1.0654781739223522E+16</v>
      </c>
      <c r="K15">
        <f t="shared" si="33"/>
        <v>1.1131538856593938E+16</v>
      </c>
      <c r="L15">
        <f t="shared" si="33"/>
        <v>1.1629628869797086E+16</v>
      </c>
      <c r="M15">
        <f>L15*(1+$J$9)</f>
        <v>1.197578092134733E+16</v>
      </c>
      <c r="N15">
        <f t="shared" ref="N15:Q15" si="34">M15*(1+$J$9)</f>
        <v>1.2332236074065628E+16</v>
      </c>
      <c r="O15">
        <f t="shared" si="34"/>
        <v>1.2699300996345836E+16</v>
      </c>
      <c r="P15">
        <f t="shared" si="34"/>
        <v>1.3077291484464986E+16</v>
      </c>
      <c r="Q15">
        <f t="shared" si="34"/>
        <v>1.3466532734271702E+16</v>
      </c>
      <c r="R15">
        <f>Q15*(1+$K$9)</f>
        <v>1.3682700836864984E+16</v>
      </c>
      <c r="S15">
        <f t="shared" ref="S15:V15" si="35">R15*(1+$K$9)</f>
        <v>1.3902338923120792E+16</v>
      </c>
      <c r="T15">
        <f t="shared" si="35"/>
        <v>1.4125502694072134E+16</v>
      </c>
      <c r="U15">
        <f t="shared" si="35"/>
        <v>1.4352248744878732E+16</v>
      </c>
      <c r="V15">
        <f t="shared" si="35"/>
        <v>1.4582634579179758E+16</v>
      </c>
      <c r="W15">
        <f>V15*(1+$L$9)</f>
        <v>1.4702485267855634E+16</v>
      </c>
      <c r="X15">
        <f t="shared" ref="X15:AA15" si="36">W15*(1+$L$9)</f>
        <v>1.4823320976590684E+16</v>
      </c>
      <c r="Y15">
        <f t="shared" si="36"/>
        <v>1.49451498009956E+16</v>
      </c>
      <c r="Z15">
        <f t="shared" si="36"/>
        <v>1.506797990321669E+16</v>
      </c>
      <c r="AA15">
        <f t="shared" si="36"/>
        <v>1.519181951248271E+16</v>
      </c>
      <c r="AB15">
        <f>AA15*(1+$M$9)</f>
        <v>1.5187949698942802E+16</v>
      </c>
      <c r="AC15">
        <f t="shared" ref="AC15:AD15" si="37">AB15*(1+$M$9)</f>
        <v>1.5184080871160844E+16</v>
      </c>
      <c r="AD15">
        <f t="shared" si="37"/>
        <v>1.5180213028885732E+16</v>
      </c>
      <c r="AE15">
        <f t="shared" ref="AE15" si="38">AD15*(1+$M$9)</f>
        <v>1.5176346171866426E+16</v>
      </c>
      <c r="AF15">
        <f t="shared" ref="AF15" si="39">AE15*(1+$M$9)</f>
        <v>1.5172480299851954E+16</v>
      </c>
      <c r="AG15">
        <f t="shared" ref="AG15" si="40">AF15*(1+$M$9)</f>
        <v>1.5168615412591406E+16</v>
      </c>
      <c r="AH15">
        <f t="shared" ref="AH15" si="41">AG15*(1+$M$9)</f>
        <v>1.5164751509833934E+16</v>
      </c>
      <c r="AI15">
        <f t="shared" ref="AI15" si="42">AH15*(1+$M$9)</f>
        <v>1.5160888591328756E+16</v>
      </c>
    </row>
    <row r="17" spans="2:2">
      <c r="B17" s="27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15"/>
  <sheetViews>
    <sheetView workbookViewId="0"/>
  </sheetViews>
  <sheetFormatPr defaultRowHeight="14.5"/>
  <cols>
    <col min="1" max="1" width="17.7265625" customWidth="1"/>
    <col min="2" max="2" width="17.81640625" bestFit="1" customWidth="1"/>
    <col min="3" max="3" width="15.1796875" customWidth="1"/>
    <col min="4" max="4" width="8.54296875" bestFit="1" customWidth="1"/>
    <col min="6" max="6" width="12.7265625" customWidth="1"/>
    <col min="8" max="8" width="11" bestFit="1" customWidth="1"/>
    <col min="13" max="13" width="11" bestFit="1" customWidth="1"/>
    <col min="18" max="18" width="11" bestFit="1" customWidth="1"/>
    <col min="23" max="23" width="11" bestFit="1" customWidth="1"/>
    <col min="28" max="28" width="11" bestFit="1" customWidth="1"/>
    <col min="33" max="33" width="11" bestFit="1" customWidth="1"/>
  </cols>
  <sheetData>
    <row r="1" spans="1:51">
      <c r="A1" s="45" t="s">
        <v>291</v>
      </c>
      <c r="B1" s="45"/>
      <c r="C1" s="45"/>
      <c r="D1" s="48"/>
      <c r="F1" s="73" t="s">
        <v>292</v>
      </c>
      <c r="M1" s="75" t="s">
        <v>271</v>
      </c>
    </row>
    <row r="2" spans="1:51">
      <c r="A2" s="46" t="s">
        <v>126</v>
      </c>
      <c r="B2" s="46" t="s">
        <v>293</v>
      </c>
      <c r="C2" s="46" t="s">
        <v>273</v>
      </c>
      <c r="D2" s="46" t="s">
        <v>274</v>
      </c>
      <c r="G2" s="78">
        <v>2019</v>
      </c>
      <c r="H2" s="78">
        <v>2022</v>
      </c>
      <c r="I2" s="78">
        <v>2027</v>
      </c>
      <c r="J2" s="78">
        <v>2032</v>
      </c>
      <c r="K2" s="78">
        <v>2037</v>
      </c>
      <c r="L2" s="78">
        <v>2042</v>
      </c>
      <c r="M2" s="78">
        <v>2047</v>
      </c>
    </row>
    <row r="3" spans="1:51">
      <c r="A3" t="s">
        <v>294</v>
      </c>
      <c r="B3" s="86">
        <v>34024</v>
      </c>
      <c r="C3" s="86">
        <v>31028</v>
      </c>
      <c r="D3">
        <v>0</v>
      </c>
      <c r="G3" s="13">
        <v>260.35090540799996</v>
      </c>
      <c r="H3" s="13">
        <v>284.32093383525245</v>
      </c>
      <c r="I3" s="13">
        <v>357.0175672897002</v>
      </c>
      <c r="J3" s="13">
        <v>438.7312566214963</v>
      </c>
      <c r="K3" s="13">
        <v>537.68666898497054</v>
      </c>
      <c r="L3" s="13">
        <v>657.34825976771515</v>
      </c>
      <c r="M3" s="13">
        <v>787.41384079198895</v>
      </c>
    </row>
    <row r="4" spans="1:51">
      <c r="A4" t="s">
        <v>295</v>
      </c>
      <c r="B4">
        <f>B3*10^6</f>
        <v>34024000000</v>
      </c>
      <c r="C4">
        <f>C3*10^6</f>
        <v>31028000000</v>
      </c>
      <c r="D4">
        <v>0</v>
      </c>
      <c r="F4" t="s">
        <v>277</v>
      </c>
      <c r="H4" s="38">
        <f>(H3-G3)/G3</f>
        <v>9.206815850971857E-2</v>
      </c>
      <c r="I4" s="38">
        <f t="shared" ref="I4:M4" si="0">(I3-H3)/H3</f>
        <v>0.2556851248124109</v>
      </c>
      <c r="J4" s="38">
        <f t="shared" si="0"/>
        <v>0.22887862340255632</v>
      </c>
      <c r="K4" s="38">
        <f t="shared" si="0"/>
        <v>0.22554903684203512</v>
      </c>
      <c r="L4" s="38">
        <f t="shared" si="0"/>
        <v>0.22254892614064309</v>
      </c>
      <c r="M4" s="38">
        <f t="shared" si="0"/>
        <v>0.19786403796099591</v>
      </c>
    </row>
    <row r="5" spans="1:51">
      <c r="A5" s="49" t="s">
        <v>296</v>
      </c>
      <c r="B5">
        <f>B4/1000</f>
        <v>34024000</v>
      </c>
      <c r="C5">
        <f>C4/1000</f>
        <v>31028000</v>
      </c>
      <c r="D5">
        <v>0</v>
      </c>
      <c r="F5" t="s">
        <v>279</v>
      </c>
      <c r="H5" s="38">
        <f>H4/5</f>
        <v>1.8413631701943715E-2</v>
      </c>
      <c r="I5" s="38">
        <f t="shared" ref="I5:M5" si="1">I4/5</f>
        <v>5.113702496248218E-2</v>
      </c>
      <c r="J5" s="38">
        <f t="shared" si="1"/>
        <v>4.5775724680511262E-2</v>
      </c>
      <c r="K5" s="38">
        <f t="shared" si="1"/>
        <v>4.5109807368407022E-2</v>
      </c>
      <c r="L5" s="38">
        <f t="shared" si="1"/>
        <v>4.4509785228128616E-2</v>
      </c>
      <c r="M5" s="38">
        <f t="shared" si="1"/>
        <v>3.957280759219918E-2</v>
      </c>
    </row>
    <row r="6" spans="1:51">
      <c r="A6" t="s">
        <v>282</v>
      </c>
      <c r="B6">
        <f>B5*'Conversion Factors'!$B$59</f>
        <v>1224864000000000</v>
      </c>
      <c r="C6">
        <f>C5*'Conversion Factors'!$B$59</f>
        <v>1117008000000000</v>
      </c>
      <c r="D6">
        <v>0</v>
      </c>
      <c r="F6" s="73" t="s">
        <v>297</v>
      </c>
    </row>
    <row r="7" spans="1:51">
      <c r="G7">
        <v>344.46353611795899</v>
      </c>
      <c r="H7">
        <v>351.97226013717699</v>
      </c>
      <c r="I7">
        <v>497.37388369554401</v>
      </c>
      <c r="J7">
        <v>620.40421754826696</v>
      </c>
      <c r="K7">
        <v>747.01361372649399</v>
      </c>
      <c r="L7">
        <v>879.71396517872302</v>
      </c>
      <c r="M7">
        <v>1031.87846630831</v>
      </c>
    </row>
    <row r="8" spans="1:51">
      <c r="A8" s="47" t="s">
        <v>298</v>
      </c>
      <c r="F8" t="s">
        <v>277</v>
      </c>
      <c r="H8" s="38">
        <f>(H7-G7)/G7</f>
        <v>2.1798313121440774E-2</v>
      </c>
      <c r="I8" s="38">
        <f t="shared" ref="I8:M8" si="2">(I7-H7)/H7</f>
        <v>0.41310534955708861</v>
      </c>
      <c r="J8" s="38">
        <f t="shared" si="2"/>
        <v>0.24735985922419912</v>
      </c>
      <c r="K8" s="38">
        <f t="shared" si="2"/>
        <v>0.20407565357722107</v>
      </c>
      <c r="L8" s="38">
        <f t="shared" si="2"/>
        <v>0.17764114202718526</v>
      </c>
      <c r="M8" s="38">
        <f t="shared" si="2"/>
        <v>0.17297042806257276</v>
      </c>
    </row>
    <row r="9" spans="1:51">
      <c r="A9" s="47" t="s">
        <v>299</v>
      </c>
      <c r="F9" t="s">
        <v>279</v>
      </c>
      <c r="H9" s="38">
        <f>H8/5</f>
        <v>4.3596626242881544E-3</v>
      </c>
      <c r="I9" s="38">
        <f t="shared" ref="I9:M9" si="3">I8/5</f>
        <v>8.2621069911417724E-2</v>
      </c>
      <c r="J9" s="38">
        <f t="shared" si="3"/>
        <v>4.9471971844839827E-2</v>
      </c>
      <c r="K9" s="38">
        <f t="shared" si="3"/>
        <v>4.0815130715444216E-2</v>
      </c>
      <c r="L9" s="38">
        <f t="shared" si="3"/>
        <v>3.5528228405437054E-2</v>
      </c>
      <c r="M9" s="38">
        <f t="shared" si="3"/>
        <v>3.459408561251455E-2</v>
      </c>
    </row>
    <row r="10" spans="1:51">
      <c r="A10" s="47" t="s">
        <v>300</v>
      </c>
      <c r="F10" s="47" t="s">
        <v>285</v>
      </c>
    </row>
    <row r="11" spans="1:51">
      <c r="F11" s="47" t="s">
        <v>301</v>
      </c>
    </row>
    <row r="13" spans="1:51">
      <c r="A13" s="45" t="s">
        <v>288</v>
      </c>
      <c r="B13" s="25">
        <v>2021</v>
      </c>
      <c r="C13" s="1">
        <f>B13+1</f>
        <v>2022</v>
      </c>
      <c r="D13" s="1">
        <f t="shared" ref="D13:AI13" si="4">C13+1</f>
        <v>2023</v>
      </c>
      <c r="E13" s="1">
        <f>D13+1</f>
        <v>2024</v>
      </c>
      <c r="F13" s="1">
        <f t="shared" si="4"/>
        <v>2025</v>
      </c>
      <c r="G13" s="25">
        <f t="shared" si="4"/>
        <v>2026</v>
      </c>
      <c r="H13" s="1">
        <f t="shared" si="4"/>
        <v>2027</v>
      </c>
      <c r="I13" s="1">
        <f t="shared" si="4"/>
        <v>2028</v>
      </c>
      <c r="J13" s="1">
        <f t="shared" si="4"/>
        <v>2029</v>
      </c>
      <c r="K13" s="1">
        <f t="shared" si="4"/>
        <v>2030</v>
      </c>
      <c r="L13" s="25">
        <f t="shared" si="4"/>
        <v>2031</v>
      </c>
      <c r="M13" s="1">
        <f t="shared" si="4"/>
        <v>2032</v>
      </c>
      <c r="N13" s="1">
        <f t="shared" si="4"/>
        <v>2033</v>
      </c>
      <c r="O13" s="1">
        <f t="shared" si="4"/>
        <v>2034</v>
      </c>
      <c r="P13" s="1">
        <f t="shared" si="4"/>
        <v>2035</v>
      </c>
      <c r="Q13" s="25">
        <f t="shared" si="4"/>
        <v>2036</v>
      </c>
      <c r="R13" s="1">
        <f t="shared" si="4"/>
        <v>2037</v>
      </c>
      <c r="S13" s="1">
        <f t="shared" si="4"/>
        <v>2038</v>
      </c>
      <c r="T13" s="1">
        <f t="shared" si="4"/>
        <v>2039</v>
      </c>
      <c r="U13" s="1">
        <f t="shared" si="4"/>
        <v>2040</v>
      </c>
      <c r="V13" s="25">
        <f t="shared" si="4"/>
        <v>2041</v>
      </c>
      <c r="W13" s="1">
        <f t="shared" si="4"/>
        <v>2042</v>
      </c>
      <c r="X13" s="1">
        <f t="shared" si="4"/>
        <v>2043</v>
      </c>
      <c r="Y13" s="1">
        <f t="shared" si="4"/>
        <v>2044</v>
      </c>
      <c r="Z13" s="1">
        <f t="shared" si="4"/>
        <v>2045</v>
      </c>
      <c r="AA13" s="25">
        <f t="shared" si="4"/>
        <v>2046</v>
      </c>
      <c r="AB13" s="1">
        <f t="shared" si="4"/>
        <v>2047</v>
      </c>
      <c r="AC13" s="1">
        <f t="shared" si="4"/>
        <v>2048</v>
      </c>
      <c r="AD13" s="1">
        <f t="shared" si="4"/>
        <v>2049</v>
      </c>
      <c r="AE13" s="1">
        <f t="shared" si="4"/>
        <v>2050</v>
      </c>
      <c r="AF13" s="25">
        <f t="shared" si="4"/>
        <v>2051</v>
      </c>
      <c r="AG13" s="1">
        <f t="shared" si="4"/>
        <v>2052</v>
      </c>
      <c r="AH13" s="1">
        <f t="shared" si="4"/>
        <v>2053</v>
      </c>
      <c r="AI13" s="1">
        <f t="shared" si="4"/>
        <v>2054</v>
      </c>
      <c r="AJ13" s="1">
        <f t="shared" ref="AJ13" si="5">AI13+1</f>
        <v>2055</v>
      </c>
      <c r="AK13" s="1">
        <f t="shared" ref="AK13" si="6">AJ13+1</f>
        <v>2056</v>
      </c>
      <c r="AL13" s="1">
        <f t="shared" ref="AL13" si="7">AK13+1</f>
        <v>2057</v>
      </c>
      <c r="AM13" s="1">
        <f t="shared" ref="AM13" si="8">AL13+1</f>
        <v>2058</v>
      </c>
      <c r="AN13" s="1">
        <f t="shared" ref="AN13" si="9">AM13+1</f>
        <v>2059</v>
      </c>
      <c r="AO13" s="1">
        <f t="shared" ref="AO13" si="10">AN13+1</f>
        <v>2060</v>
      </c>
      <c r="AP13" s="1">
        <f t="shared" ref="AP13" si="11">AO13+1</f>
        <v>2061</v>
      </c>
      <c r="AQ13" s="1">
        <f t="shared" ref="AQ13" si="12">AP13+1</f>
        <v>2062</v>
      </c>
      <c r="AR13" s="1">
        <f t="shared" ref="AR13" si="13">AQ13+1</f>
        <v>2063</v>
      </c>
      <c r="AS13" s="1">
        <f t="shared" ref="AS13" si="14">AR13+1</f>
        <v>2064</v>
      </c>
      <c r="AT13" s="1">
        <f t="shared" ref="AT13" si="15">AS13+1</f>
        <v>2065</v>
      </c>
      <c r="AU13" s="1">
        <f t="shared" ref="AU13" si="16">AT13+1</f>
        <v>2066</v>
      </c>
      <c r="AV13" s="1">
        <f t="shared" ref="AV13" si="17">AU13+1</f>
        <v>2067</v>
      </c>
      <c r="AW13" s="1">
        <f t="shared" ref="AW13" si="18">AV13+1</f>
        <v>2068</v>
      </c>
      <c r="AX13" s="1">
        <f t="shared" ref="AX13" si="19">AW13+1</f>
        <v>2069</v>
      </c>
      <c r="AY13" s="1">
        <f t="shared" ref="AY13" si="20">AX13+1</f>
        <v>2070</v>
      </c>
    </row>
    <row r="14" spans="1:51">
      <c r="A14" t="s">
        <v>289</v>
      </c>
      <c r="B14">
        <f>B6</f>
        <v>1224864000000000</v>
      </c>
      <c r="C14">
        <f>B14*(1+$H$5)</f>
        <v>1247418194580969.5</v>
      </c>
      <c r="D14">
        <f t="shared" ref="D14:G14" si="21">C14*(1+$H$5)</f>
        <v>1270387693794287</v>
      </c>
      <c r="E14">
        <f t="shared" si="21"/>
        <v>1293780144906496.5</v>
      </c>
      <c r="F14">
        <f t="shared" si="21"/>
        <v>1317603335998092</v>
      </c>
      <c r="G14">
        <f t="shared" si="21"/>
        <v>1341865198556413.3</v>
      </c>
      <c r="H14">
        <f>G14*(1+$I$5)</f>
        <v>1410484192711278.5</v>
      </c>
      <c r="I14">
        <f t="shared" ref="I14:L14" si="22">H14*(1+$I$5)</f>
        <v>1482612158083141.5</v>
      </c>
      <c r="J14">
        <f t="shared" si="22"/>
        <v>1558428533020718.5</v>
      </c>
      <c r="K14">
        <f t="shared" si="22"/>
        <v>1638121931816043.3</v>
      </c>
      <c r="L14">
        <f t="shared" si="22"/>
        <v>1721890613934909.5</v>
      </c>
      <c r="M14">
        <f>L14*(1+$J$5)</f>
        <v>1800711404608350.5</v>
      </c>
      <c r="N14">
        <f t="shared" ref="N14:Q14" si="23">M14*(1+$J$5)</f>
        <v>1883140274094759</v>
      </c>
      <c r="O14">
        <f t="shared" si="23"/>
        <v>1969342384816503.3</v>
      </c>
      <c r="P14">
        <f t="shared" si="23"/>
        <v>2059490459625525</v>
      </c>
      <c r="Q14">
        <f t="shared" si="23"/>
        <v>2153765127887482.8</v>
      </c>
      <c r="R14">
        <f>Q14*(1+$K$5)</f>
        <v>2250921057923279.8</v>
      </c>
      <c r="S14">
        <f t="shared" ref="S14:V14" si="24">R14*(1+$K$5)</f>
        <v>2352459673247690</v>
      </c>
      <c r="T14">
        <f t="shared" si="24"/>
        <v>2458578675949839</v>
      </c>
      <c r="U14">
        <f t="shared" si="24"/>
        <v>2569484686422009.5</v>
      </c>
      <c r="V14">
        <f t="shared" si="24"/>
        <v>2685393645662578</v>
      </c>
      <c r="W14">
        <f>V14*(1+$L$5)</f>
        <v>2804919940084001</v>
      </c>
      <c r="X14">
        <f t="shared" ref="X14:AA14" si="25">W14*(1+$L$5)</f>
        <v>2929766324199235.5</v>
      </c>
      <c r="Y14">
        <f t="shared" si="25"/>
        <v>3060169594057947.5</v>
      </c>
      <c r="Z14">
        <f t="shared" si="25"/>
        <v>3196377085451116.5</v>
      </c>
      <c r="AA14">
        <f t="shared" si="25"/>
        <v>3338647143032657.5</v>
      </c>
      <c r="AB14">
        <f>AA14*(1+$M$5)</f>
        <v>3470766784042134.5</v>
      </c>
      <c r="AC14">
        <f t="shared" ref="AC14:AF14" si="26">AB14*(1+$M$5)</f>
        <v>3608114770184430</v>
      </c>
      <c r="AD14">
        <f t="shared" si="26"/>
        <v>3750898001755511</v>
      </c>
      <c r="AE14">
        <f t="shared" si="26"/>
        <v>3899331566676946.5</v>
      </c>
      <c r="AF14">
        <f t="shared" si="26"/>
        <v>4053639064503242.5</v>
      </c>
      <c r="AG14">
        <f>AF14</f>
        <v>4053639064503242.5</v>
      </c>
      <c r="AH14">
        <f t="shared" ref="AH14:AI14" si="27">AG14</f>
        <v>4053639064503242.5</v>
      </c>
      <c r="AI14">
        <f t="shared" si="27"/>
        <v>4053639064503242.5</v>
      </c>
    </row>
    <row r="15" spans="1:51">
      <c r="A15" t="s">
        <v>290</v>
      </c>
      <c r="B15">
        <f>C6</f>
        <v>1117008000000000</v>
      </c>
      <c r="C15">
        <f>B15*(1+$H$9)</f>
        <v>1121877778028630.8</v>
      </c>
      <c r="D15">
        <f t="shared" ref="D15:G15" si="28">C15*(1+$H$9)</f>
        <v>1126768786646521.5</v>
      </c>
      <c r="E15">
        <f t="shared" si="28"/>
        <v>1131681118411878.8</v>
      </c>
      <c r="F15">
        <f t="shared" si="28"/>
        <v>1136614866286431.5</v>
      </c>
      <c r="G15">
        <f t="shared" si="28"/>
        <v>1141570123637190.8</v>
      </c>
      <c r="H15">
        <f>G15*(1+$I$9)</f>
        <v>1235887868631005</v>
      </c>
      <c r="I15">
        <f t="shared" ref="I15:L15" si="29">H15*(1+$I$9)</f>
        <v>1337998246627840.5</v>
      </c>
      <c r="J15">
        <f t="shared" si="29"/>
        <v>1448545093303833.8</v>
      </c>
      <c r="K15">
        <f t="shared" si="29"/>
        <v>1568225438727531</v>
      </c>
      <c r="L15">
        <f t="shared" si="29"/>
        <v>1697793902337502.3</v>
      </c>
      <c r="M15">
        <f>L15*(1+$J$9)</f>
        <v>1781787114472283.8</v>
      </c>
      <c r="N15">
        <f t="shared" ref="N15:Q15" si="30">M15*(1+$J$9)</f>
        <v>1869935636432954.8</v>
      </c>
      <c r="O15">
        <f t="shared" si="30"/>
        <v>1962445039590228.5</v>
      </c>
      <c r="P15">
        <f t="shared" si="30"/>
        <v>2059531065335881.8</v>
      </c>
      <c r="Q15">
        <f t="shared" si="30"/>
        <v>2161420128213751.3</v>
      </c>
      <c r="R15">
        <f>Q15*(1+$K$9)</f>
        <v>2249638773277787.8</v>
      </c>
      <c r="S15">
        <f t="shared" ref="S15:V15" si="31">R15*(1+$K$9)</f>
        <v>2341458073871652.5</v>
      </c>
      <c r="T15">
        <f t="shared" si="31"/>
        <v>2437024991221456.5</v>
      </c>
      <c r="U15">
        <f t="shared" si="31"/>
        <v>2536492484794964.5</v>
      </c>
      <c r="V15">
        <f t="shared" si="31"/>
        <v>2640019757120613</v>
      </c>
      <c r="W15">
        <f>V15*(1+$L$9)</f>
        <v>2733814982046460.5</v>
      </c>
      <c r="X15">
        <f t="shared" ref="X15:AA15" si="32">W15*(1+$L$9)</f>
        <v>2830942585146813</v>
      </c>
      <c r="Y15">
        <f t="shared" si="32"/>
        <v>2931520959914587.5</v>
      </c>
      <c r="Z15">
        <f t="shared" si="32"/>
        <v>3035672706153759</v>
      </c>
      <c r="AA15">
        <f t="shared" si="32"/>
        <v>3143524779422141</v>
      </c>
      <c r="AB15">
        <f>AA15*(1+$M$9)</f>
        <v>3252272144766532</v>
      </c>
      <c r="AC15">
        <f t="shared" ref="AC15:AF15" si="33">AB15*(1+$M$9)</f>
        <v>3364781525777782</v>
      </c>
      <c r="AD15">
        <f t="shared" si="33"/>
        <v>3481183065947946</v>
      </c>
      <c r="AE15">
        <f t="shared" si="33"/>
        <v>3601611410964185.5</v>
      </c>
      <c r="AF15">
        <f t="shared" si="33"/>
        <v>3726205864458090</v>
      </c>
      <c r="AG15">
        <f>AF15</f>
        <v>3726205864458090</v>
      </c>
      <c r="AH15">
        <f t="shared" ref="AH15:AI15" si="34">AG15</f>
        <v>3726205864458090</v>
      </c>
      <c r="AI15">
        <f t="shared" si="34"/>
        <v>3726205864458090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34"/>
  <sheetViews>
    <sheetView workbookViewId="0"/>
  </sheetViews>
  <sheetFormatPr defaultRowHeight="14.5"/>
  <cols>
    <col min="1" max="1" width="10.54296875" customWidth="1"/>
    <col min="2" max="2" width="16.81640625" customWidth="1"/>
    <col min="3" max="3" width="15.54296875" customWidth="1"/>
    <col min="4" max="4" width="22.7265625" customWidth="1"/>
    <col min="6" max="6" width="11.54296875" bestFit="1" customWidth="1"/>
    <col min="9" max="9" width="15.1796875" customWidth="1"/>
    <col min="10" max="10" width="12" bestFit="1" customWidth="1"/>
    <col min="11" max="11" width="11" bestFit="1" customWidth="1"/>
    <col min="12" max="12" width="12" bestFit="1" customWidth="1"/>
  </cols>
  <sheetData>
    <row r="1" spans="1:12">
      <c r="A1" s="45" t="s">
        <v>302</v>
      </c>
      <c r="B1" s="45"/>
      <c r="C1" s="45"/>
      <c r="D1" s="48"/>
      <c r="I1" s="45" t="s">
        <v>303</v>
      </c>
      <c r="J1" s="45"/>
      <c r="K1" s="45"/>
      <c r="L1" s="48"/>
    </row>
    <row r="2" spans="1:12">
      <c r="A2" s="46" t="s">
        <v>126</v>
      </c>
      <c r="B2" s="46" t="s">
        <v>272</v>
      </c>
      <c r="C2" s="46" t="s">
        <v>273</v>
      </c>
      <c r="D2" s="46" t="s">
        <v>304</v>
      </c>
      <c r="I2" s="46" t="s">
        <v>126</v>
      </c>
      <c r="J2" s="46" t="s">
        <v>272</v>
      </c>
      <c r="K2" s="46" t="s">
        <v>273</v>
      </c>
      <c r="L2" s="46" t="s">
        <v>304</v>
      </c>
    </row>
    <row r="3" spans="1:12">
      <c r="A3" s="49" t="s">
        <v>305</v>
      </c>
      <c r="B3">
        <v>12238</v>
      </c>
      <c r="C3">
        <v>17120</v>
      </c>
      <c r="D3">
        <v>513</v>
      </c>
      <c r="I3" s="49" t="s">
        <v>305</v>
      </c>
      <c r="J3">
        <v>40238</v>
      </c>
      <c r="K3">
        <v>671</v>
      </c>
      <c r="L3">
        <v>13482</v>
      </c>
    </row>
    <row r="4" spans="1:12">
      <c r="A4" t="s">
        <v>276</v>
      </c>
      <c r="B4">
        <f>B3*1000</f>
        <v>12238000</v>
      </c>
      <c r="C4">
        <f t="shared" ref="C4:D4" si="0">C3*1000</f>
        <v>17120000</v>
      </c>
      <c r="D4">
        <f t="shared" si="0"/>
        <v>513000</v>
      </c>
      <c r="I4" t="s">
        <v>276</v>
      </c>
      <c r="J4">
        <f>J3*1000</f>
        <v>40238000</v>
      </c>
      <c r="K4">
        <f t="shared" ref="K4:L4" si="1">K3*1000</f>
        <v>671000</v>
      </c>
      <c r="L4">
        <f t="shared" si="1"/>
        <v>13482000</v>
      </c>
    </row>
    <row r="5" spans="1:12">
      <c r="A5" s="49" t="s">
        <v>282</v>
      </c>
      <c r="B5" s="27">
        <f>B4*'Conversion Factors'!$B$55</f>
        <v>548410124898000</v>
      </c>
      <c r="C5" s="27">
        <f>C4*'Conversion Factors'!$B$55</f>
        <v>767182655520000</v>
      </c>
      <c r="D5" s="27">
        <f>D4*'Conversion Factors'!$B$55</f>
        <v>22988592423000</v>
      </c>
      <c r="I5" s="49" t="s">
        <v>306</v>
      </c>
      <c r="J5">
        <f>J4*'Conversion Factors'!$H$5*1000</f>
        <v>56775818000</v>
      </c>
      <c r="K5">
        <f>K4*'Conversion Factors'!$H$5*1000</f>
        <v>946781000</v>
      </c>
      <c r="L5">
        <f>L4*'Conversion Factors'!$H$5*1000</f>
        <v>19023102000</v>
      </c>
    </row>
    <row r="6" spans="1:12">
      <c r="D6">
        <v>0</v>
      </c>
      <c r="I6" t="s">
        <v>282</v>
      </c>
      <c r="J6" s="27">
        <f>J5*'Conversion Factors'!$B$45</f>
        <v>1776447120920833</v>
      </c>
      <c r="K6" s="27">
        <f>K5*'Conversion Factors'!$B$45</f>
        <v>29623639796656.867</v>
      </c>
      <c r="L6" s="27">
        <f>L5*'Conversion Factors'!$B$45</f>
        <v>595210002590950.63</v>
      </c>
    </row>
    <row r="8" spans="1:12">
      <c r="A8" s="45" t="s">
        <v>307</v>
      </c>
      <c r="B8" s="45"/>
      <c r="C8" s="45"/>
      <c r="D8" s="48"/>
      <c r="I8" s="45" t="s">
        <v>308</v>
      </c>
      <c r="J8" s="45"/>
      <c r="K8" s="45"/>
      <c r="L8" s="48"/>
    </row>
    <row r="9" spans="1:12">
      <c r="A9" s="46" t="s">
        <v>126</v>
      </c>
      <c r="B9" s="46" t="s">
        <v>272</v>
      </c>
      <c r="C9" s="46" t="s">
        <v>273</v>
      </c>
      <c r="D9" s="46" t="s">
        <v>304</v>
      </c>
      <c r="I9" s="46" t="s">
        <v>126</v>
      </c>
      <c r="J9" s="46" t="s">
        <v>272</v>
      </c>
      <c r="K9" s="46" t="s">
        <v>273</v>
      </c>
      <c r="L9" s="46" t="s">
        <v>304</v>
      </c>
    </row>
    <row r="10" spans="1:12">
      <c r="A10" s="49" t="s">
        <v>305</v>
      </c>
      <c r="B10">
        <v>10294</v>
      </c>
      <c r="C10">
        <v>0</v>
      </c>
      <c r="D10">
        <v>5186</v>
      </c>
      <c r="I10" s="49" t="s">
        <v>305</v>
      </c>
      <c r="J10">
        <v>107175</v>
      </c>
      <c r="K10">
        <v>75</v>
      </c>
      <c r="L10">
        <v>32407</v>
      </c>
    </row>
    <row r="11" spans="1:12">
      <c r="A11" t="s">
        <v>276</v>
      </c>
      <c r="B11">
        <f>B10*1000</f>
        <v>10294000</v>
      </c>
      <c r="C11">
        <f t="shared" ref="C11:D11" si="2">C10*1000</f>
        <v>0</v>
      </c>
      <c r="D11">
        <f t="shared" si="2"/>
        <v>5186000</v>
      </c>
      <c r="I11" t="s">
        <v>276</v>
      </c>
      <c r="J11">
        <f>J10*1000</f>
        <v>107175000</v>
      </c>
      <c r="K11">
        <f t="shared" ref="K11:L11" si="3">K10*1000</f>
        <v>75000</v>
      </c>
      <c r="L11">
        <f t="shared" si="3"/>
        <v>32407000</v>
      </c>
    </row>
    <row r="12" spans="1:12">
      <c r="A12" s="49" t="s">
        <v>309</v>
      </c>
      <c r="B12">
        <f>B11*'Conversion Factors'!$H$8*1000</f>
        <v>13258672000</v>
      </c>
      <c r="C12">
        <f>C11*'Conversion Factors'!$H$8*1000</f>
        <v>0</v>
      </c>
      <c r="D12">
        <f>D11*'Conversion Factors'!$H$8*1000</f>
        <v>6679568000</v>
      </c>
      <c r="I12" s="49" t="s">
        <v>306</v>
      </c>
      <c r="J12">
        <f>J11*'Conversion Factors'!$H$6*1000</f>
        <v>129681750000</v>
      </c>
      <c r="K12">
        <f>K11*'Conversion Factors'!$H$6*1000</f>
        <v>90750000</v>
      </c>
      <c r="L12">
        <f>L11*'Conversion Factors'!$H$6*1000</f>
        <v>39212470000</v>
      </c>
    </row>
    <row r="13" spans="1:12">
      <c r="A13" t="s">
        <v>282</v>
      </c>
      <c r="B13">
        <f>B12*'Conversion Factors'!$B$38</f>
        <v>472847015076047</v>
      </c>
      <c r="C13">
        <f>C12*'Conversion Factors'!$B$38</f>
        <v>0</v>
      </c>
      <c r="D13">
        <f>D12*'Conversion Factors'!$B$38</f>
        <v>238214942702970.63</v>
      </c>
      <c r="I13" t="s">
        <v>282</v>
      </c>
      <c r="J13" s="27">
        <f>J12*'Conversion Factors'!$B$50</f>
        <v>4744773574681751</v>
      </c>
      <c r="K13" s="27">
        <f>K12*'Conversion Factors'!$B$50</f>
        <v>3320345398657.6284</v>
      </c>
      <c r="L13" s="27">
        <f>L12*'Conversion Factors'!$B$50</f>
        <v>1434699111123970.3</v>
      </c>
    </row>
    <row r="15" spans="1:12">
      <c r="A15" s="45" t="s">
        <v>310</v>
      </c>
      <c r="B15" s="45"/>
      <c r="C15" s="45"/>
      <c r="D15" s="48"/>
      <c r="I15" s="47" t="s">
        <v>311</v>
      </c>
    </row>
    <row r="16" spans="1:12">
      <c r="A16" s="46" t="s">
        <v>126</v>
      </c>
      <c r="B16" s="46" t="s">
        <v>272</v>
      </c>
      <c r="C16" s="46" t="s">
        <v>273</v>
      </c>
      <c r="D16" s="46" t="s">
        <v>304</v>
      </c>
      <c r="I16" s="47" t="s">
        <v>312</v>
      </c>
    </row>
    <row r="17" spans="1:53">
      <c r="A17" s="49" t="s">
        <v>305</v>
      </c>
      <c r="B17">
        <v>8327</v>
      </c>
      <c r="C17">
        <v>1716</v>
      </c>
      <c r="D17">
        <v>2492</v>
      </c>
      <c r="I17" s="1" t="s">
        <v>313</v>
      </c>
    </row>
    <row r="18" spans="1:53">
      <c r="A18" t="s">
        <v>276</v>
      </c>
      <c r="B18">
        <f>B17*1000</f>
        <v>8327000</v>
      </c>
      <c r="C18">
        <f t="shared" ref="C18:D18" si="4">C17*1000</f>
        <v>1716000</v>
      </c>
      <c r="D18">
        <f t="shared" si="4"/>
        <v>2492000</v>
      </c>
      <c r="I18" t="s">
        <v>314</v>
      </c>
      <c r="J18" t="s">
        <v>315</v>
      </c>
      <c r="K18" t="s">
        <v>316</v>
      </c>
      <c r="L18" t="s">
        <v>317</v>
      </c>
    </row>
    <row r="19" spans="1:53">
      <c r="A19" s="49" t="s">
        <v>278</v>
      </c>
      <c r="B19">
        <f>B18*'Conversion Factors'!$I$10</f>
        <v>56123980</v>
      </c>
      <c r="C19">
        <f>C18*'Conversion Factors'!$I$10</f>
        <v>11565840</v>
      </c>
      <c r="D19">
        <f>D18*'Conversion Factors'!$I$10</f>
        <v>16796080</v>
      </c>
      <c r="I19" t="s">
        <v>186</v>
      </c>
      <c r="J19" s="13">
        <f>B5/J25</f>
        <v>6.000015055319665E-2</v>
      </c>
      <c r="K19" s="13">
        <f>C5/K25</f>
        <v>7.3731740947537858E-2</v>
      </c>
      <c r="L19" s="13">
        <f>D5/L25</f>
        <v>9.5917304234701076E-3</v>
      </c>
    </row>
    <row r="20" spans="1:53">
      <c r="A20" t="s">
        <v>280</v>
      </c>
      <c r="B20">
        <f>B19*'AEO Table 73'!$D$41</f>
        <v>352851462.25999999</v>
      </c>
      <c r="C20">
        <f>C19*'AEO Table 73'!$D$41</f>
        <v>72714436.079999998</v>
      </c>
      <c r="D20">
        <f>D19*'AEO Table 73'!$D$41</f>
        <v>105596954.95999999</v>
      </c>
      <c r="I20" t="s">
        <v>190</v>
      </c>
      <c r="J20" s="13">
        <f>B13/J25</f>
        <v>5.173298377463259E-2</v>
      </c>
      <c r="K20" s="13">
        <f>C13/K25</f>
        <v>0</v>
      </c>
      <c r="L20" s="13">
        <f>D13/L25</f>
        <v>9.9392493076837743E-2</v>
      </c>
    </row>
    <row r="21" spans="1:53">
      <c r="A21" t="s">
        <v>282</v>
      </c>
      <c r="B21">
        <f>B20*10^6</f>
        <v>352851462260000</v>
      </c>
      <c r="C21">
        <f t="shared" ref="C21:D21" si="5">C20*10^6</f>
        <v>72714436080000</v>
      </c>
      <c r="D21">
        <f t="shared" si="5"/>
        <v>105596954960000</v>
      </c>
      <c r="I21" t="s">
        <v>318</v>
      </c>
      <c r="J21" s="13">
        <f>B21/J25</f>
        <v>3.8604576934923023E-2</v>
      </c>
      <c r="K21" s="13">
        <f>C21/K25</f>
        <v>6.988377442609028E-3</v>
      </c>
      <c r="L21" s="13">
        <f>D21/L25</f>
        <v>4.4059136239340803E-2</v>
      </c>
    </row>
    <row r="22" spans="1:53">
      <c r="A22" s="47" t="s">
        <v>311</v>
      </c>
      <c r="I22" t="s">
        <v>319</v>
      </c>
      <c r="J22" s="13">
        <f>J6/J25</f>
        <v>0.19435654059973287</v>
      </c>
      <c r="K22" s="13">
        <f>K6/K25</f>
        <v>2.8470436860043645E-3</v>
      </c>
      <c r="L22" s="13">
        <f>L6/L25</f>
        <v>0.24834464786514793</v>
      </c>
    </row>
    <row r="23" spans="1:53">
      <c r="A23" s="47" t="s">
        <v>320</v>
      </c>
      <c r="I23" t="s">
        <v>321</v>
      </c>
      <c r="J23" s="13">
        <f>J13/J25</f>
        <v>0.51911355370159096</v>
      </c>
      <c r="K23" s="13">
        <f>K13/K25</f>
        <v>3.1910894365076194E-4</v>
      </c>
      <c r="L23" s="13">
        <f>L13/L25</f>
        <v>0.59861199239520346</v>
      </c>
    </row>
    <row r="24" spans="1:53">
      <c r="I24" t="s">
        <v>193</v>
      </c>
      <c r="J24" s="13">
        <f>'Crude Oil'!B14/'Petroleum Products'!J25</f>
        <v>0.13619219443592384</v>
      </c>
      <c r="K24" s="13">
        <f>'Crude Oil'!B15/'Petroleum Products'!K25</f>
        <v>0.91611372898019805</v>
      </c>
      <c r="L24">
        <v>0</v>
      </c>
    </row>
    <row r="25" spans="1:53">
      <c r="I25" t="s">
        <v>322</v>
      </c>
      <c r="J25" s="27">
        <f>SUM(B5,B13,B21,J6,J13)+'Crude Oil'!B14</f>
        <v>9140145813663832</v>
      </c>
      <c r="K25" s="27">
        <f>SUM(C5,C13,C21,K6,K13)+'Crude Oil'!B15</f>
        <v>1.0405052771856714E+16</v>
      </c>
      <c r="L25" s="27">
        <f>SUM(D5,D13,D21,L6,L13)</f>
        <v>2396709603800891.5</v>
      </c>
    </row>
    <row r="28" spans="1:53">
      <c r="A28" t="s">
        <v>323</v>
      </c>
    </row>
    <row r="29" spans="1:53">
      <c r="B29">
        <v>2019</v>
      </c>
      <c r="C29">
        <v>2020</v>
      </c>
      <c r="D29">
        <v>2021</v>
      </c>
      <c r="E29">
        <v>2022</v>
      </c>
      <c r="F29">
        <v>2023</v>
      </c>
      <c r="G29">
        <v>2024</v>
      </c>
      <c r="H29">
        <v>2025</v>
      </c>
      <c r="I29">
        <v>2026</v>
      </c>
      <c r="J29">
        <v>2027</v>
      </c>
      <c r="K29">
        <v>2028</v>
      </c>
      <c r="L29">
        <v>2029</v>
      </c>
      <c r="M29">
        <v>2030</v>
      </c>
      <c r="N29">
        <v>2031</v>
      </c>
      <c r="O29">
        <v>2032</v>
      </c>
      <c r="P29">
        <v>2033</v>
      </c>
      <c r="Q29">
        <v>2034</v>
      </c>
      <c r="R29">
        <v>2035</v>
      </c>
      <c r="S29">
        <v>2036</v>
      </c>
      <c r="T29">
        <v>2037</v>
      </c>
      <c r="U29">
        <v>2038</v>
      </c>
      <c r="V29">
        <v>2039</v>
      </c>
      <c r="W29">
        <v>2040</v>
      </c>
      <c r="X29">
        <v>2041</v>
      </c>
      <c r="Y29">
        <v>2042</v>
      </c>
      <c r="Z29">
        <v>2043</v>
      </c>
      <c r="AA29">
        <v>2044</v>
      </c>
      <c r="AB29">
        <v>2045</v>
      </c>
      <c r="AC29">
        <v>2046</v>
      </c>
      <c r="AD29">
        <v>2047</v>
      </c>
      <c r="AE29">
        <v>2048</v>
      </c>
      <c r="AF29">
        <v>2049</v>
      </c>
      <c r="AG29">
        <v>2050</v>
      </c>
      <c r="AH29">
        <v>2051</v>
      </c>
      <c r="AI29">
        <v>2052</v>
      </c>
      <c r="AJ29">
        <v>2053</v>
      </c>
      <c r="AK29">
        <v>2054</v>
      </c>
      <c r="AL29">
        <v>2055</v>
      </c>
      <c r="AM29">
        <v>2056</v>
      </c>
      <c r="AN29">
        <v>2057</v>
      </c>
      <c r="AO29">
        <v>2058</v>
      </c>
      <c r="AP29">
        <v>2059</v>
      </c>
      <c r="AQ29">
        <v>2060</v>
      </c>
      <c r="AR29">
        <v>2061</v>
      </c>
      <c r="AS29">
        <v>2062</v>
      </c>
      <c r="AT29">
        <v>2063</v>
      </c>
      <c r="AU29">
        <v>2064</v>
      </c>
      <c r="AV29">
        <v>2065</v>
      </c>
      <c r="AW29">
        <v>2066</v>
      </c>
      <c r="AX29">
        <v>2067</v>
      </c>
      <c r="AY29">
        <v>2068</v>
      </c>
      <c r="AZ29">
        <v>2069</v>
      </c>
      <c r="BA29">
        <v>2070</v>
      </c>
    </row>
    <row r="30" spans="1:53">
      <c r="A30" t="s">
        <v>324</v>
      </c>
      <c r="B30">
        <f>$B$13</f>
        <v>472847015076047</v>
      </c>
      <c r="C30">
        <f t="shared" ref="C30:AG30" si="6">$B$13</f>
        <v>472847015076047</v>
      </c>
      <c r="D30">
        <f t="shared" si="6"/>
        <v>472847015076047</v>
      </c>
      <c r="E30">
        <f t="shared" si="6"/>
        <v>472847015076047</v>
      </c>
      <c r="F30">
        <f t="shared" si="6"/>
        <v>472847015076047</v>
      </c>
      <c r="G30">
        <f t="shared" si="6"/>
        <v>472847015076047</v>
      </c>
      <c r="H30">
        <f t="shared" si="6"/>
        <v>472847015076047</v>
      </c>
      <c r="I30">
        <f t="shared" si="6"/>
        <v>472847015076047</v>
      </c>
      <c r="J30">
        <f t="shared" si="6"/>
        <v>472847015076047</v>
      </c>
      <c r="K30">
        <f t="shared" si="6"/>
        <v>472847015076047</v>
      </c>
      <c r="L30">
        <f t="shared" si="6"/>
        <v>472847015076047</v>
      </c>
      <c r="M30">
        <f t="shared" si="6"/>
        <v>472847015076047</v>
      </c>
      <c r="N30">
        <f t="shared" si="6"/>
        <v>472847015076047</v>
      </c>
      <c r="O30">
        <f t="shared" si="6"/>
        <v>472847015076047</v>
      </c>
      <c r="P30">
        <f t="shared" si="6"/>
        <v>472847015076047</v>
      </c>
      <c r="Q30">
        <f t="shared" si="6"/>
        <v>472847015076047</v>
      </c>
      <c r="R30">
        <f t="shared" si="6"/>
        <v>472847015076047</v>
      </c>
      <c r="S30">
        <f t="shared" si="6"/>
        <v>472847015076047</v>
      </c>
      <c r="T30">
        <f t="shared" si="6"/>
        <v>472847015076047</v>
      </c>
      <c r="U30">
        <f t="shared" si="6"/>
        <v>472847015076047</v>
      </c>
      <c r="V30">
        <f t="shared" si="6"/>
        <v>472847015076047</v>
      </c>
      <c r="W30">
        <f t="shared" si="6"/>
        <v>472847015076047</v>
      </c>
      <c r="X30">
        <f t="shared" si="6"/>
        <v>472847015076047</v>
      </c>
      <c r="Y30">
        <f t="shared" si="6"/>
        <v>472847015076047</v>
      </c>
      <c r="Z30">
        <f t="shared" si="6"/>
        <v>472847015076047</v>
      </c>
      <c r="AA30">
        <f t="shared" si="6"/>
        <v>472847015076047</v>
      </c>
      <c r="AB30">
        <f t="shared" si="6"/>
        <v>472847015076047</v>
      </c>
      <c r="AC30">
        <f t="shared" si="6"/>
        <v>472847015076047</v>
      </c>
      <c r="AD30">
        <f t="shared" si="6"/>
        <v>472847015076047</v>
      </c>
      <c r="AE30">
        <f t="shared" si="6"/>
        <v>472847015076047</v>
      </c>
      <c r="AF30">
        <f t="shared" si="6"/>
        <v>472847015076047</v>
      </c>
      <c r="AG30">
        <f t="shared" si="6"/>
        <v>472847015076047</v>
      </c>
    </row>
    <row r="31" spans="1:53">
      <c r="A31" t="s">
        <v>325</v>
      </c>
      <c r="B31" s="27">
        <f>'BAU Total Primary Fuel Use'!B14+'Petroleum Products'!B32-'Petroleum Products'!B30</f>
        <v>5635984923953</v>
      </c>
      <c r="C31" s="27">
        <f>'BAU Total Primary Fuel Use'!C14+'Petroleum Products'!C32-'Petroleum Products'!C30</f>
        <v>0</v>
      </c>
      <c r="D31" s="27">
        <f>'BAU Total Primary Fuel Use'!D14+'Petroleum Products'!D32-'Petroleum Products'!D30</f>
        <v>0</v>
      </c>
      <c r="E31" s="27">
        <f>'BAU Total Primary Fuel Use'!E14+'Petroleum Products'!E32-'Petroleum Products'!E30</f>
        <v>0</v>
      </c>
      <c r="F31" s="27">
        <f>'BAU Total Primary Fuel Use'!F14+'Petroleum Products'!F32-'Petroleum Products'!F30</f>
        <v>0</v>
      </c>
      <c r="G31" s="27">
        <f>'BAU Total Primary Fuel Use'!G14+'Petroleum Products'!G32-'Petroleum Products'!G30</f>
        <v>17244984923953</v>
      </c>
      <c r="H31" s="27">
        <f>'BAU Total Primary Fuel Use'!H14+'Petroleum Products'!H32-'Petroleum Products'!H30</f>
        <v>54804984923953</v>
      </c>
      <c r="I31" s="27">
        <f>'BAU Total Primary Fuel Use'!I14+'Petroleum Products'!I32-'Petroleum Products'!I30</f>
        <v>90259984923953</v>
      </c>
      <c r="J31" s="27">
        <f>'BAU Total Primary Fuel Use'!J14+'Petroleum Products'!J32-'Petroleum Products'!J30</f>
        <v>123765984923953</v>
      </c>
      <c r="K31" s="27">
        <f>'BAU Total Primary Fuel Use'!K14+'Petroleum Products'!K32-'Petroleum Products'!K30</f>
        <v>164172984923953</v>
      </c>
      <c r="L31" s="27">
        <f>'BAU Total Primary Fuel Use'!L14+'Petroleum Products'!L32-'Petroleum Products'!L30</f>
        <v>202805984923953</v>
      </c>
      <c r="M31" s="27">
        <f>'BAU Total Primary Fuel Use'!M14+'Petroleum Products'!M32-'Petroleum Products'!M30</f>
        <v>240055984923953</v>
      </c>
      <c r="N31" s="27">
        <f>'BAU Total Primary Fuel Use'!N14+'Petroleum Products'!N32-'Petroleum Products'!N30</f>
        <v>276885984923953</v>
      </c>
      <c r="O31" s="27">
        <f>'BAU Total Primary Fuel Use'!O14+'Petroleum Products'!O32-'Petroleum Products'!O30</f>
        <v>313261984923953</v>
      </c>
      <c r="P31" s="27">
        <f>'BAU Total Primary Fuel Use'!P14+'Petroleum Products'!P32-'Petroleum Products'!P30</f>
        <v>353050984923953</v>
      </c>
      <c r="Q31" s="27">
        <f>'BAU Total Primary Fuel Use'!Q14+'Petroleum Products'!Q32-'Petroleum Products'!Q30</f>
        <v>392403984923953</v>
      </c>
      <c r="R31" s="27">
        <f>'BAU Total Primary Fuel Use'!R14+'Petroleum Products'!R32-'Petroleum Products'!R30</f>
        <v>431365984923953</v>
      </c>
      <c r="S31" s="27">
        <f>'BAU Total Primary Fuel Use'!S14+'Petroleum Products'!S32-'Petroleum Products'!S30</f>
        <v>470355984923953</v>
      </c>
      <c r="T31" s="27">
        <f>'BAU Total Primary Fuel Use'!T14+'Petroleum Products'!T32-'Petroleum Products'!T30</f>
        <v>508746984923953</v>
      </c>
      <c r="U31" s="27">
        <f>'BAU Total Primary Fuel Use'!U14+'Petroleum Products'!U32-'Petroleum Products'!U30</f>
        <v>552942984923953</v>
      </c>
      <c r="V31" s="27">
        <f>'BAU Total Primary Fuel Use'!V14+'Petroleum Products'!V32-'Petroleum Products'!V30</f>
        <v>597842984923953</v>
      </c>
      <c r="W31" s="27">
        <f>'BAU Total Primary Fuel Use'!W14+'Petroleum Products'!W32-'Petroleum Products'!W30</f>
        <v>642402984923953</v>
      </c>
      <c r="X31" s="27">
        <f>'BAU Total Primary Fuel Use'!X14+'Petroleum Products'!X32-'Petroleum Products'!X30</f>
        <v>686242984923953</v>
      </c>
      <c r="Y31" s="27">
        <f>'BAU Total Primary Fuel Use'!Y14+'Petroleum Products'!Y32-'Petroleum Products'!Y30</f>
        <v>729712984923953</v>
      </c>
      <c r="Z31" s="27">
        <f>'BAU Total Primary Fuel Use'!Z14+'Petroleum Products'!Z32-'Petroleum Products'!Z30</f>
        <v>775122984923953</v>
      </c>
      <c r="AA31" s="27">
        <f>'BAU Total Primary Fuel Use'!AA14+'Petroleum Products'!AA32-'Petroleum Products'!AA30</f>
        <v>820192984923953</v>
      </c>
      <c r="AB31" s="27">
        <f>'BAU Total Primary Fuel Use'!AB14+'Petroleum Products'!AB32-'Petroleum Products'!AB30</f>
        <v>865422984923953</v>
      </c>
      <c r="AC31" s="27">
        <f>'BAU Total Primary Fuel Use'!AC14+'Petroleum Products'!AC32-'Petroleum Products'!AC30</f>
        <v>910152984923953</v>
      </c>
      <c r="AD31" s="27">
        <f>'BAU Total Primary Fuel Use'!AD14+'Petroleum Products'!AD32-'Petroleum Products'!AD30</f>
        <v>954792984923953</v>
      </c>
      <c r="AE31" s="27">
        <f>'BAU Total Primary Fuel Use'!AE14+'Petroleum Products'!AE32-'Petroleum Products'!AE30</f>
        <v>999352984923953</v>
      </c>
      <c r="AF31" s="27">
        <f>'BAU Total Primary Fuel Use'!AF14+'Petroleum Products'!AF32-'Petroleum Products'!AF30</f>
        <v>1044012984923953</v>
      </c>
      <c r="AG31" s="27">
        <f>'BAU Total Primary Fuel Use'!AG14+'Petroleum Products'!AG32-'Petroleum Products'!AG30</f>
        <v>1088652984923953</v>
      </c>
    </row>
    <row r="32" spans="1:53">
      <c r="A32" t="s">
        <v>326</v>
      </c>
      <c r="B32" s="27">
        <f>MAX(B30-'BAU Total Primary Fuel Use'!B14,0)</f>
        <v>0</v>
      </c>
      <c r="C32" s="27">
        <f>MAX(C30-'BAU Total Primary Fuel Use'!C14,0)</f>
        <v>98939015076047</v>
      </c>
      <c r="D32" s="27">
        <f>MAX(D30-'BAU Total Primary Fuel Use'!D14,0)</f>
        <v>76296015076047</v>
      </c>
      <c r="E32" s="27">
        <f>MAX(E30-'BAU Total Primary Fuel Use'!E14,0)</f>
        <v>71874015076047</v>
      </c>
      <c r="F32" s="27">
        <f>MAX(F30-'BAU Total Primary Fuel Use'!F14,0)</f>
        <v>24163015076047</v>
      </c>
      <c r="G32" s="27">
        <f>MAX(G30-'BAU Total Primary Fuel Use'!G14,0)</f>
        <v>0</v>
      </c>
      <c r="H32" s="27">
        <f>MAX(H30-'BAU Total Primary Fuel Use'!H14,0)</f>
        <v>0</v>
      </c>
      <c r="I32" s="27">
        <f>MAX(I30-'BAU Total Primary Fuel Use'!I14,0)</f>
        <v>0</v>
      </c>
      <c r="J32" s="27">
        <f>MAX(J30-'BAU Total Primary Fuel Use'!J14,0)</f>
        <v>0</v>
      </c>
      <c r="K32" s="27">
        <f>MAX(K30-'BAU Total Primary Fuel Use'!K14,0)</f>
        <v>0</v>
      </c>
      <c r="L32" s="27">
        <f>MAX(L30-'BAU Total Primary Fuel Use'!L14,0)</f>
        <v>0</v>
      </c>
      <c r="M32" s="27">
        <f>MAX(M30-'BAU Total Primary Fuel Use'!M14,0)</f>
        <v>0</v>
      </c>
      <c r="N32" s="27">
        <f>MAX(N30-'BAU Total Primary Fuel Use'!N14,0)</f>
        <v>0</v>
      </c>
      <c r="O32" s="27">
        <f>MAX(O30-'BAU Total Primary Fuel Use'!O14,0)</f>
        <v>0</v>
      </c>
      <c r="P32" s="27">
        <f>MAX(P30-'BAU Total Primary Fuel Use'!P14,0)</f>
        <v>0</v>
      </c>
      <c r="Q32" s="27">
        <f>MAX(Q30-'BAU Total Primary Fuel Use'!Q14,0)</f>
        <v>0</v>
      </c>
      <c r="R32" s="27">
        <f>MAX(R30-'BAU Total Primary Fuel Use'!R14,0)</f>
        <v>0</v>
      </c>
      <c r="S32" s="27">
        <f>MAX(S30-'BAU Total Primary Fuel Use'!S14,0)</f>
        <v>0</v>
      </c>
      <c r="T32" s="27">
        <f>MAX(T30-'BAU Total Primary Fuel Use'!T14,0)</f>
        <v>0</v>
      </c>
      <c r="U32" s="27">
        <f>MAX(U30-'BAU Total Primary Fuel Use'!U14,0)</f>
        <v>0</v>
      </c>
      <c r="V32" s="27">
        <f>MAX(V30-'BAU Total Primary Fuel Use'!V14,0)</f>
        <v>0</v>
      </c>
      <c r="W32" s="27">
        <f>MAX(W30-'BAU Total Primary Fuel Use'!W14,0)</f>
        <v>0</v>
      </c>
      <c r="X32" s="27">
        <f>MAX(X30-'BAU Total Primary Fuel Use'!X14,0)</f>
        <v>0</v>
      </c>
      <c r="Y32" s="27">
        <f>MAX(Y30-'BAU Total Primary Fuel Use'!Y14,0)</f>
        <v>0</v>
      </c>
      <c r="Z32" s="27">
        <f>MAX(Z30-'BAU Total Primary Fuel Use'!Z14,0)</f>
        <v>0</v>
      </c>
      <c r="AA32" s="27">
        <f>MAX(AA30-'BAU Total Primary Fuel Use'!AA14,0)</f>
        <v>0</v>
      </c>
      <c r="AB32" s="27">
        <f>MAX(AB30-'BAU Total Primary Fuel Use'!AB14,0)</f>
        <v>0</v>
      </c>
      <c r="AC32" s="27">
        <f>MAX(AC30-'BAU Total Primary Fuel Use'!AC14,0)</f>
        <v>0</v>
      </c>
      <c r="AD32" s="27">
        <f>MAX(AD30-'BAU Total Primary Fuel Use'!AD14,0)</f>
        <v>0</v>
      </c>
      <c r="AE32" s="27">
        <f>MAX(AE30-'BAU Total Primary Fuel Use'!AE14,0)</f>
        <v>0</v>
      </c>
      <c r="AF32" s="27">
        <f>MAX(AF30-'BAU Total Primary Fuel Use'!AF14,0)</f>
        <v>0</v>
      </c>
      <c r="AG32" s="27">
        <f>MAX(AG30-'BAU Total Primary Fuel Use'!AG14,0)</f>
        <v>0</v>
      </c>
    </row>
    <row r="34" spans="2:33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20"/>
  <sheetViews>
    <sheetView workbookViewId="0"/>
  </sheetViews>
  <sheetFormatPr defaultRowHeight="14.5"/>
  <cols>
    <col min="1" max="1" width="14" customWidth="1"/>
    <col min="2" max="2" width="11.1796875" customWidth="1"/>
    <col min="3" max="3" width="11.54296875" customWidth="1"/>
    <col min="4" max="4" width="8" bestFit="1" customWidth="1"/>
    <col min="5" max="5" width="4.1796875" customWidth="1"/>
    <col min="6" max="6" width="21.54296875" customWidth="1"/>
    <col min="7" max="7" width="11" customWidth="1"/>
    <col min="8" max="8" width="12" bestFit="1" customWidth="1"/>
    <col min="13" max="13" width="9.81640625" customWidth="1"/>
    <col min="18" max="18" width="9.453125" customWidth="1"/>
    <col min="23" max="23" width="12" bestFit="1" customWidth="1"/>
    <col min="28" max="28" width="12" bestFit="1" customWidth="1"/>
    <col min="33" max="33" width="12" bestFit="1" customWidth="1"/>
    <col min="38" max="38" width="12" bestFit="1" customWidth="1"/>
  </cols>
  <sheetData>
    <row r="1" spans="1:56">
      <c r="A1" s="45" t="s">
        <v>327</v>
      </c>
      <c r="B1" s="45"/>
      <c r="C1" s="45"/>
      <c r="D1" s="48"/>
      <c r="G1" s="73" t="s">
        <v>328</v>
      </c>
      <c r="N1" s="75" t="s">
        <v>271</v>
      </c>
    </row>
    <row r="2" spans="1:56">
      <c r="A2" s="46" t="s">
        <v>126</v>
      </c>
      <c r="B2" s="46" t="s">
        <v>272</v>
      </c>
      <c r="C2" s="46" t="s">
        <v>273</v>
      </c>
      <c r="D2" s="46" t="s">
        <v>304</v>
      </c>
      <c r="H2" s="74">
        <v>2019</v>
      </c>
      <c r="I2" s="74">
        <v>2022</v>
      </c>
      <c r="J2" s="74">
        <v>2027</v>
      </c>
      <c r="K2" s="74">
        <v>2032</v>
      </c>
      <c r="L2" s="74">
        <v>2037</v>
      </c>
      <c r="M2" s="74">
        <v>2042</v>
      </c>
      <c r="N2" s="74">
        <v>2047</v>
      </c>
    </row>
    <row r="3" spans="1:56">
      <c r="A3" t="s">
        <v>329</v>
      </c>
      <c r="B3">
        <v>778.21</v>
      </c>
      <c r="C3">
        <v>208.62700000000001</v>
      </c>
      <c r="D3">
        <v>1.163</v>
      </c>
      <c r="H3" s="85">
        <v>3411.413157111112</v>
      </c>
      <c r="I3" s="85">
        <v>3548.810364726547</v>
      </c>
      <c r="J3" s="85">
        <v>3918.6677593469562</v>
      </c>
      <c r="K3" s="85">
        <v>4247.6762766595475</v>
      </c>
      <c r="L3" s="85">
        <v>4475.3143466019164</v>
      </c>
      <c r="M3" s="85">
        <v>4715.5232487797985</v>
      </c>
      <c r="N3" s="85">
        <v>4914.9842124249581</v>
      </c>
    </row>
    <row r="4" spans="1:56" ht="17.25" customHeight="1">
      <c r="A4" t="s">
        <v>276</v>
      </c>
      <c r="B4">
        <f>B3*10^6</f>
        <v>778210000</v>
      </c>
      <c r="C4">
        <f t="shared" ref="C4:D4" si="0">C3*10^6</f>
        <v>208627000</v>
      </c>
      <c r="D4">
        <f t="shared" si="0"/>
        <v>1163000</v>
      </c>
      <c r="G4" t="s">
        <v>277</v>
      </c>
      <c r="I4" s="76">
        <f>(I3-H3)/H3</f>
        <v>4.0275745354686719E-2</v>
      </c>
      <c r="J4" s="76">
        <f t="shared" ref="J4:N4" si="1">(J3-I3)/I3</f>
        <v>0.10422010662970674</v>
      </c>
      <c r="K4" s="76">
        <f t="shared" si="1"/>
        <v>8.3959278386851646E-2</v>
      </c>
      <c r="L4" s="76">
        <f t="shared" si="1"/>
        <v>5.3591200250643345E-2</v>
      </c>
      <c r="M4" s="76">
        <f t="shared" si="1"/>
        <v>5.3674196620461176E-2</v>
      </c>
      <c r="N4" s="76">
        <f t="shared" si="1"/>
        <v>4.2298797635399774E-2</v>
      </c>
    </row>
    <row r="5" spans="1:56" ht="18" customHeight="1">
      <c r="A5" s="49" t="s">
        <v>282</v>
      </c>
      <c r="B5">
        <f>B4*'Conversion Factors'!$B$64</f>
        <v>1.1160031154060538E+16</v>
      </c>
      <c r="C5">
        <f>C4*'Conversion Factors'!$B$64</f>
        <v>2991845156934745</v>
      </c>
      <c r="D5">
        <f>D4*'Conversion Factors'!$B$64</f>
        <v>16678166860066.57</v>
      </c>
      <c r="G5" t="s">
        <v>279</v>
      </c>
      <c r="I5" s="76">
        <f>I4/5</f>
        <v>8.0551490709373438E-3</v>
      </c>
      <c r="J5" s="76">
        <f t="shared" ref="J5:N5" si="2">J4/5</f>
        <v>2.0844021325941348E-2</v>
      </c>
      <c r="K5" s="76">
        <f t="shared" si="2"/>
        <v>1.6791855677370328E-2</v>
      </c>
      <c r="L5" s="76">
        <f t="shared" si="2"/>
        <v>1.0718240050128669E-2</v>
      </c>
      <c r="M5" s="76">
        <f t="shared" si="2"/>
        <v>1.0734839324092235E-2</v>
      </c>
      <c r="N5" s="76">
        <f t="shared" si="2"/>
        <v>8.4597595270799551E-3</v>
      </c>
    </row>
    <row r="6" spans="1:56" ht="14.25" customHeight="1">
      <c r="D6">
        <v>0</v>
      </c>
      <c r="G6" s="73" t="s">
        <v>330</v>
      </c>
      <c r="I6" s="50"/>
      <c r="J6" s="50"/>
      <c r="K6" s="50"/>
    </row>
    <row r="7" spans="1:56" ht="15" customHeight="1">
      <c r="H7" s="84">
        <v>-1093.2707117795917</v>
      </c>
      <c r="I7" s="84">
        <v>-1130.9970454452605</v>
      </c>
      <c r="J7" s="84">
        <v>-1496.5000683539661</v>
      </c>
      <c r="K7" s="84">
        <v>-1685.2143878384877</v>
      </c>
      <c r="L7" s="84">
        <v>-1476.7554698281319</v>
      </c>
      <c r="M7" s="84">
        <v>-1174.9760980911515</v>
      </c>
      <c r="N7" s="84">
        <v>-1195.7098019051145</v>
      </c>
    </row>
    <row r="8" spans="1:56">
      <c r="A8" s="47" t="s">
        <v>331</v>
      </c>
      <c r="G8" t="s">
        <v>277</v>
      </c>
      <c r="I8" s="76">
        <f>(I7-H7)/H7</f>
        <v>3.450776944738513E-2</v>
      </c>
      <c r="J8" s="76">
        <f t="shared" ref="J8:N8" si="3">(J7-I7)/I7</f>
        <v>0.32316885740829787</v>
      </c>
      <c r="K8" s="76">
        <f t="shared" si="3"/>
        <v>0.12610378273626993</v>
      </c>
      <c r="L8" s="76">
        <f t="shared" si="3"/>
        <v>-0.1236987528202463</v>
      </c>
      <c r="M8" s="76">
        <f t="shared" si="3"/>
        <v>-0.20435297373376393</v>
      </c>
      <c r="N8" s="76">
        <f t="shared" si="3"/>
        <v>1.7646064330709994E-2</v>
      </c>
    </row>
    <row r="9" spans="1:56">
      <c r="A9" s="47"/>
      <c r="G9" t="s">
        <v>279</v>
      </c>
      <c r="I9" s="76">
        <f>I8/5</f>
        <v>6.9015538894770263E-3</v>
      </c>
      <c r="J9" s="76">
        <f t="shared" ref="J9:N9" si="4">J8/5</f>
        <v>6.463377148165958E-2</v>
      </c>
      <c r="K9" s="76">
        <f t="shared" si="4"/>
        <v>2.5220756547253986E-2</v>
      </c>
      <c r="L9" s="76">
        <f t="shared" si="4"/>
        <v>-2.473975056404926E-2</v>
      </c>
      <c r="M9" s="76">
        <f t="shared" si="4"/>
        <v>-4.0870594746752788E-2</v>
      </c>
      <c r="N9" s="76">
        <f t="shared" si="4"/>
        <v>3.5292128661419987E-3</v>
      </c>
    </row>
    <row r="10" spans="1:56">
      <c r="A10" s="47"/>
      <c r="G10" s="47" t="s">
        <v>285</v>
      </c>
    </row>
    <row r="11" spans="1:56">
      <c r="A11" s="45" t="s">
        <v>332</v>
      </c>
      <c r="B11" s="45"/>
      <c r="C11" s="45"/>
      <c r="D11" s="48"/>
      <c r="G11" s="47" t="s">
        <v>91</v>
      </c>
    </row>
    <row r="12" spans="1:56">
      <c r="A12" s="46" t="s">
        <v>126</v>
      </c>
      <c r="B12" s="46" t="s">
        <v>272</v>
      </c>
      <c r="C12" s="46" t="s">
        <v>273</v>
      </c>
      <c r="D12" s="46" t="s">
        <v>304</v>
      </c>
    </row>
    <row r="13" spans="1:56">
      <c r="A13" t="s">
        <v>329</v>
      </c>
      <c r="B13">
        <v>47.491999999999997</v>
      </c>
      <c r="C13" s="77">
        <v>1.04E-2</v>
      </c>
      <c r="D13" s="77">
        <v>4.4000000000000003E-3</v>
      </c>
      <c r="F13" s="45" t="s">
        <v>333</v>
      </c>
      <c r="G13" s="1">
        <v>2021</v>
      </c>
      <c r="H13" s="1">
        <v>2022</v>
      </c>
      <c r="I13" s="1">
        <v>2023</v>
      </c>
      <c r="J13" s="1">
        <v>2024</v>
      </c>
      <c r="K13" s="1">
        <v>2025</v>
      </c>
      <c r="L13" s="1">
        <v>2026</v>
      </c>
      <c r="M13" s="1">
        <v>2027</v>
      </c>
      <c r="N13" s="1">
        <v>2028</v>
      </c>
      <c r="O13" s="1">
        <v>2029</v>
      </c>
      <c r="P13" s="1">
        <v>2030</v>
      </c>
      <c r="Q13" s="1">
        <v>2031</v>
      </c>
      <c r="R13" s="1">
        <v>2032</v>
      </c>
      <c r="S13" s="1">
        <v>2033</v>
      </c>
      <c r="T13" s="1">
        <v>2034</v>
      </c>
      <c r="U13" s="1">
        <v>2035</v>
      </c>
      <c r="V13" s="1">
        <v>2036</v>
      </c>
      <c r="W13" s="1">
        <v>2037</v>
      </c>
      <c r="X13" s="1">
        <v>2038</v>
      </c>
      <c r="Y13" s="1">
        <v>2039</v>
      </c>
      <c r="Z13" s="1">
        <v>2040</v>
      </c>
      <c r="AA13" s="1">
        <v>2041</v>
      </c>
      <c r="AB13" s="1">
        <v>2042</v>
      </c>
      <c r="AC13" s="1">
        <v>2043</v>
      </c>
      <c r="AD13" s="1">
        <v>2044</v>
      </c>
      <c r="AE13" s="1">
        <v>2045</v>
      </c>
      <c r="AF13" s="1">
        <v>2046</v>
      </c>
      <c r="AG13" s="1">
        <v>2047</v>
      </c>
      <c r="AH13" s="1">
        <v>2048</v>
      </c>
      <c r="AI13" s="1">
        <v>2049</v>
      </c>
      <c r="AJ13" s="1">
        <v>2050</v>
      </c>
      <c r="AK13" s="1">
        <v>2051</v>
      </c>
      <c r="AL13" s="1">
        <v>2052</v>
      </c>
      <c r="AM13" s="1">
        <v>2053</v>
      </c>
      <c r="AN13" s="1">
        <v>2054</v>
      </c>
      <c r="AO13" s="1">
        <v>2055</v>
      </c>
      <c r="AP13" s="1">
        <v>2056</v>
      </c>
      <c r="AQ13" s="1">
        <v>2057</v>
      </c>
      <c r="AR13" s="1">
        <v>2058</v>
      </c>
      <c r="AS13" s="1">
        <v>2059</v>
      </c>
      <c r="AT13" s="1">
        <v>2060</v>
      </c>
      <c r="AU13" s="1">
        <v>2061</v>
      </c>
      <c r="AV13" s="1">
        <v>2062</v>
      </c>
      <c r="AW13" s="1">
        <v>2063</v>
      </c>
      <c r="AX13" s="1">
        <v>2064</v>
      </c>
      <c r="AY13" s="1">
        <v>2065</v>
      </c>
      <c r="AZ13" s="1">
        <v>2066</v>
      </c>
      <c r="BA13" s="1">
        <v>2067</v>
      </c>
      <c r="BB13" s="1">
        <v>2068</v>
      </c>
      <c r="BC13" s="1">
        <v>2069</v>
      </c>
      <c r="BD13" s="1">
        <v>2070</v>
      </c>
    </row>
    <row r="14" spans="1:56">
      <c r="A14" t="s">
        <v>276</v>
      </c>
      <c r="B14">
        <f>B13*10^6</f>
        <v>47492000</v>
      </c>
      <c r="C14">
        <f t="shared" ref="C14:D14" si="5">C13*10^6</f>
        <v>10400</v>
      </c>
      <c r="D14">
        <f t="shared" si="5"/>
        <v>4400</v>
      </c>
      <c r="F14" t="s">
        <v>289</v>
      </c>
      <c r="G14">
        <f>B5</f>
        <v>1.1160031154060538E+16</v>
      </c>
      <c r="H14">
        <f>G14*(1+$I$5)</f>
        <v>1.12499268686428E+16</v>
      </c>
      <c r="I14">
        <f t="shared" ref="I14:L14" si="6">H14*(1+$I$5)</f>
        <v>1.134054670660686E+16</v>
      </c>
      <c r="J14">
        <f t="shared" si="6"/>
        <v>1.1431896500874506E+16</v>
      </c>
      <c r="K14">
        <f t="shared" si="6"/>
        <v>1.1523982131352576E+16</v>
      </c>
      <c r="L14">
        <f t="shared" si="6"/>
        <v>1.1616809525311438E+16</v>
      </c>
      <c r="M14">
        <f>L14*(1+$J$5)</f>
        <v>1.1858950550796428E+16</v>
      </c>
      <c r="N14">
        <f t="shared" ref="N14:Q14" si="7">M14*(1+$J$5)</f>
        <v>1.2106138768980512E+16</v>
      </c>
      <c r="O14">
        <f t="shared" si="7"/>
        <v>1.2358479383655946E+16</v>
      </c>
      <c r="P14">
        <f t="shared" si="7"/>
        <v>1.2616079791485076E+16</v>
      </c>
      <c r="Q14">
        <f t="shared" si="7"/>
        <v>1.2879049627708568E+16</v>
      </c>
      <c r="R14">
        <f>Q14*(1+$K$5)</f>
        <v>1.309531277031874E+16</v>
      </c>
      <c r="S14">
        <f t="shared" ref="S14:U14" si="8">R14*(1+$K$5)</f>
        <v>1.3315207372407956E+16</v>
      </c>
      <c r="T14">
        <f t="shared" si="8"/>
        <v>1.3538794412919688E+16</v>
      </c>
      <c r="U14">
        <f t="shared" si="8"/>
        <v>1.3766135894747022E+16</v>
      </c>
      <c r="V14">
        <f>U14*(1+$K$5)</f>
        <v>1.399729486192668E+16</v>
      </c>
      <c r="W14">
        <f>V14*(1+$L$5)</f>
        <v>1.4147321228309242E+16</v>
      </c>
      <c r="X14">
        <f t="shared" ref="X14:AA14" si="9">W14*(1+$L$5)</f>
        <v>1.4298955613300542E+16</v>
      </c>
      <c r="Y14">
        <f t="shared" si="9"/>
        <v>1.4452215252030032E+16</v>
      </c>
      <c r="Z14">
        <f t="shared" si="9"/>
        <v>1.460711756435742E+16</v>
      </c>
      <c r="AA14">
        <f t="shared" si="9"/>
        <v>1.4763680156852654E+16</v>
      </c>
      <c r="AB14">
        <f>AA14*(1+$M$5)</f>
        <v>1.4922165891168756E+16</v>
      </c>
      <c r="AC14">
        <f t="shared" ref="AC14:AF14" si="10">AB14*(1+$M$5)</f>
        <v>1.5082352944377902E+16</v>
      </c>
      <c r="AD14">
        <f t="shared" si="10"/>
        <v>1.5244259579865048E+16</v>
      </c>
      <c r="AE14">
        <f t="shared" si="10"/>
        <v>1.5407904257069654E+16</v>
      </c>
      <c r="AF14">
        <f t="shared" si="10"/>
        <v>1.5573305633590294E+16</v>
      </c>
      <c r="AG14">
        <f>AF14*(1+$N$5)</f>
        <v>1.5705052054292186E+16</v>
      </c>
      <c r="AH14">
        <f t="shared" ref="AH14:AN14" si="11">AG14*(1+$N$5)</f>
        <v>1.583791301803177E+16</v>
      </c>
      <c r="AI14">
        <f t="shared" si="11"/>
        <v>1.5971897953575126E+16</v>
      </c>
      <c r="AJ14">
        <f t="shared" si="11"/>
        <v>1.610701636945343E+16</v>
      </c>
      <c r="AK14">
        <f t="shared" si="11"/>
        <v>1.6243277854637746E+16</v>
      </c>
      <c r="AL14">
        <f t="shared" si="11"/>
        <v>1.6380692079219524E+16</v>
      </c>
      <c r="AM14">
        <f t="shared" si="11"/>
        <v>1.6519268795096864E+16</v>
      </c>
      <c r="AN14">
        <f t="shared" si="11"/>
        <v>1.6659017836666578E+16</v>
      </c>
    </row>
    <row r="15" spans="1:56">
      <c r="A15" s="49" t="s">
        <v>282</v>
      </c>
      <c r="B15">
        <f>B14*'Conversion Factors'!$B$85</f>
        <v>633226666666666.63</v>
      </c>
      <c r="C15">
        <f>C14*'Conversion Factors'!$B$85</f>
        <v>138666666666.66666</v>
      </c>
      <c r="D15">
        <f>D14*'Conversion Factors'!$B$85</f>
        <v>58666666666.666664</v>
      </c>
      <c r="F15" t="s">
        <v>290</v>
      </c>
      <c r="G15">
        <f>C5</f>
        <v>2991845156934745</v>
      </c>
      <c r="H15">
        <f>G15*(1+$I$9)</f>
        <v>3012493537514301</v>
      </c>
      <c r="I15">
        <f t="shared" ref="I15:L15" si="12">H15*(1+$I$9)</f>
        <v>3033284424005157</v>
      </c>
      <c r="J15">
        <f t="shared" si="12"/>
        <v>3054218799919540</v>
      </c>
      <c r="K15">
        <f t="shared" si="12"/>
        <v>3075297655557438.5</v>
      </c>
      <c r="L15">
        <f t="shared" si="12"/>
        <v>3096521988053450.5</v>
      </c>
      <c r="M15">
        <f>L15*(1+$J$9)</f>
        <v>3296661882617231.5</v>
      </c>
      <c r="N15">
        <f t="shared" ref="N15:P15" si="13">M15*(1+$J$9)</f>
        <v>3509737573390611.5</v>
      </c>
      <c r="O15">
        <f t="shared" si="13"/>
        <v>3736585149669735</v>
      </c>
      <c r="P15">
        <f t="shared" si="13"/>
        <v>3978094740355251.5</v>
      </c>
      <c r="Q15">
        <f>P15*(1+$J$9)</f>
        <v>4235214006735765</v>
      </c>
      <c r="R15">
        <f>Q15*(1+$K$9)</f>
        <v>4342029308125168</v>
      </c>
      <c r="S15">
        <f t="shared" ref="S15:V15" si="14">R15*(1+$K$9)</f>
        <v>4451538572226434.5</v>
      </c>
      <c r="T15">
        <f t="shared" si="14"/>
        <v>4563809742817268</v>
      </c>
      <c r="U15">
        <f t="shared" si="14"/>
        <v>4678912477268848</v>
      </c>
      <c r="V15">
        <f t="shared" si="14"/>
        <v>4796918189763955</v>
      </c>
      <c r="W15">
        <f>V15*(1+$L$9)</f>
        <v>4678243630273044</v>
      </c>
      <c r="X15">
        <f t="shared" ref="X15:AA15" si="15">W15*(1+$L$9)</f>
        <v>4562505049782236</v>
      </c>
      <c r="Y15">
        <f t="shared" si="15"/>
        <v>4449629812903408</v>
      </c>
      <c r="Z15">
        <f t="shared" si="15"/>
        <v>4339547081229820.5</v>
      </c>
      <c r="AA15">
        <f t="shared" si="15"/>
        <v>4232187768879246.5</v>
      </c>
      <c r="AB15">
        <f>AA15*(1+$M$9)</f>
        <v>4059215737685219</v>
      </c>
      <c r="AC15">
        <f t="shared" ref="AC15:AF15" si="16">AB15*(1+$M$9)</f>
        <v>3893313176280645</v>
      </c>
      <c r="AD15">
        <f t="shared" si="16"/>
        <v>3734191151230686</v>
      </c>
      <c r="AE15">
        <f t="shared" si="16"/>
        <v>3581572537981826.5</v>
      </c>
      <c r="AF15">
        <f t="shared" si="16"/>
        <v>3435191538225872.5</v>
      </c>
      <c r="AG15">
        <f>AF15*(1+$N$9)</f>
        <v>3447315060400241</v>
      </c>
      <c r="AH15">
        <f t="shared" ref="AH15:AN15" si="17">AG15*(1+$N$9)</f>
        <v>3459481369065050.5</v>
      </c>
      <c r="AI15">
        <f t="shared" si="17"/>
        <v>3471690615222933</v>
      </c>
      <c r="AJ15">
        <f t="shared" si="17"/>
        <v>3483942950409442</v>
      </c>
      <c r="AK15">
        <f t="shared" si="17"/>
        <v>3496238526694931.5</v>
      </c>
      <c r="AL15">
        <f t="shared" si="17"/>
        <v>3508577496686444.5</v>
      </c>
      <c r="AM15">
        <f t="shared" si="17"/>
        <v>3520960013529606.5</v>
      </c>
      <c r="AN15">
        <f t="shared" si="17"/>
        <v>3533386230910526.5</v>
      </c>
    </row>
    <row r="16" spans="1:56">
      <c r="D16">
        <v>0</v>
      </c>
    </row>
    <row r="17" spans="1:40">
      <c r="F17" s="45" t="s">
        <v>334</v>
      </c>
    </row>
    <row r="18" spans="1:40">
      <c r="A18" s="47" t="s">
        <v>335</v>
      </c>
      <c r="F18" t="s">
        <v>289</v>
      </c>
      <c r="G18">
        <f>B15</f>
        <v>633226666666666.63</v>
      </c>
      <c r="H18">
        <f>G18*(1+$I$5)</f>
        <v>638327401862359.38</v>
      </c>
      <c r="I18">
        <f t="shared" ref="I18:L18" si="18">H18*(1+$I$5)</f>
        <v>643469224240424.75</v>
      </c>
      <c r="J18">
        <f t="shared" si="18"/>
        <v>648652464764241.75</v>
      </c>
      <c r="K18">
        <f t="shared" si="18"/>
        <v>653877457063148.63</v>
      </c>
      <c r="L18">
        <f t="shared" si="18"/>
        <v>659144537453917.75</v>
      </c>
      <c r="M18">
        <f>L18*(1+$J$5)</f>
        <v>672883760249485</v>
      </c>
      <c r="N18">
        <f t="shared" ref="N18:Q18" si="19">M18*(1+$J$5)</f>
        <v>686909363698004.88</v>
      </c>
      <c r="O18">
        <f t="shared" si="19"/>
        <v>701227317123914.88</v>
      </c>
      <c r="P18">
        <f t="shared" si="19"/>
        <v>715843714276378.38</v>
      </c>
      <c r="Q18">
        <f t="shared" si="19"/>
        <v>730764775922796.25</v>
      </c>
      <c r="R18">
        <f>Q18*(1+$K$5)</f>
        <v>743035672574197.63</v>
      </c>
      <c r="S18">
        <f t="shared" ref="S18:V18" si="20">R18*(1+$K$5)</f>
        <v>755512620351201.38</v>
      </c>
      <c r="T18">
        <f t="shared" si="20"/>
        <v>768199079234570.63</v>
      </c>
      <c r="U18">
        <f t="shared" si="20"/>
        <v>781098567304566.25</v>
      </c>
      <c r="V18">
        <f t="shared" si="20"/>
        <v>794214661716545.25</v>
      </c>
      <c r="W18">
        <f>V18*(1+$L$5)</f>
        <v>802727245112154.88</v>
      </c>
      <c r="X18">
        <f t="shared" ref="X18:AA18" si="21">W18*(1+$L$5)</f>
        <v>811331068420045.38</v>
      </c>
      <c r="Y18">
        <f t="shared" si="21"/>
        <v>820027109571498.75</v>
      </c>
      <c r="Z18">
        <f t="shared" si="21"/>
        <v>828816356979499.25</v>
      </c>
      <c r="AA18">
        <f t="shared" si="21"/>
        <v>837699809651078.63</v>
      </c>
      <c r="AB18">
        <f>AA18*(1+$M$5)</f>
        <v>846692382509505.63</v>
      </c>
      <c r="AC18">
        <f t="shared" ref="AC18:AF18" si="22">AB18*(1+$M$5)</f>
        <v>855781489192678</v>
      </c>
      <c r="AD18">
        <f t="shared" si="22"/>
        <v>864968165975693.75</v>
      </c>
      <c r="AE18">
        <f t="shared" si="22"/>
        <v>874253460257897.63</v>
      </c>
      <c r="AF18">
        <f t="shared" si="22"/>
        <v>883638430682297.88</v>
      </c>
      <c r="AG18">
        <f>AF18*(1+$N$5)</f>
        <v>891113799314756.38</v>
      </c>
      <c r="AH18">
        <f t="shared" ref="AH18:AK18" si="23">AG18*(1+$N$5)</f>
        <v>898652407768221.75</v>
      </c>
      <c r="AI18">
        <f t="shared" si="23"/>
        <v>906254791036372.25</v>
      </c>
      <c r="AJ18">
        <f t="shared" si="23"/>
        <v>913921488638804</v>
      </c>
      <c r="AK18">
        <f t="shared" si="23"/>
        <v>921653044659319.13</v>
      </c>
      <c r="AL18">
        <f>AK18</f>
        <v>921653044659319.13</v>
      </c>
      <c r="AM18">
        <f t="shared" ref="AM18:AN18" si="24">AL18</f>
        <v>921653044659319.13</v>
      </c>
      <c r="AN18">
        <f t="shared" si="24"/>
        <v>921653044659319.13</v>
      </c>
    </row>
    <row r="19" spans="1:40">
      <c r="A19" s="47" t="s">
        <v>336</v>
      </c>
      <c r="F19" t="s">
        <v>290</v>
      </c>
      <c r="G19">
        <f>C15</f>
        <v>138666666666.66666</v>
      </c>
      <c r="H19">
        <f>G19*(1+$I$9)</f>
        <v>139623682139.34079</v>
      </c>
      <c r="I19">
        <f t="shared" ref="I19:L19" si="25">H19*(1+$I$9)</f>
        <v>140587302505.87265</v>
      </c>
      <c r="J19">
        <f t="shared" si="25"/>
        <v>141557573350.29312</v>
      </c>
      <c r="K19">
        <f t="shared" si="25"/>
        <v>142534540571.23376</v>
      </c>
      <c r="L19">
        <f t="shared" si="25"/>
        <v>143518250384.09799</v>
      </c>
      <c r="M19">
        <f>L19*(1+$J$9)</f>
        <v>152794376182.8714</v>
      </c>
      <c r="N19">
        <f t="shared" ref="N19:Q19" si="26">M19*(1+$J$9)</f>
        <v>162670052976.75784</v>
      </c>
      <c r="O19">
        <f t="shared" si="26"/>
        <v>173184032007.76706</v>
      </c>
      <c r="P19">
        <f t="shared" si="26"/>
        <v>184377569156.8295</v>
      </c>
      <c r="Q19">
        <f t="shared" si="26"/>
        <v>196294586828.05591</v>
      </c>
      <c r="R19">
        <f>Q19*(1+$K$9)</f>
        <v>201245284813.99011</v>
      </c>
      <c r="S19">
        <f t="shared" ref="S19:V19" si="27">R19*(1+$K$9)</f>
        <v>206320843148.56656</v>
      </c>
      <c r="T19">
        <f t="shared" si="27"/>
        <v>211524410904.24072</v>
      </c>
      <c r="U19">
        <f t="shared" si="27"/>
        <v>216859216575.45789</v>
      </c>
      <c r="V19">
        <f t="shared" si="27"/>
        <v>222328570081.73572</v>
      </c>
      <c r="W19">
        <f>V19*(1+$L$9)</f>
        <v>216828216714.65182</v>
      </c>
      <c r="X19">
        <f t="shared" ref="X19:AA19" si="28">W19*(1+$L$9)</f>
        <v>211463940717.8837</v>
      </c>
      <c r="Y19">
        <f t="shared" si="28"/>
        <v>206232375571.23233</v>
      </c>
      <c r="Z19">
        <f t="shared" si="28"/>
        <v>201130238041.36871</v>
      </c>
      <c r="AA19">
        <f t="shared" si="28"/>
        <v>196154326121.3374</v>
      </c>
      <c r="AB19">
        <f>AA19*(1+$M$9)</f>
        <v>188137382150.60983</v>
      </c>
      <c r="AC19">
        <f t="shared" ref="AC19:AF19" si="29">AB19*(1+$M$9)</f>
        <v>180448095448.0173</v>
      </c>
      <c r="AD19">
        <f t="shared" si="29"/>
        <v>173073074466.13803</v>
      </c>
      <c r="AE19">
        <f t="shared" si="29"/>
        <v>165999474978.05792</v>
      </c>
      <c r="AF19">
        <f t="shared" si="29"/>
        <v>159214977708.05597</v>
      </c>
      <c r="AG19">
        <f>AF19*(1+$N$9)</f>
        <v>159776881255.86575</v>
      </c>
      <c r="AH19">
        <f t="shared" ref="AH19:AK19" si="30">AG19*(1+$N$9)</f>
        <v>160340767880.90598</v>
      </c>
      <c r="AI19">
        <f t="shared" si="30"/>
        <v>160906644581.87836</v>
      </c>
      <c r="AJ19">
        <f t="shared" si="30"/>
        <v>161474518382.18445</v>
      </c>
      <c r="AK19">
        <f t="shared" si="30"/>
        <v>162044396330.01294</v>
      </c>
      <c r="AL19">
        <f>AK19</f>
        <v>162044396330.01294</v>
      </c>
      <c r="AM19">
        <f t="shared" ref="AM19:AN19" si="31">AL19</f>
        <v>162044396330.01294</v>
      </c>
      <c r="AN19">
        <f t="shared" si="31"/>
        <v>162044396330.01294</v>
      </c>
    </row>
    <row r="20" spans="1:40">
      <c r="A20" s="47" t="s">
        <v>337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30"/>
  <sheetViews>
    <sheetView workbookViewId="0"/>
  </sheetViews>
  <sheetFormatPr defaultRowHeight="14.5"/>
  <cols>
    <col min="1" max="1" width="43.7265625" customWidth="1"/>
    <col min="2" max="2" width="13.453125" bestFit="1" customWidth="1"/>
    <col min="3" max="3" width="12" bestFit="1" customWidth="1"/>
    <col min="4" max="4" width="10.81640625" customWidth="1"/>
    <col min="5" max="5" width="12" bestFit="1" customWidth="1"/>
    <col min="6" max="6" width="10.7265625" bestFit="1" customWidth="1"/>
    <col min="7" max="7" width="59.54296875" bestFit="1" customWidth="1"/>
    <col min="8" max="9" width="12" bestFit="1" customWidth="1"/>
    <col min="13" max="13" width="12" bestFit="1" customWidth="1"/>
    <col min="18" max="18" width="12" bestFit="1" customWidth="1"/>
    <col min="23" max="23" width="12" bestFit="1" customWidth="1"/>
    <col min="28" max="28" width="12" bestFit="1" customWidth="1"/>
    <col min="33" max="33" width="12" bestFit="1" customWidth="1"/>
  </cols>
  <sheetData>
    <row r="1" spans="1:10">
      <c r="A1" s="45" t="s">
        <v>338</v>
      </c>
      <c r="B1" s="45"/>
      <c r="C1" s="45"/>
      <c r="D1" s="48"/>
      <c r="G1" s="45" t="s">
        <v>339</v>
      </c>
      <c r="H1" s="45"/>
      <c r="I1" s="45"/>
    </row>
    <row r="2" spans="1:10">
      <c r="A2" s="46" t="s">
        <v>126</v>
      </c>
      <c r="B2" s="46" t="s">
        <v>272</v>
      </c>
      <c r="C2" s="46" t="s">
        <v>273</v>
      </c>
      <c r="D2" s="46" t="s">
        <v>304</v>
      </c>
      <c r="G2" t="s">
        <v>340</v>
      </c>
      <c r="H2">
        <v>433.16</v>
      </c>
      <c r="I2" t="s">
        <v>341</v>
      </c>
    </row>
    <row r="3" spans="1:10">
      <c r="A3" t="s">
        <v>342</v>
      </c>
      <c r="B3" s="12">
        <v>34.861032152725102</v>
      </c>
      <c r="C3">
        <v>0</v>
      </c>
      <c r="D3">
        <v>0</v>
      </c>
      <c r="G3" t="s">
        <v>343</v>
      </c>
      <c r="H3">
        <v>408</v>
      </c>
      <c r="I3" t="s">
        <v>344</v>
      </c>
    </row>
    <row r="4" spans="1:10">
      <c r="A4" t="s">
        <v>345</v>
      </c>
      <c r="B4" s="12">
        <f>B3*365</f>
        <v>12724.276735744663</v>
      </c>
      <c r="C4">
        <v>0</v>
      </c>
      <c r="D4">
        <v>0</v>
      </c>
      <c r="G4" s="47" t="s">
        <v>346</v>
      </c>
    </row>
    <row r="5" spans="1:10">
      <c r="A5" s="49" t="s">
        <v>347</v>
      </c>
      <c r="B5">
        <v>70637107.406257004</v>
      </c>
      <c r="C5">
        <v>0</v>
      </c>
      <c r="D5">
        <v>0</v>
      </c>
      <c r="G5" s="47" t="s">
        <v>348</v>
      </c>
    </row>
    <row r="6" spans="1:10">
      <c r="A6" t="s">
        <v>282</v>
      </c>
      <c r="B6">
        <f>B5*10^6</f>
        <v>70637107406257</v>
      </c>
      <c r="C6">
        <v>0</v>
      </c>
      <c r="D6">
        <v>0</v>
      </c>
    </row>
    <row r="7" spans="1:10">
      <c r="G7" t="s">
        <v>349</v>
      </c>
      <c r="H7">
        <v>20</v>
      </c>
      <c r="I7" t="s">
        <v>350</v>
      </c>
    </row>
    <row r="8" spans="1:10">
      <c r="A8" s="47" t="s">
        <v>351</v>
      </c>
      <c r="G8" t="s">
        <v>352</v>
      </c>
      <c r="H8">
        <v>5</v>
      </c>
      <c r="I8" t="s">
        <v>350</v>
      </c>
    </row>
    <row r="9" spans="1:10">
      <c r="A9" s="47"/>
    </row>
    <row r="10" spans="1:10">
      <c r="A10" s="47"/>
      <c r="G10" t="s">
        <v>353</v>
      </c>
      <c r="I10">
        <f>(H7/SUM(H7:H8))*H2*10^7</f>
        <v>3465280000</v>
      </c>
      <c r="J10" t="s">
        <v>309</v>
      </c>
    </row>
    <row r="11" spans="1:10">
      <c r="A11" s="47"/>
      <c r="I11">
        <f>Biofuels!I10*'Conversion Factors'!B73</f>
        <v>21796611.199999999</v>
      </c>
      <c r="J11" t="s">
        <v>278</v>
      </c>
    </row>
    <row r="12" spans="1:10">
      <c r="I12">
        <f>I11*'Conversion Factors'!B72</f>
        <v>71035155.90079999</v>
      </c>
      <c r="J12" t="s">
        <v>280</v>
      </c>
    </row>
    <row r="13" spans="1:10">
      <c r="I13" s="82">
        <f>I12*10^6</f>
        <v>71035155900799.984</v>
      </c>
      <c r="J13" t="s">
        <v>282</v>
      </c>
    </row>
    <row r="14" spans="1:10">
      <c r="G14" t="s">
        <v>354</v>
      </c>
      <c r="I14">
        <f>H2*10^7-I10</f>
        <v>866320000</v>
      </c>
      <c r="J14" t="s">
        <v>309</v>
      </c>
    </row>
    <row r="15" spans="1:10">
      <c r="I15">
        <f>I14*'Conversion Factors'!B73</f>
        <v>5449152.7999999998</v>
      </c>
      <c r="J15" t="s">
        <v>278</v>
      </c>
    </row>
    <row r="16" spans="1:10">
      <c r="I16">
        <f>I15*'Conversion Factors'!B72</f>
        <v>17758788.975199997</v>
      </c>
      <c r="J16" t="s">
        <v>280</v>
      </c>
    </row>
    <row r="17" spans="1:35">
      <c r="I17" s="82">
        <f>I16*10^6</f>
        <v>17758788975199.996</v>
      </c>
      <c r="J17" t="s">
        <v>282</v>
      </c>
    </row>
    <row r="18" spans="1:35">
      <c r="G18" s="47" t="s">
        <v>355</v>
      </c>
    </row>
    <row r="20" spans="1:35">
      <c r="B20" s="1">
        <v>2017</v>
      </c>
      <c r="C20" s="1">
        <v>2022</v>
      </c>
      <c r="D20" s="1">
        <v>2027</v>
      </c>
      <c r="E20" s="1">
        <v>2032</v>
      </c>
      <c r="F20" s="1">
        <v>2037</v>
      </c>
      <c r="G20" s="1">
        <v>2042</v>
      </c>
      <c r="H20" s="1">
        <v>2047</v>
      </c>
      <c r="I20" t="s">
        <v>356</v>
      </c>
    </row>
    <row r="21" spans="1:35">
      <c r="A21" s="73" t="s">
        <v>357</v>
      </c>
      <c r="B21" s="13">
        <v>3.5269803118062502</v>
      </c>
      <c r="C21" s="13">
        <v>6.3229757435541671</v>
      </c>
      <c r="D21" s="13">
        <v>10.113685889233334</v>
      </c>
      <c r="E21" s="13">
        <v>10.172828546400002</v>
      </c>
      <c r="F21" s="13">
        <v>10.232609952500001</v>
      </c>
      <c r="G21" s="13">
        <v>10.339732078000001</v>
      </c>
      <c r="H21" s="13">
        <v>10.494265886000001</v>
      </c>
    </row>
    <row r="22" spans="1:35">
      <c r="A22" s="73" t="s">
        <v>358</v>
      </c>
      <c r="B22" s="13">
        <v>8.510885612671693</v>
      </c>
      <c r="C22" s="13">
        <v>19.483758920108034</v>
      </c>
      <c r="D22" s="13">
        <v>33.85182598465984</v>
      </c>
      <c r="E22" s="13">
        <v>51.957282607198884</v>
      </c>
      <c r="F22" s="13">
        <v>75.599196498502394</v>
      </c>
      <c r="G22" s="13">
        <v>104.66167409980413</v>
      </c>
      <c r="H22" s="13">
        <v>141.81257947309263</v>
      </c>
    </row>
    <row r="23" spans="1:35">
      <c r="A23" t="s">
        <v>359</v>
      </c>
      <c r="B23" s="13">
        <f>SUM(B21:B22)</f>
        <v>12.037865924477943</v>
      </c>
      <c r="C23" s="13">
        <f>SUM(C21:C22)</f>
        <v>25.806734663662201</v>
      </c>
      <c r="D23" s="13">
        <f t="shared" ref="D23:H23" si="0">SUM(D21:D22)</f>
        <v>43.965511873893178</v>
      </c>
      <c r="E23" s="13">
        <f t="shared" si="0"/>
        <v>62.130111153598889</v>
      </c>
      <c r="F23" s="13">
        <f t="shared" si="0"/>
        <v>85.831806451002393</v>
      </c>
      <c r="G23" s="13">
        <f t="shared" si="0"/>
        <v>115.00140617780413</v>
      </c>
      <c r="H23" s="13">
        <f t="shared" si="0"/>
        <v>152.30684535909262</v>
      </c>
    </row>
    <row r="24" spans="1:35">
      <c r="A24" t="s">
        <v>277</v>
      </c>
      <c r="C24" s="38">
        <f>(C23-B23)/B23</f>
        <v>1.1437964856533642</v>
      </c>
      <c r="D24" s="38">
        <f>(D23-C23)/C23</f>
        <v>0.70364489916656847</v>
      </c>
      <c r="E24" s="38">
        <f t="shared" ref="E24:H24" si="1">(E23-D23)/D23</f>
        <v>0.41315564189966575</v>
      </c>
      <c r="F24" s="38">
        <f t="shared" si="1"/>
        <v>0.38148483653615001</v>
      </c>
      <c r="G24" s="38">
        <f t="shared" si="1"/>
        <v>0.33984604231128906</v>
      </c>
      <c r="H24" s="38">
        <f t="shared" si="1"/>
        <v>0.3243911567795128</v>
      </c>
    </row>
    <row r="25" spans="1:35">
      <c r="A25" t="s">
        <v>279</v>
      </c>
      <c r="C25" s="81">
        <f>C24/5</f>
        <v>0.22875929713067283</v>
      </c>
      <c r="D25" s="81">
        <f>D24/5</f>
        <v>0.1407289798333137</v>
      </c>
      <c r="E25" s="81">
        <f t="shared" ref="E25:H25" si="2">E24/5</f>
        <v>8.2631128379933153E-2</v>
      </c>
      <c r="F25" s="81">
        <f t="shared" si="2"/>
        <v>7.6296967307229999E-2</v>
      </c>
      <c r="G25" s="81">
        <f t="shared" si="2"/>
        <v>6.7969208462257819E-2</v>
      </c>
      <c r="H25" s="81">
        <f t="shared" si="2"/>
        <v>6.4878231355902566E-2</v>
      </c>
    </row>
    <row r="26" spans="1:35">
      <c r="A26" s="47" t="s">
        <v>360</v>
      </c>
    </row>
    <row r="27" spans="1:35">
      <c r="A27" s="47" t="s">
        <v>53</v>
      </c>
    </row>
    <row r="28" spans="1:35">
      <c r="A28" s="45" t="s">
        <v>288</v>
      </c>
      <c r="B28" s="25">
        <v>2017</v>
      </c>
      <c r="C28" s="1">
        <f>B28+1</f>
        <v>2018</v>
      </c>
      <c r="D28" s="1">
        <f t="shared" ref="D28:AI28" si="3">C28+1</f>
        <v>2019</v>
      </c>
      <c r="E28" s="1">
        <f>D28+1</f>
        <v>2020</v>
      </c>
      <c r="F28" s="1">
        <f t="shared" si="3"/>
        <v>2021</v>
      </c>
      <c r="G28" s="25">
        <f t="shared" si="3"/>
        <v>2022</v>
      </c>
      <c r="H28" s="1">
        <f t="shared" si="3"/>
        <v>2023</v>
      </c>
      <c r="I28" s="1">
        <f t="shared" si="3"/>
        <v>2024</v>
      </c>
      <c r="J28" s="1">
        <f t="shared" si="3"/>
        <v>2025</v>
      </c>
      <c r="K28" s="1">
        <f t="shared" si="3"/>
        <v>2026</v>
      </c>
      <c r="L28" s="25">
        <f t="shared" si="3"/>
        <v>2027</v>
      </c>
      <c r="M28" s="1">
        <f t="shared" si="3"/>
        <v>2028</v>
      </c>
      <c r="N28" s="1">
        <f t="shared" si="3"/>
        <v>2029</v>
      </c>
      <c r="O28" s="1">
        <f t="shared" si="3"/>
        <v>2030</v>
      </c>
      <c r="P28" s="1">
        <f t="shared" si="3"/>
        <v>2031</v>
      </c>
      <c r="Q28" s="25">
        <f t="shared" si="3"/>
        <v>2032</v>
      </c>
      <c r="R28" s="1">
        <f t="shared" si="3"/>
        <v>2033</v>
      </c>
      <c r="S28" s="1">
        <f t="shared" si="3"/>
        <v>2034</v>
      </c>
      <c r="T28" s="1">
        <f t="shared" si="3"/>
        <v>2035</v>
      </c>
      <c r="U28" s="1">
        <f t="shared" si="3"/>
        <v>2036</v>
      </c>
      <c r="V28" s="25">
        <f t="shared" si="3"/>
        <v>2037</v>
      </c>
      <c r="W28" s="1">
        <f t="shared" si="3"/>
        <v>2038</v>
      </c>
      <c r="X28" s="1">
        <f t="shared" si="3"/>
        <v>2039</v>
      </c>
      <c r="Y28" s="1">
        <f t="shared" si="3"/>
        <v>2040</v>
      </c>
      <c r="Z28" s="1">
        <f t="shared" si="3"/>
        <v>2041</v>
      </c>
      <c r="AA28" s="25">
        <f t="shared" si="3"/>
        <v>2042</v>
      </c>
      <c r="AB28" s="1">
        <f t="shared" si="3"/>
        <v>2043</v>
      </c>
      <c r="AC28" s="1">
        <f t="shared" si="3"/>
        <v>2044</v>
      </c>
      <c r="AD28" s="1">
        <f t="shared" si="3"/>
        <v>2045</v>
      </c>
      <c r="AE28" s="1">
        <f t="shared" si="3"/>
        <v>2046</v>
      </c>
      <c r="AF28" s="25">
        <f t="shared" si="3"/>
        <v>2047</v>
      </c>
      <c r="AG28" s="1">
        <f t="shared" si="3"/>
        <v>2048</v>
      </c>
      <c r="AH28" s="1">
        <f t="shared" si="3"/>
        <v>2049</v>
      </c>
      <c r="AI28" s="1">
        <f t="shared" si="3"/>
        <v>2050</v>
      </c>
    </row>
    <row r="29" spans="1:35">
      <c r="A29" t="s">
        <v>361</v>
      </c>
      <c r="B29">
        <f>I13</f>
        <v>71035155900799.984</v>
      </c>
      <c r="C29">
        <f>B29</f>
        <v>71035155900799.984</v>
      </c>
      <c r="D29">
        <f>C29</f>
        <v>71035155900799.984</v>
      </c>
      <c r="E29">
        <f t="shared" ref="E29:G30" si="4">D29*(1+$C$25)</f>
        <v>87285108236234.766</v>
      </c>
      <c r="F29">
        <f t="shared" si="4"/>
        <v>107252388246330.53</v>
      </c>
      <c r="G29">
        <f t="shared" si="4"/>
        <v>131787369197147.14</v>
      </c>
      <c r="H29">
        <f>G29*(1+$D$25)</f>
        <v>150333671219177.94</v>
      </c>
      <c r="I29">
        <f t="shared" ref="I29:L29" si="5">H29*(1+$D$25)</f>
        <v>171489975404449.66</v>
      </c>
      <c r="J29">
        <f>I29*(1+$D$25)</f>
        <v>195623584694757.94</v>
      </c>
      <c r="K29">
        <f t="shared" si="5"/>
        <v>223153492200187.06</v>
      </c>
      <c r="L29">
        <f t="shared" si="5"/>
        <v>254557655503760.72</v>
      </c>
      <c r="M29">
        <f>L29*(1+$E$25)</f>
        <v>275592041815786.78</v>
      </c>
      <c r="N29">
        <f t="shared" ref="N29:Q29" si="6">M29*(1+$E$25)</f>
        <v>298364523203555</v>
      </c>
      <c r="O29">
        <f t="shared" si="6"/>
        <v>323018720424405.5</v>
      </c>
      <c r="P29">
        <f t="shared" si="6"/>
        <v>349710121780916.31</v>
      </c>
      <c r="Q29">
        <f t="shared" si="6"/>
        <v>378607063749557.31</v>
      </c>
      <c r="R29">
        <f>Q29*(1+$F$25)</f>
        <v>407493634514743.63</v>
      </c>
      <c r="S29">
        <f t="shared" ref="S29:V29" si="7">R29*(1+$F$25)</f>
        <v>438584163025219.38</v>
      </c>
      <c r="T29">
        <f t="shared" si="7"/>
        <v>472046804573023.38</v>
      </c>
      <c r="U29">
        <f t="shared" si="7"/>
        <v>508062544189013.75</v>
      </c>
      <c r="V29">
        <f t="shared" si="7"/>
        <v>546826175513031.06</v>
      </c>
      <c r="W29">
        <f>V29*(1+$G$25)</f>
        <v>583993517829095.5</v>
      </c>
      <c r="X29">
        <f t="shared" ref="X29:AA29" si="8">W29*(1+$G$25)</f>
        <v>623687094983028.63</v>
      </c>
      <c r="Y29">
        <f t="shared" si="8"/>
        <v>666078613157150.13</v>
      </c>
      <c r="Z29">
        <f t="shared" si="8"/>
        <v>711351449267080.13</v>
      </c>
      <c r="AA29">
        <f t="shared" si="8"/>
        <v>759701444212243.5</v>
      </c>
      <c r="AB29">
        <f>AA29*(1+$H$25)</f>
        <v>808989530271258.75</v>
      </c>
      <c r="AC29">
        <f t="shared" ref="AC29:AI29" si="9">AB29*(1+$H$25)</f>
        <v>861475340180700.5</v>
      </c>
      <c r="AD29">
        <f t="shared" si="9"/>
        <v>917366336608348.88</v>
      </c>
      <c r="AE29">
        <f t="shared" si="9"/>
        <v>976883442032942.25</v>
      </c>
      <c r="AF29">
        <f t="shared" si="9"/>
        <v>1040261911992906</v>
      </c>
      <c r="AG29">
        <f t="shared" si="9"/>
        <v>1107752264989915.4</v>
      </c>
      <c r="AH29">
        <f t="shared" si="9"/>
        <v>1179621272722956.3</v>
      </c>
      <c r="AI29">
        <f t="shared" si="9"/>
        <v>1256153014567020.5</v>
      </c>
    </row>
    <row r="30" spans="1:35">
      <c r="A30" t="s">
        <v>362</v>
      </c>
      <c r="B30">
        <f>I17</f>
        <v>17758788975199.996</v>
      </c>
      <c r="C30">
        <f>B30</f>
        <v>17758788975199.996</v>
      </c>
      <c r="D30">
        <f>C30</f>
        <v>17758788975199.996</v>
      </c>
      <c r="E30">
        <f t="shared" si="4"/>
        <v>21821277059058.691</v>
      </c>
      <c r="F30">
        <f t="shared" si="4"/>
        <v>26813097061582.633</v>
      </c>
      <c r="G30">
        <f t="shared" si="4"/>
        <v>32946842299286.785</v>
      </c>
      <c r="H30">
        <f>G30*(1+$D$25)</f>
        <v>37583417804794.484</v>
      </c>
      <c r="I30">
        <f t="shared" ref="I30:L30" si="10">H30*(1+$D$25)</f>
        <v>42872493851112.414</v>
      </c>
      <c r="J30">
        <f t="shared" si="10"/>
        <v>48905896173689.484</v>
      </c>
      <c r="K30">
        <f t="shared" si="10"/>
        <v>55788373050046.766</v>
      </c>
      <c r="L30">
        <f t="shared" si="10"/>
        <v>63639413875940.18</v>
      </c>
      <c r="M30">
        <f>L30*(1+$E$25)</f>
        <v>68898010453946.695</v>
      </c>
      <c r="N30">
        <f t="shared" ref="N30:Q30" si="11">M30*(1+$E$25)</f>
        <v>74591130800888.75</v>
      </c>
      <c r="O30">
        <f t="shared" si="11"/>
        <v>80754680106101.375</v>
      </c>
      <c r="P30">
        <f t="shared" si="11"/>
        <v>87427530445229.078</v>
      </c>
      <c r="Q30">
        <f t="shared" si="11"/>
        <v>94651765937389.328</v>
      </c>
      <c r="R30">
        <f>Q30*(1+$F$25)</f>
        <v>101873408628685.91</v>
      </c>
      <c r="S30">
        <f t="shared" ref="S30:V30" si="12">R30*(1+$F$25)</f>
        <v>109646040756304.84</v>
      </c>
      <c r="T30">
        <f t="shared" si="12"/>
        <v>118011701143255.84</v>
      </c>
      <c r="U30">
        <f t="shared" si="12"/>
        <v>127015636047253.44</v>
      </c>
      <c r="V30">
        <f t="shared" si="12"/>
        <v>136706543878257.77</v>
      </c>
      <c r="W30">
        <f>V30*(1+$G$25)</f>
        <v>145998379457273.88</v>
      </c>
      <c r="X30">
        <f t="shared" ref="X30:AA30" si="13">W30*(1+$G$25)</f>
        <v>155921773745757.16</v>
      </c>
      <c r="Y30">
        <f t="shared" si="13"/>
        <v>166519653289287.53</v>
      </c>
      <c r="Z30">
        <f t="shared" si="13"/>
        <v>177837862316770.03</v>
      </c>
      <c r="AA30">
        <f t="shared" si="13"/>
        <v>189925361053060.88</v>
      </c>
      <c r="AB30">
        <f>AA30*(1+$H$25)</f>
        <v>202247382567814.69</v>
      </c>
      <c r="AC30">
        <f t="shared" ref="AC30:AI30" si="14">AB30*(1+$H$25)</f>
        <v>215368835045175.13</v>
      </c>
      <c r="AD30">
        <f t="shared" si="14"/>
        <v>229341584152087.22</v>
      </c>
      <c r="AE30">
        <f t="shared" si="14"/>
        <v>244220860508235.56</v>
      </c>
      <c r="AF30">
        <f t="shared" si="14"/>
        <v>260065477998226.5</v>
      </c>
      <c r="AG30">
        <f t="shared" si="14"/>
        <v>276938066247478.84</v>
      </c>
      <c r="AH30">
        <f t="shared" si="14"/>
        <v>294905318180739.06</v>
      </c>
      <c r="AI30">
        <f t="shared" si="14"/>
        <v>314038253641755.13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30"/>
  <sheetViews>
    <sheetView workbookViewId="0"/>
  </sheetViews>
  <sheetFormatPr defaultRowHeight="14.5"/>
  <cols>
    <col min="2" max="2" width="14" customWidth="1"/>
    <col min="6" max="6" width="10.7265625" customWidth="1"/>
    <col min="9" max="9" width="18.81640625" customWidth="1"/>
    <col min="10" max="10" width="12" bestFit="1" customWidth="1"/>
  </cols>
  <sheetData>
    <row r="1" spans="1:43" ht="15" thickBot="1">
      <c r="A1" s="1" t="s">
        <v>363</v>
      </c>
      <c r="E1" s="67" t="s">
        <v>364</v>
      </c>
      <c r="F1" s="68"/>
      <c r="J1" s="1">
        <v>2017</v>
      </c>
      <c r="K1" s="1">
        <f>J1+1</f>
        <v>2018</v>
      </c>
      <c r="L1" s="1">
        <f t="shared" ref="L1:AP1" si="0">K1+1</f>
        <v>2019</v>
      </c>
      <c r="M1" s="1">
        <f t="shared" si="0"/>
        <v>2020</v>
      </c>
      <c r="N1" s="1">
        <f t="shared" si="0"/>
        <v>2021</v>
      </c>
      <c r="O1" s="1">
        <f t="shared" si="0"/>
        <v>2022</v>
      </c>
      <c r="P1" s="1">
        <f t="shared" si="0"/>
        <v>2023</v>
      </c>
      <c r="Q1" s="1">
        <f t="shared" si="0"/>
        <v>2024</v>
      </c>
      <c r="R1" s="1">
        <f t="shared" si="0"/>
        <v>2025</v>
      </c>
      <c r="S1" s="1">
        <f t="shared" si="0"/>
        <v>2026</v>
      </c>
      <c r="T1" s="1">
        <f t="shared" si="0"/>
        <v>2027</v>
      </c>
      <c r="U1" s="1">
        <f t="shared" si="0"/>
        <v>2028</v>
      </c>
      <c r="V1" s="1">
        <f t="shared" si="0"/>
        <v>2029</v>
      </c>
      <c r="W1" s="1">
        <f t="shared" si="0"/>
        <v>2030</v>
      </c>
      <c r="X1" s="1">
        <f t="shared" si="0"/>
        <v>2031</v>
      </c>
      <c r="Y1" s="1">
        <f t="shared" si="0"/>
        <v>2032</v>
      </c>
      <c r="Z1" s="1">
        <f t="shared" si="0"/>
        <v>2033</v>
      </c>
      <c r="AA1" s="1">
        <f t="shared" si="0"/>
        <v>2034</v>
      </c>
      <c r="AB1" s="1">
        <f t="shared" si="0"/>
        <v>2035</v>
      </c>
      <c r="AC1" s="1">
        <f t="shared" si="0"/>
        <v>2036</v>
      </c>
      <c r="AD1" s="1">
        <f t="shared" si="0"/>
        <v>2037</v>
      </c>
      <c r="AE1" s="1">
        <f t="shared" si="0"/>
        <v>2038</v>
      </c>
      <c r="AF1" s="1">
        <f t="shared" si="0"/>
        <v>2039</v>
      </c>
      <c r="AG1" s="1">
        <f t="shared" si="0"/>
        <v>2040</v>
      </c>
      <c r="AH1" s="1">
        <f t="shared" si="0"/>
        <v>2041</v>
      </c>
      <c r="AI1" s="1">
        <f t="shared" si="0"/>
        <v>2042</v>
      </c>
      <c r="AJ1" s="1">
        <f t="shared" si="0"/>
        <v>2043</v>
      </c>
      <c r="AK1" s="1">
        <f t="shared" si="0"/>
        <v>2044</v>
      </c>
      <c r="AL1" s="1">
        <f t="shared" si="0"/>
        <v>2045</v>
      </c>
      <c r="AM1" s="1">
        <f t="shared" si="0"/>
        <v>2046</v>
      </c>
      <c r="AN1" s="1">
        <f t="shared" si="0"/>
        <v>2047</v>
      </c>
      <c r="AO1" s="1">
        <f t="shared" si="0"/>
        <v>2048</v>
      </c>
      <c r="AP1" s="1">
        <f t="shared" si="0"/>
        <v>2049</v>
      </c>
      <c r="AQ1" s="1">
        <f>AP1+1</f>
        <v>2050</v>
      </c>
    </row>
    <row r="2" spans="1:43">
      <c r="A2" s="55"/>
      <c r="B2" s="57">
        <v>2013</v>
      </c>
      <c r="C2" s="61">
        <v>2031</v>
      </c>
      <c r="D2" s="58">
        <v>2050</v>
      </c>
      <c r="E2" s="63">
        <v>2013</v>
      </c>
      <c r="F2" s="64">
        <v>2022</v>
      </c>
      <c r="I2" t="s">
        <v>365</v>
      </c>
      <c r="J2" s="13">
        <f>FORECAST(J1,$B$3:$C$3,$B$2:$C$2)</f>
        <v>84.888888888888687</v>
      </c>
      <c r="K2" s="13">
        <f t="shared" ref="K2:X2" si="1">FORECAST(K1,$B$3:$C$3,$B$2:$C$2)</f>
        <v>90.611111111111313</v>
      </c>
      <c r="L2" s="13">
        <f t="shared" si="1"/>
        <v>96.333333333332121</v>
      </c>
      <c r="M2" s="13">
        <f t="shared" si="1"/>
        <v>102.05555555555475</v>
      </c>
      <c r="N2" s="13">
        <f t="shared" si="1"/>
        <v>107.77777777777737</v>
      </c>
      <c r="O2" s="13">
        <f t="shared" si="1"/>
        <v>113.5</v>
      </c>
      <c r="P2" s="13">
        <f t="shared" si="1"/>
        <v>119.22222222222263</v>
      </c>
      <c r="Q2" s="13">
        <f t="shared" si="1"/>
        <v>124.94444444444343</v>
      </c>
      <c r="R2" s="13">
        <f t="shared" si="1"/>
        <v>130.66666666666606</v>
      </c>
      <c r="S2" s="13">
        <f t="shared" si="1"/>
        <v>136.38888888888869</v>
      </c>
      <c r="T2" s="13">
        <f t="shared" si="1"/>
        <v>142.11111111111131</v>
      </c>
      <c r="U2" s="13">
        <f t="shared" si="1"/>
        <v>147.83333333333212</v>
      </c>
      <c r="V2" s="13">
        <f t="shared" si="1"/>
        <v>153.55555555555475</v>
      </c>
      <c r="W2" s="13">
        <f t="shared" si="1"/>
        <v>159.27777777777737</v>
      </c>
      <c r="X2" s="13">
        <f t="shared" si="1"/>
        <v>165</v>
      </c>
      <c r="Y2" s="13">
        <f>FORECAST(Y1,$C$3:$D$3,$C$2:$D$2)</f>
        <v>179.26315789473665</v>
      </c>
      <c r="Z2" s="13">
        <f t="shared" ref="Z2:AQ2" si="2">FORECAST(Z1,$C$3:$D$3,$C$2:$D$2)</f>
        <v>193.5263157894733</v>
      </c>
      <c r="AA2" s="13">
        <f t="shared" si="2"/>
        <v>207.78947368420995</v>
      </c>
      <c r="AB2" s="13">
        <f t="shared" si="2"/>
        <v>222.0526315789466</v>
      </c>
      <c r="AC2" s="13">
        <f t="shared" si="2"/>
        <v>236.31578947368325</v>
      </c>
      <c r="AD2" s="13">
        <f t="shared" si="2"/>
        <v>250.5789473684199</v>
      </c>
      <c r="AE2" s="13">
        <f t="shared" si="2"/>
        <v>264.84210526315655</v>
      </c>
      <c r="AF2" s="13">
        <f t="shared" si="2"/>
        <v>279.10526315789684</v>
      </c>
      <c r="AG2" s="13">
        <f t="shared" si="2"/>
        <v>293.36842105263349</v>
      </c>
      <c r="AH2" s="13">
        <f t="shared" si="2"/>
        <v>307.63157894737014</v>
      </c>
      <c r="AI2" s="13">
        <f t="shared" si="2"/>
        <v>321.89473684210679</v>
      </c>
      <c r="AJ2" s="13">
        <f t="shared" si="2"/>
        <v>336.15789473684345</v>
      </c>
      <c r="AK2" s="13">
        <f t="shared" si="2"/>
        <v>350.4210526315801</v>
      </c>
      <c r="AL2" s="13">
        <f t="shared" si="2"/>
        <v>364.68421052631675</v>
      </c>
      <c r="AM2" s="13">
        <f t="shared" si="2"/>
        <v>378.9473684210534</v>
      </c>
      <c r="AN2" s="13">
        <f t="shared" si="2"/>
        <v>393.21052631579005</v>
      </c>
      <c r="AO2" s="13">
        <f t="shared" si="2"/>
        <v>407.4736842105267</v>
      </c>
      <c r="AP2" s="13">
        <f t="shared" si="2"/>
        <v>421.73684210526335</v>
      </c>
      <c r="AQ2" s="13">
        <f t="shared" si="2"/>
        <v>436</v>
      </c>
    </row>
    <row r="3" spans="1:43" ht="15" thickBot="1">
      <c r="A3" s="56" t="s">
        <v>275</v>
      </c>
      <c r="B3" s="59">
        <v>62</v>
      </c>
      <c r="C3" s="62">
        <v>165</v>
      </c>
      <c r="D3" s="60">
        <v>436</v>
      </c>
      <c r="E3" s="65">
        <v>0.68</v>
      </c>
      <c r="F3" s="66">
        <v>1</v>
      </c>
      <c r="I3" t="s">
        <v>366</v>
      </c>
      <c r="J3" s="13">
        <f>FORECAST(J1,$E$3:$F$3,$E$2:$F$2)</f>
        <v>0.82222222222222285</v>
      </c>
      <c r="K3" s="13">
        <f t="shared" ref="K3:O3" si="3">FORECAST(K1,$E$3:$F$3,$E$2:$F$2)</f>
        <v>0.85777777777778397</v>
      </c>
      <c r="L3" s="13">
        <f t="shared" si="3"/>
        <v>0.89333333333333087</v>
      </c>
      <c r="M3" s="13">
        <f t="shared" si="3"/>
        <v>0.92888888888889198</v>
      </c>
      <c r="N3" s="13">
        <f t="shared" si="3"/>
        <v>0.9644444444444531</v>
      </c>
      <c r="O3" s="13">
        <f t="shared" si="3"/>
        <v>1</v>
      </c>
      <c r="P3" s="13">
        <f>O3</f>
        <v>1</v>
      </c>
      <c r="Q3" s="13">
        <f t="shared" ref="Q3:AQ3" si="4">P3</f>
        <v>1</v>
      </c>
      <c r="R3" s="13">
        <f t="shared" si="4"/>
        <v>1</v>
      </c>
      <c r="S3" s="13">
        <f t="shared" si="4"/>
        <v>1</v>
      </c>
      <c r="T3" s="13">
        <f t="shared" si="4"/>
        <v>1</v>
      </c>
      <c r="U3" s="13">
        <f t="shared" si="4"/>
        <v>1</v>
      </c>
      <c r="V3" s="13">
        <f t="shared" si="4"/>
        <v>1</v>
      </c>
      <c r="W3" s="13">
        <f t="shared" si="4"/>
        <v>1</v>
      </c>
      <c r="X3" s="13">
        <f t="shared" si="4"/>
        <v>1</v>
      </c>
      <c r="Y3" s="13">
        <f t="shared" si="4"/>
        <v>1</v>
      </c>
      <c r="Z3" s="13">
        <f t="shared" si="4"/>
        <v>1</v>
      </c>
      <c r="AA3" s="13">
        <f t="shared" si="4"/>
        <v>1</v>
      </c>
      <c r="AB3" s="13">
        <f t="shared" si="4"/>
        <v>1</v>
      </c>
      <c r="AC3" s="13">
        <f t="shared" si="4"/>
        <v>1</v>
      </c>
      <c r="AD3" s="13">
        <f t="shared" si="4"/>
        <v>1</v>
      </c>
      <c r="AE3" s="13">
        <f t="shared" si="4"/>
        <v>1</v>
      </c>
      <c r="AF3" s="13">
        <f t="shared" si="4"/>
        <v>1</v>
      </c>
      <c r="AG3" s="13">
        <f t="shared" si="4"/>
        <v>1</v>
      </c>
      <c r="AH3" s="13">
        <f t="shared" si="4"/>
        <v>1</v>
      </c>
      <c r="AI3" s="13">
        <f t="shared" si="4"/>
        <v>1</v>
      </c>
      <c r="AJ3" s="13">
        <f t="shared" si="4"/>
        <v>1</v>
      </c>
      <c r="AK3" s="13">
        <f t="shared" si="4"/>
        <v>1</v>
      </c>
      <c r="AL3" s="13">
        <f t="shared" si="4"/>
        <v>1</v>
      </c>
      <c r="AM3" s="13">
        <f t="shared" si="4"/>
        <v>1</v>
      </c>
      <c r="AN3" s="13">
        <f t="shared" si="4"/>
        <v>1</v>
      </c>
      <c r="AO3" s="13">
        <f t="shared" si="4"/>
        <v>1</v>
      </c>
      <c r="AP3" s="13">
        <f t="shared" si="4"/>
        <v>1</v>
      </c>
      <c r="AQ3" s="13">
        <f t="shared" si="4"/>
        <v>1</v>
      </c>
    </row>
    <row r="4" spans="1:43">
      <c r="I4" t="s">
        <v>367</v>
      </c>
      <c r="J4" s="13">
        <f>J2*J3</f>
        <v>69.797530864197412</v>
      </c>
      <c r="K4" s="13">
        <f t="shared" ref="K4:AQ4" si="5">K2*K3</f>
        <v>77.724197530864927</v>
      </c>
      <c r="L4" s="13">
        <f t="shared" si="5"/>
        <v>86.057777777776451</v>
      </c>
      <c r="M4" s="13">
        <f t="shared" si="5"/>
        <v>94.798271604937838</v>
      </c>
      <c r="N4" s="13">
        <f t="shared" si="5"/>
        <v>103.94567901234622</v>
      </c>
      <c r="O4" s="13">
        <f t="shared" si="5"/>
        <v>113.5</v>
      </c>
      <c r="P4" s="13">
        <f t="shared" si="5"/>
        <v>119.22222222222263</v>
      </c>
      <c r="Q4" s="13">
        <f t="shared" si="5"/>
        <v>124.94444444444343</v>
      </c>
      <c r="R4" s="13">
        <f t="shared" si="5"/>
        <v>130.66666666666606</v>
      </c>
      <c r="S4" s="13">
        <f t="shared" si="5"/>
        <v>136.38888888888869</v>
      </c>
      <c r="T4" s="13">
        <f t="shared" si="5"/>
        <v>142.11111111111131</v>
      </c>
      <c r="U4" s="13">
        <f t="shared" si="5"/>
        <v>147.83333333333212</v>
      </c>
      <c r="V4" s="13">
        <f t="shared" si="5"/>
        <v>153.55555555555475</v>
      </c>
      <c r="W4" s="13">
        <f t="shared" si="5"/>
        <v>159.27777777777737</v>
      </c>
      <c r="X4" s="13">
        <f t="shared" si="5"/>
        <v>165</v>
      </c>
      <c r="Y4" s="13">
        <f t="shared" si="5"/>
        <v>179.26315789473665</v>
      </c>
      <c r="Z4" s="13">
        <f t="shared" si="5"/>
        <v>193.5263157894733</v>
      </c>
      <c r="AA4" s="13">
        <f t="shared" si="5"/>
        <v>207.78947368420995</v>
      </c>
      <c r="AB4" s="13">
        <f t="shared" si="5"/>
        <v>222.0526315789466</v>
      </c>
      <c r="AC4" s="13">
        <f t="shared" si="5"/>
        <v>236.31578947368325</v>
      </c>
      <c r="AD4" s="13">
        <f t="shared" si="5"/>
        <v>250.5789473684199</v>
      </c>
      <c r="AE4" s="13">
        <f t="shared" si="5"/>
        <v>264.84210526315655</v>
      </c>
      <c r="AF4" s="13">
        <f t="shared" si="5"/>
        <v>279.10526315789684</v>
      </c>
      <c r="AG4" s="13">
        <f t="shared" si="5"/>
        <v>293.36842105263349</v>
      </c>
      <c r="AH4" s="13">
        <f t="shared" si="5"/>
        <v>307.63157894737014</v>
      </c>
      <c r="AI4" s="13">
        <f t="shared" si="5"/>
        <v>321.89473684210679</v>
      </c>
      <c r="AJ4" s="13">
        <f t="shared" si="5"/>
        <v>336.15789473684345</v>
      </c>
      <c r="AK4" s="13">
        <f t="shared" si="5"/>
        <v>350.4210526315801</v>
      </c>
      <c r="AL4" s="13">
        <f t="shared" si="5"/>
        <v>364.68421052631675</v>
      </c>
      <c r="AM4" s="13">
        <f t="shared" si="5"/>
        <v>378.9473684210534</v>
      </c>
      <c r="AN4" s="13">
        <f t="shared" si="5"/>
        <v>393.21052631579005</v>
      </c>
      <c r="AO4" s="13">
        <f t="shared" si="5"/>
        <v>407.4736842105267</v>
      </c>
      <c r="AP4" s="13">
        <f t="shared" si="5"/>
        <v>421.73684210526335</v>
      </c>
      <c r="AQ4" s="13">
        <f t="shared" si="5"/>
        <v>436</v>
      </c>
    </row>
    <row r="5" spans="1:43">
      <c r="A5" s="1" t="s">
        <v>368</v>
      </c>
      <c r="I5" t="s">
        <v>369</v>
      </c>
      <c r="J5" s="13">
        <f>($C$6/100)*J4</f>
        <v>35.596740740740678</v>
      </c>
      <c r="K5" s="13">
        <f t="shared" ref="K5:AQ5" si="6">($C$6/100)*K4</f>
        <v>39.639340740741112</v>
      </c>
      <c r="L5" s="13">
        <f t="shared" si="6"/>
        <v>43.889466666665989</v>
      </c>
      <c r="M5" s="13">
        <f t="shared" si="6"/>
        <v>48.3471185185183</v>
      </c>
      <c r="N5" s="13">
        <f t="shared" si="6"/>
        <v>53.012296296296576</v>
      </c>
      <c r="O5" s="13">
        <f t="shared" si="6"/>
        <v>57.884999999999998</v>
      </c>
      <c r="P5" s="13">
        <f t="shared" si="6"/>
        <v>60.803333333333541</v>
      </c>
      <c r="Q5" s="13">
        <f t="shared" si="6"/>
        <v>63.721666666666152</v>
      </c>
      <c r="R5" s="13">
        <f t="shared" si="6"/>
        <v>66.639999999999688</v>
      </c>
      <c r="S5" s="13">
        <f t="shared" si="6"/>
        <v>69.558333333333238</v>
      </c>
      <c r="T5" s="13">
        <f t="shared" si="6"/>
        <v>72.476666666666773</v>
      </c>
      <c r="U5" s="13">
        <f t="shared" si="6"/>
        <v>75.394999999999385</v>
      </c>
      <c r="V5" s="13">
        <f t="shared" si="6"/>
        <v>78.31333333333292</v>
      </c>
      <c r="W5" s="13">
        <f t="shared" si="6"/>
        <v>81.231666666666456</v>
      </c>
      <c r="X5" s="13">
        <f t="shared" si="6"/>
        <v>84.15</v>
      </c>
      <c r="Y5" s="13">
        <f t="shared" si="6"/>
        <v>91.42421052631569</v>
      </c>
      <c r="Z5" s="13">
        <f t="shared" si="6"/>
        <v>98.698421052631389</v>
      </c>
      <c r="AA5" s="13">
        <f t="shared" si="6"/>
        <v>105.97263157894707</v>
      </c>
      <c r="AB5" s="13">
        <f t="shared" si="6"/>
        <v>113.24684210526277</v>
      </c>
      <c r="AC5" s="13">
        <f t="shared" si="6"/>
        <v>120.52105263157846</v>
      </c>
      <c r="AD5" s="13">
        <f t="shared" si="6"/>
        <v>127.79526315789415</v>
      </c>
      <c r="AE5" s="13">
        <f t="shared" si="6"/>
        <v>135.06947368420984</v>
      </c>
      <c r="AF5" s="13">
        <f t="shared" si="6"/>
        <v>142.34368421052739</v>
      </c>
      <c r="AG5" s="13">
        <f t="shared" si="6"/>
        <v>149.61789473684308</v>
      </c>
      <c r="AH5" s="13">
        <f t="shared" si="6"/>
        <v>156.89210526315878</v>
      </c>
      <c r="AI5" s="13">
        <f t="shared" si="6"/>
        <v>164.16631578947448</v>
      </c>
      <c r="AJ5" s="13">
        <f t="shared" si="6"/>
        <v>171.44052631579015</v>
      </c>
      <c r="AK5" s="13">
        <f t="shared" si="6"/>
        <v>178.71473684210585</v>
      </c>
      <c r="AL5" s="13">
        <f t="shared" si="6"/>
        <v>185.98894736842155</v>
      </c>
      <c r="AM5" s="13">
        <f t="shared" si="6"/>
        <v>193.26315789473725</v>
      </c>
      <c r="AN5" s="13">
        <f t="shared" si="6"/>
        <v>200.53736842105292</v>
      </c>
      <c r="AO5" s="13">
        <f t="shared" si="6"/>
        <v>207.81157894736862</v>
      </c>
      <c r="AP5" s="13">
        <f t="shared" si="6"/>
        <v>215.08578947368431</v>
      </c>
      <c r="AQ5" s="13">
        <f t="shared" si="6"/>
        <v>222.36</v>
      </c>
    </row>
    <row r="6" spans="1:43">
      <c r="A6" t="s">
        <v>370</v>
      </c>
      <c r="C6">
        <v>51</v>
      </c>
      <c r="D6" t="s">
        <v>350</v>
      </c>
      <c r="E6" t="s">
        <v>371</v>
      </c>
      <c r="G6">
        <v>68</v>
      </c>
      <c r="H6" t="s">
        <v>350</v>
      </c>
      <c r="I6" t="s">
        <v>372</v>
      </c>
      <c r="J6" s="13">
        <f>($C$9/100)*J4</f>
        <v>17.100395061728367</v>
      </c>
      <c r="K6" s="13">
        <f t="shared" ref="K6:AQ6" si="7">($C$9/100)*K4</f>
        <v>19.042428395061908</v>
      </c>
      <c r="L6" s="13">
        <f t="shared" si="7"/>
        <v>21.084155555555231</v>
      </c>
      <c r="M6" s="13">
        <f t="shared" si="7"/>
        <v>23.225576543209769</v>
      </c>
      <c r="N6" s="13">
        <f t="shared" si="7"/>
        <v>25.466691358024821</v>
      </c>
      <c r="O6" s="13">
        <f t="shared" si="7"/>
        <v>27.807500000000001</v>
      </c>
      <c r="P6" s="13">
        <f t="shared" si="7"/>
        <v>29.209444444444543</v>
      </c>
      <c r="Q6" s="13">
        <f t="shared" si="7"/>
        <v>30.611388888888641</v>
      </c>
      <c r="R6" s="13">
        <f t="shared" si="7"/>
        <v>32.013333333333186</v>
      </c>
      <c r="S6" s="13">
        <f t="shared" si="7"/>
        <v>33.415277777777725</v>
      </c>
      <c r="T6" s="13">
        <f t="shared" si="7"/>
        <v>34.81722222222227</v>
      </c>
      <c r="U6" s="13">
        <f t="shared" si="7"/>
        <v>36.219166666666368</v>
      </c>
      <c r="V6" s="13">
        <f t="shared" si="7"/>
        <v>37.621111111110913</v>
      </c>
      <c r="W6" s="13">
        <f t="shared" si="7"/>
        <v>39.023055555555459</v>
      </c>
      <c r="X6" s="13">
        <f t="shared" si="7"/>
        <v>40.424999999999997</v>
      </c>
      <c r="Y6" s="13">
        <f t="shared" si="7"/>
        <v>43.91947368421048</v>
      </c>
      <c r="Z6" s="13">
        <f t="shared" si="7"/>
        <v>47.413947368420956</v>
      </c>
      <c r="AA6" s="13">
        <f t="shared" si="7"/>
        <v>50.908421052631439</v>
      </c>
      <c r="AB6" s="13">
        <f t="shared" si="7"/>
        <v>54.402894736841915</v>
      </c>
      <c r="AC6" s="13">
        <f t="shared" si="7"/>
        <v>57.897368421052398</v>
      </c>
      <c r="AD6" s="13">
        <f t="shared" si="7"/>
        <v>61.391842105262874</v>
      </c>
      <c r="AE6" s="13">
        <f t="shared" si="7"/>
        <v>64.886315789473358</v>
      </c>
      <c r="AF6" s="13">
        <f t="shared" si="7"/>
        <v>68.380789473684729</v>
      </c>
      <c r="AG6" s="13">
        <f t="shared" si="7"/>
        <v>71.875263157895205</v>
      </c>
      <c r="AH6" s="13">
        <f t="shared" si="7"/>
        <v>75.369736842105681</v>
      </c>
      <c r="AI6" s="13">
        <f t="shared" si="7"/>
        <v>78.864210526316157</v>
      </c>
      <c r="AJ6" s="13">
        <f t="shared" si="7"/>
        <v>82.358684210526647</v>
      </c>
      <c r="AK6" s="13">
        <f t="shared" si="7"/>
        <v>85.853157894737123</v>
      </c>
      <c r="AL6" s="13">
        <f t="shared" si="7"/>
        <v>89.347631578947599</v>
      </c>
      <c r="AM6" s="13">
        <f t="shared" si="7"/>
        <v>92.842105263158075</v>
      </c>
      <c r="AN6" s="13">
        <f t="shared" si="7"/>
        <v>96.336578947368565</v>
      </c>
      <c r="AO6" s="13">
        <f t="shared" si="7"/>
        <v>99.831052631579041</v>
      </c>
      <c r="AP6" s="13">
        <f t="shared" si="7"/>
        <v>103.32552631578952</v>
      </c>
      <c r="AQ6" s="13">
        <f t="shared" si="7"/>
        <v>106.82</v>
      </c>
    </row>
    <row r="7" spans="1:43">
      <c r="A7" t="s">
        <v>373</v>
      </c>
      <c r="C7">
        <v>32</v>
      </c>
      <c r="D7" t="s">
        <v>350</v>
      </c>
      <c r="I7" t="s">
        <v>374</v>
      </c>
      <c r="J7">
        <f>J5*10^6</f>
        <v>35596740.740740679</v>
      </c>
      <c r="K7">
        <f t="shared" ref="K7:AQ7" si="8">K5*10^6</f>
        <v>39639340.740741111</v>
      </c>
      <c r="L7">
        <f t="shared" si="8"/>
        <v>43889466.666665986</v>
      </c>
      <c r="M7">
        <f t="shared" si="8"/>
        <v>48347118.518518299</v>
      </c>
      <c r="N7">
        <f t="shared" si="8"/>
        <v>53012296.296296574</v>
      </c>
      <c r="O7">
        <f t="shared" si="8"/>
        <v>57885000</v>
      </c>
      <c r="P7">
        <f t="shared" si="8"/>
        <v>60803333.333333537</v>
      </c>
      <c r="Q7">
        <f t="shared" si="8"/>
        <v>63721666.66666615</v>
      </c>
      <c r="R7">
        <f t="shared" si="8"/>
        <v>66639999.999999687</v>
      </c>
      <c r="S7">
        <f t="shared" si="8"/>
        <v>69558333.333333239</v>
      </c>
      <c r="T7">
        <f t="shared" si="8"/>
        <v>72476666.666666776</v>
      </c>
      <c r="U7">
        <f t="shared" si="8"/>
        <v>75394999.999999389</v>
      </c>
      <c r="V7">
        <f t="shared" si="8"/>
        <v>78313333.333332926</v>
      </c>
      <c r="W7">
        <f t="shared" si="8"/>
        <v>81231666.666666463</v>
      </c>
      <c r="X7">
        <f t="shared" si="8"/>
        <v>84150000</v>
      </c>
      <c r="Y7">
        <f t="shared" si="8"/>
        <v>91424210.526315689</v>
      </c>
      <c r="Z7">
        <f t="shared" si="8"/>
        <v>98698421.052631393</v>
      </c>
      <c r="AA7">
        <f t="shared" si="8"/>
        <v>105972631.57894707</v>
      </c>
      <c r="AB7">
        <f t="shared" si="8"/>
        <v>113246842.10526277</v>
      </c>
      <c r="AC7">
        <f t="shared" si="8"/>
        <v>120521052.63157846</v>
      </c>
      <c r="AD7">
        <f t="shared" si="8"/>
        <v>127795263.15789415</v>
      </c>
      <c r="AE7">
        <f t="shared" si="8"/>
        <v>135069473.68420985</v>
      </c>
      <c r="AF7">
        <f t="shared" si="8"/>
        <v>142343684.21052739</v>
      </c>
      <c r="AG7">
        <f t="shared" si="8"/>
        <v>149617894.73684308</v>
      </c>
      <c r="AH7">
        <f t="shared" si="8"/>
        <v>156892105.26315877</v>
      </c>
      <c r="AI7">
        <f t="shared" si="8"/>
        <v>164166315.78947449</v>
      </c>
      <c r="AJ7">
        <f t="shared" si="8"/>
        <v>171440526.31579015</v>
      </c>
      <c r="AK7">
        <f t="shared" si="8"/>
        <v>178714736.84210584</v>
      </c>
      <c r="AL7">
        <f t="shared" si="8"/>
        <v>185988947.36842155</v>
      </c>
      <c r="AM7">
        <f t="shared" si="8"/>
        <v>193263157.89473724</v>
      </c>
      <c r="AN7">
        <f t="shared" si="8"/>
        <v>200537368.4210529</v>
      </c>
      <c r="AO7">
        <f t="shared" si="8"/>
        <v>207811578.94736862</v>
      </c>
      <c r="AP7">
        <f t="shared" si="8"/>
        <v>215085789.47368431</v>
      </c>
      <c r="AQ7">
        <f t="shared" si="8"/>
        <v>222360000</v>
      </c>
    </row>
    <row r="8" spans="1:43">
      <c r="A8" t="s">
        <v>375</v>
      </c>
      <c r="C8">
        <v>17</v>
      </c>
      <c r="D8" t="s">
        <v>350</v>
      </c>
      <c r="I8" t="s">
        <v>376</v>
      </c>
      <c r="J8">
        <f>J6*10^6</f>
        <v>17100395.061728366</v>
      </c>
      <c r="K8">
        <f t="shared" ref="K8:AQ8" si="9">K6*10^6</f>
        <v>19042428.395061906</v>
      </c>
      <c r="L8">
        <f t="shared" si="9"/>
        <v>21084155.555555232</v>
      </c>
      <c r="M8">
        <f t="shared" si="9"/>
        <v>23225576.543209769</v>
      </c>
      <c r="N8">
        <f t="shared" si="9"/>
        <v>25466691.358024821</v>
      </c>
      <c r="O8">
        <f t="shared" si="9"/>
        <v>27807500</v>
      </c>
      <c r="P8">
        <f t="shared" si="9"/>
        <v>29209444.444444545</v>
      </c>
      <c r="Q8">
        <f t="shared" si="9"/>
        <v>30611388.888888642</v>
      </c>
      <c r="R8">
        <f t="shared" si="9"/>
        <v>32013333.333333187</v>
      </c>
      <c r="S8">
        <f t="shared" si="9"/>
        <v>33415277.777777724</v>
      </c>
      <c r="T8">
        <f t="shared" si="9"/>
        <v>34817222.222222269</v>
      </c>
      <c r="U8">
        <f t="shared" si="9"/>
        <v>36219166.666666366</v>
      </c>
      <c r="V8">
        <f t="shared" si="9"/>
        <v>37621111.111110911</v>
      </c>
      <c r="W8">
        <f t="shared" si="9"/>
        <v>39023055.555555455</v>
      </c>
      <c r="X8">
        <f t="shared" si="9"/>
        <v>40425000</v>
      </c>
      <c r="Y8">
        <f t="shared" si="9"/>
        <v>43919473.684210479</v>
      </c>
      <c r="Z8">
        <f t="shared" si="9"/>
        <v>47413947.368420959</v>
      </c>
      <c r="AA8">
        <f t="shared" si="9"/>
        <v>50908421.052631438</v>
      </c>
      <c r="AB8">
        <f t="shared" si="9"/>
        <v>54402894.736841917</v>
      </c>
      <c r="AC8">
        <f t="shared" si="9"/>
        <v>57897368.421052396</v>
      </c>
      <c r="AD8">
        <f t="shared" si="9"/>
        <v>61391842.105262876</v>
      </c>
      <c r="AE8">
        <f t="shared" si="9"/>
        <v>64886315.789473355</v>
      </c>
      <c r="AF8">
        <f t="shared" si="9"/>
        <v>68380789.473684728</v>
      </c>
      <c r="AG8">
        <f t="shared" si="9"/>
        <v>71875263.157895207</v>
      </c>
      <c r="AH8">
        <f t="shared" si="9"/>
        <v>75369736.842105687</v>
      </c>
      <c r="AI8">
        <f t="shared" si="9"/>
        <v>78864210.526316151</v>
      </c>
      <c r="AJ8">
        <f t="shared" si="9"/>
        <v>82358684.210526645</v>
      </c>
      <c r="AK8">
        <f t="shared" si="9"/>
        <v>85853157.894737124</v>
      </c>
      <c r="AL8">
        <f t="shared" si="9"/>
        <v>89347631.578947604</v>
      </c>
      <c r="AM8">
        <f t="shared" si="9"/>
        <v>92842105.263158068</v>
      </c>
      <c r="AN8">
        <f t="shared" si="9"/>
        <v>96336578.947368562</v>
      </c>
      <c r="AO8">
        <f t="shared" si="9"/>
        <v>99831052.631579041</v>
      </c>
      <c r="AP8">
        <f t="shared" si="9"/>
        <v>103325526.31578952</v>
      </c>
      <c r="AQ8">
        <f t="shared" si="9"/>
        <v>106820000</v>
      </c>
    </row>
    <row r="9" spans="1:43">
      <c r="A9" t="s">
        <v>377</v>
      </c>
      <c r="C9">
        <f>AVERAGE(C7:C8)</f>
        <v>24.5</v>
      </c>
      <c r="D9" t="s">
        <v>350</v>
      </c>
      <c r="I9" t="s">
        <v>378</v>
      </c>
      <c r="J9" s="27">
        <f>J7*'Conversion Factors'!$B$34</f>
        <v>451021941296399.19</v>
      </c>
      <c r="K9" s="27">
        <f>K7*'Conversion Factors'!$B$34</f>
        <v>502242959343094.63</v>
      </c>
      <c r="L9" s="27">
        <f>L7*'Conversion Factors'!$B$34</f>
        <v>556093396376811.31</v>
      </c>
      <c r="M9" s="27">
        <f>M7*'Conversion Factors'!$B$34</f>
        <v>612573252397587.13</v>
      </c>
      <c r="N9" s="27">
        <f>N7*'Conversion Factors'!$B$34</f>
        <v>671682527405403.5</v>
      </c>
      <c r="O9" s="27">
        <f>O7*'Conversion Factors'!$B$34</f>
        <v>733421221400249.88</v>
      </c>
      <c r="P9" s="27">
        <f>P7*'Conversion Factors'!$B$34</f>
        <v>770397425905502.5</v>
      </c>
      <c r="Q9" s="27">
        <f>Q7*'Conversion Factors'!$B$34</f>
        <v>807373630410743.38</v>
      </c>
      <c r="R9" s="27">
        <f>R7*'Conversion Factors'!$B$34</f>
        <v>844349834915995.88</v>
      </c>
      <c r="S9" s="27">
        <f>S7*'Conversion Factors'!$B$34</f>
        <v>881326039421248.75</v>
      </c>
      <c r="T9" s="27">
        <f>T7*'Conversion Factors'!$B$34</f>
        <v>918302243926501.25</v>
      </c>
      <c r="U9" s="27">
        <f>U7*'Conversion Factors'!$B$34</f>
        <v>955278448431742.13</v>
      </c>
      <c r="V9" s="27">
        <f>V7*'Conversion Factors'!$B$34</f>
        <v>992254652936994.75</v>
      </c>
      <c r="W9" s="27">
        <f>W7*'Conversion Factors'!$B$34</f>
        <v>1029230857442247.3</v>
      </c>
      <c r="X9" s="27">
        <f>X7*'Conversion Factors'!$B$34</f>
        <v>1066207061947499.9</v>
      </c>
      <c r="Y9" s="27">
        <f>Y7*'Conversion Factors'!$B$34</f>
        <v>1158373605420472.3</v>
      </c>
      <c r="Z9" s="27">
        <f>Z7*'Conversion Factors'!$B$34</f>
        <v>1250540148893444.8</v>
      </c>
      <c r="AA9" s="27">
        <f>AA7*'Conversion Factors'!$B$34</f>
        <v>1342706692366417</v>
      </c>
      <c r="AB9" s="27">
        <f>AB7*'Conversion Factors'!$B$34</f>
        <v>1434873235839389.8</v>
      </c>
      <c r="AC9" s="27">
        <f>AC7*'Conversion Factors'!$B$34</f>
        <v>1527039779312362</v>
      </c>
      <c r="AD9" s="27">
        <f>AD7*'Conversion Factors'!$B$34</f>
        <v>1619206322785334.5</v>
      </c>
      <c r="AE9" s="27">
        <f>AE7*'Conversion Factors'!$B$34</f>
        <v>1711372866258307</v>
      </c>
      <c r="AF9" s="27">
        <f>AF7*'Conversion Factors'!$B$34</f>
        <v>1803539409731303</v>
      </c>
      <c r="AG9" s="27">
        <f>AG7*'Conversion Factors'!$B$34</f>
        <v>1895705953204275.3</v>
      </c>
      <c r="AH9" s="27">
        <f>AH7*'Conversion Factors'!$B$34</f>
        <v>1987872496677247.8</v>
      </c>
      <c r="AI9" s="27">
        <f>AI7*'Conversion Factors'!$B$34</f>
        <v>2080039040150220.5</v>
      </c>
      <c r="AJ9" s="27">
        <f>AJ7*'Conversion Factors'!$B$34</f>
        <v>2172205583623192.5</v>
      </c>
      <c r="AK9" s="27">
        <f>AK7*'Conversion Factors'!$B$34</f>
        <v>2264372127096165</v>
      </c>
      <c r="AL9" s="27">
        <f>AL7*'Conversion Factors'!$B$34</f>
        <v>2356538670569137.5</v>
      </c>
      <c r="AM9" s="27">
        <f>AM7*'Conversion Factors'!$B$34</f>
        <v>2448705214042110</v>
      </c>
      <c r="AN9" s="27">
        <f>AN7*'Conversion Factors'!$B$34</f>
        <v>2540871757515082</v>
      </c>
      <c r="AO9" s="27">
        <f>AO7*'Conversion Factors'!$B$34</f>
        <v>2633038300988055</v>
      </c>
      <c r="AP9" s="27">
        <f>AP7*'Conversion Factors'!$B$34</f>
        <v>2725204844461027.5</v>
      </c>
      <c r="AQ9" s="27">
        <f>AQ7*'Conversion Factors'!$B$34</f>
        <v>2817371387933999.5</v>
      </c>
    </row>
    <row r="10" spans="1:43">
      <c r="A10" s="47" t="s">
        <v>379</v>
      </c>
      <c r="I10" t="s">
        <v>380</v>
      </c>
      <c r="J10">
        <f>J8*'Conversion Factors'!$B$79</f>
        <v>254304463816666.19</v>
      </c>
      <c r="K10">
        <f>K8*'Conversion Factors'!$B$79</f>
        <v>283184951300419.25</v>
      </c>
      <c r="L10">
        <f>L8*'Conversion Factors'!$B$79</f>
        <v>313548011857495.13</v>
      </c>
      <c r="M10">
        <f>M8*'Conversion Factors'!$B$79</f>
        <v>345393645487915</v>
      </c>
      <c r="N10">
        <f>N8*'Conversion Factors'!$B$79</f>
        <v>378721852191668.56</v>
      </c>
      <c r="O10">
        <f>O8*'Conversion Factors'!$B$79</f>
        <v>413532631968749.94</v>
      </c>
      <c r="P10">
        <f>P8*'Conversion Factors'!$B$79</f>
        <v>434381315812501.44</v>
      </c>
      <c r="Q10">
        <f>Q8*'Conversion Factors'!$B$79</f>
        <v>455229999656246.25</v>
      </c>
      <c r="R10">
        <f>R8*'Conversion Factors'!$B$79</f>
        <v>476078683499997.75</v>
      </c>
      <c r="S10">
        <f>S8*'Conversion Factors'!$B$79</f>
        <v>496927367343749.13</v>
      </c>
      <c r="T10">
        <f>T8*'Conversion Factors'!$B$79</f>
        <v>517776051187500.63</v>
      </c>
      <c r="U10">
        <f>U8*'Conversion Factors'!$B$79</f>
        <v>538624735031245.44</v>
      </c>
      <c r="V10">
        <f>V8*'Conversion Factors'!$B$79</f>
        <v>559473418874996.94</v>
      </c>
      <c r="W10">
        <f>W8*'Conversion Factors'!$B$79</f>
        <v>580322102718748.5</v>
      </c>
      <c r="X10">
        <f>X8*'Conversion Factors'!$B$79</f>
        <v>601170786562499.88</v>
      </c>
      <c r="Y10">
        <f>Y8*'Conversion Factors'!$B$79</f>
        <v>653138022019736</v>
      </c>
      <c r="Z10">
        <f>Z8*'Conversion Factors'!$B$79</f>
        <v>705105257476972.25</v>
      </c>
      <c r="AA10">
        <f>AA8*'Conversion Factors'!$B$79</f>
        <v>757072492934208.38</v>
      </c>
      <c r="AB10">
        <f>AB8*'Conversion Factors'!$B$79</f>
        <v>809039728391444.5</v>
      </c>
      <c r="AC10">
        <f>AC8*'Conversion Factors'!$B$79</f>
        <v>861006963848680.63</v>
      </c>
      <c r="AD10">
        <f>AD8*'Conversion Factors'!$B$79</f>
        <v>912974199305916.75</v>
      </c>
      <c r="AE10">
        <f>AE8*'Conversion Factors'!$B$79</f>
        <v>964941434763152.88</v>
      </c>
      <c r="AF10">
        <f>AF8*'Conversion Factors'!$B$79</f>
        <v>1016908670220402.3</v>
      </c>
      <c r="AG10">
        <f>AG8*'Conversion Factors'!$B$79</f>
        <v>1068875905677638.5</v>
      </c>
      <c r="AH10">
        <f>AH8*'Conversion Factors'!$B$79</f>
        <v>1120843141134874.6</v>
      </c>
      <c r="AI10">
        <f>AI8*'Conversion Factors'!$B$79</f>
        <v>1172810376592110.5</v>
      </c>
      <c r="AJ10">
        <f>AJ8*'Conversion Factors'!$B$79</f>
        <v>1224777612049346.8</v>
      </c>
      <c r="AK10">
        <f>AK8*'Conversion Factors'!$B$79</f>
        <v>1276744847506583</v>
      </c>
      <c r="AL10">
        <f>AL8*'Conversion Factors'!$B$79</f>
        <v>1328712082963819</v>
      </c>
      <c r="AM10">
        <f>AM8*'Conversion Factors'!$B$79</f>
        <v>1380679318421055</v>
      </c>
      <c r="AN10">
        <f>AN8*'Conversion Factors'!$B$79</f>
        <v>1432646553878291.5</v>
      </c>
      <c r="AO10">
        <f>AO8*'Conversion Factors'!$B$79</f>
        <v>1484613789335527.5</v>
      </c>
      <c r="AP10">
        <f>AP8*'Conversion Factors'!$B$79</f>
        <v>1536581024792763.8</v>
      </c>
      <c r="AQ10">
        <f>AQ8*'Conversion Factors'!$B$79</f>
        <v>1588548260249999.8</v>
      </c>
    </row>
    <row r="11" spans="1:43" ht="26.5">
      <c r="A11" s="47" t="s">
        <v>381</v>
      </c>
      <c r="I11" s="69" t="s">
        <v>382</v>
      </c>
      <c r="J11">
        <f>(J9*J5+J10*J6)/J4</f>
        <v>292325783696246.81</v>
      </c>
      <c r="K11">
        <f t="shared" ref="K11:AQ11" si="10">(K9*K5+K10*K6)/K4</f>
        <v>325524222333581</v>
      </c>
      <c r="L11">
        <f t="shared" si="10"/>
        <v>360426895057260.06</v>
      </c>
      <c r="M11">
        <f t="shared" si="10"/>
        <v>397033801867308.63</v>
      </c>
      <c r="N11">
        <f t="shared" si="10"/>
        <v>435344942763714.56</v>
      </c>
      <c r="O11">
        <f t="shared" si="10"/>
        <v>475360317746471.19</v>
      </c>
      <c r="P11">
        <f t="shared" si="10"/>
        <v>499326109585869.19</v>
      </c>
      <c r="Q11">
        <f t="shared" si="10"/>
        <v>523291901425259.5</v>
      </c>
      <c r="R11">
        <f t="shared" si="10"/>
        <v>547257693264657.31</v>
      </c>
      <c r="S11">
        <f t="shared" si="10"/>
        <v>571223485104055.38</v>
      </c>
      <c r="T11">
        <f t="shared" si="10"/>
        <v>595189276943453.25</v>
      </c>
      <c r="U11">
        <f t="shared" si="10"/>
        <v>619155068782843.5</v>
      </c>
      <c r="V11">
        <f t="shared" si="10"/>
        <v>643120860622241.63</v>
      </c>
      <c r="W11">
        <f t="shared" si="10"/>
        <v>667086652461639.5</v>
      </c>
      <c r="X11">
        <f t="shared" si="10"/>
        <v>691052444301037.5</v>
      </c>
      <c r="Y11">
        <f t="shared" si="10"/>
        <v>750789354159276.13</v>
      </c>
      <c r="Z11">
        <f t="shared" si="10"/>
        <v>810526264017515</v>
      </c>
      <c r="AA11">
        <f t="shared" si="10"/>
        <v>870263173875753.75</v>
      </c>
      <c r="AB11">
        <f t="shared" si="10"/>
        <v>930000083733992.63</v>
      </c>
      <c r="AC11">
        <f t="shared" si="10"/>
        <v>989736993592231.38</v>
      </c>
      <c r="AD11">
        <f t="shared" si="10"/>
        <v>1049473903450470.3</v>
      </c>
      <c r="AE11">
        <f t="shared" si="10"/>
        <v>1109210813308708.9</v>
      </c>
      <c r="AF11">
        <f t="shared" si="10"/>
        <v>1168947723166963</v>
      </c>
      <c r="AG11">
        <f t="shared" si="10"/>
        <v>1228684633025201.8</v>
      </c>
      <c r="AH11">
        <f t="shared" si="10"/>
        <v>1288421542883440.8</v>
      </c>
      <c r="AI11">
        <f t="shared" si="10"/>
        <v>1348158452741679.5</v>
      </c>
      <c r="AJ11">
        <f t="shared" si="10"/>
        <v>1407895362599918.3</v>
      </c>
      <c r="AK11">
        <f t="shared" si="10"/>
        <v>1467632272458157</v>
      </c>
      <c r="AL11">
        <f t="shared" si="10"/>
        <v>1527369182316395.8</v>
      </c>
      <c r="AM11">
        <f t="shared" si="10"/>
        <v>1587106092174634.5</v>
      </c>
      <c r="AN11">
        <f t="shared" si="10"/>
        <v>1646843002032873.3</v>
      </c>
      <c r="AO11">
        <f t="shared" si="10"/>
        <v>1706579911891112.3</v>
      </c>
      <c r="AP11">
        <f t="shared" si="10"/>
        <v>1766316821749351.3</v>
      </c>
      <c r="AQ11">
        <f t="shared" si="10"/>
        <v>1826053731607589.5</v>
      </c>
    </row>
    <row r="12" spans="1:43">
      <c r="A12" s="47" t="s">
        <v>383</v>
      </c>
      <c r="I12" s="54"/>
    </row>
    <row r="13" spans="1:43">
      <c r="A13" s="47" t="s">
        <v>384</v>
      </c>
      <c r="I13" s="54"/>
    </row>
    <row r="14" spans="1:43" ht="14.25" customHeight="1">
      <c r="K14" s="47"/>
    </row>
    <row r="15" spans="1:43">
      <c r="K15" s="47"/>
    </row>
    <row r="28" spans="1:10">
      <c r="A28" s="47"/>
      <c r="J28" s="47" t="s">
        <v>379</v>
      </c>
    </row>
    <row r="29" spans="1:10">
      <c r="A29" s="47" t="s">
        <v>379</v>
      </c>
      <c r="J29" s="47" t="s">
        <v>385</v>
      </c>
    </row>
    <row r="30" spans="1:10">
      <c r="A30" s="47" t="s">
        <v>386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7"/>
  <sheetViews>
    <sheetView workbookViewId="0"/>
  </sheetViews>
  <sheetFormatPr defaultRowHeight="14.5"/>
  <cols>
    <col min="1" max="1" width="20.26953125" customWidth="1"/>
    <col min="2" max="2" width="10" bestFit="1" customWidth="1"/>
    <col min="9" max="9" width="20" customWidth="1"/>
    <col min="10" max="10" width="10.26953125" customWidth="1"/>
  </cols>
  <sheetData>
    <row r="1" spans="1:35">
      <c r="A1" t="s">
        <v>387</v>
      </c>
      <c r="J1" s="51" t="s">
        <v>388</v>
      </c>
      <c r="K1" s="51" t="s">
        <v>389</v>
      </c>
      <c r="L1" s="51" t="s">
        <v>390</v>
      </c>
      <c r="M1" s="51" t="s">
        <v>391</v>
      </c>
      <c r="N1" s="51" t="s">
        <v>392</v>
      </c>
      <c r="O1" s="51" t="s">
        <v>393</v>
      </c>
      <c r="P1" s="51" t="s">
        <v>394</v>
      </c>
      <c r="Q1" s="51" t="s">
        <v>395</v>
      </c>
      <c r="R1" s="71" t="s">
        <v>356</v>
      </c>
    </row>
    <row r="2" spans="1:35" ht="29">
      <c r="B2">
        <v>2011</v>
      </c>
      <c r="C2">
        <v>2021</v>
      </c>
      <c r="D2">
        <v>2031</v>
      </c>
      <c r="I2" s="70" t="s">
        <v>396</v>
      </c>
      <c r="J2" s="52">
        <v>132.70400000000004</v>
      </c>
      <c r="K2" s="52">
        <v>145.91863243569929</v>
      </c>
      <c r="L2" s="52">
        <v>159.44434325608603</v>
      </c>
      <c r="M2" s="52">
        <v>173.28686286516518</v>
      </c>
      <c r="N2" s="52">
        <v>187.45201655063988</v>
      </c>
      <c r="O2" s="52">
        <v>201.94572596351961</v>
      </c>
      <c r="P2" s="52">
        <v>216.77401061992975</v>
      </c>
      <c r="Q2" s="52">
        <v>231.942989425446</v>
      </c>
    </row>
    <row r="3" spans="1:35">
      <c r="A3" t="s">
        <v>397</v>
      </c>
      <c r="B3" s="1">
        <f>SUM(B4:B5)</f>
        <v>227</v>
      </c>
      <c r="C3" s="1">
        <f>SUM(C4:C5)</f>
        <v>244.8</v>
      </c>
      <c r="D3" s="1">
        <f>SUM(D4:D5)</f>
        <v>261.2</v>
      </c>
      <c r="I3" t="s">
        <v>398</v>
      </c>
      <c r="K3" s="38">
        <f>(K2-J2)/J2</f>
        <v>9.9579759733687406E-2</v>
      </c>
      <c r="L3" s="38">
        <f t="shared" ref="L3:Q3" si="0">(L2-K2)/K2</f>
        <v>9.2693514149723086E-2</v>
      </c>
      <c r="M3" s="38">
        <f t="shared" si="0"/>
        <v>8.6817251251406657E-2</v>
      </c>
      <c r="N3" s="38">
        <f t="shared" si="0"/>
        <v>8.1743955954102748E-2</v>
      </c>
      <c r="O3" s="38">
        <f t="shared" si="0"/>
        <v>7.7319570520407124E-2</v>
      </c>
      <c r="P3" s="38">
        <f t="shared" si="0"/>
        <v>7.342707841753876E-2</v>
      </c>
      <c r="Q3" s="38">
        <f t="shared" si="0"/>
        <v>6.9976002944891966E-2</v>
      </c>
    </row>
    <row r="4" spans="1:35">
      <c r="B4">
        <v>123</v>
      </c>
      <c r="C4">
        <v>140.80000000000001</v>
      </c>
      <c r="D4">
        <v>157.19999999999999</v>
      </c>
      <c r="E4" t="s">
        <v>399</v>
      </c>
      <c r="I4" t="s">
        <v>400</v>
      </c>
      <c r="K4" s="38">
        <f>K3/5</f>
        <v>1.9915951946737481E-2</v>
      </c>
      <c r="L4" s="38">
        <f t="shared" ref="L4:Q4" si="1">L3/5</f>
        <v>1.8538702829944617E-2</v>
      </c>
      <c r="M4" s="38">
        <f t="shared" si="1"/>
        <v>1.7363450250281333E-2</v>
      </c>
      <c r="N4" s="38">
        <f t="shared" si="1"/>
        <v>1.6348791190820548E-2</v>
      </c>
      <c r="O4" s="38">
        <f t="shared" si="1"/>
        <v>1.5463914104081425E-2</v>
      </c>
      <c r="P4" s="38">
        <f t="shared" si="1"/>
        <v>1.4685415683507752E-2</v>
      </c>
      <c r="Q4" s="38">
        <f t="shared" si="1"/>
        <v>1.3995200588978393E-2</v>
      </c>
    </row>
    <row r="5" spans="1:35">
      <c r="B5">
        <v>104</v>
      </c>
      <c r="C5">
        <v>104</v>
      </c>
      <c r="D5">
        <v>104</v>
      </c>
      <c r="E5" t="s">
        <v>401</v>
      </c>
      <c r="I5" s="47" t="s">
        <v>360</v>
      </c>
    </row>
    <row r="6" spans="1:35">
      <c r="A6" s="53" t="s">
        <v>402</v>
      </c>
      <c r="I6" s="47" t="s">
        <v>403</v>
      </c>
    </row>
    <row r="7" spans="1:35">
      <c r="A7" s="53" t="s">
        <v>404</v>
      </c>
    </row>
    <row r="8" spans="1:35">
      <c r="A8" s="53" t="s">
        <v>405</v>
      </c>
    </row>
    <row r="9" spans="1:35">
      <c r="A9" s="53" t="s">
        <v>406</v>
      </c>
    </row>
    <row r="10" spans="1:35">
      <c r="A10" s="47" t="s">
        <v>407</v>
      </c>
    </row>
    <row r="11" spans="1:35">
      <c r="A11" s="47" t="s">
        <v>299</v>
      </c>
    </row>
    <row r="12" spans="1:35">
      <c r="A12" s="47"/>
    </row>
    <row r="14" spans="1:35">
      <c r="A14" t="s">
        <v>408</v>
      </c>
      <c r="B14">
        <v>2017</v>
      </c>
      <c r="C14">
        <f>B14+1</f>
        <v>2018</v>
      </c>
      <c r="D14">
        <f t="shared" ref="D14:AI14" si="2">C14+1</f>
        <v>2019</v>
      </c>
      <c r="E14">
        <f t="shared" si="2"/>
        <v>2020</v>
      </c>
      <c r="F14">
        <f t="shared" si="2"/>
        <v>2021</v>
      </c>
      <c r="G14">
        <f t="shared" si="2"/>
        <v>2022</v>
      </c>
      <c r="H14">
        <f t="shared" si="2"/>
        <v>2023</v>
      </c>
      <c r="I14">
        <f t="shared" si="2"/>
        <v>2024</v>
      </c>
      <c r="J14">
        <f t="shared" si="2"/>
        <v>2025</v>
      </c>
      <c r="K14">
        <f t="shared" si="2"/>
        <v>2026</v>
      </c>
      <c r="L14">
        <f t="shared" si="2"/>
        <v>2027</v>
      </c>
      <c r="M14">
        <f t="shared" si="2"/>
        <v>2028</v>
      </c>
      <c r="N14">
        <f t="shared" si="2"/>
        <v>2029</v>
      </c>
      <c r="O14">
        <f t="shared" si="2"/>
        <v>2030</v>
      </c>
      <c r="P14">
        <f t="shared" si="2"/>
        <v>2031</v>
      </c>
      <c r="Q14">
        <f t="shared" si="2"/>
        <v>2032</v>
      </c>
      <c r="R14">
        <f t="shared" si="2"/>
        <v>2033</v>
      </c>
      <c r="S14">
        <f t="shared" si="2"/>
        <v>2034</v>
      </c>
      <c r="T14">
        <f t="shared" si="2"/>
        <v>2035</v>
      </c>
      <c r="U14">
        <f t="shared" si="2"/>
        <v>2036</v>
      </c>
      <c r="V14">
        <f t="shared" si="2"/>
        <v>2037</v>
      </c>
      <c r="W14">
        <f t="shared" si="2"/>
        <v>2038</v>
      </c>
      <c r="X14">
        <f t="shared" si="2"/>
        <v>2039</v>
      </c>
      <c r="Y14">
        <f t="shared" si="2"/>
        <v>2040</v>
      </c>
      <c r="Z14">
        <f t="shared" si="2"/>
        <v>2041</v>
      </c>
      <c r="AA14">
        <f t="shared" si="2"/>
        <v>2042</v>
      </c>
      <c r="AB14">
        <f t="shared" si="2"/>
        <v>2043</v>
      </c>
      <c r="AC14">
        <f t="shared" si="2"/>
        <v>2044</v>
      </c>
      <c r="AD14">
        <f t="shared" si="2"/>
        <v>2045</v>
      </c>
      <c r="AE14">
        <f t="shared" si="2"/>
        <v>2046</v>
      </c>
      <c r="AF14">
        <f t="shared" si="2"/>
        <v>2047</v>
      </c>
      <c r="AG14">
        <f t="shared" si="2"/>
        <v>2048</v>
      </c>
      <c r="AH14">
        <f t="shared" si="2"/>
        <v>2049</v>
      </c>
      <c r="AI14">
        <f t="shared" si="2"/>
        <v>2050</v>
      </c>
    </row>
    <row r="15" spans="1:35">
      <c r="A15" t="s">
        <v>275</v>
      </c>
      <c r="B15" s="13">
        <f>FORECAST(B14,B3:C3,B2:C2)</f>
        <v>237.68000000000029</v>
      </c>
      <c r="C15" s="13">
        <f>B15*(1+$L$4)</f>
        <v>242.08627888862154</v>
      </c>
      <c r="D15" s="13">
        <f t="shared" ref="D15:G15" si="3">C15*(1+$L$4)</f>
        <v>246.57424447214478</v>
      </c>
      <c r="E15" s="13">
        <f t="shared" si="3"/>
        <v>251.14541111593201</v>
      </c>
      <c r="F15" s="13">
        <f t="shared" si="3"/>
        <v>255.80132125971454</v>
      </c>
      <c r="G15" s="13">
        <f t="shared" si="3"/>
        <v>260.54354593805556</v>
      </c>
      <c r="H15" s="13">
        <f>G15*(1+$M$4)</f>
        <v>265.06748083598285</v>
      </c>
      <c r="I15" s="13">
        <f t="shared" ref="I15:L15" si="4">H15*(1+$M$4)</f>
        <v>269.66996685244584</v>
      </c>
      <c r="J15" s="13">
        <f t="shared" si="4"/>
        <v>274.35236790588328</v>
      </c>
      <c r="K15" s="13">
        <f t="shared" si="4"/>
        <v>279.11607159706398</v>
      </c>
      <c r="L15" s="13">
        <f t="shared" si="4"/>
        <v>283.96248962029352</v>
      </c>
      <c r="M15" s="13">
        <f>L15*(1+$N$4)</f>
        <v>288.60493306912122</v>
      </c>
      <c r="N15" s="13">
        <f t="shared" ref="N15:Q15" si="5">M15*(1+$N$4)</f>
        <v>293.32327485650899</v>
      </c>
      <c r="O15" s="13">
        <f t="shared" si="5"/>
        <v>298.11875582854566</v>
      </c>
      <c r="P15" s="13">
        <f t="shared" si="5"/>
        <v>302.99263711765371</v>
      </c>
      <c r="Q15" s="13">
        <f t="shared" si="5"/>
        <v>307.94620047424627</v>
      </c>
      <c r="R15" s="13">
        <f>Q15*(1+$O$4)</f>
        <v>312.70825406705819</v>
      </c>
      <c r="S15" s="13">
        <f t="shared" ref="S15:V15" si="6">R15*(1+$O$4)</f>
        <v>317.54394764758842</v>
      </c>
      <c r="T15" s="13">
        <f t="shared" si="6"/>
        <v>322.45441997828163</v>
      </c>
      <c r="U15" s="13">
        <f t="shared" si="6"/>
        <v>327.44082743130713</v>
      </c>
      <c r="V15" s="13">
        <f t="shared" si="6"/>
        <v>332.50434426087418</v>
      </c>
      <c r="W15" s="13">
        <f>V15*(1+$P$4)</f>
        <v>337.38730877291727</v>
      </c>
      <c r="X15" s="13">
        <f t="shared" ref="X15:AA15" si="7">W15*(1+$P$4)</f>
        <v>342.34198164858753</v>
      </c>
      <c r="Y15" s="13">
        <f t="shared" si="7"/>
        <v>347.36941595501281</v>
      </c>
      <c r="Z15" s="13">
        <f t="shared" si="7"/>
        <v>352.47068022404943</v>
      </c>
      <c r="AA15" s="13">
        <f t="shared" si="7"/>
        <v>357.64685867938829</v>
      </c>
      <c r="AB15" s="13">
        <f>AA15*(1+$Q$4)</f>
        <v>362.65219820662429</v>
      </c>
      <c r="AC15" s="13">
        <f t="shared" ref="AC15:AF15" si="8">AB15*(1+$Q$4)</f>
        <v>367.72758846455991</v>
      </c>
      <c r="AD15" s="13">
        <f t="shared" si="8"/>
        <v>372.87400982722266</v>
      </c>
      <c r="AE15" s="13">
        <f t="shared" si="8"/>
        <v>378.09245638917133</v>
      </c>
      <c r="AF15" s="13">
        <f t="shared" si="8"/>
        <v>383.38393615751733</v>
      </c>
      <c r="AG15" s="13">
        <f>AF15</f>
        <v>383.38393615751733</v>
      </c>
      <c r="AH15" s="13">
        <f t="shared" ref="AH15:AI15" si="9">AG15</f>
        <v>383.38393615751733</v>
      </c>
      <c r="AI15" s="13">
        <f t="shared" si="9"/>
        <v>383.38393615751733</v>
      </c>
    </row>
    <row r="16" spans="1:35">
      <c r="A16" t="s">
        <v>276</v>
      </c>
      <c r="B16">
        <f>B15*10^6</f>
        <v>237680000.0000003</v>
      </c>
      <c r="C16">
        <f t="shared" ref="C16:AI16" si="10">C15*10^6</f>
        <v>242086278.88862154</v>
      </c>
      <c r="D16">
        <f t="shared" si="10"/>
        <v>246574244.47214478</v>
      </c>
      <c r="E16">
        <f t="shared" si="10"/>
        <v>251145411.11593202</v>
      </c>
      <c r="F16">
        <f t="shared" si="10"/>
        <v>255801321.25971454</v>
      </c>
      <c r="G16">
        <f t="shared" si="10"/>
        <v>260543545.93805555</v>
      </c>
      <c r="H16">
        <f t="shared" si="10"/>
        <v>265067480.83598286</v>
      </c>
      <c r="I16">
        <f t="shared" si="10"/>
        <v>269669966.85244584</v>
      </c>
      <c r="J16">
        <f t="shared" si="10"/>
        <v>274352367.90588331</v>
      </c>
      <c r="K16">
        <f t="shared" si="10"/>
        <v>279116071.59706396</v>
      </c>
      <c r="L16">
        <f t="shared" si="10"/>
        <v>283962489.6202935</v>
      </c>
      <c r="M16">
        <f t="shared" si="10"/>
        <v>288604933.06912124</v>
      </c>
      <c r="N16">
        <f t="shared" si="10"/>
        <v>293323274.85650897</v>
      </c>
      <c r="O16">
        <f t="shared" si="10"/>
        <v>298118755.82854563</v>
      </c>
      <c r="P16">
        <f t="shared" si="10"/>
        <v>302992637.11765373</v>
      </c>
      <c r="Q16">
        <f t="shared" si="10"/>
        <v>307946200.47424626</v>
      </c>
      <c r="R16">
        <f t="shared" si="10"/>
        <v>312708254.06705821</v>
      </c>
      <c r="S16">
        <f t="shared" si="10"/>
        <v>317543947.64758843</v>
      </c>
      <c r="T16">
        <f t="shared" si="10"/>
        <v>322454419.97828162</v>
      </c>
      <c r="U16">
        <f t="shared" si="10"/>
        <v>327440827.43130714</v>
      </c>
      <c r="V16">
        <f t="shared" si="10"/>
        <v>332504344.26087415</v>
      </c>
      <c r="W16">
        <f t="shared" si="10"/>
        <v>337387308.77291727</v>
      </c>
      <c r="X16">
        <f t="shared" si="10"/>
        <v>342341981.64858752</v>
      </c>
      <c r="Y16">
        <f t="shared" si="10"/>
        <v>347369415.9550128</v>
      </c>
      <c r="Z16">
        <f t="shared" si="10"/>
        <v>352470680.22404945</v>
      </c>
      <c r="AA16">
        <f t="shared" si="10"/>
        <v>357646858.67938828</v>
      </c>
      <c r="AB16">
        <f t="shared" si="10"/>
        <v>362652198.20662427</v>
      </c>
      <c r="AC16">
        <f t="shared" si="10"/>
        <v>367727588.46455991</v>
      </c>
      <c r="AD16">
        <f t="shared" si="10"/>
        <v>372874009.82722265</v>
      </c>
      <c r="AE16">
        <f t="shared" si="10"/>
        <v>378092456.3891713</v>
      </c>
      <c r="AF16">
        <f t="shared" si="10"/>
        <v>383383936.15751731</v>
      </c>
      <c r="AG16">
        <f t="shared" si="10"/>
        <v>383383936.15751731</v>
      </c>
      <c r="AH16">
        <f t="shared" si="10"/>
        <v>383383936.15751731</v>
      </c>
      <c r="AI16">
        <f t="shared" si="10"/>
        <v>383383936.15751731</v>
      </c>
    </row>
    <row r="17" spans="1:35">
      <c r="A17" s="72" t="s">
        <v>282</v>
      </c>
      <c r="B17" s="27">
        <f>B16*'Conversion Factors'!$B$34</f>
        <v>3011480623692003.5</v>
      </c>
      <c r="C17" s="27">
        <f>C16*'Conversion Factors'!$B$34</f>
        <v>3067309568052765.5</v>
      </c>
      <c r="D17" s="27">
        <f>D16*'Conversion Factors'!$B$34</f>
        <v>3124173508622341.5</v>
      </c>
      <c r="E17" s="27">
        <f>E16*'Conversion Factors'!$B$34</f>
        <v>3182091632887877</v>
      </c>
      <c r="F17" s="27">
        <f>F16*'Conversion Factors'!$B$34</f>
        <v>3241083484047638.5</v>
      </c>
      <c r="G17" s="27">
        <f>G16*'Conversion Factors'!$B$34</f>
        <v>3301168967605438.5</v>
      </c>
      <c r="H17" s="27">
        <f>H16*'Conversion Factors'!$B$34</f>
        <v>3358488650742228.5</v>
      </c>
      <c r="I17" s="27">
        <f>I16*'Conversion Factors'!$B$34</f>
        <v>3416803601345525.5</v>
      </c>
      <c r="J17" s="27">
        <f>J16*'Conversion Factors'!$B$34</f>
        <v>3476131100692470.5</v>
      </c>
      <c r="K17" s="27">
        <f>K16*'Conversion Factors'!$B$34</f>
        <v>3536488730122799.5</v>
      </c>
      <c r="L17" s="27">
        <f>L16*'Conversion Factors'!$B$34</f>
        <v>3597894376248967</v>
      </c>
      <c r="M17" s="27">
        <f>M16*'Conversion Factors'!$B$34</f>
        <v>3656715600132889</v>
      </c>
      <c r="N17" s="27">
        <f>N16*'Conversion Factors'!$B$34</f>
        <v>3716498479923676.5</v>
      </c>
      <c r="O17" s="27">
        <f>O16*'Conversion Factors'!$B$34</f>
        <v>3777258737532950</v>
      </c>
      <c r="P17" s="27">
        <f>P16*'Conversion Factors'!$B$34</f>
        <v>3839012351906578.5</v>
      </c>
      <c r="Q17" s="27">
        <f>Q16*'Conversion Factors'!$B$34</f>
        <v>3901775563226879.5</v>
      </c>
      <c r="R17" s="27">
        <f>R16*'Conversion Factors'!$B$34</f>
        <v>3962112285390023.5</v>
      </c>
      <c r="S17" s="27">
        <f>S16*'Conversion Factors'!$B$34</f>
        <v>4023382049442020</v>
      </c>
      <c r="T17" s="27">
        <f>T16*'Conversion Factors'!$B$34</f>
        <v>4085599283862494</v>
      </c>
      <c r="U17" s="27">
        <f>U16*'Conversion Factors'!$B$34</f>
        <v>4148778640251839.5</v>
      </c>
      <c r="V17" s="27">
        <f>V16*'Conversion Factors'!$B$34</f>
        <v>4212934996781541</v>
      </c>
      <c r="W17" s="27">
        <f>W16*'Conversion Factors'!$B$34</f>
        <v>4274803698456875.5</v>
      </c>
      <c r="X17" s="27">
        <f>X16*'Conversion Factors'!$B$34</f>
        <v>4337580967734111</v>
      </c>
      <c r="Y17" s="27">
        <f>Y16*'Conversion Factors'!$B$34</f>
        <v>4401280147306158</v>
      </c>
      <c r="Z17" s="27">
        <f>Z16*'Conversion Factors'!$B$34</f>
        <v>4465914775808918.5</v>
      </c>
      <c r="AA17" s="27">
        <f>AA16*'Conversion Factors'!$B$34</f>
        <v>4531498590698791</v>
      </c>
      <c r="AB17" s="27">
        <f>AB16*'Conversion Factors'!$B$34</f>
        <v>4594917822444293</v>
      </c>
      <c r="AC17" s="27">
        <f>AC16*'Conversion Factors'!$B$34</f>
        <v>4659224619059272</v>
      </c>
      <c r="AD17" s="27">
        <f>AD16*'Conversion Factors'!$B$34</f>
        <v>4724431402192112</v>
      </c>
      <c r="AE17" s="27">
        <f>AE16*'Conversion Factors'!$B$34</f>
        <v>4790550767334659</v>
      </c>
      <c r="AF17" s="27">
        <f>AF16*'Conversion Factors'!$B$34</f>
        <v>4857595486255192</v>
      </c>
      <c r="AG17" s="27">
        <f>AG16*'Conversion Factors'!$B$34</f>
        <v>4857595486255192</v>
      </c>
      <c r="AH17" s="27">
        <f>AH16*'Conversion Factors'!$B$34</f>
        <v>4857595486255192</v>
      </c>
      <c r="AI17" s="27">
        <f>AI16*'Conversion Factors'!$B$34</f>
        <v>4857595486255192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A12"/>
  <sheetViews>
    <sheetView workbookViewId="0"/>
  </sheetViews>
  <sheetFormatPr defaultRowHeight="14.5"/>
  <cols>
    <col min="1" max="1" width="25.81640625" bestFit="1" customWidth="1"/>
    <col min="2" max="3" width="12" bestFit="1" customWidth="1"/>
    <col min="7" max="8" width="12" bestFit="1" customWidth="1"/>
    <col min="12" max="13" width="12" bestFit="1" customWidth="1"/>
    <col min="17" max="18" width="12" bestFit="1" customWidth="1"/>
    <col min="22" max="23" width="12" bestFit="1" customWidth="1"/>
    <col min="27" max="27" width="12.453125" customWidth="1"/>
    <col min="28" max="28" width="12" bestFit="1" customWidth="1"/>
    <col min="32" max="33" width="12" bestFit="1" customWidth="1"/>
  </cols>
  <sheetData>
    <row r="1" spans="1:53" ht="29">
      <c r="A1" s="54" t="s">
        <v>409</v>
      </c>
      <c r="B1">
        <v>2019</v>
      </c>
      <c r="C1">
        <v>2022</v>
      </c>
      <c r="D1">
        <v>2027</v>
      </c>
      <c r="E1">
        <v>2032</v>
      </c>
      <c r="F1">
        <v>2037</v>
      </c>
      <c r="G1">
        <v>2042</v>
      </c>
      <c r="H1">
        <v>2047</v>
      </c>
    </row>
    <row r="2" spans="1:53">
      <c r="A2" s="79" t="s">
        <v>410</v>
      </c>
      <c r="B2">
        <v>354</v>
      </c>
      <c r="C2">
        <v>354</v>
      </c>
      <c r="D2">
        <v>354</v>
      </c>
      <c r="E2">
        <v>354</v>
      </c>
      <c r="F2">
        <v>354</v>
      </c>
      <c r="G2">
        <v>354</v>
      </c>
      <c r="H2">
        <v>354</v>
      </c>
    </row>
    <row r="3" spans="1:53">
      <c r="A3" s="79" t="s">
        <v>411</v>
      </c>
      <c r="B3" s="80">
        <v>575.20382803799987</v>
      </c>
      <c r="C3" s="80">
        <v>447.06167494151998</v>
      </c>
      <c r="D3" s="80">
        <v>1317.5368025149041</v>
      </c>
      <c r="E3" s="80">
        <v>2190.5503711780921</v>
      </c>
      <c r="F3" s="80">
        <v>3419.6433330615105</v>
      </c>
      <c r="G3" s="87">
        <v>5209.2478838269963</v>
      </c>
      <c r="H3" s="87">
        <v>7789.3550646507865</v>
      </c>
    </row>
    <row r="5" spans="1:53">
      <c r="A5" t="s">
        <v>412</v>
      </c>
      <c r="B5">
        <f>B2*'Conversion Factors'!$B$92</f>
        <v>140502600000000</v>
      </c>
      <c r="C5">
        <f>C2*'Conversion Factors'!$B$92</f>
        <v>140502600000000</v>
      </c>
      <c r="D5">
        <f>D2*'Conversion Factors'!$B$92</f>
        <v>140502600000000</v>
      </c>
      <c r="E5">
        <f>E2*'Conversion Factors'!$B$92</f>
        <v>140502600000000</v>
      </c>
      <c r="F5">
        <f>F2*'Conversion Factors'!$B$92</f>
        <v>140502600000000</v>
      </c>
      <c r="G5">
        <f>G2*'Conversion Factors'!$B$92</f>
        <v>140502600000000</v>
      </c>
      <c r="H5">
        <f>H2*'Conversion Factors'!$B$92</f>
        <v>140502600000000</v>
      </c>
    </row>
    <row r="6" spans="1:53">
      <c r="A6" t="s">
        <v>413</v>
      </c>
      <c r="B6">
        <f>B3*'Conversion Factors'!$B$92</f>
        <v>228298399348282.16</v>
      </c>
      <c r="C6">
        <f>C3*'Conversion Factors'!$B$92</f>
        <v>177438778784289.28</v>
      </c>
      <c r="D6">
        <f>D3*'Conversion Factors'!$B$92</f>
        <v>522930356918165.44</v>
      </c>
      <c r="E6">
        <f>E3*'Conversion Factors'!$B$92</f>
        <v>869429442320584.75</v>
      </c>
      <c r="F6">
        <f>F3*'Conversion Factors'!$B$92</f>
        <v>1357256438892113.5</v>
      </c>
      <c r="G6">
        <f>G3*'Conversion Factors'!$B$92</f>
        <v>2067550485090934.8</v>
      </c>
      <c r="H6">
        <f>H3*'Conversion Factors'!$B$92</f>
        <v>3091595025159897</v>
      </c>
    </row>
    <row r="7" spans="1:53">
      <c r="A7" s="47" t="s">
        <v>285</v>
      </c>
    </row>
    <row r="8" spans="1:53">
      <c r="A8" s="47" t="s">
        <v>94</v>
      </c>
    </row>
    <row r="10" spans="1:53">
      <c r="A10" t="s">
        <v>288</v>
      </c>
      <c r="B10" s="77">
        <v>2019</v>
      </c>
      <c r="C10">
        <f>B10+1</f>
        <v>2020</v>
      </c>
      <c r="D10">
        <f t="shared" ref="D10:AI10" si="0">C10+1</f>
        <v>2021</v>
      </c>
      <c r="E10">
        <f t="shared" si="0"/>
        <v>2022</v>
      </c>
      <c r="F10">
        <f t="shared" si="0"/>
        <v>2023</v>
      </c>
      <c r="G10" s="77">
        <f t="shared" si="0"/>
        <v>2024</v>
      </c>
      <c r="H10">
        <f t="shared" si="0"/>
        <v>2025</v>
      </c>
      <c r="I10">
        <f t="shared" si="0"/>
        <v>2026</v>
      </c>
      <c r="J10">
        <f t="shared" si="0"/>
        <v>2027</v>
      </c>
      <c r="K10">
        <f t="shared" si="0"/>
        <v>2028</v>
      </c>
      <c r="L10" s="77">
        <f t="shared" si="0"/>
        <v>2029</v>
      </c>
      <c r="M10">
        <f t="shared" si="0"/>
        <v>2030</v>
      </c>
      <c r="N10">
        <f t="shared" si="0"/>
        <v>2031</v>
      </c>
      <c r="O10">
        <f t="shared" si="0"/>
        <v>2032</v>
      </c>
      <c r="P10">
        <f t="shared" si="0"/>
        <v>2033</v>
      </c>
      <c r="Q10" s="77">
        <f t="shared" si="0"/>
        <v>2034</v>
      </c>
      <c r="R10">
        <f t="shared" si="0"/>
        <v>2035</v>
      </c>
      <c r="S10">
        <f t="shared" si="0"/>
        <v>2036</v>
      </c>
      <c r="T10">
        <f t="shared" si="0"/>
        <v>2037</v>
      </c>
      <c r="U10">
        <f t="shared" si="0"/>
        <v>2038</v>
      </c>
      <c r="V10" s="77">
        <f t="shared" si="0"/>
        <v>2039</v>
      </c>
      <c r="W10">
        <f t="shared" si="0"/>
        <v>2040</v>
      </c>
      <c r="X10">
        <f t="shared" si="0"/>
        <v>2041</v>
      </c>
      <c r="Y10">
        <f t="shared" si="0"/>
        <v>2042</v>
      </c>
      <c r="Z10">
        <f t="shared" si="0"/>
        <v>2043</v>
      </c>
      <c r="AA10" s="77">
        <f t="shared" si="0"/>
        <v>2044</v>
      </c>
      <c r="AB10">
        <f t="shared" si="0"/>
        <v>2045</v>
      </c>
      <c r="AC10">
        <f t="shared" si="0"/>
        <v>2046</v>
      </c>
      <c r="AD10">
        <f t="shared" si="0"/>
        <v>2047</v>
      </c>
      <c r="AE10">
        <f t="shared" si="0"/>
        <v>2048</v>
      </c>
      <c r="AF10" s="77">
        <f t="shared" si="0"/>
        <v>2049</v>
      </c>
      <c r="AG10">
        <f t="shared" si="0"/>
        <v>2050</v>
      </c>
      <c r="AH10">
        <f t="shared" si="0"/>
        <v>2051</v>
      </c>
      <c r="AI10">
        <f t="shared" si="0"/>
        <v>2052</v>
      </c>
      <c r="AJ10">
        <f t="shared" ref="AJ10" si="1">AI10+1</f>
        <v>2053</v>
      </c>
      <c r="AK10">
        <f t="shared" ref="AK10" si="2">AJ10+1</f>
        <v>2054</v>
      </c>
      <c r="AL10">
        <f t="shared" ref="AL10" si="3">AK10+1</f>
        <v>2055</v>
      </c>
      <c r="AM10">
        <f t="shared" ref="AM10" si="4">AL10+1</f>
        <v>2056</v>
      </c>
      <c r="AN10">
        <f t="shared" ref="AN10" si="5">AM10+1</f>
        <v>2057</v>
      </c>
      <c r="AO10">
        <f t="shared" ref="AO10" si="6">AN10+1</f>
        <v>2058</v>
      </c>
      <c r="AP10">
        <f t="shared" ref="AP10" si="7">AO10+1</f>
        <v>2059</v>
      </c>
      <c r="AQ10">
        <f t="shared" ref="AQ10" si="8">AP10+1</f>
        <v>2060</v>
      </c>
      <c r="AR10">
        <f t="shared" ref="AR10" si="9">AQ10+1</f>
        <v>2061</v>
      </c>
      <c r="AS10">
        <f t="shared" ref="AS10" si="10">AR10+1</f>
        <v>2062</v>
      </c>
      <c r="AT10">
        <f t="shared" ref="AT10" si="11">AS10+1</f>
        <v>2063</v>
      </c>
      <c r="AU10">
        <f t="shared" ref="AU10" si="12">AT10+1</f>
        <v>2064</v>
      </c>
      <c r="AV10">
        <f t="shared" ref="AV10" si="13">AU10+1</f>
        <v>2065</v>
      </c>
      <c r="AW10">
        <f t="shared" ref="AW10" si="14">AV10+1</f>
        <v>2066</v>
      </c>
      <c r="AX10">
        <f t="shared" ref="AX10" si="15">AW10+1</f>
        <v>2067</v>
      </c>
      <c r="AY10">
        <f t="shared" ref="AY10" si="16">AX10+1</f>
        <v>2068</v>
      </c>
      <c r="AZ10">
        <f t="shared" ref="AZ10" si="17">AY10+1</f>
        <v>2069</v>
      </c>
      <c r="BA10">
        <f t="shared" ref="BA10" si="18">AZ10+1</f>
        <v>2070</v>
      </c>
    </row>
    <row r="11" spans="1:53">
      <c r="A11" t="s">
        <v>289</v>
      </c>
      <c r="B11">
        <f>B5</f>
        <v>140502600000000</v>
      </c>
      <c r="C11">
        <f>B11</f>
        <v>140502600000000</v>
      </c>
      <c r="D11">
        <f t="shared" ref="D11:AI11" si="19">C11</f>
        <v>140502600000000</v>
      </c>
      <c r="E11">
        <f t="shared" si="19"/>
        <v>140502600000000</v>
      </c>
      <c r="F11">
        <f t="shared" si="19"/>
        <v>140502600000000</v>
      </c>
      <c r="G11">
        <f t="shared" si="19"/>
        <v>140502600000000</v>
      </c>
      <c r="H11">
        <f t="shared" si="19"/>
        <v>140502600000000</v>
      </c>
      <c r="I11">
        <f t="shared" si="19"/>
        <v>140502600000000</v>
      </c>
      <c r="J11">
        <f t="shared" si="19"/>
        <v>140502600000000</v>
      </c>
      <c r="K11">
        <f t="shared" si="19"/>
        <v>140502600000000</v>
      </c>
      <c r="L11">
        <f t="shared" si="19"/>
        <v>140502600000000</v>
      </c>
      <c r="M11">
        <f t="shared" si="19"/>
        <v>140502600000000</v>
      </c>
      <c r="N11">
        <f t="shared" si="19"/>
        <v>140502600000000</v>
      </c>
      <c r="O11">
        <f t="shared" si="19"/>
        <v>140502600000000</v>
      </c>
      <c r="P11">
        <f t="shared" si="19"/>
        <v>140502600000000</v>
      </c>
      <c r="Q11">
        <f t="shared" si="19"/>
        <v>140502600000000</v>
      </c>
      <c r="R11">
        <f t="shared" si="19"/>
        <v>140502600000000</v>
      </c>
      <c r="S11">
        <f t="shared" si="19"/>
        <v>140502600000000</v>
      </c>
      <c r="T11">
        <f t="shared" si="19"/>
        <v>140502600000000</v>
      </c>
      <c r="U11">
        <f t="shared" si="19"/>
        <v>140502600000000</v>
      </c>
      <c r="V11">
        <f t="shared" si="19"/>
        <v>140502600000000</v>
      </c>
      <c r="W11">
        <f t="shared" si="19"/>
        <v>140502600000000</v>
      </c>
      <c r="X11">
        <f t="shared" si="19"/>
        <v>140502600000000</v>
      </c>
      <c r="Y11">
        <f t="shared" si="19"/>
        <v>140502600000000</v>
      </c>
      <c r="Z11">
        <f t="shared" si="19"/>
        <v>140502600000000</v>
      </c>
      <c r="AA11">
        <f t="shared" si="19"/>
        <v>140502600000000</v>
      </c>
      <c r="AB11">
        <f t="shared" si="19"/>
        <v>140502600000000</v>
      </c>
      <c r="AC11">
        <f t="shared" si="19"/>
        <v>140502600000000</v>
      </c>
      <c r="AD11">
        <f t="shared" si="19"/>
        <v>140502600000000</v>
      </c>
      <c r="AE11">
        <f t="shared" si="19"/>
        <v>140502600000000</v>
      </c>
      <c r="AF11">
        <f t="shared" si="19"/>
        <v>140502600000000</v>
      </c>
      <c r="AG11">
        <f t="shared" si="19"/>
        <v>140502600000000</v>
      </c>
      <c r="AH11">
        <f t="shared" si="19"/>
        <v>140502600000000</v>
      </c>
      <c r="AI11">
        <f t="shared" si="19"/>
        <v>140502600000000</v>
      </c>
    </row>
    <row r="12" spans="1:53">
      <c r="A12" t="s">
        <v>414</v>
      </c>
      <c r="B12">
        <f>B6</f>
        <v>228298399348282.16</v>
      </c>
      <c r="C12">
        <f>FORECAST(C10,$B$6:$C$6,$B$1:$C$1)</f>
        <v>211345192493616</v>
      </c>
      <c r="D12">
        <f t="shared" ref="D12:F12" si="20">FORECAST(D10,$B$6:$C$6,$B$1:$C$1)</f>
        <v>194391985638952</v>
      </c>
      <c r="E12">
        <f t="shared" si="20"/>
        <v>177438778784288</v>
      </c>
      <c r="F12">
        <f t="shared" si="20"/>
        <v>160485571929624</v>
      </c>
      <c r="G12">
        <f>C6</f>
        <v>177438778784289.28</v>
      </c>
      <c r="H12">
        <f>FORECAST(H10,$C$6:$D$6,$C$1:$D$1)</f>
        <v>384733725664624</v>
      </c>
      <c r="I12">
        <f t="shared" ref="I12:K12" si="21">FORECAST(I10,$C$6:$D$6,$C$1:$D$1)</f>
        <v>453832041291392</v>
      </c>
      <c r="J12">
        <f t="shared" si="21"/>
        <v>522930356918176</v>
      </c>
      <c r="K12">
        <f t="shared" si="21"/>
        <v>592028672544944</v>
      </c>
      <c r="L12">
        <f>D6</f>
        <v>522930356918165.44</v>
      </c>
      <c r="M12">
        <f>FORECAST(M10,$D$6:$E$6,$D$1:$E$1)</f>
        <v>730829808159616</v>
      </c>
      <c r="N12">
        <f t="shared" ref="N12:P12" si="22">FORECAST(N10,$D$6:$E$6,$D$1:$E$1)</f>
        <v>800129625240096</v>
      </c>
      <c r="O12">
        <f t="shared" si="22"/>
        <v>869429442320576</v>
      </c>
      <c r="P12">
        <f t="shared" si="22"/>
        <v>938729259401056</v>
      </c>
      <c r="Q12">
        <f>E6</f>
        <v>869429442320584.75</v>
      </c>
      <c r="R12">
        <f>FORECAST(R10,$E$6:$F$6,$E$1:$F$1)</f>
        <v>1162125640263488</v>
      </c>
      <c r="S12">
        <f t="shared" ref="S12:U12" si="23">FORECAST(S10,$E$6:$F$6,$E$1:$F$1)</f>
        <v>1259691039577792</v>
      </c>
      <c r="T12">
        <f t="shared" si="23"/>
        <v>1357256438892096</v>
      </c>
      <c r="U12">
        <f t="shared" si="23"/>
        <v>1454821838206400</v>
      </c>
      <c r="V12">
        <f>F6</f>
        <v>1357256438892113.5</v>
      </c>
      <c r="W12">
        <f>FORECAST(W10,$F$6:$G$6,$F$1:$G$1)</f>
        <v>1783432866611360</v>
      </c>
      <c r="X12">
        <f t="shared" ref="X12:Z12" si="24">FORECAST(X10,$F$6:$G$6,$F$1:$G$1)</f>
        <v>1925491675851168</v>
      </c>
      <c r="Y12">
        <f t="shared" si="24"/>
        <v>2067550485090912</v>
      </c>
      <c r="Z12">
        <f t="shared" si="24"/>
        <v>2209609294330656</v>
      </c>
      <c r="AA12">
        <f>G6</f>
        <v>2067550485090934.8</v>
      </c>
      <c r="AB12">
        <f>FORECAST(AB10,$G$6:$H$6,$G$1:$H$1)</f>
        <v>2681977209132288</v>
      </c>
      <c r="AC12">
        <f t="shared" ref="AC12:AE12" si="25">FORECAST(AC10,$G$6:$H$6,$G$1:$H$1)</f>
        <v>2886786117146112</v>
      </c>
      <c r="AD12">
        <f t="shared" si="25"/>
        <v>3091595025159872</v>
      </c>
      <c r="AE12">
        <f t="shared" si="25"/>
        <v>3296403933173696</v>
      </c>
      <c r="AF12">
        <f>H6</f>
        <v>3091595025159897</v>
      </c>
      <c r="AG12">
        <f>AF12</f>
        <v>3091595025159897</v>
      </c>
      <c r="AH12">
        <f t="shared" ref="AH12:AI12" si="26">AG12</f>
        <v>3091595025159897</v>
      </c>
      <c r="AI12">
        <f t="shared" si="26"/>
        <v>3091595025159897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85"/>
  <sheetViews>
    <sheetView workbookViewId="0">
      <pane xSplit="2" ySplit="1" topLeftCell="C59" activePane="bottomRight" state="frozen"/>
      <selection pane="topRight" activeCell="B1" sqref="B1"/>
      <selection pane="bottomLeft" activeCell="B1" sqref="B1"/>
      <selection pane="bottomRight" activeCell="F70" sqref="F70"/>
    </sheetView>
  </sheetViews>
  <sheetFormatPr defaultColWidth="9.1796875" defaultRowHeight="15" customHeight="1"/>
  <cols>
    <col min="1" max="1" width="20.81640625" style="6" hidden="1" customWidth="1"/>
    <col min="2" max="2" width="45.7265625" style="6" customWidth="1"/>
    <col min="3" max="16384" width="9.1796875" style="6"/>
  </cols>
  <sheetData>
    <row r="1" spans="1:37" ht="15" customHeight="1" thickBot="1">
      <c r="B1" s="14" t="s">
        <v>415</v>
      </c>
      <c r="C1" s="15">
        <v>2017</v>
      </c>
      <c r="D1" s="15">
        <v>2018</v>
      </c>
      <c r="E1" s="15">
        <v>2019</v>
      </c>
      <c r="F1" s="15">
        <v>2020</v>
      </c>
      <c r="G1" s="15">
        <v>2021</v>
      </c>
      <c r="H1" s="15">
        <v>2022</v>
      </c>
      <c r="I1" s="15">
        <v>2023</v>
      </c>
      <c r="J1" s="15">
        <v>2024</v>
      </c>
      <c r="K1" s="15">
        <v>2025</v>
      </c>
      <c r="L1" s="15">
        <v>2026</v>
      </c>
      <c r="M1" s="15">
        <v>2027</v>
      </c>
      <c r="N1" s="15">
        <v>2028</v>
      </c>
      <c r="O1" s="15">
        <v>2029</v>
      </c>
      <c r="P1" s="15">
        <v>2030</v>
      </c>
      <c r="Q1" s="15">
        <v>2031</v>
      </c>
      <c r="R1" s="15">
        <v>2032</v>
      </c>
      <c r="S1" s="15">
        <v>2033</v>
      </c>
      <c r="T1" s="15">
        <v>2034</v>
      </c>
      <c r="U1" s="15">
        <v>2035</v>
      </c>
      <c r="V1" s="15">
        <v>2036</v>
      </c>
      <c r="W1" s="15">
        <v>2037</v>
      </c>
      <c r="X1" s="15">
        <v>2038</v>
      </c>
      <c r="Y1" s="15">
        <v>2039</v>
      </c>
      <c r="Z1" s="15">
        <v>2040</v>
      </c>
      <c r="AA1" s="15">
        <v>2041</v>
      </c>
      <c r="AB1" s="15">
        <v>2042</v>
      </c>
      <c r="AC1" s="15">
        <v>2043</v>
      </c>
      <c r="AD1" s="15">
        <v>2044</v>
      </c>
      <c r="AE1" s="15">
        <v>2045</v>
      </c>
      <c r="AF1" s="15">
        <v>2046</v>
      </c>
      <c r="AG1" s="15">
        <v>2047</v>
      </c>
      <c r="AH1" s="15">
        <v>2048</v>
      </c>
      <c r="AI1" s="15">
        <v>2049</v>
      </c>
      <c r="AJ1" s="15">
        <v>2050</v>
      </c>
    </row>
    <row r="2" spans="1:37" ht="15" customHeight="1" thickTop="1"/>
    <row r="3" spans="1:37" ht="15" customHeight="1">
      <c r="C3" s="7" t="s">
        <v>416</v>
      </c>
      <c r="D3" s="7" t="s">
        <v>68</v>
      </c>
      <c r="E3" s="7"/>
      <c r="F3" s="7"/>
      <c r="G3" s="7"/>
    </row>
    <row r="4" spans="1:37" ht="15" customHeight="1">
      <c r="C4" s="7" t="s">
        <v>417</v>
      </c>
      <c r="D4" s="7" t="s">
        <v>418</v>
      </c>
      <c r="E4" s="7"/>
      <c r="F4" s="7"/>
      <c r="G4" s="7" t="s">
        <v>419</v>
      </c>
    </row>
    <row r="5" spans="1:37" ht="15" customHeight="1">
      <c r="C5" s="7" t="s">
        <v>420</v>
      </c>
      <c r="D5" s="7" t="s">
        <v>421</v>
      </c>
      <c r="E5" s="7"/>
      <c r="F5" s="7"/>
      <c r="G5" s="7"/>
    </row>
    <row r="6" spans="1:37" ht="15" customHeight="1">
      <c r="C6" s="7" t="s">
        <v>422</v>
      </c>
      <c r="D6" s="7"/>
      <c r="E6" s="7" t="s">
        <v>423</v>
      </c>
      <c r="F6" s="7"/>
      <c r="G6" s="7"/>
    </row>
    <row r="10" spans="1:37" ht="15" customHeight="1">
      <c r="A10" s="8" t="s">
        <v>424</v>
      </c>
      <c r="B10" s="16" t="s">
        <v>425</v>
      </c>
    </row>
    <row r="11" spans="1:37" ht="15" customHeight="1">
      <c r="B11" s="14" t="s">
        <v>426</v>
      </c>
    </row>
    <row r="12" spans="1:37" ht="15" customHeight="1">
      <c r="B12" s="14" t="s">
        <v>427</v>
      </c>
      <c r="C12" s="9" t="s">
        <v>427</v>
      </c>
      <c r="D12" s="9" t="s">
        <v>427</v>
      </c>
      <c r="E12" s="9" t="s">
        <v>427</v>
      </c>
      <c r="F12" s="9" t="s">
        <v>427</v>
      </c>
      <c r="G12" s="9" t="s">
        <v>427</v>
      </c>
      <c r="H12" s="9" t="s">
        <v>427</v>
      </c>
      <c r="I12" s="9" t="s">
        <v>427</v>
      </c>
      <c r="J12" s="9" t="s">
        <v>427</v>
      </c>
      <c r="K12" s="9" t="s">
        <v>427</v>
      </c>
      <c r="L12" s="9" t="s">
        <v>427</v>
      </c>
      <c r="M12" s="9" t="s">
        <v>427</v>
      </c>
      <c r="N12" s="9" t="s">
        <v>427</v>
      </c>
      <c r="O12" s="9" t="s">
        <v>427</v>
      </c>
      <c r="P12" s="9" t="s">
        <v>427</v>
      </c>
      <c r="Q12" s="9" t="s">
        <v>427</v>
      </c>
      <c r="R12" s="9" t="s">
        <v>427</v>
      </c>
      <c r="S12" s="9" t="s">
        <v>427</v>
      </c>
      <c r="T12" s="9" t="s">
        <v>427</v>
      </c>
      <c r="U12" s="9" t="s">
        <v>427</v>
      </c>
      <c r="V12" s="9" t="s">
        <v>427</v>
      </c>
      <c r="W12" s="9" t="s">
        <v>427</v>
      </c>
      <c r="X12" s="9" t="s">
        <v>427</v>
      </c>
      <c r="Y12" s="9" t="s">
        <v>427</v>
      </c>
      <c r="Z12" s="9" t="s">
        <v>427</v>
      </c>
      <c r="AA12" s="9" t="s">
        <v>427</v>
      </c>
      <c r="AB12" s="9" t="s">
        <v>427</v>
      </c>
      <c r="AC12" s="9" t="s">
        <v>427</v>
      </c>
      <c r="AD12" s="9" t="s">
        <v>427</v>
      </c>
      <c r="AE12" s="9" t="s">
        <v>427</v>
      </c>
      <c r="AF12" s="9" t="s">
        <v>427</v>
      </c>
      <c r="AG12" s="9" t="s">
        <v>427</v>
      </c>
      <c r="AH12" s="9" t="s">
        <v>427</v>
      </c>
      <c r="AI12" s="9" t="s">
        <v>427</v>
      </c>
      <c r="AJ12" s="9" t="s">
        <v>427</v>
      </c>
      <c r="AK12" s="9" t="s">
        <v>428</v>
      </c>
    </row>
    <row r="13" spans="1:37" ht="15" customHeight="1" thickBot="1">
      <c r="B13" s="15" t="s">
        <v>427</v>
      </c>
      <c r="C13" s="15">
        <v>2017</v>
      </c>
      <c r="D13" s="15">
        <v>2018</v>
      </c>
      <c r="E13" s="15">
        <v>2019</v>
      </c>
      <c r="F13" s="15">
        <v>2020</v>
      </c>
      <c r="G13" s="15">
        <v>2021</v>
      </c>
      <c r="H13" s="15">
        <v>2022</v>
      </c>
      <c r="I13" s="15">
        <v>2023</v>
      </c>
      <c r="J13" s="15">
        <v>2024</v>
      </c>
      <c r="K13" s="15">
        <v>2025</v>
      </c>
      <c r="L13" s="15">
        <v>2026</v>
      </c>
      <c r="M13" s="15">
        <v>2027</v>
      </c>
      <c r="N13" s="15">
        <v>2028</v>
      </c>
      <c r="O13" s="15">
        <v>2029</v>
      </c>
      <c r="P13" s="15">
        <v>2030</v>
      </c>
      <c r="Q13" s="15">
        <v>2031</v>
      </c>
      <c r="R13" s="15">
        <v>2032</v>
      </c>
      <c r="S13" s="15">
        <v>2033</v>
      </c>
      <c r="T13" s="15">
        <v>2034</v>
      </c>
      <c r="U13" s="15">
        <v>2035</v>
      </c>
      <c r="V13" s="15">
        <v>2036</v>
      </c>
      <c r="W13" s="15">
        <v>2037</v>
      </c>
      <c r="X13" s="15">
        <v>2038</v>
      </c>
      <c r="Y13" s="15">
        <v>2039</v>
      </c>
      <c r="Z13" s="15">
        <v>2040</v>
      </c>
      <c r="AA13" s="15">
        <v>2041</v>
      </c>
      <c r="AB13" s="15">
        <v>2042</v>
      </c>
      <c r="AC13" s="15">
        <v>2043</v>
      </c>
      <c r="AD13" s="15">
        <v>2044</v>
      </c>
      <c r="AE13" s="15">
        <v>2045</v>
      </c>
      <c r="AF13" s="15">
        <v>2046</v>
      </c>
      <c r="AG13" s="15">
        <v>2047</v>
      </c>
      <c r="AH13" s="15">
        <v>2048</v>
      </c>
      <c r="AI13" s="15">
        <v>2049</v>
      </c>
      <c r="AJ13" s="15">
        <v>2050</v>
      </c>
      <c r="AK13" s="15">
        <v>2050</v>
      </c>
    </row>
    <row r="14" spans="1:37" ht="15" customHeight="1" thickTop="1">
      <c r="B14" s="17" t="s">
        <v>429</v>
      </c>
    </row>
    <row r="15" spans="1:37" ht="15" customHeight="1">
      <c r="B15" s="17" t="s">
        <v>430</v>
      </c>
    </row>
    <row r="16" spans="1:37" ht="15" customHeight="1">
      <c r="A16" s="8" t="s">
        <v>431</v>
      </c>
      <c r="B16" s="18" t="s">
        <v>432</v>
      </c>
      <c r="C16" s="19">
        <v>6.6360000000000001</v>
      </c>
      <c r="D16" s="19">
        <v>6.6360000000000001</v>
      </c>
      <c r="E16" s="19">
        <v>6.6360000000000001</v>
      </c>
      <c r="F16" s="19">
        <v>6.6360000000000001</v>
      </c>
      <c r="G16" s="19">
        <v>6.6360000000000001</v>
      </c>
      <c r="H16" s="19">
        <v>6.6360000000000001</v>
      </c>
      <c r="I16" s="19">
        <v>6.6360000000000001</v>
      </c>
      <c r="J16" s="19">
        <v>6.6360000000000001</v>
      </c>
      <c r="K16" s="19">
        <v>6.6360000000000001</v>
      </c>
      <c r="L16" s="19">
        <v>6.6360000000000001</v>
      </c>
      <c r="M16" s="19">
        <v>6.6360000000000001</v>
      </c>
      <c r="N16" s="19">
        <v>6.6360000000000001</v>
      </c>
      <c r="O16" s="19">
        <v>6.6360000000000001</v>
      </c>
      <c r="P16" s="19">
        <v>6.6360000000000001</v>
      </c>
      <c r="Q16" s="19">
        <v>6.6360000000000001</v>
      </c>
      <c r="R16" s="19">
        <v>6.6360000000000001</v>
      </c>
      <c r="S16" s="19">
        <v>6.6360000000000001</v>
      </c>
      <c r="T16" s="19">
        <v>6.6360000000000001</v>
      </c>
      <c r="U16" s="19">
        <v>6.6360000000000001</v>
      </c>
      <c r="V16" s="19">
        <v>6.6360000000000001</v>
      </c>
      <c r="W16" s="19">
        <v>6.6360000000000001</v>
      </c>
      <c r="X16" s="19">
        <v>6.6360000000000001</v>
      </c>
      <c r="Y16" s="19">
        <v>6.6360000000000001</v>
      </c>
      <c r="Z16" s="19">
        <v>6.6360000000000001</v>
      </c>
      <c r="AA16" s="19">
        <v>6.6360000000000001</v>
      </c>
      <c r="AB16" s="19">
        <v>6.6360000000000001</v>
      </c>
      <c r="AC16" s="19">
        <v>6.6360000000000001</v>
      </c>
      <c r="AD16" s="19">
        <v>6.6360000000000001</v>
      </c>
      <c r="AE16" s="19">
        <v>6.6360000000000001</v>
      </c>
      <c r="AF16" s="19">
        <v>6.6360000000000001</v>
      </c>
      <c r="AG16" s="19">
        <v>6.6360000000000001</v>
      </c>
      <c r="AH16" s="19">
        <v>6.6360000000000001</v>
      </c>
      <c r="AI16" s="19">
        <v>6.6360000000000001</v>
      </c>
      <c r="AJ16" s="19">
        <v>6.6360000000000001</v>
      </c>
      <c r="AK16" s="20">
        <v>0</v>
      </c>
    </row>
    <row r="17" spans="1:37" ht="15" customHeight="1">
      <c r="A17" s="8" t="s">
        <v>433</v>
      </c>
      <c r="B17" s="18" t="s">
        <v>434</v>
      </c>
      <c r="C17" s="19">
        <v>5.048</v>
      </c>
      <c r="D17" s="19">
        <v>5.048</v>
      </c>
      <c r="E17" s="19">
        <v>5.048</v>
      </c>
      <c r="F17" s="19">
        <v>5.048</v>
      </c>
      <c r="G17" s="19">
        <v>5.048</v>
      </c>
      <c r="H17" s="19">
        <v>5.048</v>
      </c>
      <c r="I17" s="19">
        <v>5.048</v>
      </c>
      <c r="J17" s="19">
        <v>5.048</v>
      </c>
      <c r="K17" s="19">
        <v>5.048</v>
      </c>
      <c r="L17" s="19">
        <v>5.048</v>
      </c>
      <c r="M17" s="19">
        <v>5.048</v>
      </c>
      <c r="N17" s="19">
        <v>5.048</v>
      </c>
      <c r="O17" s="19">
        <v>5.048</v>
      </c>
      <c r="P17" s="19">
        <v>5.048</v>
      </c>
      <c r="Q17" s="19">
        <v>5.048</v>
      </c>
      <c r="R17" s="19">
        <v>5.048</v>
      </c>
      <c r="S17" s="19">
        <v>5.048</v>
      </c>
      <c r="T17" s="19">
        <v>5.048</v>
      </c>
      <c r="U17" s="19">
        <v>5.048</v>
      </c>
      <c r="V17" s="19">
        <v>5.048</v>
      </c>
      <c r="W17" s="19">
        <v>5.048</v>
      </c>
      <c r="X17" s="19">
        <v>5.048</v>
      </c>
      <c r="Y17" s="19">
        <v>5.048</v>
      </c>
      <c r="Z17" s="19">
        <v>5.048</v>
      </c>
      <c r="AA17" s="19">
        <v>5.048</v>
      </c>
      <c r="AB17" s="19">
        <v>5.048</v>
      </c>
      <c r="AC17" s="19">
        <v>5.048</v>
      </c>
      <c r="AD17" s="19">
        <v>5.048</v>
      </c>
      <c r="AE17" s="19">
        <v>5.048</v>
      </c>
      <c r="AF17" s="19">
        <v>5.048</v>
      </c>
      <c r="AG17" s="19">
        <v>5.048</v>
      </c>
      <c r="AH17" s="19">
        <v>5.048</v>
      </c>
      <c r="AI17" s="19">
        <v>5.048</v>
      </c>
      <c r="AJ17" s="19">
        <v>5.048</v>
      </c>
      <c r="AK17" s="20">
        <v>0</v>
      </c>
    </row>
    <row r="18" spans="1:37" ht="15" customHeight="1">
      <c r="A18" s="8" t="s">
        <v>435</v>
      </c>
      <c r="B18" s="18" t="s">
        <v>436</v>
      </c>
      <c r="C18" s="19">
        <v>5.359</v>
      </c>
      <c r="D18" s="19">
        <v>5.359</v>
      </c>
      <c r="E18" s="19">
        <v>5.359</v>
      </c>
      <c r="F18" s="19">
        <v>5.359</v>
      </c>
      <c r="G18" s="19">
        <v>5.359</v>
      </c>
      <c r="H18" s="19">
        <v>5.359</v>
      </c>
      <c r="I18" s="19">
        <v>5.359</v>
      </c>
      <c r="J18" s="19">
        <v>5.359</v>
      </c>
      <c r="K18" s="19">
        <v>5.359</v>
      </c>
      <c r="L18" s="19">
        <v>5.359</v>
      </c>
      <c r="M18" s="19">
        <v>5.359</v>
      </c>
      <c r="N18" s="19">
        <v>5.359</v>
      </c>
      <c r="O18" s="19">
        <v>5.359</v>
      </c>
      <c r="P18" s="19">
        <v>5.359</v>
      </c>
      <c r="Q18" s="19">
        <v>5.359</v>
      </c>
      <c r="R18" s="19">
        <v>5.359</v>
      </c>
      <c r="S18" s="19">
        <v>5.359</v>
      </c>
      <c r="T18" s="19">
        <v>5.359</v>
      </c>
      <c r="U18" s="19">
        <v>5.359</v>
      </c>
      <c r="V18" s="19">
        <v>5.359</v>
      </c>
      <c r="W18" s="19">
        <v>5.359</v>
      </c>
      <c r="X18" s="19">
        <v>5.359</v>
      </c>
      <c r="Y18" s="19">
        <v>5.359</v>
      </c>
      <c r="Z18" s="19">
        <v>5.359</v>
      </c>
      <c r="AA18" s="19">
        <v>5.359</v>
      </c>
      <c r="AB18" s="19">
        <v>5.359</v>
      </c>
      <c r="AC18" s="19">
        <v>5.359</v>
      </c>
      <c r="AD18" s="19">
        <v>5.359</v>
      </c>
      <c r="AE18" s="19">
        <v>5.359</v>
      </c>
      <c r="AF18" s="19">
        <v>5.359</v>
      </c>
      <c r="AG18" s="19">
        <v>5.359</v>
      </c>
      <c r="AH18" s="19">
        <v>5.359</v>
      </c>
      <c r="AI18" s="19">
        <v>5.359</v>
      </c>
      <c r="AJ18" s="19">
        <v>5.359</v>
      </c>
      <c r="AK18" s="20">
        <v>0</v>
      </c>
    </row>
    <row r="19" spans="1:37" ht="15" customHeight="1">
      <c r="A19" s="8" t="s">
        <v>437</v>
      </c>
      <c r="B19" s="18" t="s">
        <v>438</v>
      </c>
      <c r="C19" s="19">
        <v>5.8250000000000002</v>
      </c>
      <c r="D19" s="19">
        <v>5.8250000000000002</v>
      </c>
      <c r="E19" s="19">
        <v>5.8250000000000002</v>
      </c>
      <c r="F19" s="19">
        <v>5.8250000000000002</v>
      </c>
      <c r="G19" s="19">
        <v>5.8250000000000002</v>
      </c>
      <c r="H19" s="19">
        <v>5.8250000000000002</v>
      </c>
      <c r="I19" s="19">
        <v>5.8250000000000002</v>
      </c>
      <c r="J19" s="19">
        <v>5.8250000000000002</v>
      </c>
      <c r="K19" s="19">
        <v>5.8250000000000002</v>
      </c>
      <c r="L19" s="19">
        <v>5.8250000000000002</v>
      </c>
      <c r="M19" s="19">
        <v>5.8250000000000002</v>
      </c>
      <c r="N19" s="19">
        <v>5.8250000000000002</v>
      </c>
      <c r="O19" s="19">
        <v>5.8250000000000002</v>
      </c>
      <c r="P19" s="19">
        <v>5.8250000000000002</v>
      </c>
      <c r="Q19" s="19">
        <v>5.8250000000000002</v>
      </c>
      <c r="R19" s="19">
        <v>5.8250000000000002</v>
      </c>
      <c r="S19" s="19">
        <v>5.8250000000000002</v>
      </c>
      <c r="T19" s="19">
        <v>5.8250000000000002</v>
      </c>
      <c r="U19" s="19">
        <v>5.8250000000000002</v>
      </c>
      <c r="V19" s="19">
        <v>5.8250000000000002</v>
      </c>
      <c r="W19" s="19">
        <v>5.8250000000000002</v>
      </c>
      <c r="X19" s="19">
        <v>5.8250000000000002</v>
      </c>
      <c r="Y19" s="19">
        <v>5.8250000000000002</v>
      </c>
      <c r="Z19" s="19">
        <v>5.8250000000000002</v>
      </c>
      <c r="AA19" s="19">
        <v>5.8250000000000002</v>
      </c>
      <c r="AB19" s="19">
        <v>5.8250000000000002</v>
      </c>
      <c r="AC19" s="19">
        <v>5.8250000000000002</v>
      </c>
      <c r="AD19" s="19">
        <v>5.8250000000000002</v>
      </c>
      <c r="AE19" s="19">
        <v>5.8250000000000002</v>
      </c>
      <c r="AF19" s="19">
        <v>5.8250000000000002</v>
      </c>
      <c r="AG19" s="19">
        <v>5.8250000000000002</v>
      </c>
      <c r="AH19" s="19">
        <v>5.8250000000000002</v>
      </c>
      <c r="AI19" s="19">
        <v>5.8250000000000002</v>
      </c>
      <c r="AJ19" s="19">
        <v>5.8250000000000002</v>
      </c>
      <c r="AK19" s="20">
        <v>0</v>
      </c>
    </row>
    <row r="20" spans="1:37" ht="15" customHeight="1">
      <c r="A20" s="8" t="s">
        <v>439</v>
      </c>
      <c r="B20" s="18" t="s">
        <v>440</v>
      </c>
      <c r="C20" s="19">
        <v>5.7746510000000004</v>
      </c>
      <c r="D20" s="19">
        <v>5.7738240000000003</v>
      </c>
      <c r="E20" s="19">
        <v>5.7736289999999997</v>
      </c>
      <c r="F20" s="19">
        <v>5.7729280000000003</v>
      </c>
      <c r="G20" s="19">
        <v>5.7731190000000003</v>
      </c>
      <c r="H20" s="19">
        <v>5.7737270000000001</v>
      </c>
      <c r="I20" s="19">
        <v>5.7724289999999998</v>
      </c>
      <c r="J20" s="19">
        <v>5.773784</v>
      </c>
      <c r="K20" s="19">
        <v>5.7726059999999997</v>
      </c>
      <c r="L20" s="19">
        <v>5.7733230000000004</v>
      </c>
      <c r="M20" s="19">
        <v>5.7745470000000001</v>
      </c>
      <c r="N20" s="19">
        <v>5.7747440000000001</v>
      </c>
      <c r="O20" s="19">
        <v>5.7735219999999998</v>
      </c>
      <c r="P20" s="19">
        <v>5.7736159999999996</v>
      </c>
      <c r="Q20" s="19">
        <v>5.7735810000000001</v>
      </c>
      <c r="R20" s="19">
        <v>5.7734930000000002</v>
      </c>
      <c r="S20" s="19">
        <v>5.7744850000000003</v>
      </c>
      <c r="T20" s="19">
        <v>5.7733730000000003</v>
      </c>
      <c r="U20" s="19">
        <v>5.7733169999999996</v>
      </c>
      <c r="V20" s="19">
        <v>5.7729939999999997</v>
      </c>
      <c r="W20" s="19">
        <v>5.7732359999999998</v>
      </c>
      <c r="X20" s="19">
        <v>5.7731630000000003</v>
      </c>
      <c r="Y20" s="19">
        <v>5.7730449999999998</v>
      </c>
      <c r="Z20" s="19">
        <v>5.773002</v>
      </c>
      <c r="AA20" s="19">
        <v>5.7729929999999996</v>
      </c>
      <c r="AB20" s="19">
        <v>5.7727380000000004</v>
      </c>
      <c r="AC20" s="19">
        <v>5.772945</v>
      </c>
      <c r="AD20" s="19">
        <v>5.7726160000000002</v>
      </c>
      <c r="AE20" s="19">
        <v>5.7726569999999997</v>
      </c>
      <c r="AF20" s="19">
        <v>5.7725039999999996</v>
      </c>
      <c r="AG20" s="19">
        <v>5.7722730000000002</v>
      </c>
      <c r="AH20" s="19">
        <v>5.7721470000000004</v>
      </c>
      <c r="AI20" s="19">
        <v>5.7719480000000001</v>
      </c>
      <c r="AJ20" s="19">
        <v>5.7717749999999999</v>
      </c>
      <c r="AK20" s="20">
        <v>-1.1E-5</v>
      </c>
    </row>
    <row r="21" spans="1:37" ht="15" customHeight="1">
      <c r="A21" s="8" t="s">
        <v>441</v>
      </c>
      <c r="B21" s="18" t="s">
        <v>442</v>
      </c>
      <c r="C21" s="19">
        <v>5.7746510000000004</v>
      </c>
      <c r="D21" s="19">
        <v>5.7738240000000003</v>
      </c>
      <c r="E21" s="19">
        <v>5.7736289999999997</v>
      </c>
      <c r="F21" s="19">
        <v>5.7729280000000003</v>
      </c>
      <c r="G21" s="19">
        <v>5.7731190000000003</v>
      </c>
      <c r="H21" s="19">
        <v>5.7737270000000001</v>
      </c>
      <c r="I21" s="19">
        <v>5.7724289999999998</v>
      </c>
      <c r="J21" s="19">
        <v>5.773784</v>
      </c>
      <c r="K21" s="19">
        <v>5.7726059999999997</v>
      </c>
      <c r="L21" s="19">
        <v>5.7733230000000004</v>
      </c>
      <c r="M21" s="19">
        <v>5.7745470000000001</v>
      </c>
      <c r="N21" s="19">
        <v>5.7747440000000001</v>
      </c>
      <c r="O21" s="19">
        <v>5.7735219999999998</v>
      </c>
      <c r="P21" s="19">
        <v>5.7736159999999996</v>
      </c>
      <c r="Q21" s="19">
        <v>5.7735810000000001</v>
      </c>
      <c r="R21" s="19">
        <v>5.7734930000000002</v>
      </c>
      <c r="S21" s="19">
        <v>5.7744850000000003</v>
      </c>
      <c r="T21" s="19">
        <v>5.7733730000000003</v>
      </c>
      <c r="U21" s="19">
        <v>5.7733169999999996</v>
      </c>
      <c r="V21" s="19">
        <v>5.7729939999999997</v>
      </c>
      <c r="W21" s="19">
        <v>5.7732359999999998</v>
      </c>
      <c r="X21" s="19">
        <v>5.7731630000000003</v>
      </c>
      <c r="Y21" s="19">
        <v>5.7730449999999998</v>
      </c>
      <c r="Z21" s="19">
        <v>5.773002</v>
      </c>
      <c r="AA21" s="19">
        <v>5.7729929999999996</v>
      </c>
      <c r="AB21" s="19">
        <v>5.7727380000000004</v>
      </c>
      <c r="AC21" s="19">
        <v>5.772945</v>
      </c>
      <c r="AD21" s="19">
        <v>5.7726160000000002</v>
      </c>
      <c r="AE21" s="19">
        <v>5.7726569999999997</v>
      </c>
      <c r="AF21" s="19">
        <v>5.7725039999999996</v>
      </c>
      <c r="AG21" s="19">
        <v>5.7722730000000002</v>
      </c>
      <c r="AH21" s="19">
        <v>5.7721470000000004</v>
      </c>
      <c r="AI21" s="19">
        <v>5.7719480000000001</v>
      </c>
      <c r="AJ21" s="19">
        <v>5.7717749999999999</v>
      </c>
      <c r="AK21" s="20">
        <v>-1.1E-5</v>
      </c>
    </row>
    <row r="22" spans="1:37" ht="15" customHeight="1">
      <c r="A22" s="8" t="s">
        <v>443</v>
      </c>
      <c r="B22" s="18" t="s">
        <v>444</v>
      </c>
      <c r="C22" s="19">
        <v>5.7746510000000004</v>
      </c>
      <c r="D22" s="19">
        <v>5.7738240000000003</v>
      </c>
      <c r="E22" s="19">
        <v>5.7736289999999997</v>
      </c>
      <c r="F22" s="19">
        <v>5.7729280000000003</v>
      </c>
      <c r="G22" s="19">
        <v>5.7731190000000003</v>
      </c>
      <c r="H22" s="19">
        <v>5.7737270000000001</v>
      </c>
      <c r="I22" s="19">
        <v>5.7724289999999998</v>
      </c>
      <c r="J22" s="19">
        <v>5.773784</v>
      </c>
      <c r="K22" s="19">
        <v>5.7726059999999997</v>
      </c>
      <c r="L22" s="19">
        <v>5.7733230000000004</v>
      </c>
      <c r="M22" s="19">
        <v>5.7745470000000001</v>
      </c>
      <c r="N22" s="19">
        <v>5.7747440000000001</v>
      </c>
      <c r="O22" s="19">
        <v>5.7735219999999998</v>
      </c>
      <c r="P22" s="19">
        <v>5.7736159999999996</v>
      </c>
      <c r="Q22" s="19">
        <v>5.7735810000000001</v>
      </c>
      <c r="R22" s="19">
        <v>5.7734930000000002</v>
      </c>
      <c r="S22" s="19">
        <v>5.7744850000000003</v>
      </c>
      <c r="T22" s="19">
        <v>5.7733730000000003</v>
      </c>
      <c r="U22" s="19">
        <v>5.7733169999999996</v>
      </c>
      <c r="V22" s="19">
        <v>5.7729939999999997</v>
      </c>
      <c r="W22" s="19">
        <v>5.7732359999999998</v>
      </c>
      <c r="X22" s="19">
        <v>5.7731630000000003</v>
      </c>
      <c r="Y22" s="19">
        <v>5.7730449999999998</v>
      </c>
      <c r="Z22" s="19">
        <v>5.773002</v>
      </c>
      <c r="AA22" s="19">
        <v>5.7729929999999996</v>
      </c>
      <c r="AB22" s="19">
        <v>5.7727380000000004</v>
      </c>
      <c r="AC22" s="19">
        <v>5.772945</v>
      </c>
      <c r="AD22" s="19">
        <v>5.7726160000000002</v>
      </c>
      <c r="AE22" s="19">
        <v>5.7726569999999997</v>
      </c>
      <c r="AF22" s="19">
        <v>5.7725039999999996</v>
      </c>
      <c r="AG22" s="19">
        <v>5.7722730000000002</v>
      </c>
      <c r="AH22" s="19">
        <v>5.7721470000000004</v>
      </c>
      <c r="AI22" s="19">
        <v>5.7719480000000001</v>
      </c>
      <c r="AJ22" s="19">
        <v>5.7717749999999999</v>
      </c>
      <c r="AK22" s="20">
        <v>-1.1E-5</v>
      </c>
    </row>
    <row r="23" spans="1:37" ht="15" customHeight="1">
      <c r="A23" s="8" t="s">
        <v>445</v>
      </c>
      <c r="B23" s="18" t="s">
        <v>446</v>
      </c>
      <c r="C23" s="19">
        <v>5.7746510000000004</v>
      </c>
      <c r="D23" s="19">
        <v>5.7738240000000003</v>
      </c>
      <c r="E23" s="19">
        <v>5.7736289999999997</v>
      </c>
      <c r="F23" s="19">
        <v>5.7729280000000003</v>
      </c>
      <c r="G23" s="19">
        <v>5.7731190000000003</v>
      </c>
      <c r="H23" s="19">
        <v>5.7737270000000001</v>
      </c>
      <c r="I23" s="19">
        <v>5.7724289999999998</v>
      </c>
      <c r="J23" s="19">
        <v>5.773784</v>
      </c>
      <c r="K23" s="19">
        <v>5.7726059999999997</v>
      </c>
      <c r="L23" s="19">
        <v>5.7733230000000004</v>
      </c>
      <c r="M23" s="19">
        <v>5.7745470000000001</v>
      </c>
      <c r="N23" s="19">
        <v>5.7747440000000001</v>
      </c>
      <c r="O23" s="19">
        <v>5.7735219999999998</v>
      </c>
      <c r="P23" s="19">
        <v>5.7736159999999996</v>
      </c>
      <c r="Q23" s="19">
        <v>5.7735810000000001</v>
      </c>
      <c r="R23" s="19">
        <v>5.7734930000000002</v>
      </c>
      <c r="S23" s="19">
        <v>5.7744850000000003</v>
      </c>
      <c r="T23" s="19">
        <v>5.7733730000000003</v>
      </c>
      <c r="U23" s="19">
        <v>5.7733169999999996</v>
      </c>
      <c r="V23" s="19">
        <v>5.7729939999999997</v>
      </c>
      <c r="W23" s="19">
        <v>5.7732359999999998</v>
      </c>
      <c r="X23" s="19">
        <v>5.7731630000000003</v>
      </c>
      <c r="Y23" s="19">
        <v>5.7730449999999998</v>
      </c>
      <c r="Z23" s="19">
        <v>5.773002</v>
      </c>
      <c r="AA23" s="19">
        <v>5.7729929999999996</v>
      </c>
      <c r="AB23" s="19">
        <v>5.7727380000000004</v>
      </c>
      <c r="AC23" s="19">
        <v>5.772945</v>
      </c>
      <c r="AD23" s="19">
        <v>5.7726160000000002</v>
      </c>
      <c r="AE23" s="19">
        <v>5.7726569999999997</v>
      </c>
      <c r="AF23" s="19">
        <v>5.7725039999999996</v>
      </c>
      <c r="AG23" s="19">
        <v>5.7722730000000002</v>
      </c>
      <c r="AH23" s="19">
        <v>5.7721470000000004</v>
      </c>
      <c r="AI23" s="19">
        <v>5.7719480000000001</v>
      </c>
      <c r="AJ23" s="19">
        <v>5.7717749999999999</v>
      </c>
      <c r="AK23" s="20">
        <v>-1.1E-5</v>
      </c>
    </row>
    <row r="24" spans="1:37" ht="15" customHeight="1">
      <c r="A24" s="8" t="s">
        <v>447</v>
      </c>
      <c r="B24" s="18" t="s">
        <v>448</v>
      </c>
      <c r="C24" s="19">
        <v>5.7746510000000004</v>
      </c>
      <c r="D24" s="19">
        <v>5.7738240000000003</v>
      </c>
      <c r="E24" s="19">
        <v>5.7736289999999997</v>
      </c>
      <c r="F24" s="19">
        <v>5.7729280000000003</v>
      </c>
      <c r="G24" s="19">
        <v>5.7731190000000003</v>
      </c>
      <c r="H24" s="19">
        <v>5.7737270000000001</v>
      </c>
      <c r="I24" s="19">
        <v>5.7724289999999998</v>
      </c>
      <c r="J24" s="19">
        <v>5.773784</v>
      </c>
      <c r="K24" s="19">
        <v>5.7726059999999997</v>
      </c>
      <c r="L24" s="19">
        <v>5.7733230000000004</v>
      </c>
      <c r="M24" s="19">
        <v>5.7745470000000001</v>
      </c>
      <c r="N24" s="19">
        <v>5.7747440000000001</v>
      </c>
      <c r="O24" s="19">
        <v>5.7735219999999998</v>
      </c>
      <c r="P24" s="19">
        <v>5.7736159999999996</v>
      </c>
      <c r="Q24" s="19">
        <v>5.7735810000000001</v>
      </c>
      <c r="R24" s="19">
        <v>5.7734930000000002</v>
      </c>
      <c r="S24" s="19">
        <v>5.7744850000000003</v>
      </c>
      <c r="T24" s="19">
        <v>5.7733730000000003</v>
      </c>
      <c r="U24" s="19">
        <v>5.7733169999999996</v>
      </c>
      <c r="V24" s="19">
        <v>5.7729939999999997</v>
      </c>
      <c r="W24" s="19">
        <v>5.7732359999999998</v>
      </c>
      <c r="X24" s="19">
        <v>5.7731630000000003</v>
      </c>
      <c r="Y24" s="19">
        <v>5.7730449999999998</v>
      </c>
      <c r="Z24" s="19">
        <v>5.773002</v>
      </c>
      <c r="AA24" s="19">
        <v>5.7729929999999996</v>
      </c>
      <c r="AB24" s="19">
        <v>5.7727380000000004</v>
      </c>
      <c r="AC24" s="19">
        <v>5.772945</v>
      </c>
      <c r="AD24" s="19">
        <v>5.7726160000000002</v>
      </c>
      <c r="AE24" s="19">
        <v>5.7726569999999997</v>
      </c>
      <c r="AF24" s="19">
        <v>5.7725039999999996</v>
      </c>
      <c r="AG24" s="19">
        <v>5.7722730000000002</v>
      </c>
      <c r="AH24" s="19">
        <v>5.7721470000000004</v>
      </c>
      <c r="AI24" s="19">
        <v>5.7719480000000001</v>
      </c>
      <c r="AJ24" s="19">
        <v>5.7717749999999999</v>
      </c>
      <c r="AK24" s="20">
        <v>-1.1E-5</v>
      </c>
    </row>
    <row r="25" spans="1:37" ht="15" customHeight="1">
      <c r="A25" s="8" t="s">
        <v>449</v>
      </c>
      <c r="B25" s="18" t="s">
        <v>450</v>
      </c>
      <c r="C25" s="19">
        <v>5.7746510000000004</v>
      </c>
      <c r="D25" s="19">
        <v>5.7738240000000003</v>
      </c>
      <c r="E25" s="19">
        <v>5.7736280000000004</v>
      </c>
      <c r="F25" s="19">
        <v>5.7729270000000001</v>
      </c>
      <c r="G25" s="19">
        <v>5.7731190000000003</v>
      </c>
      <c r="H25" s="19">
        <v>5.7737270000000001</v>
      </c>
      <c r="I25" s="19">
        <v>5.7724289999999998</v>
      </c>
      <c r="J25" s="19">
        <v>5.773784</v>
      </c>
      <c r="K25" s="19">
        <v>5.7726059999999997</v>
      </c>
      <c r="L25" s="19">
        <v>5.7733220000000003</v>
      </c>
      <c r="M25" s="19">
        <v>5.7745480000000002</v>
      </c>
      <c r="N25" s="19">
        <v>5.7747440000000001</v>
      </c>
      <c r="O25" s="19">
        <v>5.7735219999999998</v>
      </c>
      <c r="P25" s="19">
        <v>5.7736159999999996</v>
      </c>
      <c r="Q25" s="19">
        <v>5.7735799999999999</v>
      </c>
      <c r="R25" s="19">
        <v>5.7734930000000002</v>
      </c>
      <c r="S25" s="19">
        <v>5.7744850000000003</v>
      </c>
      <c r="T25" s="19">
        <v>5.7733730000000003</v>
      </c>
      <c r="U25" s="19">
        <v>5.7733169999999996</v>
      </c>
      <c r="V25" s="19">
        <v>5.7729939999999997</v>
      </c>
      <c r="W25" s="19">
        <v>5.7732359999999998</v>
      </c>
      <c r="X25" s="19">
        <v>5.7731620000000001</v>
      </c>
      <c r="Y25" s="19">
        <v>5.7730439999999996</v>
      </c>
      <c r="Z25" s="19">
        <v>5.773002</v>
      </c>
      <c r="AA25" s="19">
        <v>5.7729929999999996</v>
      </c>
      <c r="AB25" s="19">
        <v>5.7727380000000004</v>
      </c>
      <c r="AC25" s="19">
        <v>5.772945</v>
      </c>
      <c r="AD25" s="19">
        <v>5.7726170000000003</v>
      </c>
      <c r="AE25" s="19">
        <v>5.7726559999999996</v>
      </c>
      <c r="AF25" s="19">
        <v>5.7725039999999996</v>
      </c>
      <c r="AG25" s="19">
        <v>5.7722740000000003</v>
      </c>
      <c r="AH25" s="19">
        <v>5.7721470000000004</v>
      </c>
      <c r="AI25" s="19">
        <v>5.7719480000000001</v>
      </c>
      <c r="AJ25" s="19">
        <v>5.7717749999999999</v>
      </c>
      <c r="AK25" s="20">
        <v>-1.1E-5</v>
      </c>
    </row>
    <row r="26" spans="1:37" ht="15" customHeight="1">
      <c r="A26" s="8" t="s">
        <v>451</v>
      </c>
      <c r="B26" s="18" t="s">
        <v>452</v>
      </c>
      <c r="C26" s="19">
        <v>5.8170000000000002</v>
      </c>
      <c r="D26" s="19">
        <v>5.8170000000000002</v>
      </c>
      <c r="E26" s="19">
        <v>5.8170000000000002</v>
      </c>
      <c r="F26" s="19">
        <v>5.8170000000000002</v>
      </c>
      <c r="G26" s="19">
        <v>5.8170000000000002</v>
      </c>
      <c r="H26" s="19">
        <v>5.8170000000000002</v>
      </c>
      <c r="I26" s="19">
        <v>5.8170000000000002</v>
      </c>
      <c r="J26" s="19">
        <v>5.8170000000000002</v>
      </c>
      <c r="K26" s="19">
        <v>5.8170000000000002</v>
      </c>
      <c r="L26" s="19">
        <v>5.8170000000000002</v>
      </c>
      <c r="M26" s="19">
        <v>5.8170000000000002</v>
      </c>
      <c r="N26" s="19">
        <v>5.8170000000000002</v>
      </c>
      <c r="O26" s="19">
        <v>5.8170000000000002</v>
      </c>
      <c r="P26" s="19">
        <v>5.8170000000000002</v>
      </c>
      <c r="Q26" s="19">
        <v>5.8170000000000002</v>
      </c>
      <c r="R26" s="19">
        <v>5.8170000000000002</v>
      </c>
      <c r="S26" s="19">
        <v>5.8170000000000002</v>
      </c>
      <c r="T26" s="19">
        <v>5.8170000000000002</v>
      </c>
      <c r="U26" s="19">
        <v>5.8170000000000002</v>
      </c>
      <c r="V26" s="19">
        <v>5.8170000000000002</v>
      </c>
      <c r="W26" s="19">
        <v>5.8170000000000002</v>
      </c>
      <c r="X26" s="19">
        <v>5.8170000000000002</v>
      </c>
      <c r="Y26" s="19">
        <v>5.8170000000000002</v>
      </c>
      <c r="Z26" s="19">
        <v>5.8170000000000002</v>
      </c>
      <c r="AA26" s="19">
        <v>5.8170000000000002</v>
      </c>
      <c r="AB26" s="19">
        <v>5.8170000000000002</v>
      </c>
      <c r="AC26" s="19">
        <v>5.8170000000000002</v>
      </c>
      <c r="AD26" s="19">
        <v>5.8170000000000002</v>
      </c>
      <c r="AE26" s="19">
        <v>5.8170000000000002</v>
      </c>
      <c r="AF26" s="19">
        <v>5.8170000000000002</v>
      </c>
      <c r="AG26" s="19">
        <v>5.8170000000000002</v>
      </c>
      <c r="AH26" s="19">
        <v>5.8170000000000002</v>
      </c>
      <c r="AI26" s="19">
        <v>5.8170000000000002</v>
      </c>
      <c r="AJ26" s="19">
        <v>5.8170000000000002</v>
      </c>
      <c r="AK26" s="20">
        <v>0</v>
      </c>
    </row>
    <row r="27" spans="1:37" ht="15" customHeight="1">
      <c r="A27" s="8" t="s">
        <v>453</v>
      </c>
      <c r="B27" s="18" t="s">
        <v>454</v>
      </c>
      <c r="C27" s="19">
        <v>5.77</v>
      </c>
      <c r="D27" s="19">
        <v>5.77</v>
      </c>
      <c r="E27" s="19">
        <v>5.77</v>
      </c>
      <c r="F27" s="19">
        <v>5.77</v>
      </c>
      <c r="G27" s="19">
        <v>5.77</v>
      </c>
      <c r="H27" s="19">
        <v>5.77</v>
      </c>
      <c r="I27" s="19">
        <v>5.77</v>
      </c>
      <c r="J27" s="19">
        <v>5.77</v>
      </c>
      <c r="K27" s="19">
        <v>5.77</v>
      </c>
      <c r="L27" s="19">
        <v>5.77</v>
      </c>
      <c r="M27" s="19">
        <v>5.77</v>
      </c>
      <c r="N27" s="19">
        <v>5.77</v>
      </c>
      <c r="O27" s="19">
        <v>5.77</v>
      </c>
      <c r="P27" s="19">
        <v>5.77</v>
      </c>
      <c r="Q27" s="19">
        <v>5.77</v>
      </c>
      <c r="R27" s="19">
        <v>5.77</v>
      </c>
      <c r="S27" s="19">
        <v>5.77</v>
      </c>
      <c r="T27" s="19">
        <v>5.77</v>
      </c>
      <c r="U27" s="19">
        <v>5.77</v>
      </c>
      <c r="V27" s="19">
        <v>5.77</v>
      </c>
      <c r="W27" s="19">
        <v>5.77</v>
      </c>
      <c r="X27" s="19">
        <v>5.77</v>
      </c>
      <c r="Y27" s="19">
        <v>5.77</v>
      </c>
      <c r="Z27" s="19">
        <v>5.77</v>
      </c>
      <c r="AA27" s="19">
        <v>5.77</v>
      </c>
      <c r="AB27" s="19">
        <v>5.77</v>
      </c>
      <c r="AC27" s="19">
        <v>5.77</v>
      </c>
      <c r="AD27" s="19">
        <v>5.77</v>
      </c>
      <c r="AE27" s="19">
        <v>5.77</v>
      </c>
      <c r="AF27" s="19">
        <v>5.77</v>
      </c>
      <c r="AG27" s="19">
        <v>5.77</v>
      </c>
      <c r="AH27" s="19">
        <v>5.77</v>
      </c>
      <c r="AI27" s="19">
        <v>5.77</v>
      </c>
      <c r="AJ27" s="19">
        <v>5.77</v>
      </c>
      <c r="AK27" s="20">
        <v>0</v>
      </c>
    </row>
    <row r="28" spans="1:37" ht="15" customHeight="1">
      <c r="A28" s="8" t="s">
        <v>455</v>
      </c>
      <c r="B28" s="18" t="s">
        <v>456</v>
      </c>
      <c r="C28" s="19">
        <v>3.556</v>
      </c>
      <c r="D28" s="19">
        <v>3.556</v>
      </c>
      <c r="E28" s="19">
        <v>3.556</v>
      </c>
      <c r="F28" s="19">
        <v>3.556</v>
      </c>
      <c r="G28" s="19">
        <v>3.556</v>
      </c>
      <c r="H28" s="19">
        <v>3.556</v>
      </c>
      <c r="I28" s="19">
        <v>3.556</v>
      </c>
      <c r="J28" s="19">
        <v>3.556</v>
      </c>
      <c r="K28" s="19">
        <v>3.556</v>
      </c>
      <c r="L28" s="19">
        <v>3.556</v>
      </c>
      <c r="M28" s="19">
        <v>3.556</v>
      </c>
      <c r="N28" s="19">
        <v>3.556</v>
      </c>
      <c r="O28" s="19">
        <v>3.556</v>
      </c>
      <c r="P28" s="19">
        <v>3.556</v>
      </c>
      <c r="Q28" s="19">
        <v>3.556</v>
      </c>
      <c r="R28" s="19">
        <v>3.556</v>
      </c>
      <c r="S28" s="19">
        <v>3.556</v>
      </c>
      <c r="T28" s="19">
        <v>3.556</v>
      </c>
      <c r="U28" s="19">
        <v>3.556</v>
      </c>
      <c r="V28" s="19">
        <v>3.556</v>
      </c>
      <c r="W28" s="19">
        <v>3.556</v>
      </c>
      <c r="X28" s="19">
        <v>3.556</v>
      </c>
      <c r="Y28" s="19">
        <v>3.556</v>
      </c>
      <c r="Z28" s="19">
        <v>3.556</v>
      </c>
      <c r="AA28" s="19">
        <v>3.556</v>
      </c>
      <c r="AB28" s="19">
        <v>3.556</v>
      </c>
      <c r="AC28" s="19">
        <v>3.556</v>
      </c>
      <c r="AD28" s="19">
        <v>3.556</v>
      </c>
      <c r="AE28" s="19">
        <v>3.556</v>
      </c>
      <c r="AF28" s="19">
        <v>3.556</v>
      </c>
      <c r="AG28" s="19">
        <v>3.556</v>
      </c>
      <c r="AH28" s="19">
        <v>3.556</v>
      </c>
      <c r="AI28" s="19">
        <v>3.556</v>
      </c>
      <c r="AJ28" s="19">
        <v>3.556</v>
      </c>
      <c r="AK28" s="20">
        <v>0</v>
      </c>
    </row>
    <row r="29" spans="1:37" ht="15" customHeight="1">
      <c r="A29" s="8" t="s">
        <v>457</v>
      </c>
      <c r="B29" s="18" t="s">
        <v>458</v>
      </c>
      <c r="C29" s="19">
        <v>3.99722</v>
      </c>
      <c r="D29" s="19">
        <v>3.989233</v>
      </c>
      <c r="E29" s="19">
        <v>3.989233</v>
      </c>
      <c r="F29" s="19">
        <v>3.989233</v>
      </c>
      <c r="G29" s="19">
        <v>3.989233</v>
      </c>
      <c r="H29" s="19">
        <v>3.989233</v>
      </c>
      <c r="I29" s="19">
        <v>3.989233</v>
      </c>
      <c r="J29" s="19">
        <v>3.989233</v>
      </c>
      <c r="K29" s="19">
        <v>3.989233</v>
      </c>
      <c r="L29" s="19">
        <v>3.989233</v>
      </c>
      <c r="M29" s="19">
        <v>3.989233</v>
      </c>
      <c r="N29" s="19">
        <v>3.989233</v>
      </c>
      <c r="O29" s="19">
        <v>3.989233</v>
      </c>
      <c r="P29" s="19">
        <v>3.989233</v>
      </c>
      <c r="Q29" s="19">
        <v>3.989233</v>
      </c>
      <c r="R29" s="19">
        <v>3.989233</v>
      </c>
      <c r="S29" s="19">
        <v>3.989233</v>
      </c>
      <c r="T29" s="19">
        <v>3.989233</v>
      </c>
      <c r="U29" s="19">
        <v>3.989233</v>
      </c>
      <c r="V29" s="19">
        <v>3.989233</v>
      </c>
      <c r="W29" s="19">
        <v>3.989233</v>
      </c>
      <c r="X29" s="19">
        <v>3.989233</v>
      </c>
      <c r="Y29" s="19">
        <v>3.989233</v>
      </c>
      <c r="Z29" s="19">
        <v>3.989233</v>
      </c>
      <c r="AA29" s="19">
        <v>3.989233</v>
      </c>
      <c r="AB29" s="19">
        <v>3.989233</v>
      </c>
      <c r="AC29" s="19">
        <v>3.989233</v>
      </c>
      <c r="AD29" s="19">
        <v>3.989233</v>
      </c>
      <c r="AE29" s="19">
        <v>3.989233</v>
      </c>
      <c r="AF29" s="19">
        <v>3.989233</v>
      </c>
      <c r="AG29" s="19">
        <v>3.989233</v>
      </c>
      <c r="AH29" s="19">
        <v>3.989233</v>
      </c>
      <c r="AI29" s="19">
        <v>3.989233</v>
      </c>
      <c r="AJ29" s="19">
        <v>3.989233</v>
      </c>
      <c r="AK29" s="20">
        <v>0</v>
      </c>
    </row>
    <row r="30" spans="1:37" ht="15" customHeight="1">
      <c r="A30" s="8" t="s">
        <v>459</v>
      </c>
      <c r="B30" s="18" t="s">
        <v>460</v>
      </c>
      <c r="C30" s="19">
        <v>5.67</v>
      </c>
      <c r="D30" s="19">
        <v>5.67</v>
      </c>
      <c r="E30" s="19">
        <v>5.67</v>
      </c>
      <c r="F30" s="19">
        <v>5.67</v>
      </c>
      <c r="G30" s="19">
        <v>5.67</v>
      </c>
      <c r="H30" s="19">
        <v>5.67</v>
      </c>
      <c r="I30" s="19">
        <v>5.67</v>
      </c>
      <c r="J30" s="19">
        <v>5.67</v>
      </c>
      <c r="K30" s="19">
        <v>5.67</v>
      </c>
      <c r="L30" s="19">
        <v>5.67</v>
      </c>
      <c r="M30" s="19">
        <v>5.67</v>
      </c>
      <c r="N30" s="19">
        <v>5.67</v>
      </c>
      <c r="O30" s="19">
        <v>5.67</v>
      </c>
      <c r="P30" s="19">
        <v>5.67</v>
      </c>
      <c r="Q30" s="19">
        <v>5.67</v>
      </c>
      <c r="R30" s="19">
        <v>5.67</v>
      </c>
      <c r="S30" s="19">
        <v>5.67</v>
      </c>
      <c r="T30" s="19">
        <v>5.67</v>
      </c>
      <c r="U30" s="19">
        <v>5.67</v>
      </c>
      <c r="V30" s="19">
        <v>5.67</v>
      </c>
      <c r="W30" s="19">
        <v>5.67</v>
      </c>
      <c r="X30" s="19">
        <v>5.67</v>
      </c>
      <c r="Y30" s="19">
        <v>5.67</v>
      </c>
      <c r="Z30" s="19">
        <v>5.67</v>
      </c>
      <c r="AA30" s="19">
        <v>5.67</v>
      </c>
      <c r="AB30" s="19">
        <v>5.67</v>
      </c>
      <c r="AC30" s="19">
        <v>5.67</v>
      </c>
      <c r="AD30" s="19">
        <v>5.67</v>
      </c>
      <c r="AE30" s="19">
        <v>5.67</v>
      </c>
      <c r="AF30" s="19">
        <v>5.67</v>
      </c>
      <c r="AG30" s="19">
        <v>5.67</v>
      </c>
      <c r="AH30" s="19">
        <v>5.67</v>
      </c>
      <c r="AI30" s="19">
        <v>5.67</v>
      </c>
      <c r="AJ30" s="19">
        <v>5.67</v>
      </c>
      <c r="AK30" s="20">
        <v>0</v>
      </c>
    </row>
    <row r="31" spans="1:37" ht="15" customHeight="1">
      <c r="A31" s="8" t="s">
        <v>461</v>
      </c>
      <c r="B31" s="18" t="s">
        <v>462</v>
      </c>
      <c r="C31" s="19">
        <v>6.0650000000000004</v>
      </c>
      <c r="D31" s="19">
        <v>6.0650000000000004</v>
      </c>
      <c r="E31" s="19">
        <v>6.0650000000000004</v>
      </c>
      <c r="F31" s="19">
        <v>6.0650000000000004</v>
      </c>
      <c r="G31" s="19">
        <v>6.0650000000000004</v>
      </c>
      <c r="H31" s="19">
        <v>6.0650000000000004</v>
      </c>
      <c r="I31" s="19">
        <v>6.0650000000000004</v>
      </c>
      <c r="J31" s="19">
        <v>6.0650000000000004</v>
      </c>
      <c r="K31" s="19">
        <v>6.0650000000000004</v>
      </c>
      <c r="L31" s="19">
        <v>6.0650000000000004</v>
      </c>
      <c r="M31" s="19">
        <v>6.0650000000000004</v>
      </c>
      <c r="N31" s="19">
        <v>6.0650000000000004</v>
      </c>
      <c r="O31" s="19">
        <v>6.0650000000000004</v>
      </c>
      <c r="P31" s="19">
        <v>6.0650000000000004</v>
      </c>
      <c r="Q31" s="19">
        <v>6.0650000000000004</v>
      </c>
      <c r="R31" s="19">
        <v>6.0650000000000004</v>
      </c>
      <c r="S31" s="19">
        <v>6.0650000000000004</v>
      </c>
      <c r="T31" s="19">
        <v>6.0650000000000004</v>
      </c>
      <c r="U31" s="19">
        <v>6.0650000000000004</v>
      </c>
      <c r="V31" s="19">
        <v>6.0650000000000004</v>
      </c>
      <c r="W31" s="19">
        <v>6.0650000000000004</v>
      </c>
      <c r="X31" s="19">
        <v>6.0650000000000004</v>
      </c>
      <c r="Y31" s="19">
        <v>6.0650000000000004</v>
      </c>
      <c r="Z31" s="19">
        <v>6.0650000000000004</v>
      </c>
      <c r="AA31" s="19">
        <v>6.0650000000000004</v>
      </c>
      <c r="AB31" s="19">
        <v>6.0650000000000004</v>
      </c>
      <c r="AC31" s="19">
        <v>6.0650000000000004</v>
      </c>
      <c r="AD31" s="19">
        <v>6.0650000000000004</v>
      </c>
      <c r="AE31" s="19">
        <v>6.0650000000000004</v>
      </c>
      <c r="AF31" s="19">
        <v>6.0650000000000004</v>
      </c>
      <c r="AG31" s="19">
        <v>6.0650000000000004</v>
      </c>
      <c r="AH31" s="19">
        <v>6.0650000000000004</v>
      </c>
      <c r="AI31" s="19">
        <v>6.0650000000000004</v>
      </c>
      <c r="AJ31" s="19">
        <v>6.0650000000000004</v>
      </c>
      <c r="AK31" s="20">
        <v>0</v>
      </c>
    </row>
    <row r="32" spans="1:37" ht="15" customHeight="1">
      <c r="A32" s="8" t="s">
        <v>463</v>
      </c>
      <c r="B32" s="18" t="s">
        <v>464</v>
      </c>
      <c r="C32" s="19">
        <v>5.0566430000000002</v>
      </c>
      <c r="D32" s="19">
        <v>5.0552599999999996</v>
      </c>
      <c r="E32" s="19">
        <v>5.0559250000000002</v>
      </c>
      <c r="F32" s="19">
        <v>5.0562699999999996</v>
      </c>
      <c r="G32" s="19">
        <v>5.0553610000000004</v>
      </c>
      <c r="H32" s="19">
        <v>5.0533359999999998</v>
      </c>
      <c r="I32" s="19">
        <v>5.0508160000000002</v>
      </c>
      <c r="J32" s="19">
        <v>5.0500020000000001</v>
      </c>
      <c r="K32" s="19">
        <v>5.0494789999999998</v>
      </c>
      <c r="L32" s="19">
        <v>5.049067</v>
      </c>
      <c r="M32" s="19">
        <v>5.0486199999999997</v>
      </c>
      <c r="N32" s="19">
        <v>5.0481860000000003</v>
      </c>
      <c r="O32" s="19">
        <v>5.047752</v>
      </c>
      <c r="P32" s="19">
        <v>5.0478269999999998</v>
      </c>
      <c r="Q32" s="19">
        <v>5.0471120000000003</v>
      </c>
      <c r="R32" s="19">
        <v>5.0467120000000003</v>
      </c>
      <c r="S32" s="19">
        <v>5.0464640000000003</v>
      </c>
      <c r="T32" s="19">
        <v>5.0458769999999999</v>
      </c>
      <c r="U32" s="19">
        <v>5.0451860000000002</v>
      </c>
      <c r="V32" s="19">
        <v>5.0444300000000002</v>
      </c>
      <c r="W32" s="19">
        <v>5.0435809999999996</v>
      </c>
      <c r="X32" s="19">
        <v>5.0427549999999997</v>
      </c>
      <c r="Y32" s="19">
        <v>5.0416879999999997</v>
      </c>
      <c r="Z32" s="19">
        <v>5.0404980000000004</v>
      </c>
      <c r="AA32" s="19">
        <v>5.0391599999999999</v>
      </c>
      <c r="AB32" s="19">
        <v>5.0378670000000003</v>
      </c>
      <c r="AC32" s="19">
        <v>5.0362239999999998</v>
      </c>
      <c r="AD32" s="19">
        <v>5.0346019999999996</v>
      </c>
      <c r="AE32" s="19">
        <v>5.0328730000000004</v>
      </c>
      <c r="AF32" s="19">
        <v>5.030945</v>
      </c>
      <c r="AG32" s="19">
        <v>5.0285479999999998</v>
      </c>
      <c r="AH32" s="19">
        <v>5.0259179999999999</v>
      </c>
      <c r="AI32" s="19">
        <v>5.0230379999999997</v>
      </c>
      <c r="AJ32" s="19">
        <v>5.0230360000000003</v>
      </c>
      <c r="AK32" s="20">
        <v>-2.0000000000000001E-4</v>
      </c>
    </row>
    <row r="33" spans="1:37" ht="15" customHeight="1">
      <c r="A33" s="8" t="s">
        <v>465</v>
      </c>
      <c r="B33" s="18" t="s">
        <v>466</v>
      </c>
      <c r="C33" s="19">
        <v>5.0566430000000002</v>
      </c>
      <c r="D33" s="19">
        <v>5.0551199999999996</v>
      </c>
      <c r="E33" s="19">
        <v>5.0557509999999999</v>
      </c>
      <c r="F33" s="19">
        <v>5.0561759999999998</v>
      </c>
      <c r="G33" s="19">
        <v>5.0552270000000004</v>
      </c>
      <c r="H33" s="19">
        <v>5.0532529999999998</v>
      </c>
      <c r="I33" s="19">
        <v>5.0502339999999997</v>
      </c>
      <c r="J33" s="19">
        <v>5.0493699999999997</v>
      </c>
      <c r="K33" s="19">
        <v>5.0488210000000002</v>
      </c>
      <c r="L33" s="19">
        <v>5.0483820000000001</v>
      </c>
      <c r="M33" s="19">
        <v>5.0479039999999999</v>
      </c>
      <c r="N33" s="19">
        <v>5.0474410000000001</v>
      </c>
      <c r="O33" s="19">
        <v>5.046983</v>
      </c>
      <c r="P33" s="19">
        <v>5.0470750000000004</v>
      </c>
      <c r="Q33" s="19">
        <v>5.0462990000000003</v>
      </c>
      <c r="R33" s="19">
        <v>5.0458439999999998</v>
      </c>
      <c r="S33" s="19">
        <v>5.0455509999999997</v>
      </c>
      <c r="T33" s="19">
        <v>5.044918</v>
      </c>
      <c r="U33" s="19">
        <v>5.0441839999999996</v>
      </c>
      <c r="V33" s="19">
        <v>5.0433690000000002</v>
      </c>
      <c r="W33" s="19">
        <v>5.0424530000000001</v>
      </c>
      <c r="X33" s="19">
        <v>5.041563</v>
      </c>
      <c r="Y33" s="19">
        <v>5.0404109999999998</v>
      </c>
      <c r="Z33" s="19">
        <v>5.0391269999999997</v>
      </c>
      <c r="AA33" s="19">
        <v>5.0376839999999996</v>
      </c>
      <c r="AB33" s="19">
        <v>5.0362900000000002</v>
      </c>
      <c r="AC33" s="19">
        <v>5.0345170000000001</v>
      </c>
      <c r="AD33" s="19">
        <v>5.0328030000000004</v>
      </c>
      <c r="AE33" s="19">
        <v>5.0309910000000002</v>
      </c>
      <c r="AF33" s="19">
        <v>5.0289089999999996</v>
      </c>
      <c r="AG33" s="19">
        <v>5.0263140000000002</v>
      </c>
      <c r="AH33" s="19">
        <v>5.0234719999999999</v>
      </c>
      <c r="AI33" s="19">
        <v>5.020365</v>
      </c>
      <c r="AJ33" s="19">
        <v>5.0203639999999998</v>
      </c>
      <c r="AK33" s="20">
        <v>-2.1599999999999999E-4</v>
      </c>
    </row>
    <row r="34" spans="1:37" ht="15" customHeight="1">
      <c r="A34" s="8" t="s">
        <v>467</v>
      </c>
      <c r="B34" s="18" t="s">
        <v>468</v>
      </c>
      <c r="C34" s="19">
        <v>5.0566430000000002</v>
      </c>
      <c r="D34" s="19">
        <v>5.0550290000000002</v>
      </c>
      <c r="E34" s="19">
        <v>5.0560859999999996</v>
      </c>
      <c r="F34" s="19">
        <v>5.0563630000000002</v>
      </c>
      <c r="G34" s="19">
        <v>5.0551620000000002</v>
      </c>
      <c r="H34" s="19">
        <v>5.0521120000000002</v>
      </c>
      <c r="I34" s="19">
        <v>5.0499099999999997</v>
      </c>
      <c r="J34" s="19">
        <v>5.0489660000000001</v>
      </c>
      <c r="K34" s="19">
        <v>5.0484030000000004</v>
      </c>
      <c r="L34" s="19">
        <v>5.0479479999999999</v>
      </c>
      <c r="M34" s="19">
        <v>5.0474509999999997</v>
      </c>
      <c r="N34" s="19">
        <v>5.04697</v>
      </c>
      <c r="O34" s="19">
        <v>5.0464979999999997</v>
      </c>
      <c r="P34" s="19">
        <v>5.046602</v>
      </c>
      <c r="Q34" s="19">
        <v>5.0458410000000002</v>
      </c>
      <c r="R34" s="19">
        <v>5.0454929999999996</v>
      </c>
      <c r="S34" s="19">
        <v>5.0453320000000001</v>
      </c>
      <c r="T34" s="19">
        <v>5.0447139999999999</v>
      </c>
      <c r="U34" s="19">
        <v>5.0439569999999998</v>
      </c>
      <c r="V34" s="19">
        <v>5.0431090000000003</v>
      </c>
      <c r="W34" s="19">
        <v>5.0421550000000002</v>
      </c>
      <c r="X34" s="19">
        <v>5.041226</v>
      </c>
      <c r="Y34" s="19">
        <v>5.0400229999999997</v>
      </c>
      <c r="Z34" s="19">
        <v>5.0386810000000004</v>
      </c>
      <c r="AA34" s="19">
        <v>5.0371740000000003</v>
      </c>
      <c r="AB34" s="19">
        <v>5.035717</v>
      </c>
      <c r="AC34" s="19">
        <v>5.0338620000000001</v>
      </c>
      <c r="AD34" s="19">
        <v>5.0319269999999996</v>
      </c>
      <c r="AE34" s="19">
        <v>5.029827</v>
      </c>
      <c r="AF34" s="19">
        <v>5.0276490000000003</v>
      </c>
      <c r="AG34" s="19">
        <v>5.0249329999999999</v>
      </c>
      <c r="AH34" s="19">
        <v>5.0219589999999998</v>
      </c>
      <c r="AI34" s="19">
        <v>5.018713</v>
      </c>
      <c r="AJ34" s="19">
        <v>5.018713</v>
      </c>
      <c r="AK34" s="20">
        <v>-2.2499999999999999E-4</v>
      </c>
    </row>
    <row r="35" spans="1:37" ht="15" customHeight="1">
      <c r="A35" s="8" t="s">
        <v>469</v>
      </c>
      <c r="B35" s="18" t="s">
        <v>470</v>
      </c>
      <c r="C35" s="19">
        <v>5.2222799999999996</v>
      </c>
      <c r="D35" s="19">
        <v>5.2222799999999996</v>
      </c>
      <c r="E35" s="19">
        <v>5.2222799999999996</v>
      </c>
      <c r="F35" s="19">
        <v>5.2222799999999996</v>
      </c>
      <c r="G35" s="19">
        <v>5.2222799999999996</v>
      </c>
      <c r="H35" s="19">
        <v>5.2222799999999996</v>
      </c>
      <c r="I35" s="19">
        <v>5.2222799999999996</v>
      </c>
      <c r="J35" s="19">
        <v>5.2222799999999996</v>
      </c>
      <c r="K35" s="19">
        <v>5.2222799999999996</v>
      </c>
      <c r="L35" s="19">
        <v>5.2222799999999996</v>
      </c>
      <c r="M35" s="19">
        <v>5.2222799999999996</v>
      </c>
      <c r="N35" s="19">
        <v>5.2222799999999996</v>
      </c>
      <c r="O35" s="19">
        <v>5.2222799999999996</v>
      </c>
      <c r="P35" s="19">
        <v>5.2222799999999996</v>
      </c>
      <c r="Q35" s="19">
        <v>5.2222799999999996</v>
      </c>
      <c r="R35" s="19">
        <v>5.2222799999999996</v>
      </c>
      <c r="S35" s="19">
        <v>5.2222799999999996</v>
      </c>
      <c r="T35" s="19">
        <v>5.2222799999999996</v>
      </c>
      <c r="U35" s="19">
        <v>5.2222799999999996</v>
      </c>
      <c r="V35" s="19">
        <v>5.2222799999999996</v>
      </c>
      <c r="W35" s="19">
        <v>5.2222799999999996</v>
      </c>
      <c r="X35" s="19">
        <v>5.2222799999999996</v>
      </c>
      <c r="Y35" s="19">
        <v>5.2222799999999996</v>
      </c>
      <c r="Z35" s="19">
        <v>5.2222799999999996</v>
      </c>
      <c r="AA35" s="19">
        <v>5.2222799999999996</v>
      </c>
      <c r="AB35" s="19">
        <v>5.2222799999999996</v>
      </c>
      <c r="AC35" s="19">
        <v>5.2222799999999996</v>
      </c>
      <c r="AD35" s="19">
        <v>5.2222799999999996</v>
      </c>
      <c r="AE35" s="19">
        <v>5.2222799999999996</v>
      </c>
      <c r="AF35" s="19">
        <v>5.2222799999999996</v>
      </c>
      <c r="AG35" s="19">
        <v>5.2222799999999996</v>
      </c>
      <c r="AH35" s="19">
        <v>5.2222799999999996</v>
      </c>
      <c r="AI35" s="19">
        <v>5.2222799999999996</v>
      </c>
      <c r="AJ35" s="19">
        <v>5.2222799999999996</v>
      </c>
      <c r="AK35" s="20">
        <v>0</v>
      </c>
    </row>
    <row r="36" spans="1:37" ht="15" customHeight="1">
      <c r="A36" s="8" t="s">
        <v>471</v>
      </c>
      <c r="B36" s="18" t="s">
        <v>472</v>
      </c>
      <c r="C36" s="19">
        <v>5.2222799999999996</v>
      </c>
      <c r="D36" s="19">
        <v>5.2222799999999996</v>
      </c>
      <c r="E36" s="19">
        <v>5.2222799999999996</v>
      </c>
      <c r="F36" s="19">
        <v>5.2222799999999996</v>
      </c>
      <c r="G36" s="19">
        <v>5.2222799999999996</v>
      </c>
      <c r="H36" s="19">
        <v>5.2222799999999996</v>
      </c>
      <c r="I36" s="19">
        <v>5.2222799999999996</v>
      </c>
      <c r="J36" s="19">
        <v>5.2222799999999996</v>
      </c>
      <c r="K36" s="19">
        <v>5.2222799999999996</v>
      </c>
      <c r="L36" s="19">
        <v>5.2222799999999996</v>
      </c>
      <c r="M36" s="19">
        <v>5.2222799999999996</v>
      </c>
      <c r="N36" s="19">
        <v>5.2222799999999996</v>
      </c>
      <c r="O36" s="19">
        <v>5.2222799999999996</v>
      </c>
      <c r="P36" s="19">
        <v>5.2222799999999996</v>
      </c>
      <c r="Q36" s="19">
        <v>5.2222799999999996</v>
      </c>
      <c r="R36" s="19">
        <v>5.2222799999999996</v>
      </c>
      <c r="S36" s="19">
        <v>5.2222799999999996</v>
      </c>
      <c r="T36" s="19">
        <v>5.2222799999999996</v>
      </c>
      <c r="U36" s="19">
        <v>5.2222799999999996</v>
      </c>
      <c r="V36" s="19">
        <v>5.2222799999999996</v>
      </c>
      <c r="W36" s="19">
        <v>5.2222799999999996</v>
      </c>
      <c r="X36" s="19">
        <v>5.2222799999999996</v>
      </c>
      <c r="Y36" s="19">
        <v>5.2222799999999996</v>
      </c>
      <c r="Z36" s="19">
        <v>5.2222799999999996</v>
      </c>
      <c r="AA36" s="19">
        <v>5.2222799999999996</v>
      </c>
      <c r="AB36" s="19">
        <v>5.2222799999999996</v>
      </c>
      <c r="AC36" s="19">
        <v>5.2222799999999996</v>
      </c>
      <c r="AD36" s="19">
        <v>5.2222799999999996</v>
      </c>
      <c r="AE36" s="19">
        <v>5.2222799999999996</v>
      </c>
      <c r="AF36" s="19">
        <v>5.2222799999999996</v>
      </c>
      <c r="AG36" s="19">
        <v>5.2222799999999996</v>
      </c>
      <c r="AH36" s="19">
        <v>5.2222799999999996</v>
      </c>
      <c r="AI36" s="19">
        <v>5.2222799999999996</v>
      </c>
      <c r="AJ36" s="19">
        <v>5.2222799999999996</v>
      </c>
      <c r="AK36" s="20">
        <v>0</v>
      </c>
    </row>
    <row r="37" spans="1:37" ht="15" customHeight="1">
      <c r="A37" s="8" t="s">
        <v>473</v>
      </c>
      <c r="B37" s="18" t="s">
        <v>474</v>
      </c>
      <c r="C37" s="19">
        <v>4.62</v>
      </c>
      <c r="D37" s="19">
        <v>4.62</v>
      </c>
      <c r="E37" s="19">
        <v>4.62</v>
      </c>
      <c r="F37" s="19">
        <v>4.62</v>
      </c>
      <c r="G37" s="19">
        <v>4.62</v>
      </c>
      <c r="H37" s="19">
        <v>4.62</v>
      </c>
      <c r="I37" s="19">
        <v>4.62</v>
      </c>
      <c r="J37" s="19">
        <v>4.62</v>
      </c>
      <c r="K37" s="19">
        <v>4.62</v>
      </c>
      <c r="L37" s="19">
        <v>4.62</v>
      </c>
      <c r="M37" s="19">
        <v>4.62</v>
      </c>
      <c r="N37" s="19">
        <v>4.62</v>
      </c>
      <c r="O37" s="19">
        <v>4.62</v>
      </c>
      <c r="P37" s="19">
        <v>4.62</v>
      </c>
      <c r="Q37" s="19">
        <v>4.62</v>
      </c>
      <c r="R37" s="19">
        <v>4.62</v>
      </c>
      <c r="S37" s="19">
        <v>4.62</v>
      </c>
      <c r="T37" s="19">
        <v>4.62</v>
      </c>
      <c r="U37" s="19">
        <v>4.62</v>
      </c>
      <c r="V37" s="19">
        <v>4.62</v>
      </c>
      <c r="W37" s="19">
        <v>4.62</v>
      </c>
      <c r="X37" s="19">
        <v>4.62</v>
      </c>
      <c r="Y37" s="19">
        <v>4.62</v>
      </c>
      <c r="Z37" s="19">
        <v>4.62</v>
      </c>
      <c r="AA37" s="19">
        <v>4.62</v>
      </c>
      <c r="AB37" s="19">
        <v>4.62</v>
      </c>
      <c r="AC37" s="19">
        <v>4.62</v>
      </c>
      <c r="AD37" s="19">
        <v>4.62</v>
      </c>
      <c r="AE37" s="19">
        <v>4.62</v>
      </c>
      <c r="AF37" s="19">
        <v>4.62</v>
      </c>
      <c r="AG37" s="19">
        <v>4.62</v>
      </c>
      <c r="AH37" s="19">
        <v>4.62</v>
      </c>
      <c r="AI37" s="19">
        <v>4.62</v>
      </c>
      <c r="AJ37" s="19">
        <v>4.62</v>
      </c>
      <c r="AK37" s="20">
        <v>0</v>
      </c>
    </row>
    <row r="38" spans="1:37" ht="15" customHeight="1">
      <c r="A38" s="8" t="s">
        <v>475</v>
      </c>
      <c r="B38" s="18" t="s">
        <v>476</v>
      </c>
      <c r="C38" s="19">
        <v>5.8</v>
      </c>
      <c r="D38" s="19">
        <v>5.8</v>
      </c>
      <c r="E38" s="19">
        <v>5.8</v>
      </c>
      <c r="F38" s="19">
        <v>5.8</v>
      </c>
      <c r="G38" s="19">
        <v>5.8</v>
      </c>
      <c r="H38" s="19">
        <v>5.8</v>
      </c>
      <c r="I38" s="19">
        <v>5.8</v>
      </c>
      <c r="J38" s="19">
        <v>5.8</v>
      </c>
      <c r="K38" s="19">
        <v>5.8</v>
      </c>
      <c r="L38" s="19">
        <v>5.8</v>
      </c>
      <c r="M38" s="19">
        <v>5.8</v>
      </c>
      <c r="N38" s="19">
        <v>5.8</v>
      </c>
      <c r="O38" s="19">
        <v>5.8</v>
      </c>
      <c r="P38" s="19">
        <v>5.8</v>
      </c>
      <c r="Q38" s="19">
        <v>5.8</v>
      </c>
      <c r="R38" s="19">
        <v>5.8</v>
      </c>
      <c r="S38" s="19">
        <v>5.8</v>
      </c>
      <c r="T38" s="19">
        <v>5.8</v>
      </c>
      <c r="U38" s="19">
        <v>5.8</v>
      </c>
      <c r="V38" s="19">
        <v>5.8</v>
      </c>
      <c r="W38" s="19">
        <v>5.8</v>
      </c>
      <c r="X38" s="19">
        <v>5.8</v>
      </c>
      <c r="Y38" s="19">
        <v>5.8</v>
      </c>
      <c r="Z38" s="19">
        <v>5.8</v>
      </c>
      <c r="AA38" s="19">
        <v>5.8</v>
      </c>
      <c r="AB38" s="19">
        <v>5.8</v>
      </c>
      <c r="AC38" s="19">
        <v>5.8</v>
      </c>
      <c r="AD38" s="19">
        <v>5.8</v>
      </c>
      <c r="AE38" s="19">
        <v>5.8</v>
      </c>
      <c r="AF38" s="19">
        <v>5.8</v>
      </c>
      <c r="AG38" s="19">
        <v>5.8</v>
      </c>
      <c r="AH38" s="19">
        <v>5.8</v>
      </c>
      <c r="AI38" s="19">
        <v>5.8</v>
      </c>
      <c r="AJ38" s="19">
        <v>5.8</v>
      </c>
      <c r="AK38" s="20">
        <v>0</v>
      </c>
    </row>
    <row r="39" spans="1:37" ht="15" customHeight="1">
      <c r="A39" s="8" t="s">
        <v>477</v>
      </c>
      <c r="B39" s="18" t="s">
        <v>478</v>
      </c>
      <c r="C39" s="19">
        <v>5.4510759999999996</v>
      </c>
      <c r="D39" s="19">
        <v>5.4510759999999996</v>
      </c>
      <c r="E39" s="19">
        <v>5.4510759999999996</v>
      </c>
      <c r="F39" s="19">
        <v>5.4510759999999996</v>
      </c>
      <c r="G39" s="19">
        <v>5.4510759999999996</v>
      </c>
      <c r="H39" s="19">
        <v>5.4510759999999996</v>
      </c>
      <c r="I39" s="19">
        <v>5.4510759999999996</v>
      </c>
      <c r="J39" s="19">
        <v>5.4510759999999996</v>
      </c>
      <c r="K39" s="19">
        <v>5.4510759999999996</v>
      </c>
      <c r="L39" s="19">
        <v>5.4510759999999996</v>
      </c>
      <c r="M39" s="19">
        <v>5.4510759999999996</v>
      </c>
      <c r="N39" s="19">
        <v>5.4510759999999996</v>
      </c>
      <c r="O39" s="19">
        <v>5.4510759999999996</v>
      </c>
      <c r="P39" s="19">
        <v>5.4510759999999996</v>
      </c>
      <c r="Q39" s="19">
        <v>5.4510759999999996</v>
      </c>
      <c r="R39" s="19">
        <v>5.4510759999999996</v>
      </c>
      <c r="S39" s="19">
        <v>5.4510759999999996</v>
      </c>
      <c r="T39" s="19">
        <v>5.4510759999999996</v>
      </c>
      <c r="U39" s="19">
        <v>5.4510759999999996</v>
      </c>
      <c r="V39" s="19">
        <v>5.4510759999999996</v>
      </c>
      <c r="W39" s="19">
        <v>5.4510759999999996</v>
      </c>
      <c r="X39" s="19">
        <v>5.4510759999999996</v>
      </c>
      <c r="Y39" s="19">
        <v>5.4510759999999996</v>
      </c>
      <c r="Z39" s="19">
        <v>5.4510759999999996</v>
      </c>
      <c r="AA39" s="19">
        <v>5.4510759999999996</v>
      </c>
      <c r="AB39" s="19">
        <v>5.4510759999999996</v>
      </c>
      <c r="AC39" s="19">
        <v>5.4510759999999996</v>
      </c>
      <c r="AD39" s="19">
        <v>5.4510759999999996</v>
      </c>
      <c r="AE39" s="19">
        <v>5.4510759999999996</v>
      </c>
      <c r="AF39" s="19">
        <v>5.4510759999999996</v>
      </c>
      <c r="AG39" s="19">
        <v>5.4510759999999996</v>
      </c>
      <c r="AH39" s="19">
        <v>5.4510759999999996</v>
      </c>
      <c r="AI39" s="19">
        <v>5.4510759999999996</v>
      </c>
      <c r="AJ39" s="19">
        <v>5.4510759999999996</v>
      </c>
      <c r="AK39" s="20">
        <v>0</v>
      </c>
    </row>
    <row r="40" spans="1:37" ht="15" customHeight="1">
      <c r="A40" s="8" t="s">
        <v>479</v>
      </c>
      <c r="B40" s="18" t="s">
        <v>480</v>
      </c>
      <c r="C40" s="19">
        <v>6.2869999999999999</v>
      </c>
      <c r="D40" s="19">
        <v>6.2869999999999999</v>
      </c>
      <c r="E40" s="19">
        <v>6.2869999999999999</v>
      </c>
      <c r="F40" s="19">
        <v>6.2869999999999999</v>
      </c>
      <c r="G40" s="19">
        <v>6.2869999999999999</v>
      </c>
      <c r="H40" s="19">
        <v>6.2869999999999999</v>
      </c>
      <c r="I40" s="19">
        <v>6.2869999999999999</v>
      </c>
      <c r="J40" s="19">
        <v>6.2869999999999999</v>
      </c>
      <c r="K40" s="19">
        <v>6.2869999999999999</v>
      </c>
      <c r="L40" s="19">
        <v>6.2869999999999999</v>
      </c>
      <c r="M40" s="19">
        <v>6.2869999999999999</v>
      </c>
      <c r="N40" s="19">
        <v>6.2869999999999999</v>
      </c>
      <c r="O40" s="19">
        <v>6.2869999999999999</v>
      </c>
      <c r="P40" s="19">
        <v>6.2869999999999999</v>
      </c>
      <c r="Q40" s="19">
        <v>6.2869999999999999</v>
      </c>
      <c r="R40" s="19">
        <v>6.2869999999999999</v>
      </c>
      <c r="S40" s="19">
        <v>6.2869999999999999</v>
      </c>
      <c r="T40" s="19">
        <v>6.2869999999999999</v>
      </c>
      <c r="U40" s="19">
        <v>6.2869999999999999</v>
      </c>
      <c r="V40" s="19">
        <v>6.2869999999999999</v>
      </c>
      <c r="W40" s="19">
        <v>6.2869999999999999</v>
      </c>
      <c r="X40" s="19">
        <v>6.2869999999999999</v>
      </c>
      <c r="Y40" s="19">
        <v>6.2869999999999999</v>
      </c>
      <c r="Z40" s="19">
        <v>6.2869999999999999</v>
      </c>
      <c r="AA40" s="19">
        <v>6.2869999999999999</v>
      </c>
      <c r="AB40" s="19">
        <v>6.2869999999999999</v>
      </c>
      <c r="AC40" s="19">
        <v>6.2869999999999999</v>
      </c>
      <c r="AD40" s="19">
        <v>6.2869999999999999</v>
      </c>
      <c r="AE40" s="19">
        <v>6.2869999999999999</v>
      </c>
      <c r="AF40" s="19">
        <v>6.2869999999999999</v>
      </c>
      <c r="AG40" s="19">
        <v>6.2869999999999999</v>
      </c>
      <c r="AH40" s="19">
        <v>6.2869999999999999</v>
      </c>
      <c r="AI40" s="19">
        <v>6.2869999999999999</v>
      </c>
      <c r="AJ40" s="19">
        <v>6.2869999999999999</v>
      </c>
      <c r="AK40" s="20">
        <v>0</v>
      </c>
    </row>
    <row r="41" spans="1:37" ht="15" customHeight="1">
      <c r="A41" s="8" t="s">
        <v>481</v>
      </c>
      <c r="B41" s="18" t="s">
        <v>482</v>
      </c>
      <c r="C41" s="19">
        <v>6.2869999999999999</v>
      </c>
      <c r="D41" s="19">
        <v>6.2869999999999999</v>
      </c>
      <c r="E41" s="19">
        <v>6.2869999999999999</v>
      </c>
      <c r="F41" s="19">
        <v>6.2869999999999999</v>
      </c>
      <c r="G41" s="19">
        <v>6.2869999999999999</v>
      </c>
      <c r="H41" s="19">
        <v>6.2869999999999999</v>
      </c>
      <c r="I41" s="19">
        <v>6.2869999999999999</v>
      </c>
      <c r="J41" s="19">
        <v>6.2869999999999999</v>
      </c>
      <c r="K41" s="19">
        <v>6.2869999999999999</v>
      </c>
      <c r="L41" s="19">
        <v>6.2869999999999999</v>
      </c>
      <c r="M41" s="19">
        <v>6.2869999999999999</v>
      </c>
      <c r="N41" s="19">
        <v>6.2869999999999999</v>
      </c>
      <c r="O41" s="19">
        <v>6.2869999999999999</v>
      </c>
      <c r="P41" s="19">
        <v>6.2869999999999999</v>
      </c>
      <c r="Q41" s="19">
        <v>6.2869999999999999</v>
      </c>
      <c r="R41" s="19">
        <v>6.2869999999999999</v>
      </c>
      <c r="S41" s="19">
        <v>6.2869999999999999</v>
      </c>
      <c r="T41" s="19">
        <v>6.2869999999999999</v>
      </c>
      <c r="U41" s="19">
        <v>6.2869999999999999</v>
      </c>
      <c r="V41" s="19">
        <v>6.2869999999999999</v>
      </c>
      <c r="W41" s="19">
        <v>6.2869999999999999</v>
      </c>
      <c r="X41" s="19">
        <v>6.2869999999999999</v>
      </c>
      <c r="Y41" s="19">
        <v>6.2869999999999999</v>
      </c>
      <c r="Z41" s="19">
        <v>6.2869999999999999</v>
      </c>
      <c r="AA41" s="19">
        <v>6.2869999999999999</v>
      </c>
      <c r="AB41" s="19">
        <v>6.2869999999999999</v>
      </c>
      <c r="AC41" s="19">
        <v>6.2869999999999999</v>
      </c>
      <c r="AD41" s="19">
        <v>6.2869999999999999</v>
      </c>
      <c r="AE41" s="19">
        <v>6.2869999999999999</v>
      </c>
      <c r="AF41" s="19">
        <v>6.2869999999999999</v>
      </c>
      <c r="AG41" s="19">
        <v>6.2869999999999999</v>
      </c>
      <c r="AH41" s="19">
        <v>6.2869999999999999</v>
      </c>
      <c r="AI41" s="19">
        <v>6.2869999999999999</v>
      </c>
      <c r="AJ41" s="19">
        <v>6.2869999999999999</v>
      </c>
      <c r="AK41" s="20">
        <v>0</v>
      </c>
    </row>
    <row r="42" spans="1:37" ht="15" customHeight="1">
      <c r="A42" s="8" t="s">
        <v>483</v>
      </c>
      <c r="B42" s="18" t="s">
        <v>484</v>
      </c>
      <c r="C42" s="19">
        <v>6.2869999999999999</v>
      </c>
      <c r="D42" s="19">
        <v>6.2869999999999999</v>
      </c>
      <c r="E42" s="19">
        <v>6.2869999999999999</v>
      </c>
      <c r="F42" s="19">
        <v>6.2869999999999999</v>
      </c>
      <c r="G42" s="19">
        <v>6.2869999999999999</v>
      </c>
      <c r="H42" s="19">
        <v>6.2869999999999999</v>
      </c>
      <c r="I42" s="19">
        <v>6.2869999999999999</v>
      </c>
      <c r="J42" s="19">
        <v>6.2869999999999999</v>
      </c>
      <c r="K42" s="19">
        <v>6.2869999999999999</v>
      </c>
      <c r="L42" s="19">
        <v>6.2869999999999999</v>
      </c>
      <c r="M42" s="19">
        <v>6.2869999999999999</v>
      </c>
      <c r="N42" s="19">
        <v>6.2869999999999999</v>
      </c>
      <c r="O42" s="19">
        <v>6.2869999999999999</v>
      </c>
      <c r="P42" s="19">
        <v>6.2869999999999999</v>
      </c>
      <c r="Q42" s="19">
        <v>6.2869999999999999</v>
      </c>
      <c r="R42" s="19">
        <v>6.2869999999999999</v>
      </c>
      <c r="S42" s="19">
        <v>6.2869999999999999</v>
      </c>
      <c r="T42" s="19">
        <v>6.2869999999999999</v>
      </c>
      <c r="U42" s="19">
        <v>6.2869999999999999</v>
      </c>
      <c r="V42" s="19">
        <v>6.2869999999999999</v>
      </c>
      <c r="W42" s="19">
        <v>6.2869999999999999</v>
      </c>
      <c r="X42" s="19">
        <v>6.2869999999999999</v>
      </c>
      <c r="Y42" s="19">
        <v>6.2869999999999999</v>
      </c>
      <c r="Z42" s="19">
        <v>6.2869999999999999</v>
      </c>
      <c r="AA42" s="19">
        <v>6.2869999999999999</v>
      </c>
      <c r="AB42" s="19">
        <v>6.2869999999999999</v>
      </c>
      <c r="AC42" s="19">
        <v>6.2869999999999999</v>
      </c>
      <c r="AD42" s="19">
        <v>6.2869999999999999</v>
      </c>
      <c r="AE42" s="19">
        <v>6.2869999999999999</v>
      </c>
      <c r="AF42" s="19">
        <v>6.2869999999999999</v>
      </c>
      <c r="AG42" s="19">
        <v>6.2869999999999999</v>
      </c>
      <c r="AH42" s="19">
        <v>6.2869999999999999</v>
      </c>
      <c r="AI42" s="19">
        <v>6.2869999999999999</v>
      </c>
      <c r="AJ42" s="19">
        <v>6.2869999999999999</v>
      </c>
      <c r="AK42" s="20">
        <v>0</v>
      </c>
    </row>
    <row r="43" spans="1:37" ht="15" customHeight="1">
      <c r="A43" s="8" t="s">
        <v>485</v>
      </c>
      <c r="B43" s="18" t="s">
        <v>486</v>
      </c>
      <c r="C43" s="19">
        <v>6.1473459999999998</v>
      </c>
      <c r="D43" s="19">
        <v>6.1452260000000001</v>
      </c>
      <c r="E43" s="19">
        <v>6.1456169999999997</v>
      </c>
      <c r="F43" s="19">
        <v>6.192609</v>
      </c>
      <c r="G43" s="19">
        <v>6.1871369999999999</v>
      </c>
      <c r="H43" s="19">
        <v>6.1839120000000003</v>
      </c>
      <c r="I43" s="19">
        <v>6.177295</v>
      </c>
      <c r="J43" s="19">
        <v>6.1706190000000003</v>
      </c>
      <c r="K43" s="19">
        <v>6.1645000000000003</v>
      </c>
      <c r="L43" s="19">
        <v>6.1563090000000003</v>
      </c>
      <c r="M43" s="19">
        <v>6.1576269999999997</v>
      </c>
      <c r="N43" s="19">
        <v>6.157673</v>
      </c>
      <c r="O43" s="19">
        <v>6.1597790000000003</v>
      </c>
      <c r="P43" s="19">
        <v>6.159592</v>
      </c>
      <c r="Q43" s="19">
        <v>6.1617009999999999</v>
      </c>
      <c r="R43" s="19">
        <v>6.162801</v>
      </c>
      <c r="S43" s="19">
        <v>6.1631689999999999</v>
      </c>
      <c r="T43" s="19">
        <v>6.1640280000000001</v>
      </c>
      <c r="U43" s="19">
        <v>6.1661429999999999</v>
      </c>
      <c r="V43" s="19">
        <v>6.1675360000000001</v>
      </c>
      <c r="W43" s="19">
        <v>6.1674319999999998</v>
      </c>
      <c r="X43" s="19">
        <v>6.1685819999999998</v>
      </c>
      <c r="Y43" s="19">
        <v>6.1709719999999999</v>
      </c>
      <c r="Z43" s="19">
        <v>6.171176</v>
      </c>
      <c r="AA43" s="19">
        <v>6.1722760000000001</v>
      </c>
      <c r="AB43" s="19">
        <v>6.1744009999999996</v>
      </c>
      <c r="AC43" s="19">
        <v>6.175586</v>
      </c>
      <c r="AD43" s="19">
        <v>6.1767789999999998</v>
      </c>
      <c r="AE43" s="19">
        <v>6.1779799999999998</v>
      </c>
      <c r="AF43" s="19">
        <v>6.179189</v>
      </c>
      <c r="AG43" s="19">
        <v>6.1804069999999998</v>
      </c>
      <c r="AH43" s="19">
        <v>6.1816329999999997</v>
      </c>
      <c r="AI43" s="19">
        <v>6.182868</v>
      </c>
      <c r="AJ43" s="19">
        <v>6.1841100000000004</v>
      </c>
      <c r="AK43" s="20">
        <v>1.9699999999999999E-4</v>
      </c>
    </row>
    <row r="44" spans="1:37" ht="15" customHeight="1">
      <c r="A44" s="8" t="s">
        <v>487</v>
      </c>
      <c r="B44" s="18" t="s">
        <v>488</v>
      </c>
      <c r="C44" s="19">
        <v>5.1759979999999999</v>
      </c>
      <c r="D44" s="19">
        <v>5.1493409999999997</v>
      </c>
      <c r="E44" s="19">
        <v>5.1485440000000002</v>
      </c>
      <c r="F44" s="19">
        <v>5.1351180000000003</v>
      </c>
      <c r="G44" s="19">
        <v>5.1214979999999999</v>
      </c>
      <c r="H44" s="19">
        <v>5.1131700000000002</v>
      </c>
      <c r="I44" s="19">
        <v>5.1068749999999996</v>
      </c>
      <c r="J44" s="19">
        <v>5.1001250000000002</v>
      </c>
      <c r="K44" s="19">
        <v>5.0954069999999998</v>
      </c>
      <c r="L44" s="19">
        <v>5.0923059999999998</v>
      </c>
      <c r="M44" s="19">
        <v>5.0851800000000003</v>
      </c>
      <c r="N44" s="19">
        <v>5.0822000000000003</v>
      </c>
      <c r="O44" s="19">
        <v>5.0765289999999998</v>
      </c>
      <c r="P44" s="19">
        <v>5.0746789999999997</v>
      </c>
      <c r="Q44" s="19">
        <v>5.072298</v>
      </c>
      <c r="R44" s="19">
        <v>5.0691280000000001</v>
      </c>
      <c r="S44" s="19">
        <v>5.0666989999999998</v>
      </c>
      <c r="T44" s="19">
        <v>5.0689719999999996</v>
      </c>
      <c r="U44" s="19">
        <v>5.067164</v>
      </c>
      <c r="V44" s="19">
        <v>5.064692</v>
      </c>
      <c r="W44" s="19">
        <v>5.0671790000000003</v>
      </c>
      <c r="X44" s="19">
        <v>5.0644499999999999</v>
      </c>
      <c r="Y44" s="19">
        <v>5.0636330000000003</v>
      </c>
      <c r="Z44" s="19">
        <v>5.0643700000000003</v>
      </c>
      <c r="AA44" s="19">
        <v>5.0640780000000003</v>
      </c>
      <c r="AB44" s="19">
        <v>5.0626110000000004</v>
      </c>
      <c r="AC44" s="19">
        <v>5.0658269999999996</v>
      </c>
      <c r="AD44" s="19">
        <v>5.0664360000000004</v>
      </c>
      <c r="AE44" s="19">
        <v>5.0678429999999999</v>
      </c>
      <c r="AF44" s="19">
        <v>5.0690910000000002</v>
      </c>
      <c r="AG44" s="19">
        <v>5.0703579999999997</v>
      </c>
      <c r="AH44" s="19">
        <v>5.0693210000000004</v>
      </c>
      <c r="AI44" s="19">
        <v>5.0696510000000004</v>
      </c>
      <c r="AJ44" s="19">
        <v>5.0702829999999999</v>
      </c>
      <c r="AK44" s="20">
        <v>-4.8299999999999998E-4</v>
      </c>
    </row>
    <row r="45" spans="1:37" ht="15" customHeight="1">
      <c r="A45" s="8" t="s">
        <v>489</v>
      </c>
      <c r="B45" s="18" t="s">
        <v>490</v>
      </c>
      <c r="C45" s="19">
        <v>5.5967529999999996</v>
      </c>
      <c r="D45" s="19">
        <v>5.6771430000000001</v>
      </c>
      <c r="E45" s="19">
        <v>5.6840089999999996</v>
      </c>
      <c r="F45" s="19">
        <v>5.7170959999999997</v>
      </c>
      <c r="G45" s="19">
        <v>5.6661299999999999</v>
      </c>
      <c r="H45" s="19">
        <v>5.6535770000000003</v>
      </c>
      <c r="I45" s="19">
        <v>5.6441179999999997</v>
      </c>
      <c r="J45" s="19">
        <v>5.6398200000000003</v>
      </c>
      <c r="K45" s="19">
        <v>5.6309760000000004</v>
      </c>
      <c r="L45" s="19">
        <v>5.6472470000000001</v>
      </c>
      <c r="M45" s="19">
        <v>5.6488060000000004</v>
      </c>
      <c r="N45" s="19">
        <v>5.6772070000000001</v>
      </c>
      <c r="O45" s="19">
        <v>5.6554729999999998</v>
      </c>
      <c r="P45" s="19">
        <v>5.6398169999999999</v>
      </c>
      <c r="Q45" s="19">
        <v>5.655303</v>
      </c>
      <c r="R45" s="19">
        <v>5.6159470000000002</v>
      </c>
      <c r="S45" s="19">
        <v>5.5804359999999997</v>
      </c>
      <c r="T45" s="19">
        <v>5.601731</v>
      </c>
      <c r="U45" s="19">
        <v>5.5999040000000004</v>
      </c>
      <c r="V45" s="19">
        <v>5.5448909999999998</v>
      </c>
      <c r="W45" s="19">
        <v>5.5638050000000003</v>
      </c>
      <c r="X45" s="19">
        <v>5.5047459999999999</v>
      </c>
      <c r="Y45" s="19">
        <v>5.4706440000000001</v>
      </c>
      <c r="Z45" s="19">
        <v>5.4392110000000002</v>
      </c>
      <c r="AA45" s="19">
        <v>5.4146479999999997</v>
      </c>
      <c r="AB45" s="19">
        <v>5.3607440000000004</v>
      </c>
      <c r="AC45" s="19">
        <v>5.3546440000000004</v>
      </c>
      <c r="AD45" s="19">
        <v>5.3370649999999999</v>
      </c>
      <c r="AE45" s="19">
        <v>5.3099679999999996</v>
      </c>
      <c r="AF45" s="19">
        <v>5.2794489999999996</v>
      </c>
      <c r="AG45" s="19">
        <v>5.249695</v>
      </c>
      <c r="AH45" s="19">
        <v>5.2043689999999998</v>
      </c>
      <c r="AI45" s="19">
        <v>5.1639299999999997</v>
      </c>
      <c r="AJ45" s="19">
        <v>5.1378079999999997</v>
      </c>
      <c r="AK45" s="20">
        <v>-3.1150000000000001E-3</v>
      </c>
    </row>
    <row r="46" spans="1:37" ht="15" customHeight="1">
      <c r="A46" s="8" t="s">
        <v>491</v>
      </c>
      <c r="B46" s="18" t="s">
        <v>492</v>
      </c>
      <c r="C46" s="19">
        <v>5.1509999999999998</v>
      </c>
      <c r="D46" s="19">
        <v>5.2744179999999998</v>
      </c>
      <c r="E46" s="19">
        <v>5.2506209999999998</v>
      </c>
      <c r="F46" s="19">
        <v>5.2757480000000001</v>
      </c>
      <c r="G46" s="19">
        <v>5.2430519999999996</v>
      </c>
      <c r="H46" s="19">
        <v>5.2341490000000004</v>
      </c>
      <c r="I46" s="19">
        <v>5.2313539999999996</v>
      </c>
      <c r="J46" s="19">
        <v>5.2458450000000001</v>
      </c>
      <c r="K46" s="19">
        <v>5.2317590000000003</v>
      </c>
      <c r="L46" s="19">
        <v>5.1954609999999999</v>
      </c>
      <c r="M46" s="19">
        <v>5.1871260000000001</v>
      </c>
      <c r="N46" s="19">
        <v>5.1891119999999997</v>
      </c>
      <c r="O46" s="19">
        <v>5.1797279999999999</v>
      </c>
      <c r="P46" s="19">
        <v>5.1827779999999999</v>
      </c>
      <c r="Q46" s="19">
        <v>5.1716069999999998</v>
      </c>
      <c r="R46" s="19">
        <v>5.1720730000000001</v>
      </c>
      <c r="S46" s="19">
        <v>5.1663009999999998</v>
      </c>
      <c r="T46" s="19">
        <v>5.1594030000000002</v>
      </c>
      <c r="U46" s="19">
        <v>5.1539609999999998</v>
      </c>
      <c r="V46" s="19">
        <v>5.1569050000000001</v>
      </c>
      <c r="W46" s="19">
        <v>5.1471669999999996</v>
      </c>
      <c r="X46" s="19">
        <v>5.1453899999999999</v>
      </c>
      <c r="Y46" s="19">
        <v>5.1359450000000004</v>
      </c>
      <c r="Z46" s="19">
        <v>5.1392990000000003</v>
      </c>
      <c r="AA46" s="19">
        <v>5.1376179999999998</v>
      </c>
      <c r="AB46" s="19">
        <v>5.1223150000000004</v>
      </c>
      <c r="AC46" s="19">
        <v>5.131875</v>
      </c>
      <c r="AD46" s="19">
        <v>5.1306099999999999</v>
      </c>
      <c r="AE46" s="19">
        <v>5.1394690000000001</v>
      </c>
      <c r="AF46" s="19">
        <v>5.1280320000000001</v>
      </c>
      <c r="AG46" s="19">
        <v>5.124009</v>
      </c>
      <c r="AH46" s="19">
        <v>5.1212489999999997</v>
      </c>
      <c r="AI46" s="19">
        <v>5.1119820000000002</v>
      </c>
      <c r="AJ46" s="19">
        <v>5.1060999999999996</v>
      </c>
      <c r="AK46" s="20">
        <v>-1.013E-3</v>
      </c>
    </row>
    <row r="47" spans="1:37" ht="15" customHeight="1">
      <c r="B47" s="21" t="s">
        <v>493</v>
      </c>
    </row>
    <row r="48" spans="1:37" ht="15" customHeight="1">
      <c r="A48" s="8" t="s">
        <v>494</v>
      </c>
      <c r="B48" s="18" t="s">
        <v>495</v>
      </c>
      <c r="C48" s="19">
        <v>5.7229999999999999</v>
      </c>
      <c r="D48" s="19">
        <v>5.7199359999999997</v>
      </c>
      <c r="E48" s="19">
        <v>5.7093740000000004</v>
      </c>
      <c r="F48" s="19">
        <v>5.7020210000000002</v>
      </c>
      <c r="G48" s="19">
        <v>5.6990360000000004</v>
      </c>
      <c r="H48" s="19">
        <v>5.7029030000000001</v>
      </c>
      <c r="I48" s="19">
        <v>5.7014690000000003</v>
      </c>
      <c r="J48" s="19">
        <v>5.697845</v>
      </c>
      <c r="K48" s="19">
        <v>5.6965690000000002</v>
      </c>
      <c r="L48" s="19">
        <v>5.6955710000000002</v>
      </c>
      <c r="M48" s="19">
        <v>5.6916909999999996</v>
      </c>
      <c r="N48" s="19">
        <v>5.6895829999999998</v>
      </c>
      <c r="O48" s="19">
        <v>5.6873170000000002</v>
      </c>
      <c r="P48" s="19">
        <v>5.6864030000000003</v>
      </c>
      <c r="Q48" s="19">
        <v>5.6859310000000001</v>
      </c>
      <c r="R48" s="19">
        <v>5.6860549999999996</v>
      </c>
      <c r="S48" s="19">
        <v>5.6862589999999997</v>
      </c>
      <c r="T48" s="19">
        <v>5.6853819999999997</v>
      </c>
      <c r="U48" s="19">
        <v>5.6852140000000002</v>
      </c>
      <c r="V48" s="19">
        <v>5.6858959999999996</v>
      </c>
      <c r="W48" s="19">
        <v>5.6868850000000002</v>
      </c>
      <c r="X48" s="19">
        <v>5.6879220000000004</v>
      </c>
      <c r="Y48" s="19">
        <v>5.6901700000000002</v>
      </c>
      <c r="Z48" s="19">
        <v>5.6909640000000001</v>
      </c>
      <c r="AA48" s="19">
        <v>5.6894390000000001</v>
      </c>
      <c r="AB48" s="19">
        <v>5.6887540000000003</v>
      </c>
      <c r="AC48" s="19">
        <v>5.6864689999999998</v>
      </c>
      <c r="AD48" s="19">
        <v>5.6844440000000001</v>
      </c>
      <c r="AE48" s="19">
        <v>5.683516</v>
      </c>
      <c r="AF48" s="19">
        <v>5.6828880000000002</v>
      </c>
      <c r="AG48" s="19">
        <v>5.6813929999999999</v>
      </c>
      <c r="AH48" s="19">
        <v>5.6792740000000004</v>
      </c>
      <c r="AI48" s="19">
        <v>5.678185</v>
      </c>
      <c r="AJ48" s="19">
        <v>5.676202</v>
      </c>
      <c r="AK48" s="20">
        <v>-2.4000000000000001E-4</v>
      </c>
    </row>
    <row r="49" spans="1:37" ht="15" customHeight="1">
      <c r="A49" s="8" t="s">
        <v>496</v>
      </c>
      <c r="B49" s="18" t="s">
        <v>497</v>
      </c>
      <c r="C49" s="19">
        <v>6.05</v>
      </c>
      <c r="D49" s="19">
        <v>6.1347209999999999</v>
      </c>
      <c r="E49" s="19">
        <v>6.1184380000000003</v>
      </c>
      <c r="F49" s="19">
        <v>6.1172810000000002</v>
      </c>
      <c r="G49" s="19">
        <v>6.117947</v>
      </c>
      <c r="H49" s="19">
        <v>6.1025400000000003</v>
      </c>
      <c r="I49" s="19">
        <v>6.1033739999999996</v>
      </c>
      <c r="J49" s="19">
        <v>6.1071629999999999</v>
      </c>
      <c r="K49" s="19">
        <v>6.1065849999999999</v>
      </c>
      <c r="L49" s="19">
        <v>6.1245560000000001</v>
      </c>
      <c r="M49" s="19">
        <v>6.090179</v>
      </c>
      <c r="N49" s="19">
        <v>6.1186819999999997</v>
      </c>
      <c r="O49" s="19">
        <v>6.0805309999999997</v>
      </c>
      <c r="P49" s="19">
        <v>6.1038079999999999</v>
      </c>
      <c r="Q49" s="19">
        <v>6.1135659999999996</v>
      </c>
      <c r="R49" s="19">
        <v>6.1076240000000004</v>
      </c>
      <c r="S49" s="19">
        <v>6.0846780000000003</v>
      </c>
      <c r="T49" s="19">
        <v>6.1340570000000003</v>
      </c>
      <c r="U49" s="19">
        <v>6.1319419999999996</v>
      </c>
      <c r="V49" s="19">
        <v>6.0897600000000001</v>
      </c>
      <c r="W49" s="19">
        <v>6.1385750000000003</v>
      </c>
      <c r="X49" s="19">
        <v>6.1383919999999996</v>
      </c>
      <c r="Y49" s="19">
        <v>6.1363960000000004</v>
      </c>
      <c r="Z49" s="19">
        <v>6.1379999999999999</v>
      </c>
      <c r="AA49" s="19">
        <v>6.1413979999999997</v>
      </c>
      <c r="AB49" s="19">
        <v>6.1053959999999998</v>
      </c>
      <c r="AC49" s="19">
        <v>6.1190619999999996</v>
      </c>
      <c r="AD49" s="19">
        <v>6.1323290000000004</v>
      </c>
      <c r="AE49" s="19">
        <v>6.1402510000000001</v>
      </c>
      <c r="AF49" s="19">
        <v>6.1441309999999998</v>
      </c>
      <c r="AG49" s="19">
        <v>6.1417869999999999</v>
      </c>
      <c r="AH49" s="19">
        <v>6.1391349999999996</v>
      </c>
      <c r="AI49" s="19">
        <v>6.1375440000000001</v>
      </c>
      <c r="AJ49" s="19">
        <v>6.1341609999999998</v>
      </c>
      <c r="AK49" s="20">
        <v>-3.0000000000000001E-6</v>
      </c>
    </row>
    <row r="50" spans="1:37" ht="15" customHeight="1">
      <c r="A50" s="8" t="s">
        <v>498</v>
      </c>
      <c r="B50" s="18" t="s">
        <v>499</v>
      </c>
      <c r="C50" s="19">
        <v>5.7380000000000004</v>
      </c>
      <c r="D50" s="19">
        <v>5.5547700000000004</v>
      </c>
      <c r="E50" s="19">
        <v>5.5572369999999998</v>
      </c>
      <c r="F50" s="19">
        <v>5.5581670000000001</v>
      </c>
      <c r="G50" s="19">
        <v>5.5659510000000001</v>
      </c>
      <c r="H50" s="19">
        <v>5.562354</v>
      </c>
      <c r="I50" s="19">
        <v>5.5637150000000002</v>
      </c>
      <c r="J50" s="19">
        <v>5.562271</v>
      </c>
      <c r="K50" s="19">
        <v>5.5667879999999998</v>
      </c>
      <c r="L50" s="19">
        <v>5.565995</v>
      </c>
      <c r="M50" s="19">
        <v>5.5575130000000001</v>
      </c>
      <c r="N50" s="19">
        <v>5.5605130000000003</v>
      </c>
      <c r="O50" s="19">
        <v>5.5607730000000002</v>
      </c>
      <c r="P50" s="19">
        <v>5.5617470000000004</v>
      </c>
      <c r="Q50" s="19">
        <v>5.5626410000000002</v>
      </c>
      <c r="R50" s="19">
        <v>5.562265</v>
      </c>
      <c r="S50" s="19">
        <v>5.569706</v>
      </c>
      <c r="T50" s="19">
        <v>5.5947889999999996</v>
      </c>
      <c r="U50" s="19">
        <v>5.5964090000000004</v>
      </c>
      <c r="V50" s="19">
        <v>5.6038379999999997</v>
      </c>
      <c r="W50" s="19">
        <v>5.6030389999999999</v>
      </c>
      <c r="X50" s="19">
        <v>5.6124460000000003</v>
      </c>
      <c r="Y50" s="19">
        <v>5.6163569999999998</v>
      </c>
      <c r="Z50" s="19">
        <v>5.6223010000000002</v>
      </c>
      <c r="AA50" s="19">
        <v>5.6172779999999998</v>
      </c>
      <c r="AB50" s="19">
        <v>5.6117030000000003</v>
      </c>
      <c r="AC50" s="19">
        <v>5.5987220000000004</v>
      </c>
      <c r="AD50" s="19">
        <v>5.5860859999999999</v>
      </c>
      <c r="AE50" s="19">
        <v>5.5761089999999998</v>
      </c>
      <c r="AF50" s="19">
        <v>5.5612719999999998</v>
      </c>
      <c r="AG50" s="19">
        <v>5.5591340000000002</v>
      </c>
      <c r="AH50" s="19">
        <v>5.5583109999999998</v>
      </c>
      <c r="AI50" s="19">
        <v>5.5584769999999999</v>
      </c>
      <c r="AJ50" s="19">
        <v>5.5588160000000002</v>
      </c>
      <c r="AK50" s="20">
        <v>2.3E-5</v>
      </c>
    </row>
    <row r="51" spans="1:37" ht="15" customHeight="1">
      <c r="A51" s="8" t="s">
        <v>500</v>
      </c>
      <c r="B51" s="18" t="s">
        <v>501</v>
      </c>
      <c r="C51" s="19">
        <v>3.6994319999999998</v>
      </c>
      <c r="D51" s="19">
        <v>3.6803349999999999</v>
      </c>
      <c r="E51" s="19">
        <v>3.6751779999999998</v>
      </c>
      <c r="F51" s="19">
        <v>3.6722600000000001</v>
      </c>
      <c r="G51" s="19">
        <v>3.661632</v>
      </c>
      <c r="H51" s="19">
        <v>3.661705</v>
      </c>
      <c r="I51" s="19">
        <v>3.6604510000000001</v>
      </c>
      <c r="J51" s="19">
        <v>3.65821</v>
      </c>
      <c r="K51" s="19">
        <v>3.6569090000000002</v>
      </c>
      <c r="L51" s="19">
        <v>3.6559050000000002</v>
      </c>
      <c r="M51" s="19">
        <v>3.655815</v>
      </c>
      <c r="N51" s="19">
        <v>3.6549260000000001</v>
      </c>
      <c r="O51" s="19">
        <v>3.6537899999999999</v>
      </c>
      <c r="P51" s="19">
        <v>3.6542750000000002</v>
      </c>
      <c r="Q51" s="19">
        <v>3.6541939999999999</v>
      </c>
      <c r="R51" s="19">
        <v>3.6551800000000001</v>
      </c>
      <c r="S51" s="19">
        <v>3.6552220000000002</v>
      </c>
      <c r="T51" s="19">
        <v>3.6557840000000001</v>
      </c>
      <c r="U51" s="19">
        <v>3.6554319999999998</v>
      </c>
      <c r="V51" s="19">
        <v>3.6563289999999999</v>
      </c>
      <c r="W51" s="19">
        <v>3.656425</v>
      </c>
      <c r="X51" s="19">
        <v>3.6584599999999998</v>
      </c>
      <c r="Y51" s="19">
        <v>3.659478</v>
      </c>
      <c r="Z51" s="19">
        <v>3.6604260000000002</v>
      </c>
      <c r="AA51" s="19">
        <v>3.6596030000000002</v>
      </c>
      <c r="AB51" s="19">
        <v>3.6590319999999998</v>
      </c>
      <c r="AC51" s="19">
        <v>3.657537</v>
      </c>
      <c r="AD51" s="19">
        <v>3.655983</v>
      </c>
      <c r="AE51" s="19">
        <v>3.6549179999999999</v>
      </c>
      <c r="AF51" s="19">
        <v>3.6535739999999999</v>
      </c>
      <c r="AG51" s="19">
        <v>3.651659</v>
      </c>
      <c r="AH51" s="19">
        <v>3.6501269999999999</v>
      </c>
      <c r="AI51" s="19">
        <v>3.6490499999999999</v>
      </c>
      <c r="AJ51" s="19">
        <v>3.6478000000000002</v>
      </c>
      <c r="AK51" s="20">
        <v>-2.7700000000000001E-4</v>
      </c>
    </row>
    <row r="53" spans="1:37" ht="15" customHeight="1">
      <c r="B53" s="17" t="s">
        <v>502</v>
      </c>
    </row>
    <row r="54" spans="1:37" ht="15" customHeight="1">
      <c r="A54" s="8" t="s">
        <v>503</v>
      </c>
      <c r="B54" s="18" t="s">
        <v>504</v>
      </c>
      <c r="C54" s="19">
        <v>1.0369999999999999</v>
      </c>
      <c r="D54" s="19">
        <v>1.0369999999999999</v>
      </c>
      <c r="E54" s="19">
        <v>1.0369999999999999</v>
      </c>
      <c r="F54" s="19">
        <v>1.0369999999999999</v>
      </c>
      <c r="G54" s="19">
        <v>1.0369999999999999</v>
      </c>
      <c r="H54" s="19">
        <v>1.0369999999999999</v>
      </c>
      <c r="I54" s="19">
        <v>1.0369999999999999</v>
      </c>
      <c r="J54" s="19">
        <v>1.0369999999999999</v>
      </c>
      <c r="K54" s="19">
        <v>1.0369999999999999</v>
      </c>
      <c r="L54" s="19">
        <v>1.0369999999999999</v>
      </c>
      <c r="M54" s="19">
        <v>1.0369999999999999</v>
      </c>
      <c r="N54" s="19">
        <v>1.0369999999999999</v>
      </c>
      <c r="O54" s="19">
        <v>1.0369999999999999</v>
      </c>
      <c r="P54" s="19">
        <v>1.0369999999999999</v>
      </c>
      <c r="Q54" s="19">
        <v>1.0369999999999999</v>
      </c>
      <c r="R54" s="19">
        <v>1.0369999999999999</v>
      </c>
      <c r="S54" s="19">
        <v>1.0369999999999999</v>
      </c>
      <c r="T54" s="19">
        <v>1.0369999999999999</v>
      </c>
      <c r="U54" s="19">
        <v>1.0369999999999999</v>
      </c>
      <c r="V54" s="19">
        <v>1.0369999999999999</v>
      </c>
      <c r="W54" s="19">
        <v>1.0369999999999999</v>
      </c>
      <c r="X54" s="19">
        <v>1.0369999999999999</v>
      </c>
      <c r="Y54" s="19">
        <v>1.0369999999999999</v>
      </c>
      <c r="Z54" s="19">
        <v>1.0369999999999999</v>
      </c>
      <c r="AA54" s="19">
        <v>1.0369999999999999</v>
      </c>
      <c r="AB54" s="19">
        <v>1.0369999999999999</v>
      </c>
      <c r="AC54" s="19">
        <v>1.0369999999999999</v>
      </c>
      <c r="AD54" s="19">
        <v>1.0369999999999999</v>
      </c>
      <c r="AE54" s="19">
        <v>1.0369999999999999</v>
      </c>
      <c r="AF54" s="19">
        <v>1.0369999999999999</v>
      </c>
      <c r="AG54" s="19">
        <v>1.0369999999999999</v>
      </c>
      <c r="AH54" s="19">
        <v>1.0369999999999999</v>
      </c>
      <c r="AI54" s="19">
        <v>1.0369999999999999</v>
      </c>
      <c r="AJ54" s="19">
        <v>1.0369999999999999</v>
      </c>
      <c r="AK54" s="20">
        <v>0</v>
      </c>
    </row>
    <row r="55" spans="1:37" ht="15" customHeight="1">
      <c r="A55" s="8" t="s">
        <v>505</v>
      </c>
      <c r="B55" s="18" t="s">
        <v>506</v>
      </c>
      <c r="C55" s="19">
        <v>1.0329999999999999</v>
      </c>
      <c r="D55" s="19">
        <v>1.0329999999999999</v>
      </c>
      <c r="E55" s="19">
        <v>1.0329999999999999</v>
      </c>
      <c r="F55" s="19">
        <v>1.0329999999999999</v>
      </c>
      <c r="G55" s="19">
        <v>1.0329999999999999</v>
      </c>
      <c r="H55" s="19">
        <v>1.0329999999999999</v>
      </c>
      <c r="I55" s="19">
        <v>1.0329999999999999</v>
      </c>
      <c r="J55" s="19">
        <v>1.0329999999999999</v>
      </c>
      <c r="K55" s="19">
        <v>1.0329999999999999</v>
      </c>
      <c r="L55" s="19">
        <v>1.0329999999999999</v>
      </c>
      <c r="M55" s="19">
        <v>1.0329999999999999</v>
      </c>
      <c r="N55" s="19">
        <v>1.0329999999999999</v>
      </c>
      <c r="O55" s="19">
        <v>1.0329999999999999</v>
      </c>
      <c r="P55" s="19">
        <v>1.0329999999999999</v>
      </c>
      <c r="Q55" s="19">
        <v>1.0329999999999999</v>
      </c>
      <c r="R55" s="19">
        <v>1.0329999999999999</v>
      </c>
      <c r="S55" s="19">
        <v>1.0329999999999999</v>
      </c>
      <c r="T55" s="19">
        <v>1.0329999999999999</v>
      </c>
      <c r="U55" s="19">
        <v>1.0329999999999999</v>
      </c>
      <c r="V55" s="19">
        <v>1.0329999999999999</v>
      </c>
      <c r="W55" s="19">
        <v>1.0329999999999999</v>
      </c>
      <c r="X55" s="19">
        <v>1.0329999999999999</v>
      </c>
      <c r="Y55" s="19">
        <v>1.0329999999999999</v>
      </c>
      <c r="Z55" s="19">
        <v>1.0329999999999999</v>
      </c>
      <c r="AA55" s="19">
        <v>1.0329999999999999</v>
      </c>
      <c r="AB55" s="19">
        <v>1.0329999999999999</v>
      </c>
      <c r="AC55" s="19">
        <v>1.0329999999999999</v>
      </c>
      <c r="AD55" s="19">
        <v>1.0329999999999999</v>
      </c>
      <c r="AE55" s="19">
        <v>1.0329999999999999</v>
      </c>
      <c r="AF55" s="19">
        <v>1.0329999999999999</v>
      </c>
      <c r="AG55" s="19">
        <v>1.0329999999999999</v>
      </c>
      <c r="AH55" s="19">
        <v>1.0329999999999999</v>
      </c>
      <c r="AI55" s="19">
        <v>1.0329999999999999</v>
      </c>
      <c r="AJ55" s="19">
        <v>1.0329999999999999</v>
      </c>
      <c r="AK55" s="20">
        <v>0</v>
      </c>
    </row>
    <row r="56" spans="1:37" ht="15" customHeight="1">
      <c r="A56" s="8" t="s">
        <v>507</v>
      </c>
      <c r="B56" s="18" t="s">
        <v>508</v>
      </c>
      <c r="C56" s="19">
        <v>1.0389999999999999</v>
      </c>
      <c r="D56" s="19">
        <v>1.0389999999999999</v>
      </c>
      <c r="E56" s="19">
        <v>1.0389999999999999</v>
      </c>
      <c r="F56" s="19">
        <v>1.0389999999999999</v>
      </c>
      <c r="G56" s="19">
        <v>1.0389999999999999</v>
      </c>
      <c r="H56" s="19">
        <v>1.0389999999999999</v>
      </c>
      <c r="I56" s="19">
        <v>1.0389999999999999</v>
      </c>
      <c r="J56" s="19">
        <v>1.0389999999999999</v>
      </c>
      <c r="K56" s="19">
        <v>1.0389999999999999</v>
      </c>
      <c r="L56" s="19">
        <v>1.0389999999999999</v>
      </c>
      <c r="M56" s="19">
        <v>1.0389999999999999</v>
      </c>
      <c r="N56" s="19">
        <v>1.0389999999999999</v>
      </c>
      <c r="O56" s="19">
        <v>1.0389999999999999</v>
      </c>
      <c r="P56" s="19">
        <v>1.0389999999999999</v>
      </c>
      <c r="Q56" s="19">
        <v>1.0389999999999999</v>
      </c>
      <c r="R56" s="19">
        <v>1.0389999999999999</v>
      </c>
      <c r="S56" s="19">
        <v>1.0389999999999999</v>
      </c>
      <c r="T56" s="19">
        <v>1.0389999999999999</v>
      </c>
      <c r="U56" s="19">
        <v>1.0389999999999999</v>
      </c>
      <c r="V56" s="19">
        <v>1.0389999999999999</v>
      </c>
      <c r="W56" s="19">
        <v>1.0389999999999999</v>
      </c>
      <c r="X56" s="19">
        <v>1.0389999999999999</v>
      </c>
      <c r="Y56" s="19">
        <v>1.0389999999999999</v>
      </c>
      <c r="Z56" s="19">
        <v>1.0389999999999999</v>
      </c>
      <c r="AA56" s="19">
        <v>1.0389999999999999</v>
      </c>
      <c r="AB56" s="19">
        <v>1.0389999999999999</v>
      </c>
      <c r="AC56" s="19">
        <v>1.0389999999999999</v>
      </c>
      <c r="AD56" s="19">
        <v>1.0389999999999999</v>
      </c>
      <c r="AE56" s="19">
        <v>1.0389999999999999</v>
      </c>
      <c r="AF56" s="19">
        <v>1.0389999999999999</v>
      </c>
      <c r="AG56" s="19">
        <v>1.0389999999999999</v>
      </c>
      <c r="AH56" s="19">
        <v>1.0389999999999999</v>
      </c>
      <c r="AI56" s="19">
        <v>1.0389999999999999</v>
      </c>
      <c r="AJ56" s="19">
        <v>1.0389999999999999</v>
      </c>
      <c r="AK56" s="20">
        <v>0</v>
      </c>
    </row>
    <row r="57" spans="1:37" ht="15" customHeight="1">
      <c r="A57" s="8" t="s">
        <v>509</v>
      </c>
      <c r="B57" s="18" t="s">
        <v>510</v>
      </c>
      <c r="C57" s="19">
        <v>1.0369999999999999</v>
      </c>
      <c r="D57" s="19">
        <v>1.0369999999999999</v>
      </c>
      <c r="E57" s="19">
        <v>1.0369999999999999</v>
      </c>
      <c r="F57" s="19">
        <v>1.0369999999999999</v>
      </c>
      <c r="G57" s="19">
        <v>1.0369999999999999</v>
      </c>
      <c r="H57" s="19">
        <v>1.0369999999999999</v>
      </c>
      <c r="I57" s="19">
        <v>1.0369999999999999</v>
      </c>
      <c r="J57" s="19">
        <v>1.0369999999999999</v>
      </c>
      <c r="K57" s="19">
        <v>1.0369999999999999</v>
      </c>
      <c r="L57" s="19">
        <v>1.0369999999999999</v>
      </c>
      <c r="M57" s="19">
        <v>1.0369999999999999</v>
      </c>
      <c r="N57" s="19">
        <v>1.0369999999999999</v>
      </c>
      <c r="O57" s="19">
        <v>1.0369999999999999</v>
      </c>
      <c r="P57" s="19">
        <v>1.0369999999999999</v>
      </c>
      <c r="Q57" s="19">
        <v>1.0369999999999999</v>
      </c>
      <c r="R57" s="19">
        <v>1.0369999999999999</v>
      </c>
      <c r="S57" s="19">
        <v>1.0369999999999999</v>
      </c>
      <c r="T57" s="19">
        <v>1.0369999999999999</v>
      </c>
      <c r="U57" s="19">
        <v>1.0369999999999999</v>
      </c>
      <c r="V57" s="19">
        <v>1.0369999999999999</v>
      </c>
      <c r="W57" s="19">
        <v>1.0369999999999999</v>
      </c>
      <c r="X57" s="19">
        <v>1.0369999999999999</v>
      </c>
      <c r="Y57" s="19">
        <v>1.0369999999999999</v>
      </c>
      <c r="Z57" s="19">
        <v>1.0369999999999999</v>
      </c>
      <c r="AA57" s="19">
        <v>1.0369999999999999</v>
      </c>
      <c r="AB57" s="19">
        <v>1.0369999999999999</v>
      </c>
      <c r="AC57" s="19">
        <v>1.0369999999999999</v>
      </c>
      <c r="AD57" s="19">
        <v>1.0369999999999999</v>
      </c>
      <c r="AE57" s="19">
        <v>1.0369999999999999</v>
      </c>
      <c r="AF57" s="19">
        <v>1.0369999999999999</v>
      </c>
      <c r="AG57" s="19">
        <v>1.0369999999999999</v>
      </c>
      <c r="AH57" s="19">
        <v>1.0369999999999999</v>
      </c>
      <c r="AI57" s="19">
        <v>1.0369999999999999</v>
      </c>
      <c r="AJ57" s="19">
        <v>1.0369999999999999</v>
      </c>
      <c r="AK57" s="20">
        <v>0</v>
      </c>
    </row>
    <row r="58" spans="1:37" ht="15" customHeight="1">
      <c r="A58" s="8" t="s">
        <v>511</v>
      </c>
      <c r="B58" s="18" t="s">
        <v>512</v>
      </c>
      <c r="C58" s="19">
        <v>1.0249999999999999</v>
      </c>
      <c r="D58" s="19">
        <v>1.0249999999999999</v>
      </c>
      <c r="E58" s="19">
        <v>1.0249999999999999</v>
      </c>
      <c r="F58" s="19">
        <v>1.0249999999999999</v>
      </c>
      <c r="G58" s="19">
        <v>1.0249999999999999</v>
      </c>
      <c r="H58" s="19">
        <v>1.0249999999999999</v>
      </c>
      <c r="I58" s="19">
        <v>1.0249999999999999</v>
      </c>
      <c r="J58" s="19">
        <v>1.0249999999999999</v>
      </c>
      <c r="K58" s="19">
        <v>1.0249999999999999</v>
      </c>
      <c r="L58" s="19">
        <v>1.0249999999999999</v>
      </c>
      <c r="M58" s="19">
        <v>1.0249999999999999</v>
      </c>
      <c r="N58" s="19">
        <v>1.0249999999999999</v>
      </c>
      <c r="O58" s="19">
        <v>1.0249999999999999</v>
      </c>
      <c r="P58" s="19">
        <v>1.0249999999999999</v>
      </c>
      <c r="Q58" s="19">
        <v>1.0249999999999999</v>
      </c>
      <c r="R58" s="19">
        <v>1.0249999999999999</v>
      </c>
      <c r="S58" s="19">
        <v>1.0249999999999999</v>
      </c>
      <c r="T58" s="19">
        <v>1.0249999999999999</v>
      </c>
      <c r="U58" s="19">
        <v>1.0249999999999999</v>
      </c>
      <c r="V58" s="19">
        <v>1.0249999999999999</v>
      </c>
      <c r="W58" s="19">
        <v>1.0249999999999999</v>
      </c>
      <c r="X58" s="19">
        <v>1.0249999999999999</v>
      </c>
      <c r="Y58" s="19">
        <v>1.0249999999999999</v>
      </c>
      <c r="Z58" s="19">
        <v>1.0249999999999999</v>
      </c>
      <c r="AA58" s="19">
        <v>1.0249999999999999</v>
      </c>
      <c r="AB58" s="19">
        <v>1.0249999999999999</v>
      </c>
      <c r="AC58" s="19">
        <v>1.0249999999999999</v>
      </c>
      <c r="AD58" s="19">
        <v>1.0249999999999999</v>
      </c>
      <c r="AE58" s="19">
        <v>1.0249999999999999</v>
      </c>
      <c r="AF58" s="19">
        <v>1.0249999999999999</v>
      </c>
      <c r="AG58" s="19">
        <v>1.0249999999999999</v>
      </c>
      <c r="AH58" s="19">
        <v>1.0249999999999999</v>
      </c>
      <c r="AI58" s="19">
        <v>1.0249999999999999</v>
      </c>
      <c r="AJ58" s="19">
        <v>1.0249999999999999</v>
      </c>
      <c r="AK58" s="20">
        <v>0</v>
      </c>
    </row>
    <row r="59" spans="1:37" ht="15" customHeight="1">
      <c r="A59" s="8" t="s">
        <v>513</v>
      </c>
      <c r="B59" s="18" t="s">
        <v>514</v>
      </c>
      <c r="C59" s="19">
        <v>1.0089999999999999</v>
      </c>
      <c r="D59" s="19">
        <v>1.0089999999999999</v>
      </c>
      <c r="E59" s="19">
        <v>1.0089999999999999</v>
      </c>
      <c r="F59" s="19">
        <v>1.0089999999999999</v>
      </c>
      <c r="G59" s="19">
        <v>1.0089999999999999</v>
      </c>
      <c r="H59" s="19">
        <v>1.0089999999999999</v>
      </c>
      <c r="I59" s="19">
        <v>1.0089999999999999</v>
      </c>
      <c r="J59" s="19">
        <v>1.0089999999999999</v>
      </c>
      <c r="K59" s="19">
        <v>1.0089999999999999</v>
      </c>
      <c r="L59" s="19">
        <v>1.0089999999999999</v>
      </c>
      <c r="M59" s="19">
        <v>1.0089999999999999</v>
      </c>
      <c r="N59" s="19">
        <v>1.0089999999999999</v>
      </c>
      <c r="O59" s="19">
        <v>1.0089999999999999</v>
      </c>
      <c r="P59" s="19">
        <v>1.0089999999999999</v>
      </c>
      <c r="Q59" s="19">
        <v>1.0089999999999999</v>
      </c>
      <c r="R59" s="19">
        <v>1.0089999999999999</v>
      </c>
      <c r="S59" s="19">
        <v>1.0089999999999999</v>
      </c>
      <c r="T59" s="19">
        <v>1.0089999999999999</v>
      </c>
      <c r="U59" s="19">
        <v>1.0089999999999999</v>
      </c>
      <c r="V59" s="19">
        <v>1.0089999999999999</v>
      </c>
      <c r="W59" s="19">
        <v>1.0089999999999999</v>
      </c>
      <c r="X59" s="19">
        <v>1.0089999999999999</v>
      </c>
      <c r="Y59" s="19">
        <v>1.0089999999999999</v>
      </c>
      <c r="Z59" s="19">
        <v>1.0089999999999999</v>
      </c>
      <c r="AA59" s="19">
        <v>1.0089999999999999</v>
      </c>
      <c r="AB59" s="19">
        <v>1.0089999999999999</v>
      </c>
      <c r="AC59" s="19">
        <v>1.0089999999999999</v>
      </c>
      <c r="AD59" s="19">
        <v>1.0089999999999999</v>
      </c>
      <c r="AE59" s="19">
        <v>1.0089999999999999</v>
      </c>
      <c r="AF59" s="19">
        <v>1.0089999999999999</v>
      </c>
      <c r="AG59" s="19">
        <v>1.0089999999999999</v>
      </c>
      <c r="AH59" s="19">
        <v>1.0089999999999999</v>
      </c>
      <c r="AI59" s="19">
        <v>1.0089999999999999</v>
      </c>
      <c r="AJ59" s="19">
        <v>1.0089999999999999</v>
      </c>
      <c r="AK59" s="20">
        <v>0</v>
      </c>
    </row>
    <row r="60" spans="1:37" ht="15" customHeight="1">
      <c r="A60" s="8" t="s">
        <v>515</v>
      </c>
      <c r="B60" s="18" t="s">
        <v>516</v>
      </c>
      <c r="C60" s="19">
        <v>0.96</v>
      </c>
      <c r="D60" s="19">
        <v>0.96</v>
      </c>
      <c r="E60" s="19">
        <v>0.96</v>
      </c>
      <c r="F60" s="19">
        <v>0.96</v>
      </c>
      <c r="G60" s="19">
        <v>0.96</v>
      </c>
      <c r="H60" s="19">
        <v>0.96</v>
      </c>
      <c r="I60" s="19">
        <v>0.96</v>
      </c>
      <c r="J60" s="19">
        <v>0.96</v>
      </c>
      <c r="K60" s="19">
        <v>0.96</v>
      </c>
      <c r="L60" s="19">
        <v>0.96</v>
      </c>
      <c r="M60" s="19">
        <v>0.96</v>
      </c>
      <c r="N60" s="19">
        <v>0.96</v>
      </c>
      <c r="O60" s="19">
        <v>0.96</v>
      </c>
      <c r="P60" s="19">
        <v>0.96</v>
      </c>
      <c r="Q60" s="19">
        <v>0.96</v>
      </c>
      <c r="R60" s="19">
        <v>0.96</v>
      </c>
      <c r="S60" s="19">
        <v>0.96</v>
      </c>
      <c r="T60" s="19">
        <v>0.96</v>
      </c>
      <c r="U60" s="19">
        <v>0.96</v>
      </c>
      <c r="V60" s="19">
        <v>0.96</v>
      </c>
      <c r="W60" s="19">
        <v>0.96</v>
      </c>
      <c r="X60" s="19">
        <v>0.96</v>
      </c>
      <c r="Y60" s="19">
        <v>0.96</v>
      </c>
      <c r="Z60" s="19">
        <v>0.96</v>
      </c>
      <c r="AA60" s="19">
        <v>0.96</v>
      </c>
      <c r="AB60" s="19">
        <v>0.96</v>
      </c>
      <c r="AC60" s="19">
        <v>0.96</v>
      </c>
      <c r="AD60" s="19">
        <v>0.96</v>
      </c>
      <c r="AE60" s="19">
        <v>0.96</v>
      </c>
      <c r="AF60" s="19">
        <v>0.96</v>
      </c>
      <c r="AG60" s="19">
        <v>0.96</v>
      </c>
      <c r="AH60" s="19">
        <v>0.96</v>
      </c>
      <c r="AI60" s="19">
        <v>0.96</v>
      </c>
      <c r="AJ60" s="19">
        <v>0.96</v>
      </c>
      <c r="AK60" s="20">
        <v>0</v>
      </c>
    </row>
    <row r="62" spans="1:37" ht="15" customHeight="1">
      <c r="B62" s="17" t="s">
        <v>517</v>
      </c>
    </row>
    <row r="63" spans="1:37" ht="15" customHeight="1">
      <c r="A63" s="8" t="s">
        <v>518</v>
      </c>
      <c r="B63" s="18" t="s">
        <v>510</v>
      </c>
      <c r="C63" s="22">
        <v>20.537140000000001</v>
      </c>
      <c r="D63" s="22">
        <v>20.439444999999999</v>
      </c>
      <c r="E63" s="22">
        <v>20.349045</v>
      </c>
      <c r="F63" s="22">
        <v>20.466270000000002</v>
      </c>
      <c r="G63" s="22">
        <v>20.363602</v>
      </c>
      <c r="H63" s="22">
        <v>20.554328999999999</v>
      </c>
      <c r="I63" s="22">
        <v>20.653105</v>
      </c>
      <c r="J63" s="22">
        <v>20.626196</v>
      </c>
      <c r="K63" s="22">
        <v>20.621486999999998</v>
      </c>
      <c r="L63" s="22">
        <v>20.64123</v>
      </c>
      <c r="M63" s="22">
        <v>20.627844</v>
      </c>
      <c r="N63" s="22">
        <v>20.536940000000001</v>
      </c>
      <c r="O63" s="22">
        <v>20.501505000000002</v>
      </c>
      <c r="P63" s="22">
        <v>20.413281999999999</v>
      </c>
      <c r="Q63" s="22">
        <v>20.399070999999999</v>
      </c>
      <c r="R63" s="22">
        <v>20.458255999999999</v>
      </c>
      <c r="S63" s="22">
        <v>20.429285</v>
      </c>
      <c r="T63" s="22">
        <v>20.364529000000001</v>
      </c>
      <c r="U63" s="22">
        <v>20.373262</v>
      </c>
      <c r="V63" s="22">
        <v>20.367173999999999</v>
      </c>
      <c r="W63" s="22">
        <v>20.397617</v>
      </c>
      <c r="X63" s="22">
        <v>20.405455</v>
      </c>
      <c r="Y63" s="22">
        <v>20.39472</v>
      </c>
      <c r="Z63" s="22">
        <v>20.372592999999998</v>
      </c>
      <c r="AA63" s="22">
        <v>20.382771999999999</v>
      </c>
      <c r="AB63" s="22">
        <v>20.366734000000001</v>
      </c>
      <c r="AC63" s="22">
        <v>20.354519</v>
      </c>
      <c r="AD63" s="22">
        <v>20.355229999999999</v>
      </c>
      <c r="AE63" s="22">
        <v>20.386980000000001</v>
      </c>
      <c r="AF63" s="22">
        <v>20.356945</v>
      </c>
      <c r="AG63" s="22">
        <v>20.336355000000001</v>
      </c>
      <c r="AH63" s="22">
        <v>20.357395</v>
      </c>
      <c r="AI63" s="22">
        <v>20.34404</v>
      </c>
      <c r="AJ63" s="22">
        <v>20.347266999999999</v>
      </c>
      <c r="AK63" s="20">
        <v>-1.4100000000000001E-4</v>
      </c>
    </row>
    <row r="64" spans="1:37" ht="15" customHeight="1">
      <c r="A64" s="8" t="s">
        <v>519</v>
      </c>
      <c r="B64" s="18" t="s">
        <v>520</v>
      </c>
      <c r="C64" s="22">
        <v>25.416302000000002</v>
      </c>
      <c r="D64" s="22">
        <v>25.057079000000002</v>
      </c>
      <c r="E64" s="22">
        <v>25.074783</v>
      </c>
      <c r="F64" s="22">
        <v>25.042176999999999</v>
      </c>
      <c r="G64" s="22">
        <v>24.938278</v>
      </c>
      <c r="H64" s="22">
        <v>24.964016000000001</v>
      </c>
      <c r="I64" s="22">
        <v>24.911818</v>
      </c>
      <c r="J64" s="22">
        <v>24.91433</v>
      </c>
      <c r="K64" s="22">
        <v>24.898243000000001</v>
      </c>
      <c r="L64" s="22">
        <v>24.920572</v>
      </c>
      <c r="M64" s="22">
        <v>24.903048999999999</v>
      </c>
      <c r="N64" s="22">
        <v>24.81945</v>
      </c>
      <c r="O64" s="22">
        <v>24.850802999999999</v>
      </c>
      <c r="P64" s="22">
        <v>24.769541</v>
      </c>
      <c r="Q64" s="22">
        <v>24.735579000000001</v>
      </c>
      <c r="R64" s="22">
        <v>24.729203999999999</v>
      </c>
      <c r="S64" s="22">
        <v>24.688946000000001</v>
      </c>
      <c r="T64" s="22">
        <v>24.612100999999999</v>
      </c>
      <c r="U64" s="22">
        <v>24.600828</v>
      </c>
      <c r="V64" s="22">
        <v>24.592124999999999</v>
      </c>
      <c r="W64" s="22">
        <v>24.569109000000001</v>
      </c>
      <c r="X64" s="22">
        <v>24.53866</v>
      </c>
      <c r="Y64" s="22">
        <v>24.501373000000001</v>
      </c>
      <c r="Z64" s="22">
        <v>24.474423999999999</v>
      </c>
      <c r="AA64" s="22">
        <v>24.491461000000001</v>
      </c>
      <c r="AB64" s="22">
        <v>24.462054999999999</v>
      </c>
      <c r="AC64" s="22">
        <v>24.426752</v>
      </c>
      <c r="AD64" s="22">
        <v>24.399635</v>
      </c>
      <c r="AE64" s="22">
        <v>24.407730000000001</v>
      </c>
      <c r="AF64" s="22">
        <v>24.328617000000001</v>
      </c>
      <c r="AG64" s="22">
        <v>24.285736</v>
      </c>
      <c r="AH64" s="22">
        <v>24.280874000000001</v>
      </c>
      <c r="AI64" s="22">
        <v>24.244130999999999</v>
      </c>
      <c r="AJ64" s="22">
        <v>24.256340000000002</v>
      </c>
      <c r="AK64" s="20">
        <v>-1.0139999999999999E-3</v>
      </c>
    </row>
    <row r="65" spans="1:37" ht="15" customHeight="1">
      <c r="A65" s="8" t="s">
        <v>521</v>
      </c>
      <c r="B65" s="18" t="s">
        <v>522</v>
      </c>
      <c r="C65" s="22">
        <v>17.234355999999998</v>
      </c>
      <c r="D65" s="22">
        <v>17.205303000000001</v>
      </c>
      <c r="E65" s="22">
        <v>17.117476</v>
      </c>
      <c r="F65" s="22">
        <v>17.06934</v>
      </c>
      <c r="G65" s="22">
        <v>16.988295000000001</v>
      </c>
      <c r="H65" s="22">
        <v>17.022928</v>
      </c>
      <c r="I65" s="22">
        <v>17.071612999999999</v>
      </c>
      <c r="J65" s="22">
        <v>17.059359000000001</v>
      </c>
      <c r="K65" s="22">
        <v>17.037023999999999</v>
      </c>
      <c r="L65" s="22">
        <v>17.056746</v>
      </c>
      <c r="M65" s="22">
        <v>17.031739999999999</v>
      </c>
      <c r="N65" s="22">
        <v>16.978151</v>
      </c>
      <c r="O65" s="22">
        <v>16.968306999999999</v>
      </c>
      <c r="P65" s="22">
        <v>16.998640000000002</v>
      </c>
      <c r="Q65" s="22">
        <v>16.972049999999999</v>
      </c>
      <c r="R65" s="22">
        <v>17.002645000000001</v>
      </c>
      <c r="S65" s="22">
        <v>17.003274999999999</v>
      </c>
      <c r="T65" s="22">
        <v>17.003226999999999</v>
      </c>
      <c r="U65" s="22">
        <v>17.012267999999999</v>
      </c>
      <c r="V65" s="22">
        <v>17.012785000000001</v>
      </c>
      <c r="W65" s="22">
        <v>17.036083000000001</v>
      </c>
      <c r="X65" s="22">
        <v>17.044588000000001</v>
      </c>
      <c r="Y65" s="22">
        <v>17.050751000000002</v>
      </c>
      <c r="Z65" s="22">
        <v>17.064136999999999</v>
      </c>
      <c r="AA65" s="22">
        <v>17.081581</v>
      </c>
      <c r="AB65" s="22">
        <v>17.08465</v>
      </c>
      <c r="AC65" s="22">
        <v>17.087126000000001</v>
      </c>
      <c r="AD65" s="22">
        <v>17.088546999999998</v>
      </c>
      <c r="AE65" s="22">
        <v>17.086746000000002</v>
      </c>
      <c r="AF65" s="22">
        <v>17.085443000000001</v>
      </c>
      <c r="AG65" s="22">
        <v>17.080282</v>
      </c>
      <c r="AH65" s="22">
        <v>17.077895999999999</v>
      </c>
      <c r="AI65" s="22">
        <v>17.084911000000002</v>
      </c>
      <c r="AJ65" s="22">
        <v>17.086425999999999</v>
      </c>
      <c r="AK65" s="20">
        <v>-2.1699999999999999E-4</v>
      </c>
    </row>
    <row r="66" spans="1:37" ht="15" customHeight="1">
      <c r="A66" s="8" t="s">
        <v>523</v>
      </c>
      <c r="B66" s="18" t="s">
        <v>504</v>
      </c>
      <c r="C66" s="22">
        <v>19.437477000000001</v>
      </c>
      <c r="D66" s="22">
        <v>19.706896</v>
      </c>
      <c r="E66" s="22">
        <v>19.588093000000001</v>
      </c>
      <c r="F66" s="22">
        <v>19.676338000000001</v>
      </c>
      <c r="G66" s="22">
        <v>19.593861</v>
      </c>
      <c r="H66" s="22">
        <v>19.763271</v>
      </c>
      <c r="I66" s="22">
        <v>19.874037000000001</v>
      </c>
      <c r="J66" s="22">
        <v>19.832982999999999</v>
      </c>
      <c r="K66" s="22">
        <v>19.854051999999999</v>
      </c>
      <c r="L66" s="22">
        <v>19.849159</v>
      </c>
      <c r="M66" s="22">
        <v>19.841605999999999</v>
      </c>
      <c r="N66" s="22">
        <v>19.838450999999999</v>
      </c>
      <c r="O66" s="22">
        <v>19.782232</v>
      </c>
      <c r="P66" s="22">
        <v>19.750865999999998</v>
      </c>
      <c r="Q66" s="22">
        <v>19.757529999999999</v>
      </c>
      <c r="R66" s="22">
        <v>19.792145000000001</v>
      </c>
      <c r="S66" s="22">
        <v>19.787579999999998</v>
      </c>
      <c r="T66" s="22">
        <v>19.792100999999999</v>
      </c>
      <c r="U66" s="22">
        <v>19.801369000000001</v>
      </c>
      <c r="V66" s="22">
        <v>19.790552000000002</v>
      </c>
      <c r="W66" s="22">
        <v>19.813770000000002</v>
      </c>
      <c r="X66" s="22">
        <v>19.823812</v>
      </c>
      <c r="Y66" s="22">
        <v>19.819962</v>
      </c>
      <c r="Z66" s="22">
        <v>19.817592999999999</v>
      </c>
      <c r="AA66" s="22">
        <v>19.814734000000001</v>
      </c>
      <c r="AB66" s="22">
        <v>19.808729</v>
      </c>
      <c r="AC66" s="22">
        <v>19.816939999999999</v>
      </c>
      <c r="AD66" s="22">
        <v>19.822158999999999</v>
      </c>
      <c r="AE66" s="22">
        <v>19.832388000000002</v>
      </c>
      <c r="AF66" s="22">
        <v>19.856539000000001</v>
      </c>
      <c r="AG66" s="22">
        <v>19.880623</v>
      </c>
      <c r="AH66" s="22">
        <v>19.899242000000001</v>
      </c>
      <c r="AI66" s="22">
        <v>19.884989000000001</v>
      </c>
      <c r="AJ66" s="22">
        <v>19.887484000000001</v>
      </c>
      <c r="AK66" s="20">
        <v>2.8499999999999999E-4</v>
      </c>
    </row>
    <row r="67" spans="1:37" ht="15" customHeight="1">
      <c r="A67" s="8" t="s">
        <v>524</v>
      </c>
      <c r="B67" s="18" t="s">
        <v>525</v>
      </c>
      <c r="C67" s="22">
        <v>20.319486999999999</v>
      </c>
      <c r="D67" s="22">
        <v>19.866795</v>
      </c>
      <c r="E67" s="22">
        <v>19.877953000000002</v>
      </c>
      <c r="F67" s="22">
        <v>19.862864999999999</v>
      </c>
      <c r="G67" s="22">
        <v>19.866108000000001</v>
      </c>
      <c r="H67" s="22">
        <v>19.864163999999999</v>
      </c>
      <c r="I67" s="22">
        <v>19.86232</v>
      </c>
      <c r="J67" s="22">
        <v>19.858194000000001</v>
      </c>
      <c r="K67" s="22">
        <v>19.854407999999999</v>
      </c>
      <c r="L67" s="22">
        <v>19.851212</v>
      </c>
      <c r="M67" s="22">
        <v>19.848103999999999</v>
      </c>
      <c r="N67" s="22">
        <v>19.846712</v>
      </c>
      <c r="O67" s="22">
        <v>19.844584000000001</v>
      </c>
      <c r="P67" s="22">
        <v>19.843212000000001</v>
      </c>
      <c r="Q67" s="22">
        <v>19.839586000000001</v>
      </c>
      <c r="R67" s="22">
        <v>19.837956999999999</v>
      </c>
      <c r="S67" s="22">
        <v>19.837420999999999</v>
      </c>
      <c r="T67" s="22">
        <v>19.835992999999998</v>
      </c>
      <c r="U67" s="22">
        <v>19.833931</v>
      </c>
      <c r="V67" s="22">
        <v>19.832113</v>
      </c>
      <c r="W67" s="22">
        <v>19.829879999999999</v>
      </c>
      <c r="X67" s="22">
        <v>19.827466999999999</v>
      </c>
      <c r="Y67" s="22">
        <v>19.826221</v>
      </c>
      <c r="Z67" s="22">
        <v>19.825344000000001</v>
      </c>
      <c r="AA67" s="22">
        <v>19.824635000000001</v>
      </c>
      <c r="AB67" s="22">
        <v>19.824231999999999</v>
      </c>
      <c r="AC67" s="22">
        <v>19.824038999999999</v>
      </c>
      <c r="AD67" s="22">
        <v>19.823008999999999</v>
      </c>
      <c r="AE67" s="22">
        <v>19.821570999999999</v>
      </c>
      <c r="AF67" s="22">
        <v>19.888694999999998</v>
      </c>
      <c r="AG67" s="22">
        <v>19.887025999999999</v>
      </c>
      <c r="AH67" s="22">
        <v>19.885117999999999</v>
      </c>
      <c r="AI67" s="22">
        <v>19.883326</v>
      </c>
      <c r="AJ67" s="22">
        <v>19.881367000000001</v>
      </c>
      <c r="AK67" s="20">
        <v>2.3E-5</v>
      </c>
    </row>
    <row r="68" spans="1:37" ht="15" customHeight="1">
      <c r="A68" s="8" t="s">
        <v>526</v>
      </c>
      <c r="B68" s="18" t="s">
        <v>527</v>
      </c>
      <c r="C68" s="22">
        <v>20.775822000000002</v>
      </c>
      <c r="D68" s="22">
        <v>20.838132999999999</v>
      </c>
      <c r="E68" s="22">
        <v>20.733785999999998</v>
      </c>
      <c r="F68" s="22">
        <v>20.902740000000001</v>
      </c>
      <c r="G68" s="22">
        <v>20.866161000000002</v>
      </c>
      <c r="H68" s="22">
        <v>20.867376</v>
      </c>
      <c r="I68" s="22">
        <v>20.866620999999999</v>
      </c>
      <c r="J68" s="22">
        <v>20.916288000000002</v>
      </c>
      <c r="K68" s="22">
        <v>20.915384</v>
      </c>
      <c r="L68" s="22">
        <v>20.913564999999998</v>
      </c>
      <c r="M68" s="22">
        <v>20.910665999999999</v>
      </c>
      <c r="N68" s="22">
        <v>20.907888</v>
      </c>
      <c r="O68" s="22">
        <v>20.903262999999999</v>
      </c>
      <c r="P68" s="22">
        <v>20.898401</v>
      </c>
      <c r="Q68" s="22">
        <v>20.889793000000001</v>
      </c>
      <c r="R68" s="22">
        <v>20.836566999999999</v>
      </c>
      <c r="S68" s="22">
        <v>20.829412000000001</v>
      </c>
      <c r="T68" s="22">
        <v>20.823454000000002</v>
      </c>
      <c r="U68" s="22">
        <v>20.814209000000002</v>
      </c>
      <c r="V68" s="22">
        <v>20.812381999999999</v>
      </c>
      <c r="W68" s="22">
        <v>20.811678000000001</v>
      </c>
      <c r="X68" s="22">
        <v>20.809002</v>
      </c>
      <c r="Y68" s="22">
        <v>20.807103999999999</v>
      </c>
      <c r="Z68" s="22">
        <v>20.806034</v>
      </c>
      <c r="AA68" s="22">
        <v>20.806111999999999</v>
      </c>
      <c r="AB68" s="22">
        <v>20.804993</v>
      </c>
      <c r="AC68" s="22">
        <v>20.804296000000001</v>
      </c>
      <c r="AD68" s="22">
        <v>20.804532999999999</v>
      </c>
      <c r="AE68" s="22">
        <v>20.804535000000001</v>
      </c>
      <c r="AF68" s="22">
        <v>20.801072999999999</v>
      </c>
      <c r="AG68" s="22">
        <v>20.800825</v>
      </c>
      <c r="AH68" s="22">
        <v>20.800813999999999</v>
      </c>
      <c r="AI68" s="22">
        <v>20.801849000000001</v>
      </c>
      <c r="AJ68" s="22">
        <v>20.801618999999999</v>
      </c>
      <c r="AK68" s="20">
        <v>-5.5000000000000002E-5</v>
      </c>
    </row>
    <row r="69" spans="1:37" ht="15" customHeight="1">
      <c r="A69" s="8" t="s">
        <v>528</v>
      </c>
      <c r="B69" s="18" t="s">
        <v>529</v>
      </c>
      <c r="C69" s="22">
        <v>28.674879000000001</v>
      </c>
      <c r="D69" s="22">
        <v>28.554435999999999</v>
      </c>
      <c r="E69" s="22">
        <v>28.562546000000001</v>
      </c>
      <c r="F69" s="22">
        <v>28.504807</v>
      </c>
      <c r="G69" s="22">
        <v>28.443207000000001</v>
      </c>
      <c r="H69" s="22">
        <v>28.442011000000001</v>
      </c>
      <c r="I69" s="22">
        <v>28.435804000000001</v>
      </c>
      <c r="J69" s="22">
        <v>28.436997999999999</v>
      </c>
      <c r="K69" s="22">
        <v>28.439364999999999</v>
      </c>
      <c r="L69" s="22">
        <v>28.441151000000001</v>
      </c>
      <c r="M69" s="22">
        <v>28.441541999999998</v>
      </c>
      <c r="N69" s="22">
        <v>28.444378</v>
      </c>
      <c r="O69" s="22">
        <v>28.445307</v>
      </c>
      <c r="P69" s="22">
        <v>28.448008000000002</v>
      </c>
      <c r="Q69" s="22">
        <v>28.451091999999999</v>
      </c>
      <c r="R69" s="22">
        <v>28.453724000000001</v>
      </c>
      <c r="S69" s="22">
        <v>28.456078999999999</v>
      </c>
      <c r="T69" s="22">
        <v>28.459067999999998</v>
      </c>
      <c r="U69" s="22">
        <v>28.461366999999999</v>
      </c>
      <c r="V69" s="22">
        <v>28.462769000000002</v>
      </c>
      <c r="W69" s="22">
        <v>28.465333999999999</v>
      </c>
      <c r="X69" s="22">
        <v>28.467545999999999</v>
      </c>
      <c r="Y69" s="22">
        <v>28.468142</v>
      </c>
      <c r="Z69" s="22">
        <v>28.467697000000001</v>
      </c>
      <c r="AA69" s="22">
        <v>28.468544000000001</v>
      </c>
      <c r="AB69" s="22">
        <v>28.468433000000001</v>
      </c>
      <c r="AC69" s="22">
        <v>28.468116999999999</v>
      </c>
      <c r="AD69" s="22">
        <v>28.467950999999999</v>
      </c>
      <c r="AE69" s="22">
        <v>28.468955999999999</v>
      </c>
      <c r="AF69" s="22">
        <v>28.468081999999999</v>
      </c>
      <c r="AG69" s="22">
        <v>28.468615</v>
      </c>
      <c r="AH69" s="22">
        <v>28.468512</v>
      </c>
      <c r="AI69" s="22">
        <v>28.468487</v>
      </c>
      <c r="AJ69" s="22">
        <v>28.468031</v>
      </c>
      <c r="AK69" s="20">
        <v>-9.5000000000000005E-5</v>
      </c>
    </row>
    <row r="70" spans="1:37" ht="15" customHeight="1">
      <c r="A70" s="8" t="s">
        <v>530</v>
      </c>
      <c r="B70" s="18" t="s">
        <v>531</v>
      </c>
      <c r="C70" s="22">
        <v>18.994087</v>
      </c>
      <c r="D70" s="22">
        <v>19.243162000000002</v>
      </c>
      <c r="E70" s="22">
        <v>19.070353000000001</v>
      </c>
      <c r="F70" s="22">
        <v>19.169922</v>
      </c>
      <c r="G70" s="22">
        <v>19.089600000000001</v>
      </c>
      <c r="H70" s="22">
        <v>19.276790999999999</v>
      </c>
      <c r="I70" s="22">
        <v>19.411289</v>
      </c>
      <c r="J70" s="22">
        <v>19.366067999999999</v>
      </c>
      <c r="K70" s="22">
        <v>19.385352999999999</v>
      </c>
      <c r="L70" s="22">
        <v>19.372706999999998</v>
      </c>
      <c r="M70" s="22">
        <v>19.360990999999999</v>
      </c>
      <c r="N70" s="22">
        <v>19.352909</v>
      </c>
      <c r="O70" s="22">
        <v>19.300653000000001</v>
      </c>
      <c r="P70" s="22">
        <v>19.265913000000001</v>
      </c>
      <c r="Q70" s="22">
        <v>19.264596999999998</v>
      </c>
      <c r="R70" s="22">
        <v>19.290289000000001</v>
      </c>
      <c r="S70" s="22">
        <v>19.284327000000001</v>
      </c>
      <c r="T70" s="22">
        <v>19.280676</v>
      </c>
      <c r="U70" s="22">
        <v>19.290565000000001</v>
      </c>
      <c r="V70" s="22">
        <v>19.277930999999999</v>
      </c>
      <c r="W70" s="22">
        <v>19.296233999999998</v>
      </c>
      <c r="X70" s="22">
        <v>19.305914000000001</v>
      </c>
      <c r="Y70" s="22">
        <v>19.302322</v>
      </c>
      <c r="Z70" s="22">
        <v>19.303664999999999</v>
      </c>
      <c r="AA70" s="22">
        <v>19.298279000000001</v>
      </c>
      <c r="AB70" s="22">
        <v>19.294079</v>
      </c>
      <c r="AC70" s="22">
        <v>19.303532000000001</v>
      </c>
      <c r="AD70" s="22">
        <v>19.313279999999999</v>
      </c>
      <c r="AE70" s="22">
        <v>19.326996000000001</v>
      </c>
      <c r="AF70" s="22">
        <v>19.356915000000001</v>
      </c>
      <c r="AG70" s="22">
        <v>19.385812999999999</v>
      </c>
      <c r="AH70" s="22">
        <v>19.410371999999999</v>
      </c>
      <c r="AI70" s="22">
        <v>19.396623999999999</v>
      </c>
      <c r="AJ70" s="22">
        <v>19.402521</v>
      </c>
      <c r="AK70" s="20">
        <v>2.5799999999999998E-4</v>
      </c>
    </row>
    <row r="71" spans="1:37" ht="15" customHeight="1">
      <c r="A71" s="8" t="s">
        <v>532</v>
      </c>
      <c r="B71" s="18" t="s">
        <v>512</v>
      </c>
      <c r="C71" s="22">
        <v>22.116496999999999</v>
      </c>
      <c r="D71" s="22">
        <v>23.789541</v>
      </c>
      <c r="E71" s="22">
        <v>23.796752999999999</v>
      </c>
      <c r="F71" s="22">
        <v>23.826194999999998</v>
      </c>
      <c r="G71" s="22">
        <v>23.907088999999999</v>
      </c>
      <c r="H71" s="22">
        <v>23.930762999999999</v>
      </c>
      <c r="I71" s="22">
        <v>23.957257999999999</v>
      </c>
      <c r="J71" s="22">
        <v>23.986702000000001</v>
      </c>
      <c r="K71" s="22">
        <v>24.019024000000002</v>
      </c>
      <c r="L71" s="22">
        <v>24.054967999999999</v>
      </c>
      <c r="M71" s="22">
        <v>24.094473000000001</v>
      </c>
      <c r="N71" s="22">
        <v>24.137136000000002</v>
      </c>
      <c r="O71" s="22">
        <v>24.18609</v>
      </c>
      <c r="P71" s="22">
        <v>24.239874</v>
      </c>
      <c r="Q71" s="22">
        <v>24.258429</v>
      </c>
      <c r="R71" s="22">
        <v>24.257082</v>
      </c>
      <c r="S71" s="22">
        <v>24.255732999999999</v>
      </c>
      <c r="T71" s="22">
        <v>24.254387000000001</v>
      </c>
      <c r="U71" s="22">
        <v>24.253038</v>
      </c>
      <c r="V71" s="22">
        <v>24.25169</v>
      </c>
      <c r="W71" s="22">
        <v>24.250340999999999</v>
      </c>
      <c r="X71" s="22">
        <v>24.248991</v>
      </c>
      <c r="Y71" s="22">
        <v>24.247643</v>
      </c>
      <c r="Z71" s="22">
        <v>24.246292</v>
      </c>
      <c r="AA71" s="22">
        <v>24.244942000000002</v>
      </c>
      <c r="AB71" s="22">
        <v>24.243590999999999</v>
      </c>
      <c r="AC71" s="22">
        <v>24.242241</v>
      </c>
      <c r="AD71" s="22">
        <v>24.240888999999999</v>
      </c>
      <c r="AE71" s="22">
        <v>24.239538</v>
      </c>
      <c r="AF71" s="22">
        <v>24.238185999999999</v>
      </c>
      <c r="AG71" s="22">
        <v>24.236834000000002</v>
      </c>
      <c r="AH71" s="22">
        <v>24.235481</v>
      </c>
      <c r="AI71" s="22">
        <v>24.234128999999999</v>
      </c>
      <c r="AJ71" s="22">
        <v>24.232776999999999</v>
      </c>
      <c r="AK71" s="20">
        <v>5.7700000000000004E-4</v>
      </c>
    </row>
    <row r="72" spans="1:37" ht="15" customHeight="1">
      <c r="A72" s="8" t="s">
        <v>533</v>
      </c>
      <c r="B72" s="18" t="s">
        <v>514</v>
      </c>
      <c r="C72" s="22">
        <v>26.218889000000001</v>
      </c>
      <c r="D72" s="22">
        <v>25.447502</v>
      </c>
      <c r="E72" s="22">
        <v>25.630147999999998</v>
      </c>
      <c r="F72" s="22">
        <v>25.765919</v>
      </c>
      <c r="G72" s="22">
        <v>26.388355000000001</v>
      </c>
      <c r="H72" s="22">
        <v>26.396355</v>
      </c>
      <c r="I72" s="22">
        <v>26.389751</v>
      </c>
      <c r="J72" s="22">
        <v>26.391817</v>
      </c>
      <c r="K72" s="22">
        <v>26.385069000000001</v>
      </c>
      <c r="L72" s="22">
        <v>26.391817</v>
      </c>
      <c r="M72" s="22">
        <v>26.385069000000001</v>
      </c>
      <c r="N72" s="22">
        <v>26.175567999999998</v>
      </c>
      <c r="O72" s="22">
        <v>26.169689000000002</v>
      </c>
      <c r="P72" s="22">
        <v>25.926773000000001</v>
      </c>
      <c r="Q72" s="22">
        <v>25.745951000000002</v>
      </c>
      <c r="R72" s="22">
        <v>25.671246</v>
      </c>
      <c r="S72" s="22">
        <v>25.497976000000001</v>
      </c>
      <c r="T72" s="22">
        <v>25.343997999999999</v>
      </c>
      <c r="U72" s="22">
        <v>25.256226000000002</v>
      </c>
      <c r="V72" s="22">
        <v>25.173838</v>
      </c>
      <c r="W72" s="22">
        <v>25.175093</v>
      </c>
      <c r="X72" s="22">
        <v>25.077670999999999</v>
      </c>
      <c r="Y72" s="22">
        <v>24.968132000000001</v>
      </c>
      <c r="Z72" s="22">
        <v>24.865974000000001</v>
      </c>
      <c r="AA72" s="22">
        <v>24.881556</v>
      </c>
      <c r="AB72" s="22">
        <v>24.859068000000001</v>
      </c>
      <c r="AC72" s="22">
        <v>24.773596000000001</v>
      </c>
      <c r="AD72" s="22">
        <v>24.759015999999999</v>
      </c>
      <c r="AE72" s="22">
        <v>24.856954999999999</v>
      </c>
      <c r="AF72" s="22">
        <v>24.625306999999999</v>
      </c>
      <c r="AG72" s="22">
        <v>24.423266999999999</v>
      </c>
      <c r="AH72" s="22">
        <v>24.423266999999999</v>
      </c>
      <c r="AI72" s="22">
        <v>24.423266999999999</v>
      </c>
      <c r="AJ72" s="22">
        <v>24.423266999999999</v>
      </c>
      <c r="AK72" s="20">
        <v>-1.2830000000000001E-3</v>
      </c>
    </row>
    <row r="73" spans="1:37" ht="15" customHeight="1">
      <c r="A73" s="8" t="s">
        <v>534</v>
      </c>
      <c r="B73" s="18" t="s">
        <v>535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0" t="s">
        <v>536</v>
      </c>
    </row>
    <row r="74" spans="1:37" ht="15" customHeight="1">
      <c r="A74" s="8" t="s">
        <v>537</v>
      </c>
      <c r="B74" s="18" t="s">
        <v>538</v>
      </c>
      <c r="C74" s="22">
        <v>12.941471999999999</v>
      </c>
      <c r="D74" s="22">
        <v>11.314271</v>
      </c>
      <c r="E74" s="22">
        <v>11.31427</v>
      </c>
      <c r="F74" s="22">
        <v>11.31427</v>
      </c>
      <c r="G74" s="22">
        <v>11.31427</v>
      </c>
      <c r="H74" s="22">
        <v>11.31427</v>
      </c>
      <c r="I74" s="22">
        <v>11.31427</v>
      </c>
      <c r="J74" s="22">
        <v>11.31427</v>
      </c>
      <c r="K74" s="22">
        <v>11.314271</v>
      </c>
      <c r="L74" s="22">
        <v>11.314271</v>
      </c>
      <c r="M74" s="22">
        <v>11.31427</v>
      </c>
      <c r="N74" s="22">
        <v>11.31427</v>
      </c>
      <c r="O74" s="22">
        <v>11.31427</v>
      </c>
      <c r="P74" s="22">
        <v>11.314271</v>
      </c>
      <c r="Q74" s="22">
        <v>11.314271</v>
      </c>
      <c r="R74" s="22">
        <v>11.31427</v>
      </c>
      <c r="S74" s="22">
        <v>11.31427</v>
      </c>
      <c r="T74" s="22">
        <v>11.31427</v>
      </c>
      <c r="U74" s="22">
        <v>11.314271</v>
      </c>
      <c r="V74" s="22">
        <v>11.31427</v>
      </c>
      <c r="W74" s="22">
        <v>11.31427</v>
      </c>
      <c r="X74" s="22">
        <v>11.314271</v>
      </c>
      <c r="Y74" s="22">
        <v>11.314271</v>
      </c>
      <c r="Z74" s="22">
        <v>11.31427</v>
      </c>
      <c r="AA74" s="22">
        <v>11.314271</v>
      </c>
      <c r="AB74" s="22">
        <v>11.314271</v>
      </c>
      <c r="AC74" s="22">
        <v>11.31427</v>
      </c>
      <c r="AD74" s="22">
        <v>11.314271</v>
      </c>
      <c r="AE74" s="22">
        <v>11.31427</v>
      </c>
      <c r="AF74" s="22">
        <v>11.31427</v>
      </c>
      <c r="AG74" s="22">
        <v>11.31427</v>
      </c>
      <c r="AH74" s="22">
        <v>11.314271</v>
      </c>
      <c r="AI74" s="22">
        <v>11.314271</v>
      </c>
      <c r="AJ74" s="22">
        <v>11.314271</v>
      </c>
      <c r="AK74" s="20">
        <v>0</v>
      </c>
    </row>
    <row r="76" spans="1:37" ht="15" customHeight="1">
      <c r="A76" s="8" t="s">
        <v>539</v>
      </c>
      <c r="B76" s="17" t="s">
        <v>540</v>
      </c>
      <c r="C76" s="23">
        <v>3412</v>
      </c>
      <c r="D76" s="23">
        <v>3412</v>
      </c>
      <c r="E76" s="23">
        <v>3412</v>
      </c>
      <c r="F76" s="23">
        <v>3412</v>
      </c>
      <c r="G76" s="23">
        <v>3412</v>
      </c>
      <c r="H76" s="23">
        <v>3412</v>
      </c>
      <c r="I76" s="23">
        <v>3412</v>
      </c>
      <c r="J76" s="23">
        <v>3412</v>
      </c>
      <c r="K76" s="23">
        <v>3412</v>
      </c>
      <c r="L76" s="23">
        <v>3412</v>
      </c>
      <c r="M76" s="23">
        <v>3412</v>
      </c>
      <c r="N76" s="23">
        <v>3412</v>
      </c>
      <c r="O76" s="23">
        <v>3412</v>
      </c>
      <c r="P76" s="23">
        <v>3412</v>
      </c>
      <c r="Q76" s="23">
        <v>3412</v>
      </c>
      <c r="R76" s="23">
        <v>3412</v>
      </c>
      <c r="S76" s="23">
        <v>3412</v>
      </c>
      <c r="T76" s="23">
        <v>3412</v>
      </c>
      <c r="U76" s="23">
        <v>3412</v>
      </c>
      <c r="V76" s="23">
        <v>3412</v>
      </c>
      <c r="W76" s="23">
        <v>3412</v>
      </c>
      <c r="X76" s="23">
        <v>3412</v>
      </c>
      <c r="Y76" s="23">
        <v>3412</v>
      </c>
      <c r="Z76" s="23">
        <v>3412</v>
      </c>
      <c r="AA76" s="23">
        <v>3412</v>
      </c>
      <c r="AB76" s="23">
        <v>3412</v>
      </c>
      <c r="AC76" s="23">
        <v>3412</v>
      </c>
      <c r="AD76" s="23">
        <v>3412</v>
      </c>
      <c r="AE76" s="23">
        <v>3412</v>
      </c>
      <c r="AF76" s="23">
        <v>3412</v>
      </c>
      <c r="AG76" s="23">
        <v>3412</v>
      </c>
      <c r="AH76" s="23">
        <v>3412</v>
      </c>
      <c r="AI76" s="23">
        <v>3412</v>
      </c>
      <c r="AJ76" s="23">
        <v>3412</v>
      </c>
      <c r="AK76" s="24">
        <v>0</v>
      </c>
    </row>
    <row r="77" spans="1:37" ht="15" customHeight="1" thickBot="1"/>
    <row r="78" spans="1:37" ht="15" customHeight="1">
      <c r="B78" s="91" t="s">
        <v>541</v>
      </c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</row>
    <row r="79" spans="1:37" ht="15" customHeight="1">
      <c r="B79" s="10" t="s">
        <v>542</v>
      </c>
    </row>
    <row r="80" spans="1:37" ht="15" customHeight="1">
      <c r="B80" s="10" t="s">
        <v>543</v>
      </c>
    </row>
    <row r="81" spans="2:2" ht="15" customHeight="1">
      <c r="B81" s="10" t="s">
        <v>544</v>
      </c>
    </row>
    <row r="82" spans="2:2" ht="15" customHeight="1">
      <c r="B82" s="10" t="s">
        <v>545</v>
      </c>
    </row>
    <row r="83" spans="2:2" ht="15" customHeight="1">
      <c r="B83" s="10" t="s">
        <v>546</v>
      </c>
    </row>
    <row r="84" spans="2:2" ht="15" customHeight="1">
      <c r="B84" s="10" t="s">
        <v>547</v>
      </c>
    </row>
    <row r="85" spans="2:2" ht="15" customHeight="1">
      <c r="B85" s="10" t="s">
        <v>548</v>
      </c>
    </row>
  </sheetData>
  <mergeCells count="1">
    <mergeCell ref="B78:AK78"/>
  </mergeCells>
  <pageMargins left="0.75" right="0.75" top="1" bottom="1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Y22"/>
  <sheetViews>
    <sheetView workbookViewId="0">
      <selection activeCell="A2" sqref="A2"/>
    </sheetView>
  </sheetViews>
  <sheetFormatPr defaultRowHeight="14.5"/>
  <cols>
    <col min="1" max="1" width="36.26953125" customWidth="1"/>
    <col min="2" max="35" width="13" customWidth="1"/>
  </cols>
  <sheetData>
    <row r="1" spans="1:51">
      <c r="A1" s="11" t="s">
        <v>549</v>
      </c>
      <c r="B1" s="28">
        <v>2021</v>
      </c>
      <c r="C1" s="28">
        <v>2022</v>
      </c>
      <c r="D1" s="28">
        <v>2023</v>
      </c>
      <c r="E1" s="28">
        <v>2024</v>
      </c>
      <c r="F1" s="28">
        <v>2025</v>
      </c>
      <c r="G1" s="28">
        <v>2026</v>
      </c>
      <c r="H1" s="28">
        <v>2027</v>
      </c>
      <c r="I1" s="28">
        <v>2028</v>
      </c>
      <c r="J1" s="28">
        <v>2029</v>
      </c>
      <c r="K1" s="28">
        <v>2030</v>
      </c>
      <c r="L1" s="28">
        <v>2031</v>
      </c>
      <c r="M1" s="28">
        <v>2032</v>
      </c>
      <c r="N1" s="28">
        <v>2033</v>
      </c>
      <c r="O1" s="28">
        <v>2034</v>
      </c>
      <c r="P1" s="28">
        <v>2035</v>
      </c>
      <c r="Q1" s="28">
        <v>2036</v>
      </c>
      <c r="R1" s="28">
        <v>2037</v>
      </c>
      <c r="S1" s="28">
        <v>2038</v>
      </c>
      <c r="T1" s="28">
        <v>2039</v>
      </c>
      <c r="U1" s="28">
        <v>2040</v>
      </c>
      <c r="V1" s="28">
        <v>2041</v>
      </c>
      <c r="W1" s="28">
        <v>2042</v>
      </c>
      <c r="X1" s="28">
        <v>2043</v>
      </c>
      <c r="Y1" s="28">
        <v>2044</v>
      </c>
      <c r="Z1" s="28">
        <v>2045</v>
      </c>
      <c r="AA1" s="28">
        <v>2046</v>
      </c>
      <c r="AB1" s="28">
        <v>2047</v>
      </c>
      <c r="AC1" s="28">
        <v>2048</v>
      </c>
      <c r="AD1" s="28">
        <v>2049</v>
      </c>
      <c r="AE1" s="28">
        <v>2050</v>
      </c>
      <c r="AF1" s="28">
        <v>2051</v>
      </c>
      <c r="AG1" s="28">
        <v>2052</v>
      </c>
      <c r="AH1" s="28">
        <v>2053</v>
      </c>
      <c r="AI1" s="28">
        <v>2054</v>
      </c>
      <c r="AJ1" s="28">
        <v>2055</v>
      </c>
      <c r="AK1" s="28">
        <v>2056</v>
      </c>
      <c r="AL1" s="28">
        <v>2057</v>
      </c>
      <c r="AM1" s="28">
        <v>2058</v>
      </c>
      <c r="AN1" s="28">
        <v>2059</v>
      </c>
      <c r="AO1" s="28">
        <v>2060</v>
      </c>
      <c r="AP1" s="28">
        <v>2061</v>
      </c>
      <c r="AQ1" s="28">
        <v>2062</v>
      </c>
      <c r="AR1" s="28">
        <v>2063</v>
      </c>
      <c r="AS1" s="28">
        <v>2064</v>
      </c>
      <c r="AT1" s="28">
        <v>2065</v>
      </c>
      <c r="AU1" s="28">
        <v>2066</v>
      </c>
      <c r="AV1" s="28">
        <v>2067</v>
      </c>
      <c r="AW1" s="28">
        <v>2068</v>
      </c>
      <c r="AX1" s="28">
        <v>2069</v>
      </c>
      <c r="AY1" s="28">
        <v>2070</v>
      </c>
    </row>
    <row r="2" spans="1:51">
      <c r="A2" s="11" t="s">
        <v>550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51">
      <c r="A3" s="25" t="s">
        <v>551</v>
      </c>
      <c r="B3">
        <f>'Coal &amp; Lignite'!G14</f>
        <v>1.1160031154060538E+16</v>
      </c>
      <c r="C3">
        <f>'Coal &amp; Lignite'!H14</f>
        <v>1.12499268686428E+16</v>
      </c>
      <c r="D3">
        <f>'Coal &amp; Lignite'!I14</f>
        <v>1.134054670660686E+16</v>
      </c>
      <c r="E3">
        <f>'Coal &amp; Lignite'!J14</f>
        <v>1.1431896500874506E+16</v>
      </c>
      <c r="F3">
        <f>'Coal &amp; Lignite'!K14</f>
        <v>1.1523982131352576E+16</v>
      </c>
      <c r="G3">
        <f>'Coal &amp; Lignite'!L14</f>
        <v>1.1616809525311438E+16</v>
      </c>
      <c r="H3">
        <f>'Coal &amp; Lignite'!M14</f>
        <v>1.1858950550796428E+16</v>
      </c>
      <c r="I3">
        <f>'Coal &amp; Lignite'!N14</f>
        <v>1.2106138768980512E+16</v>
      </c>
      <c r="J3">
        <f>'Coal &amp; Lignite'!O14</f>
        <v>1.2358479383655946E+16</v>
      </c>
      <c r="K3">
        <f>'Coal &amp; Lignite'!P14</f>
        <v>1.2616079791485076E+16</v>
      </c>
      <c r="L3">
        <f>'Coal &amp; Lignite'!Q14</f>
        <v>1.2879049627708568E+16</v>
      </c>
      <c r="M3">
        <f>'Coal &amp; Lignite'!R14</f>
        <v>1.309531277031874E+16</v>
      </c>
      <c r="N3">
        <f>'Coal &amp; Lignite'!S14</f>
        <v>1.3315207372407956E+16</v>
      </c>
      <c r="O3">
        <f>'Coal &amp; Lignite'!T14</f>
        <v>1.3538794412919688E+16</v>
      </c>
      <c r="P3">
        <f>'Coal &amp; Lignite'!U14</f>
        <v>1.3766135894747022E+16</v>
      </c>
      <c r="Q3">
        <f>'Coal &amp; Lignite'!V14</f>
        <v>1.399729486192668E+16</v>
      </c>
      <c r="R3">
        <f>'Coal &amp; Lignite'!W14</f>
        <v>1.4147321228309242E+16</v>
      </c>
      <c r="S3">
        <f>'Coal &amp; Lignite'!X14</f>
        <v>1.4298955613300542E+16</v>
      </c>
      <c r="T3">
        <f>'Coal &amp; Lignite'!Y14</f>
        <v>1.4452215252030032E+16</v>
      </c>
      <c r="U3">
        <f>'Coal &amp; Lignite'!Z14</f>
        <v>1.460711756435742E+16</v>
      </c>
      <c r="V3">
        <f>'Coal &amp; Lignite'!AA14</f>
        <v>1.4763680156852654E+16</v>
      </c>
      <c r="W3">
        <f>'Coal &amp; Lignite'!AB14</f>
        <v>1.4922165891168756E+16</v>
      </c>
      <c r="X3">
        <f>'Coal &amp; Lignite'!AC14</f>
        <v>1.5082352944377902E+16</v>
      </c>
      <c r="Y3">
        <f>'Coal &amp; Lignite'!AD14</f>
        <v>1.5244259579865048E+16</v>
      </c>
      <c r="Z3">
        <f>'Coal &amp; Lignite'!AE14</f>
        <v>1.5407904257069654E+16</v>
      </c>
      <c r="AA3">
        <f>'Coal &amp; Lignite'!AF14</f>
        <v>1.5573305633590294E+16</v>
      </c>
      <c r="AB3">
        <f>'Coal &amp; Lignite'!AG14</f>
        <v>1.5705052054292186E+16</v>
      </c>
      <c r="AC3">
        <f>'Coal &amp; Lignite'!AH14</f>
        <v>1.583791301803177E+16</v>
      </c>
      <c r="AD3">
        <f>'Coal &amp; Lignite'!AI14</f>
        <v>1.5971897953575126E+16</v>
      </c>
      <c r="AE3">
        <f>'Coal &amp; Lignite'!AJ14</f>
        <v>1.610701636945343E+16</v>
      </c>
    </row>
    <row r="4" spans="1:51">
      <c r="A4" s="1" t="s">
        <v>552</v>
      </c>
      <c r="B4">
        <f>'Natural Gas'!B14</f>
        <v>1224864000000000</v>
      </c>
      <c r="C4">
        <f>'Natural Gas'!C14</f>
        <v>1247418194580969.5</v>
      </c>
      <c r="D4">
        <f>'Natural Gas'!D14</f>
        <v>1270387693794287</v>
      </c>
      <c r="E4">
        <f>'Natural Gas'!E14</f>
        <v>1293780144906496.5</v>
      </c>
      <c r="F4">
        <f>'Natural Gas'!F14</f>
        <v>1317603335998092</v>
      </c>
      <c r="G4">
        <f>'Natural Gas'!G14</f>
        <v>1341865198556413.3</v>
      </c>
      <c r="H4">
        <f>'Natural Gas'!H14</f>
        <v>1410484192711278.5</v>
      </c>
      <c r="I4">
        <f>'Natural Gas'!I14</f>
        <v>1482612158083141.5</v>
      </c>
      <c r="J4">
        <f>'Natural Gas'!J14</f>
        <v>1558428533020718.5</v>
      </c>
      <c r="K4">
        <f>'Natural Gas'!K14</f>
        <v>1638121931816043.3</v>
      </c>
      <c r="L4">
        <f>'Natural Gas'!L14</f>
        <v>1721890613934909.5</v>
      </c>
      <c r="M4">
        <f>'Natural Gas'!M14</f>
        <v>1800711404608350.5</v>
      </c>
      <c r="N4">
        <f>'Natural Gas'!N14</f>
        <v>1883140274094759</v>
      </c>
      <c r="O4">
        <f>'Natural Gas'!O14</f>
        <v>1969342384816503.3</v>
      </c>
      <c r="P4">
        <f>'Natural Gas'!P14</f>
        <v>2059490459625525</v>
      </c>
      <c r="Q4">
        <f>'Natural Gas'!Q14</f>
        <v>2153765127887482.8</v>
      </c>
      <c r="R4">
        <f>'Natural Gas'!R14</f>
        <v>2250921057923279.8</v>
      </c>
      <c r="S4">
        <f>'Natural Gas'!S14</f>
        <v>2352459673247690</v>
      </c>
      <c r="T4">
        <f>'Natural Gas'!T14</f>
        <v>2458578675949839</v>
      </c>
      <c r="U4">
        <f>'Natural Gas'!U14</f>
        <v>2569484686422009.5</v>
      </c>
      <c r="V4">
        <f>'Natural Gas'!V14</f>
        <v>2685393645662578</v>
      </c>
      <c r="W4">
        <f>'Natural Gas'!W14</f>
        <v>2804919940084001</v>
      </c>
      <c r="X4">
        <f>'Natural Gas'!X14</f>
        <v>2929766324199235.5</v>
      </c>
      <c r="Y4">
        <f>'Natural Gas'!Y14</f>
        <v>3060169594057947.5</v>
      </c>
      <c r="Z4">
        <f>'Natural Gas'!Z14</f>
        <v>3196377085451116.5</v>
      </c>
      <c r="AA4">
        <f>'Natural Gas'!AA14</f>
        <v>3338647143032657.5</v>
      </c>
      <c r="AB4">
        <f>'Natural Gas'!AB14</f>
        <v>3470766784042134.5</v>
      </c>
      <c r="AC4">
        <f>'Natural Gas'!AC14</f>
        <v>3608114770184430</v>
      </c>
      <c r="AD4">
        <f>'Natural Gas'!AD14</f>
        <v>3750898001755511</v>
      </c>
      <c r="AE4">
        <f>'Natural Gas'!AE14</f>
        <v>3899331566676946.5</v>
      </c>
    </row>
    <row r="5" spans="1:51">
      <c r="A5" s="1" t="s">
        <v>553</v>
      </c>
      <c r="B5">
        <f>Nuclear!B11</f>
        <v>140502600000000</v>
      </c>
      <c r="C5">
        <f>Nuclear!C11</f>
        <v>140502600000000</v>
      </c>
      <c r="D5">
        <f>Nuclear!D11</f>
        <v>140502600000000</v>
      </c>
      <c r="E5">
        <f>Nuclear!E11</f>
        <v>140502600000000</v>
      </c>
      <c r="F5">
        <f>Nuclear!F11</f>
        <v>140502600000000</v>
      </c>
      <c r="G5">
        <f>Nuclear!G11</f>
        <v>140502600000000</v>
      </c>
      <c r="H5">
        <f>Nuclear!H11</f>
        <v>140502600000000</v>
      </c>
      <c r="I5">
        <f>Nuclear!I11</f>
        <v>140502600000000</v>
      </c>
      <c r="J5">
        <f>Nuclear!J11</f>
        <v>140502600000000</v>
      </c>
      <c r="K5">
        <f>Nuclear!K11</f>
        <v>140502600000000</v>
      </c>
      <c r="L5">
        <f>Nuclear!L11</f>
        <v>140502600000000</v>
      </c>
      <c r="M5">
        <f>Nuclear!M11</f>
        <v>140502600000000</v>
      </c>
      <c r="N5">
        <f>Nuclear!N11</f>
        <v>140502600000000</v>
      </c>
      <c r="O5">
        <f>Nuclear!O11</f>
        <v>140502600000000</v>
      </c>
      <c r="P5">
        <f>Nuclear!P11</f>
        <v>140502600000000</v>
      </c>
      <c r="Q5">
        <f>Nuclear!Q11</f>
        <v>140502600000000</v>
      </c>
      <c r="R5">
        <f>Nuclear!R11</f>
        <v>140502600000000</v>
      </c>
      <c r="S5">
        <f>Nuclear!S11</f>
        <v>140502600000000</v>
      </c>
      <c r="T5">
        <f>Nuclear!T11</f>
        <v>140502600000000</v>
      </c>
      <c r="U5">
        <f>Nuclear!U11</f>
        <v>140502600000000</v>
      </c>
      <c r="V5">
        <f>Nuclear!V11</f>
        <v>140502600000000</v>
      </c>
      <c r="W5">
        <f>Nuclear!W11</f>
        <v>140502600000000</v>
      </c>
      <c r="X5">
        <f>Nuclear!X11</f>
        <v>140502600000000</v>
      </c>
      <c r="Y5">
        <f>Nuclear!Y11</f>
        <v>140502600000000</v>
      </c>
      <c r="Z5">
        <f>Nuclear!Z11</f>
        <v>140502600000000</v>
      </c>
      <c r="AA5">
        <f>Nuclear!AA11</f>
        <v>140502600000000</v>
      </c>
      <c r="AB5">
        <f>Nuclear!AB11</f>
        <v>140502600000000</v>
      </c>
      <c r="AC5">
        <f>Nuclear!AC11</f>
        <v>140502600000000</v>
      </c>
      <c r="AD5">
        <f>Nuclear!AD11</f>
        <v>140502600000000</v>
      </c>
      <c r="AE5">
        <f>Nuclear!AE11</f>
        <v>140502600000000</v>
      </c>
    </row>
    <row r="6" spans="1:51">
      <c r="A6" s="1" t="s">
        <v>554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51">
      <c r="A7" s="1" t="s">
        <v>555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51">
      <c r="A8" s="1" t="s">
        <v>556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51">
      <c r="A9" s="1" t="s">
        <v>557</v>
      </c>
      <c r="B9" s="27">
        <f>Biomass!B17</f>
        <v>3011480623692003.5</v>
      </c>
      <c r="C9" s="27">
        <f>Biomass!C17</f>
        <v>3067309568052765.5</v>
      </c>
      <c r="D9" s="27">
        <f>Biomass!D17</f>
        <v>3124173508622341.5</v>
      </c>
      <c r="E9" s="27">
        <f>Biomass!E17</f>
        <v>3182091632887877</v>
      </c>
      <c r="F9" s="27">
        <f>Biomass!F17</f>
        <v>3241083484047638.5</v>
      </c>
      <c r="G9" s="27">
        <f>Biomass!G17</f>
        <v>3301168967605438.5</v>
      </c>
      <c r="H9" s="27">
        <f>Biomass!H17</f>
        <v>3358488650742228.5</v>
      </c>
      <c r="I9" s="27">
        <f>Biomass!I17</f>
        <v>3416803601345525.5</v>
      </c>
      <c r="J9" s="27">
        <f>Biomass!J17</f>
        <v>3476131100692470.5</v>
      </c>
      <c r="K9" s="27">
        <f>Biomass!K17</f>
        <v>3536488730122799.5</v>
      </c>
      <c r="L9" s="27">
        <f>Biomass!L17</f>
        <v>3597894376248967</v>
      </c>
      <c r="M9" s="27">
        <f>Biomass!M17</f>
        <v>3656715600132889</v>
      </c>
      <c r="N9" s="27">
        <f>Biomass!N17</f>
        <v>3716498479923676.5</v>
      </c>
      <c r="O9" s="27">
        <f>Biomass!O17</f>
        <v>3777258737532950</v>
      </c>
      <c r="P9" s="27">
        <f>Biomass!P17</f>
        <v>3839012351906578.5</v>
      </c>
      <c r="Q9" s="27">
        <f>Biomass!Q17</f>
        <v>3901775563226879.5</v>
      </c>
      <c r="R9" s="27">
        <f>Biomass!R17</f>
        <v>3962112285390023.5</v>
      </c>
      <c r="S9" s="27">
        <f>Biomass!S17</f>
        <v>4023382049442020</v>
      </c>
      <c r="T9" s="27">
        <f>Biomass!T17</f>
        <v>4085599283862494</v>
      </c>
      <c r="U9" s="27">
        <f>Biomass!U17</f>
        <v>4148778640251839.5</v>
      </c>
      <c r="V9" s="27">
        <f>Biomass!V17</f>
        <v>4212934996781541</v>
      </c>
      <c r="W9" s="27">
        <f>Biomass!W17</f>
        <v>4274803698456875.5</v>
      </c>
      <c r="X9" s="27">
        <f>Biomass!X17</f>
        <v>4337580967734111</v>
      </c>
      <c r="Y9" s="27">
        <f>Biomass!Y17</f>
        <v>4401280147306158</v>
      </c>
      <c r="Z9" s="27">
        <f>Biomass!Z17</f>
        <v>4465914775808918.5</v>
      </c>
      <c r="AA9" s="27">
        <f>Biomass!AA17</f>
        <v>4531498590698791</v>
      </c>
      <c r="AB9" s="27">
        <f>Biomass!AB17</f>
        <v>4594917822444293</v>
      </c>
      <c r="AC9" s="27">
        <f>Biomass!AC17</f>
        <v>4659224619059272</v>
      </c>
      <c r="AD9" s="27">
        <f>Biomass!AD17</f>
        <v>4724431402192112</v>
      </c>
      <c r="AE9" s="27">
        <f>Biomass!AE17</f>
        <v>4790550767334659</v>
      </c>
      <c r="AF9" s="27"/>
      <c r="AG9" s="27"/>
      <c r="AH9" s="27"/>
      <c r="AI9" s="27"/>
    </row>
    <row r="10" spans="1:51">
      <c r="A10" s="25" t="s">
        <v>558</v>
      </c>
      <c r="B10" s="27">
        <f>'Petroleum Products'!J6</f>
        <v>1776447120920833</v>
      </c>
      <c r="C10" s="27">
        <f>B10</f>
        <v>1776447120920833</v>
      </c>
      <c r="D10" s="27">
        <f t="shared" ref="D10:AI10" si="0">C10</f>
        <v>1776447120920833</v>
      </c>
      <c r="E10" s="27">
        <f t="shared" si="0"/>
        <v>1776447120920833</v>
      </c>
      <c r="F10" s="27">
        <f t="shared" si="0"/>
        <v>1776447120920833</v>
      </c>
      <c r="G10" s="27">
        <f t="shared" si="0"/>
        <v>1776447120920833</v>
      </c>
      <c r="H10" s="27">
        <f t="shared" si="0"/>
        <v>1776447120920833</v>
      </c>
      <c r="I10" s="27">
        <f t="shared" si="0"/>
        <v>1776447120920833</v>
      </c>
      <c r="J10" s="27">
        <f t="shared" si="0"/>
        <v>1776447120920833</v>
      </c>
      <c r="K10" s="27">
        <f t="shared" si="0"/>
        <v>1776447120920833</v>
      </c>
      <c r="L10" s="27">
        <f t="shared" si="0"/>
        <v>1776447120920833</v>
      </c>
      <c r="M10" s="27">
        <f t="shared" si="0"/>
        <v>1776447120920833</v>
      </c>
      <c r="N10" s="27">
        <f t="shared" si="0"/>
        <v>1776447120920833</v>
      </c>
      <c r="O10" s="27">
        <f t="shared" si="0"/>
        <v>1776447120920833</v>
      </c>
      <c r="P10" s="27">
        <f t="shared" si="0"/>
        <v>1776447120920833</v>
      </c>
      <c r="Q10" s="27">
        <f t="shared" si="0"/>
        <v>1776447120920833</v>
      </c>
      <c r="R10" s="27">
        <f t="shared" si="0"/>
        <v>1776447120920833</v>
      </c>
      <c r="S10" s="27">
        <f t="shared" si="0"/>
        <v>1776447120920833</v>
      </c>
      <c r="T10" s="27">
        <f t="shared" si="0"/>
        <v>1776447120920833</v>
      </c>
      <c r="U10" s="27">
        <f t="shared" si="0"/>
        <v>1776447120920833</v>
      </c>
      <c r="V10" s="27">
        <f t="shared" si="0"/>
        <v>1776447120920833</v>
      </c>
      <c r="W10" s="27">
        <f t="shared" si="0"/>
        <v>1776447120920833</v>
      </c>
      <c r="X10" s="27">
        <f t="shared" si="0"/>
        <v>1776447120920833</v>
      </c>
      <c r="Y10" s="27">
        <f t="shared" si="0"/>
        <v>1776447120920833</v>
      </c>
      <c r="Z10" s="27">
        <f t="shared" si="0"/>
        <v>1776447120920833</v>
      </c>
      <c r="AA10" s="27">
        <f t="shared" si="0"/>
        <v>1776447120920833</v>
      </c>
      <c r="AB10" s="27">
        <f t="shared" si="0"/>
        <v>1776447120920833</v>
      </c>
      <c r="AC10" s="27">
        <f t="shared" si="0"/>
        <v>1776447120920833</v>
      </c>
      <c r="AD10" s="27">
        <f t="shared" si="0"/>
        <v>1776447120920833</v>
      </c>
      <c r="AE10" s="27">
        <f t="shared" si="0"/>
        <v>1776447120920833</v>
      </c>
      <c r="AF10" s="27"/>
      <c r="AG10" s="27"/>
      <c r="AH10" s="27"/>
      <c r="AI10" s="27"/>
    </row>
    <row r="11" spans="1:51">
      <c r="A11" s="25" t="s">
        <v>559</v>
      </c>
      <c r="B11" s="27">
        <f>'Petroleum Products'!J13</f>
        <v>4744773574681751</v>
      </c>
      <c r="C11" s="27">
        <f>B11</f>
        <v>4744773574681751</v>
      </c>
      <c r="D11" s="27">
        <f t="shared" ref="D11:AI11" si="1">C11</f>
        <v>4744773574681751</v>
      </c>
      <c r="E11" s="27">
        <f t="shared" si="1"/>
        <v>4744773574681751</v>
      </c>
      <c r="F11" s="27">
        <f t="shared" si="1"/>
        <v>4744773574681751</v>
      </c>
      <c r="G11" s="27">
        <f t="shared" si="1"/>
        <v>4744773574681751</v>
      </c>
      <c r="H11" s="27">
        <f t="shared" si="1"/>
        <v>4744773574681751</v>
      </c>
      <c r="I11" s="27">
        <f t="shared" si="1"/>
        <v>4744773574681751</v>
      </c>
      <c r="J11" s="27">
        <f t="shared" si="1"/>
        <v>4744773574681751</v>
      </c>
      <c r="K11" s="27">
        <f t="shared" si="1"/>
        <v>4744773574681751</v>
      </c>
      <c r="L11" s="27">
        <f t="shared" si="1"/>
        <v>4744773574681751</v>
      </c>
      <c r="M11" s="27">
        <f t="shared" si="1"/>
        <v>4744773574681751</v>
      </c>
      <c r="N11" s="27">
        <f t="shared" si="1"/>
        <v>4744773574681751</v>
      </c>
      <c r="O11" s="27">
        <f t="shared" si="1"/>
        <v>4744773574681751</v>
      </c>
      <c r="P11" s="27">
        <f t="shared" si="1"/>
        <v>4744773574681751</v>
      </c>
      <c r="Q11" s="27">
        <f t="shared" si="1"/>
        <v>4744773574681751</v>
      </c>
      <c r="R11" s="27">
        <f t="shared" si="1"/>
        <v>4744773574681751</v>
      </c>
      <c r="S11" s="27">
        <f t="shared" si="1"/>
        <v>4744773574681751</v>
      </c>
      <c r="T11" s="27">
        <f t="shared" si="1"/>
        <v>4744773574681751</v>
      </c>
      <c r="U11" s="27">
        <f t="shared" si="1"/>
        <v>4744773574681751</v>
      </c>
      <c r="V11" s="27">
        <f t="shared" si="1"/>
        <v>4744773574681751</v>
      </c>
      <c r="W11" s="27">
        <f t="shared" si="1"/>
        <v>4744773574681751</v>
      </c>
      <c r="X11" s="27">
        <f t="shared" si="1"/>
        <v>4744773574681751</v>
      </c>
      <c r="Y11" s="27">
        <f t="shared" si="1"/>
        <v>4744773574681751</v>
      </c>
      <c r="Z11" s="27">
        <f t="shared" si="1"/>
        <v>4744773574681751</v>
      </c>
      <c r="AA11" s="27">
        <f t="shared" si="1"/>
        <v>4744773574681751</v>
      </c>
      <c r="AB11" s="27">
        <f t="shared" si="1"/>
        <v>4744773574681751</v>
      </c>
      <c r="AC11" s="27">
        <f t="shared" si="1"/>
        <v>4744773574681751</v>
      </c>
      <c r="AD11" s="27">
        <f t="shared" si="1"/>
        <v>4744773574681751</v>
      </c>
      <c r="AE11" s="27">
        <f t="shared" si="1"/>
        <v>4744773574681751</v>
      </c>
      <c r="AF11" s="27"/>
      <c r="AG11" s="27"/>
      <c r="AH11" s="27"/>
      <c r="AI11" s="27"/>
    </row>
    <row r="12" spans="1:51">
      <c r="A12" s="1" t="s">
        <v>560</v>
      </c>
      <c r="B12">
        <f>Biofuels!B29</f>
        <v>71035155900799.984</v>
      </c>
      <c r="C12">
        <f>Biofuels!C29</f>
        <v>71035155900799.984</v>
      </c>
      <c r="D12">
        <f>Biofuels!D29</f>
        <v>71035155900799.984</v>
      </c>
      <c r="E12">
        <f>Biofuels!E29</f>
        <v>87285108236234.766</v>
      </c>
      <c r="F12">
        <f>Biofuels!F29</f>
        <v>107252388246330.53</v>
      </c>
      <c r="G12">
        <f>Biofuels!G29</f>
        <v>131787369197147.14</v>
      </c>
      <c r="H12">
        <f>Biofuels!H29</f>
        <v>150333671219177.94</v>
      </c>
      <c r="I12">
        <f>Biofuels!I29</f>
        <v>171489975404449.66</v>
      </c>
      <c r="J12">
        <f>Biofuels!J29</f>
        <v>195623584694757.94</v>
      </c>
      <c r="K12">
        <f>Biofuels!K29</f>
        <v>223153492200187.06</v>
      </c>
      <c r="L12">
        <f>Biofuels!L29</f>
        <v>254557655503760.72</v>
      </c>
      <c r="M12">
        <f>Biofuels!M29</f>
        <v>275592041815786.78</v>
      </c>
      <c r="N12">
        <f>Biofuels!N29</f>
        <v>298364523203555</v>
      </c>
      <c r="O12">
        <f>Biofuels!O29</f>
        <v>323018720424405.5</v>
      </c>
      <c r="P12">
        <f>Biofuels!P29</f>
        <v>349710121780916.31</v>
      </c>
      <c r="Q12">
        <f>Biofuels!Q29</f>
        <v>378607063749557.31</v>
      </c>
      <c r="R12">
        <f>Biofuels!R29</f>
        <v>407493634514743.63</v>
      </c>
      <c r="S12">
        <f>Biofuels!S29</f>
        <v>438584163025219.38</v>
      </c>
      <c r="T12">
        <f>Biofuels!T29</f>
        <v>472046804573023.38</v>
      </c>
      <c r="U12">
        <f>Biofuels!U29</f>
        <v>508062544189013.75</v>
      </c>
      <c r="V12">
        <f>Biofuels!V29</f>
        <v>546826175513031.06</v>
      </c>
      <c r="W12">
        <f>Biofuels!W29</f>
        <v>583993517829095.5</v>
      </c>
      <c r="X12">
        <f>Biofuels!X29</f>
        <v>623687094983028.63</v>
      </c>
      <c r="Y12">
        <f>Biofuels!Y29</f>
        <v>666078613157150.13</v>
      </c>
      <c r="Z12">
        <f>Biofuels!Z29</f>
        <v>711351449267080.13</v>
      </c>
      <c r="AA12">
        <f>Biofuels!AA29</f>
        <v>759701444212243.5</v>
      </c>
      <c r="AB12">
        <f>Biofuels!AB29</f>
        <v>808989530271258.75</v>
      </c>
      <c r="AC12">
        <f>Biofuels!AC29</f>
        <v>861475340180700.5</v>
      </c>
      <c r="AD12">
        <f>Biofuels!AD29</f>
        <v>917366336608348.88</v>
      </c>
      <c r="AE12">
        <f>Biofuels!AE29</f>
        <v>976883442032942.25</v>
      </c>
    </row>
    <row r="13" spans="1:51">
      <c r="A13" s="1" t="s">
        <v>561</v>
      </c>
      <c r="B13">
        <f>Biofuels!B30</f>
        <v>17758788975199.996</v>
      </c>
      <c r="C13">
        <f>Biofuels!C30</f>
        <v>17758788975199.996</v>
      </c>
      <c r="D13">
        <f>Biofuels!D30</f>
        <v>17758788975199.996</v>
      </c>
      <c r="E13">
        <f>Biofuels!E30</f>
        <v>21821277059058.691</v>
      </c>
      <c r="F13">
        <f>Biofuels!F30</f>
        <v>26813097061582.633</v>
      </c>
      <c r="G13">
        <f>Biofuels!G30</f>
        <v>32946842299286.785</v>
      </c>
      <c r="H13">
        <f>Biofuels!H30</f>
        <v>37583417804794.484</v>
      </c>
      <c r="I13">
        <f>Biofuels!I30</f>
        <v>42872493851112.414</v>
      </c>
      <c r="J13">
        <f>Biofuels!J30</f>
        <v>48905896173689.484</v>
      </c>
      <c r="K13">
        <f>Biofuels!K30</f>
        <v>55788373050046.766</v>
      </c>
      <c r="L13">
        <f>Biofuels!L30</f>
        <v>63639413875940.18</v>
      </c>
      <c r="M13">
        <f>Biofuels!M30</f>
        <v>68898010453946.695</v>
      </c>
      <c r="N13">
        <f>Biofuels!N30</f>
        <v>74591130800888.75</v>
      </c>
      <c r="O13">
        <f>Biofuels!O30</f>
        <v>80754680106101.375</v>
      </c>
      <c r="P13">
        <f>Biofuels!P30</f>
        <v>87427530445229.078</v>
      </c>
      <c r="Q13">
        <f>Biofuels!Q30</f>
        <v>94651765937389.328</v>
      </c>
      <c r="R13">
        <f>Biofuels!R30</f>
        <v>101873408628685.91</v>
      </c>
      <c r="S13">
        <f>Biofuels!S30</f>
        <v>109646040756304.84</v>
      </c>
      <c r="T13">
        <f>Biofuels!T30</f>
        <v>118011701143255.84</v>
      </c>
      <c r="U13">
        <f>Biofuels!U30</f>
        <v>127015636047253.44</v>
      </c>
      <c r="V13">
        <f>Biofuels!V30</f>
        <v>136706543878257.77</v>
      </c>
      <c r="W13">
        <f>Biofuels!W30</f>
        <v>145998379457273.88</v>
      </c>
      <c r="X13">
        <f>Biofuels!X30</f>
        <v>155921773745757.16</v>
      </c>
      <c r="Y13">
        <f>Biofuels!Y30</f>
        <v>166519653289287.53</v>
      </c>
      <c r="Z13">
        <f>Biofuels!Z30</f>
        <v>177837862316770.03</v>
      </c>
      <c r="AA13">
        <f>Biofuels!AA30</f>
        <v>189925361053060.88</v>
      </c>
      <c r="AB13">
        <f>Biofuels!AB30</f>
        <v>202247382567814.69</v>
      </c>
      <c r="AC13">
        <f>Biofuels!AC30</f>
        <v>215368835045175.13</v>
      </c>
      <c r="AD13">
        <f>Biofuels!AD30</f>
        <v>229341584152087.22</v>
      </c>
      <c r="AE13">
        <f>Biofuels!AE30</f>
        <v>244220860508235.56</v>
      </c>
    </row>
    <row r="14" spans="1:51">
      <c r="A14" s="25" t="s">
        <v>562</v>
      </c>
      <c r="B14">
        <f>'Petroleum Products'!B13</f>
        <v>472847015076047</v>
      </c>
      <c r="C14">
        <f>B14</f>
        <v>472847015076047</v>
      </c>
      <c r="D14">
        <f t="shared" ref="D14:AI14" si="2">C14</f>
        <v>472847015076047</v>
      </c>
      <c r="E14">
        <f t="shared" si="2"/>
        <v>472847015076047</v>
      </c>
      <c r="F14">
        <f t="shared" si="2"/>
        <v>472847015076047</v>
      </c>
      <c r="G14">
        <f t="shared" si="2"/>
        <v>472847015076047</v>
      </c>
      <c r="H14">
        <f t="shared" si="2"/>
        <v>472847015076047</v>
      </c>
      <c r="I14">
        <f t="shared" si="2"/>
        <v>472847015076047</v>
      </c>
      <c r="J14">
        <f t="shared" si="2"/>
        <v>472847015076047</v>
      </c>
      <c r="K14">
        <f t="shared" si="2"/>
        <v>472847015076047</v>
      </c>
      <c r="L14">
        <f t="shared" si="2"/>
        <v>472847015076047</v>
      </c>
      <c r="M14">
        <f t="shared" si="2"/>
        <v>472847015076047</v>
      </c>
      <c r="N14">
        <f t="shared" si="2"/>
        <v>472847015076047</v>
      </c>
      <c r="O14">
        <f t="shared" si="2"/>
        <v>472847015076047</v>
      </c>
      <c r="P14">
        <f t="shared" si="2"/>
        <v>472847015076047</v>
      </c>
      <c r="Q14">
        <f t="shared" si="2"/>
        <v>472847015076047</v>
      </c>
      <c r="R14">
        <f t="shared" si="2"/>
        <v>472847015076047</v>
      </c>
      <c r="S14">
        <f t="shared" si="2"/>
        <v>472847015076047</v>
      </c>
      <c r="T14">
        <f t="shared" si="2"/>
        <v>472847015076047</v>
      </c>
      <c r="U14">
        <f t="shared" si="2"/>
        <v>472847015076047</v>
      </c>
      <c r="V14">
        <f t="shared" si="2"/>
        <v>472847015076047</v>
      </c>
      <c r="W14">
        <f t="shared" si="2"/>
        <v>472847015076047</v>
      </c>
      <c r="X14">
        <f t="shared" si="2"/>
        <v>472847015076047</v>
      </c>
      <c r="Y14">
        <f t="shared" si="2"/>
        <v>472847015076047</v>
      </c>
      <c r="Z14">
        <f t="shared" si="2"/>
        <v>472847015076047</v>
      </c>
      <c r="AA14">
        <f t="shared" si="2"/>
        <v>472847015076047</v>
      </c>
      <c r="AB14">
        <f t="shared" si="2"/>
        <v>472847015076047</v>
      </c>
      <c r="AC14">
        <f t="shared" si="2"/>
        <v>472847015076047</v>
      </c>
      <c r="AD14">
        <f t="shared" si="2"/>
        <v>472847015076047</v>
      </c>
      <c r="AE14">
        <f t="shared" si="2"/>
        <v>472847015076047</v>
      </c>
    </row>
    <row r="15" spans="1:51">
      <c r="A15" s="1" t="s">
        <v>563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51">
      <c r="A16" s="1" t="s">
        <v>564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5">
      <c r="A17" s="25" t="s">
        <v>565</v>
      </c>
      <c r="B17">
        <f>'Coal &amp; Lignite'!G18</f>
        <v>633226666666666.63</v>
      </c>
      <c r="C17">
        <f>'Coal &amp; Lignite'!H18</f>
        <v>638327401862359.38</v>
      </c>
      <c r="D17">
        <f>'Coal &amp; Lignite'!I18</f>
        <v>643469224240424.75</v>
      </c>
      <c r="E17">
        <f>'Coal &amp; Lignite'!J18</f>
        <v>648652464764241.75</v>
      </c>
      <c r="F17">
        <f>'Coal &amp; Lignite'!K18</f>
        <v>653877457063148.63</v>
      </c>
      <c r="G17">
        <f>'Coal &amp; Lignite'!L18</f>
        <v>659144537453917.75</v>
      </c>
      <c r="H17">
        <f>'Coal &amp; Lignite'!M18</f>
        <v>672883760249485</v>
      </c>
      <c r="I17">
        <f>'Coal &amp; Lignite'!N18</f>
        <v>686909363698004.88</v>
      </c>
      <c r="J17">
        <f>'Coal &amp; Lignite'!O18</f>
        <v>701227317123914.88</v>
      </c>
      <c r="K17">
        <f>'Coal &amp; Lignite'!P18</f>
        <v>715843714276378.38</v>
      </c>
      <c r="L17">
        <f>'Coal &amp; Lignite'!Q18</f>
        <v>730764775922796.25</v>
      </c>
      <c r="M17">
        <f>'Coal &amp; Lignite'!R18</f>
        <v>743035672574197.63</v>
      </c>
      <c r="N17">
        <f>'Coal &amp; Lignite'!S18</f>
        <v>755512620351201.38</v>
      </c>
      <c r="O17">
        <f>'Coal &amp; Lignite'!T18</f>
        <v>768199079234570.63</v>
      </c>
      <c r="P17">
        <f>'Coal &amp; Lignite'!U18</f>
        <v>781098567304566.25</v>
      </c>
      <c r="Q17">
        <f>'Coal &amp; Lignite'!V18</f>
        <v>794214661716545.25</v>
      </c>
      <c r="R17">
        <f>'Coal &amp; Lignite'!W18</f>
        <v>802727245112154.88</v>
      </c>
      <c r="S17">
        <f>'Coal &amp; Lignite'!X18</f>
        <v>811331068420045.38</v>
      </c>
      <c r="T17">
        <f>'Coal &amp; Lignite'!Y18</f>
        <v>820027109571498.75</v>
      </c>
      <c r="U17">
        <f>'Coal &amp; Lignite'!Z18</f>
        <v>828816356979499.25</v>
      </c>
      <c r="V17">
        <f>'Coal &amp; Lignite'!AA18</f>
        <v>837699809651078.63</v>
      </c>
      <c r="W17">
        <f>'Coal &amp; Lignite'!AB18</f>
        <v>846692382509505.63</v>
      </c>
      <c r="X17">
        <f>'Coal &amp; Lignite'!AC18</f>
        <v>855781489192678</v>
      </c>
      <c r="Y17">
        <f>'Coal &amp; Lignite'!AD18</f>
        <v>864968165975693.75</v>
      </c>
      <c r="Z17">
        <f>'Coal &amp; Lignite'!AE18</f>
        <v>874253460257897.63</v>
      </c>
      <c r="AA17">
        <f>'Coal &amp; Lignite'!AF18</f>
        <v>883638430682297.88</v>
      </c>
      <c r="AB17">
        <f>'Coal &amp; Lignite'!AG18</f>
        <v>891113799314756.38</v>
      </c>
      <c r="AC17">
        <f>'Coal &amp; Lignite'!AH18</f>
        <v>898652407768221.75</v>
      </c>
      <c r="AD17">
        <f>'Coal &amp; Lignite'!AI18</f>
        <v>906254791036372.25</v>
      </c>
      <c r="AE17">
        <f>'Coal &amp; Lignite'!AJ18</f>
        <v>913921488638804</v>
      </c>
    </row>
    <row r="18" spans="1:35">
      <c r="A18" s="1" t="s">
        <v>566</v>
      </c>
      <c r="B18">
        <f>'Crude Oil'!B14</f>
        <v>1244816515827200</v>
      </c>
      <c r="C18">
        <f>'Crude Oil'!C14</f>
        <v>1226543489429772</v>
      </c>
      <c r="D18">
        <f>'Crude Oil'!D14</f>
        <v>1208538698141274.3</v>
      </c>
      <c r="E18">
        <f>'Crude Oil'!E14</f>
        <v>1190798204459943.5</v>
      </c>
      <c r="F18">
        <f>'Crude Oil'!F14</f>
        <v>1173318128683758.3</v>
      </c>
      <c r="G18">
        <f>'Crude Oil'!G14</f>
        <v>1156094648061980.3</v>
      </c>
      <c r="H18">
        <f>'Crude Oil'!H14</f>
        <v>1268209341380748</v>
      </c>
      <c r="I18">
        <f>'Crude Oil'!I14</f>
        <v>1391196591266603.5</v>
      </c>
      <c r="J18">
        <f>'Crude Oil'!J14</f>
        <v>1526110786602977.3</v>
      </c>
      <c r="K18">
        <f>'Crude Oil'!K14</f>
        <v>1674108567837652.8</v>
      </c>
      <c r="L18">
        <f>'Crude Oil'!L14</f>
        <v>1836458743041800.3</v>
      </c>
      <c r="M18">
        <f>'Crude Oil'!M14</f>
        <v>1861542045355723.3</v>
      </c>
      <c r="N18">
        <f>'Crude Oil'!N14</f>
        <v>1886967948371870.3</v>
      </c>
      <c r="O18">
        <f>'Crude Oil'!O14</f>
        <v>1912741131507636</v>
      </c>
      <c r="P18">
        <f>'Crude Oil'!P14</f>
        <v>1938866338094315.8</v>
      </c>
      <c r="Q18">
        <f>'Crude Oil'!Q14</f>
        <v>1965348376250073.8</v>
      </c>
      <c r="R18">
        <f>'Crude Oil'!R14</f>
        <v>1992192119764836.8</v>
      </c>
      <c r="S18">
        <f>'Crude Oil'!S14</f>
        <v>2019402508997272.3</v>
      </c>
      <c r="T18">
        <f>'Crude Oil'!T14</f>
        <v>2046984551784018.5</v>
      </c>
      <c r="U18">
        <f>'Crude Oil'!U14</f>
        <v>2074943324361334.3</v>
      </c>
      <c r="V18">
        <f>'Crude Oil'!V14</f>
        <v>2103283972299335.3</v>
      </c>
      <c r="W18">
        <f>'Crude Oil'!W14</f>
        <v>2132011711448993</v>
      </c>
      <c r="X18">
        <f>'Crude Oil'!X14</f>
        <v>2161131828902065.8</v>
      </c>
      <c r="Y18">
        <f>'Crude Oil'!Y14</f>
        <v>2190649683964142.8</v>
      </c>
      <c r="Z18">
        <f>'Crude Oil'!Z14</f>
        <v>2220570709140977.8</v>
      </c>
      <c r="AA18">
        <f>'Crude Oil'!AA14</f>
        <v>2250900411138295</v>
      </c>
      <c r="AB18">
        <f>'Crude Oil'!AB14</f>
        <v>2281644371875250.5</v>
      </c>
      <c r="AC18">
        <f>'Crude Oil'!AC14</f>
        <v>2312808249511735.5</v>
      </c>
      <c r="AD18">
        <f>'Crude Oil'!AD14</f>
        <v>2344397779489713</v>
      </c>
      <c r="AE18">
        <f>'Crude Oil'!AE14</f>
        <v>2376418775588775.5</v>
      </c>
    </row>
    <row r="19" spans="1:35">
      <c r="A19" s="25" t="s">
        <v>567</v>
      </c>
      <c r="B19">
        <f>'Petroleum Products'!B21</f>
        <v>352851462260000</v>
      </c>
      <c r="C19">
        <f>B19</f>
        <v>352851462260000</v>
      </c>
      <c r="D19">
        <f t="shared" ref="D19:AI19" si="3">C19</f>
        <v>352851462260000</v>
      </c>
      <c r="E19">
        <f t="shared" si="3"/>
        <v>352851462260000</v>
      </c>
      <c r="F19">
        <f t="shared" si="3"/>
        <v>352851462260000</v>
      </c>
      <c r="G19">
        <f t="shared" si="3"/>
        <v>352851462260000</v>
      </c>
      <c r="H19">
        <f t="shared" si="3"/>
        <v>352851462260000</v>
      </c>
      <c r="I19">
        <f t="shared" si="3"/>
        <v>352851462260000</v>
      </c>
      <c r="J19">
        <f t="shared" si="3"/>
        <v>352851462260000</v>
      </c>
      <c r="K19">
        <f t="shared" si="3"/>
        <v>352851462260000</v>
      </c>
      <c r="L19">
        <f t="shared" si="3"/>
        <v>352851462260000</v>
      </c>
      <c r="M19">
        <f t="shared" si="3"/>
        <v>352851462260000</v>
      </c>
      <c r="N19">
        <f t="shared" si="3"/>
        <v>352851462260000</v>
      </c>
      <c r="O19">
        <f t="shared" si="3"/>
        <v>352851462260000</v>
      </c>
      <c r="P19">
        <f t="shared" si="3"/>
        <v>352851462260000</v>
      </c>
      <c r="Q19">
        <f t="shared" si="3"/>
        <v>352851462260000</v>
      </c>
      <c r="R19">
        <f t="shared" si="3"/>
        <v>352851462260000</v>
      </c>
      <c r="S19">
        <f t="shared" si="3"/>
        <v>352851462260000</v>
      </c>
      <c r="T19">
        <f t="shared" si="3"/>
        <v>352851462260000</v>
      </c>
      <c r="U19">
        <f t="shared" si="3"/>
        <v>352851462260000</v>
      </c>
      <c r="V19">
        <f t="shared" si="3"/>
        <v>352851462260000</v>
      </c>
      <c r="W19">
        <f t="shared" si="3"/>
        <v>352851462260000</v>
      </c>
      <c r="X19">
        <f t="shared" si="3"/>
        <v>352851462260000</v>
      </c>
      <c r="Y19">
        <f t="shared" si="3"/>
        <v>352851462260000</v>
      </c>
      <c r="Z19">
        <f t="shared" si="3"/>
        <v>352851462260000</v>
      </c>
      <c r="AA19">
        <f t="shared" si="3"/>
        <v>352851462260000</v>
      </c>
      <c r="AB19">
        <f t="shared" si="3"/>
        <v>352851462260000</v>
      </c>
      <c r="AC19">
        <f t="shared" si="3"/>
        <v>352851462260000</v>
      </c>
      <c r="AD19">
        <f t="shared" si="3"/>
        <v>352851462260000</v>
      </c>
      <c r="AE19">
        <f t="shared" si="3"/>
        <v>352851462260000</v>
      </c>
    </row>
    <row r="20" spans="1:35">
      <c r="A20" s="25" t="s">
        <v>568</v>
      </c>
      <c r="B20" s="27">
        <f>'Petroleum Products'!B5</f>
        <v>548410124898000</v>
      </c>
      <c r="C20" s="27">
        <f>B20</f>
        <v>548410124898000</v>
      </c>
      <c r="D20" s="27">
        <f t="shared" ref="D20:AI20" si="4">C20</f>
        <v>548410124898000</v>
      </c>
      <c r="E20" s="27">
        <f t="shared" si="4"/>
        <v>548410124898000</v>
      </c>
      <c r="F20" s="27">
        <f t="shared" si="4"/>
        <v>548410124898000</v>
      </c>
      <c r="G20" s="27">
        <f t="shared" si="4"/>
        <v>548410124898000</v>
      </c>
      <c r="H20" s="27">
        <f t="shared" si="4"/>
        <v>548410124898000</v>
      </c>
      <c r="I20" s="27">
        <f t="shared" si="4"/>
        <v>548410124898000</v>
      </c>
      <c r="J20" s="27">
        <f t="shared" si="4"/>
        <v>548410124898000</v>
      </c>
      <c r="K20" s="27">
        <f t="shared" si="4"/>
        <v>548410124898000</v>
      </c>
      <c r="L20" s="27">
        <f t="shared" si="4"/>
        <v>548410124898000</v>
      </c>
      <c r="M20" s="27">
        <f t="shared" si="4"/>
        <v>548410124898000</v>
      </c>
      <c r="N20" s="27">
        <f t="shared" si="4"/>
        <v>548410124898000</v>
      </c>
      <c r="O20" s="27">
        <f t="shared" si="4"/>
        <v>548410124898000</v>
      </c>
      <c r="P20" s="27">
        <f t="shared" si="4"/>
        <v>548410124898000</v>
      </c>
      <c r="Q20" s="27">
        <f t="shared" si="4"/>
        <v>548410124898000</v>
      </c>
      <c r="R20" s="27">
        <f t="shared" si="4"/>
        <v>548410124898000</v>
      </c>
      <c r="S20" s="27">
        <f t="shared" si="4"/>
        <v>548410124898000</v>
      </c>
      <c r="T20" s="27">
        <f t="shared" si="4"/>
        <v>548410124898000</v>
      </c>
      <c r="U20" s="27">
        <f t="shared" si="4"/>
        <v>548410124898000</v>
      </c>
      <c r="V20" s="27">
        <f t="shared" si="4"/>
        <v>548410124898000</v>
      </c>
      <c r="W20" s="27">
        <f t="shared" si="4"/>
        <v>548410124898000</v>
      </c>
      <c r="X20" s="27">
        <f t="shared" si="4"/>
        <v>548410124898000</v>
      </c>
      <c r="Y20" s="27">
        <f t="shared" si="4"/>
        <v>548410124898000</v>
      </c>
      <c r="Z20" s="27">
        <f t="shared" si="4"/>
        <v>548410124898000</v>
      </c>
      <c r="AA20" s="27">
        <f t="shared" si="4"/>
        <v>548410124898000</v>
      </c>
      <c r="AB20" s="27">
        <f t="shared" si="4"/>
        <v>548410124898000</v>
      </c>
      <c r="AC20" s="27">
        <f t="shared" si="4"/>
        <v>548410124898000</v>
      </c>
      <c r="AD20" s="27">
        <f t="shared" si="4"/>
        <v>548410124898000</v>
      </c>
      <c r="AE20" s="27">
        <f t="shared" si="4"/>
        <v>548410124898000</v>
      </c>
      <c r="AF20" s="27"/>
      <c r="AG20" s="27"/>
      <c r="AH20" s="27"/>
      <c r="AI20" s="27"/>
    </row>
    <row r="21" spans="1:35">
      <c r="A21" s="1" t="s">
        <v>569</v>
      </c>
      <c r="B21">
        <f>MSW!J11</f>
        <v>292325783696246.81</v>
      </c>
      <c r="C21">
        <f>MSW!K11</f>
        <v>325524222333581</v>
      </c>
      <c r="D21">
        <f>MSW!L11</f>
        <v>360426895057260.06</v>
      </c>
      <c r="E21">
        <f>MSW!M11</f>
        <v>397033801867308.63</v>
      </c>
      <c r="F21">
        <f>MSW!N11</f>
        <v>435344942763714.56</v>
      </c>
      <c r="G21">
        <f>MSW!O11</f>
        <v>475360317746471.19</v>
      </c>
      <c r="H21">
        <f>MSW!P11</f>
        <v>499326109585869.19</v>
      </c>
      <c r="I21">
        <f>MSW!Q11</f>
        <v>523291901425259.5</v>
      </c>
      <c r="J21">
        <f>MSW!R11</f>
        <v>547257693264657.31</v>
      </c>
      <c r="K21">
        <f>MSW!S11</f>
        <v>571223485104055.38</v>
      </c>
      <c r="L21">
        <f>MSW!T11</f>
        <v>595189276943453.25</v>
      </c>
      <c r="M21">
        <f>MSW!U11</f>
        <v>619155068782843.5</v>
      </c>
      <c r="N21">
        <f>MSW!V11</f>
        <v>643120860622241.63</v>
      </c>
      <c r="O21">
        <f>MSW!W11</f>
        <v>667086652461639.5</v>
      </c>
      <c r="P21">
        <f>MSW!X11</f>
        <v>691052444301037.5</v>
      </c>
      <c r="Q21">
        <f>MSW!Y11</f>
        <v>750789354159276.13</v>
      </c>
      <c r="R21">
        <f>MSW!Z11</f>
        <v>810526264017515</v>
      </c>
      <c r="S21">
        <f>MSW!AA11</f>
        <v>870263173875753.75</v>
      </c>
      <c r="T21">
        <f>MSW!AB11</f>
        <v>930000083733992.63</v>
      </c>
      <c r="U21">
        <f>MSW!AC11</f>
        <v>989736993592231.38</v>
      </c>
      <c r="V21">
        <f>MSW!AD11</f>
        <v>1049473903450470.3</v>
      </c>
      <c r="W21">
        <f>MSW!AE11</f>
        <v>1109210813308708.9</v>
      </c>
      <c r="X21">
        <f>MSW!AF11</f>
        <v>1168947723166963</v>
      </c>
      <c r="Y21">
        <f>MSW!AG11</f>
        <v>1228684633025201.8</v>
      </c>
      <c r="Z21">
        <f>MSW!AH11</f>
        <v>1288421542883440.8</v>
      </c>
      <c r="AA21">
        <f>MSW!AI11</f>
        <v>1348158452741679.5</v>
      </c>
      <c r="AB21">
        <f>MSW!AJ11</f>
        <v>1407895362599918.3</v>
      </c>
      <c r="AC21">
        <f>MSW!AK11</f>
        <v>1467632272458157</v>
      </c>
      <c r="AD21">
        <f>MSW!AL11</f>
        <v>1527369182316395.8</v>
      </c>
      <c r="AE21">
        <f>MSW!AM11</f>
        <v>1587106092174634.5</v>
      </c>
    </row>
    <row r="22" spans="1:35">
      <c r="A22" s="1" t="s">
        <v>570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BA22"/>
  <sheetViews>
    <sheetView topLeftCell="AD1" workbookViewId="0">
      <selection activeCell="AI2" sqref="AF2:AI22"/>
    </sheetView>
  </sheetViews>
  <sheetFormatPr defaultRowHeight="14.5"/>
  <cols>
    <col min="1" max="1" width="36.26953125" customWidth="1"/>
    <col min="2" max="2" width="12" bestFit="1" customWidth="1"/>
    <col min="3" max="35" width="13" customWidth="1"/>
  </cols>
  <sheetData>
    <row r="1" spans="1:53">
      <c r="A1" s="11" t="s">
        <v>549</v>
      </c>
      <c r="B1" s="28">
        <v>2021</v>
      </c>
      <c r="C1" s="28">
        <v>2022</v>
      </c>
      <c r="D1" s="28">
        <v>2023</v>
      </c>
      <c r="E1" s="28">
        <v>2024</v>
      </c>
      <c r="F1" s="28">
        <v>2025</v>
      </c>
      <c r="G1" s="28">
        <v>2026</v>
      </c>
      <c r="H1" s="28">
        <v>2027</v>
      </c>
      <c r="I1" s="28">
        <v>2028</v>
      </c>
      <c r="J1" s="28">
        <v>2029</v>
      </c>
      <c r="K1" s="28">
        <v>2030</v>
      </c>
      <c r="L1" s="28">
        <v>2031</v>
      </c>
      <c r="M1" s="28">
        <v>2032</v>
      </c>
      <c r="N1" s="28">
        <v>2033</v>
      </c>
      <c r="O1" s="28">
        <v>2034</v>
      </c>
      <c r="P1" s="28">
        <v>2035</v>
      </c>
      <c r="Q1" s="28">
        <v>2036</v>
      </c>
      <c r="R1" s="28">
        <v>2037</v>
      </c>
      <c r="S1" s="28">
        <v>2038</v>
      </c>
      <c r="T1" s="28">
        <v>2039</v>
      </c>
      <c r="U1" s="28">
        <v>2040</v>
      </c>
      <c r="V1" s="28">
        <v>2041</v>
      </c>
      <c r="W1" s="28">
        <v>2042</v>
      </c>
      <c r="X1" s="28">
        <v>2043</v>
      </c>
      <c r="Y1" s="28">
        <v>2044</v>
      </c>
      <c r="Z1" s="28">
        <v>2045</v>
      </c>
      <c r="AA1" s="28">
        <v>2046</v>
      </c>
      <c r="AB1" s="28">
        <v>2047</v>
      </c>
      <c r="AC1" s="28">
        <v>2048</v>
      </c>
      <c r="AD1" s="28">
        <v>2049</v>
      </c>
      <c r="AE1" s="28">
        <v>2050</v>
      </c>
      <c r="AF1" s="28">
        <v>2051</v>
      </c>
      <c r="AG1" s="28">
        <v>2052</v>
      </c>
      <c r="AH1" s="28">
        <v>2053</v>
      </c>
      <c r="AI1" s="28">
        <v>2054</v>
      </c>
      <c r="AJ1" s="28">
        <v>2055</v>
      </c>
      <c r="AK1" s="28">
        <v>2056</v>
      </c>
      <c r="AL1" s="28">
        <v>2057</v>
      </c>
      <c r="AM1" s="28">
        <v>2058</v>
      </c>
      <c r="AN1" s="28">
        <v>2059</v>
      </c>
      <c r="AO1" s="28">
        <v>2060</v>
      </c>
      <c r="AP1" s="28">
        <v>2061</v>
      </c>
      <c r="AQ1" s="28">
        <v>2062</v>
      </c>
      <c r="AR1" s="28">
        <v>2063</v>
      </c>
      <c r="AS1" s="28">
        <v>2064</v>
      </c>
      <c r="AT1" s="28">
        <v>2065</v>
      </c>
      <c r="AU1" s="28">
        <v>2066</v>
      </c>
      <c r="AV1" s="28">
        <v>2067</v>
      </c>
      <c r="AW1" s="28">
        <v>2068</v>
      </c>
      <c r="AX1" s="28">
        <v>2069</v>
      </c>
      <c r="AY1" s="28">
        <v>2070</v>
      </c>
      <c r="AZ1" s="28"/>
      <c r="BA1" s="28"/>
    </row>
    <row r="2" spans="1:53">
      <c r="A2" s="11" t="s">
        <v>550</v>
      </c>
      <c r="B2">
        <v>0</v>
      </c>
      <c r="C2">
        <f>B2</f>
        <v>0</v>
      </c>
      <c r="D2">
        <f t="shared" ref="D2:AI2" si="0">C2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  <row r="3" spans="1:53">
      <c r="A3" s="25" t="s">
        <v>551</v>
      </c>
      <c r="B3">
        <f>'Coal &amp; Lignite'!G15</f>
        <v>2991845156934745</v>
      </c>
      <c r="C3">
        <f>'Coal &amp; Lignite'!H15</f>
        <v>3012493537514301</v>
      </c>
      <c r="D3">
        <f>IF('BAU Total Primary Fuel Use'!B3-('Coal &amp; Lignite'!I14-'BFPIaE-exports'!D3)&gt;0,'BAU Total Primary Fuel Use'!B3-('Coal &amp; Lignite'!I14-'BFPIaE-exports'!D3),0)</f>
        <v>3980031460253206</v>
      </c>
      <c r="E3">
        <f>IF('BAU Total Primary Fuel Use'!C3-('Coal &amp; Lignite'!J14-'BFPIaE-exports'!E3)&gt;0,'BAU Total Primary Fuel Use'!C3-('Coal &amp; Lignite'!J14-'BFPIaE-exports'!E3),0)</f>
        <v>3021181665985560</v>
      </c>
      <c r="F3">
        <f>IF('BAU Total Primary Fuel Use'!D3-('Coal &amp; Lignite'!K14-'BFPIaE-exports'!F3)&gt;0,'BAU Total Primary Fuel Use'!D3-('Coal &amp; Lignite'!K14-'BFPIaE-exports'!F3),0)</f>
        <v>3816696035507490</v>
      </c>
      <c r="G3">
        <f>IF('BAU Total Primary Fuel Use'!E3-('Coal &amp; Lignite'!L14-'BFPIaE-exports'!G3)&gt;0,'BAU Total Primary Fuel Use'!E3-('Coal &amp; Lignite'!L14-'BFPIaE-exports'!G3),0)</f>
        <v>4303668641548628</v>
      </c>
      <c r="H3">
        <f>IF('BAU Total Primary Fuel Use'!F3-('Coal &amp; Lignite'!M14-'BFPIaE-exports'!H3)&gt;0,'BAU Total Primary Fuel Use'!F3-('Coal &amp; Lignite'!M14-'BFPIaE-exports'!H3),0)</f>
        <v>4931927616063638</v>
      </c>
      <c r="I3">
        <f>IF('BAU Total Primary Fuel Use'!G3-('Coal &amp; Lignite'!N14-'BFPIaE-exports'!I3)&gt;0,'BAU Total Primary Fuel Use'!G3-('Coal &amp; Lignite'!N14-'BFPIaE-exports'!I3),0)</f>
        <v>5153739397879554</v>
      </c>
      <c r="J3">
        <f>IF('BAU Total Primary Fuel Use'!H3-('Coal &amp; Lignite'!O14-'BFPIaE-exports'!J3)&gt;0,'BAU Total Primary Fuel Use'!H3-('Coal &amp; Lignite'!O14-'BFPIaE-exports'!J3),0)</f>
        <v>5117498783204120</v>
      </c>
      <c r="K3">
        <f>IF('BAU Total Primary Fuel Use'!I3-('Coal &amp; Lignite'!P14-'BFPIaE-exports'!K3)&gt;0,'BAU Total Primary Fuel Use'!I3-('Coal &amp; Lignite'!P14-'BFPIaE-exports'!K3),0)</f>
        <v>5023498375374990</v>
      </c>
      <c r="L3">
        <f>IF('BAU Total Primary Fuel Use'!J3-('Coal &amp; Lignite'!Q14-'BFPIaE-exports'!L3)&gt;0,'BAU Total Primary Fuel Use'!J3-('Coal &amp; Lignite'!Q14-'BFPIaE-exports'!L3),0)</f>
        <v>4886428539151498</v>
      </c>
      <c r="M3">
        <f>IF('BAU Total Primary Fuel Use'!K3-('Coal &amp; Lignite'!R14-'BFPIaE-exports'!M3)&gt;0,'BAU Total Primary Fuel Use'!K3-('Coal &amp; Lignite'!R14-'BFPIaE-exports'!M3),0)</f>
        <v>5097065396541326</v>
      </c>
      <c r="N3">
        <f>IF('BAU Total Primary Fuel Use'!L3-('Coal &amp; Lignite'!S14-'BFPIaE-exports'!N3)&gt;0,'BAU Total Primary Fuel Use'!L3-('Coal &amp; Lignite'!S14-'BFPIaE-exports'!N3),0)</f>
        <v>5363670794452110</v>
      </c>
      <c r="O3">
        <f>IF('BAU Total Primary Fuel Use'!M3-('Coal &amp; Lignite'!T14-'BFPIaE-exports'!O3)&gt;0,'BAU Total Primary Fuel Use'!M3-('Coal &amp; Lignite'!T14-'BFPIaE-exports'!O3),0)</f>
        <v>5621783753940378</v>
      </c>
      <c r="P3">
        <f>IF('BAU Total Primary Fuel Use'!N3-('Coal &amp; Lignite'!U14-'BFPIaE-exports'!P3)&gt;0,'BAU Total Primary Fuel Use'!N3-('Coal &amp; Lignite'!U14-'BFPIaE-exports'!P3),0)</f>
        <v>5841242272113044</v>
      </c>
      <c r="Q3">
        <f>IF('BAU Total Primary Fuel Use'!O3-('Coal &amp; Lignite'!V14-'BFPIaE-exports'!Q3)&gt;0,'BAU Total Primary Fuel Use'!O3-('Coal &amp; Lignite'!V14-'BFPIaE-exports'!Q3),0)</f>
        <v>6048883304933386</v>
      </c>
      <c r="R3">
        <f>IF('BAU Total Primary Fuel Use'!P3-('Coal &amp; Lignite'!W14-'BFPIaE-exports'!R3)&gt;0,'BAU Total Primary Fuel Use'!P3-('Coal &amp; Lignite'!W14-'BFPIaE-exports'!R3),0)</f>
        <v>6404056938550824</v>
      </c>
      <c r="S3">
        <f>IF('BAU Total Primary Fuel Use'!Q3-('Coal &amp; Lignite'!X14-'BFPIaE-exports'!S3)&gt;0,'BAU Total Primary Fuel Use'!Q3-('Coal &amp; Lignite'!X14-'BFPIaE-exports'!S3),0)</f>
        <v>6627322553559524</v>
      </c>
      <c r="T3">
        <f>IF('BAU Total Primary Fuel Use'!R3-('Coal &amp; Lignite'!Y14-'BFPIaE-exports'!T3)&gt;0,'BAU Total Primary Fuel Use'!R3-('Coal &amp; Lignite'!Y14-'BFPIaE-exports'!T3),0)</f>
        <v>6845562914830034</v>
      </c>
      <c r="U3">
        <f>IF('BAU Total Primary Fuel Use'!S3-('Coal &amp; Lignite'!Z14-'BFPIaE-exports'!U3)&gt;0,'BAU Total Primary Fuel Use'!S3-('Coal &amp; Lignite'!Z14-'BFPIaE-exports'!U3),0)</f>
        <v>7062460602502646</v>
      </c>
      <c r="V3">
        <f>IF('BAU Total Primary Fuel Use'!T3-('Coal &amp; Lignite'!AA14-'BFPIaE-exports'!V3)&gt;0,'BAU Total Primary Fuel Use'!T3-('Coal &amp; Lignite'!AA14-'BFPIaE-exports'!V3),0)</f>
        <v>7279998010007412</v>
      </c>
      <c r="W3">
        <f>IF('BAU Total Primary Fuel Use'!U3-('Coal &amp; Lignite'!AB14-'BFPIaE-exports'!W3)&gt;0,'BAU Total Primary Fuel Use'!U3-('Coal &amp; Lignite'!AB14-'BFPIaE-exports'!W3),0)</f>
        <v>7467412275691310</v>
      </c>
      <c r="X3">
        <f>IF('BAU Total Primary Fuel Use'!V3-('Coal &amp; Lignite'!AC14-'BFPIaE-exports'!X3)&gt;0,'BAU Total Primary Fuel Use'!V3-('Coal &amp; Lignite'!AC14-'BFPIaE-exports'!X3),0)</f>
        <v>7647025222482164</v>
      </c>
      <c r="Y3">
        <f>IF('BAU Total Primary Fuel Use'!W3-('Coal &amp; Lignite'!AD14-'BFPIaE-exports'!Y3)&gt;0,'BAU Total Primary Fuel Use'!W3-('Coal &amp; Lignite'!AD14-'BFPIaE-exports'!Y3),0)</f>
        <v>7826018586995018</v>
      </c>
      <c r="Z3">
        <f>IF('BAU Total Primary Fuel Use'!X3-('Coal &amp; Lignite'!AE14-'BFPIaE-exports'!Z3)&gt;0,'BAU Total Primary Fuel Use'!X3-('Coal &amp; Lignite'!AE14-'BFPIaE-exports'!Z3),0)</f>
        <v>8004473909790412</v>
      </c>
      <c r="AA3">
        <f>IF('BAU Total Primary Fuel Use'!Y3-('Coal &amp; Lignite'!AF14-'BFPIaE-exports'!AA3)&gt;0,'BAU Total Primary Fuel Use'!Y3-('Coal &amp; Lignite'!AF14-'BFPIaE-exports'!AA3),0)</f>
        <v>8184372533269772</v>
      </c>
      <c r="AB3">
        <f>IF('BAU Total Primary Fuel Use'!Z3-('Coal &amp; Lignite'!AG14-'BFPIaE-exports'!AB3)&gt;0,'BAU Total Primary Fuel Use'!Z3-('Coal &amp; Lignite'!AG14-'BFPIaE-exports'!AB3),0)</f>
        <v>8327326112567880</v>
      </c>
      <c r="AC3">
        <f>IF('BAU Total Primary Fuel Use'!AA3-('Coal &amp; Lignite'!AH14-'BFPIaE-exports'!AC3)&gt;0,'BAU Total Primary Fuel Use'!AA3-('Coal &amp; Lignite'!AH14-'BFPIaE-exports'!AC3),0)</f>
        <v>8450865148828296</v>
      </c>
      <c r="AD3">
        <f>IF('BAU Total Primary Fuel Use'!AB3-('Coal &amp; Lignite'!AI14-'BFPIaE-exports'!AD3)&gt;0,'BAU Total Primary Fuel Use'!AB3-('Coal &amp; Lignite'!AI14-'BFPIaE-exports'!AD3),0)</f>
        <v>8576680213284940</v>
      </c>
      <c r="AE3">
        <f>IF('BAU Total Primary Fuel Use'!AC3-('Coal &amp; Lignite'!AJ14-'BFPIaE-exports'!AE3)&gt;0,'BAU Total Primary Fuel Use'!AC3-('Coal &amp; Lignite'!AJ14-'BFPIaE-exports'!AE3),0)</f>
        <v>8698361797406636</v>
      </c>
    </row>
    <row r="4" spans="1:53">
      <c r="A4" s="1" t="s">
        <v>552</v>
      </c>
      <c r="B4">
        <f>'Natural Gas'!B15</f>
        <v>1117008000000000</v>
      </c>
      <c r="C4">
        <f>'Natural Gas'!C15</f>
        <v>1121877778028630.8</v>
      </c>
      <c r="D4">
        <f>'Natural Gas'!D15</f>
        <v>1126768786646521.5</v>
      </c>
      <c r="E4">
        <f>'Natural Gas'!E15</f>
        <v>1131681118411878.8</v>
      </c>
      <c r="F4">
        <f>'Natural Gas'!F15</f>
        <v>1136614866286431.5</v>
      </c>
      <c r="G4">
        <f>'Natural Gas'!G15</f>
        <v>1141570123637190.8</v>
      </c>
      <c r="H4">
        <f>'Natural Gas'!H15</f>
        <v>1235887868631005</v>
      </c>
      <c r="I4">
        <f>'Natural Gas'!I15</f>
        <v>1337998246627840.5</v>
      </c>
      <c r="J4">
        <f>'Natural Gas'!J15</f>
        <v>1448545093303833.8</v>
      </c>
      <c r="K4">
        <f>'Natural Gas'!K15</f>
        <v>1568225438727531</v>
      </c>
      <c r="L4">
        <f>'Natural Gas'!L15</f>
        <v>1697793902337502.3</v>
      </c>
      <c r="M4">
        <f>'Natural Gas'!M15</f>
        <v>1781787114472283.8</v>
      </c>
      <c r="N4">
        <f>'Natural Gas'!N15</f>
        <v>1869935636432954.8</v>
      </c>
      <c r="O4">
        <f>'Natural Gas'!O15</f>
        <v>1962445039590228.5</v>
      </c>
      <c r="P4">
        <f>'Natural Gas'!P15</f>
        <v>2059531065335881.8</v>
      </c>
      <c r="Q4">
        <f>'Natural Gas'!Q15</f>
        <v>2161420128213751.3</v>
      </c>
      <c r="R4">
        <f>'Natural Gas'!R15</f>
        <v>2249638773277787.8</v>
      </c>
      <c r="S4">
        <f>'Natural Gas'!S15</f>
        <v>2341458073871652.5</v>
      </c>
      <c r="T4">
        <f>'Natural Gas'!T15</f>
        <v>2437024991221456.5</v>
      </c>
      <c r="U4">
        <f>'Natural Gas'!U15</f>
        <v>2536492484794964.5</v>
      </c>
      <c r="V4">
        <f>'Natural Gas'!V15</f>
        <v>2640019757120613</v>
      </c>
      <c r="W4">
        <f>'Natural Gas'!W15</f>
        <v>2733814982046460.5</v>
      </c>
      <c r="X4">
        <f>'Natural Gas'!X15</f>
        <v>2830942585146813</v>
      </c>
      <c r="Y4">
        <f>'Natural Gas'!Y15</f>
        <v>2931520959914587.5</v>
      </c>
      <c r="Z4">
        <f>'Natural Gas'!Z15</f>
        <v>3035672706153759</v>
      </c>
      <c r="AA4">
        <f>'Natural Gas'!AA15</f>
        <v>3143524779422141</v>
      </c>
      <c r="AB4">
        <f>'Natural Gas'!AB15</f>
        <v>3252272144766532</v>
      </c>
      <c r="AC4">
        <f>'Natural Gas'!AC15</f>
        <v>3364781525777782</v>
      </c>
      <c r="AD4">
        <f>'Natural Gas'!AD15</f>
        <v>3481183065947946</v>
      </c>
      <c r="AE4">
        <f>'Natural Gas'!AE15</f>
        <v>3601611410964185.5</v>
      </c>
    </row>
    <row r="5" spans="1:53">
      <c r="A5" s="1" t="s">
        <v>553</v>
      </c>
      <c r="B5">
        <f>Nuclear!B12</f>
        <v>228298399348282.16</v>
      </c>
      <c r="C5">
        <f>Nuclear!C12</f>
        <v>211345192493616</v>
      </c>
      <c r="D5">
        <f>Nuclear!D12</f>
        <v>194391985638952</v>
      </c>
      <c r="E5">
        <f>Nuclear!E12</f>
        <v>177438778784288</v>
      </c>
      <c r="F5">
        <f>Nuclear!F12</f>
        <v>160485571929624</v>
      </c>
      <c r="G5">
        <f>Nuclear!G12</f>
        <v>177438778784289.28</v>
      </c>
      <c r="H5">
        <f>Nuclear!H12</f>
        <v>384733725664624</v>
      </c>
      <c r="I5">
        <f>Nuclear!I12</f>
        <v>453832041291392</v>
      </c>
      <c r="J5">
        <f>Nuclear!J12</f>
        <v>522930356918176</v>
      </c>
      <c r="K5">
        <f>Nuclear!K12</f>
        <v>592028672544944</v>
      </c>
      <c r="L5">
        <f>Nuclear!L12</f>
        <v>522930356918165.44</v>
      </c>
      <c r="M5">
        <f>Nuclear!M12</f>
        <v>730829808159616</v>
      </c>
      <c r="N5">
        <f>Nuclear!N12</f>
        <v>800129625240096</v>
      </c>
      <c r="O5">
        <f>Nuclear!O12</f>
        <v>869429442320576</v>
      </c>
      <c r="P5">
        <f>Nuclear!P12</f>
        <v>938729259401056</v>
      </c>
      <c r="Q5">
        <f>Nuclear!Q12</f>
        <v>869429442320584.75</v>
      </c>
      <c r="R5">
        <f>Nuclear!R12</f>
        <v>1162125640263488</v>
      </c>
      <c r="S5">
        <f>Nuclear!S12</f>
        <v>1259691039577792</v>
      </c>
      <c r="T5">
        <f>Nuclear!T12</f>
        <v>1357256438892096</v>
      </c>
      <c r="U5">
        <f>Nuclear!U12</f>
        <v>1454821838206400</v>
      </c>
      <c r="V5">
        <f>Nuclear!V12</f>
        <v>1357256438892113.5</v>
      </c>
      <c r="W5">
        <f>Nuclear!W12</f>
        <v>1783432866611360</v>
      </c>
      <c r="X5">
        <f>Nuclear!X12</f>
        <v>1925491675851168</v>
      </c>
      <c r="Y5">
        <f>Nuclear!Y12</f>
        <v>2067550485090912</v>
      </c>
      <c r="Z5">
        <f>Nuclear!Z12</f>
        <v>2209609294330656</v>
      </c>
      <c r="AA5">
        <f>Nuclear!AA12</f>
        <v>2067550485090934.8</v>
      </c>
      <c r="AB5">
        <f>Nuclear!AB12</f>
        <v>2681977209132288</v>
      </c>
      <c r="AC5">
        <f>Nuclear!AC12</f>
        <v>2886786117146112</v>
      </c>
      <c r="AD5">
        <f>Nuclear!AD12</f>
        <v>3091595025159872</v>
      </c>
      <c r="AE5">
        <f>Nuclear!AE12</f>
        <v>3296403933173696</v>
      </c>
    </row>
    <row r="6" spans="1:53">
      <c r="A6" s="1" t="s">
        <v>554</v>
      </c>
      <c r="B6">
        <v>0</v>
      </c>
      <c r="C6">
        <f t="shared" ref="C6:C16" si="1">B6</f>
        <v>0</v>
      </c>
      <c r="D6">
        <f t="shared" ref="D6:AI9" si="2">C6</f>
        <v>0</v>
      </c>
      <c r="E6">
        <f t="shared" si="2"/>
        <v>0</v>
      </c>
      <c r="F6">
        <f t="shared" si="2"/>
        <v>0</v>
      </c>
      <c r="G6">
        <f t="shared" si="2"/>
        <v>0</v>
      </c>
      <c r="H6">
        <f t="shared" si="2"/>
        <v>0</v>
      </c>
      <c r="I6">
        <f t="shared" si="2"/>
        <v>0</v>
      </c>
      <c r="J6">
        <f t="shared" si="2"/>
        <v>0</v>
      </c>
      <c r="K6">
        <f t="shared" si="2"/>
        <v>0</v>
      </c>
      <c r="L6">
        <f t="shared" si="2"/>
        <v>0</v>
      </c>
      <c r="M6">
        <f t="shared" si="2"/>
        <v>0</v>
      </c>
      <c r="N6">
        <f t="shared" si="2"/>
        <v>0</v>
      </c>
      <c r="O6">
        <f t="shared" si="2"/>
        <v>0</v>
      </c>
      <c r="P6">
        <f t="shared" si="2"/>
        <v>0</v>
      </c>
      <c r="Q6">
        <f t="shared" si="2"/>
        <v>0</v>
      </c>
      <c r="R6">
        <f t="shared" si="2"/>
        <v>0</v>
      </c>
      <c r="S6">
        <f t="shared" si="2"/>
        <v>0</v>
      </c>
      <c r="T6">
        <f t="shared" si="2"/>
        <v>0</v>
      </c>
      <c r="U6">
        <f t="shared" si="2"/>
        <v>0</v>
      </c>
      <c r="V6">
        <f t="shared" si="2"/>
        <v>0</v>
      </c>
      <c r="W6">
        <f t="shared" si="2"/>
        <v>0</v>
      </c>
      <c r="X6">
        <f t="shared" si="2"/>
        <v>0</v>
      </c>
      <c r="Y6">
        <f t="shared" si="2"/>
        <v>0</v>
      </c>
      <c r="Z6">
        <f t="shared" si="2"/>
        <v>0</v>
      </c>
      <c r="AA6">
        <f t="shared" si="2"/>
        <v>0</v>
      </c>
      <c r="AB6">
        <f t="shared" si="2"/>
        <v>0</v>
      </c>
      <c r="AC6">
        <f t="shared" si="2"/>
        <v>0</v>
      </c>
      <c r="AD6">
        <f t="shared" si="2"/>
        <v>0</v>
      </c>
      <c r="AE6">
        <f t="shared" si="2"/>
        <v>0</v>
      </c>
    </row>
    <row r="7" spans="1:53">
      <c r="A7" s="1" t="s">
        <v>555</v>
      </c>
      <c r="B7">
        <v>0</v>
      </c>
      <c r="C7">
        <f t="shared" si="1"/>
        <v>0</v>
      </c>
      <c r="D7">
        <f t="shared" si="2"/>
        <v>0</v>
      </c>
      <c r="E7">
        <f t="shared" si="2"/>
        <v>0</v>
      </c>
      <c r="F7">
        <f t="shared" si="2"/>
        <v>0</v>
      </c>
      <c r="G7">
        <f t="shared" si="2"/>
        <v>0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  <c r="N7">
        <f t="shared" si="2"/>
        <v>0</v>
      </c>
      <c r="O7">
        <f t="shared" si="2"/>
        <v>0</v>
      </c>
      <c r="P7">
        <f t="shared" si="2"/>
        <v>0</v>
      </c>
      <c r="Q7">
        <f t="shared" si="2"/>
        <v>0</v>
      </c>
      <c r="R7">
        <f t="shared" si="2"/>
        <v>0</v>
      </c>
      <c r="S7">
        <f t="shared" si="2"/>
        <v>0</v>
      </c>
      <c r="T7">
        <f t="shared" si="2"/>
        <v>0</v>
      </c>
      <c r="U7">
        <f t="shared" si="2"/>
        <v>0</v>
      </c>
      <c r="V7">
        <f t="shared" si="2"/>
        <v>0</v>
      </c>
      <c r="W7">
        <f t="shared" si="2"/>
        <v>0</v>
      </c>
      <c r="X7">
        <f t="shared" si="2"/>
        <v>0</v>
      </c>
      <c r="Y7">
        <f t="shared" si="2"/>
        <v>0</v>
      </c>
      <c r="Z7">
        <f t="shared" si="2"/>
        <v>0</v>
      </c>
      <c r="AA7">
        <f t="shared" si="2"/>
        <v>0</v>
      </c>
      <c r="AB7">
        <f t="shared" si="2"/>
        <v>0</v>
      </c>
      <c r="AC7">
        <f t="shared" si="2"/>
        <v>0</v>
      </c>
      <c r="AD7">
        <f t="shared" si="2"/>
        <v>0</v>
      </c>
      <c r="AE7">
        <f t="shared" si="2"/>
        <v>0</v>
      </c>
    </row>
    <row r="8" spans="1:53">
      <c r="A8" s="1" t="s">
        <v>556</v>
      </c>
      <c r="B8">
        <v>0</v>
      </c>
      <c r="C8">
        <f t="shared" si="1"/>
        <v>0</v>
      </c>
      <c r="D8">
        <f t="shared" si="2"/>
        <v>0</v>
      </c>
      <c r="E8">
        <f t="shared" si="2"/>
        <v>0</v>
      </c>
      <c r="F8">
        <f t="shared" si="2"/>
        <v>0</v>
      </c>
      <c r="G8">
        <f t="shared" si="2"/>
        <v>0</v>
      </c>
      <c r="H8">
        <f t="shared" si="2"/>
        <v>0</v>
      </c>
      <c r="I8">
        <f t="shared" si="2"/>
        <v>0</v>
      </c>
      <c r="J8">
        <f t="shared" si="2"/>
        <v>0</v>
      </c>
      <c r="K8">
        <f t="shared" si="2"/>
        <v>0</v>
      </c>
      <c r="L8">
        <f t="shared" si="2"/>
        <v>0</v>
      </c>
      <c r="M8">
        <f t="shared" si="2"/>
        <v>0</v>
      </c>
      <c r="N8">
        <f t="shared" si="2"/>
        <v>0</v>
      </c>
      <c r="O8">
        <f t="shared" si="2"/>
        <v>0</v>
      </c>
      <c r="P8">
        <f t="shared" si="2"/>
        <v>0</v>
      </c>
      <c r="Q8">
        <f t="shared" si="2"/>
        <v>0</v>
      </c>
      <c r="R8">
        <f t="shared" si="2"/>
        <v>0</v>
      </c>
      <c r="S8">
        <f t="shared" si="2"/>
        <v>0</v>
      </c>
      <c r="T8">
        <f t="shared" si="2"/>
        <v>0</v>
      </c>
      <c r="U8">
        <f t="shared" si="2"/>
        <v>0</v>
      </c>
      <c r="V8">
        <f t="shared" si="2"/>
        <v>0</v>
      </c>
      <c r="W8">
        <f t="shared" si="2"/>
        <v>0</v>
      </c>
      <c r="X8">
        <f t="shared" si="2"/>
        <v>0</v>
      </c>
      <c r="Y8">
        <f t="shared" si="2"/>
        <v>0</v>
      </c>
      <c r="Z8">
        <f t="shared" si="2"/>
        <v>0</v>
      </c>
      <c r="AA8">
        <f t="shared" si="2"/>
        <v>0</v>
      </c>
      <c r="AB8">
        <f t="shared" si="2"/>
        <v>0</v>
      </c>
      <c r="AC8">
        <f t="shared" si="2"/>
        <v>0</v>
      </c>
      <c r="AD8">
        <f t="shared" si="2"/>
        <v>0</v>
      </c>
      <c r="AE8">
        <f t="shared" si="2"/>
        <v>0</v>
      </c>
    </row>
    <row r="9" spans="1:53">
      <c r="A9" s="1" t="s">
        <v>557</v>
      </c>
      <c r="B9">
        <v>0</v>
      </c>
      <c r="C9">
        <f t="shared" si="1"/>
        <v>0</v>
      </c>
      <c r="D9">
        <f t="shared" si="2"/>
        <v>0</v>
      </c>
      <c r="E9">
        <f t="shared" si="2"/>
        <v>0</v>
      </c>
      <c r="F9">
        <f t="shared" si="2"/>
        <v>0</v>
      </c>
      <c r="G9">
        <f t="shared" si="2"/>
        <v>0</v>
      </c>
      <c r="H9">
        <f t="shared" si="2"/>
        <v>0</v>
      </c>
      <c r="I9">
        <f t="shared" si="2"/>
        <v>0</v>
      </c>
      <c r="J9">
        <f t="shared" si="2"/>
        <v>0</v>
      </c>
      <c r="K9">
        <f t="shared" si="2"/>
        <v>0</v>
      </c>
      <c r="L9">
        <f t="shared" si="2"/>
        <v>0</v>
      </c>
      <c r="M9">
        <f t="shared" si="2"/>
        <v>0</v>
      </c>
      <c r="N9">
        <f t="shared" si="2"/>
        <v>0</v>
      </c>
      <c r="O9">
        <f t="shared" si="2"/>
        <v>0</v>
      </c>
      <c r="P9">
        <f t="shared" si="2"/>
        <v>0</v>
      </c>
      <c r="Q9">
        <f t="shared" si="2"/>
        <v>0</v>
      </c>
      <c r="R9">
        <f t="shared" si="2"/>
        <v>0</v>
      </c>
      <c r="S9">
        <f t="shared" si="2"/>
        <v>0</v>
      </c>
      <c r="T9">
        <f t="shared" si="2"/>
        <v>0</v>
      </c>
      <c r="U9">
        <f t="shared" si="2"/>
        <v>0</v>
      </c>
      <c r="V9">
        <f t="shared" si="2"/>
        <v>0</v>
      </c>
      <c r="W9">
        <f t="shared" si="2"/>
        <v>0</v>
      </c>
      <c r="X9">
        <f t="shared" si="2"/>
        <v>0</v>
      </c>
      <c r="Y9">
        <f t="shared" si="2"/>
        <v>0</v>
      </c>
      <c r="Z9">
        <f t="shared" si="2"/>
        <v>0</v>
      </c>
      <c r="AA9">
        <f t="shared" si="2"/>
        <v>0</v>
      </c>
      <c r="AB9">
        <f t="shared" si="2"/>
        <v>0</v>
      </c>
      <c r="AC9">
        <f t="shared" si="2"/>
        <v>0</v>
      </c>
      <c r="AD9">
        <f t="shared" si="2"/>
        <v>0</v>
      </c>
      <c r="AE9">
        <f t="shared" si="2"/>
        <v>0</v>
      </c>
    </row>
    <row r="10" spans="1:53">
      <c r="A10" s="25" t="s">
        <v>558</v>
      </c>
      <c r="B10" s="27">
        <f>'Petroleum Products'!K6</f>
        <v>29623639796656.867</v>
      </c>
      <c r="C10" s="27">
        <f t="shared" si="1"/>
        <v>29623639796656.867</v>
      </c>
      <c r="D10" s="27">
        <f>IF(('BAU Total Primary Fuel Use'!B10-('BFPIaE-production'!D10-'BFPIaE-exports'!D10))&gt;0,('BAU Total Primary Fuel Use'!B10-('BFPIaE-production'!D10-'BFPIaE-exports'!D10)),0)</f>
        <v>0</v>
      </c>
      <c r="E10" s="27">
        <f>IF(('BAU Total Primary Fuel Use'!C10-('BFPIaE-production'!E10-'BFPIaE-exports'!E10))&gt;0,('BAU Total Primary Fuel Use'!C10-('BFPIaE-production'!E10-'BFPIaE-exports'!E10)),0)</f>
        <v>0</v>
      </c>
      <c r="F10" s="27">
        <f>IF(('BAU Total Primary Fuel Use'!D10-('BFPIaE-production'!F10-'BFPIaE-exports'!F10))&gt;0,('BAU Total Primary Fuel Use'!D10-('BFPIaE-production'!F10-'BFPIaE-exports'!F10)),0)</f>
        <v>0</v>
      </c>
      <c r="G10" s="27">
        <f>IF(('BAU Total Primary Fuel Use'!E10-('BFPIaE-production'!G10-'BFPIaE-exports'!G10))&gt;0,('BAU Total Primary Fuel Use'!E10-('BFPIaE-production'!G10-'BFPIaE-exports'!G10)),0)</f>
        <v>0</v>
      </c>
      <c r="H10" s="27">
        <f>IF(('BAU Total Primary Fuel Use'!F10-('BFPIaE-production'!H10-'BFPIaE-exports'!H10))&gt;0,('BAU Total Primary Fuel Use'!F10-('BFPIaE-production'!H10-'BFPIaE-exports'!H10)),0)</f>
        <v>45562881670117.5</v>
      </c>
      <c r="I10" s="27">
        <f>IF(('BAU Total Primary Fuel Use'!G10-('BFPIaE-production'!I10-'BFPIaE-exports'!I10))&gt;0,('BAU Total Primary Fuel Use'!G10-('BFPIaE-production'!I10-'BFPIaE-exports'!I10)),0)</f>
        <v>109022881670117.5</v>
      </c>
      <c r="J10" s="27">
        <f>IF(('BAU Total Primary Fuel Use'!H10-('BFPIaE-production'!J10-'BFPIaE-exports'!J10))&gt;0,('BAU Total Primary Fuel Use'!H10-('BFPIaE-production'!J10-'BFPIaE-exports'!J10)),0)</f>
        <v>156442881670117.5</v>
      </c>
      <c r="K10" s="27">
        <f>IF(('BAU Total Primary Fuel Use'!I10-('BFPIaE-production'!K10-'BFPIaE-exports'!K10))&gt;0,('BAU Total Primary Fuel Use'!I10-('BFPIaE-production'!K10-'BFPIaE-exports'!K10)),0)</f>
        <v>210092881670117.5</v>
      </c>
      <c r="L10" s="27">
        <f>IF(('BAU Total Primary Fuel Use'!J10-('BFPIaE-production'!L10-'BFPIaE-exports'!L10))&gt;0,('BAU Total Primary Fuel Use'!J10-('BFPIaE-production'!L10-'BFPIaE-exports'!L10)),0)</f>
        <v>256282881670117.5</v>
      </c>
      <c r="M10" s="27">
        <f>IF(('BAU Total Primary Fuel Use'!K10-('BFPIaE-production'!M10-'BFPIaE-exports'!M10))&gt;0,('BAU Total Primary Fuel Use'!K10-('BFPIaE-production'!M10-'BFPIaE-exports'!M10)),0)</f>
        <v>305792881670117.5</v>
      </c>
      <c r="N10" s="27">
        <f>IF(('BAU Total Primary Fuel Use'!L10-('BFPIaE-production'!N10-'BFPIaE-exports'!N10))&gt;0,('BAU Total Primary Fuel Use'!L10-('BFPIaE-production'!N10-'BFPIaE-exports'!N10)),0)</f>
        <v>348802881670117.5</v>
      </c>
      <c r="O10" s="27">
        <f>IF(('BAU Total Primary Fuel Use'!M10-('BFPIaE-production'!O10-'BFPIaE-exports'!O10))&gt;0,('BAU Total Primary Fuel Use'!M10-('BFPIaE-production'!O10-'BFPIaE-exports'!O10)),0)</f>
        <v>386192881670117.5</v>
      </c>
      <c r="P10" s="27">
        <f>IF(('BAU Total Primary Fuel Use'!N10-('BFPIaE-production'!P10-'BFPIaE-exports'!P10))&gt;0,('BAU Total Primary Fuel Use'!N10-('BFPIaE-production'!P10-'BFPIaE-exports'!P10)),0)</f>
        <v>417492881670117.5</v>
      </c>
      <c r="Q10" s="27">
        <f>IF(('BAU Total Primary Fuel Use'!O10-('BFPIaE-production'!Q10-'BFPIaE-exports'!Q10))&gt;0,('BAU Total Primary Fuel Use'!O10-('BFPIaE-production'!Q10-'BFPIaE-exports'!Q10)),0)</f>
        <v>442842881670117.5</v>
      </c>
      <c r="R10" s="27">
        <f>IF(('BAU Total Primary Fuel Use'!P10-('BFPIaE-production'!R10-'BFPIaE-exports'!R10))&gt;0,('BAU Total Primary Fuel Use'!P10-('BFPIaE-production'!R10-'BFPIaE-exports'!R10)),0)</f>
        <v>463562881670117.5</v>
      </c>
      <c r="S10" s="27">
        <f>IF(('BAU Total Primary Fuel Use'!Q10-('BFPIaE-production'!S10-'BFPIaE-exports'!S10))&gt;0,('BAU Total Primary Fuel Use'!Q10-('BFPIaE-production'!S10-'BFPIaE-exports'!S10)),0)</f>
        <v>478982881670117.5</v>
      </c>
      <c r="T10" s="27">
        <f>IF(('BAU Total Primary Fuel Use'!R10-('BFPIaE-production'!T10-'BFPIaE-exports'!T10))&gt;0,('BAU Total Primary Fuel Use'!R10-('BFPIaE-production'!T10-'BFPIaE-exports'!T10)),0)</f>
        <v>490992881670117.5</v>
      </c>
      <c r="U10" s="27">
        <f>IF(('BAU Total Primary Fuel Use'!S10-('BFPIaE-production'!U10-'BFPIaE-exports'!U10))&gt;0,('BAU Total Primary Fuel Use'!S10-('BFPIaE-production'!U10-'BFPIaE-exports'!U10)),0)</f>
        <v>495682881670117.5</v>
      </c>
      <c r="V10" s="27">
        <f>IF(('BAU Total Primary Fuel Use'!T10-('BFPIaE-production'!V10-'BFPIaE-exports'!V10))&gt;0,('BAU Total Primary Fuel Use'!T10-('BFPIaE-production'!V10-'BFPIaE-exports'!V10)),0)</f>
        <v>502782881670117.5</v>
      </c>
      <c r="W10" s="27">
        <f>IF(('BAU Total Primary Fuel Use'!U10-('BFPIaE-production'!W10-'BFPIaE-exports'!W10))&gt;0,('BAU Total Primary Fuel Use'!U10-('BFPIaE-production'!W10-'BFPIaE-exports'!W10)),0)</f>
        <v>514742881670117.5</v>
      </c>
      <c r="X10" s="27">
        <f>IF(('BAU Total Primary Fuel Use'!V10-('BFPIaE-production'!X10-'BFPIaE-exports'!X10))&gt;0,('BAU Total Primary Fuel Use'!V10-('BFPIaE-production'!X10-'BFPIaE-exports'!X10)),0)</f>
        <v>524652881670117.5</v>
      </c>
      <c r="Y10" s="27">
        <f>IF(('BAU Total Primary Fuel Use'!W10-('BFPIaE-production'!Y10-'BFPIaE-exports'!Y10))&gt;0,('BAU Total Primary Fuel Use'!W10-('BFPIaE-production'!Y10-'BFPIaE-exports'!Y10)),0)</f>
        <v>534562881670117.5</v>
      </c>
      <c r="Z10" s="27">
        <f>IF(('BAU Total Primary Fuel Use'!X10-('BFPIaE-production'!Z10-'BFPIaE-exports'!Z10))&gt;0,('BAU Total Primary Fuel Use'!X10-('BFPIaE-production'!Z10-'BFPIaE-exports'!Z10)),0)</f>
        <v>544542881670117.5</v>
      </c>
      <c r="AA10" s="27">
        <f>IF(('BAU Total Primary Fuel Use'!Y10-('BFPIaE-production'!AA10-'BFPIaE-exports'!AA10))&gt;0,('BAU Total Primary Fuel Use'!Y10-('BFPIaE-production'!AA10-'BFPIaE-exports'!AA10)),0)</f>
        <v>554802881670117.5</v>
      </c>
      <c r="AB10" s="27">
        <f>IF(('BAU Total Primary Fuel Use'!Z10-('BFPIaE-production'!AB10-'BFPIaE-exports'!AB10))&gt;0,('BAU Total Primary Fuel Use'!Z10-('BFPIaE-production'!AB10-'BFPIaE-exports'!AB10)),0)</f>
        <v>565042881670117.5</v>
      </c>
      <c r="AC10" s="27">
        <f>IF(('BAU Total Primary Fuel Use'!AA10-('BFPIaE-production'!AC10-'BFPIaE-exports'!AC10))&gt;0,('BAU Total Primary Fuel Use'!AA10-('BFPIaE-production'!AC10-'BFPIaE-exports'!AC10)),0)</f>
        <v>576892881670117.5</v>
      </c>
      <c r="AD10" s="27">
        <f>IF(('BAU Total Primary Fuel Use'!AB10-('BFPIaE-production'!AD10-'BFPIaE-exports'!AD10))&gt;0,('BAU Total Primary Fuel Use'!AB10-('BFPIaE-production'!AD10-'BFPIaE-exports'!AD10)),0)</f>
        <v>590472881670117.5</v>
      </c>
      <c r="AE10" s="27">
        <f>IF(('BAU Total Primary Fuel Use'!AC10-('BFPIaE-production'!AE10-'BFPIaE-exports'!AE10))&gt;0,('BAU Total Primary Fuel Use'!AC10-('BFPIaE-production'!AE10-'BFPIaE-exports'!AE10)),0)</f>
        <v>605112881670117.5</v>
      </c>
      <c r="AF10" s="27"/>
      <c r="AG10" s="27"/>
      <c r="AH10" s="27"/>
      <c r="AI10" s="27"/>
    </row>
    <row r="11" spans="1:53">
      <c r="A11" s="25" t="s">
        <v>559</v>
      </c>
      <c r="B11" s="27">
        <f>'Petroleum Products'!K13</f>
        <v>3320345398657.6284</v>
      </c>
      <c r="C11" s="27">
        <f t="shared" si="1"/>
        <v>3320345398657.6284</v>
      </c>
      <c r="D11" s="27">
        <f>IF(('BAU Total Primary Fuel Use'!B11-('BFPIaE-production'!D11-'BFPIaE-exports'!D11))&gt;0,('BAU Total Primary Fuel Use'!B11-('BFPIaE-production'!D11-'BFPIaE-exports'!D11)),0)</f>
        <v>1092025536442219</v>
      </c>
      <c r="E11" s="27">
        <f>IF(('BAU Total Primary Fuel Use'!C11-('BFPIaE-production'!E11-'BFPIaE-exports'!E11))&gt;0,('BAU Total Primary Fuel Use'!C11-('BFPIaE-production'!E11-'BFPIaE-exports'!E11)),0)</f>
        <v>357015536442219</v>
      </c>
      <c r="F11" s="27">
        <f>IF(('BAU Total Primary Fuel Use'!D11-('BFPIaE-production'!F11-'BFPIaE-exports'!F11))&gt;0,('BAU Total Primary Fuel Use'!D11-('BFPIaE-production'!F11-'BFPIaE-exports'!F11)),0)</f>
        <v>985585536442219</v>
      </c>
      <c r="G11" s="27">
        <f>IF(('BAU Total Primary Fuel Use'!E11-('BFPIaE-production'!G11-'BFPIaE-exports'!G11))&gt;0,('BAU Total Primary Fuel Use'!E11-('BFPIaE-production'!G11-'BFPIaE-exports'!G11)),0)</f>
        <v>1384845536442219</v>
      </c>
      <c r="H11" s="27">
        <f>IF(('BAU Total Primary Fuel Use'!F11-('BFPIaE-production'!H11-'BFPIaE-exports'!H11))&gt;0,('BAU Total Primary Fuel Use'!F11-('BFPIaE-production'!H11-'BFPIaE-exports'!H11)),0)</f>
        <v>1710065536442219</v>
      </c>
      <c r="I11" s="27">
        <f>IF(('BAU Total Primary Fuel Use'!G11-('BFPIaE-production'!I11-'BFPIaE-exports'!I11))&gt;0,('BAU Total Primary Fuel Use'!G11-('BFPIaE-production'!I11-'BFPIaE-exports'!I11)),0)</f>
        <v>1970005536442219</v>
      </c>
      <c r="J11" s="27">
        <f>IF(('BAU Total Primary Fuel Use'!H11-('BFPIaE-production'!J11-'BFPIaE-exports'!J11))&gt;0,('BAU Total Primary Fuel Use'!H11-('BFPIaE-production'!J11-'BFPIaE-exports'!J11)),0)</f>
        <v>2187665536442219</v>
      </c>
      <c r="K11" s="27">
        <f>IF(('BAU Total Primary Fuel Use'!I11-('BFPIaE-production'!K11-'BFPIaE-exports'!K11))&gt;0,('BAU Total Primary Fuel Use'!I11-('BFPIaE-production'!K11-'BFPIaE-exports'!K11)),0)</f>
        <v>2373655536442219</v>
      </c>
      <c r="L11" s="27">
        <f>IF(('BAU Total Primary Fuel Use'!J11-('BFPIaE-production'!L11-'BFPIaE-exports'!L11))&gt;0,('BAU Total Primary Fuel Use'!J11-('BFPIaE-production'!L11-'BFPIaE-exports'!L11)),0)</f>
        <v>2544695536442219</v>
      </c>
      <c r="M11" s="27">
        <f>IF(('BAU Total Primary Fuel Use'!K11-('BFPIaE-production'!M11-'BFPIaE-exports'!M11))&gt;0,('BAU Total Primary Fuel Use'!K11-('BFPIaE-production'!M11-'BFPIaE-exports'!M11)),0)</f>
        <v>2755605536442219</v>
      </c>
      <c r="N11" s="27">
        <f>IF(('BAU Total Primary Fuel Use'!L11-('BFPIaE-production'!N11-'BFPIaE-exports'!N11))&gt;0,('BAU Total Primary Fuel Use'!L11-('BFPIaE-production'!N11-'BFPIaE-exports'!N11)),0)</f>
        <v>2970495536442219</v>
      </c>
      <c r="O11" s="27">
        <f>IF(('BAU Total Primary Fuel Use'!M11-('BFPIaE-production'!O11-'BFPIaE-exports'!O11))&gt;0,('BAU Total Primary Fuel Use'!M11-('BFPIaE-production'!O11-'BFPIaE-exports'!O11)),0)</f>
        <v>3181365536442219</v>
      </c>
      <c r="P11" s="27">
        <f>IF(('BAU Total Primary Fuel Use'!N11-('BFPIaE-production'!P11-'BFPIaE-exports'!P11))&gt;0,('BAU Total Primary Fuel Use'!N11-('BFPIaE-production'!P11-'BFPIaE-exports'!P11)),0)</f>
        <v>3384985536442219</v>
      </c>
      <c r="Q11" s="27">
        <f>IF(('BAU Total Primary Fuel Use'!O11-('BFPIaE-production'!Q11-'BFPIaE-exports'!Q11))&gt;0,('BAU Total Primary Fuel Use'!O11-('BFPIaE-production'!Q11-'BFPIaE-exports'!Q11)),0)</f>
        <v>3580475536442219</v>
      </c>
      <c r="R11" s="27">
        <f>IF(('BAU Total Primary Fuel Use'!P11-('BFPIaE-production'!R11-'BFPIaE-exports'!R11))&gt;0,('BAU Total Primary Fuel Use'!P11-('BFPIaE-production'!R11-'BFPIaE-exports'!R11)),0)</f>
        <v>3768985536442219</v>
      </c>
      <c r="S11" s="27">
        <f>IF(('BAU Total Primary Fuel Use'!Q11-('BFPIaE-production'!S11-'BFPIaE-exports'!S11))&gt;0,('BAU Total Primary Fuel Use'!Q11-('BFPIaE-production'!S11-'BFPIaE-exports'!S11)),0)</f>
        <v>3953305536442219</v>
      </c>
      <c r="T11" s="27">
        <f>IF(('BAU Total Primary Fuel Use'!R11-('BFPIaE-production'!T11-'BFPIaE-exports'!T11))&gt;0,('BAU Total Primary Fuel Use'!R11-('BFPIaE-production'!T11-'BFPIaE-exports'!T11)),0)</f>
        <v>4133675536442219</v>
      </c>
      <c r="U11" s="27">
        <f>IF(('BAU Total Primary Fuel Use'!S11-('BFPIaE-production'!U11-'BFPIaE-exports'!U11))&gt;0,('BAU Total Primary Fuel Use'!S11-('BFPIaE-production'!U11-'BFPIaE-exports'!U11)),0)</f>
        <v>4288415536442219</v>
      </c>
      <c r="V11" s="27">
        <f>IF(('BAU Total Primary Fuel Use'!T11-('BFPIaE-production'!V11-'BFPIaE-exports'!V11))&gt;0,('BAU Total Primary Fuel Use'!T11-('BFPIaE-production'!V11-'BFPIaE-exports'!V11)),0)</f>
        <v>4437075536442219</v>
      </c>
      <c r="W11" s="27">
        <f>IF(('BAU Total Primary Fuel Use'!U11-('BFPIaE-production'!W11-'BFPIaE-exports'!W11))&gt;0,('BAU Total Primary Fuel Use'!U11-('BFPIaE-production'!W11-'BFPIaE-exports'!W11)),0)</f>
        <v>4621205536442219</v>
      </c>
      <c r="X11" s="27">
        <f>IF(('BAU Total Primary Fuel Use'!V11-('BFPIaE-production'!X11-'BFPIaE-exports'!X11))&gt;0,('BAU Total Primary Fuel Use'!V11-('BFPIaE-production'!X11-'BFPIaE-exports'!X11)),0)</f>
        <v>4800975536442219</v>
      </c>
      <c r="Y11" s="27">
        <f>IF(('BAU Total Primary Fuel Use'!W11-('BFPIaE-production'!Y11-'BFPIaE-exports'!Y11))&gt;0,('BAU Total Primary Fuel Use'!W11-('BFPIaE-production'!Y11-'BFPIaE-exports'!Y11)),0)</f>
        <v>4979795536442219</v>
      </c>
      <c r="Z11" s="27">
        <f>IF(('BAU Total Primary Fuel Use'!X11-('BFPIaE-production'!Z11-'BFPIaE-exports'!Z11))&gt;0,('BAU Total Primary Fuel Use'!X11-('BFPIaE-production'!Z11-'BFPIaE-exports'!Z11)),0)</f>
        <v>5156365536442219</v>
      </c>
      <c r="AA11" s="27">
        <f>IF(('BAU Total Primary Fuel Use'!Y11-('BFPIaE-production'!AA11-'BFPIaE-exports'!AA11))&gt;0,('BAU Total Primary Fuel Use'!Y11-('BFPIaE-production'!AA11-'BFPIaE-exports'!AA11)),0)</f>
        <v>5333735536442219</v>
      </c>
      <c r="AB11" s="27">
        <f>IF(('BAU Total Primary Fuel Use'!Z11-('BFPIaE-production'!AB11-'BFPIaE-exports'!AB11))&gt;0,('BAU Total Primary Fuel Use'!Z11-('BFPIaE-production'!AB11-'BFPIaE-exports'!AB11)),0)</f>
        <v>5476565536442219</v>
      </c>
      <c r="AC11" s="27">
        <f>IF(('BAU Total Primary Fuel Use'!AA11-('BFPIaE-production'!AC11-'BFPIaE-exports'!AC11))&gt;0,('BAU Total Primary Fuel Use'!AA11-('BFPIaE-production'!AC11-'BFPIaE-exports'!AC11)),0)</f>
        <v>5619245536442219</v>
      </c>
      <c r="AD11" s="27">
        <f>IF(('BAU Total Primary Fuel Use'!AB11-('BFPIaE-production'!AD11-'BFPIaE-exports'!AD11))&gt;0,('BAU Total Primary Fuel Use'!AB11-('BFPIaE-production'!AD11-'BFPIaE-exports'!AD11)),0)</f>
        <v>5762415536442219</v>
      </c>
      <c r="AE11" s="27">
        <f>IF(('BAU Total Primary Fuel Use'!AC11-('BFPIaE-production'!AE11-'BFPIaE-exports'!AE11))&gt;0,('BAU Total Primary Fuel Use'!AC11-('BFPIaE-production'!AE11-'BFPIaE-exports'!AE11)),0)</f>
        <v>5906655536442219</v>
      </c>
      <c r="AF11" s="27"/>
      <c r="AG11" s="27"/>
      <c r="AH11" s="27"/>
      <c r="AI11" s="27"/>
    </row>
    <row r="12" spans="1:53">
      <c r="A12" s="1" t="s">
        <v>560</v>
      </c>
      <c r="B12">
        <v>0</v>
      </c>
      <c r="C12">
        <f t="shared" si="1"/>
        <v>0</v>
      </c>
      <c r="D12">
        <f t="shared" ref="D12:AI13" si="3">C12</f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</row>
    <row r="13" spans="1:53">
      <c r="A13" s="1" t="s">
        <v>561</v>
      </c>
      <c r="B13">
        <v>0</v>
      </c>
      <c r="C13">
        <f t="shared" si="1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</row>
    <row r="14" spans="1:53">
      <c r="A14" s="25" t="s">
        <v>562</v>
      </c>
      <c r="B14">
        <f>D14</f>
        <v>5635984923953</v>
      </c>
      <c r="C14">
        <f>D14</f>
        <v>5635984923953</v>
      </c>
      <c r="D14">
        <f>'Petroleum Products'!B31</f>
        <v>5635984923953</v>
      </c>
      <c r="E14">
        <f>'Petroleum Products'!C31</f>
        <v>0</v>
      </c>
      <c r="F14">
        <f>'Petroleum Products'!D31</f>
        <v>0</v>
      </c>
      <c r="G14">
        <f>'Petroleum Products'!E31</f>
        <v>0</v>
      </c>
      <c r="H14">
        <f>'Petroleum Products'!F31</f>
        <v>0</v>
      </c>
      <c r="I14">
        <f>'Petroleum Products'!G31</f>
        <v>17244984923953</v>
      </c>
      <c r="J14">
        <f>'Petroleum Products'!H31</f>
        <v>54804984923953</v>
      </c>
      <c r="K14">
        <f>'Petroleum Products'!I31</f>
        <v>90259984923953</v>
      </c>
      <c r="L14">
        <f>'Petroleum Products'!J31</f>
        <v>123765984923953</v>
      </c>
      <c r="M14">
        <f>'Petroleum Products'!K31</f>
        <v>164172984923953</v>
      </c>
      <c r="N14">
        <f>'Petroleum Products'!L31</f>
        <v>202805984923953</v>
      </c>
      <c r="O14">
        <f>'Petroleum Products'!M31</f>
        <v>240055984923953</v>
      </c>
      <c r="P14">
        <f>'Petroleum Products'!N31</f>
        <v>276885984923953</v>
      </c>
      <c r="Q14">
        <f>'Petroleum Products'!O31</f>
        <v>313261984923953</v>
      </c>
      <c r="R14">
        <f>'Petroleum Products'!P31</f>
        <v>353050984923953</v>
      </c>
      <c r="S14">
        <f>'Petroleum Products'!Q31</f>
        <v>392403984923953</v>
      </c>
      <c r="T14">
        <f>'Petroleum Products'!R31</f>
        <v>431365984923953</v>
      </c>
      <c r="U14">
        <f>'Petroleum Products'!S31</f>
        <v>470355984923953</v>
      </c>
      <c r="V14">
        <f>'Petroleum Products'!T31</f>
        <v>508746984923953</v>
      </c>
      <c r="W14">
        <f>'Petroleum Products'!U31</f>
        <v>552942984923953</v>
      </c>
      <c r="X14">
        <f>'Petroleum Products'!V31</f>
        <v>597842984923953</v>
      </c>
      <c r="Y14">
        <f>'Petroleum Products'!W31</f>
        <v>642402984923953</v>
      </c>
      <c r="Z14">
        <f>'Petroleum Products'!X31</f>
        <v>686242984923953</v>
      </c>
      <c r="AA14">
        <f>'Petroleum Products'!Y31</f>
        <v>729712984923953</v>
      </c>
      <c r="AB14">
        <f>'Petroleum Products'!Z31</f>
        <v>775122984923953</v>
      </c>
      <c r="AC14">
        <f>'Petroleum Products'!AA31</f>
        <v>820192984923953</v>
      </c>
      <c r="AD14">
        <f>'Petroleum Products'!AB31</f>
        <v>865422984923953</v>
      </c>
      <c r="AE14">
        <f>'Petroleum Products'!AC31</f>
        <v>910152984923953</v>
      </c>
    </row>
    <row r="15" spans="1:53">
      <c r="A15" s="1" t="s">
        <v>571</v>
      </c>
      <c r="B15">
        <v>0</v>
      </c>
      <c r="C15">
        <f t="shared" si="1"/>
        <v>0</v>
      </c>
      <c r="D15">
        <f t="shared" ref="D15:AI16" si="4">C15</f>
        <v>0</v>
      </c>
      <c r="E15">
        <f t="shared" si="4"/>
        <v>0</v>
      </c>
      <c r="F15">
        <f t="shared" si="4"/>
        <v>0</v>
      </c>
      <c r="G15">
        <f t="shared" si="4"/>
        <v>0</v>
      </c>
      <c r="H15">
        <f t="shared" si="4"/>
        <v>0</v>
      </c>
      <c r="I15">
        <f t="shared" si="4"/>
        <v>0</v>
      </c>
      <c r="J15">
        <f t="shared" si="4"/>
        <v>0</v>
      </c>
      <c r="K15">
        <f t="shared" si="4"/>
        <v>0</v>
      </c>
      <c r="L15">
        <f t="shared" si="4"/>
        <v>0</v>
      </c>
      <c r="M15">
        <f t="shared" si="4"/>
        <v>0</v>
      </c>
      <c r="N15">
        <f t="shared" si="4"/>
        <v>0</v>
      </c>
      <c r="O15">
        <f t="shared" si="4"/>
        <v>0</v>
      </c>
      <c r="P15">
        <f t="shared" si="4"/>
        <v>0</v>
      </c>
      <c r="Q15">
        <f t="shared" si="4"/>
        <v>0</v>
      </c>
      <c r="R15">
        <f t="shared" si="4"/>
        <v>0</v>
      </c>
      <c r="S15">
        <f t="shared" si="4"/>
        <v>0</v>
      </c>
      <c r="T15">
        <f t="shared" si="4"/>
        <v>0</v>
      </c>
      <c r="U15">
        <f t="shared" si="4"/>
        <v>0</v>
      </c>
      <c r="V15">
        <f t="shared" si="4"/>
        <v>0</v>
      </c>
      <c r="W15">
        <f t="shared" si="4"/>
        <v>0</v>
      </c>
      <c r="X15">
        <f t="shared" si="4"/>
        <v>0</v>
      </c>
      <c r="Y15">
        <f t="shared" si="4"/>
        <v>0</v>
      </c>
      <c r="Z15">
        <f t="shared" si="4"/>
        <v>0</v>
      </c>
      <c r="AA15">
        <f t="shared" si="4"/>
        <v>0</v>
      </c>
      <c r="AB15">
        <f t="shared" si="4"/>
        <v>0</v>
      </c>
      <c r="AC15">
        <f t="shared" si="4"/>
        <v>0</v>
      </c>
      <c r="AD15">
        <f t="shared" si="4"/>
        <v>0</v>
      </c>
      <c r="AE15">
        <f t="shared" si="4"/>
        <v>0</v>
      </c>
    </row>
    <row r="16" spans="1:53">
      <c r="A16" s="1" t="s">
        <v>564</v>
      </c>
      <c r="B16">
        <v>0</v>
      </c>
      <c r="C16">
        <f t="shared" si="1"/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</row>
    <row r="17" spans="1:35">
      <c r="A17" s="25" t="s">
        <v>565</v>
      </c>
      <c r="B17">
        <f>'Coal &amp; Lignite'!G19</f>
        <v>138666666666.66666</v>
      </c>
      <c r="C17">
        <f>'Coal &amp; Lignite'!H19</f>
        <v>139623682139.34079</v>
      </c>
      <c r="D17">
        <f>IF('BAU Total Primary Fuel Use'!B17-('Coal &amp; Lignite'!I18-'BFPIaE-exports'!D17)&gt;0,'BAU Total Primary Fuel Use'!B17-('Coal &amp; Lignite'!I18-'BFPIaE-exports'!D17),0)</f>
        <v>0</v>
      </c>
      <c r="E17">
        <f>IF('BAU Total Primary Fuel Use'!C17-('Coal &amp; Lignite'!J18-'BFPIaE-exports'!E17)&gt;0,'BAU Total Primary Fuel Use'!C17-('Coal &amp; Lignite'!J18-'BFPIaE-exports'!E17),0)</f>
        <v>0</v>
      </c>
      <c r="F17">
        <f>IF('BAU Total Primary Fuel Use'!D17-('Coal &amp; Lignite'!K18-'BFPIaE-exports'!F17)&gt;0,'BAU Total Primary Fuel Use'!D17-('Coal &amp; Lignite'!K18-'BFPIaE-exports'!F17),0)</f>
        <v>0</v>
      </c>
      <c r="G17">
        <f>IF('BAU Total Primary Fuel Use'!E17-('Coal &amp; Lignite'!L18-'BFPIaE-exports'!G17)&gt;0,'BAU Total Primary Fuel Use'!E17-('Coal &amp; Lignite'!L18-'BFPIaE-exports'!G17),0)</f>
        <v>0</v>
      </c>
      <c r="H17">
        <f>IF('BAU Total Primary Fuel Use'!F17-('Coal &amp; Lignite'!M18-'BFPIaE-exports'!H17)&gt;0,'BAU Total Primary Fuel Use'!F17-('Coal &amp; Lignite'!M18-'BFPIaE-exports'!H17),0)</f>
        <v>0</v>
      </c>
      <c r="I17">
        <f>IF('BAU Total Primary Fuel Use'!G17-('Coal &amp; Lignite'!N18-'BFPIaE-exports'!I17)&gt;0,'BAU Total Primary Fuel Use'!G17-('Coal &amp; Lignite'!N18-'BFPIaE-exports'!I17),0)</f>
        <v>0</v>
      </c>
      <c r="J17">
        <f>IF('BAU Total Primary Fuel Use'!H17-('Coal &amp; Lignite'!O18-'BFPIaE-exports'!J17)&gt;0,'BAU Total Primary Fuel Use'!H17-('Coal &amp; Lignite'!O18-'BFPIaE-exports'!J17),0)</f>
        <v>0</v>
      </c>
      <c r="K17">
        <f>IF('BAU Total Primary Fuel Use'!I17-('Coal &amp; Lignite'!P18-'BFPIaE-exports'!K17)&gt;0,'BAU Total Primary Fuel Use'!I17-('Coal &amp; Lignite'!P18-'BFPIaE-exports'!K17),0)</f>
        <v>0</v>
      </c>
      <c r="L17">
        <f>IF('BAU Total Primary Fuel Use'!J17-('Coal &amp; Lignite'!Q18-'BFPIaE-exports'!L17)&gt;0,'BAU Total Primary Fuel Use'!J17-('Coal &amp; Lignite'!Q18-'BFPIaE-exports'!L17),0)</f>
        <v>0</v>
      </c>
      <c r="M17">
        <f>IF('BAU Total Primary Fuel Use'!K17-('Coal &amp; Lignite'!R18-'BFPIaE-exports'!M17)&gt;0,'BAU Total Primary Fuel Use'!K17-('Coal &amp; Lignite'!R18-'BFPIaE-exports'!M17),0)</f>
        <v>0</v>
      </c>
      <c r="N17">
        <f>IF('BAU Total Primary Fuel Use'!L17-('Coal &amp; Lignite'!S18-'BFPIaE-exports'!N17)&gt;0,'BAU Total Primary Fuel Use'!L17-('Coal &amp; Lignite'!S18-'BFPIaE-exports'!N17),0)</f>
        <v>0</v>
      </c>
      <c r="O17">
        <f>IF('BAU Total Primary Fuel Use'!M17-('Coal &amp; Lignite'!T18-'BFPIaE-exports'!O17)&gt;0,'BAU Total Primary Fuel Use'!M17-('Coal &amp; Lignite'!T18-'BFPIaE-exports'!O17),0)</f>
        <v>0</v>
      </c>
      <c r="P17">
        <f>IF('BAU Total Primary Fuel Use'!N17-('Coal &amp; Lignite'!U18-'BFPIaE-exports'!P17)&gt;0,'BAU Total Primary Fuel Use'!N17-('Coal &amp; Lignite'!U18-'BFPIaE-exports'!P17),0)</f>
        <v>0</v>
      </c>
      <c r="Q17">
        <f>IF('BAU Total Primary Fuel Use'!O17-('Coal &amp; Lignite'!V18-'BFPIaE-exports'!Q17)&gt;0,'BAU Total Primary Fuel Use'!O17-('Coal &amp; Lignite'!V18-'BFPIaE-exports'!Q17),0)</f>
        <v>0</v>
      </c>
      <c r="R17">
        <f>IF('BAU Total Primary Fuel Use'!P17-('Coal &amp; Lignite'!W18-'BFPIaE-exports'!R17)&gt;0,'BAU Total Primary Fuel Use'!P17-('Coal &amp; Lignite'!W18-'BFPIaE-exports'!R17),0)</f>
        <v>0</v>
      </c>
      <c r="S17">
        <f>IF('BAU Total Primary Fuel Use'!Q17-('Coal &amp; Lignite'!X18-'BFPIaE-exports'!S17)&gt;0,'BAU Total Primary Fuel Use'!Q17-('Coal &amp; Lignite'!X18-'BFPIaE-exports'!S17),0)</f>
        <v>0</v>
      </c>
      <c r="T17">
        <f>IF('BAU Total Primary Fuel Use'!R17-('Coal &amp; Lignite'!Y18-'BFPIaE-exports'!T17)&gt;0,'BAU Total Primary Fuel Use'!R17-('Coal &amp; Lignite'!Y18-'BFPIaE-exports'!T17),0)</f>
        <v>0</v>
      </c>
      <c r="U17">
        <f>IF('BAU Total Primary Fuel Use'!S17-('Coal &amp; Lignite'!Z18-'BFPIaE-exports'!U17)&gt;0,'BAU Total Primary Fuel Use'!S17-('Coal &amp; Lignite'!Z18-'BFPIaE-exports'!U17),0)</f>
        <v>0</v>
      </c>
      <c r="V17">
        <f>IF('BAU Total Primary Fuel Use'!T17-('Coal &amp; Lignite'!AA18-'BFPIaE-exports'!V17)&gt;0,'BAU Total Primary Fuel Use'!T17-('Coal &amp; Lignite'!AA18-'BFPIaE-exports'!V17),0)</f>
        <v>0</v>
      </c>
      <c r="W17">
        <f>IF('BAU Total Primary Fuel Use'!U17-('Coal &amp; Lignite'!AB18-'BFPIaE-exports'!W17)&gt;0,'BAU Total Primary Fuel Use'!U17-('Coal &amp; Lignite'!AB18-'BFPIaE-exports'!W17),0)</f>
        <v>0</v>
      </c>
      <c r="X17">
        <f>IF('BAU Total Primary Fuel Use'!V17-('Coal &amp; Lignite'!AC18-'BFPIaE-exports'!X17)&gt;0,'BAU Total Primary Fuel Use'!V17-('Coal &amp; Lignite'!AC18-'BFPIaE-exports'!X17),0)</f>
        <v>0</v>
      </c>
      <c r="Y17">
        <f>IF('BAU Total Primary Fuel Use'!W17-('Coal &amp; Lignite'!AD18-'BFPIaE-exports'!Y17)&gt;0,'BAU Total Primary Fuel Use'!W17-('Coal &amp; Lignite'!AD18-'BFPIaE-exports'!Y17),0)</f>
        <v>0</v>
      </c>
      <c r="Z17">
        <f>IF('BAU Total Primary Fuel Use'!X17-('Coal &amp; Lignite'!AE18-'BFPIaE-exports'!Z17)&gt;0,'BAU Total Primary Fuel Use'!X17-('Coal &amp; Lignite'!AE18-'BFPIaE-exports'!Z17),0)</f>
        <v>0</v>
      </c>
      <c r="AA17">
        <f>IF('BAU Total Primary Fuel Use'!Y17-('Coal &amp; Lignite'!AF18-'BFPIaE-exports'!AA17)&gt;0,'BAU Total Primary Fuel Use'!Y17-('Coal &amp; Lignite'!AF18-'BFPIaE-exports'!AA17),0)</f>
        <v>0</v>
      </c>
      <c r="AB17">
        <f>IF('BAU Total Primary Fuel Use'!Z17-('Coal &amp; Lignite'!AG18-'BFPIaE-exports'!AB17)&gt;0,'BAU Total Primary Fuel Use'!Z17-('Coal &amp; Lignite'!AG18-'BFPIaE-exports'!AB17),0)</f>
        <v>0</v>
      </c>
      <c r="AC17">
        <f>IF('BAU Total Primary Fuel Use'!AA17-('Coal &amp; Lignite'!AH18-'BFPIaE-exports'!AC17)&gt;0,'BAU Total Primary Fuel Use'!AA17-('Coal &amp; Lignite'!AH18-'BFPIaE-exports'!AC17),0)</f>
        <v>0</v>
      </c>
      <c r="AD17">
        <f>IF('BAU Total Primary Fuel Use'!AB17-('Coal &amp; Lignite'!AI18-'BFPIaE-exports'!AD17)&gt;0,'BAU Total Primary Fuel Use'!AB17-('Coal &amp; Lignite'!AI18-'BFPIaE-exports'!AD17),0)</f>
        <v>0</v>
      </c>
      <c r="AE17">
        <f>IF('BAU Total Primary Fuel Use'!AC17-('Coal &amp; Lignite'!AJ18-'BFPIaE-exports'!AE17)&gt;0,'BAU Total Primary Fuel Use'!AC17-('Coal &amp; Lignite'!AJ18-'BFPIaE-exports'!AE17),0)</f>
        <v>0</v>
      </c>
    </row>
    <row r="18" spans="1:35">
      <c r="A18" s="1" t="s">
        <v>566</v>
      </c>
      <c r="B18">
        <f>'Crude Oil'!B15</f>
        <v>9532211695061400</v>
      </c>
      <c r="C18">
        <f>'Crude Oil'!C15</f>
        <v>9494180086671588</v>
      </c>
      <c r="D18">
        <f>'Crude Oil'!D15</f>
        <v>9456300216753706</v>
      </c>
      <c r="E18">
        <f>'Crude Oil'!E15</f>
        <v>9418571479901754</v>
      </c>
      <c r="F18">
        <f>'Crude Oil'!F15</f>
        <v>9380993273125182</v>
      </c>
      <c r="G18">
        <f>'Crude Oil'!G15</f>
        <v>9343564995839252</v>
      </c>
      <c r="H18">
        <f>'Crude Oil'!H15</f>
        <v>9761650623720360</v>
      </c>
      <c r="I18">
        <f>'Crude Oil'!I15</f>
        <v>1.0198443842581848E+16</v>
      </c>
      <c r="J18">
        <f>'Crude Oil'!J15</f>
        <v>1.0654781739223522E+16</v>
      </c>
      <c r="K18">
        <f>'Crude Oil'!K15</f>
        <v>1.1131538856593938E+16</v>
      </c>
      <c r="L18">
        <f>'Crude Oil'!L15</f>
        <v>1.1629628869797086E+16</v>
      </c>
      <c r="M18">
        <f>'Crude Oil'!M15</f>
        <v>1.197578092134733E+16</v>
      </c>
      <c r="N18">
        <f>'Crude Oil'!N15</f>
        <v>1.2332236074065628E+16</v>
      </c>
      <c r="O18">
        <f>'Crude Oil'!O15</f>
        <v>1.2699300996345836E+16</v>
      </c>
      <c r="P18">
        <f>'Crude Oil'!P15</f>
        <v>1.3077291484464986E+16</v>
      </c>
      <c r="Q18">
        <f>'Crude Oil'!Q15</f>
        <v>1.3466532734271702E+16</v>
      </c>
      <c r="R18">
        <f>'Crude Oil'!R15</f>
        <v>1.3682700836864984E+16</v>
      </c>
      <c r="S18">
        <f>'Crude Oil'!S15</f>
        <v>1.3902338923120792E+16</v>
      </c>
      <c r="T18">
        <f>'Crude Oil'!T15</f>
        <v>1.4125502694072134E+16</v>
      </c>
      <c r="U18">
        <f>'Crude Oil'!U15</f>
        <v>1.4352248744878732E+16</v>
      </c>
      <c r="V18">
        <f>'Crude Oil'!V15</f>
        <v>1.4582634579179758E+16</v>
      </c>
      <c r="W18">
        <f>'Crude Oil'!W15</f>
        <v>1.4702485267855634E+16</v>
      </c>
      <c r="X18">
        <f>'Crude Oil'!X15</f>
        <v>1.4823320976590684E+16</v>
      </c>
      <c r="Y18">
        <f>'Crude Oil'!Y15</f>
        <v>1.49451498009956E+16</v>
      </c>
      <c r="Z18">
        <f>'Crude Oil'!Z15</f>
        <v>1.506797990321669E+16</v>
      </c>
      <c r="AA18">
        <f>'Crude Oil'!AA15</f>
        <v>1.519181951248271E+16</v>
      </c>
      <c r="AB18">
        <f>'Crude Oil'!AB15</f>
        <v>1.5187949698942802E+16</v>
      </c>
      <c r="AC18">
        <f>'Crude Oil'!AC15</f>
        <v>1.5184080871160844E+16</v>
      </c>
      <c r="AD18">
        <f>'Crude Oil'!AD15</f>
        <v>1.5180213028885732E+16</v>
      </c>
      <c r="AE18">
        <f>'Crude Oil'!AE15</f>
        <v>1.5176346171866426E+16</v>
      </c>
    </row>
    <row r="19" spans="1:35">
      <c r="A19" s="25" t="s">
        <v>567</v>
      </c>
      <c r="B19">
        <f>'Petroleum Products'!C21</f>
        <v>72714436080000</v>
      </c>
      <c r="C19">
        <f>B19</f>
        <v>72714436080000</v>
      </c>
      <c r="D19">
        <f>IF(('BAU Total Primary Fuel Use'!B19-('BFPIaE-production'!D19-'BFPIaE-exports'!D19))&gt;0,('BAU Total Primary Fuel Use'!B19-('BFPIaE-production'!D19-'BFPIaE-exports'!D19)),0)</f>
        <v>85095492700000</v>
      </c>
      <c r="E19">
        <f>IF(('BAU Total Primary Fuel Use'!C19-('BFPIaE-production'!E19-'BFPIaE-exports'!E19))&gt;0,('BAU Total Primary Fuel Use'!C19-('BFPIaE-production'!E19-'BFPIaE-exports'!E19)),0)</f>
        <v>56147492700000</v>
      </c>
      <c r="F19">
        <f>IF(('BAU Total Primary Fuel Use'!D19-('BFPIaE-production'!F19-'BFPIaE-exports'!F19))&gt;0,('BAU Total Primary Fuel Use'!D19-('BFPIaE-production'!F19-'BFPIaE-exports'!F19)),0)</f>
        <v>81052492700000</v>
      </c>
      <c r="G19">
        <f>IF(('BAU Total Primary Fuel Use'!E19-('BFPIaE-production'!G19-'BFPIaE-exports'!G19))&gt;0,('BAU Total Primary Fuel Use'!E19-('BFPIaE-production'!G19-'BFPIaE-exports'!G19)),0)</f>
        <v>97416492700000</v>
      </c>
      <c r="H19">
        <f>IF(('BAU Total Primary Fuel Use'!F19-('BFPIaE-production'!H19-'BFPIaE-exports'!H19))&gt;0,('BAU Total Primary Fuel Use'!F19-('BFPIaE-production'!H19-'BFPIaE-exports'!H19)),0)</f>
        <v>110890492700000</v>
      </c>
      <c r="I19">
        <f>IF(('BAU Total Primary Fuel Use'!G19-('BFPIaE-production'!I19-'BFPIaE-exports'!I19))&gt;0,('BAU Total Primary Fuel Use'!G19-('BFPIaE-production'!I19-'BFPIaE-exports'!I19)),0)</f>
        <v>122126492700000</v>
      </c>
      <c r="J19">
        <f>IF(('BAU Total Primary Fuel Use'!H19-('BFPIaE-production'!J19-'BFPIaE-exports'!J19))&gt;0,('BAU Total Primary Fuel Use'!H19-('BFPIaE-production'!J19-'BFPIaE-exports'!J19)),0)</f>
        <v>132205492700000</v>
      </c>
      <c r="K19">
        <f>IF(('BAU Total Primary Fuel Use'!I19-('BFPIaE-production'!K19-'BFPIaE-exports'!K19))&gt;0,('BAU Total Primary Fuel Use'!I19-('BFPIaE-production'!K19-'BFPIaE-exports'!K19)),0)</f>
        <v>141683492700000</v>
      </c>
      <c r="L19">
        <f>IF(('BAU Total Primary Fuel Use'!J19-('BFPIaE-production'!L19-'BFPIaE-exports'!L19))&gt;0,('BAU Total Primary Fuel Use'!J19-('BFPIaE-production'!L19-'BFPIaE-exports'!L19)),0)</f>
        <v>150852492700000</v>
      </c>
      <c r="M19">
        <f>IF(('BAU Total Primary Fuel Use'!K19-('BFPIaE-production'!M19-'BFPIaE-exports'!M19))&gt;0,('BAU Total Primary Fuel Use'!K19-('BFPIaE-production'!M19-'BFPIaE-exports'!M19)),0)</f>
        <v>160790492700000</v>
      </c>
      <c r="N19">
        <f>IF(('BAU Total Primary Fuel Use'!L19-('BFPIaE-production'!N19-'BFPIaE-exports'!N19))&gt;0,('BAU Total Primary Fuel Use'!L19-('BFPIaE-production'!N19-'BFPIaE-exports'!N19)),0)</f>
        <v>170646492700000</v>
      </c>
      <c r="O19">
        <f>IF(('BAU Total Primary Fuel Use'!M19-('BFPIaE-production'!O19-'BFPIaE-exports'!O19))&gt;0,('BAU Total Primary Fuel Use'!M19-('BFPIaE-production'!O19-'BFPIaE-exports'!O19)),0)</f>
        <v>180460492700000</v>
      </c>
      <c r="P19">
        <f>IF(('BAU Total Primary Fuel Use'!N19-('BFPIaE-production'!P19-'BFPIaE-exports'!P19))&gt;0,('BAU Total Primary Fuel Use'!N19-('BFPIaE-production'!P19-'BFPIaE-exports'!P19)),0)</f>
        <v>190250492700000</v>
      </c>
      <c r="Q19">
        <f>IF(('BAU Total Primary Fuel Use'!O19-('BFPIaE-production'!Q19-'BFPIaE-exports'!Q19))&gt;0,('BAU Total Primary Fuel Use'!O19-('BFPIaE-production'!Q19-'BFPIaE-exports'!Q19)),0)</f>
        <v>200042492700000</v>
      </c>
      <c r="R19">
        <f>IF(('BAU Total Primary Fuel Use'!P19-('BFPIaE-production'!R19-'BFPIaE-exports'!R19))&gt;0,('BAU Total Primary Fuel Use'!P19-('BFPIaE-production'!R19-'BFPIaE-exports'!R19)),0)</f>
        <v>211118492700000</v>
      </c>
      <c r="S19">
        <f>IF(('BAU Total Primary Fuel Use'!Q19-('BFPIaE-production'!S19-'BFPIaE-exports'!S19))&gt;0,('BAU Total Primary Fuel Use'!Q19-('BFPIaE-production'!S19-'BFPIaE-exports'!S19)),0)</f>
        <v>222194492700000</v>
      </c>
      <c r="T19">
        <f>IF(('BAU Total Primary Fuel Use'!R19-('BFPIaE-production'!T19-'BFPIaE-exports'!T19))&gt;0,('BAU Total Primary Fuel Use'!R19-('BFPIaE-production'!T19-'BFPIaE-exports'!T19)),0)</f>
        <v>233270492700000</v>
      </c>
      <c r="U19">
        <f>IF(('BAU Total Primary Fuel Use'!S19-('BFPIaE-production'!U19-'BFPIaE-exports'!U19))&gt;0,('BAU Total Primary Fuel Use'!S19-('BFPIaE-production'!U19-'BFPIaE-exports'!U19)),0)</f>
        <v>244346492700000</v>
      </c>
      <c r="V19">
        <f>IF(('BAU Total Primary Fuel Use'!T19-('BFPIaE-production'!V19-'BFPIaE-exports'!V19))&gt;0,('BAU Total Primary Fuel Use'!T19-('BFPIaE-production'!V19-'BFPIaE-exports'!V19)),0)</f>
        <v>255421492700000</v>
      </c>
      <c r="W19">
        <f>IF(('BAU Total Primary Fuel Use'!U19-('BFPIaE-production'!W19-'BFPIaE-exports'!W19))&gt;0,('BAU Total Primary Fuel Use'!U19-('BFPIaE-production'!W19-'BFPIaE-exports'!W19)),0)</f>
        <v>269829492700000</v>
      </c>
      <c r="X19">
        <f>IF(('BAU Total Primary Fuel Use'!V19-('BFPIaE-production'!X19-'BFPIaE-exports'!X19))&gt;0,('BAU Total Primary Fuel Use'!V19-('BFPIaE-production'!X19-'BFPIaE-exports'!X19)),0)</f>
        <v>284236492700000</v>
      </c>
      <c r="Y19">
        <f>IF(('BAU Total Primary Fuel Use'!W19-('BFPIaE-production'!Y19-'BFPIaE-exports'!Y19))&gt;0,('BAU Total Primary Fuel Use'!W19-('BFPIaE-production'!Y19-'BFPIaE-exports'!Y19)),0)</f>
        <v>298642492700000</v>
      </c>
      <c r="Z19">
        <f>IF(('BAU Total Primary Fuel Use'!X19-('BFPIaE-production'!Z19-'BFPIaE-exports'!Z19))&gt;0,('BAU Total Primary Fuel Use'!X19-('BFPIaE-production'!Z19-'BFPIaE-exports'!Z19)),0)</f>
        <v>313049492700000</v>
      </c>
      <c r="AA19">
        <f>IF(('BAU Total Primary Fuel Use'!Y19-('BFPIaE-production'!AA19-'BFPIaE-exports'!AA19))&gt;0,('BAU Total Primary Fuel Use'!Y19-('BFPIaE-production'!AA19-'BFPIaE-exports'!AA19)),0)</f>
        <v>327456492700000</v>
      </c>
      <c r="AB19">
        <f>IF(('BAU Total Primary Fuel Use'!Z19-('BFPIaE-production'!AB19-'BFPIaE-exports'!AB19))&gt;0,('BAU Total Primary Fuel Use'!Z19-('BFPIaE-production'!AB19-'BFPIaE-exports'!AB19)),0)</f>
        <v>338366492700000</v>
      </c>
      <c r="AC19">
        <f>IF(('BAU Total Primary Fuel Use'!AA19-('BFPIaE-production'!AC19-'BFPIaE-exports'!AC19))&gt;0,('BAU Total Primary Fuel Use'!AA19-('BFPIaE-production'!AC19-'BFPIaE-exports'!AC19)),0)</f>
        <v>349275492700000</v>
      </c>
      <c r="AD19">
        <f>IF(('BAU Total Primary Fuel Use'!AB19-('BFPIaE-production'!AD19-'BFPIaE-exports'!AD19))&gt;0,('BAU Total Primary Fuel Use'!AB19-('BFPIaE-production'!AD19-'BFPIaE-exports'!AD19)),0)</f>
        <v>360185492700000</v>
      </c>
      <c r="AE19">
        <f>IF(('BAU Total Primary Fuel Use'!AC19-('BFPIaE-production'!AE19-'BFPIaE-exports'!AE19))&gt;0,('BAU Total Primary Fuel Use'!AC19-('BFPIaE-production'!AE19-'BFPIaE-exports'!AE19)),0)</f>
        <v>371093492700000</v>
      </c>
    </row>
    <row r="20" spans="1:35">
      <c r="A20" s="25" t="s">
        <v>568</v>
      </c>
      <c r="B20" s="27">
        <f>'Petroleum Products'!C5</f>
        <v>767182655520000</v>
      </c>
      <c r="C20" s="27">
        <f>B20</f>
        <v>767182655520000</v>
      </c>
      <c r="D20" s="27">
        <f>IF(('BAU Total Primary Fuel Use'!B20-('BFPIaE-production'!D20-'BFPIaE-exports'!D20))&gt;0,('BAU Total Primary Fuel Use'!B20-('BFPIaE-production'!D20-'BFPIaE-exports'!D20)),0)</f>
        <v>1217888467525000</v>
      </c>
      <c r="E20" s="27">
        <f>IF(('BAU Total Primary Fuel Use'!C20-('BFPIaE-production'!E20-'BFPIaE-exports'!E20))&gt;0,('BAU Total Primary Fuel Use'!C20-('BFPIaE-production'!E20-'BFPIaE-exports'!E20)),0)</f>
        <v>1251848467525000</v>
      </c>
      <c r="F20" s="27">
        <f>IF(('BAU Total Primary Fuel Use'!D20-('BFPIaE-production'!F20-'BFPIaE-exports'!F20))&gt;0,('BAU Total Primary Fuel Use'!D20-('BFPIaE-production'!F20-'BFPIaE-exports'!F20)),0)</f>
        <v>1329818467525000</v>
      </c>
      <c r="G20" s="27">
        <f>IF(('BAU Total Primary Fuel Use'!E20-('BFPIaE-production'!G20-'BFPIaE-exports'!G20))&gt;0,('BAU Total Primary Fuel Use'!E20-('BFPIaE-production'!G20-'BFPIaE-exports'!G20)),0)</f>
        <v>1400998467525000</v>
      </c>
      <c r="H20" s="27">
        <f>IF(('BAU Total Primary Fuel Use'!F20-('BFPIaE-production'!H20-'BFPIaE-exports'!H20))&gt;0,('BAU Total Primary Fuel Use'!F20-('BFPIaE-production'!H20-'BFPIaE-exports'!H20)),0)</f>
        <v>1454948467525000</v>
      </c>
      <c r="I20" s="27">
        <f>IF(('BAU Total Primary Fuel Use'!G20-('BFPIaE-production'!I20-'BFPIaE-exports'!I20))&gt;0,('BAU Total Primary Fuel Use'!G20-('BFPIaE-production'!I20-'BFPIaE-exports'!I20)),0)</f>
        <v>1507228467525000</v>
      </c>
      <c r="J20" s="27">
        <f>IF(('BAU Total Primary Fuel Use'!H20-('BFPIaE-production'!J20-'BFPIaE-exports'!J20))&gt;0,('BAU Total Primary Fuel Use'!H20-('BFPIaE-production'!J20-'BFPIaE-exports'!J20)),0)</f>
        <v>1558528467525000</v>
      </c>
      <c r="K20" s="27">
        <f>IF(('BAU Total Primary Fuel Use'!I20-('BFPIaE-production'!K20-'BFPIaE-exports'!K20))&gt;0,('BAU Total Primary Fuel Use'!I20-('BFPIaE-production'!K20-'BFPIaE-exports'!K20)),0)</f>
        <v>1609168467525000</v>
      </c>
      <c r="L20" s="27">
        <f>IF(('BAU Total Primary Fuel Use'!J20-('BFPIaE-production'!L20-'BFPIaE-exports'!L20))&gt;0,('BAU Total Primary Fuel Use'!J20-('BFPIaE-production'!L20-'BFPIaE-exports'!L20)),0)</f>
        <v>1659608467525000</v>
      </c>
      <c r="M20" s="27">
        <f>IF(('BAU Total Primary Fuel Use'!K20-('BFPIaE-production'!M20-'BFPIaE-exports'!M20))&gt;0,('BAU Total Primary Fuel Use'!K20-('BFPIaE-production'!M20-'BFPIaE-exports'!M20)),0)</f>
        <v>1746478467525000</v>
      </c>
      <c r="N20" s="27">
        <f>IF(('BAU Total Primary Fuel Use'!L20-('BFPIaE-production'!N20-'BFPIaE-exports'!N20))&gt;0,('BAU Total Primary Fuel Use'!L20-('BFPIaE-production'!N20-'BFPIaE-exports'!N20)),0)</f>
        <v>1833338467525000</v>
      </c>
      <c r="O20" s="27">
        <f>IF(('BAU Total Primary Fuel Use'!M20-('BFPIaE-production'!O20-'BFPIaE-exports'!O20))&gt;0,('BAU Total Primary Fuel Use'!M20-('BFPIaE-production'!O20-'BFPIaE-exports'!O20)),0)</f>
        <v>1920028467525000</v>
      </c>
      <c r="P20" s="27">
        <f>IF(('BAU Total Primary Fuel Use'!N20-('BFPIaE-production'!P20-'BFPIaE-exports'!P20))&gt;0,('BAU Total Primary Fuel Use'!N20-('BFPIaE-production'!P20-'BFPIaE-exports'!P20)),0)</f>
        <v>2006658467525000</v>
      </c>
      <c r="Q20" s="27">
        <f>IF(('BAU Total Primary Fuel Use'!O20-('BFPIaE-production'!Q20-'BFPIaE-exports'!Q20))&gt;0,('BAU Total Primary Fuel Use'!O20-('BFPIaE-production'!Q20-'BFPIaE-exports'!Q20)),0)</f>
        <v>2093238467525000</v>
      </c>
      <c r="R20" s="27">
        <f>IF(('BAU Total Primary Fuel Use'!P20-('BFPIaE-production'!R20-'BFPIaE-exports'!R20))&gt;0,('BAU Total Primary Fuel Use'!P20-('BFPIaE-production'!R20-'BFPIaE-exports'!R20)),0)</f>
        <v>2143398467525000</v>
      </c>
      <c r="S20" s="27">
        <f>IF(('BAU Total Primary Fuel Use'!Q20-('BFPIaE-production'!S20-'BFPIaE-exports'!S20))&gt;0,('BAU Total Primary Fuel Use'!Q20-('BFPIaE-production'!S20-'BFPIaE-exports'!S20)),0)</f>
        <v>2193418467525000</v>
      </c>
      <c r="T20" s="27">
        <f>IF(('BAU Total Primary Fuel Use'!R20-('BFPIaE-production'!T20-'BFPIaE-exports'!T20))&gt;0,('BAU Total Primary Fuel Use'!R20-('BFPIaE-production'!T20-'BFPIaE-exports'!T20)),0)</f>
        <v>2243408467525000</v>
      </c>
      <c r="U20" s="27">
        <f>IF(('BAU Total Primary Fuel Use'!S20-('BFPIaE-production'!U20-'BFPIaE-exports'!U20))&gt;0,('BAU Total Primary Fuel Use'!S20-('BFPIaE-production'!U20-'BFPIaE-exports'!U20)),0)</f>
        <v>2293368467525000</v>
      </c>
      <c r="V20" s="27">
        <f>IF(('BAU Total Primary Fuel Use'!T20-('BFPIaE-production'!V20-'BFPIaE-exports'!V20))&gt;0,('BAU Total Primary Fuel Use'!T20-('BFPIaE-production'!V20-'BFPIaE-exports'!V20)),0)</f>
        <v>2343438467525000</v>
      </c>
      <c r="W20" s="27">
        <f>IF(('BAU Total Primary Fuel Use'!U20-('BFPIaE-production'!W20-'BFPIaE-exports'!W20))&gt;0,('BAU Total Primary Fuel Use'!U20-('BFPIaE-production'!W20-'BFPIaE-exports'!W20)),0)</f>
        <v>2374068467525000</v>
      </c>
      <c r="X20" s="27">
        <f>IF(('BAU Total Primary Fuel Use'!V20-('BFPIaE-production'!X20-'BFPIaE-exports'!X20))&gt;0,('BAU Total Primary Fuel Use'!V20-('BFPIaE-production'!X20-'BFPIaE-exports'!X20)),0)</f>
        <v>2404758467525000</v>
      </c>
      <c r="Y20" s="27">
        <f>IF(('BAU Total Primary Fuel Use'!W20-('BFPIaE-production'!Y20-'BFPIaE-exports'!Y20))&gt;0,('BAU Total Primary Fuel Use'!W20-('BFPIaE-production'!Y20-'BFPIaE-exports'!Y20)),0)</f>
        <v>2435318467525000</v>
      </c>
      <c r="Z20" s="27">
        <f>IF(('BAU Total Primary Fuel Use'!X20-('BFPIaE-production'!Z20-'BFPIaE-exports'!Z20))&gt;0,('BAU Total Primary Fuel Use'!X20-('BFPIaE-production'!Z20-'BFPIaE-exports'!Z20)),0)</f>
        <v>2465938467525000</v>
      </c>
      <c r="AA20" s="27">
        <f>IF(('BAU Total Primary Fuel Use'!Y20-('BFPIaE-production'!AA20-'BFPIaE-exports'!AA20))&gt;0,('BAU Total Primary Fuel Use'!Y20-('BFPIaE-production'!AA20-'BFPIaE-exports'!AA20)),0)</f>
        <v>2496428467525000</v>
      </c>
      <c r="AB20" s="27">
        <f>IF(('BAU Total Primary Fuel Use'!Z20-('BFPIaE-production'!AB20-'BFPIaE-exports'!AB20))&gt;0,('BAU Total Primary Fuel Use'!Z20-('BFPIaE-production'!AB20-'BFPIaE-exports'!AB20)),0)</f>
        <v>2523858467525000</v>
      </c>
      <c r="AC20" s="27">
        <f>IF(('BAU Total Primary Fuel Use'!AA20-('BFPIaE-production'!AC20-'BFPIaE-exports'!AC20))&gt;0,('BAU Total Primary Fuel Use'!AA20-('BFPIaE-production'!AC20-'BFPIaE-exports'!AC20)),0)</f>
        <v>2551168467525000</v>
      </c>
      <c r="AD20" s="27">
        <f>IF(('BAU Total Primary Fuel Use'!AB20-('BFPIaE-production'!AD20-'BFPIaE-exports'!AD20))&gt;0,('BAU Total Primary Fuel Use'!AB20-('BFPIaE-production'!AD20-'BFPIaE-exports'!AD20)),0)</f>
        <v>2578548467525000</v>
      </c>
      <c r="AE20" s="27">
        <f>IF(('BAU Total Primary Fuel Use'!AC20-('BFPIaE-production'!AE20-'BFPIaE-exports'!AE20))&gt;0,('BAU Total Primary Fuel Use'!AC20-('BFPIaE-production'!AE20-'BFPIaE-exports'!AE20)),0)</f>
        <v>2605798467525000</v>
      </c>
      <c r="AF20" s="27"/>
      <c r="AG20" s="27"/>
      <c r="AH20" s="27"/>
      <c r="AI20" s="27"/>
    </row>
    <row r="21" spans="1:35">
      <c r="A21" s="1" t="s">
        <v>569</v>
      </c>
      <c r="B21">
        <v>0</v>
      </c>
      <c r="C21">
        <f>B21</f>
        <v>0</v>
      </c>
      <c r="D21">
        <f t="shared" ref="D21:AI22" si="5">C21</f>
        <v>0</v>
      </c>
      <c r="E21">
        <f t="shared" si="5"/>
        <v>0</v>
      </c>
      <c r="F21">
        <f t="shared" si="5"/>
        <v>0</v>
      </c>
      <c r="G21">
        <f t="shared" si="5"/>
        <v>0</v>
      </c>
      <c r="H21">
        <f t="shared" si="5"/>
        <v>0</v>
      </c>
      <c r="I21">
        <f t="shared" si="5"/>
        <v>0</v>
      </c>
      <c r="J21">
        <f t="shared" si="5"/>
        <v>0</v>
      </c>
      <c r="K21">
        <f t="shared" si="5"/>
        <v>0</v>
      </c>
      <c r="L21">
        <f t="shared" si="5"/>
        <v>0</v>
      </c>
      <c r="M21">
        <f t="shared" si="5"/>
        <v>0</v>
      </c>
      <c r="N21">
        <f t="shared" si="5"/>
        <v>0</v>
      </c>
      <c r="O21">
        <f t="shared" si="5"/>
        <v>0</v>
      </c>
      <c r="P21">
        <f t="shared" si="5"/>
        <v>0</v>
      </c>
      <c r="Q21">
        <f t="shared" si="5"/>
        <v>0</v>
      </c>
      <c r="R21">
        <f t="shared" si="5"/>
        <v>0</v>
      </c>
      <c r="S21">
        <f t="shared" si="5"/>
        <v>0</v>
      </c>
      <c r="T21">
        <f t="shared" si="5"/>
        <v>0</v>
      </c>
      <c r="U21">
        <f t="shared" si="5"/>
        <v>0</v>
      </c>
      <c r="V21">
        <f t="shared" si="5"/>
        <v>0</v>
      </c>
      <c r="W21">
        <f t="shared" si="5"/>
        <v>0</v>
      </c>
      <c r="X21">
        <f t="shared" si="5"/>
        <v>0</v>
      </c>
      <c r="Y21">
        <f t="shared" si="5"/>
        <v>0</v>
      </c>
      <c r="Z21">
        <f t="shared" si="5"/>
        <v>0</v>
      </c>
      <c r="AA21">
        <f t="shared" si="5"/>
        <v>0</v>
      </c>
      <c r="AB21">
        <f t="shared" si="5"/>
        <v>0</v>
      </c>
      <c r="AC21">
        <f t="shared" si="5"/>
        <v>0</v>
      </c>
      <c r="AD21">
        <f t="shared" si="5"/>
        <v>0</v>
      </c>
      <c r="AE21">
        <f t="shared" si="5"/>
        <v>0</v>
      </c>
    </row>
    <row r="22" spans="1:35">
      <c r="A22" s="1" t="s">
        <v>570</v>
      </c>
      <c r="B22">
        <v>0</v>
      </c>
      <c r="C22">
        <f>B22</f>
        <v>0</v>
      </c>
      <c r="D22">
        <f t="shared" si="5"/>
        <v>0</v>
      </c>
      <c r="E22">
        <f t="shared" si="5"/>
        <v>0</v>
      </c>
      <c r="F22">
        <f t="shared" si="5"/>
        <v>0</v>
      </c>
      <c r="G22">
        <f t="shared" si="5"/>
        <v>0</v>
      </c>
      <c r="H22">
        <f t="shared" si="5"/>
        <v>0</v>
      </c>
      <c r="I22">
        <f t="shared" si="5"/>
        <v>0</v>
      </c>
      <c r="J22">
        <f t="shared" si="5"/>
        <v>0</v>
      </c>
      <c r="K22">
        <f t="shared" si="5"/>
        <v>0</v>
      </c>
      <c r="L22">
        <f t="shared" si="5"/>
        <v>0</v>
      </c>
      <c r="M22">
        <f t="shared" si="5"/>
        <v>0</v>
      </c>
      <c r="N22">
        <f t="shared" si="5"/>
        <v>0</v>
      </c>
      <c r="O22">
        <f t="shared" si="5"/>
        <v>0</v>
      </c>
      <c r="P22">
        <f t="shared" si="5"/>
        <v>0</v>
      </c>
      <c r="Q22">
        <f t="shared" si="5"/>
        <v>0</v>
      </c>
      <c r="R22">
        <f t="shared" si="5"/>
        <v>0</v>
      </c>
      <c r="S22">
        <f t="shared" si="5"/>
        <v>0</v>
      </c>
      <c r="T22">
        <f t="shared" si="5"/>
        <v>0</v>
      </c>
      <c r="U22">
        <f t="shared" si="5"/>
        <v>0</v>
      </c>
      <c r="V22">
        <f t="shared" si="5"/>
        <v>0</v>
      </c>
      <c r="W22">
        <f t="shared" si="5"/>
        <v>0</v>
      </c>
      <c r="X22">
        <f t="shared" si="5"/>
        <v>0</v>
      </c>
      <c r="Y22">
        <f t="shared" si="5"/>
        <v>0</v>
      </c>
      <c r="Z22">
        <f t="shared" si="5"/>
        <v>0</v>
      </c>
      <c r="AA22">
        <f t="shared" si="5"/>
        <v>0</v>
      </c>
      <c r="AB22">
        <f t="shared" si="5"/>
        <v>0</v>
      </c>
      <c r="AC22">
        <f t="shared" si="5"/>
        <v>0</v>
      </c>
      <c r="AD22">
        <f t="shared" si="5"/>
        <v>0</v>
      </c>
      <c r="AE22">
        <f t="shared" si="5"/>
        <v>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Y22"/>
  <sheetViews>
    <sheetView tabSelected="1" topLeftCell="AD1" workbookViewId="0">
      <selection activeCell="AF10" sqref="AF10"/>
    </sheetView>
  </sheetViews>
  <sheetFormatPr defaultRowHeight="14.5"/>
  <cols>
    <col min="1" max="1" width="36.26953125" customWidth="1"/>
    <col min="2" max="2" width="12" bestFit="1" customWidth="1"/>
    <col min="3" max="35" width="13" customWidth="1"/>
  </cols>
  <sheetData>
    <row r="1" spans="1:51">
      <c r="A1" s="11" t="s">
        <v>549</v>
      </c>
      <c r="B1" s="28">
        <v>2021</v>
      </c>
      <c r="C1" s="28">
        <v>2022</v>
      </c>
      <c r="D1" s="28">
        <v>2023</v>
      </c>
      <c r="E1" s="28">
        <v>2024</v>
      </c>
      <c r="F1" s="28">
        <v>2025</v>
      </c>
      <c r="G1" s="28">
        <v>2026</v>
      </c>
      <c r="H1" s="28">
        <v>2027</v>
      </c>
      <c r="I1" s="28">
        <v>2028</v>
      </c>
      <c r="J1" s="28">
        <v>2029</v>
      </c>
      <c r="K1" s="28">
        <v>2030</v>
      </c>
      <c r="L1" s="28">
        <v>2031</v>
      </c>
      <c r="M1" s="28">
        <v>2032</v>
      </c>
      <c r="N1" s="28">
        <v>2033</v>
      </c>
      <c r="O1" s="28">
        <v>2034</v>
      </c>
      <c r="P1" s="28">
        <v>2035</v>
      </c>
      <c r="Q1" s="28">
        <v>2036</v>
      </c>
      <c r="R1" s="28">
        <v>2037</v>
      </c>
      <c r="S1" s="28">
        <v>2038</v>
      </c>
      <c r="T1" s="28">
        <v>2039</v>
      </c>
      <c r="U1" s="28">
        <v>2040</v>
      </c>
      <c r="V1" s="28">
        <v>2041</v>
      </c>
      <c r="W1" s="28">
        <v>2042</v>
      </c>
      <c r="X1" s="28">
        <v>2043</v>
      </c>
      <c r="Y1" s="28">
        <v>2044</v>
      </c>
      <c r="Z1" s="28">
        <v>2045</v>
      </c>
      <c r="AA1" s="28">
        <v>2046</v>
      </c>
      <c r="AB1" s="28">
        <v>2047</v>
      </c>
      <c r="AC1" s="28">
        <v>2048</v>
      </c>
      <c r="AD1" s="28">
        <v>2049</v>
      </c>
      <c r="AE1" s="28">
        <v>2050</v>
      </c>
      <c r="AF1" s="28">
        <v>2051</v>
      </c>
      <c r="AG1" s="28">
        <v>2052</v>
      </c>
      <c r="AH1" s="28">
        <v>2053</v>
      </c>
      <c r="AI1" s="28">
        <v>2054</v>
      </c>
      <c r="AJ1" s="28">
        <v>2055</v>
      </c>
      <c r="AK1" s="28">
        <v>2056</v>
      </c>
      <c r="AL1" s="28">
        <v>2057</v>
      </c>
      <c r="AM1" s="28">
        <v>2058</v>
      </c>
      <c r="AN1" s="28">
        <v>2059</v>
      </c>
      <c r="AO1" s="28">
        <v>2060</v>
      </c>
      <c r="AP1" s="28">
        <v>2061</v>
      </c>
      <c r="AQ1" s="28">
        <v>2062</v>
      </c>
      <c r="AR1" s="28">
        <v>2063</v>
      </c>
      <c r="AS1" s="28">
        <v>2064</v>
      </c>
      <c r="AT1" s="28">
        <v>2065</v>
      </c>
      <c r="AU1" s="28">
        <v>2066</v>
      </c>
      <c r="AV1" s="28">
        <v>2067</v>
      </c>
      <c r="AW1" s="28">
        <v>2068</v>
      </c>
      <c r="AX1" s="28">
        <v>2069</v>
      </c>
      <c r="AY1" s="28">
        <v>2070</v>
      </c>
    </row>
    <row r="2" spans="1:51">
      <c r="A2" s="11" t="s">
        <v>550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51">
      <c r="A3" s="25" t="s">
        <v>551</v>
      </c>
      <c r="B3">
        <f>'Coal &amp; Lignite'!D5</f>
        <v>16678166860066.57</v>
      </c>
      <c r="C3">
        <f>B3</f>
        <v>16678166860066.57</v>
      </c>
      <c r="D3">
        <f t="shared" ref="D3:AI3" si="0">C3</f>
        <v>16678166860066.57</v>
      </c>
      <c r="E3">
        <f t="shared" si="0"/>
        <v>16678166860066.57</v>
      </c>
      <c r="F3">
        <f t="shared" si="0"/>
        <v>16678166860066.57</v>
      </c>
      <c r="G3">
        <f t="shared" si="0"/>
        <v>16678166860066.57</v>
      </c>
      <c r="H3">
        <f t="shared" si="0"/>
        <v>16678166860066.57</v>
      </c>
      <c r="I3">
        <f t="shared" si="0"/>
        <v>16678166860066.57</v>
      </c>
      <c r="J3">
        <f t="shared" si="0"/>
        <v>16678166860066.57</v>
      </c>
      <c r="K3">
        <f t="shared" si="0"/>
        <v>16678166860066.57</v>
      </c>
      <c r="L3">
        <f t="shared" si="0"/>
        <v>16678166860066.57</v>
      </c>
      <c r="M3">
        <f t="shared" si="0"/>
        <v>16678166860066.57</v>
      </c>
      <c r="N3">
        <f t="shared" si="0"/>
        <v>16678166860066.57</v>
      </c>
      <c r="O3">
        <f t="shared" si="0"/>
        <v>16678166860066.57</v>
      </c>
      <c r="P3">
        <f t="shared" si="0"/>
        <v>16678166860066.57</v>
      </c>
      <c r="Q3">
        <f t="shared" si="0"/>
        <v>16678166860066.57</v>
      </c>
      <c r="R3">
        <f t="shared" si="0"/>
        <v>16678166860066.57</v>
      </c>
      <c r="S3">
        <f t="shared" si="0"/>
        <v>16678166860066.57</v>
      </c>
      <c r="T3">
        <f t="shared" si="0"/>
        <v>16678166860066.57</v>
      </c>
      <c r="U3">
        <f t="shared" si="0"/>
        <v>16678166860066.57</v>
      </c>
      <c r="V3">
        <f t="shared" si="0"/>
        <v>16678166860066.57</v>
      </c>
      <c r="W3">
        <f t="shared" si="0"/>
        <v>16678166860066.57</v>
      </c>
      <c r="X3">
        <f t="shared" si="0"/>
        <v>16678166860066.57</v>
      </c>
      <c r="Y3">
        <f t="shared" si="0"/>
        <v>16678166860066.57</v>
      </c>
      <c r="Z3">
        <f t="shared" si="0"/>
        <v>16678166860066.57</v>
      </c>
      <c r="AA3">
        <f t="shared" si="0"/>
        <v>16678166860066.57</v>
      </c>
      <c r="AB3">
        <f t="shared" si="0"/>
        <v>16678166860066.57</v>
      </c>
      <c r="AC3">
        <f t="shared" si="0"/>
        <v>16678166860066.57</v>
      </c>
      <c r="AD3">
        <f t="shared" si="0"/>
        <v>16678166860066.57</v>
      </c>
      <c r="AE3">
        <f t="shared" si="0"/>
        <v>16678166860066.57</v>
      </c>
    </row>
    <row r="4" spans="1:51">
      <c r="A4" s="1" t="s">
        <v>552</v>
      </c>
      <c r="B4">
        <f>'Natural Gas'!D6</f>
        <v>0</v>
      </c>
      <c r="C4">
        <f>B4</f>
        <v>0</v>
      </c>
      <c r="D4">
        <f t="shared" ref="D4:AI4" si="1">C4</f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</row>
    <row r="5" spans="1:51">
      <c r="A5" s="1" t="s">
        <v>553</v>
      </c>
      <c r="B5">
        <v>0</v>
      </c>
      <c r="C5">
        <f>B5</f>
        <v>0</v>
      </c>
      <c r="D5">
        <f t="shared" ref="D5:AI5" si="2">C5</f>
        <v>0</v>
      </c>
      <c r="E5">
        <f t="shared" si="2"/>
        <v>0</v>
      </c>
      <c r="F5">
        <f t="shared" si="2"/>
        <v>0</v>
      </c>
      <c r="G5">
        <f t="shared" si="2"/>
        <v>0</v>
      </c>
      <c r="H5">
        <f t="shared" si="2"/>
        <v>0</v>
      </c>
      <c r="I5">
        <f t="shared" si="2"/>
        <v>0</v>
      </c>
      <c r="J5">
        <f t="shared" si="2"/>
        <v>0</v>
      </c>
      <c r="K5">
        <f t="shared" si="2"/>
        <v>0</v>
      </c>
      <c r="L5">
        <f t="shared" si="2"/>
        <v>0</v>
      </c>
      <c r="M5">
        <f t="shared" si="2"/>
        <v>0</v>
      </c>
      <c r="N5">
        <f t="shared" si="2"/>
        <v>0</v>
      </c>
      <c r="O5">
        <f t="shared" si="2"/>
        <v>0</v>
      </c>
      <c r="P5">
        <f t="shared" si="2"/>
        <v>0</v>
      </c>
      <c r="Q5">
        <f t="shared" si="2"/>
        <v>0</v>
      </c>
      <c r="R5">
        <f t="shared" si="2"/>
        <v>0</v>
      </c>
      <c r="S5">
        <f t="shared" si="2"/>
        <v>0</v>
      </c>
      <c r="T5">
        <f t="shared" si="2"/>
        <v>0</v>
      </c>
      <c r="U5">
        <f t="shared" si="2"/>
        <v>0</v>
      </c>
      <c r="V5">
        <f t="shared" si="2"/>
        <v>0</v>
      </c>
      <c r="W5">
        <f t="shared" si="2"/>
        <v>0</v>
      </c>
      <c r="X5">
        <f t="shared" si="2"/>
        <v>0</v>
      </c>
      <c r="Y5">
        <f t="shared" si="2"/>
        <v>0</v>
      </c>
      <c r="Z5">
        <f t="shared" si="2"/>
        <v>0</v>
      </c>
      <c r="AA5">
        <f t="shared" si="2"/>
        <v>0</v>
      </c>
      <c r="AB5">
        <f t="shared" si="2"/>
        <v>0</v>
      </c>
      <c r="AC5">
        <f t="shared" si="2"/>
        <v>0</v>
      </c>
      <c r="AD5">
        <f t="shared" si="2"/>
        <v>0</v>
      </c>
      <c r="AE5">
        <f t="shared" si="2"/>
        <v>0</v>
      </c>
    </row>
    <row r="6" spans="1:51">
      <c r="A6" s="1" t="s">
        <v>554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51">
      <c r="A7" s="1" t="s">
        <v>555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51">
      <c r="A8" s="1" t="s">
        <v>556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51">
      <c r="A9" s="1" t="s">
        <v>557</v>
      </c>
      <c r="B9">
        <v>0</v>
      </c>
      <c r="C9">
        <f>B9</f>
        <v>0</v>
      </c>
      <c r="D9">
        <f t="shared" ref="D9:AI9" si="3">C9</f>
        <v>0</v>
      </c>
      <c r="E9">
        <f t="shared" si="3"/>
        <v>0</v>
      </c>
      <c r="F9">
        <f t="shared" si="3"/>
        <v>0</v>
      </c>
      <c r="G9">
        <f t="shared" si="3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</v>
      </c>
      <c r="T9">
        <f t="shared" si="3"/>
        <v>0</v>
      </c>
      <c r="U9">
        <f t="shared" si="3"/>
        <v>0</v>
      </c>
      <c r="V9">
        <f t="shared" si="3"/>
        <v>0</v>
      </c>
      <c r="W9">
        <f t="shared" si="3"/>
        <v>0</v>
      </c>
      <c r="X9">
        <f t="shared" si="3"/>
        <v>0</v>
      </c>
      <c r="Y9">
        <f t="shared" si="3"/>
        <v>0</v>
      </c>
      <c r="Z9">
        <f t="shared" si="3"/>
        <v>0</v>
      </c>
      <c r="AA9">
        <f t="shared" si="3"/>
        <v>0</v>
      </c>
      <c r="AB9">
        <f t="shared" si="3"/>
        <v>0</v>
      </c>
      <c r="AC9">
        <f t="shared" si="3"/>
        <v>0</v>
      </c>
      <c r="AD9">
        <f t="shared" si="3"/>
        <v>0</v>
      </c>
      <c r="AE9">
        <f t="shared" si="3"/>
        <v>0</v>
      </c>
    </row>
    <row r="10" spans="1:51">
      <c r="A10" s="25" t="s">
        <v>558</v>
      </c>
      <c r="B10" s="27">
        <f>'Petroleum Products'!L6</f>
        <v>595210002590950.63</v>
      </c>
      <c r="C10" s="27">
        <f>B10</f>
        <v>595210002590950.63</v>
      </c>
      <c r="D10" s="27">
        <f t="shared" ref="D10:AI10" si="4">C10</f>
        <v>595210002590950.63</v>
      </c>
      <c r="E10" s="27">
        <f t="shared" si="4"/>
        <v>595210002590950.63</v>
      </c>
      <c r="F10" s="27">
        <f t="shared" si="4"/>
        <v>595210002590950.63</v>
      </c>
      <c r="G10" s="27">
        <f t="shared" si="4"/>
        <v>595210002590950.63</v>
      </c>
      <c r="H10" s="27">
        <f t="shared" si="4"/>
        <v>595210002590950.63</v>
      </c>
      <c r="I10" s="27">
        <f t="shared" si="4"/>
        <v>595210002590950.63</v>
      </c>
      <c r="J10" s="27">
        <f t="shared" si="4"/>
        <v>595210002590950.63</v>
      </c>
      <c r="K10" s="27">
        <f t="shared" si="4"/>
        <v>595210002590950.63</v>
      </c>
      <c r="L10" s="27">
        <f t="shared" si="4"/>
        <v>595210002590950.63</v>
      </c>
      <c r="M10" s="27">
        <f t="shared" si="4"/>
        <v>595210002590950.63</v>
      </c>
      <c r="N10" s="27">
        <f t="shared" si="4"/>
        <v>595210002590950.63</v>
      </c>
      <c r="O10" s="27">
        <f t="shared" si="4"/>
        <v>595210002590950.63</v>
      </c>
      <c r="P10" s="27">
        <f t="shared" si="4"/>
        <v>595210002590950.63</v>
      </c>
      <c r="Q10" s="27">
        <f t="shared" si="4"/>
        <v>595210002590950.63</v>
      </c>
      <c r="R10" s="27">
        <f t="shared" si="4"/>
        <v>595210002590950.63</v>
      </c>
      <c r="S10" s="27">
        <f t="shared" si="4"/>
        <v>595210002590950.63</v>
      </c>
      <c r="T10" s="27">
        <f t="shared" si="4"/>
        <v>595210002590950.63</v>
      </c>
      <c r="U10" s="27">
        <f t="shared" si="4"/>
        <v>595210002590950.63</v>
      </c>
      <c r="V10" s="27">
        <f t="shared" si="4"/>
        <v>595210002590950.63</v>
      </c>
      <c r="W10" s="27">
        <f t="shared" si="4"/>
        <v>595210002590950.63</v>
      </c>
      <c r="X10" s="27">
        <f t="shared" si="4"/>
        <v>595210002590950.63</v>
      </c>
      <c r="Y10" s="27">
        <f t="shared" si="4"/>
        <v>595210002590950.63</v>
      </c>
      <c r="Z10" s="27">
        <f t="shared" si="4"/>
        <v>595210002590950.63</v>
      </c>
      <c r="AA10" s="27">
        <f t="shared" si="4"/>
        <v>595210002590950.63</v>
      </c>
      <c r="AB10" s="27">
        <f t="shared" si="4"/>
        <v>595210002590950.63</v>
      </c>
      <c r="AC10" s="27">
        <f t="shared" si="4"/>
        <v>595210002590950.63</v>
      </c>
      <c r="AD10" s="27">
        <f t="shared" si="4"/>
        <v>595210002590950.63</v>
      </c>
      <c r="AE10" s="27">
        <f t="shared" si="4"/>
        <v>595210002590950.63</v>
      </c>
      <c r="AF10" s="27"/>
      <c r="AG10" s="27"/>
      <c r="AH10" s="27"/>
      <c r="AI10" s="27"/>
    </row>
    <row r="11" spans="1:51">
      <c r="A11" s="25" t="s">
        <v>559</v>
      </c>
      <c r="B11" s="27">
        <f>'Petroleum Products'!L13</f>
        <v>1434699111123970.3</v>
      </c>
      <c r="C11" s="27">
        <f>B11</f>
        <v>1434699111123970.3</v>
      </c>
      <c r="D11" s="27">
        <f t="shared" ref="D11:AI11" si="5">C11</f>
        <v>1434699111123970.3</v>
      </c>
      <c r="E11" s="27">
        <f t="shared" si="5"/>
        <v>1434699111123970.3</v>
      </c>
      <c r="F11" s="27">
        <f t="shared" si="5"/>
        <v>1434699111123970.3</v>
      </c>
      <c r="G11" s="27">
        <f t="shared" si="5"/>
        <v>1434699111123970.3</v>
      </c>
      <c r="H11" s="27">
        <f t="shared" si="5"/>
        <v>1434699111123970.3</v>
      </c>
      <c r="I11" s="27">
        <f t="shared" si="5"/>
        <v>1434699111123970.3</v>
      </c>
      <c r="J11" s="27">
        <f t="shared" si="5"/>
        <v>1434699111123970.3</v>
      </c>
      <c r="K11" s="27">
        <f t="shared" si="5"/>
        <v>1434699111123970.3</v>
      </c>
      <c r="L11" s="27">
        <f t="shared" si="5"/>
        <v>1434699111123970.3</v>
      </c>
      <c r="M11" s="27">
        <f t="shared" si="5"/>
        <v>1434699111123970.3</v>
      </c>
      <c r="N11" s="27">
        <f t="shared" si="5"/>
        <v>1434699111123970.3</v>
      </c>
      <c r="O11" s="27">
        <f t="shared" si="5"/>
        <v>1434699111123970.3</v>
      </c>
      <c r="P11" s="27">
        <f t="shared" si="5"/>
        <v>1434699111123970.3</v>
      </c>
      <c r="Q11" s="27">
        <f t="shared" si="5"/>
        <v>1434699111123970.3</v>
      </c>
      <c r="R11" s="27">
        <f t="shared" si="5"/>
        <v>1434699111123970.3</v>
      </c>
      <c r="S11" s="27">
        <f t="shared" si="5"/>
        <v>1434699111123970.3</v>
      </c>
      <c r="T11" s="27">
        <f t="shared" si="5"/>
        <v>1434699111123970.3</v>
      </c>
      <c r="U11" s="27">
        <f t="shared" si="5"/>
        <v>1434699111123970.3</v>
      </c>
      <c r="V11" s="27">
        <f t="shared" si="5"/>
        <v>1434699111123970.3</v>
      </c>
      <c r="W11" s="27">
        <f t="shared" si="5"/>
        <v>1434699111123970.3</v>
      </c>
      <c r="X11" s="27">
        <f t="shared" si="5"/>
        <v>1434699111123970.3</v>
      </c>
      <c r="Y11" s="27">
        <f t="shared" si="5"/>
        <v>1434699111123970.3</v>
      </c>
      <c r="Z11" s="27">
        <f t="shared" si="5"/>
        <v>1434699111123970.3</v>
      </c>
      <c r="AA11" s="27">
        <f t="shared" si="5"/>
        <v>1434699111123970.3</v>
      </c>
      <c r="AB11" s="27">
        <f t="shared" si="5"/>
        <v>1434699111123970.3</v>
      </c>
      <c r="AC11" s="27">
        <f t="shared" si="5"/>
        <v>1434699111123970.3</v>
      </c>
      <c r="AD11" s="27">
        <f t="shared" si="5"/>
        <v>1434699111123970.3</v>
      </c>
      <c r="AE11" s="27">
        <f t="shared" si="5"/>
        <v>1434699111123970.3</v>
      </c>
      <c r="AF11" s="27"/>
      <c r="AG11" s="27"/>
      <c r="AH11" s="27"/>
      <c r="AI11" s="27"/>
    </row>
    <row r="12" spans="1:51">
      <c r="A12" s="1" t="s">
        <v>560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51">
      <c r="A13" s="1" t="s">
        <v>561</v>
      </c>
      <c r="B13">
        <v>0</v>
      </c>
      <c r="C13">
        <f>B13</f>
        <v>0</v>
      </c>
      <c r="D13">
        <f t="shared" ref="D13:AI13" si="6">C13</f>
        <v>0</v>
      </c>
      <c r="E13">
        <f t="shared" si="6"/>
        <v>0</v>
      </c>
      <c r="F13">
        <f t="shared" si="6"/>
        <v>0</v>
      </c>
      <c r="G13">
        <f t="shared" si="6"/>
        <v>0</v>
      </c>
      <c r="H13">
        <f t="shared" si="6"/>
        <v>0</v>
      </c>
      <c r="I13">
        <f t="shared" si="6"/>
        <v>0</v>
      </c>
      <c r="J13">
        <f t="shared" si="6"/>
        <v>0</v>
      </c>
      <c r="K13">
        <f t="shared" si="6"/>
        <v>0</v>
      </c>
      <c r="L13">
        <f t="shared" si="6"/>
        <v>0</v>
      </c>
      <c r="M13">
        <f t="shared" si="6"/>
        <v>0</v>
      </c>
      <c r="N13">
        <f t="shared" si="6"/>
        <v>0</v>
      </c>
      <c r="O13">
        <f t="shared" si="6"/>
        <v>0</v>
      </c>
      <c r="P13">
        <f t="shared" si="6"/>
        <v>0</v>
      </c>
      <c r="Q13">
        <f t="shared" si="6"/>
        <v>0</v>
      </c>
      <c r="R13">
        <f t="shared" si="6"/>
        <v>0</v>
      </c>
      <c r="S13">
        <f t="shared" si="6"/>
        <v>0</v>
      </c>
      <c r="T13">
        <f t="shared" si="6"/>
        <v>0</v>
      </c>
      <c r="U13">
        <f t="shared" si="6"/>
        <v>0</v>
      </c>
      <c r="V13">
        <f t="shared" si="6"/>
        <v>0</v>
      </c>
      <c r="W13">
        <f t="shared" si="6"/>
        <v>0</v>
      </c>
      <c r="X13">
        <f t="shared" si="6"/>
        <v>0</v>
      </c>
      <c r="Y13">
        <f t="shared" si="6"/>
        <v>0</v>
      </c>
      <c r="Z13">
        <f t="shared" si="6"/>
        <v>0</v>
      </c>
      <c r="AA13">
        <f t="shared" si="6"/>
        <v>0</v>
      </c>
      <c r="AB13">
        <f t="shared" si="6"/>
        <v>0</v>
      </c>
      <c r="AC13">
        <f t="shared" si="6"/>
        <v>0</v>
      </c>
      <c r="AD13">
        <f t="shared" si="6"/>
        <v>0</v>
      </c>
      <c r="AE13">
        <f t="shared" si="6"/>
        <v>0</v>
      </c>
    </row>
    <row r="14" spans="1:51">
      <c r="A14" s="25" t="s">
        <v>562</v>
      </c>
      <c r="B14" s="27">
        <f>C14</f>
        <v>0</v>
      </c>
      <c r="C14" s="27">
        <f>D14</f>
        <v>0</v>
      </c>
      <c r="D14" s="27">
        <f>'Petroleum Products'!B32</f>
        <v>0</v>
      </c>
      <c r="E14" s="27">
        <f>'Petroleum Products'!C32</f>
        <v>98939015076047</v>
      </c>
      <c r="F14" s="27">
        <f>'Petroleum Products'!D32</f>
        <v>76296015076047</v>
      </c>
      <c r="G14" s="27">
        <f>'Petroleum Products'!E32</f>
        <v>71874015076047</v>
      </c>
      <c r="H14" s="27">
        <f>'Petroleum Products'!F32</f>
        <v>24163015076047</v>
      </c>
      <c r="I14" s="27">
        <f>'Petroleum Products'!G32</f>
        <v>0</v>
      </c>
      <c r="J14" s="27">
        <f>'Petroleum Products'!H32</f>
        <v>0</v>
      </c>
      <c r="K14" s="27">
        <f>'Petroleum Products'!I32</f>
        <v>0</v>
      </c>
      <c r="L14" s="27">
        <f>'Petroleum Products'!J32</f>
        <v>0</v>
      </c>
      <c r="M14" s="27">
        <f>'Petroleum Products'!K32</f>
        <v>0</v>
      </c>
      <c r="N14" s="27">
        <f>'Petroleum Products'!L32</f>
        <v>0</v>
      </c>
      <c r="O14" s="27">
        <f>'Petroleum Products'!M32</f>
        <v>0</v>
      </c>
      <c r="P14" s="27">
        <f>'Petroleum Products'!N32</f>
        <v>0</v>
      </c>
      <c r="Q14" s="27">
        <f>'Petroleum Products'!O32</f>
        <v>0</v>
      </c>
      <c r="R14" s="27">
        <f>'Petroleum Products'!P32</f>
        <v>0</v>
      </c>
      <c r="S14" s="27">
        <f>'Petroleum Products'!Q32</f>
        <v>0</v>
      </c>
      <c r="T14" s="27">
        <f>'Petroleum Products'!R32</f>
        <v>0</v>
      </c>
      <c r="U14" s="27">
        <f>'Petroleum Products'!S32</f>
        <v>0</v>
      </c>
      <c r="V14" s="27">
        <f>'Petroleum Products'!T32</f>
        <v>0</v>
      </c>
      <c r="W14" s="27">
        <f>'Petroleum Products'!U32</f>
        <v>0</v>
      </c>
      <c r="X14" s="27">
        <f>'Petroleum Products'!V32</f>
        <v>0</v>
      </c>
      <c r="Y14" s="27">
        <f>'Petroleum Products'!W32</f>
        <v>0</v>
      </c>
      <c r="Z14" s="27">
        <f>'Petroleum Products'!X32</f>
        <v>0</v>
      </c>
      <c r="AA14" s="27">
        <f>'Petroleum Products'!Y32</f>
        <v>0</v>
      </c>
      <c r="AB14" s="27">
        <f>'Petroleum Products'!Z32</f>
        <v>0</v>
      </c>
      <c r="AC14" s="27">
        <f>'Petroleum Products'!AA32</f>
        <v>0</v>
      </c>
      <c r="AD14" s="27">
        <f>'Petroleum Products'!AB32</f>
        <v>0</v>
      </c>
      <c r="AE14" s="27">
        <f>'Petroleum Products'!AC32</f>
        <v>0</v>
      </c>
      <c r="AF14" s="27"/>
      <c r="AG14" s="27"/>
      <c r="AH14" s="27"/>
      <c r="AI14" s="27"/>
    </row>
    <row r="15" spans="1:51">
      <c r="A15" s="1" t="s">
        <v>571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51">
      <c r="A16" s="1" t="s">
        <v>564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5">
      <c r="A17" s="25" t="s">
        <v>565</v>
      </c>
      <c r="B17">
        <f>'Coal &amp; Lignite'!D15</f>
        <v>58666666666.666664</v>
      </c>
      <c r="C17">
        <f>B17</f>
        <v>58666666666.666664</v>
      </c>
      <c r="D17">
        <f t="shared" ref="D17:AI17" si="7">C17</f>
        <v>58666666666.666664</v>
      </c>
      <c r="E17">
        <f t="shared" si="7"/>
        <v>58666666666.666664</v>
      </c>
      <c r="F17">
        <f t="shared" si="7"/>
        <v>58666666666.666664</v>
      </c>
      <c r="G17">
        <f t="shared" si="7"/>
        <v>58666666666.666664</v>
      </c>
      <c r="H17">
        <f t="shared" si="7"/>
        <v>58666666666.666664</v>
      </c>
      <c r="I17">
        <f t="shared" si="7"/>
        <v>58666666666.666664</v>
      </c>
      <c r="J17">
        <f t="shared" si="7"/>
        <v>58666666666.666664</v>
      </c>
      <c r="K17">
        <f t="shared" si="7"/>
        <v>58666666666.666664</v>
      </c>
      <c r="L17">
        <f t="shared" si="7"/>
        <v>58666666666.666664</v>
      </c>
      <c r="M17">
        <f t="shared" si="7"/>
        <v>58666666666.666664</v>
      </c>
      <c r="N17">
        <f t="shared" si="7"/>
        <v>58666666666.666664</v>
      </c>
      <c r="O17">
        <f t="shared" si="7"/>
        <v>58666666666.666664</v>
      </c>
      <c r="P17">
        <f t="shared" si="7"/>
        <v>58666666666.666664</v>
      </c>
      <c r="Q17">
        <f t="shared" si="7"/>
        <v>58666666666.666664</v>
      </c>
      <c r="R17">
        <f t="shared" si="7"/>
        <v>58666666666.666664</v>
      </c>
      <c r="S17">
        <f t="shared" si="7"/>
        <v>58666666666.666664</v>
      </c>
      <c r="T17">
        <f t="shared" si="7"/>
        <v>58666666666.666664</v>
      </c>
      <c r="U17">
        <f t="shared" si="7"/>
        <v>58666666666.666664</v>
      </c>
      <c r="V17">
        <f t="shared" si="7"/>
        <v>58666666666.666664</v>
      </c>
      <c r="W17">
        <f t="shared" si="7"/>
        <v>58666666666.666664</v>
      </c>
      <c r="X17">
        <f t="shared" si="7"/>
        <v>58666666666.666664</v>
      </c>
      <c r="Y17">
        <f t="shared" si="7"/>
        <v>58666666666.666664</v>
      </c>
      <c r="Z17">
        <f t="shared" si="7"/>
        <v>58666666666.666664</v>
      </c>
      <c r="AA17">
        <f t="shared" si="7"/>
        <v>58666666666.666664</v>
      </c>
      <c r="AB17">
        <f t="shared" si="7"/>
        <v>58666666666.666664</v>
      </c>
      <c r="AC17">
        <f t="shared" si="7"/>
        <v>58666666666.666664</v>
      </c>
      <c r="AD17">
        <f t="shared" si="7"/>
        <v>58666666666.666664</v>
      </c>
      <c r="AE17">
        <f t="shared" si="7"/>
        <v>58666666666.666664</v>
      </c>
    </row>
    <row r="18" spans="1:35">
      <c r="A18" s="1" t="s">
        <v>566</v>
      </c>
      <c r="B18">
        <f>'Crude Oil'!D7</f>
        <v>0</v>
      </c>
      <c r="C18">
        <f>B18</f>
        <v>0</v>
      </c>
      <c r="D18">
        <f t="shared" ref="D18:AI18" si="8">C18</f>
        <v>0</v>
      </c>
      <c r="E18">
        <f t="shared" si="8"/>
        <v>0</v>
      </c>
      <c r="F18">
        <f t="shared" si="8"/>
        <v>0</v>
      </c>
      <c r="G18">
        <f t="shared" si="8"/>
        <v>0</v>
      </c>
      <c r="H18">
        <f t="shared" si="8"/>
        <v>0</v>
      </c>
      <c r="I18">
        <f t="shared" si="8"/>
        <v>0</v>
      </c>
      <c r="J18">
        <f t="shared" si="8"/>
        <v>0</v>
      </c>
      <c r="K18">
        <f t="shared" si="8"/>
        <v>0</v>
      </c>
      <c r="L18">
        <f t="shared" si="8"/>
        <v>0</v>
      </c>
      <c r="M18">
        <f t="shared" si="8"/>
        <v>0</v>
      </c>
      <c r="N18">
        <f t="shared" si="8"/>
        <v>0</v>
      </c>
      <c r="O18">
        <f t="shared" si="8"/>
        <v>0</v>
      </c>
      <c r="P18">
        <f t="shared" si="8"/>
        <v>0</v>
      </c>
      <c r="Q18">
        <f t="shared" si="8"/>
        <v>0</v>
      </c>
      <c r="R18">
        <f t="shared" si="8"/>
        <v>0</v>
      </c>
      <c r="S18">
        <f t="shared" si="8"/>
        <v>0</v>
      </c>
      <c r="T18">
        <f t="shared" si="8"/>
        <v>0</v>
      </c>
      <c r="U18">
        <f t="shared" si="8"/>
        <v>0</v>
      </c>
      <c r="V18">
        <f t="shared" si="8"/>
        <v>0</v>
      </c>
      <c r="W18">
        <f t="shared" si="8"/>
        <v>0</v>
      </c>
      <c r="X18">
        <f t="shared" si="8"/>
        <v>0</v>
      </c>
      <c r="Y18">
        <f t="shared" si="8"/>
        <v>0</v>
      </c>
      <c r="Z18">
        <f t="shared" si="8"/>
        <v>0</v>
      </c>
      <c r="AA18">
        <f t="shared" si="8"/>
        <v>0</v>
      </c>
      <c r="AB18">
        <f t="shared" si="8"/>
        <v>0</v>
      </c>
      <c r="AC18">
        <f t="shared" si="8"/>
        <v>0</v>
      </c>
      <c r="AD18">
        <f t="shared" si="8"/>
        <v>0</v>
      </c>
      <c r="AE18">
        <f t="shared" si="8"/>
        <v>0</v>
      </c>
    </row>
    <row r="19" spans="1:35">
      <c r="A19" s="25" t="s">
        <v>567</v>
      </c>
      <c r="B19">
        <f>'Petroleum Products'!D21</f>
        <v>105596954960000</v>
      </c>
      <c r="C19">
        <f>B19</f>
        <v>105596954960000</v>
      </c>
      <c r="D19">
        <f t="shared" ref="D19:AI19" si="9">C19</f>
        <v>105596954960000</v>
      </c>
      <c r="E19">
        <f t="shared" si="9"/>
        <v>105596954960000</v>
      </c>
      <c r="F19">
        <f t="shared" si="9"/>
        <v>105596954960000</v>
      </c>
      <c r="G19">
        <f t="shared" si="9"/>
        <v>105596954960000</v>
      </c>
      <c r="H19">
        <f t="shared" si="9"/>
        <v>105596954960000</v>
      </c>
      <c r="I19">
        <f t="shared" si="9"/>
        <v>105596954960000</v>
      </c>
      <c r="J19">
        <f t="shared" si="9"/>
        <v>105596954960000</v>
      </c>
      <c r="K19">
        <f t="shared" si="9"/>
        <v>105596954960000</v>
      </c>
      <c r="L19">
        <f t="shared" si="9"/>
        <v>105596954960000</v>
      </c>
      <c r="M19">
        <f t="shared" si="9"/>
        <v>105596954960000</v>
      </c>
      <c r="N19">
        <f t="shared" si="9"/>
        <v>105596954960000</v>
      </c>
      <c r="O19">
        <f t="shared" si="9"/>
        <v>105596954960000</v>
      </c>
      <c r="P19">
        <f t="shared" si="9"/>
        <v>105596954960000</v>
      </c>
      <c r="Q19">
        <f t="shared" si="9"/>
        <v>105596954960000</v>
      </c>
      <c r="R19">
        <f t="shared" si="9"/>
        <v>105596954960000</v>
      </c>
      <c r="S19">
        <f t="shared" si="9"/>
        <v>105596954960000</v>
      </c>
      <c r="T19">
        <f t="shared" si="9"/>
        <v>105596954960000</v>
      </c>
      <c r="U19">
        <f t="shared" si="9"/>
        <v>105596954960000</v>
      </c>
      <c r="V19">
        <f t="shared" si="9"/>
        <v>105596954960000</v>
      </c>
      <c r="W19">
        <f t="shared" si="9"/>
        <v>105596954960000</v>
      </c>
      <c r="X19">
        <f t="shared" si="9"/>
        <v>105596954960000</v>
      </c>
      <c r="Y19">
        <f t="shared" si="9"/>
        <v>105596954960000</v>
      </c>
      <c r="Z19">
        <f t="shared" si="9"/>
        <v>105596954960000</v>
      </c>
      <c r="AA19">
        <f t="shared" si="9"/>
        <v>105596954960000</v>
      </c>
      <c r="AB19">
        <f t="shared" si="9"/>
        <v>105596954960000</v>
      </c>
      <c r="AC19">
        <f t="shared" si="9"/>
        <v>105596954960000</v>
      </c>
      <c r="AD19">
        <f t="shared" si="9"/>
        <v>105596954960000</v>
      </c>
      <c r="AE19">
        <f t="shared" si="9"/>
        <v>105596954960000</v>
      </c>
    </row>
    <row r="20" spans="1:35">
      <c r="A20" s="25" t="s">
        <v>568</v>
      </c>
      <c r="B20" s="27">
        <f>'Petroleum Products'!D5</f>
        <v>22988592423000</v>
      </c>
      <c r="C20" s="27">
        <f>B20</f>
        <v>22988592423000</v>
      </c>
      <c r="D20" s="27">
        <f t="shared" ref="D20:AI20" si="10">C20</f>
        <v>22988592423000</v>
      </c>
      <c r="E20" s="27">
        <f t="shared" si="10"/>
        <v>22988592423000</v>
      </c>
      <c r="F20" s="27">
        <f t="shared" si="10"/>
        <v>22988592423000</v>
      </c>
      <c r="G20" s="27">
        <f t="shared" si="10"/>
        <v>22988592423000</v>
      </c>
      <c r="H20" s="27">
        <f t="shared" si="10"/>
        <v>22988592423000</v>
      </c>
      <c r="I20" s="27">
        <f t="shared" si="10"/>
        <v>22988592423000</v>
      </c>
      <c r="J20" s="27">
        <f t="shared" si="10"/>
        <v>22988592423000</v>
      </c>
      <c r="K20" s="27">
        <f t="shared" si="10"/>
        <v>22988592423000</v>
      </c>
      <c r="L20" s="27">
        <f t="shared" si="10"/>
        <v>22988592423000</v>
      </c>
      <c r="M20" s="27">
        <f t="shared" si="10"/>
        <v>22988592423000</v>
      </c>
      <c r="N20" s="27">
        <f t="shared" si="10"/>
        <v>22988592423000</v>
      </c>
      <c r="O20" s="27">
        <f t="shared" si="10"/>
        <v>22988592423000</v>
      </c>
      <c r="P20" s="27">
        <f t="shared" si="10"/>
        <v>22988592423000</v>
      </c>
      <c r="Q20" s="27">
        <f t="shared" si="10"/>
        <v>22988592423000</v>
      </c>
      <c r="R20" s="27">
        <f t="shared" si="10"/>
        <v>22988592423000</v>
      </c>
      <c r="S20" s="27">
        <f t="shared" si="10"/>
        <v>22988592423000</v>
      </c>
      <c r="T20" s="27">
        <f t="shared" si="10"/>
        <v>22988592423000</v>
      </c>
      <c r="U20" s="27">
        <f t="shared" si="10"/>
        <v>22988592423000</v>
      </c>
      <c r="V20" s="27">
        <f t="shared" si="10"/>
        <v>22988592423000</v>
      </c>
      <c r="W20" s="27">
        <f t="shared" si="10"/>
        <v>22988592423000</v>
      </c>
      <c r="X20" s="27">
        <f t="shared" si="10"/>
        <v>22988592423000</v>
      </c>
      <c r="Y20" s="27">
        <f t="shared" si="10"/>
        <v>22988592423000</v>
      </c>
      <c r="Z20" s="27">
        <f t="shared" si="10"/>
        <v>22988592423000</v>
      </c>
      <c r="AA20" s="27">
        <f t="shared" si="10"/>
        <v>22988592423000</v>
      </c>
      <c r="AB20" s="27">
        <f t="shared" si="10"/>
        <v>22988592423000</v>
      </c>
      <c r="AC20" s="27">
        <f t="shared" si="10"/>
        <v>22988592423000</v>
      </c>
      <c r="AD20" s="27">
        <f t="shared" si="10"/>
        <v>22988592423000</v>
      </c>
      <c r="AE20" s="27">
        <f t="shared" si="10"/>
        <v>22988592423000</v>
      </c>
      <c r="AF20" s="27"/>
      <c r="AG20" s="27"/>
      <c r="AH20" s="27"/>
      <c r="AI20" s="27"/>
    </row>
    <row r="21" spans="1:35">
      <c r="A21" s="1" t="s">
        <v>569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5">
      <c r="A22" s="1" t="s">
        <v>570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AB9194-6EE7-4E6A-A5A2-2B770ED834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1D49F9-F594-4BE2-8484-03374E42C9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B22691-8A45-4A72-8510-7F95BCDD730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Conversion Factors</vt:lpstr>
      <vt:lpstr>Heat content of coal</vt:lpstr>
      <vt:lpstr>BAU Total Primary Fuel Use</vt:lpstr>
      <vt:lpstr>Crude Oil</vt:lpstr>
      <vt:lpstr>Natural Gas</vt:lpstr>
      <vt:lpstr>Petroleum Products</vt:lpstr>
      <vt:lpstr>Coal &amp; Lignite</vt:lpstr>
      <vt:lpstr>Biofuels</vt:lpstr>
      <vt:lpstr>MSW</vt:lpstr>
      <vt:lpstr>Biomass</vt:lpstr>
      <vt:lpstr>Nuclear</vt:lpstr>
      <vt:lpstr>AEO Table 73</vt:lpstr>
      <vt:lpstr>BFPIaE-production</vt:lpstr>
      <vt:lpstr>BFPIaE-imports</vt:lpstr>
      <vt:lpstr>BFPIaE-exports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Mary Francis Swint</cp:lastModifiedBy>
  <cp:revision/>
  <dcterms:created xsi:type="dcterms:W3CDTF">2019-07-26T21:45:06Z</dcterms:created>
  <dcterms:modified xsi:type="dcterms:W3CDTF">2024-07-03T15:28:31Z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