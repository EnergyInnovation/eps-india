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https://onewri-my.sharepoint.com/personal/khushi_parakh_wri_org/Documents/Desktop/EPS update/current WIP/"/>
    </mc:Choice>
  </mc:AlternateContent>
  <xr:revisionPtr revIDLastSave="140" documentId="13_ncr:1_{6EB37FF9-DC7A-43A7-A458-56F2E308DCA6}" xr6:coauthVersionLast="47" xr6:coauthVersionMax="47" xr10:uidLastSave="{652A4E09-A689-41A2-A002-47552A44A51D}"/>
  <bookViews>
    <workbookView xWindow="-110" yWindow="-110" windowWidth="19420" windowHeight="10300" activeTab="2" xr2:uid="{00000000-000D-0000-FFFF-FFFF00000000}"/>
  </bookViews>
  <sheets>
    <sheet name="About" sheetId="1" r:id="rId1"/>
    <sheet name="Calculations" sheetId="4" r:id="rId2"/>
    <sheet name="BRASC" sheetId="3" r:id="rId3"/>
  </sheets>
  <definedNames>
    <definedName name="income">Calculations!$B$10</definedName>
    <definedName name="Range_EV">Calculations!$B$9</definedName>
    <definedName name="range_ICE">Calculations!$B$8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G2" i="3" l="1" a="1"/>
  <c r="AG2" i="3" s="1"/>
  <c r="AH2" i="3" a="1"/>
  <c r="AH2" i="3"/>
  <c r="AI2" i="3" a="1"/>
  <c r="AI2" i="3"/>
  <c r="AJ2" i="3" a="1"/>
  <c r="AJ2" i="3"/>
  <c r="AK2" i="3" a="1"/>
  <c r="AK2" i="3"/>
  <c r="AL2" i="3" a="1"/>
  <c r="AL2" i="3"/>
  <c r="AM2" i="3" a="1"/>
  <c r="AM2" i="3" s="1"/>
  <c r="AN2" i="3" a="1"/>
  <c r="AN2" i="3"/>
  <c r="AO2" i="3" a="1"/>
  <c r="AO2" i="3"/>
  <c r="AP2" i="3" a="1"/>
  <c r="AP2" i="3"/>
  <c r="AQ2" i="3" a="1"/>
  <c r="AQ2" i="3"/>
  <c r="AR2" i="3" a="1"/>
  <c r="AR2" i="3"/>
  <c r="AS2" i="3" a="1"/>
  <c r="AS2" i="3" s="1"/>
  <c r="AT2" i="3" a="1"/>
  <c r="AT2" i="3" s="1"/>
  <c r="AF2" i="3" a="1"/>
  <c r="AF2" i="3" s="1"/>
  <c r="E14" i="4"/>
  <c r="D14" i="4"/>
  <c r="C14" i="4"/>
  <c r="B14" i="4"/>
  <c r="B10" i="4"/>
  <c r="E10" i="4" s="1"/>
  <c r="D9" i="4" l="1"/>
  <c r="C9" i="4"/>
  <c r="B9" i="4"/>
  <c r="I11" i="4"/>
  <c r="C10" i="4"/>
  <c r="D10" i="4"/>
  <c r="D8" i="4"/>
  <c r="S2" i="3" l="1" a="1"/>
  <c r="S2" i="3" s="1"/>
  <c r="B2" i="3" a="1"/>
  <c r="B2" i="3" s="1"/>
  <c r="C2" i="3" a="1"/>
  <c r="C2" i="3" s="1"/>
  <c r="F2" i="3" a="1"/>
  <c r="F2" i="3" s="1"/>
  <c r="J2" i="3" a="1"/>
  <c r="J2" i="3" s="1"/>
  <c r="G2" i="3" a="1"/>
  <c r="G2" i="3" s="1"/>
  <c r="K2" i="3" a="1"/>
  <c r="K2" i="3" s="1"/>
  <c r="H2" i="3" a="1"/>
  <c r="H2" i="3" s="1"/>
  <c r="I2" i="3" a="1"/>
  <c r="I2" i="3" s="1"/>
  <c r="D2" i="3" a="1"/>
  <c r="D2" i="3" s="1"/>
  <c r="L2" i="3" a="1"/>
  <c r="L2" i="3" s="1"/>
  <c r="E2" i="3" a="1"/>
  <c r="E2" i="3" s="1"/>
  <c r="Y2" i="3" a="1"/>
  <c r="Y2" i="3" s="1"/>
  <c r="AE2" i="3" a="1"/>
  <c r="AE2" i="3" s="1"/>
  <c r="O2" i="3" a="1"/>
  <c r="O2" i="3" s="1"/>
  <c r="T2" i="3" a="1"/>
  <c r="T2" i="3" s="1"/>
  <c r="AB2" i="3" a="1"/>
  <c r="AB2" i="3" s="1"/>
  <c r="U2" i="3" a="1"/>
  <c r="U2" i="3" s="1"/>
  <c r="Z2" i="3" a="1"/>
  <c r="Z2" i="3" s="1"/>
  <c r="W2" i="3" a="1"/>
  <c r="W2" i="3" s="1"/>
  <c r="Q2" i="3" a="1"/>
  <c r="Q2" i="3" s="1"/>
  <c r="V2" i="3" a="1"/>
  <c r="V2" i="3" s="1"/>
  <c r="N2" i="3" l="1" a="1"/>
  <c r="N2" i="3" s="1"/>
  <c r="P2" i="3" a="1"/>
  <c r="P2" i="3" s="1"/>
  <c r="R2" i="3" a="1"/>
  <c r="R2" i="3" s="1"/>
  <c r="AC2" i="3" a="1"/>
  <c r="AC2" i="3" s="1"/>
  <c r="AD2" i="3" a="1"/>
  <c r="AD2" i="3" s="1"/>
  <c r="AA2" i="3" a="1"/>
  <c r="AA2" i="3" s="1"/>
  <c r="X2" i="3" a="1"/>
  <c r="X2" i="3" s="1"/>
  <c r="M2" i="3" a="1"/>
  <c r="M2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<sst xmlns="http://schemas.openxmlformats.org/spreadsheetml/2006/main" count="55" uniqueCount="54">
  <si>
    <t>Source:</t>
  </si>
  <si>
    <t>Notes</t>
  </si>
  <si>
    <t>Shadow cost</t>
  </si>
  <si>
    <t>This variable represents the perceived cost of range anxiety - the fear (or inconvenience around) that</t>
  </si>
  <si>
    <t>the vehicle has insufficient range to reach its destination.</t>
  </si>
  <si>
    <t>Cost ($/vehicle)</t>
  </si>
  <si>
    <t>income (thousand USD)</t>
  </si>
  <si>
    <t>range ev (hundred miles)</t>
  </si>
  <si>
    <t>b4</t>
  </si>
  <si>
    <t>b3</t>
  </si>
  <si>
    <t>b2</t>
  </si>
  <si>
    <t>b1</t>
  </si>
  <si>
    <t>Range Compensating Value</t>
  </si>
  <si>
    <t>cv (thousand USD)</t>
  </si>
  <si>
    <t>2019 to 2012 USD</t>
  </si>
  <si>
    <t>Range and Fueling Availability 'Costs'</t>
  </si>
  <si>
    <t>US Department of Energy</t>
  </si>
  <si>
    <t>https://www.nrel.gov/docs/fy13osti/55639.pdf</t>
  </si>
  <si>
    <t>Gasoline vehicle range</t>
  </si>
  <si>
    <t>All-Electric Vehicle Ranges Can Exceed Those of Some Gasoline Vehicles</t>
  </si>
  <si>
    <t>https://www.energy.gov/eere/vehicles/fact-939-august-22-2016-all-electric-vehicle-ranges-can-exceed-those-some-gasoline</t>
  </si>
  <si>
    <t>First Figure</t>
  </si>
  <si>
    <t>median range ice (hundred miles)</t>
  </si>
  <si>
    <t>EV range</t>
  </si>
  <si>
    <t>In the US, we use a DOE study to calculate a Range Compensating Value and a Fuel Availability Value.</t>
  </si>
  <si>
    <t>The Range Compensating Value uses parameters from the DOE study, the median household income,</t>
  </si>
  <si>
    <t>Currency Conversion</t>
  </si>
  <si>
    <t xml:space="preserve">*2020 median range taken from historical data. 2030 and 2050 are estimated, with the 2050 </t>
  </si>
  <si>
    <t>range roughly corresponding to today's maximum range</t>
  </si>
  <si>
    <t>BRAaCTSC BAU Range Anxiety Shadow Cost</t>
  </si>
  <si>
    <t>EV Range</t>
  </si>
  <si>
    <t>Model</t>
  </si>
  <si>
    <t>Curvv EV 55 kWh</t>
  </si>
  <si>
    <t>Curvv.ev 45 kWh</t>
  </si>
  <si>
    <t>Nexon.ev 40.5 kWh</t>
  </si>
  <si>
    <t>Nexon.ev 30 kWh</t>
  </si>
  <si>
    <t>Punch.ev 35 kWh</t>
  </si>
  <si>
    <t>Punch.ev 25 kWh</t>
  </si>
  <si>
    <t>Tiago.ev 24 kWh</t>
  </si>
  <si>
    <t>Tiago.ev 19.2 kWh</t>
  </si>
  <si>
    <t>Median</t>
  </si>
  <si>
    <t>Urban+Extra Urban (P1+P2) (kms) 
[MoRTH declaration mandate. Simulates city and highway driving]</t>
  </si>
  <si>
    <t>Tata Motors EV</t>
  </si>
  <si>
    <t>https://ev.tatamotors.com/articles/press-releases/driving-range-declaration.html</t>
  </si>
  <si>
    <t>Driving Range Declaration</t>
  </si>
  <si>
    <t>and the median ranges of ICE and EV vehicles. For EV vehicles, the current median range has nearly reached</t>
  </si>
  <si>
    <t xml:space="preserve">200 miles and is forecasted to continue improving. Therefore, we start with today's median range, and assume </t>
  </si>
  <si>
    <t>the range is assumed to reach ICE vehicle range by 2070.</t>
  </si>
  <si>
    <t>Median Indian Income</t>
  </si>
  <si>
    <t>2022 INR to USD</t>
  </si>
  <si>
    <t>Statista</t>
  </si>
  <si>
    <t>Share of households by gross annual income across India in financial year 2021</t>
  </si>
  <si>
    <t>https://www.statista.com/statistics/482584/india-households-by-annual-income/</t>
  </si>
  <si>
    <t>Bar chart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</si>
</sst>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73" formatCode="0.00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4" fillId="0" borderId="0"/>
  </cellStyleXfs>
  <cellXfs count="16">
    <xf numFmtId="0" fontId="0" fillId="0" borderId="0" xfId="0"/>
    <xf numFmtId="0" fontId="1" fillId="0" borderId="0" xfId="0" applyFont="1"/>
    <xf numFmtId="164" fontId="0" fillId="0" borderId="0" xfId="0" applyNumberFormat="1"/>
    <xf numFmtId="1" fontId="0" fillId="0" borderId="0" xfId="0" applyNumberFormat="1"/>
    <xf numFmtId="0" fontId="0" fillId="0" borderId="0" xfId="0" applyAlignment="1">
      <alignment horizontal="right"/>
    </xf>
    <xf numFmtId="2" fontId="0" fillId="0" borderId="0" xfId="0" applyNumberFormat="1"/>
    <xf numFmtId="0" fontId="1" fillId="2" borderId="0" xfId="0" applyFont="1" applyFill="1"/>
    <xf numFmtId="0" fontId="0" fillId="0" borderId="0" xfId="0" applyAlignment="1">
      <alignment horizontal="left"/>
    </xf>
    <xf numFmtId="0" fontId="2" fillId="0" borderId="0" xfId="1"/>
    <xf numFmtId="0" fontId="0" fillId="0" borderId="0" xfId="0" applyAlignment="1"/>
    <xf numFmtId="173" fontId="0" fillId="0" borderId="0" xfId="0" applyNumberFormat="1"/>
    <xf numFmtId="173" fontId="3" fillId="0" borderId="0" xfId="0" applyNumberFormat="1" applyFont="1"/>
    <xf numFmtId="2" fontId="3" fillId="0" borderId="0" xfId="0" applyNumberFormat="1" applyFont="1"/>
    <xf numFmtId="0" fontId="0" fillId="0" borderId="0" xfId="0" applyFill="1"/>
    <xf numFmtId="0" fontId="0" fillId="0" borderId="0" xfId="0" applyFill="1" applyAlignment="1">
      <alignment horizontal="left"/>
    </xf>
    <xf numFmtId="0" fontId="2" fillId="0" borderId="0" xfId="1" applyFill="1"/>
  </cellXfs>
  <cellStyles count="3">
    <cellStyle name="Hyperlink" xfId="1" builtinId="8"/>
    <cellStyle name="Normal" xfId="0" builtinId="0"/>
    <cellStyle name="Normal 3 2" xfId="2" xr:uid="{3F0B3957-5839-491A-BB84-14323CF3887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2.xml"/><Relationship Id="rId5" Type="http://schemas.openxmlformats.org/officeDocument/2006/relationships/styles" Target="styles.xml"/><Relationship Id="rId10" Type="http://schemas.openxmlformats.org/officeDocument/2006/relationships/customXml" Target="../customXml/item1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nrel.gov/docs/fy13osti/55639.pdf" TargetMode="External"/><Relationship Id="rId2" Type="http://schemas.openxmlformats.org/officeDocument/2006/relationships/hyperlink" Target="https://www.statista.com/statistics/482584/india-households-by-annual-income/" TargetMode="External"/><Relationship Id="rId1" Type="http://schemas.openxmlformats.org/officeDocument/2006/relationships/hyperlink" Target="https://ev.tatamotors.com/articles/press-releases/driving-range-declaration.html" TargetMode="External"/><Relationship Id="rId4" Type="http://schemas.openxmlformats.org/officeDocument/2006/relationships/hyperlink" Target="https://www.energy.gov/eere/vehicles/fact-939-august-22-2016-all-electric-vehicle-ranges-can-exceed-those-some-gasoline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0"/>
  <sheetViews>
    <sheetView topLeftCell="A25" workbookViewId="0">
      <selection activeCell="K24" sqref="K24"/>
    </sheetView>
  </sheetViews>
  <sheetFormatPr defaultRowHeight="14.5" x14ac:dyDescent="0.35"/>
  <cols>
    <col min="1" max="1" width="16.54296875" customWidth="1"/>
    <col min="2" max="2" width="31.81640625" customWidth="1"/>
  </cols>
  <sheetData>
    <row r="1" spans="1:2" x14ac:dyDescent="0.35">
      <c r="A1" s="1" t="s">
        <v>29</v>
      </c>
    </row>
    <row r="3" spans="1:2" x14ac:dyDescent="0.35">
      <c r="A3" s="1" t="s">
        <v>0</v>
      </c>
      <c r="B3" s="6" t="s">
        <v>48</v>
      </c>
    </row>
    <row r="4" spans="1:2" x14ac:dyDescent="0.35">
      <c r="B4" s="13" t="s">
        <v>50</v>
      </c>
    </row>
    <row r="5" spans="1:2" x14ac:dyDescent="0.35">
      <c r="B5" s="14">
        <v>2021</v>
      </c>
    </row>
    <row r="6" spans="1:2" x14ac:dyDescent="0.35">
      <c r="B6" s="13" t="s">
        <v>51</v>
      </c>
    </row>
    <row r="7" spans="1:2" x14ac:dyDescent="0.35">
      <c r="B7" s="15" t="s">
        <v>52</v>
      </c>
    </row>
    <row r="8" spans="1:2" x14ac:dyDescent="0.35">
      <c r="A8" s="2"/>
      <c r="B8" s="13" t="s">
        <v>53</v>
      </c>
    </row>
    <row r="10" spans="1:2" x14ac:dyDescent="0.35">
      <c r="B10" s="6" t="s">
        <v>15</v>
      </c>
    </row>
    <row r="11" spans="1:2" x14ac:dyDescent="0.35">
      <c r="B11" t="s">
        <v>16</v>
      </c>
    </row>
    <row r="12" spans="1:2" x14ac:dyDescent="0.35">
      <c r="B12" s="7">
        <v>2013</v>
      </c>
    </row>
    <row r="13" spans="1:2" x14ac:dyDescent="0.35">
      <c r="B13" s="8" t="s">
        <v>17</v>
      </c>
    </row>
    <row r="15" spans="1:2" x14ac:dyDescent="0.35">
      <c r="B15" s="6" t="s">
        <v>18</v>
      </c>
    </row>
    <row r="16" spans="1:2" x14ac:dyDescent="0.35">
      <c r="B16" t="s">
        <v>16</v>
      </c>
    </row>
    <row r="17" spans="1:2" x14ac:dyDescent="0.35">
      <c r="B17" s="7">
        <v>2016</v>
      </c>
    </row>
    <row r="18" spans="1:2" x14ac:dyDescent="0.35">
      <c r="B18" t="s">
        <v>19</v>
      </c>
    </row>
    <row r="19" spans="1:2" x14ac:dyDescent="0.35">
      <c r="B19" s="8" t="s">
        <v>20</v>
      </c>
    </row>
    <row r="20" spans="1:2" x14ac:dyDescent="0.35">
      <c r="B20" t="s">
        <v>21</v>
      </c>
    </row>
    <row r="22" spans="1:2" x14ac:dyDescent="0.35">
      <c r="B22" s="6" t="s">
        <v>23</v>
      </c>
    </row>
    <row r="23" spans="1:2" x14ac:dyDescent="0.35">
      <c r="B23" t="s">
        <v>42</v>
      </c>
    </row>
    <row r="24" spans="1:2" x14ac:dyDescent="0.35">
      <c r="B24" s="7">
        <v>2024</v>
      </c>
    </row>
    <row r="25" spans="1:2" x14ac:dyDescent="0.35">
      <c r="B25" t="s">
        <v>44</v>
      </c>
    </row>
    <row r="26" spans="1:2" x14ac:dyDescent="0.35">
      <c r="B26" s="8" t="s">
        <v>43</v>
      </c>
    </row>
    <row r="28" spans="1:2" x14ac:dyDescent="0.35">
      <c r="A28" s="1" t="s">
        <v>1</v>
      </c>
    </row>
    <row r="29" spans="1:2" x14ac:dyDescent="0.35">
      <c r="A29" t="s">
        <v>3</v>
      </c>
    </row>
    <row r="30" spans="1:2" x14ac:dyDescent="0.35">
      <c r="A30" t="s">
        <v>4</v>
      </c>
    </row>
    <row r="31" spans="1:2" x14ac:dyDescent="0.35">
      <c r="A31" s="1"/>
    </row>
    <row r="32" spans="1:2" x14ac:dyDescent="0.35">
      <c r="A32" t="s">
        <v>24</v>
      </c>
    </row>
    <row r="33" spans="1:2" x14ac:dyDescent="0.35">
      <c r="A33" t="s">
        <v>25</v>
      </c>
    </row>
    <row r="34" spans="1:2" x14ac:dyDescent="0.35">
      <c r="A34" t="s">
        <v>45</v>
      </c>
    </row>
    <row r="35" spans="1:2" x14ac:dyDescent="0.35">
      <c r="A35" t="s">
        <v>46</v>
      </c>
    </row>
    <row r="36" spans="1:2" x14ac:dyDescent="0.35">
      <c r="A36" t="s">
        <v>47</v>
      </c>
    </row>
    <row r="38" spans="1:2" x14ac:dyDescent="0.35">
      <c r="A38" t="s">
        <v>26</v>
      </c>
    </row>
    <row r="39" spans="1:2" x14ac:dyDescent="0.35">
      <c r="A39" t="s">
        <v>14</v>
      </c>
      <c r="B39">
        <v>0.89805481563188172</v>
      </c>
    </row>
    <row r="40" spans="1:2" x14ac:dyDescent="0.35">
      <c r="A40" t="s">
        <v>49</v>
      </c>
      <c r="B40">
        <v>82.79</v>
      </c>
    </row>
  </sheetData>
  <hyperlinks>
    <hyperlink ref="B26" r:id="rId1" xr:uid="{14EF0A86-0973-41E2-9D23-51C96C77958E}"/>
    <hyperlink ref="B7" r:id="rId2" xr:uid="{33E3AFFC-E626-4354-8ABB-3CDDD82E740D}"/>
    <hyperlink ref="B13" r:id="rId3" xr:uid="{4CB7E8C3-90CA-4BCE-A80D-4A8B8275F0F9}"/>
    <hyperlink ref="B19" r:id="rId4" xr:uid="{85F915E1-5619-4B49-887D-CF1B242C4E48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A17B3-AFD9-42DA-AB68-E46FC6CF1D40}">
  <dimension ref="A1:I14"/>
  <sheetViews>
    <sheetView workbookViewId="0">
      <selection activeCell="G15" sqref="G15"/>
    </sheetView>
  </sheetViews>
  <sheetFormatPr defaultRowHeight="14.5" x14ac:dyDescent="0.35"/>
  <cols>
    <col min="1" max="1" width="31.54296875" customWidth="1"/>
    <col min="2" max="2" width="26.453125" customWidth="1"/>
    <col min="3" max="4" width="12.08984375" bestFit="1" customWidth="1"/>
    <col min="5" max="5" width="10.36328125" bestFit="1" customWidth="1"/>
    <col min="8" max="8" width="17.08984375" bestFit="1" customWidth="1"/>
  </cols>
  <sheetData>
    <row r="1" spans="1:9" s="1" customFormat="1" x14ac:dyDescent="0.35">
      <c r="A1" s="1" t="s">
        <v>12</v>
      </c>
      <c r="H1" s="1" t="s">
        <v>30</v>
      </c>
    </row>
    <row r="2" spans="1:9" x14ac:dyDescent="0.35">
      <c r="A2" t="s">
        <v>11</v>
      </c>
      <c r="B2">
        <v>-0.36099999999999999</v>
      </c>
      <c r="H2" t="s">
        <v>31</v>
      </c>
      <c r="I2" s="9" t="s">
        <v>41</v>
      </c>
    </row>
    <row r="3" spans="1:9" x14ac:dyDescent="0.35">
      <c r="A3" t="s">
        <v>10</v>
      </c>
      <c r="H3" t="s">
        <v>32</v>
      </c>
      <c r="I3">
        <v>502</v>
      </c>
    </row>
    <row r="4" spans="1:9" x14ac:dyDescent="0.35">
      <c r="A4" t="s">
        <v>9</v>
      </c>
      <c r="B4">
        <v>1.268</v>
      </c>
      <c r="H4" t="s">
        <v>33</v>
      </c>
      <c r="I4">
        <v>430</v>
      </c>
    </row>
    <row r="5" spans="1:9" x14ac:dyDescent="0.35">
      <c r="A5" t="s">
        <v>8</v>
      </c>
      <c r="B5">
        <v>-0.11600000000000001</v>
      </c>
      <c r="H5" t="s">
        <v>34</v>
      </c>
      <c r="I5">
        <v>390</v>
      </c>
    </row>
    <row r="6" spans="1:9" x14ac:dyDescent="0.35">
      <c r="H6" t="s">
        <v>35</v>
      </c>
      <c r="I6">
        <v>275</v>
      </c>
    </row>
    <row r="7" spans="1:9" x14ac:dyDescent="0.35">
      <c r="B7">
        <v>2020</v>
      </c>
      <c r="C7">
        <v>2030</v>
      </c>
      <c r="D7">
        <v>2050</v>
      </c>
      <c r="E7">
        <v>2070</v>
      </c>
      <c r="H7" t="s">
        <v>36</v>
      </c>
      <c r="I7">
        <v>365</v>
      </c>
    </row>
    <row r="8" spans="1:9" x14ac:dyDescent="0.35">
      <c r="A8" t="s">
        <v>22</v>
      </c>
      <c r="B8">
        <v>4.12</v>
      </c>
      <c r="C8">
        <v>4.12</v>
      </c>
      <c r="D8">
        <f>B8</f>
        <v>4.12</v>
      </c>
      <c r="E8">
        <v>4.12</v>
      </c>
      <c r="H8" t="s">
        <v>37</v>
      </c>
      <c r="I8">
        <v>265</v>
      </c>
    </row>
    <row r="9" spans="1:9" x14ac:dyDescent="0.35">
      <c r="A9" t="s">
        <v>7</v>
      </c>
      <c r="B9" s="5">
        <f>I11/1.609/100</f>
        <v>1.9888129272840274</v>
      </c>
      <c r="C9" s="12">
        <f>3*1.99/2.59</f>
        <v>2.3050193050193051</v>
      </c>
      <c r="D9" s="12">
        <f>4.12*1.99/2.59</f>
        <v>3.1655598455598457</v>
      </c>
      <c r="E9">
        <v>4.12</v>
      </c>
      <c r="H9" t="s">
        <v>38</v>
      </c>
      <c r="I9">
        <v>275</v>
      </c>
    </row>
    <row r="10" spans="1:9" x14ac:dyDescent="0.35">
      <c r="A10" t="s">
        <v>6</v>
      </c>
      <c r="B10" s="10">
        <f>((125+500)/52*35)/About!B40</f>
        <v>5.0812063887314523</v>
      </c>
      <c r="C10" s="11">
        <f>income</f>
        <v>5.0812063887314523</v>
      </c>
      <c r="D10" s="11">
        <f>B10</f>
        <v>5.0812063887314523</v>
      </c>
      <c r="E10" s="10">
        <f>income</f>
        <v>5.0812063887314523</v>
      </c>
      <c r="H10" t="s">
        <v>39</v>
      </c>
      <c r="I10">
        <v>221</v>
      </c>
    </row>
    <row r="11" spans="1:9" x14ac:dyDescent="0.35">
      <c r="A11" t="s">
        <v>27</v>
      </c>
      <c r="H11" s="1" t="s">
        <v>40</v>
      </c>
      <c r="I11">
        <f>MEDIAN(I3:I10)</f>
        <v>320</v>
      </c>
    </row>
    <row r="12" spans="1:9" x14ac:dyDescent="0.35">
      <c r="A12" t="s">
        <v>28</v>
      </c>
    </row>
    <row r="14" spans="1:9" x14ac:dyDescent="0.35">
      <c r="A14" t="s">
        <v>13</v>
      </c>
      <c r="B14" s="5">
        <f>($B$4/$B$2*B9*(1-B8/B9)+$B$5/$B$2*B9^2*(1-B8^2/B9^2))*LN(income)*About!$B$39</f>
        <v>4.8208359693710001</v>
      </c>
      <c r="C14" s="5">
        <f>($B$4/$B$2*C9*(1-C8/C9)+$B$5/$B$2*C9^2*(1-C8^2/C9^2))*LN(income)*About!$B$39</f>
        <v>3.8363505272225358</v>
      </c>
      <c r="D14" s="5">
        <f>($B$4/$B$2*D9*(1-D8/D9)+$B$5/$B$2*D9^2*(1-D8^2/D9^2))*LN(income)*About!$B$39</f>
        <v>1.6321362284397252</v>
      </c>
      <c r="E14" s="5">
        <f>($B$4/$B$2*E9*(1-E8/E9)+$B$5/$B$2*E9^2*(1-E8^2/E9^2))*LN(income)*About!$B$39</f>
        <v>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 tint="-0.249977111117893"/>
  </sheetPr>
  <dimension ref="A1:AZ2"/>
  <sheetViews>
    <sheetView tabSelected="1" workbookViewId="0">
      <selection activeCell="D5" sqref="D5"/>
    </sheetView>
  </sheetViews>
  <sheetFormatPr defaultRowHeight="14.5" x14ac:dyDescent="0.35"/>
  <cols>
    <col min="1" max="1" width="17.81640625" customWidth="1"/>
  </cols>
  <sheetData>
    <row r="1" spans="1:52" x14ac:dyDescent="0.35">
      <c r="A1" s="1" t="s">
        <v>5</v>
      </c>
      <c r="B1" s="4">
        <v>2020</v>
      </c>
      <c r="C1">
        <v>2021</v>
      </c>
      <c r="D1" s="4">
        <v>2022</v>
      </c>
      <c r="E1">
        <v>2023</v>
      </c>
      <c r="F1" s="4">
        <v>2024</v>
      </c>
      <c r="G1">
        <v>2025</v>
      </c>
      <c r="H1" s="4">
        <v>2026</v>
      </c>
      <c r="I1">
        <v>2027</v>
      </c>
      <c r="J1" s="4">
        <v>2028</v>
      </c>
      <c r="K1">
        <v>2029</v>
      </c>
      <c r="L1" s="4">
        <v>2030</v>
      </c>
      <c r="M1">
        <v>2031</v>
      </c>
      <c r="N1" s="4">
        <v>2032</v>
      </c>
      <c r="O1">
        <v>2033</v>
      </c>
      <c r="P1" s="4">
        <v>2034</v>
      </c>
      <c r="Q1">
        <v>2035</v>
      </c>
      <c r="R1" s="4">
        <v>2036</v>
      </c>
      <c r="S1">
        <v>2037</v>
      </c>
      <c r="T1" s="4">
        <v>2038</v>
      </c>
      <c r="U1">
        <v>2039</v>
      </c>
      <c r="V1" s="4">
        <v>2040</v>
      </c>
      <c r="W1">
        <v>2041</v>
      </c>
      <c r="X1" s="4">
        <v>2042</v>
      </c>
      <c r="Y1">
        <v>2043</v>
      </c>
      <c r="Z1" s="4">
        <v>2044</v>
      </c>
      <c r="AA1">
        <v>2045</v>
      </c>
      <c r="AB1" s="4">
        <v>2046</v>
      </c>
      <c r="AC1">
        <v>2047</v>
      </c>
      <c r="AD1" s="4">
        <v>2048</v>
      </c>
      <c r="AE1">
        <v>2049</v>
      </c>
      <c r="AF1" s="4">
        <v>2050</v>
      </c>
      <c r="AG1">
        <v>2051</v>
      </c>
      <c r="AH1" s="4">
        <v>2052</v>
      </c>
      <c r="AI1">
        <v>2053</v>
      </c>
      <c r="AJ1" s="4">
        <v>2054</v>
      </c>
      <c r="AK1">
        <v>2055</v>
      </c>
      <c r="AL1" s="4">
        <v>2056</v>
      </c>
      <c r="AM1">
        <v>2057</v>
      </c>
      <c r="AN1" s="4">
        <v>2058</v>
      </c>
      <c r="AO1">
        <v>2059</v>
      </c>
      <c r="AP1" s="4">
        <v>2060</v>
      </c>
      <c r="AQ1">
        <v>2061</v>
      </c>
      <c r="AR1" s="4">
        <v>2062</v>
      </c>
      <c r="AS1">
        <v>2063</v>
      </c>
      <c r="AT1" s="4">
        <v>2064</v>
      </c>
      <c r="AU1">
        <v>2065</v>
      </c>
      <c r="AV1" s="4">
        <v>2066</v>
      </c>
      <c r="AW1">
        <v>2067</v>
      </c>
      <c r="AX1" s="4">
        <v>2068</v>
      </c>
      <c r="AY1">
        <v>2069</v>
      </c>
      <c r="AZ1" s="4">
        <v>2070</v>
      </c>
    </row>
    <row r="2" spans="1:52" x14ac:dyDescent="0.35">
      <c r="A2" t="s">
        <v>2</v>
      </c>
      <c r="B2" s="3" cm="1">
        <f t="array" ref="B2">TREND(Calculations!$B$14:$C$14,Calculations!$B$7:$C$7,B1)*1000*About!$B$39</f>
        <v>4329.374957665008</v>
      </c>
      <c r="C2" s="3" cm="1">
        <f t="array" ref="C2">TREND(Calculations!$B$14:$C$14,Calculations!$B$7:$C$7,C1)*1000*About!$B$39</f>
        <v>4240.9627684409161</v>
      </c>
      <c r="D2" s="3" cm="1">
        <f t="array" ref="D2">TREND(Calculations!$B$14:$C$14,Calculations!$B$7:$C$7,D1)*1000*About!$B$39</f>
        <v>4152.5505792168251</v>
      </c>
      <c r="E2" s="3" cm="1">
        <f t="array" ref="E2">TREND(Calculations!$B$14:$C$14,Calculations!$B$7:$C$7,E1)*1000*About!$B$39</f>
        <v>4064.1383899927332</v>
      </c>
      <c r="F2" s="3" cm="1">
        <f t="array" ref="F2">TREND(Calculations!$B$14:$C$14,Calculations!$B$7:$C$7,F1)*1000*About!$B$39</f>
        <v>3975.7262007686418</v>
      </c>
      <c r="G2" s="3" cm="1">
        <f t="array" ref="G2">TREND(Calculations!$B$14:$C$14,Calculations!$B$7:$C$7,G1)*1000*About!$B$39</f>
        <v>3887.3140115445508</v>
      </c>
      <c r="H2" s="3" cm="1">
        <f t="array" ref="H2">TREND(Calculations!$B$14:$C$14,Calculations!$B$7:$C$7,H1)*1000*About!$B$39</f>
        <v>3798.9018223204594</v>
      </c>
      <c r="I2" s="3" cm="1">
        <f t="array" ref="I2">TREND(Calculations!$B$14:$C$14,Calculations!$B$7:$C$7,I1)*1000*About!$B$39</f>
        <v>3710.4896330963675</v>
      </c>
      <c r="J2" s="3" cm="1">
        <f t="array" ref="J2">TREND(Calculations!$B$14:$C$14,Calculations!$B$7:$C$7,J1)*1000*About!$B$39</f>
        <v>3622.0774438722765</v>
      </c>
      <c r="K2" s="3" cm="1">
        <f t="array" ref="K2">TREND(Calculations!$B$14:$C$14,Calculations!$B$7:$C$7,K1)*1000*About!$B$39</f>
        <v>3533.6652546481851</v>
      </c>
      <c r="L2" s="3" cm="1">
        <f t="array" ref="L2">TREND(Calculations!$B$14:$C$14,Calculations!$B$7:$C$7,L1)*1000*About!$B$39</f>
        <v>3445.2530654240936</v>
      </c>
      <c r="M2" s="3" cm="1">
        <f t="array" ref="M2">TREND(Calculations!$C$14:$D$14,Calculations!$C$7:$D$7,M1)*1000*About!$B$39</f>
        <v>3346.277802138789</v>
      </c>
      <c r="N2" s="3" cm="1">
        <f t="array" ref="N2">TREND(Calculations!$C$14:$D$14,Calculations!$C$7:$D$7,N1)*1000*About!$B$39</f>
        <v>3247.3025388534593</v>
      </c>
      <c r="O2" s="3" cm="1">
        <f t="array" ref="O2">TREND(Calculations!$C$14:$D$14,Calculations!$C$7:$D$7,O1)*1000*About!$B$39</f>
        <v>3148.3272755681292</v>
      </c>
      <c r="P2" s="3" cm="1">
        <f t="array" ref="P2">TREND(Calculations!$C$14:$D$14,Calculations!$C$7:$D$7,P1)*1000*About!$B$39</f>
        <v>3049.3520122827995</v>
      </c>
      <c r="Q2" s="3" cm="1">
        <f t="array" ref="Q2">TREND(Calculations!$C$14:$D$14,Calculations!$C$7:$D$7,Q1)*1000*About!$B$39</f>
        <v>2950.3767489974698</v>
      </c>
      <c r="R2" s="3" cm="1">
        <f t="array" ref="R2">TREND(Calculations!$C$14:$D$14,Calculations!$C$7:$D$7,R1)*1000*About!$B$39</f>
        <v>2851.4014857121401</v>
      </c>
      <c r="S2" s="3" cm="1">
        <f t="array" ref="S2">TREND(Calculations!$C$14:$D$14,Calculations!$C$7:$D$7,S1)*1000*About!$B$39</f>
        <v>2752.42622242681</v>
      </c>
      <c r="T2" s="3" cm="1">
        <f t="array" ref="T2">TREND(Calculations!$C$14:$D$14,Calculations!$C$7:$D$7,T1)*1000*About!$B$39</f>
        <v>2653.4509591414799</v>
      </c>
      <c r="U2" s="3" cm="1">
        <f t="array" ref="U2">TREND(Calculations!$C$14:$D$14,Calculations!$C$7:$D$7,U1)*1000*About!$B$39</f>
        <v>2554.4756958561502</v>
      </c>
      <c r="V2" s="3" cm="1">
        <f t="array" ref="V2">TREND(Calculations!$C$14:$D$14,Calculations!$C$7:$D$7,V1)*1000*About!$B$39</f>
        <v>2455.5004325708205</v>
      </c>
      <c r="W2" s="3" cm="1">
        <f t="array" ref="W2">TREND(Calculations!$C$14:$D$14,Calculations!$C$7:$D$7,W1)*1000*About!$B$39</f>
        <v>2356.5251692854904</v>
      </c>
      <c r="X2" s="3" cm="1">
        <f t="array" ref="X2">TREND(Calculations!$C$14:$D$14,Calculations!$C$7:$D$7,X1)*1000*About!$B$39</f>
        <v>2257.5499060001603</v>
      </c>
      <c r="Y2" s="3" cm="1">
        <f t="array" ref="Y2">TREND(Calculations!$C$14:$D$14,Calculations!$C$7:$D$7,Y1)*1000*About!$B$39</f>
        <v>2158.5746427148565</v>
      </c>
      <c r="Z2" s="3" cm="1">
        <f t="array" ref="Z2">TREND(Calculations!$C$14:$D$14,Calculations!$C$7:$D$7,Z1)*1000*About!$B$39</f>
        <v>2059.5993794295264</v>
      </c>
      <c r="AA2" s="3" cm="1">
        <f t="array" ref="AA2">TREND(Calculations!$C$14:$D$14,Calculations!$C$7:$D$7,AA1)*1000*About!$B$39</f>
        <v>1960.6241161441963</v>
      </c>
      <c r="AB2" s="3" cm="1">
        <f t="array" ref="AB2">TREND(Calculations!$C$14:$D$14,Calculations!$C$7:$D$7,AB1)*1000*About!$B$39</f>
        <v>1861.6488528588666</v>
      </c>
      <c r="AC2" s="3" cm="1">
        <f t="array" ref="AC2">TREND(Calculations!$C$14:$D$14,Calculations!$C$7:$D$7,AC1)*1000*About!$B$39</f>
        <v>1762.6735895735367</v>
      </c>
      <c r="AD2" s="3" cm="1">
        <f t="array" ref="AD2">TREND(Calculations!$C$14:$D$14,Calculations!$C$7:$D$7,AD1)*1000*About!$B$39</f>
        <v>1663.698326288207</v>
      </c>
      <c r="AE2" s="3" cm="1">
        <f t="array" ref="AE2">TREND(Calculations!$C$14:$D$14,Calculations!$C$7:$D$7,AE1)*1000*About!$B$39</f>
        <v>1564.7230630028771</v>
      </c>
      <c r="AF2" s="3" cm="1">
        <f t="array" ref="AF2">TREND(Calculations!$C$14:$D$14,Calculations!$C$7:$D$7,AF1)*1000*About!$B$39</f>
        <v>1465.7477997175472</v>
      </c>
      <c r="AG2" s="3" cm="1">
        <f t="array" ref="AG2">TREND(Calculations!$C$14:$D$14,Calculations!$C$7:$D$7,AG1)*1000*About!$B$39</f>
        <v>1366.7725364322173</v>
      </c>
      <c r="AH2" s="3" cm="1">
        <f t="array" ref="AH2">TREND(Calculations!$C$14:$D$14,Calculations!$C$7:$D$7,AH1)*1000*About!$B$39</f>
        <v>1267.7972731468874</v>
      </c>
      <c r="AI2" s="3" cm="1">
        <f t="array" ref="AI2">TREND(Calculations!$C$14:$D$14,Calculations!$C$7:$D$7,AI1)*1000*About!$B$39</f>
        <v>1168.8220098615575</v>
      </c>
      <c r="AJ2" s="3" cm="1">
        <f t="array" ref="AJ2">TREND(Calculations!$C$14:$D$14,Calculations!$C$7:$D$7,AJ1)*1000*About!$B$39</f>
        <v>1069.8467465762533</v>
      </c>
      <c r="AK2" s="3" cm="1">
        <f t="array" ref="AK2">TREND(Calculations!$C$14:$D$14,Calculations!$C$7:$D$7,AK1)*1000*About!$B$39</f>
        <v>970.87148329092338</v>
      </c>
      <c r="AL2" s="3" cm="1">
        <f t="array" ref="AL2">TREND(Calculations!$C$14:$D$14,Calculations!$C$7:$D$7,AL1)*1000*About!$B$39</f>
        <v>871.89622000559348</v>
      </c>
      <c r="AM2" s="3" cm="1">
        <f t="array" ref="AM2">TREND(Calculations!$C$14:$D$14,Calculations!$C$7:$D$7,AM1)*1000*About!$B$39</f>
        <v>772.92095672026369</v>
      </c>
      <c r="AN2" s="3" cm="1">
        <f t="array" ref="AN2">TREND(Calculations!$C$14:$D$14,Calculations!$C$7:$D$7,AN1)*1000*About!$B$39</f>
        <v>673.94569343493379</v>
      </c>
      <c r="AO2" s="3" cm="1">
        <f t="array" ref="AO2">TREND(Calculations!$C$14:$D$14,Calculations!$C$7:$D$7,AO1)*1000*About!$B$39</f>
        <v>574.97043014960389</v>
      </c>
      <c r="AP2" s="3" cm="1">
        <f t="array" ref="AP2">TREND(Calculations!$C$14:$D$14,Calculations!$C$7:$D$7,AP1)*1000*About!$B$39</f>
        <v>475.99516686427404</v>
      </c>
      <c r="AQ2" s="3" cm="1">
        <f t="array" ref="AQ2">TREND(Calculations!$C$14:$D$14,Calculations!$C$7:$D$7,AQ1)*1000*About!$B$39</f>
        <v>377.0199035789442</v>
      </c>
      <c r="AR2" s="3" cm="1">
        <f t="array" ref="AR2">TREND(Calculations!$C$14:$D$14,Calculations!$C$7:$D$7,AR1)*1000*About!$B$39</f>
        <v>278.04464029361435</v>
      </c>
      <c r="AS2" s="3" cm="1">
        <f t="array" ref="AS2">TREND(Calculations!$C$14:$D$14,Calculations!$C$7:$D$7,AS1)*1000*About!$B$39</f>
        <v>179.06937700828448</v>
      </c>
      <c r="AT2" s="3" cm="1">
        <f t="array" ref="AT2">TREND(Calculations!$C$14:$D$14,Calculations!$C$7:$D$7,AT1)*1000*About!$B$39</f>
        <v>80.094113722954603</v>
      </c>
      <c r="AU2" s="3">
        <v>0</v>
      </c>
      <c r="AV2" s="3">
        <v>0</v>
      </c>
      <c r="AW2" s="3">
        <v>0</v>
      </c>
      <c r="AX2" s="3">
        <v>0</v>
      </c>
      <c r="AY2" s="3">
        <v>0</v>
      </c>
      <c r="AZ2" s="3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251C7805F896F47A4F48569C73A0799" ma:contentTypeVersion="4" ma:contentTypeDescription="Create a new document." ma:contentTypeScope="" ma:versionID="7abd873f26c83d98889b6bc5171c7cdd">
  <xsd:schema xmlns:xsd="http://www.w3.org/2001/XMLSchema" xmlns:xs="http://www.w3.org/2001/XMLSchema" xmlns:p="http://schemas.microsoft.com/office/2006/metadata/properties" xmlns:ns2="f3083de3-5d4e-49f2-a3cd-0aeb079e6739" targetNamespace="http://schemas.microsoft.com/office/2006/metadata/properties" ma:root="true" ma:fieldsID="295384f30983e71c631053ca9b14fb23" ns2:_="">
    <xsd:import namespace="f3083de3-5d4e-49f2-a3cd-0aeb079e67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083de3-5d4e-49f2-a3cd-0aeb079e673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26BF0B4-18CC-47BE-AED5-CC0FDC69C78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3083de3-5d4e-49f2-a3cd-0aeb079e673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B22B483-0E04-4C91-9A11-74DC1E8C8350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C35AA13E-C51B-4922-8E34-31AAE075311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About</vt:lpstr>
      <vt:lpstr>Calculations</vt:lpstr>
      <vt:lpstr>BRASC</vt:lpstr>
      <vt:lpstr>income</vt:lpstr>
      <vt:lpstr>Range_EV</vt:lpstr>
      <vt:lpstr>range_ICE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Khushi Parakh</cp:lastModifiedBy>
  <dcterms:created xsi:type="dcterms:W3CDTF">2019-06-04T20:20:37Z</dcterms:created>
  <dcterms:modified xsi:type="dcterms:W3CDTF">2025-03-11T07:03:48Z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0x010100A251C7805F896F47A4F48569C73A0799</vt:lpwstr>
  </property>
</Properties>
</file>