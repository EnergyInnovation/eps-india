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AVOP\"/>
    </mc:Choice>
  </mc:AlternateContent>
  <xr:revisionPtr revIDLastSave="0" documentId="8_{79C522DA-3D71-43EA-A7AA-F8D27B3B86D0}" xr6:coauthVersionLast="47" xr6:coauthVersionMax="47" xr10:uidLastSave="{00000000-0000-0000-0000-000000000000}"/>
  <bookViews>
    <workbookView xWindow="2688" yWindow="2688" windowWidth="19188" windowHeight="11208" activeTab="1" xr2:uid="{00000000-000D-0000-FFFF-FFFF00000000}"/>
  </bookViews>
  <sheets>
    <sheet name="About" sheetId="1" r:id="rId1"/>
    <sheet name="AVOP" sheetId="2" r:id="rId2"/>
  </sheets>
  <externalReferences>
    <externalReference r:id="rId3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B7" i="2"/>
</calcChain>
</file>

<file path=xl/sharedStrings.xml><?xml version="1.0" encoding="utf-8"?>
<sst xmlns="http://schemas.openxmlformats.org/spreadsheetml/2006/main" count="33" uniqueCount="33">
  <si>
    <t>AVOP Average Vehicle Ownership Period</t>
  </si>
  <si>
    <t>Sources:</t>
  </si>
  <si>
    <t>passenger LDVs</t>
  </si>
  <si>
    <t>Mint</t>
  </si>
  <si>
    <t>Car owners are now selling off their vehicles earlier than usual: Report</t>
  </si>
  <si>
    <t>https:https://www.livemint.com/news/india/car-owners-are-now-selling-off-their-vehicles-earlier-than-usual-report-11663849611009.html//theicct.org/wp-content/uploads/2022/10/ev-cost-benefits-2035-oct22.pdf</t>
  </si>
  <si>
    <t>freight LDVs</t>
  </si>
  <si>
    <t>ICRA Limited</t>
  </si>
  <si>
    <t>Indian Commercial Vehicle Industry: Replacement demand emerging as a key driver for CV sales</t>
  </si>
  <si>
    <t>https://theicct.org/wp-content/uploads/2022/01/cost-ev-vans-pickups-us-2040-jan22.pdf</t>
  </si>
  <si>
    <t>p.4</t>
  </si>
  <si>
    <t>passenger HDVs</t>
  </si>
  <si>
    <t>NITI Aayog</t>
  </si>
  <si>
    <t>LNG as a transportation fuel in medium &amp; heavy commercial vehicle segment</t>
  </si>
  <si>
    <t>https://www.niti.gov.in/sites/default/files/2024-02/LNG%20in%20M%26HCV%20segment_07022024_updated_0.pdf</t>
  </si>
  <si>
    <t>p.42</t>
  </si>
  <si>
    <t>freight HDVs</t>
  </si>
  <si>
    <t>The Economic Times</t>
  </si>
  <si>
    <t>Commercial vehicle makers count on pent-up demand, aging fleet to drive recovery</t>
  </si>
  <si>
    <t>https://economictimes.indiatimes.com/industry/auto/lcv-hcv/commercial-vehicle-makers-count-on-pent-up-demand-ageing-fleet-to-drive-recovery/articleshow/89624189.cms?from=mdr</t>
  </si>
  <si>
    <t>Notes:</t>
  </si>
  <si>
    <t>For rail, ships, and aircraft, we use the same data as for Average Vehicle Loading, i.e. we assume that a single owner</t>
  </si>
  <si>
    <t>maintains ownership over the lifetime of the asset.</t>
  </si>
  <si>
    <t>For motobikes, we use the value for passenger LDVs.</t>
  </si>
  <si>
    <t>Vehicle Ownership Period (years)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</si>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</sst>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##0.00_)"/>
    <numFmt numFmtId="166" formatCode="#,##0_)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4">
    <xf numFmtId="0" fontId="0" fillId="0" borderId="0"/>
    <xf numFmtId="0" fontId="2" fillId="0" borderId="0" applyNumberFormat="0" applyFill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6" fillId="5" borderId="0" applyNumberFormat="0" applyBorder="0" applyAlignment="0" applyProtection="0"/>
    <xf numFmtId="0" fontId="7" fillId="0" borderId="2" applyNumberFormat="0" applyFont="0" applyProtection="0">
      <alignment wrapText="1"/>
    </xf>
    <xf numFmtId="0" fontId="7" fillId="0" borderId="2" applyNumberFormat="0" applyFont="0" applyProtection="0">
      <alignment wrapText="1"/>
    </xf>
    <xf numFmtId="0" fontId="8" fillId="22" borderId="3" applyNumberFormat="0" applyAlignment="0" applyProtection="0"/>
    <xf numFmtId="0" fontId="9" fillId="23" borderId="4" applyNumberFormat="0" applyAlignment="0" applyProtection="0"/>
    <xf numFmtId="0" fontId="10" fillId="0" borderId="0">
      <alignment horizontal="center" vertical="center" wrapText="1"/>
    </xf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>
      <alignment horizontal="left" vertical="center" wrapTex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165" fontId="13" fillId="0" borderId="5" applyNumberFormat="0" applyFill="0">
      <alignment horizontal="right"/>
    </xf>
    <xf numFmtId="165" fontId="14" fillId="0" borderId="5" applyNumberFormat="0" applyFill="0">
      <alignment horizontal="right"/>
    </xf>
    <xf numFmtId="166" fontId="15" fillId="0" borderId="5">
      <alignment horizontal="right" vertical="center"/>
    </xf>
    <xf numFmtId="49" fontId="16" fillId="0" borderId="5">
      <alignment horizontal="left" vertical="center"/>
    </xf>
    <xf numFmtId="165" fontId="13" fillId="0" borderId="5" applyNumberFormat="0" applyFill="0">
      <alignment horizontal="right"/>
    </xf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6" applyNumberFormat="0" applyProtection="0">
      <alignment wrapText="1"/>
    </xf>
    <xf numFmtId="0" fontId="7" fillId="0" borderId="6" applyNumberFormat="0" applyProtection="0">
      <alignment wrapText="1"/>
    </xf>
    <xf numFmtId="0" fontId="18" fillId="6" borderId="0" applyNumberFormat="0" applyBorder="0" applyAlignment="0" applyProtection="0"/>
    <xf numFmtId="0" fontId="19" fillId="0" borderId="7" applyNumberFormat="0" applyProtection="0">
      <alignment wrapText="1"/>
    </xf>
    <xf numFmtId="0" fontId="19" fillId="0" borderId="7" applyNumberFormat="0" applyProtection="0">
      <alignment wrapText="1"/>
    </xf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>
      <alignment horizontal="left"/>
    </xf>
    <xf numFmtId="0" fontId="24" fillId="0" borderId="5">
      <alignment horizontal="left"/>
    </xf>
    <xf numFmtId="0" fontId="25" fillId="0" borderId="11">
      <alignment horizontal="right" vertical="center"/>
    </xf>
    <xf numFmtId="0" fontId="26" fillId="0" borderId="5">
      <alignment horizontal="left" vertical="center"/>
    </xf>
    <xf numFmtId="0" fontId="13" fillId="0" borderId="5">
      <alignment horizontal="left" vertical="center"/>
    </xf>
    <xf numFmtId="0" fontId="23" fillId="0" borderId="5">
      <alignment horizontal="left"/>
    </xf>
    <xf numFmtId="0" fontId="23" fillId="24" borderId="0">
      <alignment horizontal="centerContinuous" wrapText="1"/>
    </xf>
    <xf numFmtId="49" fontId="23" fillId="24" borderId="12">
      <alignment horizontal="left" vertical="center"/>
    </xf>
    <xf numFmtId="0" fontId="23" fillId="24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9" borderId="3" applyNumberFormat="0" applyAlignment="0" applyProtection="0"/>
    <xf numFmtId="0" fontId="29" fillId="0" borderId="13" applyNumberFormat="0" applyFill="0" applyAlignment="0" applyProtection="0"/>
    <xf numFmtId="0" fontId="30" fillId="25" borderId="0" applyNumberFormat="0" applyBorder="0" applyAlignment="0" applyProtection="0"/>
    <xf numFmtId="0" fontId="3" fillId="0" borderId="0"/>
    <xf numFmtId="0" fontId="3" fillId="0" borderId="0"/>
    <xf numFmtId="0" fontId="7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3" borderId="1" applyNumberFormat="0" applyFont="0" applyAlignment="0" applyProtection="0"/>
    <xf numFmtId="0" fontId="11" fillId="26" borderId="14" applyNumberFormat="0" applyFont="0" applyAlignment="0" applyProtection="0"/>
    <xf numFmtId="0" fontId="32" fillId="22" borderId="15" applyNumberFormat="0" applyAlignment="0" applyProtection="0"/>
    <xf numFmtId="0" fontId="19" fillId="0" borderId="16" applyNumberFormat="0" applyProtection="0">
      <alignment wrapText="1"/>
    </xf>
    <xf numFmtId="0" fontId="19" fillId="0" borderId="16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15" fillId="0" borderId="0">
      <alignment horizontal="left" vertical="center"/>
    </xf>
    <xf numFmtId="0" fontId="10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6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5" fillId="0" borderId="0">
      <alignment horizontal="left" vertical="center"/>
    </xf>
    <xf numFmtId="49" fontId="16" fillId="0" borderId="5">
      <alignment horizontal="left"/>
    </xf>
    <xf numFmtId="165" fontId="15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7">
      <alignment horizontal="left" vertical="center"/>
    </xf>
    <xf numFmtId="0" fontId="36" fillId="0" borderId="0" applyNumberFormat="0" applyProtection="0">
      <alignment horizontal="left"/>
    </xf>
    <xf numFmtId="0" fontId="36" fillId="0" borderId="0" applyNumberFormat="0" applyProtection="0">
      <alignment horizontal="left"/>
    </xf>
    <xf numFmtId="0" fontId="37" fillId="0" borderId="0" applyNumberFormat="0" applyFill="0" applyBorder="0" applyAlignment="0" applyProtection="0"/>
    <xf numFmtId="0" fontId="23" fillId="0" borderId="0">
      <alignment horizontal="left"/>
    </xf>
    <xf numFmtId="0" fontId="12" fillId="0" borderId="0">
      <alignment horizontal="left"/>
    </xf>
    <xf numFmtId="0" fontId="13" fillId="0" borderId="0">
      <alignment horizontal="left"/>
    </xf>
    <xf numFmtId="0" fontId="38" fillId="0" borderId="0">
      <alignment horizontal="left" vertical="top"/>
    </xf>
    <xf numFmtId="0" fontId="12" fillId="0" borderId="0">
      <alignment horizontal="left"/>
    </xf>
    <xf numFmtId="0" fontId="13" fillId="0" borderId="0">
      <alignment horizontal="left"/>
    </xf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49" fontId="15" fillId="0" borderId="5">
      <alignment horizontal="left"/>
    </xf>
    <xf numFmtId="0" fontId="25" fillId="0" borderId="11">
      <alignment horizontal="left"/>
    </xf>
    <xf numFmtId="0" fontId="23" fillId="0" borderId="0">
      <alignment horizontal="left" vertical="center"/>
    </xf>
    <xf numFmtId="49" fontId="33" fillId="0" borderId="5">
      <alignment horizontal="left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2" fontId="0" fillId="2" borderId="0" xfId="0" applyNumberFormat="1" applyFill="1"/>
  </cellXfs>
  <cellStyles count="154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Body: normal cell" xfId="27" xr:uid="{00000000-0005-0000-0000-000019000000}"/>
    <cellStyle name="Body: normal cell 2" xfId="28" xr:uid="{00000000-0005-0000-0000-00001A000000}"/>
    <cellStyle name="Calculation 2" xfId="29" xr:uid="{00000000-0005-0000-0000-00001B000000}"/>
    <cellStyle name="Check Cell 2" xfId="30" xr:uid="{00000000-0005-0000-0000-00001C000000}"/>
    <cellStyle name="Column heading" xfId="31" xr:uid="{00000000-0005-0000-0000-00001D000000}"/>
    <cellStyle name="Comma 2" xfId="32" xr:uid="{00000000-0005-0000-0000-00001E000000}"/>
    <cellStyle name="Comma 2 2" xfId="33" xr:uid="{00000000-0005-0000-0000-00001F000000}"/>
    <cellStyle name="Comma 3" xfId="34" xr:uid="{00000000-0005-0000-0000-000020000000}"/>
    <cellStyle name="Comma 4" xfId="35" xr:uid="{00000000-0005-0000-0000-000021000000}"/>
    <cellStyle name="Comma 5" xfId="36" xr:uid="{00000000-0005-0000-0000-000022000000}"/>
    <cellStyle name="Comma 6" xfId="37" xr:uid="{00000000-0005-0000-0000-000023000000}"/>
    <cellStyle name="Comma 7" xfId="38" xr:uid="{00000000-0005-0000-0000-000024000000}"/>
    <cellStyle name="Comma 8" xfId="39" xr:uid="{00000000-0005-0000-0000-000025000000}"/>
    <cellStyle name="Corner heading" xfId="40" xr:uid="{00000000-0005-0000-0000-000026000000}"/>
    <cellStyle name="Currency 2" xfId="41" xr:uid="{00000000-0005-0000-0000-000027000000}"/>
    <cellStyle name="Currency 3" xfId="42" xr:uid="{00000000-0005-0000-0000-000028000000}"/>
    <cellStyle name="Currency 3 2" xfId="43" xr:uid="{00000000-0005-0000-0000-000029000000}"/>
    <cellStyle name="Data" xfId="44" xr:uid="{00000000-0005-0000-0000-00002A000000}"/>
    <cellStyle name="Data 2" xfId="45" xr:uid="{00000000-0005-0000-0000-00002B000000}"/>
    <cellStyle name="Data no deci" xfId="46" xr:uid="{00000000-0005-0000-0000-00002C000000}"/>
    <cellStyle name="Data Superscript" xfId="47" xr:uid="{00000000-0005-0000-0000-00002D000000}"/>
    <cellStyle name="Data_1-1A-Regular" xfId="48" xr:uid="{00000000-0005-0000-0000-00002E000000}"/>
    <cellStyle name="Explanatory Text 2" xfId="49" xr:uid="{00000000-0005-0000-0000-00002F000000}"/>
    <cellStyle name="Font: Calibri, 9pt regular" xfId="50" xr:uid="{00000000-0005-0000-0000-000030000000}"/>
    <cellStyle name="Font: Calibri, 9pt regular 2" xfId="51" xr:uid="{00000000-0005-0000-0000-000031000000}"/>
    <cellStyle name="Footnotes: top row" xfId="52" xr:uid="{00000000-0005-0000-0000-000032000000}"/>
    <cellStyle name="Footnotes: top row 2" xfId="53" xr:uid="{00000000-0005-0000-0000-000033000000}"/>
    <cellStyle name="Good 2" xfId="54" xr:uid="{00000000-0005-0000-0000-000034000000}"/>
    <cellStyle name="Header: bottom row" xfId="55" xr:uid="{00000000-0005-0000-0000-000035000000}"/>
    <cellStyle name="Header: bottom row 2" xfId="56" xr:uid="{00000000-0005-0000-0000-000036000000}"/>
    <cellStyle name="Heading 1 2" xfId="57" xr:uid="{00000000-0005-0000-0000-000037000000}"/>
    <cellStyle name="Heading 2 2" xfId="58" xr:uid="{00000000-0005-0000-0000-000038000000}"/>
    <cellStyle name="Heading 3 2" xfId="59" xr:uid="{00000000-0005-0000-0000-000039000000}"/>
    <cellStyle name="Heading 4 2" xfId="60" xr:uid="{00000000-0005-0000-0000-00003A000000}"/>
    <cellStyle name="Hed Side" xfId="61" xr:uid="{00000000-0005-0000-0000-00003B000000}"/>
    <cellStyle name="Hed Side 2" xfId="62" xr:uid="{00000000-0005-0000-0000-00003C000000}"/>
    <cellStyle name="Hed Side bold" xfId="63" xr:uid="{00000000-0005-0000-0000-00003D000000}"/>
    <cellStyle name="Hed Side Indent" xfId="64" xr:uid="{00000000-0005-0000-0000-00003E000000}"/>
    <cellStyle name="Hed Side Regular" xfId="65" xr:uid="{00000000-0005-0000-0000-00003F000000}"/>
    <cellStyle name="Hed Side_1-1A-Regular" xfId="66" xr:uid="{00000000-0005-0000-0000-000040000000}"/>
    <cellStyle name="Hed Top" xfId="67" xr:uid="{00000000-0005-0000-0000-000041000000}"/>
    <cellStyle name="Hed Top - SECTION" xfId="68" xr:uid="{00000000-0005-0000-0000-000042000000}"/>
    <cellStyle name="Hed Top_3-new4" xfId="69" xr:uid="{00000000-0005-0000-0000-000043000000}"/>
    <cellStyle name="Hyperlink" xfId="1" builtinId="8"/>
    <cellStyle name="Hyperlink 2" xfId="70" xr:uid="{00000000-0005-0000-0000-000045000000}"/>
    <cellStyle name="Input 2" xfId="71" xr:uid="{00000000-0005-0000-0000-000046000000}"/>
    <cellStyle name="Linked Cell 2" xfId="72" xr:uid="{00000000-0005-0000-0000-000047000000}"/>
    <cellStyle name="Neutral 2" xfId="73" xr:uid="{00000000-0005-0000-0000-000048000000}"/>
    <cellStyle name="Normal" xfId="0" builtinId="0"/>
    <cellStyle name="Normal 10" xfId="74" xr:uid="{00000000-0005-0000-0000-00004A000000}"/>
    <cellStyle name="Normal 11" xfId="75" xr:uid="{00000000-0005-0000-0000-00004B000000}"/>
    <cellStyle name="Normal 2" xfId="76" xr:uid="{00000000-0005-0000-0000-00004C000000}"/>
    <cellStyle name="Normal 2 2" xfId="77" xr:uid="{00000000-0005-0000-0000-00004D000000}"/>
    <cellStyle name="Normal 2 3" xfId="78" xr:uid="{00000000-0005-0000-0000-00004E000000}"/>
    <cellStyle name="Normal 3" xfId="79" xr:uid="{00000000-0005-0000-0000-00004F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iti.gov.in/sites/default/files/2024-02/LNG%20in%20M%26HCV%20segment_07022024_updated_0.pdf" TargetMode="External"/><Relationship Id="rId2" Type="http://schemas.openxmlformats.org/officeDocument/2006/relationships/hyperlink" Target="https://theicct.org/wp-content/uploads/2022/01/cost-ev-vans-pickups-us-2040-jan22.pdf" TargetMode="External"/><Relationship Id="rId1" Type="http://schemas.openxmlformats.org/officeDocument/2006/relationships/hyperlink" Target="https://theicct.org/wp-content/uploads/2022/10/ev-cost-benefits-2035-oct22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conomictimes.indiatimes.com/industry/auto/lcv-hcv/commercial-vehicle-makers-count-on-pent-up-demand-ageing-fleet-to-drive-recovery/articleshow/89624189.cms?from=m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opLeftCell="A15" workbookViewId="0">
      <selection activeCell="B22" sqref="B22"/>
    </sheetView>
  </sheetViews>
  <sheetFormatPr defaultRowHeight="14.4"/>
  <cols>
    <col min="1" max="1" width="11.5546875" customWidth="1"/>
    <col min="2" max="2" width="85.109375" customWidth="1"/>
    <col min="5" max="5" width="17.88671875" customWidth="1"/>
  </cols>
  <sheetData>
    <row r="1" spans="1:6">
      <c r="A1" s="1" t="s">
        <v>0</v>
      </c>
    </row>
    <row r="3" spans="1:6">
      <c r="A3" s="1" t="s">
        <v>1</v>
      </c>
      <c r="B3" s="4" t="s">
        <v>2</v>
      </c>
    </row>
    <row r="4" spans="1:6">
      <c r="B4" t="s">
        <v>3</v>
      </c>
      <c r="F4" s="3"/>
    </row>
    <row r="5" spans="1:6">
      <c r="B5" s="2">
        <v>2022</v>
      </c>
    </row>
    <row r="6" spans="1:6">
      <c r="B6" t="s">
        <v>4</v>
      </c>
    </row>
    <row r="7" spans="1:6">
      <c r="B7" s="3" t="s">
        <v>5</v>
      </c>
    </row>
    <row r="9" spans="1:6">
      <c r="B9" s="4" t="s">
        <v>6</v>
      </c>
    </row>
    <row r="10" spans="1:6">
      <c r="B10" t="s">
        <v>7</v>
      </c>
    </row>
    <row r="11" spans="1:6">
      <c r="B11" s="2">
        <v>2022</v>
      </c>
    </row>
    <row r="12" spans="1:6">
      <c r="B12" t="s">
        <v>8</v>
      </c>
    </row>
    <row r="13" spans="1:6">
      <c r="B13" s="3" t="s">
        <v>9</v>
      </c>
    </row>
    <row r="14" spans="1:6">
      <c r="B14" t="s">
        <v>10</v>
      </c>
    </row>
    <row r="16" spans="1:6">
      <c r="B16" s="8" t="s">
        <v>11</v>
      </c>
    </row>
    <row r="17" spans="1:2">
      <c r="B17" t="s">
        <v>12</v>
      </c>
    </row>
    <row r="18" spans="1:2">
      <c r="B18" s="2">
        <v>2024</v>
      </c>
    </row>
    <row r="19" spans="1:2">
      <c r="B19" t="s">
        <v>13</v>
      </c>
    </row>
    <row r="20" spans="1:2">
      <c r="B20" s="3" t="s">
        <v>14</v>
      </c>
    </row>
    <row r="21" spans="1:2">
      <c r="B21" t="s">
        <v>15</v>
      </c>
    </row>
    <row r="23" spans="1:2">
      <c r="B23" s="8" t="s">
        <v>16</v>
      </c>
    </row>
    <row r="24" spans="1:2">
      <c r="B24" t="s">
        <v>17</v>
      </c>
    </row>
    <row r="25" spans="1:2">
      <c r="B25" s="2">
        <v>2022</v>
      </c>
    </row>
    <row r="26" spans="1:2">
      <c r="B26" t="s">
        <v>18</v>
      </c>
    </row>
    <row r="27" spans="1:2">
      <c r="B27" s="3" t="s">
        <v>19</v>
      </c>
    </row>
    <row r="29" spans="1:2">
      <c r="A29" s="1" t="s">
        <v>20</v>
      </c>
    </row>
    <row r="30" spans="1:2">
      <c r="A30" t="s">
        <v>21</v>
      </c>
    </row>
    <row r="31" spans="1:2">
      <c r="A31" t="s">
        <v>22</v>
      </c>
    </row>
    <row r="33" spans="1:1">
      <c r="A33" t="s">
        <v>23</v>
      </c>
    </row>
  </sheetData>
  <hyperlinks>
    <hyperlink ref="B7" r:id="rId1" display="https://theicct.org/wp-content/uploads/2022/10/ev-cost-benefits-2035-oct22.pdf" xr:uid="{C01E200A-EF46-4272-B219-5D39A9156EE6}"/>
    <hyperlink ref="B13" r:id="rId2" xr:uid="{44931F0D-947F-4872-BF28-724517460147}"/>
    <hyperlink ref="B20" r:id="rId3" xr:uid="{5E8C808B-3B4F-4266-85AD-76C5D16CD407}"/>
    <hyperlink ref="B27" r:id="rId4" xr:uid="{2082B63E-16D8-42AA-97EA-01C784A3950F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K7"/>
  <sheetViews>
    <sheetView tabSelected="1" workbookViewId="0">
      <selection activeCell="B4" sqref="B4"/>
    </sheetView>
  </sheetViews>
  <sheetFormatPr defaultRowHeight="14.4"/>
  <cols>
    <col min="1" max="1" width="13.109375" customWidth="1"/>
    <col min="2" max="2" width="10" bestFit="1" customWidth="1"/>
    <col min="3" max="3" width="7" bestFit="1" customWidth="1"/>
  </cols>
  <sheetData>
    <row r="1" spans="1:37" ht="43.2">
      <c r="A1" s="9" t="s">
        <v>24</v>
      </c>
      <c r="B1" s="5" t="s">
        <v>25</v>
      </c>
      <c r="C1" s="1" t="s">
        <v>26</v>
      </c>
      <c r="D1" s="5"/>
      <c r="E1" s="1"/>
      <c r="F1" s="5"/>
      <c r="G1" s="1"/>
      <c r="H1" s="5"/>
      <c r="I1" s="1"/>
      <c r="J1" s="5"/>
      <c r="K1" s="1"/>
      <c r="L1" s="5"/>
      <c r="M1" s="1"/>
      <c r="N1" s="5"/>
      <c r="O1" s="1"/>
      <c r="P1" s="5"/>
      <c r="Q1" s="1"/>
      <c r="R1" s="5"/>
      <c r="S1" s="1"/>
      <c r="T1" s="5"/>
      <c r="U1" s="1"/>
      <c r="V1" s="5"/>
      <c r="W1" s="1"/>
      <c r="X1" s="5"/>
      <c r="Y1" s="1"/>
      <c r="Z1" s="5"/>
      <c r="AA1" s="1"/>
      <c r="AB1" s="5"/>
      <c r="AC1" s="1"/>
      <c r="AD1" s="5"/>
      <c r="AE1" s="1"/>
      <c r="AF1" s="5"/>
      <c r="AG1" s="1"/>
      <c r="AH1" s="5"/>
      <c r="AI1" s="1"/>
      <c r="AJ1" s="5"/>
      <c r="AK1" s="1"/>
    </row>
    <row r="2" spans="1:37">
      <c r="A2" s="1" t="s">
        <v>27</v>
      </c>
      <c r="B2" s="6">
        <v>4</v>
      </c>
      <c r="C2" s="6">
        <v>5.4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>
      <c r="A3" s="1" t="s">
        <v>28</v>
      </c>
      <c r="B3" s="7">
        <v>10</v>
      </c>
      <c r="C3" s="6">
        <v>9.5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>
      <c r="A4" s="1" t="s">
        <v>29</v>
      </c>
      <c r="B4" s="7">
        <v>30</v>
      </c>
      <c r="C4" s="6">
        <v>30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7">
      <c r="A5" s="1" t="s">
        <v>30</v>
      </c>
      <c r="B5" s="7">
        <v>35</v>
      </c>
      <c r="C5" s="6">
        <v>35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>
      <c r="A6" s="1" t="s">
        <v>31</v>
      </c>
      <c r="B6" s="6">
        <v>9.3333333333333339</v>
      </c>
      <c r="C6" s="6">
        <v>33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>
      <c r="A7" s="1" t="s">
        <v>32</v>
      </c>
      <c r="B7" s="10">
        <f>B2</f>
        <v>4</v>
      </c>
      <c r="C7" s="10">
        <f>C2</f>
        <v>5.4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5FF8BB-E2DE-4D38-9C92-2286C01B3B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6B163A-4B49-455A-AA78-20C3B84BDA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069501-9804-42CD-95AE-AFC34CAE736F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AVOP</vt:lpstr>
    </vt:vector>
  </TitlesOfParts>
  <Manager/>
  <Company>EnergyInnovation.org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2015-06-16T22:55:39Z</dcterms:created>
  <dcterms:modified xsi:type="dcterms:W3CDTF">2025-07-21T16:58:42Z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