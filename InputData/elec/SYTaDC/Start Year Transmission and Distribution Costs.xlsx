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externalLinks/externalLink13.xml" ContentType="application/vnd.openxmlformats-officedocument.spreadsheetml.externalLink+xml"/>
  <Override PartName="/docProps/core.xml" ContentType="application/vnd.openxmlformats-package.core-properties+xml"/>
  <Override PartName="/xl/externalLinks/externalLink12.xml" ContentType="application/vnd.openxmlformats-officedocument.spreadsheetml.externalLink+xml"/>
  <Override PartName="/xl/externalLinks/externalLink22.xml" ContentType="application/vnd.openxmlformats-officedocument.spreadsheetml.externalLink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xl/externalLinks/externalLink15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0.xml" ContentType="application/vnd.openxmlformats-officedocument.spreadsheetml.externalLink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SYTaDC\"/>
    </mc:Choice>
  </mc:AlternateContent>
  <xr:revisionPtr revIDLastSave="171" documentId="8_{2592958B-34E3-40EE-84F9-778F5BCBBFEE}" xr6:coauthVersionLast="47" xr6:coauthVersionMax="47" xr10:uidLastSave="{DF1027CA-5BF5-4038-AE1A-0E02DC50BFCD}"/>
  <bookViews>
    <workbookView xWindow="11400" yWindow="3045" windowWidth="20475" windowHeight="17325" firstSheet="1" activeTab="5" xr2:uid="{00000000-000D-0000-FFFF-FFFF00000000}"/>
  </bookViews>
  <sheets>
    <sheet name="About" sheetId="1" r:id="rId1"/>
    <sheet name="India Calcs" sheetId="8" r:id="rId2"/>
    <sheet name="SYTaDC-Transmission OM" sheetId="3" r:id="rId3"/>
    <sheet name="SYTaDC-Distribution OM" sheetId="5" r:id="rId4"/>
    <sheet name="SYTaDC-Transmission Capital" sheetId="6" r:id="rId5"/>
    <sheet name="SYTaDC-Distribution Capi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J15" i="8"/>
  <c r="J16" i="8" s="1"/>
  <c r="D16" i="8"/>
  <c r="A15" i="8"/>
  <c r="A16" i="8" s="1"/>
  <c r="A17" i="8" s="1"/>
  <c r="J17" i="8" l="1"/>
  <c r="A20" i="8"/>
  <c r="A22" i="8" l="1"/>
  <c r="B2" i="5" s="1"/>
  <c r="B2" i="7"/>
  <c r="J20" i="8"/>
  <c r="J22" i="8" l="1"/>
  <c r="B2" i="3" s="1"/>
  <c r="B2" i="6"/>
</calcChain>
</file>

<file path=xl/sharedStrings.xml><?xml version="1.0" encoding="utf-8"?>
<sst xmlns="http://schemas.openxmlformats.org/spreadsheetml/2006/main" count="76" uniqueCount="55">
  <si>
    <t>SYTaDC Start Year Transmission and Distribution Costs</t>
  </si>
  <si>
    <t>Sources:</t>
  </si>
  <si>
    <t>REPORT ON PERFORMANCE OF POWER UTILITIES 2022-23</t>
  </si>
  <si>
    <t>Power Finance Corporation of India</t>
  </si>
  <si>
    <t>Page 22 - Grand total for Distribution companies in 2021</t>
  </si>
  <si>
    <t>Page 89 - Total expenses for transmission in 2021</t>
  </si>
  <si>
    <t>https://pfcindia.com/ensite/DocumentRepository/ckfinder/files/Operations/Performance_Reports_of_State_Power_Utilities/Report%20Database%202022-23%20-%20updated%20up%20to%20April%202024EntityApr.pdf</t>
  </si>
  <si>
    <t>Transmission O&amp;M Spending</t>
  </si>
  <si>
    <t>U.S. Energy Information Administration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</si>
  <si>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</si>
  <si>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</si>
  <si>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First paragraph</t>
  </si>
  <si>
    <t>Distribution O&amp;M Spending</t>
  </si>
  <si>
    <t>Major utilities' spending on the electric distribution system continues to increase</t>
  </si>
  <si>
    <t>https://www.eia.gov/todayinenergy/detail.php?id=48136#:~:text=Annual%20spending%20on%20electricity%20distribution,2000%20after%20adjusting%20for%20inflation.</t>
  </si>
  <si>
    <t>Note:</t>
  </si>
  <si>
    <t>Approach</t>
  </si>
  <si>
    <t>With available annual expenses of transmission and distribution utilities in 2021, we apportion the total expneses between capital and O&amp;M</t>
  </si>
  <si>
    <t xml:space="preserve">based on the share of each of these expense categories as found in the US 4.0 input file. </t>
  </si>
  <si>
    <t>We adopt this approach because publicly available sources that clearly demarcate capital and O&amp;M expenses were not found and approximate were inconsistent</t>
  </si>
  <si>
    <t>Retaining US file sources as the numbers were used for the calculations in this file as well</t>
  </si>
  <si>
    <t>We adjust 2024 INR to 2012 dollars using the following conversion factor:</t>
  </si>
  <si>
    <t>See "cpi.xlsx" in the InputData folder for source information.</t>
  </si>
  <si>
    <t>Source</t>
  </si>
  <si>
    <t>Report Database 2022-23 - updated up to April 2024EntityApr.pdf (pfcindia.com)</t>
  </si>
  <si>
    <r>
      <rPr>
        <sz val="11"/>
        <color rgb="FF000000"/>
        <rFont val="Calibri"/>
        <scheme val="minor"/>
      </rPr>
      <t>*</t>
    </r>
    <r>
      <rPr>
        <i/>
        <sz val="11"/>
        <color rgb="FF000000"/>
        <rFont val="Calibri"/>
        <scheme val="minor"/>
      </rPr>
      <t>In this report, all cost values are expressed in 2024 Crores</t>
    </r>
  </si>
  <si>
    <t>Transmission expense report in 2021-2022</t>
  </si>
  <si>
    <t>Power procurement</t>
  </si>
  <si>
    <t>Employee costs</t>
  </si>
  <si>
    <t>Interest</t>
  </si>
  <si>
    <t>Depreciation</t>
  </si>
  <si>
    <t>OTher costs</t>
  </si>
  <si>
    <t>Grant total</t>
  </si>
  <si>
    <t>US Splits</t>
  </si>
  <si>
    <t>Costs (2012 $)</t>
  </si>
  <si>
    <t>Distribution Capital</t>
  </si>
  <si>
    <t>Transmission Capital</t>
  </si>
  <si>
    <t>Distribution OM</t>
  </si>
  <si>
    <t>Transmission OM</t>
  </si>
  <si>
    <t>DISCOM expenses 2021-2022</t>
  </si>
  <si>
    <t>Distribution Calcs</t>
  </si>
  <si>
    <t>Transmission Calcs</t>
  </si>
  <si>
    <t>Distribution costs = Grant total - power procurement</t>
  </si>
  <si>
    <t>Transmission cost = Grand total(transmission) - Power procurement (transmission)</t>
  </si>
  <si>
    <t>2024 INR Cr</t>
  </si>
  <si>
    <t xml:space="preserve">Conversion factor for 2024 INR to 2012 dollars </t>
  </si>
  <si>
    <t>2024 INR</t>
  </si>
  <si>
    <t>2012 dollars</t>
  </si>
  <si>
    <t xml:space="preserve">Distribution capital </t>
  </si>
  <si>
    <t>Transmission capital</t>
  </si>
  <si>
    <t>2012 Dollars</t>
  </si>
  <si>
    <t>Distribution O&amp;M</t>
  </si>
  <si>
    <t>Transmission O&amp;M</t>
  </si>
  <si>
    <t>Costs ($)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</si>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</sst>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0" fillId="3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Font="1"/>
    <xf numFmtId="49" fontId="0" fillId="0" borderId="0" xfId="0" applyNumberFormat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customXml" Target="../customXml/item2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18</xdr:col>
      <xdr:colOff>781050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C4A3C-2877-BCA4-C809-2583BCFAE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1753850" cy="34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19050</xdr:rowOff>
    </xdr:from>
    <xdr:to>
      <xdr:col>18</xdr:col>
      <xdr:colOff>571500</xdr:colOff>
      <xdr:row>11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D0CA11-3F2A-F826-556C-8EE0E42F7AA6}"/>
            </a:ext>
            <a:ext uri="{147F2762-F138-4A5C-976F-8EAC2B608ADB}">
              <a16:predDERef xmlns:a16="http://schemas.microsoft.com/office/drawing/2014/main" pred="{5A0C4A3C-2877-BCA4-C809-2583BCFAE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3050"/>
          <a:ext cx="11544300" cy="333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fcindia.com/ensite/DocumentRepository/ckfinder/files/Operations/Performance_Reports_of_State_Power_Utilities/Report%20Database%202022-23%20-%20updated%20up%20to%20April%202024EntityApr.pdf" TargetMode="External"/><Relationship Id="rId2" Type="http://schemas.openxmlformats.org/officeDocument/2006/relationships/hyperlink" Target="https://www.eia.gov/todayinenergy/detail.php?id=48136" TargetMode="External"/><Relationship Id="rId1" Type="http://schemas.openxmlformats.org/officeDocument/2006/relationships/hyperlink" Target="https://www.eia.gov/todayinenergy/detail.php?id=47316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fcindia.com/ensite/DocumentRepository/ckfinder/files/Operations/Performance_Reports_of_State_Power_Utilities/Report%20Database%202022-23%20-%20updated%20up%20to%20April%202024EntityAp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11" workbookViewId="0">
      <selection activeCell="D34" sqref="D34"/>
    </sheetView>
  </sheetViews>
  <sheetFormatPr defaultRowHeight="15"/>
  <cols>
    <col min="2" max="2" width="52.285156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B4" t="s">
        <v>3</v>
      </c>
    </row>
    <row r="5" spans="1:2">
      <c r="B5" s="15">
        <v>2024</v>
      </c>
    </row>
    <row r="6" spans="1:2">
      <c r="B6" t="s">
        <v>4</v>
      </c>
    </row>
    <row r="7" spans="1:2">
      <c r="B7" t="s">
        <v>5</v>
      </c>
    </row>
    <row r="8" spans="1:2">
      <c r="B8" s="3" t="s">
        <v>6</v>
      </c>
    </row>
    <row r="9" spans="1:2">
      <c r="B9" s="3"/>
    </row>
    <row r="10" spans="1:2">
      <c r="B10" s="6" t="s">
        <v>7</v>
      </c>
    </row>
    <row r="11" spans="1:2">
      <c r="A11" s="1"/>
      <c r="B11" t="s">
        <v>8</v>
      </c>
    </row>
    <row r="12" spans="1:2">
      <c r="A12" s="1"/>
      <c r="B12" s="2">
        <v>2021</v>
      </c>
    </row>
    <row r="13" spans="1:2" ht="30">
      <c r="A13" s="1"/>
      <c r="B13" s="4" t="s">
        <v>9</v>
      </c>
    </row>
    <row r="14" spans="1:2">
      <c r="A14" s="1"/>
      <c r="B14" s="3" t="s">
        <v>10</v>
      </c>
    </row>
    <row r="15" spans="1:2">
      <c r="A15" s="1"/>
      <c r="B15" t="s">
        <v>11</v>
      </c>
    </row>
    <row r="16" spans="1:2">
      <c r="A16" s="1"/>
    </row>
    <row r="17" spans="1:2">
      <c r="A17" s="1"/>
      <c r="B17" s="6" t="s">
        <v>12</v>
      </c>
    </row>
    <row r="18" spans="1:2">
      <c r="A18" s="1"/>
      <c r="B18" t="s">
        <v>8</v>
      </c>
    </row>
    <row r="19" spans="1:2">
      <c r="A19" s="1"/>
      <c r="B19" s="2">
        <v>2021</v>
      </c>
    </row>
    <row r="20" spans="1:2" ht="30">
      <c r="A20" s="1"/>
      <c r="B20" s="4" t="s">
        <v>13</v>
      </c>
    </row>
    <row r="21" spans="1:2">
      <c r="A21" s="1"/>
      <c r="B21" s="3" t="s">
        <v>14</v>
      </c>
    </row>
    <row r="22" spans="1:2">
      <c r="A22" s="1"/>
      <c r="B22" t="s">
        <v>11</v>
      </c>
    </row>
    <row r="23" spans="1:2">
      <c r="A23" s="1"/>
    </row>
    <row r="24" spans="1:2">
      <c r="A24" s="1"/>
    </row>
    <row r="25" spans="1:2">
      <c r="A25" s="1" t="s">
        <v>15</v>
      </c>
    </row>
    <row r="26" spans="1:2">
      <c r="A26" s="1" t="s">
        <v>16</v>
      </c>
      <c r="B26" t="s">
        <v>17</v>
      </c>
    </row>
    <row r="27" spans="1:2">
      <c r="A27" s="1"/>
      <c r="B27" t="s">
        <v>18</v>
      </c>
    </row>
    <row r="28" spans="1:2">
      <c r="A28" s="1"/>
      <c r="B28" t="s">
        <v>19</v>
      </c>
    </row>
    <row r="29" spans="1:2">
      <c r="A29" s="1"/>
      <c r="B29" t="s">
        <v>20</v>
      </c>
    </row>
    <row r="30" spans="1:2">
      <c r="A30" s="1"/>
    </row>
    <row r="31" spans="1:2">
      <c r="A31" t="s">
        <v>21</v>
      </c>
    </row>
    <row r="32" spans="1:2">
      <c r="A32" s="5">
        <f>'India Calcs'!D16</f>
        <v>9.5994587441181715E-3</v>
      </c>
    </row>
    <row r="33" spans="1:1">
      <c r="A33" t="s">
        <v>22</v>
      </c>
    </row>
  </sheetData>
  <hyperlinks>
    <hyperlink ref="B14" r:id="rId1" location=":~:text=Utilities%20spent%20%2416.6%20billion%20on,7%25%20more%20than%20in%202018.&amp;text=Power%20plants%20are%20often%20located,power%20lines%20to%20deliver%20electricity" xr:uid="{B62E2E72-9FDA-492B-85A8-BD4042EF0399}"/>
    <hyperlink ref="B21" r:id="rId2" location=":~:text=Annual%20spending%20on%20electricity%20distribution,2000%20after%20adjusting%20for%20inflation" xr:uid="{14E7A6E4-A769-4D01-8DC3-91C2B163095C}"/>
    <hyperlink ref="B8" r:id="rId3" xr:uid="{8922172B-FF2C-4D76-AB21-0FD97D2C6A69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6E3E-2710-4B0A-B722-BD55E9E41B4F}">
  <dimension ref="A1:W22"/>
  <sheetViews>
    <sheetView workbookViewId="0">
      <selection activeCell="W5" sqref="W5"/>
    </sheetView>
  </sheetViews>
  <sheetFormatPr defaultRowHeight="15"/>
  <cols>
    <col min="19" max="19" width="13" customWidth="1"/>
    <col min="20" max="20" width="2" customWidth="1"/>
    <col min="22" max="22" width="18.7109375" customWidth="1"/>
  </cols>
  <sheetData>
    <row r="1" spans="1:23">
      <c r="A1" t="s">
        <v>23</v>
      </c>
      <c r="B1" s="3" t="s">
        <v>24</v>
      </c>
      <c r="T1" s="8"/>
    </row>
    <row r="2" spans="1:23">
      <c r="A2" s="13" t="s">
        <v>25</v>
      </c>
      <c r="B2" s="3"/>
      <c r="T2" s="8"/>
    </row>
    <row r="3" spans="1:23">
      <c r="A3" s="13"/>
      <c r="B3" s="3"/>
      <c r="T3" s="8"/>
    </row>
    <row r="4" spans="1:23">
      <c r="A4" t="s">
        <v>26</v>
      </c>
      <c r="E4" s="14" t="s">
        <v>27</v>
      </c>
      <c r="H4" t="s">
        <v>28</v>
      </c>
      <c r="K4" t="s">
        <v>29</v>
      </c>
      <c r="M4" t="s">
        <v>30</v>
      </c>
      <c r="P4" t="s">
        <v>31</v>
      </c>
      <c r="S4" t="s">
        <v>32</v>
      </c>
      <c r="T4" s="8"/>
      <c r="V4" s="1" t="s">
        <v>33</v>
      </c>
      <c r="W4" t="s">
        <v>34</v>
      </c>
    </row>
    <row r="5" spans="1:23">
      <c r="T5" s="8"/>
      <c r="V5" t="s">
        <v>35</v>
      </c>
      <c r="W5">
        <v>26605349669.705128</v>
      </c>
    </row>
    <row r="6" spans="1:23">
      <c r="T6" s="8"/>
      <c r="V6" t="s">
        <v>36</v>
      </c>
      <c r="W6">
        <v>19911647045.798424</v>
      </c>
    </row>
    <row r="7" spans="1:23">
      <c r="T7" s="8"/>
      <c r="V7" t="s">
        <v>37</v>
      </c>
      <c r="W7">
        <v>22114637782.780376</v>
      </c>
    </row>
    <row r="8" spans="1:23">
      <c r="T8" s="8"/>
      <c r="V8" t="s">
        <v>38</v>
      </c>
      <c r="W8">
        <v>14065248551.500164</v>
      </c>
    </row>
    <row r="9" spans="1:23">
      <c r="T9" s="8"/>
    </row>
    <row r="10" spans="1:23">
      <c r="A10" t="s">
        <v>39</v>
      </c>
      <c r="E10" t="s">
        <v>27</v>
      </c>
      <c r="H10" t="s">
        <v>28</v>
      </c>
      <c r="K10" t="s">
        <v>29</v>
      </c>
      <c r="M10" t="s">
        <v>30</v>
      </c>
      <c r="P10" t="s">
        <v>31</v>
      </c>
      <c r="S10" t="s">
        <v>32</v>
      </c>
      <c r="T10" s="8"/>
    </row>
    <row r="11" spans="1:23">
      <c r="T11" s="8"/>
    </row>
    <row r="12" spans="1:23">
      <c r="T12" s="8"/>
    </row>
    <row r="13" spans="1:23">
      <c r="A13" s="11" t="s">
        <v>40</v>
      </c>
      <c r="B13" s="11"/>
      <c r="C13" s="11"/>
      <c r="D13" s="11"/>
      <c r="E13" s="11"/>
      <c r="F13" s="11"/>
      <c r="G13" s="11"/>
      <c r="H13" s="11"/>
      <c r="I13" s="11"/>
      <c r="J13" s="11" t="s">
        <v>41</v>
      </c>
      <c r="K13" s="12"/>
      <c r="L13" s="12"/>
      <c r="M13" s="12"/>
      <c r="N13" s="12"/>
      <c r="O13" s="12"/>
      <c r="P13" s="12"/>
      <c r="Q13" s="12"/>
      <c r="R13" s="12"/>
      <c r="S13" s="12"/>
      <c r="T13" s="8"/>
    </row>
    <row r="14" spans="1:23">
      <c r="A14" t="s">
        <v>42</v>
      </c>
      <c r="J14" t="s">
        <v>43</v>
      </c>
    </row>
    <row r="15" spans="1:23">
      <c r="A15">
        <f>839216-637117</f>
        <v>202099</v>
      </c>
      <c r="B15" t="s">
        <v>44</v>
      </c>
      <c r="D15" t="s">
        <v>45</v>
      </c>
      <c r="J15">
        <f>42148-224</f>
        <v>41924</v>
      </c>
      <c r="K15" t="s">
        <v>44</v>
      </c>
    </row>
    <row r="16" spans="1:23">
      <c r="A16">
        <f>A15*10000000</f>
        <v>2020990000000</v>
      </c>
      <c r="B16" t="s">
        <v>46</v>
      </c>
      <c r="D16">
        <f>1/(1.902*54.77)</f>
        <v>9.5994587441181715E-3</v>
      </c>
      <c r="J16">
        <f>J15*10^7</f>
        <v>419240000000</v>
      </c>
      <c r="K16" t="s">
        <v>44</v>
      </c>
    </row>
    <row r="17" spans="1:11">
      <c r="A17">
        <f>A16/(1.902*54.77)</f>
        <v>19400410127.275383</v>
      </c>
      <c r="B17" t="s">
        <v>47</v>
      </c>
      <c r="J17">
        <f>J16*$D$16</f>
        <v>4024477083.8841023</v>
      </c>
      <c r="K17" t="s">
        <v>47</v>
      </c>
    </row>
    <row r="19" spans="1:11">
      <c r="A19" s="9" t="s">
        <v>48</v>
      </c>
      <c r="J19" s="9" t="s">
        <v>49</v>
      </c>
    </row>
    <row r="20" spans="1:11">
      <c r="A20">
        <f>A17*(W5/(W7+W5))</f>
        <v>10594310921.67734</v>
      </c>
      <c r="B20" t="s">
        <v>50</v>
      </c>
      <c r="J20">
        <f>J17*W6/(W6+W8)</f>
        <v>2358484076.5904341</v>
      </c>
      <c r="K20" t="s">
        <v>47</v>
      </c>
    </row>
    <row r="21" spans="1:11">
      <c r="A21" s="10" t="s">
        <v>51</v>
      </c>
      <c r="J21" s="9" t="s">
        <v>52</v>
      </c>
    </row>
    <row r="22" spans="1:11">
      <c r="A22">
        <f>A17-A20</f>
        <v>8806099205.5980434</v>
      </c>
      <c r="B22" t="s">
        <v>50</v>
      </c>
      <c r="J22">
        <f>J17-J20</f>
        <v>1665993007.2936683</v>
      </c>
      <c r="K22" t="s">
        <v>47</v>
      </c>
    </row>
  </sheetData>
  <mergeCells count="2">
    <mergeCell ref="A13:I13"/>
    <mergeCell ref="J13:S13"/>
  </mergeCells>
  <hyperlinks>
    <hyperlink ref="B1" r:id="rId1" xr:uid="{DD901C63-7788-4551-804F-18FAD9C5102D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3"/>
  <sheetViews>
    <sheetView workbookViewId="0">
      <selection activeCell="B3" sqref="B3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53</v>
      </c>
    </row>
    <row r="2" spans="1:2">
      <c r="A2" t="s">
        <v>38</v>
      </c>
      <c r="B2" s="7">
        <f>'India Calcs'!J22</f>
        <v>1665993007.2936683</v>
      </c>
    </row>
    <row r="3" spans="1:2">
      <c r="B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3"/>
  <sheetViews>
    <sheetView workbookViewId="0">
      <selection activeCell="B3" sqref="B3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53</v>
      </c>
    </row>
    <row r="2" spans="1:2">
      <c r="A2" t="s">
        <v>37</v>
      </c>
      <c r="B2" s="7">
        <f>'India Calcs'!A22</f>
        <v>8806099205.5980434</v>
      </c>
    </row>
    <row r="3" spans="1:2">
      <c r="B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3"/>
  <sheetViews>
    <sheetView workbookViewId="0">
      <selection activeCell="B3" sqref="B3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53</v>
      </c>
    </row>
    <row r="2" spans="1:2">
      <c r="A2" t="s">
        <v>36</v>
      </c>
      <c r="B2" s="7">
        <f>'India Calcs'!J20</f>
        <v>2358484076.5904341</v>
      </c>
    </row>
    <row r="3" spans="1:2">
      <c r="B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3"/>
  <sheetViews>
    <sheetView tabSelected="1" workbookViewId="0">
      <selection activeCell="H17" sqref="H17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53</v>
      </c>
    </row>
    <row r="2" spans="1:2">
      <c r="A2" t="s">
        <v>35</v>
      </c>
      <c r="B2" s="7">
        <f>'India Calcs'!A20</f>
        <v>10594310921.67734</v>
      </c>
    </row>
    <row r="3" spans="1:2">
      <c r="A3" t="s">
        <v>54</v>
      </c>
      <c r="B3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833857-7F1A-43BF-9670-8356B7F0C30B}"/>
</file>

<file path=customXml/itemProps2.xml><?xml version="1.0" encoding="utf-8"?>
<ds:datastoreItem xmlns:ds="http://schemas.openxmlformats.org/officeDocument/2006/customXml" ds:itemID="{9D3CD2E4-C44E-49C1-9DCF-605CB10EE872}"/>
</file>

<file path=customXml/itemProps3.xml><?xml version="1.0" encoding="utf-8"?>
<ds:datastoreItem xmlns:ds="http://schemas.openxmlformats.org/officeDocument/2006/customXml" ds:itemID="{6A9F5549-7252-4E6F-86F1-3D04456119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2015-07-06T21:06:03Z</dcterms:created>
  <dcterms:modified xsi:type="dcterms:W3CDTF">2024-08-27T12:47:41Z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