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bldgs\SoCEUtiNTY\"/>
    </mc:Choice>
  </mc:AlternateContent>
  <xr:revisionPtr revIDLastSave="0" documentId="13_ncr:1_{291269D8-C05D-4900-A05C-C69F299834A6}" xr6:coauthVersionLast="47" xr6:coauthVersionMax="47" xr10:uidLastSave="{00000000-0000-0000-0000-000000000000}"/>
  <bookViews>
    <workbookView xWindow="-120" yWindow="-120" windowWidth="29040" windowHeight="17520" tabRatio="908" activeTab="2" xr2:uid="{00000000-000D-0000-FFFF-FFFF00000000}"/>
  </bookViews>
  <sheets>
    <sheet name="About" sheetId="1" r:id="rId1"/>
    <sheet name="Component Lifetimes" sheetId="3" r:id="rId2"/>
    <sheet name="SoCEUtiNT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2" i="2" l="1"/>
  <c r="D2" i="2"/>
  <c r="C3" i="2"/>
  <c r="D3" i="2"/>
  <c r="C5" i="2"/>
  <c r="D5" i="2"/>
  <c r="C6" i="2"/>
  <c r="D6" i="2"/>
  <c r="C7" i="2"/>
  <c r="D7" i="2"/>
  <c r="B3" i="2"/>
  <c r="B5" i="2"/>
  <c r="B6" i="2"/>
  <c r="B7" i="2"/>
  <c r="B2" i="2"/>
</calcChain>
</file>

<file path=xl/sharedStrings.xml><?xml version="1.0" encoding="utf-8"?>
<sst xmlns="http://schemas.openxmlformats.org/spreadsheetml/2006/main" count="37" uniqueCount="28">
  <si>
    <t>SoCEUtiNTY Share of Components Energy Use that is New This Year</t>
  </si>
  <si>
    <t>Sources:</t>
  </si>
  <si>
    <t>About</t>
  </si>
  <si>
    <t>heating</t>
  </si>
  <si>
    <t>cooling and ventilation</t>
  </si>
  <si>
    <t>envelope</t>
  </si>
  <si>
    <t>lighting</t>
  </si>
  <si>
    <t>appliances</t>
  </si>
  <si>
    <t>other component</t>
  </si>
  <si>
    <t>Building Component</t>
  </si>
  <si>
    <t>This variable is used to estimate the share of BAU component energy use</t>
  </si>
  <si>
    <t>that is new (i.e. from newly installed components) each year.  This includes</t>
  </si>
  <si>
    <t>both components to serve new buildings (demand growth) and components</t>
  </si>
  <si>
    <t>to replace retiring components.</t>
  </si>
  <si>
    <t>The "envelope" value in this variable does not matter, because envelope</t>
  </si>
  <si>
    <t>does not itself use energy.  To avoid confusion, envelope is assigned</t>
  </si>
  <si>
    <t>a value of zero.</t>
  </si>
  <si>
    <t>urban residential</t>
  </si>
  <si>
    <t>rural residential</t>
  </si>
  <si>
    <t>commercial</t>
  </si>
  <si>
    <t>We separately estimate the share of buildings that are new (whose components</t>
  </si>
  <si>
    <t>are all new) and the share of components in surviving buildings that are</t>
  </si>
  <si>
    <t>replaced each year.  We consider the share of surviving buildings and</t>
  </si>
  <si>
    <t>new buildings to properly calculate overall component replacement rates.</t>
  </si>
  <si>
    <t>to new regions.</t>
  </si>
  <si>
    <t>This variable may need to be recalibrated when adapting the model</t>
  </si>
  <si>
    <t>Share of New Components Energy Use (dimensionless)</t>
  </si>
  <si>
    <t>See bldgs/CL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</si>
</sst>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</borders>
  <cellStyleXfs count="32">
    <xf numFmtId="0" fontId="0" fillId="0" borderId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3" fillId="0" borderId="3">
      <alignment wrapText="1"/>
    </xf>
    <xf numFmtId="0" fontId="3" fillId="0" borderId="0"/>
    <xf numFmtId="0" fontId="3" fillId="0" borderId="1">
      <alignment wrapText="1"/>
    </xf>
    <xf numFmtId="0" fontId="4" fillId="0" borderId="4">
      <alignment wrapText="1"/>
    </xf>
    <xf numFmtId="0" fontId="4" fillId="0" borderId="2">
      <alignment wrapText="1"/>
    </xf>
    <xf numFmtId="0" fontId="5" fillId="0" borderId="0">
      <alignment horizontal="left"/>
    </xf>
    <xf numFmtId="0" fontId="2" fillId="0" borderId="0"/>
    <xf numFmtId="0" fontId="3" fillId="0" borderId="0"/>
    <xf numFmtId="0" fontId="3" fillId="0" borderId="3">
      <alignment wrapText="1"/>
    </xf>
    <xf numFmtId="0" fontId="3" fillId="0" borderId="0"/>
    <xf numFmtId="0" fontId="3" fillId="0" borderId="1">
      <alignment wrapText="1"/>
    </xf>
    <xf numFmtId="0" fontId="4" fillId="0" borderId="4">
      <alignment wrapText="1"/>
    </xf>
    <xf numFmtId="0" fontId="4" fillId="0" borderId="2">
      <alignment wrapText="1"/>
    </xf>
    <xf numFmtId="0" fontId="5" fillId="0" borderId="0">
      <alignment horizontal="left"/>
    </xf>
    <xf numFmtId="0" fontId="2" fillId="0" borderId="0"/>
    <xf numFmtId="0" fontId="3" fillId="0" borderId="3">
      <alignment wrapText="1"/>
    </xf>
    <xf numFmtId="0" fontId="3" fillId="0" borderId="0"/>
    <xf numFmtId="0" fontId="3" fillId="0" borderId="1">
      <alignment wrapText="1"/>
    </xf>
    <xf numFmtId="0" fontId="4" fillId="0" borderId="4">
      <alignment wrapText="1"/>
    </xf>
    <xf numFmtId="0" fontId="4" fillId="0" borderId="2">
      <alignment wrapText="1"/>
    </xf>
    <xf numFmtId="0" fontId="5" fillId="0" borderId="0">
      <alignment horizontal="left"/>
    </xf>
    <xf numFmtId="0" fontId="2" fillId="0" borderId="0"/>
    <xf numFmtId="0" fontId="2" fillId="0" borderId="0"/>
    <xf numFmtId="0" fontId="2" fillId="0" borderId="0"/>
  </cellStyleXfs>
  <cellXfs count="7">
    <xf numFmtId="0" fontId="0" fillId="0" borderId="0" xfId="0"/>
    <xf numFmtId="0" fontId="1" fillId="0" borderId="0" xfId="0" applyFont="1"/>
    <xf numFmtId="1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164" fontId="0" fillId="2" borderId="0" xfId="0" applyNumberFormat="1" applyFill="1"/>
    <xf numFmtId="0" fontId="1" fillId="0" borderId="0" xfId="0" applyFont="1" applyAlignment="1">
      <alignment wrapText="1"/>
    </xf>
  </cellXfs>
  <cellStyles count="32">
    <cellStyle name="Body: normal cell" xfId="4" xr:uid="{00000000-0005-0000-0000-000000000000}"/>
    <cellStyle name="Body: normal cell 2" xfId="23" xr:uid="{9CFBC232-A1B1-40CA-8460-CBB535ED5AAA}"/>
    <cellStyle name="Body: normal cell 3" xfId="16" xr:uid="{84DB1FD6-FED4-4284-95DE-E6034C5CB5B0}"/>
    <cellStyle name="Body: normal cell 4" xfId="8" xr:uid="{8C870550-7E42-48BC-8857-28A0174BDD33}"/>
    <cellStyle name="Font: Calibri, 9pt regular" xfId="6" xr:uid="{00000000-0005-0000-0000-000001000000}"/>
    <cellStyle name="Font: Calibri, 9pt regular 2" xfId="24" xr:uid="{AB602176-8C97-40BB-9894-B9B0F694F2B3}"/>
    <cellStyle name="Font: Calibri, 9pt regular 3" xfId="17" xr:uid="{BFAC939E-54D8-411A-B740-2AADCC5B5C82}"/>
    <cellStyle name="Font: Calibri, 9pt regular 4" xfId="9" xr:uid="{F345605D-08CD-4B8F-808D-6235A3B414BC}"/>
    <cellStyle name="Footnotes: top row" xfId="2" xr:uid="{00000000-0005-0000-0000-000002000000}"/>
    <cellStyle name="Footnotes: top row 2" xfId="25" xr:uid="{16C29945-4FEF-4E5A-A0A8-00EDD7F93DA8}"/>
    <cellStyle name="Footnotes: top row 3" xfId="18" xr:uid="{D070D954-67FB-4790-86BA-DB6ED727F430}"/>
    <cellStyle name="Footnotes: top row 4" xfId="10" xr:uid="{E56AEEF5-7F38-4C26-AB47-C4EE6C5B8928}"/>
    <cellStyle name="Header: bottom row" xfId="5" xr:uid="{00000000-0005-0000-0000-000003000000}"/>
    <cellStyle name="Header: bottom row 2" xfId="26" xr:uid="{01BF941A-44A3-4757-9D41-F1130AE36347}"/>
    <cellStyle name="Header: bottom row 3" xfId="19" xr:uid="{DEBF26CB-097C-45CC-B544-B40B5A8C1020}"/>
    <cellStyle name="Header: bottom row 4" xfId="11" xr:uid="{6D7B1FD4-689E-47AA-80A8-0B5228ED2093}"/>
    <cellStyle name="Normal" xfId="0" builtinId="0"/>
    <cellStyle name="Normal 2" xfId="1" xr:uid="{00000000-0005-0000-0000-000005000000}"/>
    <cellStyle name="Normal 3" xfId="22" xr:uid="{397D3FE7-60CA-41B6-B570-B3BD04DEA122}"/>
    <cellStyle name="Normal 3 2" xfId="30" xr:uid="{0090C00B-5F04-441C-AC34-33DF96644168}"/>
    <cellStyle name="Normal 4" xfId="15" xr:uid="{35ACE661-A9C0-4454-88C5-A198E4D25E57}"/>
    <cellStyle name="Normal 5" xfId="14" xr:uid="{F78A6A04-2521-4816-83FC-C622C507D7B4}"/>
    <cellStyle name="Normal 5 2" xfId="31" xr:uid="{C2B2B3A8-C1FE-48D9-9844-0BB4AD3E1395}"/>
    <cellStyle name="Normal 6" xfId="29" xr:uid="{B0765BFE-F72B-4B8B-BAEF-1BD072C8E8E4}"/>
    <cellStyle name="Parent row" xfId="3" xr:uid="{00000000-0005-0000-0000-000006000000}"/>
    <cellStyle name="Parent row 2" xfId="27" xr:uid="{138C2134-81FD-4488-8F02-12D9CC47311B}"/>
    <cellStyle name="Parent row 3" xfId="20" xr:uid="{AE84A291-9BA9-4974-BF96-29FDD8A27EB7}"/>
    <cellStyle name="Parent row 4" xfId="12" xr:uid="{352D351F-6049-432B-802E-F839404D98C7}"/>
    <cellStyle name="Table title" xfId="7" xr:uid="{00000000-0005-0000-0000-000008000000}"/>
    <cellStyle name="Table title 2" xfId="28" xr:uid="{B7C204BE-0697-4E01-8540-280384E21B2A}"/>
    <cellStyle name="Table title 3" xfId="21" xr:uid="{2D667143-32CD-4A08-9D61-E22D1757F7B9}"/>
    <cellStyle name="Table title 4" xfId="13" xr:uid="{91337898-8345-4390-B3C9-5F842A817E2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A4" sqref="A4:XFD25"/>
    </sheetView>
  </sheetViews>
  <sheetFormatPr defaultRowHeight="15" x14ac:dyDescent="0.25"/>
  <cols>
    <col min="2" max="2" width="52" customWidth="1"/>
  </cols>
  <sheetData>
    <row r="1" spans="1:2" x14ac:dyDescent="0.25">
      <c r="A1" s="1" t="s">
        <v>0</v>
      </c>
    </row>
    <row r="3" spans="1:2" x14ac:dyDescent="0.25">
      <c r="A3" s="1" t="s">
        <v>1</v>
      </c>
      <c r="B3" t="s">
        <v>27</v>
      </c>
    </row>
    <row r="5" spans="1:2" x14ac:dyDescent="0.25">
      <c r="A5" s="1" t="s">
        <v>2</v>
      </c>
    </row>
    <row r="6" spans="1:2" x14ac:dyDescent="0.25">
      <c r="A6" t="s">
        <v>10</v>
      </c>
    </row>
    <row r="7" spans="1:2" x14ac:dyDescent="0.25">
      <c r="A7" t="s">
        <v>11</v>
      </c>
    </row>
    <row r="8" spans="1:2" x14ac:dyDescent="0.25">
      <c r="A8" t="s">
        <v>12</v>
      </c>
    </row>
    <row r="9" spans="1:2" x14ac:dyDescent="0.25">
      <c r="A9" t="s">
        <v>13</v>
      </c>
    </row>
    <row r="11" spans="1:2" x14ac:dyDescent="0.25">
      <c r="A11" t="s">
        <v>14</v>
      </c>
    </row>
    <row r="12" spans="1:2" x14ac:dyDescent="0.25">
      <c r="A12" t="s">
        <v>15</v>
      </c>
    </row>
    <row r="13" spans="1:2" x14ac:dyDescent="0.25">
      <c r="A13" t="s">
        <v>16</v>
      </c>
    </row>
    <row r="15" spans="1:2" x14ac:dyDescent="0.25">
      <c r="A15" t="s">
        <v>20</v>
      </c>
    </row>
    <row r="16" spans="1:2" x14ac:dyDescent="0.25">
      <c r="A16" t="s">
        <v>21</v>
      </c>
    </row>
    <row r="17" spans="1:1" x14ac:dyDescent="0.25">
      <c r="A17" t="s">
        <v>22</v>
      </c>
    </row>
    <row r="18" spans="1:1" x14ac:dyDescent="0.25">
      <c r="A18" t="s">
        <v>23</v>
      </c>
    </row>
    <row r="20" spans="1:1" x14ac:dyDescent="0.25">
      <c r="A20" t="s">
        <v>25</v>
      </c>
    </row>
    <row r="21" spans="1:1" x14ac:dyDescent="0.25">
      <c r="A21" t="s">
        <v>24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selection activeCell="F23" sqref="F23"/>
    </sheetView>
  </sheetViews>
  <sheetFormatPr defaultRowHeight="15" x14ac:dyDescent="0.25"/>
  <cols>
    <col min="1" max="1" width="25.42578125" customWidth="1"/>
    <col min="2" max="2" width="14.42578125" customWidth="1"/>
  </cols>
  <sheetData>
    <row r="1" spans="1:4" x14ac:dyDescent="0.25">
      <c r="A1" s="1" t="s">
        <v>9</v>
      </c>
      <c r="B1" s="2" t="s">
        <v>17</v>
      </c>
      <c r="C1" t="s">
        <v>18</v>
      </c>
      <c r="D1" t="s">
        <v>19</v>
      </c>
    </row>
    <row r="2" spans="1:4" x14ac:dyDescent="0.25">
      <c r="A2" t="s">
        <v>3</v>
      </c>
      <c r="B2" s="2">
        <v>19</v>
      </c>
      <c r="C2">
        <v>19</v>
      </c>
      <c r="D2">
        <v>19</v>
      </c>
    </row>
    <row r="3" spans="1:4" x14ac:dyDescent="0.25">
      <c r="A3" t="s">
        <v>4</v>
      </c>
      <c r="B3" s="2">
        <v>16</v>
      </c>
      <c r="C3">
        <v>16</v>
      </c>
      <c r="D3">
        <v>16</v>
      </c>
    </row>
    <row r="4" spans="1:4" x14ac:dyDescent="0.25">
      <c r="A4" t="s">
        <v>5</v>
      </c>
      <c r="B4" s="2">
        <v>250</v>
      </c>
      <c r="C4">
        <v>250</v>
      </c>
      <c r="D4">
        <v>176</v>
      </c>
    </row>
    <row r="5" spans="1:4" x14ac:dyDescent="0.25">
      <c r="A5" t="s">
        <v>6</v>
      </c>
      <c r="B5" s="2">
        <v>9</v>
      </c>
      <c r="C5">
        <v>9</v>
      </c>
      <c r="D5">
        <v>9</v>
      </c>
    </row>
    <row r="6" spans="1:4" x14ac:dyDescent="0.25">
      <c r="A6" t="s">
        <v>7</v>
      </c>
      <c r="B6" s="2">
        <v>14</v>
      </c>
      <c r="C6">
        <v>14</v>
      </c>
      <c r="D6">
        <v>14</v>
      </c>
    </row>
    <row r="7" spans="1:4" x14ac:dyDescent="0.25">
      <c r="A7" t="s">
        <v>8</v>
      </c>
      <c r="B7">
        <v>15</v>
      </c>
      <c r="C7">
        <v>15</v>
      </c>
      <c r="D7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A1:D8"/>
  <sheetViews>
    <sheetView tabSelected="1" workbookViewId="0">
      <selection activeCell="E4" sqref="E4"/>
    </sheetView>
  </sheetViews>
  <sheetFormatPr defaultRowHeight="15" x14ac:dyDescent="0.25"/>
  <cols>
    <col min="1" max="1" width="23.7109375" customWidth="1"/>
    <col min="2" max="2" width="17.5703125" customWidth="1"/>
    <col min="3" max="3" width="18.28515625" customWidth="1"/>
    <col min="4" max="4" width="14.85546875" customWidth="1"/>
  </cols>
  <sheetData>
    <row r="1" spans="1:4" ht="45" x14ac:dyDescent="0.25">
      <c r="A1" s="6" t="s">
        <v>26</v>
      </c>
      <c r="B1" s="4" t="s">
        <v>17</v>
      </c>
      <c r="C1" s="4" t="s">
        <v>18</v>
      </c>
      <c r="D1" s="4" t="s">
        <v>19</v>
      </c>
    </row>
    <row r="2" spans="1:4" x14ac:dyDescent="0.25">
      <c r="A2" t="s">
        <v>3</v>
      </c>
      <c r="B2" s="5">
        <f>1/'Component Lifetimes'!B2</f>
        <v>5.2631578947368418E-2</v>
      </c>
      <c r="C2" s="5">
        <f>1/'Component Lifetimes'!C2</f>
        <v>5.2631578947368418E-2</v>
      </c>
      <c r="D2" s="5">
        <f>1/'Component Lifetimes'!D2</f>
        <v>5.2631578947368418E-2</v>
      </c>
    </row>
    <row r="3" spans="1:4" x14ac:dyDescent="0.25">
      <c r="A3" t="s">
        <v>4</v>
      </c>
      <c r="B3" s="5">
        <f>1/'Component Lifetimes'!B3</f>
        <v>6.25E-2</v>
      </c>
      <c r="C3" s="5">
        <f>1/'Component Lifetimes'!C3</f>
        <v>6.25E-2</v>
      </c>
      <c r="D3" s="5">
        <f>1/'Component Lifetimes'!D3</f>
        <v>6.25E-2</v>
      </c>
    </row>
    <row r="4" spans="1:4" x14ac:dyDescent="0.25">
      <c r="A4" t="s">
        <v>5</v>
      </c>
      <c r="B4" s="5">
        <v>0</v>
      </c>
      <c r="C4" s="5">
        <v>0</v>
      </c>
      <c r="D4" s="5">
        <v>0</v>
      </c>
    </row>
    <row r="5" spans="1:4" x14ac:dyDescent="0.25">
      <c r="A5" t="s">
        <v>6</v>
      </c>
      <c r="B5" s="5">
        <f>1/'Component Lifetimes'!B5</f>
        <v>0.1111111111111111</v>
      </c>
      <c r="C5" s="5">
        <f>1/'Component Lifetimes'!C5</f>
        <v>0.1111111111111111</v>
      </c>
      <c r="D5" s="5">
        <f>1/'Component Lifetimes'!D5</f>
        <v>0.1111111111111111</v>
      </c>
    </row>
    <row r="6" spans="1:4" x14ac:dyDescent="0.25">
      <c r="A6" t="s">
        <v>7</v>
      </c>
      <c r="B6" s="5">
        <f>1/'Component Lifetimes'!B6</f>
        <v>7.1428571428571425E-2</v>
      </c>
      <c r="C6" s="5">
        <f>1/'Component Lifetimes'!C6</f>
        <v>7.1428571428571425E-2</v>
      </c>
      <c r="D6" s="5">
        <f>1/'Component Lifetimes'!D6</f>
        <v>7.1428571428571425E-2</v>
      </c>
    </row>
    <row r="7" spans="1:4" x14ac:dyDescent="0.25">
      <c r="A7" t="s">
        <v>8</v>
      </c>
      <c r="B7" s="5">
        <f>1/'Component Lifetimes'!B7</f>
        <v>6.6666666666666666E-2</v>
      </c>
      <c r="C7" s="5">
        <f>1/'Component Lifetimes'!C7</f>
        <v>6.6666666666666666E-2</v>
      </c>
      <c r="D7" s="5">
        <f>1/'Component Lifetimes'!D7</f>
        <v>6.6666666666666666E-2</v>
      </c>
    </row>
    <row r="8" spans="1:4" x14ac:dyDescent="0.25">
      <c r="D8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Component Lifetimes</vt:lpstr>
      <vt:lpstr>SoCEUtiNTY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2018-01-10T20:44:14Z</dcterms:created>
  <dcterms:modified xsi:type="dcterms:W3CDTF">2024-12-23T17:34:15Z</dcterms:modified>
</cp:coreProperties>
</file>