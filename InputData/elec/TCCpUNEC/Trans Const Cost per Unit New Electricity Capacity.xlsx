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22.xml" ContentType="application/vnd.openxmlformats-officedocument.spreadsheetml.externalLink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customXml/itemProps2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wri-my.sharepoint.com/personal/varun_agarwal_wri_org/Documents/EPS India 2.0/EPS 2023/EPS India Update-2023-24/Completed EPS Variables/elec/"/>
    </mc:Choice>
  </mc:AlternateContent>
  <xr:revisionPtr revIDLastSave="159" documentId="13_ncr:1_{DAED8641-0A4C-45B8-8497-E2A493D04FC7}" xr6:coauthVersionLast="47" xr6:coauthVersionMax="47" xr10:uidLastSave="{89ED6D6F-FADB-4DBD-A801-28A4A3E241D9}"/>
  <bookViews>
    <workbookView xWindow="-110" yWindow="-110" windowWidth="19420" windowHeight="10420" firstSheet="3" xr2:uid="{00000000-000D-0000-FFFF-FFFF00000000}"/>
  </bookViews>
  <sheets>
    <sheet name="About" sheetId="1" r:id="rId1"/>
    <sheet name="Calculations" sheetId="7" r:id="rId2"/>
    <sheet name="Approach 1 - India Calcs" sheetId="12" r:id="rId3"/>
    <sheet name="Different approach" sheetId="13" r:id="rId4"/>
    <sheet name="TCCpUNEC" sheetId="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B33" i="13"/>
  <c r="B32" i="13"/>
  <c r="B31" i="13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6" i="12"/>
  <c r="F6" i="12" s="1"/>
  <c r="C7" i="7"/>
  <c r="C4" i="7"/>
  <c r="G7" i="12" l="1"/>
  <c r="G8" i="12" s="1"/>
  <c r="G9" i="12" s="1"/>
  <c r="C6" i="7"/>
  <c r="C5" i="7"/>
  <c r="B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Devadathan Biju</author>
  </authors>
  <commentList>
    <comment ref="G9" authorId="0" shapeId="0" xr:uid="{7E39BBDD-E31F-4F80-A3F8-484366EBF749}">
      <text>
        <r>
          <rPr>
            <b/>
            <sz val="9"/>
            <color indexed="81"/>
            <rFont val="Tahoma"/>
            <family val="2"/>
          </rPr>
          <t>Devadathan Biju:</t>
        </r>
        <r>
          <rPr>
            <sz val="9"/>
            <color indexed="81"/>
            <rFont val="Tahoma"/>
            <family val="2"/>
          </rPr>
          <t xml:space="preserve">
Even though we followed a slightly different approach, our estimated value for cost of transmission capacity per unit increase in total installed capacity is of the same order as that of the US 4.0 file
</t>
        </r>
      </text>
    </comment>
  </commentList>
</comments>
</file>

<file path=xl/sharedStrings.xml><?xml version="1.0" encoding="utf-8"?>
<sst xmlns="http://schemas.openxmlformats.org/spreadsheetml/2006/main" count="72" uniqueCount="68">
  <si>
    <t>TCCpUNEC Transmission Construction Costs per Unit New Electricity Capacity</t>
  </si>
  <si>
    <t>Sources:</t>
  </si>
  <si>
    <t>Total transmission expenditure between 2022-2027</t>
  </si>
  <si>
    <t>Ministry of Power - Central Electiricty Authority</t>
  </si>
  <si>
    <t>Nationa Electricity Plan: Volume II - Transmission</t>
  </si>
  <si>
    <t>NEP_2022_32_FINAL_GAZETTE-1.pdf (cea.nic.in)</t>
  </si>
  <si>
    <t>PDF - Pg 13, First paragraph</t>
  </si>
  <si>
    <t>total additional capacity required during 2022-2027</t>
  </si>
  <si>
    <t>Nationa Electricity Plan: Volume I - Generation</t>
  </si>
  <si>
    <t>PDF Pg - 220, Table 9.2</t>
  </si>
  <si>
    <t>Note:</t>
  </si>
  <si>
    <t>This file should represent the cost of new bulk transmission, as spur lines</t>
  </si>
  <si>
    <t>are represented elsewhere in the EPS based on the amount of wind and solar added.</t>
  </si>
  <si>
    <t>We adjust 2022 rupees to 2012 dollars using the following conversion factor:</t>
  </si>
  <si>
    <t>See "cpi.xlsx" in the InputData folder for source information.</t>
  </si>
  <si>
    <t>https://www.nrel.gov/docs/fy21osti/78195.pdf</t>
  </si>
  <si>
    <t>$/MW-mile</t>
  </si>
  <si>
    <t>GW-km</t>
  </si>
  <si>
    <t>345-kV</t>
  </si>
  <si>
    <t>500-kV</t>
  </si>
  <si>
    <t>765-kV</t>
  </si>
  <si>
    <t>230-kV (spur line)</t>
  </si>
  <si>
    <t>Weighted Average $/MW-mile (excluding spur lines)</t>
  </si>
  <si>
    <t>Source</t>
  </si>
  <si>
    <t>Ministry of Power Website/Transmission/Overview</t>
  </si>
  <si>
    <t>Addition in Transformation capacity (MVA)</t>
  </si>
  <si>
    <t>Fiscal year</t>
  </si>
  <si>
    <t>Addition in Transmission line (ckm)</t>
  </si>
  <si>
    <t>Total installed capacity (GW)</t>
  </si>
  <si>
    <t>cap addition in each FY</t>
  </si>
  <si>
    <t>circuit infrastructure added per unit increase in capacity</t>
  </si>
  <si>
    <t>FY 2014-15</t>
  </si>
  <si>
    <t>FY 2015-16</t>
  </si>
  <si>
    <t>FY 2016-17</t>
  </si>
  <si>
    <t>average circuit distance added per increase in total installed capacity</t>
  </si>
  <si>
    <t>FY 2017-18</t>
  </si>
  <si>
    <t>ckm/GW</t>
  </si>
  <si>
    <t>FY 2018-19</t>
  </si>
  <si>
    <t>2012$/GW</t>
  </si>
  <si>
    <t>FY 2019-20</t>
  </si>
  <si>
    <t>2012$/MW</t>
  </si>
  <si>
    <t>FY 2020-21</t>
  </si>
  <si>
    <t>FY 2021-22</t>
  </si>
  <si>
    <t>FY 2022-23 </t>
  </si>
  <si>
    <t>FY 2023-24</t>
  </si>
  <si>
    <t>FY 2024-25*</t>
  </si>
  <si>
    <t>Total</t>
  </si>
  <si>
    <t>7,26,759</t>
  </si>
  <si>
    <t>cost of transmission lines per unit circuit-distance</t>
  </si>
  <si>
    <t>Source: EPS 3.1.3.5 input file, 'TCCpUCD'</t>
  </si>
  <si>
    <t>Cost per Unit Capacity Distance</t>
  </si>
  <si>
    <t>units</t>
  </si>
  <si>
    <t>Transmission Construction</t>
  </si>
  <si>
    <t xml:space="preserve"> (2012$/(circuit*km))</t>
  </si>
  <si>
    <t>Other resource</t>
  </si>
  <si>
    <t>42RP.pdf (cercind.gov.in)</t>
  </si>
  <si>
    <t>*Draft_NEP_Vol_II.pdf (cea.nic.in)</t>
  </si>
  <si>
    <t>Esimated cost of building T&amp;D infrastructure in the coutnry</t>
  </si>
  <si>
    <t>Total additional capacity to be building during 2022-2027</t>
  </si>
  <si>
    <t>T&amp;D infrastructure expenditure : 2022-27</t>
  </si>
  <si>
    <t>Cr 2022 INR</t>
  </si>
  <si>
    <t>Additional capacity planned to be installed: 2022-27</t>
  </si>
  <si>
    <t>MW</t>
  </si>
  <si>
    <t>T&amp;D construction cost per unit new electricity capacity</t>
  </si>
  <si>
    <t>Cr 2022 INR/MW</t>
  </si>
  <si>
    <t>Cr 2012 INR/MW</t>
  </si>
  <si>
    <t>2012 $/MW</t>
  </si>
  <si>
    <t>Cost per Unit New Electricity Generation (2012 $ / 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</si>
</sst>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0" fillId="2" borderId="0" xfId="0" applyFill="1"/>
    <xf numFmtId="0" fontId="0" fillId="3" borderId="6" xfId="0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vertical="center" wrapText="1"/>
    </xf>
    <xf numFmtId="3" fontId="9" fillId="3" borderId="5" xfId="0" applyNumberFormat="1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3" fontId="8" fillId="3" borderId="5" xfId="0" applyNumberFormat="1" applyFont="1" applyFill="1" applyBorder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wrapText="1"/>
    </xf>
    <xf numFmtId="0" fontId="1" fillId="4" borderId="0" xfId="0" applyFont="1" applyFill="1"/>
    <xf numFmtId="0" fontId="12" fillId="5" borderId="0" xfId="0" applyFont="1" applyFill="1"/>
    <xf numFmtId="0" fontId="9" fillId="6" borderId="5" xfId="0" applyFont="1" applyFill="1" applyBorder="1" applyAlignment="1">
      <alignment vertical="center" wrapText="1"/>
    </xf>
    <xf numFmtId="3" fontId="9" fillId="6" borderId="5" xfId="0" applyNumberFormat="1" applyFont="1" applyFill="1" applyBorder="1" applyAlignment="1">
      <alignment vertical="center" wrapText="1"/>
    </xf>
    <xf numFmtId="0" fontId="0" fillId="6" borderId="0" xfId="0" applyFill="1"/>
    <xf numFmtId="0" fontId="8" fillId="3" borderId="6" xfId="0" applyFont="1" applyFill="1" applyBorder="1" applyAlignment="1">
      <alignment horizontal="left" vertical="center" wrapText="1"/>
    </xf>
    <xf numFmtId="0" fontId="8" fillId="3" borderId="7" xfId="0" applyFont="1" applyFill="1" applyBorder="1" applyAlignment="1">
      <alignment horizontal="left" vertical="center" wrapText="1"/>
    </xf>
  </cellXfs>
  <cellStyles count="10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customXml" Target="../customXml/item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4.xml"/><Relationship Id="rId8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0</xdr:rowOff>
    </xdr:from>
    <xdr:to>
      <xdr:col>15</xdr:col>
      <xdr:colOff>0</xdr:colOff>
      <xdr:row>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0CAE5-F4E8-447E-45AF-DBE10FE04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381000"/>
          <a:ext cx="851535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9</xdr:col>
      <xdr:colOff>295275</xdr:colOff>
      <xdr:row>23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E4809D-D43A-AED0-1484-F2242D41C437}"/>
            </a:ext>
            <a:ext uri="{147F2762-F138-4A5C-976F-8EAC2B608ADB}">
              <a16:predDERef xmlns:a16="http://schemas.microsoft.com/office/drawing/2014/main" pred="{9DD0CAE5-F4E8-447E-45AF-DBE10FE04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524000"/>
          <a:ext cx="5172075" cy="2981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ea.nic.in/wp-content/uploads/irp/2023/05/NEP_2022_32_FINAL_GAZETTE-1.pdf" TargetMode="External"/><Relationship Id="rId1" Type="http://schemas.openxmlformats.org/officeDocument/2006/relationships/hyperlink" Target="https://cea.nic.in/wp-content/uploads/irp/2023/05/NEP_2022_32_FINAL_GAZETTE-1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cercind.gov.in/2018/orders/42RP.pdf" TargetMode="External"/><Relationship Id="rId1" Type="http://schemas.openxmlformats.org/officeDocument/2006/relationships/hyperlink" Target="https://powermin.gov.in/en/content/overview-0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ea.nic.in/wp-content/uploads/psp___a_i/2024/01/Draft_NEP_Vol_I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F29" sqref="F29"/>
    </sheetView>
  </sheetViews>
  <sheetFormatPr defaultRowHeight="14.45"/>
  <cols>
    <col min="2" max="2" width="44.5703125" customWidth="1"/>
  </cols>
  <sheetData>
    <row r="1" spans="1:2">
      <c r="A1" s="1" t="s">
        <v>0</v>
      </c>
    </row>
    <row r="3" spans="1:2">
      <c r="A3" s="1" t="s">
        <v>1</v>
      </c>
      <c r="B3" s="6" t="s">
        <v>2</v>
      </c>
    </row>
    <row r="4" spans="1:2">
      <c r="A4" s="1"/>
      <c r="B4" t="s">
        <v>3</v>
      </c>
    </row>
    <row r="5" spans="1:2">
      <c r="A5" s="1"/>
      <c r="B5" s="2">
        <v>2023</v>
      </c>
    </row>
    <row r="6" spans="1:2">
      <c r="A6" s="1"/>
      <c r="B6" t="s">
        <v>4</v>
      </c>
    </row>
    <row r="7" spans="1:2" ht="15">
      <c r="A7" s="1"/>
      <c r="B7" s="3" t="s">
        <v>5</v>
      </c>
    </row>
    <row r="8" spans="1:2">
      <c r="A8" s="1"/>
      <c r="B8" t="s">
        <v>6</v>
      </c>
    </row>
    <row r="9" spans="1:2">
      <c r="A9" s="1"/>
    </row>
    <row r="10" spans="1:2">
      <c r="A10" s="1"/>
      <c r="B10" s="6" t="s">
        <v>7</v>
      </c>
    </row>
    <row r="11" spans="1:2">
      <c r="A11" s="1"/>
      <c r="B11" t="s">
        <v>3</v>
      </c>
    </row>
    <row r="12" spans="1:2">
      <c r="A12" s="1"/>
      <c r="B12" s="2">
        <v>2023</v>
      </c>
    </row>
    <row r="13" spans="1:2">
      <c r="A13" s="1"/>
      <c r="B13" t="s">
        <v>8</v>
      </c>
    </row>
    <row r="14" spans="1:2" ht="15">
      <c r="B14" s="3" t="s">
        <v>5</v>
      </c>
    </row>
    <row r="15" spans="1:2">
      <c r="B15" t="s">
        <v>9</v>
      </c>
    </row>
    <row r="17" spans="1:1">
      <c r="A17" s="1" t="s">
        <v>10</v>
      </c>
    </row>
    <row r="18" spans="1:1">
      <c r="A18" t="s">
        <v>11</v>
      </c>
    </row>
    <row r="19" spans="1:1">
      <c r="A19" t="s">
        <v>12</v>
      </c>
    </row>
    <row r="21" spans="1:1">
      <c r="A21" t="s">
        <v>13</v>
      </c>
    </row>
    <row r="22" spans="1:1">
      <c r="A22" s="5">
        <f>1/(1.821*54.33)</f>
        <v>1.0107653586048933E-2</v>
      </c>
    </row>
    <row r="23" spans="1:1">
      <c r="A23" t="s">
        <v>14</v>
      </c>
    </row>
  </sheetData>
  <hyperlinks>
    <hyperlink ref="B7" r:id="rId1" xr:uid="{2A907D0E-B0B4-4190-81FE-8AE2A817142B}"/>
    <hyperlink ref="B14" r:id="rId2" xr:uid="{8BC419C3-9FC0-45DE-A446-8A42BE4248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9DC7-8C7E-4973-9E1C-7164590672EF}">
  <dimension ref="A1:C11"/>
  <sheetViews>
    <sheetView workbookViewId="0">
      <selection activeCell="D5" sqref="D5"/>
    </sheetView>
  </sheetViews>
  <sheetFormatPr defaultRowHeight="14.45"/>
  <cols>
    <col min="1" max="1" width="26.5703125" customWidth="1"/>
    <col min="2" max="2" width="12" bestFit="1" customWidth="1"/>
  </cols>
  <sheetData>
    <row r="1" spans="1:3">
      <c r="A1" t="s">
        <v>15</v>
      </c>
    </row>
    <row r="3" spans="1:3">
      <c r="B3" t="s">
        <v>16</v>
      </c>
      <c r="C3" t="s">
        <v>17</v>
      </c>
    </row>
    <row r="4" spans="1:3">
      <c r="A4" t="s">
        <v>18</v>
      </c>
      <c r="B4">
        <v>2333</v>
      </c>
      <c r="C4" t="e">
        <f>#REF!</f>
        <v>#REF!</v>
      </c>
    </row>
    <row r="5" spans="1:3">
      <c r="A5" t="s">
        <v>19</v>
      </c>
      <c r="B5">
        <v>1347</v>
      </c>
      <c r="C5" t="e">
        <f>#REF!</f>
        <v>#REF!</v>
      </c>
    </row>
    <row r="6" spans="1:3">
      <c r="A6" t="s">
        <v>20</v>
      </c>
      <c r="B6">
        <v>1400</v>
      </c>
      <c r="C6" t="e">
        <f>#REF!</f>
        <v>#REF!</v>
      </c>
    </row>
    <row r="7" spans="1:3">
      <c r="A7" t="s">
        <v>21</v>
      </c>
      <c r="B7">
        <v>3667</v>
      </c>
      <c r="C7" t="e">
        <f>#REF!</f>
        <v>#REF!</v>
      </c>
    </row>
    <row r="9" spans="1:3" ht="29.1">
      <c r="A9" s="4" t="s">
        <v>22</v>
      </c>
      <c r="B9" t="e">
        <f>SUMPRODUCT(B4:B6,C4:C6)/SUM(C4:C6)</f>
        <v>#REF!</v>
      </c>
    </row>
    <row r="10" spans="1:3">
      <c r="A10" s="4"/>
    </row>
    <row r="11" spans="1:3">
      <c r="A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6F97-9563-43CD-8B14-1F419E259E5A}">
  <dimension ref="A1:H23"/>
  <sheetViews>
    <sheetView workbookViewId="0">
      <selection activeCell="J16" sqref="J16"/>
    </sheetView>
  </sheetViews>
  <sheetFormatPr defaultRowHeight="14.45"/>
  <cols>
    <col min="1" max="1" width="10.85546875" customWidth="1"/>
    <col min="2" max="2" width="14.7109375" customWidth="1"/>
    <col min="3" max="3" width="13.85546875" customWidth="1"/>
    <col min="4" max="4" width="14.28515625" customWidth="1"/>
    <col min="5" max="5" width="10.85546875" customWidth="1"/>
    <col min="6" max="6" width="14.5703125" customWidth="1"/>
    <col min="7" max="7" width="11.85546875" bestFit="1" customWidth="1"/>
  </cols>
  <sheetData>
    <row r="1" spans="1:8" ht="15" thickBot="1">
      <c r="A1" t="s">
        <v>23</v>
      </c>
      <c r="B1" s="3" t="s">
        <v>24</v>
      </c>
    </row>
    <row r="2" spans="1:8" ht="14.45" customHeight="1">
      <c r="A2" s="7"/>
      <c r="C2" s="20" t="s">
        <v>25</v>
      </c>
    </row>
    <row r="3" spans="1:8" ht="39.6" customHeight="1" thickBot="1">
      <c r="A3" t="s">
        <v>26</v>
      </c>
      <c r="B3" s="8" t="s">
        <v>27</v>
      </c>
      <c r="C3" s="21"/>
      <c r="D3" s="14" t="s">
        <v>28</v>
      </c>
      <c r="E3" s="14" t="s">
        <v>29</v>
      </c>
      <c r="F3" s="14" t="s">
        <v>30</v>
      </c>
    </row>
    <row r="4" spans="1:8" ht="15" thickBot="1">
      <c r="A4" s="9" t="s">
        <v>31</v>
      </c>
      <c r="B4" s="10">
        <v>22101</v>
      </c>
      <c r="C4" s="10">
        <v>65554</v>
      </c>
    </row>
    <row r="5" spans="1:8" ht="15" thickBot="1">
      <c r="A5" s="9" t="s">
        <v>32</v>
      </c>
      <c r="B5" s="10">
        <v>28114</v>
      </c>
      <c r="C5" s="10">
        <v>62849</v>
      </c>
      <c r="D5">
        <v>305.14999999999998</v>
      </c>
    </row>
    <row r="6" spans="1:8" ht="15" thickBot="1">
      <c r="A6" s="9" t="s">
        <v>33</v>
      </c>
      <c r="B6" s="10">
        <v>26300</v>
      </c>
      <c r="C6" s="10">
        <v>81816</v>
      </c>
      <c r="D6">
        <v>326.83999999999997</v>
      </c>
      <c r="E6">
        <f>D6-D5</f>
        <v>21.689999999999998</v>
      </c>
      <c r="F6">
        <f>B6/E6</f>
        <v>1212.5403411710467</v>
      </c>
      <c r="G6" t="s">
        <v>34</v>
      </c>
    </row>
    <row r="7" spans="1:8" ht="15" thickBot="1">
      <c r="A7" s="9" t="s">
        <v>35</v>
      </c>
      <c r="B7" s="10">
        <v>23119</v>
      </c>
      <c r="C7" s="10">
        <v>86193</v>
      </c>
      <c r="D7">
        <v>344.01</v>
      </c>
      <c r="E7">
        <f t="shared" ref="E7:E14" si="0">D7-D6</f>
        <v>17.170000000000016</v>
      </c>
      <c r="F7">
        <f t="shared" ref="F7:F14" si="1">B7/E7</f>
        <v>1346.4764123471159</v>
      </c>
      <c r="G7" s="16">
        <f>AVERAGE(F6:F13)</f>
        <v>1115.8350519320879</v>
      </c>
      <c r="H7" t="s">
        <v>36</v>
      </c>
    </row>
    <row r="8" spans="1:8" ht="15" thickBot="1">
      <c r="A8" s="9" t="s">
        <v>37</v>
      </c>
      <c r="B8" s="10">
        <v>22437</v>
      </c>
      <c r="C8" s="10">
        <v>72705</v>
      </c>
      <c r="D8">
        <v>356.11</v>
      </c>
      <c r="E8">
        <f t="shared" si="0"/>
        <v>12.100000000000023</v>
      </c>
      <c r="F8">
        <f t="shared" si="1"/>
        <v>1854.2975206611536</v>
      </c>
      <c r="G8">
        <f>G7*B20</f>
        <v>115694916.88090523</v>
      </c>
      <c r="H8" t="s">
        <v>38</v>
      </c>
    </row>
    <row r="9" spans="1:8" ht="15" thickBot="1">
      <c r="A9" s="9" t="s">
        <v>39</v>
      </c>
      <c r="B9" s="10">
        <v>11664</v>
      </c>
      <c r="C9" s="10">
        <v>68230</v>
      </c>
      <c r="D9">
        <v>370.09</v>
      </c>
      <c r="E9">
        <f t="shared" si="0"/>
        <v>13.979999999999961</v>
      </c>
      <c r="F9">
        <f t="shared" si="1"/>
        <v>834.33476394850015</v>
      </c>
      <c r="G9" s="15">
        <f>G8/1000</f>
        <v>115694.91688090522</v>
      </c>
      <c r="H9" t="s">
        <v>40</v>
      </c>
    </row>
    <row r="10" spans="1:8" ht="15" thickBot="1">
      <c r="A10" s="9" t="s">
        <v>41</v>
      </c>
      <c r="B10" s="10">
        <v>16750</v>
      </c>
      <c r="C10" s="10">
        <v>57575</v>
      </c>
      <c r="D10">
        <v>382.15</v>
      </c>
      <c r="E10">
        <f t="shared" si="0"/>
        <v>12.060000000000002</v>
      </c>
      <c r="F10">
        <f t="shared" si="1"/>
        <v>1388.8888888888887</v>
      </c>
    </row>
    <row r="11" spans="1:8" ht="15" thickBot="1">
      <c r="A11" s="9" t="s">
        <v>42</v>
      </c>
      <c r="B11" s="10">
        <v>14895</v>
      </c>
      <c r="C11" s="10">
        <v>78982</v>
      </c>
      <c r="D11">
        <v>399.5</v>
      </c>
      <c r="E11">
        <f t="shared" si="0"/>
        <v>17.350000000000023</v>
      </c>
      <c r="F11">
        <f t="shared" si="1"/>
        <v>858.50144092218909</v>
      </c>
    </row>
    <row r="12" spans="1:8" ht="15" thickBot="1">
      <c r="A12" s="9" t="s">
        <v>43</v>
      </c>
      <c r="B12" s="10">
        <v>14625</v>
      </c>
      <c r="C12" s="10">
        <v>75902</v>
      </c>
      <c r="D12">
        <v>416.05</v>
      </c>
      <c r="E12">
        <f t="shared" si="0"/>
        <v>16.550000000000011</v>
      </c>
      <c r="F12">
        <f t="shared" si="1"/>
        <v>883.68580060422903</v>
      </c>
    </row>
    <row r="13" spans="1:8" ht="15" thickBot="1">
      <c r="A13" s="9" t="s">
        <v>44</v>
      </c>
      <c r="B13" s="10">
        <v>14203</v>
      </c>
      <c r="C13" s="10">
        <v>70728</v>
      </c>
      <c r="D13">
        <v>441.97</v>
      </c>
      <c r="E13">
        <f t="shared" si="0"/>
        <v>25.920000000000016</v>
      </c>
      <c r="F13">
        <f t="shared" si="1"/>
        <v>547.95524691357991</v>
      </c>
    </row>
    <row r="14" spans="1:8" ht="15" thickBot="1">
      <c r="A14" s="17" t="s">
        <v>45</v>
      </c>
      <c r="B14" s="17">
        <v>391</v>
      </c>
      <c r="C14" s="18">
        <v>6225</v>
      </c>
      <c r="D14" s="19">
        <v>446.2</v>
      </c>
      <c r="E14" s="19">
        <f t="shared" si="0"/>
        <v>4.2299999999999613</v>
      </c>
      <c r="F14" s="19">
        <f t="shared" si="1"/>
        <v>92.434988179669872</v>
      </c>
    </row>
    <row r="15" spans="1:8" ht="15" thickBot="1">
      <c r="A15" s="11" t="s">
        <v>46</v>
      </c>
      <c r="B15" s="12">
        <v>194599</v>
      </c>
      <c r="C15" s="11" t="s">
        <v>47</v>
      </c>
    </row>
    <row r="17" spans="1:3">
      <c r="A17" s="1" t="s">
        <v>48</v>
      </c>
    </row>
    <row r="18" spans="1:3">
      <c r="A18" t="s">
        <v>49</v>
      </c>
    </row>
    <row r="19" spans="1:3">
      <c r="B19" t="s">
        <v>50</v>
      </c>
      <c r="C19" t="s">
        <v>51</v>
      </c>
    </row>
    <row r="20" spans="1:3">
      <c r="A20" t="s">
        <v>52</v>
      </c>
      <c r="B20" s="13">
        <v>103684.60524750271</v>
      </c>
      <c r="C20" t="s">
        <v>53</v>
      </c>
    </row>
    <row r="22" spans="1:3" ht="15">
      <c r="A22" s="1" t="s">
        <v>54</v>
      </c>
    </row>
    <row r="23" spans="1:3" ht="15">
      <c r="A23" s="3" t="s">
        <v>55</v>
      </c>
    </row>
  </sheetData>
  <mergeCells count="1">
    <mergeCell ref="C2:C3"/>
  </mergeCells>
  <hyperlinks>
    <hyperlink ref="B1" r:id="rId1" xr:uid="{53829977-992A-407C-9914-41CAB548C077}"/>
    <hyperlink ref="A23" r:id="rId2" xr:uid="{8D9C9270-E1EB-42D4-ACB4-8691FA2AAF49}"/>
  </hyperlinks>
  <pageMargins left="0.7" right="0.7" top="0.75" bottom="0.75" header="0.3" footer="0.3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8A69-13EA-45F8-940A-4BA0ACCAA326}">
  <dimension ref="B1:C33"/>
  <sheetViews>
    <sheetView workbookViewId="0">
      <selection activeCell="B32" sqref="B32"/>
    </sheetView>
  </sheetViews>
  <sheetFormatPr defaultRowHeight="15"/>
  <sheetData>
    <row r="1" spans="2:3">
      <c r="B1" t="s">
        <v>23</v>
      </c>
      <c r="C1" s="3" t="s">
        <v>56</v>
      </c>
    </row>
    <row r="2" spans="2:3">
      <c r="B2" t="s">
        <v>57</v>
      </c>
    </row>
    <row r="8" spans="2:3">
      <c r="B8" t="s">
        <v>58</v>
      </c>
    </row>
    <row r="26" spans="2:3">
      <c r="B26" t="s">
        <v>59</v>
      </c>
    </row>
    <row r="27" spans="2:3">
      <c r="B27">
        <v>475804</v>
      </c>
      <c r="C27" t="s">
        <v>60</v>
      </c>
    </row>
    <row r="28" spans="2:3">
      <c r="B28" t="s">
        <v>61</v>
      </c>
    </row>
    <row r="29" spans="2:3">
      <c r="B29">
        <v>211819</v>
      </c>
      <c r="C29" t="s">
        <v>62</v>
      </c>
    </row>
    <row r="30" spans="2:3">
      <c r="B30" t="s">
        <v>63</v>
      </c>
    </row>
    <row r="31" spans="2:3">
      <c r="B31">
        <f>B27/B29</f>
        <v>2.2462763019370313</v>
      </c>
      <c r="C31" t="s">
        <v>64</v>
      </c>
    </row>
    <row r="32" spans="2:3">
      <c r="B32">
        <f>B31/1.821</f>
        <v>1.2335399790977657</v>
      </c>
      <c r="C32" t="s">
        <v>65</v>
      </c>
    </row>
    <row r="33" spans="2:3">
      <c r="B33">
        <f>B32*10000000/54.77</f>
        <v>225221.83295558984</v>
      </c>
      <c r="C33" t="s">
        <v>66</v>
      </c>
    </row>
  </sheetData>
  <hyperlinks>
    <hyperlink ref="C1" r:id="rId1" xr:uid="{7ECFBC3F-A04C-45DF-8437-4297B4FA62F4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4.45"/>
  <cols>
    <col min="1" max="1" width="24.85546875" customWidth="1"/>
    <col min="2" max="2" width="24.5703125" customWidth="1"/>
  </cols>
  <sheetData>
    <row r="1" spans="1:2">
      <c r="B1" t="s">
        <v>67</v>
      </c>
    </row>
    <row r="2" spans="1:2">
      <c r="A2" t="s">
        <v>52</v>
      </c>
      <c r="B2">
        <v>225221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11B832-D383-4CEC-A786-FCF851B9A428}"/>
</file>

<file path=customXml/itemProps2.xml><?xml version="1.0" encoding="utf-8"?>
<ds:datastoreItem xmlns:ds="http://schemas.openxmlformats.org/officeDocument/2006/customXml" ds:itemID="{477AF640-C4DA-4A8F-B6E3-1D6B0F10C6B6}"/>
</file>

<file path=customXml/itemProps3.xml><?xml version="1.0" encoding="utf-8"?>
<ds:datastoreItem xmlns:ds="http://schemas.openxmlformats.org/officeDocument/2006/customXml" ds:itemID="{D2CCA0A0-A02C-41BA-BEC3-91DBA54AF519}"/>
</file>

<file path=customXml/itemProps4.xml><?xml version="1.0" encoding="utf-8"?>
<ds:datastoreItem xmlns:ds="http://schemas.openxmlformats.org/officeDocument/2006/customXml" ds:itemID="{695FFBB0-508A-4943-9FE2-43045C75B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Devadathan Biju</cp:lastModifiedBy>
  <cp:revision/>
  <dcterms:created xsi:type="dcterms:W3CDTF">2015-07-06T21:06:03Z</dcterms:created>
  <dcterms:modified xsi:type="dcterms:W3CDTF">2024-08-23T10:09:18Z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