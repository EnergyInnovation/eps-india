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wri-my.sharepoint.com/personal/anuj_talwar_wri_org/Documents/EPS/Transport/Input Data/Draft US 4.0/BVS/"/>
    </mc:Choice>
  </mc:AlternateContent>
  <xr:revisionPtr revIDLastSave="216" documentId="13_ncr:1_{B81DBE57-2E0B-492A-8B39-306C57ECFDBE}" xr6:coauthVersionLast="47" xr6:coauthVersionMax="47" xr10:uidLastSave="{1E09122C-4500-40D1-9C2B-7BAB581A9537}"/>
  <bookViews>
    <workbookView xWindow="-110" yWindow="-110" windowWidth="19420" windowHeight="10300" xr2:uid="{00000000-000D-0000-FFFF-FFFF00000000}"/>
  </bookViews>
  <sheets>
    <sheet name="About" sheetId="1" r:id="rId1"/>
    <sheet name="FAME II" sheetId="118" r:id="rId2"/>
    <sheet name="BVS-psgr-LDVs" sheetId="2" r:id="rId3"/>
    <sheet name="BVS-psgr-HDVs" sheetId="101" r:id="rId4"/>
    <sheet name="BVS-psgr-aircraft" sheetId="105" r:id="rId5"/>
    <sheet name="BVP-psgr-rail" sheetId="104" r:id="rId6"/>
    <sheet name="BVS-psgr-ships" sheetId="103" r:id="rId7"/>
    <sheet name="BVS-psgr-motorbikes" sheetId="102" r:id="rId8"/>
    <sheet name="BVS-frgt-LDVs" sheetId="107" r:id="rId9"/>
    <sheet name="BVS-frgt-HDVs" sheetId="108" r:id="rId10"/>
    <sheet name="BVS-frgt-aircraft" sheetId="109" r:id="rId11"/>
    <sheet name="BVS-frgt-rail" sheetId="110" r:id="rId12"/>
    <sheet name="BVS-frgt-ships" sheetId="111" r:id="rId13"/>
    <sheet name="BVS-frgt-motorbikes" sheetId="112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12" l="1"/>
  <c r="E2" i="112" s="1"/>
  <c r="C2" i="112"/>
  <c r="B2" i="112"/>
  <c r="D2" i="108" l="1"/>
  <c r="E2" i="108" s="1"/>
  <c r="F2" i="108" s="1"/>
  <c r="G2" i="108" s="1"/>
  <c r="H2" i="108" s="1"/>
  <c r="I2" i="108" s="1"/>
  <c r="J2" i="108" s="1"/>
  <c r="K2" i="108" s="1"/>
  <c r="L2" i="108" s="1"/>
  <c r="M2" i="108" s="1"/>
  <c r="C2" i="108"/>
  <c r="E2" i="102"/>
  <c r="D2" i="102"/>
  <c r="C2" i="102"/>
  <c r="D8" i="107"/>
  <c r="E8" i="107" s="1"/>
  <c r="K8" i="107" s="1"/>
  <c r="L8" i="107" s="1"/>
  <c r="M8" i="107" s="1"/>
  <c r="C8" i="107"/>
  <c r="C6" i="107"/>
  <c r="B6" i="107"/>
  <c r="D2" i="107"/>
  <c r="E2" i="107" s="1"/>
  <c r="C2" i="107"/>
  <c r="B2" i="107"/>
  <c r="B2" i="102"/>
  <c r="C6" i="103"/>
  <c r="D6" i="103"/>
  <c r="E6" i="103"/>
  <c r="D2" i="103"/>
  <c r="E2" i="103"/>
  <c r="C2" i="103"/>
  <c r="B6" i="103"/>
  <c r="B2" i="103"/>
  <c r="D2" i="101"/>
  <c r="E2" i="101"/>
  <c r="C2" i="101"/>
  <c r="B2" i="101"/>
  <c r="AF1" i="112"/>
  <c r="AG1" i="112" s="1"/>
  <c r="AH1" i="112" s="1"/>
  <c r="AI1" i="112" s="1"/>
  <c r="AJ1" i="112" s="1"/>
  <c r="AK1" i="112" s="1"/>
  <c r="AL1" i="112" s="1"/>
  <c r="AM1" i="112" s="1"/>
  <c r="AN1" i="112" s="1"/>
  <c r="AO1" i="112" s="1"/>
  <c r="AP1" i="112" s="1"/>
  <c r="AQ1" i="112" s="1"/>
  <c r="AR1" i="112" s="1"/>
  <c r="AS1" i="112" s="1"/>
  <c r="AT1" i="112" s="1"/>
  <c r="AU1" i="112" s="1"/>
  <c r="AV1" i="112" s="1"/>
  <c r="AW1" i="112" s="1"/>
  <c r="AX1" i="112" s="1"/>
  <c r="AY1" i="112" s="1"/>
  <c r="AF1" i="111"/>
  <c r="AG1" i="111" s="1"/>
  <c r="AH1" i="111" s="1"/>
  <c r="AI1" i="111" s="1"/>
  <c r="AJ1" i="111" s="1"/>
  <c r="AK1" i="111" s="1"/>
  <c r="AL1" i="111" s="1"/>
  <c r="AM1" i="111" s="1"/>
  <c r="AN1" i="111" s="1"/>
  <c r="AO1" i="111" s="1"/>
  <c r="AP1" i="111" s="1"/>
  <c r="AQ1" i="111" s="1"/>
  <c r="AR1" i="111" s="1"/>
  <c r="AS1" i="111" s="1"/>
  <c r="AT1" i="111" s="1"/>
  <c r="AU1" i="111" s="1"/>
  <c r="AV1" i="111" s="1"/>
  <c r="AW1" i="111" s="1"/>
  <c r="AX1" i="111" s="1"/>
  <c r="AY1" i="111" s="1"/>
  <c r="AF1" i="110"/>
  <c r="AG1" i="110" s="1"/>
  <c r="AH1" i="110" s="1"/>
  <c r="AI1" i="110" s="1"/>
  <c r="AJ1" i="110" s="1"/>
  <c r="AK1" i="110" s="1"/>
  <c r="AL1" i="110" s="1"/>
  <c r="AM1" i="110" s="1"/>
  <c r="AN1" i="110" s="1"/>
  <c r="AO1" i="110" s="1"/>
  <c r="AP1" i="110" s="1"/>
  <c r="AQ1" i="110" s="1"/>
  <c r="AR1" i="110" s="1"/>
  <c r="AS1" i="110" s="1"/>
  <c r="AT1" i="110" s="1"/>
  <c r="AU1" i="110" s="1"/>
  <c r="AV1" i="110" s="1"/>
  <c r="AW1" i="110" s="1"/>
  <c r="AX1" i="110" s="1"/>
  <c r="AY1" i="110" s="1"/>
  <c r="AF1" i="109"/>
  <c r="AG1" i="109" s="1"/>
  <c r="AH1" i="109" s="1"/>
  <c r="AI1" i="109" s="1"/>
  <c r="AJ1" i="109" s="1"/>
  <c r="AK1" i="109" s="1"/>
  <c r="AL1" i="109" s="1"/>
  <c r="AM1" i="109" s="1"/>
  <c r="AN1" i="109" s="1"/>
  <c r="AO1" i="109" s="1"/>
  <c r="AP1" i="109" s="1"/>
  <c r="AQ1" i="109" s="1"/>
  <c r="AR1" i="109" s="1"/>
  <c r="AS1" i="109" s="1"/>
  <c r="AT1" i="109" s="1"/>
  <c r="AU1" i="109" s="1"/>
  <c r="AV1" i="109" s="1"/>
  <c r="AW1" i="109" s="1"/>
  <c r="AX1" i="109" s="1"/>
  <c r="AY1" i="109" s="1"/>
  <c r="AF1" i="108"/>
  <c r="AG1" i="108" s="1"/>
  <c r="AH1" i="108" s="1"/>
  <c r="AI1" i="108" s="1"/>
  <c r="AJ1" i="108" s="1"/>
  <c r="AK1" i="108" s="1"/>
  <c r="AL1" i="108" s="1"/>
  <c r="AM1" i="108" s="1"/>
  <c r="AN1" i="108" s="1"/>
  <c r="AO1" i="108" s="1"/>
  <c r="AP1" i="108" s="1"/>
  <c r="AQ1" i="108" s="1"/>
  <c r="AR1" i="108" s="1"/>
  <c r="AS1" i="108" s="1"/>
  <c r="AT1" i="108" s="1"/>
  <c r="AU1" i="108" s="1"/>
  <c r="AV1" i="108" s="1"/>
  <c r="AW1" i="108" s="1"/>
  <c r="AX1" i="108" s="1"/>
  <c r="AY1" i="108" s="1"/>
  <c r="AF1" i="107"/>
  <c r="AG1" i="107" s="1"/>
  <c r="AH1" i="107" s="1"/>
  <c r="AI1" i="107" s="1"/>
  <c r="AJ1" i="107" s="1"/>
  <c r="AK1" i="107" s="1"/>
  <c r="AL1" i="107" s="1"/>
  <c r="AM1" i="107" s="1"/>
  <c r="AN1" i="107" s="1"/>
  <c r="AO1" i="107" s="1"/>
  <c r="AP1" i="107" s="1"/>
  <c r="AQ1" i="107" s="1"/>
  <c r="AR1" i="107" s="1"/>
  <c r="AS1" i="107" s="1"/>
  <c r="AT1" i="107" s="1"/>
  <c r="AU1" i="107" s="1"/>
  <c r="AV1" i="107" s="1"/>
  <c r="AW1" i="107" s="1"/>
  <c r="AX1" i="107" s="1"/>
  <c r="AY1" i="107" s="1"/>
  <c r="AF1" i="103"/>
  <c r="AG1" i="103" s="1"/>
  <c r="AH1" i="103" s="1"/>
  <c r="AI1" i="103" s="1"/>
  <c r="AJ1" i="103" s="1"/>
  <c r="AK1" i="103" s="1"/>
  <c r="AL1" i="103" s="1"/>
  <c r="AM1" i="103" s="1"/>
  <c r="AN1" i="103" s="1"/>
  <c r="AO1" i="103" s="1"/>
  <c r="AP1" i="103" s="1"/>
  <c r="AQ1" i="103" s="1"/>
  <c r="AR1" i="103" s="1"/>
  <c r="AS1" i="103" s="1"/>
  <c r="AT1" i="103" s="1"/>
  <c r="AU1" i="103" s="1"/>
  <c r="AV1" i="103" s="1"/>
  <c r="AW1" i="103" s="1"/>
  <c r="AX1" i="103" s="1"/>
  <c r="AY1" i="103" s="1"/>
  <c r="AF1" i="104"/>
  <c r="AG1" i="104" s="1"/>
  <c r="AH1" i="104" s="1"/>
  <c r="AI1" i="104" s="1"/>
  <c r="AJ1" i="104" s="1"/>
  <c r="AK1" i="104" s="1"/>
  <c r="AL1" i="104" s="1"/>
  <c r="AM1" i="104" s="1"/>
  <c r="AN1" i="104" s="1"/>
  <c r="AO1" i="104" s="1"/>
  <c r="AP1" i="104" s="1"/>
  <c r="AQ1" i="104" s="1"/>
  <c r="AR1" i="104" s="1"/>
  <c r="AS1" i="104" s="1"/>
  <c r="AT1" i="104" s="1"/>
  <c r="AU1" i="104" s="1"/>
  <c r="AV1" i="104" s="1"/>
  <c r="AW1" i="104" s="1"/>
  <c r="AX1" i="104" s="1"/>
  <c r="AY1" i="104" s="1"/>
  <c r="AF1" i="101"/>
  <c r="AG1" i="101" s="1"/>
  <c r="AH1" i="101" s="1"/>
  <c r="AI1" i="101" s="1"/>
  <c r="AJ1" i="101" s="1"/>
  <c r="AK1" i="101" s="1"/>
  <c r="AL1" i="101" s="1"/>
  <c r="AM1" i="101" s="1"/>
  <c r="AN1" i="101" s="1"/>
  <c r="AO1" i="101" s="1"/>
  <c r="AP1" i="101" s="1"/>
  <c r="AQ1" i="101" s="1"/>
  <c r="AR1" i="101" s="1"/>
  <c r="AS1" i="101" s="1"/>
  <c r="AT1" i="101" s="1"/>
  <c r="AU1" i="101" s="1"/>
  <c r="AV1" i="101" s="1"/>
  <c r="AW1" i="101" s="1"/>
  <c r="AX1" i="101" s="1"/>
  <c r="AY1" i="101" s="1"/>
  <c r="AF1" i="2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W1" i="105"/>
  <c r="AX1" i="105"/>
  <c r="AY1" i="105"/>
  <c r="AG1" i="105"/>
  <c r="AH1" i="105" s="1"/>
  <c r="AI1" i="105" s="1"/>
  <c r="AJ1" i="105" s="1"/>
  <c r="AK1" i="105" s="1"/>
  <c r="AL1" i="105" s="1"/>
  <c r="AM1" i="105" s="1"/>
  <c r="AN1" i="105" s="1"/>
  <c r="AO1" i="105" s="1"/>
  <c r="AP1" i="105" s="1"/>
  <c r="AQ1" i="105" s="1"/>
  <c r="AR1" i="105" s="1"/>
  <c r="AS1" i="105" s="1"/>
  <c r="AT1" i="105" s="1"/>
  <c r="AU1" i="105" s="1"/>
  <c r="AV1" i="105" s="1"/>
  <c r="AF1" i="105"/>
  <c r="E9" i="118"/>
  <c r="E10" i="118"/>
  <c r="E11" i="118"/>
  <c r="E12" i="118"/>
  <c r="E8" i="118"/>
  <c r="C8" i="118"/>
  <c r="C9" i="118"/>
  <c r="C10" i="118"/>
  <c r="C11" i="118"/>
  <c r="C12" i="118"/>
  <c r="D22" i="118" l="1"/>
  <c r="B22" i="118"/>
  <c r="D20" i="118"/>
  <c r="B20" i="118"/>
  <c r="D19" i="118"/>
  <c r="B19" i="118"/>
  <c r="D18" i="118"/>
  <c r="B18" i="118"/>
  <c r="G11" i="118"/>
  <c r="D21" i="118" s="1"/>
  <c r="B21" i="118" l="1"/>
  <c r="E6" i="108" l="1"/>
  <c r="F6" i="108"/>
  <c r="G6" i="108"/>
  <c r="H6" i="108"/>
  <c r="L6" i="108"/>
  <c r="M6" i="108"/>
  <c r="E6" i="107"/>
  <c r="M8" i="108" l="1"/>
  <c r="J6" i="108"/>
  <c r="D6" i="108"/>
  <c r="M6" i="107"/>
  <c r="K6" i="108"/>
  <c r="D6" i="107"/>
  <c r="I6" i="108"/>
  <c r="L8" i="108"/>
  <c r="D8" i="2" l="1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</calcChain>
</file>

<file path=xl/sharedStrings.xml><?xml version="1.0" encoding="utf-8"?>
<sst xmlns="http://schemas.openxmlformats.org/spreadsheetml/2006/main" count="164" uniqueCount="67">
  <si>
    <t>BVS BAU Vehicle Subsidy</t>
  </si>
  <si>
    <t>Incentives for BEVs (FAME II)</t>
  </si>
  <si>
    <t xml:space="preserve">Incentives for BEVs (FAME I) </t>
  </si>
  <si>
    <t>Ministry of Heavy Industry and Public Enterprises</t>
  </si>
  <si>
    <t>Notification on Phase-II of FAME India Scheme</t>
  </si>
  <si>
    <t>FAME legislative text, Gazette of India: Extraordinary</t>
  </si>
  <si>
    <t>https://dhi.nic.in/writereaddata/UploadFile/publicationNotificationFAME%20II%208March2019.pdf</t>
  </si>
  <si>
    <t>http://www.fame-india.gov.in/ViewNotificationDetails.aspx?RowId=5</t>
  </si>
  <si>
    <t>Annexure 2 (Percentage of Subsidy)</t>
  </si>
  <si>
    <t>Pages 38-39, Tables 1 to 4</t>
  </si>
  <si>
    <t>Item 26, Page 8 - Cap on Incentives</t>
  </si>
  <si>
    <t>FAME II Update</t>
  </si>
  <si>
    <t>Press Information Bureau, Govt. of India</t>
  </si>
  <si>
    <t>Year-End- Review of Ministry of Heavy Industries – 2021</t>
  </si>
  <si>
    <t>https://pib.gov.in/pressreleasepage.aspx?prid=1784161</t>
  </si>
  <si>
    <t>Notes</t>
  </si>
  <si>
    <t>Only direct central subsidies (FAME scheme) to incentivise demand creation are considered.</t>
  </si>
  <si>
    <t>Indirect subsidies like reduced customs duty or excemptions from excise duty</t>
  </si>
  <si>
    <t>are not considered as they are effectively state revenue foregone, or are relevant</t>
  </si>
  <si>
    <t>mainly to manufacturers of vehicles or specific parts.</t>
  </si>
  <si>
    <t>Till 2018, FAME I scheme incentives are used.</t>
  </si>
  <si>
    <t xml:space="preserve">From 2019 onward, FAME II incentive rates are used. FAME II has caps on max available </t>
  </si>
  <si>
    <t>subsidy as a percentage of price for buses and other categories.</t>
  </si>
  <si>
    <t xml:space="preserve"> From 2022 onward, updates made to the FAME II incentive rates in 2021 are considered.</t>
  </si>
  <si>
    <t>Passenger LDVs and Freight HDVs not covered</t>
  </si>
  <si>
    <t>We convert to 2012 USD, the currency input unit for the model.</t>
  </si>
  <si>
    <t>We convert back to Indian currency in the model's output area.</t>
  </si>
  <si>
    <t>(This is necessary to calculate the subsidy as a % of BNVP)</t>
  </si>
  <si>
    <t>Ruppees per dollar</t>
  </si>
  <si>
    <t xml:space="preserve">See "conversion factors.xlsx" in India input data folder </t>
  </si>
  <si>
    <t>Ruppees per Crore</t>
  </si>
  <si>
    <t>Ruppees per Lakh</t>
  </si>
  <si>
    <t>Vehicle Type</t>
  </si>
  <si>
    <t>Total approximate incentive @Rs. 10000/kWh for 4 wheelers;</t>
  </si>
  <si>
    <t>Rs 10,000/kWh from 2019-2021 and 15,000/Kwh from 2022-2024 for 2 wheelers;</t>
  </si>
  <si>
    <t>and Rs. 20000/kWh for buses and trucks.</t>
  </si>
  <si>
    <t>Incentives for all 2 wheelers, and public and commercial vehicles in other vehicle categories.</t>
  </si>
  <si>
    <t>Incentive/vehicle (2019-21)</t>
  </si>
  <si>
    <t>Incentive/vehicle (2022-24)</t>
  </si>
  <si>
    <t>Max Ex-factory price to avail incentives</t>
  </si>
  <si>
    <t>EPS category</t>
  </si>
  <si>
    <t>INR 2019</t>
  </si>
  <si>
    <t>USD 2012</t>
  </si>
  <si>
    <t>Registered e-2 wheelers</t>
  </si>
  <si>
    <t>Passenger motorbikes</t>
  </si>
  <si>
    <t>Registered e-3 wheelers 
(incl. e-rickshaws)</t>
  </si>
  <si>
    <t>Freight motorbikes</t>
  </si>
  <si>
    <t>commercial e-4 wheelers (taxis)</t>
  </si>
  <si>
    <t>Passenger ships (repuposed as taxis for India)</t>
  </si>
  <si>
    <t>4W strong hybrid vehicle</t>
  </si>
  <si>
    <t>Freight LDVs</t>
  </si>
  <si>
    <t>e-bus</t>
  </si>
  <si>
    <t>Passenger HDVs</t>
  </si>
  <si>
    <t>Cap on subsidies for buses and 2 wheelers</t>
  </si>
  <si>
    <t>Cap for remaining vehicles</t>
  </si>
  <si>
    <t>EPS Category</t>
  </si>
  <si>
    <t>Subsidy (2019, '20, '21) %</t>
  </si>
  <si>
    <t>Subsidy (2022, '23, '24) %</t>
  </si>
  <si>
    <t xml:space="preserve">Passenger ships 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</si>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</sst>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3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9" fontId="0" fillId="0" borderId="0" xfId="30" applyFont="1"/>
    <xf numFmtId="1" fontId="0" fillId="0" borderId="0" xfId="0" applyNumberFormat="1"/>
    <xf numFmtId="0" fontId="1" fillId="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9" fontId="0" fillId="0" borderId="0" xfId="0" applyNumberFormat="1"/>
    <xf numFmtId="0" fontId="1" fillId="2" borderId="0" xfId="0" applyFont="1" applyFill="1" applyAlignment="1">
      <alignment horizontal="left"/>
    </xf>
    <xf numFmtId="0" fontId="5" fillId="0" borderId="0" xfId="8"/>
    <xf numFmtId="0" fontId="0" fillId="0" borderId="0" xfId="0" applyAlignment="1">
      <alignment horizontal="left" vertical="top"/>
    </xf>
    <xf numFmtId="0" fontId="7" fillId="0" borderId="0" xfId="0" applyFont="1"/>
    <xf numFmtId="0" fontId="0" fillId="2" borderId="0" xfId="0" applyFill="1"/>
    <xf numFmtId="0" fontId="0" fillId="3" borderId="0" xfId="0" applyFill="1"/>
    <xf numFmtId="0" fontId="5" fillId="0" borderId="0" xfId="8" applyAlignment="1">
      <alignment horizontal="left"/>
    </xf>
    <xf numFmtId="0" fontId="9" fillId="0" borderId="0" xfId="8" applyFont="1" applyAlignment="1">
      <alignment horizontal="left"/>
    </xf>
  </cellXfs>
  <cellStyles count="33">
    <cellStyle name="Body: normal cell" xfId="4" xr:uid="{00000000-0005-0000-0000-000000000000}"/>
    <cellStyle name="Body: normal cell 2" xfId="24" xr:uid="{18BAE46B-2E2B-4189-9E60-EEC8494BA028}"/>
    <cellStyle name="Body: normal cell 3" xfId="17" xr:uid="{46606A30-9DB6-4D96-9D39-18DB8C25C045}"/>
    <cellStyle name="Body: normal cell 4" xfId="9" xr:uid="{23D7D41B-0FA5-4B15-8ACE-D94C027772C4}"/>
    <cellStyle name="Currency 2" xfId="32" xr:uid="{C53AF8AC-2A66-4CBB-880E-1554F67B4888}"/>
    <cellStyle name="Font: Calibri, 9pt regular" xfId="6" xr:uid="{00000000-0005-0000-0000-000001000000}"/>
    <cellStyle name="Font: Calibri, 9pt regular 2" xfId="25" xr:uid="{97A6AFB7-D07D-4277-A8A5-6AA031407B07}"/>
    <cellStyle name="Font: Calibri, 9pt regular 3" xfId="18" xr:uid="{0009694E-C95B-4F43-83D7-2529DBC1B2D2}"/>
    <cellStyle name="Font: Calibri, 9pt regular 4" xfId="10" xr:uid="{4997676D-DE0F-4BF4-98C6-34E7B74441C2}"/>
    <cellStyle name="Footnotes: top row" xfId="2" xr:uid="{00000000-0005-0000-0000-000002000000}"/>
    <cellStyle name="Footnotes: top row 2" xfId="26" xr:uid="{97AB559D-7086-41BA-8641-AC105062AF6A}"/>
    <cellStyle name="Footnotes: top row 3" xfId="19" xr:uid="{D97984EB-4776-4DB2-9C83-81983F1B6E98}"/>
    <cellStyle name="Footnotes: top row 4" xfId="11" xr:uid="{F3BA1A2C-AD77-4812-ACFA-6C7A7B962945}"/>
    <cellStyle name="Header: bottom row" xfId="5" xr:uid="{00000000-0005-0000-0000-000003000000}"/>
    <cellStyle name="Header: bottom row 2" xfId="27" xr:uid="{1D7C7530-C012-4975-BABC-640C7522786E}"/>
    <cellStyle name="Header: bottom row 3" xfId="20" xr:uid="{D4A074B3-C733-4663-AFD1-0229ED226851}"/>
    <cellStyle name="Header: bottom row 4" xfId="12" xr:uid="{040BC27B-CB03-4FDE-8B80-4B13E048F2D8}"/>
    <cellStyle name="Hyperlink" xfId="8" builtinId="8"/>
    <cellStyle name="Normal" xfId="0" builtinId="0"/>
    <cellStyle name="Normal 2" xfId="1" xr:uid="{00000000-0005-0000-0000-000006000000}"/>
    <cellStyle name="Normal 3" xfId="23" xr:uid="{F75C00A9-4AB0-4B9A-85F1-1BA242EDAF83}"/>
    <cellStyle name="Normal 4" xfId="16" xr:uid="{D654EA3C-A2C4-4D73-9768-00B5086DE48E}"/>
    <cellStyle name="Normal 5" xfId="15" xr:uid="{0C79D543-A7BB-495E-ADE9-28C4F0835F44}"/>
    <cellStyle name="Normal 6" xfId="31" xr:uid="{0E9D232A-CBEC-4F0A-BBF4-253233F3584B}"/>
    <cellStyle name="Parent row" xfId="3" xr:uid="{00000000-0005-0000-0000-000007000000}"/>
    <cellStyle name="Parent row 2" xfId="28" xr:uid="{1C336998-EB49-46ED-B880-BDD7385C1A9F}"/>
    <cellStyle name="Parent row 3" xfId="21" xr:uid="{E39AA093-46A1-425E-9FAB-5E5D22915C9B}"/>
    <cellStyle name="Parent row 4" xfId="13" xr:uid="{766EEC84-3128-426E-8720-CF77BEFFA340}"/>
    <cellStyle name="Per cent" xfId="30" builtinId="5"/>
    <cellStyle name="Table title" xfId="7" xr:uid="{00000000-0005-0000-0000-000008000000}"/>
    <cellStyle name="Table title 2" xfId="29" xr:uid="{75C5CFB8-5852-4F3E-A011-ECC9372E7F45}"/>
    <cellStyle name="Table title 3" xfId="22" xr:uid="{D3D003D1-845D-4DC8-878D-F5771072DB44}"/>
    <cellStyle name="Table title 4" xfId="14" xr:uid="{09C4790A-A5AC-4A4C-A2DC-60844BB56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ame-india.gov.in/ViewNotificationDetails.aspx?RowId=5" TargetMode="External"/><Relationship Id="rId2" Type="http://schemas.openxmlformats.org/officeDocument/2006/relationships/hyperlink" Target="https://pib.gov.in/pressreleasepage.aspx?prid=1784161" TargetMode="External"/><Relationship Id="rId1" Type="http://schemas.openxmlformats.org/officeDocument/2006/relationships/hyperlink" Target="https://dhi.nic.in/writereaddata/UploadFile/publicationNotificationFAME%20II%208March2019.pdf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topLeftCell="A13" workbookViewId="0">
      <selection activeCell="E26" sqref="E26"/>
    </sheetView>
  </sheetViews>
  <sheetFormatPr defaultRowHeight="14.45"/>
  <cols>
    <col min="2" max="2" width="69.28515625" customWidth="1"/>
  </cols>
  <sheetData>
    <row r="1" spans="1:11">
      <c r="A1" s="1" t="s">
        <v>0</v>
      </c>
    </row>
    <row r="3" spans="1:11">
      <c r="A3" s="11" t="s">
        <v>1</v>
      </c>
      <c r="B3" s="15"/>
      <c r="C3" s="15"/>
      <c r="E3" s="11" t="s">
        <v>2</v>
      </c>
      <c r="F3" s="15"/>
      <c r="G3" s="15"/>
      <c r="H3" s="15"/>
      <c r="I3" s="15"/>
      <c r="J3" s="15"/>
      <c r="K3" s="15"/>
    </row>
    <row r="4" spans="1:11">
      <c r="A4" s="3" t="s">
        <v>3</v>
      </c>
      <c r="E4" s="3" t="s">
        <v>3</v>
      </c>
    </row>
    <row r="5" spans="1:11">
      <c r="A5" s="3">
        <v>2019</v>
      </c>
      <c r="E5" s="3">
        <v>2015</v>
      </c>
    </row>
    <row r="6" spans="1:11">
      <c r="A6" t="s">
        <v>4</v>
      </c>
      <c r="E6" s="3" t="s">
        <v>5</v>
      </c>
    </row>
    <row r="7" spans="1:11">
      <c r="A7" s="12" t="s">
        <v>6</v>
      </c>
      <c r="E7" s="17" t="s">
        <v>7</v>
      </c>
    </row>
    <row r="8" spans="1:11">
      <c r="A8" t="s">
        <v>8</v>
      </c>
      <c r="E8" s="18" t="s">
        <v>9</v>
      </c>
    </row>
    <row r="9" spans="1:11">
      <c r="A9" t="s">
        <v>10</v>
      </c>
    </row>
    <row r="10" spans="1:11">
      <c r="B10" s="3"/>
    </row>
    <row r="11" spans="1:11">
      <c r="A11" s="11" t="s">
        <v>11</v>
      </c>
      <c r="B11" s="15"/>
      <c r="C11" s="15"/>
    </row>
    <row r="12" spans="1:11">
      <c r="A12" t="s">
        <v>12</v>
      </c>
    </row>
    <row r="13" spans="1:11">
      <c r="A13" s="13">
        <v>2021</v>
      </c>
    </row>
    <row r="14" spans="1:11">
      <c r="A14" t="s">
        <v>13</v>
      </c>
    </row>
    <row r="15" spans="1:11">
      <c r="A15" s="12" t="s">
        <v>14</v>
      </c>
    </row>
    <row r="16" spans="1:11">
      <c r="B16" s="3"/>
    </row>
    <row r="17" spans="1:2">
      <c r="B17" s="3"/>
    </row>
    <row r="18" spans="1:2">
      <c r="A18" s="1" t="s">
        <v>15</v>
      </c>
      <c r="B18" s="3"/>
    </row>
    <row r="19" spans="1:2">
      <c r="A19" t="s">
        <v>16</v>
      </c>
    </row>
    <row r="20" spans="1:2">
      <c r="A20" t="s">
        <v>17</v>
      </c>
    </row>
    <row r="21" spans="1:2">
      <c r="A21" t="s">
        <v>18</v>
      </c>
    </row>
    <row r="22" spans="1:2">
      <c r="A22" t="s">
        <v>19</v>
      </c>
    </row>
    <row r="23" spans="1:2">
      <c r="A23" t="s">
        <v>20</v>
      </c>
    </row>
    <row r="24" spans="1:2">
      <c r="A24" t="s">
        <v>21</v>
      </c>
    </row>
    <row r="25" spans="1:2">
      <c r="A25" t="s">
        <v>22</v>
      </c>
    </row>
    <row r="26" spans="1:2">
      <c r="A26" t="s">
        <v>23</v>
      </c>
    </row>
    <row r="27" spans="1:2">
      <c r="A27" t="s">
        <v>24</v>
      </c>
    </row>
    <row r="28" spans="1:2">
      <c r="A28" t="s">
        <v>25</v>
      </c>
    </row>
    <row r="29" spans="1:2">
      <c r="A29" t="s">
        <v>26</v>
      </c>
    </row>
    <row r="30" spans="1:2">
      <c r="A30" t="s">
        <v>27</v>
      </c>
    </row>
    <row r="32" spans="1:2">
      <c r="A32" s="1" t="s">
        <v>28</v>
      </c>
    </row>
    <row r="33" spans="1:3">
      <c r="A33">
        <v>54.77</v>
      </c>
      <c r="B33" s="3">
        <v>2012</v>
      </c>
      <c r="C33" s="14" t="s">
        <v>29</v>
      </c>
    </row>
    <row r="34" spans="1:3">
      <c r="A34">
        <v>75.807100000000005</v>
      </c>
      <c r="B34" s="3">
        <v>2021</v>
      </c>
    </row>
    <row r="35" spans="1:3">
      <c r="A35" s="1" t="s">
        <v>30</v>
      </c>
    </row>
    <row r="36" spans="1:3">
      <c r="A36">
        <v>10000000</v>
      </c>
    </row>
    <row r="38" spans="1:3">
      <c r="A38" s="1" t="s">
        <v>31</v>
      </c>
    </row>
    <row r="39" spans="1:3">
      <c r="A39">
        <v>100000</v>
      </c>
    </row>
  </sheetData>
  <hyperlinks>
    <hyperlink ref="A7" r:id="rId1" xr:uid="{9CD53F0C-850C-4C67-95DD-13A017F60CED}"/>
    <hyperlink ref="A15" r:id="rId2" xr:uid="{51567D49-B799-4F54-84BA-949A59D6BA49}"/>
    <hyperlink ref="E7" r:id="rId3" xr:uid="{36F200E5-BB88-4011-8F66-F60D774F0F0B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6BEC-D538-4958-8490-9E2E5CC869CE}">
  <dimension ref="A1:J22"/>
  <sheetViews>
    <sheetView workbookViewId="0">
      <selection activeCell="A9" sqref="A9"/>
    </sheetView>
  </sheetViews>
  <sheetFormatPr defaultRowHeight="14.45"/>
  <cols>
    <col min="1" max="1" width="28.42578125" customWidth="1"/>
    <col min="2" max="3" width="36.7109375" customWidth="1"/>
    <col min="4" max="4" width="30.42578125" customWidth="1"/>
    <col min="5" max="5" width="25.7109375" customWidth="1"/>
    <col min="7" max="7" width="16" customWidth="1"/>
    <col min="9" max="9" width="16.42578125" customWidth="1"/>
    <col min="10" max="10" width="10.7109375" customWidth="1"/>
  </cols>
  <sheetData>
    <row r="1" spans="1:10">
      <c r="A1" t="s">
        <v>32</v>
      </c>
      <c r="B1" t="s">
        <v>33</v>
      </c>
    </row>
    <row r="2" spans="1:10">
      <c r="B2" t="s">
        <v>34</v>
      </c>
    </row>
    <row r="3" spans="1:10">
      <c r="B3" t="s">
        <v>35</v>
      </c>
    </row>
    <row r="4" spans="1:10">
      <c r="B4" t="s">
        <v>36</v>
      </c>
    </row>
    <row r="6" spans="1:10">
      <c r="B6" t="s">
        <v>37</v>
      </c>
      <c r="C6" s="16" t="s">
        <v>37</v>
      </c>
      <c r="D6" t="s">
        <v>38</v>
      </c>
      <c r="E6" s="16" t="s">
        <v>38</v>
      </c>
      <c r="G6" t="s">
        <v>39</v>
      </c>
      <c r="J6" s="6" t="s">
        <v>40</v>
      </c>
    </row>
    <row r="7" spans="1:10">
      <c r="B7" t="s">
        <v>41</v>
      </c>
      <c r="C7" t="s">
        <v>42</v>
      </c>
      <c r="E7" t="s">
        <v>42</v>
      </c>
      <c r="G7" s="7" t="s">
        <v>41</v>
      </c>
      <c r="J7" s="6"/>
    </row>
    <row r="8" spans="1:10">
      <c r="A8" t="s">
        <v>43</v>
      </c>
      <c r="B8">
        <v>20000</v>
      </c>
      <c r="C8">
        <f>B8/About!A$33</f>
        <v>365.16341062625526</v>
      </c>
      <c r="D8" s="5">
        <v>30000</v>
      </c>
      <c r="E8" s="5">
        <f>D8/About!A$33</f>
        <v>547.7451159393828</v>
      </c>
      <c r="F8" s="5"/>
      <c r="G8">
        <v>150000</v>
      </c>
      <c r="J8" t="s">
        <v>44</v>
      </c>
    </row>
    <row r="9" spans="1:10" ht="29.1">
      <c r="A9" s="8" t="s">
        <v>45</v>
      </c>
      <c r="B9">
        <v>50000</v>
      </c>
      <c r="C9">
        <f>B9/About!A$33</f>
        <v>912.90852656563811</v>
      </c>
      <c r="D9" s="5">
        <v>50000</v>
      </c>
      <c r="E9" s="5">
        <f>D9/About!A$33</f>
        <v>912.90852656563811</v>
      </c>
      <c r="F9" s="5"/>
      <c r="G9">
        <v>500000</v>
      </c>
      <c r="J9" t="s">
        <v>46</v>
      </c>
    </row>
    <row r="10" spans="1:10">
      <c r="A10" s="8" t="s">
        <v>47</v>
      </c>
      <c r="B10">
        <v>150000</v>
      </c>
      <c r="C10">
        <f>B10/About!A$33</f>
        <v>2738.7255796969143</v>
      </c>
      <c r="D10" s="5">
        <v>150000</v>
      </c>
      <c r="E10" s="5">
        <f>D10/About!A$33</f>
        <v>2738.7255796969143</v>
      </c>
      <c r="F10" s="5"/>
      <c r="G10">
        <v>1500000</v>
      </c>
      <c r="J10" t="s">
        <v>48</v>
      </c>
    </row>
    <row r="11" spans="1:10">
      <c r="A11" t="s">
        <v>49</v>
      </c>
      <c r="B11">
        <v>13000</v>
      </c>
      <c r="C11">
        <f>B11/About!A$33</f>
        <v>237.35621690706589</v>
      </c>
      <c r="D11" s="5">
        <v>13000</v>
      </c>
      <c r="E11" s="5">
        <f>D11/About!A$33</f>
        <v>237.35621690706589</v>
      </c>
      <c r="F11" s="5"/>
      <c r="G11">
        <f>G10</f>
        <v>1500000</v>
      </c>
      <c r="J11" t="s">
        <v>50</v>
      </c>
    </row>
    <row r="12" spans="1:10">
      <c r="A12" t="s">
        <v>51</v>
      </c>
      <c r="B12">
        <v>5000000</v>
      </c>
      <c r="C12">
        <f>B12/About!A$33</f>
        <v>91290.852656563802</v>
      </c>
      <c r="D12" s="5">
        <v>5000000</v>
      </c>
      <c r="E12" s="5">
        <f>D12/About!A$33</f>
        <v>91290.852656563802</v>
      </c>
      <c r="F12" s="5"/>
      <c r="G12">
        <v>20000000</v>
      </c>
      <c r="J12" t="s">
        <v>52</v>
      </c>
    </row>
    <row r="13" spans="1:10">
      <c r="E13" s="7"/>
      <c r="F13" s="9"/>
    </row>
    <row r="14" spans="1:10">
      <c r="F14" t="s">
        <v>53</v>
      </c>
      <c r="I14" s="10">
        <v>0.4</v>
      </c>
    </row>
    <row r="15" spans="1:10">
      <c r="F15" t="s">
        <v>54</v>
      </c>
      <c r="I15" s="10">
        <v>0.2</v>
      </c>
    </row>
    <row r="17" spans="1:4">
      <c r="A17" t="s">
        <v>55</v>
      </c>
      <c r="B17" s="7" t="s">
        <v>56</v>
      </c>
      <c r="C17" s="7"/>
      <c r="D17" s="7" t="s">
        <v>57</v>
      </c>
    </row>
    <row r="18" spans="1:4">
      <c r="A18" t="s">
        <v>58</v>
      </c>
      <c r="B18" s="4">
        <f>B10/$G10</f>
        <v>0.1</v>
      </c>
      <c r="C18" s="4"/>
      <c r="D18" s="4">
        <f>D10/G10</f>
        <v>0.1</v>
      </c>
    </row>
    <row r="19" spans="1:4">
      <c r="A19" t="s">
        <v>52</v>
      </c>
      <c r="B19" s="4">
        <f>B12/G12</f>
        <v>0.25</v>
      </c>
      <c r="C19" s="4"/>
      <c r="D19" s="4">
        <f>D12/G12</f>
        <v>0.25</v>
      </c>
    </row>
    <row r="20" spans="1:4">
      <c r="A20" t="s">
        <v>44</v>
      </c>
      <c r="B20" s="4">
        <f>B8/G8</f>
        <v>0.13333333333333333</v>
      </c>
      <c r="C20" s="4"/>
      <c r="D20" s="4">
        <f>D8/G8</f>
        <v>0.2</v>
      </c>
    </row>
    <row r="21" spans="1:4">
      <c r="A21" t="s">
        <v>50</v>
      </c>
      <c r="B21" s="4">
        <f>B11/G11</f>
        <v>8.6666666666666663E-3</v>
      </c>
      <c r="C21" s="4"/>
      <c r="D21" s="4">
        <f>D11/$G11</f>
        <v>8.6666666666666663E-3</v>
      </c>
    </row>
    <row r="22" spans="1:4">
      <c r="A22" t="s">
        <v>46</v>
      </c>
      <c r="B22" s="4">
        <f>B9/G9</f>
        <v>0.1</v>
      </c>
      <c r="C22" s="4"/>
      <c r="D22" s="4">
        <f>D9/G9</f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Y8"/>
  <sheetViews>
    <sheetView workbookViewId="0">
      <selection activeCell="E16" sqref="E16"/>
    </sheetView>
  </sheetViews>
  <sheetFormatPr defaultRowHeight="14.45"/>
  <cols>
    <col min="1" max="1" width="25.140625" customWidth="1"/>
    <col min="2" max="2" width="53.140625" customWidth="1"/>
  </cols>
  <sheetData>
    <row r="1" spans="1:51">
      <c r="A1" s="2" t="s">
        <v>59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f>AE1+1</f>
        <v>2051</v>
      </c>
      <c r="AG1">
        <f t="shared" ref="AG1:AY1" si="0">AF1+1</f>
        <v>2052</v>
      </c>
      <c r="AH1">
        <f t="shared" si="0"/>
        <v>2053</v>
      </c>
      <c r="AI1">
        <f t="shared" si="0"/>
        <v>2054</v>
      </c>
      <c r="AJ1">
        <f t="shared" si="0"/>
        <v>2055</v>
      </c>
      <c r="AK1">
        <f t="shared" si="0"/>
        <v>2056</v>
      </c>
      <c r="AL1">
        <f t="shared" si="0"/>
        <v>2057</v>
      </c>
      <c r="AM1">
        <f t="shared" si="0"/>
        <v>2058</v>
      </c>
      <c r="AN1">
        <f t="shared" si="0"/>
        <v>2059</v>
      </c>
      <c r="AO1">
        <f t="shared" si="0"/>
        <v>2060</v>
      </c>
      <c r="AP1">
        <f t="shared" si="0"/>
        <v>2061</v>
      </c>
      <c r="AQ1">
        <f t="shared" si="0"/>
        <v>2062</v>
      </c>
      <c r="AR1">
        <f t="shared" si="0"/>
        <v>2063</v>
      </c>
      <c r="AS1">
        <f t="shared" si="0"/>
        <v>2064</v>
      </c>
      <c r="AT1">
        <f t="shared" si="0"/>
        <v>2065</v>
      </c>
      <c r="AU1">
        <f t="shared" si="0"/>
        <v>2066</v>
      </c>
      <c r="AV1">
        <f t="shared" si="0"/>
        <v>2067</v>
      </c>
      <c r="AW1">
        <f>AV1+1</f>
        <v>2068</v>
      </c>
      <c r="AX1">
        <f t="shared" si="0"/>
        <v>2069</v>
      </c>
      <c r="AY1">
        <f t="shared" si="0"/>
        <v>2070</v>
      </c>
    </row>
    <row r="2" spans="1:51">
      <c r="A2" t="s">
        <v>60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/>
      <c r="AD2" s="5"/>
      <c r="AE2" s="5"/>
    </row>
    <row r="3" spans="1:51">
      <c r="A3" t="s">
        <v>61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/>
      <c r="AD3" s="5"/>
      <c r="AE3" s="5"/>
    </row>
    <row r="4" spans="1:51">
      <c r="A4" t="s">
        <v>62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/>
      <c r="AD4" s="5"/>
      <c r="AE4" s="5"/>
    </row>
    <row r="5" spans="1:51">
      <c r="A5" t="s">
        <v>63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/>
      <c r="AD5" s="5"/>
      <c r="AE5" s="5"/>
    </row>
    <row r="6" spans="1:51">
      <c r="A6" t="s">
        <v>64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/>
      <c r="AD6" s="5"/>
      <c r="AE6" s="5"/>
    </row>
    <row r="7" spans="1:51">
      <c r="A7" t="s">
        <v>65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/>
      <c r="AD7" s="5"/>
      <c r="AE7" s="5"/>
    </row>
    <row r="8" spans="1:51">
      <c r="A8" t="s">
        <v>66</v>
      </c>
      <c r="B8" s="5">
        <v>0</v>
      </c>
      <c r="C8" s="5">
        <v>0</v>
      </c>
      <c r="D8" s="5">
        <f>D2</f>
        <v>0</v>
      </c>
      <c r="E8" s="5">
        <f t="shared" ref="E8:AE8" si="1">E2</f>
        <v>0</v>
      </c>
      <c r="F8" s="5">
        <f t="shared" si="1"/>
        <v>0</v>
      </c>
      <c r="G8" s="5">
        <f t="shared" si="1"/>
        <v>0</v>
      </c>
      <c r="H8" s="5">
        <f t="shared" si="1"/>
        <v>0</v>
      </c>
      <c r="I8" s="5">
        <f t="shared" si="1"/>
        <v>0</v>
      </c>
      <c r="J8" s="5">
        <f t="shared" si="1"/>
        <v>0</v>
      </c>
      <c r="K8" s="5">
        <f t="shared" si="1"/>
        <v>0</v>
      </c>
      <c r="L8" s="5">
        <f t="shared" si="1"/>
        <v>0</v>
      </c>
      <c r="M8" s="5">
        <f t="shared" si="1"/>
        <v>0</v>
      </c>
      <c r="N8" s="5">
        <f t="shared" si="1"/>
        <v>0</v>
      </c>
      <c r="O8" s="5">
        <f t="shared" si="1"/>
        <v>0</v>
      </c>
      <c r="P8" s="5">
        <f t="shared" si="1"/>
        <v>0</v>
      </c>
      <c r="Q8" s="5">
        <f t="shared" si="1"/>
        <v>0</v>
      </c>
      <c r="R8" s="5">
        <f t="shared" si="1"/>
        <v>0</v>
      </c>
      <c r="S8" s="5">
        <f t="shared" si="1"/>
        <v>0</v>
      </c>
      <c r="T8" s="5">
        <f t="shared" si="1"/>
        <v>0</v>
      </c>
      <c r="U8" s="5">
        <f t="shared" si="1"/>
        <v>0</v>
      </c>
      <c r="V8" s="5">
        <f t="shared" si="1"/>
        <v>0</v>
      </c>
      <c r="W8" s="5">
        <f t="shared" si="1"/>
        <v>0</v>
      </c>
      <c r="X8" s="5">
        <f t="shared" si="1"/>
        <v>0</v>
      </c>
      <c r="Y8" s="5">
        <f t="shared" si="1"/>
        <v>0</v>
      </c>
      <c r="Z8" s="5">
        <f t="shared" si="1"/>
        <v>0</v>
      </c>
      <c r="AA8" s="5">
        <f t="shared" si="1"/>
        <v>0</v>
      </c>
      <c r="AB8" s="5">
        <f t="shared" si="1"/>
        <v>0</v>
      </c>
      <c r="AC8" s="5"/>
      <c r="AD8" s="5"/>
      <c r="AE8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4DDE-5D7D-440E-9F2D-C8BE7EE78DD9}">
  <sheetPr>
    <tabColor theme="3"/>
  </sheetPr>
  <dimension ref="A1:AY8"/>
  <sheetViews>
    <sheetView workbookViewId="0">
      <selection activeCell="B2" sqref="B2"/>
    </sheetView>
  </sheetViews>
  <sheetFormatPr defaultRowHeight="14.45"/>
  <cols>
    <col min="1" max="1" width="25.140625" customWidth="1"/>
  </cols>
  <sheetData>
    <row r="1" spans="1:51">
      <c r="A1" s="2" t="s">
        <v>59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f>AE1+1</f>
        <v>2051</v>
      </c>
      <c r="AG1">
        <f t="shared" ref="AG1:AY1" si="0">AF1+1</f>
        <v>2052</v>
      </c>
      <c r="AH1">
        <f t="shared" si="0"/>
        <v>2053</v>
      </c>
      <c r="AI1">
        <f t="shared" si="0"/>
        <v>2054</v>
      </c>
      <c r="AJ1">
        <f t="shared" si="0"/>
        <v>2055</v>
      </c>
      <c r="AK1">
        <f t="shared" si="0"/>
        <v>2056</v>
      </c>
      <c r="AL1">
        <f t="shared" si="0"/>
        <v>2057</v>
      </c>
      <c r="AM1">
        <f t="shared" si="0"/>
        <v>2058</v>
      </c>
      <c r="AN1">
        <f t="shared" si="0"/>
        <v>2059</v>
      </c>
      <c r="AO1">
        <f t="shared" si="0"/>
        <v>2060</v>
      </c>
      <c r="AP1">
        <f t="shared" si="0"/>
        <v>2061</v>
      </c>
      <c r="AQ1">
        <f t="shared" si="0"/>
        <v>2062</v>
      </c>
      <c r="AR1">
        <f t="shared" si="0"/>
        <v>2063</v>
      </c>
      <c r="AS1">
        <f t="shared" si="0"/>
        <v>2064</v>
      </c>
      <c r="AT1">
        <f t="shared" si="0"/>
        <v>2065</v>
      </c>
      <c r="AU1">
        <f t="shared" si="0"/>
        <v>2066</v>
      </c>
      <c r="AV1">
        <f t="shared" si="0"/>
        <v>2067</v>
      </c>
      <c r="AW1">
        <f>AV1+1</f>
        <v>2068</v>
      </c>
      <c r="AX1">
        <f t="shared" si="0"/>
        <v>2069</v>
      </c>
      <c r="AY1">
        <f t="shared" si="0"/>
        <v>2070</v>
      </c>
    </row>
    <row r="2" spans="1:51">
      <c r="A2" t="s">
        <v>60</v>
      </c>
      <c r="B2">
        <f>'FAME II'!C12</f>
        <v>91290.852656563802</v>
      </c>
      <c r="C2">
        <f>B2</f>
        <v>91290.852656563802</v>
      </c>
      <c r="D2">
        <f t="shared" ref="D2:E2" si="1">C2</f>
        <v>91290.852656563802</v>
      </c>
      <c r="E2">
        <f t="shared" si="1"/>
        <v>91290.852656563802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51">
      <c r="A3" t="s">
        <v>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51">
      <c r="A4" t="s">
        <v>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51">
      <c r="A5" t="s">
        <v>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51">
      <c r="A6" t="s">
        <v>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51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51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41F6-596C-4C6D-91F8-CA5AA118CF11}">
  <sheetPr>
    <tabColor theme="3"/>
  </sheetPr>
  <dimension ref="A1:AY8"/>
  <sheetViews>
    <sheetView workbookViewId="0">
      <selection activeCell="K16" sqref="K16"/>
    </sheetView>
  </sheetViews>
  <sheetFormatPr defaultRowHeight="14.45"/>
  <cols>
    <col min="1" max="1" width="25.140625" customWidth="1"/>
  </cols>
  <sheetData>
    <row r="1" spans="1:51">
      <c r="A1" s="2" t="s">
        <v>59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f>AE1+1</f>
        <v>2051</v>
      </c>
      <c r="AG1">
        <f t="shared" ref="AG1:AY1" si="0">AF1+1</f>
        <v>2052</v>
      </c>
      <c r="AH1">
        <f t="shared" si="0"/>
        <v>2053</v>
      </c>
      <c r="AI1">
        <f t="shared" si="0"/>
        <v>2054</v>
      </c>
      <c r="AJ1">
        <f t="shared" si="0"/>
        <v>2055</v>
      </c>
      <c r="AK1">
        <f t="shared" si="0"/>
        <v>2056</v>
      </c>
      <c r="AL1">
        <f t="shared" si="0"/>
        <v>2057</v>
      </c>
      <c r="AM1">
        <f t="shared" si="0"/>
        <v>2058</v>
      </c>
      <c r="AN1">
        <f t="shared" si="0"/>
        <v>2059</v>
      </c>
      <c r="AO1">
        <f t="shared" si="0"/>
        <v>2060</v>
      </c>
      <c r="AP1">
        <f t="shared" si="0"/>
        <v>2061</v>
      </c>
      <c r="AQ1">
        <f t="shared" si="0"/>
        <v>2062</v>
      </c>
      <c r="AR1">
        <f t="shared" si="0"/>
        <v>2063</v>
      </c>
      <c r="AS1">
        <f t="shared" si="0"/>
        <v>2064</v>
      </c>
      <c r="AT1">
        <f t="shared" si="0"/>
        <v>2065</v>
      </c>
      <c r="AU1">
        <f t="shared" si="0"/>
        <v>2066</v>
      </c>
      <c r="AV1">
        <f t="shared" si="0"/>
        <v>2067</v>
      </c>
      <c r="AW1">
        <f>AV1+1</f>
        <v>2068</v>
      </c>
      <c r="AX1">
        <f t="shared" si="0"/>
        <v>2069</v>
      </c>
      <c r="AY1">
        <f t="shared" si="0"/>
        <v>2070</v>
      </c>
    </row>
    <row r="2" spans="1:51">
      <c r="A2" t="s">
        <v>60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51">
      <c r="A3" t="s">
        <v>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51">
      <c r="A4" t="s">
        <v>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51">
      <c r="A5" t="s">
        <v>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51">
      <c r="A6" t="s">
        <v>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51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51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4405-868B-4452-B9AC-D6B63E4037BA}">
  <sheetPr>
    <tabColor theme="3"/>
  </sheetPr>
  <dimension ref="A1:AY8"/>
  <sheetViews>
    <sheetView workbookViewId="0">
      <selection activeCell="B1" sqref="B1:AY1"/>
    </sheetView>
  </sheetViews>
  <sheetFormatPr defaultRowHeight="14.45"/>
  <cols>
    <col min="1" max="1" width="25.140625" customWidth="1"/>
  </cols>
  <sheetData>
    <row r="1" spans="1:51">
      <c r="A1" s="2" t="s">
        <v>59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f>AE1+1</f>
        <v>2051</v>
      </c>
      <c r="AG1">
        <f t="shared" ref="AG1:AY1" si="0">AF1+1</f>
        <v>2052</v>
      </c>
      <c r="AH1">
        <f t="shared" si="0"/>
        <v>2053</v>
      </c>
      <c r="AI1">
        <f t="shared" si="0"/>
        <v>2054</v>
      </c>
      <c r="AJ1">
        <f t="shared" si="0"/>
        <v>2055</v>
      </c>
      <c r="AK1">
        <f t="shared" si="0"/>
        <v>2056</v>
      </c>
      <c r="AL1">
        <f t="shared" si="0"/>
        <v>2057</v>
      </c>
      <c r="AM1">
        <f t="shared" si="0"/>
        <v>2058</v>
      </c>
      <c r="AN1">
        <f t="shared" si="0"/>
        <v>2059</v>
      </c>
      <c r="AO1">
        <f t="shared" si="0"/>
        <v>2060</v>
      </c>
      <c r="AP1">
        <f t="shared" si="0"/>
        <v>2061</v>
      </c>
      <c r="AQ1">
        <f t="shared" si="0"/>
        <v>2062</v>
      </c>
      <c r="AR1">
        <f t="shared" si="0"/>
        <v>2063</v>
      </c>
      <c r="AS1">
        <f t="shared" si="0"/>
        <v>2064</v>
      </c>
      <c r="AT1">
        <f t="shared" si="0"/>
        <v>2065</v>
      </c>
      <c r="AU1">
        <f t="shared" si="0"/>
        <v>2066</v>
      </c>
      <c r="AV1">
        <f t="shared" si="0"/>
        <v>2067</v>
      </c>
      <c r="AW1">
        <f>AV1+1</f>
        <v>2068</v>
      </c>
      <c r="AX1">
        <f t="shared" si="0"/>
        <v>2069</v>
      </c>
      <c r="AY1">
        <f t="shared" si="0"/>
        <v>2070</v>
      </c>
    </row>
    <row r="2" spans="1:51">
      <c r="A2" t="s">
        <v>60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51">
      <c r="A3" t="s">
        <v>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51">
      <c r="A4" t="s">
        <v>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51">
      <c r="A5" t="s">
        <v>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51">
      <c r="A6" t="s">
        <v>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51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51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7FBF-8038-4912-A5A6-BE7241A5CAB0}">
  <sheetPr>
    <tabColor theme="3"/>
  </sheetPr>
  <dimension ref="A1:AY8"/>
  <sheetViews>
    <sheetView workbookViewId="0">
      <selection activeCell="E13" sqref="E13"/>
    </sheetView>
  </sheetViews>
  <sheetFormatPr defaultRowHeight="14.45"/>
  <cols>
    <col min="1" max="1" width="25.140625" customWidth="1"/>
  </cols>
  <sheetData>
    <row r="1" spans="1:51">
      <c r="A1" s="2" t="s">
        <v>59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f>AE1+1</f>
        <v>2051</v>
      </c>
      <c r="AG1">
        <f t="shared" ref="AG1:AY1" si="0">AF1+1</f>
        <v>2052</v>
      </c>
      <c r="AH1">
        <f t="shared" si="0"/>
        <v>2053</v>
      </c>
      <c r="AI1">
        <f t="shared" si="0"/>
        <v>2054</v>
      </c>
      <c r="AJ1">
        <f t="shared" si="0"/>
        <v>2055</v>
      </c>
      <c r="AK1">
        <f t="shared" si="0"/>
        <v>2056</v>
      </c>
      <c r="AL1">
        <f t="shared" si="0"/>
        <v>2057</v>
      </c>
      <c r="AM1">
        <f t="shared" si="0"/>
        <v>2058</v>
      </c>
      <c r="AN1">
        <f t="shared" si="0"/>
        <v>2059</v>
      </c>
      <c r="AO1">
        <f t="shared" si="0"/>
        <v>2060</v>
      </c>
      <c r="AP1">
        <f t="shared" si="0"/>
        <v>2061</v>
      </c>
      <c r="AQ1">
        <f t="shared" si="0"/>
        <v>2062</v>
      </c>
      <c r="AR1">
        <f t="shared" si="0"/>
        <v>2063</v>
      </c>
      <c r="AS1">
        <f t="shared" si="0"/>
        <v>2064</v>
      </c>
      <c r="AT1">
        <f t="shared" si="0"/>
        <v>2065</v>
      </c>
      <c r="AU1">
        <f t="shared" si="0"/>
        <v>2066</v>
      </c>
      <c r="AV1">
        <f t="shared" si="0"/>
        <v>2067</v>
      </c>
      <c r="AW1">
        <f>AV1+1</f>
        <v>2068</v>
      </c>
      <c r="AX1">
        <f t="shared" si="0"/>
        <v>2069</v>
      </c>
      <c r="AY1">
        <f t="shared" si="0"/>
        <v>2070</v>
      </c>
    </row>
    <row r="2" spans="1:51">
      <c r="A2" t="s">
        <v>60</v>
      </c>
      <c r="B2">
        <f>'FAME II'!C10</f>
        <v>2738.7255796969143</v>
      </c>
      <c r="C2">
        <f>B2</f>
        <v>2738.7255796969143</v>
      </c>
      <c r="D2">
        <f t="shared" ref="D2:E2" si="1">C2</f>
        <v>2738.7255796969143</v>
      </c>
      <c r="E2">
        <f t="shared" si="1"/>
        <v>2738.7255796969143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51">
      <c r="A3" t="s">
        <v>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51">
      <c r="A4" t="s">
        <v>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51">
      <c r="A5" t="s">
        <v>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51">
      <c r="A6" t="s">
        <v>64</v>
      </c>
      <c r="B6">
        <f>B2</f>
        <v>2738.7255796969143</v>
      </c>
      <c r="C6">
        <f t="shared" ref="C6:E6" si="2">C2</f>
        <v>2738.7255796969143</v>
      </c>
      <c r="D6">
        <f t="shared" si="2"/>
        <v>2738.7255796969143</v>
      </c>
      <c r="E6">
        <f t="shared" si="2"/>
        <v>2738.7255796969143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51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51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C6BF-BE7A-4625-8CB5-34C673B46C4E}">
  <sheetPr>
    <tabColor theme="3"/>
  </sheetPr>
  <dimension ref="A1:AE8"/>
  <sheetViews>
    <sheetView workbookViewId="0">
      <selection activeCell="D2" sqref="D2:E2"/>
    </sheetView>
  </sheetViews>
  <sheetFormatPr defaultRowHeight="14.45"/>
  <cols>
    <col min="1" max="1" width="25.140625" customWidth="1"/>
  </cols>
  <sheetData>
    <row r="1" spans="1:31">
      <c r="A1" s="2" t="s">
        <v>59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60</v>
      </c>
      <c r="B2">
        <f>'FAME II'!C8</f>
        <v>365.16341062625526</v>
      </c>
      <c r="C2" s="5">
        <f>'FAME II'!E8</f>
        <v>547.7451159393828</v>
      </c>
      <c r="D2" s="5">
        <f>C2</f>
        <v>547.7451159393828</v>
      </c>
      <c r="E2" s="5">
        <f>D2</f>
        <v>547.7451159393828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78D3-75FC-40E7-B55E-E0DE8CD249DB}">
  <sheetPr>
    <tabColor theme="3"/>
  </sheetPr>
  <dimension ref="A1:AY8"/>
  <sheetViews>
    <sheetView workbookViewId="0">
      <selection activeCell="H6" sqref="H6"/>
    </sheetView>
  </sheetViews>
  <sheetFormatPr defaultRowHeight="14.45"/>
  <cols>
    <col min="1" max="1" width="25.140625" customWidth="1"/>
  </cols>
  <sheetData>
    <row r="1" spans="1:51">
      <c r="A1" s="2" t="s">
        <v>59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f>AE1+1</f>
        <v>2051</v>
      </c>
      <c r="AG1">
        <f t="shared" ref="AG1:AY1" si="0">AF1+1</f>
        <v>2052</v>
      </c>
      <c r="AH1">
        <f t="shared" si="0"/>
        <v>2053</v>
      </c>
      <c r="AI1">
        <f t="shared" si="0"/>
        <v>2054</v>
      </c>
      <c r="AJ1">
        <f t="shared" si="0"/>
        <v>2055</v>
      </c>
      <c r="AK1">
        <f t="shared" si="0"/>
        <v>2056</v>
      </c>
      <c r="AL1">
        <f t="shared" si="0"/>
        <v>2057</v>
      </c>
      <c r="AM1">
        <f t="shared" si="0"/>
        <v>2058</v>
      </c>
      <c r="AN1">
        <f t="shared" si="0"/>
        <v>2059</v>
      </c>
      <c r="AO1">
        <f t="shared" si="0"/>
        <v>2060</v>
      </c>
      <c r="AP1">
        <f t="shared" si="0"/>
        <v>2061</v>
      </c>
      <c r="AQ1">
        <f t="shared" si="0"/>
        <v>2062</v>
      </c>
      <c r="AR1">
        <f t="shared" si="0"/>
        <v>2063</v>
      </c>
      <c r="AS1">
        <f t="shared" si="0"/>
        <v>2064</v>
      </c>
      <c r="AT1">
        <f t="shared" si="0"/>
        <v>2065</v>
      </c>
      <c r="AU1">
        <f t="shared" si="0"/>
        <v>2066</v>
      </c>
      <c r="AV1">
        <f t="shared" si="0"/>
        <v>2067</v>
      </c>
      <c r="AW1">
        <f>AV1+1</f>
        <v>2068</v>
      </c>
      <c r="AX1">
        <f t="shared" si="0"/>
        <v>2069</v>
      </c>
      <c r="AY1">
        <f t="shared" si="0"/>
        <v>2070</v>
      </c>
    </row>
    <row r="2" spans="1:51">
      <c r="A2" t="s">
        <v>60</v>
      </c>
      <c r="B2">
        <f>'FAME II'!C11</f>
        <v>237.35621690706589</v>
      </c>
      <c r="C2">
        <f>B2</f>
        <v>237.35621690706589</v>
      </c>
      <c r="D2">
        <f t="shared" ref="D2:E2" si="1">C2</f>
        <v>237.35621690706589</v>
      </c>
      <c r="E2">
        <f t="shared" si="1"/>
        <v>237.35621690706589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51">
      <c r="A3" t="s">
        <v>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51">
      <c r="A4" t="s">
        <v>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51">
      <c r="A5" t="s">
        <v>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51">
      <c r="A6" t="s">
        <v>64</v>
      </c>
      <c r="B6">
        <f>B2</f>
        <v>237.35621690706589</v>
      </c>
      <c r="C6">
        <f>C2</f>
        <v>237.35621690706589</v>
      </c>
      <c r="D6">
        <f>D2</f>
        <v>237.35621690706589</v>
      </c>
      <c r="E6">
        <f t="shared" ref="E6:M6" si="2">E2</f>
        <v>237.35621690706589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f t="shared" si="2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51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51">
      <c r="A8" t="s">
        <v>66</v>
      </c>
      <c r="B8">
        <v>0</v>
      </c>
      <c r="C8">
        <f>B8</f>
        <v>0</v>
      </c>
      <c r="D8">
        <f t="shared" ref="D8:M8" si="3">C8</f>
        <v>0</v>
      </c>
      <c r="E8">
        <f t="shared" si="3"/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3"/>
        <v>0</v>
      </c>
      <c r="L8">
        <f t="shared" si="3"/>
        <v>0</v>
      </c>
      <c r="M8">
        <f t="shared" si="3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39E4-90E8-4DFC-ABC4-1799BB0C313F}">
  <sheetPr>
    <tabColor theme="3"/>
  </sheetPr>
  <dimension ref="A1:AY8"/>
  <sheetViews>
    <sheetView workbookViewId="0">
      <selection activeCell="B4" sqref="B4"/>
    </sheetView>
  </sheetViews>
  <sheetFormatPr defaultRowHeight="14.45"/>
  <cols>
    <col min="1" max="1" width="25.140625" customWidth="1"/>
  </cols>
  <sheetData>
    <row r="1" spans="1:51">
      <c r="A1" s="2" t="s">
        <v>59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f>AE1+1</f>
        <v>2051</v>
      </c>
      <c r="AG1">
        <f t="shared" ref="AG1:AY1" si="0">AF1+1</f>
        <v>2052</v>
      </c>
      <c r="AH1">
        <f t="shared" si="0"/>
        <v>2053</v>
      </c>
      <c r="AI1">
        <f t="shared" si="0"/>
        <v>2054</v>
      </c>
      <c r="AJ1">
        <f t="shared" si="0"/>
        <v>2055</v>
      </c>
      <c r="AK1">
        <f t="shared" si="0"/>
        <v>2056</v>
      </c>
      <c r="AL1">
        <f t="shared" si="0"/>
        <v>2057</v>
      </c>
      <c r="AM1">
        <f t="shared" si="0"/>
        <v>2058</v>
      </c>
      <c r="AN1">
        <f t="shared" si="0"/>
        <v>2059</v>
      </c>
      <c r="AO1">
        <f t="shared" si="0"/>
        <v>2060</v>
      </c>
      <c r="AP1">
        <f t="shared" si="0"/>
        <v>2061</v>
      </c>
      <c r="AQ1">
        <f t="shared" si="0"/>
        <v>2062</v>
      </c>
      <c r="AR1">
        <f t="shared" si="0"/>
        <v>2063</v>
      </c>
      <c r="AS1">
        <f t="shared" si="0"/>
        <v>2064</v>
      </c>
      <c r="AT1">
        <f t="shared" si="0"/>
        <v>2065</v>
      </c>
      <c r="AU1">
        <f t="shared" si="0"/>
        <v>2066</v>
      </c>
      <c r="AV1">
        <f t="shared" si="0"/>
        <v>2067</v>
      </c>
      <c r="AW1">
        <f>AV1+1</f>
        <v>2068</v>
      </c>
      <c r="AX1">
        <f t="shared" si="0"/>
        <v>2069</v>
      </c>
      <c r="AY1">
        <f t="shared" si="0"/>
        <v>2070</v>
      </c>
    </row>
    <row r="2" spans="1:51">
      <c r="A2" t="s">
        <v>60</v>
      </c>
      <c r="B2">
        <v>0</v>
      </c>
      <c r="C2">
        <f>B2</f>
        <v>0</v>
      </c>
      <c r="D2">
        <f t="shared" ref="D2:M2" si="1">C2</f>
        <v>0</v>
      </c>
      <c r="E2">
        <f t="shared" si="1"/>
        <v>0</v>
      </c>
      <c r="F2">
        <f t="shared" si="1"/>
        <v>0</v>
      </c>
      <c r="G2">
        <f t="shared" si="1"/>
        <v>0</v>
      </c>
      <c r="H2">
        <f t="shared" si="1"/>
        <v>0</v>
      </c>
      <c r="I2">
        <f t="shared" si="1"/>
        <v>0</v>
      </c>
      <c r="J2">
        <f t="shared" si="1"/>
        <v>0</v>
      </c>
      <c r="K2">
        <f t="shared" si="1"/>
        <v>0</v>
      </c>
      <c r="L2">
        <f t="shared" si="1"/>
        <v>0</v>
      </c>
      <c r="M2">
        <f t="shared" si="1"/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51">
      <c r="A3" t="s">
        <v>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51">
      <c r="A4" t="s">
        <v>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51">
      <c r="A5" t="s">
        <v>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51">
      <c r="A6" t="s">
        <v>64</v>
      </c>
      <c r="B6">
        <v>0</v>
      </c>
      <c r="C6">
        <v>0</v>
      </c>
      <c r="D6">
        <f>D2</f>
        <v>0</v>
      </c>
      <c r="E6">
        <f t="shared" ref="E6:M6" si="2">E2</f>
        <v>0</v>
      </c>
      <c r="F6">
        <f t="shared" si="2"/>
        <v>0</v>
      </c>
      <c r="G6">
        <f t="shared" si="2"/>
        <v>0</v>
      </c>
      <c r="H6">
        <f t="shared" si="2"/>
        <v>0</v>
      </c>
      <c r="I6">
        <f t="shared" si="2"/>
        <v>0</v>
      </c>
      <c r="J6">
        <f t="shared" si="2"/>
        <v>0</v>
      </c>
      <c r="K6">
        <f t="shared" si="2"/>
        <v>0</v>
      </c>
      <c r="L6">
        <f t="shared" si="2"/>
        <v>0</v>
      </c>
      <c r="M6">
        <f t="shared" si="2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51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51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f t="shared" ref="E8:M8" si="3">L2</f>
        <v>0</v>
      </c>
      <c r="M8">
        <f t="shared" si="3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E315-3F6B-4E92-87B5-9C3C1B4F85DA}">
  <sheetPr>
    <tabColor theme="3"/>
  </sheetPr>
  <dimension ref="A1:AY8"/>
  <sheetViews>
    <sheetView workbookViewId="0">
      <selection activeCell="B1" sqref="B1:AY1"/>
    </sheetView>
  </sheetViews>
  <sheetFormatPr defaultRowHeight="14.45"/>
  <cols>
    <col min="1" max="1" width="25.140625" customWidth="1"/>
  </cols>
  <sheetData>
    <row r="1" spans="1:51">
      <c r="A1" s="2" t="s">
        <v>59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f>AE1+1</f>
        <v>2051</v>
      </c>
      <c r="AG1">
        <f t="shared" ref="AG1:AY1" si="0">AF1+1</f>
        <v>2052</v>
      </c>
      <c r="AH1">
        <f t="shared" si="0"/>
        <v>2053</v>
      </c>
      <c r="AI1">
        <f t="shared" si="0"/>
        <v>2054</v>
      </c>
      <c r="AJ1">
        <f t="shared" si="0"/>
        <v>2055</v>
      </c>
      <c r="AK1">
        <f t="shared" si="0"/>
        <v>2056</v>
      </c>
      <c r="AL1">
        <f t="shared" si="0"/>
        <v>2057</v>
      </c>
      <c r="AM1">
        <f t="shared" si="0"/>
        <v>2058</v>
      </c>
      <c r="AN1">
        <f t="shared" si="0"/>
        <v>2059</v>
      </c>
      <c r="AO1">
        <f t="shared" si="0"/>
        <v>2060</v>
      </c>
      <c r="AP1">
        <f t="shared" si="0"/>
        <v>2061</v>
      </c>
      <c r="AQ1">
        <f t="shared" si="0"/>
        <v>2062</v>
      </c>
      <c r="AR1">
        <f t="shared" si="0"/>
        <v>2063</v>
      </c>
      <c r="AS1">
        <f t="shared" si="0"/>
        <v>2064</v>
      </c>
      <c r="AT1">
        <f t="shared" si="0"/>
        <v>2065</v>
      </c>
      <c r="AU1">
        <f t="shared" si="0"/>
        <v>2066</v>
      </c>
      <c r="AV1">
        <f t="shared" si="0"/>
        <v>2067</v>
      </c>
      <c r="AW1">
        <f>AV1+1</f>
        <v>2068</v>
      </c>
      <c r="AX1">
        <f t="shared" si="0"/>
        <v>2069</v>
      </c>
      <c r="AY1">
        <f t="shared" si="0"/>
        <v>2070</v>
      </c>
    </row>
    <row r="2" spans="1:51">
      <c r="A2" t="s">
        <v>60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51">
      <c r="A3" t="s">
        <v>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51">
      <c r="A4" t="s">
        <v>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51">
      <c r="A5" t="s">
        <v>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51">
      <c r="A6" t="s">
        <v>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51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51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62EB-7B15-406D-A4C2-A4FF0C772B4A}">
  <sheetPr>
    <tabColor theme="3"/>
  </sheetPr>
  <dimension ref="A1:AY8"/>
  <sheetViews>
    <sheetView workbookViewId="0">
      <selection activeCell="B1" sqref="B1:AY1"/>
    </sheetView>
  </sheetViews>
  <sheetFormatPr defaultRowHeight="14.45"/>
  <cols>
    <col min="1" max="1" width="25.140625" customWidth="1"/>
  </cols>
  <sheetData>
    <row r="1" spans="1:51">
      <c r="A1" s="2" t="s">
        <v>59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f>AE1+1</f>
        <v>2051</v>
      </c>
      <c r="AG1">
        <f t="shared" ref="AG1:AY1" si="0">AF1+1</f>
        <v>2052</v>
      </c>
      <c r="AH1">
        <f t="shared" si="0"/>
        <v>2053</v>
      </c>
      <c r="AI1">
        <f t="shared" si="0"/>
        <v>2054</v>
      </c>
      <c r="AJ1">
        <f t="shared" si="0"/>
        <v>2055</v>
      </c>
      <c r="AK1">
        <f t="shared" si="0"/>
        <v>2056</v>
      </c>
      <c r="AL1">
        <f t="shared" si="0"/>
        <v>2057</v>
      </c>
      <c r="AM1">
        <f t="shared" si="0"/>
        <v>2058</v>
      </c>
      <c r="AN1">
        <f t="shared" si="0"/>
        <v>2059</v>
      </c>
      <c r="AO1">
        <f t="shared" si="0"/>
        <v>2060</v>
      </c>
      <c r="AP1">
        <f t="shared" si="0"/>
        <v>2061</v>
      </c>
      <c r="AQ1">
        <f t="shared" si="0"/>
        <v>2062</v>
      </c>
      <c r="AR1">
        <f t="shared" si="0"/>
        <v>2063</v>
      </c>
      <c r="AS1">
        <f t="shared" si="0"/>
        <v>2064</v>
      </c>
      <c r="AT1">
        <f t="shared" si="0"/>
        <v>2065</v>
      </c>
      <c r="AU1">
        <f t="shared" si="0"/>
        <v>2066</v>
      </c>
      <c r="AV1">
        <f t="shared" si="0"/>
        <v>2067</v>
      </c>
      <c r="AW1">
        <f>AV1+1</f>
        <v>2068</v>
      </c>
      <c r="AX1">
        <f t="shared" si="0"/>
        <v>2069</v>
      </c>
      <c r="AY1">
        <f t="shared" si="0"/>
        <v>2070</v>
      </c>
    </row>
    <row r="2" spans="1:51">
      <c r="A2" t="s">
        <v>60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51">
      <c r="A3" t="s">
        <v>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51">
      <c r="A4" t="s">
        <v>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51">
      <c r="A5" t="s">
        <v>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51">
      <c r="A6" t="s">
        <v>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51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51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35A4-EB4E-4E1F-85F1-DB244E55CC6B}">
  <sheetPr>
    <tabColor theme="3"/>
  </sheetPr>
  <dimension ref="A1:AY8"/>
  <sheetViews>
    <sheetView workbookViewId="0">
      <selection activeCell="B1" sqref="B1:AY1"/>
    </sheetView>
  </sheetViews>
  <sheetFormatPr defaultRowHeight="14.45"/>
  <cols>
    <col min="1" max="1" width="25.140625" customWidth="1"/>
  </cols>
  <sheetData>
    <row r="1" spans="1:51">
      <c r="A1" s="2" t="s">
        <v>59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f>AE1+1</f>
        <v>2051</v>
      </c>
      <c r="AG1">
        <f t="shared" ref="AG1:AY1" si="0">AF1+1</f>
        <v>2052</v>
      </c>
      <c r="AH1">
        <f t="shared" si="0"/>
        <v>2053</v>
      </c>
      <c r="AI1">
        <f t="shared" si="0"/>
        <v>2054</v>
      </c>
      <c r="AJ1">
        <f t="shared" si="0"/>
        <v>2055</v>
      </c>
      <c r="AK1">
        <f t="shared" si="0"/>
        <v>2056</v>
      </c>
      <c r="AL1">
        <f t="shared" si="0"/>
        <v>2057</v>
      </c>
      <c r="AM1">
        <f t="shared" si="0"/>
        <v>2058</v>
      </c>
      <c r="AN1">
        <f t="shared" si="0"/>
        <v>2059</v>
      </c>
      <c r="AO1">
        <f t="shared" si="0"/>
        <v>2060</v>
      </c>
      <c r="AP1">
        <f t="shared" si="0"/>
        <v>2061</v>
      </c>
      <c r="AQ1">
        <f t="shared" si="0"/>
        <v>2062</v>
      </c>
      <c r="AR1">
        <f t="shared" si="0"/>
        <v>2063</v>
      </c>
      <c r="AS1">
        <f t="shared" si="0"/>
        <v>2064</v>
      </c>
      <c r="AT1">
        <f t="shared" si="0"/>
        <v>2065</v>
      </c>
      <c r="AU1">
        <f t="shared" si="0"/>
        <v>2066</v>
      </c>
      <c r="AV1">
        <f t="shared" si="0"/>
        <v>2067</v>
      </c>
      <c r="AW1">
        <f>AV1+1</f>
        <v>2068</v>
      </c>
      <c r="AX1">
        <f t="shared" si="0"/>
        <v>2069</v>
      </c>
      <c r="AY1">
        <f t="shared" si="0"/>
        <v>2070</v>
      </c>
    </row>
    <row r="2" spans="1:51">
      <c r="A2" t="s">
        <v>60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51">
      <c r="A3" t="s">
        <v>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51">
      <c r="A4" t="s">
        <v>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51">
      <c r="A5" t="s">
        <v>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51">
      <c r="A6" t="s">
        <v>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51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51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53C0-8CAC-4671-B512-864662BE4DD4}">
  <sheetPr>
    <tabColor theme="3"/>
  </sheetPr>
  <dimension ref="A1:AY8"/>
  <sheetViews>
    <sheetView workbookViewId="0">
      <selection activeCell="H15" sqref="H15"/>
    </sheetView>
  </sheetViews>
  <sheetFormatPr defaultRowHeight="14.45"/>
  <cols>
    <col min="1" max="1" width="25.140625" customWidth="1"/>
  </cols>
  <sheetData>
    <row r="1" spans="1:51">
      <c r="A1" s="2" t="s">
        <v>59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f>AE1+1</f>
        <v>2051</v>
      </c>
      <c r="AG1">
        <f t="shared" ref="AG1:AY1" si="0">AF1+1</f>
        <v>2052</v>
      </c>
      <c r="AH1">
        <f t="shared" si="0"/>
        <v>2053</v>
      </c>
      <c r="AI1">
        <f t="shared" si="0"/>
        <v>2054</v>
      </c>
      <c r="AJ1">
        <f t="shared" si="0"/>
        <v>2055</v>
      </c>
      <c r="AK1">
        <f t="shared" si="0"/>
        <v>2056</v>
      </c>
      <c r="AL1">
        <f t="shared" si="0"/>
        <v>2057</v>
      </c>
      <c r="AM1">
        <f t="shared" si="0"/>
        <v>2058</v>
      </c>
      <c r="AN1">
        <f t="shared" si="0"/>
        <v>2059</v>
      </c>
      <c r="AO1">
        <f t="shared" si="0"/>
        <v>2060</v>
      </c>
      <c r="AP1">
        <f t="shared" si="0"/>
        <v>2061</v>
      </c>
      <c r="AQ1">
        <f t="shared" si="0"/>
        <v>2062</v>
      </c>
      <c r="AR1">
        <f t="shared" si="0"/>
        <v>2063</v>
      </c>
      <c r="AS1">
        <f t="shared" si="0"/>
        <v>2064</v>
      </c>
      <c r="AT1">
        <f t="shared" si="0"/>
        <v>2065</v>
      </c>
      <c r="AU1">
        <f t="shared" si="0"/>
        <v>2066</v>
      </c>
      <c r="AV1">
        <f t="shared" si="0"/>
        <v>2067</v>
      </c>
      <c r="AW1">
        <f>AV1+1</f>
        <v>2068</v>
      </c>
      <c r="AX1">
        <f t="shared" si="0"/>
        <v>2069</v>
      </c>
      <c r="AY1">
        <f t="shared" si="0"/>
        <v>2070</v>
      </c>
    </row>
    <row r="2" spans="1:51">
      <c r="A2" t="s">
        <v>60</v>
      </c>
      <c r="B2">
        <f>'FAME II'!C9</f>
        <v>912.90852656563811</v>
      </c>
      <c r="C2">
        <f>B2</f>
        <v>912.90852656563811</v>
      </c>
      <c r="D2">
        <f t="shared" ref="D2:E2" si="1">C2</f>
        <v>912.90852656563811</v>
      </c>
      <c r="E2">
        <f t="shared" si="1"/>
        <v>912.90852656563811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51">
      <c r="A3" t="s">
        <v>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51">
      <c r="A4" t="s">
        <v>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51">
      <c r="A5" t="s">
        <v>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51">
      <c r="A6" t="s">
        <v>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51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51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86AAB2-E363-4AC1-B7D2-1E1782AC568D}"/>
</file>

<file path=customXml/itemProps2.xml><?xml version="1.0" encoding="utf-8"?>
<ds:datastoreItem xmlns:ds="http://schemas.openxmlformats.org/officeDocument/2006/customXml" ds:itemID="{90EC9FC2-7EF6-445D-9670-080828A6194F}"/>
</file>

<file path=customXml/itemProps3.xml><?xml version="1.0" encoding="utf-8"?>
<ds:datastoreItem xmlns:ds="http://schemas.openxmlformats.org/officeDocument/2006/customXml" ds:itemID="{F134A8D8-466C-43EA-A182-1DAFCE62A7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Anuj Talwar</cp:lastModifiedBy>
  <cp:revision/>
  <dcterms:created xsi:type="dcterms:W3CDTF">2017-06-23T20:50:52Z</dcterms:created>
  <dcterms:modified xsi:type="dcterms:W3CDTF">2023-12-07T09:43:31Z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