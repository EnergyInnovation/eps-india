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ahajan\Documents\eps-us\InputData\trans\BPP\"/>
    </mc:Choice>
  </mc:AlternateContent>
  <xr:revisionPtr revIDLastSave="35" documentId="13_ncr:1_{48359E06-F382-4E1F-81F2-5E8970E7301D}" xr6:coauthVersionLast="47" xr6:coauthVersionMax="47" xr10:uidLastSave="{35093E7D-975F-44A6-9036-558B4E4F286B}"/>
  <bookViews>
    <workbookView xWindow="-120" yWindow="-120" windowWidth="29040" windowHeight="17640" xr2:uid="{DC12087C-9A27-4A43-B4A9-6B3F1E517F08}"/>
  </bookViews>
  <sheets>
    <sheet name="About" sheetId="1" r:id="rId1"/>
    <sheet name="BPP" sheetId="2" r:id="rId2"/>
    <sheet name="SYBPP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E2" i="2"/>
  <c r="D2" i="2"/>
  <c r="C2" i="2"/>
  <c r="B2" i="2"/>
</calcChain>
</file>

<file path=xl/sharedStrings.xml><?xml version="1.0" encoding="utf-8"?>
<sst xmlns="http://schemas.openxmlformats.org/spreadsheetml/2006/main" count="16" uniqueCount="14">
  <si>
    <t>BPP Battery Pack Price</t>
  </si>
  <si>
    <t>Sources:</t>
  </si>
  <si>
    <t>BNEF</t>
  </si>
  <si>
    <t>Lithium-Ion Battery Pack Prices See Largest Drop Since 2017, Falling to $115 per Kilowatt-Hour</t>
  </si>
  <si>
    <t>https://about.bnef.com/blog/lithium-ion-battery-pack-prices-see-largest-drop-since-2017-falling-to-115-per-kilowatt-hour-bloombergnef/</t>
  </si>
  <si>
    <t>Shruti M. Deorah, Nikit Abhyankar, Siddharth Arora, Ashwin Gambhir, Amol Phadke</t>
  </si>
  <si>
    <t>Estimating the Cost of Grid-Scale Lithium-Ion Battery Storage in India</t>
  </si>
  <si>
    <t>https://international.lbl.gov/publications/estimating-cost-grid-scale-lithium</t>
  </si>
  <si>
    <t>Pg 27</t>
  </si>
  <si>
    <t>Notes:</t>
  </si>
  <si>
    <t>The EPS applies endogenous learning for battery pack prices in years where the battery pack price is listed as 0.</t>
  </si>
  <si>
    <t>Scaling ratio (India-U.S.)</t>
  </si>
  <si>
    <t>$/kWh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</si>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</sst>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nternational.lbl.gov/publications/estimating-cost-grid-scale-lithium" TargetMode="External"/><Relationship Id="rId1" Type="http://schemas.openxmlformats.org/officeDocument/2006/relationships/hyperlink" Target="https://about.bnef.com/blog/lithium-ion-battery-pack-prices-see-largest-drop-since-2017-falling-to-115-per-kilowatt-hour-bloombergne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2137-6F01-4109-8226-D4C6F3731BA9}">
  <dimension ref="A1:B18"/>
  <sheetViews>
    <sheetView tabSelected="1" workbookViewId="0">
      <selection activeCell="B12" sqref="B12"/>
    </sheetView>
  </sheetViews>
  <sheetFormatPr defaultRowHeight="15"/>
  <cols>
    <col min="2" max="2" width="101.2851562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t="s">
        <v>3</v>
      </c>
    </row>
    <row r="5" spans="1:2">
      <c r="B5" s="2">
        <v>2024</v>
      </c>
    </row>
    <row r="6" spans="1:2">
      <c r="B6" s="3" t="s">
        <v>4</v>
      </c>
    </row>
    <row r="8" spans="1:2">
      <c r="B8" t="s">
        <v>5</v>
      </c>
    </row>
    <row r="9" spans="1:2">
      <c r="B9" s="4" t="s">
        <v>6</v>
      </c>
    </row>
    <row r="10" spans="1:2">
      <c r="B10" s="2">
        <v>2020</v>
      </c>
    </row>
    <row r="11" spans="1:2">
      <c r="B11" s="3" t="s">
        <v>7</v>
      </c>
    </row>
    <row r="12" spans="1:2">
      <c r="B12" s="4" t="s">
        <v>8</v>
      </c>
    </row>
    <row r="14" spans="1:2">
      <c r="A14" s="1" t="s">
        <v>9</v>
      </c>
    </row>
    <row r="15" spans="1:2">
      <c r="A15" t="s">
        <v>10</v>
      </c>
    </row>
    <row r="17" spans="1:1">
      <c r="A17" t="s">
        <v>11</v>
      </c>
    </row>
    <row r="18" spans="1:1">
      <c r="A18">
        <v>1.28</v>
      </c>
    </row>
  </sheetData>
  <hyperlinks>
    <hyperlink ref="B6" r:id="rId1" xr:uid="{3BF61351-841A-4131-B7D8-609DCF878EB2}"/>
    <hyperlink ref="B11" r:id="rId2" xr:uid="{138CF80C-67B1-4442-959F-08A5A904B6E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F1CD-3AD5-4A1E-8AA0-C74AF29D4BF2}">
  <sheetPr>
    <tabColor theme="4" tint="-0.249977111117893"/>
  </sheetPr>
  <dimension ref="A1:AE2"/>
  <sheetViews>
    <sheetView workbookViewId="0">
      <selection activeCell="E3" sqref="E3"/>
    </sheetView>
  </sheetViews>
  <sheetFormatPr defaultRowHeight="15"/>
  <sheetData>
    <row r="1" spans="1:31">
      <c r="A1" t="s">
        <v>12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>
      <c r="A2" t="s">
        <v>13</v>
      </c>
      <c r="B2">
        <f>155*About!A18</f>
        <v>198.4</v>
      </c>
      <c r="C2">
        <f>166*About!A18</f>
        <v>212.48000000000002</v>
      </c>
      <c r="D2">
        <f>144*About!A18</f>
        <v>184.32</v>
      </c>
      <c r="E2">
        <f>115*About!A18</f>
        <v>147.20000000000002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3C966-6AEE-455B-8285-F6B514229E67}">
  <sheetPr>
    <tabColor theme="4" tint="-0.249977111117893"/>
  </sheetPr>
  <dimension ref="A1:B2"/>
  <sheetViews>
    <sheetView workbookViewId="0">
      <selection activeCell="B3" sqref="B3"/>
    </sheetView>
  </sheetViews>
  <sheetFormatPr defaultRowHeight="15"/>
  <sheetData>
    <row r="1" spans="1:2">
      <c r="A1" t="s">
        <v>12</v>
      </c>
      <c r="B1">
        <v>2020</v>
      </c>
    </row>
    <row r="2" spans="1:2">
      <c r="A2" t="s">
        <v>13</v>
      </c>
      <c r="B2">
        <f>165*About!A18</f>
        <v>211.20000000000002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97F5F5-C3D7-4495-828B-505FCC751398}"/>
</file>

<file path=customXml/itemProps2.xml><?xml version="1.0" encoding="utf-8"?>
<ds:datastoreItem xmlns:ds="http://schemas.openxmlformats.org/officeDocument/2006/customXml" ds:itemID="{957AD26A-6CF0-414A-9295-36A62A73D644}"/>
</file>

<file path=customXml/itemProps3.xml><?xml version="1.0" encoding="utf-8"?>
<ds:datastoreItem xmlns:ds="http://schemas.openxmlformats.org/officeDocument/2006/customXml" ds:itemID="{2FFEB5B4-9CBB-419E-90A9-79C74374A9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Khushi Parakh</cp:lastModifiedBy>
  <cp:revision/>
  <dcterms:created xsi:type="dcterms:W3CDTF">2023-05-03T18:24:38Z</dcterms:created>
  <dcterms:modified xsi:type="dcterms:W3CDTF">2025-01-02T10:42:06Z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