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MeganMahajan\Documents\eps-india\InputData\elec\MCF\"/>
    </mc:Choice>
  </mc:AlternateContent>
  <xr:revisionPtr revIDLastSave="0" documentId="13_ncr:1_{39B8AA08-C129-482B-A3B5-B02E3CC3A08C}" xr6:coauthVersionLast="47" xr6:coauthVersionMax="47" xr10:uidLastSave="{00000000-0000-0000-0000-000000000000}"/>
  <bookViews>
    <workbookView xWindow="28680" yWindow="-120" windowWidth="29040" windowHeight="17520" firstSheet="2" activeTab="2" xr2:uid="{00000000-000D-0000-FFFF-FFFF00000000}"/>
  </bookViews>
  <sheets>
    <sheet name="About" sheetId="12" r:id="rId1"/>
    <sheet name="Wind" sheetId="41" r:id="rId2"/>
    <sheet name="MCF" sheetId="21" r:id="rId3"/>
  </sheets>
  <externalReferences>
    <externalReference r:id="rId4"/>
  </externalReferences>
  <definedNames>
    <definedName name="LocalAreaOptions">[1]Lists!$B$11:$B$21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1" l="1"/>
  <c r="E2" i="21"/>
  <c r="F2" i="21"/>
  <c r="G2" i="21"/>
  <c r="H2" i="21"/>
  <c r="I2" i="21"/>
  <c r="J2" i="21"/>
  <c r="K2" i="21"/>
  <c r="L2" i="21"/>
  <c r="M2" i="21"/>
  <c r="N2" i="21"/>
  <c r="O2" i="21"/>
  <c r="P2" i="21"/>
  <c r="Q2" i="21"/>
  <c r="R2" i="21"/>
  <c r="S2" i="21"/>
  <c r="T2" i="21"/>
  <c r="U2" i="21"/>
  <c r="V2" i="21"/>
  <c r="W2" i="21"/>
  <c r="X2" i="21"/>
  <c r="Y2" i="21"/>
  <c r="Z2" i="21"/>
  <c r="AA2" i="21"/>
  <c r="AB2" i="21"/>
  <c r="AC2" i="21"/>
  <c r="AD2" i="21"/>
  <c r="AE2" i="21"/>
  <c r="D3" i="21"/>
  <c r="E3" i="21"/>
  <c r="F3" i="21"/>
  <c r="G3" i="21"/>
  <c r="H3" i="21"/>
  <c r="I3" i="21"/>
  <c r="J3" i="21"/>
  <c r="K3" i="21"/>
  <c r="L3" i="21"/>
  <c r="M3" i="21"/>
  <c r="N3" i="21"/>
  <c r="O3" i="21"/>
  <c r="P3" i="21"/>
  <c r="Q3" i="21"/>
  <c r="R3" i="21"/>
  <c r="S3" i="21"/>
  <c r="T3" i="21"/>
  <c r="U3" i="21"/>
  <c r="V3" i="21"/>
  <c r="W3" i="21"/>
  <c r="X3" i="21"/>
  <c r="Y3" i="21"/>
  <c r="Z3" i="21"/>
  <c r="AA3" i="21"/>
  <c r="AB3" i="21"/>
  <c r="AC3" i="21"/>
  <c r="AD3" i="21"/>
  <c r="AE3" i="21"/>
  <c r="D4" i="21"/>
  <c r="E4" i="21"/>
  <c r="F4" i="21"/>
  <c r="G4" i="21"/>
  <c r="H4" i="21"/>
  <c r="I4" i="21"/>
  <c r="J4" i="21"/>
  <c r="K4" i="21"/>
  <c r="L4" i="21"/>
  <c r="M4" i="21"/>
  <c r="N4" i="21"/>
  <c r="O4" i="21"/>
  <c r="P4" i="21"/>
  <c r="Q4" i="21"/>
  <c r="R4" i="21"/>
  <c r="S4" i="21"/>
  <c r="T4" i="21"/>
  <c r="U4" i="21"/>
  <c r="V4" i="21"/>
  <c r="W4" i="21"/>
  <c r="X4" i="21"/>
  <c r="Y4" i="21"/>
  <c r="Z4" i="21"/>
  <c r="AA4" i="21"/>
  <c r="AB4" i="21"/>
  <c r="AC4" i="21"/>
  <c r="AD4" i="21"/>
  <c r="AE4" i="21"/>
  <c r="D5" i="21"/>
  <c r="E5" i="21"/>
  <c r="F5" i="21"/>
  <c r="G5" i="21"/>
  <c r="H5" i="21"/>
  <c r="I5" i="21"/>
  <c r="J5" i="21"/>
  <c r="K5" i="21"/>
  <c r="L5" i="21"/>
  <c r="M5" i="21"/>
  <c r="N5" i="21"/>
  <c r="O5" i="21"/>
  <c r="P5" i="21"/>
  <c r="Q5" i="21"/>
  <c r="R5" i="21"/>
  <c r="S5" i="21"/>
  <c r="T5" i="21"/>
  <c r="U5" i="21"/>
  <c r="V5" i="21"/>
  <c r="W5" i="21"/>
  <c r="X5" i="21"/>
  <c r="Y5" i="21"/>
  <c r="Z5" i="21"/>
  <c r="AA5" i="21"/>
  <c r="AB5" i="21"/>
  <c r="AC5" i="21"/>
  <c r="AD5" i="21"/>
  <c r="AE5" i="21"/>
  <c r="D6" i="21"/>
  <c r="E6" i="21"/>
  <c r="F6" i="21"/>
  <c r="G6" i="21"/>
  <c r="H6" i="21"/>
  <c r="I6" i="21"/>
  <c r="J6" i="21"/>
  <c r="K6" i="21"/>
  <c r="L6" i="21"/>
  <c r="M6" i="21"/>
  <c r="N6" i="21"/>
  <c r="O6" i="21"/>
  <c r="P6" i="21"/>
  <c r="Q6" i="21"/>
  <c r="R6" i="21"/>
  <c r="S6" i="21"/>
  <c r="T6" i="21"/>
  <c r="U6" i="21"/>
  <c r="V6" i="21"/>
  <c r="W6" i="21"/>
  <c r="X6" i="21"/>
  <c r="Y6" i="21"/>
  <c r="Z6" i="21"/>
  <c r="AA6" i="21"/>
  <c r="AB6" i="21"/>
  <c r="AC6" i="21"/>
  <c r="AD6" i="21"/>
  <c r="AE6" i="21"/>
  <c r="D7" i="21"/>
  <c r="E7" i="21"/>
  <c r="F7" i="21"/>
  <c r="G7" i="21"/>
  <c r="H7" i="21"/>
  <c r="I7" i="21"/>
  <c r="J7" i="21"/>
  <c r="K7" i="21"/>
  <c r="L7" i="21"/>
  <c r="M7" i="21"/>
  <c r="N7" i="21"/>
  <c r="O7" i="21"/>
  <c r="P7" i="21"/>
  <c r="Q7" i="21"/>
  <c r="R7" i="21"/>
  <c r="S7" i="21"/>
  <c r="T7" i="21"/>
  <c r="U7" i="21"/>
  <c r="V7" i="21"/>
  <c r="W7" i="21"/>
  <c r="X7" i="21"/>
  <c r="Y7" i="21"/>
  <c r="Z7" i="21"/>
  <c r="AA7" i="21"/>
  <c r="AB7" i="21"/>
  <c r="AC7" i="21"/>
  <c r="AD7" i="21"/>
  <c r="AE7" i="21"/>
  <c r="D8" i="21"/>
  <c r="E8" i="21"/>
  <c r="F8" i="21"/>
  <c r="G8" i="21"/>
  <c r="H8" i="21"/>
  <c r="I8" i="21"/>
  <c r="J8" i="21"/>
  <c r="K8" i="21"/>
  <c r="L8" i="21"/>
  <c r="M8" i="21"/>
  <c r="N8" i="21"/>
  <c r="O8" i="21"/>
  <c r="P8" i="21"/>
  <c r="Q8" i="21"/>
  <c r="R8" i="21"/>
  <c r="S8" i="21"/>
  <c r="T8" i="21"/>
  <c r="U8" i="21"/>
  <c r="V8" i="21"/>
  <c r="W8" i="21"/>
  <c r="X8" i="21"/>
  <c r="Y8" i="21"/>
  <c r="Z8" i="21"/>
  <c r="AA8" i="21"/>
  <c r="AB8" i="21"/>
  <c r="AC8" i="21"/>
  <c r="AD8" i="21"/>
  <c r="AE8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S11" i="21"/>
  <c r="T11" i="21"/>
  <c r="U11" i="21"/>
  <c r="V11" i="21"/>
  <c r="W11" i="21"/>
  <c r="X11" i="21"/>
  <c r="Y11" i="21"/>
  <c r="Z11" i="21"/>
  <c r="AA11" i="21"/>
  <c r="AB11" i="21"/>
  <c r="AC11" i="21"/>
  <c r="AD11" i="21"/>
  <c r="AE11" i="21"/>
  <c r="D12" i="21"/>
  <c r="E12" i="21"/>
  <c r="F12" i="21"/>
  <c r="G12" i="21"/>
  <c r="H12" i="21"/>
  <c r="I12" i="21"/>
  <c r="J12" i="21"/>
  <c r="K12" i="21"/>
  <c r="L12" i="21"/>
  <c r="M12" i="21"/>
  <c r="N12" i="21"/>
  <c r="O12" i="21"/>
  <c r="P12" i="21"/>
  <c r="Q12" i="21"/>
  <c r="R12" i="21"/>
  <c r="S12" i="21"/>
  <c r="T12" i="21"/>
  <c r="U12" i="21"/>
  <c r="V12" i="21"/>
  <c r="W12" i="21"/>
  <c r="X12" i="21"/>
  <c r="Y12" i="21"/>
  <c r="Z12" i="21"/>
  <c r="AA12" i="21"/>
  <c r="AB12" i="21"/>
  <c r="AC12" i="21"/>
  <c r="AD12" i="21"/>
  <c r="AE12" i="21"/>
  <c r="D13" i="21"/>
  <c r="E13" i="21"/>
  <c r="F13" i="21"/>
  <c r="G13" i="21"/>
  <c r="H13" i="21"/>
  <c r="I13" i="21"/>
  <c r="J13" i="21"/>
  <c r="K13" i="21"/>
  <c r="L13" i="21"/>
  <c r="M13" i="21"/>
  <c r="N13" i="21"/>
  <c r="O13" i="21"/>
  <c r="P13" i="21"/>
  <c r="Q13" i="21"/>
  <c r="R13" i="21"/>
  <c r="S13" i="21"/>
  <c r="T13" i="21"/>
  <c r="U13" i="21"/>
  <c r="V13" i="21"/>
  <c r="W13" i="21"/>
  <c r="X13" i="21"/>
  <c r="Y13" i="21"/>
  <c r="Z13" i="21"/>
  <c r="AA13" i="21"/>
  <c r="AB13" i="21"/>
  <c r="AC13" i="21"/>
  <c r="AD13" i="21"/>
  <c r="AE13" i="21"/>
  <c r="D14" i="21"/>
  <c r="E14" i="21"/>
  <c r="F14" i="21"/>
  <c r="G14" i="21"/>
  <c r="H14" i="21"/>
  <c r="I14" i="21"/>
  <c r="J14" i="21"/>
  <c r="K14" i="21"/>
  <c r="L14" i="21"/>
  <c r="M14" i="21"/>
  <c r="N14" i="21"/>
  <c r="O14" i="21"/>
  <c r="P14" i="21"/>
  <c r="Q14" i="21"/>
  <c r="R14" i="21"/>
  <c r="S14" i="21"/>
  <c r="T14" i="21"/>
  <c r="U14" i="21"/>
  <c r="V14" i="21"/>
  <c r="W14" i="21"/>
  <c r="X14" i="21"/>
  <c r="Y14" i="21"/>
  <c r="Z14" i="21"/>
  <c r="AA14" i="21"/>
  <c r="AB14" i="21"/>
  <c r="AC14" i="21"/>
  <c r="AD14" i="21"/>
  <c r="AE14" i="21"/>
  <c r="D15" i="21"/>
  <c r="E15" i="21"/>
  <c r="F15" i="21"/>
  <c r="G15" i="21"/>
  <c r="H15" i="21"/>
  <c r="I15" i="21"/>
  <c r="J15" i="21"/>
  <c r="K15" i="21"/>
  <c r="L15" i="21"/>
  <c r="M15" i="21"/>
  <c r="N15" i="21"/>
  <c r="O15" i="21"/>
  <c r="P15" i="21"/>
  <c r="Q15" i="21"/>
  <c r="R15" i="21"/>
  <c r="S15" i="21"/>
  <c r="T15" i="21"/>
  <c r="U15" i="21"/>
  <c r="V15" i="21"/>
  <c r="W15" i="21"/>
  <c r="X15" i="21"/>
  <c r="Y15" i="21"/>
  <c r="Z15" i="21"/>
  <c r="AA15" i="21"/>
  <c r="AB15" i="21"/>
  <c r="AC15" i="21"/>
  <c r="AD15" i="21"/>
  <c r="AE15" i="21"/>
  <c r="D16" i="21"/>
  <c r="E16" i="21"/>
  <c r="F16" i="21"/>
  <c r="G16" i="21"/>
  <c r="H16" i="21"/>
  <c r="I16" i="21"/>
  <c r="J16" i="21"/>
  <c r="K16" i="21"/>
  <c r="L16" i="21"/>
  <c r="M16" i="21"/>
  <c r="N16" i="21"/>
  <c r="O16" i="21"/>
  <c r="P16" i="21"/>
  <c r="Q16" i="21"/>
  <c r="R16" i="21"/>
  <c r="S16" i="21"/>
  <c r="T16" i="21"/>
  <c r="U16" i="21"/>
  <c r="V16" i="21"/>
  <c r="W16" i="21"/>
  <c r="X16" i="21"/>
  <c r="Y16" i="21"/>
  <c r="Z16" i="21"/>
  <c r="AA16" i="21"/>
  <c r="AB16" i="21"/>
  <c r="AC16" i="21"/>
  <c r="AD16" i="21"/>
  <c r="AE16" i="21"/>
  <c r="D17" i="21"/>
  <c r="E17" i="21"/>
  <c r="F17" i="21"/>
  <c r="G17" i="21"/>
  <c r="H17" i="21"/>
  <c r="I17" i="21"/>
  <c r="J17" i="21"/>
  <c r="K17" i="21"/>
  <c r="L17" i="21"/>
  <c r="M17" i="21"/>
  <c r="N17" i="21"/>
  <c r="O17" i="21"/>
  <c r="P17" i="21"/>
  <c r="Q17" i="21"/>
  <c r="R17" i="21"/>
  <c r="S17" i="21"/>
  <c r="T17" i="21"/>
  <c r="U17" i="21"/>
  <c r="V17" i="21"/>
  <c r="W17" i="21"/>
  <c r="X17" i="21"/>
  <c r="Y17" i="21"/>
  <c r="Z17" i="21"/>
  <c r="AA17" i="21"/>
  <c r="AB17" i="21"/>
  <c r="AC17" i="21"/>
  <c r="AD17" i="21"/>
  <c r="AE17" i="21"/>
  <c r="D18" i="21"/>
  <c r="E18" i="21"/>
  <c r="F18" i="21"/>
  <c r="G18" i="21"/>
  <c r="H18" i="21"/>
  <c r="I18" i="21"/>
  <c r="J18" i="21"/>
  <c r="K18" i="21"/>
  <c r="L18" i="21"/>
  <c r="M18" i="21"/>
  <c r="N18" i="21"/>
  <c r="O18" i="21"/>
  <c r="P18" i="21"/>
  <c r="Q18" i="21"/>
  <c r="R18" i="21"/>
  <c r="S18" i="21"/>
  <c r="T18" i="21"/>
  <c r="U18" i="21"/>
  <c r="V18" i="21"/>
  <c r="W18" i="21"/>
  <c r="X18" i="21"/>
  <c r="Y18" i="21"/>
  <c r="Z18" i="21"/>
  <c r="AA18" i="21"/>
  <c r="AB18" i="21"/>
  <c r="AC18" i="21"/>
  <c r="AD18" i="21"/>
  <c r="AE18" i="2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D23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D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V24" i="21"/>
  <c r="W24" i="21"/>
  <c r="X24" i="21"/>
  <c r="Y24" i="21"/>
  <c r="Z24" i="21"/>
  <c r="AA24" i="21"/>
  <c r="AB24" i="21"/>
  <c r="AC24" i="21"/>
  <c r="AD24" i="21"/>
  <c r="AE24" i="21"/>
  <c r="D25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C3" i="21"/>
  <c r="C4" i="21"/>
  <c r="C5" i="21"/>
  <c r="C6" i="21"/>
  <c r="C7" i="21"/>
  <c r="C8" i="21"/>
  <c r="C9" i="21"/>
  <c r="C10" i="21"/>
  <c r="C11" i="21"/>
  <c r="C12" i="21"/>
  <c r="C13" i="21"/>
  <c r="C14" i="21"/>
  <c r="C15" i="21"/>
  <c r="C16" i="21"/>
  <c r="C17" i="21"/>
  <c r="C18" i="21"/>
  <c r="C19" i="21"/>
  <c r="C20" i="21"/>
  <c r="C21" i="21"/>
  <c r="C22" i="21"/>
  <c r="C23" i="21"/>
  <c r="C24" i="21"/>
  <c r="C25" i="21"/>
  <c r="C2" i="21"/>
  <c r="B9" i="21"/>
  <c r="B18" i="21" l="1"/>
  <c r="B17" i="21"/>
  <c r="B16" i="21"/>
  <c r="B7" i="21" l="1"/>
  <c r="B15" i="21" l="1"/>
</calcChain>
</file>

<file path=xl/sharedStrings.xml><?xml version="1.0" encoding="utf-8"?>
<sst xmlns="http://schemas.openxmlformats.org/spreadsheetml/2006/main" count="66" uniqueCount="66">
  <si>
    <t>MCF Maximum Capacity Factors</t>
  </si>
  <si>
    <t xml:space="preserve">Source: </t>
  </si>
  <si>
    <t>All Except Wind</t>
  </si>
  <si>
    <t>Capacity Factors for Biomass</t>
  </si>
  <si>
    <t>Central Electricity Authority</t>
  </si>
  <si>
    <t>Central Electricity Authority/Ministry of Power</t>
  </si>
  <si>
    <t>National Electricity Plan</t>
  </si>
  <si>
    <t>Draft Report on Optimal Generation Capacity Mix for 2029-30</t>
  </si>
  <si>
    <t>http://www.cea.nic.in/reports/committee/nep/nep_jan_2018.pdf</t>
  </si>
  <si>
    <t>http://cea.nic.in/reports/others/planning/irp/Optimal_generation_mix_report.pdf</t>
  </si>
  <si>
    <t>Table 5.3</t>
  </si>
  <si>
    <t>Table 6.7.A</t>
  </si>
  <si>
    <t>Annexure - I/2, Cost Parameters, Other assumptions, page 39</t>
  </si>
  <si>
    <t>Wind Capacity Factor</t>
  </si>
  <si>
    <t>Shakti Sustainable Energy Foundation</t>
  </si>
  <si>
    <t>Capacity Value of Wind Generation in India - An Assessment</t>
  </si>
  <si>
    <t>http://shaktifoundation.in/wp-content/uploads/2017/06/Capacity-Value-of-Wind-in-India-Full-report1.pdf</t>
  </si>
  <si>
    <t>Table 19</t>
  </si>
  <si>
    <t>Notes</t>
  </si>
  <si>
    <t>This represents the maximum capacity factor a plant type can achieve</t>
  </si>
  <si>
    <t>in any given hour. This is used for non-variable plant types, including hydro.</t>
  </si>
  <si>
    <t>We assume solar thermal and geothermal, which are for the most part dispatchable</t>
  </si>
  <si>
    <t>(assuming storage for solar thermal) - have the same value as lignite.</t>
  </si>
  <si>
    <t>We assume a lower value for biomass and municipal solid waste due to uncertainty</t>
  </si>
  <si>
    <t>in feedstock availability, based on CEA's optimal energy mix report for 2030.</t>
  </si>
  <si>
    <t>We assume crude oil and heavy residual fuel to have the same value as diesel.</t>
  </si>
  <si>
    <t>In the India EPS, the geothermal plant type is repurposed as pumped hydro capacity.</t>
  </si>
  <si>
    <t>We assume both hydrogen based plants to have the same maximum capacity as the natural gas power plants</t>
  </si>
  <si>
    <r>
      <rPr>
        <b/>
        <sz val="10"/>
        <color rgb="FF4F81BC"/>
        <rFont val="Arial"/>
        <family val="2"/>
      </rPr>
      <t>Table 19 Estimated overall wind potential and capacity contribution at National level</t>
    </r>
  </si>
  <si>
    <r>
      <rPr>
        <b/>
        <sz val="11"/>
        <color rgb="FFFFFFFF"/>
        <rFont val="Calibri"/>
        <family val="2"/>
      </rPr>
      <t>State</t>
    </r>
  </si>
  <si>
    <r>
      <rPr>
        <b/>
        <sz val="11"/>
        <color rgb="FFFFFFFF"/>
        <rFont val="Calibri"/>
        <family val="2"/>
      </rPr>
      <t>Estimated Potential at 80 m (MW)</t>
    </r>
  </si>
  <si>
    <r>
      <rPr>
        <b/>
        <sz val="11"/>
        <color rgb="FFFFFFFF"/>
        <rFont val="Calibri"/>
        <family val="2"/>
      </rPr>
      <t>Capacity Value (%)</t>
    </r>
  </si>
  <si>
    <r>
      <rPr>
        <b/>
        <sz val="11"/>
        <color rgb="FFFFFFFF"/>
        <rFont val="Calibri"/>
        <family val="2"/>
      </rPr>
      <t>Capacity Contribution (MW)</t>
    </r>
  </si>
  <si>
    <r>
      <rPr>
        <b/>
        <sz val="11"/>
        <rFont val="Calibri"/>
        <family val="2"/>
      </rPr>
      <t>Andhra Pradesh</t>
    </r>
  </si>
  <si>
    <r>
      <rPr>
        <b/>
        <sz val="11"/>
        <rFont val="Calibri"/>
        <family val="2"/>
      </rPr>
      <t>Gujarat</t>
    </r>
  </si>
  <si>
    <r>
      <rPr>
        <b/>
        <sz val="11"/>
        <rFont val="Calibri"/>
        <family val="2"/>
      </rPr>
      <t>Karnataka</t>
    </r>
  </si>
  <si>
    <r>
      <rPr>
        <b/>
        <sz val="11"/>
        <rFont val="Calibri"/>
        <family val="2"/>
      </rPr>
      <t>Maharashtra</t>
    </r>
  </si>
  <si>
    <r>
      <rPr>
        <b/>
        <sz val="11"/>
        <rFont val="Calibri"/>
        <family val="2"/>
      </rPr>
      <t>Rajasthan</t>
    </r>
  </si>
  <si>
    <r>
      <rPr>
        <b/>
        <sz val="11"/>
        <rFont val="Calibri"/>
        <family val="2"/>
      </rPr>
      <t>Tamil Nadu</t>
    </r>
  </si>
  <si>
    <r>
      <rPr>
        <b/>
        <sz val="11"/>
        <rFont val="Calibri"/>
        <family val="2"/>
      </rPr>
      <t>Others</t>
    </r>
  </si>
  <si>
    <r>
      <rPr>
        <b/>
        <sz val="11"/>
        <rFont val="Calibri"/>
        <family val="2"/>
      </rPr>
      <t>Total</t>
    </r>
  </si>
  <si>
    <t>Unit: dimensionless (peak time capacity factors)</t>
  </si>
  <si>
    <t>hard coal</t>
  </si>
  <si>
    <t>natural gas steam turbine</t>
  </si>
  <si>
    <t xml:space="preserve">natural gas combined cycle </t>
  </si>
  <si>
    <t>nuclear</t>
  </si>
  <si>
    <t>hydro</t>
  </si>
  <si>
    <t>onshore wind</t>
  </si>
  <si>
    <t>solar pv</t>
  </si>
  <si>
    <t>solar thermal</t>
  </si>
  <si>
    <t>biomass</t>
  </si>
  <si>
    <t xml:space="preserve">geothermal </t>
  </si>
  <si>
    <t>petroleum</t>
  </si>
  <si>
    <t>natural gas nonpeaker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</si>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</sst>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###0;###0"/>
    <numFmt numFmtId="166" formatCode="#,##0;#,##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Arial"/>
      <family val="2"/>
    </font>
    <font>
      <b/>
      <sz val="10"/>
      <color rgb="FF4F81BC"/>
      <name val="Arial"/>
      <family val="2"/>
    </font>
    <font>
      <b/>
      <sz val="11"/>
      <color rgb="FFFFFFFF"/>
      <name val="Calibri"/>
      <family val="2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4F81BC"/>
      </patternFill>
    </fill>
    <fill>
      <patternFill patternType="solid">
        <fgColor rgb="FFD2DFED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 style="thin">
        <color rgb="FF7A9FCD"/>
      </left>
      <right/>
      <top style="thin">
        <color rgb="FF7A9FCD"/>
      </top>
      <bottom style="thin">
        <color rgb="FF7A9FCD"/>
      </bottom>
      <diagonal/>
    </border>
    <border>
      <left/>
      <right/>
      <top style="thin">
        <color rgb="FF7A9FCD"/>
      </top>
      <bottom style="thin">
        <color rgb="FF7A9FCD"/>
      </bottom>
      <diagonal/>
    </border>
    <border>
      <left/>
      <right style="thin">
        <color rgb="FF7A9FCD"/>
      </right>
      <top style="thin">
        <color rgb="FF7A9FCD"/>
      </top>
      <bottom style="thin">
        <color rgb="FF7A9FCD"/>
      </bottom>
      <diagonal/>
    </border>
    <border>
      <left style="thin">
        <color rgb="FF538DD3"/>
      </left>
      <right/>
      <top style="thin">
        <color rgb="FF7A9FCD"/>
      </top>
      <bottom style="thin">
        <color rgb="FF538DD3"/>
      </bottom>
      <diagonal/>
    </border>
    <border>
      <left/>
      <right/>
      <top style="thin">
        <color rgb="FF7A9FCD"/>
      </top>
      <bottom style="thin">
        <color rgb="FF538DD3"/>
      </bottom>
      <diagonal/>
    </border>
    <border>
      <left/>
      <right style="thin">
        <color rgb="FF538DD3"/>
      </right>
      <top style="thin">
        <color rgb="FF7A9FCD"/>
      </top>
      <bottom style="thin">
        <color rgb="FF538DD3"/>
      </bottom>
      <diagonal/>
    </border>
    <border>
      <left style="thin">
        <color rgb="FF538DD3"/>
      </left>
      <right/>
      <top style="thin">
        <color rgb="FF538DD3"/>
      </top>
      <bottom style="thin">
        <color rgb="FFD2DFED"/>
      </bottom>
      <diagonal/>
    </border>
    <border>
      <left/>
      <right/>
      <top style="thin">
        <color rgb="FF538DD3"/>
      </top>
      <bottom style="thin">
        <color rgb="FFD2DFED"/>
      </bottom>
      <diagonal/>
    </border>
    <border>
      <left/>
      <right style="thin">
        <color rgb="FF538DD3"/>
      </right>
      <top style="thin">
        <color rgb="FF538DD3"/>
      </top>
      <bottom style="thin">
        <color rgb="FFD2DFED"/>
      </bottom>
      <diagonal/>
    </border>
    <border>
      <left style="thin">
        <color rgb="FF538DD3"/>
      </left>
      <right/>
      <top style="thin">
        <color rgb="FFD2DFED"/>
      </top>
      <bottom style="thin">
        <color rgb="FFD2DFED"/>
      </bottom>
      <diagonal/>
    </border>
    <border>
      <left/>
      <right/>
      <top style="thin">
        <color rgb="FFD2DFED"/>
      </top>
      <bottom style="thin">
        <color rgb="FFD2DFED"/>
      </bottom>
      <diagonal/>
    </border>
    <border>
      <left/>
      <right style="thin">
        <color rgb="FF538DD3"/>
      </right>
      <top style="thin">
        <color rgb="FFD2DFED"/>
      </top>
      <bottom style="thin">
        <color rgb="FFD2DFED"/>
      </bottom>
      <diagonal/>
    </border>
    <border>
      <left style="thin">
        <color rgb="FF538DD3"/>
      </left>
      <right/>
      <top style="thin">
        <color rgb="FFD2DFED"/>
      </top>
      <bottom style="thin">
        <color rgb="FF538DD3"/>
      </bottom>
      <diagonal/>
    </border>
    <border>
      <left/>
      <right/>
      <top style="thin">
        <color rgb="FFD2DFED"/>
      </top>
      <bottom style="thin">
        <color rgb="FF538DD3"/>
      </bottom>
      <diagonal/>
    </border>
    <border>
      <left/>
      <right style="thin">
        <color rgb="FF538DD3"/>
      </right>
      <top style="thin">
        <color rgb="FFD2DFED"/>
      </top>
      <bottom style="thin">
        <color rgb="FF538DD3"/>
      </bottom>
      <diagonal/>
    </border>
  </borders>
  <cellStyleXfs count="7">
    <xf numFmtId="0" fontId="0" fillId="0" borderId="0"/>
    <xf numFmtId="0" fontId="2" fillId="0" borderId="0"/>
    <xf numFmtId="0" fontId="7" fillId="0" borderId="0" applyNumberFormat="0" applyFill="0" applyBorder="0" applyAlignment="0" applyProtection="0"/>
    <xf numFmtId="0" fontId="8" fillId="0" borderId="0" applyNumberFormat="0" applyProtection="0">
      <alignment horizontal="left"/>
    </xf>
    <xf numFmtId="0" fontId="9" fillId="0" borderId="1" applyNumberFormat="0" applyProtection="0">
      <alignment wrapText="1"/>
    </xf>
    <xf numFmtId="0" fontId="7" fillId="0" borderId="2" applyNumberFormat="0" applyFont="0" applyProtection="0">
      <alignment wrapText="1"/>
    </xf>
    <xf numFmtId="0" fontId="13" fillId="0" borderId="0" applyNumberFormat="0" applyFill="0" applyBorder="0" applyAlignment="0" applyProtection="0"/>
  </cellStyleXfs>
  <cellXfs count="38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164" fontId="0" fillId="0" borderId="0" xfId="0" applyNumberFormat="1"/>
    <xf numFmtId="0" fontId="10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6" fillId="4" borderId="3" xfId="0" applyFont="1" applyFill="1" applyBorder="1" applyAlignment="1">
      <alignment horizontal="center" vertical="top"/>
    </xf>
    <xf numFmtId="0" fontId="6" fillId="4" borderId="4" xfId="0" applyFont="1" applyFill="1" applyBorder="1" applyAlignment="1">
      <alignment horizontal="left" vertical="top"/>
    </xf>
    <xf numFmtId="0" fontId="6" fillId="4" borderId="5" xfId="0" applyFont="1" applyFill="1" applyBorder="1" applyAlignment="1">
      <alignment horizontal="center" vertical="top"/>
    </xf>
    <xf numFmtId="0" fontId="6" fillId="5" borderId="6" xfId="0" applyFont="1" applyFill="1" applyBorder="1" applyAlignment="1">
      <alignment horizontal="left" vertical="top"/>
    </xf>
    <xf numFmtId="165" fontId="4" fillId="5" borderId="7" xfId="0" applyNumberFormat="1" applyFont="1" applyFill="1" applyBorder="1" applyAlignment="1">
      <alignment horizontal="center" vertical="top"/>
    </xf>
    <xf numFmtId="166" fontId="4" fillId="5" borderId="8" xfId="0" applyNumberFormat="1" applyFont="1" applyFill="1" applyBorder="1" applyAlignment="1">
      <alignment horizontal="center" vertical="top"/>
    </xf>
    <xf numFmtId="0" fontId="6" fillId="0" borderId="9" xfId="0" applyFont="1" applyBorder="1" applyAlignment="1">
      <alignment horizontal="left" vertical="top"/>
    </xf>
    <xf numFmtId="165" fontId="4" fillId="0" borderId="10" xfId="0" applyNumberFormat="1" applyFont="1" applyBorder="1" applyAlignment="1">
      <alignment horizontal="center" vertical="top"/>
    </xf>
    <xf numFmtId="166" fontId="4" fillId="0" borderId="11" xfId="0" applyNumberFormat="1" applyFont="1" applyBorder="1" applyAlignment="1">
      <alignment horizontal="left" vertical="top"/>
    </xf>
    <xf numFmtId="0" fontId="6" fillId="5" borderId="12" xfId="0" applyFont="1" applyFill="1" applyBorder="1" applyAlignment="1">
      <alignment horizontal="left" vertical="top"/>
    </xf>
    <xf numFmtId="165" fontId="4" fillId="5" borderId="13" xfId="0" applyNumberFormat="1" applyFont="1" applyFill="1" applyBorder="1" applyAlignment="1">
      <alignment horizontal="center" vertical="top"/>
    </xf>
    <xf numFmtId="166" fontId="4" fillId="5" borderId="14" xfId="0" applyNumberFormat="1" applyFont="1" applyFill="1" applyBorder="1" applyAlignment="1">
      <alignment horizontal="center" vertical="top"/>
    </xf>
    <xf numFmtId="0" fontId="6" fillId="0" borderId="12" xfId="0" applyFont="1" applyBorder="1" applyAlignment="1">
      <alignment horizontal="left" vertical="top"/>
    </xf>
    <xf numFmtId="165" fontId="4" fillId="0" borderId="13" xfId="0" applyNumberFormat="1" applyFont="1" applyBorder="1" applyAlignment="1">
      <alignment horizontal="center" vertical="top"/>
    </xf>
    <xf numFmtId="166" fontId="4" fillId="0" borderId="14" xfId="0" applyNumberFormat="1" applyFont="1" applyBorder="1" applyAlignment="1">
      <alignment horizontal="center" vertical="top"/>
    </xf>
    <xf numFmtId="0" fontId="6" fillId="0" borderId="15" xfId="0" applyFont="1" applyBorder="1" applyAlignment="1">
      <alignment horizontal="center" vertical="top"/>
    </xf>
    <xf numFmtId="165" fontId="3" fillId="0" borderId="16" xfId="0" applyNumberFormat="1" applyFont="1" applyBorder="1" applyAlignment="1">
      <alignment horizontal="center" vertical="top"/>
    </xf>
    <xf numFmtId="0" fontId="0" fillId="0" borderId="16" xfId="0" applyBorder="1" applyAlignment="1">
      <alignment horizontal="left" vertical="top"/>
    </xf>
    <xf numFmtId="166" fontId="4" fillId="0" borderId="17" xfId="0" applyNumberFormat="1" applyFont="1" applyBorder="1" applyAlignment="1">
      <alignment horizontal="left" vertical="top"/>
    </xf>
    <xf numFmtId="10" fontId="5" fillId="5" borderId="7" xfId="0" applyNumberFormat="1" applyFont="1" applyFill="1" applyBorder="1" applyAlignment="1">
      <alignment horizontal="center" vertical="top"/>
    </xf>
    <xf numFmtId="10" fontId="5" fillId="0" borderId="10" xfId="0" applyNumberFormat="1" applyFont="1" applyBorder="1" applyAlignment="1">
      <alignment horizontal="center" vertical="top"/>
    </xf>
    <xf numFmtId="10" fontId="5" fillId="5" borderId="13" xfId="0" applyNumberFormat="1" applyFont="1" applyFill="1" applyBorder="1" applyAlignment="1">
      <alignment horizontal="center" vertical="top"/>
    </xf>
    <xf numFmtId="10" fontId="5" fillId="0" borderId="13" xfId="0" applyNumberFormat="1" applyFont="1" applyBorder="1" applyAlignment="1">
      <alignment horizontal="center" vertical="top"/>
    </xf>
    <xf numFmtId="164" fontId="0" fillId="3" borderId="0" xfId="0" applyNumberFormat="1" applyFill="1"/>
    <xf numFmtId="0" fontId="13" fillId="0" borderId="0" xfId="6" applyAlignment="1">
      <alignment wrapText="1"/>
    </xf>
    <xf numFmtId="0" fontId="13" fillId="0" borderId="0" xfId="6"/>
    <xf numFmtId="0" fontId="0" fillId="0" borderId="0" xfId="0" applyAlignment="1">
      <alignment horizontal="right" wrapText="1"/>
    </xf>
    <xf numFmtId="0" fontId="14" fillId="0" borderId="0" xfId="0" applyFont="1" applyAlignment="1">
      <alignment wrapText="1"/>
    </xf>
    <xf numFmtId="0" fontId="15" fillId="0" borderId="0" xfId="0" applyFont="1" applyAlignment="1">
      <alignment vertical="center"/>
    </xf>
    <xf numFmtId="165" fontId="0" fillId="0" borderId="0" xfId="0" applyNumberFormat="1"/>
    <xf numFmtId="164" fontId="0" fillId="0" borderId="0" xfId="0" applyNumberFormat="1" applyFill="1"/>
  </cellXfs>
  <cellStyles count="7">
    <cellStyle name="Body: normal cell" xfId="5" xr:uid="{00000000-0005-0000-0000-000000000000}"/>
    <cellStyle name="Font: Calibri, 9pt regular" xfId="2" xr:uid="{00000000-0005-0000-0000-000001000000}"/>
    <cellStyle name="Header: bottom row" xfId="4" xr:uid="{00000000-0005-0000-0000-000002000000}"/>
    <cellStyle name="Hyperlink" xfId="6" builtinId="8"/>
    <cellStyle name="Normal" xfId="0" builtinId="0"/>
    <cellStyle name="Normal 6" xfId="1" xr:uid="{00000000-0005-0000-0000-000005000000}"/>
    <cellStyle name="Table title" xfId="3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servedio/AppData/Local/Microsoft/Windows/Temporary%20Internet%20Files/Content.Outlook/MU17HYWB/AllRequests_12_9_1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formation"/>
      <sheetName val="Request Type 1-2"/>
      <sheetName val="Request Type 3-5"/>
      <sheetName val="Lists"/>
    </sheetNames>
    <sheetDataSet>
      <sheetData sheetId="0" refreshError="1"/>
      <sheetData sheetId="1" refreshError="1"/>
      <sheetData sheetId="2" refreshError="1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www.cea.nic.in/reports/committee/nep/nep_jan_2018.pdf" TargetMode="External"/><Relationship Id="rId1" Type="http://schemas.openxmlformats.org/officeDocument/2006/relationships/hyperlink" Target="http://shaktifoundation.in/wp-content/uploads/2017/06/Capacity-Value-of-Wind-in-India-Full-report1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workbookViewId="0">
      <selection activeCell="A30" sqref="A30"/>
    </sheetView>
  </sheetViews>
  <sheetFormatPr defaultRowHeight="15" x14ac:dyDescent="0.25"/>
  <cols>
    <col min="1" max="1" width="9.28515625" customWidth="1"/>
    <col min="2" max="2" width="73.85546875" customWidth="1"/>
    <col min="5" max="5" width="58.7109375" customWidth="1"/>
    <col min="8" max="8" width="47.5703125" customWidth="1"/>
  </cols>
  <sheetData>
    <row r="1" spans="1:7" x14ac:dyDescent="0.25">
      <c r="A1" s="1" t="s">
        <v>0</v>
      </c>
    </row>
    <row r="2" spans="1:7" x14ac:dyDescent="0.25">
      <c r="G2" s="3"/>
    </row>
    <row r="3" spans="1:7" x14ac:dyDescent="0.25">
      <c r="A3" s="1" t="s">
        <v>1</v>
      </c>
      <c r="B3" s="2" t="s">
        <v>2</v>
      </c>
      <c r="E3" s="2" t="s">
        <v>3</v>
      </c>
    </row>
    <row r="4" spans="1:7" x14ac:dyDescent="0.25">
      <c r="B4" t="s">
        <v>4</v>
      </c>
      <c r="E4" t="s">
        <v>5</v>
      </c>
    </row>
    <row r="5" spans="1:7" x14ac:dyDescent="0.25">
      <c r="B5" s="3">
        <v>2018</v>
      </c>
      <c r="E5" s="3">
        <v>2019</v>
      </c>
    </row>
    <row r="6" spans="1:7" x14ac:dyDescent="0.25">
      <c r="B6" t="s">
        <v>6</v>
      </c>
      <c r="E6" t="s">
        <v>7</v>
      </c>
    </row>
    <row r="7" spans="1:7" x14ac:dyDescent="0.25">
      <c r="B7" s="32" t="s">
        <v>8</v>
      </c>
      <c r="E7" t="s">
        <v>9</v>
      </c>
    </row>
    <row r="8" spans="1:7" x14ac:dyDescent="0.25">
      <c r="B8" t="s">
        <v>10</v>
      </c>
      <c r="E8" t="s">
        <v>11</v>
      </c>
    </row>
    <row r="9" spans="1:7" x14ac:dyDescent="0.25">
      <c r="E9" t="s">
        <v>12</v>
      </c>
    </row>
    <row r="10" spans="1:7" x14ac:dyDescent="0.25">
      <c r="B10" s="2" t="s">
        <v>13</v>
      </c>
    </row>
    <row r="11" spans="1:7" x14ac:dyDescent="0.25">
      <c r="B11" t="s">
        <v>14</v>
      </c>
    </row>
    <row r="12" spans="1:7" x14ac:dyDescent="0.25">
      <c r="B12" s="3">
        <v>2017</v>
      </c>
    </row>
    <row r="13" spans="1:7" x14ac:dyDescent="0.25">
      <c r="B13" t="s">
        <v>15</v>
      </c>
    </row>
    <row r="14" spans="1:7" ht="30" x14ac:dyDescent="0.25">
      <c r="B14" s="31" t="s">
        <v>16</v>
      </c>
    </row>
    <row r="15" spans="1:7" x14ac:dyDescent="0.25">
      <c r="B15" t="s">
        <v>17</v>
      </c>
    </row>
    <row r="17" spans="1:1" x14ac:dyDescent="0.25">
      <c r="A17" s="1" t="s">
        <v>18</v>
      </c>
    </row>
    <row r="18" spans="1:1" x14ac:dyDescent="0.25">
      <c r="A18" t="s">
        <v>19</v>
      </c>
    </row>
    <row r="19" spans="1:1" x14ac:dyDescent="0.25">
      <c r="A19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9" spans="1:1" x14ac:dyDescent="0.25">
      <c r="A29" s="35" t="s">
        <v>26</v>
      </c>
    </row>
    <row r="30" spans="1:1" x14ac:dyDescent="0.25">
      <c r="A30" t="s">
        <v>27</v>
      </c>
    </row>
  </sheetData>
  <hyperlinks>
    <hyperlink ref="B14" r:id="rId1" xr:uid="{00000000-0004-0000-0000-000000000000}"/>
    <hyperlink ref="B7" r:id="rId2" xr:uid="{00000000-0004-0000-0000-000001000000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1"/>
  <sheetViews>
    <sheetView workbookViewId="0">
      <selection activeCell="B11" sqref="B11"/>
    </sheetView>
  </sheetViews>
  <sheetFormatPr defaultRowHeight="15" x14ac:dyDescent="0.25"/>
  <cols>
    <col min="1" max="1" width="80" bestFit="1" customWidth="1"/>
    <col min="2" max="2" width="31.5703125" bestFit="1" customWidth="1"/>
    <col min="3" max="3" width="17.7109375" bestFit="1" customWidth="1"/>
    <col min="4" max="4" width="26.42578125" bestFit="1" customWidth="1"/>
  </cols>
  <sheetData>
    <row r="1" spans="1:4" x14ac:dyDescent="0.25">
      <c r="A1" s="5" t="s">
        <v>28</v>
      </c>
      <c r="B1" s="6"/>
      <c r="C1" s="6"/>
      <c r="D1" s="6"/>
    </row>
    <row r="2" spans="1:4" x14ac:dyDescent="0.25">
      <c r="A2" s="7" t="s">
        <v>29</v>
      </c>
      <c r="B2" s="8" t="s">
        <v>30</v>
      </c>
      <c r="C2" s="8" t="s">
        <v>31</v>
      </c>
      <c r="D2" s="9" t="s">
        <v>32</v>
      </c>
    </row>
    <row r="3" spans="1:4" x14ac:dyDescent="0.25">
      <c r="A3" s="10" t="s">
        <v>33</v>
      </c>
      <c r="B3" s="11">
        <v>14497</v>
      </c>
      <c r="C3" s="26">
        <v>0.255</v>
      </c>
      <c r="D3" s="12">
        <v>3697</v>
      </c>
    </row>
    <row r="4" spans="1:4" x14ac:dyDescent="0.25">
      <c r="A4" s="13" t="s">
        <v>34</v>
      </c>
      <c r="B4" s="14">
        <v>35071</v>
      </c>
      <c r="C4" s="27">
        <v>0.29499999999999998</v>
      </c>
      <c r="D4" s="15">
        <v>10346</v>
      </c>
    </row>
    <row r="5" spans="1:4" x14ac:dyDescent="0.25">
      <c r="A5" s="16" t="s">
        <v>35</v>
      </c>
      <c r="B5" s="17">
        <v>13593</v>
      </c>
      <c r="C5" s="28">
        <v>0.24</v>
      </c>
      <c r="D5" s="18">
        <v>3262</v>
      </c>
    </row>
    <row r="6" spans="1:4" x14ac:dyDescent="0.25">
      <c r="A6" s="19" t="s">
        <v>36</v>
      </c>
      <c r="B6" s="20">
        <v>5961</v>
      </c>
      <c r="C6" s="29">
        <v>0.23</v>
      </c>
      <c r="D6" s="21">
        <v>1371</v>
      </c>
    </row>
    <row r="7" spans="1:4" x14ac:dyDescent="0.25">
      <c r="A7" s="16" t="s">
        <v>37</v>
      </c>
      <c r="B7" s="17">
        <v>5050</v>
      </c>
      <c r="C7" s="28">
        <v>0.20499999999999999</v>
      </c>
      <c r="D7" s="18">
        <v>1035</v>
      </c>
    </row>
    <row r="8" spans="1:4" x14ac:dyDescent="0.25">
      <c r="A8" s="19" t="s">
        <v>38</v>
      </c>
      <c r="B8" s="20">
        <v>14152</v>
      </c>
      <c r="C8" s="29">
        <v>0.23</v>
      </c>
      <c r="D8" s="21">
        <v>3255</v>
      </c>
    </row>
    <row r="9" spans="1:4" x14ac:dyDescent="0.25">
      <c r="A9" s="16" t="s">
        <v>39</v>
      </c>
      <c r="B9" s="17">
        <v>14464</v>
      </c>
      <c r="C9" s="28">
        <v>0.24</v>
      </c>
      <c r="D9" s="18">
        <v>3471</v>
      </c>
    </row>
    <row r="10" spans="1:4" x14ac:dyDescent="0.25">
      <c r="A10" s="22" t="s">
        <v>40</v>
      </c>
      <c r="B10" s="23">
        <v>102788</v>
      </c>
      <c r="C10" s="24"/>
      <c r="D10" s="25">
        <v>26438</v>
      </c>
    </row>
    <row r="11" spans="1:4" x14ac:dyDescent="0.25">
      <c r="B11" s="3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5"/>
  <sheetViews>
    <sheetView tabSelected="1" topLeftCell="D1" workbookViewId="0">
      <selection activeCell="C2" sqref="C2:AE25"/>
    </sheetView>
  </sheetViews>
  <sheetFormatPr defaultRowHeight="15" x14ac:dyDescent="0.25"/>
  <cols>
    <col min="1" max="1" width="24.28515625" customWidth="1"/>
    <col min="2" max="2" width="12" customWidth="1"/>
  </cols>
  <sheetData>
    <row r="1" spans="1:31" ht="30" x14ac:dyDescent="0.25">
      <c r="A1" s="34" t="s">
        <v>41</v>
      </c>
      <c r="B1" s="33">
        <v>2021</v>
      </c>
      <c r="C1" s="33">
        <v>2022</v>
      </c>
      <c r="D1" s="33">
        <v>2023</v>
      </c>
      <c r="E1" s="33">
        <v>2024</v>
      </c>
      <c r="F1" s="33">
        <v>2025</v>
      </c>
      <c r="G1" s="33">
        <v>2026</v>
      </c>
      <c r="H1" s="33">
        <v>2027</v>
      </c>
      <c r="I1" s="33">
        <v>2028</v>
      </c>
      <c r="J1" s="33">
        <v>2029</v>
      </c>
      <c r="K1" s="33">
        <v>2030</v>
      </c>
      <c r="L1" s="33">
        <v>2031</v>
      </c>
      <c r="M1" s="33">
        <v>2032</v>
      </c>
      <c r="N1" s="33">
        <v>2033</v>
      </c>
      <c r="O1" s="33">
        <v>2034</v>
      </c>
      <c r="P1" s="33">
        <v>2035</v>
      </c>
      <c r="Q1" s="33">
        <v>2036</v>
      </c>
      <c r="R1" s="33">
        <v>2037</v>
      </c>
      <c r="S1" s="33">
        <v>2038</v>
      </c>
      <c r="T1" s="33">
        <v>2039</v>
      </c>
      <c r="U1" s="33">
        <v>2040</v>
      </c>
      <c r="V1" s="33">
        <v>2041</v>
      </c>
      <c r="W1" s="33">
        <v>2042</v>
      </c>
      <c r="X1" s="33">
        <v>2043</v>
      </c>
      <c r="Y1" s="33">
        <v>2044</v>
      </c>
      <c r="Z1" s="33">
        <v>2045</v>
      </c>
      <c r="AA1" s="33">
        <v>2046</v>
      </c>
      <c r="AB1" s="33">
        <v>2047</v>
      </c>
      <c r="AC1" s="33">
        <v>2048</v>
      </c>
      <c r="AD1" s="33">
        <v>2049</v>
      </c>
      <c r="AE1" s="33">
        <v>2050</v>
      </c>
    </row>
    <row r="2" spans="1:31" x14ac:dyDescent="0.25">
      <c r="A2" t="s">
        <v>42</v>
      </c>
      <c r="B2" s="4">
        <v>0.88</v>
      </c>
      <c r="C2" s="37">
        <f>$B2</f>
        <v>0.88</v>
      </c>
      <c r="D2" s="37">
        <f t="shared" ref="D2:AE11" si="0">$B2</f>
        <v>0.88</v>
      </c>
      <c r="E2" s="37">
        <f t="shared" si="0"/>
        <v>0.88</v>
      </c>
      <c r="F2" s="37">
        <f t="shared" si="0"/>
        <v>0.88</v>
      </c>
      <c r="G2" s="37">
        <f t="shared" si="0"/>
        <v>0.88</v>
      </c>
      <c r="H2" s="37">
        <f t="shared" si="0"/>
        <v>0.88</v>
      </c>
      <c r="I2" s="37">
        <f t="shared" si="0"/>
        <v>0.88</v>
      </c>
      <c r="J2" s="37">
        <f t="shared" si="0"/>
        <v>0.88</v>
      </c>
      <c r="K2" s="37">
        <f t="shared" si="0"/>
        <v>0.88</v>
      </c>
      <c r="L2" s="37">
        <f t="shared" si="0"/>
        <v>0.88</v>
      </c>
      <c r="M2" s="37">
        <f t="shared" si="0"/>
        <v>0.88</v>
      </c>
      <c r="N2" s="37">
        <f t="shared" si="0"/>
        <v>0.88</v>
      </c>
      <c r="O2" s="37">
        <f t="shared" si="0"/>
        <v>0.88</v>
      </c>
      <c r="P2" s="37">
        <f t="shared" si="0"/>
        <v>0.88</v>
      </c>
      <c r="Q2" s="37">
        <f t="shared" si="0"/>
        <v>0.88</v>
      </c>
      <c r="R2" s="37">
        <f t="shared" si="0"/>
        <v>0.88</v>
      </c>
      <c r="S2" s="37">
        <f t="shared" si="0"/>
        <v>0.88</v>
      </c>
      <c r="T2" s="37">
        <f t="shared" si="0"/>
        <v>0.88</v>
      </c>
      <c r="U2" s="37">
        <f t="shared" si="0"/>
        <v>0.88</v>
      </c>
      <c r="V2" s="37">
        <f t="shared" si="0"/>
        <v>0.88</v>
      </c>
      <c r="W2" s="37">
        <f t="shared" si="0"/>
        <v>0.88</v>
      </c>
      <c r="X2" s="37">
        <f t="shared" si="0"/>
        <v>0.88</v>
      </c>
      <c r="Y2" s="37">
        <f t="shared" si="0"/>
        <v>0.88</v>
      </c>
      <c r="Z2" s="37">
        <f t="shared" si="0"/>
        <v>0.88</v>
      </c>
      <c r="AA2" s="37">
        <f t="shared" si="0"/>
        <v>0.88</v>
      </c>
      <c r="AB2" s="37">
        <f t="shared" si="0"/>
        <v>0.88</v>
      </c>
      <c r="AC2" s="37">
        <f t="shared" si="0"/>
        <v>0.88</v>
      </c>
      <c r="AD2" s="37">
        <f t="shared" si="0"/>
        <v>0.88</v>
      </c>
      <c r="AE2" s="37">
        <f t="shared" si="0"/>
        <v>0.88</v>
      </c>
    </row>
    <row r="3" spans="1:31" x14ac:dyDescent="0.25">
      <c r="A3" t="s">
        <v>43</v>
      </c>
      <c r="B3" s="4">
        <v>0.9</v>
      </c>
      <c r="C3" s="37">
        <f t="shared" ref="C3:R25" si="1">$B3</f>
        <v>0.9</v>
      </c>
      <c r="D3" s="37">
        <f t="shared" si="1"/>
        <v>0.9</v>
      </c>
      <c r="E3" s="37">
        <f t="shared" si="1"/>
        <v>0.9</v>
      </c>
      <c r="F3" s="37">
        <f t="shared" si="1"/>
        <v>0.9</v>
      </c>
      <c r="G3" s="37">
        <f t="shared" si="1"/>
        <v>0.9</v>
      </c>
      <c r="H3" s="37">
        <f t="shared" si="1"/>
        <v>0.9</v>
      </c>
      <c r="I3" s="37">
        <f t="shared" si="1"/>
        <v>0.9</v>
      </c>
      <c r="J3" s="37">
        <f t="shared" si="1"/>
        <v>0.9</v>
      </c>
      <c r="K3" s="37">
        <f t="shared" si="1"/>
        <v>0.9</v>
      </c>
      <c r="L3" s="37">
        <f t="shared" si="1"/>
        <v>0.9</v>
      </c>
      <c r="M3" s="37">
        <f t="shared" si="1"/>
        <v>0.9</v>
      </c>
      <c r="N3" s="37">
        <f t="shared" si="1"/>
        <v>0.9</v>
      </c>
      <c r="O3" s="37">
        <f t="shared" si="1"/>
        <v>0.9</v>
      </c>
      <c r="P3" s="37">
        <f t="shared" si="1"/>
        <v>0.9</v>
      </c>
      <c r="Q3" s="37">
        <f t="shared" si="1"/>
        <v>0.9</v>
      </c>
      <c r="R3" s="37">
        <f t="shared" si="1"/>
        <v>0.9</v>
      </c>
      <c r="S3" s="37">
        <f t="shared" si="0"/>
        <v>0.9</v>
      </c>
      <c r="T3" s="37">
        <f t="shared" si="0"/>
        <v>0.9</v>
      </c>
      <c r="U3" s="37">
        <f t="shared" si="0"/>
        <v>0.9</v>
      </c>
      <c r="V3" s="37">
        <f t="shared" si="0"/>
        <v>0.9</v>
      </c>
      <c r="W3" s="37">
        <f t="shared" si="0"/>
        <v>0.9</v>
      </c>
      <c r="X3" s="37">
        <f t="shared" si="0"/>
        <v>0.9</v>
      </c>
      <c r="Y3" s="37">
        <f t="shared" si="0"/>
        <v>0.9</v>
      </c>
      <c r="Z3" s="37">
        <f t="shared" si="0"/>
        <v>0.9</v>
      </c>
      <c r="AA3" s="37">
        <f t="shared" si="0"/>
        <v>0.9</v>
      </c>
      <c r="AB3" s="37">
        <f t="shared" si="0"/>
        <v>0.9</v>
      </c>
      <c r="AC3" s="37">
        <f t="shared" si="0"/>
        <v>0.9</v>
      </c>
      <c r="AD3" s="37">
        <f t="shared" si="0"/>
        <v>0.9</v>
      </c>
      <c r="AE3" s="37">
        <f t="shared" si="0"/>
        <v>0.9</v>
      </c>
    </row>
    <row r="4" spans="1:31" x14ac:dyDescent="0.25">
      <c r="A4" t="s">
        <v>44</v>
      </c>
      <c r="B4" s="4">
        <v>0.9</v>
      </c>
      <c r="C4" s="37">
        <f t="shared" si="1"/>
        <v>0.9</v>
      </c>
      <c r="D4" s="37">
        <f t="shared" si="0"/>
        <v>0.9</v>
      </c>
      <c r="E4" s="37">
        <f t="shared" si="0"/>
        <v>0.9</v>
      </c>
      <c r="F4" s="37">
        <f t="shared" si="0"/>
        <v>0.9</v>
      </c>
      <c r="G4" s="37">
        <f t="shared" si="0"/>
        <v>0.9</v>
      </c>
      <c r="H4" s="37">
        <f t="shared" si="0"/>
        <v>0.9</v>
      </c>
      <c r="I4" s="37">
        <f t="shared" si="0"/>
        <v>0.9</v>
      </c>
      <c r="J4" s="37">
        <f t="shared" si="0"/>
        <v>0.9</v>
      </c>
      <c r="K4" s="37">
        <f t="shared" si="0"/>
        <v>0.9</v>
      </c>
      <c r="L4" s="37">
        <f t="shared" si="0"/>
        <v>0.9</v>
      </c>
      <c r="M4" s="37">
        <f t="shared" si="0"/>
        <v>0.9</v>
      </c>
      <c r="N4" s="37">
        <f t="shared" si="0"/>
        <v>0.9</v>
      </c>
      <c r="O4" s="37">
        <f t="shared" si="0"/>
        <v>0.9</v>
      </c>
      <c r="P4" s="37">
        <f t="shared" si="0"/>
        <v>0.9</v>
      </c>
      <c r="Q4" s="37">
        <f t="shared" si="0"/>
        <v>0.9</v>
      </c>
      <c r="R4" s="37">
        <f t="shared" si="0"/>
        <v>0.9</v>
      </c>
      <c r="S4" s="37">
        <f t="shared" si="0"/>
        <v>0.9</v>
      </c>
      <c r="T4" s="37">
        <f t="shared" si="0"/>
        <v>0.9</v>
      </c>
      <c r="U4" s="37">
        <f t="shared" si="0"/>
        <v>0.9</v>
      </c>
      <c r="V4" s="37">
        <f t="shared" si="0"/>
        <v>0.9</v>
      </c>
      <c r="W4" s="37">
        <f t="shared" si="0"/>
        <v>0.9</v>
      </c>
      <c r="X4" s="37">
        <f t="shared" si="0"/>
        <v>0.9</v>
      </c>
      <c r="Y4" s="37">
        <f t="shared" si="0"/>
        <v>0.9</v>
      </c>
      <c r="Z4" s="37">
        <f t="shared" si="0"/>
        <v>0.9</v>
      </c>
      <c r="AA4" s="37">
        <f t="shared" si="0"/>
        <v>0.9</v>
      </c>
      <c r="AB4" s="37">
        <f t="shared" si="0"/>
        <v>0.9</v>
      </c>
      <c r="AC4" s="37">
        <f t="shared" si="0"/>
        <v>0.9</v>
      </c>
      <c r="AD4" s="37">
        <f t="shared" si="0"/>
        <v>0.9</v>
      </c>
      <c r="AE4" s="37">
        <f t="shared" si="0"/>
        <v>0.9</v>
      </c>
    </row>
    <row r="5" spans="1:31" x14ac:dyDescent="0.25">
      <c r="A5" t="s">
        <v>45</v>
      </c>
      <c r="B5" s="4">
        <v>0.68</v>
      </c>
      <c r="C5" s="37">
        <f t="shared" si="1"/>
        <v>0.68</v>
      </c>
      <c r="D5" s="37">
        <f t="shared" si="0"/>
        <v>0.68</v>
      </c>
      <c r="E5" s="37">
        <f t="shared" si="0"/>
        <v>0.68</v>
      </c>
      <c r="F5" s="37">
        <f t="shared" si="0"/>
        <v>0.68</v>
      </c>
      <c r="G5" s="37">
        <f t="shared" si="0"/>
        <v>0.68</v>
      </c>
      <c r="H5" s="37">
        <f t="shared" si="0"/>
        <v>0.68</v>
      </c>
      <c r="I5" s="37">
        <f t="shared" si="0"/>
        <v>0.68</v>
      </c>
      <c r="J5" s="37">
        <f t="shared" si="0"/>
        <v>0.68</v>
      </c>
      <c r="K5" s="37">
        <f t="shared" si="0"/>
        <v>0.68</v>
      </c>
      <c r="L5" s="37">
        <f t="shared" si="0"/>
        <v>0.68</v>
      </c>
      <c r="M5" s="37">
        <f t="shared" si="0"/>
        <v>0.68</v>
      </c>
      <c r="N5" s="37">
        <f t="shared" si="0"/>
        <v>0.68</v>
      </c>
      <c r="O5" s="37">
        <f t="shared" si="0"/>
        <v>0.68</v>
      </c>
      <c r="P5" s="37">
        <f t="shared" si="0"/>
        <v>0.68</v>
      </c>
      <c r="Q5" s="37">
        <f t="shared" si="0"/>
        <v>0.68</v>
      </c>
      <c r="R5" s="37">
        <f t="shared" si="0"/>
        <v>0.68</v>
      </c>
      <c r="S5" s="37">
        <f t="shared" si="0"/>
        <v>0.68</v>
      </c>
      <c r="T5" s="37">
        <f t="shared" si="0"/>
        <v>0.68</v>
      </c>
      <c r="U5" s="37">
        <f t="shared" si="0"/>
        <v>0.68</v>
      </c>
      <c r="V5" s="37">
        <f t="shared" si="0"/>
        <v>0.68</v>
      </c>
      <c r="W5" s="37">
        <f t="shared" si="0"/>
        <v>0.68</v>
      </c>
      <c r="X5" s="37">
        <f t="shared" si="0"/>
        <v>0.68</v>
      </c>
      <c r="Y5" s="37">
        <f t="shared" si="0"/>
        <v>0.68</v>
      </c>
      <c r="Z5" s="37">
        <f t="shared" si="0"/>
        <v>0.68</v>
      </c>
      <c r="AA5" s="37">
        <f t="shared" si="0"/>
        <v>0.68</v>
      </c>
      <c r="AB5" s="37">
        <f t="shared" si="0"/>
        <v>0.68</v>
      </c>
      <c r="AC5" s="37">
        <f t="shared" si="0"/>
        <v>0.68</v>
      </c>
      <c r="AD5" s="37">
        <f t="shared" si="0"/>
        <v>0.68</v>
      </c>
      <c r="AE5" s="37">
        <f t="shared" si="0"/>
        <v>0.68</v>
      </c>
    </row>
    <row r="6" spans="1:31" x14ac:dyDescent="0.25">
      <c r="A6" t="s">
        <v>46</v>
      </c>
      <c r="B6" s="4">
        <v>0.875</v>
      </c>
      <c r="C6" s="37">
        <f t="shared" si="1"/>
        <v>0.875</v>
      </c>
      <c r="D6" s="37">
        <f t="shared" si="0"/>
        <v>0.875</v>
      </c>
      <c r="E6" s="37">
        <f t="shared" si="0"/>
        <v>0.875</v>
      </c>
      <c r="F6" s="37">
        <f t="shared" si="0"/>
        <v>0.875</v>
      </c>
      <c r="G6" s="37">
        <f t="shared" si="0"/>
        <v>0.875</v>
      </c>
      <c r="H6" s="37">
        <f t="shared" si="0"/>
        <v>0.875</v>
      </c>
      <c r="I6" s="37">
        <f t="shared" si="0"/>
        <v>0.875</v>
      </c>
      <c r="J6" s="37">
        <f t="shared" si="0"/>
        <v>0.875</v>
      </c>
      <c r="K6" s="37">
        <f t="shared" si="0"/>
        <v>0.875</v>
      </c>
      <c r="L6" s="37">
        <f t="shared" si="0"/>
        <v>0.875</v>
      </c>
      <c r="M6" s="37">
        <f t="shared" si="0"/>
        <v>0.875</v>
      </c>
      <c r="N6" s="37">
        <f t="shared" si="0"/>
        <v>0.875</v>
      </c>
      <c r="O6" s="37">
        <f t="shared" si="0"/>
        <v>0.875</v>
      </c>
      <c r="P6" s="37">
        <f t="shared" si="0"/>
        <v>0.875</v>
      </c>
      <c r="Q6" s="37">
        <f t="shared" si="0"/>
        <v>0.875</v>
      </c>
      <c r="R6" s="37">
        <f t="shared" si="0"/>
        <v>0.875</v>
      </c>
      <c r="S6" s="37">
        <f t="shared" si="0"/>
        <v>0.875</v>
      </c>
      <c r="T6" s="37">
        <f t="shared" si="0"/>
        <v>0.875</v>
      </c>
      <c r="U6" s="37">
        <f t="shared" si="0"/>
        <v>0.875</v>
      </c>
      <c r="V6" s="37">
        <f t="shared" si="0"/>
        <v>0.875</v>
      </c>
      <c r="W6" s="37">
        <f t="shared" si="0"/>
        <v>0.875</v>
      </c>
      <c r="X6" s="37">
        <f t="shared" si="0"/>
        <v>0.875</v>
      </c>
      <c r="Y6" s="37">
        <f t="shared" si="0"/>
        <v>0.875</v>
      </c>
      <c r="Z6" s="37">
        <f t="shared" si="0"/>
        <v>0.875</v>
      </c>
      <c r="AA6" s="37">
        <f t="shared" si="0"/>
        <v>0.875</v>
      </c>
      <c r="AB6" s="37">
        <f t="shared" si="0"/>
        <v>0.875</v>
      </c>
      <c r="AC6" s="37">
        <f t="shared" si="0"/>
        <v>0.875</v>
      </c>
      <c r="AD6" s="37">
        <f t="shared" si="0"/>
        <v>0.875</v>
      </c>
      <c r="AE6" s="37">
        <f t="shared" si="0"/>
        <v>0.875</v>
      </c>
    </row>
    <row r="7" spans="1:31" x14ac:dyDescent="0.25">
      <c r="A7" t="s">
        <v>47</v>
      </c>
      <c r="B7" s="4">
        <f>SUMPRODUCT(Wind!C3:C9,Wind!B3:B9)/Wind!B10</f>
        <v>0.25720512122037592</v>
      </c>
      <c r="C7" s="37">
        <f t="shared" si="1"/>
        <v>0.25720512122037592</v>
      </c>
      <c r="D7" s="37">
        <f t="shared" si="0"/>
        <v>0.25720512122037592</v>
      </c>
      <c r="E7" s="37">
        <f t="shared" si="0"/>
        <v>0.25720512122037592</v>
      </c>
      <c r="F7" s="37">
        <f t="shared" si="0"/>
        <v>0.25720512122037592</v>
      </c>
      <c r="G7" s="37">
        <f t="shared" si="0"/>
        <v>0.25720512122037592</v>
      </c>
      <c r="H7" s="37">
        <f t="shared" si="0"/>
        <v>0.25720512122037592</v>
      </c>
      <c r="I7" s="37">
        <f t="shared" si="0"/>
        <v>0.25720512122037592</v>
      </c>
      <c r="J7" s="37">
        <f t="shared" si="0"/>
        <v>0.25720512122037592</v>
      </c>
      <c r="K7" s="37">
        <f t="shared" si="0"/>
        <v>0.25720512122037592</v>
      </c>
      <c r="L7" s="37">
        <f t="shared" si="0"/>
        <v>0.25720512122037592</v>
      </c>
      <c r="M7" s="37">
        <f t="shared" si="0"/>
        <v>0.25720512122037592</v>
      </c>
      <c r="N7" s="37">
        <f t="shared" si="0"/>
        <v>0.25720512122037592</v>
      </c>
      <c r="O7" s="37">
        <f t="shared" si="0"/>
        <v>0.25720512122037592</v>
      </c>
      <c r="P7" s="37">
        <f t="shared" si="0"/>
        <v>0.25720512122037592</v>
      </c>
      <c r="Q7" s="37">
        <f t="shared" si="0"/>
        <v>0.25720512122037592</v>
      </c>
      <c r="R7" s="37">
        <f t="shared" si="0"/>
        <v>0.25720512122037592</v>
      </c>
      <c r="S7" s="37">
        <f t="shared" si="0"/>
        <v>0.25720512122037592</v>
      </c>
      <c r="T7" s="37">
        <f t="shared" si="0"/>
        <v>0.25720512122037592</v>
      </c>
      <c r="U7" s="37">
        <f t="shared" si="0"/>
        <v>0.25720512122037592</v>
      </c>
      <c r="V7" s="37">
        <f t="shared" si="0"/>
        <v>0.25720512122037592</v>
      </c>
      <c r="W7" s="37">
        <f t="shared" si="0"/>
        <v>0.25720512122037592</v>
      </c>
      <c r="X7" s="37">
        <f t="shared" si="0"/>
        <v>0.25720512122037592</v>
      </c>
      <c r="Y7" s="37">
        <f t="shared" si="0"/>
        <v>0.25720512122037592</v>
      </c>
      <c r="Z7" s="37">
        <f t="shared" si="0"/>
        <v>0.25720512122037592</v>
      </c>
      <c r="AA7" s="37">
        <f t="shared" si="0"/>
        <v>0.25720512122037592</v>
      </c>
      <c r="AB7" s="37">
        <f t="shared" si="0"/>
        <v>0.25720512122037592</v>
      </c>
      <c r="AC7" s="37">
        <f t="shared" si="0"/>
        <v>0.25720512122037592</v>
      </c>
      <c r="AD7" s="37">
        <f t="shared" si="0"/>
        <v>0.25720512122037592</v>
      </c>
      <c r="AE7" s="37">
        <f t="shared" si="0"/>
        <v>0.25720512122037592</v>
      </c>
    </row>
    <row r="8" spans="1:31" x14ac:dyDescent="0.25">
      <c r="A8" t="s">
        <v>48</v>
      </c>
      <c r="B8" s="4">
        <v>0</v>
      </c>
      <c r="C8" s="37">
        <f t="shared" si="1"/>
        <v>0</v>
      </c>
      <c r="D8" s="37">
        <f t="shared" si="0"/>
        <v>0</v>
      </c>
      <c r="E8" s="37">
        <f t="shared" si="0"/>
        <v>0</v>
      </c>
      <c r="F8" s="37">
        <f t="shared" si="0"/>
        <v>0</v>
      </c>
      <c r="G8" s="37">
        <f t="shared" si="0"/>
        <v>0</v>
      </c>
      <c r="H8" s="37">
        <f t="shared" si="0"/>
        <v>0</v>
      </c>
      <c r="I8" s="37">
        <f t="shared" si="0"/>
        <v>0</v>
      </c>
      <c r="J8" s="37">
        <f t="shared" si="0"/>
        <v>0</v>
      </c>
      <c r="K8" s="37">
        <f t="shared" si="0"/>
        <v>0</v>
      </c>
      <c r="L8" s="37">
        <f t="shared" si="0"/>
        <v>0</v>
      </c>
      <c r="M8" s="37">
        <f t="shared" si="0"/>
        <v>0</v>
      </c>
      <c r="N8" s="37">
        <f t="shared" si="0"/>
        <v>0</v>
      </c>
      <c r="O8" s="37">
        <f t="shared" si="0"/>
        <v>0</v>
      </c>
      <c r="P8" s="37">
        <f t="shared" si="0"/>
        <v>0</v>
      </c>
      <c r="Q8" s="37">
        <f t="shared" si="0"/>
        <v>0</v>
      </c>
      <c r="R8" s="37">
        <f t="shared" si="0"/>
        <v>0</v>
      </c>
      <c r="S8" s="37">
        <f t="shared" si="0"/>
        <v>0</v>
      </c>
      <c r="T8" s="37">
        <f t="shared" si="0"/>
        <v>0</v>
      </c>
      <c r="U8" s="37">
        <f t="shared" si="0"/>
        <v>0</v>
      </c>
      <c r="V8" s="37">
        <f t="shared" si="0"/>
        <v>0</v>
      </c>
      <c r="W8" s="37">
        <f t="shared" si="0"/>
        <v>0</v>
      </c>
      <c r="X8" s="37">
        <f t="shared" si="0"/>
        <v>0</v>
      </c>
      <c r="Y8" s="37">
        <f t="shared" si="0"/>
        <v>0</v>
      </c>
      <c r="Z8" s="37">
        <f t="shared" si="0"/>
        <v>0</v>
      </c>
      <c r="AA8" s="37">
        <f t="shared" si="0"/>
        <v>0</v>
      </c>
      <c r="AB8" s="37">
        <f t="shared" si="0"/>
        <v>0</v>
      </c>
      <c r="AC8" s="37">
        <f t="shared" si="0"/>
        <v>0</v>
      </c>
      <c r="AD8" s="37">
        <f t="shared" si="0"/>
        <v>0</v>
      </c>
      <c r="AE8" s="37">
        <f t="shared" si="0"/>
        <v>0</v>
      </c>
    </row>
    <row r="9" spans="1:31" x14ac:dyDescent="0.25">
      <c r="A9" t="s">
        <v>49</v>
      </c>
      <c r="B9" s="30">
        <f>B14</f>
        <v>0.8</v>
      </c>
      <c r="C9" s="37">
        <f t="shared" si="1"/>
        <v>0.8</v>
      </c>
      <c r="D9" s="37">
        <f t="shared" si="0"/>
        <v>0.8</v>
      </c>
      <c r="E9" s="37">
        <f t="shared" si="0"/>
        <v>0.8</v>
      </c>
      <c r="F9" s="37">
        <f t="shared" si="0"/>
        <v>0.8</v>
      </c>
      <c r="G9" s="37">
        <f t="shared" si="0"/>
        <v>0.8</v>
      </c>
      <c r="H9" s="37">
        <f t="shared" si="0"/>
        <v>0.8</v>
      </c>
      <c r="I9" s="37">
        <f t="shared" si="0"/>
        <v>0.8</v>
      </c>
      <c r="J9" s="37">
        <f t="shared" si="0"/>
        <v>0.8</v>
      </c>
      <c r="K9" s="37">
        <f t="shared" si="0"/>
        <v>0.8</v>
      </c>
      <c r="L9" s="37">
        <f t="shared" si="0"/>
        <v>0.8</v>
      </c>
      <c r="M9" s="37">
        <f t="shared" si="0"/>
        <v>0.8</v>
      </c>
      <c r="N9" s="37">
        <f t="shared" si="0"/>
        <v>0.8</v>
      </c>
      <c r="O9" s="37">
        <f t="shared" si="0"/>
        <v>0.8</v>
      </c>
      <c r="P9" s="37">
        <f t="shared" si="0"/>
        <v>0.8</v>
      </c>
      <c r="Q9" s="37">
        <f t="shared" si="0"/>
        <v>0.8</v>
      </c>
      <c r="R9" s="37">
        <f t="shared" si="0"/>
        <v>0.8</v>
      </c>
      <c r="S9" s="37">
        <f t="shared" si="0"/>
        <v>0.8</v>
      </c>
      <c r="T9" s="37">
        <f t="shared" si="0"/>
        <v>0.8</v>
      </c>
      <c r="U9" s="37">
        <f t="shared" si="0"/>
        <v>0.8</v>
      </c>
      <c r="V9" s="37">
        <f t="shared" si="0"/>
        <v>0.8</v>
      </c>
      <c r="W9" s="37">
        <f t="shared" si="0"/>
        <v>0.8</v>
      </c>
      <c r="X9" s="37">
        <f t="shared" si="0"/>
        <v>0.8</v>
      </c>
      <c r="Y9" s="37">
        <f t="shared" si="0"/>
        <v>0.8</v>
      </c>
      <c r="Z9" s="37">
        <f t="shared" si="0"/>
        <v>0.8</v>
      </c>
      <c r="AA9" s="37">
        <f t="shared" si="0"/>
        <v>0.8</v>
      </c>
      <c r="AB9" s="37">
        <f t="shared" si="0"/>
        <v>0.8</v>
      </c>
      <c r="AC9" s="37">
        <f t="shared" si="0"/>
        <v>0.8</v>
      </c>
      <c r="AD9" s="37">
        <f t="shared" si="0"/>
        <v>0.8</v>
      </c>
      <c r="AE9" s="37">
        <f t="shared" si="0"/>
        <v>0.8</v>
      </c>
    </row>
    <row r="10" spans="1:31" x14ac:dyDescent="0.25">
      <c r="A10" t="s">
        <v>50</v>
      </c>
      <c r="B10" s="4">
        <v>0.3</v>
      </c>
      <c r="C10" s="37">
        <f t="shared" si="1"/>
        <v>0.3</v>
      </c>
      <c r="D10" s="37">
        <f t="shared" si="0"/>
        <v>0.3</v>
      </c>
      <c r="E10" s="37">
        <f t="shared" si="0"/>
        <v>0.3</v>
      </c>
      <c r="F10" s="37">
        <f t="shared" si="0"/>
        <v>0.3</v>
      </c>
      <c r="G10" s="37">
        <f t="shared" si="0"/>
        <v>0.3</v>
      </c>
      <c r="H10" s="37">
        <f t="shared" si="0"/>
        <v>0.3</v>
      </c>
      <c r="I10" s="37">
        <f t="shared" si="0"/>
        <v>0.3</v>
      </c>
      <c r="J10" s="37">
        <f t="shared" si="0"/>
        <v>0.3</v>
      </c>
      <c r="K10" s="37">
        <f t="shared" si="0"/>
        <v>0.3</v>
      </c>
      <c r="L10" s="37">
        <f t="shared" si="0"/>
        <v>0.3</v>
      </c>
      <c r="M10" s="37">
        <f t="shared" si="0"/>
        <v>0.3</v>
      </c>
      <c r="N10" s="37">
        <f t="shared" si="0"/>
        <v>0.3</v>
      </c>
      <c r="O10" s="37">
        <f t="shared" si="0"/>
        <v>0.3</v>
      </c>
      <c r="P10" s="37">
        <f t="shared" si="0"/>
        <v>0.3</v>
      </c>
      <c r="Q10" s="37">
        <f t="shared" si="0"/>
        <v>0.3</v>
      </c>
      <c r="R10" s="37">
        <f t="shared" si="0"/>
        <v>0.3</v>
      </c>
      <c r="S10" s="37">
        <f t="shared" si="0"/>
        <v>0.3</v>
      </c>
      <c r="T10" s="37">
        <f t="shared" si="0"/>
        <v>0.3</v>
      </c>
      <c r="U10" s="37">
        <f t="shared" si="0"/>
        <v>0.3</v>
      </c>
      <c r="V10" s="37">
        <f t="shared" si="0"/>
        <v>0.3</v>
      </c>
      <c r="W10" s="37">
        <f t="shared" si="0"/>
        <v>0.3</v>
      </c>
      <c r="X10" s="37">
        <f t="shared" si="0"/>
        <v>0.3</v>
      </c>
      <c r="Y10" s="37">
        <f t="shared" si="0"/>
        <v>0.3</v>
      </c>
      <c r="Z10" s="37">
        <f t="shared" si="0"/>
        <v>0.3</v>
      </c>
      <c r="AA10" s="37">
        <f t="shared" si="0"/>
        <v>0.3</v>
      </c>
      <c r="AB10" s="37">
        <f t="shared" si="0"/>
        <v>0.3</v>
      </c>
      <c r="AC10" s="37">
        <f t="shared" si="0"/>
        <v>0.3</v>
      </c>
      <c r="AD10" s="37">
        <f t="shared" si="0"/>
        <v>0.3</v>
      </c>
      <c r="AE10" s="37">
        <f t="shared" si="0"/>
        <v>0.3</v>
      </c>
    </row>
    <row r="11" spans="1:31" x14ac:dyDescent="0.25">
      <c r="A11" t="s">
        <v>51</v>
      </c>
      <c r="B11" s="30">
        <v>1</v>
      </c>
      <c r="C11" s="37">
        <f t="shared" si="1"/>
        <v>1</v>
      </c>
      <c r="D11" s="37">
        <f t="shared" si="0"/>
        <v>1</v>
      </c>
      <c r="E11" s="37">
        <f t="shared" si="0"/>
        <v>1</v>
      </c>
      <c r="F11" s="37">
        <f t="shared" si="0"/>
        <v>1</v>
      </c>
      <c r="G11" s="37">
        <f t="shared" si="0"/>
        <v>1</v>
      </c>
      <c r="H11" s="37">
        <f t="shared" si="0"/>
        <v>1</v>
      </c>
      <c r="I11" s="37">
        <f t="shared" si="0"/>
        <v>1</v>
      </c>
      <c r="J11" s="37">
        <f t="shared" si="0"/>
        <v>1</v>
      </c>
      <c r="K11" s="37">
        <f t="shared" si="0"/>
        <v>1</v>
      </c>
      <c r="L11" s="37">
        <f t="shared" si="0"/>
        <v>1</v>
      </c>
      <c r="M11" s="37">
        <f t="shared" si="0"/>
        <v>1</v>
      </c>
      <c r="N11" s="37">
        <f t="shared" si="0"/>
        <v>1</v>
      </c>
      <c r="O11" s="37">
        <f t="shared" si="0"/>
        <v>1</v>
      </c>
      <c r="P11" s="37">
        <f t="shared" si="0"/>
        <v>1</v>
      </c>
      <c r="Q11" s="37">
        <f t="shared" si="0"/>
        <v>1</v>
      </c>
      <c r="R11" s="37">
        <f t="shared" si="0"/>
        <v>1</v>
      </c>
      <c r="S11" s="37">
        <f t="shared" si="0"/>
        <v>1</v>
      </c>
      <c r="T11" s="37">
        <f t="shared" si="0"/>
        <v>1</v>
      </c>
      <c r="U11" s="37">
        <f t="shared" si="0"/>
        <v>1</v>
      </c>
      <c r="V11" s="37">
        <f t="shared" ref="D11:AE20" si="2">$B11</f>
        <v>1</v>
      </c>
      <c r="W11" s="37">
        <f t="shared" si="2"/>
        <v>1</v>
      </c>
      <c r="X11" s="37">
        <f t="shared" si="2"/>
        <v>1</v>
      </c>
      <c r="Y11" s="37">
        <f t="shared" si="2"/>
        <v>1</v>
      </c>
      <c r="Z11" s="37">
        <f t="shared" si="2"/>
        <v>1</v>
      </c>
      <c r="AA11" s="37">
        <f t="shared" si="2"/>
        <v>1</v>
      </c>
      <c r="AB11" s="37">
        <f t="shared" si="2"/>
        <v>1</v>
      </c>
      <c r="AC11" s="37">
        <f t="shared" si="2"/>
        <v>1</v>
      </c>
      <c r="AD11" s="37">
        <f t="shared" si="2"/>
        <v>1</v>
      </c>
      <c r="AE11" s="37">
        <f t="shared" si="2"/>
        <v>1</v>
      </c>
    </row>
    <row r="12" spans="1:31" x14ac:dyDescent="0.25">
      <c r="A12" t="s">
        <v>52</v>
      </c>
      <c r="B12" s="4">
        <v>1</v>
      </c>
      <c r="C12" s="37">
        <f t="shared" si="1"/>
        <v>1</v>
      </c>
      <c r="D12" s="37">
        <f t="shared" si="2"/>
        <v>1</v>
      </c>
      <c r="E12" s="37">
        <f t="shared" si="2"/>
        <v>1</v>
      </c>
      <c r="F12" s="37">
        <f t="shared" si="2"/>
        <v>1</v>
      </c>
      <c r="G12" s="37">
        <f t="shared" si="2"/>
        <v>1</v>
      </c>
      <c r="H12" s="37">
        <f t="shared" si="2"/>
        <v>1</v>
      </c>
      <c r="I12" s="37">
        <f t="shared" si="2"/>
        <v>1</v>
      </c>
      <c r="J12" s="37">
        <f t="shared" si="2"/>
        <v>1</v>
      </c>
      <c r="K12" s="37">
        <f t="shared" si="2"/>
        <v>1</v>
      </c>
      <c r="L12" s="37">
        <f t="shared" si="2"/>
        <v>1</v>
      </c>
      <c r="M12" s="37">
        <f t="shared" si="2"/>
        <v>1</v>
      </c>
      <c r="N12" s="37">
        <f t="shared" si="2"/>
        <v>1</v>
      </c>
      <c r="O12" s="37">
        <f t="shared" si="2"/>
        <v>1</v>
      </c>
      <c r="P12" s="37">
        <f t="shared" si="2"/>
        <v>1</v>
      </c>
      <c r="Q12" s="37">
        <f t="shared" si="2"/>
        <v>1</v>
      </c>
      <c r="R12" s="37">
        <f t="shared" si="2"/>
        <v>1</v>
      </c>
      <c r="S12" s="37">
        <f t="shared" si="2"/>
        <v>1</v>
      </c>
      <c r="T12" s="37">
        <f t="shared" si="2"/>
        <v>1</v>
      </c>
      <c r="U12" s="37">
        <f t="shared" si="2"/>
        <v>1</v>
      </c>
      <c r="V12" s="37">
        <f t="shared" si="2"/>
        <v>1</v>
      </c>
      <c r="W12" s="37">
        <f t="shared" si="2"/>
        <v>1</v>
      </c>
      <c r="X12" s="37">
        <f t="shared" si="2"/>
        <v>1</v>
      </c>
      <c r="Y12" s="37">
        <f t="shared" si="2"/>
        <v>1</v>
      </c>
      <c r="Z12" s="37">
        <f t="shared" si="2"/>
        <v>1</v>
      </c>
      <c r="AA12" s="37">
        <f t="shared" si="2"/>
        <v>1</v>
      </c>
      <c r="AB12" s="37">
        <f t="shared" si="2"/>
        <v>1</v>
      </c>
      <c r="AC12" s="37">
        <f t="shared" si="2"/>
        <v>1</v>
      </c>
      <c r="AD12" s="37">
        <f t="shared" si="2"/>
        <v>1</v>
      </c>
      <c r="AE12" s="37">
        <f t="shared" si="2"/>
        <v>1</v>
      </c>
    </row>
    <row r="13" spans="1:31" x14ac:dyDescent="0.25">
      <c r="A13" t="s">
        <v>53</v>
      </c>
      <c r="B13" s="4">
        <v>1</v>
      </c>
      <c r="C13" s="37">
        <f t="shared" si="1"/>
        <v>1</v>
      </c>
      <c r="D13" s="37">
        <f t="shared" si="2"/>
        <v>1</v>
      </c>
      <c r="E13" s="37">
        <f t="shared" si="2"/>
        <v>1</v>
      </c>
      <c r="F13" s="37">
        <f t="shared" si="2"/>
        <v>1</v>
      </c>
      <c r="G13" s="37">
        <f t="shared" si="2"/>
        <v>1</v>
      </c>
      <c r="H13" s="37">
        <f t="shared" si="2"/>
        <v>1</v>
      </c>
      <c r="I13" s="37">
        <f t="shared" si="2"/>
        <v>1</v>
      </c>
      <c r="J13" s="37">
        <f t="shared" si="2"/>
        <v>1</v>
      </c>
      <c r="K13" s="37">
        <f t="shared" si="2"/>
        <v>1</v>
      </c>
      <c r="L13" s="37">
        <f t="shared" si="2"/>
        <v>1</v>
      </c>
      <c r="M13" s="37">
        <f t="shared" si="2"/>
        <v>1</v>
      </c>
      <c r="N13" s="37">
        <f t="shared" si="2"/>
        <v>1</v>
      </c>
      <c r="O13" s="37">
        <f t="shared" si="2"/>
        <v>1</v>
      </c>
      <c r="P13" s="37">
        <f t="shared" si="2"/>
        <v>1</v>
      </c>
      <c r="Q13" s="37">
        <f t="shared" si="2"/>
        <v>1</v>
      </c>
      <c r="R13" s="37">
        <f t="shared" si="2"/>
        <v>1</v>
      </c>
      <c r="S13" s="37">
        <f t="shared" si="2"/>
        <v>1</v>
      </c>
      <c r="T13" s="37">
        <f t="shared" si="2"/>
        <v>1</v>
      </c>
      <c r="U13" s="37">
        <f t="shared" si="2"/>
        <v>1</v>
      </c>
      <c r="V13" s="37">
        <f t="shared" si="2"/>
        <v>1</v>
      </c>
      <c r="W13" s="37">
        <f t="shared" si="2"/>
        <v>1</v>
      </c>
      <c r="X13" s="37">
        <f t="shared" si="2"/>
        <v>1</v>
      </c>
      <c r="Y13" s="37">
        <f t="shared" si="2"/>
        <v>1</v>
      </c>
      <c r="Z13" s="37">
        <f t="shared" si="2"/>
        <v>1</v>
      </c>
      <c r="AA13" s="37">
        <f t="shared" si="2"/>
        <v>1</v>
      </c>
      <c r="AB13" s="37">
        <f t="shared" si="2"/>
        <v>1</v>
      </c>
      <c r="AC13" s="37">
        <f t="shared" si="2"/>
        <v>1</v>
      </c>
      <c r="AD13" s="37">
        <f t="shared" si="2"/>
        <v>1</v>
      </c>
      <c r="AE13" s="37">
        <f t="shared" si="2"/>
        <v>1</v>
      </c>
    </row>
    <row r="14" spans="1:31" x14ac:dyDescent="0.25">
      <c r="A14" t="s">
        <v>54</v>
      </c>
      <c r="B14" s="4">
        <v>0.8</v>
      </c>
      <c r="C14" s="37">
        <f t="shared" si="1"/>
        <v>0.8</v>
      </c>
      <c r="D14" s="37">
        <f t="shared" si="2"/>
        <v>0.8</v>
      </c>
      <c r="E14" s="37">
        <f t="shared" si="2"/>
        <v>0.8</v>
      </c>
      <c r="F14" s="37">
        <f t="shared" si="2"/>
        <v>0.8</v>
      </c>
      <c r="G14" s="37">
        <f t="shared" si="2"/>
        <v>0.8</v>
      </c>
      <c r="H14" s="37">
        <f t="shared" si="2"/>
        <v>0.8</v>
      </c>
      <c r="I14" s="37">
        <f t="shared" si="2"/>
        <v>0.8</v>
      </c>
      <c r="J14" s="37">
        <f t="shared" si="2"/>
        <v>0.8</v>
      </c>
      <c r="K14" s="37">
        <f t="shared" si="2"/>
        <v>0.8</v>
      </c>
      <c r="L14" s="37">
        <f t="shared" si="2"/>
        <v>0.8</v>
      </c>
      <c r="M14" s="37">
        <f t="shared" si="2"/>
        <v>0.8</v>
      </c>
      <c r="N14" s="37">
        <f t="shared" si="2"/>
        <v>0.8</v>
      </c>
      <c r="O14" s="37">
        <f t="shared" si="2"/>
        <v>0.8</v>
      </c>
      <c r="P14" s="37">
        <f t="shared" si="2"/>
        <v>0.8</v>
      </c>
      <c r="Q14" s="37">
        <f t="shared" si="2"/>
        <v>0.8</v>
      </c>
      <c r="R14" s="37">
        <f t="shared" si="2"/>
        <v>0.8</v>
      </c>
      <c r="S14" s="37">
        <f t="shared" si="2"/>
        <v>0.8</v>
      </c>
      <c r="T14" s="37">
        <f t="shared" si="2"/>
        <v>0.8</v>
      </c>
      <c r="U14" s="37">
        <f t="shared" si="2"/>
        <v>0.8</v>
      </c>
      <c r="V14" s="37">
        <f t="shared" si="2"/>
        <v>0.8</v>
      </c>
      <c r="W14" s="37">
        <f t="shared" si="2"/>
        <v>0.8</v>
      </c>
      <c r="X14" s="37">
        <f t="shared" si="2"/>
        <v>0.8</v>
      </c>
      <c r="Y14" s="37">
        <f t="shared" si="2"/>
        <v>0.8</v>
      </c>
      <c r="Z14" s="37">
        <f t="shared" si="2"/>
        <v>0.8</v>
      </c>
      <c r="AA14" s="37">
        <f t="shared" si="2"/>
        <v>0.8</v>
      </c>
      <c r="AB14" s="37">
        <f t="shared" si="2"/>
        <v>0.8</v>
      </c>
      <c r="AC14" s="37">
        <f t="shared" si="2"/>
        <v>0.8</v>
      </c>
      <c r="AD14" s="37">
        <f t="shared" si="2"/>
        <v>0.8</v>
      </c>
      <c r="AE14" s="37">
        <f t="shared" si="2"/>
        <v>0.8</v>
      </c>
    </row>
    <row r="15" spans="1:31" x14ac:dyDescent="0.25">
      <c r="A15" t="s">
        <v>55</v>
      </c>
      <c r="B15" s="4">
        <f>B7</f>
        <v>0.25720512122037592</v>
      </c>
      <c r="C15" s="37">
        <f t="shared" si="1"/>
        <v>0.25720512122037592</v>
      </c>
      <c r="D15" s="37">
        <f t="shared" si="2"/>
        <v>0.25720512122037592</v>
      </c>
      <c r="E15" s="37">
        <f t="shared" si="2"/>
        <v>0.25720512122037592</v>
      </c>
      <c r="F15" s="37">
        <f t="shared" si="2"/>
        <v>0.25720512122037592</v>
      </c>
      <c r="G15" s="37">
        <f t="shared" si="2"/>
        <v>0.25720512122037592</v>
      </c>
      <c r="H15" s="37">
        <f t="shared" si="2"/>
        <v>0.25720512122037592</v>
      </c>
      <c r="I15" s="37">
        <f t="shared" si="2"/>
        <v>0.25720512122037592</v>
      </c>
      <c r="J15" s="37">
        <f t="shared" si="2"/>
        <v>0.25720512122037592</v>
      </c>
      <c r="K15" s="37">
        <f t="shared" si="2"/>
        <v>0.25720512122037592</v>
      </c>
      <c r="L15" s="37">
        <f t="shared" si="2"/>
        <v>0.25720512122037592</v>
      </c>
      <c r="M15" s="37">
        <f t="shared" si="2"/>
        <v>0.25720512122037592</v>
      </c>
      <c r="N15" s="37">
        <f t="shared" si="2"/>
        <v>0.25720512122037592</v>
      </c>
      <c r="O15" s="37">
        <f t="shared" si="2"/>
        <v>0.25720512122037592</v>
      </c>
      <c r="P15" s="37">
        <f t="shared" si="2"/>
        <v>0.25720512122037592</v>
      </c>
      <c r="Q15" s="37">
        <f t="shared" si="2"/>
        <v>0.25720512122037592</v>
      </c>
      <c r="R15" s="37">
        <f t="shared" si="2"/>
        <v>0.25720512122037592</v>
      </c>
      <c r="S15" s="37">
        <f t="shared" si="2"/>
        <v>0.25720512122037592</v>
      </c>
      <c r="T15" s="37">
        <f t="shared" si="2"/>
        <v>0.25720512122037592</v>
      </c>
      <c r="U15" s="37">
        <f t="shared" si="2"/>
        <v>0.25720512122037592</v>
      </c>
      <c r="V15" s="37">
        <f t="shared" si="2"/>
        <v>0.25720512122037592</v>
      </c>
      <c r="W15" s="37">
        <f t="shared" si="2"/>
        <v>0.25720512122037592</v>
      </c>
      <c r="X15" s="37">
        <f t="shared" si="2"/>
        <v>0.25720512122037592</v>
      </c>
      <c r="Y15" s="37">
        <f t="shared" si="2"/>
        <v>0.25720512122037592</v>
      </c>
      <c r="Z15" s="37">
        <f t="shared" si="2"/>
        <v>0.25720512122037592</v>
      </c>
      <c r="AA15" s="37">
        <f t="shared" si="2"/>
        <v>0.25720512122037592</v>
      </c>
      <c r="AB15" s="37">
        <f t="shared" si="2"/>
        <v>0.25720512122037592</v>
      </c>
      <c r="AC15" s="37">
        <f t="shared" si="2"/>
        <v>0.25720512122037592</v>
      </c>
      <c r="AD15" s="37">
        <f t="shared" si="2"/>
        <v>0.25720512122037592</v>
      </c>
      <c r="AE15" s="37">
        <f t="shared" si="2"/>
        <v>0.25720512122037592</v>
      </c>
    </row>
    <row r="16" spans="1:31" x14ac:dyDescent="0.25">
      <c r="A16" t="s">
        <v>56</v>
      </c>
      <c r="B16" s="4">
        <f>B12</f>
        <v>1</v>
      </c>
      <c r="C16" s="37">
        <f t="shared" si="1"/>
        <v>1</v>
      </c>
      <c r="D16" s="37">
        <f t="shared" si="2"/>
        <v>1</v>
      </c>
      <c r="E16" s="37">
        <f t="shared" si="2"/>
        <v>1</v>
      </c>
      <c r="F16" s="37">
        <f t="shared" si="2"/>
        <v>1</v>
      </c>
      <c r="G16" s="37">
        <f t="shared" si="2"/>
        <v>1</v>
      </c>
      <c r="H16" s="37">
        <f t="shared" si="2"/>
        <v>1</v>
      </c>
      <c r="I16" s="37">
        <f t="shared" si="2"/>
        <v>1</v>
      </c>
      <c r="J16" s="37">
        <f t="shared" si="2"/>
        <v>1</v>
      </c>
      <c r="K16" s="37">
        <f t="shared" si="2"/>
        <v>1</v>
      </c>
      <c r="L16" s="37">
        <f t="shared" si="2"/>
        <v>1</v>
      </c>
      <c r="M16" s="37">
        <f t="shared" si="2"/>
        <v>1</v>
      </c>
      <c r="N16" s="37">
        <f t="shared" si="2"/>
        <v>1</v>
      </c>
      <c r="O16" s="37">
        <f t="shared" si="2"/>
        <v>1</v>
      </c>
      <c r="P16" s="37">
        <f t="shared" si="2"/>
        <v>1</v>
      </c>
      <c r="Q16" s="37">
        <f t="shared" si="2"/>
        <v>1</v>
      </c>
      <c r="R16" s="37">
        <f t="shared" si="2"/>
        <v>1</v>
      </c>
      <c r="S16" s="37">
        <f t="shared" si="2"/>
        <v>1</v>
      </c>
      <c r="T16" s="37">
        <f t="shared" si="2"/>
        <v>1</v>
      </c>
      <c r="U16" s="37">
        <f t="shared" si="2"/>
        <v>1</v>
      </c>
      <c r="V16" s="37">
        <f t="shared" si="2"/>
        <v>1</v>
      </c>
      <c r="W16" s="37">
        <f t="shared" si="2"/>
        <v>1</v>
      </c>
      <c r="X16" s="37">
        <f t="shared" si="2"/>
        <v>1</v>
      </c>
      <c r="Y16" s="37">
        <f t="shared" si="2"/>
        <v>1</v>
      </c>
      <c r="Z16" s="37">
        <f t="shared" si="2"/>
        <v>1</v>
      </c>
      <c r="AA16" s="37">
        <f t="shared" si="2"/>
        <v>1</v>
      </c>
      <c r="AB16" s="37">
        <f t="shared" si="2"/>
        <v>1</v>
      </c>
      <c r="AC16" s="37">
        <f t="shared" si="2"/>
        <v>1</v>
      </c>
      <c r="AD16" s="37">
        <f t="shared" si="2"/>
        <v>1</v>
      </c>
      <c r="AE16" s="37">
        <f t="shared" si="2"/>
        <v>1</v>
      </c>
    </row>
    <row r="17" spans="1:31" x14ac:dyDescent="0.25">
      <c r="A17" t="s">
        <v>57</v>
      </c>
      <c r="B17" s="4">
        <f>B12</f>
        <v>1</v>
      </c>
      <c r="C17" s="37">
        <f t="shared" si="1"/>
        <v>1</v>
      </c>
      <c r="D17" s="37">
        <f t="shared" si="2"/>
        <v>1</v>
      </c>
      <c r="E17" s="37">
        <f t="shared" si="2"/>
        <v>1</v>
      </c>
      <c r="F17" s="37">
        <f t="shared" si="2"/>
        <v>1</v>
      </c>
      <c r="G17" s="37">
        <f t="shared" si="2"/>
        <v>1</v>
      </c>
      <c r="H17" s="37">
        <f t="shared" si="2"/>
        <v>1</v>
      </c>
      <c r="I17" s="37">
        <f t="shared" si="2"/>
        <v>1</v>
      </c>
      <c r="J17" s="37">
        <f t="shared" si="2"/>
        <v>1</v>
      </c>
      <c r="K17" s="37">
        <f t="shared" si="2"/>
        <v>1</v>
      </c>
      <c r="L17" s="37">
        <f t="shared" si="2"/>
        <v>1</v>
      </c>
      <c r="M17" s="37">
        <f t="shared" si="2"/>
        <v>1</v>
      </c>
      <c r="N17" s="37">
        <f t="shared" si="2"/>
        <v>1</v>
      </c>
      <c r="O17" s="37">
        <f t="shared" si="2"/>
        <v>1</v>
      </c>
      <c r="P17" s="37">
        <f t="shared" si="2"/>
        <v>1</v>
      </c>
      <c r="Q17" s="37">
        <f t="shared" si="2"/>
        <v>1</v>
      </c>
      <c r="R17" s="37">
        <f t="shared" si="2"/>
        <v>1</v>
      </c>
      <c r="S17" s="37">
        <f t="shared" si="2"/>
        <v>1</v>
      </c>
      <c r="T17" s="37">
        <f t="shared" si="2"/>
        <v>1</v>
      </c>
      <c r="U17" s="37">
        <f t="shared" si="2"/>
        <v>1</v>
      </c>
      <c r="V17" s="37">
        <f t="shared" si="2"/>
        <v>1</v>
      </c>
      <c r="W17" s="37">
        <f t="shared" si="2"/>
        <v>1</v>
      </c>
      <c r="X17" s="37">
        <f t="shared" si="2"/>
        <v>1</v>
      </c>
      <c r="Y17" s="37">
        <f t="shared" si="2"/>
        <v>1</v>
      </c>
      <c r="Z17" s="37">
        <f t="shared" si="2"/>
        <v>1</v>
      </c>
      <c r="AA17" s="37">
        <f t="shared" si="2"/>
        <v>1</v>
      </c>
      <c r="AB17" s="37">
        <f t="shared" si="2"/>
        <v>1</v>
      </c>
      <c r="AC17" s="37">
        <f t="shared" si="2"/>
        <v>1</v>
      </c>
      <c r="AD17" s="37">
        <f t="shared" si="2"/>
        <v>1</v>
      </c>
      <c r="AE17" s="37">
        <f t="shared" si="2"/>
        <v>1</v>
      </c>
    </row>
    <row r="18" spans="1:31" x14ac:dyDescent="0.25">
      <c r="A18" t="s">
        <v>58</v>
      </c>
      <c r="B18" s="4">
        <f>B10</f>
        <v>0.3</v>
      </c>
      <c r="C18" s="37">
        <f t="shared" si="1"/>
        <v>0.3</v>
      </c>
      <c r="D18" s="37">
        <f t="shared" si="2"/>
        <v>0.3</v>
      </c>
      <c r="E18" s="37">
        <f t="shared" si="2"/>
        <v>0.3</v>
      </c>
      <c r="F18" s="37">
        <f t="shared" si="2"/>
        <v>0.3</v>
      </c>
      <c r="G18" s="37">
        <f t="shared" si="2"/>
        <v>0.3</v>
      </c>
      <c r="H18" s="37">
        <f t="shared" si="2"/>
        <v>0.3</v>
      </c>
      <c r="I18" s="37">
        <f t="shared" si="2"/>
        <v>0.3</v>
      </c>
      <c r="J18" s="37">
        <f t="shared" si="2"/>
        <v>0.3</v>
      </c>
      <c r="K18" s="37">
        <f t="shared" si="2"/>
        <v>0.3</v>
      </c>
      <c r="L18" s="37">
        <f t="shared" si="2"/>
        <v>0.3</v>
      </c>
      <c r="M18" s="37">
        <f t="shared" si="2"/>
        <v>0.3</v>
      </c>
      <c r="N18" s="37">
        <f t="shared" si="2"/>
        <v>0.3</v>
      </c>
      <c r="O18" s="37">
        <f t="shared" si="2"/>
        <v>0.3</v>
      </c>
      <c r="P18" s="37">
        <f t="shared" si="2"/>
        <v>0.3</v>
      </c>
      <c r="Q18" s="37">
        <f t="shared" si="2"/>
        <v>0.3</v>
      </c>
      <c r="R18" s="37">
        <f t="shared" si="2"/>
        <v>0.3</v>
      </c>
      <c r="S18" s="37">
        <f t="shared" si="2"/>
        <v>0.3</v>
      </c>
      <c r="T18" s="37">
        <f t="shared" si="2"/>
        <v>0.3</v>
      </c>
      <c r="U18" s="37">
        <f t="shared" si="2"/>
        <v>0.3</v>
      </c>
      <c r="V18" s="37">
        <f t="shared" si="2"/>
        <v>0.3</v>
      </c>
      <c r="W18" s="37">
        <f t="shared" si="2"/>
        <v>0.3</v>
      </c>
      <c r="X18" s="37">
        <f t="shared" si="2"/>
        <v>0.3</v>
      </c>
      <c r="Y18" s="37">
        <f t="shared" si="2"/>
        <v>0.3</v>
      </c>
      <c r="Z18" s="37">
        <f t="shared" si="2"/>
        <v>0.3</v>
      </c>
      <c r="AA18" s="37">
        <f t="shared" si="2"/>
        <v>0.3</v>
      </c>
      <c r="AB18" s="37">
        <f t="shared" si="2"/>
        <v>0.3</v>
      </c>
      <c r="AC18" s="37">
        <f t="shared" si="2"/>
        <v>0.3</v>
      </c>
      <c r="AD18" s="37">
        <f t="shared" si="2"/>
        <v>0.3</v>
      </c>
      <c r="AE18" s="37">
        <f t="shared" si="2"/>
        <v>0.3</v>
      </c>
    </row>
    <row r="19" spans="1:31" x14ac:dyDescent="0.25">
      <c r="A19" t="s">
        <v>59</v>
      </c>
      <c r="B19" s="4">
        <v>0.88</v>
      </c>
      <c r="C19" s="37">
        <f t="shared" si="1"/>
        <v>0.88</v>
      </c>
      <c r="D19" s="37">
        <f t="shared" si="2"/>
        <v>0.88</v>
      </c>
      <c r="E19" s="37">
        <f t="shared" si="2"/>
        <v>0.88</v>
      </c>
      <c r="F19" s="37">
        <f t="shared" si="2"/>
        <v>0.88</v>
      </c>
      <c r="G19" s="37">
        <f t="shared" si="2"/>
        <v>0.88</v>
      </c>
      <c r="H19" s="37">
        <f t="shared" si="2"/>
        <v>0.88</v>
      </c>
      <c r="I19" s="37">
        <f t="shared" si="2"/>
        <v>0.88</v>
      </c>
      <c r="J19" s="37">
        <f t="shared" si="2"/>
        <v>0.88</v>
      </c>
      <c r="K19" s="37">
        <f t="shared" si="2"/>
        <v>0.88</v>
      </c>
      <c r="L19" s="37">
        <f t="shared" si="2"/>
        <v>0.88</v>
      </c>
      <c r="M19" s="37">
        <f t="shared" si="2"/>
        <v>0.88</v>
      </c>
      <c r="N19" s="37">
        <f t="shared" si="2"/>
        <v>0.88</v>
      </c>
      <c r="O19" s="37">
        <f t="shared" si="2"/>
        <v>0.88</v>
      </c>
      <c r="P19" s="37">
        <f t="shared" si="2"/>
        <v>0.88</v>
      </c>
      <c r="Q19" s="37">
        <f t="shared" si="2"/>
        <v>0.88</v>
      </c>
      <c r="R19" s="37">
        <f t="shared" si="2"/>
        <v>0.88</v>
      </c>
      <c r="S19" s="37">
        <f t="shared" si="2"/>
        <v>0.88</v>
      </c>
      <c r="T19" s="37">
        <f t="shared" si="2"/>
        <v>0.88</v>
      </c>
      <c r="U19" s="37">
        <f t="shared" si="2"/>
        <v>0.88</v>
      </c>
      <c r="V19" s="37">
        <f t="shared" si="2"/>
        <v>0.88</v>
      </c>
      <c r="W19" s="37">
        <f t="shared" si="2"/>
        <v>0.88</v>
      </c>
      <c r="X19" s="37">
        <f t="shared" si="2"/>
        <v>0.88</v>
      </c>
      <c r="Y19" s="37">
        <f t="shared" si="2"/>
        <v>0.88</v>
      </c>
      <c r="Z19" s="37">
        <f t="shared" si="2"/>
        <v>0.88</v>
      </c>
      <c r="AA19" s="37">
        <f t="shared" si="2"/>
        <v>0.88</v>
      </c>
      <c r="AB19" s="37">
        <f t="shared" si="2"/>
        <v>0.88</v>
      </c>
      <c r="AC19" s="37">
        <f t="shared" si="2"/>
        <v>0.88</v>
      </c>
      <c r="AD19" s="37">
        <f t="shared" si="2"/>
        <v>0.88</v>
      </c>
      <c r="AE19" s="37">
        <f t="shared" si="2"/>
        <v>0.88</v>
      </c>
    </row>
    <row r="20" spans="1:31" x14ac:dyDescent="0.25">
      <c r="A20" t="s">
        <v>60</v>
      </c>
      <c r="B20" s="4">
        <v>0.9</v>
      </c>
      <c r="C20" s="37">
        <f t="shared" si="1"/>
        <v>0.9</v>
      </c>
      <c r="D20" s="37">
        <f t="shared" si="2"/>
        <v>0.9</v>
      </c>
      <c r="E20" s="37">
        <f t="shared" si="2"/>
        <v>0.9</v>
      </c>
      <c r="F20" s="37">
        <f t="shared" si="2"/>
        <v>0.9</v>
      </c>
      <c r="G20" s="37">
        <f t="shared" si="2"/>
        <v>0.9</v>
      </c>
      <c r="H20" s="37">
        <f t="shared" si="2"/>
        <v>0.9</v>
      </c>
      <c r="I20" s="37">
        <f t="shared" si="2"/>
        <v>0.9</v>
      </c>
      <c r="J20" s="37">
        <f t="shared" si="2"/>
        <v>0.9</v>
      </c>
      <c r="K20" s="37">
        <f t="shared" si="2"/>
        <v>0.9</v>
      </c>
      <c r="L20" s="37">
        <f t="shared" si="2"/>
        <v>0.9</v>
      </c>
      <c r="M20" s="37">
        <f t="shared" si="2"/>
        <v>0.9</v>
      </c>
      <c r="N20" s="37">
        <f t="shared" si="2"/>
        <v>0.9</v>
      </c>
      <c r="O20" s="37">
        <f t="shared" si="2"/>
        <v>0.9</v>
      </c>
      <c r="P20" s="37">
        <f t="shared" si="2"/>
        <v>0.9</v>
      </c>
      <c r="Q20" s="37">
        <f t="shared" si="2"/>
        <v>0.9</v>
      </c>
      <c r="R20" s="37">
        <f t="shared" si="2"/>
        <v>0.9</v>
      </c>
      <c r="S20" s="37">
        <f t="shared" si="2"/>
        <v>0.9</v>
      </c>
      <c r="T20" s="37">
        <f t="shared" si="2"/>
        <v>0.9</v>
      </c>
      <c r="U20" s="37">
        <f t="shared" si="2"/>
        <v>0.9</v>
      </c>
      <c r="V20" s="37">
        <f t="shared" si="2"/>
        <v>0.9</v>
      </c>
      <c r="W20" s="37">
        <f t="shared" si="2"/>
        <v>0.9</v>
      </c>
      <c r="X20" s="37">
        <f t="shared" si="2"/>
        <v>0.9</v>
      </c>
      <c r="Y20" s="37">
        <f t="shared" ref="D20:AE25" si="3">$B20</f>
        <v>0.9</v>
      </c>
      <c r="Z20" s="37">
        <f t="shared" si="3"/>
        <v>0.9</v>
      </c>
      <c r="AA20" s="37">
        <f t="shared" si="3"/>
        <v>0.9</v>
      </c>
      <c r="AB20" s="37">
        <f t="shared" si="3"/>
        <v>0.9</v>
      </c>
      <c r="AC20" s="37">
        <f t="shared" si="3"/>
        <v>0.9</v>
      </c>
      <c r="AD20" s="37">
        <f t="shared" si="3"/>
        <v>0.9</v>
      </c>
      <c r="AE20" s="37">
        <f t="shared" si="3"/>
        <v>0.9</v>
      </c>
    </row>
    <row r="21" spans="1:31" x14ac:dyDescent="0.25">
      <c r="A21" t="s">
        <v>61</v>
      </c>
      <c r="B21" s="4">
        <v>0.3</v>
      </c>
      <c r="C21" s="37">
        <f t="shared" si="1"/>
        <v>0.3</v>
      </c>
      <c r="D21" s="37">
        <f t="shared" si="3"/>
        <v>0.3</v>
      </c>
      <c r="E21" s="37">
        <f t="shared" si="3"/>
        <v>0.3</v>
      </c>
      <c r="F21" s="37">
        <f t="shared" si="3"/>
        <v>0.3</v>
      </c>
      <c r="G21" s="37">
        <f t="shared" si="3"/>
        <v>0.3</v>
      </c>
      <c r="H21" s="37">
        <f t="shared" si="3"/>
        <v>0.3</v>
      </c>
      <c r="I21" s="37">
        <f t="shared" si="3"/>
        <v>0.3</v>
      </c>
      <c r="J21" s="37">
        <f t="shared" si="3"/>
        <v>0.3</v>
      </c>
      <c r="K21" s="37">
        <f t="shared" si="3"/>
        <v>0.3</v>
      </c>
      <c r="L21" s="37">
        <f t="shared" si="3"/>
        <v>0.3</v>
      </c>
      <c r="M21" s="37">
        <f t="shared" si="3"/>
        <v>0.3</v>
      </c>
      <c r="N21" s="37">
        <f t="shared" si="3"/>
        <v>0.3</v>
      </c>
      <c r="O21" s="37">
        <f t="shared" si="3"/>
        <v>0.3</v>
      </c>
      <c r="P21" s="37">
        <f t="shared" si="3"/>
        <v>0.3</v>
      </c>
      <c r="Q21" s="37">
        <f t="shared" si="3"/>
        <v>0.3</v>
      </c>
      <c r="R21" s="37">
        <f t="shared" si="3"/>
        <v>0.3</v>
      </c>
      <c r="S21" s="37">
        <f t="shared" si="3"/>
        <v>0.3</v>
      </c>
      <c r="T21" s="37">
        <f t="shared" si="3"/>
        <v>0.3</v>
      </c>
      <c r="U21" s="37">
        <f t="shared" si="3"/>
        <v>0.3</v>
      </c>
      <c r="V21" s="37">
        <f t="shared" si="3"/>
        <v>0.3</v>
      </c>
      <c r="W21" s="37">
        <f t="shared" si="3"/>
        <v>0.3</v>
      </c>
      <c r="X21" s="37">
        <f t="shared" si="3"/>
        <v>0.3</v>
      </c>
      <c r="Y21" s="37">
        <f t="shared" si="3"/>
        <v>0.3</v>
      </c>
      <c r="Z21" s="37">
        <f t="shared" si="3"/>
        <v>0.3</v>
      </c>
      <c r="AA21" s="37">
        <f t="shared" si="3"/>
        <v>0.3</v>
      </c>
      <c r="AB21" s="37">
        <f t="shared" si="3"/>
        <v>0.3</v>
      </c>
      <c r="AC21" s="37">
        <f t="shared" si="3"/>
        <v>0.3</v>
      </c>
      <c r="AD21" s="37">
        <f t="shared" si="3"/>
        <v>0.3</v>
      </c>
      <c r="AE21" s="37">
        <f t="shared" si="3"/>
        <v>0.3</v>
      </c>
    </row>
    <row r="22" spans="1:31" x14ac:dyDescent="0.25">
      <c r="A22" t="s">
        <v>62</v>
      </c>
      <c r="B22" s="4">
        <v>0.8</v>
      </c>
      <c r="C22" s="37">
        <f t="shared" si="1"/>
        <v>0.8</v>
      </c>
      <c r="D22" s="37">
        <f t="shared" si="3"/>
        <v>0.8</v>
      </c>
      <c r="E22" s="37">
        <f t="shared" si="3"/>
        <v>0.8</v>
      </c>
      <c r="F22" s="37">
        <f t="shared" si="3"/>
        <v>0.8</v>
      </c>
      <c r="G22" s="37">
        <f t="shared" si="3"/>
        <v>0.8</v>
      </c>
      <c r="H22" s="37">
        <f t="shared" si="3"/>
        <v>0.8</v>
      </c>
      <c r="I22" s="37">
        <f t="shared" si="3"/>
        <v>0.8</v>
      </c>
      <c r="J22" s="37">
        <f t="shared" si="3"/>
        <v>0.8</v>
      </c>
      <c r="K22" s="37">
        <f t="shared" si="3"/>
        <v>0.8</v>
      </c>
      <c r="L22" s="37">
        <f t="shared" si="3"/>
        <v>0.8</v>
      </c>
      <c r="M22" s="37">
        <f t="shared" si="3"/>
        <v>0.8</v>
      </c>
      <c r="N22" s="37">
        <f t="shared" si="3"/>
        <v>0.8</v>
      </c>
      <c r="O22" s="37">
        <f t="shared" si="3"/>
        <v>0.8</v>
      </c>
      <c r="P22" s="37">
        <f t="shared" si="3"/>
        <v>0.8</v>
      </c>
      <c r="Q22" s="37">
        <f t="shared" si="3"/>
        <v>0.8</v>
      </c>
      <c r="R22" s="37">
        <f t="shared" si="3"/>
        <v>0.8</v>
      </c>
      <c r="S22" s="37">
        <f t="shared" si="3"/>
        <v>0.8</v>
      </c>
      <c r="T22" s="37">
        <f t="shared" si="3"/>
        <v>0.8</v>
      </c>
      <c r="U22" s="37">
        <f t="shared" si="3"/>
        <v>0.8</v>
      </c>
      <c r="V22" s="37">
        <f t="shared" si="3"/>
        <v>0.8</v>
      </c>
      <c r="W22" s="37">
        <f t="shared" si="3"/>
        <v>0.8</v>
      </c>
      <c r="X22" s="37">
        <f t="shared" si="3"/>
        <v>0.8</v>
      </c>
      <c r="Y22" s="37">
        <f t="shared" si="3"/>
        <v>0.8</v>
      </c>
      <c r="Z22" s="37">
        <f t="shared" si="3"/>
        <v>0.8</v>
      </c>
      <c r="AA22" s="37">
        <f t="shared" si="3"/>
        <v>0.8</v>
      </c>
      <c r="AB22" s="37">
        <f t="shared" si="3"/>
        <v>0.8</v>
      </c>
      <c r="AC22" s="37">
        <f t="shared" si="3"/>
        <v>0.8</v>
      </c>
      <c r="AD22" s="37">
        <f t="shared" si="3"/>
        <v>0.8</v>
      </c>
      <c r="AE22" s="37">
        <f t="shared" si="3"/>
        <v>0.8</v>
      </c>
    </row>
    <row r="23" spans="1:31" x14ac:dyDescent="0.25">
      <c r="A23" t="s">
        <v>63</v>
      </c>
      <c r="B23" s="4">
        <v>0.68</v>
      </c>
      <c r="C23" s="37">
        <f t="shared" si="1"/>
        <v>0.68</v>
      </c>
      <c r="D23" s="37">
        <f t="shared" si="3"/>
        <v>0.68</v>
      </c>
      <c r="E23" s="37">
        <f t="shared" si="3"/>
        <v>0.68</v>
      </c>
      <c r="F23" s="37">
        <f t="shared" si="3"/>
        <v>0.68</v>
      </c>
      <c r="G23" s="37">
        <f t="shared" si="3"/>
        <v>0.68</v>
      </c>
      <c r="H23" s="37">
        <f t="shared" si="3"/>
        <v>0.68</v>
      </c>
      <c r="I23" s="37">
        <f t="shared" si="3"/>
        <v>0.68</v>
      </c>
      <c r="J23" s="37">
        <f t="shared" si="3"/>
        <v>0.68</v>
      </c>
      <c r="K23" s="37">
        <f t="shared" si="3"/>
        <v>0.68</v>
      </c>
      <c r="L23" s="37">
        <f t="shared" si="3"/>
        <v>0.68</v>
      </c>
      <c r="M23" s="37">
        <f t="shared" si="3"/>
        <v>0.68</v>
      </c>
      <c r="N23" s="37">
        <f t="shared" si="3"/>
        <v>0.68</v>
      </c>
      <c r="O23" s="37">
        <f t="shared" si="3"/>
        <v>0.68</v>
      </c>
      <c r="P23" s="37">
        <f t="shared" si="3"/>
        <v>0.68</v>
      </c>
      <c r="Q23" s="37">
        <f t="shared" si="3"/>
        <v>0.68</v>
      </c>
      <c r="R23" s="37">
        <f t="shared" si="3"/>
        <v>0.68</v>
      </c>
      <c r="S23" s="37">
        <f t="shared" si="3"/>
        <v>0.68</v>
      </c>
      <c r="T23" s="37">
        <f t="shared" si="3"/>
        <v>0.68</v>
      </c>
      <c r="U23" s="37">
        <f t="shared" si="3"/>
        <v>0.68</v>
      </c>
      <c r="V23" s="37">
        <f t="shared" si="3"/>
        <v>0.68</v>
      </c>
      <c r="W23" s="37">
        <f t="shared" si="3"/>
        <v>0.68</v>
      </c>
      <c r="X23" s="37">
        <f t="shared" si="3"/>
        <v>0.68</v>
      </c>
      <c r="Y23" s="37">
        <f t="shared" si="3"/>
        <v>0.68</v>
      </c>
      <c r="Z23" s="37">
        <f t="shared" si="3"/>
        <v>0.68</v>
      </c>
      <c r="AA23" s="37">
        <f t="shared" si="3"/>
        <v>0.68</v>
      </c>
      <c r="AB23" s="37">
        <f t="shared" si="3"/>
        <v>0.68</v>
      </c>
      <c r="AC23" s="37">
        <f t="shared" si="3"/>
        <v>0.68</v>
      </c>
      <c r="AD23" s="37">
        <f t="shared" si="3"/>
        <v>0.68</v>
      </c>
      <c r="AE23" s="37">
        <f t="shared" si="3"/>
        <v>0.68</v>
      </c>
    </row>
    <row r="24" spans="1:31" x14ac:dyDescent="0.25">
      <c r="A24" t="s">
        <v>64</v>
      </c>
      <c r="B24" s="4">
        <v>0.9</v>
      </c>
      <c r="C24" s="37">
        <f t="shared" si="1"/>
        <v>0.9</v>
      </c>
      <c r="D24" s="37">
        <f t="shared" si="3"/>
        <v>0.9</v>
      </c>
      <c r="E24" s="37">
        <f t="shared" si="3"/>
        <v>0.9</v>
      </c>
      <c r="F24" s="37">
        <f t="shared" si="3"/>
        <v>0.9</v>
      </c>
      <c r="G24" s="37">
        <f t="shared" si="3"/>
        <v>0.9</v>
      </c>
      <c r="H24" s="37">
        <f t="shared" si="3"/>
        <v>0.9</v>
      </c>
      <c r="I24" s="37">
        <f t="shared" si="3"/>
        <v>0.9</v>
      </c>
      <c r="J24" s="37">
        <f t="shared" si="3"/>
        <v>0.9</v>
      </c>
      <c r="K24" s="37">
        <f t="shared" si="3"/>
        <v>0.9</v>
      </c>
      <c r="L24" s="37">
        <f t="shared" si="3"/>
        <v>0.9</v>
      </c>
      <c r="M24" s="37">
        <f t="shared" si="3"/>
        <v>0.9</v>
      </c>
      <c r="N24" s="37">
        <f t="shared" si="3"/>
        <v>0.9</v>
      </c>
      <c r="O24" s="37">
        <f t="shared" si="3"/>
        <v>0.9</v>
      </c>
      <c r="P24" s="37">
        <f t="shared" si="3"/>
        <v>0.9</v>
      </c>
      <c r="Q24" s="37">
        <f t="shared" si="3"/>
        <v>0.9</v>
      </c>
      <c r="R24" s="37">
        <f t="shared" si="3"/>
        <v>0.9</v>
      </c>
      <c r="S24" s="37">
        <f t="shared" si="3"/>
        <v>0.9</v>
      </c>
      <c r="T24" s="37">
        <f t="shared" si="3"/>
        <v>0.9</v>
      </c>
      <c r="U24" s="37">
        <f t="shared" si="3"/>
        <v>0.9</v>
      </c>
      <c r="V24" s="37">
        <f t="shared" si="3"/>
        <v>0.9</v>
      </c>
      <c r="W24" s="37">
        <f t="shared" si="3"/>
        <v>0.9</v>
      </c>
      <c r="X24" s="37">
        <f t="shared" si="3"/>
        <v>0.9</v>
      </c>
      <c r="Y24" s="37">
        <f t="shared" si="3"/>
        <v>0.9</v>
      </c>
      <c r="Z24" s="37">
        <f t="shared" si="3"/>
        <v>0.9</v>
      </c>
      <c r="AA24" s="37">
        <f t="shared" si="3"/>
        <v>0.9</v>
      </c>
      <c r="AB24" s="37">
        <f t="shared" si="3"/>
        <v>0.9</v>
      </c>
      <c r="AC24" s="37">
        <f t="shared" si="3"/>
        <v>0.9</v>
      </c>
      <c r="AD24" s="37">
        <f t="shared" si="3"/>
        <v>0.9</v>
      </c>
      <c r="AE24" s="37">
        <f t="shared" si="3"/>
        <v>0.9</v>
      </c>
    </row>
    <row r="25" spans="1:31" x14ac:dyDescent="0.25">
      <c r="A25" t="s">
        <v>65</v>
      </c>
      <c r="B25" s="4">
        <v>0.9</v>
      </c>
      <c r="C25" s="37">
        <f t="shared" si="1"/>
        <v>0.9</v>
      </c>
      <c r="D25" s="37">
        <f t="shared" si="3"/>
        <v>0.9</v>
      </c>
      <c r="E25" s="37">
        <f t="shared" si="3"/>
        <v>0.9</v>
      </c>
      <c r="F25" s="37">
        <f t="shared" si="3"/>
        <v>0.9</v>
      </c>
      <c r="G25" s="37">
        <f t="shared" si="3"/>
        <v>0.9</v>
      </c>
      <c r="H25" s="37">
        <f t="shared" si="3"/>
        <v>0.9</v>
      </c>
      <c r="I25" s="37">
        <f t="shared" si="3"/>
        <v>0.9</v>
      </c>
      <c r="J25" s="37">
        <f t="shared" si="3"/>
        <v>0.9</v>
      </c>
      <c r="K25" s="37">
        <f t="shared" si="3"/>
        <v>0.9</v>
      </c>
      <c r="L25" s="37">
        <f t="shared" si="3"/>
        <v>0.9</v>
      </c>
      <c r="M25" s="37">
        <f t="shared" si="3"/>
        <v>0.9</v>
      </c>
      <c r="N25" s="37">
        <f t="shared" si="3"/>
        <v>0.9</v>
      </c>
      <c r="O25" s="37">
        <f t="shared" si="3"/>
        <v>0.9</v>
      </c>
      <c r="P25" s="37">
        <f t="shared" si="3"/>
        <v>0.9</v>
      </c>
      <c r="Q25" s="37">
        <f t="shared" si="3"/>
        <v>0.9</v>
      </c>
      <c r="R25" s="37">
        <f t="shared" si="3"/>
        <v>0.9</v>
      </c>
      <c r="S25" s="37">
        <f t="shared" si="3"/>
        <v>0.9</v>
      </c>
      <c r="T25" s="37">
        <f t="shared" si="3"/>
        <v>0.9</v>
      </c>
      <c r="U25" s="37">
        <f t="shared" si="3"/>
        <v>0.9</v>
      </c>
      <c r="V25" s="37">
        <f t="shared" si="3"/>
        <v>0.9</v>
      </c>
      <c r="W25" s="37">
        <f t="shared" si="3"/>
        <v>0.9</v>
      </c>
      <c r="X25" s="37">
        <f t="shared" si="3"/>
        <v>0.9</v>
      </c>
      <c r="Y25" s="37">
        <f t="shared" si="3"/>
        <v>0.9</v>
      </c>
      <c r="Z25" s="37">
        <f t="shared" si="3"/>
        <v>0.9</v>
      </c>
      <c r="AA25" s="37">
        <f t="shared" si="3"/>
        <v>0.9</v>
      </c>
      <c r="AB25" s="37">
        <f t="shared" si="3"/>
        <v>0.9</v>
      </c>
      <c r="AC25" s="37">
        <f t="shared" si="3"/>
        <v>0.9</v>
      </c>
      <c r="AD25" s="37">
        <f t="shared" si="3"/>
        <v>0.9</v>
      </c>
      <c r="AE25" s="37">
        <f t="shared" si="3"/>
        <v>0.9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EACCBF3-FD12-43DE-8675-EB856B7BEFF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EEA614A-A646-4E3A-A502-562762BA10A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2D370E1C-4F80-40A6-A71C-26EFA14CFE4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3083de3-5d4e-49f2-a3cd-0aeb079e67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Wind</vt:lpstr>
      <vt:lpstr>MCF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</dc:creator>
  <cp:keywords/>
  <dc:description/>
  <cp:lastModifiedBy>Megan Mahajan</cp:lastModifiedBy>
  <cp:revision/>
  <dcterms:created xsi:type="dcterms:W3CDTF">2016-03-03T23:11:17Z</dcterms:created>
  <dcterms:modified xsi:type="dcterms:W3CDTF">2024-12-23T18:44:37Z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