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.richa\Downloads\SYCEU\SYCEU\"/>
    </mc:Choice>
  </mc:AlternateContent>
  <xr:revisionPtr revIDLastSave="1" documentId="13_ncr:1_{CEC9C6A6-F526-409C-959D-6638E1E26C46}" xr6:coauthVersionLast="47" xr6:coauthVersionMax="47" xr10:uidLastSave="{0F07BB25-C6A4-4CF1-8AA0-926DBB913E5C}"/>
  <bookViews>
    <workbookView xWindow="-110" yWindow="-110" windowWidth="19420" windowHeight="10300" tabRatio="776" firstSheet="3" xr2:uid="{00000000-000D-0000-FFFF-FFFF00000000}"/>
  </bookViews>
  <sheets>
    <sheet name="About" sheetId="1" r:id="rId1"/>
    <sheet name="Calculations - from BCEU" sheetId="32" r:id="rId2"/>
    <sheet name="SYCEU-urban-residential" sheetId="18" r:id="rId3"/>
    <sheet name="SYCEU-rural-residential" sheetId="30" r:id="rId4"/>
    <sheet name="SYCEU-commercial" sheetId="3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8" l="1"/>
  <c r="C2" i="31"/>
  <c r="D2" i="31"/>
  <c r="E2" i="31"/>
  <c r="F2" i="31"/>
  <c r="G2" i="31"/>
  <c r="C3" i="3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B3" i="31"/>
  <c r="B4" i="31"/>
  <c r="B5" i="31"/>
  <c r="B6" i="31"/>
  <c r="B7" i="31"/>
  <c r="B8" i="31"/>
  <c r="B9" i="31"/>
  <c r="B10" i="31"/>
  <c r="B11" i="31"/>
  <c r="B2" i="31"/>
  <c r="C2" i="30"/>
  <c r="D2" i="30"/>
  <c r="E2" i="30"/>
  <c r="F2" i="30"/>
  <c r="G2" i="30"/>
  <c r="C3" i="30"/>
  <c r="D3" i="30"/>
  <c r="E3" i="30"/>
  <c r="F3" i="30"/>
  <c r="G3" i="30"/>
  <c r="C4" i="30"/>
  <c r="D4" i="30"/>
  <c r="E4" i="30"/>
  <c r="F4" i="30"/>
  <c r="G4" i="30"/>
  <c r="C5" i="30"/>
  <c r="D5" i="30"/>
  <c r="E5" i="30"/>
  <c r="F5" i="30"/>
  <c r="G5" i="30"/>
  <c r="C6" i="30"/>
  <c r="D6" i="30"/>
  <c r="E6" i="30"/>
  <c r="F6" i="30"/>
  <c r="G6" i="30"/>
  <c r="C7" i="30"/>
  <c r="D7" i="30"/>
  <c r="E7" i="30"/>
  <c r="F7" i="30"/>
  <c r="G7" i="30"/>
  <c r="C8" i="30"/>
  <c r="D8" i="30"/>
  <c r="E8" i="30"/>
  <c r="F8" i="30"/>
  <c r="G8" i="30"/>
  <c r="C9" i="30"/>
  <c r="D9" i="30"/>
  <c r="E9" i="30"/>
  <c r="F9" i="30"/>
  <c r="G9" i="30"/>
  <c r="C10" i="30"/>
  <c r="D10" i="30"/>
  <c r="E10" i="30"/>
  <c r="F10" i="30"/>
  <c r="G10" i="30"/>
  <c r="C11" i="30"/>
  <c r="D11" i="30"/>
  <c r="E11" i="30"/>
  <c r="F11" i="30"/>
  <c r="G11" i="30"/>
  <c r="B3" i="30"/>
  <c r="B4" i="30"/>
  <c r="B5" i="30"/>
  <c r="B6" i="30"/>
  <c r="B7" i="30"/>
  <c r="B8" i="30"/>
  <c r="B9" i="30"/>
  <c r="B10" i="30"/>
  <c r="B11" i="30"/>
  <c r="B2" i="30"/>
  <c r="B2" i="18"/>
  <c r="C2" i="18"/>
  <c r="C3" i="18"/>
  <c r="C4" i="18"/>
  <c r="C5" i="18"/>
  <c r="C6" i="18"/>
  <c r="C7" i="18"/>
  <c r="C8" i="18"/>
  <c r="C9" i="18"/>
  <c r="C10" i="18"/>
  <c r="C11" i="18"/>
  <c r="D2" i="18"/>
  <c r="F2" i="18"/>
  <c r="G2" i="18"/>
  <c r="B3" i="18"/>
  <c r="D3" i="18"/>
  <c r="E3" i="18"/>
  <c r="F3" i="18"/>
  <c r="G3" i="18"/>
  <c r="B4" i="18"/>
  <c r="D4" i="18"/>
  <c r="E4" i="18"/>
  <c r="F4" i="18"/>
  <c r="G4" i="18"/>
  <c r="B5" i="18"/>
  <c r="D5" i="18"/>
  <c r="E5" i="18"/>
  <c r="F5" i="18"/>
  <c r="G5" i="18"/>
  <c r="B6" i="18"/>
  <c r="D6" i="18"/>
  <c r="E6" i="18"/>
  <c r="F6" i="18"/>
  <c r="G6" i="18"/>
  <c r="B7" i="18"/>
  <c r="D7" i="18"/>
  <c r="E7" i="18"/>
  <c r="F7" i="18"/>
  <c r="G7" i="18"/>
  <c r="B8" i="18"/>
  <c r="D8" i="18"/>
  <c r="E8" i="18"/>
  <c r="F8" i="18"/>
  <c r="G8" i="18"/>
  <c r="B9" i="18"/>
  <c r="D9" i="18"/>
  <c r="E9" i="18"/>
  <c r="F9" i="18"/>
  <c r="G9" i="18"/>
  <c r="B10" i="18"/>
  <c r="D10" i="18"/>
  <c r="E10" i="18"/>
  <c r="F10" i="18"/>
  <c r="G10" i="18"/>
  <c r="B11" i="18"/>
  <c r="D11" i="18"/>
  <c r="E11" i="18"/>
  <c r="F11" i="18"/>
  <c r="G11" i="18"/>
</calcChain>
</file>

<file path=xl/sharedStrings.xml><?xml version="1.0" encoding="utf-8"?>
<sst xmlns="http://schemas.openxmlformats.org/spreadsheetml/2006/main" count="539" uniqueCount="62">
  <si>
    <t>BCEU BAU Components Energy Use</t>
  </si>
  <si>
    <t>Sources:</t>
  </si>
  <si>
    <t>Future Year Scaling and non-electricity values</t>
  </si>
  <si>
    <t>NITI Aayog</t>
  </si>
  <si>
    <t>India Energy Security Scenarios</t>
  </si>
  <si>
    <t>http://indiaenergy.gov.in/iess/docs/IESS_Version2.2.xlsx</t>
  </si>
  <si>
    <t>Tables  X.a and X.b</t>
  </si>
  <si>
    <t>Electricity Use in Residential and Commercial Buildings</t>
  </si>
  <si>
    <t>Government of India, Ministry of Statistics and Programme Implementation</t>
  </si>
  <si>
    <t>Energy Statistics 2022</t>
  </si>
  <si>
    <t>Energy Statistics India 2022.pdf (mospi.gov.in)</t>
  </si>
  <si>
    <t>Table 6.8</t>
  </si>
  <si>
    <t>LPG and Kerosene Use in Buildings</t>
  </si>
  <si>
    <t>Ministry of Petroleum and Natural Gas</t>
  </si>
  <si>
    <t>Indian Petroleum &amp; Natural Gas Statistics 2021-22</t>
  </si>
  <si>
    <t>IPNG-2021-22_L.pdf (mopng.gov.in)</t>
  </si>
  <si>
    <t>Pages 110, 113 Tables: V.9, V.12</t>
  </si>
  <si>
    <t>Biomass and Coal Use</t>
  </si>
  <si>
    <t>IIASA</t>
  </si>
  <si>
    <t>GAINS Model: South Asia</t>
  </si>
  <si>
    <t>http://gains.iiasa.ac.at/models/index.html</t>
  </si>
  <si>
    <t>Activity Data, Energy use in the domestic sector by device type, ECLIPSE_V5a_CLE_base scenario</t>
  </si>
  <si>
    <t>Energy in LPG and Kerosene</t>
  </si>
  <si>
    <t>TERI</t>
  </si>
  <si>
    <t>TERI Energy and Environmental Data Diary and Yearbook 2021-22</t>
  </si>
  <si>
    <t>TERI Energy &amp; Environment Data Diary and Yearbook (TEDDY) 2021-22 by A TERI Publication buy online</t>
  </si>
  <si>
    <t>Page 15, Table 6</t>
  </si>
  <si>
    <t>Notes:</t>
  </si>
  <si>
    <t>The "Start Year" is the year before the first simulated year.</t>
  </si>
  <si>
    <t>The start year can be updated using the following field:</t>
  </si>
  <si>
    <t>This variable is based on bldgs/BCEU and uses the same data sources.</t>
  </si>
  <si>
    <t>We separate the start year values into their own variable so that</t>
  </si>
  <si>
    <t>we do not need to access data from a year outside of the model's</t>
  </si>
  <si>
    <t>run range from BCEU, which helps people avoid introducing</t>
  </si>
  <si>
    <t>bugs when they update model data.</t>
  </si>
  <si>
    <t>Building Type</t>
  </si>
  <si>
    <t>Fuel Type</t>
  </si>
  <si>
    <t>Service</t>
  </si>
  <si>
    <t>Urban Residential</t>
  </si>
  <si>
    <t>electricity (BTU)</t>
  </si>
  <si>
    <t>Heating</t>
  </si>
  <si>
    <t>cooling &amp; ventilation</t>
  </si>
  <si>
    <t>Lighting</t>
  </si>
  <si>
    <t>Appliances</t>
  </si>
  <si>
    <t>Other</t>
  </si>
  <si>
    <t>Rural Residential</t>
  </si>
  <si>
    <t>Commercial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</si>
  <si>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</si>
  <si>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</si>
  <si>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</si>
  <si>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</si>
  <si>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</si>
  <si>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</si>
  <si>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</si>
  <si>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</si>
  <si>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</si>
  <si>
    <t>Year</t>
  </si>
  <si>
    <t>heating</t>
  </si>
  <si>
    <t>envelope</t>
  </si>
  <si>
    <t>lighting</t>
  </si>
  <si>
    <t>appliances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</si>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</sst>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2" fillId="0" borderId="2" applyNumberFormat="0" applyFont="0" applyProtection="0">
      <alignment wrapText="1"/>
    </xf>
    <xf numFmtId="0" fontId="3" fillId="0" borderId="3" applyNumberFormat="0" applyProtection="0">
      <alignment wrapText="1"/>
    </xf>
    <xf numFmtId="0" fontId="2" fillId="0" borderId="4" applyNumberFormat="0" applyProtection="0">
      <alignment vertical="top" wrapText="1"/>
    </xf>
    <xf numFmtId="0" fontId="5" fillId="0" borderId="0" applyNumberFormat="0" applyFill="0" applyBorder="0" applyAlignment="0" applyProtection="0"/>
    <xf numFmtId="0" fontId="7" fillId="0" borderId="0"/>
    <xf numFmtId="0" fontId="7" fillId="0" borderId="8" applyNumberFormat="0" applyProtection="0">
      <alignment wrapText="1"/>
    </xf>
    <xf numFmtId="0" fontId="8" fillId="0" borderId="6" applyNumberFormat="0" applyProtection="0">
      <alignment wrapText="1"/>
    </xf>
    <xf numFmtId="0" fontId="7" fillId="0" borderId="7" applyNumberFormat="0" applyFont="0" applyProtection="0">
      <alignment wrapText="1"/>
    </xf>
    <xf numFmtId="0" fontId="8" fillId="0" borderId="5" applyNumberFormat="0" applyProtection="0">
      <alignment wrapText="1"/>
    </xf>
    <xf numFmtId="0" fontId="7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9" fontId="9" fillId="0" borderId="0" applyFont="0" applyFill="0" applyBorder="0" applyAlignment="0" applyProtection="0"/>
    <xf numFmtId="0" fontId="3" fillId="0" borderId="9" applyNumberFormat="0" applyProtection="0">
      <alignment horizontal="left" wrapText="1"/>
    </xf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7"/>
    <xf numFmtId="164" fontId="0" fillId="0" borderId="0" xfId="15" applyNumberFormat="1" applyFont="1"/>
    <xf numFmtId="4" fontId="0" fillId="0" borderId="0" xfId="0" applyNumberFormat="1"/>
    <xf numFmtId="0" fontId="1" fillId="0" borderId="0" xfId="0" applyFont="1" applyAlignment="1">
      <alignment horizontal="right"/>
    </xf>
    <xf numFmtId="0" fontId="0" fillId="3" borderId="10" xfId="0" applyFill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/>
    </xf>
    <xf numFmtId="11" fontId="0" fillId="0" borderId="0" xfId="0" applyNumberFormat="1"/>
    <xf numFmtId="11" fontId="10" fillId="0" borderId="0" xfId="0" applyNumberFormat="1" applyFont="1"/>
    <xf numFmtId="0" fontId="10" fillId="0" borderId="0" xfId="0" applyFont="1"/>
  </cellXfs>
  <cellStyles count="17">
    <cellStyle name="Body: normal cell" xfId="4" xr:uid="{00000000-0005-0000-0000-000000000000}"/>
    <cellStyle name="Body: normal cell 2" xfId="11" xr:uid="{00000000-0005-0000-0000-000001000000}"/>
    <cellStyle name="Font: Calibri, 9pt regular" xfId="1" xr:uid="{00000000-0005-0000-0000-000002000000}"/>
    <cellStyle name="Font: Calibri, 9pt regular 2" xfId="13" xr:uid="{00000000-0005-0000-0000-000003000000}"/>
    <cellStyle name="Footnotes: top row" xfId="6" xr:uid="{00000000-0005-0000-0000-000004000000}"/>
    <cellStyle name="Footnotes: top row 2" xfId="9" xr:uid="{00000000-0005-0000-0000-000005000000}"/>
    <cellStyle name="Header: bottom row" xfId="2" xr:uid="{00000000-0005-0000-0000-000006000000}"/>
    <cellStyle name="Header: bottom row 2" xfId="12" xr:uid="{00000000-0005-0000-0000-000007000000}"/>
    <cellStyle name="Header: top rows" xfId="16" xr:uid="{00000000-0005-0000-0000-000008000000}"/>
    <cellStyle name="Hyperlink" xfId="7" builtinId="8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Percent" xfId="15" builtinId="5"/>
    <cellStyle name="Table title" xfId="3" xr:uid="{00000000-0005-0000-0000-00000F000000}"/>
    <cellStyle name="Table title 2" xfId="14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ookstore.teri.res.in/books/9789394657069" TargetMode="External"/><Relationship Id="rId2" Type="http://schemas.openxmlformats.org/officeDocument/2006/relationships/hyperlink" Target="https://mopng.gov.in/files/TableManagements/IPNG-2021-22_L.pdf" TargetMode="External"/><Relationship Id="rId1" Type="http://schemas.openxmlformats.org/officeDocument/2006/relationships/hyperlink" Target="https://mospi.gov.in/sites/default/files/publication_reports/Energy_Statistics_22/Energy%20Statistics%20India%202022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C8" sqref="C8"/>
    </sheetView>
  </sheetViews>
  <sheetFormatPr defaultRowHeight="14.45"/>
  <cols>
    <col min="1" max="1" width="12.42578125" customWidth="1"/>
    <col min="2" max="2" width="61.42578125" customWidth="1"/>
    <col min="3" max="3" width="19.28515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s="3" t="s">
        <v>3</v>
      </c>
    </row>
    <row r="5" spans="1:2">
      <c r="B5" s="3">
        <v>2023</v>
      </c>
    </row>
    <row r="6" spans="1:2">
      <c r="B6" s="9" t="s">
        <v>4</v>
      </c>
    </row>
    <row r="7" spans="1:2">
      <c r="B7" s="9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2022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2:2">
      <c r="B17" s="10" t="s">
        <v>12</v>
      </c>
    </row>
    <row r="18" spans="2:2">
      <c r="B18" t="s">
        <v>13</v>
      </c>
    </row>
    <row r="19" spans="2:2">
      <c r="B19" s="3">
        <v>2021</v>
      </c>
    </row>
    <row r="20" spans="2:2">
      <c r="B20" t="s">
        <v>14</v>
      </c>
    </row>
    <row r="21" spans="2:2">
      <c r="B21" s="4" t="s">
        <v>15</v>
      </c>
    </row>
    <row r="22" spans="2:2">
      <c r="B22" t="s">
        <v>16</v>
      </c>
    </row>
    <row r="24" spans="2:2">
      <c r="B24" s="2" t="s">
        <v>17</v>
      </c>
    </row>
    <row r="25" spans="2:2">
      <c r="B25" t="s">
        <v>18</v>
      </c>
    </row>
    <row r="26" spans="2:2">
      <c r="B26" s="3">
        <v>2018</v>
      </c>
    </row>
    <row r="27" spans="2:2">
      <c r="B27" t="s">
        <v>19</v>
      </c>
    </row>
    <row r="28" spans="2:2">
      <c r="B28" s="4" t="s">
        <v>20</v>
      </c>
    </row>
    <row r="29" spans="2:2">
      <c r="B29" t="s">
        <v>21</v>
      </c>
    </row>
    <row r="31" spans="2:2">
      <c r="B31" s="2" t="s">
        <v>22</v>
      </c>
    </row>
    <row r="32" spans="2:2">
      <c r="B32" t="s">
        <v>23</v>
      </c>
    </row>
    <row r="33" spans="1:2">
      <c r="B33" s="3">
        <v>2021</v>
      </c>
    </row>
    <row r="34" spans="1:2">
      <c r="B34" t="s">
        <v>24</v>
      </c>
    </row>
    <row r="35" spans="1:2">
      <c r="B35" s="4" t="s">
        <v>25</v>
      </c>
    </row>
    <row r="36" spans="1:2">
      <c r="B36" t="s">
        <v>26</v>
      </c>
    </row>
    <row r="38" spans="1:2">
      <c r="A38" s="1" t="s">
        <v>27</v>
      </c>
    </row>
    <row r="39" spans="1:2">
      <c r="A39" t="s">
        <v>28</v>
      </c>
    </row>
    <row r="40" spans="1:2" ht="15" thickBot="1">
      <c r="A40" t="s">
        <v>29</v>
      </c>
    </row>
    <row r="41" spans="1:2" ht="15" thickBot="1">
      <c r="A41" s="8">
        <v>2022</v>
      </c>
    </row>
    <row r="43" spans="1:2">
      <c r="A43" t="s">
        <v>30</v>
      </c>
    </row>
    <row r="44" spans="1:2">
      <c r="A44" t="s">
        <v>31</v>
      </c>
    </row>
    <row r="45" spans="1:2">
      <c r="A45" t="s">
        <v>32</v>
      </c>
    </row>
    <row r="46" spans="1:2">
      <c r="A46" t="s">
        <v>33</v>
      </c>
    </row>
    <row r="47" spans="1:2">
      <c r="A47" t="s">
        <v>34</v>
      </c>
    </row>
    <row r="51" spans="1:1">
      <c r="A51" s="1"/>
    </row>
    <row r="61" spans="1:1">
      <c r="A61" s="1"/>
    </row>
    <row r="70" spans="1:1">
      <c r="A70" s="1"/>
    </row>
    <row r="85" spans="1:1">
      <c r="A85" s="1"/>
    </row>
    <row r="86" spans="1:1">
      <c r="A86" s="5"/>
    </row>
    <row r="87" spans="1:1">
      <c r="A87" s="5"/>
    </row>
  </sheetData>
  <hyperlinks>
    <hyperlink ref="B14" r:id="rId1" display="https://mospi.gov.in/sites/default/files/publication_reports/Energy_Statistics_22/Energy Statistics India 2022.pdf" xr:uid="{D1AF6C36-76FF-4424-8E34-D0C398913C51}"/>
    <hyperlink ref="B21" r:id="rId2" display="https://mopng.gov.in/files/TableManagements/IPNG-2021-22_L.pdf" xr:uid="{BEA109C9-18E1-45EC-B489-6A8477B3C8BF}"/>
    <hyperlink ref="B35" r:id="rId3" display="https://bookstore.teri.res.in/books/9789394657069" xr:uid="{681BA105-F130-4E27-AE71-E7FABF1501F7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BA151"/>
  <sheetViews>
    <sheetView workbookViewId="0">
      <selection activeCell="AE5" sqref="AE5:AK5"/>
    </sheetView>
  </sheetViews>
  <sheetFormatPr defaultRowHeight="14.45"/>
  <cols>
    <col min="1" max="1" width="18.7109375" customWidth="1"/>
    <col min="2" max="2" width="18.28515625" customWidth="1"/>
    <col min="3" max="3" width="28.85546875" customWidth="1"/>
  </cols>
  <sheetData>
    <row r="1" spans="1:53">
      <c r="A1" t="s">
        <v>35</v>
      </c>
      <c r="B1" t="s">
        <v>36</v>
      </c>
      <c r="C1" t="s">
        <v>37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>
      <c r="A2" t="s">
        <v>38</v>
      </c>
      <c r="B2" t="s">
        <v>39</v>
      </c>
      <c r="C2" t="s">
        <v>40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53">
      <c r="A3" t="s">
        <v>38</v>
      </c>
      <c r="B3" t="s">
        <v>39</v>
      </c>
      <c r="C3" t="s">
        <v>41</v>
      </c>
      <c r="D3" s="11">
        <v>137000000000000</v>
      </c>
      <c r="E3" s="11">
        <v>153000000000000</v>
      </c>
      <c r="F3" s="11">
        <v>173000000000000</v>
      </c>
      <c r="G3" s="11">
        <v>193000000000000</v>
      </c>
      <c r="H3" s="11">
        <v>213000000000000</v>
      </c>
      <c r="I3" s="11">
        <v>234000000000000</v>
      </c>
      <c r="J3" s="11">
        <v>255000000000000</v>
      </c>
      <c r="K3" s="11">
        <v>285000000000000</v>
      </c>
      <c r="L3" s="11">
        <v>315000000000000</v>
      </c>
      <c r="M3" s="11">
        <v>346000000000000</v>
      </c>
      <c r="N3" s="11">
        <v>378000000000000</v>
      </c>
      <c r="O3" s="11">
        <v>409000000000000</v>
      </c>
      <c r="P3" s="11">
        <v>441000000000000</v>
      </c>
      <c r="Q3" s="11">
        <v>473000000000000</v>
      </c>
      <c r="R3" s="11">
        <v>505000000000000</v>
      </c>
      <c r="S3" s="11">
        <v>538000000000000</v>
      </c>
      <c r="T3" s="11">
        <v>571000000000000</v>
      </c>
      <c r="U3" s="11">
        <v>603000000000000</v>
      </c>
      <c r="V3" s="11">
        <v>635000000000000</v>
      </c>
      <c r="W3" s="11">
        <v>668000000000000</v>
      </c>
      <c r="X3" s="11">
        <v>701000000000000</v>
      </c>
      <c r="Y3" s="11">
        <v>735000000000000</v>
      </c>
      <c r="Z3" s="11">
        <v>768000000000000</v>
      </c>
      <c r="AA3" s="11">
        <v>802000000000000</v>
      </c>
      <c r="AB3" s="11">
        <v>836000000000000</v>
      </c>
      <c r="AC3" s="11">
        <v>870000000000000</v>
      </c>
      <c r="AD3" s="11">
        <v>905000000000000</v>
      </c>
    </row>
    <row r="4" spans="1:53">
      <c r="A4" t="s">
        <v>38</v>
      </c>
      <c r="B4" t="s">
        <v>39</v>
      </c>
      <c r="C4" t="s">
        <v>42</v>
      </c>
      <c r="D4" s="11">
        <v>54900000000000</v>
      </c>
      <c r="E4" s="11">
        <v>57700000000000</v>
      </c>
      <c r="F4" s="11">
        <v>58600000000000</v>
      </c>
      <c r="G4" s="11">
        <v>59600000000000</v>
      </c>
      <c r="H4" s="11">
        <v>60500000000000</v>
      </c>
      <c r="I4" s="11">
        <v>61400000000000</v>
      </c>
      <c r="J4" s="11">
        <v>62300000000000</v>
      </c>
      <c r="K4" s="11">
        <v>63000000000000</v>
      </c>
      <c r="L4" s="11">
        <v>63600000000000</v>
      </c>
      <c r="M4" s="11">
        <v>64300000000000</v>
      </c>
      <c r="N4" s="11">
        <v>64900000000000</v>
      </c>
      <c r="O4" s="11">
        <v>65500000000000</v>
      </c>
      <c r="P4" s="11">
        <v>66900000000000</v>
      </c>
      <c r="Q4" s="11">
        <v>68200000000000</v>
      </c>
      <c r="R4" s="11">
        <v>69600000000000</v>
      </c>
      <c r="S4" s="11">
        <v>70900000000000</v>
      </c>
      <c r="T4" s="11">
        <v>72200000000000</v>
      </c>
      <c r="U4" s="11">
        <v>73500000000000</v>
      </c>
      <c r="V4" s="11">
        <v>74800000000000</v>
      </c>
      <c r="W4" s="11">
        <v>76100000000000</v>
      </c>
      <c r="X4" s="11">
        <v>77300000000000</v>
      </c>
      <c r="Y4" s="11">
        <v>78600000000000</v>
      </c>
      <c r="Z4" s="11">
        <v>79600000000000</v>
      </c>
      <c r="AA4" s="11">
        <v>80700000000000</v>
      </c>
      <c r="AB4" s="11">
        <v>81700000000000</v>
      </c>
      <c r="AC4" s="11">
        <v>82700000000000</v>
      </c>
      <c r="AD4" s="11">
        <v>83700000000000</v>
      </c>
    </row>
    <row r="5" spans="1:53">
      <c r="A5" t="s">
        <v>38</v>
      </c>
      <c r="B5" t="s">
        <v>39</v>
      </c>
      <c r="C5" t="s">
        <v>43</v>
      </c>
      <c r="D5">
        <v>185000000000000</v>
      </c>
      <c r="E5">
        <v>198000000000000</v>
      </c>
      <c r="F5">
        <v>210000000000000</v>
      </c>
      <c r="G5">
        <v>221000000000000</v>
      </c>
      <c r="H5">
        <v>233000000000000</v>
      </c>
      <c r="I5">
        <v>245000000000000</v>
      </c>
      <c r="J5">
        <v>256000000000000</v>
      </c>
      <c r="K5">
        <v>268000000000000</v>
      </c>
      <c r="L5">
        <v>281000000000000</v>
      </c>
      <c r="M5">
        <v>293000000000000</v>
      </c>
      <c r="N5">
        <v>305000000000000</v>
      </c>
      <c r="O5">
        <v>317000000000000</v>
      </c>
      <c r="P5">
        <v>328000000000000</v>
      </c>
      <c r="Q5">
        <v>338000000000000</v>
      </c>
      <c r="R5">
        <v>349000000000000</v>
      </c>
      <c r="S5">
        <v>359000000000000</v>
      </c>
      <c r="T5">
        <v>370000000000000</v>
      </c>
      <c r="U5">
        <v>382000000000000</v>
      </c>
      <c r="V5">
        <v>394000000000000</v>
      </c>
      <c r="W5">
        <v>406000000000000</v>
      </c>
      <c r="X5">
        <v>419000000000000</v>
      </c>
      <c r="Y5">
        <v>431000000000000</v>
      </c>
      <c r="Z5">
        <v>443000000000000</v>
      </c>
      <c r="AA5">
        <v>455000000000000</v>
      </c>
      <c r="AB5">
        <v>467000000000000</v>
      </c>
      <c r="AC5">
        <v>479000000000000</v>
      </c>
      <c r="AD5">
        <v>491000000000000</v>
      </c>
    </row>
    <row r="6" spans="1:53">
      <c r="A6" t="s">
        <v>38</v>
      </c>
      <c r="B6" t="s">
        <v>39</v>
      </c>
      <c r="C6" t="s">
        <v>44</v>
      </c>
      <c r="D6" s="12">
        <v>38000000000000</v>
      </c>
      <c r="E6" s="12">
        <v>33500000000000</v>
      </c>
      <c r="F6" s="12">
        <v>38100000000000</v>
      </c>
      <c r="G6" s="12">
        <v>42700000000000</v>
      </c>
      <c r="H6" s="12">
        <v>47500000000000</v>
      </c>
      <c r="I6" s="12">
        <v>52300000000000</v>
      </c>
      <c r="J6" s="12">
        <v>57100000000000</v>
      </c>
      <c r="K6" s="12">
        <v>64600000000000</v>
      </c>
      <c r="L6" s="12">
        <v>72100000000000</v>
      </c>
      <c r="M6" s="12">
        <v>79800000000000</v>
      </c>
      <c r="N6" s="12">
        <v>87600000000000</v>
      </c>
      <c r="O6" s="12">
        <v>95500000000000</v>
      </c>
      <c r="P6" s="12">
        <v>107000000000000</v>
      </c>
      <c r="Q6" s="12">
        <v>119000000000000</v>
      </c>
      <c r="R6" s="12">
        <v>131000000000000</v>
      </c>
      <c r="S6" s="12">
        <v>143000000000000</v>
      </c>
      <c r="T6" s="12">
        <v>156000000000000</v>
      </c>
      <c r="U6" s="12">
        <v>170000000000000</v>
      </c>
      <c r="V6" s="12">
        <v>183000000000000</v>
      </c>
      <c r="W6" s="12">
        <v>197000000000000</v>
      </c>
      <c r="X6" s="12">
        <v>212000000000000</v>
      </c>
      <c r="Y6" s="12">
        <v>226000000000000</v>
      </c>
      <c r="Z6" s="12">
        <v>242000000000000</v>
      </c>
      <c r="AA6" s="12">
        <v>258000000000000</v>
      </c>
      <c r="AB6" s="12">
        <v>274000000000000</v>
      </c>
      <c r="AC6" s="12">
        <v>290000000000000</v>
      </c>
      <c r="AD6" s="12">
        <v>307000000000000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spans="1:53">
      <c r="A7" t="s">
        <v>45</v>
      </c>
      <c r="B7" t="s">
        <v>39</v>
      </c>
      <c r="C7" t="s">
        <v>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53">
      <c r="A8" t="s">
        <v>45</v>
      </c>
      <c r="B8" t="s">
        <v>39</v>
      </c>
      <c r="C8" t="s">
        <v>41</v>
      </c>
      <c r="D8" s="11">
        <v>298000000000000</v>
      </c>
      <c r="E8" s="11">
        <v>286000000000000</v>
      </c>
      <c r="F8" s="11">
        <v>317000000000000</v>
      </c>
      <c r="G8" s="11">
        <v>348000000000000</v>
      </c>
      <c r="H8" s="11">
        <v>379000000000000</v>
      </c>
      <c r="I8" s="11">
        <v>409000000000000</v>
      </c>
      <c r="J8" s="11">
        <v>439000000000000</v>
      </c>
      <c r="K8" s="11">
        <v>483000000000000</v>
      </c>
      <c r="L8" s="11">
        <v>525000000000000</v>
      </c>
      <c r="M8" s="11">
        <v>568000000000000</v>
      </c>
      <c r="N8" s="11">
        <v>610000000000000</v>
      </c>
      <c r="O8" s="11">
        <v>651000000000000</v>
      </c>
      <c r="P8" s="11">
        <v>690000000000000</v>
      </c>
      <c r="Q8" s="11">
        <v>728000000000000</v>
      </c>
      <c r="R8" s="11">
        <v>767000000000000</v>
      </c>
      <c r="S8" s="11">
        <v>804000000000000</v>
      </c>
      <c r="T8" s="11">
        <v>842000000000000</v>
      </c>
      <c r="U8" s="11">
        <v>875000000000000</v>
      </c>
      <c r="V8" s="11">
        <v>908000000000000</v>
      </c>
      <c r="W8" s="11">
        <v>941000000000000</v>
      </c>
      <c r="X8" s="11">
        <v>974000000000000</v>
      </c>
      <c r="Y8" s="11">
        <v>1010000000000000</v>
      </c>
      <c r="Z8" s="11">
        <v>1040000000000000</v>
      </c>
      <c r="AA8" s="11">
        <v>1070000000000000</v>
      </c>
      <c r="AB8" s="11">
        <v>1090000000000000</v>
      </c>
      <c r="AC8" s="11">
        <v>1120000000000000</v>
      </c>
      <c r="AD8" s="11">
        <v>1150000000000000</v>
      </c>
    </row>
    <row r="9" spans="1:53">
      <c r="A9" t="s">
        <v>45</v>
      </c>
      <c r="B9" t="s">
        <v>39</v>
      </c>
      <c r="C9" t="s">
        <v>42</v>
      </c>
      <c r="D9">
        <v>120000000000000</v>
      </c>
      <c r="E9">
        <v>108000000000000</v>
      </c>
      <c r="F9">
        <v>108000000000000</v>
      </c>
      <c r="G9">
        <v>108000000000000</v>
      </c>
      <c r="H9">
        <v>108000000000000</v>
      </c>
      <c r="I9">
        <v>107000000000000</v>
      </c>
      <c r="J9">
        <v>107000000000000</v>
      </c>
      <c r="K9">
        <v>107000000000000</v>
      </c>
      <c r="L9">
        <v>106000000000000</v>
      </c>
      <c r="M9">
        <v>105000000000000</v>
      </c>
      <c r="N9">
        <v>105000000000000</v>
      </c>
      <c r="O9">
        <v>104000000000000</v>
      </c>
      <c r="P9">
        <v>105000000000000</v>
      </c>
      <c r="Q9">
        <v>105000000000000</v>
      </c>
      <c r="R9">
        <v>106000000000000</v>
      </c>
      <c r="S9">
        <v>106000000000000</v>
      </c>
      <c r="T9">
        <v>107000000000000</v>
      </c>
      <c r="U9">
        <v>107000000000000</v>
      </c>
      <c r="V9">
        <v>107000000000000</v>
      </c>
      <c r="W9">
        <v>107000000000000</v>
      </c>
      <c r="X9">
        <v>107000000000000</v>
      </c>
      <c r="Y9">
        <v>108000000000000</v>
      </c>
      <c r="Z9">
        <v>107000000000000</v>
      </c>
      <c r="AA9">
        <v>107000000000000</v>
      </c>
      <c r="AB9">
        <v>107000000000000</v>
      </c>
      <c r="AC9">
        <v>107000000000000</v>
      </c>
      <c r="AD9">
        <v>107000000000000</v>
      </c>
    </row>
    <row r="10" spans="1:53">
      <c r="A10" t="s">
        <v>45</v>
      </c>
      <c r="B10" t="s">
        <v>39</v>
      </c>
      <c r="C10" t="s">
        <v>43</v>
      </c>
      <c r="D10">
        <v>403700000000000</v>
      </c>
      <c r="E10">
        <v>424700000000000</v>
      </c>
      <c r="F10">
        <v>441500000000000</v>
      </c>
      <c r="G10">
        <v>458200000000000</v>
      </c>
      <c r="H10">
        <v>474800000000000</v>
      </c>
      <c r="I10">
        <v>491200000000000</v>
      </c>
      <c r="J10">
        <v>507500000000000</v>
      </c>
      <c r="K10">
        <v>522100000000000</v>
      </c>
      <c r="L10">
        <v>536500000000000</v>
      </c>
      <c r="M10">
        <v>550800000000000</v>
      </c>
      <c r="N10">
        <v>565100000000000</v>
      </c>
      <c r="O10">
        <v>579300000000000</v>
      </c>
      <c r="P10">
        <v>588800000000000</v>
      </c>
      <c r="Q10">
        <v>598300000000000</v>
      </c>
      <c r="R10">
        <v>607800000000000</v>
      </c>
      <c r="S10">
        <v>617200000000000</v>
      </c>
      <c r="T10">
        <v>626500000000000</v>
      </c>
      <c r="U10">
        <v>636800000000000</v>
      </c>
      <c r="V10">
        <v>647000000000000</v>
      </c>
      <c r="W10">
        <v>657100000000000</v>
      </c>
      <c r="X10">
        <v>667200000000000</v>
      </c>
      <c r="Y10">
        <v>677300000000000</v>
      </c>
      <c r="Z10">
        <v>685400000000000</v>
      </c>
      <c r="AA10">
        <v>693400000000000</v>
      </c>
      <c r="AB10">
        <v>701400000000000</v>
      </c>
      <c r="AC10">
        <v>709400000000000</v>
      </c>
      <c r="AD10">
        <v>717400000000000</v>
      </c>
    </row>
    <row r="11" spans="1:53">
      <c r="A11" t="s">
        <v>45</v>
      </c>
      <c r="B11" t="s">
        <v>39</v>
      </c>
      <c r="C11" t="s">
        <v>44</v>
      </c>
      <c r="D11">
        <v>38000000000000</v>
      </c>
      <c r="E11">
        <v>33500000000000</v>
      </c>
      <c r="F11">
        <v>38100000000000</v>
      </c>
      <c r="G11">
        <v>42700000000000</v>
      </c>
      <c r="H11">
        <v>47500000000000</v>
      </c>
      <c r="I11">
        <v>52300000000000</v>
      </c>
      <c r="J11">
        <v>57100000000000</v>
      </c>
      <c r="K11">
        <v>64600000000000</v>
      </c>
      <c r="L11">
        <v>72100000000000</v>
      </c>
      <c r="M11">
        <v>79800000000000</v>
      </c>
      <c r="N11">
        <v>87600000000000</v>
      </c>
      <c r="O11">
        <v>95500000000000</v>
      </c>
      <c r="P11">
        <v>107000000000000</v>
      </c>
      <c r="Q11">
        <v>119000000000000</v>
      </c>
      <c r="R11">
        <v>131000000000000</v>
      </c>
      <c r="S11">
        <v>143000000000000</v>
      </c>
      <c r="T11">
        <v>156000000000000</v>
      </c>
      <c r="U11">
        <v>170000000000000</v>
      </c>
      <c r="V11">
        <v>183000000000000</v>
      </c>
      <c r="W11">
        <v>197000000000000</v>
      </c>
      <c r="X11">
        <v>212000000000000</v>
      </c>
      <c r="Y11">
        <v>226000000000000</v>
      </c>
      <c r="Z11">
        <v>242000000000000</v>
      </c>
      <c r="AA11">
        <v>258000000000000</v>
      </c>
      <c r="AB11">
        <v>274000000000000</v>
      </c>
      <c r="AC11">
        <v>290000000000000</v>
      </c>
      <c r="AD11">
        <v>307000000000000</v>
      </c>
    </row>
    <row r="12" spans="1:53">
      <c r="A12" t="s">
        <v>46</v>
      </c>
      <c r="B12" t="s">
        <v>39</v>
      </c>
      <c r="C12" t="s">
        <v>40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53">
      <c r="A13" t="s">
        <v>46</v>
      </c>
      <c r="B13" t="s">
        <v>39</v>
      </c>
      <c r="C13" t="s">
        <v>41</v>
      </c>
      <c r="D13">
        <v>191000000000000</v>
      </c>
      <c r="E13">
        <v>224000000000000</v>
      </c>
      <c r="F13">
        <v>236000000000000</v>
      </c>
      <c r="G13">
        <v>249000000000000</v>
      </c>
      <c r="H13">
        <v>261000000000000</v>
      </c>
      <c r="I13">
        <v>274000000000000</v>
      </c>
      <c r="J13">
        <v>286000000000000</v>
      </c>
      <c r="K13">
        <v>304000000000000</v>
      </c>
      <c r="L13">
        <v>323000000000000</v>
      </c>
      <c r="M13">
        <v>341000000000000</v>
      </c>
      <c r="N13">
        <v>359000000000000</v>
      </c>
      <c r="O13">
        <v>378000000000000</v>
      </c>
      <c r="P13">
        <v>404000000000000</v>
      </c>
      <c r="Q13">
        <v>430000000000000</v>
      </c>
      <c r="R13">
        <v>456000000000000</v>
      </c>
      <c r="S13">
        <v>482000000000000</v>
      </c>
      <c r="T13">
        <v>508000000000000</v>
      </c>
      <c r="U13">
        <v>539000000000000</v>
      </c>
      <c r="V13">
        <v>569000000000000</v>
      </c>
      <c r="W13">
        <v>600000000000000</v>
      </c>
      <c r="X13">
        <v>630000000000000</v>
      </c>
      <c r="Y13">
        <v>661000000000000</v>
      </c>
      <c r="Z13">
        <v>697000000000000</v>
      </c>
      <c r="AA13">
        <v>734000000000000</v>
      </c>
      <c r="AB13">
        <v>770000000000000</v>
      </c>
      <c r="AC13">
        <v>806000000000000</v>
      </c>
      <c r="AD13">
        <v>843000000000000</v>
      </c>
    </row>
    <row r="14" spans="1:53">
      <c r="A14" t="s">
        <v>46</v>
      </c>
      <c r="B14" t="s">
        <v>39</v>
      </c>
      <c r="C14" t="s">
        <v>42</v>
      </c>
      <c r="D14">
        <v>38200000000000</v>
      </c>
      <c r="E14">
        <v>44100000000000</v>
      </c>
      <c r="F14">
        <v>45500000000000</v>
      </c>
      <c r="G14">
        <v>47000000000000</v>
      </c>
      <c r="H14">
        <v>48400000000000</v>
      </c>
      <c r="I14">
        <v>49800000000000</v>
      </c>
      <c r="J14">
        <v>51300000000000</v>
      </c>
      <c r="K14">
        <v>53400000000000</v>
      </c>
      <c r="L14">
        <v>55500000000000</v>
      </c>
      <c r="M14">
        <v>57700000000000</v>
      </c>
      <c r="N14">
        <v>59800000000000</v>
      </c>
      <c r="O14">
        <v>62000000000000</v>
      </c>
      <c r="P14">
        <v>66700000000000</v>
      </c>
      <c r="Q14">
        <v>71400000000000</v>
      </c>
      <c r="R14">
        <v>76100000000000</v>
      </c>
      <c r="S14">
        <v>80800000000000</v>
      </c>
      <c r="T14">
        <v>85600000000000</v>
      </c>
      <c r="U14">
        <v>91500000000000</v>
      </c>
      <c r="V14">
        <v>97400000000000</v>
      </c>
      <c r="W14">
        <v>103000000000000</v>
      </c>
      <c r="X14">
        <v>109000000000000</v>
      </c>
      <c r="Y14">
        <v>115000000000000</v>
      </c>
      <c r="Z14">
        <v>123000000000000</v>
      </c>
      <c r="AA14">
        <v>131000000000000</v>
      </c>
      <c r="AB14">
        <v>138000000000000</v>
      </c>
      <c r="AC14">
        <v>146000000000000</v>
      </c>
      <c r="AD14">
        <v>154000000000000</v>
      </c>
    </row>
    <row r="15" spans="1:53">
      <c r="A15" t="s">
        <v>46</v>
      </c>
      <c r="B15" t="s">
        <v>39</v>
      </c>
      <c r="C15" t="s">
        <v>43</v>
      </c>
      <c r="D15">
        <v>58800000000000</v>
      </c>
      <c r="E15">
        <v>68000000000000</v>
      </c>
      <c r="F15">
        <v>69500000000000</v>
      </c>
      <c r="G15">
        <v>70900000000000</v>
      </c>
      <c r="H15">
        <v>72300000000000</v>
      </c>
      <c r="I15">
        <v>73800000000000</v>
      </c>
      <c r="J15">
        <v>75200000000000</v>
      </c>
      <c r="K15">
        <v>76900000000000</v>
      </c>
      <c r="L15">
        <v>78500000000000</v>
      </c>
      <c r="M15">
        <v>80200000000000</v>
      </c>
      <c r="N15">
        <v>81800000000000</v>
      </c>
      <c r="O15">
        <v>83500000000000</v>
      </c>
      <c r="P15">
        <v>84900000000000</v>
      </c>
      <c r="Q15">
        <v>86400000000000</v>
      </c>
      <c r="R15">
        <v>87800000000000</v>
      </c>
      <c r="S15">
        <v>89200000000000</v>
      </c>
      <c r="T15">
        <v>90700000000000</v>
      </c>
      <c r="U15">
        <v>92300000000000</v>
      </c>
      <c r="V15">
        <v>93900000000000</v>
      </c>
      <c r="W15">
        <v>95500000000000</v>
      </c>
      <c r="X15">
        <v>97100000000000</v>
      </c>
      <c r="Y15">
        <v>98700000000000</v>
      </c>
      <c r="Z15">
        <v>100000000000000</v>
      </c>
      <c r="AA15">
        <v>102000000000000</v>
      </c>
      <c r="AB15">
        <v>103000000000000</v>
      </c>
      <c r="AC15">
        <v>104000000000000</v>
      </c>
      <c r="AD15">
        <v>106000000000000</v>
      </c>
    </row>
    <row r="16" spans="1:53">
      <c r="A16" t="s">
        <v>46</v>
      </c>
      <c r="B16" t="s">
        <v>39</v>
      </c>
      <c r="C16" t="s">
        <v>44</v>
      </c>
      <c r="D16">
        <v>30800000000000</v>
      </c>
      <c r="E16">
        <v>31700000000000</v>
      </c>
      <c r="F16">
        <v>32500000000000</v>
      </c>
      <c r="G16">
        <v>33300000000000</v>
      </c>
      <c r="H16">
        <v>34100000000000</v>
      </c>
      <c r="I16">
        <v>34900000000000</v>
      </c>
      <c r="J16">
        <v>35700000000000</v>
      </c>
      <c r="K16">
        <v>37200000000000</v>
      </c>
      <c r="L16">
        <v>38700000000000</v>
      </c>
      <c r="M16">
        <v>40200000000000</v>
      </c>
      <c r="N16">
        <v>41700000000000</v>
      </c>
      <c r="O16">
        <v>43200000000000</v>
      </c>
      <c r="P16">
        <v>46500000000000</v>
      </c>
      <c r="Q16">
        <v>49700000000000</v>
      </c>
      <c r="R16">
        <v>53000000000000</v>
      </c>
      <c r="S16">
        <v>56300000000000</v>
      </c>
      <c r="T16">
        <v>59600000000000</v>
      </c>
      <c r="U16">
        <v>66500000000000</v>
      </c>
      <c r="V16">
        <v>73400000000000</v>
      </c>
      <c r="W16">
        <v>80200000000000</v>
      </c>
      <c r="X16">
        <v>87100000000000</v>
      </c>
      <c r="Y16">
        <v>94000000000000</v>
      </c>
      <c r="Z16">
        <v>96600000000000</v>
      </c>
      <c r="AA16">
        <v>99200000000000</v>
      </c>
      <c r="AB16">
        <v>102000000000000</v>
      </c>
      <c r="AC16">
        <v>104000000000000</v>
      </c>
      <c r="AD16">
        <v>107000000000000</v>
      </c>
    </row>
    <row r="17" spans="1:30">
      <c r="A17" t="s">
        <v>38</v>
      </c>
      <c r="B17" t="s">
        <v>47</v>
      </c>
      <c r="C17" t="s">
        <v>40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38</v>
      </c>
      <c r="B18" t="s">
        <v>47</v>
      </c>
      <c r="C18" t="s">
        <v>41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38</v>
      </c>
      <c r="B19" t="s">
        <v>47</v>
      </c>
      <c r="C19" t="s">
        <v>42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38</v>
      </c>
      <c r="B20" t="s">
        <v>47</v>
      </c>
      <c r="C20" t="s">
        <v>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38</v>
      </c>
      <c r="B21" t="s">
        <v>47</v>
      </c>
      <c r="C21" t="s">
        <v>44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45</v>
      </c>
      <c r="B22" t="s">
        <v>47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30">
      <c r="A23" t="s">
        <v>45</v>
      </c>
      <c r="B23" t="s">
        <v>47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45</v>
      </c>
      <c r="B24" t="s">
        <v>47</v>
      </c>
      <c r="C24" t="s">
        <v>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45</v>
      </c>
      <c r="B25" t="s">
        <v>47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45</v>
      </c>
      <c r="B26" t="s">
        <v>47</v>
      </c>
      <c r="C26" t="s">
        <v>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46</v>
      </c>
      <c r="B27" t="s">
        <v>47</v>
      </c>
      <c r="C27" t="s">
        <v>40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46</v>
      </c>
      <c r="B28" t="s">
        <v>47</v>
      </c>
      <c r="C28" t="s">
        <v>41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46</v>
      </c>
      <c r="B29" t="s">
        <v>47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46</v>
      </c>
      <c r="B30" t="s">
        <v>47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46</v>
      </c>
      <c r="B31" t="s">
        <v>47</v>
      </c>
      <c r="C31" t="s">
        <v>44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38</v>
      </c>
      <c r="B32" t="s">
        <v>48</v>
      </c>
      <c r="C32" t="s">
        <v>40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38</v>
      </c>
      <c r="B33" t="s">
        <v>48</v>
      </c>
      <c r="C33" t="s">
        <v>41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38</v>
      </c>
      <c r="B34" t="s">
        <v>48</v>
      </c>
      <c r="C34" t="s">
        <v>42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t="s">
        <v>38</v>
      </c>
      <c r="B35" t="s">
        <v>48</v>
      </c>
      <c r="C35" t="s">
        <v>43</v>
      </c>
      <c r="D35">
        <v>114468000000000</v>
      </c>
      <c r="E35">
        <v>123167000000000</v>
      </c>
      <c r="F35">
        <v>135571000000000</v>
      </c>
      <c r="G35">
        <v>147975000000000</v>
      </c>
      <c r="H35">
        <v>160378000000000</v>
      </c>
      <c r="I35">
        <v>172782000000000</v>
      </c>
      <c r="J35">
        <v>185186000000000</v>
      </c>
      <c r="K35">
        <v>195071000000000</v>
      </c>
      <c r="L35">
        <v>204955000000000</v>
      </c>
      <c r="M35">
        <v>214840000000000</v>
      </c>
      <c r="N35">
        <v>224724000000000</v>
      </c>
      <c r="O35">
        <v>234609000000000</v>
      </c>
      <c r="P35">
        <v>244085000000000</v>
      </c>
      <c r="Q35">
        <v>253560000000000</v>
      </c>
      <c r="R35">
        <v>263036000000000</v>
      </c>
      <c r="S35">
        <v>272512000000000</v>
      </c>
      <c r="T35">
        <v>281988000000000</v>
      </c>
      <c r="U35">
        <v>293394000000000</v>
      </c>
      <c r="V35">
        <v>304801000000000</v>
      </c>
      <c r="W35">
        <v>316207000000000</v>
      </c>
      <c r="X35">
        <v>327614000000000</v>
      </c>
      <c r="Y35">
        <v>339020000000000</v>
      </c>
      <c r="Z35">
        <v>345216000000000</v>
      </c>
      <c r="AA35">
        <v>351412000000000</v>
      </c>
      <c r="AB35">
        <v>357607000000000</v>
      </c>
      <c r="AC35">
        <v>363803000000000</v>
      </c>
      <c r="AD35">
        <v>369999000000000</v>
      </c>
    </row>
    <row r="36" spans="1:30">
      <c r="A36" t="s">
        <v>38</v>
      </c>
      <c r="B36" t="s">
        <v>48</v>
      </c>
      <c r="C36" t="s">
        <v>44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45</v>
      </c>
      <c r="B37" t="s">
        <v>48</v>
      </c>
      <c r="C37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30">
      <c r="A38" t="s">
        <v>45</v>
      </c>
      <c r="B38" t="s">
        <v>48</v>
      </c>
      <c r="C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45</v>
      </c>
      <c r="B39" t="s">
        <v>48</v>
      </c>
      <c r="C39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45</v>
      </c>
      <c r="B40" t="s">
        <v>48</v>
      </c>
      <c r="C40" t="s">
        <v>43</v>
      </c>
      <c r="D40">
        <v>62860000000000</v>
      </c>
      <c r="E40">
        <v>66860000000000</v>
      </c>
      <c r="F40">
        <v>70140000000000</v>
      </c>
      <c r="G40">
        <v>73420000000000</v>
      </c>
      <c r="H40">
        <v>76700000000000</v>
      </c>
      <c r="I40">
        <v>79980000000000</v>
      </c>
      <c r="J40">
        <v>83260000000000</v>
      </c>
      <c r="K40">
        <v>88330000000000</v>
      </c>
      <c r="L40">
        <v>93400000000000</v>
      </c>
      <c r="M40">
        <v>98470000000000</v>
      </c>
      <c r="N40">
        <v>103500000000000</v>
      </c>
      <c r="O40">
        <v>108600000000000</v>
      </c>
      <c r="P40">
        <v>114700000000000</v>
      </c>
      <c r="Q40">
        <v>120800000000000</v>
      </c>
      <c r="R40">
        <v>126900000000000</v>
      </c>
      <c r="S40">
        <v>133000000000000</v>
      </c>
      <c r="T40">
        <v>139100000000000</v>
      </c>
      <c r="U40">
        <v>143500000000000</v>
      </c>
      <c r="V40">
        <v>147900000000000</v>
      </c>
      <c r="W40">
        <v>152200000000000</v>
      </c>
      <c r="X40">
        <v>156600000000000</v>
      </c>
      <c r="Y40">
        <v>160900000000000</v>
      </c>
      <c r="Z40">
        <v>164900000000000</v>
      </c>
      <c r="AA40">
        <v>168900000000000</v>
      </c>
      <c r="AB40">
        <v>172900000000000</v>
      </c>
      <c r="AC40">
        <v>176900000000000</v>
      </c>
      <c r="AD40">
        <v>180900000000000</v>
      </c>
    </row>
    <row r="41" spans="1:30">
      <c r="A41" t="s">
        <v>45</v>
      </c>
      <c r="B41" t="s">
        <v>48</v>
      </c>
      <c r="C4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46</v>
      </c>
      <c r="B42" t="s">
        <v>48</v>
      </c>
      <c r="C42" t="s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46</v>
      </c>
      <c r="B43" t="s">
        <v>48</v>
      </c>
      <c r="C43" t="s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46</v>
      </c>
      <c r="B44" t="s">
        <v>48</v>
      </c>
      <c r="C44" t="s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46</v>
      </c>
      <c r="B45" t="s">
        <v>48</v>
      </c>
      <c r="C45" t="s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46</v>
      </c>
      <c r="B46" t="s">
        <v>48</v>
      </c>
      <c r="C46" t="s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t="s">
        <v>38</v>
      </c>
      <c r="B47" t="s">
        <v>49</v>
      </c>
      <c r="C47" t="s">
        <v>40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38</v>
      </c>
      <c r="B48" t="s">
        <v>49</v>
      </c>
      <c r="C48" t="s">
        <v>41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38</v>
      </c>
      <c r="B49" t="s">
        <v>49</v>
      </c>
      <c r="C49" t="s">
        <v>42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38</v>
      </c>
      <c r="B50" t="s">
        <v>49</v>
      </c>
      <c r="C50" t="s">
        <v>43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38</v>
      </c>
      <c r="B51" t="s">
        <v>49</v>
      </c>
      <c r="C51" t="s">
        <v>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45</v>
      </c>
      <c r="B52" t="s">
        <v>49</v>
      </c>
      <c r="C52" t="s">
        <v>40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30">
      <c r="A53" t="s">
        <v>45</v>
      </c>
      <c r="B53" t="s">
        <v>49</v>
      </c>
      <c r="C53" t="s">
        <v>41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45</v>
      </c>
      <c r="B54" t="s">
        <v>49</v>
      </c>
      <c r="C54" t="s">
        <v>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t="s">
        <v>45</v>
      </c>
      <c r="B55" t="s">
        <v>49</v>
      </c>
      <c r="C55" t="s">
        <v>43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45</v>
      </c>
      <c r="B56" t="s">
        <v>49</v>
      </c>
      <c r="C56" t="s">
        <v>44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46</v>
      </c>
      <c r="B57" t="s">
        <v>49</v>
      </c>
      <c r="C57" t="s">
        <v>40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46</v>
      </c>
      <c r="B58" t="s">
        <v>49</v>
      </c>
      <c r="C58" t="s">
        <v>41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46</v>
      </c>
      <c r="B59" t="s">
        <v>49</v>
      </c>
      <c r="C59" t="s">
        <v>42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t="s">
        <v>46</v>
      </c>
      <c r="B60" t="s">
        <v>49</v>
      </c>
      <c r="C60" t="s">
        <v>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46</v>
      </c>
      <c r="B61" t="s">
        <v>49</v>
      </c>
      <c r="C61" t="s">
        <v>44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38</v>
      </c>
      <c r="B62" t="s">
        <v>50</v>
      </c>
      <c r="C62" t="s">
        <v>40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t="s">
        <v>38</v>
      </c>
      <c r="B63" t="s">
        <v>50</v>
      </c>
      <c r="C63" t="s">
        <v>41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t="s">
        <v>38</v>
      </c>
      <c r="B64" t="s">
        <v>50</v>
      </c>
      <c r="C64" t="s">
        <v>42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38</v>
      </c>
      <c r="B65" t="s">
        <v>50</v>
      </c>
      <c r="C65" t="s">
        <v>43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38</v>
      </c>
      <c r="B66" t="s">
        <v>50</v>
      </c>
      <c r="C66" t="s">
        <v>44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t="s">
        <v>45</v>
      </c>
      <c r="B67" t="s">
        <v>50</v>
      </c>
      <c r="C67" t="s">
        <v>40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30">
      <c r="A68" t="s">
        <v>45</v>
      </c>
      <c r="B68" t="s">
        <v>50</v>
      </c>
      <c r="C68" t="s">
        <v>41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t="s">
        <v>45</v>
      </c>
      <c r="B69" t="s">
        <v>50</v>
      </c>
      <c r="C69" t="s">
        <v>42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>
      <c r="A70" t="s">
        <v>45</v>
      </c>
      <c r="B70" t="s">
        <v>50</v>
      </c>
      <c r="C70" t="s">
        <v>43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>
      <c r="A71" t="s">
        <v>45</v>
      </c>
      <c r="B71" t="s">
        <v>50</v>
      </c>
      <c r="C71" t="s">
        <v>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 t="s">
        <v>46</v>
      </c>
      <c r="B72" t="s">
        <v>50</v>
      </c>
      <c r="C72" t="s">
        <v>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46</v>
      </c>
      <c r="B73" t="s">
        <v>50</v>
      </c>
      <c r="C73" t="s">
        <v>41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t="s">
        <v>46</v>
      </c>
      <c r="B74" t="s">
        <v>50</v>
      </c>
      <c r="C74" t="s">
        <v>42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>
      <c r="A75" t="s">
        <v>46</v>
      </c>
      <c r="B75" t="s">
        <v>50</v>
      </c>
      <c r="C75" t="s">
        <v>43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46</v>
      </c>
      <c r="B76" t="s">
        <v>50</v>
      </c>
      <c r="C76" t="s">
        <v>44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>
      <c r="A77" t="s">
        <v>38</v>
      </c>
      <c r="B77" t="s">
        <v>51</v>
      </c>
      <c r="C77" t="s">
        <v>40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38</v>
      </c>
      <c r="B78" t="s">
        <v>51</v>
      </c>
      <c r="C78" t="s">
        <v>41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t="s">
        <v>38</v>
      </c>
      <c r="B79" t="s">
        <v>51</v>
      </c>
      <c r="C79" t="s">
        <v>42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t="s">
        <v>38</v>
      </c>
      <c r="B80" t="s">
        <v>51</v>
      </c>
      <c r="C80" t="s">
        <v>43</v>
      </c>
      <c r="D80">
        <v>318348000000000</v>
      </c>
      <c r="E80">
        <v>286512000000000</v>
      </c>
      <c r="F80">
        <v>251902000000000</v>
      </c>
      <c r="G80">
        <v>217291000000000</v>
      </c>
      <c r="H80">
        <v>182681000000000</v>
      </c>
      <c r="I80">
        <v>148071000000000</v>
      </c>
      <c r="J80">
        <v>113461000000000</v>
      </c>
      <c r="K80">
        <v>101680000000000</v>
      </c>
      <c r="L80">
        <v>89899400000000</v>
      </c>
      <c r="M80">
        <v>78118700000000</v>
      </c>
      <c r="N80">
        <v>66338100000000</v>
      </c>
      <c r="O80">
        <v>54557400000000</v>
      </c>
      <c r="P80">
        <v>43645900000000</v>
      </c>
      <c r="Q80">
        <v>32734500000000</v>
      </c>
      <c r="R80">
        <v>21823000000000</v>
      </c>
      <c r="S80">
        <v>10911500000000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 t="s">
        <v>38</v>
      </c>
      <c r="B81" t="s">
        <v>51</v>
      </c>
      <c r="C81" t="s">
        <v>44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45</v>
      </c>
      <c r="B82" t="s">
        <v>51</v>
      </c>
      <c r="C82" t="s">
        <v>40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30">
      <c r="A83" t="s">
        <v>45</v>
      </c>
      <c r="B83" t="s">
        <v>51</v>
      </c>
      <c r="C83" t="s">
        <v>41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>
      <c r="A84" t="s">
        <v>45</v>
      </c>
      <c r="B84" t="s">
        <v>51</v>
      </c>
      <c r="C84" t="s">
        <v>42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t="s">
        <v>45</v>
      </c>
      <c r="B85" t="s">
        <v>51</v>
      </c>
      <c r="C85" t="s">
        <v>43</v>
      </c>
      <c r="D85">
        <v>2660000000000000</v>
      </c>
      <c r="E85">
        <v>2470000000000000</v>
      </c>
      <c r="F85">
        <v>2302000000000000</v>
      </c>
      <c r="G85">
        <v>2134000000000000</v>
      </c>
      <c r="H85">
        <v>1966000000000000</v>
      </c>
      <c r="I85">
        <v>1799000000000000</v>
      </c>
      <c r="J85">
        <v>1631000000000000</v>
      </c>
      <c r="K85">
        <v>1507000000000000</v>
      </c>
      <c r="L85">
        <v>1383000000000000</v>
      </c>
      <c r="M85">
        <v>1260000000000000</v>
      </c>
      <c r="N85">
        <v>1136000000000000</v>
      </c>
      <c r="O85">
        <v>1012000000000000</v>
      </c>
      <c r="P85">
        <v>925400000000000</v>
      </c>
      <c r="Q85">
        <v>838400000000000</v>
      </c>
      <c r="R85">
        <v>751300000000000</v>
      </c>
      <c r="S85">
        <v>664300000000000</v>
      </c>
      <c r="T85">
        <v>577200000000000</v>
      </c>
      <c r="U85">
        <v>554800000000000</v>
      </c>
      <c r="V85">
        <v>532300000000000</v>
      </c>
      <c r="W85">
        <v>509800000000000</v>
      </c>
      <c r="X85">
        <v>487300000000000</v>
      </c>
      <c r="Y85">
        <v>464800000000000</v>
      </c>
      <c r="Z85">
        <v>442700000000000</v>
      </c>
      <c r="AA85">
        <v>420600000000000</v>
      </c>
      <c r="AB85">
        <v>398400000000000</v>
      </c>
      <c r="AC85">
        <v>376300000000000</v>
      </c>
      <c r="AD85">
        <v>354200000000000</v>
      </c>
    </row>
    <row r="86" spans="1:30">
      <c r="A86" t="s">
        <v>45</v>
      </c>
      <c r="B86" t="s">
        <v>51</v>
      </c>
      <c r="C86" t="s">
        <v>44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>
      <c r="A87" t="s">
        <v>46</v>
      </c>
      <c r="B87" t="s">
        <v>51</v>
      </c>
      <c r="C87" t="s">
        <v>40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46</v>
      </c>
      <c r="B88" t="s">
        <v>51</v>
      </c>
      <c r="C88" t="s">
        <v>41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t="s">
        <v>46</v>
      </c>
      <c r="B89" t="s">
        <v>51</v>
      </c>
      <c r="C89" t="s">
        <v>42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t="s">
        <v>46</v>
      </c>
      <c r="B90" t="s">
        <v>51</v>
      </c>
      <c r="C90" t="s">
        <v>43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46</v>
      </c>
      <c r="B91" t="s">
        <v>51</v>
      </c>
      <c r="C91" t="s">
        <v>44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>
      <c r="A92" t="s">
        <v>38</v>
      </c>
      <c r="B92" t="s">
        <v>52</v>
      </c>
      <c r="C92" t="s">
        <v>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 t="s">
        <v>38</v>
      </c>
      <c r="B93" t="s">
        <v>52</v>
      </c>
      <c r="C93" t="s">
        <v>41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38</v>
      </c>
      <c r="B94" t="s">
        <v>52</v>
      </c>
      <c r="C94" t="s">
        <v>42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t="s">
        <v>38</v>
      </c>
      <c r="B95" t="s">
        <v>52</v>
      </c>
      <c r="C95" t="s">
        <v>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 t="s">
        <v>38</v>
      </c>
      <c r="B96" t="s">
        <v>52</v>
      </c>
      <c r="C96" t="s">
        <v>44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53">
      <c r="A97" t="s">
        <v>45</v>
      </c>
      <c r="B97" t="s">
        <v>52</v>
      </c>
      <c r="C97" t="s">
        <v>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53">
      <c r="A98" t="s">
        <v>45</v>
      </c>
      <c r="B98" t="s">
        <v>52</v>
      </c>
      <c r="C98" t="s">
        <v>41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53">
      <c r="A99" t="s">
        <v>45</v>
      </c>
      <c r="B99" t="s">
        <v>52</v>
      </c>
      <c r="C99" t="s">
        <v>42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53">
      <c r="A100" t="s">
        <v>45</v>
      </c>
      <c r="B100" t="s">
        <v>52</v>
      </c>
      <c r="C100" t="s">
        <v>43</v>
      </c>
      <c r="D100">
        <v>4464000000000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53">
      <c r="A101" t="s">
        <v>45</v>
      </c>
      <c r="B101" t="s">
        <v>52</v>
      </c>
      <c r="C101" t="s">
        <v>44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53">
      <c r="A102" t="s">
        <v>46</v>
      </c>
      <c r="B102" t="s">
        <v>52</v>
      </c>
      <c r="C102" t="s">
        <v>40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pans="1:53">
      <c r="A103" t="s">
        <v>46</v>
      </c>
      <c r="B103" t="s">
        <v>52</v>
      </c>
      <c r="C103" t="s">
        <v>41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pans="1:53">
      <c r="A104" t="s">
        <v>46</v>
      </c>
      <c r="B104" t="s">
        <v>52</v>
      </c>
      <c r="C104" t="s">
        <v>42</v>
      </c>
      <c r="D104" s="12">
        <v>59176000000000</v>
      </c>
      <c r="E104" s="12">
        <v>39450700000000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>
      <c r="A105" t="s">
        <v>46</v>
      </c>
      <c r="B105" t="s">
        <v>52</v>
      </c>
      <c r="C105" t="s">
        <v>43</v>
      </c>
      <c r="D105" s="12">
        <v>6575110000000</v>
      </c>
      <c r="E105" s="12">
        <v>4383410000000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>
      <c r="A106" t="s">
        <v>46</v>
      </c>
      <c r="B106" t="s">
        <v>52</v>
      </c>
      <c r="C106" t="s">
        <v>44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>
      <c r="A107" t="s">
        <v>38</v>
      </c>
      <c r="B107" t="s">
        <v>53</v>
      </c>
      <c r="C107" t="s">
        <v>40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53">
      <c r="A108" t="s">
        <v>38</v>
      </c>
      <c r="B108" t="s">
        <v>53</v>
      </c>
      <c r="C108" t="s">
        <v>41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53">
      <c r="A109" t="s">
        <v>38</v>
      </c>
      <c r="B109" t="s">
        <v>53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53">
      <c r="A110" t="s">
        <v>38</v>
      </c>
      <c r="B110" t="s">
        <v>53</v>
      </c>
      <c r="C110" t="s">
        <v>43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53">
      <c r="A111" t="s">
        <v>38</v>
      </c>
      <c r="B111" t="s">
        <v>53</v>
      </c>
      <c r="C111" t="s">
        <v>44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53">
      <c r="A112" t="s">
        <v>45</v>
      </c>
      <c r="B112" t="s">
        <v>53</v>
      </c>
      <c r="C112" t="s">
        <v>40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30">
      <c r="A113" t="s">
        <v>45</v>
      </c>
      <c r="B113" t="s">
        <v>53</v>
      </c>
      <c r="C113" t="s">
        <v>41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>
      <c r="A114" t="s">
        <v>45</v>
      </c>
      <c r="B114" t="s">
        <v>53</v>
      </c>
      <c r="C114" t="s">
        <v>42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 t="s">
        <v>45</v>
      </c>
      <c r="B115" t="s">
        <v>53</v>
      </c>
      <c r="C115" t="s">
        <v>43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t="s">
        <v>45</v>
      </c>
      <c r="B116" t="s">
        <v>53</v>
      </c>
      <c r="C116" t="s">
        <v>44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 t="s">
        <v>46</v>
      </c>
      <c r="B117" t="s">
        <v>53</v>
      </c>
      <c r="C117" t="s">
        <v>40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t="s">
        <v>46</v>
      </c>
      <c r="B118" t="s">
        <v>53</v>
      </c>
      <c r="C118" t="s">
        <v>41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t="s">
        <v>46</v>
      </c>
      <c r="B119" t="s">
        <v>53</v>
      </c>
      <c r="C119" t="s">
        <v>42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>
      <c r="A120" t="s">
        <v>46</v>
      </c>
      <c r="B120" t="s">
        <v>53</v>
      </c>
      <c r="C120" t="s">
        <v>43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46</v>
      </c>
      <c r="B121" t="s">
        <v>53</v>
      </c>
      <c r="C121" t="s">
        <v>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>
      <c r="A122" t="s">
        <v>38</v>
      </c>
      <c r="B122" t="s">
        <v>54</v>
      </c>
      <c r="C122" t="s">
        <v>40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38</v>
      </c>
      <c r="B123" t="s">
        <v>54</v>
      </c>
      <c r="C123" t="s">
        <v>41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>
      <c r="A124" t="s">
        <v>38</v>
      </c>
      <c r="B124" t="s">
        <v>54</v>
      </c>
      <c r="C124" t="s">
        <v>42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t="s">
        <v>38</v>
      </c>
      <c r="B125" t="s">
        <v>54</v>
      </c>
      <c r="C125" t="s">
        <v>43</v>
      </c>
      <c r="D125">
        <v>601022000000000</v>
      </c>
      <c r="E125">
        <v>601471000000000</v>
      </c>
      <c r="F125">
        <v>601920000000000</v>
      </c>
      <c r="G125">
        <v>602369000000000</v>
      </c>
      <c r="H125">
        <v>602818000000000</v>
      </c>
      <c r="I125">
        <v>603267000000000</v>
      </c>
      <c r="J125">
        <v>608133000000000</v>
      </c>
      <c r="K125">
        <v>612998000000000</v>
      </c>
      <c r="L125">
        <v>617864000000000</v>
      </c>
      <c r="M125">
        <v>622730000000000</v>
      </c>
      <c r="N125">
        <v>627596000000000</v>
      </c>
      <c r="O125">
        <v>634292000000000</v>
      </c>
      <c r="P125">
        <v>640988000000000</v>
      </c>
      <c r="Q125">
        <v>647684000000000</v>
      </c>
      <c r="R125">
        <v>654380000000000</v>
      </c>
      <c r="S125">
        <v>661077000000000</v>
      </c>
      <c r="T125">
        <v>652347000000000</v>
      </c>
      <c r="U125">
        <v>643618000000000</v>
      </c>
      <c r="V125">
        <v>634889000000000</v>
      </c>
      <c r="W125">
        <v>626159000000000</v>
      </c>
      <c r="X125">
        <v>617430000000000</v>
      </c>
      <c r="Y125">
        <v>615695000000000</v>
      </c>
      <c r="Z125">
        <v>613961000000000</v>
      </c>
      <c r="AA125">
        <v>612226000000000</v>
      </c>
      <c r="AB125">
        <v>610491000000000</v>
      </c>
      <c r="AC125">
        <v>608756000000000</v>
      </c>
      <c r="AD125">
        <v>607022000000000</v>
      </c>
    </row>
    <row r="126" spans="1:30">
      <c r="A126" t="s">
        <v>38</v>
      </c>
      <c r="B126" t="s">
        <v>54</v>
      </c>
      <c r="C126" t="s">
        <v>44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t="s">
        <v>45</v>
      </c>
      <c r="B127" t="s">
        <v>54</v>
      </c>
      <c r="C127" t="s">
        <v>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30">
      <c r="A128" t="s">
        <v>45</v>
      </c>
      <c r="B128" t="s">
        <v>54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t="s">
        <v>45</v>
      </c>
      <c r="B129" t="s">
        <v>54</v>
      </c>
      <c r="C129" t="s">
        <v>42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 t="s">
        <v>45</v>
      </c>
      <c r="B130" t="s">
        <v>54</v>
      </c>
      <c r="C130" t="s">
        <v>43</v>
      </c>
      <c r="D130">
        <v>452000000000000</v>
      </c>
      <c r="E130">
        <v>476300000000000</v>
      </c>
      <c r="F130">
        <v>491100000000000</v>
      </c>
      <c r="G130">
        <v>506000000000000</v>
      </c>
      <c r="H130">
        <v>520900000000000</v>
      </c>
      <c r="I130">
        <v>535700000000000</v>
      </c>
      <c r="J130">
        <v>550600000000000</v>
      </c>
      <c r="K130">
        <v>586000000000000</v>
      </c>
      <c r="L130">
        <v>621500000000000</v>
      </c>
      <c r="M130">
        <v>656900000000000</v>
      </c>
      <c r="N130">
        <v>692300000000000</v>
      </c>
      <c r="O130">
        <v>727700000000000</v>
      </c>
      <c r="P130">
        <v>726400000000000</v>
      </c>
      <c r="Q130">
        <v>725000000000000</v>
      </c>
      <c r="R130">
        <v>723600000000000</v>
      </c>
      <c r="S130">
        <v>722200000000000</v>
      </c>
      <c r="T130">
        <v>720900000000000</v>
      </c>
      <c r="U130">
        <v>720100000000000</v>
      </c>
      <c r="V130">
        <v>719400000000000</v>
      </c>
      <c r="W130">
        <v>718600000000000</v>
      </c>
      <c r="X130">
        <v>717900000000000</v>
      </c>
      <c r="Y130">
        <v>717100000000000</v>
      </c>
      <c r="Z130">
        <v>714300000000000</v>
      </c>
      <c r="AA130">
        <v>711400000000000</v>
      </c>
      <c r="AB130">
        <v>708600000000000</v>
      </c>
      <c r="AC130">
        <v>705700000000000</v>
      </c>
      <c r="AD130">
        <v>702800000000000</v>
      </c>
    </row>
    <row r="131" spans="1:30">
      <c r="A131" t="s">
        <v>45</v>
      </c>
      <c r="B131" t="s">
        <v>54</v>
      </c>
      <c r="C131" t="s">
        <v>44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t="s">
        <v>46</v>
      </c>
      <c r="B132" t="s">
        <v>54</v>
      </c>
      <c r="C132" t="s">
        <v>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t="s">
        <v>46</v>
      </c>
      <c r="B133" t="s">
        <v>54</v>
      </c>
      <c r="C133" t="s">
        <v>41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 t="s">
        <v>46</v>
      </c>
      <c r="B134" t="s">
        <v>54</v>
      </c>
      <c r="C134" t="s">
        <v>42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 t="s">
        <v>46</v>
      </c>
      <c r="B135" t="s">
        <v>54</v>
      </c>
      <c r="C135" t="s">
        <v>43</v>
      </c>
      <c r="D135">
        <v>1206450000000000</v>
      </c>
      <c r="E135">
        <v>1246660000000000</v>
      </c>
      <c r="F135">
        <v>1265300000000000</v>
      </c>
      <c r="G135">
        <v>1283950000000000</v>
      </c>
      <c r="H135">
        <v>1302590000000000</v>
      </c>
      <c r="I135">
        <v>1321230000000000</v>
      </c>
      <c r="J135">
        <v>1339880000000000</v>
      </c>
      <c r="K135">
        <v>1388490000000000</v>
      </c>
      <c r="L135">
        <v>1437110000000000</v>
      </c>
      <c r="M135">
        <v>1485730000000000</v>
      </c>
      <c r="N135">
        <v>1534350000000000</v>
      </c>
      <c r="O135">
        <v>1582970000000000</v>
      </c>
      <c r="P135">
        <v>1588710000000000</v>
      </c>
      <c r="Q135">
        <v>1594450000000000</v>
      </c>
      <c r="R135">
        <v>1600190000000000</v>
      </c>
      <c r="S135">
        <v>1605930000000000</v>
      </c>
      <c r="T135">
        <v>1611670000000000</v>
      </c>
      <c r="U135">
        <v>1601090000000000</v>
      </c>
      <c r="V135">
        <v>1590510000000000</v>
      </c>
      <c r="W135">
        <v>1579930000000000</v>
      </c>
      <c r="X135">
        <v>1569350000000000</v>
      </c>
      <c r="Y135">
        <v>1558770000000000</v>
      </c>
      <c r="Z135">
        <v>1553370000000000</v>
      </c>
      <c r="AA135">
        <v>1547960000000000</v>
      </c>
      <c r="AB135">
        <v>1542560000000000</v>
      </c>
      <c r="AC135">
        <v>1537150000000000</v>
      </c>
      <c r="AD135">
        <v>1531750000000000</v>
      </c>
    </row>
    <row r="136" spans="1:30">
      <c r="A136" t="s">
        <v>46</v>
      </c>
      <c r="B136" t="s">
        <v>54</v>
      </c>
      <c r="C136" t="s">
        <v>44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t="s">
        <v>38</v>
      </c>
      <c r="B137" t="s">
        <v>55</v>
      </c>
      <c r="C137" t="s">
        <v>40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 t="s">
        <v>38</v>
      </c>
      <c r="B138" t="s">
        <v>55</v>
      </c>
      <c r="C138" t="s">
        <v>41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>
      <c r="A139" t="s">
        <v>38</v>
      </c>
      <c r="B139" t="s">
        <v>55</v>
      </c>
      <c r="C139" t="s">
        <v>42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 t="s">
        <v>38</v>
      </c>
      <c r="B140" t="s">
        <v>55</v>
      </c>
      <c r="C140" t="s">
        <v>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t="s">
        <v>38</v>
      </c>
      <c r="B141" t="s">
        <v>55</v>
      </c>
      <c r="C141" t="s">
        <v>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t="s">
        <v>45</v>
      </c>
      <c r="B142" t="s">
        <v>55</v>
      </c>
      <c r="C142" t="s">
        <v>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30">
      <c r="A143" t="s">
        <v>45</v>
      </c>
      <c r="B143" t="s">
        <v>55</v>
      </c>
      <c r="C143" t="s">
        <v>41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45</v>
      </c>
      <c r="B144" t="s">
        <v>55</v>
      </c>
      <c r="C144" t="s">
        <v>42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45</v>
      </c>
      <c r="B145" t="s">
        <v>55</v>
      </c>
      <c r="C145" t="s">
        <v>43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45</v>
      </c>
      <c r="B146" t="s">
        <v>55</v>
      </c>
      <c r="C146" t="s">
        <v>44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46</v>
      </c>
      <c r="B147" t="s">
        <v>55</v>
      </c>
      <c r="C147" t="s">
        <v>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 t="s">
        <v>46</v>
      </c>
      <c r="B148" t="s">
        <v>55</v>
      </c>
      <c r="C148" t="s">
        <v>41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t="s">
        <v>46</v>
      </c>
      <c r="B149" t="s">
        <v>55</v>
      </c>
      <c r="C149" t="s">
        <v>42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t="s">
        <v>46</v>
      </c>
      <c r="B150" t="s">
        <v>55</v>
      </c>
      <c r="C150" t="s">
        <v>43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t="s">
        <v>46</v>
      </c>
      <c r="B151" t="s">
        <v>55</v>
      </c>
      <c r="C151" t="s">
        <v>44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I11"/>
  <sheetViews>
    <sheetView workbookViewId="0">
      <pane xSplit="1" ySplit="1" topLeftCell="D2" activePane="bottomRight" state="frozen"/>
      <selection pane="bottomRight" sqref="A1:G11"/>
      <selection pane="bottomLeft" activeCell="M41" sqref="M41"/>
      <selection pane="topRight" activeCell="M41" sqref="M41"/>
    </sheetView>
  </sheetViews>
  <sheetFormatPr defaultRowHeight="14.45"/>
  <cols>
    <col min="1" max="1" width="29.85546875" customWidth="1"/>
    <col min="2" max="7" width="23.85546875" customWidth="1"/>
  </cols>
  <sheetData>
    <row r="1" spans="1:9">
      <c r="A1" s="1" t="s">
        <v>56</v>
      </c>
      <c r="B1" s="7" t="s">
        <v>57</v>
      </c>
      <c r="C1" s="7" t="s">
        <v>41</v>
      </c>
      <c r="D1" s="7" t="s">
        <v>58</v>
      </c>
      <c r="E1" s="7" t="s">
        <v>59</v>
      </c>
      <c r="F1" s="7" t="s">
        <v>60</v>
      </c>
      <c r="G1" s="7" t="s">
        <v>61</v>
      </c>
      <c r="H1" s="1"/>
      <c r="I1" s="1"/>
    </row>
    <row r="2" spans="1:9">
      <c r="A2" s="1" t="s">
        <v>39</v>
      </c>
      <c r="B2">
        <f>SUMIFS(INDEX('Calculations - from BCEU'!$D$2:$AK$151,,MATCH(About!$A$41,'Calculations - from BCEU'!$D$1:$AK$1,0)),'Calculations - from BCEU'!$A$2:$A$151,"Urban Residential",'Calculations - from BCEU'!$C$2:$C$151,B$1,'Calculations - from BCEU'!$B$2:$B$151,$A2)</f>
        <v>0</v>
      </c>
      <c r="C2">
        <f>SUMIFS(INDEX('Calculations - from BCEU'!$D$2:$AK$151,,MATCH(About!$A$41,'Calculations - from BCEU'!$D$1:$AK$1,0)),'Calculations - from BCEU'!$A$2:$A$151,"Urban Residential",'Calculations - from BCEU'!$C$2:$C$151,C$1,'Calculations - from BCEU'!$B$2:$B$151,$A2)</f>
        <v>153000000000000</v>
      </c>
      <c r="D2">
        <f>SUMIFS(INDEX('Calculations - from BCEU'!$D$2:$AK$151,,MATCH(About!$A$41,'Calculations - from BCEU'!$D$1:$AK$1,0)),'Calculations - from BCEU'!$A$2:$A$151,"Urban Residential",'Calculations - from BCEU'!$C$2:$C$151,D$1,'Calculations - from BCEU'!$B$2:$B$151,$A2)</f>
        <v>0</v>
      </c>
      <c r="E2">
        <f>SUMIFS(INDEX('Calculations - from BCEU'!$D$2:$AK$151,,MATCH(About!$A$41,'Calculations - from BCEU'!$D$1:$AK$1,0)),'Calculations - from BCEU'!$A$2:$A$151,"Urban Residential",'Calculations - from BCEU'!$C$2:$C$151,E$1,'Calculations - from BCEU'!$B$2:$B$151,$A2)</f>
        <v>57700000000000</v>
      </c>
      <c r="F2">
        <f>SUMIFS(INDEX('Calculations - from BCEU'!$D$2:$AK$151,,MATCH(About!$A$41,'Calculations - from BCEU'!$D$1:$AK$1,0)),'Calculations - from BCEU'!$A$2:$A$151,"Urban Residential",'Calculations - from BCEU'!$C$2:$C$151,F$1,'Calculations - from BCEU'!$B$2:$B$151,$A2)</f>
        <v>198000000000000</v>
      </c>
      <c r="G2">
        <f>SUMIFS(INDEX('Calculations - from BCEU'!$D$2:$AK$151,,MATCH(About!$A$41,'Calculations - from BCEU'!$D$1:$AK$1,0)),'Calculations - from BCEU'!$A$2:$A$151,"Urban Residential",'Calculations - from BCEU'!$C$2:$C$151,G$1,'Calculations - from BCEU'!$B$2:$B$151,$A2)</f>
        <v>33500000000000</v>
      </c>
      <c r="I2" s="6"/>
    </row>
    <row r="3" spans="1:9">
      <c r="A3" s="1" t="s">
        <v>47</v>
      </c>
      <c r="B3">
        <f>SUMIFS(INDEX('Calculations - from BCEU'!$D$2:$AK$151,,MATCH(About!$A$41,'Calculations - from BCEU'!$D$1:$AK$1,0)),'Calculations - from BCEU'!$A$2:$A$151,"Urban Residential",'Calculations - from BCEU'!$C$2:$C$151,B$1,'Calculations - from BCEU'!$B$2:$B$151,$A3)</f>
        <v>0</v>
      </c>
      <c r="C3">
        <f>SUMIFS(INDEX('Calculations - from BCEU'!$D$2:$AK$151,,MATCH(About!$A$41,'Calculations - from BCEU'!$D$1:$AK$1,0)),'Calculations - from BCEU'!$A$2:$A$151,"Urban Residential",'Calculations - from BCEU'!$C$2:$C$151,C$1,'Calculations - from BCEU'!$B$2:$B$151,$A3)</f>
        <v>0</v>
      </c>
      <c r="D3">
        <f>SUMIFS(INDEX('Calculations - from BCEU'!$D$2:$AK$151,,MATCH(About!$A$41,'Calculations - from BCEU'!$D$1:$AK$1,0)),'Calculations - from BCEU'!$A$2:$A$151,"Urban Residential",'Calculations - from BCEU'!$C$2:$C$151,D$1,'Calculations - from BCEU'!$B$2:$B$151,$A3)</f>
        <v>0</v>
      </c>
      <c r="E3">
        <f>SUMIFS(INDEX('Calculations - from BCEU'!$D$2:$AK$151,,MATCH(About!$A$41,'Calculations - from BCEU'!$D$1:$AK$1,0)),'Calculations - from BCEU'!$A$2:$A$151,"Urban Residential",'Calculations - from BCEU'!$C$2:$C$151,E$1,'Calculations - from BCEU'!$B$2:$B$151,$A3)</f>
        <v>0</v>
      </c>
      <c r="F3">
        <f>SUMIFS(INDEX('Calculations - from BCEU'!$D$2:$AK$151,,MATCH(About!$A$41,'Calculations - from BCEU'!$D$1:$AK$1,0)),'Calculations - from BCEU'!$A$2:$A$151,"Urban Residential",'Calculations - from BCEU'!$C$2:$C$151,F$1,'Calculations - from BCEU'!$B$2:$B$151,$A3)</f>
        <v>0</v>
      </c>
      <c r="G3">
        <f>SUMIFS(INDEX('Calculations - from BCEU'!$D$2:$AK$151,,MATCH(About!$A$41,'Calculations - from BCEU'!$D$1:$AK$1,0)),'Calculations - from BCEU'!$A$2:$A$151,"Urban Residential",'Calculations - from BCEU'!$C$2:$C$151,G$1,'Calculations - from BCEU'!$B$2:$B$151,$A3)</f>
        <v>0</v>
      </c>
    </row>
    <row r="4" spans="1:9">
      <c r="A4" s="1" t="s">
        <v>48</v>
      </c>
      <c r="B4">
        <f>SUMIFS(INDEX('Calculations - from BCEU'!$D$2:$AK$151,,MATCH(About!$A$41,'Calculations - from BCEU'!$D$1:$AK$1,0)),'Calculations - from BCEU'!$A$2:$A$151,"Urban Residential",'Calculations - from BCEU'!$C$2:$C$151,B$1,'Calculations - from BCEU'!$B$2:$B$151,$A4)</f>
        <v>0</v>
      </c>
      <c r="C4">
        <f>SUMIFS(INDEX('Calculations - from BCEU'!$D$2:$AK$151,,MATCH(About!$A$41,'Calculations - from BCEU'!$D$1:$AK$1,0)),'Calculations - from BCEU'!$A$2:$A$151,"Urban Residential",'Calculations - from BCEU'!$C$2:$C$151,C$1,'Calculations - from BCEU'!$B$2:$B$151,$A4)</f>
        <v>0</v>
      </c>
      <c r="D4">
        <f>SUMIFS(INDEX('Calculations - from BCEU'!$D$2:$AK$151,,MATCH(About!$A$41,'Calculations - from BCEU'!$D$1:$AK$1,0)),'Calculations - from BCEU'!$A$2:$A$151,"Urban Residential",'Calculations - from BCEU'!$C$2:$C$151,D$1,'Calculations - from BCEU'!$B$2:$B$151,$A4)</f>
        <v>0</v>
      </c>
      <c r="E4">
        <f>SUMIFS(INDEX('Calculations - from BCEU'!$D$2:$AK$151,,MATCH(About!$A$41,'Calculations - from BCEU'!$D$1:$AK$1,0)),'Calculations - from BCEU'!$A$2:$A$151,"Urban Residential",'Calculations - from BCEU'!$C$2:$C$151,E$1,'Calculations - from BCEU'!$B$2:$B$151,$A4)</f>
        <v>0</v>
      </c>
      <c r="F4">
        <f>SUMIFS(INDEX('Calculations - from BCEU'!$D$2:$AK$151,,MATCH(About!$A$41,'Calculations - from BCEU'!$D$1:$AK$1,0)),'Calculations - from BCEU'!$A$2:$A$151,"Urban Residential",'Calculations - from BCEU'!$C$2:$C$151,F$1,'Calculations - from BCEU'!$B$2:$B$151,$A4)</f>
        <v>123167000000000</v>
      </c>
      <c r="G4">
        <f>SUMIFS(INDEX('Calculations - from BCEU'!$D$2:$AK$151,,MATCH(About!$A$41,'Calculations - from BCEU'!$D$1:$AK$1,0)),'Calculations - from BCEU'!$A$2:$A$151,"Urban Residential",'Calculations - from BCEU'!$C$2:$C$151,G$1,'Calculations - from BCEU'!$B$2:$B$151,$A4)</f>
        <v>0</v>
      </c>
    </row>
    <row r="5" spans="1:9">
      <c r="A5" s="1" t="s">
        <v>49</v>
      </c>
      <c r="B5">
        <f>SUMIFS(INDEX('Calculations - from BCEU'!$D$2:$AK$151,,MATCH(About!$A$41,'Calculations - from BCEU'!$D$1:$AK$1,0)),'Calculations - from BCEU'!$A$2:$A$151,"Urban Residential",'Calculations - from BCEU'!$C$2:$C$151,B$1,'Calculations - from BCEU'!$B$2:$B$151,$A5)</f>
        <v>0</v>
      </c>
      <c r="C5">
        <f>SUMIFS(INDEX('Calculations - from BCEU'!$D$2:$AK$151,,MATCH(About!$A$41,'Calculations - from BCEU'!$D$1:$AK$1,0)),'Calculations - from BCEU'!$A$2:$A$151,"Urban Residential",'Calculations - from BCEU'!$C$2:$C$151,C$1,'Calculations - from BCEU'!$B$2:$B$151,$A5)</f>
        <v>0</v>
      </c>
      <c r="D5">
        <f>SUMIFS(INDEX('Calculations - from BCEU'!$D$2:$AK$151,,MATCH(About!$A$41,'Calculations - from BCEU'!$D$1:$AK$1,0)),'Calculations - from BCEU'!$A$2:$A$151,"Urban Residential",'Calculations - from BCEU'!$C$2:$C$151,D$1,'Calculations - from BCEU'!$B$2:$B$151,$A5)</f>
        <v>0</v>
      </c>
      <c r="E5">
        <f>SUMIFS(INDEX('Calculations - from BCEU'!$D$2:$AK$151,,MATCH(About!$A$41,'Calculations - from BCEU'!$D$1:$AK$1,0)),'Calculations - from BCEU'!$A$2:$A$151,"Urban Residential",'Calculations - from BCEU'!$C$2:$C$151,E$1,'Calculations - from BCEU'!$B$2:$B$151,$A5)</f>
        <v>0</v>
      </c>
      <c r="F5">
        <f>SUMIFS(INDEX('Calculations - from BCEU'!$D$2:$AK$151,,MATCH(About!$A$41,'Calculations - from BCEU'!$D$1:$AK$1,0)),'Calculations - from BCEU'!$A$2:$A$151,"Urban Residential",'Calculations - from BCEU'!$C$2:$C$151,F$1,'Calculations - from BCEU'!$B$2:$B$151,$A5)</f>
        <v>0</v>
      </c>
      <c r="G5">
        <f>SUMIFS(INDEX('Calculations - from BCEU'!$D$2:$AK$151,,MATCH(About!$A$41,'Calculations - from BCEU'!$D$1:$AK$1,0)),'Calculations - from BCEU'!$A$2:$A$151,"Urban Residential",'Calculations - from BCEU'!$C$2:$C$151,G$1,'Calculations - from BCEU'!$B$2:$B$151,$A5)</f>
        <v>0</v>
      </c>
    </row>
    <row r="6" spans="1:9">
      <c r="A6" s="1" t="s">
        <v>50</v>
      </c>
      <c r="B6">
        <f>SUMIFS(INDEX('Calculations - from BCEU'!$D$2:$AK$151,,MATCH(About!$A$41,'Calculations - from BCEU'!$D$1:$AK$1,0)),'Calculations - from BCEU'!$A$2:$A$151,"Urban Residential",'Calculations - from BCEU'!$C$2:$C$151,B$1,'Calculations - from BCEU'!$B$2:$B$151,$A6)</f>
        <v>0</v>
      </c>
      <c r="C6">
        <f>SUMIFS(INDEX('Calculations - from BCEU'!$D$2:$AK$151,,MATCH(About!$A$41,'Calculations - from BCEU'!$D$1:$AK$1,0)),'Calculations - from BCEU'!$A$2:$A$151,"Urban Residential",'Calculations - from BCEU'!$C$2:$C$151,C$1,'Calculations - from BCEU'!$B$2:$B$151,$A6)</f>
        <v>0</v>
      </c>
      <c r="D6">
        <f>SUMIFS(INDEX('Calculations - from BCEU'!$D$2:$AK$151,,MATCH(About!$A$41,'Calculations - from BCEU'!$D$1:$AK$1,0)),'Calculations - from BCEU'!$A$2:$A$151,"Urban Residential",'Calculations - from BCEU'!$C$2:$C$151,D$1,'Calculations - from BCEU'!$B$2:$B$151,$A6)</f>
        <v>0</v>
      </c>
      <c r="E6">
        <f>SUMIFS(INDEX('Calculations - from BCEU'!$D$2:$AK$151,,MATCH(About!$A$41,'Calculations - from BCEU'!$D$1:$AK$1,0)),'Calculations - from BCEU'!$A$2:$A$151,"Urban Residential",'Calculations - from BCEU'!$C$2:$C$151,E$1,'Calculations - from BCEU'!$B$2:$B$151,$A6)</f>
        <v>0</v>
      </c>
      <c r="F6">
        <f>SUMIFS(INDEX('Calculations - from BCEU'!$D$2:$AK$151,,MATCH(About!$A$41,'Calculations - from BCEU'!$D$1:$AK$1,0)),'Calculations - from BCEU'!$A$2:$A$151,"Urban Residential",'Calculations - from BCEU'!$C$2:$C$151,F$1,'Calculations - from BCEU'!$B$2:$B$151,$A6)</f>
        <v>0</v>
      </c>
      <c r="G6">
        <f>SUMIFS(INDEX('Calculations - from BCEU'!$D$2:$AK$151,,MATCH(About!$A$41,'Calculations - from BCEU'!$D$1:$AK$1,0)),'Calculations - from BCEU'!$A$2:$A$151,"Urban Residential",'Calculations - from BCEU'!$C$2:$C$151,G$1,'Calculations - from BCEU'!$B$2:$B$151,$A6)</f>
        <v>0</v>
      </c>
    </row>
    <row r="7" spans="1:9">
      <c r="A7" s="1" t="s">
        <v>51</v>
      </c>
      <c r="B7">
        <f>SUMIFS(INDEX('Calculations - from BCEU'!$D$2:$AK$151,,MATCH(About!$A$41,'Calculations - from BCEU'!$D$1:$AK$1,0)),'Calculations - from BCEU'!$A$2:$A$151,"Urban Residential",'Calculations - from BCEU'!$C$2:$C$151,B$1,'Calculations - from BCEU'!$B$2:$B$151,$A7)</f>
        <v>0</v>
      </c>
      <c r="C7">
        <f>SUMIFS(INDEX('Calculations - from BCEU'!$D$2:$AK$151,,MATCH(About!$A$41,'Calculations - from BCEU'!$D$1:$AK$1,0)),'Calculations - from BCEU'!$A$2:$A$151,"Urban Residential",'Calculations - from BCEU'!$C$2:$C$151,C$1,'Calculations - from BCEU'!$B$2:$B$151,$A7)</f>
        <v>0</v>
      </c>
      <c r="D7">
        <f>SUMIFS(INDEX('Calculations - from BCEU'!$D$2:$AK$151,,MATCH(About!$A$41,'Calculations - from BCEU'!$D$1:$AK$1,0)),'Calculations - from BCEU'!$A$2:$A$151,"Urban Residential",'Calculations - from BCEU'!$C$2:$C$151,D$1,'Calculations - from BCEU'!$B$2:$B$151,$A7)</f>
        <v>0</v>
      </c>
      <c r="E7">
        <f>SUMIFS(INDEX('Calculations - from BCEU'!$D$2:$AK$151,,MATCH(About!$A$41,'Calculations - from BCEU'!$D$1:$AK$1,0)),'Calculations - from BCEU'!$A$2:$A$151,"Urban Residential",'Calculations - from BCEU'!$C$2:$C$151,E$1,'Calculations - from BCEU'!$B$2:$B$151,$A7)</f>
        <v>0</v>
      </c>
      <c r="F7">
        <f>SUMIFS(INDEX('Calculations - from BCEU'!$D$2:$AK$151,,MATCH(About!$A$41,'Calculations - from BCEU'!$D$1:$AK$1,0)),'Calculations - from BCEU'!$A$2:$A$151,"Urban Residential",'Calculations - from BCEU'!$C$2:$C$151,F$1,'Calculations - from BCEU'!$B$2:$B$151,$A7)</f>
        <v>286512000000000</v>
      </c>
      <c r="G7">
        <f>SUMIFS(INDEX('Calculations - from BCEU'!$D$2:$AK$151,,MATCH(About!$A$41,'Calculations - from BCEU'!$D$1:$AK$1,0)),'Calculations - from BCEU'!$A$2:$A$151,"Urban Residential",'Calculations - from BCEU'!$C$2:$C$151,G$1,'Calculations - from BCEU'!$B$2:$B$151,$A7)</f>
        <v>0</v>
      </c>
    </row>
    <row r="8" spans="1:9">
      <c r="A8" s="1" t="s">
        <v>52</v>
      </c>
      <c r="B8">
        <f>SUMIFS(INDEX('Calculations - from BCEU'!$D$2:$AK$151,,MATCH(About!$A$41,'Calculations - from BCEU'!$D$1:$AK$1,0)),'Calculations - from BCEU'!$A$2:$A$151,"Urban Residential",'Calculations - from BCEU'!$C$2:$C$151,B$1,'Calculations - from BCEU'!$B$2:$B$151,$A8)</f>
        <v>0</v>
      </c>
      <c r="C8">
        <f>SUMIFS(INDEX('Calculations - from BCEU'!$D$2:$AK$151,,MATCH(About!$A$41,'Calculations - from BCEU'!$D$1:$AK$1,0)),'Calculations - from BCEU'!$A$2:$A$151,"Urban Residential",'Calculations - from BCEU'!$C$2:$C$151,C$1,'Calculations - from BCEU'!$B$2:$B$151,$A8)</f>
        <v>0</v>
      </c>
      <c r="D8">
        <f>SUMIFS(INDEX('Calculations - from BCEU'!$D$2:$AK$151,,MATCH(About!$A$41,'Calculations - from BCEU'!$D$1:$AK$1,0)),'Calculations - from BCEU'!$A$2:$A$151,"Urban Residential",'Calculations - from BCEU'!$C$2:$C$151,D$1,'Calculations - from BCEU'!$B$2:$B$151,$A8)</f>
        <v>0</v>
      </c>
      <c r="E8">
        <f>SUMIFS(INDEX('Calculations - from BCEU'!$D$2:$AK$151,,MATCH(About!$A$41,'Calculations - from BCEU'!$D$1:$AK$1,0)),'Calculations - from BCEU'!$A$2:$A$151,"Urban Residential",'Calculations - from BCEU'!$C$2:$C$151,E$1,'Calculations - from BCEU'!$B$2:$B$151,$A8)</f>
        <v>0</v>
      </c>
      <c r="F8">
        <f>SUMIFS(INDEX('Calculations - from BCEU'!$D$2:$AK$151,,MATCH(About!$A$41,'Calculations - from BCEU'!$D$1:$AK$1,0)),'Calculations - from BCEU'!$A$2:$A$151,"Urban Residential",'Calculations - from BCEU'!$C$2:$C$151,F$1,'Calculations - from BCEU'!$B$2:$B$151,$A8)</f>
        <v>0</v>
      </c>
      <c r="G8">
        <f>SUMIFS(INDEX('Calculations - from BCEU'!$D$2:$AK$151,,MATCH(About!$A$41,'Calculations - from BCEU'!$D$1:$AK$1,0)),'Calculations - from BCEU'!$A$2:$A$151,"Urban Residential",'Calculations - from BCEU'!$C$2:$C$151,G$1,'Calculations - from BCEU'!$B$2:$B$151,$A8)</f>
        <v>0</v>
      </c>
    </row>
    <row r="9" spans="1:9">
      <c r="A9" s="1" t="s">
        <v>53</v>
      </c>
      <c r="B9">
        <f>SUMIFS(INDEX('Calculations - from BCEU'!$D$2:$AK$151,,MATCH(About!$A$41,'Calculations - from BCEU'!$D$1:$AK$1,0)),'Calculations - from BCEU'!$A$2:$A$151,"Urban Residential",'Calculations - from BCEU'!$C$2:$C$151,B$1,'Calculations - from BCEU'!$B$2:$B$151,$A9)</f>
        <v>0</v>
      </c>
      <c r="C9">
        <f>SUMIFS(INDEX('Calculations - from BCEU'!$D$2:$AK$151,,MATCH(About!$A$41,'Calculations - from BCEU'!$D$1:$AK$1,0)),'Calculations - from BCEU'!$A$2:$A$151,"Urban Residential",'Calculations - from BCEU'!$C$2:$C$151,C$1,'Calculations - from BCEU'!$B$2:$B$151,$A9)</f>
        <v>0</v>
      </c>
      <c r="D9">
        <f>SUMIFS(INDEX('Calculations - from BCEU'!$D$2:$AK$151,,MATCH(About!$A$41,'Calculations - from BCEU'!$D$1:$AK$1,0)),'Calculations - from BCEU'!$A$2:$A$151,"Urban Residential",'Calculations - from BCEU'!$C$2:$C$151,D$1,'Calculations - from BCEU'!$B$2:$B$151,$A9)</f>
        <v>0</v>
      </c>
      <c r="E9">
        <f>SUMIFS(INDEX('Calculations - from BCEU'!$D$2:$AK$151,,MATCH(About!$A$41,'Calculations - from BCEU'!$D$1:$AK$1,0)),'Calculations - from BCEU'!$A$2:$A$151,"Urban Residential",'Calculations - from BCEU'!$C$2:$C$151,E$1,'Calculations - from BCEU'!$B$2:$B$151,$A9)</f>
        <v>0</v>
      </c>
      <c r="F9">
        <f>SUMIFS(INDEX('Calculations - from BCEU'!$D$2:$AK$151,,MATCH(About!$A$41,'Calculations - from BCEU'!$D$1:$AK$1,0)),'Calculations - from BCEU'!$A$2:$A$151,"Urban Residential",'Calculations - from BCEU'!$C$2:$C$151,F$1,'Calculations - from BCEU'!$B$2:$B$151,$A9)</f>
        <v>0</v>
      </c>
      <c r="G9">
        <f>SUMIFS(INDEX('Calculations - from BCEU'!$D$2:$AK$151,,MATCH(About!$A$41,'Calculations - from BCEU'!$D$1:$AK$1,0)),'Calculations - from BCEU'!$A$2:$A$151,"Urban Residential",'Calculations - from BCEU'!$C$2:$C$151,G$1,'Calculations - from BCEU'!$B$2:$B$151,$A9)</f>
        <v>0</v>
      </c>
    </row>
    <row r="10" spans="1:9">
      <c r="A10" s="1" t="s">
        <v>54</v>
      </c>
      <c r="B10">
        <f>SUMIFS(INDEX('Calculations - from BCEU'!$D$2:$AK$151,,MATCH(About!$A$41,'Calculations - from BCEU'!$D$1:$AK$1,0)),'Calculations - from BCEU'!$A$2:$A$151,"Urban Residential",'Calculations - from BCEU'!$C$2:$C$151,B$1,'Calculations - from BCEU'!$B$2:$B$151,$A10)</f>
        <v>0</v>
      </c>
      <c r="C10">
        <f>SUMIFS(INDEX('Calculations - from BCEU'!$D$2:$AK$151,,MATCH(About!$A$41,'Calculations - from BCEU'!$D$1:$AK$1,0)),'Calculations - from BCEU'!$A$2:$A$151,"Urban Residential",'Calculations - from BCEU'!$C$2:$C$151,C$1,'Calculations - from BCEU'!$B$2:$B$151,$A10)</f>
        <v>0</v>
      </c>
      <c r="D10">
        <f>SUMIFS(INDEX('Calculations - from BCEU'!$D$2:$AK$151,,MATCH(About!$A$41,'Calculations - from BCEU'!$D$1:$AK$1,0)),'Calculations - from BCEU'!$A$2:$A$151,"Urban Residential",'Calculations - from BCEU'!$C$2:$C$151,D$1,'Calculations - from BCEU'!$B$2:$B$151,$A10)</f>
        <v>0</v>
      </c>
      <c r="E10">
        <f>SUMIFS(INDEX('Calculations - from BCEU'!$D$2:$AK$151,,MATCH(About!$A$41,'Calculations - from BCEU'!$D$1:$AK$1,0)),'Calculations - from BCEU'!$A$2:$A$151,"Urban Residential",'Calculations - from BCEU'!$C$2:$C$151,E$1,'Calculations - from BCEU'!$B$2:$B$151,$A10)</f>
        <v>0</v>
      </c>
      <c r="F10">
        <f>SUMIFS(INDEX('Calculations - from BCEU'!$D$2:$AK$151,,MATCH(About!$A$41,'Calculations - from BCEU'!$D$1:$AK$1,0)),'Calculations - from BCEU'!$A$2:$A$151,"Urban Residential",'Calculations - from BCEU'!$C$2:$C$151,F$1,'Calculations - from BCEU'!$B$2:$B$151,$A10)</f>
        <v>601471000000000</v>
      </c>
      <c r="G10">
        <f>SUMIFS(INDEX('Calculations - from BCEU'!$D$2:$AK$151,,MATCH(About!$A$41,'Calculations - from BCEU'!$D$1:$AK$1,0)),'Calculations - from BCEU'!$A$2:$A$151,"Urban Residential",'Calculations - from BCEU'!$C$2:$C$151,G$1,'Calculations - from BCEU'!$B$2:$B$151,$A10)</f>
        <v>0</v>
      </c>
    </row>
    <row r="11" spans="1:9">
      <c r="A11" s="1" t="s">
        <v>55</v>
      </c>
      <c r="B11">
        <f>SUMIFS(INDEX('Calculations - from BCEU'!$D$2:$AK$151,,MATCH(About!$A$41,'Calculations - from BCEU'!$D$1:$AK$1,0)),'Calculations - from BCEU'!$A$2:$A$151,"Urban Residential",'Calculations - from BCEU'!$C$2:$C$151,B$1,'Calculations - from BCEU'!$B$2:$B$151,$A11)</f>
        <v>0</v>
      </c>
      <c r="C11">
        <f>SUMIFS(INDEX('Calculations - from BCEU'!$D$2:$AK$151,,MATCH(About!$A$41,'Calculations - from BCEU'!$D$1:$AK$1,0)),'Calculations - from BCEU'!$A$2:$A$151,"Urban Residential",'Calculations - from BCEU'!$C$2:$C$151,C$1,'Calculations - from BCEU'!$B$2:$B$151,$A11)</f>
        <v>0</v>
      </c>
      <c r="D11">
        <f>SUMIFS(INDEX('Calculations - from BCEU'!$D$2:$AK$151,,MATCH(About!$A$41,'Calculations - from BCEU'!$D$1:$AK$1,0)),'Calculations - from BCEU'!$A$2:$A$151,"Urban Residential",'Calculations - from BCEU'!$C$2:$C$151,D$1,'Calculations - from BCEU'!$B$2:$B$151,$A11)</f>
        <v>0</v>
      </c>
      <c r="E11">
        <f>SUMIFS(INDEX('Calculations - from BCEU'!$D$2:$AK$151,,MATCH(About!$A$41,'Calculations - from BCEU'!$D$1:$AK$1,0)),'Calculations - from BCEU'!$A$2:$A$151,"Urban Residential",'Calculations - from BCEU'!$C$2:$C$151,E$1,'Calculations - from BCEU'!$B$2:$B$151,$A11)</f>
        <v>0</v>
      </c>
      <c r="F11">
        <f>SUMIFS(INDEX('Calculations - from BCEU'!$D$2:$AK$151,,MATCH(About!$A$41,'Calculations - from BCEU'!$D$1:$AK$1,0)),'Calculations - from BCEU'!$A$2:$A$151,"Urban Residential",'Calculations - from BCEU'!$C$2:$C$151,F$1,'Calculations - from BCEU'!$B$2:$B$151,$A11)</f>
        <v>0</v>
      </c>
      <c r="G11">
        <f>SUMIFS(INDEX('Calculations - from BCEU'!$D$2:$AK$151,,MATCH(About!$A$41,'Calculations - from BCEU'!$D$1:$AK$1,0)),'Calculations - from BCEU'!$A$2:$A$151,"Urban Residential",'Calculations - from BCEU'!$C$2:$C$151,G$1,'Calculations - from BCEU'!$B$2:$B$151,$A11)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I11"/>
  <sheetViews>
    <sheetView workbookViewId="0">
      <pane xSplit="1" ySplit="1" topLeftCell="C2" activePane="bottomRight" state="frozen"/>
      <selection pane="bottomRight" activeCell="E14" sqref="E14"/>
      <selection pane="bottomLeft" activeCell="M41" sqref="M41"/>
      <selection pane="topRight" activeCell="M41" sqref="M41"/>
    </sheetView>
  </sheetViews>
  <sheetFormatPr defaultRowHeight="14.45"/>
  <cols>
    <col min="1" max="1" width="29.85546875" customWidth="1"/>
    <col min="2" max="7" width="23.85546875" customWidth="1"/>
  </cols>
  <sheetData>
    <row r="1" spans="1:9">
      <c r="A1" s="1" t="s">
        <v>56</v>
      </c>
      <c r="B1" s="7" t="s">
        <v>57</v>
      </c>
      <c r="C1" s="7" t="s">
        <v>41</v>
      </c>
      <c r="D1" s="7" t="s">
        <v>58</v>
      </c>
      <c r="E1" s="7" t="s">
        <v>59</v>
      </c>
      <c r="F1" s="7" t="s">
        <v>60</v>
      </c>
      <c r="G1" s="7" t="s">
        <v>61</v>
      </c>
      <c r="H1" s="1"/>
      <c r="I1" s="1"/>
    </row>
    <row r="2" spans="1:9">
      <c r="A2" s="1" t="s">
        <v>39</v>
      </c>
      <c r="B2">
        <f>SUMIFS(INDEX('Calculations - from BCEU'!$D$2:$AK$151,,MATCH(About!$A$41,'Calculations - from BCEU'!$D$1:$AK$1,0)),'Calculations - from BCEU'!$A$2:$A$151,"Rural Residential",'Calculations - from BCEU'!$C$2:$C$151,B$1,'Calculations - from BCEU'!$B$2:$B$151,$A2)</f>
        <v>0</v>
      </c>
      <c r="C2">
        <f>SUMIFS(INDEX('Calculations - from BCEU'!$D$2:$AK$151,,MATCH(About!$A$41,'Calculations - from BCEU'!$D$1:$AK$1,0)),'Calculations - from BCEU'!$A$2:$A$151,"Rural Residential",'Calculations - from BCEU'!$C$2:$C$151,C$1,'Calculations - from BCEU'!$B$2:$B$151,$A2)</f>
        <v>286000000000000</v>
      </c>
      <c r="D2">
        <f>SUMIFS(INDEX('Calculations - from BCEU'!$D$2:$AK$151,,MATCH(About!$A$41,'Calculations - from BCEU'!$D$1:$AK$1,0)),'Calculations - from BCEU'!$A$2:$A$151,"Rural Residential",'Calculations - from BCEU'!$C$2:$C$151,D$1,'Calculations - from BCEU'!$B$2:$B$151,$A2)</f>
        <v>0</v>
      </c>
      <c r="E2">
        <f>SUMIFS(INDEX('Calculations - from BCEU'!$D$2:$AK$151,,MATCH(About!$A$41,'Calculations - from BCEU'!$D$1:$AK$1,0)),'Calculations - from BCEU'!$A$2:$A$151,"Rural Residential",'Calculations - from BCEU'!$C$2:$C$151,E$1,'Calculations - from BCEU'!$B$2:$B$151,$A2)</f>
        <v>108000000000000</v>
      </c>
      <c r="F2">
        <f>SUMIFS(INDEX('Calculations - from BCEU'!$D$2:$AK$151,,MATCH(About!$A$41,'Calculations - from BCEU'!$D$1:$AK$1,0)),'Calculations - from BCEU'!$A$2:$A$151,"Rural Residential",'Calculations - from BCEU'!$C$2:$C$151,F$1,'Calculations - from BCEU'!$B$2:$B$151,$A2)</f>
        <v>424700000000000</v>
      </c>
      <c r="G2">
        <f>SUMIFS(INDEX('Calculations - from BCEU'!$D$2:$AK$151,,MATCH(About!$A$41,'Calculations - from BCEU'!$D$1:$AK$1,0)),'Calculations - from BCEU'!$A$2:$A$151,"Rural Residential",'Calculations - from BCEU'!$C$2:$C$151,G$1,'Calculations - from BCEU'!$B$2:$B$151,$A2)</f>
        <v>33500000000000</v>
      </c>
      <c r="I2" s="6"/>
    </row>
    <row r="3" spans="1:9">
      <c r="A3" s="1" t="s">
        <v>47</v>
      </c>
      <c r="B3">
        <f>SUMIFS(INDEX('Calculations - from BCEU'!$D$2:$AK$151,,MATCH(About!$A$41,'Calculations - from BCEU'!$D$1:$AK$1,0)),'Calculations - from BCEU'!$A$2:$A$151,"Rural Residential",'Calculations - from BCEU'!$C$2:$C$151,B$1,'Calculations - from BCEU'!$B$2:$B$151,$A3)</f>
        <v>0</v>
      </c>
      <c r="C3">
        <f>SUMIFS(INDEX('Calculations - from BCEU'!$D$2:$AK$151,,MATCH(About!$A$41,'Calculations - from BCEU'!$D$1:$AK$1,0)),'Calculations - from BCEU'!$A$2:$A$151,"Rural Residential",'Calculations - from BCEU'!$C$2:$C$151,C$1,'Calculations - from BCEU'!$B$2:$B$151,$A3)</f>
        <v>0</v>
      </c>
      <c r="D3">
        <f>SUMIFS(INDEX('Calculations - from BCEU'!$D$2:$AK$151,,MATCH(About!$A$41,'Calculations - from BCEU'!$D$1:$AK$1,0)),'Calculations - from BCEU'!$A$2:$A$151,"Rural Residential",'Calculations - from BCEU'!$C$2:$C$151,D$1,'Calculations - from BCEU'!$B$2:$B$151,$A3)</f>
        <v>0</v>
      </c>
      <c r="E3">
        <f>SUMIFS(INDEX('Calculations - from BCEU'!$D$2:$AK$151,,MATCH(About!$A$41,'Calculations - from BCEU'!$D$1:$AK$1,0)),'Calculations - from BCEU'!$A$2:$A$151,"Rural Residential",'Calculations - from BCEU'!$C$2:$C$151,E$1,'Calculations - from BCEU'!$B$2:$B$151,$A3)</f>
        <v>0</v>
      </c>
      <c r="F3">
        <f>SUMIFS(INDEX('Calculations - from BCEU'!$D$2:$AK$151,,MATCH(About!$A$41,'Calculations - from BCEU'!$D$1:$AK$1,0)),'Calculations - from BCEU'!$A$2:$A$151,"Rural Residential",'Calculations - from BCEU'!$C$2:$C$151,F$1,'Calculations - from BCEU'!$B$2:$B$151,$A3)</f>
        <v>0</v>
      </c>
      <c r="G3">
        <f>SUMIFS(INDEX('Calculations - from BCEU'!$D$2:$AK$151,,MATCH(About!$A$41,'Calculations - from BCEU'!$D$1:$AK$1,0)),'Calculations - from BCEU'!$A$2:$A$151,"Rural Residential",'Calculations - from BCEU'!$C$2:$C$151,G$1,'Calculations - from BCEU'!$B$2:$B$151,$A3)</f>
        <v>0</v>
      </c>
    </row>
    <row r="4" spans="1:9">
      <c r="A4" s="1" t="s">
        <v>48</v>
      </c>
      <c r="B4">
        <f>SUMIFS(INDEX('Calculations - from BCEU'!$D$2:$AK$151,,MATCH(About!$A$41,'Calculations - from BCEU'!$D$1:$AK$1,0)),'Calculations - from BCEU'!$A$2:$A$151,"Rural Residential",'Calculations - from BCEU'!$C$2:$C$151,B$1,'Calculations - from BCEU'!$B$2:$B$151,$A4)</f>
        <v>0</v>
      </c>
      <c r="C4">
        <f>SUMIFS(INDEX('Calculations - from BCEU'!$D$2:$AK$151,,MATCH(About!$A$41,'Calculations - from BCEU'!$D$1:$AK$1,0)),'Calculations - from BCEU'!$A$2:$A$151,"Rural Residential",'Calculations - from BCEU'!$C$2:$C$151,C$1,'Calculations - from BCEU'!$B$2:$B$151,$A4)</f>
        <v>0</v>
      </c>
      <c r="D4">
        <f>SUMIFS(INDEX('Calculations - from BCEU'!$D$2:$AK$151,,MATCH(About!$A$41,'Calculations - from BCEU'!$D$1:$AK$1,0)),'Calculations - from BCEU'!$A$2:$A$151,"Rural Residential",'Calculations - from BCEU'!$C$2:$C$151,D$1,'Calculations - from BCEU'!$B$2:$B$151,$A4)</f>
        <v>0</v>
      </c>
      <c r="E4">
        <f>SUMIFS(INDEX('Calculations - from BCEU'!$D$2:$AK$151,,MATCH(About!$A$41,'Calculations - from BCEU'!$D$1:$AK$1,0)),'Calculations - from BCEU'!$A$2:$A$151,"Rural Residential",'Calculations - from BCEU'!$C$2:$C$151,E$1,'Calculations - from BCEU'!$B$2:$B$151,$A4)</f>
        <v>0</v>
      </c>
      <c r="F4">
        <f>SUMIFS(INDEX('Calculations - from BCEU'!$D$2:$AK$151,,MATCH(About!$A$41,'Calculations - from BCEU'!$D$1:$AK$1,0)),'Calculations - from BCEU'!$A$2:$A$151,"Rural Residential",'Calculations - from BCEU'!$C$2:$C$151,F$1,'Calculations - from BCEU'!$B$2:$B$151,$A4)</f>
        <v>66860000000000</v>
      </c>
      <c r="G4">
        <f>SUMIFS(INDEX('Calculations - from BCEU'!$D$2:$AK$151,,MATCH(About!$A$41,'Calculations - from BCEU'!$D$1:$AK$1,0)),'Calculations - from BCEU'!$A$2:$A$151,"Rural Residential",'Calculations - from BCEU'!$C$2:$C$151,G$1,'Calculations - from BCEU'!$B$2:$B$151,$A4)</f>
        <v>0</v>
      </c>
    </row>
    <row r="5" spans="1:9">
      <c r="A5" s="1" t="s">
        <v>49</v>
      </c>
      <c r="B5">
        <f>SUMIFS(INDEX('Calculations - from BCEU'!$D$2:$AK$151,,MATCH(About!$A$41,'Calculations - from BCEU'!$D$1:$AK$1,0)),'Calculations - from BCEU'!$A$2:$A$151,"Rural Residential",'Calculations - from BCEU'!$C$2:$C$151,B$1,'Calculations - from BCEU'!$B$2:$B$151,$A5)</f>
        <v>0</v>
      </c>
      <c r="C5">
        <f>SUMIFS(INDEX('Calculations - from BCEU'!$D$2:$AK$151,,MATCH(About!$A$41,'Calculations - from BCEU'!$D$1:$AK$1,0)),'Calculations - from BCEU'!$A$2:$A$151,"Rural Residential",'Calculations - from BCEU'!$C$2:$C$151,C$1,'Calculations - from BCEU'!$B$2:$B$151,$A5)</f>
        <v>0</v>
      </c>
      <c r="D5">
        <f>SUMIFS(INDEX('Calculations - from BCEU'!$D$2:$AK$151,,MATCH(About!$A$41,'Calculations - from BCEU'!$D$1:$AK$1,0)),'Calculations - from BCEU'!$A$2:$A$151,"Rural Residential",'Calculations - from BCEU'!$C$2:$C$151,D$1,'Calculations - from BCEU'!$B$2:$B$151,$A5)</f>
        <v>0</v>
      </c>
      <c r="E5">
        <f>SUMIFS(INDEX('Calculations - from BCEU'!$D$2:$AK$151,,MATCH(About!$A$41,'Calculations - from BCEU'!$D$1:$AK$1,0)),'Calculations - from BCEU'!$A$2:$A$151,"Rural Residential",'Calculations - from BCEU'!$C$2:$C$151,E$1,'Calculations - from BCEU'!$B$2:$B$151,$A5)</f>
        <v>0</v>
      </c>
      <c r="F5">
        <f>SUMIFS(INDEX('Calculations - from BCEU'!$D$2:$AK$151,,MATCH(About!$A$41,'Calculations - from BCEU'!$D$1:$AK$1,0)),'Calculations - from BCEU'!$A$2:$A$151,"Rural Residential",'Calculations - from BCEU'!$C$2:$C$151,F$1,'Calculations - from BCEU'!$B$2:$B$151,$A5)</f>
        <v>0</v>
      </c>
      <c r="G5">
        <f>SUMIFS(INDEX('Calculations - from BCEU'!$D$2:$AK$151,,MATCH(About!$A$41,'Calculations - from BCEU'!$D$1:$AK$1,0)),'Calculations - from BCEU'!$A$2:$A$151,"Rural Residential",'Calculations - from BCEU'!$C$2:$C$151,G$1,'Calculations - from BCEU'!$B$2:$B$151,$A5)</f>
        <v>0</v>
      </c>
    </row>
    <row r="6" spans="1:9">
      <c r="A6" s="1" t="s">
        <v>50</v>
      </c>
      <c r="B6">
        <f>SUMIFS(INDEX('Calculations - from BCEU'!$D$2:$AK$151,,MATCH(About!$A$41,'Calculations - from BCEU'!$D$1:$AK$1,0)),'Calculations - from BCEU'!$A$2:$A$151,"Rural Residential",'Calculations - from BCEU'!$C$2:$C$151,B$1,'Calculations - from BCEU'!$B$2:$B$151,$A6)</f>
        <v>0</v>
      </c>
      <c r="C6">
        <f>SUMIFS(INDEX('Calculations - from BCEU'!$D$2:$AK$151,,MATCH(About!$A$41,'Calculations - from BCEU'!$D$1:$AK$1,0)),'Calculations - from BCEU'!$A$2:$A$151,"Rural Residential",'Calculations - from BCEU'!$C$2:$C$151,C$1,'Calculations - from BCEU'!$B$2:$B$151,$A6)</f>
        <v>0</v>
      </c>
      <c r="D6">
        <f>SUMIFS(INDEX('Calculations - from BCEU'!$D$2:$AK$151,,MATCH(About!$A$41,'Calculations - from BCEU'!$D$1:$AK$1,0)),'Calculations - from BCEU'!$A$2:$A$151,"Rural Residential",'Calculations - from BCEU'!$C$2:$C$151,D$1,'Calculations - from BCEU'!$B$2:$B$151,$A6)</f>
        <v>0</v>
      </c>
      <c r="E6">
        <f>SUMIFS(INDEX('Calculations - from BCEU'!$D$2:$AK$151,,MATCH(About!$A$41,'Calculations - from BCEU'!$D$1:$AK$1,0)),'Calculations - from BCEU'!$A$2:$A$151,"Rural Residential",'Calculations - from BCEU'!$C$2:$C$151,E$1,'Calculations - from BCEU'!$B$2:$B$151,$A6)</f>
        <v>0</v>
      </c>
      <c r="F6">
        <f>SUMIFS(INDEX('Calculations - from BCEU'!$D$2:$AK$151,,MATCH(About!$A$41,'Calculations - from BCEU'!$D$1:$AK$1,0)),'Calculations - from BCEU'!$A$2:$A$151,"Rural Residential",'Calculations - from BCEU'!$C$2:$C$151,F$1,'Calculations - from BCEU'!$B$2:$B$151,$A6)</f>
        <v>0</v>
      </c>
      <c r="G6">
        <f>SUMIFS(INDEX('Calculations - from BCEU'!$D$2:$AK$151,,MATCH(About!$A$41,'Calculations - from BCEU'!$D$1:$AK$1,0)),'Calculations - from BCEU'!$A$2:$A$151,"Rural Residential",'Calculations - from BCEU'!$C$2:$C$151,G$1,'Calculations - from BCEU'!$B$2:$B$151,$A6)</f>
        <v>0</v>
      </c>
    </row>
    <row r="7" spans="1:9">
      <c r="A7" s="1" t="s">
        <v>51</v>
      </c>
      <c r="B7">
        <f>SUMIFS(INDEX('Calculations - from BCEU'!$D$2:$AK$151,,MATCH(About!$A$41,'Calculations - from BCEU'!$D$1:$AK$1,0)),'Calculations - from BCEU'!$A$2:$A$151,"Rural Residential",'Calculations - from BCEU'!$C$2:$C$151,B$1,'Calculations - from BCEU'!$B$2:$B$151,$A7)</f>
        <v>0</v>
      </c>
      <c r="C7">
        <f>SUMIFS(INDEX('Calculations - from BCEU'!$D$2:$AK$151,,MATCH(About!$A$41,'Calculations - from BCEU'!$D$1:$AK$1,0)),'Calculations - from BCEU'!$A$2:$A$151,"Rural Residential",'Calculations - from BCEU'!$C$2:$C$151,C$1,'Calculations - from BCEU'!$B$2:$B$151,$A7)</f>
        <v>0</v>
      </c>
      <c r="D7">
        <f>SUMIFS(INDEX('Calculations - from BCEU'!$D$2:$AK$151,,MATCH(About!$A$41,'Calculations - from BCEU'!$D$1:$AK$1,0)),'Calculations - from BCEU'!$A$2:$A$151,"Rural Residential",'Calculations - from BCEU'!$C$2:$C$151,D$1,'Calculations - from BCEU'!$B$2:$B$151,$A7)</f>
        <v>0</v>
      </c>
      <c r="E7">
        <f>SUMIFS(INDEX('Calculations - from BCEU'!$D$2:$AK$151,,MATCH(About!$A$41,'Calculations - from BCEU'!$D$1:$AK$1,0)),'Calculations - from BCEU'!$A$2:$A$151,"Rural Residential",'Calculations - from BCEU'!$C$2:$C$151,E$1,'Calculations - from BCEU'!$B$2:$B$151,$A7)</f>
        <v>0</v>
      </c>
      <c r="F7">
        <f>SUMIFS(INDEX('Calculations - from BCEU'!$D$2:$AK$151,,MATCH(About!$A$41,'Calculations - from BCEU'!$D$1:$AK$1,0)),'Calculations - from BCEU'!$A$2:$A$151,"Rural Residential",'Calculations - from BCEU'!$C$2:$C$151,F$1,'Calculations - from BCEU'!$B$2:$B$151,$A7)</f>
        <v>2470000000000000</v>
      </c>
      <c r="G7">
        <f>SUMIFS(INDEX('Calculations - from BCEU'!$D$2:$AK$151,,MATCH(About!$A$41,'Calculations - from BCEU'!$D$1:$AK$1,0)),'Calculations - from BCEU'!$A$2:$A$151,"Rural Residential",'Calculations - from BCEU'!$C$2:$C$151,G$1,'Calculations - from BCEU'!$B$2:$B$151,$A7)</f>
        <v>0</v>
      </c>
    </row>
    <row r="8" spans="1:9">
      <c r="A8" s="1" t="s">
        <v>52</v>
      </c>
      <c r="B8">
        <f>SUMIFS(INDEX('Calculations - from BCEU'!$D$2:$AK$151,,MATCH(About!$A$41,'Calculations - from BCEU'!$D$1:$AK$1,0)),'Calculations - from BCEU'!$A$2:$A$151,"Rural Residential",'Calculations - from BCEU'!$C$2:$C$151,B$1,'Calculations - from BCEU'!$B$2:$B$151,$A8)</f>
        <v>0</v>
      </c>
      <c r="C8">
        <f>SUMIFS(INDEX('Calculations - from BCEU'!$D$2:$AK$151,,MATCH(About!$A$41,'Calculations - from BCEU'!$D$1:$AK$1,0)),'Calculations - from BCEU'!$A$2:$A$151,"Rural Residential",'Calculations - from BCEU'!$C$2:$C$151,C$1,'Calculations - from BCEU'!$B$2:$B$151,$A8)</f>
        <v>0</v>
      </c>
      <c r="D8">
        <f>SUMIFS(INDEX('Calculations - from BCEU'!$D$2:$AK$151,,MATCH(About!$A$41,'Calculations - from BCEU'!$D$1:$AK$1,0)),'Calculations - from BCEU'!$A$2:$A$151,"Rural Residential",'Calculations - from BCEU'!$C$2:$C$151,D$1,'Calculations - from BCEU'!$B$2:$B$151,$A8)</f>
        <v>0</v>
      </c>
      <c r="E8">
        <f>SUMIFS(INDEX('Calculations - from BCEU'!$D$2:$AK$151,,MATCH(About!$A$41,'Calculations - from BCEU'!$D$1:$AK$1,0)),'Calculations - from BCEU'!$A$2:$A$151,"Rural Residential",'Calculations - from BCEU'!$C$2:$C$151,E$1,'Calculations - from BCEU'!$B$2:$B$151,$A8)</f>
        <v>0</v>
      </c>
      <c r="F8">
        <f>SUMIFS(INDEX('Calculations - from BCEU'!$D$2:$AK$151,,MATCH(About!$A$41,'Calculations - from BCEU'!$D$1:$AK$1,0)),'Calculations - from BCEU'!$A$2:$A$151,"Rural Residential",'Calculations - from BCEU'!$C$2:$C$151,F$1,'Calculations - from BCEU'!$B$2:$B$151,$A8)</f>
        <v>0</v>
      </c>
      <c r="G8">
        <f>SUMIFS(INDEX('Calculations - from BCEU'!$D$2:$AK$151,,MATCH(About!$A$41,'Calculations - from BCEU'!$D$1:$AK$1,0)),'Calculations - from BCEU'!$A$2:$A$151,"Rural Residential",'Calculations - from BCEU'!$C$2:$C$151,G$1,'Calculations - from BCEU'!$B$2:$B$151,$A8)</f>
        <v>0</v>
      </c>
    </row>
    <row r="9" spans="1:9">
      <c r="A9" s="1" t="s">
        <v>53</v>
      </c>
      <c r="B9">
        <f>SUMIFS(INDEX('Calculations - from BCEU'!$D$2:$AK$151,,MATCH(About!$A$41,'Calculations - from BCEU'!$D$1:$AK$1,0)),'Calculations - from BCEU'!$A$2:$A$151,"Rural Residential",'Calculations - from BCEU'!$C$2:$C$151,B$1,'Calculations - from BCEU'!$B$2:$B$151,$A9)</f>
        <v>0</v>
      </c>
      <c r="C9">
        <f>SUMIFS(INDEX('Calculations - from BCEU'!$D$2:$AK$151,,MATCH(About!$A$41,'Calculations - from BCEU'!$D$1:$AK$1,0)),'Calculations - from BCEU'!$A$2:$A$151,"Rural Residential",'Calculations - from BCEU'!$C$2:$C$151,C$1,'Calculations - from BCEU'!$B$2:$B$151,$A9)</f>
        <v>0</v>
      </c>
      <c r="D9">
        <f>SUMIFS(INDEX('Calculations - from BCEU'!$D$2:$AK$151,,MATCH(About!$A$41,'Calculations - from BCEU'!$D$1:$AK$1,0)),'Calculations - from BCEU'!$A$2:$A$151,"Rural Residential",'Calculations - from BCEU'!$C$2:$C$151,D$1,'Calculations - from BCEU'!$B$2:$B$151,$A9)</f>
        <v>0</v>
      </c>
      <c r="E9">
        <f>SUMIFS(INDEX('Calculations - from BCEU'!$D$2:$AK$151,,MATCH(About!$A$41,'Calculations - from BCEU'!$D$1:$AK$1,0)),'Calculations - from BCEU'!$A$2:$A$151,"Rural Residential",'Calculations - from BCEU'!$C$2:$C$151,E$1,'Calculations - from BCEU'!$B$2:$B$151,$A9)</f>
        <v>0</v>
      </c>
      <c r="F9">
        <f>SUMIFS(INDEX('Calculations - from BCEU'!$D$2:$AK$151,,MATCH(About!$A$41,'Calculations - from BCEU'!$D$1:$AK$1,0)),'Calculations - from BCEU'!$A$2:$A$151,"Rural Residential",'Calculations - from BCEU'!$C$2:$C$151,F$1,'Calculations - from BCEU'!$B$2:$B$151,$A9)</f>
        <v>0</v>
      </c>
      <c r="G9">
        <f>SUMIFS(INDEX('Calculations - from BCEU'!$D$2:$AK$151,,MATCH(About!$A$41,'Calculations - from BCEU'!$D$1:$AK$1,0)),'Calculations - from BCEU'!$A$2:$A$151,"Rural Residential",'Calculations - from BCEU'!$C$2:$C$151,G$1,'Calculations - from BCEU'!$B$2:$B$151,$A9)</f>
        <v>0</v>
      </c>
    </row>
    <row r="10" spans="1:9">
      <c r="A10" s="1" t="s">
        <v>54</v>
      </c>
      <c r="B10">
        <f>SUMIFS(INDEX('Calculations - from BCEU'!$D$2:$AK$151,,MATCH(About!$A$41,'Calculations - from BCEU'!$D$1:$AK$1,0)),'Calculations - from BCEU'!$A$2:$A$151,"Rural Residential",'Calculations - from BCEU'!$C$2:$C$151,B$1,'Calculations - from BCEU'!$B$2:$B$151,$A10)</f>
        <v>0</v>
      </c>
      <c r="C10">
        <f>SUMIFS(INDEX('Calculations - from BCEU'!$D$2:$AK$151,,MATCH(About!$A$41,'Calculations - from BCEU'!$D$1:$AK$1,0)),'Calculations - from BCEU'!$A$2:$A$151,"Rural Residential",'Calculations - from BCEU'!$C$2:$C$151,C$1,'Calculations - from BCEU'!$B$2:$B$151,$A10)</f>
        <v>0</v>
      </c>
      <c r="D10">
        <f>SUMIFS(INDEX('Calculations - from BCEU'!$D$2:$AK$151,,MATCH(About!$A$41,'Calculations - from BCEU'!$D$1:$AK$1,0)),'Calculations - from BCEU'!$A$2:$A$151,"Rural Residential",'Calculations - from BCEU'!$C$2:$C$151,D$1,'Calculations - from BCEU'!$B$2:$B$151,$A10)</f>
        <v>0</v>
      </c>
      <c r="E10">
        <f>SUMIFS(INDEX('Calculations - from BCEU'!$D$2:$AK$151,,MATCH(About!$A$41,'Calculations - from BCEU'!$D$1:$AK$1,0)),'Calculations - from BCEU'!$A$2:$A$151,"Rural Residential",'Calculations - from BCEU'!$C$2:$C$151,E$1,'Calculations - from BCEU'!$B$2:$B$151,$A10)</f>
        <v>0</v>
      </c>
      <c r="F10">
        <f>SUMIFS(INDEX('Calculations - from BCEU'!$D$2:$AK$151,,MATCH(About!$A$41,'Calculations - from BCEU'!$D$1:$AK$1,0)),'Calculations - from BCEU'!$A$2:$A$151,"Rural Residential",'Calculations - from BCEU'!$C$2:$C$151,F$1,'Calculations - from BCEU'!$B$2:$B$151,$A10)</f>
        <v>476300000000000</v>
      </c>
      <c r="G10">
        <f>SUMIFS(INDEX('Calculations - from BCEU'!$D$2:$AK$151,,MATCH(About!$A$41,'Calculations - from BCEU'!$D$1:$AK$1,0)),'Calculations - from BCEU'!$A$2:$A$151,"Rural Residential",'Calculations - from BCEU'!$C$2:$C$151,G$1,'Calculations - from BCEU'!$B$2:$B$151,$A10)</f>
        <v>0</v>
      </c>
    </row>
    <row r="11" spans="1:9">
      <c r="A11" s="1" t="s">
        <v>55</v>
      </c>
      <c r="B11">
        <f>SUMIFS(INDEX('Calculations - from BCEU'!$D$2:$AK$151,,MATCH(About!$A$41,'Calculations - from BCEU'!$D$1:$AK$1,0)),'Calculations - from BCEU'!$A$2:$A$151,"Rural Residential",'Calculations - from BCEU'!$C$2:$C$151,B$1,'Calculations - from BCEU'!$B$2:$B$151,$A11)</f>
        <v>0</v>
      </c>
      <c r="C11">
        <f>SUMIFS(INDEX('Calculations - from BCEU'!$D$2:$AK$151,,MATCH(About!$A$41,'Calculations - from BCEU'!$D$1:$AK$1,0)),'Calculations - from BCEU'!$A$2:$A$151,"Rural Residential",'Calculations - from BCEU'!$C$2:$C$151,C$1,'Calculations - from BCEU'!$B$2:$B$151,$A11)</f>
        <v>0</v>
      </c>
      <c r="D11">
        <f>SUMIFS(INDEX('Calculations - from BCEU'!$D$2:$AK$151,,MATCH(About!$A$41,'Calculations - from BCEU'!$D$1:$AK$1,0)),'Calculations - from BCEU'!$A$2:$A$151,"Rural Residential",'Calculations - from BCEU'!$C$2:$C$151,D$1,'Calculations - from BCEU'!$B$2:$B$151,$A11)</f>
        <v>0</v>
      </c>
      <c r="E11">
        <f>SUMIFS(INDEX('Calculations - from BCEU'!$D$2:$AK$151,,MATCH(About!$A$41,'Calculations - from BCEU'!$D$1:$AK$1,0)),'Calculations - from BCEU'!$A$2:$A$151,"Rural Residential",'Calculations - from BCEU'!$C$2:$C$151,E$1,'Calculations - from BCEU'!$B$2:$B$151,$A11)</f>
        <v>0</v>
      </c>
      <c r="F11">
        <f>SUMIFS(INDEX('Calculations - from BCEU'!$D$2:$AK$151,,MATCH(About!$A$41,'Calculations - from BCEU'!$D$1:$AK$1,0)),'Calculations - from BCEU'!$A$2:$A$151,"Rural Residential",'Calculations - from BCEU'!$C$2:$C$151,F$1,'Calculations - from BCEU'!$B$2:$B$151,$A11)</f>
        <v>0</v>
      </c>
      <c r="G11">
        <f>SUMIFS(INDEX('Calculations - from BCEU'!$D$2:$AK$151,,MATCH(About!$A$41,'Calculations - from BCEU'!$D$1:$AK$1,0)),'Calculations - from BCEU'!$A$2:$A$151,"Rural Residential",'Calculations - from BCEU'!$C$2:$C$151,G$1,'Calculations - from BCEU'!$B$2:$B$151,$A11)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I11"/>
  <sheetViews>
    <sheetView workbookViewId="0">
      <pane xSplit="1" ySplit="1" topLeftCell="D2" activePane="bottomRight" state="frozen"/>
      <selection pane="bottomRight" activeCell="E14" sqref="E14"/>
      <selection pane="bottomLeft" activeCell="M41" sqref="M41"/>
      <selection pane="topRight" activeCell="M41" sqref="M41"/>
    </sheetView>
  </sheetViews>
  <sheetFormatPr defaultRowHeight="14.45"/>
  <cols>
    <col min="1" max="1" width="29.85546875" customWidth="1"/>
    <col min="2" max="7" width="23.85546875" customWidth="1"/>
  </cols>
  <sheetData>
    <row r="1" spans="1:9">
      <c r="A1" s="1" t="s">
        <v>56</v>
      </c>
      <c r="B1" s="7" t="s">
        <v>57</v>
      </c>
      <c r="C1" s="7" t="s">
        <v>41</v>
      </c>
      <c r="D1" s="7" t="s">
        <v>58</v>
      </c>
      <c r="E1" s="7" t="s">
        <v>59</v>
      </c>
      <c r="F1" s="7" t="s">
        <v>60</v>
      </c>
      <c r="G1" s="7" t="s">
        <v>61</v>
      </c>
      <c r="H1" s="1"/>
      <c r="I1" s="1"/>
    </row>
    <row r="2" spans="1:9">
      <c r="A2" s="1" t="s">
        <v>39</v>
      </c>
      <c r="B2">
        <f>SUMIFS(INDEX('Calculations - from BCEU'!$D$2:$AK$151,,MATCH(About!$A$41,'Calculations - from BCEU'!$D$1:$AK$1,0)),'Calculations - from BCEU'!$A$2:$A$151,"Commercial",'Calculations - from BCEU'!$C$2:$C$151,B$1,'Calculations - from BCEU'!$B$2:$B$151,$A2)</f>
        <v>0</v>
      </c>
      <c r="C2">
        <f>SUMIFS(INDEX('Calculations - from BCEU'!$D$2:$AK$151,,MATCH(About!$A$41,'Calculations - from BCEU'!$D$1:$AK$1,0)),'Calculations - from BCEU'!$A$2:$A$151,"Commercial",'Calculations - from BCEU'!$C$2:$C$151,C$1,'Calculations - from BCEU'!$B$2:$B$151,$A2)</f>
        <v>224000000000000</v>
      </c>
      <c r="D2">
        <f>SUMIFS(INDEX('Calculations - from BCEU'!$D$2:$AK$151,,MATCH(About!$A$41,'Calculations - from BCEU'!$D$1:$AK$1,0)),'Calculations - from BCEU'!$A$2:$A$151,"Commercial",'Calculations - from BCEU'!$C$2:$C$151,D$1,'Calculations - from BCEU'!$B$2:$B$151,$A2)</f>
        <v>0</v>
      </c>
      <c r="E2">
        <f>SUMIFS(INDEX('Calculations - from BCEU'!$D$2:$AK$151,,MATCH(About!$A$41,'Calculations - from BCEU'!$D$1:$AK$1,0)),'Calculations - from BCEU'!$A$2:$A$151,"Commercial",'Calculations - from BCEU'!$C$2:$C$151,E$1,'Calculations - from BCEU'!$B$2:$B$151,$A2)</f>
        <v>44100000000000</v>
      </c>
      <c r="F2">
        <f>SUMIFS(INDEX('Calculations - from BCEU'!$D$2:$AK$151,,MATCH(About!$A$41,'Calculations - from BCEU'!$D$1:$AK$1,0)),'Calculations - from BCEU'!$A$2:$A$151,"Commercial",'Calculations - from BCEU'!$C$2:$C$151,F$1,'Calculations - from BCEU'!$B$2:$B$151,$A2)</f>
        <v>68000000000000</v>
      </c>
      <c r="G2">
        <f>SUMIFS(INDEX('Calculations - from BCEU'!$D$2:$AK$151,,MATCH(About!$A$41,'Calculations - from BCEU'!$D$1:$AK$1,0)),'Calculations - from BCEU'!$A$2:$A$151,"Commercial",'Calculations - from BCEU'!$C$2:$C$151,G$1,'Calculations - from BCEU'!$B$2:$B$151,$A2)</f>
        <v>31700000000000</v>
      </c>
      <c r="I2" s="6"/>
    </row>
    <row r="3" spans="1:9">
      <c r="A3" s="1" t="s">
        <v>47</v>
      </c>
      <c r="B3">
        <f>SUMIFS(INDEX('Calculations - from BCEU'!$D$2:$AK$151,,MATCH(About!$A$41,'Calculations - from BCEU'!$D$1:$AK$1,0)),'Calculations - from BCEU'!$A$2:$A$151,"Commercial",'Calculations - from BCEU'!$C$2:$C$151,B$1,'Calculations - from BCEU'!$B$2:$B$151,$A3)</f>
        <v>0</v>
      </c>
      <c r="C3">
        <f>SUMIFS(INDEX('Calculations - from BCEU'!$D$2:$AK$151,,MATCH(About!$A$41,'Calculations - from BCEU'!$D$1:$AK$1,0)),'Calculations - from BCEU'!$A$2:$A$151,"Commercial",'Calculations - from BCEU'!$C$2:$C$151,C$1,'Calculations - from BCEU'!$B$2:$B$151,$A3)</f>
        <v>0</v>
      </c>
      <c r="D3">
        <f>SUMIFS(INDEX('Calculations - from BCEU'!$D$2:$AK$151,,MATCH(About!$A$41,'Calculations - from BCEU'!$D$1:$AK$1,0)),'Calculations - from BCEU'!$A$2:$A$151,"Commercial",'Calculations - from BCEU'!$C$2:$C$151,D$1,'Calculations - from BCEU'!$B$2:$B$151,$A3)</f>
        <v>0</v>
      </c>
      <c r="E3">
        <f>SUMIFS(INDEX('Calculations - from BCEU'!$D$2:$AK$151,,MATCH(About!$A$41,'Calculations - from BCEU'!$D$1:$AK$1,0)),'Calculations - from BCEU'!$A$2:$A$151,"Commercial",'Calculations - from BCEU'!$C$2:$C$151,E$1,'Calculations - from BCEU'!$B$2:$B$151,$A3)</f>
        <v>0</v>
      </c>
      <c r="F3">
        <f>SUMIFS(INDEX('Calculations - from BCEU'!$D$2:$AK$151,,MATCH(About!$A$41,'Calculations - from BCEU'!$D$1:$AK$1,0)),'Calculations - from BCEU'!$A$2:$A$151,"Commercial",'Calculations - from BCEU'!$C$2:$C$151,F$1,'Calculations - from BCEU'!$B$2:$B$151,$A3)</f>
        <v>0</v>
      </c>
      <c r="G3">
        <f>SUMIFS(INDEX('Calculations - from BCEU'!$D$2:$AK$151,,MATCH(About!$A$41,'Calculations - from BCEU'!$D$1:$AK$1,0)),'Calculations - from BCEU'!$A$2:$A$151,"Commercial",'Calculations - from BCEU'!$C$2:$C$151,G$1,'Calculations - from BCEU'!$B$2:$B$151,$A3)</f>
        <v>0</v>
      </c>
    </row>
    <row r="4" spans="1:9">
      <c r="A4" s="1" t="s">
        <v>48</v>
      </c>
      <c r="B4">
        <f>SUMIFS(INDEX('Calculations - from BCEU'!$D$2:$AK$151,,MATCH(About!$A$41,'Calculations - from BCEU'!$D$1:$AK$1,0)),'Calculations - from BCEU'!$A$2:$A$151,"Commercial",'Calculations - from BCEU'!$C$2:$C$151,B$1,'Calculations - from BCEU'!$B$2:$B$151,$A4)</f>
        <v>0</v>
      </c>
      <c r="C4">
        <f>SUMIFS(INDEX('Calculations - from BCEU'!$D$2:$AK$151,,MATCH(About!$A$41,'Calculations - from BCEU'!$D$1:$AK$1,0)),'Calculations - from BCEU'!$A$2:$A$151,"Commercial",'Calculations - from BCEU'!$C$2:$C$151,C$1,'Calculations - from BCEU'!$B$2:$B$151,$A4)</f>
        <v>0</v>
      </c>
      <c r="D4">
        <f>SUMIFS(INDEX('Calculations - from BCEU'!$D$2:$AK$151,,MATCH(About!$A$41,'Calculations - from BCEU'!$D$1:$AK$1,0)),'Calculations - from BCEU'!$A$2:$A$151,"Commercial",'Calculations - from BCEU'!$C$2:$C$151,D$1,'Calculations - from BCEU'!$B$2:$B$151,$A4)</f>
        <v>0</v>
      </c>
      <c r="E4">
        <f>SUMIFS(INDEX('Calculations - from BCEU'!$D$2:$AK$151,,MATCH(About!$A$41,'Calculations - from BCEU'!$D$1:$AK$1,0)),'Calculations - from BCEU'!$A$2:$A$151,"Commercial",'Calculations - from BCEU'!$C$2:$C$151,E$1,'Calculations - from BCEU'!$B$2:$B$151,$A4)</f>
        <v>0</v>
      </c>
      <c r="F4">
        <f>SUMIFS(INDEX('Calculations - from BCEU'!$D$2:$AK$151,,MATCH(About!$A$41,'Calculations - from BCEU'!$D$1:$AK$1,0)),'Calculations - from BCEU'!$A$2:$A$151,"Commercial",'Calculations - from BCEU'!$C$2:$C$151,F$1,'Calculations - from BCEU'!$B$2:$B$151,$A4)</f>
        <v>0</v>
      </c>
      <c r="G4">
        <f>SUMIFS(INDEX('Calculations - from BCEU'!$D$2:$AK$151,,MATCH(About!$A$41,'Calculations - from BCEU'!$D$1:$AK$1,0)),'Calculations - from BCEU'!$A$2:$A$151,"Commercial",'Calculations - from BCEU'!$C$2:$C$151,G$1,'Calculations - from BCEU'!$B$2:$B$151,$A4)</f>
        <v>0</v>
      </c>
    </row>
    <row r="5" spans="1:9">
      <c r="A5" s="1" t="s">
        <v>49</v>
      </c>
      <c r="B5">
        <f>SUMIFS(INDEX('Calculations - from BCEU'!$D$2:$AK$151,,MATCH(About!$A$41,'Calculations - from BCEU'!$D$1:$AK$1,0)),'Calculations - from BCEU'!$A$2:$A$151,"Commercial",'Calculations - from BCEU'!$C$2:$C$151,B$1,'Calculations - from BCEU'!$B$2:$B$151,$A5)</f>
        <v>0</v>
      </c>
      <c r="C5">
        <f>SUMIFS(INDEX('Calculations - from BCEU'!$D$2:$AK$151,,MATCH(About!$A$41,'Calculations - from BCEU'!$D$1:$AK$1,0)),'Calculations - from BCEU'!$A$2:$A$151,"Commercial",'Calculations - from BCEU'!$C$2:$C$151,C$1,'Calculations - from BCEU'!$B$2:$B$151,$A5)</f>
        <v>0</v>
      </c>
      <c r="D5">
        <f>SUMIFS(INDEX('Calculations - from BCEU'!$D$2:$AK$151,,MATCH(About!$A$41,'Calculations - from BCEU'!$D$1:$AK$1,0)),'Calculations - from BCEU'!$A$2:$A$151,"Commercial",'Calculations - from BCEU'!$C$2:$C$151,D$1,'Calculations - from BCEU'!$B$2:$B$151,$A5)</f>
        <v>0</v>
      </c>
      <c r="E5">
        <f>SUMIFS(INDEX('Calculations - from BCEU'!$D$2:$AK$151,,MATCH(About!$A$41,'Calculations - from BCEU'!$D$1:$AK$1,0)),'Calculations - from BCEU'!$A$2:$A$151,"Commercial",'Calculations - from BCEU'!$C$2:$C$151,E$1,'Calculations - from BCEU'!$B$2:$B$151,$A5)</f>
        <v>0</v>
      </c>
      <c r="F5">
        <f>SUMIFS(INDEX('Calculations - from BCEU'!$D$2:$AK$151,,MATCH(About!$A$41,'Calculations - from BCEU'!$D$1:$AK$1,0)),'Calculations - from BCEU'!$A$2:$A$151,"Commercial",'Calculations - from BCEU'!$C$2:$C$151,F$1,'Calculations - from BCEU'!$B$2:$B$151,$A5)</f>
        <v>0</v>
      </c>
      <c r="G5">
        <f>SUMIFS(INDEX('Calculations - from BCEU'!$D$2:$AK$151,,MATCH(About!$A$41,'Calculations - from BCEU'!$D$1:$AK$1,0)),'Calculations - from BCEU'!$A$2:$A$151,"Commercial",'Calculations - from BCEU'!$C$2:$C$151,G$1,'Calculations - from BCEU'!$B$2:$B$151,$A5)</f>
        <v>0</v>
      </c>
    </row>
    <row r="6" spans="1:9">
      <c r="A6" s="1" t="s">
        <v>50</v>
      </c>
      <c r="B6">
        <f>SUMIFS(INDEX('Calculations - from BCEU'!$D$2:$AK$151,,MATCH(About!$A$41,'Calculations - from BCEU'!$D$1:$AK$1,0)),'Calculations - from BCEU'!$A$2:$A$151,"Commercial",'Calculations - from BCEU'!$C$2:$C$151,B$1,'Calculations - from BCEU'!$B$2:$B$151,$A6)</f>
        <v>0</v>
      </c>
      <c r="C6">
        <f>SUMIFS(INDEX('Calculations - from BCEU'!$D$2:$AK$151,,MATCH(About!$A$41,'Calculations - from BCEU'!$D$1:$AK$1,0)),'Calculations - from BCEU'!$A$2:$A$151,"Commercial",'Calculations - from BCEU'!$C$2:$C$151,C$1,'Calculations - from BCEU'!$B$2:$B$151,$A6)</f>
        <v>0</v>
      </c>
      <c r="D6">
        <f>SUMIFS(INDEX('Calculations - from BCEU'!$D$2:$AK$151,,MATCH(About!$A$41,'Calculations - from BCEU'!$D$1:$AK$1,0)),'Calculations - from BCEU'!$A$2:$A$151,"Commercial",'Calculations - from BCEU'!$C$2:$C$151,D$1,'Calculations - from BCEU'!$B$2:$B$151,$A6)</f>
        <v>0</v>
      </c>
      <c r="E6">
        <f>SUMIFS(INDEX('Calculations - from BCEU'!$D$2:$AK$151,,MATCH(About!$A$41,'Calculations - from BCEU'!$D$1:$AK$1,0)),'Calculations - from BCEU'!$A$2:$A$151,"Commercial",'Calculations - from BCEU'!$C$2:$C$151,E$1,'Calculations - from BCEU'!$B$2:$B$151,$A6)</f>
        <v>0</v>
      </c>
      <c r="F6">
        <f>SUMIFS(INDEX('Calculations - from BCEU'!$D$2:$AK$151,,MATCH(About!$A$41,'Calculations - from BCEU'!$D$1:$AK$1,0)),'Calculations - from BCEU'!$A$2:$A$151,"Commercial",'Calculations - from BCEU'!$C$2:$C$151,F$1,'Calculations - from BCEU'!$B$2:$B$151,$A6)</f>
        <v>0</v>
      </c>
      <c r="G6">
        <f>SUMIFS(INDEX('Calculations - from BCEU'!$D$2:$AK$151,,MATCH(About!$A$41,'Calculations - from BCEU'!$D$1:$AK$1,0)),'Calculations - from BCEU'!$A$2:$A$151,"Commercial",'Calculations - from BCEU'!$C$2:$C$151,G$1,'Calculations - from BCEU'!$B$2:$B$151,$A6)</f>
        <v>0</v>
      </c>
    </row>
    <row r="7" spans="1:9">
      <c r="A7" s="1" t="s">
        <v>51</v>
      </c>
      <c r="B7">
        <f>SUMIFS(INDEX('Calculations - from BCEU'!$D$2:$AK$151,,MATCH(About!$A$41,'Calculations - from BCEU'!$D$1:$AK$1,0)),'Calculations - from BCEU'!$A$2:$A$151,"Commercial",'Calculations - from BCEU'!$C$2:$C$151,B$1,'Calculations - from BCEU'!$B$2:$B$151,$A7)</f>
        <v>0</v>
      </c>
      <c r="C7">
        <f>SUMIFS(INDEX('Calculations - from BCEU'!$D$2:$AK$151,,MATCH(About!$A$41,'Calculations - from BCEU'!$D$1:$AK$1,0)),'Calculations - from BCEU'!$A$2:$A$151,"Commercial",'Calculations - from BCEU'!$C$2:$C$151,C$1,'Calculations - from BCEU'!$B$2:$B$151,$A7)</f>
        <v>0</v>
      </c>
      <c r="D7">
        <f>SUMIFS(INDEX('Calculations - from BCEU'!$D$2:$AK$151,,MATCH(About!$A$41,'Calculations - from BCEU'!$D$1:$AK$1,0)),'Calculations - from BCEU'!$A$2:$A$151,"Commercial",'Calculations - from BCEU'!$C$2:$C$151,D$1,'Calculations - from BCEU'!$B$2:$B$151,$A7)</f>
        <v>0</v>
      </c>
      <c r="E7">
        <f>SUMIFS(INDEX('Calculations - from BCEU'!$D$2:$AK$151,,MATCH(About!$A$41,'Calculations - from BCEU'!$D$1:$AK$1,0)),'Calculations - from BCEU'!$A$2:$A$151,"Commercial",'Calculations - from BCEU'!$C$2:$C$151,E$1,'Calculations - from BCEU'!$B$2:$B$151,$A7)</f>
        <v>0</v>
      </c>
      <c r="F7">
        <f>SUMIFS(INDEX('Calculations - from BCEU'!$D$2:$AK$151,,MATCH(About!$A$41,'Calculations - from BCEU'!$D$1:$AK$1,0)),'Calculations - from BCEU'!$A$2:$A$151,"Commercial",'Calculations - from BCEU'!$C$2:$C$151,F$1,'Calculations - from BCEU'!$B$2:$B$151,$A7)</f>
        <v>0</v>
      </c>
      <c r="G7">
        <f>SUMIFS(INDEX('Calculations - from BCEU'!$D$2:$AK$151,,MATCH(About!$A$41,'Calculations - from BCEU'!$D$1:$AK$1,0)),'Calculations - from BCEU'!$A$2:$A$151,"Commercial",'Calculations - from BCEU'!$C$2:$C$151,G$1,'Calculations - from BCEU'!$B$2:$B$151,$A7)</f>
        <v>0</v>
      </c>
    </row>
    <row r="8" spans="1:9">
      <c r="A8" s="1" t="s">
        <v>52</v>
      </c>
      <c r="B8">
        <f>SUMIFS(INDEX('Calculations - from BCEU'!$D$2:$AK$151,,MATCH(About!$A$41,'Calculations - from BCEU'!$D$1:$AK$1,0)),'Calculations - from BCEU'!$A$2:$A$151,"Commercial",'Calculations - from BCEU'!$C$2:$C$151,B$1,'Calculations - from BCEU'!$B$2:$B$151,$A8)</f>
        <v>0</v>
      </c>
      <c r="C8">
        <f>SUMIFS(INDEX('Calculations - from BCEU'!$D$2:$AK$151,,MATCH(About!$A$41,'Calculations - from BCEU'!$D$1:$AK$1,0)),'Calculations - from BCEU'!$A$2:$A$151,"Commercial",'Calculations - from BCEU'!$C$2:$C$151,C$1,'Calculations - from BCEU'!$B$2:$B$151,$A8)</f>
        <v>0</v>
      </c>
      <c r="D8">
        <f>SUMIFS(INDEX('Calculations - from BCEU'!$D$2:$AK$151,,MATCH(About!$A$41,'Calculations - from BCEU'!$D$1:$AK$1,0)),'Calculations - from BCEU'!$A$2:$A$151,"Commercial",'Calculations - from BCEU'!$C$2:$C$151,D$1,'Calculations - from BCEU'!$B$2:$B$151,$A8)</f>
        <v>0</v>
      </c>
      <c r="E8">
        <f>SUMIFS(INDEX('Calculations - from BCEU'!$D$2:$AK$151,,MATCH(About!$A$41,'Calculations - from BCEU'!$D$1:$AK$1,0)),'Calculations - from BCEU'!$A$2:$A$151,"Commercial",'Calculations - from BCEU'!$C$2:$C$151,E$1,'Calculations - from BCEU'!$B$2:$B$151,$A8)</f>
        <v>39450700000000</v>
      </c>
      <c r="F8">
        <f>SUMIFS(INDEX('Calculations - from BCEU'!$D$2:$AK$151,,MATCH(About!$A$41,'Calculations - from BCEU'!$D$1:$AK$1,0)),'Calculations - from BCEU'!$A$2:$A$151,"Commercial",'Calculations - from BCEU'!$C$2:$C$151,F$1,'Calculations - from BCEU'!$B$2:$B$151,$A8)</f>
        <v>4383410000000</v>
      </c>
      <c r="G8">
        <f>SUMIFS(INDEX('Calculations - from BCEU'!$D$2:$AK$151,,MATCH(About!$A$41,'Calculations - from BCEU'!$D$1:$AK$1,0)),'Calculations - from BCEU'!$A$2:$A$151,"Commercial",'Calculations - from BCEU'!$C$2:$C$151,G$1,'Calculations - from BCEU'!$B$2:$B$151,$A8)</f>
        <v>0</v>
      </c>
    </row>
    <row r="9" spans="1:9">
      <c r="A9" s="1" t="s">
        <v>53</v>
      </c>
      <c r="B9">
        <f>SUMIFS(INDEX('Calculations - from BCEU'!$D$2:$AK$151,,MATCH(About!$A$41,'Calculations - from BCEU'!$D$1:$AK$1,0)),'Calculations - from BCEU'!$A$2:$A$151,"Commercial",'Calculations - from BCEU'!$C$2:$C$151,B$1,'Calculations - from BCEU'!$B$2:$B$151,$A9)</f>
        <v>0</v>
      </c>
      <c r="C9">
        <f>SUMIFS(INDEX('Calculations - from BCEU'!$D$2:$AK$151,,MATCH(About!$A$41,'Calculations - from BCEU'!$D$1:$AK$1,0)),'Calculations - from BCEU'!$A$2:$A$151,"Commercial",'Calculations - from BCEU'!$C$2:$C$151,C$1,'Calculations - from BCEU'!$B$2:$B$151,$A9)</f>
        <v>0</v>
      </c>
      <c r="D9">
        <f>SUMIFS(INDEX('Calculations - from BCEU'!$D$2:$AK$151,,MATCH(About!$A$41,'Calculations - from BCEU'!$D$1:$AK$1,0)),'Calculations - from BCEU'!$A$2:$A$151,"Commercial",'Calculations - from BCEU'!$C$2:$C$151,D$1,'Calculations - from BCEU'!$B$2:$B$151,$A9)</f>
        <v>0</v>
      </c>
      <c r="E9">
        <f>SUMIFS(INDEX('Calculations - from BCEU'!$D$2:$AK$151,,MATCH(About!$A$41,'Calculations - from BCEU'!$D$1:$AK$1,0)),'Calculations - from BCEU'!$A$2:$A$151,"Commercial",'Calculations - from BCEU'!$C$2:$C$151,E$1,'Calculations - from BCEU'!$B$2:$B$151,$A9)</f>
        <v>0</v>
      </c>
      <c r="F9">
        <f>SUMIFS(INDEX('Calculations - from BCEU'!$D$2:$AK$151,,MATCH(About!$A$41,'Calculations - from BCEU'!$D$1:$AK$1,0)),'Calculations - from BCEU'!$A$2:$A$151,"Commercial",'Calculations - from BCEU'!$C$2:$C$151,F$1,'Calculations - from BCEU'!$B$2:$B$151,$A9)</f>
        <v>0</v>
      </c>
      <c r="G9">
        <f>SUMIFS(INDEX('Calculations - from BCEU'!$D$2:$AK$151,,MATCH(About!$A$41,'Calculations - from BCEU'!$D$1:$AK$1,0)),'Calculations - from BCEU'!$A$2:$A$151,"Commercial",'Calculations - from BCEU'!$C$2:$C$151,G$1,'Calculations - from BCEU'!$B$2:$B$151,$A9)</f>
        <v>0</v>
      </c>
    </row>
    <row r="10" spans="1:9">
      <c r="A10" s="1" t="s">
        <v>54</v>
      </c>
      <c r="B10">
        <f>SUMIFS(INDEX('Calculations - from BCEU'!$D$2:$AK$151,,MATCH(About!$A$41,'Calculations - from BCEU'!$D$1:$AK$1,0)),'Calculations - from BCEU'!$A$2:$A$151,"Commercial",'Calculations - from BCEU'!$C$2:$C$151,B$1,'Calculations - from BCEU'!$B$2:$B$151,$A10)</f>
        <v>0</v>
      </c>
      <c r="C10">
        <f>SUMIFS(INDEX('Calculations - from BCEU'!$D$2:$AK$151,,MATCH(About!$A$41,'Calculations - from BCEU'!$D$1:$AK$1,0)),'Calculations - from BCEU'!$A$2:$A$151,"Commercial",'Calculations - from BCEU'!$C$2:$C$151,C$1,'Calculations - from BCEU'!$B$2:$B$151,$A10)</f>
        <v>0</v>
      </c>
      <c r="D10">
        <f>SUMIFS(INDEX('Calculations - from BCEU'!$D$2:$AK$151,,MATCH(About!$A$41,'Calculations - from BCEU'!$D$1:$AK$1,0)),'Calculations - from BCEU'!$A$2:$A$151,"Commercial",'Calculations - from BCEU'!$C$2:$C$151,D$1,'Calculations - from BCEU'!$B$2:$B$151,$A10)</f>
        <v>0</v>
      </c>
      <c r="E10">
        <f>SUMIFS(INDEX('Calculations - from BCEU'!$D$2:$AK$151,,MATCH(About!$A$41,'Calculations - from BCEU'!$D$1:$AK$1,0)),'Calculations - from BCEU'!$A$2:$A$151,"Commercial",'Calculations - from BCEU'!$C$2:$C$151,E$1,'Calculations - from BCEU'!$B$2:$B$151,$A10)</f>
        <v>0</v>
      </c>
      <c r="F10">
        <f>SUMIFS(INDEX('Calculations - from BCEU'!$D$2:$AK$151,,MATCH(About!$A$41,'Calculations - from BCEU'!$D$1:$AK$1,0)),'Calculations - from BCEU'!$A$2:$A$151,"Commercial",'Calculations - from BCEU'!$C$2:$C$151,F$1,'Calculations - from BCEU'!$B$2:$B$151,$A10)</f>
        <v>1246660000000000</v>
      </c>
      <c r="G10">
        <f>SUMIFS(INDEX('Calculations - from BCEU'!$D$2:$AK$151,,MATCH(About!$A$41,'Calculations - from BCEU'!$D$1:$AK$1,0)),'Calculations - from BCEU'!$A$2:$A$151,"Commercial",'Calculations - from BCEU'!$C$2:$C$151,G$1,'Calculations - from BCEU'!$B$2:$B$151,$A10)</f>
        <v>0</v>
      </c>
    </row>
    <row r="11" spans="1:9">
      <c r="A11" s="1" t="s">
        <v>55</v>
      </c>
      <c r="B11">
        <f>SUMIFS(INDEX('Calculations - from BCEU'!$D$2:$AK$151,,MATCH(About!$A$41,'Calculations - from BCEU'!$D$1:$AK$1,0)),'Calculations - from BCEU'!$A$2:$A$151,"Commercial",'Calculations - from BCEU'!$C$2:$C$151,B$1,'Calculations - from BCEU'!$B$2:$B$151,$A11)</f>
        <v>0</v>
      </c>
      <c r="C11">
        <f>SUMIFS(INDEX('Calculations - from BCEU'!$D$2:$AK$151,,MATCH(About!$A$41,'Calculations - from BCEU'!$D$1:$AK$1,0)),'Calculations - from BCEU'!$A$2:$A$151,"Commercial",'Calculations - from BCEU'!$C$2:$C$151,C$1,'Calculations - from BCEU'!$B$2:$B$151,$A11)</f>
        <v>0</v>
      </c>
      <c r="D11">
        <f>SUMIFS(INDEX('Calculations - from BCEU'!$D$2:$AK$151,,MATCH(About!$A$41,'Calculations - from BCEU'!$D$1:$AK$1,0)),'Calculations - from BCEU'!$A$2:$A$151,"Commercial",'Calculations - from BCEU'!$C$2:$C$151,D$1,'Calculations - from BCEU'!$B$2:$B$151,$A11)</f>
        <v>0</v>
      </c>
      <c r="E11">
        <f>SUMIFS(INDEX('Calculations - from BCEU'!$D$2:$AK$151,,MATCH(About!$A$41,'Calculations - from BCEU'!$D$1:$AK$1,0)),'Calculations - from BCEU'!$A$2:$A$151,"Commercial",'Calculations - from BCEU'!$C$2:$C$151,E$1,'Calculations - from BCEU'!$B$2:$B$151,$A11)</f>
        <v>0</v>
      </c>
      <c r="F11">
        <f>SUMIFS(INDEX('Calculations - from BCEU'!$D$2:$AK$151,,MATCH(About!$A$41,'Calculations - from BCEU'!$D$1:$AK$1,0)),'Calculations - from BCEU'!$A$2:$A$151,"Commercial",'Calculations - from BCEU'!$C$2:$C$151,F$1,'Calculations - from BCEU'!$B$2:$B$151,$A11)</f>
        <v>0</v>
      </c>
      <c r="G11">
        <f>SUMIFS(INDEX('Calculations - from BCEU'!$D$2:$AK$151,,MATCH(About!$A$41,'Calculations - from BCEU'!$D$1:$AK$1,0)),'Calculations - from BCEU'!$A$2:$A$151,"Commercial",'Calculations - from BCEU'!$C$2:$C$151,G$1,'Calculations - from BCEU'!$B$2:$B$151,$A11)</f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61859-AFB4-4F52-87C1-8FB8A1E82A04}"/>
</file>

<file path=customXml/itemProps2.xml><?xml version="1.0" encoding="utf-8"?>
<ds:datastoreItem xmlns:ds="http://schemas.openxmlformats.org/officeDocument/2006/customXml" ds:itemID="{9BFF1985-7E6A-4E88-B65E-1B5A88AB64E5}"/>
</file>

<file path=customXml/itemProps3.xml><?xml version="1.0" encoding="utf-8"?>
<ds:datastoreItem xmlns:ds="http://schemas.openxmlformats.org/officeDocument/2006/customXml" ds:itemID="{B76FC315-ED81-4C45-B0F6-37869F62C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2014-04-18T00:48:59Z</dcterms:created>
  <dcterms:modified xsi:type="dcterms:W3CDTF">2024-05-14T05:10:36Z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