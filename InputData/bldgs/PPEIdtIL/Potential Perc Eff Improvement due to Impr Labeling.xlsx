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PPEIdtIL/"/>
    </mc:Choice>
  </mc:AlternateContent>
  <xr:revisionPtr revIDLastSave="0" documentId="8_{EA82720B-35F3-4BE1-8C7D-491E75E9E91C}" xr6:coauthVersionLast="47" xr6:coauthVersionMax="47" xr10:uidLastSave="{00000000-0000-0000-0000-000000000000}"/>
  <bookViews>
    <workbookView xWindow="43095" yWindow="1080" windowWidth="14610" windowHeight="15585" xr2:uid="{00000000-000D-0000-FFFF-FFFF00000000}"/>
  </bookViews>
  <sheets>
    <sheet name="About" sheetId="1" r:id="rId1"/>
    <sheet name="India Data" sheetId="4" r:id="rId2"/>
    <sheet name="PPEIdtI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4" l="1"/>
  <c r="D101" i="4" s="1"/>
  <c r="E100" i="4" s="1"/>
  <c r="B100" i="4"/>
  <c r="D100" i="4" s="1"/>
  <c r="E99" i="4" s="1"/>
  <c r="B99" i="4"/>
  <c r="D99" i="4" s="1"/>
  <c r="B98" i="4"/>
  <c r="D98" i="4" s="1"/>
  <c r="E97" i="4" s="1"/>
  <c r="D97" i="4"/>
  <c r="D91" i="4"/>
  <c r="E90" i="4"/>
  <c r="D90" i="4"/>
  <c r="D89" i="4"/>
  <c r="E89" i="4" s="1"/>
  <c r="D88" i="4"/>
  <c r="E88" i="4" s="1"/>
  <c r="E91" i="4" s="1"/>
  <c r="D79" i="4"/>
  <c r="B78" i="4"/>
  <c r="D78" i="4" s="1"/>
  <c r="D77" i="4"/>
  <c r="E76" i="4" s="1"/>
  <c r="B76" i="4"/>
  <c r="D76" i="4" s="1"/>
  <c r="E75" i="4" s="1"/>
  <c r="D75" i="4"/>
  <c r="D68" i="4"/>
  <c r="D67" i="4"/>
  <c r="E67" i="4" s="1"/>
  <c r="D66" i="4"/>
  <c r="E66" i="4" s="1"/>
  <c r="E65" i="4"/>
  <c r="D65" i="4"/>
  <c r="D64" i="4"/>
  <c r="E64" i="4" s="1"/>
  <c r="E68" i="4" s="1"/>
  <c r="D56" i="4"/>
  <c r="D55" i="4"/>
  <c r="E55" i="4" s="1"/>
  <c r="D54" i="4"/>
  <c r="E54" i="4" s="1"/>
  <c r="D53" i="4"/>
  <c r="E53" i="4" s="1"/>
  <c r="E52" i="4"/>
  <c r="E56" i="4" s="1"/>
  <c r="M4" i="4" s="1"/>
  <c r="D52" i="4"/>
  <c r="E45" i="4"/>
  <c r="G45" i="4" s="1"/>
  <c r="B45" i="4"/>
  <c r="D45" i="4" s="1"/>
  <c r="E44" i="4"/>
  <c r="G44" i="4" s="1"/>
  <c r="I44" i="4" s="1"/>
  <c r="B44" i="4"/>
  <c r="D44" i="4" s="1"/>
  <c r="H44" i="4" s="1"/>
  <c r="E43" i="4"/>
  <c r="G43" i="4" s="1"/>
  <c r="I43" i="4" s="1"/>
  <c r="B43" i="4"/>
  <c r="D43" i="4" s="1"/>
  <c r="H43" i="4" s="1"/>
  <c r="E42" i="4"/>
  <c r="G42" i="4" s="1"/>
  <c r="I42" i="4" s="1"/>
  <c r="B42" i="4"/>
  <c r="D42" i="4" s="1"/>
  <c r="H42" i="4" s="1"/>
  <c r="G41" i="4"/>
  <c r="I41" i="4" s="1"/>
  <c r="D41" i="4"/>
  <c r="H41" i="4" s="1"/>
  <c r="I45" i="4" s="1"/>
  <c r="C30" i="4"/>
  <c r="C29" i="4"/>
  <c r="C28" i="4"/>
  <c r="C27" i="4"/>
  <c r="C31" i="4" s="1"/>
  <c r="D20" i="4"/>
  <c r="E19" i="4"/>
  <c r="D19" i="4"/>
  <c r="D18" i="4"/>
  <c r="E18" i="4" s="1"/>
  <c r="D17" i="4"/>
  <c r="E17" i="4" s="1"/>
  <c r="D16" i="4"/>
  <c r="E16" i="4" s="1"/>
  <c r="E20" i="4" s="1"/>
  <c r="D8" i="4"/>
  <c r="F8" i="4" s="1"/>
  <c r="F7" i="4"/>
  <c r="G7" i="4" s="1"/>
  <c r="E7" i="4"/>
  <c r="D7" i="4"/>
  <c r="E6" i="4"/>
  <c r="D6" i="4"/>
  <c r="F6" i="4" s="1"/>
  <c r="G6" i="4" s="1"/>
  <c r="E5" i="4"/>
  <c r="D5" i="4"/>
  <c r="F5" i="4" s="1"/>
  <c r="G5" i="4" s="1"/>
  <c r="E4" i="4"/>
  <c r="D4" i="4"/>
  <c r="F4" i="4" s="1"/>
  <c r="G4" i="4" s="1"/>
  <c r="E78" i="4" l="1"/>
  <c r="E77" i="4"/>
  <c r="G8" i="4"/>
  <c r="M6" i="4" s="1"/>
  <c r="E98" i="4"/>
  <c r="E101" i="4" s="1"/>
  <c r="M5" i="4" s="1"/>
  <c r="E79" i="4"/>
  <c r="M3" i="4" s="1"/>
  <c r="C2" i="3" l="1"/>
  <c r="D2" i="3"/>
  <c r="B2" i="3"/>
  <c r="C7" i="3" l="1"/>
  <c r="C3" i="3" l="1"/>
  <c r="D3" i="3"/>
  <c r="B3" i="3"/>
  <c r="B4" i="3"/>
  <c r="C4" i="3"/>
  <c r="D4" i="3"/>
  <c r="C6" i="3"/>
  <c r="D6" i="3"/>
  <c r="B6" i="3"/>
  <c r="D5" i="3"/>
  <c r="B5" i="3"/>
  <c r="C5" i="3"/>
</calcChain>
</file>

<file path=xl/sharedStrings.xml><?xml version="1.0" encoding="utf-8"?>
<sst xmlns="http://schemas.openxmlformats.org/spreadsheetml/2006/main" count="218" uniqueCount="129">
  <si>
    <t>PPEIdtIL Potential Percentage Eff Improvement due to Improved Labeling</t>
  </si>
  <si>
    <t>Source:</t>
  </si>
  <si>
    <t>Star Labeling Schedules of Appliances &amp; Equipment</t>
  </si>
  <si>
    <t>Assumption for choice between bands for estimating improvement</t>
  </si>
  <si>
    <t>Bureau of Energy Efficiency/Ministry of Power</t>
  </si>
  <si>
    <t>Simonson &amp; Tversky</t>
  </si>
  <si>
    <t>Schedules for Equipments</t>
  </si>
  <si>
    <t>Choice in Context: Tradeoff Contrast and Extremeness Aversion</t>
  </si>
  <si>
    <t>https://beestarlabel.com/Home/EquipmentSchemes?type=M</t>
  </si>
  <si>
    <t>https://www.gsb.stanford.edu/faculty-research/publications/choice-context-tradeoff-contrast-extremeness-aversion</t>
  </si>
  <si>
    <t>Individual schedules for select appliances/equipments</t>
  </si>
  <si>
    <t>Journal of Marketing Research. 1992, Vol. 29, Issue 3, Pages 281-295</t>
  </si>
  <si>
    <t>(sources noted under each data table in "India Data' tab)</t>
  </si>
  <si>
    <t>Selection of Top 10 Appliances in India</t>
  </si>
  <si>
    <t>Lawrence Berkeley National Laboratory (LBNL)</t>
  </si>
  <si>
    <t>Assessing the Cost-Effective Energy Saving Potential from Top-10 Appliances in India</t>
  </si>
  <si>
    <t>https://eta.lbl.gov/sites/default/files/publications/india_appliance_ee_potential_eedal_conference_paper_0.pdf</t>
  </si>
  <si>
    <t>Section 2, pp 4-10</t>
  </si>
  <si>
    <t>Note:</t>
  </si>
  <si>
    <t>This variable reflects improvement in efficiency components selected by consumers due</t>
  </si>
  <si>
    <t>to improved labeling. The labeling influences consumers who are buying appliances of all</t>
  </si>
  <si>
    <t>Quality levels, so it's represented as a simple percentage increase in the efficiency of</t>
  </si>
  <si>
    <t>components sold (at all quality levels). If Quality Levels are defined based on</t>
  </si>
  <si>
    <t>particular efficiency thresholds, this may mean the number of square feet served by</t>
  </si>
  <si>
    <t>components of a given quality level will not be accurate. It's just a question of the meaning</t>
  </si>
  <si>
    <t>of the labels given to each Quality Level.</t>
  </si>
  <si>
    <t xml:space="preserve">India has a Standards &amp; Labeling (S&amp;L) program implemented by the Bureau of </t>
  </si>
  <si>
    <t xml:space="preserve">Energy Efficiency (BEE) under the Ministry of Power since 2006. Under this, </t>
  </si>
  <si>
    <t>BEE promotes the use of star-rated appliances for residential, commercial and</t>
  </si>
  <si>
    <t xml:space="preserve">agricultural sectors, either through mandatory or voluntary schemes. </t>
  </si>
  <si>
    <t xml:space="preserve">We use an LBNL study which analyses the savings potential from 10 most </t>
  </si>
  <si>
    <t>selling appliances in India, to identify the appliances for which to estimate</t>
  </si>
  <si>
    <t xml:space="preserve">the efficiency savings in the buildings sector. We choose 8 out of 10 appliances </t>
  </si>
  <si>
    <t>to be suited for the sectors in the EPS model, and an additional 2 appliances</t>
  </si>
  <si>
    <t xml:space="preserve">(diesel generator sets and washing machines) which are used widely </t>
  </si>
  <si>
    <t xml:space="preserve">for backup power generation in commercial buildings and residential </t>
  </si>
  <si>
    <t>buildings in cities respectively.</t>
  </si>
  <si>
    <t>The percentage improvement is estimated as an average of the improvement</t>
  </si>
  <si>
    <t>between 2 consecutive bands for each appliance, based on a market research study</t>
  </si>
  <si>
    <t>which indicates that consumers are more likely to pay for incremental improvements</t>
  </si>
  <si>
    <t xml:space="preserve">of efficiency rather than say a direct move from a 2 star to a 5 star rated appliance. </t>
  </si>
  <si>
    <t>We exclude the heating component in buildings for India.</t>
  </si>
  <si>
    <t>We assume that the same improvements apply across the 3 building</t>
  </si>
  <si>
    <t xml:space="preserve">categories in this variable. </t>
  </si>
  <si>
    <t>Frost-free Refrigerators</t>
  </si>
  <si>
    <t>Building Component</t>
  </si>
  <si>
    <t>Average Improvement</t>
  </si>
  <si>
    <t>Component Match</t>
  </si>
  <si>
    <t>heating</t>
  </si>
  <si>
    <t>Star rating band</t>
  </si>
  <si>
    <t>Minimum CEC</t>
  </si>
  <si>
    <t>Maximum CEC</t>
  </si>
  <si>
    <t>Min*</t>
  </si>
  <si>
    <t>Max</t>
  </si>
  <si>
    <t>Avg</t>
  </si>
  <si>
    <t>improvement</t>
  </si>
  <si>
    <t>cooling and ventilation</t>
  </si>
  <si>
    <t>1 Star *</t>
  </si>
  <si>
    <t>envelope</t>
  </si>
  <si>
    <t>2 Star * *</t>
  </si>
  <si>
    <t>lighting</t>
  </si>
  <si>
    <t>3 Star * * *</t>
  </si>
  <si>
    <t>appliances</t>
  </si>
  <si>
    <t>4 Star * * * *</t>
  </si>
  <si>
    <t>other component</t>
  </si>
  <si>
    <t>5 Star * * * * *</t>
  </si>
  <si>
    <t>Appliances</t>
  </si>
  <si>
    <t>* calculated with (Vadj_tot_nf = 1)</t>
  </si>
  <si>
    <t>Air Conditioners</t>
  </si>
  <si>
    <t>Energy Efficiency Ratio (Watt/Watt)</t>
  </si>
  <si>
    <t>Star level</t>
  </si>
  <si>
    <t>Min</t>
  </si>
  <si>
    <t>Cooling &amp; Ventilation</t>
  </si>
  <si>
    <t>Source: AC labeling schedule - https://beestarlabel.com/Content/Files/Schedule3A-RAC9jun.pdf</t>
  </si>
  <si>
    <t>Televisions</t>
  </si>
  <si>
    <t>Table 2.1.3: Star wise Annual Energy consumption for LED TVs (with LED backlight) for preferred</t>
  </si>
  <si>
    <t>Maximum Annual Energy 
Consumption kWh/yr</t>
  </si>
  <si>
    <t>Size selected as per LBNL study - 32" screen size and aspect ratio 16:9</t>
  </si>
  <si>
    <t>Source: Color TV labeling schedule - https://beestarlabel.com/Content/Files/Schedule-11=CTV.pdf</t>
  </si>
  <si>
    <t>Electric water heaters</t>
  </si>
  <si>
    <t>Table 3: Star rating plan valid from 1stJuly2015to 30thJune 2017</t>
  </si>
  <si>
    <t>Standing Losses (kWh/24 hour/45°C)</t>
  </si>
  <si>
    <t xml:space="preserve">Rated Capacity-&gt; </t>
  </si>
  <si>
    <t>15 litres</t>
  </si>
  <si>
    <t>25 litres</t>
  </si>
  <si>
    <t>Source: Electric Water Heater labeling schedule - https://beestarlabel.com/Content/Files/Schedule_10.pdf</t>
  </si>
  <si>
    <t>DG Sets</t>
  </si>
  <si>
    <t>Specific Fuel Consumption (SFC) in g/kWh</t>
  </si>
  <si>
    <t>Envelope</t>
  </si>
  <si>
    <t>Source: Diesel Gensets labeling schedule - https://beestarlabel.com/Content/Files/DG%20Set%20schedule.pdf</t>
  </si>
  <si>
    <t>Washing machines</t>
  </si>
  <si>
    <t>Table: 4: Star Rating Plan – Voluntary Phase</t>
  </si>
  <si>
    <t>Top loaders &amp; semi-automatic machines -Cotton 30C (Valid from 8th March 2019 to 31st December 2020)</t>
  </si>
  <si>
    <t xml:space="preserve">Energy consumption (E) per cycle kWh/kg/cycle </t>
  </si>
  <si>
    <t>Source: Washing machines labeling schedule - https://beestarlabel.com/Content/Files/Schedule12-WM.pdf</t>
  </si>
  <si>
    <t>Ceiling Fans</t>
  </si>
  <si>
    <t>Star Rating Plan: Table 4.1: Valid from 1st September, 2019 to 30th June, 2022</t>
  </si>
  <si>
    <t>Service Value (sweep size &gt;=1200 mm)*</t>
  </si>
  <si>
    <t>min</t>
  </si>
  <si>
    <t>max</t>
  </si>
  <si>
    <t>avg</t>
  </si>
  <si>
    <t>*most common sweep size for residential fans is 1200mm as per manufacturer/retailer websites</t>
  </si>
  <si>
    <t>Source: Ceiling fans labeline schedule - https://beestarlabel.com/Content/Files/Schedule8-CF.pdf</t>
  </si>
  <si>
    <t>LED Lamps</t>
  </si>
  <si>
    <t>(b) Star Rating Plan –MandatoryPhase (Validity: 1/1/2018to 31/12/2019)</t>
  </si>
  <si>
    <t>Rated Luminous Efficacy (Lumen/Watt)</t>
  </si>
  <si>
    <t>n/a (freezed)</t>
  </si>
  <si>
    <t>Lighting</t>
  </si>
  <si>
    <t>Source: LED Lamps labeling schedule - https://beestarlabel.com/Content/Files/LED_schedule.pdf</t>
  </si>
  <si>
    <t xml:space="preserve">Tubular Fluorescent Lamps </t>
  </si>
  <si>
    <t>Lumens per Watt at 2000 hrs of use*</t>
  </si>
  <si>
    <t>*hours of usage assumed as per LBNL study</t>
  </si>
  <si>
    <t>Efficiency Improvement by Building Component (dimensionless)</t>
  </si>
  <si>
    <t>Urban Residential</t>
  </si>
  <si>
    <t>Rural Residential</t>
  </si>
  <si>
    <t>Commercial</t>
  </si>
  <si>
    <t>(0.157* Vtot+243)</t>
  </si>
  <si>
    <t>(0.180* Vtot+279)</t>
  </si>
  <si>
    <t>(0.136*Vtot+211)</t>
  </si>
  <si>
    <t>(0.118*Vtot+184)</t>
  </si>
  <si>
    <t>(0.136* Vtot+211)</t>
  </si>
  <si>
    <t>(0.103* Vtot +160)</t>
  </si>
  <si>
    <t>(0.118*Vtot +184)</t>
  </si>
  <si>
    <t>(0.103*Vtot+160)</t>
  </si>
  <si>
    <t>Table 1 (Page 6): Star level Valid from 1st January, 2023 to 31st December, 2024</t>
  </si>
  <si>
    <t>Source: Refrigerator labeling schedule - https://beestarlabel.com/Content/Notification/Refrigerators/14a_Refrigerator.pdf</t>
  </si>
  <si>
    <t>Source: TFLs Labeling schedule - https://www.beestarlabel.com/Content/Files/3_14a_Amendment_I.pdf</t>
  </si>
  <si>
    <t>Table 2.6: Star level valid for split type air conditioners(From 1stJanuary, 2021 to 31stDecember, 2023)</t>
  </si>
  <si>
    <t>Screen Sizes (from January 01, 2021 to December 31,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</si>
</sst>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2" fontId="0" fillId="3" borderId="1" xfId="0" applyNumberFormat="1" applyFill="1" applyBorder="1" applyAlignment="1">
      <alignment horizontal="center"/>
    </xf>
    <xf numFmtId="0" fontId="1" fillId="4" borderId="0" xfId="0" applyFont="1" applyFill="1"/>
    <xf numFmtId="0" fontId="4" fillId="0" borderId="8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estarlabel.com/Home/EquipmentSchemes?type=M" TargetMode="External"/><Relationship Id="rId2" Type="http://schemas.openxmlformats.org/officeDocument/2006/relationships/hyperlink" Target="https://www.gsb.stanford.edu/faculty-research/publications/choice-context-tradeoff-contrast-extremeness-aversion" TargetMode="External"/><Relationship Id="rId1" Type="http://schemas.openxmlformats.org/officeDocument/2006/relationships/hyperlink" Target="https://eta.lbl.gov/sites/default/files/publications/india_appliance_ee_potential_eedal_conference_paper_0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selection activeCell="O14" sqref="O14"/>
    </sheetView>
  </sheetViews>
  <sheetFormatPr defaultRowHeight="15" x14ac:dyDescent="0.25"/>
  <sheetData>
    <row r="1" spans="1:16" x14ac:dyDescent="0.25">
      <c r="A1" s="1" t="s">
        <v>0</v>
      </c>
    </row>
    <row r="3" spans="1:16" x14ac:dyDescent="0.25">
      <c r="A3" s="2" t="s">
        <v>1</v>
      </c>
      <c r="B3" s="17" t="s">
        <v>2</v>
      </c>
      <c r="C3" s="17"/>
      <c r="D3" s="17"/>
      <c r="E3" s="17"/>
      <c r="F3" s="17"/>
      <c r="G3" s="17"/>
      <c r="H3" s="17"/>
      <c r="I3" s="2"/>
      <c r="J3" s="17" t="s">
        <v>3</v>
      </c>
      <c r="K3" s="17"/>
      <c r="L3" s="17"/>
      <c r="M3" s="17"/>
      <c r="N3" s="17"/>
      <c r="O3" s="17"/>
      <c r="P3" s="17"/>
    </row>
    <row r="4" spans="1:16" x14ac:dyDescent="0.25">
      <c r="A4" s="2"/>
      <c r="B4" t="s">
        <v>4</v>
      </c>
      <c r="J4" t="s">
        <v>5</v>
      </c>
    </row>
    <row r="5" spans="1:16" x14ac:dyDescent="0.25">
      <c r="B5" s="4">
        <v>2023</v>
      </c>
      <c r="J5" s="4">
        <v>1992</v>
      </c>
    </row>
    <row r="6" spans="1:16" x14ac:dyDescent="0.25">
      <c r="B6" t="s">
        <v>6</v>
      </c>
      <c r="J6" t="s">
        <v>7</v>
      </c>
    </row>
    <row r="7" spans="1:16" x14ac:dyDescent="0.25">
      <c r="B7" s="3" t="s">
        <v>8</v>
      </c>
      <c r="J7" s="3" t="s">
        <v>9</v>
      </c>
    </row>
    <row r="8" spans="1:16" x14ac:dyDescent="0.25">
      <c r="B8" t="s">
        <v>10</v>
      </c>
      <c r="J8" t="s">
        <v>11</v>
      </c>
    </row>
    <row r="9" spans="1:16" x14ac:dyDescent="0.25">
      <c r="B9" t="s">
        <v>12</v>
      </c>
    </row>
    <row r="11" spans="1:16" x14ac:dyDescent="0.25">
      <c r="B11" s="17" t="s">
        <v>13</v>
      </c>
      <c r="C11" s="17"/>
      <c r="D11" s="17"/>
      <c r="E11" s="17"/>
      <c r="F11" s="17"/>
      <c r="G11" s="17"/>
      <c r="H11" s="17"/>
    </row>
    <row r="12" spans="1:16" x14ac:dyDescent="0.25">
      <c r="B12" t="s">
        <v>14</v>
      </c>
    </row>
    <row r="13" spans="1:16" x14ac:dyDescent="0.25">
      <c r="B13" s="4">
        <v>2017</v>
      </c>
    </row>
    <row r="14" spans="1:16" x14ac:dyDescent="0.25">
      <c r="B14" t="s">
        <v>15</v>
      </c>
    </row>
    <row r="15" spans="1:16" x14ac:dyDescent="0.25">
      <c r="B15" s="3" t="s">
        <v>16</v>
      </c>
    </row>
    <row r="16" spans="1:16" x14ac:dyDescent="0.25">
      <c r="B16" t="s">
        <v>17</v>
      </c>
    </row>
    <row r="18" spans="1:1" x14ac:dyDescent="0.25">
      <c r="A18" s="2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</sheetData>
  <hyperlinks>
    <hyperlink ref="B15" r:id="rId1" xr:uid="{B61DE97D-BE36-45E6-8CB0-40F3350B2D92}"/>
    <hyperlink ref="J7" r:id="rId2" xr:uid="{325EC32F-AF29-4352-B7C5-15DDC0E20830}"/>
    <hyperlink ref="B7" r:id="rId3" xr:uid="{522C5404-D98A-4FBD-902F-9B3CDEB7F2BD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9194-25D4-4A44-A2A5-F019043BA134}">
  <dimension ref="A1:N103"/>
  <sheetViews>
    <sheetView zoomScale="80" zoomScaleNormal="80" workbookViewId="0">
      <selection activeCell="H16" sqref="H16"/>
    </sheetView>
  </sheetViews>
  <sheetFormatPr defaultRowHeight="15" x14ac:dyDescent="0.25"/>
  <cols>
    <col min="1" max="1" width="17.7109375" customWidth="1"/>
    <col min="2" max="2" width="26" customWidth="1"/>
    <col min="3" max="3" width="24.85546875" customWidth="1"/>
    <col min="5" max="5" width="13.5703125" customWidth="1"/>
    <col min="6" max="6" width="10.42578125" customWidth="1"/>
    <col min="7" max="7" width="13.140625" customWidth="1"/>
    <col min="9" max="9" width="11" customWidth="1"/>
    <col min="10" max="10" width="26" customWidth="1"/>
    <col min="11" max="11" width="6.85546875" customWidth="1"/>
    <col min="12" max="12" width="23.85546875" customWidth="1"/>
  </cols>
  <sheetData>
    <row r="1" spans="1:14" x14ac:dyDescent="0.25">
      <c r="A1" s="14" t="s">
        <v>44</v>
      </c>
      <c r="B1" s="15"/>
      <c r="L1" s="14" t="s">
        <v>45</v>
      </c>
      <c r="M1" s="14" t="s">
        <v>46</v>
      </c>
      <c r="N1" s="14"/>
    </row>
    <row r="2" spans="1:14" x14ac:dyDescent="0.25">
      <c r="A2" s="2" t="s">
        <v>124</v>
      </c>
      <c r="D2" s="35"/>
      <c r="E2" s="35"/>
      <c r="J2" s="14" t="s">
        <v>47</v>
      </c>
      <c r="K2" s="14"/>
      <c r="L2" t="s">
        <v>48</v>
      </c>
      <c r="M2">
        <v>0</v>
      </c>
    </row>
    <row r="3" spans="1:14" x14ac:dyDescent="0.25">
      <c r="A3" s="9" t="s">
        <v>49</v>
      </c>
      <c r="B3" s="20" t="s">
        <v>50</v>
      </c>
      <c r="C3" s="20" t="s">
        <v>51</v>
      </c>
      <c r="D3" s="20" t="s">
        <v>52</v>
      </c>
      <c r="E3" s="20" t="s">
        <v>53</v>
      </c>
      <c r="F3" s="20" t="s">
        <v>54</v>
      </c>
      <c r="G3" s="20" t="s">
        <v>55</v>
      </c>
      <c r="L3" t="s">
        <v>56</v>
      </c>
      <c r="M3" s="6">
        <f>AVERAGE(E20,E79)</f>
        <v>8.4684092466011232E-2</v>
      </c>
    </row>
    <row r="4" spans="1:14" x14ac:dyDescent="0.25">
      <c r="A4" s="7" t="s">
        <v>57</v>
      </c>
      <c r="B4" t="s">
        <v>116</v>
      </c>
      <c r="C4" t="s">
        <v>117</v>
      </c>
      <c r="D4" s="10">
        <f>0.157+243</f>
        <v>243.15700000000001</v>
      </c>
      <c r="E4" s="10">
        <f>0.18+279</f>
        <v>279.18</v>
      </c>
      <c r="F4" s="10">
        <f>AVERAGE(D4:E4)</f>
        <v>261.16849999999999</v>
      </c>
      <c r="G4" s="10">
        <f>(F4-F5)/F4</f>
        <v>0.13026838994748599</v>
      </c>
      <c r="L4" t="s">
        <v>58</v>
      </c>
      <c r="M4" s="6">
        <f>E56</f>
        <v>8.849008179139449E-2</v>
      </c>
    </row>
    <row r="5" spans="1:14" x14ac:dyDescent="0.25">
      <c r="A5" s="7" t="s">
        <v>59</v>
      </c>
      <c r="B5" t="s">
        <v>118</v>
      </c>
      <c r="C5" t="s">
        <v>116</v>
      </c>
      <c r="D5" s="10">
        <f>0.136+211</f>
        <v>211.136</v>
      </c>
      <c r="E5" s="10">
        <f>0.157+243</f>
        <v>243.15700000000001</v>
      </c>
      <c r="F5" s="10">
        <f t="shared" ref="F5:F8" si="0">AVERAGE(D5:E5)</f>
        <v>227.1465</v>
      </c>
      <c r="G5" s="10">
        <f t="shared" ref="G5:G7" si="1">(F5-F6)/F5</f>
        <v>0.12995797866134848</v>
      </c>
      <c r="L5" t="s">
        <v>60</v>
      </c>
      <c r="M5" s="6">
        <f>AVERAGE(E101,E91)</f>
        <v>0.2452321820671951</v>
      </c>
    </row>
    <row r="6" spans="1:14" x14ac:dyDescent="0.25">
      <c r="A6" s="7" t="s">
        <v>61</v>
      </c>
      <c r="B6" t="s">
        <v>119</v>
      </c>
      <c r="C6" t="s">
        <v>120</v>
      </c>
      <c r="D6" s="10">
        <f>0.118+184</f>
        <v>184.11799999999999</v>
      </c>
      <c r="E6" s="10">
        <f>0.136+211</f>
        <v>211.136</v>
      </c>
      <c r="F6" s="10">
        <f t="shared" si="0"/>
        <v>197.62700000000001</v>
      </c>
      <c r="G6" s="10">
        <f t="shared" si="1"/>
        <v>0.12911444286458837</v>
      </c>
      <c r="L6" t="s">
        <v>62</v>
      </c>
      <c r="M6" s="6">
        <f>AVERAGE(G8,C31,I45,E68)</f>
        <v>9.2746031597984405E-2</v>
      </c>
    </row>
    <row r="7" spans="1:14" x14ac:dyDescent="0.25">
      <c r="A7" s="7" t="s">
        <v>63</v>
      </c>
      <c r="B7" t="s">
        <v>121</v>
      </c>
      <c r="C7" t="s">
        <v>122</v>
      </c>
      <c r="D7" s="10">
        <f>0.103+160</f>
        <v>160.10300000000001</v>
      </c>
      <c r="E7" s="10">
        <f>0.118+184</f>
        <v>184.11799999999999</v>
      </c>
      <c r="F7" s="10">
        <f t="shared" si="0"/>
        <v>172.1105</v>
      </c>
      <c r="G7" s="10">
        <f t="shared" si="1"/>
        <v>6.9766225767748005E-2</v>
      </c>
      <c r="L7" t="s">
        <v>64</v>
      </c>
      <c r="M7">
        <v>0</v>
      </c>
    </row>
    <row r="8" spans="1:14" x14ac:dyDescent="0.25">
      <c r="A8" s="7" t="s">
        <v>65</v>
      </c>
      <c r="B8" t="s">
        <v>123</v>
      </c>
      <c r="C8" s="7"/>
      <c r="D8" s="10">
        <f>0.103+160</f>
        <v>160.10300000000001</v>
      </c>
      <c r="E8" s="10"/>
      <c r="F8" s="10">
        <f t="shared" si="0"/>
        <v>160.10300000000001</v>
      </c>
      <c r="G8" s="16">
        <f>AVERAGE(G4:G7)</f>
        <v>0.1147767593102927</v>
      </c>
      <c r="J8" t="s">
        <v>66</v>
      </c>
    </row>
    <row r="9" spans="1:14" x14ac:dyDescent="0.25">
      <c r="A9" s="18" t="s">
        <v>67</v>
      </c>
      <c r="D9" s="6"/>
      <c r="E9" s="6"/>
      <c r="F9" s="6"/>
      <c r="G9" s="6"/>
    </row>
    <row r="10" spans="1:14" x14ac:dyDescent="0.25">
      <c r="A10" s="19" t="s">
        <v>125</v>
      </c>
    </row>
    <row r="12" spans="1:14" x14ac:dyDescent="0.25">
      <c r="A12" s="14" t="s">
        <v>68</v>
      </c>
      <c r="B12" s="15"/>
    </row>
    <row r="13" spans="1:14" x14ac:dyDescent="0.25">
      <c r="A13" s="2" t="s">
        <v>127</v>
      </c>
    </row>
    <row r="14" spans="1:14" x14ac:dyDescent="0.25">
      <c r="B14" s="24" t="s">
        <v>69</v>
      </c>
      <c r="C14" s="24"/>
    </row>
    <row r="15" spans="1:14" x14ac:dyDescent="0.25">
      <c r="A15" s="9" t="s">
        <v>70</v>
      </c>
      <c r="B15" s="20" t="s">
        <v>71</v>
      </c>
      <c r="C15" s="20" t="s">
        <v>53</v>
      </c>
      <c r="D15" s="20" t="s">
        <v>54</v>
      </c>
      <c r="E15" s="20" t="s">
        <v>55</v>
      </c>
    </row>
    <row r="16" spans="1:14" x14ac:dyDescent="0.25">
      <c r="A16" s="7" t="s">
        <v>57</v>
      </c>
      <c r="B16" s="21">
        <v>2.7</v>
      </c>
      <c r="C16" s="21">
        <v>2.89</v>
      </c>
      <c r="D16" s="10">
        <f>AVERAGE(B16:C16)</f>
        <v>2.7949999999999999</v>
      </c>
      <c r="E16" s="10">
        <f>(D17-D16)/D16</f>
        <v>7.1556350626118134E-2</v>
      </c>
    </row>
    <row r="17" spans="1:10" x14ac:dyDescent="0.25">
      <c r="A17" s="7" t="s">
        <v>59</v>
      </c>
      <c r="B17" s="21">
        <v>2.9</v>
      </c>
      <c r="C17" s="21">
        <v>3.09</v>
      </c>
      <c r="D17" s="10">
        <f t="shared" ref="D17:D20" si="2">AVERAGE(B17:C17)</f>
        <v>2.9950000000000001</v>
      </c>
      <c r="E17" s="10">
        <f t="shared" ref="E17:E19" si="3">(D18-D17)/D17</f>
        <v>6.6777963272120253E-2</v>
      </c>
    </row>
    <row r="18" spans="1:10" x14ac:dyDescent="0.25">
      <c r="A18" s="7" t="s">
        <v>61</v>
      </c>
      <c r="B18" s="21">
        <v>3.1</v>
      </c>
      <c r="C18" s="21">
        <v>3.29</v>
      </c>
      <c r="D18" s="10">
        <f t="shared" si="2"/>
        <v>3.1950000000000003</v>
      </c>
      <c r="E18" s="10">
        <f t="shared" si="3"/>
        <v>6.259780907668222E-2</v>
      </c>
    </row>
    <row r="19" spans="1:10" x14ac:dyDescent="0.25">
      <c r="A19" s="7" t="s">
        <v>63</v>
      </c>
      <c r="B19" s="21">
        <v>3.3</v>
      </c>
      <c r="C19" s="21">
        <v>3.49</v>
      </c>
      <c r="D19" s="10">
        <f t="shared" si="2"/>
        <v>3.395</v>
      </c>
      <c r="E19" s="10">
        <f t="shared" si="3"/>
        <v>3.0927835051546386E-2</v>
      </c>
    </row>
    <row r="20" spans="1:10" x14ac:dyDescent="0.25">
      <c r="A20" s="7" t="s">
        <v>65</v>
      </c>
      <c r="B20" s="21">
        <v>3.5</v>
      </c>
      <c r="C20" s="21"/>
      <c r="D20" s="10">
        <f t="shared" si="2"/>
        <v>3.5</v>
      </c>
      <c r="E20" s="16">
        <f>AVERAGE(E16:E19)</f>
        <v>5.796498950661675E-2</v>
      </c>
      <c r="J20" t="s">
        <v>72</v>
      </c>
    </row>
    <row r="21" spans="1:10" x14ac:dyDescent="0.25">
      <c r="A21" s="18" t="s">
        <v>73</v>
      </c>
    </row>
    <row r="22" spans="1:10" x14ac:dyDescent="0.25">
      <c r="A22" s="19"/>
    </row>
    <row r="23" spans="1:10" x14ac:dyDescent="0.25">
      <c r="A23" s="14" t="s">
        <v>74</v>
      </c>
      <c r="B23" s="15"/>
    </row>
    <row r="24" spans="1:10" x14ac:dyDescent="0.25">
      <c r="A24" s="2" t="s">
        <v>75</v>
      </c>
    </row>
    <row r="25" spans="1:10" x14ac:dyDescent="0.25">
      <c r="A25" s="2" t="s">
        <v>128</v>
      </c>
    </row>
    <row r="26" spans="1:10" ht="33.75" customHeight="1" x14ac:dyDescent="0.25">
      <c r="A26" s="9" t="s">
        <v>70</v>
      </c>
      <c r="B26" s="12" t="s">
        <v>76</v>
      </c>
      <c r="C26" s="20" t="s">
        <v>55</v>
      </c>
    </row>
    <row r="27" spans="1:10" x14ac:dyDescent="0.25">
      <c r="A27" s="7" t="s">
        <v>57</v>
      </c>
      <c r="B27" s="21">
        <v>87</v>
      </c>
      <c r="C27" s="10">
        <f>(B27-B28)/B27</f>
        <v>9.1954022988505746E-2</v>
      </c>
    </row>
    <row r="28" spans="1:10" x14ac:dyDescent="0.25">
      <c r="A28" s="7" t="s">
        <v>59</v>
      </c>
      <c r="B28" s="21">
        <v>79</v>
      </c>
      <c r="C28" s="10">
        <f t="shared" ref="C28:C30" si="4">(B28-B29)/B28</f>
        <v>8.8607594936708861E-2</v>
      </c>
    </row>
    <row r="29" spans="1:10" x14ac:dyDescent="0.25">
      <c r="A29" s="7" t="s">
        <v>61</v>
      </c>
      <c r="B29" s="21">
        <v>72</v>
      </c>
      <c r="C29" s="10">
        <f t="shared" si="4"/>
        <v>0.1111111111111111</v>
      </c>
    </row>
    <row r="30" spans="1:10" x14ac:dyDescent="0.25">
      <c r="A30" s="7" t="s">
        <v>63</v>
      </c>
      <c r="B30" s="21">
        <v>64</v>
      </c>
      <c r="C30" s="10">
        <f t="shared" si="4"/>
        <v>0.125</v>
      </c>
    </row>
    <row r="31" spans="1:10" x14ac:dyDescent="0.25">
      <c r="A31" s="7" t="s">
        <v>65</v>
      </c>
      <c r="B31" s="21">
        <v>56</v>
      </c>
      <c r="C31" s="16">
        <f>AVERAGE(C27:C30)</f>
        <v>0.10416818225908142</v>
      </c>
      <c r="J31" t="s">
        <v>66</v>
      </c>
    </row>
    <row r="32" spans="1:10" x14ac:dyDescent="0.25">
      <c r="A32" s="18" t="s">
        <v>77</v>
      </c>
    </row>
    <row r="33" spans="1:10" x14ac:dyDescent="0.25">
      <c r="A33" s="19" t="s">
        <v>78</v>
      </c>
    </row>
    <row r="35" spans="1:10" x14ac:dyDescent="0.25">
      <c r="A35" s="14" t="s">
        <v>79</v>
      </c>
      <c r="B35" s="15"/>
    </row>
    <row r="36" spans="1:10" x14ac:dyDescent="0.25">
      <c r="A36" s="2" t="s">
        <v>80</v>
      </c>
    </row>
    <row r="38" spans="1:10" x14ac:dyDescent="0.25">
      <c r="B38" s="23" t="s">
        <v>81</v>
      </c>
      <c r="C38" s="32"/>
      <c r="D38" s="32"/>
      <c r="E38" s="32"/>
      <c r="F38" s="32"/>
      <c r="G38" s="32"/>
    </row>
    <row r="39" spans="1:10" x14ac:dyDescent="0.25">
      <c r="A39" s="7" t="s">
        <v>82</v>
      </c>
      <c r="B39" s="29" t="s">
        <v>83</v>
      </c>
      <c r="C39" s="30"/>
      <c r="D39" s="31"/>
      <c r="E39" s="28" t="s">
        <v>84</v>
      </c>
      <c r="F39" s="28"/>
      <c r="G39" s="28"/>
      <c r="H39" s="33" t="s">
        <v>55</v>
      </c>
      <c r="I39" s="34"/>
    </row>
    <row r="40" spans="1:10" x14ac:dyDescent="0.25">
      <c r="A40" s="7" t="s">
        <v>70</v>
      </c>
      <c r="B40" s="20" t="s">
        <v>53</v>
      </c>
      <c r="C40" s="20" t="s">
        <v>71</v>
      </c>
      <c r="D40" s="20" t="s">
        <v>54</v>
      </c>
      <c r="E40" s="20" t="s">
        <v>53</v>
      </c>
      <c r="F40" s="20" t="s">
        <v>71</v>
      </c>
      <c r="G40" s="20" t="s">
        <v>54</v>
      </c>
      <c r="H40" s="20" t="s">
        <v>83</v>
      </c>
      <c r="I40" s="20" t="s">
        <v>84</v>
      </c>
    </row>
    <row r="41" spans="1:10" x14ac:dyDescent="0.25">
      <c r="A41" s="7" t="s">
        <v>57</v>
      </c>
      <c r="B41" s="21">
        <v>0.67500000000000004</v>
      </c>
      <c r="C41" s="21">
        <v>0.61399999999999999</v>
      </c>
      <c r="D41" s="10">
        <f>AVERAGE(B41:C41)</f>
        <v>0.64450000000000007</v>
      </c>
      <c r="E41" s="21">
        <v>0.82299999999999995</v>
      </c>
      <c r="F41" s="21">
        <v>0.748</v>
      </c>
      <c r="G41" s="10">
        <f>AVERAGE(E41:F41)</f>
        <v>0.78549999999999998</v>
      </c>
      <c r="H41" s="10">
        <f>(D41-D42)/D41</f>
        <v>9.0768037238169105E-2</v>
      </c>
      <c r="I41" s="10">
        <f>(G41-G42)/G41</f>
        <v>9.102482495225972E-2</v>
      </c>
    </row>
    <row r="42" spans="1:10" x14ac:dyDescent="0.25">
      <c r="A42" s="7" t="s">
        <v>59</v>
      </c>
      <c r="B42" s="21">
        <f>C41</f>
        <v>0.61399999999999999</v>
      </c>
      <c r="C42" s="21">
        <v>0.55800000000000005</v>
      </c>
      <c r="D42" s="10">
        <f t="shared" ref="D42:D45" si="5">AVERAGE(B42:C42)</f>
        <v>0.58600000000000008</v>
      </c>
      <c r="E42" s="21">
        <f>F41</f>
        <v>0.748</v>
      </c>
      <c r="F42" s="21">
        <v>0.68</v>
      </c>
      <c r="G42" s="10">
        <f t="shared" ref="G42:G45" si="6">AVERAGE(E42:F42)</f>
        <v>0.71399999999999997</v>
      </c>
      <c r="H42" s="10">
        <f t="shared" ref="H42:H44" si="7">(D42-D43)/D42</f>
        <v>9.1296928327645216E-2</v>
      </c>
      <c r="I42" s="10">
        <f t="shared" ref="I42:I44" si="8">(G42-G43)/G42</f>
        <v>9.1036414565826257E-2</v>
      </c>
    </row>
    <row r="43" spans="1:10" x14ac:dyDescent="0.25">
      <c r="A43" s="7" t="s">
        <v>61</v>
      </c>
      <c r="B43" s="21">
        <f>C42</f>
        <v>0.55800000000000005</v>
      </c>
      <c r="C43" s="21">
        <v>0.50700000000000001</v>
      </c>
      <c r="D43" s="10">
        <f t="shared" si="5"/>
        <v>0.53249999999999997</v>
      </c>
      <c r="E43" s="21">
        <f>F42</f>
        <v>0.68</v>
      </c>
      <c r="F43" s="21">
        <v>0.61799999999999999</v>
      </c>
      <c r="G43" s="10">
        <f t="shared" si="6"/>
        <v>0.64900000000000002</v>
      </c>
      <c r="H43" s="10">
        <f t="shared" si="7"/>
        <v>9.1079812206572755E-2</v>
      </c>
      <c r="I43" s="10">
        <f t="shared" si="8"/>
        <v>9.0909090909090814E-2</v>
      </c>
    </row>
    <row r="44" spans="1:10" x14ac:dyDescent="0.25">
      <c r="A44" s="7" t="s">
        <v>63</v>
      </c>
      <c r="B44" s="21">
        <f>C43</f>
        <v>0.50700000000000001</v>
      </c>
      <c r="C44" s="21">
        <v>0.46100000000000002</v>
      </c>
      <c r="D44" s="10">
        <f t="shared" si="5"/>
        <v>0.48399999999999999</v>
      </c>
      <c r="E44" s="21">
        <f>F43</f>
        <v>0.61799999999999999</v>
      </c>
      <c r="F44" s="21">
        <v>0.56200000000000006</v>
      </c>
      <c r="G44" s="10">
        <f t="shared" si="6"/>
        <v>0.59000000000000008</v>
      </c>
      <c r="H44" s="10">
        <f t="shared" si="7"/>
        <v>4.7520661157024725E-2</v>
      </c>
      <c r="I44" s="10">
        <f t="shared" si="8"/>
        <v>4.7457627118644104E-2</v>
      </c>
    </row>
    <row r="45" spans="1:10" x14ac:dyDescent="0.25">
      <c r="A45" s="7" t="s">
        <v>65</v>
      </c>
      <c r="B45" s="21">
        <f>C44</f>
        <v>0.46100000000000002</v>
      </c>
      <c r="C45" s="21"/>
      <c r="D45" s="10">
        <f t="shared" si="5"/>
        <v>0.46100000000000002</v>
      </c>
      <c r="E45" s="21">
        <f>F44</f>
        <v>0.56200000000000006</v>
      </c>
      <c r="F45" s="21"/>
      <c r="G45" s="10">
        <f t="shared" si="6"/>
        <v>0.56200000000000006</v>
      </c>
      <c r="H45" s="10"/>
      <c r="I45" s="16">
        <f>AVERAGE(H41:I44)</f>
        <v>8.013667455940407E-2</v>
      </c>
      <c r="J45" t="s">
        <v>66</v>
      </c>
    </row>
    <row r="46" spans="1:10" x14ac:dyDescent="0.25">
      <c r="A46" s="18"/>
      <c r="G46" s="6"/>
    </row>
    <row r="47" spans="1:10" x14ac:dyDescent="0.25">
      <c r="A47" s="19" t="s">
        <v>85</v>
      </c>
      <c r="G47" s="6"/>
    </row>
    <row r="48" spans="1:10" x14ac:dyDescent="0.25">
      <c r="G48" s="6"/>
    </row>
    <row r="49" spans="1:10" x14ac:dyDescent="0.25">
      <c r="A49" s="14" t="s">
        <v>86</v>
      </c>
      <c r="B49" s="15"/>
    </row>
    <row r="50" spans="1:10" x14ac:dyDescent="0.25">
      <c r="B50" s="26" t="s">
        <v>87</v>
      </c>
      <c r="C50" s="27"/>
    </row>
    <row r="51" spans="1:10" x14ac:dyDescent="0.25">
      <c r="A51" s="9" t="s">
        <v>70</v>
      </c>
      <c r="B51" s="20" t="s">
        <v>71</v>
      </c>
      <c r="C51" s="20" t="s">
        <v>53</v>
      </c>
      <c r="D51" s="20" t="s">
        <v>54</v>
      </c>
      <c r="E51" s="20" t="s">
        <v>55</v>
      </c>
    </row>
    <row r="52" spans="1:10" x14ac:dyDescent="0.25">
      <c r="A52" s="7" t="s">
        <v>57</v>
      </c>
      <c r="B52" s="21">
        <v>302</v>
      </c>
      <c r="C52" s="21">
        <v>336</v>
      </c>
      <c r="D52" s="21">
        <f>AVERAGE(B52:C52)</f>
        <v>319</v>
      </c>
      <c r="E52" s="10">
        <f>(D52-D53)/D52</f>
        <v>0.10031347962382445</v>
      </c>
    </row>
    <row r="53" spans="1:10" x14ac:dyDescent="0.25">
      <c r="A53" s="7" t="s">
        <v>59</v>
      </c>
      <c r="B53" s="21">
        <v>272</v>
      </c>
      <c r="C53" s="21">
        <v>302</v>
      </c>
      <c r="D53" s="21">
        <f t="shared" ref="D53:D56" si="9">AVERAGE(B53:C53)</f>
        <v>287</v>
      </c>
      <c r="E53" s="10">
        <f t="shared" ref="E53:E55" si="10">(D53-D54)/D53</f>
        <v>9.9303135888501745E-2</v>
      </c>
    </row>
    <row r="54" spans="1:10" x14ac:dyDescent="0.25">
      <c r="A54" s="7" t="s">
        <v>61</v>
      </c>
      <c r="B54" s="21">
        <v>245</v>
      </c>
      <c r="C54" s="21">
        <v>272</v>
      </c>
      <c r="D54" s="21">
        <f t="shared" si="9"/>
        <v>258.5</v>
      </c>
      <c r="E54" s="10">
        <f t="shared" si="10"/>
        <v>0.10058027079303675</v>
      </c>
    </row>
    <row r="55" spans="1:10" x14ac:dyDescent="0.25">
      <c r="A55" s="7" t="s">
        <v>63</v>
      </c>
      <c r="B55" s="21">
        <v>220</v>
      </c>
      <c r="C55" s="21">
        <v>245</v>
      </c>
      <c r="D55" s="21">
        <f t="shared" si="9"/>
        <v>232.5</v>
      </c>
      <c r="E55" s="10">
        <f t="shared" si="10"/>
        <v>5.3763440860215055E-2</v>
      </c>
    </row>
    <row r="56" spans="1:10" x14ac:dyDescent="0.25">
      <c r="A56" s="7" t="s">
        <v>65</v>
      </c>
      <c r="B56" s="21">
        <v>220</v>
      </c>
      <c r="C56" s="21"/>
      <c r="D56" s="21">
        <f t="shared" si="9"/>
        <v>220</v>
      </c>
      <c r="E56" s="16">
        <f>AVERAGE(E52:E55)</f>
        <v>8.849008179139449E-2</v>
      </c>
      <c r="J56" t="s">
        <v>88</v>
      </c>
    </row>
    <row r="57" spans="1:10" x14ac:dyDescent="0.25">
      <c r="A57" s="18" t="s">
        <v>89</v>
      </c>
    </row>
    <row r="58" spans="1:10" x14ac:dyDescent="0.25">
      <c r="A58" s="19"/>
    </row>
    <row r="59" spans="1:10" x14ac:dyDescent="0.25">
      <c r="A59" s="14" t="s">
        <v>90</v>
      </c>
      <c r="B59" s="15"/>
    </row>
    <row r="60" spans="1:10" x14ac:dyDescent="0.25">
      <c r="A60" s="2" t="s">
        <v>91</v>
      </c>
    </row>
    <row r="61" spans="1:10" x14ac:dyDescent="0.25">
      <c r="A61" s="2" t="s">
        <v>92</v>
      </c>
    </row>
    <row r="62" spans="1:10" x14ac:dyDescent="0.25">
      <c r="B62" s="25" t="s">
        <v>93</v>
      </c>
      <c r="C62" s="25"/>
    </row>
    <row r="63" spans="1:10" x14ac:dyDescent="0.25">
      <c r="A63" s="9" t="s">
        <v>70</v>
      </c>
      <c r="B63" s="20" t="s">
        <v>71</v>
      </c>
      <c r="C63" s="20" t="s">
        <v>53</v>
      </c>
      <c r="D63" s="20" t="s">
        <v>54</v>
      </c>
      <c r="E63" s="20" t="s">
        <v>55</v>
      </c>
    </row>
    <row r="64" spans="1:10" x14ac:dyDescent="0.25">
      <c r="A64" s="7" t="s">
        <v>57</v>
      </c>
      <c r="B64" s="21">
        <v>1.7100000000000001E-2</v>
      </c>
      <c r="C64" s="21">
        <v>1.8499999999999999E-2</v>
      </c>
      <c r="D64" s="13">
        <f>AVERAGE(B64:C64)</f>
        <v>1.78E-2</v>
      </c>
      <c r="E64" s="10">
        <f>(D64-D65)/D64</f>
        <v>7.5842696629213516E-2</v>
      </c>
    </row>
    <row r="65" spans="1:10" x14ac:dyDescent="0.25">
      <c r="A65" s="7" t="s">
        <v>59</v>
      </c>
      <c r="B65" s="21">
        <v>1.5800000000000002E-2</v>
      </c>
      <c r="C65" s="21">
        <v>1.7100000000000001E-2</v>
      </c>
      <c r="D65" s="13">
        <f t="shared" ref="D65:D68" si="11">AVERAGE(B65:C65)</f>
        <v>1.6449999999999999E-2</v>
      </c>
      <c r="E65" s="10">
        <f t="shared" ref="E65:E67" si="12">(D65-D66)/D65</f>
        <v>7.9027355623100246E-2</v>
      </c>
    </row>
    <row r="66" spans="1:10" x14ac:dyDescent="0.25">
      <c r="A66" s="7" t="s">
        <v>61</v>
      </c>
      <c r="B66" s="21">
        <v>1.4500000000000001E-2</v>
      </c>
      <c r="C66" s="21">
        <v>1.5800000000000002E-2</v>
      </c>
      <c r="D66" s="13">
        <f t="shared" si="11"/>
        <v>1.515E-2</v>
      </c>
      <c r="E66" s="10">
        <f t="shared" si="12"/>
        <v>8.5808580858085751E-2</v>
      </c>
    </row>
    <row r="67" spans="1:10" x14ac:dyDescent="0.25">
      <c r="A67" s="7" t="s">
        <v>63</v>
      </c>
      <c r="B67" s="21">
        <v>1.32E-2</v>
      </c>
      <c r="C67" s="21">
        <v>1.4500000000000001E-2</v>
      </c>
      <c r="D67" s="13">
        <f t="shared" si="11"/>
        <v>1.3850000000000001E-2</v>
      </c>
      <c r="E67" s="10">
        <f t="shared" si="12"/>
        <v>4.6931407942238358E-2</v>
      </c>
    </row>
    <row r="68" spans="1:10" x14ac:dyDescent="0.25">
      <c r="A68" s="7" t="s">
        <v>65</v>
      </c>
      <c r="B68" s="21">
        <v>1.32E-2</v>
      </c>
      <c r="C68" s="21"/>
      <c r="D68" s="13">
        <f t="shared" si="11"/>
        <v>1.32E-2</v>
      </c>
      <c r="E68" s="16">
        <f>AVERAGE(E64:E67)</f>
        <v>7.1902510263159469E-2</v>
      </c>
      <c r="J68" t="s">
        <v>66</v>
      </c>
    </row>
    <row r="69" spans="1:10" x14ac:dyDescent="0.25">
      <c r="A69" s="18" t="s">
        <v>94</v>
      </c>
    </row>
    <row r="70" spans="1:10" x14ac:dyDescent="0.25">
      <c r="A70" s="19"/>
    </row>
    <row r="71" spans="1:10" x14ac:dyDescent="0.25">
      <c r="A71" s="14" t="s">
        <v>95</v>
      </c>
      <c r="B71" s="15"/>
    </row>
    <row r="72" spans="1:10" x14ac:dyDescent="0.25">
      <c r="A72" s="2" t="s">
        <v>96</v>
      </c>
    </row>
    <row r="73" spans="1:10" x14ac:dyDescent="0.25">
      <c r="B73" s="24" t="s">
        <v>97</v>
      </c>
      <c r="C73" s="24"/>
      <c r="E73" s="8"/>
      <c r="G73" s="8"/>
    </row>
    <row r="74" spans="1:10" x14ac:dyDescent="0.25">
      <c r="A74" s="9" t="s">
        <v>70</v>
      </c>
      <c r="B74" s="20" t="s">
        <v>98</v>
      </c>
      <c r="C74" s="20" t="s">
        <v>99</v>
      </c>
      <c r="D74" s="20" t="s">
        <v>100</v>
      </c>
      <c r="E74" s="20" t="s">
        <v>55</v>
      </c>
    </row>
    <row r="75" spans="1:10" x14ac:dyDescent="0.25">
      <c r="A75" s="7" t="s">
        <v>57</v>
      </c>
      <c r="B75" s="21">
        <v>3.1</v>
      </c>
      <c r="C75" s="21">
        <v>3.6</v>
      </c>
      <c r="D75" s="21">
        <f>AVERAGE(B75:C75)</f>
        <v>3.35</v>
      </c>
      <c r="E75" s="10">
        <f>(D76-D75)/D75</f>
        <v>0.14925373134328346</v>
      </c>
    </row>
    <row r="76" spans="1:10" x14ac:dyDescent="0.25">
      <c r="A76" s="7" t="s">
        <v>59</v>
      </c>
      <c r="B76" s="21">
        <f>C75</f>
        <v>3.6</v>
      </c>
      <c r="C76" s="21">
        <v>4.0999999999999996</v>
      </c>
      <c r="D76" s="21">
        <f t="shared" ref="D76:D79" si="13">AVERAGE(B76:C76)</f>
        <v>3.8499999999999996</v>
      </c>
      <c r="E76" s="10">
        <f t="shared" ref="E76:E78" si="14">(D77-D76)/D76</f>
        <v>0.12987012987012989</v>
      </c>
    </row>
    <row r="77" spans="1:10" x14ac:dyDescent="0.25">
      <c r="A77" s="7" t="s">
        <v>61</v>
      </c>
      <c r="B77" s="21">
        <v>4.0999999999999996</v>
      </c>
      <c r="C77" s="21">
        <v>4.5999999999999996</v>
      </c>
      <c r="D77" s="21">
        <f t="shared" si="13"/>
        <v>4.3499999999999996</v>
      </c>
      <c r="E77" s="10">
        <f t="shared" si="14"/>
        <v>0.1149425287356322</v>
      </c>
    </row>
    <row r="78" spans="1:10" x14ac:dyDescent="0.25">
      <c r="A78" s="7" t="s">
        <v>63</v>
      </c>
      <c r="B78" s="21">
        <f>C77</f>
        <v>4.5999999999999996</v>
      </c>
      <c r="C78" s="21">
        <v>5.0999999999999996</v>
      </c>
      <c r="D78" s="21">
        <f t="shared" si="13"/>
        <v>4.8499999999999996</v>
      </c>
      <c r="E78" s="10">
        <f t="shared" si="14"/>
        <v>5.1546391752577324E-2</v>
      </c>
    </row>
    <row r="79" spans="1:10" x14ac:dyDescent="0.25">
      <c r="A79" s="7" t="s">
        <v>65</v>
      </c>
      <c r="B79" s="21">
        <v>5.0999999999999996</v>
      </c>
      <c r="C79" s="21"/>
      <c r="D79" s="21">
        <f t="shared" si="13"/>
        <v>5.0999999999999996</v>
      </c>
      <c r="E79" s="16">
        <f>AVERAGE(E75:E78)</f>
        <v>0.11140319542540572</v>
      </c>
      <c r="J79" t="s">
        <v>72</v>
      </c>
    </row>
    <row r="80" spans="1:10" x14ac:dyDescent="0.25">
      <c r="A80" s="18" t="s">
        <v>101</v>
      </c>
    </row>
    <row r="81" spans="1:10" x14ac:dyDescent="0.25">
      <c r="A81" s="19" t="s">
        <v>102</v>
      </c>
    </row>
    <row r="83" spans="1:10" x14ac:dyDescent="0.25">
      <c r="A83" s="14" t="s">
        <v>103</v>
      </c>
      <c r="B83" s="15"/>
    </row>
    <row r="84" spans="1:10" x14ac:dyDescent="0.25">
      <c r="A84" s="2" t="s">
        <v>104</v>
      </c>
    </row>
    <row r="85" spans="1:10" x14ac:dyDescent="0.25">
      <c r="B85" s="22" t="s">
        <v>105</v>
      </c>
      <c r="C85" s="22"/>
    </row>
    <row r="86" spans="1:10" x14ac:dyDescent="0.25">
      <c r="A86" s="9" t="s">
        <v>70</v>
      </c>
      <c r="B86" s="20" t="s">
        <v>71</v>
      </c>
      <c r="C86" s="20" t="s">
        <v>53</v>
      </c>
      <c r="D86" s="20" t="s">
        <v>54</v>
      </c>
      <c r="E86" s="20" t="s">
        <v>55</v>
      </c>
    </row>
    <row r="87" spans="1:10" x14ac:dyDescent="0.25">
      <c r="A87" s="7" t="s">
        <v>57</v>
      </c>
      <c r="B87" s="8">
        <v>90</v>
      </c>
      <c r="C87" s="21">
        <v>105</v>
      </c>
      <c r="D87" s="23" t="s">
        <v>106</v>
      </c>
      <c r="E87" s="23"/>
    </row>
    <row r="88" spans="1:10" x14ac:dyDescent="0.25">
      <c r="A88" s="7" t="s">
        <v>59</v>
      </c>
      <c r="B88" s="21">
        <v>105</v>
      </c>
      <c r="C88" s="21">
        <v>120</v>
      </c>
      <c r="D88" s="21">
        <f>AVERAGE(B88:C88)</f>
        <v>112.5</v>
      </c>
      <c r="E88" s="10">
        <f>(D89-D88)/D88</f>
        <v>0.13333333333333333</v>
      </c>
    </row>
    <row r="89" spans="1:10" x14ac:dyDescent="0.25">
      <c r="A89" s="7" t="s">
        <v>61</v>
      </c>
      <c r="B89" s="21">
        <v>120</v>
      </c>
      <c r="C89" s="21">
        <v>135</v>
      </c>
      <c r="D89" s="21">
        <f t="shared" ref="D89:D91" si="15">AVERAGE(B89:C89)</f>
        <v>127.5</v>
      </c>
      <c r="E89" s="10">
        <f t="shared" ref="E89:E90" si="16">(D90-D89)/D89</f>
        <v>0.11764705882352941</v>
      </c>
    </row>
    <row r="90" spans="1:10" x14ac:dyDescent="0.25">
      <c r="A90" s="7" t="s">
        <v>63</v>
      </c>
      <c r="B90" s="21">
        <v>135</v>
      </c>
      <c r="C90" s="21">
        <v>150</v>
      </c>
      <c r="D90" s="21">
        <f t="shared" si="15"/>
        <v>142.5</v>
      </c>
      <c r="E90" s="10">
        <f t="shared" si="16"/>
        <v>5.2631578947368418E-2</v>
      </c>
    </row>
    <row r="91" spans="1:10" x14ac:dyDescent="0.25">
      <c r="A91" s="7" t="s">
        <v>65</v>
      </c>
      <c r="B91" s="21">
        <v>150</v>
      </c>
      <c r="C91" s="21"/>
      <c r="D91" s="21">
        <f t="shared" si="15"/>
        <v>150</v>
      </c>
      <c r="E91" s="16">
        <f>AVERAGE(E88:E90)</f>
        <v>0.10120399036807705</v>
      </c>
      <c r="J91" t="s">
        <v>107</v>
      </c>
    </row>
    <row r="92" spans="1:10" x14ac:dyDescent="0.25">
      <c r="A92" s="18" t="s">
        <v>108</v>
      </c>
    </row>
    <row r="93" spans="1:10" x14ac:dyDescent="0.25">
      <c r="A93" s="19"/>
    </row>
    <row r="94" spans="1:10" x14ac:dyDescent="0.25">
      <c r="A94" s="14" t="s">
        <v>109</v>
      </c>
      <c r="B94" s="15"/>
    </row>
    <row r="95" spans="1:10" x14ac:dyDescent="0.25">
      <c r="B95" s="24" t="s">
        <v>110</v>
      </c>
      <c r="C95" s="24"/>
    </row>
    <row r="96" spans="1:10" x14ac:dyDescent="0.25">
      <c r="A96" s="9" t="s">
        <v>70</v>
      </c>
      <c r="B96" s="20" t="s">
        <v>71</v>
      </c>
      <c r="C96" s="20" t="s">
        <v>53</v>
      </c>
      <c r="D96" s="20" t="s">
        <v>54</v>
      </c>
      <c r="E96" s="20" t="s">
        <v>55</v>
      </c>
    </row>
    <row r="97" spans="1:10" x14ac:dyDescent="0.25">
      <c r="A97" s="7" t="s">
        <v>57</v>
      </c>
      <c r="B97" s="21">
        <v>0</v>
      </c>
      <c r="C97" s="21">
        <v>52</v>
      </c>
      <c r="D97" s="21">
        <f>AVERAGE(B97:C97)</f>
        <v>26</v>
      </c>
      <c r="E97" s="10">
        <f>(D98-D97)/D97</f>
        <v>1.0961538461538463</v>
      </c>
    </row>
    <row r="98" spans="1:10" x14ac:dyDescent="0.25">
      <c r="A98" s="7" t="s">
        <v>59</v>
      </c>
      <c r="B98" s="21">
        <f>C97</f>
        <v>52</v>
      </c>
      <c r="C98" s="21">
        <v>57</v>
      </c>
      <c r="D98" s="21">
        <f t="shared" ref="D98:D101" si="17">AVERAGE(B98:C98)</f>
        <v>54.5</v>
      </c>
      <c r="E98" s="10">
        <f t="shared" ref="E98:E100" si="18">(D99-D98)/D98</f>
        <v>0.22935779816513763</v>
      </c>
    </row>
    <row r="99" spans="1:10" x14ac:dyDescent="0.25">
      <c r="A99" s="7" t="s">
        <v>61</v>
      </c>
      <c r="B99" s="21">
        <f t="shared" ref="B99:B101" si="19">C98</f>
        <v>57</v>
      </c>
      <c r="C99" s="21">
        <v>77</v>
      </c>
      <c r="D99" s="21">
        <f t="shared" si="17"/>
        <v>67</v>
      </c>
      <c r="E99" s="10">
        <f t="shared" si="18"/>
        <v>0.19402985074626866</v>
      </c>
    </row>
    <row r="100" spans="1:10" x14ac:dyDescent="0.25">
      <c r="A100" s="7" t="s">
        <v>63</v>
      </c>
      <c r="B100" s="21">
        <f t="shared" si="19"/>
        <v>77</v>
      </c>
      <c r="C100" s="21">
        <v>83</v>
      </c>
      <c r="D100" s="21">
        <f t="shared" si="17"/>
        <v>80</v>
      </c>
      <c r="E100" s="10">
        <f t="shared" si="18"/>
        <v>3.7499999999999999E-2</v>
      </c>
    </row>
    <row r="101" spans="1:10" x14ac:dyDescent="0.25">
      <c r="A101" s="7" t="s">
        <v>65</v>
      </c>
      <c r="B101" s="21">
        <f t="shared" si="19"/>
        <v>83</v>
      </c>
      <c r="C101" s="21"/>
      <c r="D101" s="21">
        <f t="shared" si="17"/>
        <v>83</v>
      </c>
      <c r="E101" s="16">
        <f>AVERAGE(E97:E100)</f>
        <v>0.38926037376631317</v>
      </c>
      <c r="J101" t="s">
        <v>107</v>
      </c>
    </row>
    <row r="102" spans="1:10" x14ac:dyDescent="0.25">
      <c r="A102" s="18" t="s">
        <v>111</v>
      </c>
    </row>
    <row r="103" spans="1:10" x14ac:dyDescent="0.25">
      <c r="A103" s="19" t="s">
        <v>126</v>
      </c>
    </row>
  </sheetData>
  <mergeCells count="12">
    <mergeCell ref="E39:G39"/>
    <mergeCell ref="B39:D39"/>
    <mergeCell ref="B38:G38"/>
    <mergeCell ref="H39:I39"/>
    <mergeCell ref="D2:E2"/>
    <mergeCell ref="B14:C14"/>
    <mergeCell ref="B85:C85"/>
    <mergeCell ref="D87:E87"/>
    <mergeCell ref="B95:C95"/>
    <mergeCell ref="B62:C62"/>
    <mergeCell ref="B50:C50"/>
    <mergeCell ref="B73:C7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7"/>
  <sheetViews>
    <sheetView workbookViewId="0">
      <selection activeCell="B2" sqref="B2"/>
    </sheetView>
  </sheetViews>
  <sheetFormatPr defaultRowHeight="15" x14ac:dyDescent="0.25"/>
  <cols>
    <col min="1" max="1" width="23.28515625" customWidth="1"/>
    <col min="2" max="2" width="18.7109375" customWidth="1"/>
    <col min="3" max="3" width="19.140625" customWidth="1"/>
    <col min="4" max="4" width="14" customWidth="1"/>
  </cols>
  <sheetData>
    <row r="1" spans="1:4" ht="45" x14ac:dyDescent="0.25">
      <c r="A1" s="11" t="s">
        <v>112</v>
      </c>
      <c r="B1" s="5" t="s">
        <v>113</v>
      </c>
      <c r="C1" s="5" t="s">
        <v>114</v>
      </c>
      <c r="D1" s="5" t="s">
        <v>115</v>
      </c>
    </row>
    <row r="2" spans="1:4" x14ac:dyDescent="0.25">
      <c r="A2" t="s">
        <v>48</v>
      </c>
      <c r="B2">
        <f>'India Data'!$M$2</f>
        <v>0</v>
      </c>
      <c r="C2">
        <f>'India Data'!$M$2</f>
        <v>0</v>
      </c>
      <c r="D2">
        <f>'India Data'!$M$2</f>
        <v>0</v>
      </c>
    </row>
    <row r="3" spans="1:4" x14ac:dyDescent="0.25">
      <c r="A3" t="s">
        <v>56</v>
      </c>
      <c r="B3" s="6">
        <f>'India Data'!$M$3</f>
        <v>8.4684092466011232E-2</v>
      </c>
      <c r="C3" s="6">
        <f>'India Data'!$M$3</f>
        <v>8.4684092466011232E-2</v>
      </c>
      <c r="D3" s="6">
        <f>'India Data'!$M$3</f>
        <v>8.4684092466011232E-2</v>
      </c>
    </row>
    <row r="4" spans="1:4" x14ac:dyDescent="0.25">
      <c r="A4" t="s">
        <v>58</v>
      </c>
      <c r="B4" s="6">
        <f>'India Data'!$M$4</f>
        <v>8.849008179139449E-2</v>
      </c>
      <c r="C4" s="6">
        <f>'India Data'!$M$4</f>
        <v>8.849008179139449E-2</v>
      </c>
      <c r="D4" s="6">
        <f>'India Data'!$M$4</f>
        <v>8.849008179139449E-2</v>
      </c>
    </row>
    <row r="5" spans="1:4" x14ac:dyDescent="0.25">
      <c r="A5" t="s">
        <v>60</v>
      </c>
      <c r="B5" s="6">
        <f>'India Data'!$M$5</f>
        <v>0.2452321820671951</v>
      </c>
      <c r="C5" s="6">
        <f>'India Data'!$M$5</f>
        <v>0.2452321820671951</v>
      </c>
      <c r="D5" s="6">
        <f>'India Data'!$M$5</f>
        <v>0.2452321820671951</v>
      </c>
    </row>
    <row r="6" spans="1:4" x14ac:dyDescent="0.25">
      <c r="A6" t="s">
        <v>62</v>
      </c>
      <c r="B6" s="6">
        <f>'India Data'!$M$6</f>
        <v>9.2746031597984405E-2</v>
      </c>
      <c r="C6" s="6">
        <f>'India Data'!$M$6</f>
        <v>9.2746031597984405E-2</v>
      </c>
      <c r="D6" s="6">
        <f>'India Data'!$M$6</f>
        <v>9.2746031597984405E-2</v>
      </c>
    </row>
    <row r="7" spans="1:4" x14ac:dyDescent="0.25">
      <c r="A7" t="s">
        <v>64</v>
      </c>
      <c r="B7">
        <v>0</v>
      </c>
      <c r="C7">
        <f t="shared" ref="C7" si="0">B7</f>
        <v>0</v>
      </c>
      <c r="D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AE8A93-5495-4DB1-8E65-92E076D7D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1FC190-357C-40A1-A404-DF6091A549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1E5AA3C-8405-4F81-9F36-FACA1168D5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India Data</vt:lpstr>
      <vt:lpstr>PPEIdtIL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2014-10-11T20:42:21Z</dcterms:created>
  <dcterms:modified xsi:type="dcterms:W3CDTF">2024-05-28T15:45:52Z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