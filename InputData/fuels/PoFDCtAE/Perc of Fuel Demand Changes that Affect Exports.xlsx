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MeganMahajan\Documents\eps-india\InputData\fuels\PoFDCtAE\"/>
    </mc:Choice>
  </mc:AlternateContent>
  <xr:revisionPtr revIDLastSave="0" documentId="13_ncr:1_{E9377F1B-9CDE-4D4D-B017-2D898EEC5941}" xr6:coauthVersionLast="47" xr6:coauthVersionMax="47" xr10:uidLastSave="{00000000-0000-0000-0000-000000000000}"/>
  <bookViews>
    <workbookView xWindow="-120" yWindow="-120" windowWidth="29040" windowHeight="17520" activeTab="3" xr2:uid="{00000000-000D-0000-FFFF-FFFF00000000}"/>
  </bookViews>
  <sheets>
    <sheet name="About" sheetId="1" r:id="rId1"/>
    <sheet name="India data" sheetId="3" r:id="rId2"/>
    <sheet name="Data from BFPIaE" sheetId="4" r:id="rId3"/>
    <sheet name="PoFDCtAE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4" l="1"/>
  <c r="K11" i="2"/>
  <c r="J10" i="2"/>
  <c r="E24" i="4" l="1"/>
  <c r="E23" i="4"/>
  <c r="E22" i="4"/>
  <c r="E21" i="4"/>
  <c r="E20" i="4"/>
  <c r="E19" i="4"/>
  <c r="E15" i="4"/>
  <c r="E14" i="4"/>
  <c r="E13" i="4"/>
  <c r="E12" i="4"/>
  <c r="E11" i="4"/>
  <c r="E7" i="4"/>
  <c r="E6" i="4"/>
  <c r="E5" i="4"/>
</calcChain>
</file>

<file path=xl/sharedStrings.xml><?xml version="1.0" encoding="utf-8"?>
<sst xmlns="http://schemas.openxmlformats.org/spreadsheetml/2006/main" count="179" uniqueCount="123">
  <si>
    <t>PoFDCtAE Percentage of Fuel Demand Change that Alters Exports</t>
  </si>
  <si>
    <t>Source1:</t>
  </si>
  <si>
    <t xml:space="preserve">India Brand Equity Foundation </t>
  </si>
  <si>
    <t>2)</t>
  </si>
  <si>
    <t>Petroleum Planning and Analysis Cell</t>
  </si>
  <si>
    <t>Oil &amp; Gas Industry in India</t>
  </si>
  <si>
    <t>Snapshot of India's Oil and Gas data</t>
  </si>
  <si>
    <t>Snapshot - Government Initiatives</t>
  </si>
  <si>
    <t>Self sufficiency in Petroleum Products</t>
  </si>
  <si>
    <t>https://www.ibef.org/industry/oil-gas-india.aspx</t>
  </si>
  <si>
    <t>https://ppac.gov.in/uploads/rep_studies/1670472940_202202040453534545669SnapshotofIndiaOilandGasdataDecember2021webupload.pdf</t>
  </si>
  <si>
    <t>Tables 1.1 (Page 2), Table 2.6 (Page 9)</t>
  </si>
  <si>
    <t>Notes</t>
  </si>
  <si>
    <t>Notes - India</t>
  </si>
  <si>
    <t>Policy-driven changes in domestic fuel demand must be</t>
  </si>
  <si>
    <t>In India's case, trends in the past decade show that domestic demand is largely</t>
  </si>
  <si>
    <t>apportioned to some combination of:</t>
  </si>
  <si>
    <t xml:space="preserve">met through production and imports. The import dependency in nat gas </t>
  </si>
  <si>
    <t>changes in domestic fuel production</t>
  </si>
  <si>
    <t xml:space="preserve">and petroleum sectors has been high at 40-50% and 80-85% repectively </t>
  </si>
  <si>
    <t>changes in fuel imports</t>
  </si>
  <si>
    <t xml:space="preserve">during 2015-19 (source 2). There are no exports in crude oil and natural </t>
  </si>
  <si>
    <t>changes in fuel exports</t>
  </si>
  <si>
    <t xml:space="preserve">gas. While India's petroleum refinery industry exports processed products, </t>
  </si>
  <si>
    <t>in the overall basket of petroleum products there is a low percentage of self-sufficiency.</t>
  </si>
  <si>
    <t>Depending on the fuel or country, it can be desirable for changes</t>
  </si>
  <si>
    <t>in domestic demand to directly come out of exports (for example,</t>
  </si>
  <si>
    <t>Further, there have been ongoing-policies to support indigenous exploration and</t>
  </si>
  <si>
    <t>an increase in oil use by a major oil exporting country already producing oil</t>
  </si>
  <si>
    <t>production activities (e.g. 100% FDI in upstream and private sector refining projects)(source1)</t>
  </si>
  <si>
    <t>at capacity would likely come out of its exports).  Alternatively, it can</t>
  </si>
  <si>
    <t>Hence, the BAU impetus in the short- to medium term is on increasing production and</t>
  </si>
  <si>
    <t>be desirable for changes in demand to come out of production and</t>
  </si>
  <si>
    <t xml:space="preserve">meeting domestic demand, along with increasing revenues from exports which </t>
  </si>
  <si>
    <t>imports (for example, if foreign demand for an exported fuel</t>
  </si>
  <si>
    <t xml:space="preserve">are still not significant. </t>
  </si>
  <si>
    <t>is unaffected by domestic demand, and it is easy to ramp up or down</t>
  </si>
  <si>
    <t xml:space="preserve">Hence, we assume that most of the domestic demand would be met by production </t>
  </si>
  <si>
    <t>production of that fuel to match changes in domestic demand).</t>
  </si>
  <si>
    <t>and imports in the medium-term.</t>
  </si>
  <si>
    <t>This variable allows you to specify this behavior for a given country.</t>
  </si>
  <si>
    <t>Data and sources from BFPIaE input file in 'Fuels' are applicable</t>
  </si>
  <si>
    <t>The following examples may help you set this variable wisely:</t>
  </si>
  <si>
    <t>Example 1: The United States</t>
  </si>
  <si>
    <t>The United States is a major exporter of oil.  The U.S. has</t>
  </si>
  <si>
    <t>a great deal of capacity to increase or decrease its own production</t>
  </si>
  <si>
    <t>to meet demand.  Its oil is not exceptionally cheap to produce and</t>
  </si>
  <si>
    <t>comes in around the global marginal price, accounting for shipping costs.</t>
  </si>
  <si>
    <t>If the U.S. could export more oil profitably, it would already be doing so.</t>
  </si>
  <si>
    <t>Changes in domestic oil demand are likely to be met with changes</t>
  </si>
  <si>
    <t>in production and imports.</t>
  </si>
  <si>
    <t>Example 2: Saudi Arabia</t>
  </si>
  <si>
    <t>Saudi Arabia is a major crude oil exporter.  Saudi Arabia's cost to produce</t>
  </si>
  <si>
    <t>oil is far lower than the international market price, allowing it to export as</t>
  </si>
  <si>
    <t>much oil as it wishes to (because it can simply displace more expensive oil</t>
  </si>
  <si>
    <t>on the global market).  Saudi Arabia is concerned about domestic oil use</t>
  </si>
  <si>
    <t>growing in the 2030s and 2040s, consuming too much production and leaving</t>
  </si>
  <si>
    <t>too little oil to export.  If Saudi Arabia uses less oil domestically, this</t>
  </si>
  <si>
    <t>relaxes the main constraint on Saudi oil exports in the 2030s and 2040s,</t>
  </si>
  <si>
    <t>so changes in domestic demand may be met with changes in exports</t>
  </si>
  <si>
    <t>rather than changes in production or imports.</t>
  </si>
  <si>
    <t>Handling Crude Oil Export Changes due to Changes in Secondary Fuel Demand</t>
  </si>
  <si>
    <t>A reduction in demand for a fuel derived from crude oil may result in</t>
  </si>
  <si>
    <t>increased exports of that secondary fuel, or it may result in increased exports</t>
  </si>
  <si>
    <t>of crude oil.  (Also, some of the demand reduction may cause reduced production</t>
  </si>
  <si>
    <t>of both the secondary fuel and crude oil.)  To divide up these effects,</t>
  </si>
  <si>
    <t>you may apportion the change in exports between that fuel and crude oil</t>
  </si>
  <si>
    <t>along the same row.</t>
  </si>
  <si>
    <t>For example, if demand for petroleum gasoline is reduced,</t>
  </si>
  <si>
    <t>perhaps 25% of the amount by which the demand is reduced results in increased</t>
  </si>
  <si>
    <t>exports of petroleum gasoline, 50% of the amount results in increased exports</t>
  </si>
  <si>
    <t>of cruide oil, and 25% results in reduced production of both fuels.  You would</t>
  </si>
  <si>
    <t>enter 0.25 in the (petroleum gasoline to petroleum gasoline) cell and 0.5 in the</t>
  </si>
  <si>
    <t>(petroleum gasoline to crude oil) cell.</t>
  </si>
  <si>
    <t>The total of each row may add to less than one (if some of the demand reduction</t>
  </si>
  <si>
    <t>results in reduced production of both fuels), but no row may add to more</t>
  </si>
  <si>
    <t>than one.</t>
  </si>
  <si>
    <t>For an example of how to calculate the input data for this variable in</t>
  </si>
  <si>
    <t>a region with non-zero changes in exports in response to chagnes in production,</t>
  </si>
  <si>
    <t>see this variable in the Saudi Arabia version of the Energy Policy Simulator:</t>
  </si>
  <si>
    <t>https://saudiarabia.energypolicy.solutions</t>
  </si>
  <si>
    <t>Source: Snapshot of India's Oil and Gas data, 2021 (PPAC)</t>
  </si>
  <si>
    <t>Table 7, Page 10</t>
  </si>
  <si>
    <t>Table 2, Page 6</t>
  </si>
  <si>
    <t>Start Year Data</t>
  </si>
  <si>
    <t>Converted to BTU</t>
  </si>
  <si>
    <t>Reasoning</t>
  </si>
  <si>
    <t>Fuel</t>
  </si>
  <si>
    <t>Production</t>
  </si>
  <si>
    <t>Imports</t>
  </si>
  <si>
    <t>Exports</t>
  </si>
  <si>
    <t>Domestic Use</t>
  </si>
  <si>
    <t>Unit</t>
  </si>
  <si>
    <t>We estimate the response to a drop in domestic use of a secondary petroleum product by observing how large</t>
  </si>
  <si>
    <t>electricity (not used in this variable)</t>
  </si>
  <si>
    <t>the export market for that fuel is, versus the domestic use market.  If the fuel's exports are a far larger share</t>
  </si>
  <si>
    <t>hard coal</t>
  </si>
  <si>
    <t>BTU</t>
  </si>
  <si>
    <t>of the total outflows (exports + use) than use is, we assume the export market for that fuel can more easily</t>
  </si>
  <si>
    <t>natural gas</t>
  </si>
  <si>
    <t>absorb the drop in domestic production.  Where a fuel is more commonly produced for domestic use (where</t>
  </si>
  <si>
    <t>uranium</t>
  </si>
  <si>
    <t>use has a larger share than exports of the total outflows), we assume less of that fuel will be produced, and</t>
  </si>
  <si>
    <t>hydro (is not a fuel)</t>
  </si>
  <si>
    <t>more crude will be exported instead.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</si>
  <si>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</si>
  <si>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</si>
  <si>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</si>
  <si>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</si>
  <si>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</si>
  <si>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</si>
  <si>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</si>
  <si>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</si>
  <si>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</si>
  <si>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</si>
  <si>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</si>
  <si>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</si>
  <si>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</si>
  <si>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</si>
  <si>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</si>
  <si>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</si>
  <si>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Percentage Change in Demand that Alters Exports (dimensionless) - From type (below)  / To type (right)</t>
  </si>
  <si>
    <t>nuclear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</si>
</sst>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E+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1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  <xf numFmtId="0" fontId="0" fillId="0" borderId="0" xfId="0" applyAlignment="1">
      <alignment wrapText="1"/>
    </xf>
    <xf numFmtId="0" fontId="0" fillId="2" borderId="0" xfId="0" applyFill="1" applyAlignment="1">
      <alignment horizontal="right" wrapText="1"/>
    </xf>
    <xf numFmtId="0" fontId="0" fillId="0" borderId="0" xfId="0" applyAlignment="1">
      <alignment horizontal="right" wrapText="1"/>
    </xf>
    <xf numFmtId="0" fontId="1" fillId="3" borderId="0" xfId="0" applyFont="1" applyFill="1"/>
    <xf numFmtId="0" fontId="0" fillId="3" borderId="0" xfId="0" applyFill="1"/>
    <xf numFmtId="0" fontId="1" fillId="2" borderId="0" xfId="0" applyFont="1" applyFill="1"/>
    <xf numFmtId="0" fontId="3" fillId="4" borderId="0" xfId="0" applyFont="1" applyFill="1"/>
    <xf numFmtId="0" fontId="0" fillId="4" borderId="0" xfId="0" applyFill="1"/>
    <xf numFmtId="0" fontId="2" fillId="4" borderId="0" xfId="1" applyFill="1"/>
    <xf numFmtId="0" fontId="4" fillId="0" borderId="0" xfId="0" applyFont="1"/>
    <xf numFmtId="0" fontId="1" fillId="0" borderId="0" xfId="0" applyFont="1" applyAlignment="1">
      <alignment horizontal="right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left"/>
    </xf>
    <xf numFmtId="0" fontId="1" fillId="5" borderId="0" xfId="0" applyFont="1" applyFill="1"/>
    <xf numFmtId="0" fontId="1" fillId="6" borderId="0" xfId="0" applyFont="1" applyFill="1"/>
    <xf numFmtId="0" fontId="1" fillId="6" borderId="0" xfId="0" applyFont="1" applyFill="1" applyAlignment="1">
      <alignment horizontal="right"/>
    </xf>
    <xf numFmtId="0" fontId="1" fillId="6" borderId="0" xfId="0" applyFont="1" applyFill="1" applyAlignment="1">
      <alignment horizontal="right" wrapText="1"/>
    </xf>
    <xf numFmtId="0" fontId="1" fillId="6" borderId="0" xfId="0" applyFont="1" applyFill="1" applyAlignment="1">
      <alignment horizontal="left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left"/>
    </xf>
    <xf numFmtId="164" fontId="0" fillId="0" borderId="0" xfId="0" applyNumberFormat="1" applyAlignment="1">
      <alignment horizontal="right"/>
    </xf>
    <xf numFmtId="0" fontId="0" fillId="7" borderId="0" xfId="0" applyFill="1"/>
    <xf numFmtId="0" fontId="0" fillId="7" borderId="0" xfId="0" applyFill="1" applyAlignment="1">
      <alignment wrapText="1"/>
    </xf>
    <xf numFmtId="11" fontId="5" fillId="0" borderId="0" xfId="0" applyNumberFormat="1" applyFont="1"/>
    <xf numFmtId="0" fontId="5" fillId="0" borderId="0" xfId="0" applyFont="1"/>
    <xf numFmtId="11" fontId="0" fillId="2" borderId="0" xfId="0" applyNumberFormat="1" applyFill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1</xdr:row>
      <xdr:rowOff>97733</xdr:rowOff>
    </xdr:from>
    <xdr:to>
      <xdr:col>11</xdr:col>
      <xdr:colOff>336550</xdr:colOff>
      <xdr:row>17</xdr:row>
      <xdr:rowOff>171451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4B36B0A-70C8-8720-CD9A-55DEA135EB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022" b="3531"/>
        <a:stretch/>
      </xdr:blipFill>
      <xdr:spPr>
        <a:xfrm>
          <a:off x="25400" y="281883"/>
          <a:ext cx="7016750" cy="3020118"/>
        </a:xfrm>
        <a:prstGeom prst="rect">
          <a:avLst/>
        </a:prstGeom>
      </xdr:spPr>
    </xdr:pic>
    <xdr:clientData/>
  </xdr:twoCellAnchor>
  <xdr:twoCellAnchor editAs="oneCell">
    <xdr:from>
      <xdr:col>0</xdr:col>
      <xdr:colOff>31750</xdr:colOff>
      <xdr:row>22</xdr:row>
      <xdr:rowOff>152400</xdr:rowOff>
    </xdr:from>
    <xdr:to>
      <xdr:col>12</xdr:col>
      <xdr:colOff>332855</xdr:colOff>
      <xdr:row>50</xdr:row>
      <xdr:rowOff>69000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5C0F4CC-1189-945A-ABB5-3BF1CFDC9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750" y="4203700"/>
          <a:ext cx="7616305" cy="5072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audiarabia.energypolicy.solutions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3"/>
  <sheetViews>
    <sheetView topLeftCell="A11" workbookViewId="0">
      <selection activeCell="D11" sqref="D11"/>
    </sheetView>
  </sheetViews>
  <sheetFormatPr defaultRowHeight="15" x14ac:dyDescent="0.25"/>
  <cols>
    <col min="2" max="2" width="58.42578125" customWidth="1"/>
    <col min="3" max="3" width="8.7109375" customWidth="1"/>
    <col min="4" max="4" width="64.140625" customWidth="1"/>
  </cols>
  <sheetData>
    <row r="1" spans="1:4" x14ac:dyDescent="0.25">
      <c r="A1" s="1" t="s">
        <v>0</v>
      </c>
    </row>
    <row r="3" spans="1:4" x14ac:dyDescent="0.25">
      <c r="A3" s="1" t="s">
        <v>1</v>
      </c>
      <c r="B3" s="12" t="s">
        <v>2</v>
      </c>
      <c r="C3" s="17" t="s">
        <v>3</v>
      </c>
      <c r="D3" s="12" t="s">
        <v>4</v>
      </c>
    </row>
    <row r="4" spans="1:4" x14ac:dyDescent="0.25">
      <c r="B4" t="s">
        <v>5</v>
      </c>
      <c r="D4" t="s">
        <v>6</v>
      </c>
    </row>
    <row r="5" spans="1:4" x14ac:dyDescent="0.25">
      <c r="B5" s="2">
        <v>2019</v>
      </c>
      <c r="D5" s="2">
        <v>2021</v>
      </c>
    </row>
    <row r="6" spans="1:4" x14ac:dyDescent="0.25">
      <c r="B6" t="s">
        <v>7</v>
      </c>
      <c r="D6" t="s">
        <v>8</v>
      </c>
    </row>
    <row r="7" spans="1:4" x14ac:dyDescent="0.25">
      <c r="B7" s="3" t="s">
        <v>9</v>
      </c>
      <c r="D7" s="3" t="s">
        <v>10</v>
      </c>
    </row>
    <row r="8" spans="1:4" x14ac:dyDescent="0.25">
      <c r="B8" s="3"/>
      <c r="D8" t="s">
        <v>11</v>
      </c>
    </row>
    <row r="9" spans="1:4" x14ac:dyDescent="0.25">
      <c r="B9" s="3"/>
    </row>
    <row r="11" spans="1:4" x14ac:dyDescent="0.25">
      <c r="A11" s="1" t="s">
        <v>12</v>
      </c>
      <c r="D11" s="1" t="s">
        <v>13</v>
      </c>
    </row>
    <row r="12" spans="1:4" x14ac:dyDescent="0.25">
      <c r="A12" t="s">
        <v>14</v>
      </c>
      <c r="D12" t="s">
        <v>15</v>
      </c>
    </row>
    <row r="13" spans="1:4" x14ac:dyDescent="0.25">
      <c r="A13" t="s">
        <v>16</v>
      </c>
      <c r="D13" t="s">
        <v>17</v>
      </c>
    </row>
    <row r="14" spans="1:4" x14ac:dyDescent="0.25">
      <c r="B14" t="s">
        <v>18</v>
      </c>
      <c r="D14" t="s">
        <v>19</v>
      </c>
    </row>
    <row r="15" spans="1:4" x14ac:dyDescent="0.25">
      <c r="B15" t="s">
        <v>20</v>
      </c>
      <c r="D15" t="s">
        <v>21</v>
      </c>
    </row>
    <row r="16" spans="1:4" x14ac:dyDescent="0.25">
      <c r="B16" t="s">
        <v>22</v>
      </c>
      <c r="D16" t="s">
        <v>23</v>
      </c>
    </row>
    <row r="17" spans="1:4" x14ac:dyDescent="0.25">
      <c r="D17" t="s">
        <v>24</v>
      </c>
    </row>
    <row r="18" spans="1:4" x14ac:dyDescent="0.25">
      <c r="A18" t="s">
        <v>25</v>
      </c>
    </row>
    <row r="19" spans="1:4" x14ac:dyDescent="0.25">
      <c r="A19" t="s">
        <v>26</v>
      </c>
      <c r="D19" t="s">
        <v>27</v>
      </c>
    </row>
    <row r="20" spans="1:4" x14ac:dyDescent="0.25">
      <c r="A20" t="s">
        <v>28</v>
      </c>
      <c r="D20" t="s">
        <v>29</v>
      </c>
    </row>
    <row r="21" spans="1:4" x14ac:dyDescent="0.25">
      <c r="A21" t="s">
        <v>30</v>
      </c>
      <c r="D21" t="s">
        <v>31</v>
      </c>
    </row>
    <row r="22" spans="1:4" x14ac:dyDescent="0.25">
      <c r="A22" t="s">
        <v>32</v>
      </c>
      <c r="D22" t="s">
        <v>33</v>
      </c>
    </row>
    <row r="23" spans="1:4" x14ac:dyDescent="0.25">
      <c r="A23" t="s">
        <v>34</v>
      </c>
      <c r="D23" t="s">
        <v>35</v>
      </c>
    </row>
    <row r="24" spans="1:4" x14ac:dyDescent="0.25">
      <c r="A24" t="s">
        <v>36</v>
      </c>
      <c r="D24" t="s">
        <v>37</v>
      </c>
    </row>
    <row r="25" spans="1:4" x14ac:dyDescent="0.25">
      <c r="A25" t="s">
        <v>38</v>
      </c>
      <c r="D25" t="s">
        <v>39</v>
      </c>
    </row>
    <row r="27" spans="1:4" x14ac:dyDescent="0.25">
      <c r="A27" t="s">
        <v>40</v>
      </c>
      <c r="D27" t="s">
        <v>41</v>
      </c>
    </row>
    <row r="29" spans="1:4" x14ac:dyDescent="0.25">
      <c r="A29" t="s">
        <v>42</v>
      </c>
    </row>
    <row r="31" spans="1:4" x14ac:dyDescent="0.25">
      <c r="A31" s="1" t="s">
        <v>43</v>
      </c>
    </row>
    <row r="32" spans="1:4" x14ac:dyDescent="0.25">
      <c r="A32" t="s">
        <v>44</v>
      </c>
    </row>
    <row r="33" spans="1:1" x14ac:dyDescent="0.25">
      <c r="A33" t="s">
        <v>45</v>
      </c>
    </row>
    <row r="34" spans="1:1" x14ac:dyDescent="0.25">
      <c r="A34" t="s">
        <v>46</v>
      </c>
    </row>
    <row r="35" spans="1:1" x14ac:dyDescent="0.25">
      <c r="A35" t="s">
        <v>47</v>
      </c>
    </row>
    <row r="36" spans="1:1" x14ac:dyDescent="0.25">
      <c r="A36" t="s">
        <v>48</v>
      </c>
    </row>
    <row r="37" spans="1:1" x14ac:dyDescent="0.25">
      <c r="A37" t="s">
        <v>49</v>
      </c>
    </row>
    <row r="38" spans="1:1" x14ac:dyDescent="0.25">
      <c r="A38" t="s">
        <v>50</v>
      </c>
    </row>
    <row r="40" spans="1:1" x14ac:dyDescent="0.25">
      <c r="A40" s="1" t="s">
        <v>51</v>
      </c>
    </row>
    <row r="41" spans="1:1" x14ac:dyDescent="0.25">
      <c r="A41" t="s">
        <v>52</v>
      </c>
    </row>
    <row r="42" spans="1:1" x14ac:dyDescent="0.25">
      <c r="A42" t="s">
        <v>53</v>
      </c>
    </row>
    <row r="43" spans="1:1" x14ac:dyDescent="0.25">
      <c r="A43" t="s">
        <v>54</v>
      </c>
    </row>
    <row r="44" spans="1:1" x14ac:dyDescent="0.25">
      <c r="A44" t="s">
        <v>55</v>
      </c>
    </row>
    <row r="45" spans="1:1" x14ac:dyDescent="0.25">
      <c r="A45" t="s">
        <v>56</v>
      </c>
    </row>
    <row r="46" spans="1:1" x14ac:dyDescent="0.25">
      <c r="A46" t="s">
        <v>57</v>
      </c>
    </row>
    <row r="47" spans="1:1" x14ac:dyDescent="0.25">
      <c r="A47" t="s">
        <v>58</v>
      </c>
    </row>
    <row r="48" spans="1:1" x14ac:dyDescent="0.25">
      <c r="A48" t="s">
        <v>59</v>
      </c>
    </row>
    <row r="49" spans="1:2" x14ac:dyDescent="0.25">
      <c r="A49" t="s">
        <v>60</v>
      </c>
    </row>
    <row r="51" spans="1:2" x14ac:dyDescent="0.25">
      <c r="A51" s="10" t="s">
        <v>61</v>
      </c>
      <c r="B51" s="11"/>
    </row>
    <row r="52" spans="1:2" x14ac:dyDescent="0.25">
      <c r="A52" t="s">
        <v>62</v>
      </c>
    </row>
    <row r="53" spans="1:2" x14ac:dyDescent="0.25">
      <c r="A53" t="s">
        <v>63</v>
      </c>
    </row>
    <row r="54" spans="1:2" x14ac:dyDescent="0.25">
      <c r="A54" t="s">
        <v>64</v>
      </c>
    </row>
    <row r="55" spans="1:2" x14ac:dyDescent="0.25">
      <c r="A55" t="s">
        <v>65</v>
      </c>
    </row>
    <row r="56" spans="1:2" x14ac:dyDescent="0.25">
      <c r="A56" t="s">
        <v>66</v>
      </c>
    </row>
    <row r="57" spans="1:2" x14ac:dyDescent="0.25">
      <c r="A57" t="s">
        <v>67</v>
      </c>
    </row>
    <row r="59" spans="1:2" x14ac:dyDescent="0.25">
      <c r="A59" t="s">
        <v>68</v>
      </c>
    </row>
    <row r="60" spans="1:2" x14ac:dyDescent="0.25">
      <c r="A60" t="s">
        <v>69</v>
      </c>
    </row>
    <row r="61" spans="1:2" x14ac:dyDescent="0.25">
      <c r="A61" t="s">
        <v>70</v>
      </c>
    </row>
    <row r="62" spans="1:2" x14ac:dyDescent="0.25">
      <c r="A62" t="s">
        <v>71</v>
      </c>
    </row>
    <row r="63" spans="1:2" x14ac:dyDescent="0.25">
      <c r="A63" t="s">
        <v>72</v>
      </c>
    </row>
    <row r="64" spans="1:2" x14ac:dyDescent="0.25">
      <c r="A64" t="s">
        <v>73</v>
      </c>
    </row>
    <row r="66" spans="1:2" x14ac:dyDescent="0.25">
      <c r="A66" t="s">
        <v>74</v>
      </c>
    </row>
    <row r="67" spans="1:2" x14ac:dyDescent="0.25">
      <c r="A67" t="s">
        <v>75</v>
      </c>
    </row>
    <row r="68" spans="1:2" x14ac:dyDescent="0.25">
      <c r="A68" t="s">
        <v>76</v>
      </c>
    </row>
    <row r="70" spans="1:2" x14ac:dyDescent="0.25">
      <c r="A70" s="13" t="s">
        <v>77</v>
      </c>
      <c r="B70" s="14"/>
    </row>
    <row r="71" spans="1:2" x14ac:dyDescent="0.25">
      <c r="A71" s="13" t="s">
        <v>78</v>
      </c>
      <c r="B71" s="14"/>
    </row>
    <row r="72" spans="1:2" x14ac:dyDescent="0.25">
      <c r="A72" s="13" t="s">
        <v>79</v>
      </c>
      <c r="B72" s="14"/>
    </row>
    <row r="73" spans="1:2" x14ac:dyDescent="0.25">
      <c r="A73" s="15" t="s">
        <v>80</v>
      </c>
      <c r="B73" s="14"/>
    </row>
  </sheetData>
  <hyperlinks>
    <hyperlink ref="A73" r:id="rId1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0:A54"/>
  <sheetViews>
    <sheetView workbookViewId="0">
      <selection activeCell="I8" sqref="I8"/>
    </sheetView>
  </sheetViews>
  <sheetFormatPr defaultRowHeight="15" x14ac:dyDescent="0.25"/>
  <sheetData>
    <row r="20" spans="1:1" x14ac:dyDescent="0.25">
      <c r="A20" s="16" t="s">
        <v>81</v>
      </c>
    </row>
    <row r="21" spans="1:1" x14ac:dyDescent="0.25">
      <c r="A21" s="16" t="s">
        <v>82</v>
      </c>
    </row>
    <row r="53" spans="1:1" x14ac:dyDescent="0.25">
      <c r="A53" s="16" t="s">
        <v>81</v>
      </c>
    </row>
    <row r="54" spans="1:1" x14ac:dyDescent="0.25">
      <c r="A54" s="16" t="s">
        <v>83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"/>
  <sheetViews>
    <sheetView topLeftCell="A7" workbookViewId="0">
      <selection activeCell="C15" sqref="C15"/>
    </sheetView>
  </sheetViews>
  <sheetFormatPr defaultRowHeight="15" x14ac:dyDescent="0.25"/>
  <cols>
    <col min="1" max="1" width="44.140625" customWidth="1"/>
    <col min="2" max="5" width="15.42578125" customWidth="1"/>
    <col min="6" max="6" width="12.85546875" customWidth="1"/>
    <col min="7" max="7" width="10.5703125" bestFit="1" customWidth="1"/>
    <col min="8" max="8" width="100.7109375" customWidth="1"/>
  </cols>
  <sheetData>
    <row r="1" spans="1:8" x14ac:dyDescent="0.25">
      <c r="A1" s="1" t="s">
        <v>84</v>
      </c>
    </row>
    <row r="2" spans="1:8" x14ac:dyDescent="0.25">
      <c r="A2" s="10" t="s">
        <v>85</v>
      </c>
      <c r="B2" s="18"/>
      <c r="C2" s="18"/>
      <c r="D2" s="18"/>
      <c r="E2" s="18"/>
      <c r="F2" s="19"/>
      <c r="H2" s="20" t="s">
        <v>86</v>
      </c>
    </row>
    <row r="3" spans="1:8" x14ac:dyDescent="0.25">
      <c r="A3" s="21" t="s">
        <v>87</v>
      </c>
      <c r="B3" s="22" t="s">
        <v>88</v>
      </c>
      <c r="C3" s="22" t="s">
        <v>89</v>
      </c>
      <c r="D3" s="22" t="s">
        <v>90</v>
      </c>
      <c r="E3" s="23" t="s">
        <v>91</v>
      </c>
      <c r="F3" s="24" t="s">
        <v>92</v>
      </c>
      <c r="H3" t="s">
        <v>93</v>
      </c>
    </row>
    <row r="4" spans="1:8" x14ac:dyDescent="0.25">
      <c r="A4" s="5" t="s">
        <v>94</v>
      </c>
      <c r="B4" s="25"/>
      <c r="C4" s="25"/>
      <c r="D4" s="25"/>
      <c r="E4" s="25"/>
      <c r="F4" s="26"/>
      <c r="H4" t="s">
        <v>95</v>
      </c>
    </row>
    <row r="5" spans="1:8" x14ac:dyDescent="0.25">
      <c r="A5" t="s">
        <v>96</v>
      </c>
      <c r="B5" s="30">
        <v>1.116E+16</v>
      </c>
      <c r="C5" s="27">
        <v>2991850000000000</v>
      </c>
      <c r="D5" s="27">
        <v>16678200000000</v>
      </c>
      <c r="E5" s="25">
        <f t="shared" ref="E5:E24" si="0">B5+C5-D5</f>
        <v>1.41351718E+16</v>
      </c>
      <c r="F5" t="s">
        <v>97</v>
      </c>
      <c r="H5" t="s">
        <v>98</v>
      </c>
    </row>
    <row r="6" spans="1:8" x14ac:dyDescent="0.25">
      <c r="A6" t="s">
        <v>99</v>
      </c>
      <c r="B6" s="30">
        <v>1224860000000000</v>
      </c>
      <c r="C6" s="27">
        <v>1117010000000000</v>
      </c>
      <c r="D6" s="27">
        <v>0</v>
      </c>
      <c r="E6" s="25">
        <f t="shared" si="0"/>
        <v>2341870000000000</v>
      </c>
      <c r="F6" t="s">
        <v>97</v>
      </c>
      <c r="H6" t="s">
        <v>100</v>
      </c>
    </row>
    <row r="7" spans="1:8" x14ac:dyDescent="0.25">
      <c r="A7" t="s">
        <v>101</v>
      </c>
      <c r="B7" s="30">
        <v>140503000000000</v>
      </c>
      <c r="C7" s="27">
        <v>228298000000000</v>
      </c>
      <c r="D7" s="27">
        <v>0</v>
      </c>
      <c r="E7" s="25">
        <f t="shared" si="0"/>
        <v>368801000000000</v>
      </c>
      <c r="F7" t="s">
        <v>97</v>
      </c>
      <c r="H7" t="s">
        <v>102</v>
      </c>
    </row>
    <row r="8" spans="1:8" x14ac:dyDescent="0.25">
      <c r="A8" s="6" t="s">
        <v>103</v>
      </c>
      <c r="B8" s="31">
        <v>0</v>
      </c>
      <c r="C8" s="31">
        <v>0</v>
      </c>
      <c r="D8" s="31">
        <v>0</v>
      </c>
      <c r="E8" s="25"/>
      <c r="F8" s="26"/>
      <c r="H8" t="s">
        <v>104</v>
      </c>
    </row>
    <row r="9" spans="1:8" x14ac:dyDescent="0.25">
      <c r="A9" s="6" t="s">
        <v>105</v>
      </c>
      <c r="B9" s="31">
        <v>0</v>
      </c>
      <c r="C9" s="31">
        <v>0</v>
      </c>
      <c r="D9" s="31">
        <v>0</v>
      </c>
      <c r="E9" s="25"/>
      <c r="F9" s="26"/>
    </row>
    <row r="10" spans="1:8" x14ac:dyDescent="0.25">
      <c r="A10" s="6" t="s">
        <v>106</v>
      </c>
      <c r="B10" s="31">
        <v>0</v>
      </c>
      <c r="C10" s="31">
        <v>0</v>
      </c>
      <c r="D10" s="31">
        <v>0</v>
      </c>
      <c r="E10" s="25"/>
      <c r="F10" s="26"/>
    </row>
    <row r="11" spans="1:8" x14ac:dyDescent="0.25">
      <c r="A11" t="s">
        <v>107</v>
      </c>
      <c r="B11" s="30">
        <v>3010000000000000</v>
      </c>
      <c r="C11" s="27">
        <v>0</v>
      </c>
      <c r="D11" s="27">
        <v>0</v>
      </c>
      <c r="E11" s="25">
        <f t="shared" si="0"/>
        <v>3010000000000000</v>
      </c>
      <c r="F11" t="s">
        <v>97</v>
      </c>
    </row>
    <row r="12" spans="1:8" x14ac:dyDescent="0.25">
      <c r="A12" s="28" t="s">
        <v>108</v>
      </c>
      <c r="B12" s="30">
        <v>1780000000000000</v>
      </c>
      <c r="C12" s="27">
        <v>29600000000000</v>
      </c>
      <c r="D12" s="27">
        <v>595000000000000</v>
      </c>
      <c r="E12" s="25">
        <f t="shared" si="0"/>
        <v>1214600000000000</v>
      </c>
      <c r="F12" t="s">
        <v>97</v>
      </c>
    </row>
    <row r="13" spans="1:8" x14ac:dyDescent="0.25">
      <c r="A13" s="28" t="s">
        <v>109</v>
      </c>
      <c r="B13" s="30">
        <v>4740000000000000</v>
      </c>
      <c r="C13" s="27">
        <v>3320000000000</v>
      </c>
      <c r="D13" s="27">
        <v>1430000000000000</v>
      </c>
      <c r="E13" s="25">
        <f t="shared" si="0"/>
        <v>3313320000000000</v>
      </c>
      <c r="F13" t="s">
        <v>97</v>
      </c>
    </row>
    <row r="14" spans="1:8" x14ac:dyDescent="0.25">
      <c r="A14" t="s">
        <v>110</v>
      </c>
      <c r="B14" s="30">
        <v>71035200000000</v>
      </c>
      <c r="C14" s="27">
        <v>0</v>
      </c>
      <c r="D14" s="27">
        <v>0</v>
      </c>
      <c r="E14" s="25">
        <f t="shared" si="0"/>
        <v>71035200000000</v>
      </c>
      <c r="F14" t="s">
        <v>97</v>
      </c>
    </row>
    <row r="15" spans="1:8" x14ac:dyDescent="0.25">
      <c r="A15" t="s">
        <v>111</v>
      </c>
      <c r="B15" s="30">
        <v>17758800000000</v>
      </c>
      <c r="C15" s="27">
        <v>0</v>
      </c>
      <c r="D15" s="27">
        <v>0</v>
      </c>
      <c r="E15" s="25">
        <f t="shared" si="0"/>
        <v>17758800000000</v>
      </c>
      <c r="F15" t="s">
        <v>97</v>
      </c>
    </row>
    <row r="16" spans="1:8" x14ac:dyDescent="0.25">
      <c r="A16" s="28" t="s">
        <v>112</v>
      </c>
      <c r="B16" s="30">
        <v>472847000000000</v>
      </c>
      <c r="C16" s="27">
        <v>5635980000000</v>
      </c>
      <c r="D16" s="27">
        <v>0</v>
      </c>
      <c r="E16" s="32">
        <f>B16+C16-D16</f>
        <v>478482980000000</v>
      </c>
      <c r="F16" t="s">
        <v>97</v>
      </c>
    </row>
    <row r="17" spans="1:6" x14ac:dyDescent="0.25">
      <c r="A17" s="6" t="s">
        <v>113</v>
      </c>
      <c r="B17" s="31">
        <v>0</v>
      </c>
      <c r="C17" s="31">
        <v>0</v>
      </c>
      <c r="D17" s="31">
        <v>0</v>
      </c>
      <c r="E17" s="25"/>
      <c r="F17" s="26"/>
    </row>
    <row r="18" spans="1:6" x14ac:dyDescent="0.25">
      <c r="A18" s="6" t="s">
        <v>114</v>
      </c>
      <c r="B18" s="31">
        <v>0</v>
      </c>
      <c r="C18" s="31">
        <v>0</v>
      </c>
      <c r="D18" s="31">
        <v>0</v>
      </c>
      <c r="E18" s="25"/>
      <c r="F18" s="26"/>
    </row>
    <row r="19" spans="1:6" x14ac:dyDescent="0.25">
      <c r="A19" t="s">
        <v>115</v>
      </c>
      <c r="B19" s="30">
        <v>633227000000000</v>
      </c>
      <c r="C19" s="27">
        <v>138667000000</v>
      </c>
      <c r="D19" s="27">
        <v>58666666667</v>
      </c>
      <c r="E19" s="25">
        <f t="shared" si="0"/>
        <v>633307000333333</v>
      </c>
      <c r="F19" t="s">
        <v>97</v>
      </c>
    </row>
    <row r="20" spans="1:6" x14ac:dyDescent="0.25">
      <c r="A20" t="s">
        <v>116</v>
      </c>
      <c r="B20" s="30">
        <v>1244820000000000</v>
      </c>
      <c r="C20" s="27">
        <v>9532210000000000</v>
      </c>
      <c r="D20" s="27">
        <v>0</v>
      </c>
      <c r="E20" s="25">
        <f t="shared" si="0"/>
        <v>1.077703E+16</v>
      </c>
      <c r="F20" t="s">
        <v>97</v>
      </c>
    </row>
    <row r="21" spans="1:6" x14ac:dyDescent="0.25">
      <c r="A21" s="28" t="s">
        <v>117</v>
      </c>
      <c r="B21" s="30">
        <v>352851000000000</v>
      </c>
      <c r="C21" s="27">
        <v>72714400000000</v>
      </c>
      <c r="D21" s="27">
        <v>105597000000000</v>
      </c>
      <c r="E21" s="25">
        <f t="shared" si="0"/>
        <v>319968400000000</v>
      </c>
      <c r="F21" t="s">
        <v>97</v>
      </c>
    </row>
    <row r="22" spans="1:6" x14ac:dyDescent="0.25">
      <c r="A22" s="28" t="s">
        <v>118</v>
      </c>
      <c r="B22" s="30">
        <v>548000000000000</v>
      </c>
      <c r="C22" s="27">
        <v>767000000000000</v>
      </c>
      <c r="D22" s="27">
        <v>23000000000000</v>
      </c>
      <c r="E22" s="25">
        <f t="shared" si="0"/>
        <v>1292000000000000</v>
      </c>
      <c r="F22" t="s">
        <v>97</v>
      </c>
    </row>
    <row r="23" spans="1:6" x14ac:dyDescent="0.25">
      <c r="A23" t="s">
        <v>119</v>
      </c>
      <c r="B23" s="30">
        <v>292326000000000</v>
      </c>
      <c r="C23" s="27">
        <v>0</v>
      </c>
      <c r="D23" s="27">
        <v>0</v>
      </c>
      <c r="E23" s="25">
        <f t="shared" si="0"/>
        <v>292326000000000</v>
      </c>
      <c r="F23" t="s">
        <v>97</v>
      </c>
    </row>
    <row r="24" spans="1:6" x14ac:dyDescent="0.25">
      <c r="A24" t="s">
        <v>120</v>
      </c>
      <c r="B24" s="31">
        <v>0</v>
      </c>
      <c r="C24" s="31">
        <v>0</v>
      </c>
      <c r="D24" s="31">
        <v>0</v>
      </c>
      <c r="E24" s="25">
        <f t="shared" si="0"/>
        <v>0</v>
      </c>
      <c r="F24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V2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15" sqref="K15"/>
    </sheetView>
  </sheetViews>
  <sheetFormatPr defaultRowHeight="15" x14ac:dyDescent="0.25"/>
  <cols>
    <col min="1" max="1" width="36.7109375" customWidth="1"/>
    <col min="2" max="22" width="16.5703125" style="7" customWidth="1"/>
  </cols>
  <sheetData>
    <row r="1" spans="1:22" ht="45" x14ac:dyDescent="0.25">
      <c r="A1" s="4" t="s">
        <v>121</v>
      </c>
      <c r="B1" s="8" t="s">
        <v>94</v>
      </c>
      <c r="C1" s="9" t="s">
        <v>96</v>
      </c>
      <c r="D1" s="9" t="s">
        <v>99</v>
      </c>
      <c r="E1" s="9" t="s">
        <v>122</v>
      </c>
      <c r="F1" s="8" t="s">
        <v>103</v>
      </c>
      <c r="G1" s="8" t="s">
        <v>105</v>
      </c>
      <c r="H1" s="8" t="s">
        <v>106</v>
      </c>
      <c r="I1" s="9" t="s">
        <v>107</v>
      </c>
      <c r="J1" s="9" t="s">
        <v>108</v>
      </c>
      <c r="K1" s="9" t="s">
        <v>109</v>
      </c>
      <c r="L1" s="9" t="s">
        <v>110</v>
      </c>
      <c r="M1" s="9" t="s">
        <v>111</v>
      </c>
      <c r="N1" s="9" t="s">
        <v>112</v>
      </c>
      <c r="O1" s="8" t="s">
        <v>113</v>
      </c>
      <c r="P1" s="8" t="s">
        <v>114</v>
      </c>
      <c r="Q1" s="9" t="s">
        <v>115</v>
      </c>
      <c r="R1" s="9" t="s">
        <v>116</v>
      </c>
      <c r="S1" s="9" t="s">
        <v>117</v>
      </c>
      <c r="T1" s="9" t="s">
        <v>118</v>
      </c>
      <c r="U1" s="9" t="s">
        <v>119</v>
      </c>
      <c r="V1" s="9" t="s">
        <v>120</v>
      </c>
    </row>
    <row r="2" spans="1:22" x14ac:dyDescent="0.25">
      <c r="A2" s="5" t="s">
        <v>94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</row>
    <row r="3" spans="1:22" x14ac:dyDescent="0.25">
      <c r="A3" t="s">
        <v>96</v>
      </c>
      <c r="B3" s="5">
        <v>0</v>
      </c>
      <c r="C3" s="7">
        <v>0</v>
      </c>
      <c r="D3" s="7">
        <v>0</v>
      </c>
      <c r="E3" s="7">
        <v>0</v>
      </c>
      <c r="F3" s="5">
        <v>0</v>
      </c>
      <c r="G3" s="5">
        <v>0</v>
      </c>
      <c r="H3" s="5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5">
        <v>0</v>
      </c>
      <c r="P3" s="5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</row>
    <row r="4" spans="1:22" x14ac:dyDescent="0.25">
      <c r="A4" t="s">
        <v>99</v>
      </c>
      <c r="B4" s="5">
        <v>0</v>
      </c>
      <c r="C4" s="7">
        <v>0</v>
      </c>
      <c r="D4" s="7">
        <v>0</v>
      </c>
      <c r="E4" s="7">
        <v>0</v>
      </c>
      <c r="F4" s="5">
        <v>0</v>
      </c>
      <c r="G4" s="5">
        <v>0</v>
      </c>
      <c r="H4" s="5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5">
        <v>0</v>
      </c>
      <c r="P4" s="5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</row>
    <row r="5" spans="1:22" x14ac:dyDescent="0.25">
      <c r="A5" t="s">
        <v>122</v>
      </c>
      <c r="B5" s="5">
        <v>0</v>
      </c>
      <c r="C5" s="7">
        <v>0</v>
      </c>
      <c r="D5" s="7">
        <v>0</v>
      </c>
      <c r="E5" s="7">
        <v>0</v>
      </c>
      <c r="F5" s="5">
        <v>0</v>
      </c>
      <c r="G5" s="5">
        <v>0</v>
      </c>
      <c r="H5" s="5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5">
        <v>0</v>
      </c>
      <c r="P5" s="5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</row>
    <row r="6" spans="1:22" x14ac:dyDescent="0.25">
      <c r="A6" s="6" t="s">
        <v>103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</row>
    <row r="7" spans="1:22" x14ac:dyDescent="0.25">
      <c r="A7" s="6" t="s">
        <v>105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</row>
    <row r="8" spans="1:22" x14ac:dyDescent="0.25">
      <c r="A8" s="6" t="s">
        <v>106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</row>
    <row r="9" spans="1:22" x14ac:dyDescent="0.25">
      <c r="A9" t="s">
        <v>107</v>
      </c>
      <c r="B9" s="5">
        <v>0</v>
      </c>
      <c r="C9" s="7">
        <v>0</v>
      </c>
      <c r="D9" s="7">
        <v>0</v>
      </c>
      <c r="E9" s="7">
        <v>0</v>
      </c>
      <c r="F9" s="5">
        <v>0</v>
      </c>
      <c r="G9" s="5">
        <v>0</v>
      </c>
      <c r="H9" s="5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5">
        <v>0</v>
      </c>
      <c r="P9" s="5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</row>
    <row r="10" spans="1:22" x14ac:dyDescent="0.25">
      <c r="A10" t="s">
        <v>108</v>
      </c>
      <c r="B10" s="5">
        <v>0</v>
      </c>
      <c r="C10" s="7">
        <v>0</v>
      </c>
      <c r="D10" s="7">
        <v>0</v>
      </c>
      <c r="E10" s="7">
        <v>0</v>
      </c>
      <c r="F10" s="5">
        <v>0</v>
      </c>
      <c r="G10" s="5">
        <v>0</v>
      </c>
      <c r="H10" s="5">
        <v>0</v>
      </c>
      <c r="I10" s="7">
        <v>0</v>
      </c>
      <c r="J10" s="29">
        <f>'Data from BFPIaE'!D12/SUM('Data from BFPIaE'!D12:E12)</f>
        <v>0.32880194518125555</v>
      </c>
      <c r="K10" s="7">
        <v>0</v>
      </c>
      <c r="L10" s="7">
        <v>0</v>
      </c>
      <c r="M10" s="7">
        <v>0</v>
      </c>
      <c r="N10" s="7">
        <v>0</v>
      </c>
      <c r="O10" s="5">
        <v>0</v>
      </c>
      <c r="P10" s="5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</row>
    <row r="11" spans="1:22" x14ac:dyDescent="0.25">
      <c r="A11" t="s">
        <v>109</v>
      </c>
      <c r="B11" s="5">
        <v>0</v>
      </c>
      <c r="C11" s="7">
        <v>0</v>
      </c>
      <c r="D11" s="7">
        <v>0</v>
      </c>
      <c r="E11" s="7">
        <v>0</v>
      </c>
      <c r="F11" s="5">
        <v>0</v>
      </c>
      <c r="G11" s="5">
        <v>0</v>
      </c>
      <c r="H11" s="5">
        <v>0</v>
      </c>
      <c r="I11" s="7">
        <v>0</v>
      </c>
      <c r="J11" s="7">
        <v>0</v>
      </c>
      <c r="K11" s="29">
        <f>'Data from BFPIaE'!D13/SUM('Data from BFPIaE'!D13:E13)</f>
        <v>0.30147660288574246</v>
      </c>
      <c r="L11" s="7">
        <v>0</v>
      </c>
      <c r="M11" s="7">
        <v>0</v>
      </c>
      <c r="N11" s="7">
        <v>0</v>
      </c>
      <c r="O11" s="5">
        <v>0</v>
      </c>
      <c r="P11" s="5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</row>
    <row r="12" spans="1:22" x14ac:dyDescent="0.25">
      <c r="A12" t="s">
        <v>110</v>
      </c>
      <c r="B12" s="5">
        <v>0</v>
      </c>
      <c r="C12" s="7">
        <v>0</v>
      </c>
      <c r="D12" s="7">
        <v>0</v>
      </c>
      <c r="E12" s="7">
        <v>0</v>
      </c>
      <c r="F12" s="5">
        <v>0</v>
      </c>
      <c r="G12" s="5">
        <v>0</v>
      </c>
      <c r="H12" s="5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5">
        <v>0</v>
      </c>
      <c r="P12" s="5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</row>
    <row r="13" spans="1:22" x14ac:dyDescent="0.25">
      <c r="A13" t="s">
        <v>111</v>
      </c>
      <c r="B13" s="5">
        <v>0</v>
      </c>
      <c r="C13" s="7">
        <v>0</v>
      </c>
      <c r="D13" s="7">
        <v>0</v>
      </c>
      <c r="E13" s="7">
        <v>0</v>
      </c>
      <c r="F13" s="5">
        <v>0</v>
      </c>
      <c r="G13" s="5">
        <v>0</v>
      </c>
      <c r="H13" s="5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5">
        <v>0</v>
      </c>
      <c r="P13" s="5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</row>
    <row r="14" spans="1:22" x14ac:dyDescent="0.25">
      <c r="A14" t="s">
        <v>112</v>
      </c>
      <c r="B14" s="5">
        <v>0</v>
      </c>
      <c r="C14" s="7">
        <v>0</v>
      </c>
      <c r="D14" s="7">
        <v>0</v>
      </c>
      <c r="E14" s="7">
        <v>0</v>
      </c>
      <c r="F14" s="5">
        <v>0</v>
      </c>
      <c r="G14" s="5">
        <v>0</v>
      </c>
      <c r="H14" s="5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5">
        <v>0</v>
      </c>
      <c r="P14" s="5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</row>
    <row r="15" spans="1:22" x14ac:dyDescent="0.25">
      <c r="A15" s="6" t="s">
        <v>113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</row>
    <row r="16" spans="1:22" x14ac:dyDescent="0.25">
      <c r="A16" s="6" t="s">
        <v>114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</row>
    <row r="17" spans="1:22" x14ac:dyDescent="0.25">
      <c r="A17" t="s">
        <v>115</v>
      </c>
      <c r="B17" s="5">
        <v>0</v>
      </c>
      <c r="C17" s="7">
        <v>0</v>
      </c>
      <c r="D17" s="7">
        <v>0</v>
      </c>
      <c r="E17" s="7">
        <v>0</v>
      </c>
      <c r="F17" s="5">
        <v>0</v>
      </c>
      <c r="G17" s="5">
        <v>0</v>
      </c>
      <c r="H17" s="5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5">
        <v>0</v>
      </c>
      <c r="P17" s="5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</row>
    <row r="18" spans="1:22" x14ac:dyDescent="0.25">
      <c r="A18" t="s">
        <v>116</v>
      </c>
      <c r="B18" s="5">
        <v>0</v>
      </c>
      <c r="C18" s="7">
        <v>0</v>
      </c>
      <c r="D18" s="7">
        <v>0</v>
      </c>
      <c r="E18" s="7">
        <v>0</v>
      </c>
      <c r="F18" s="5">
        <v>0</v>
      </c>
      <c r="G18" s="5">
        <v>0</v>
      </c>
      <c r="H18" s="5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5">
        <v>0</v>
      </c>
      <c r="P18" s="5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</row>
    <row r="19" spans="1:22" x14ac:dyDescent="0.25">
      <c r="A19" t="s">
        <v>117</v>
      </c>
      <c r="B19" s="5">
        <v>0</v>
      </c>
      <c r="C19" s="7">
        <v>0</v>
      </c>
      <c r="D19" s="7">
        <v>0</v>
      </c>
      <c r="E19" s="7">
        <v>0</v>
      </c>
      <c r="F19" s="5">
        <v>0</v>
      </c>
      <c r="G19" s="5">
        <v>0</v>
      </c>
      <c r="H19" s="5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5">
        <v>0</v>
      </c>
      <c r="P19" s="5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</row>
    <row r="20" spans="1:22" x14ac:dyDescent="0.25">
      <c r="A20" t="s">
        <v>118</v>
      </c>
      <c r="B20" s="5">
        <v>0</v>
      </c>
      <c r="C20" s="7">
        <v>0</v>
      </c>
      <c r="D20" s="7">
        <v>0</v>
      </c>
      <c r="E20" s="7">
        <v>0</v>
      </c>
      <c r="F20" s="5">
        <v>0</v>
      </c>
      <c r="G20" s="5">
        <v>0</v>
      </c>
      <c r="H20" s="5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5">
        <v>0</v>
      </c>
      <c r="P20" s="5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</row>
    <row r="21" spans="1:22" x14ac:dyDescent="0.25">
      <c r="A21" t="s">
        <v>119</v>
      </c>
      <c r="B21" s="5">
        <v>0</v>
      </c>
      <c r="C21" s="7">
        <v>0</v>
      </c>
      <c r="D21" s="7">
        <v>0</v>
      </c>
      <c r="E21" s="7">
        <v>0</v>
      </c>
      <c r="F21" s="5">
        <v>0</v>
      </c>
      <c r="G21" s="5">
        <v>0</v>
      </c>
      <c r="H21" s="5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5">
        <v>0</v>
      </c>
      <c r="P21" s="5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</row>
    <row r="22" spans="1:22" x14ac:dyDescent="0.25">
      <c r="A22" t="s">
        <v>120</v>
      </c>
      <c r="B22" s="5">
        <v>0</v>
      </c>
      <c r="C22" s="7">
        <v>0</v>
      </c>
      <c r="D22" s="7">
        <v>0</v>
      </c>
      <c r="E22" s="7">
        <v>0</v>
      </c>
      <c r="F22" s="5">
        <v>0</v>
      </c>
      <c r="G22" s="5">
        <v>0</v>
      </c>
      <c r="H22" s="5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5">
        <v>0</v>
      </c>
      <c r="P22" s="5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A89FCB-FFDB-4387-9B3F-9098F5DCBDC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795757E-8E33-41FD-9B05-B2FBEEE7C9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67A879-7FAA-44E5-B8CA-B56D9F10EB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083de3-5d4e-49f2-a3cd-0aeb079e67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India data</vt:lpstr>
      <vt:lpstr>Data from BFPIaE</vt:lpstr>
      <vt:lpstr>PoFDCtAE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Megan Mahajan</cp:lastModifiedBy>
  <cp:revision/>
  <dcterms:created xsi:type="dcterms:W3CDTF">2019-08-28T22:46:04Z</dcterms:created>
  <dcterms:modified xsi:type="dcterms:W3CDTF">2024-12-23T19:15:09Z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