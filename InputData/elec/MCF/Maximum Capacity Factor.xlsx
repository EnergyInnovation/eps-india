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ghan\Documents\eps-india\InputData\elec\PTCF\"/>
    </mc:Choice>
  </mc:AlternateContent>
  <xr:revisionPtr revIDLastSave="30" documentId="11_12FD9D3D88EC6EEBD96729D0513AE9DB1C139B6E" xr6:coauthVersionLast="47" xr6:coauthVersionMax="47" xr10:uidLastSave="{14626314-FFB9-4CD2-9E16-23B7615D16E7}"/>
  <bookViews>
    <workbookView xWindow="12765" yWindow="1245" windowWidth="15615" windowHeight="13545" firstSheet="2" xr2:uid="{00000000-000D-0000-FFFF-FFFF00000000}"/>
  </bookViews>
  <sheets>
    <sheet name="About" sheetId="12" r:id="rId1"/>
    <sheet name="Wind" sheetId="41" r:id="rId2"/>
    <sheet name="MCF" sheetId="21" r:id="rId3"/>
  </sheets>
  <externalReferences>
    <externalReference r:id="rId4"/>
  </externalReferences>
  <definedNames>
    <definedName name="LocalAreaOptions">[1]Lists!$B$11:$B$21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1" l="1"/>
  <c r="B18" i="21" l="1"/>
  <c r="B17" i="21"/>
  <c r="B16" i="21"/>
  <c r="B7" i="21" l="1"/>
  <c r="B15" i="21" l="1"/>
</calcChain>
</file>

<file path=xl/sharedStrings.xml><?xml version="1.0" encoding="utf-8"?>
<sst xmlns="http://schemas.openxmlformats.org/spreadsheetml/2006/main" count="66" uniqueCount="66">
  <si>
    <t>MCF Maximum Capacity Factors</t>
  </si>
  <si>
    <t xml:space="preserve">Source: </t>
  </si>
  <si>
    <t>All Except Wind</t>
  </si>
  <si>
    <t>Capacity Factors for Biomass</t>
  </si>
  <si>
    <t>Central Electricity Authority</t>
  </si>
  <si>
    <t>Central Electricity Authority/Ministry of Power</t>
  </si>
  <si>
    <t>National Electricity Plan</t>
  </si>
  <si>
    <t>Draft Report on Optimal Generation Capacity Mix for 2029-30</t>
  </si>
  <si>
    <t>http://www.cea.nic.in/reports/committee/nep/nep_jan_2018.pdf</t>
  </si>
  <si>
    <t>http://cea.nic.in/reports/others/planning/irp/Optimal_generation_mix_report.pdf</t>
  </si>
  <si>
    <t>Table 5.3</t>
  </si>
  <si>
    <t>Table 6.7.A</t>
  </si>
  <si>
    <t>Annexure - I/2, Cost Parameters, Other assumptions, page 39</t>
  </si>
  <si>
    <t>Wind Capacity Factor</t>
  </si>
  <si>
    <t>Shakti Sustainable Energy Foundation</t>
  </si>
  <si>
    <t>Capacity Value of Wind Generation in India - An Assessment</t>
  </si>
  <si>
    <t>http://shaktifoundation.in/wp-content/uploads/2017/06/Capacity-Value-of-Wind-in-India-Full-report1.pdf</t>
  </si>
  <si>
    <t>Table 19</t>
  </si>
  <si>
    <t>Notes</t>
  </si>
  <si>
    <t>This represents the maximum capacity factor a plant type can achieve</t>
  </si>
  <si>
    <t>in any given hour. This is used for non-variable plant types, including hydro.</t>
  </si>
  <si>
    <t>We assume solar thermal and geothermal, which are for the most part dispatchable</t>
  </si>
  <si>
    <t>(assuming storage for solar thermal) - have the same value as lignite.</t>
  </si>
  <si>
    <t>We assume a lower value for biomass and municipal solid waste due to uncertainty</t>
  </si>
  <si>
    <t>in feedstock availability, based on CEA's optimal energy mix report for 2030.</t>
  </si>
  <si>
    <t>We assume crude oil and heavy residual fuel to have the same value as diesel.</t>
  </si>
  <si>
    <t>In the India EPS, the geothermal plant type is repurposed as pumped hydro capacity.</t>
  </si>
  <si>
    <t>We assume both hydrogen based plants to have the same maximum capacity as the natural gas power plants</t>
  </si>
  <si>
    <r>
      <rPr>
        <b/>
        <sz val="10"/>
        <color rgb="FF4F81BC"/>
        <rFont val="Arial"/>
        <family val="2"/>
      </rPr>
      <t>Table 19 Estimated overall wind potential and capacity contribution at National level</t>
    </r>
  </si>
  <si>
    <r>
      <rPr>
        <b/>
        <sz val="11"/>
        <color rgb="FFFFFFFF"/>
        <rFont val="Calibri"/>
        <family val="2"/>
      </rPr>
      <t>State</t>
    </r>
  </si>
  <si>
    <r>
      <rPr>
        <b/>
        <sz val="11"/>
        <color rgb="FFFFFFFF"/>
        <rFont val="Calibri"/>
        <family val="2"/>
      </rPr>
      <t>Estimated Potential at 80 m (MW)</t>
    </r>
  </si>
  <si>
    <r>
      <rPr>
        <b/>
        <sz val="11"/>
        <color rgb="FFFFFFFF"/>
        <rFont val="Calibri"/>
        <family val="2"/>
      </rPr>
      <t>Capacity Value (%)</t>
    </r>
  </si>
  <si>
    <r>
      <rPr>
        <b/>
        <sz val="11"/>
        <color rgb="FFFFFFFF"/>
        <rFont val="Calibri"/>
        <family val="2"/>
      </rPr>
      <t>Capacity Contribution (MW)</t>
    </r>
  </si>
  <si>
    <r>
      <rPr>
        <b/>
        <sz val="11"/>
        <rFont val="Calibri"/>
        <family val="2"/>
      </rPr>
      <t>Andhra Pradesh</t>
    </r>
  </si>
  <si>
    <r>
      <rPr>
        <b/>
        <sz val="11"/>
        <rFont val="Calibri"/>
        <family val="2"/>
      </rPr>
      <t>Gujarat</t>
    </r>
  </si>
  <si>
    <r>
      <rPr>
        <b/>
        <sz val="11"/>
        <rFont val="Calibri"/>
        <family val="2"/>
      </rPr>
      <t>Karnataka</t>
    </r>
  </si>
  <si>
    <r>
      <rPr>
        <b/>
        <sz val="11"/>
        <rFont val="Calibri"/>
        <family val="2"/>
      </rPr>
      <t>Maharashtra</t>
    </r>
  </si>
  <si>
    <r>
      <rPr>
        <b/>
        <sz val="11"/>
        <rFont val="Calibri"/>
        <family val="2"/>
      </rPr>
      <t>Rajasthan</t>
    </r>
  </si>
  <si>
    <r>
      <rPr>
        <b/>
        <sz val="11"/>
        <rFont val="Calibri"/>
        <family val="2"/>
      </rPr>
      <t>Tamil Nadu</t>
    </r>
  </si>
  <si>
    <r>
      <rPr>
        <b/>
        <sz val="11"/>
        <rFont val="Calibri"/>
        <family val="2"/>
      </rPr>
      <t>Others</t>
    </r>
  </si>
  <si>
    <r>
      <rPr>
        <b/>
        <sz val="11"/>
        <rFont val="Calibri"/>
        <family val="2"/>
      </rPr>
      <t>Total</t>
    </r>
  </si>
  <si>
    <t>Unit: dimensionless (peak time capacity factors)</t>
  </si>
  <si>
    <t>hard coal</t>
  </si>
  <si>
    <t>natural gas steam turbine</t>
  </si>
  <si>
    <t xml:space="preserve">natural gas combined cycle </t>
  </si>
  <si>
    <t>nuclear</t>
  </si>
  <si>
    <t>hydro</t>
  </si>
  <si>
    <t>onshore wind</t>
  </si>
  <si>
    <t>solar pv</t>
  </si>
  <si>
    <t>solar thermal</t>
  </si>
  <si>
    <t>biomass</t>
  </si>
  <si>
    <t xml:space="preserve">geothermal </t>
  </si>
  <si>
    <t>petroleum</t>
  </si>
  <si>
    <t>natural gas nonpeaker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</si>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</sst>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##0;###0"/>
    <numFmt numFmtId="166" formatCode="#,##0;#,##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4F81BC"/>
      <name val="Arial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F81BC"/>
      </patternFill>
    </fill>
    <fill>
      <patternFill patternType="solid">
        <fgColor rgb="FFD2DFED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 style="thin">
        <color rgb="FF7A9FCD"/>
      </left>
      <right/>
      <top style="thin">
        <color rgb="FF7A9FCD"/>
      </top>
      <bottom style="thin">
        <color rgb="FF7A9FCD"/>
      </bottom>
      <diagonal/>
    </border>
    <border>
      <left/>
      <right/>
      <top style="thin">
        <color rgb="FF7A9FCD"/>
      </top>
      <bottom style="thin">
        <color rgb="FF7A9FCD"/>
      </bottom>
      <diagonal/>
    </border>
    <border>
      <left/>
      <right style="thin">
        <color rgb="FF7A9FCD"/>
      </right>
      <top style="thin">
        <color rgb="FF7A9FCD"/>
      </top>
      <bottom style="thin">
        <color rgb="FF7A9FCD"/>
      </bottom>
      <diagonal/>
    </border>
    <border>
      <left style="thin">
        <color rgb="FF538DD3"/>
      </left>
      <right/>
      <top style="thin">
        <color rgb="FF7A9FCD"/>
      </top>
      <bottom style="thin">
        <color rgb="FF538DD3"/>
      </bottom>
      <diagonal/>
    </border>
    <border>
      <left/>
      <right/>
      <top style="thin">
        <color rgb="FF7A9FCD"/>
      </top>
      <bottom style="thin">
        <color rgb="FF538DD3"/>
      </bottom>
      <diagonal/>
    </border>
    <border>
      <left/>
      <right style="thin">
        <color rgb="FF538DD3"/>
      </right>
      <top style="thin">
        <color rgb="FF7A9FCD"/>
      </top>
      <bottom style="thin">
        <color rgb="FF538DD3"/>
      </bottom>
      <diagonal/>
    </border>
    <border>
      <left style="thin">
        <color rgb="FF538DD3"/>
      </left>
      <right/>
      <top style="thin">
        <color rgb="FF538DD3"/>
      </top>
      <bottom style="thin">
        <color rgb="FFD2DFED"/>
      </bottom>
      <diagonal/>
    </border>
    <border>
      <left/>
      <right/>
      <top style="thin">
        <color rgb="FF538DD3"/>
      </top>
      <bottom style="thin">
        <color rgb="FFD2DFED"/>
      </bottom>
      <diagonal/>
    </border>
    <border>
      <left/>
      <right style="thin">
        <color rgb="FF538DD3"/>
      </right>
      <top style="thin">
        <color rgb="FF538DD3"/>
      </top>
      <bottom style="thin">
        <color rgb="FFD2DFED"/>
      </bottom>
      <diagonal/>
    </border>
    <border>
      <left style="thin">
        <color rgb="FF538DD3"/>
      </left>
      <right/>
      <top style="thin">
        <color rgb="FFD2DFED"/>
      </top>
      <bottom style="thin">
        <color rgb="FFD2DFED"/>
      </bottom>
      <diagonal/>
    </border>
    <border>
      <left/>
      <right/>
      <top style="thin">
        <color rgb="FFD2DFED"/>
      </top>
      <bottom style="thin">
        <color rgb="FFD2DFED"/>
      </bottom>
      <diagonal/>
    </border>
    <border>
      <left/>
      <right style="thin">
        <color rgb="FF538DD3"/>
      </right>
      <top style="thin">
        <color rgb="FFD2DFED"/>
      </top>
      <bottom style="thin">
        <color rgb="FFD2DFED"/>
      </bottom>
      <diagonal/>
    </border>
    <border>
      <left style="thin">
        <color rgb="FF538DD3"/>
      </left>
      <right/>
      <top style="thin">
        <color rgb="FFD2DFED"/>
      </top>
      <bottom style="thin">
        <color rgb="FF538DD3"/>
      </bottom>
      <diagonal/>
    </border>
    <border>
      <left/>
      <right/>
      <top style="thin">
        <color rgb="FFD2DFED"/>
      </top>
      <bottom style="thin">
        <color rgb="FF538DD3"/>
      </bottom>
      <diagonal/>
    </border>
    <border>
      <left/>
      <right style="thin">
        <color rgb="FF538DD3"/>
      </right>
      <top style="thin">
        <color rgb="FFD2DFED"/>
      </top>
      <bottom style="thin">
        <color rgb="FF538DD3"/>
      </bottom>
      <diagonal/>
    </border>
  </borders>
  <cellStyleXfs count="7">
    <xf numFmtId="0" fontId="0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0" applyNumberFormat="0" applyProtection="0">
      <alignment horizontal="left"/>
    </xf>
    <xf numFmtId="0" fontId="9" fillId="0" borderId="1" applyNumberFormat="0" applyProtection="0">
      <alignment wrapText="1"/>
    </xf>
    <xf numFmtId="0" fontId="7" fillId="0" borderId="2" applyNumberFormat="0" applyFont="0" applyProtection="0">
      <alignment wrapText="1"/>
    </xf>
    <xf numFmtId="0" fontId="1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/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4" borderId="3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left" vertical="top"/>
    </xf>
    <xf numFmtId="0" fontId="6" fillId="4" borderId="5" xfId="0" applyFont="1" applyFill="1" applyBorder="1" applyAlignment="1">
      <alignment horizontal="center" vertical="top"/>
    </xf>
    <xf numFmtId="0" fontId="6" fillId="5" borderId="6" xfId="0" applyFont="1" applyFill="1" applyBorder="1" applyAlignment="1">
      <alignment horizontal="left" vertical="top"/>
    </xf>
    <xf numFmtId="165" fontId="4" fillId="5" borderId="7" xfId="0" applyNumberFormat="1" applyFont="1" applyFill="1" applyBorder="1" applyAlignment="1">
      <alignment horizontal="center" vertical="top"/>
    </xf>
    <xf numFmtId="166" fontId="4" fillId="5" borderId="8" xfId="0" applyNumberFormat="1" applyFont="1" applyFill="1" applyBorder="1" applyAlignment="1">
      <alignment horizontal="center" vertical="top"/>
    </xf>
    <xf numFmtId="0" fontId="6" fillId="0" borderId="9" xfId="0" applyFont="1" applyBorder="1" applyAlignment="1">
      <alignment horizontal="left" vertical="top"/>
    </xf>
    <xf numFmtId="165" fontId="4" fillId="0" borderId="10" xfId="0" applyNumberFormat="1" applyFont="1" applyBorder="1" applyAlignment="1">
      <alignment horizontal="center" vertical="top"/>
    </xf>
    <xf numFmtId="166" fontId="4" fillId="0" borderId="11" xfId="0" applyNumberFormat="1" applyFont="1" applyBorder="1" applyAlignment="1">
      <alignment horizontal="left" vertical="top"/>
    </xf>
    <xf numFmtId="0" fontId="6" fillId="5" borderId="12" xfId="0" applyFont="1" applyFill="1" applyBorder="1" applyAlignment="1">
      <alignment horizontal="left" vertical="top"/>
    </xf>
    <xf numFmtId="165" fontId="4" fillId="5" borderId="13" xfId="0" applyNumberFormat="1" applyFont="1" applyFill="1" applyBorder="1" applyAlignment="1">
      <alignment horizontal="center" vertical="top"/>
    </xf>
    <xf numFmtId="166" fontId="4" fillId="5" borderId="14" xfId="0" applyNumberFormat="1" applyFont="1" applyFill="1" applyBorder="1" applyAlignment="1">
      <alignment horizontal="center" vertical="top"/>
    </xf>
    <xf numFmtId="0" fontId="6" fillId="0" borderId="12" xfId="0" applyFont="1" applyBorder="1" applyAlignment="1">
      <alignment horizontal="left" vertical="top"/>
    </xf>
    <xf numFmtId="165" fontId="4" fillId="0" borderId="13" xfId="0" applyNumberFormat="1" applyFont="1" applyBorder="1" applyAlignment="1">
      <alignment horizontal="center" vertical="top"/>
    </xf>
    <xf numFmtId="166" fontId="4" fillId="0" borderId="14" xfId="0" applyNumberFormat="1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165" fontId="3" fillId="0" borderId="16" xfId="0" applyNumberFormat="1" applyFont="1" applyBorder="1" applyAlignment="1">
      <alignment horizontal="center" vertical="top"/>
    </xf>
    <xf numFmtId="0" fontId="0" fillId="0" borderId="16" xfId="0" applyBorder="1" applyAlignment="1">
      <alignment horizontal="left" vertical="top"/>
    </xf>
    <xf numFmtId="166" fontId="4" fillId="0" borderId="17" xfId="0" applyNumberFormat="1" applyFont="1" applyBorder="1" applyAlignment="1">
      <alignment horizontal="left" vertical="top"/>
    </xf>
    <xf numFmtId="10" fontId="5" fillId="5" borderId="7" xfId="0" applyNumberFormat="1" applyFont="1" applyFill="1" applyBorder="1" applyAlignment="1">
      <alignment horizontal="center" vertical="top"/>
    </xf>
    <xf numFmtId="10" fontId="5" fillId="0" borderId="10" xfId="0" applyNumberFormat="1" applyFont="1" applyBorder="1" applyAlignment="1">
      <alignment horizontal="center" vertical="top"/>
    </xf>
    <xf numFmtId="10" fontId="5" fillId="5" borderId="13" xfId="0" applyNumberFormat="1" applyFont="1" applyFill="1" applyBorder="1" applyAlignment="1">
      <alignment horizontal="center" vertical="top"/>
    </xf>
    <xf numFmtId="10" fontId="5" fillId="0" borderId="13" xfId="0" applyNumberFormat="1" applyFont="1" applyBorder="1" applyAlignment="1">
      <alignment horizontal="center" vertical="top"/>
    </xf>
    <xf numFmtId="164" fontId="0" fillId="3" borderId="0" xfId="0" applyNumberFormat="1" applyFill="1"/>
    <xf numFmtId="0" fontId="13" fillId="0" borderId="0" xfId="6" applyAlignment="1">
      <alignment wrapText="1"/>
    </xf>
    <xf numFmtId="0" fontId="13" fillId="0" borderId="0" xfId="6"/>
    <xf numFmtId="0" fontId="0" fillId="0" borderId="0" xfId="0" applyAlignment="1">
      <alignment horizontal="right" wrapText="1"/>
    </xf>
    <xf numFmtId="0" fontId="14" fillId="0" borderId="0" xfId="0" applyFont="1" applyAlignment="1">
      <alignment wrapText="1"/>
    </xf>
    <xf numFmtId="164" fontId="0" fillId="6" borderId="0" xfId="0" applyNumberFormat="1" applyFill="1"/>
    <xf numFmtId="0" fontId="15" fillId="0" borderId="0" xfId="0" applyFont="1" applyAlignment="1">
      <alignment vertical="center"/>
    </xf>
    <xf numFmtId="165" fontId="0" fillId="0" borderId="0" xfId="0" applyNumberFormat="1"/>
  </cellXfs>
  <cellStyles count="7">
    <cellStyle name="Body: normal cell" xfId="5" xr:uid="{00000000-0005-0000-0000-000000000000}"/>
    <cellStyle name="Font: Calibri, 9pt regular" xfId="2" xr:uid="{00000000-0005-0000-0000-000001000000}"/>
    <cellStyle name="Header: bottom row" xfId="4" xr:uid="{00000000-0005-0000-0000-000002000000}"/>
    <cellStyle name="Hyperlink" xfId="6" builtinId="8"/>
    <cellStyle name="Normal" xfId="0" builtinId="0"/>
    <cellStyle name="Normal 6" xfId="1" xr:uid="{00000000-0005-0000-0000-000005000000}"/>
    <cellStyle name="Table title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ea.nic.in/reports/committee/nep/nep_jan_2018.pdf" TargetMode="External"/><Relationship Id="rId1" Type="http://schemas.openxmlformats.org/officeDocument/2006/relationships/hyperlink" Target="http://shaktifoundation.in/wp-content/uploads/2017/06/Capacity-Value-of-Wind-in-India-Full-report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A30" sqref="A30"/>
    </sheetView>
  </sheetViews>
  <sheetFormatPr defaultRowHeight="14.25"/>
  <cols>
    <col min="1" max="1" width="9.28515625" customWidth="1"/>
    <col min="2" max="2" width="73.85546875" customWidth="1"/>
    <col min="5" max="5" width="58.7109375" customWidth="1"/>
    <col min="8" max="8" width="47.5703125" customWidth="1"/>
  </cols>
  <sheetData>
    <row r="1" spans="1:7">
      <c r="A1" s="1" t="s">
        <v>0</v>
      </c>
    </row>
    <row r="2" spans="1:7">
      <c r="G2" s="3"/>
    </row>
    <row r="3" spans="1:7">
      <c r="A3" s="1" t="s">
        <v>1</v>
      </c>
      <c r="B3" s="2" t="s">
        <v>2</v>
      </c>
      <c r="E3" s="2" t="s">
        <v>3</v>
      </c>
    </row>
    <row r="4" spans="1:7">
      <c r="B4" t="s">
        <v>4</v>
      </c>
      <c r="E4" t="s">
        <v>5</v>
      </c>
    </row>
    <row r="5" spans="1:7">
      <c r="B5" s="3">
        <v>2018</v>
      </c>
      <c r="E5" s="3">
        <v>2019</v>
      </c>
    </row>
    <row r="6" spans="1:7">
      <c r="B6" t="s">
        <v>6</v>
      </c>
      <c r="E6" t="s">
        <v>7</v>
      </c>
    </row>
    <row r="7" spans="1:7">
      <c r="B7" s="32" t="s">
        <v>8</v>
      </c>
      <c r="E7" t="s">
        <v>9</v>
      </c>
    </row>
    <row r="8" spans="1:7">
      <c r="B8" t="s">
        <v>10</v>
      </c>
      <c r="E8" t="s">
        <v>11</v>
      </c>
    </row>
    <row r="9" spans="1:7">
      <c r="E9" t="s">
        <v>12</v>
      </c>
    </row>
    <row r="10" spans="1:7">
      <c r="B10" s="2" t="s">
        <v>13</v>
      </c>
    </row>
    <row r="11" spans="1:7">
      <c r="B11" t="s">
        <v>14</v>
      </c>
    </row>
    <row r="12" spans="1:7">
      <c r="B12" s="3">
        <v>2017</v>
      </c>
    </row>
    <row r="13" spans="1:7">
      <c r="B13" t="s">
        <v>15</v>
      </c>
    </row>
    <row r="14" spans="1:7" ht="28.5">
      <c r="B14" s="31" t="s">
        <v>16</v>
      </c>
    </row>
    <row r="15" spans="1:7">
      <c r="B15" t="s">
        <v>17</v>
      </c>
    </row>
    <row r="17" spans="1:1">
      <c r="A17" s="1" t="s">
        <v>18</v>
      </c>
    </row>
    <row r="18" spans="1:1" ht="15">
      <c r="A18" t="s">
        <v>19</v>
      </c>
    </row>
    <row r="19" spans="1:1" ht="15">
      <c r="A19" t="s">
        <v>20</v>
      </c>
    </row>
    <row r="20" spans="1:1" ht="15"/>
    <row r="21" spans="1:1" ht="15"/>
    <row r="22" spans="1:1" ht="15"/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9" spans="1:1">
      <c r="A29" s="36" t="s">
        <v>26</v>
      </c>
    </row>
    <row r="30" spans="1:1">
      <c r="A30" t="s">
        <v>27</v>
      </c>
    </row>
  </sheetData>
  <hyperlinks>
    <hyperlink ref="B14" r:id="rId1" xr:uid="{00000000-0004-0000-0000-000000000000}"/>
    <hyperlink ref="B7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B11" sqref="B11"/>
    </sheetView>
  </sheetViews>
  <sheetFormatPr defaultRowHeight="14.25"/>
  <cols>
    <col min="1" max="1" width="80" bestFit="1" customWidth="1"/>
    <col min="2" max="2" width="31.5703125" bestFit="1" customWidth="1"/>
    <col min="3" max="3" width="17.7109375" bestFit="1" customWidth="1"/>
    <col min="4" max="4" width="26.42578125" bestFit="1" customWidth="1"/>
  </cols>
  <sheetData>
    <row r="1" spans="1:4">
      <c r="A1" s="5" t="s">
        <v>28</v>
      </c>
      <c r="B1" s="6"/>
      <c r="C1" s="6"/>
      <c r="D1" s="6"/>
    </row>
    <row r="2" spans="1:4">
      <c r="A2" s="7" t="s">
        <v>29</v>
      </c>
      <c r="B2" s="8" t="s">
        <v>30</v>
      </c>
      <c r="C2" s="8" t="s">
        <v>31</v>
      </c>
      <c r="D2" s="9" t="s">
        <v>32</v>
      </c>
    </row>
    <row r="3" spans="1:4">
      <c r="A3" s="10" t="s">
        <v>33</v>
      </c>
      <c r="B3" s="11">
        <v>14497</v>
      </c>
      <c r="C3" s="26">
        <v>0.255</v>
      </c>
      <c r="D3" s="12">
        <v>3697</v>
      </c>
    </row>
    <row r="4" spans="1:4">
      <c r="A4" s="13" t="s">
        <v>34</v>
      </c>
      <c r="B4" s="14">
        <v>35071</v>
      </c>
      <c r="C4" s="27">
        <v>0.29499999999999998</v>
      </c>
      <c r="D4" s="15">
        <v>10346</v>
      </c>
    </row>
    <row r="5" spans="1:4">
      <c r="A5" s="16" t="s">
        <v>35</v>
      </c>
      <c r="B5" s="17">
        <v>13593</v>
      </c>
      <c r="C5" s="28">
        <v>0.24</v>
      </c>
      <c r="D5" s="18">
        <v>3262</v>
      </c>
    </row>
    <row r="6" spans="1:4">
      <c r="A6" s="19" t="s">
        <v>36</v>
      </c>
      <c r="B6" s="20">
        <v>5961</v>
      </c>
      <c r="C6" s="29">
        <v>0.23</v>
      </c>
      <c r="D6" s="21">
        <v>1371</v>
      </c>
    </row>
    <row r="7" spans="1:4">
      <c r="A7" s="16" t="s">
        <v>37</v>
      </c>
      <c r="B7" s="17">
        <v>5050</v>
      </c>
      <c r="C7" s="28">
        <v>0.20499999999999999</v>
      </c>
      <c r="D7" s="18">
        <v>1035</v>
      </c>
    </row>
    <row r="8" spans="1:4">
      <c r="A8" s="19" t="s">
        <v>38</v>
      </c>
      <c r="B8" s="20">
        <v>14152</v>
      </c>
      <c r="C8" s="29">
        <v>0.23</v>
      </c>
      <c r="D8" s="21">
        <v>3255</v>
      </c>
    </row>
    <row r="9" spans="1:4">
      <c r="A9" s="16" t="s">
        <v>39</v>
      </c>
      <c r="B9" s="17">
        <v>14464</v>
      </c>
      <c r="C9" s="28">
        <v>0.24</v>
      </c>
      <c r="D9" s="18">
        <v>3471</v>
      </c>
    </row>
    <row r="10" spans="1:4">
      <c r="A10" s="22" t="s">
        <v>40</v>
      </c>
      <c r="B10" s="23">
        <v>102788</v>
      </c>
      <c r="C10" s="24"/>
      <c r="D10" s="25">
        <v>26438</v>
      </c>
    </row>
    <row r="11" spans="1:4">
      <c r="B11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C25"/>
  <sheetViews>
    <sheetView workbookViewId="0">
      <selection activeCell="B24" sqref="B24:B25"/>
    </sheetView>
  </sheetViews>
  <sheetFormatPr defaultRowHeight="14.25"/>
  <cols>
    <col min="1" max="1" width="24.28515625" customWidth="1"/>
    <col min="2" max="2" width="12" customWidth="1"/>
  </cols>
  <sheetData>
    <row r="1" spans="1:3" ht="30.75">
      <c r="A1" s="34" t="s">
        <v>41</v>
      </c>
      <c r="B1" s="33"/>
    </row>
    <row r="2" spans="1:3">
      <c r="A2" t="s">
        <v>42</v>
      </c>
      <c r="B2" s="4">
        <v>0.88</v>
      </c>
      <c r="C2" s="35"/>
    </row>
    <row r="3" spans="1:3">
      <c r="A3" t="s">
        <v>43</v>
      </c>
      <c r="B3" s="4">
        <v>0.9</v>
      </c>
      <c r="C3" s="35"/>
    </row>
    <row r="4" spans="1:3" ht="15">
      <c r="A4" t="s">
        <v>44</v>
      </c>
      <c r="B4" s="4">
        <v>0.9</v>
      </c>
      <c r="C4" s="35"/>
    </row>
    <row r="5" spans="1:3">
      <c r="A5" t="s">
        <v>45</v>
      </c>
      <c r="B5" s="4">
        <v>0.68</v>
      </c>
      <c r="C5" s="35"/>
    </row>
    <row r="6" spans="1:3">
      <c r="A6" t="s">
        <v>46</v>
      </c>
      <c r="B6" s="4">
        <v>0.875</v>
      </c>
      <c r="C6" s="35"/>
    </row>
    <row r="7" spans="1:3">
      <c r="A7" t="s">
        <v>47</v>
      </c>
      <c r="B7" s="4">
        <f>SUMPRODUCT(Wind!C3:C9,Wind!B3:B9)/Wind!B10</f>
        <v>0.25720512122037592</v>
      </c>
      <c r="C7" s="35"/>
    </row>
    <row r="8" spans="1:3">
      <c r="A8" t="s">
        <v>48</v>
      </c>
      <c r="B8" s="4">
        <v>0</v>
      </c>
      <c r="C8" s="35"/>
    </row>
    <row r="9" spans="1:3">
      <c r="A9" t="s">
        <v>49</v>
      </c>
      <c r="B9" s="30">
        <f>B14</f>
        <v>0.8</v>
      </c>
      <c r="C9" s="35"/>
    </row>
    <row r="10" spans="1:3">
      <c r="A10" t="s">
        <v>50</v>
      </c>
      <c r="B10" s="4">
        <v>0.3</v>
      </c>
      <c r="C10" s="35"/>
    </row>
    <row r="11" spans="1:3">
      <c r="A11" t="s">
        <v>51</v>
      </c>
      <c r="B11" s="30">
        <v>1</v>
      </c>
      <c r="C11" s="35"/>
    </row>
    <row r="12" spans="1:3">
      <c r="A12" t="s">
        <v>52</v>
      </c>
      <c r="B12" s="4">
        <v>1</v>
      </c>
      <c r="C12" s="35"/>
    </row>
    <row r="13" spans="1:3">
      <c r="A13" t="s">
        <v>53</v>
      </c>
      <c r="B13" s="4">
        <v>1</v>
      </c>
      <c r="C13" s="35"/>
    </row>
    <row r="14" spans="1:3">
      <c r="A14" t="s">
        <v>54</v>
      </c>
      <c r="B14" s="4">
        <v>0.8</v>
      </c>
      <c r="C14" s="35"/>
    </row>
    <row r="15" spans="1:3">
      <c r="A15" t="s">
        <v>55</v>
      </c>
      <c r="B15" s="4">
        <f>B7</f>
        <v>0.25720512122037592</v>
      </c>
      <c r="C15" s="35"/>
    </row>
    <row r="16" spans="1:3">
      <c r="A16" t="s">
        <v>56</v>
      </c>
      <c r="B16" s="4">
        <f>B12</f>
        <v>1</v>
      </c>
      <c r="C16" s="35"/>
    </row>
    <row r="17" spans="1:3">
      <c r="A17" t="s">
        <v>57</v>
      </c>
      <c r="B17" s="4">
        <f>B12</f>
        <v>1</v>
      </c>
      <c r="C17" s="35"/>
    </row>
    <row r="18" spans="1:3">
      <c r="A18" t="s">
        <v>58</v>
      </c>
      <c r="B18" s="4">
        <f>B10</f>
        <v>0.3</v>
      </c>
      <c r="C18" s="35"/>
    </row>
    <row r="19" spans="1:3" ht="15">
      <c r="A19" t="s">
        <v>59</v>
      </c>
      <c r="B19" s="4">
        <v>0.88</v>
      </c>
    </row>
    <row r="20" spans="1:3" ht="15">
      <c r="A20" t="s">
        <v>60</v>
      </c>
      <c r="B20" s="4">
        <v>0.9</v>
      </c>
    </row>
    <row r="21" spans="1:3" ht="15">
      <c r="A21" t="s">
        <v>61</v>
      </c>
      <c r="B21" s="4">
        <v>0.3</v>
      </c>
    </row>
    <row r="22" spans="1:3" ht="15">
      <c r="A22" t="s">
        <v>62</v>
      </c>
      <c r="B22" s="4">
        <v>0.8</v>
      </c>
    </row>
    <row r="23" spans="1:3" ht="15">
      <c r="A23" t="s">
        <v>63</v>
      </c>
      <c r="B23" s="4">
        <v>0.68</v>
      </c>
    </row>
    <row r="24" spans="1:3" ht="15">
      <c r="A24" t="s">
        <v>64</v>
      </c>
      <c r="B24" s="4">
        <v>0.9</v>
      </c>
    </row>
    <row r="25" spans="1:3" ht="15">
      <c r="A25" t="s">
        <v>65</v>
      </c>
      <c r="B25" s="4">
        <v>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08091D-B041-45EA-9FE5-06B1B8170A8E}"/>
</file>

<file path=customXml/itemProps2.xml><?xml version="1.0" encoding="utf-8"?>
<ds:datastoreItem xmlns:ds="http://schemas.openxmlformats.org/officeDocument/2006/customXml" ds:itemID="{3EEA614A-A646-4E3A-A502-562762BA10AE}"/>
</file>

<file path=customXml/itemProps3.xml><?xml version="1.0" encoding="utf-8"?>
<ds:datastoreItem xmlns:ds="http://schemas.openxmlformats.org/officeDocument/2006/customXml" ds:itemID="{4EACCBF3-FD12-43DE-8675-EB856B7BEF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Devadathan Biju</cp:lastModifiedBy>
  <cp:revision/>
  <dcterms:created xsi:type="dcterms:W3CDTF">2016-03-03T23:11:17Z</dcterms:created>
  <dcterms:modified xsi:type="dcterms:W3CDTF">2024-07-04T10:06:48Z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