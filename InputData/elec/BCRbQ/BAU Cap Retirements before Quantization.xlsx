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varun_agarwal_wri_org/Documents/EPS India 2.0/EPS 2023/EPS India Update-2023-24/Final US 4.0 InputData/elec/BCRbQ/"/>
    </mc:Choice>
  </mc:AlternateContent>
  <xr:revisionPtr revIDLastSave="533" documentId="11_0B1D56BE9CDCCE836B02CE7A5FB0D4A9BBFD1C62" xr6:coauthVersionLast="47" xr6:coauthVersionMax="47" xr10:uidLastSave="{6D0ECD01-5287-4B7F-9026-9603DBCFC1A8}"/>
  <bookViews>
    <workbookView xWindow="-110" yWindow="-110" windowWidth="19420" windowHeight="10420" firstSheet="4" xr2:uid="{00000000-000D-0000-FFFF-FFFF00000000}"/>
  </bookViews>
  <sheets>
    <sheet name="About" sheetId="1" r:id="rId1"/>
    <sheet name="CEA Annual Review Report" sheetId="4" r:id="rId2"/>
    <sheet name="CEA Monthly Reports Raw Data" sheetId="3" r:id="rId3"/>
    <sheet name="CEA monthly calcs" sheetId="5" r:id="rId4"/>
    <sheet name="CEA Ret. Schedule" sheetId="7" r:id="rId5"/>
    <sheet name="BCRbQ" sheetId="2" r:id="rId6"/>
  </sheets>
  <definedNames>
    <definedName name="ExternalData_1" localSheetId="4" hidden="1">'CEA Ret. Schedule'!#REF!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7" l="1"/>
  <c r="F19" i="7" s="1"/>
  <c r="F20" i="7" s="1"/>
  <c r="B2" i="2"/>
  <c r="B21" i="5"/>
  <c r="H2" i="5"/>
  <c r="C2" i="2" s="1"/>
  <c r="B22" i="5"/>
  <c r="G4" i="5"/>
  <c r="G3" i="5"/>
  <c r="G5" i="5" s="1"/>
  <c r="B20" i="5"/>
  <c r="H4" i="5"/>
  <c r="H3" i="5"/>
  <c r="H5" i="5" s="1"/>
  <c r="B17" i="5"/>
  <c r="D33" i="3"/>
  <c r="F2" i="2" l="1"/>
  <c r="G2" i="2"/>
  <c r="H2" i="2"/>
  <c r="I2" i="2"/>
  <c r="J2" i="2"/>
  <c r="K2" i="2"/>
  <c r="L2" i="2"/>
  <c r="E2" i="2"/>
  <c r="I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75EE0-A461-4D59-AC4F-EB1285E4BC2E}" keepAlive="1" name="Query - Table193 (Page 157)" description="Connection to the 'Table193 (Page 157)' query in the workbook." type="5" refreshedVersion="8" background="1" saveData="1">
    <dbPr connection="Provider=Microsoft.Mashup.OleDb.1;Data Source=$Workbook$;Location=&quot;Table193 (Page 157)&quot;;Extended Properties=&quot;&quot;" command="SELECT * FROM [Table193 (Page 157)]"/>
  </connection>
</connections>
</file>

<file path=xl/sharedStrings.xml><?xml version="1.0" encoding="utf-8"?>
<sst xmlns="http://schemas.openxmlformats.org/spreadsheetml/2006/main" count="295" uniqueCount="190">
  <si>
    <t>BCRbQ BAU Capacity Retirements before Quantization</t>
  </si>
  <si>
    <t>Sources:</t>
  </si>
  <si>
    <t>Projected Retirements</t>
  </si>
  <si>
    <t>CEA</t>
  </si>
  <si>
    <t xml:space="preserve">National Electricity Plan - Generation </t>
  </si>
  <si>
    <t>NEP_2022_32_FINAL_GAZETTE-1.pdf (cea.nic.in)</t>
  </si>
  <si>
    <t>Data on schedules capacity retirements for coal based power plants between 2022-2031</t>
  </si>
  <si>
    <t>Annexure 5.2 - List of LIST OF COAL BASED PLANTS FOR LIKELY RETIREMENT DURING 2022-32</t>
  </si>
  <si>
    <t>Historical Retirements</t>
  </si>
  <si>
    <t>2021-2024</t>
  </si>
  <si>
    <t>Monthly Installed Capacity Report - jan 2021 - Feb 2024</t>
  </si>
  <si>
    <t>Installed Capacity Report - Central Electricity Authority (cea.nic.in)</t>
  </si>
  <si>
    <t xml:space="preserve">Section B in each of the monthly reports </t>
  </si>
  <si>
    <t>Historical 'Other' Changes in Capacity</t>
  </si>
  <si>
    <t>Annual Report</t>
  </si>
  <si>
    <t>Approved_CEA_Annual_Report_2022_23.pdf</t>
  </si>
  <si>
    <t>Notes</t>
  </si>
  <si>
    <t>This variable represents BAU planned capacity retirements and expected capacity</t>
  </si>
  <si>
    <t>retirements planned in CEA's National Electricity Plan, 2023</t>
  </si>
  <si>
    <t>It does not represent any other projected economic retirements.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</si>
  <si>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</si>
  <si>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</si>
  <si>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</si>
  <si>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</si>
  <si>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</si>
  <si>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</si>
  <si>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</si>
  <si>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 xml:space="preserve"> Month - Year</t>
  </si>
  <si>
    <t>Capacity Added/Uprated</t>
  </si>
  <si>
    <t>Capacity Retired/Converted from IPP to CPP</t>
  </si>
  <si>
    <t>Total Retired (in MW)</t>
  </si>
  <si>
    <t>Source</t>
  </si>
  <si>
    <t>Action</t>
  </si>
  <si>
    <t>Type</t>
  </si>
  <si>
    <t>Unit-1,2&amp;3 (37*3=111 MW) of SAWRA KUDDU HPS has been commissioned and added to state sector of Himachal Pradesh.</t>
  </si>
  <si>
    <t>Unit-1&amp;2 (2x120 = 240 MW) of KORBA-III has been retired from state sector of Chhattisgarh</t>
  </si>
  <si>
    <t xml:space="preserve"> coal</t>
  </si>
  <si>
    <t>retired</t>
  </si>
  <si>
    <t>2. Unit-2 (660 MW) of MEJA STPP has been commissioned and added to central sector of NR states as per their allocation</t>
  </si>
  <si>
    <t>Unit-1&amp;2 (2x70 = 140 MW) of KUTCH LIG. TPS has been retired from state sector of Gujarat</t>
  </si>
  <si>
    <t>lignite</t>
  </si>
  <si>
    <t>3. Unit-3 (150 MW) of KAMENG HPS has been commissioned and added to central sector of NER, NR &amp; WR states as per their allocation</t>
  </si>
  <si>
    <t>1. Unit-2 (800 MW) of GADARWARA TPP has been commissioned and added to central sector of WR states as per their allocation.</t>
  </si>
  <si>
    <t>2. Unit-2 (500 MW) of NEYVELI NEW TPP has been commissioned and added to central sector of SR states as per their allocation</t>
  </si>
  <si>
    <t>3. Unit-4 (150 MW) of KAMENG HPS has been commissioned and added to central sector of NER, NR &amp; WR states as per their allocation</t>
  </si>
  <si>
    <t>1. Unit-1,2&amp;3 (2*5 + 1*6.5 = 16.5 MW) of BARAMURA GT has been retired from state sector of Tripura.</t>
  </si>
  <si>
    <t>Gas</t>
  </si>
  <si>
    <t>gas turbine</t>
  </si>
  <si>
    <t>2. Unit-1&amp;2 (2x8 = 16 MW) of ROKHIA GT has been retired from state sector of Tripura.</t>
  </si>
  <si>
    <t>1. Unit-1&amp;2 (56.5*2 = 113 MW) of RONGNICHU HPS has been commissioned and added to private sector of Sikkim.</t>
  </si>
  <si>
    <t>1. Unit-3 (210 MW) of BOKARO `B` TPS has been retired from central sector of Eastern Region w.e.f. 01.04.2021</t>
  </si>
  <si>
    <t>Coal</t>
  </si>
  <si>
    <t>2. Unit-1 to 6 (4*60 MW + 2*110 MW = 460 MW) of TALCHER (OLD) TPS has been retired from central sector of Eastern Region w.e.f. 01.04.2021</t>
  </si>
  <si>
    <t>. Unit-2 (800 MW) of DARLIPALI STPS has been commissioned and added to central sector of ER &amp; WR states as per their allocation.</t>
  </si>
  <si>
    <t>1. KARCHAM WANGTOO HPS uprated from 1000 MW (4x250 MW) to 1045 MW (4x261.25 MW)</t>
  </si>
  <si>
    <t>. U1,2&amp;3 of KALINADI HPS have been uprated from 135 MW to 150 MW each</t>
  </si>
  <si>
    <t>1. STERLITE TPP U-1 (600 MW) has been converted from IPP to CPP.</t>
  </si>
  <si>
    <t>conversion</t>
  </si>
  <si>
    <t>1. Unit-1&amp;2 (2x50 = 100 MW) of SORANG HPS has been commissioned and added to private sector of Himachal Pradesh.</t>
  </si>
  <si>
    <t>. Unit-7 (210 MW) of KORADI TPS has been retired from state sector of Maharashtra.</t>
  </si>
  <si>
    <t>2. Unit-1,2,3 (3x3 = 9 MW) of Adamtilla CCPP has been retired from private sector of Assam.</t>
  </si>
  <si>
    <t>ccpp</t>
  </si>
  <si>
    <t>3. Unit-1,2,3,4 (3x3.5+1x5 = 15.5 MW) of Baskhandi CCPP has been retired from private sector of Assam.</t>
  </si>
  <si>
    <t>1. Unit-8 (660 MW) of SURATGARH TPS has been commissioned and added to state sector of Rajasthan.</t>
  </si>
  <si>
    <t>1. JSW RATNAGIRI TPP U-2,3&amp;4 (3*300=900 MW) are being used as CPP by JSW ENERGY LTD.</t>
  </si>
  <si>
    <t>coal</t>
  </si>
  <si>
    <t>ipp to cpp</t>
  </si>
  <si>
    <t>2. Unit-1 (660 MW) of BARH I has been commissioned and added to central sector of ER states as per their allocation.</t>
  </si>
  <si>
    <t>1. Unit 4 (250 MW) of NABI NAGAR TPP has been commissioned and share has been added to the central sector of beneficiary states of ER.</t>
  </si>
  <si>
    <t>1. Unit-1 (525 MW) of TUTICORIN TPP ST-IV has been commissioned and added to private sector of Tamilnadu.</t>
  </si>
  <si>
    <t>Capacity additions present</t>
  </si>
  <si>
    <t>1. Unit-1,2 (2x110 = 220 MW) of MUZAFFARPUR TPS has been retired from state sector of Bihar.</t>
  </si>
  <si>
    <t>1. HIRAKUD HPS U-5 &amp; 6 uprated from 37.5 MW to 43.65 MW each.</t>
  </si>
  <si>
    <t>. Unit-3 (660 MW) of NABINAGAR STPP has been commissioned and added to central sector of ER &amp; NR states as per their allocation.</t>
  </si>
  <si>
    <t>1. Unit-1 (60 MW) of BANDEL TPS has been retired from state sector of West Bengal.</t>
  </si>
  <si>
    <t>2. Unit-1,2&amp;3 (3x60 = 180 MW) of BAJOLI HOLI HPS has been commissioned and added to private sector of Himachal Pradesh.</t>
  </si>
  <si>
    <t>2. Unit-1&amp;2 (2x210 = 420 MW) of KOLAGHAT TPS has been retired from state sector of West Bengal</t>
  </si>
  <si>
    <t>. BHAKRA LEFT HPS U-3 uprated from 108 MW to 126 MW.</t>
  </si>
  <si>
    <t>NULL</t>
  </si>
  <si>
    <t>Unit-1 (20 MW) of SILIGURI GPS has been removed from State sector of West Bengal.</t>
  </si>
  <si>
    <t>removed</t>
  </si>
  <si>
    <t>Unit-1 &amp; 2 (2x60 MW) Vyasi HPS has been commissioned and added in state sector of Uttarakhand</t>
  </si>
  <si>
    <t>Namrup CCGT Unit-2,3&amp; 6 (21+21+22=64 MW) of APGCL has been derated to (17+ 15+9=41 MW).</t>
  </si>
  <si>
    <t>derated</t>
  </si>
  <si>
    <t>CCGT</t>
  </si>
  <si>
    <t>Unit-1,2 &amp; 3 (3x15=45 MW) of Nariamangalam HE Project has been uprated to (3x17.55=52.65 MW)</t>
  </si>
  <si>
    <t>none</t>
  </si>
  <si>
    <t xml:space="preserve">Revised Diesel based Capacity of A&amp;N Islands is 92.71 MW in place of earlier 40.05 MW </t>
  </si>
  <si>
    <t>Obra TPS Unit-7 (94 MW) of UPRVUNL has been retired and removed from state installed capacity of UP</t>
  </si>
  <si>
    <t>Revised Diesel based capacity of Lakshdweep Islands is 26.83 MW as received from Electricity Department of Lakshadweep</t>
  </si>
  <si>
    <t>Durgapur TPS U-4 (210 MW) of Damodar Valley Corporation has been retired and removed from the capacity of Central sector.</t>
  </si>
  <si>
    <t>retired/removed</t>
  </si>
  <si>
    <t>Unit-1 (660 MW) of North Karanpura STPP, NTPC has been commissioned on 18.01.2023 and capacity added in central sector installed capacity.</t>
  </si>
  <si>
    <t>None</t>
  </si>
  <si>
    <t>1. Unit-3 (800 MW) of DAMODARAM SANJEEVAIAH TPS has been commissioned and added to state sector of Andhra Pradesh.</t>
  </si>
  <si>
    <t>1. Unit-3 (700 MW) of KAKRAPARA APS has been commissioned and added to central sector of WR states as per their allocation.</t>
  </si>
  <si>
    <t>2. Unit-2 (660 MW) of BARH I has been commissioned and added to central sector of ER, SR &amp; WR states as per their allocation.</t>
  </si>
  <si>
    <t>1. KASHIPUR CCPP Ph-II (214 MW) has been commissioned in June-2023 but information received in July-2023, added to private sector of Uttarakhand.</t>
  </si>
  <si>
    <t>1. SHREE CEMENT LTD TPS (2x150 MW) was commissioned in FY 2011-12 but information received in August-2023, added to private sector of Rajasthan.</t>
  </si>
  <si>
    <t>1. Unit-1 (800 MW) of TELANGANA STPP has been commissioned and added to central sector of SR states as per their allocation</t>
  </si>
  <si>
    <t>Anuppur TPP (2x600 MW = 1200 MW) has been up-rated to 1250 MW (2x625 MW)</t>
  </si>
  <si>
    <t>Unit no. 1 &amp; 2 of Parichha TPS, UPRVUNL of 110 MW capacity each has been retired on 11.10.2023 from CEA records.</t>
  </si>
  <si>
    <t>Thermal-950 MW
Large Hydro-30 MW</t>
  </si>
  <si>
    <t>Thermal-414 MW
Large Hydro-18 MW</t>
  </si>
  <si>
    <t>Thermal - 2780</t>
  </si>
  <si>
    <t>Year</t>
  </si>
  <si>
    <t>Reduction (in MW)</t>
  </si>
  <si>
    <t>Retirements</t>
  </si>
  <si>
    <t xml:space="preserve"> Coal</t>
  </si>
  <si>
    <t>Lignite</t>
  </si>
  <si>
    <t>Check</t>
  </si>
  <si>
    <t>Total retired</t>
  </si>
  <si>
    <t>S.NO</t>
  </si>
  <si>
    <t>NAME OF PROJECT</t>
  </si>
  <si>
    <t>STATE</t>
  </si>
  <si>
    <t>SECTOR</t>
  </si>
  <si>
    <t>ORGANISATION</t>
  </si>
  <si>
    <t>TOTAL
CAPACITY
(MW)</t>
  </si>
  <si>
    <t>BARAUNI TPS U6,7</t>
  </si>
  <si>
    <t>BIHAR</t>
  </si>
  <si>
    <t>CENTRAL
SECTOR</t>
  </si>
  <si>
    <t>NTPC</t>
  </si>
  <si>
    <t>2*105=210</t>
  </si>
  <si>
    <t>TANDA TPS U1-4</t>
  </si>
  <si>
    <t>UTTAR
PRADESH</t>
  </si>
  <si>
    <t>4*110=440</t>
  </si>
  <si>
    <t>DURGAPUR TPS UNIT 4*</t>
  </si>
  <si>
    <t>WEST BENGAL</t>
  </si>
  <si>
    <t>DVC</t>
  </si>
  <si>
    <t>210</t>
  </si>
  <si>
    <t>RAMAGUNDEM-B TPS U2</t>
  </si>
  <si>
    <t>TELANGANA</t>
  </si>
  <si>
    <t>STATE SECTOR</t>
  </si>
  <si>
    <t>TSGENCO</t>
  </si>
  <si>
    <t>62.5</t>
  </si>
  <si>
    <t>OBRA TPS*</t>
  </si>
  <si>
    <t>UTTAR
PARDESH</t>
  </si>
  <si>
    <t>UPRVUNL</t>
  </si>
  <si>
    <t>94</t>
  </si>
  <si>
    <t>BANDEL U2</t>
  </si>
  <si>
    <t>WBPDC</t>
  </si>
  <si>
    <t>1*60=60</t>
  </si>
  <si>
    <t>PARICHHA TPS UNIT 1,2</t>
  </si>
  <si>
    <t>2*110=220</t>
  </si>
  <si>
    <t>KOTA TPS UNIT 1-2</t>
  </si>
  <si>
    <t>RAJASTHAN</t>
  </si>
  <si>
    <t>RRVUNL</t>
  </si>
  <si>
    <t>HARDUAGANJ TPS UNIT 7</t>
  </si>
  <si>
    <t>110</t>
  </si>
  <si>
    <t>GEPL TPP PH-I UNIT 1,2</t>
  </si>
  <si>
    <t>MAHARASHTRA</t>
  </si>
  <si>
    <t>PRIVATE
SECTOR</t>
  </si>
  <si>
    <t>GEPL</t>
  </si>
  <si>
    <t>2*60=120</t>
  </si>
  <si>
    <t>SALORA TPP U1</t>
  </si>
  <si>
    <t>CHHATTISGARH</t>
  </si>
  <si>
    <t>VVL</t>
  </si>
  <si>
    <t>135</t>
  </si>
  <si>
    <t>TITAGARH TPS UNIT 1-4</t>
  </si>
  <si>
    <t>CESC</t>
  </si>
  <si>
    <t>4*60=240</t>
  </si>
  <si>
    <t>TOTAL</t>
  </si>
  <si>
    <t>2121.5</t>
  </si>
  <si>
    <t xml:space="preserve">Coal plants that have already been retired as a part of this schedule </t>
  </si>
  <si>
    <t>Capacity to be reitred over the span of the next 8 years 2024-2025 - 2031-2032</t>
  </si>
  <si>
    <t>Yearly coal capacity targeted</t>
  </si>
  <si>
    <t>BAU Capacity Retirements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</si>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</sst>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7" fontId="0" fillId="0" borderId="1" xfId="0" applyNumberFormat="1" applyBorder="1" applyAlignment="1">
      <alignment wrapText="1"/>
    </xf>
    <xf numFmtId="17" fontId="0" fillId="0" borderId="0" xfId="0" applyNumberFormat="1" applyAlignment="1">
      <alignment wrapText="1"/>
    </xf>
    <xf numFmtId="0" fontId="4" fillId="0" borderId="1" xfId="0" applyFont="1" applyBorder="1" applyAlignment="1">
      <alignment wrapText="1"/>
    </xf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0" fontId="1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0" xfId="0" applyAlignment="1">
      <alignment horizontal="left"/>
    </xf>
    <xf numFmtId="0" fontId="5" fillId="0" borderId="0" xfId="1"/>
    <xf numFmtId="49" fontId="0" fillId="0" borderId="0" xfId="0" applyNumberForma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219075</xdr:colOff>
      <xdr:row>25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0024C-3E83-2C57-FE18-BCCB43C79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72675" cy="492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ea.nic.in/wp-content/uploads/annual_reports/2023/Approved_CEA_Annual_Report_2022_23.pdf" TargetMode="External"/><Relationship Id="rId2" Type="http://schemas.openxmlformats.org/officeDocument/2006/relationships/hyperlink" Target="https://cea.nic.in/installed-capacity-report/?lang=en" TargetMode="External"/><Relationship Id="rId1" Type="http://schemas.openxmlformats.org/officeDocument/2006/relationships/hyperlink" Target="https://cea.nic.in/wp-content/uploads/irp/2023/05/NEP_2022_32_FINAL_GAZETTE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33" sqref="B33"/>
    </sheetView>
  </sheetViews>
  <sheetFormatPr defaultRowHeight="14.45"/>
  <cols>
    <col min="1" max="1" width="16" customWidth="1"/>
    <col min="2" max="2" width="55.5703125" customWidth="1"/>
  </cols>
  <sheetData>
    <row r="1" spans="1:2" ht="15">
      <c r="A1" s="17" t="s">
        <v>0</v>
      </c>
    </row>
    <row r="3" spans="1:2" ht="15">
      <c r="A3" s="17" t="s">
        <v>1</v>
      </c>
      <c r="B3" s="18" t="s">
        <v>2</v>
      </c>
    </row>
    <row r="4" spans="1:2" ht="15">
      <c r="B4" t="s">
        <v>3</v>
      </c>
    </row>
    <row r="5" spans="1:2" ht="15">
      <c r="B5" s="19">
        <v>2023</v>
      </c>
    </row>
    <row r="6" spans="1:2" ht="15">
      <c r="B6" s="22" t="s">
        <v>4</v>
      </c>
    </row>
    <row r="7" spans="1:2" ht="15">
      <c r="B7" s="20" t="s">
        <v>5</v>
      </c>
    </row>
    <row r="8" spans="1:2" ht="15">
      <c r="B8" t="s">
        <v>6</v>
      </c>
    </row>
    <row r="9" spans="1:2" ht="15">
      <c r="B9" t="s">
        <v>7</v>
      </c>
    </row>
    <row r="10" spans="1:2" ht="15">
      <c r="B10" s="18" t="s">
        <v>8</v>
      </c>
    </row>
    <row r="11" spans="1:2" ht="15">
      <c r="B11" t="s">
        <v>3</v>
      </c>
    </row>
    <row r="12" spans="1:2" ht="15">
      <c r="B12" s="21" t="s">
        <v>9</v>
      </c>
    </row>
    <row r="13" spans="1:2" ht="15">
      <c r="B13" t="s">
        <v>10</v>
      </c>
    </row>
    <row r="14" spans="1:2" ht="15">
      <c r="B14" s="20" t="s">
        <v>11</v>
      </c>
    </row>
    <row r="15" spans="1:2" ht="15">
      <c r="B15" t="s">
        <v>12</v>
      </c>
    </row>
    <row r="16" spans="1:2" ht="15">
      <c r="B16" s="18" t="s">
        <v>13</v>
      </c>
    </row>
    <row r="17" spans="1:2" ht="15">
      <c r="B17" t="s">
        <v>3</v>
      </c>
    </row>
    <row r="18" spans="1:2" ht="15">
      <c r="B18" s="19">
        <v>2023</v>
      </c>
    </row>
    <row r="19" spans="1:2" ht="15">
      <c r="B19" t="s">
        <v>14</v>
      </c>
    </row>
    <row r="20" spans="1:2" ht="15">
      <c r="B20" s="20" t="s">
        <v>15</v>
      </c>
    </row>
    <row r="21" spans="1:2" ht="15"/>
    <row r="22" spans="1:2" ht="15">
      <c r="A22" s="17" t="s">
        <v>16</v>
      </c>
    </row>
    <row r="23" spans="1:2" ht="15">
      <c r="A23" t="s">
        <v>17</v>
      </c>
    </row>
    <row r="24" spans="1:2" ht="15">
      <c r="A24" t="s">
        <v>18</v>
      </c>
    </row>
    <row r="25" spans="1:2" ht="15">
      <c r="A25" s="17" t="s">
        <v>19</v>
      </c>
    </row>
    <row r="26" spans="1:2" ht="15"/>
    <row r="27" spans="1:2" ht="15">
      <c r="A27" s="17" t="s">
        <v>20</v>
      </c>
    </row>
    <row r="28" spans="1:2" ht="15">
      <c r="A28" t="s">
        <v>21</v>
      </c>
    </row>
    <row r="29" spans="1:2" ht="15">
      <c r="A29" t="s">
        <v>22</v>
      </c>
    </row>
    <row r="30" spans="1:2" ht="15">
      <c r="A30" t="s">
        <v>23</v>
      </c>
    </row>
    <row r="31" spans="1:2" ht="15">
      <c r="A31" t="s">
        <v>24</v>
      </c>
    </row>
    <row r="32" spans="1:2" ht="15">
      <c r="A32" t="s">
        <v>25</v>
      </c>
    </row>
    <row r="33" spans="1:1" ht="15">
      <c r="A33" t="s">
        <v>26</v>
      </c>
    </row>
  </sheetData>
  <hyperlinks>
    <hyperlink ref="B7" r:id="rId1" xr:uid="{66114928-E33F-4AF3-B934-A8695EADD7AD}"/>
    <hyperlink ref="B14" r:id="rId2" xr:uid="{DEA67754-EBB7-41F2-B374-53FDDBC9CA71}"/>
    <hyperlink ref="B20" r:id="rId3" xr:uid="{43E7AFD9-86BF-4B56-A129-00865E46A7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7AA1-9578-4DFA-9D57-E139B69B21B0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A4E1-DEB8-4E91-94F7-01DD4F515FFD}">
  <dimension ref="A1:G80"/>
  <sheetViews>
    <sheetView topLeftCell="A39" workbookViewId="0">
      <selection activeCell="B55" sqref="B55"/>
    </sheetView>
  </sheetViews>
  <sheetFormatPr defaultColWidth="9.140625" defaultRowHeight="14.45"/>
  <cols>
    <col min="1" max="1" width="12" style="1" customWidth="1"/>
    <col min="2" max="2" width="52.85546875" style="1" customWidth="1"/>
    <col min="3" max="3" width="50.42578125" style="1" customWidth="1"/>
    <col min="4" max="4" width="24" style="1" customWidth="1"/>
    <col min="5" max="5" width="8.42578125" style="1" customWidth="1"/>
    <col min="6" max="16384" width="9.140625" style="1"/>
  </cols>
  <sheetData>
    <row r="1" spans="1:7">
      <c r="A1" s="7" t="s">
        <v>27</v>
      </c>
      <c r="B1" s="7" t="s">
        <v>28</v>
      </c>
      <c r="C1" s="7" t="s">
        <v>29</v>
      </c>
      <c r="D1" s="7" t="s">
        <v>30</v>
      </c>
      <c r="E1" s="8" t="s">
        <v>31</v>
      </c>
      <c r="F1" s="7" t="s">
        <v>32</v>
      </c>
      <c r="G1" s="7" t="s">
        <v>33</v>
      </c>
    </row>
    <row r="2" spans="1:7" ht="30" customHeight="1">
      <c r="A2" s="9">
        <v>44197</v>
      </c>
      <c r="B2" s="6" t="s">
        <v>34</v>
      </c>
      <c r="C2" s="6" t="s">
        <v>35</v>
      </c>
      <c r="D2" s="6">
        <v>240</v>
      </c>
      <c r="E2" s="6" t="s">
        <v>36</v>
      </c>
      <c r="F2" s="6" t="s">
        <v>37</v>
      </c>
      <c r="G2" s="6"/>
    </row>
    <row r="3" spans="1:7" ht="29.1">
      <c r="A3" s="6"/>
      <c r="B3" s="6" t="s">
        <v>38</v>
      </c>
      <c r="C3" s="6" t="s">
        <v>39</v>
      </c>
      <c r="D3" s="6">
        <v>140</v>
      </c>
      <c r="E3" s="6" t="s">
        <v>40</v>
      </c>
      <c r="F3" s="6" t="s">
        <v>37</v>
      </c>
      <c r="G3" s="6"/>
    </row>
    <row r="4" spans="1:7" ht="43.5">
      <c r="A4" s="6"/>
      <c r="B4" s="6" t="s">
        <v>41</v>
      </c>
      <c r="C4" s="6"/>
      <c r="D4" s="6"/>
      <c r="E4" s="6"/>
      <c r="F4" s="6"/>
      <c r="G4" s="6"/>
    </row>
    <row r="5" spans="1:7" ht="43.5">
      <c r="A5" s="9">
        <v>44228</v>
      </c>
      <c r="B5" s="6" t="s">
        <v>42</v>
      </c>
      <c r="C5" s="6"/>
      <c r="D5" s="6"/>
      <c r="E5" s="6"/>
      <c r="F5" s="6"/>
      <c r="G5" s="6"/>
    </row>
    <row r="6" spans="1:7" ht="43.5">
      <c r="A6" s="6"/>
      <c r="B6" s="6" t="s">
        <v>43</v>
      </c>
      <c r="C6" s="6"/>
      <c r="D6" s="6"/>
      <c r="E6" s="6"/>
      <c r="F6" s="6"/>
      <c r="G6" s="6"/>
    </row>
    <row r="7" spans="1:7" ht="43.5">
      <c r="A7" s="6"/>
      <c r="B7" s="6" t="s">
        <v>44</v>
      </c>
      <c r="C7" s="6"/>
      <c r="D7" s="6"/>
      <c r="E7" s="6"/>
      <c r="F7" s="6"/>
      <c r="G7" s="6"/>
    </row>
    <row r="8" spans="1:7" ht="29.1">
      <c r="A8" s="9">
        <v>44256</v>
      </c>
      <c r="B8" s="6"/>
      <c r="C8" s="6" t="s">
        <v>45</v>
      </c>
      <c r="D8" s="6">
        <v>16.5</v>
      </c>
      <c r="E8" s="6" t="s">
        <v>46</v>
      </c>
      <c r="F8" s="6" t="s">
        <v>37</v>
      </c>
      <c r="G8" s="6" t="s">
        <v>47</v>
      </c>
    </row>
    <row r="9" spans="1:7" ht="29.1">
      <c r="A9" s="6"/>
      <c r="B9" s="6"/>
      <c r="C9" s="6" t="s">
        <v>48</v>
      </c>
      <c r="D9" s="6">
        <v>16</v>
      </c>
      <c r="E9" s="6" t="s">
        <v>46</v>
      </c>
      <c r="F9" s="6" t="s">
        <v>37</v>
      </c>
      <c r="G9" s="6" t="s">
        <v>47</v>
      </c>
    </row>
    <row r="10" spans="1:7">
      <c r="A10" s="9"/>
      <c r="B10" s="6"/>
      <c r="C10" s="6"/>
      <c r="D10" s="6"/>
      <c r="E10" s="6"/>
      <c r="F10" s="6"/>
      <c r="G10" s="6"/>
    </row>
    <row r="11" spans="1:7">
      <c r="A11" s="9">
        <v>44287</v>
      </c>
      <c r="B11" s="6">
        <v>0</v>
      </c>
      <c r="C11" s="6">
        <v>0</v>
      </c>
      <c r="D11" s="6"/>
      <c r="E11" s="6"/>
      <c r="F11" s="6"/>
      <c r="G11" s="6"/>
    </row>
    <row r="12" spans="1:7">
      <c r="A12" s="9">
        <v>44317</v>
      </c>
      <c r="B12" s="6">
        <v>0</v>
      </c>
      <c r="C12" s="6">
        <v>0</v>
      </c>
      <c r="D12" s="6"/>
      <c r="E12" s="6"/>
      <c r="F12" s="6"/>
      <c r="G12" s="6"/>
    </row>
    <row r="13" spans="1:7" ht="29.1">
      <c r="A13" s="9">
        <v>44348</v>
      </c>
      <c r="B13" s="6" t="s">
        <v>49</v>
      </c>
      <c r="C13" s="6" t="s">
        <v>50</v>
      </c>
      <c r="D13" s="6">
        <v>210</v>
      </c>
      <c r="E13" s="6" t="s">
        <v>51</v>
      </c>
      <c r="F13" s="6" t="s">
        <v>37</v>
      </c>
      <c r="G13" s="6"/>
    </row>
    <row r="14" spans="1:7" ht="43.5">
      <c r="A14" s="9"/>
      <c r="B14" s="6"/>
      <c r="C14" s="6" t="s">
        <v>52</v>
      </c>
      <c r="D14" s="6">
        <v>460</v>
      </c>
      <c r="E14" s="6" t="s">
        <v>51</v>
      </c>
      <c r="F14" s="6" t="s">
        <v>37</v>
      </c>
      <c r="G14" s="6"/>
    </row>
    <row r="15" spans="1:7" ht="43.5">
      <c r="A15" s="9">
        <v>44378</v>
      </c>
      <c r="B15" s="6" t="s">
        <v>53</v>
      </c>
      <c r="C15" s="6"/>
      <c r="D15" s="6"/>
      <c r="E15" s="6"/>
      <c r="F15" s="6"/>
      <c r="G15" s="6"/>
    </row>
    <row r="16" spans="1:7" ht="29.1">
      <c r="A16" s="9"/>
      <c r="B16" s="6" t="s">
        <v>54</v>
      </c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 ht="29.1">
      <c r="A18" s="9">
        <v>44409</v>
      </c>
      <c r="B18" s="6" t="s">
        <v>55</v>
      </c>
      <c r="C18" s="6" t="s">
        <v>56</v>
      </c>
      <c r="D18" s="6">
        <v>600</v>
      </c>
      <c r="E18" s="6" t="s">
        <v>51</v>
      </c>
      <c r="F18" s="6" t="s">
        <v>57</v>
      </c>
      <c r="G18" s="6"/>
    </row>
    <row r="19" spans="1:7" ht="43.5">
      <c r="A19" s="9">
        <v>44440</v>
      </c>
      <c r="B19" s="6" t="s">
        <v>58</v>
      </c>
      <c r="C19" s="6" t="s">
        <v>59</v>
      </c>
      <c r="D19" s="6">
        <v>210</v>
      </c>
      <c r="E19" s="6" t="s">
        <v>51</v>
      </c>
      <c r="F19" s="6" t="s">
        <v>37</v>
      </c>
      <c r="G19" s="6"/>
    </row>
    <row r="20" spans="1:7" ht="29.1">
      <c r="A20" s="6"/>
      <c r="B20" s="6"/>
      <c r="C20" s="6" t="s">
        <v>60</v>
      </c>
      <c r="D20" s="6">
        <v>9</v>
      </c>
      <c r="E20" s="6" t="s">
        <v>46</v>
      </c>
      <c r="F20" s="6" t="s">
        <v>37</v>
      </c>
      <c r="G20" s="6" t="s">
        <v>61</v>
      </c>
    </row>
    <row r="21" spans="1:7" ht="29.1">
      <c r="A21" s="6"/>
      <c r="B21" s="6"/>
      <c r="C21" s="6" t="s">
        <v>62</v>
      </c>
      <c r="D21" s="6">
        <v>15.5</v>
      </c>
      <c r="E21" s="6" t="s">
        <v>46</v>
      </c>
      <c r="F21" s="6" t="s">
        <v>37</v>
      </c>
      <c r="G21" s="6" t="s">
        <v>61</v>
      </c>
    </row>
    <row r="22" spans="1:7" ht="29.1">
      <c r="A22" s="9">
        <v>44470</v>
      </c>
      <c r="B22" s="6" t="s">
        <v>63</v>
      </c>
      <c r="C22" s="6" t="s">
        <v>64</v>
      </c>
      <c r="D22" s="6">
        <v>900</v>
      </c>
      <c r="E22" s="6" t="s">
        <v>65</v>
      </c>
      <c r="F22" s="6" t="s">
        <v>57</v>
      </c>
      <c r="G22" s="6" t="s">
        <v>66</v>
      </c>
    </row>
    <row r="23" spans="1:7" ht="29.1">
      <c r="A23" s="6"/>
      <c r="B23" s="6" t="s">
        <v>67</v>
      </c>
      <c r="C23" s="6"/>
      <c r="D23" s="6"/>
      <c r="E23" s="6"/>
      <c r="F23" s="6"/>
      <c r="G23" s="6"/>
    </row>
    <row r="24" spans="1:7" ht="43.5">
      <c r="A24" s="9">
        <v>44501</v>
      </c>
      <c r="B24" s="6" t="s">
        <v>68</v>
      </c>
      <c r="C24" s="6"/>
      <c r="D24" s="6"/>
      <c r="E24" s="6"/>
      <c r="F24" s="6"/>
      <c r="G24" s="6"/>
    </row>
    <row r="25" spans="1:7" ht="29.1">
      <c r="A25" s="9">
        <v>44531</v>
      </c>
      <c r="B25" s="6" t="s">
        <v>69</v>
      </c>
      <c r="C25" s="6"/>
      <c r="D25" s="6"/>
      <c r="E25" s="6"/>
      <c r="F25" s="6"/>
      <c r="G25" s="6"/>
    </row>
    <row r="26" spans="1:7" ht="29.1">
      <c r="A26" s="9">
        <v>44562</v>
      </c>
      <c r="B26" s="6" t="s">
        <v>70</v>
      </c>
      <c r="C26" s="6" t="s">
        <v>71</v>
      </c>
      <c r="D26" s="6">
        <v>220</v>
      </c>
      <c r="E26" s="6" t="s">
        <v>65</v>
      </c>
      <c r="F26" s="6" t="s">
        <v>37</v>
      </c>
      <c r="G26" s="6"/>
    </row>
    <row r="27" spans="1:7" ht="29.1">
      <c r="A27" s="9">
        <v>44593</v>
      </c>
      <c r="B27" s="6" t="s">
        <v>72</v>
      </c>
      <c r="C27" s="6"/>
      <c r="D27" s="6"/>
      <c r="E27" s="6"/>
      <c r="F27" s="6"/>
      <c r="G27" s="6"/>
    </row>
    <row r="28" spans="1:7" ht="43.5">
      <c r="A28" s="9">
        <v>44621</v>
      </c>
      <c r="B28" s="6" t="s">
        <v>73</v>
      </c>
      <c r="C28" s="11" t="s">
        <v>74</v>
      </c>
      <c r="D28" s="6">
        <v>60</v>
      </c>
      <c r="E28" s="6" t="s">
        <v>65</v>
      </c>
      <c r="F28" s="6" t="s">
        <v>37</v>
      </c>
      <c r="G28" s="6"/>
    </row>
    <row r="29" spans="1:7" ht="43.5">
      <c r="A29" s="6"/>
      <c r="B29" s="6" t="s">
        <v>75</v>
      </c>
      <c r="C29" s="6" t="s">
        <v>76</v>
      </c>
      <c r="D29" s="6">
        <v>420</v>
      </c>
      <c r="E29" s="6" t="s">
        <v>65</v>
      </c>
      <c r="F29" s="6" t="s">
        <v>37</v>
      </c>
      <c r="G29" s="6"/>
    </row>
    <row r="30" spans="1:7">
      <c r="A30" s="6"/>
      <c r="B30" s="6" t="s">
        <v>77</v>
      </c>
      <c r="C30" s="6"/>
      <c r="D30" s="6"/>
      <c r="E30" s="6"/>
      <c r="F30" s="6"/>
      <c r="G30" s="6"/>
    </row>
    <row r="31" spans="1:7">
      <c r="A31" s="9">
        <v>44652</v>
      </c>
      <c r="B31" s="6" t="s">
        <v>78</v>
      </c>
      <c r="C31" s="6" t="s">
        <v>78</v>
      </c>
      <c r="D31" s="6"/>
      <c r="E31" s="6"/>
      <c r="F31" s="6"/>
      <c r="G31" s="6"/>
    </row>
    <row r="32" spans="1:7" ht="29.1">
      <c r="A32" s="9">
        <v>44682</v>
      </c>
      <c r="B32" s="6"/>
      <c r="C32" s="6" t="s">
        <v>79</v>
      </c>
      <c r="D32" s="6">
        <v>20</v>
      </c>
      <c r="E32" s="6" t="s">
        <v>46</v>
      </c>
      <c r="F32" s="6" t="s">
        <v>80</v>
      </c>
      <c r="G32" s="6" t="s">
        <v>47</v>
      </c>
    </row>
    <row r="33" spans="1:7" ht="29.1">
      <c r="A33" s="9">
        <v>44713</v>
      </c>
      <c r="B33" s="6" t="s">
        <v>81</v>
      </c>
      <c r="C33" s="6" t="s">
        <v>82</v>
      </c>
      <c r="D33" s="6">
        <f>64-41</f>
        <v>23</v>
      </c>
      <c r="E33" s="6" t="s">
        <v>46</v>
      </c>
      <c r="F33" s="6" t="s">
        <v>83</v>
      </c>
      <c r="G33" s="6" t="s">
        <v>84</v>
      </c>
    </row>
    <row r="34" spans="1:7" ht="29.1">
      <c r="A34" s="6"/>
      <c r="B34" s="6" t="s">
        <v>85</v>
      </c>
      <c r="C34" s="6"/>
      <c r="D34" s="6"/>
      <c r="E34" s="6"/>
      <c r="F34" s="6"/>
      <c r="G34" s="6"/>
    </row>
    <row r="35" spans="1:7">
      <c r="A35" s="9">
        <v>44743</v>
      </c>
      <c r="B35" s="6" t="s">
        <v>86</v>
      </c>
      <c r="C35" s="6" t="s">
        <v>86</v>
      </c>
      <c r="D35" s="6"/>
      <c r="E35" s="6"/>
      <c r="F35" s="6"/>
      <c r="G35" s="6"/>
    </row>
    <row r="36" spans="1:7">
      <c r="A36" s="9">
        <v>44774</v>
      </c>
      <c r="B36" s="6" t="s">
        <v>86</v>
      </c>
      <c r="C36" s="6" t="s">
        <v>86</v>
      </c>
      <c r="D36" s="6"/>
      <c r="E36" s="6"/>
      <c r="F36" s="6"/>
      <c r="G36" s="6"/>
    </row>
    <row r="37" spans="1:7" ht="29.1">
      <c r="A37" s="9">
        <v>44805</v>
      </c>
      <c r="B37" s="6" t="s">
        <v>87</v>
      </c>
      <c r="C37" s="6" t="s">
        <v>81</v>
      </c>
      <c r="D37" s="6"/>
      <c r="E37" s="6"/>
      <c r="F37" s="6"/>
      <c r="G37" s="6"/>
    </row>
    <row r="38" spans="1:7" ht="29.1">
      <c r="A38" s="9">
        <v>44835</v>
      </c>
      <c r="B38" s="6"/>
      <c r="C38" s="11" t="s">
        <v>88</v>
      </c>
      <c r="D38" s="6">
        <v>94</v>
      </c>
      <c r="E38" s="6" t="s">
        <v>65</v>
      </c>
      <c r="F38" s="6" t="s">
        <v>80</v>
      </c>
      <c r="G38" s="6"/>
    </row>
    <row r="39" spans="1:7" ht="29.1">
      <c r="A39" s="9">
        <v>44866</v>
      </c>
      <c r="B39" s="6" t="s">
        <v>89</v>
      </c>
      <c r="C39" s="6"/>
      <c r="D39" s="6"/>
      <c r="E39" s="6"/>
      <c r="F39" s="6"/>
      <c r="G39" s="6"/>
    </row>
    <row r="40" spans="1:7" ht="43.5">
      <c r="A40" s="9">
        <v>44896</v>
      </c>
      <c r="B40" s="6"/>
      <c r="C40" s="11" t="s">
        <v>90</v>
      </c>
      <c r="D40" s="6">
        <v>210</v>
      </c>
      <c r="E40" s="6" t="s">
        <v>51</v>
      </c>
      <c r="F40" s="6" t="s">
        <v>91</v>
      </c>
      <c r="G40" s="6"/>
    </row>
    <row r="41" spans="1:7" ht="43.5">
      <c r="A41" s="9">
        <v>44927</v>
      </c>
      <c r="B41" s="6" t="s">
        <v>92</v>
      </c>
      <c r="C41" s="6"/>
      <c r="D41" s="6"/>
      <c r="E41" s="6"/>
      <c r="F41" s="6"/>
      <c r="G41" s="6"/>
    </row>
    <row r="42" spans="1:7">
      <c r="A42" s="9">
        <v>44958</v>
      </c>
      <c r="B42" s="6" t="s">
        <v>86</v>
      </c>
      <c r="C42" s="6" t="s">
        <v>93</v>
      </c>
      <c r="D42" s="6"/>
      <c r="E42" s="6"/>
      <c r="F42" s="6"/>
      <c r="G42" s="6"/>
    </row>
    <row r="43" spans="1:7" ht="29.1">
      <c r="A43" s="9">
        <v>44986</v>
      </c>
      <c r="B43" s="6" t="s">
        <v>94</v>
      </c>
      <c r="C43" s="6"/>
      <c r="D43" s="6"/>
      <c r="E43" s="6"/>
      <c r="F43" s="6"/>
      <c r="G43" s="6"/>
    </row>
    <row r="44" spans="1:7">
      <c r="A44" s="9">
        <v>45017</v>
      </c>
      <c r="B44" s="6" t="s">
        <v>93</v>
      </c>
      <c r="C44" s="6" t="s">
        <v>93</v>
      </c>
      <c r="D44" s="6"/>
      <c r="E44" s="6"/>
      <c r="F44" s="6"/>
      <c r="G44" s="6"/>
    </row>
    <row r="45" spans="1:7">
      <c r="A45" s="9">
        <v>45047</v>
      </c>
      <c r="B45" s="6" t="s">
        <v>86</v>
      </c>
      <c r="C45" s="6" t="s">
        <v>86</v>
      </c>
      <c r="D45" s="6"/>
      <c r="E45" s="6"/>
      <c r="F45" s="6"/>
      <c r="G45" s="6"/>
    </row>
    <row r="46" spans="1:7" ht="29.1">
      <c r="A46" s="9">
        <v>45078</v>
      </c>
      <c r="B46" s="6" t="s">
        <v>95</v>
      </c>
      <c r="C46" s="6"/>
      <c r="D46" s="6"/>
      <c r="E46" s="6"/>
      <c r="F46" s="6"/>
      <c r="G46" s="6"/>
    </row>
    <row r="47" spans="1:7" ht="43.5">
      <c r="A47" s="6"/>
      <c r="B47" s="6" t="s">
        <v>96</v>
      </c>
      <c r="C47" s="6"/>
      <c r="D47" s="6"/>
      <c r="E47" s="6"/>
      <c r="F47" s="6"/>
      <c r="G47" s="6"/>
    </row>
    <row r="48" spans="1:7" ht="43.5">
      <c r="A48" s="9">
        <v>45108</v>
      </c>
      <c r="B48" s="6" t="s">
        <v>97</v>
      </c>
      <c r="C48" s="6"/>
      <c r="D48" s="6"/>
      <c r="E48" s="6"/>
      <c r="F48" s="6"/>
      <c r="G48" s="6"/>
    </row>
    <row r="49" spans="1:7" ht="43.5">
      <c r="A49" s="9">
        <v>45139</v>
      </c>
      <c r="B49" s="6" t="s">
        <v>98</v>
      </c>
      <c r="C49" s="6"/>
      <c r="D49" s="6"/>
      <c r="E49" s="6"/>
      <c r="F49" s="6"/>
      <c r="G49" s="6"/>
    </row>
    <row r="50" spans="1:7" ht="43.5">
      <c r="A50" s="9">
        <v>45170</v>
      </c>
      <c r="B50" s="6" t="s">
        <v>99</v>
      </c>
      <c r="C50" s="6"/>
      <c r="D50" s="6"/>
      <c r="E50" s="6"/>
      <c r="F50" s="6"/>
      <c r="G50" s="6"/>
    </row>
    <row r="51" spans="1:7" ht="29.1">
      <c r="A51" s="9"/>
      <c r="B51" s="6" t="s">
        <v>100</v>
      </c>
      <c r="C51" s="6"/>
      <c r="D51" s="6"/>
      <c r="E51" s="6"/>
      <c r="F51" s="6"/>
      <c r="G51" s="6"/>
    </row>
    <row r="52" spans="1:7" ht="29.1">
      <c r="A52" s="9">
        <v>45200</v>
      </c>
      <c r="B52" s="6" t="s">
        <v>101</v>
      </c>
      <c r="C52" s="6"/>
      <c r="D52" s="6"/>
      <c r="E52" s="6"/>
      <c r="F52" s="6"/>
      <c r="G52" s="6"/>
    </row>
    <row r="53" spans="1:7">
      <c r="A53" s="9">
        <v>45231</v>
      </c>
      <c r="B53" s="6" t="s">
        <v>86</v>
      </c>
      <c r="C53" s="6" t="s">
        <v>86</v>
      </c>
      <c r="D53" s="6"/>
      <c r="E53" s="6"/>
      <c r="F53" s="6"/>
      <c r="G53" s="6"/>
    </row>
    <row r="54" spans="1:7" ht="29.1">
      <c r="A54" s="9">
        <v>45261</v>
      </c>
      <c r="B54" s="6" t="s">
        <v>102</v>
      </c>
      <c r="C54" s="6"/>
      <c r="D54" s="6"/>
      <c r="E54" s="6"/>
      <c r="F54" s="6"/>
      <c r="G54" s="6"/>
    </row>
    <row r="55" spans="1:7" ht="29.1">
      <c r="A55" s="9">
        <v>45292</v>
      </c>
      <c r="B55" s="6" t="s">
        <v>103</v>
      </c>
      <c r="C55" s="6"/>
      <c r="D55" s="6"/>
      <c r="E55" s="6"/>
      <c r="F55" s="6"/>
      <c r="G55" s="6"/>
    </row>
    <row r="56" spans="1:7">
      <c r="A56" s="9">
        <v>45323</v>
      </c>
      <c r="B56" s="6" t="s">
        <v>104</v>
      </c>
      <c r="C56" s="6"/>
      <c r="D56" s="6"/>
      <c r="E56" s="6"/>
      <c r="F56" s="6"/>
      <c r="G56" s="6"/>
    </row>
    <row r="57" spans="1:7">
      <c r="A57" s="10">
        <v>45352</v>
      </c>
    </row>
    <row r="58" spans="1:7">
      <c r="A58" s="10">
        <v>45383</v>
      </c>
    </row>
    <row r="59" spans="1:7">
      <c r="A59" s="10"/>
    </row>
    <row r="60" spans="1:7">
      <c r="A60" s="10"/>
    </row>
    <row r="61" spans="1:7">
      <c r="A61" s="10"/>
    </row>
    <row r="62" spans="1:7">
      <c r="A62" s="10"/>
    </row>
    <row r="63" spans="1:7">
      <c r="A63" s="10"/>
    </row>
    <row r="64" spans="1:7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24CF-4B57-4814-9400-2B1FEB22E30B}">
  <dimension ref="A1:I22"/>
  <sheetViews>
    <sheetView workbookViewId="0">
      <selection activeCell="B21" sqref="B21"/>
    </sheetView>
  </sheetViews>
  <sheetFormatPr defaultRowHeight="14.45"/>
  <cols>
    <col min="1" max="1" width="10.5703125" customWidth="1"/>
    <col min="2" max="2" width="16.140625" customWidth="1"/>
    <col min="3" max="3" width="6.7109375" customWidth="1"/>
    <col min="4" max="5" width="10.28515625" customWidth="1"/>
  </cols>
  <sheetData>
    <row r="1" spans="1:9">
      <c r="A1" s="4" t="s">
        <v>105</v>
      </c>
      <c r="B1" s="3" t="s">
        <v>106</v>
      </c>
      <c r="C1" s="4" t="s">
        <v>31</v>
      </c>
      <c r="D1" s="3" t="s">
        <v>32</v>
      </c>
      <c r="E1" s="3" t="s">
        <v>33</v>
      </c>
      <c r="F1" t="s">
        <v>107</v>
      </c>
      <c r="G1">
        <v>2021</v>
      </c>
      <c r="H1">
        <v>2022</v>
      </c>
    </row>
    <row r="2" spans="1:9">
      <c r="A2" s="5">
        <v>2021</v>
      </c>
      <c r="B2" s="5">
        <v>240</v>
      </c>
      <c r="C2" s="5" t="s">
        <v>108</v>
      </c>
      <c r="D2" s="5" t="s">
        <v>37</v>
      </c>
      <c r="E2" s="5"/>
      <c r="F2" t="s">
        <v>51</v>
      </c>
      <c r="G2">
        <v>1720</v>
      </c>
      <c r="H2">
        <f>SUMIFS($B$2:$B$19,$C$2:$C$19,"Coal",$A$2:$A$19,"2022")</f>
        <v>1004</v>
      </c>
    </row>
    <row r="3" spans="1:9">
      <c r="A3" s="5">
        <v>2021</v>
      </c>
      <c r="B3" s="5">
        <v>140</v>
      </c>
      <c r="C3" s="5" t="s">
        <v>40</v>
      </c>
      <c r="D3" s="5" t="s">
        <v>37</v>
      </c>
      <c r="E3" s="5"/>
      <c r="F3" t="s">
        <v>46</v>
      </c>
      <c r="G3">
        <f>SUMIFS($B$2:$B$19,$C$2:$C$19,"Gas",$A$2:$A$19,"2021")</f>
        <v>57</v>
      </c>
      <c r="H3">
        <f>SUMIFS($B$2:$B$19,$C$2:$C$19,"gas",$A$2:$A$19,"2022")</f>
        <v>43</v>
      </c>
    </row>
    <row r="4" spans="1:9">
      <c r="A4" s="5">
        <v>2021</v>
      </c>
      <c r="B4" s="5">
        <v>16.5</v>
      </c>
      <c r="C4" s="5" t="s">
        <v>46</v>
      </c>
      <c r="D4" s="5" t="s">
        <v>37</v>
      </c>
      <c r="E4" s="5" t="s">
        <v>47</v>
      </c>
      <c r="F4" t="s">
        <v>109</v>
      </c>
      <c r="G4">
        <f>SUMIFS($B$2:$B$19,$C$2:$C$19,"Lignite",$A$2:$A$19,"2021")</f>
        <v>140</v>
      </c>
      <c r="H4">
        <f>SUMIFS($B$2:$B$19,$C$2:$C$19,"lignite",$A$2:$A$19,"2022")</f>
        <v>0</v>
      </c>
    </row>
    <row r="5" spans="1:9">
      <c r="A5" s="5">
        <v>2021</v>
      </c>
      <c r="B5" s="5">
        <v>16</v>
      </c>
      <c r="C5" s="5" t="s">
        <v>46</v>
      </c>
      <c r="D5" s="5" t="s">
        <v>37</v>
      </c>
      <c r="E5" s="5" t="s">
        <v>47</v>
      </c>
      <c r="G5">
        <f>SUM(G2:G4)</f>
        <v>1917</v>
      </c>
      <c r="H5">
        <f>SUM(H2:H4)</f>
        <v>1047</v>
      </c>
      <c r="I5">
        <f>SUM(G5:H5)</f>
        <v>2964</v>
      </c>
    </row>
    <row r="6" spans="1:9">
      <c r="A6" s="5">
        <v>2021</v>
      </c>
      <c r="B6" s="5">
        <v>210</v>
      </c>
      <c r="C6" s="5" t="s">
        <v>51</v>
      </c>
      <c r="D6" s="5" t="s">
        <v>37</v>
      </c>
      <c r="E6" s="5"/>
    </row>
    <row r="7" spans="1:9">
      <c r="A7" s="5">
        <v>2021</v>
      </c>
      <c r="B7" s="5">
        <v>460</v>
      </c>
      <c r="C7" s="5" t="s">
        <v>51</v>
      </c>
      <c r="D7" s="5" t="s">
        <v>37</v>
      </c>
      <c r="E7" s="5"/>
      <c r="F7" t="s">
        <v>110</v>
      </c>
    </row>
    <row r="8" spans="1:9">
      <c r="A8" s="5">
        <v>2021</v>
      </c>
      <c r="B8" s="5">
        <v>600</v>
      </c>
      <c r="C8" s="5" t="s">
        <v>51</v>
      </c>
      <c r="D8" s="5" t="s">
        <v>57</v>
      </c>
      <c r="E8" s="5"/>
    </row>
    <row r="9" spans="1:9">
      <c r="A9" s="5">
        <v>2021</v>
      </c>
      <c r="B9" s="5">
        <v>210</v>
      </c>
      <c r="C9" s="5" t="s">
        <v>51</v>
      </c>
      <c r="D9" s="5" t="s">
        <v>37</v>
      </c>
      <c r="E9" s="5"/>
    </row>
    <row r="10" spans="1:9">
      <c r="A10" s="5">
        <v>2021</v>
      </c>
      <c r="B10" s="5">
        <v>9</v>
      </c>
      <c r="C10" s="5" t="s">
        <v>46</v>
      </c>
      <c r="D10" s="5" t="s">
        <v>37</v>
      </c>
      <c r="E10" s="5" t="s">
        <v>61</v>
      </c>
    </row>
    <row r="11" spans="1:9">
      <c r="A11" s="5">
        <v>2021</v>
      </c>
      <c r="B11" s="5">
        <v>15.5</v>
      </c>
      <c r="C11" s="5" t="s">
        <v>46</v>
      </c>
      <c r="D11" s="5" t="s">
        <v>37</v>
      </c>
      <c r="E11" s="5" t="s">
        <v>61</v>
      </c>
    </row>
    <row r="12" spans="1:9">
      <c r="A12" s="5">
        <v>2021</v>
      </c>
      <c r="B12" s="5">
        <v>900</v>
      </c>
      <c r="C12" s="5" t="s">
        <v>65</v>
      </c>
      <c r="D12" s="5" t="s">
        <v>57</v>
      </c>
      <c r="E12" s="5"/>
    </row>
    <row r="13" spans="1:9">
      <c r="A13" s="5">
        <v>2022</v>
      </c>
      <c r="B13" s="5">
        <v>220</v>
      </c>
      <c r="C13" s="5" t="s">
        <v>65</v>
      </c>
      <c r="D13" s="5" t="s">
        <v>37</v>
      </c>
      <c r="E13" s="5"/>
    </row>
    <row r="14" spans="1:9">
      <c r="A14" s="5">
        <v>2022</v>
      </c>
      <c r="B14" s="5">
        <v>60</v>
      </c>
      <c r="C14" s="5" t="s">
        <v>65</v>
      </c>
      <c r="D14" s="5" t="s">
        <v>37</v>
      </c>
      <c r="E14" s="5"/>
    </row>
    <row r="15" spans="1:9">
      <c r="A15" s="5">
        <v>2022</v>
      </c>
      <c r="B15" s="5">
        <v>420</v>
      </c>
      <c r="C15" s="5" t="s">
        <v>51</v>
      </c>
      <c r="D15" s="5" t="s">
        <v>37</v>
      </c>
      <c r="E15" s="5"/>
    </row>
    <row r="16" spans="1:9">
      <c r="A16" s="5">
        <v>2022</v>
      </c>
      <c r="B16" s="5">
        <v>20</v>
      </c>
      <c r="C16" s="5" t="s">
        <v>46</v>
      </c>
      <c r="D16" s="5" t="s">
        <v>80</v>
      </c>
      <c r="E16" s="5"/>
    </row>
    <row r="17" spans="1:5">
      <c r="A17" s="5">
        <v>2022</v>
      </c>
      <c r="B17" s="5">
        <f>64-41</f>
        <v>23</v>
      </c>
      <c r="C17" s="5" t="s">
        <v>46</v>
      </c>
      <c r="D17" s="5" t="s">
        <v>83</v>
      </c>
      <c r="E17" s="5"/>
    </row>
    <row r="18" spans="1:5">
      <c r="A18" s="5">
        <v>2022</v>
      </c>
      <c r="B18" s="5">
        <v>94</v>
      </c>
      <c r="C18" s="5" t="s">
        <v>65</v>
      </c>
      <c r="D18" s="5" t="s">
        <v>80</v>
      </c>
      <c r="E18" s="5"/>
    </row>
    <row r="19" spans="1:5">
      <c r="A19" s="5">
        <v>2022</v>
      </c>
      <c r="B19" s="5">
        <v>210</v>
      </c>
      <c r="C19" s="5" t="s">
        <v>51</v>
      </c>
      <c r="D19" s="5" t="s">
        <v>91</v>
      </c>
      <c r="E19" s="5"/>
    </row>
    <row r="20" spans="1:5">
      <c r="A20" t="s">
        <v>111</v>
      </c>
      <c r="B20">
        <f>SUM(B2:B19)</f>
        <v>3864</v>
      </c>
    </row>
    <row r="21" spans="1:5">
      <c r="B21">
        <f>SUM(B2,B6,B7,B8,B9,B12)</f>
        <v>2620</v>
      </c>
    </row>
    <row r="22" spans="1:5">
      <c r="B22">
        <f>B21-G2</f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F383-8D29-4BFD-933B-A18D51523C58}">
  <dimension ref="A3:F20"/>
  <sheetViews>
    <sheetView workbookViewId="0">
      <selection activeCell="M10" sqref="M10"/>
    </sheetView>
  </sheetViews>
  <sheetFormatPr defaultRowHeight="14.45"/>
  <cols>
    <col min="1" max="1" width="7.28515625" bestFit="1" customWidth="1"/>
    <col min="2" max="2" width="21.42578125" bestFit="1" customWidth="1"/>
    <col min="3" max="3" width="14.85546875" bestFit="1" customWidth="1"/>
    <col min="4" max="4" width="15.85546875" bestFit="1" customWidth="1"/>
    <col min="5" max="5" width="16" bestFit="1" customWidth="1"/>
    <col min="6" max="6" width="22.7109375" bestFit="1" customWidth="1"/>
  </cols>
  <sheetData>
    <row r="3" spans="1:6" ht="15"/>
    <row r="4" spans="1:6" ht="15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 t="s">
        <v>117</v>
      </c>
    </row>
    <row r="5" spans="1:6" ht="15">
      <c r="A5">
        <v>1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</row>
    <row r="6" spans="1:6" ht="15">
      <c r="A6">
        <v>2</v>
      </c>
      <c r="B6" t="s">
        <v>123</v>
      </c>
      <c r="C6" t="s">
        <v>124</v>
      </c>
      <c r="D6" t="s">
        <v>120</v>
      </c>
      <c r="E6" t="s">
        <v>121</v>
      </c>
      <c r="F6" t="s">
        <v>125</v>
      </c>
    </row>
    <row r="7" spans="1:6" ht="15">
      <c r="A7">
        <v>3</v>
      </c>
      <c r="B7" t="s">
        <v>126</v>
      </c>
      <c r="C7" t="s">
        <v>127</v>
      </c>
      <c r="D7" t="s">
        <v>120</v>
      </c>
      <c r="E7" t="s">
        <v>128</v>
      </c>
      <c r="F7" t="s">
        <v>129</v>
      </c>
    </row>
    <row r="8" spans="1:6" ht="15">
      <c r="A8">
        <v>4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</row>
    <row r="9" spans="1:6" ht="15">
      <c r="A9">
        <v>5</v>
      </c>
      <c r="B9" t="s">
        <v>135</v>
      </c>
      <c r="C9" t="s">
        <v>136</v>
      </c>
      <c r="D9" t="s">
        <v>132</v>
      </c>
      <c r="E9" t="s">
        <v>137</v>
      </c>
      <c r="F9" t="s">
        <v>138</v>
      </c>
    </row>
    <row r="10" spans="1:6" ht="15">
      <c r="A10">
        <v>6</v>
      </c>
      <c r="B10" t="s">
        <v>139</v>
      </c>
      <c r="C10" t="s">
        <v>127</v>
      </c>
      <c r="D10" t="s">
        <v>132</v>
      </c>
      <c r="E10" t="s">
        <v>140</v>
      </c>
      <c r="F10" t="s">
        <v>141</v>
      </c>
    </row>
    <row r="11" spans="1:6" ht="15">
      <c r="A11">
        <v>7</v>
      </c>
      <c r="B11" t="s">
        <v>142</v>
      </c>
      <c r="C11" t="s">
        <v>136</v>
      </c>
      <c r="D11" t="s">
        <v>132</v>
      </c>
      <c r="E11" t="s">
        <v>137</v>
      </c>
      <c r="F11" t="s">
        <v>143</v>
      </c>
    </row>
    <row r="12" spans="1:6" ht="15">
      <c r="A12">
        <v>8</v>
      </c>
      <c r="B12" t="s">
        <v>144</v>
      </c>
      <c r="C12" t="s">
        <v>145</v>
      </c>
      <c r="D12" t="s">
        <v>132</v>
      </c>
      <c r="E12" t="s">
        <v>146</v>
      </c>
      <c r="F12" t="s">
        <v>143</v>
      </c>
    </row>
    <row r="13" spans="1:6" ht="15">
      <c r="A13">
        <v>9</v>
      </c>
      <c r="B13" t="s">
        <v>147</v>
      </c>
      <c r="C13" t="s">
        <v>124</v>
      </c>
      <c r="D13" t="s">
        <v>132</v>
      </c>
      <c r="E13" t="s">
        <v>137</v>
      </c>
      <c r="F13" t="s">
        <v>148</v>
      </c>
    </row>
    <row r="14" spans="1:6" ht="15">
      <c r="A14">
        <v>10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</row>
    <row r="15" spans="1:6" ht="15">
      <c r="A15">
        <v>11</v>
      </c>
      <c r="B15" t="s">
        <v>154</v>
      </c>
      <c r="C15" t="s">
        <v>155</v>
      </c>
      <c r="D15" t="s">
        <v>151</v>
      </c>
      <c r="E15" t="s">
        <v>156</v>
      </c>
      <c r="F15" t="s">
        <v>157</v>
      </c>
    </row>
    <row r="16" spans="1:6" ht="15">
      <c r="A16">
        <v>12</v>
      </c>
      <c r="B16" t="s">
        <v>158</v>
      </c>
      <c r="C16" t="s">
        <v>127</v>
      </c>
      <c r="D16" t="s">
        <v>151</v>
      </c>
      <c r="E16" t="s">
        <v>159</v>
      </c>
      <c r="F16" t="s">
        <v>160</v>
      </c>
    </row>
    <row r="17" spans="2:6" ht="15">
      <c r="B17" t="s">
        <v>161</v>
      </c>
      <c r="F17" s="12" t="s">
        <v>162</v>
      </c>
    </row>
    <row r="18" spans="2:6" ht="15">
      <c r="B18" t="s">
        <v>163</v>
      </c>
      <c r="F18" s="12">
        <f>94+210+60</f>
        <v>364</v>
      </c>
    </row>
    <row r="19" spans="2:6" ht="15">
      <c r="B19" t="s">
        <v>164</v>
      </c>
      <c r="F19" s="12">
        <f>F17-F18</f>
        <v>1757.5</v>
      </c>
    </row>
    <row r="20" spans="2:6" ht="15">
      <c r="B20" t="s">
        <v>165</v>
      </c>
      <c r="F20">
        <f>F19/8</f>
        <v>219.6875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7A68-7A38-450E-9FDC-3E8DB8512FE7}">
  <sheetPr>
    <tabColor theme="3" tint="9.9978637043366805E-2"/>
  </sheetPr>
  <dimension ref="A1:AY25"/>
  <sheetViews>
    <sheetView workbookViewId="0">
      <selection activeCell="L2" sqref="L2"/>
    </sheetView>
  </sheetViews>
  <sheetFormatPr defaultRowHeight="14.45"/>
  <cols>
    <col min="1" max="1" width="30" customWidth="1"/>
    <col min="5" max="12" width="9.42578125" bestFit="1" customWidth="1"/>
  </cols>
  <sheetData>
    <row r="1" spans="1:51" ht="12.75" customHeight="1">
      <c r="A1" s="14" t="s">
        <v>166</v>
      </c>
      <c r="B1" s="15">
        <v>2021</v>
      </c>
      <c r="C1" s="15">
        <v>2022</v>
      </c>
      <c r="D1" s="15">
        <v>2023</v>
      </c>
      <c r="E1" s="15">
        <v>2024</v>
      </c>
      <c r="F1" s="15">
        <v>2025</v>
      </c>
      <c r="G1" s="15">
        <v>2026</v>
      </c>
      <c r="H1" s="15">
        <v>2027</v>
      </c>
      <c r="I1" s="15">
        <v>2028</v>
      </c>
      <c r="J1" s="15">
        <v>2029</v>
      </c>
      <c r="K1" s="15">
        <v>2030</v>
      </c>
      <c r="L1" s="15">
        <v>2031</v>
      </c>
      <c r="M1" s="15">
        <v>2032</v>
      </c>
      <c r="N1" s="15">
        <v>2033</v>
      </c>
      <c r="O1" s="15">
        <v>2034</v>
      </c>
      <c r="P1" s="15">
        <v>2035</v>
      </c>
      <c r="Q1" s="15">
        <v>2036</v>
      </c>
      <c r="R1" s="15">
        <v>2037</v>
      </c>
      <c r="S1" s="15">
        <v>2038</v>
      </c>
      <c r="T1" s="15">
        <v>2039</v>
      </c>
      <c r="U1" s="15">
        <v>2040</v>
      </c>
      <c r="V1" s="15">
        <v>2041</v>
      </c>
      <c r="W1" s="15">
        <v>2042</v>
      </c>
      <c r="X1" s="15">
        <v>2043</v>
      </c>
      <c r="Y1" s="15">
        <v>2044</v>
      </c>
      <c r="Z1" s="15">
        <v>2045</v>
      </c>
      <c r="AA1" s="15">
        <v>2046</v>
      </c>
      <c r="AB1" s="15">
        <v>2047</v>
      </c>
      <c r="AC1" s="15">
        <v>2048</v>
      </c>
      <c r="AD1" s="15">
        <v>2049</v>
      </c>
      <c r="AE1" s="15">
        <v>2050</v>
      </c>
      <c r="AF1" s="15">
        <v>2051</v>
      </c>
      <c r="AG1" s="15">
        <v>2052</v>
      </c>
      <c r="AH1" s="15">
        <v>2053</v>
      </c>
      <c r="AI1" s="15">
        <v>2054</v>
      </c>
      <c r="AJ1" s="15">
        <v>2055</v>
      </c>
      <c r="AK1" s="15">
        <v>2056</v>
      </c>
      <c r="AL1" s="15">
        <v>2057</v>
      </c>
      <c r="AM1" s="15">
        <v>2058</v>
      </c>
      <c r="AN1" s="15">
        <v>2059</v>
      </c>
      <c r="AO1" s="15">
        <v>2060</v>
      </c>
      <c r="AP1" s="15">
        <v>2061</v>
      </c>
      <c r="AQ1" s="15">
        <v>2062</v>
      </c>
      <c r="AR1" s="15">
        <v>2063</v>
      </c>
      <c r="AS1" s="15">
        <v>2064</v>
      </c>
      <c r="AT1" s="15">
        <v>2065</v>
      </c>
      <c r="AU1" s="15">
        <v>2066</v>
      </c>
      <c r="AV1" s="15">
        <v>2067</v>
      </c>
      <c r="AW1" s="15">
        <v>2068</v>
      </c>
      <c r="AX1" s="15">
        <v>2069</v>
      </c>
      <c r="AY1" s="15">
        <v>2070</v>
      </c>
    </row>
    <row r="2" spans="1:51">
      <c r="A2" s="15" t="s">
        <v>167</v>
      </c>
      <c r="B2">
        <f>'CEA monthly calcs'!B21</f>
        <v>2620</v>
      </c>
      <c r="C2">
        <f>'CEA monthly calcs'!H2</f>
        <v>1004</v>
      </c>
      <c r="D2">
        <v>0</v>
      </c>
      <c r="E2" s="13">
        <f>'CEA Ret. Schedule'!$F$20</f>
        <v>219.6875</v>
      </c>
      <c r="F2" s="13">
        <f>'CEA Ret. Schedule'!$F$20</f>
        <v>219.6875</v>
      </c>
      <c r="G2" s="13">
        <f>'CEA Ret. Schedule'!$F$20</f>
        <v>219.6875</v>
      </c>
      <c r="H2" s="13">
        <f>'CEA Ret. Schedule'!$F$20</f>
        <v>219.6875</v>
      </c>
      <c r="I2" s="13">
        <f>'CEA Ret. Schedule'!$F$20</f>
        <v>219.6875</v>
      </c>
      <c r="J2" s="13">
        <f>'CEA Ret. Schedule'!$F$20</f>
        <v>219.6875</v>
      </c>
      <c r="K2" s="13">
        <f>'CEA Ret. Schedule'!$F$20</f>
        <v>219.6875</v>
      </c>
      <c r="L2" s="13">
        <f>'CEA Ret. Schedule'!$F$20</f>
        <v>219.6875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5" t="s">
        <v>168</v>
      </c>
      <c r="B3">
        <v>32.5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6" t="s">
        <v>169</v>
      </c>
      <c r="B4">
        <v>24.5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5" t="s">
        <v>170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5" t="s">
        <v>171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5" t="s">
        <v>172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5" t="s">
        <v>173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5" t="s">
        <v>174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5" t="s">
        <v>175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5" t="s">
        <v>176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15" t="s">
        <v>177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5" t="s">
        <v>178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15" t="s">
        <v>40</v>
      </c>
      <c r="B14">
        <v>140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15" t="s">
        <v>179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6" t="s">
        <v>180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16" t="s">
        <v>181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16" t="s">
        <v>182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16" t="s">
        <v>183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16" t="s">
        <v>184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16" t="s">
        <v>185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16" t="s">
        <v>186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16" t="s">
        <v>187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 t="s">
        <v>188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 t="s">
        <v>189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972BDD-CB45-4636-B65F-37D5631E289A}"/>
</file>

<file path=customXml/itemProps2.xml><?xml version="1.0" encoding="utf-8"?>
<ds:datastoreItem xmlns:ds="http://schemas.openxmlformats.org/officeDocument/2006/customXml" ds:itemID="{86CED531-7C58-42B2-A697-65582446CCA0}"/>
</file>

<file path=customXml/itemProps3.xml><?xml version="1.0" encoding="utf-8"?>
<ds:datastoreItem xmlns:ds="http://schemas.openxmlformats.org/officeDocument/2006/customXml" ds:itemID="{21D174A3-8339-452C-8CFB-781C70106DA0}"/>
</file>

<file path=customXml/itemProps4.xml><?xml version="1.0" encoding="utf-8"?>
<ds:datastoreItem xmlns:ds="http://schemas.openxmlformats.org/officeDocument/2006/customXml" ds:itemID="{E7760B76-7A71-4615-B9D6-74FEA88FA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Devadathan Biju</cp:lastModifiedBy>
  <cp:revision/>
  <dcterms:created xsi:type="dcterms:W3CDTF">2006-09-16T00:00:00Z</dcterms:created>
  <dcterms:modified xsi:type="dcterms:W3CDTF">2024-07-03T13:17:40Z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