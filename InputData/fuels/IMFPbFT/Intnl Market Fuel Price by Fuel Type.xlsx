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onewri-my.sharepoint.com/personal/shruti_dayal_wri_org/Documents/Desktop/Fuels updated files/"/>
    </mc:Choice>
  </mc:AlternateContent>
  <xr:revisionPtr revIDLastSave="57" documentId="8_{1F220A01-7825-49BA-8FBC-A02F9F080298}" xr6:coauthVersionLast="47" xr6:coauthVersionMax="47" xr10:uidLastSave="{B7163E85-0A73-43E9-A1AB-4165B3EF4606}"/>
  <bookViews>
    <workbookView xWindow="-110" yWindow="-110" windowWidth="19420" windowHeight="10420" firstSheet="6" activeTab="10" xr2:uid="{00000000-000D-0000-FFFF-FFFF00000000}"/>
  </bookViews>
  <sheets>
    <sheet name="About" sheetId="1" r:id="rId1"/>
    <sheet name="Crude" sheetId="8" r:id="rId2"/>
    <sheet name="India Petroleum Products" sheetId="13" r:id="rId3"/>
    <sheet name="IEA" sheetId="14" r:id="rId4"/>
    <sheet name="LNG" sheetId="11" r:id="rId5"/>
    <sheet name="Data - Other Petroleum Producs" sheetId="12" r:id="rId6"/>
    <sheet name="Pretax Fuel Prices" sheetId="5" r:id="rId7"/>
    <sheet name="Fuel Taxes" sheetId="4" r:id="rId8"/>
    <sheet name="BAU Fuel Use by Sector" sheetId="7" r:id="rId9"/>
    <sheet name="Fuel Price Data" sheetId="3" r:id="rId10"/>
    <sheet name="IMFPbFT" sheetId="2" r:id="rId11"/>
  </sheets>
  <externalReferences>
    <externalReference r:id="rId12"/>
  </externalReferences>
  <definedNames>
    <definedName name="nonlignite_multiplier">#REF!</definedName>
    <definedName name="tax_fuel_labels">'[1]Tax_Share of Price'!$A$2:$A$22</definedName>
    <definedName name="Tax_share">'[1]Tax_Share of Price'!$B$2:$AI$22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0" i="3" l="1"/>
  <c r="B59" i="3"/>
  <c r="B58" i="3"/>
  <c r="B57" i="3"/>
  <c r="B56" i="3"/>
  <c r="B55" i="3"/>
  <c r="B54" i="3"/>
  <c r="B53" i="3"/>
  <c r="B3" i="3"/>
  <c r="B24" i="3"/>
  <c r="C8" i="14" l="1"/>
  <c r="C7" i="14" l="1"/>
  <c r="C6" i="14"/>
  <c r="I18" i="2" l="1"/>
  <c r="Q18" i="2"/>
  <c r="Y18" i="2"/>
  <c r="J18" i="2"/>
  <c r="R18" i="2"/>
  <c r="Z18" i="2"/>
  <c r="B18" i="2"/>
  <c r="H18" i="2"/>
  <c r="C18" i="2"/>
  <c r="K18" i="2"/>
  <c r="S18" i="2"/>
  <c r="AA18" i="2"/>
  <c r="D18" i="2"/>
  <c r="L18" i="2"/>
  <c r="T18" i="2"/>
  <c r="AB18" i="2"/>
  <c r="U18" i="2"/>
  <c r="AC18" i="2"/>
  <c r="G18" i="2"/>
  <c r="W18" i="2"/>
  <c r="X18" i="2"/>
  <c r="E18" i="2"/>
  <c r="M18" i="2"/>
  <c r="AE18" i="2"/>
  <c r="F18" i="2"/>
  <c r="N18" i="2"/>
  <c r="V18" i="2"/>
  <c r="AD18" i="2"/>
  <c r="O18" i="2"/>
  <c r="P18" i="2"/>
  <c r="G25" i="13"/>
  <c r="E25" i="13"/>
  <c r="D25" i="13"/>
  <c r="C26" i="13" l="1"/>
  <c r="C27" i="13"/>
  <c r="K95" i="12" l="1"/>
  <c r="J95" i="12"/>
  <c r="I95" i="12"/>
  <c r="H95" i="12"/>
  <c r="G95" i="12"/>
  <c r="F95" i="12"/>
  <c r="E95" i="12"/>
  <c r="D95" i="12"/>
  <c r="C95" i="12"/>
  <c r="B95" i="12"/>
  <c r="E93" i="12"/>
  <c r="B93" i="12"/>
  <c r="N91" i="12"/>
  <c r="N95" i="12" s="1"/>
  <c r="M91" i="12"/>
  <c r="M95" i="12" s="1"/>
  <c r="L91" i="12"/>
  <c r="T91" i="12"/>
  <c r="P91" i="12"/>
  <c r="U91" i="12"/>
  <c r="Q91" i="12"/>
  <c r="W91" i="12"/>
  <c r="V91" i="12"/>
  <c r="S91" i="12"/>
  <c r="R91" i="12"/>
  <c r="O91" i="12"/>
  <c r="K78" i="12"/>
  <c r="K93" i="12" s="1"/>
  <c r="J78" i="12"/>
  <c r="J93" i="12" s="1"/>
  <c r="I78" i="12"/>
  <c r="I93" i="12" s="1"/>
  <c r="H78" i="12"/>
  <c r="H93" i="12" s="1"/>
  <c r="G78" i="12"/>
  <c r="G93" i="12" s="1"/>
  <c r="F78" i="12"/>
  <c r="F93" i="12" s="1"/>
  <c r="E78" i="12"/>
  <c r="D78" i="12"/>
  <c r="D93" i="12" s="1"/>
  <c r="C78" i="12"/>
  <c r="C93" i="12" s="1"/>
  <c r="B78" i="12"/>
  <c r="N76" i="12"/>
  <c r="N78" i="12" s="1"/>
  <c r="M76" i="12"/>
  <c r="M78" i="12" s="1"/>
  <c r="L76" i="12"/>
  <c r="L78" i="12" s="1"/>
  <c r="L93" i="12" s="1"/>
  <c r="U76" i="12"/>
  <c r="T76" i="12"/>
  <c r="Q76" i="12"/>
  <c r="P76" i="12"/>
  <c r="W76" i="12"/>
  <c r="V76" i="12"/>
  <c r="S76" i="12"/>
  <c r="R76" i="12"/>
  <c r="O76" i="12"/>
  <c r="U78" i="12"/>
  <c r="U93" i="12" s="1"/>
  <c r="T78" i="12"/>
  <c r="T93" i="12" s="1"/>
  <c r="Q78" i="12"/>
  <c r="P78" i="12"/>
  <c r="P93" i="12" s="1"/>
  <c r="N38" i="12"/>
  <c r="M38" i="12"/>
  <c r="L38" i="12"/>
  <c r="L42" i="12" s="1"/>
  <c r="K38" i="12"/>
  <c r="J38" i="12"/>
  <c r="I38" i="12"/>
  <c r="H38" i="12"/>
  <c r="G38" i="12"/>
  <c r="F38" i="12"/>
  <c r="E38" i="12"/>
  <c r="D38" i="12"/>
  <c r="D42" i="12" s="1"/>
  <c r="C38" i="12"/>
  <c r="B38" i="12"/>
  <c r="W38" i="12"/>
  <c r="V38" i="12"/>
  <c r="U38" i="12"/>
  <c r="T38" i="12"/>
  <c r="T42" i="12" s="1"/>
  <c r="S38" i="12"/>
  <c r="S42" i="12" s="1"/>
  <c r="R38" i="12"/>
  <c r="Q38" i="12"/>
  <c r="P38" i="12"/>
  <c r="O38" i="12"/>
  <c r="I24" i="12"/>
  <c r="I40" i="12" s="1"/>
  <c r="N22" i="12"/>
  <c r="N24" i="12" s="1"/>
  <c r="N40" i="12" s="1"/>
  <c r="M22" i="12"/>
  <c r="M24" i="12" s="1"/>
  <c r="M40" i="12" s="1"/>
  <c r="L22" i="12"/>
  <c r="L24" i="12" s="1"/>
  <c r="K22" i="12"/>
  <c r="K24" i="12" s="1"/>
  <c r="K40" i="12" s="1"/>
  <c r="J22" i="12"/>
  <c r="J24" i="12" s="1"/>
  <c r="J40" i="12" s="1"/>
  <c r="I22" i="12"/>
  <c r="H22" i="12"/>
  <c r="H24" i="12" s="1"/>
  <c r="H40" i="12" s="1"/>
  <c r="G22" i="12"/>
  <c r="G24" i="12" s="1"/>
  <c r="G40" i="12" s="1"/>
  <c r="F22" i="12"/>
  <c r="F24" i="12" s="1"/>
  <c r="F40" i="12" s="1"/>
  <c r="E22" i="12"/>
  <c r="E24" i="12" s="1"/>
  <c r="E40" i="12" s="1"/>
  <c r="D22" i="12"/>
  <c r="D24" i="12" s="1"/>
  <c r="C22" i="12"/>
  <c r="C24" i="12" s="1"/>
  <c r="C40" i="12" s="1"/>
  <c r="B22" i="12"/>
  <c r="B24" i="12" s="1"/>
  <c r="B40" i="12" s="1"/>
  <c r="W22" i="12"/>
  <c r="S22" i="12"/>
  <c r="O22" i="12"/>
  <c r="O24" i="12" s="1"/>
  <c r="V22" i="12"/>
  <c r="V24" i="12" s="1"/>
  <c r="V40" i="12" s="1"/>
  <c r="U22" i="12"/>
  <c r="U24" i="12" s="1"/>
  <c r="U40" i="12" s="1"/>
  <c r="T22" i="12"/>
  <c r="R22" i="12"/>
  <c r="R24" i="12" s="1"/>
  <c r="R40" i="12" s="1"/>
  <c r="Q22" i="12"/>
  <c r="Q24" i="12" s="1"/>
  <c r="Q40" i="12" s="1"/>
  <c r="P22" i="12"/>
  <c r="W24" i="12"/>
  <c r="T24" i="12"/>
  <c r="S24" i="12"/>
  <c r="P24" i="12"/>
  <c r="D4" i="11"/>
  <c r="D3" i="11"/>
  <c r="E42" i="12" l="1"/>
  <c r="N42" i="12"/>
  <c r="H42" i="12"/>
  <c r="Q93" i="12"/>
  <c r="L95" i="12"/>
  <c r="N93" i="12"/>
  <c r="O42" i="12"/>
  <c r="W42" i="12"/>
  <c r="I42" i="12"/>
  <c r="M93" i="12"/>
  <c r="F42" i="12"/>
  <c r="P42" i="12"/>
  <c r="B42" i="12"/>
  <c r="J42" i="12"/>
  <c r="M42" i="12"/>
  <c r="G42" i="12"/>
  <c r="D40" i="12"/>
  <c r="L40" i="12"/>
  <c r="C42" i="12"/>
  <c r="K42" i="12"/>
  <c r="R78" i="12"/>
  <c r="R93" i="12" s="1"/>
  <c r="V78" i="12"/>
  <c r="V93" i="12" s="1"/>
  <c r="O78" i="12"/>
  <c r="O93" i="12" s="1"/>
  <c r="S78" i="12"/>
  <c r="S93" i="12" s="1"/>
  <c r="W78" i="12"/>
  <c r="W93" i="12" s="1"/>
  <c r="R95" i="12"/>
  <c r="V95" i="12"/>
  <c r="Q95" i="12"/>
  <c r="U95" i="12"/>
  <c r="P95" i="12"/>
  <c r="T95" i="12"/>
  <c r="O95" i="12"/>
  <c r="S95" i="12"/>
  <c r="W95" i="12"/>
  <c r="S40" i="12"/>
  <c r="P40" i="12"/>
  <c r="T40" i="12"/>
  <c r="Q42" i="12"/>
  <c r="U42" i="12"/>
  <c r="O40" i="12"/>
  <c r="W40" i="12"/>
  <c r="R42" i="12"/>
  <c r="V42" i="12"/>
  <c r="AN3" i="7" l="1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BC3" i="7"/>
  <c r="BD3" i="7"/>
  <c r="BE3" i="7"/>
  <c r="BF3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AM3" i="7"/>
  <c r="AM4" i="7"/>
  <c r="AM5" i="7"/>
  <c r="AM6" i="7"/>
  <c r="AM7" i="7"/>
  <c r="AL4" i="7"/>
  <c r="AL5" i="7"/>
  <c r="AL6" i="7"/>
  <c r="AL7" i="7"/>
  <c r="AL3" i="7"/>
  <c r="E21" i="2" l="1"/>
  <c r="AB21" i="2"/>
  <c r="T21" i="2"/>
  <c r="L21" i="2"/>
  <c r="D21" i="2"/>
  <c r="AA21" i="2"/>
  <c r="S21" i="2"/>
  <c r="K21" i="2"/>
  <c r="C21" i="2"/>
  <c r="Z21" i="2"/>
  <c r="R21" i="2"/>
  <c r="J21" i="2"/>
  <c r="B21" i="2"/>
  <c r="Y21" i="2"/>
  <c r="Q21" i="2"/>
  <c r="I21" i="2"/>
  <c r="X21" i="2"/>
  <c r="P21" i="2"/>
  <c r="H21" i="2"/>
  <c r="AE21" i="2"/>
  <c r="W21" i="2"/>
  <c r="O21" i="2"/>
  <c r="G21" i="2"/>
  <c r="AD21" i="2"/>
  <c r="V21" i="2"/>
  <c r="N21" i="2"/>
  <c r="F21" i="2"/>
  <c r="AC21" i="2"/>
  <c r="U21" i="2"/>
  <c r="M21" i="2"/>
  <c r="C143" i="3"/>
  <c r="C22" i="2" s="1"/>
  <c r="D143" i="3"/>
  <c r="D22" i="2" s="1"/>
  <c r="E143" i="3"/>
  <c r="E22" i="2" s="1"/>
  <c r="F143" i="3"/>
  <c r="F22" i="2" s="1"/>
  <c r="G143" i="3"/>
  <c r="G22" i="2" s="1"/>
  <c r="H143" i="3"/>
  <c r="H22" i="2" s="1"/>
  <c r="I143" i="3"/>
  <c r="I22" i="2" s="1"/>
  <c r="J143" i="3"/>
  <c r="J22" i="2" s="1"/>
  <c r="K143" i="3"/>
  <c r="K22" i="2" s="1"/>
  <c r="L143" i="3"/>
  <c r="L22" i="2" s="1"/>
  <c r="M143" i="3"/>
  <c r="M22" i="2" s="1"/>
  <c r="N143" i="3"/>
  <c r="N22" i="2" s="1"/>
  <c r="O143" i="3"/>
  <c r="O22" i="2" s="1"/>
  <c r="P143" i="3"/>
  <c r="P22" i="2" s="1"/>
  <c r="Q143" i="3"/>
  <c r="Q22" i="2" s="1"/>
  <c r="R143" i="3"/>
  <c r="R22" i="2" s="1"/>
  <c r="S143" i="3"/>
  <c r="S22" i="2" s="1"/>
  <c r="T143" i="3"/>
  <c r="T22" i="2" s="1"/>
  <c r="U143" i="3"/>
  <c r="U22" i="2" s="1"/>
  <c r="V143" i="3"/>
  <c r="V22" i="2" s="1"/>
  <c r="W143" i="3"/>
  <c r="W22" i="2" s="1"/>
  <c r="X143" i="3"/>
  <c r="X22" i="2" s="1"/>
  <c r="Y143" i="3"/>
  <c r="Y22" i="2" s="1"/>
  <c r="Z143" i="3"/>
  <c r="Z22" i="2" s="1"/>
  <c r="AA143" i="3"/>
  <c r="AA22" i="2" s="1"/>
  <c r="AB143" i="3"/>
  <c r="AB22" i="2" s="1"/>
  <c r="AC143" i="3"/>
  <c r="AC22" i="2" s="1"/>
  <c r="AD143" i="3"/>
  <c r="AD22" i="2" s="1"/>
  <c r="AE143" i="3"/>
  <c r="AE22" i="2" s="1"/>
  <c r="AF143" i="3"/>
  <c r="AG143" i="3"/>
  <c r="AH143" i="3"/>
  <c r="AI143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B144" i="3"/>
  <c r="B145" i="3"/>
  <c r="B146" i="3"/>
  <c r="B147" i="3"/>
  <c r="B148" i="3"/>
  <c r="B149" i="3"/>
  <c r="B150" i="3"/>
  <c r="B143" i="3"/>
  <c r="B22" i="2" s="1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C125" i="3"/>
  <c r="D125" i="3"/>
  <c r="B20" i="2" s="1"/>
  <c r="E125" i="3"/>
  <c r="F125" i="3"/>
  <c r="G125" i="3"/>
  <c r="H125" i="3"/>
  <c r="I125" i="3"/>
  <c r="J125" i="3"/>
  <c r="K125" i="3"/>
  <c r="L125" i="3"/>
  <c r="M125" i="3"/>
  <c r="N125" i="3"/>
  <c r="O125" i="3"/>
  <c r="P125" i="3"/>
  <c r="N20" i="2" s="1"/>
  <c r="Q125" i="3"/>
  <c r="R125" i="3"/>
  <c r="S125" i="3"/>
  <c r="T125" i="3"/>
  <c r="U125" i="3"/>
  <c r="V125" i="3"/>
  <c r="W125" i="3"/>
  <c r="X125" i="3"/>
  <c r="Y125" i="3"/>
  <c r="Z125" i="3"/>
  <c r="AA125" i="3"/>
  <c r="AB125" i="3"/>
  <c r="Z20" i="2" s="1"/>
  <c r="AC125" i="3"/>
  <c r="AD125" i="3"/>
  <c r="AE125" i="3"/>
  <c r="AF125" i="3"/>
  <c r="AG125" i="3"/>
  <c r="AH125" i="3"/>
  <c r="AI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B124" i="3"/>
  <c r="B125" i="3"/>
  <c r="B126" i="3"/>
  <c r="B127" i="3"/>
  <c r="B128" i="3"/>
  <c r="B129" i="3"/>
  <c r="B130" i="3"/>
  <c r="B12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C114" i="3"/>
  <c r="D114" i="3"/>
  <c r="B19" i="2" s="1"/>
  <c r="E114" i="3"/>
  <c r="C19" i="2" s="1"/>
  <c r="F114" i="3"/>
  <c r="D19" i="2" s="1"/>
  <c r="G114" i="3"/>
  <c r="E19" i="2" s="1"/>
  <c r="H114" i="3"/>
  <c r="F19" i="2" s="1"/>
  <c r="I114" i="3"/>
  <c r="G19" i="2" s="1"/>
  <c r="J114" i="3"/>
  <c r="H19" i="2" s="1"/>
  <c r="K114" i="3"/>
  <c r="I19" i="2" s="1"/>
  <c r="L114" i="3"/>
  <c r="J19" i="2" s="1"/>
  <c r="M114" i="3"/>
  <c r="K19" i="2" s="1"/>
  <c r="N114" i="3"/>
  <c r="L19" i="2" s="1"/>
  <c r="O114" i="3"/>
  <c r="M19" i="2" s="1"/>
  <c r="P114" i="3"/>
  <c r="N19" i="2" s="1"/>
  <c r="Q114" i="3"/>
  <c r="O19" i="2" s="1"/>
  <c r="R114" i="3"/>
  <c r="P19" i="2" s="1"/>
  <c r="S114" i="3"/>
  <c r="Q19" i="2" s="1"/>
  <c r="T114" i="3"/>
  <c r="R19" i="2" s="1"/>
  <c r="U114" i="3"/>
  <c r="S19" i="2" s="1"/>
  <c r="V114" i="3"/>
  <c r="T19" i="2" s="1"/>
  <c r="W114" i="3"/>
  <c r="U19" i="2" s="1"/>
  <c r="X114" i="3"/>
  <c r="V19" i="2" s="1"/>
  <c r="Y114" i="3"/>
  <c r="W19" i="2" s="1"/>
  <c r="Z114" i="3"/>
  <c r="X19" i="2" s="1"/>
  <c r="AA114" i="3"/>
  <c r="Y19" i="2" s="1"/>
  <c r="AB114" i="3"/>
  <c r="Z19" i="2" s="1"/>
  <c r="AC114" i="3"/>
  <c r="AA19" i="2" s="1"/>
  <c r="AD114" i="3"/>
  <c r="AB19" i="2" s="1"/>
  <c r="AE114" i="3"/>
  <c r="AC19" i="2" s="1"/>
  <c r="AF114" i="3"/>
  <c r="AD19" i="2" s="1"/>
  <c r="AG114" i="3"/>
  <c r="AE19" i="2" s="1"/>
  <c r="AH114" i="3"/>
  <c r="AI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B114" i="3"/>
  <c r="B115" i="3"/>
  <c r="B116" i="3"/>
  <c r="B117" i="3"/>
  <c r="B118" i="3"/>
  <c r="B119" i="3"/>
  <c r="B120" i="3"/>
  <c r="B11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B104" i="3"/>
  <c r="B105" i="3"/>
  <c r="B106" i="3"/>
  <c r="B107" i="3"/>
  <c r="B108" i="3"/>
  <c r="B109" i="3"/>
  <c r="B110" i="3"/>
  <c r="B10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B94" i="3"/>
  <c r="B95" i="3"/>
  <c r="B96" i="3"/>
  <c r="B97" i="3"/>
  <c r="B98" i="3"/>
  <c r="B99" i="3"/>
  <c r="B100" i="3"/>
  <c r="B9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B84" i="3"/>
  <c r="B85" i="3"/>
  <c r="B86" i="3"/>
  <c r="B87" i="3"/>
  <c r="B88" i="3"/>
  <c r="B89" i="3"/>
  <c r="B90" i="3"/>
  <c r="B8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B74" i="3"/>
  <c r="B75" i="3"/>
  <c r="B76" i="3"/>
  <c r="B77" i="3"/>
  <c r="B78" i="3"/>
  <c r="B79" i="3"/>
  <c r="B80" i="3"/>
  <c r="B7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B64" i="3"/>
  <c r="B65" i="3"/>
  <c r="B66" i="3"/>
  <c r="B67" i="3"/>
  <c r="B68" i="3"/>
  <c r="B69" i="3"/>
  <c r="B70" i="3"/>
  <c r="B63" i="3"/>
  <c r="C53" i="3"/>
  <c r="D53" i="3"/>
  <c r="B11" i="2" s="1"/>
  <c r="E53" i="3"/>
  <c r="F53" i="3"/>
  <c r="G53" i="3"/>
  <c r="E11" i="2" s="1"/>
  <c r="H53" i="3"/>
  <c r="I53" i="3"/>
  <c r="J53" i="3"/>
  <c r="H11" i="2" s="1"/>
  <c r="K53" i="3"/>
  <c r="I11" i="2" s="1"/>
  <c r="L53" i="3"/>
  <c r="M53" i="3"/>
  <c r="K11" i="2" s="1"/>
  <c r="N53" i="3"/>
  <c r="L11" i="2" s="1"/>
  <c r="O53" i="3"/>
  <c r="P53" i="3"/>
  <c r="N11" i="2" s="1"/>
  <c r="Q53" i="3"/>
  <c r="O11" i="2" s="1"/>
  <c r="R53" i="3"/>
  <c r="P11" i="2" s="1"/>
  <c r="S53" i="3"/>
  <c r="Q11" i="2" s="1"/>
  <c r="T53" i="3"/>
  <c r="R11" i="2" s="1"/>
  <c r="U53" i="3"/>
  <c r="V53" i="3"/>
  <c r="T11" i="2" s="1"/>
  <c r="W53" i="3"/>
  <c r="U11" i="2" s="1"/>
  <c r="X53" i="3"/>
  <c r="V11" i="2" s="1"/>
  <c r="Y53" i="3"/>
  <c r="W11" i="2" s="1"/>
  <c r="Z53" i="3"/>
  <c r="X11" i="2" s="1"/>
  <c r="AA53" i="3"/>
  <c r="Y11" i="2" s="1"/>
  <c r="AB53" i="3"/>
  <c r="Z11" i="2" s="1"/>
  <c r="AC53" i="3"/>
  <c r="AA11" i="2" s="1"/>
  <c r="AD53" i="3"/>
  <c r="AB11" i="2" s="1"/>
  <c r="AE53" i="3"/>
  <c r="AC11" i="2" s="1"/>
  <c r="AF53" i="3"/>
  <c r="AD11" i="2" s="1"/>
  <c r="AG53" i="3"/>
  <c r="AH53" i="3"/>
  <c r="AI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C43" i="3"/>
  <c r="D43" i="3"/>
  <c r="B10" i="2" s="1"/>
  <c r="E43" i="3"/>
  <c r="C10" i="2" s="1"/>
  <c r="F43" i="3"/>
  <c r="D10" i="2" s="1"/>
  <c r="G43" i="3"/>
  <c r="H43" i="3"/>
  <c r="F10" i="2" s="1"/>
  <c r="I43" i="3"/>
  <c r="J43" i="3"/>
  <c r="K43" i="3"/>
  <c r="L43" i="3"/>
  <c r="M43" i="3"/>
  <c r="N43" i="3"/>
  <c r="O43" i="3"/>
  <c r="P43" i="3"/>
  <c r="N10" i="2" s="1"/>
  <c r="Q43" i="3"/>
  <c r="O10" i="2" s="1"/>
  <c r="R43" i="3"/>
  <c r="P10" i="2" s="1"/>
  <c r="S43" i="3"/>
  <c r="T43" i="3"/>
  <c r="R10" i="2" s="1"/>
  <c r="U43" i="3"/>
  <c r="V43" i="3"/>
  <c r="W43" i="3"/>
  <c r="X43" i="3"/>
  <c r="Y43" i="3"/>
  <c r="Z43" i="3"/>
  <c r="AA43" i="3"/>
  <c r="AB43" i="3"/>
  <c r="Z10" i="2" s="1"/>
  <c r="AC43" i="3"/>
  <c r="AA10" i="2" s="1"/>
  <c r="AD43" i="3"/>
  <c r="AB10" i="2" s="1"/>
  <c r="AE43" i="3"/>
  <c r="AF43" i="3"/>
  <c r="AD10" i="2" s="1"/>
  <c r="AG43" i="3"/>
  <c r="AH43" i="3"/>
  <c r="AI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B44" i="3"/>
  <c r="B45" i="3"/>
  <c r="B46" i="3"/>
  <c r="B47" i="3"/>
  <c r="B48" i="3"/>
  <c r="B49" i="3"/>
  <c r="B50" i="3"/>
  <c r="B4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B34" i="3"/>
  <c r="B35" i="3"/>
  <c r="B36" i="3"/>
  <c r="B37" i="3"/>
  <c r="B38" i="3"/>
  <c r="B39" i="3"/>
  <c r="B40" i="3"/>
  <c r="B33" i="3"/>
  <c r="M10" i="2" l="1"/>
  <c r="Y10" i="2"/>
  <c r="X10" i="2"/>
  <c r="L10" i="2"/>
  <c r="W10" i="2"/>
  <c r="K10" i="2"/>
  <c r="V10" i="2"/>
  <c r="J10" i="2"/>
  <c r="U10" i="2"/>
  <c r="I10" i="2"/>
  <c r="T10" i="2"/>
  <c r="H10" i="2"/>
  <c r="AE10" i="2"/>
  <c r="S10" i="2"/>
  <c r="G10" i="2"/>
  <c r="AC10" i="2"/>
  <c r="Q10" i="2"/>
  <c r="E10" i="2"/>
  <c r="X20" i="2"/>
  <c r="V20" i="2"/>
  <c r="AC20" i="2"/>
  <c r="Q20" i="2"/>
  <c r="H14" i="2"/>
  <c r="J11" i="2"/>
  <c r="AE11" i="2"/>
  <c r="S11" i="2"/>
  <c r="G11" i="2"/>
  <c r="F11" i="2"/>
  <c r="D11" i="2"/>
  <c r="C11" i="2"/>
  <c r="M11" i="2"/>
  <c r="X14" i="2"/>
  <c r="Y20" i="2"/>
  <c r="M20" i="2"/>
  <c r="L20" i="2"/>
  <c r="W20" i="2"/>
  <c r="K20" i="2"/>
  <c r="J20" i="2"/>
  <c r="U20" i="2"/>
  <c r="I20" i="2"/>
  <c r="T20" i="2"/>
  <c r="H20" i="2"/>
  <c r="AE20" i="2"/>
  <c r="S20" i="2"/>
  <c r="G20" i="2"/>
  <c r="P14" i="2"/>
  <c r="AD20" i="2"/>
  <c r="R20" i="2"/>
  <c r="F20" i="2"/>
  <c r="E20" i="2"/>
  <c r="AB20" i="2"/>
  <c r="P20" i="2"/>
  <c r="D20" i="2"/>
  <c r="AA20" i="2"/>
  <c r="O20" i="2"/>
  <c r="C20" i="2"/>
  <c r="AE14" i="2"/>
  <c r="W14" i="2"/>
  <c r="O14" i="2"/>
  <c r="G14" i="2"/>
  <c r="AD14" i="2"/>
  <c r="V14" i="2"/>
  <c r="N14" i="2"/>
  <c r="F14" i="2"/>
  <c r="AC14" i="2"/>
  <c r="U14" i="2"/>
  <c r="M14" i="2"/>
  <c r="E14" i="2"/>
  <c r="AB14" i="2"/>
  <c r="T14" i="2"/>
  <c r="L14" i="2"/>
  <c r="D14" i="2"/>
  <c r="AA14" i="2"/>
  <c r="S14" i="2"/>
  <c r="K14" i="2"/>
  <c r="C14" i="2"/>
  <c r="Z14" i="2"/>
  <c r="R14" i="2"/>
  <c r="J14" i="2"/>
  <c r="B14" i="2"/>
  <c r="Y14" i="2"/>
  <c r="Q14" i="2"/>
  <c r="I14" i="2"/>
  <c r="AB13" i="2"/>
  <c r="T13" i="2"/>
  <c r="L13" i="2"/>
  <c r="D13" i="2"/>
  <c r="D12" i="2"/>
  <c r="T12" i="2"/>
  <c r="AB12" i="2"/>
  <c r="P9" i="2"/>
  <c r="I9" i="2"/>
  <c r="T9" i="2"/>
  <c r="D9" i="2"/>
  <c r="Y9" i="2"/>
  <c r="R9" i="2"/>
  <c r="AA9" i="2"/>
  <c r="L9" i="2"/>
  <c r="J9" i="2"/>
  <c r="M9" i="2"/>
  <c r="V9" i="2"/>
  <c r="U9" i="2"/>
  <c r="U12" i="2"/>
  <c r="M12" i="2"/>
  <c r="E12" i="2"/>
  <c r="AC13" i="2"/>
  <c r="U13" i="2"/>
  <c r="M13" i="2"/>
  <c r="E13" i="2"/>
  <c r="AC17" i="2"/>
  <c r="U17" i="2"/>
  <c r="M17" i="2"/>
  <c r="E17" i="2"/>
  <c r="K9" i="2"/>
  <c r="C9" i="2"/>
  <c r="AA12" i="2"/>
  <c r="K12" i="2"/>
  <c r="C12" i="2"/>
  <c r="W13" i="2"/>
  <c r="B13" i="2"/>
  <c r="AA13" i="2"/>
  <c r="S13" i="2"/>
  <c r="K13" i="2"/>
  <c r="C13" i="2"/>
  <c r="Z9" i="2"/>
  <c r="B9" i="2"/>
  <c r="G12" i="2"/>
  <c r="Q12" i="2"/>
  <c r="Z12" i="2"/>
  <c r="R12" i="2"/>
  <c r="J12" i="2"/>
  <c r="B12" i="2"/>
  <c r="F13" i="2"/>
  <c r="AE13" i="2"/>
  <c r="Z13" i="2"/>
  <c r="R13" i="2"/>
  <c r="J13" i="2"/>
  <c r="Q9" i="2"/>
  <c r="Y12" i="2"/>
  <c r="I12" i="2"/>
  <c r="Y13" i="2"/>
  <c r="Q13" i="2"/>
  <c r="I13" i="2"/>
  <c r="X9" i="2"/>
  <c r="H9" i="2"/>
  <c r="X12" i="2"/>
  <c r="P12" i="2"/>
  <c r="H12" i="2"/>
  <c r="X13" i="2"/>
  <c r="P13" i="2"/>
  <c r="H13" i="2"/>
  <c r="S9" i="2"/>
  <c r="AB9" i="2"/>
  <c r="F9" i="2"/>
  <c r="AE9" i="2"/>
  <c r="W9" i="2"/>
  <c r="O9" i="2"/>
  <c r="G9" i="2"/>
  <c r="AE12" i="2"/>
  <c r="W12" i="2"/>
  <c r="O12" i="2"/>
  <c r="O13" i="2"/>
  <c r="G13" i="2"/>
  <c r="AC9" i="2"/>
  <c r="E9" i="2"/>
  <c r="AD9" i="2"/>
  <c r="N9" i="2"/>
  <c r="S12" i="2"/>
  <c r="L12" i="2"/>
  <c r="AC12" i="2"/>
  <c r="AD12" i="2"/>
  <c r="V12" i="2"/>
  <c r="N12" i="2"/>
  <c r="F12" i="2"/>
  <c r="AD13" i="2"/>
  <c r="V13" i="2"/>
  <c r="N13" i="2"/>
  <c r="AD17" i="2"/>
  <c r="V17" i="2"/>
  <c r="N17" i="2"/>
  <c r="F17" i="2"/>
  <c r="AB17" i="2"/>
  <c r="T17" i="2"/>
  <c r="L17" i="2"/>
  <c r="D17" i="2"/>
  <c r="AA17" i="2"/>
  <c r="S17" i="2"/>
  <c r="K17" i="2"/>
  <c r="C17" i="2"/>
  <c r="Z17" i="2"/>
  <c r="R17" i="2"/>
  <c r="J17" i="2"/>
  <c r="B17" i="2"/>
  <c r="Y17" i="2"/>
  <c r="Q17" i="2"/>
  <c r="I17" i="2"/>
  <c r="X17" i="2"/>
  <c r="P17" i="2"/>
  <c r="H17" i="2"/>
  <c r="AE17" i="2"/>
  <c r="W17" i="2"/>
  <c r="O17" i="2"/>
  <c r="G17" i="2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B25" i="3"/>
  <c r="B26" i="3"/>
  <c r="B27" i="3"/>
  <c r="B28" i="3"/>
  <c r="B29" i="3"/>
  <c r="B30" i="3"/>
  <c r="B2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C14" i="3"/>
  <c r="D14" i="3"/>
  <c r="B4" i="2" s="1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Z4" i="2" s="1"/>
  <c r="AC14" i="3"/>
  <c r="AD14" i="3"/>
  <c r="AE14" i="3"/>
  <c r="AF14" i="3"/>
  <c r="AG14" i="3"/>
  <c r="AH14" i="3"/>
  <c r="AI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B14" i="3"/>
  <c r="B15" i="3"/>
  <c r="B16" i="3"/>
  <c r="B17" i="3"/>
  <c r="B18" i="3"/>
  <c r="B19" i="3"/>
  <c r="B20" i="3"/>
  <c r="B1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C4" i="3"/>
  <c r="D4" i="3"/>
  <c r="B3" i="2" s="1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Z3" i="2" s="1"/>
  <c r="AC4" i="3"/>
  <c r="AD4" i="3"/>
  <c r="AE4" i="3"/>
  <c r="AF4" i="3"/>
  <c r="AG4" i="3"/>
  <c r="AH4" i="3"/>
  <c r="AI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B4" i="3"/>
  <c r="B5" i="3"/>
  <c r="B6" i="3"/>
  <c r="B7" i="3"/>
  <c r="B8" i="3"/>
  <c r="B9" i="3"/>
  <c r="B10" i="3"/>
  <c r="R3" i="2" l="1"/>
  <c r="J3" i="2"/>
  <c r="J4" i="2"/>
  <c r="R4" i="2"/>
  <c r="AB3" i="2"/>
  <c r="T3" i="2"/>
  <c r="L3" i="2"/>
  <c r="D3" i="2"/>
  <c r="AB4" i="2"/>
  <c r="T4" i="2"/>
  <c r="L4" i="2"/>
  <c r="D4" i="2"/>
  <c r="AA3" i="2"/>
  <c r="S3" i="2"/>
  <c r="K3" i="2"/>
  <c r="C3" i="2"/>
  <c r="AA4" i="2"/>
  <c r="S4" i="2"/>
  <c r="K4" i="2"/>
  <c r="C4" i="2"/>
  <c r="Y3" i="2"/>
  <c r="Q3" i="2"/>
  <c r="I3" i="2"/>
  <c r="Y4" i="2"/>
  <c r="Q4" i="2"/>
  <c r="I4" i="2"/>
  <c r="X3" i="2"/>
  <c r="P3" i="2"/>
  <c r="H3" i="2"/>
  <c r="X4" i="2"/>
  <c r="P4" i="2"/>
  <c r="H4" i="2"/>
  <c r="AE3" i="2"/>
  <c r="W3" i="2"/>
  <c r="O3" i="2"/>
  <c r="G3" i="2"/>
  <c r="AE4" i="2"/>
  <c r="W4" i="2"/>
  <c r="O4" i="2"/>
  <c r="G4" i="2"/>
  <c r="AD3" i="2"/>
  <c r="V3" i="2"/>
  <c r="N3" i="2"/>
  <c r="F3" i="2"/>
  <c r="AD4" i="2"/>
  <c r="V4" i="2"/>
  <c r="N4" i="2"/>
  <c r="F4" i="2"/>
  <c r="AC3" i="2"/>
  <c r="U3" i="2"/>
  <c r="M3" i="2"/>
  <c r="E3" i="2"/>
  <c r="AC4" i="2"/>
  <c r="U4" i="2"/>
  <c r="M4" i="2"/>
  <c r="E4" i="2"/>
  <c r="X5" i="2"/>
  <c r="P5" i="2"/>
  <c r="H5" i="2"/>
  <c r="AE5" i="2"/>
  <c r="W5" i="2"/>
  <c r="O5" i="2"/>
  <c r="G5" i="2"/>
  <c r="AD5" i="2"/>
  <c r="V5" i="2"/>
  <c r="N5" i="2"/>
  <c r="F5" i="2"/>
  <c r="AC5" i="2"/>
  <c r="M5" i="2"/>
  <c r="AB5" i="2"/>
  <c r="T5" i="2"/>
  <c r="L5" i="2"/>
  <c r="D5" i="2"/>
  <c r="U5" i="2"/>
  <c r="E5" i="2"/>
  <c r="AA5" i="2"/>
  <c r="S5" i="2"/>
  <c r="K5" i="2"/>
  <c r="C5" i="2"/>
  <c r="Z5" i="2"/>
  <c r="R5" i="2"/>
  <c r="J5" i="2"/>
  <c r="B5" i="2"/>
  <c r="Y5" i="2"/>
  <c r="Q5" i="2"/>
  <c r="I5" i="2"/>
</calcChain>
</file>

<file path=xl/sharedStrings.xml><?xml version="1.0" encoding="utf-8"?>
<sst xmlns="http://schemas.openxmlformats.org/spreadsheetml/2006/main" count="2040" uniqueCount="1480">
  <si>
    <t>Source:</t>
  </si>
  <si>
    <t>Notes</t>
  </si>
  <si>
    <t>hard coal</t>
  </si>
  <si>
    <t>natural gas</t>
  </si>
  <si>
    <t>nuclear</t>
  </si>
  <si>
    <t>biomass</t>
  </si>
  <si>
    <t>petroleum gasoline</t>
  </si>
  <si>
    <t>petroleum diesel</t>
  </si>
  <si>
    <t>biofuel gasoline</t>
  </si>
  <si>
    <t>biofuel diesel</t>
  </si>
  <si>
    <t>jet fuel</t>
  </si>
  <si>
    <t>lignite</t>
  </si>
  <si>
    <t>hydro (is not a fuel)</t>
  </si>
  <si>
    <t>wind (is not a fuel)</t>
  </si>
  <si>
    <t>solar (is not a fuel)</t>
  </si>
  <si>
    <t>geothermal (is not a fuel)</t>
  </si>
  <si>
    <t>The prices in this variable should include export taxes, if any.  In other words, they should be</t>
  </si>
  <si>
    <t>Nuclear here refers to nuclear fuel, i.e. uranium oxide, not electricity from nuclear plants.</t>
  </si>
  <si>
    <t>Electricity exports are handled separately (in the power sector), not in this variable.</t>
  </si>
  <si>
    <t>heat (energy carrier)</t>
  </si>
  <si>
    <t>electricity (energy carrier)</t>
  </si>
  <si>
    <t>Hard Coal</t>
  </si>
  <si>
    <t>Transportation Sector Price ($/BTU)</t>
  </si>
  <si>
    <t>Electricity Sector Price ($/BTU)</t>
  </si>
  <si>
    <t>Residential Buildings Sector Price ($/BTU)</t>
  </si>
  <si>
    <t>Commercial Buildings Sector Price ($/BTU)</t>
  </si>
  <si>
    <t>Industry Sector Price ($/BTU)</t>
  </si>
  <si>
    <t>District Heating Sector Price ($/BTU)</t>
  </si>
  <si>
    <t>LULUCF Sector Price ($/BTU)</t>
  </si>
  <si>
    <t>Year</t>
  </si>
  <si>
    <t>Natural Gas</t>
  </si>
  <si>
    <t>Nuclear</t>
  </si>
  <si>
    <t>Biomass</t>
  </si>
  <si>
    <t>Petroleum Gasoline</t>
  </si>
  <si>
    <t>Petroleum Diesel</t>
  </si>
  <si>
    <t>Biofuel Gasoline</t>
  </si>
  <si>
    <t>Biofuel Diesel</t>
  </si>
  <si>
    <t>Jet Fuel</t>
  </si>
  <si>
    <t>Lignite</t>
  </si>
  <si>
    <t>IMFPbFT International Market Fuel Price by Fuel Type</t>
  </si>
  <si>
    <t>crude oil</t>
  </si>
  <si>
    <t>heavy fuel oil</t>
  </si>
  <si>
    <t>LPG propane or butane</t>
  </si>
  <si>
    <t>municipal solid waste</t>
  </si>
  <si>
    <t>hydrogen</t>
  </si>
  <si>
    <t>Crude Oil</t>
  </si>
  <si>
    <t>Heavy Fuel Oil</t>
  </si>
  <si>
    <t>LPG Propane or Butane</t>
  </si>
  <si>
    <t>Municipal Solid Waste</t>
  </si>
  <si>
    <t>Hydrogen</t>
  </si>
  <si>
    <t>International Market Fuel Price ($/BTU)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</si>
  <si>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</si>
  <si>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</si>
  <si>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</si>
  <si>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</si>
  <si>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</si>
  <si>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Heating Sector</t>
  </si>
  <si>
    <t>LULUCF Sector</t>
  </si>
  <si>
    <t>Geoengineering Sector</t>
  </si>
  <si>
    <t>Electricity Fuel Use</t>
  </si>
  <si>
    <t>Building Components Energy Use</t>
  </si>
  <si>
    <t>residential</t>
  </si>
  <si>
    <t>commercial</t>
  </si>
  <si>
    <t>Industrial Fuel Use</t>
  </si>
  <si>
    <t>Transportation</t>
  </si>
  <si>
    <t>For fuels that vary by sector, we take a weighted average based on the first year consumption in the model.</t>
  </si>
  <si>
    <t>Fuel Use by Sector (EPS output)</t>
  </si>
  <si>
    <t>Electricity Fuel Use[hard coal es,preexisting retiring] : MostRecentRun</t>
  </si>
  <si>
    <t>Electricity Fuel Use[hard coal es,preexisting nonretiring] : MostRecentRun</t>
  </si>
  <si>
    <t>Electricity Fuel Use[hard coal es,newly built] : MostRecentRun</t>
  </si>
  <si>
    <t>Electricity Fuel Use[natural gas nonpeaker es,preexisting retiring] : MostRecentRun</t>
  </si>
  <si>
    <t>Electricity Fuel Use[natural gas nonpeaker es,preexisting nonretiring] : MostRecentRun</t>
  </si>
  <si>
    <t>Electricity Fuel Use[natural gas nonpeaker es,newly built] : MostRecentRun</t>
  </si>
  <si>
    <t>Electricity Fuel Use[nuclear es,preexisting retiring] : MostRecentRun</t>
  </si>
  <si>
    <t>Electricity Fuel Use[nuclear es,preexisting nonretiring] : MostRecentRun</t>
  </si>
  <si>
    <t>Electricity Fuel Use[nuclear es,newly built] : MostRecentRun</t>
  </si>
  <si>
    <t>Electricity Fuel Use[hydro es,preexisting retiring] : MostRecentRun</t>
  </si>
  <si>
    <t>Electricity Fuel Use[hydro es,preexisting nonretiring] : MostRecentRun</t>
  </si>
  <si>
    <t>Electricity Fuel Use[hydro es,newly built] : MostRecentRun</t>
  </si>
  <si>
    <t>Electricity Fuel Use[onshore wind es,preexisting retiring] : MostRecentRun</t>
  </si>
  <si>
    <t>Electricity Fuel Use[onshore wind es,preexisting nonretiring] : MostRecentRun</t>
  </si>
  <si>
    <t>Electricity Fuel Use[onshore wind es,newly built] : MostRecentRun</t>
  </si>
  <si>
    <t>Electricity Fuel Use[solar PV es,preexisting retiring] : MostRecentRun</t>
  </si>
  <si>
    <t>Electricity Fuel Use[solar PV es,preexisting nonretiring] : MostRecentRun</t>
  </si>
  <si>
    <t>Electricity Fuel Use[solar PV es,newly built] : MostRecentRun</t>
  </si>
  <si>
    <t>Electricity Fuel Use[solar thermal es,preexisting retiring] : MostRecentRun</t>
  </si>
  <si>
    <t>Electricity Fuel Use[solar thermal es,preexisting nonretiring] : MostRecentRun</t>
  </si>
  <si>
    <t>Electricity Fuel Use[solar thermal es,newly built] : MostRecentRun</t>
  </si>
  <si>
    <t>Electricity Fuel Use[biomass es,preexisting retiring] : MostRecentRun</t>
  </si>
  <si>
    <t>Electricity Fuel Use[biomass es,preexisting nonretiring] : MostRecentRun</t>
  </si>
  <si>
    <t>Electricity Fuel Use[biomass es,newly built] : MostRecentRun</t>
  </si>
  <si>
    <t>Electricity Fuel Use[geothermal es,preexisting retiring] : MostRecentRun</t>
  </si>
  <si>
    <t>Electricity Fuel Use[geothermal es,preexisting nonretiring] : MostRecentRun</t>
  </si>
  <si>
    <t>Electricity Fuel Use[geothermal es,newly built] : MostRecentRun</t>
  </si>
  <si>
    <t>Electricity Fuel Use[petroleum es,preexisting retiring] : MostRecentRun</t>
  </si>
  <si>
    <t>Electricity Fuel Use[petroleum es,preexisting nonretiring] : MostRecentRun</t>
  </si>
  <si>
    <t>Electricity Fuel Use[petroleum es,newly built] : MostRecentRun</t>
  </si>
  <si>
    <t>Electricity Fuel Use[natural gas peaker es,preexisting retiring] : MostRecentRun</t>
  </si>
  <si>
    <t>Electricity Fuel Use[natural gas peaker es,preexisting nonretiring] : MostRecentRun</t>
  </si>
  <si>
    <t>Electricity Fuel Use[natural gas peaker es,newly built] : MostRecentRun</t>
  </si>
  <si>
    <t>Electricity Fuel Use[lignite es,preexisting retiring] : MostRecentRun</t>
  </si>
  <si>
    <t>Electricity Fuel Use[lignite es,preexisting nonretiring] : MostRecentRun</t>
  </si>
  <si>
    <t>Electricity Fuel Use[lignite es,newly built] : MostRecentRun</t>
  </si>
  <si>
    <t>Electricity Fuel Use[offshore wind es,preexisting retiring] : MostRecentRun</t>
  </si>
  <si>
    <t>Electricity Fuel Use[offshore wind es,preexisting nonretiring] : MostRecentRun</t>
  </si>
  <si>
    <t>Electricity Fuel Use[offshore wind es,newly built] : MostRecentRun</t>
  </si>
  <si>
    <t>Electricity Fuel Use[crude oil es,preexisting retiring] : MostRecentRun</t>
  </si>
  <si>
    <t>Electricity Fuel Use[crude oil es,preexisting nonretiring] : MostRecentRun</t>
  </si>
  <si>
    <t>Electricity Fuel Use[crude oil es,newly built] : MostRecentRun</t>
  </si>
  <si>
    <t>Electricity Fuel Use[heavy or residual fuel oil es,preexisting retiring] : MostRecentRun</t>
  </si>
  <si>
    <t>Electricity Fuel Use[heavy or residual fuel oil es,preexisting nonretiring] : MostRecentRun</t>
  </si>
  <si>
    <t>Electricity Fuel Use[heavy or residual fuel oil es,newly built] : MostRecentRun</t>
  </si>
  <si>
    <t>Electricity Fuel Use[municipal solid waste es,preexisting retiring] : MostRecentRun</t>
  </si>
  <si>
    <t>Electricity Fuel Use[municipal solid waste es,preexisting nonretiring] : MostRecentRun</t>
  </si>
  <si>
    <t>Electricity Fuel Use[municipal solid waste es,newly built] : MostRecentRun</t>
  </si>
  <si>
    <t>Industrial Fuel Use[electricity if,cement and other carbonates] : MostRecentRun</t>
  </si>
  <si>
    <t>Industrial Fuel Use[electricity if,natural gas and petroleum systems] : MostRecentRun</t>
  </si>
  <si>
    <t>Industrial Fuel Use[electricity if,iron and steel] : MostRecentRun</t>
  </si>
  <si>
    <t>Industrial Fuel Use[electricity if,chemicals] : MostRecentRun</t>
  </si>
  <si>
    <t>Industrial Fuel Use[electricity if,coal mining] : MostRecentRun</t>
  </si>
  <si>
    <t>Industrial Fuel Use[electricity if,waste management] : MostRecentRun</t>
  </si>
  <si>
    <t>Industrial Fuel Use[electricity if,agriculture] : MostRecentRun</t>
  </si>
  <si>
    <t>Industrial Fuel Use[electricity if,other industries] : MostRecentRun</t>
  </si>
  <si>
    <t>Industrial Fuel Use[hard coal if,cement and other carbonates] : MostRecentRun</t>
  </si>
  <si>
    <t>Industrial Fuel Use[hard coal if,natural gas and petroleum systems] : MostRecentRun</t>
  </si>
  <si>
    <t>Industrial Fuel Use[hard coal if,iron and steel] : MostRecentRun</t>
  </si>
  <si>
    <t>Industrial Fuel Use[hard coal if,chemicals] : MostRecentRun</t>
  </si>
  <si>
    <t>Industrial Fuel Use[hard coal if,coal mining] : MostRecentRun</t>
  </si>
  <si>
    <t>Industrial Fuel Use[hard coal if,waste management] : MostRecentRun</t>
  </si>
  <si>
    <t>Industrial Fuel Use[hard coal if,agriculture] : MostRecentRun</t>
  </si>
  <si>
    <t>Industrial Fuel Use[hard coal if,other industries] : MostRecentRun</t>
  </si>
  <si>
    <t>Industrial Fuel Use[natural gas if,cement and other carbonates] : MostRecentRun</t>
  </si>
  <si>
    <t>Industrial Fuel Use[natural gas if,natural gas and petroleum systems] : MostRecentRun</t>
  </si>
  <si>
    <t>Industrial Fuel Use[natural gas if,iron and steel] : MostRecentRun</t>
  </si>
  <si>
    <t>Industrial Fuel Use[natural gas if,chemicals] : MostRecentRun</t>
  </si>
  <si>
    <t>Industrial Fuel Use[natural gas if,coal mining] : MostRecentRun</t>
  </si>
  <si>
    <t>Industrial Fuel Use[natural gas if,waste management] : MostRecentRun</t>
  </si>
  <si>
    <t>Industrial Fuel Use[natural gas if,agriculture] : MostRecentRun</t>
  </si>
  <si>
    <t>Industrial Fuel Use[natural gas if,other industries] : MostRecentRun</t>
  </si>
  <si>
    <t>Industrial Fuel Use[biomass if,cement and other carbonates] : MostRecentRun</t>
  </si>
  <si>
    <t>Industrial Fuel Use[biomass if,natural gas and petroleum systems] : MostRecentRun</t>
  </si>
  <si>
    <t>Industrial Fuel Use[biomass if,iron and steel] : MostRecentRun</t>
  </si>
  <si>
    <t>Industrial Fuel Use[biomass if,chemicals] : MostRecentRun</t>
  </si>
  <si>
    <t>Industrial Fuel Use[biomass if,coal mining] : MostRecentRun</t>
  </si>
  <si>
    <t>Industrial Fuel Use[biomass if,waste management] : MostRecentRun</t>
  </si>
  <si>
    <t>Industrial Fuel Use[biomass if,agriculture] : MostRecentRun</t>
  </si>
  <si>
    <t>Industrial Fuel Use[biomass if,other industries] : MostRecentRun</t>
  </si>
  <si>
    <t>Industrial Fuel Use[petroleum diesel if,cement and other carbonates] : MostRecentRun</t>
  </si>
  <si>
    <t>Industrial Fuel Use[petroleum diesel if,natural gas and petroleum systems] : MostRecentRun</t>
  </si>
  <si>
    <t>Industrial Fuel Use[petroleum diesel if,iron and steel] : MostRecentRun</t>
  </si>
  <si>
    <t>Industrial Fuel Use[petroleum diesel if,chemicals] : MostRecentRun</t>
  </si>
  <si>
    <t>Industrial Fuel Use[petroleum diesel if,coal mining] : MostRecentRun</t>
  </si>
  <si>
    <t>Industrial Fuel Use[petroleum diesel if,waste management] : MostRecentRun</t>
  </si>
  <si>
    <t>Industrial Fuel Use[petroleum diesel if,agriculture] : MostRecentRun</t>
  </si>
  <si>
    <t>Industrial Fuel Use[petroleum diesel if,other industries] : MostRecentRun</t>
  </si>
  <si>
    <t>Industrial Fuel Use[heat if,cement and other carbonates] : MostRecentRun</t>
  </si>
  <si>
    <t>Industrial Fuel Use[heat if,natural gas and petroleum systems] : MostRecentRun</t>
  </si>
  <si>
    <t>Industrial Fuel Use[heat if,iron and steel] : MostRecentRun</t>
  </si>
  <si>
    <t>Industrial Fuel Use[heat if,chemicals] : MostRecentRun</t>
  </si>
  <si>
    <t>Industrial Fuel Use[heat if,coal mining] : MostRecentRun</t>
  </si>
  <si>
    <t>Industrial Fuel Use[heat if,waste management] : MostRecentRun</t>
  </si>
  <si>
    <t>Industrial Fuel Use[heat if,agriculture] : MostRecentRun</t>
  </si>
  <si>
    <t>Industrial Fuel Use[heat if,other industries] : MostRecentRun</t>
  </si>
  <si>
    <t>Industrial Fuel Use[crude oil if,cement and other carbonates] : MostRecentRun</t>
  </si>
  <si>
    <t>Industrial Fuel Use[crude oil if,natural gas and petroleum systems] : MostRecentRun</t>
  </si>
  <si>
    <t>Industrial Fuel Use[crude oil if,iron and steel] : MostRecentRun</t>
  </si>
  <si>
    <t>Industrial Fuel Use[crude oil if,chemicals] : MostRecentRun</t>
  </si>
  <si>
    <t>Industrial Fuel Use[crude oil if,coal mining] : MostRecentRun</t>
  </si>
  <si>
    <t>Industrial Fuel Use[crude oil if,waste management] : MostRecentRun</t>
  </si>
  <si>
    <t>Industrial Fuel Use[crude oil if,agriculture] : MostRecentRun</t>
  </si>
  <si>
    <t>Industrial Fuel Use[crude oil if,other industries] : MostRecentRun</t>
  </si>
  <si>
    <t>Industrial Fuel Use[heavy or residual fuel oil if,cement and other carbonates] : MostRecentRun</t>
  </si>
  <si>
    <t>Industrial Fuel Use[heavy or residual fuel oil if,natural gas and petroleum systems] : MostRecentRun</t>
  </si>
  <si>
    <t>Industrial Fuel Use[heavy or residual fuel oil if,iron and steel] : MostRecentRun</t>
  </si>
  <si>
    <t>Industrial Fuel Use[heavy or residual fuel oil if,chemicals] : MostRecentRun</t>
  </si>
  <si>
    <t>Industrial Fuel Use[heavy or residual fuel oil if,coal mining] : MostRecentRun</t>
  </si>
  <si>
    <t>Industrial Fuel Use[heavy or residual fuel oil if,waste management] : MostRecentRun</t>
  </si>
  <si>
    <t>Industrial Fuel Use[heavy or residual fuel oil if,agriculture] : MostRecentRun</t>
  </si>
  <si>
    <t>Industrial Fuel Use[heavy or residual fuel oil if,other industries] : MostRecentRun</t>
  </si>
  <si>
    <t>Industrial Fuel Use[LPG propane or butane if,cement and other carbonates] : MostRecentRun</t>
  </si>
  <si>
    <t>Industrial Fuel Use[LPG propane or butane if,natural gas and petroleum systems] : MostRecentRun</t>
  </si>
  <si>
    <t>Industrial Fuel Use[LPG propane or butane if,iron and steel] : MostRecentRun</t>
  </si>
  <si>
    <t>Industrial Fuel Use[LPG propane or butane if,chemicals] : MostRecentRun</t>
  </si>
  <si>
    <t>Industrial Fuel Use[LPG propane or butane if,coal mining] : MostRecentRun</t>
  </si>
  <si>
    <t>Industrial Fuel Use[LPG propane or butane if,waste management] : MostRecentRun</t>
  </si>
  <si>
    <t>Industrial Fuel Use[LPG propane or butane if,agriculture] : MostRecentRun</t>
  </si>
  <si>
    <t>Industrial Fuel Use[LPG propane or butane if,other industries] : MostRecentRun</t>
  </si>
  <si>
    <t>Industrial Fuel Use[hydrogen if,cement and other carbonates] : MostRecentRun</t>
  </si>
  <si>
    <t>Industrial Fuel Use[hydrogen if,natural gas and petroleum systems] : MostRecentRun</t>
  </si>
  <si>
    <t>Industrial Fuel Use[hydrogen if,iron and steel] : MostRecentRun</t>
  </si>
  <si>
    <t>Industrial Fuel Use[hydrogen if,chemicals] : MostRecentRun</t>
  </si>
  <si>
    <t>Industrial Fuel Use[hydrogen if,coal mining] : MostRecentRun</t>
  </si>
  <si>
    <t>Industrial Fuel Use[hydrogen if,waste management] : MostRecentRun</t>
  </si>
  <si>
    <t>Industrial Fuel Use[hydrogen if,agriculture] : MostRecentRun</t>
  </si>
  <si>
    <t>Industrial Fuel Use[hydrogen if,other industries] : MostRecentRun</t>
  </si>
  <si>
    <t>Transportation Sector Fuel Used[LDVs,passenger,battery electric vehicle,electricity tf] : MostRecentRun</t>
  </si>
  <si>
    <t>Transportation Sector Fuel Used[LDVs,passenger,battery electric vehicle,natural gas tf] : MostRecentRun</t>
  </si>
  <si>
    <t>Transportation Sector Fuel Used[LDVs,passenger,battery electric vehicle,petroleum gasoline tf] : MostRecentRun</t>
  </si>
  <si>
    <t>Transportation Sector Fuel Used[LDVs,passenger,battery electric vehicle,petroleum diesel tf] : MostRecentRun</t>
  </si>
  <si>
    <t>Transportation Sector Fuel Used[LDVs,passenger,battery electric vehicle,biofuel gasoline tf] : MostRecentRun</t>
  </si>
  <si>
    <t>Transportation Sector Fuel Used[LDVs,passenger,battery electric vehicle,biofuel diesel tf] : MostRecentRun</t>
  </si>
  <si>
    <t>Transportation Sector Fuel Used[LDVs,passenger,battery electric vehicle,jet fuel tf] : MostRecentRun</t>
  </si>
  <si>
    <t>Transportation Sector Fuel Used[LDVs,passenger,battery electric vehicle,heavy or residual fuel oil tf] : MostRecentRun</t>
  </si>
  <si>
    <t>Transportation Sector Fuel Used[LDVs,passenger,battery electric vehicle,LPG propane or butane tf] : MostRecentRun</t>
  </si>
  <si>
    <t>Transportation Sector Fuel Used[LDVs,passenger,battery electric vehicle,hydrogen tf] : MostRecentRun</t>
  </si>
  <si>
    <t>Transportation Sector Fuel Used[LDVs,passenger,natural gas vehicle,electricity tf] : MostRecentRun</t>
  </si>
  <si>
    <t>Transportation Sector Fuel Used[LDVs,passenger,natural gas vehicle,natural gas tf] : MostRecentRun</t>
  </si>
  <si>
    <t>Transportation Sector Fuel Used[LDVs,passenger,natural gas vehicle,petroleum gasoline tf] : MostRecentRun</t>
  </si>
  <si>
    <t>Transportation Sector Fuel Used[LDVs,passenger,natural gas vehicle,petroleum diesel tf] : MostRecentRun</t>
  </si>
  <si>
    <t>Transportation Sector Fuel Used[LDVs,passenger,natural gas vehicle,biofuel gasoline tf] : MostRecentRun</t>
  </si>
  <si>
    <t>Transportation Sector Fuel Used[LDVs,passenger,natural gas vehicle,biofuel diesel tf] : MostRecentRun</t>
  </si>
  <si>
    <t>Transportation Sector Fuel Used[LDVs,passenger,natural gas vehicle,jet fuel tf] : MostRecentRun</t>
  </si>
  <si>
    <t>Transportation Sector Fuel Used[LDVs,passenger,natural gas vehicle,heavy or residual fuel oil tf] : MostRecentRun</t>
  </si>
  <si>
    <t>Transportation Sector Fuel Used[LDVs,passenger,natural gas vehicle,LPG propane or butane tf] : MostRecentRun</t>
  </si>
  <si>
    <t>Transportation Sector Fuel Used[LDVs,passenger,natural gas vehicle,hydrogen tf] : MostRecentRun</t>
  </si>
  <si>
    <t>Transportation Sector Fuel Used[LDVs,passenger,gasoline vehicle,electricity tf] : MostRecentRun</t>
  </si>
  <si>
    <t>Transportation Sector Fuel Used[LDVs,passenger,gasoline vehicle,natural gas tf] : MostRecentRun</t>
  </si>
  <si>
    <t>Transportation Sector Fuel Used[LDVs,passenger,gasoline vehicle,petroleum gasoline tf] : MostRecentRun</t>
  </si>
  <si>
    <t>Transportation Sector Fuel Used[LDVs,passenger,gasoline vehicle,petroleum diesel tf] : MostRecentRun</t>
  </si>
  <si>
    <t>Transportation Sector Fuel Used[LDVs,passenger,gasoline vehicle,biofuel gasoline tf] : MostRecentRun</t>
  </si>
  <si>
    <t>Transportation Sector Fuel Used[LDVs,passenger,gasoline vehicle,biofuel diesel tf] : MostRecentRun</t>
  </si>
  <si>
    <t>Transportation Sector Fuel Used[LDVs,passenger,gasoline vehicle,jet fuel tf] : MostRecentRun</t>
  </si>
  <si>
    <t>Transportation Sector Fuel Used[LDVs,passenger,gasoline vehicle,heavy or residual fuel oil tf] : MostRecentRun</t>
  </si>
  <si>
    <t>Transportation Sector Fuel Used[LDVs,passenger,gasoline vehicle,LPG propane or butane tf] : MostRecentRun</t>
  </si>
  <si>
    <t>Transportation Sector Fuel Used[LDVs,passenger,gasoline vehicle,hydrogen tf] : MostRecentRun</t>
  </si>
  <si>
    <t>Transportation Sector Fuel Used[LDVs,passenger,diesel vehicle,electricity tf] : MostRecentRun</t>
  </si>
  <si>
    <t>Transportation Sector Fuel Used[LDVs,passenger,diesel vehicle,natural gas tf] : MostRecentRun</t>
  </si>
  <si>
    <t>Transportation Sector Fuel Used[LDVs,passenger,diesel vehicle,petroleum gasoline tf] : MostRecentRun</t>
  </si>
  <si>
    <t>Transportation Sector Fuel Used[LDVs,passenger,diesel vehicle,petroleum diesel tf] : MostRecentRun</t>
  </si>
  <si>
    <t>Transportation Sector Fuel Used[LDVs,passenger,diesel vehicle,biofuel gasoline tf] : MostRecentRun</t>
  </si>
  <si>
    <t>Transportation Sector Fuel Used[LDVs,passenger,diesel vehicle,biofuel diesel tf] : MostRecentRun</t>
  </si>
  <si>
    <t>Transportation Sector Fuel Used[LDVs,passenger,diesel vehicle,jet fuel tf] : MostRecentRun</t>
  </si>
  <si>
    <t>Transportation Sector Fuel Used[LDVs,passenger,diesel vehicle,heavy or residual fuel oil tf] : MostRecentRun</t>
  </si>
  <si>
    <t>Transportation Sector Fuel Used[LDVs,passenger,diesel vehicle,LPG propane or butane tf] : MostRecentRun</t>
  </si>
  <si>
    <t>Transportation Sector Fuel Used[LDVs,passenger,diesel vehicle,hydrogen tf] : MostRecentRun</t>
  </si>
  <si>
    <t>Transportation Sector Fuel Used[LDVs,passenger,plugin hybrid vehicle,electricity tf] : MostRecentRun</t>
  </si>
  <si>
    <t>Transportation Sector Fuel Used[LDVs,passenger,plugin hybrid vehicle,natural gas tf] : MostRecentRun</t>
  </si>
  <si>
    <t>Transportation Sector Fuel Used[LDVs,passenger,plugin hybrid vehicle,petroleum gasoline tf] : MostRecentRun</t>
  </si>
  <si>
    <t>Transportation Sector Fuel Used[LDVs,passenger,plugin hybrid vehicle,petroleum diesel tf] : MostRecentRun</t>
  </si>
  <si>
    <t>Transportation Sector Fuel Used[LDVs,passenger,plugin hybrid vehicle,biofuel gasoline tf] : MostRecentRun</t>
  </si>
  <si>
    <t>Transportation Sector Fuel Used[LDVs,passenger,plugin hybrid vehicle,biofuel diesel tf] : MostRecentRun</t>
  </si>
  <si>
    <t>Transportation Sector Fuel Used[LDVs,passenger,plugin hybrid vehicle,jet fuel tf] : MostRecentRun</t>
  </si>
  <si>
    <t>Transportation Sector Fuel Used[LDVs,passenger,plugin hybrid vehicle,heavy or residual fuel oil tf] : MostRecentRun</t>
  </si>
  <si>
    <t>Transportation Sector Fuel Used[LDVs,passenger,plugin hybrid vehicle,LPG propane or butane tf] : MostRecentRun</t>
  </si>
  <si>
    <t>Transportation Sector Fuel Used[LDVs,passenger,plugin hybrid vehicle,hydrogen tf] : MostRecentRun</t>
  </si>
  <si>
    <t>Transportation Sector Fuel Used[LDVs,passenger,LPG vehicle,electricity tf] : MostRecentRun</t>
  </si>
  <si>
    <t>Transportation Sector Fuel Used[LDVs,passenger,LPG vehicle,natural gas tf] : MostRecentRun</t>
  </si>
  <si>
    <t>Transportation Sector Fuel Used[LDVs,passenger,LPG vehicle,petroleum gasoline tf] : MostRecentRun</t>
  </si>
  <si>
    <t>Transportation Sector Fuel Used[LDVs,passenger,LPG vehicle,petroleum diesel tf] : MostRecentRun</t>
  </si>
  <si>
    <t>Transportation Sector Fuel Used[LDVs,passenger,LPG vehicle,biofuel gasoline tf] : MostRecentRun</t>
  </si>
  <si>
    <t>Transportation Sector Fuel Used[LDVs,passenger,LPG vehicle,biofuel diesel tf] : MostRecentRun</t>
  </si>
  <si>
    <t>Transportation Sector Fuel Used[LDVs,passenger,LPG vehicle,jet fuel tf] : MostRecentRun</t>
  </si>
  <si>
    <t>Transportation Sector Fuel Used[LDVs,passenger,LPG vehicle,heavy or residual fuel oil tf] : MostRecentRun</t>
  </si>
  <si>
    <t>Transportation Sector Fuel Used[LDVs,passenger,LPG vehicle,LPG propane or butane tf] : MostRecentRun</t>
  </si>
  <si>
    <t>Transportation Sector Fuel Used[LDVs,passenger,LPG vehicle,hydrogen tf] : MostRecentRun</t>
  </si>
  <si>
    <t>Transportation Sector Fuel Used[LDVs,passenger,hydrogen vehicle,electricity tf] : MostRecentRun</t>
  </si>
  <si>
    <t>Transportation Sector Fuel Used[LDVs,passenger,hydrogen vehicle,natural gas tf] : MostRecentRun</t>
  </si>
  <si>
    <t>Transportation Sector Fuel Used[LDVs,passenger,hydrogen vehicle,petroleum gasoline tf] : MostRecentRun</t>
  </si>
  <si>
    <t>Transportation Sector Fuel Used[LDVs,passenger,hydrogen vehicle,petroleum diesel tf] : MostRecentRun</t>
  </si>
  <si>
    <t>Transportation Sector Fuel Used[LDVs,passenger,hydrogen vehicle,biofuel gasoline tf] : MostRecentRun</t>
  </si>
  <si>
    <t>Transportation Sector Fuel Used[LDVs,passenger,hydrogen vehicle,biofuel diesel tf] : MostRecentRun</t>
  </si>
  <si>
    <t>Transportation Sector Fuel Used[LDVs,passenger,hydrogen vehicle,jet fuel tf] : MostRecentRun</t>
  </si>
  <si>
    <t>Transportation Sector Fuel Used[LDVs,passenger,hydrogen vehicle,heavy or residual fuel oil tf] : MostRecentRun</t>
  </si>
  <si>
    <t>Transportation Sector Fuel Used[LDVs,passenger,hydrogen vehicle,LPG propane or butane tf] : MostRecentRun</t>
  </si>
  <si>
    <t>Transportation Sector Fuel Used[LDVs,passenger,hydrogen vehicle,hydrogen tf] : MostRecentRun</t>
  </si>
  <si>
    <t>Transportation Sector Fuel Used[LDVs,freight,battery electric vehicle,electricity tf] : MostRecentRun</t>
  </si>
  <si>
    <t>Transportation Sector Fuel Used[LDVs,freight,battery electric vehicle,natural gas tf] : MostRecentRun</t>
  </si>
  <si>
    <t>Transportation Sector Fuel Used[LDVs,freight,battery electric vehicle,petroleum gasoline tf] : MostRecentRun</t>
  </si>
  <si>
    <t>Transportation Sector Fuel Used[LDVs,freight,battery electric vehicle,petroleum diesel tf] : MostRecentRun</t>
  </si>
  <si>
    <t>Transportation Sector Fuel Used[LDVs,freight,battery electric vehicle,biofuel gasoline tf] : MostRecentRun</t>
  </si>
  <si>
    <t>Transportation Sector Fuel Used[LDVs,freight,battery electric vehicle,biofuel diesel tf] : MostRecentRun</t>
  </si>
  <si>
    <t>Transportation Sector Fuel Used[LDVs,freight,battery electric vehicle,jet fuel tf] : MostRecentRun</t>
  </si>
  <si>
    <t>Transportation Sector Fuel Used[LDVs,freight,battery electric vehicle,heavy or residual fuel oil tf] : MostRecentRun</t>
  </si>
  <si>
    <t>Transportation Sector Fuel Used[LDVs,freight,battery electric vehicle,LPG propane or butane tf] : MostRecentRun</t>
  </si>
  <si>
    <t>Transportation Sector Fuel Used[LDVs,freight,battery electric vehicle,hydrogen tf] : MostRecentRun</t>
  </si>
  <si>
    <t>Transportation Sector Fuel Used[LDVs,freight,natural gas vehicle,electricity tf] : MostRecentRun</t>
  </si>
  <si>
    <t>Transportation Sector Fuel Used[LDVs,freight,natural gas vehicle,natural gas tf] : MostRecentRun</t>
  </si>
  <si>
    <t>Transportation Sector Fuel Used[LDVs,freight,natural gas vehicle,petroleum gasoline tf] : MostRecentRun</t>
  </si>
  <si>
    <t>Transportation Sector Fuel Used[LDVs,freight,natural gas vehicle,petroleum diesel tf] : MostRecentRun</t>
  </si>
  <si>
    <t>Transportation Sector Fuel Used[LDVs,freight,natural gas vehicle,biofuel gasoline tf] : MostRecentRun</t>
  </si>
  <si>
    <t>Transportation Sector Fuel Used[LDVs,freight,natural gas vehicle,biofuel diesel tf] : MostRecentRun</t>
  </si>
  <si>
    <t>Transportation Sector Fuel Used[LDVs,freight,natural gas vehicle,jet fuel tf] : MostRecentRun</t>
  </si>
  <si>
    <t>Transportation Sector Fuel Used[LDVs,freight,natural gas vehicle,heavy or residual fuel oil tf] : MostRecentRun</t>
  </si>
  <si>
    <t>Transportation Sector Fuel Used[LDVs,freight,natural gas vehicle,LPG propane or butane tf] : MostRecentRun</t>
  </si>
  <si>
    <t>Transportation Sector Fuel Used[LDVs,freight,natural gas vehicle,hydrogen tf] : MostRecentRun</t>
  </si>
  <si>
    <t>Transportation Sector Fuel Used[LDVs,freight,gasoline vehicle,electricity tf] : MostRecentRun</t>
  </si>
  <si>
    <t>Transportation Sector Fuel Used[LDVs,freight,gasoline vehicle,natural gas tf] : MostRecentRun</t>
  </si>
  <si>
    <t>Transportation Sector Fuel Used[LDVs,freight,gasoline vehicle,petroleum gasoline tf] : MostRecentRun</t>
  </si>
  <si>
    <t>Transportation Sector Fuel Used[LDVs,freight,gasoline vehicle,petroleum diesel tf] : MostRecentRun</t>
  </si>
  <si>
    <t>Transportation Sector Fuel Used[LDVs,freight,gasoline vehicle,biofuel gasoline tf] : MostRecentRun</t>
  </si>
  <si>
    <t>Transportation Sector Fuel Used[LDVs,freight,gasoline vehicle,biofuel diesel tf] : MostRecentRun</t>
  </si>
  <si>
    <t>Transportation Sector Fuel Used[LDVs,freight,gasoline vehicle,jet fuel tf] : MostRecentRun</t>
  </si>
  <si>
    <t>Transportation Sector Fuel Used[LDVs,freight,gasoline vehicle,heavy or residual fuel oil tf] : MostRecentRun</t>
  </si>
  <si>
    <t>Transportation Sector Fuel Used[LDVs,freight,gasoline vehicle,LPG propane or butane tf] : MostRecentRun</t>
  </si>
  <si>
    <t>Transportation Sector Fuel Used[LDVs,freight,gasoline vehicle,hydrogen tf] : MostRecentRun</t>
  </si>
  <si>
    <t>Transportation Sector Fuel Used[LDVs,freight,diesel vehicle,electricity tf] : MostRecentRun</t>
  </si>
  <si>
    <t>Transportation Sector Fuel Used[LDVs,freight,diesel vehicle,natural gas tf] : MostRecentRun</t>
  </si>
  <si>
    <t>Transportation Sector Fuel Used[LDVs,freight,diesel vehicle,petroleum gasoline tf] : MostRecentRun</t>
  </si>
  <si>
    <t>Transportation Sector Fuel Used[LDVs,freight,diesel vehicle,petroleum diesel tf] : MostRecentRun</t>
  </si>
  <si>
    <t>Transportation Sector Fuel Used[LDVs,freight,diesel vehicle,biofuel gasoline tf] : MostRecentRun</t>
  </si>
  <si>
    <t>Transportation Sector Fuel Used[LDVs,freight,diesel vehicle,biofuel diesel tf] : MostRecentRun</t>
  </si>
  <si>
    <t>Transportation Sector Fuel Used[LDVs,freight,diesel vehicle,jet fuel tf] : MostRecentRun</t>
  </si>
  <si>
    <t>Transportation Sector Fuel Used[LDVs,freight,diesel vehicle,heavy or residual fuel oil tf] : MostRecentRun</t>
  </si>
  <si>
    <t>Transportation Sector Fuel Used[LDVs,freight,diesel vehicle,LPG propane or butane tf] : MostRecentRun</t>
  </si>
  <si>
    <t>Transportation Sector Fuel Used[LDVs,freight,diesel vehicle,hydrogen tf] : MostRecentRun</t>
  </si>
  <si>
    <t>Transportation Sector Fuel Used[LDVs,freight,plugin hybrid vehicle,electricity tf] : MostRecentRun</t>
  </si>
  <si>
    <t>Transportation Sector Fuel Used[LDVs,freight,plugin hybrid vehicle,natural gas tf] : MostRecentRun</t>
  </si>
  <si>
    <t>Transportation Sector Fuel Used[LDVs,freight,plugin hybrid vehicle,petroleum gasoline tf] : MostRecentRun</t>
  </si>
  <si>
    <t>Transportation Sector Fuel Used[LDVs,freight,plugin hybrid vehicle,petroleum diesel tf] : MostRecentRun</t>
  </si>
  <si>
    <t>Transportation Sector Fuel Used[LDVs,freight,plugin hybrid vehicle,biofuel gasoline tf] : MostRecentRun</t>
  </si>
  <si>
    <t>Transportation Sector Fuel Used[LDVs,freight,plugin hybrid vehicle,biofuel diesel tf] : MostRecentRun</t>
  </si>
  <si>
    <t>Transportation Sector Fuel Used[LDVs,freight,plugin hybrid vehicle,jet fuel tf] : MostRecentRun</t>
  </si>
  <si>
    <t>Transportation Sector Fuel Used[LDVs,freight,plugin hybrid vehicle,heavy or residual fuel oil tf] : MostRecentRun</t>
  </si>
  <si>
    <t>Transportation Sector Fuel Used[LDVs,freight,plugin hybrid vehicle,LPG propane or butane tf] : MostRecentRun</t>
  </si>
  <si>
    <t>Transportation Sector Fuel Used[LDVs,freight,plugin hybrid vehicle,hydrogen tf] : MostRecentRun</t>
  </si>
  <si>
    <t>Transportation Sector Fuel Used[LDVs,freight,LPG vehicle,electricity tf] : MostRecentRun</t>
  </si>
  <si>
    <t>Transportation Sector Fuel Used[LDVs,freight,LPG vehicle,natural gas tf] : MostRecentRun</t>
  </si>
  <si>
    <t>Transportation Sector Fuel Used[LDVs,freight,LPG vehicle,petroleum gasoline tf] : MostRecentRun</t>
  </si>
  <si>
    <t>Transportation Sector Fuel Used[LDVs,freight,LPG vehicle,petroleum diesel tf] : MostRecentRun</t>
  </si>
  <si>
    <t>Transportation Sector Fuel Used[LDVs,freight,LPG vehicle,biofuel gasoline tf] : MostRecentRun</t>
  </si>
  <si>
    <t>Transportation Sector Fuel Used[LDVs,freight,LPG vehicle,biofuel diesel tf] : MostRecentRun</t>
  </si>
  <si>
    <t>Transportation Sector Fuel Used[LDVs,freight,LPG vehicle,jet fuel tf] : MostRecentRun</t>
  </si>
  <si>
    <t>Transportation Sector Fuel Used[LDVs,freight,LPG vehicle,heavy or residual fuel oil tf] : MostRecentRun</t>
  </si>
  <si>
    <t>Transportation Sector Fuel Used[LDVs,freight,LPG vehicle,LPG propane or butane tf] : MostRecentRun</t>
  </si>
  <si>
    <t>Transportation Sector Fuel Used[LDVs,freight,LPG vehicle,hydrogen tf] : MostRecentRun</t>
  </si>
  <si>
    <t>Transportation Sector Fuel Used[LDVs,freight,hydrogen vehicle,electricity tf] : MostRecentRun</t>
  </si>
  <si>
    <t>Transportation Sector Fuel Used[LDVs,freight,hydrogen vehicle,natural gas tf] : MostRecentRun</t>
  </si>
  <si>
    <t>Transportation Sector Fuel Used[LDVs,freight,hydrogen vehicle,petroleum gasoline tf] : MostRecentRun</t>
  </si>
  <si>
    <t>Transportation Sector Fuel Used[LDVs,freight,hydrogen vehicle,petroleum diesel tf] : MostRecentRun</t>
  </si>
  <si>
    <t>Transportation Sector Fuel Used[LDVs,freight,hydrogen vehicle,biofuel gasoline tf] : MostRecentRun</t>
  </si>
  <si>
    <t>Transportation Sector Fuel Used[LDVs,freight,hydrogen vehicle,biofuel diesel tf] : MostRecentRun</t>
  </si>
  <si>
    <t>Transportation Sector Fuel Used[LDVs,freight,hydrogen vehicle,jet fuel tf] : MostRecentRun</t>
  </si>
  <si>
    <t>Transportation Sector Fuel Used[LDVs,freight,hydrogen vehicle,heavy or residual fuel oil tf] : MostRecentRun</t>
  </si>
  <si>
    <t>Transportation Sector Fuel Used[LDVs,freight,hydrogen vehicle,LPG propane or butane tf] : MostRecentRun</t>
  </si>
  <si>
    <t>Transportation Sector Fuel Used[LDVs,freight,hydrogen vehicle,hydrogen tf] : MostRecentRun</t>
  </si>
  <si>
    <t>Transportation Sector Fuel Used[HDVs,passenger,battery electric vehicle,electricity tf] : MostRecentRun</t>
  </si>
  <si>
    <t>Transportation Sector Fuel Used[HDVs,passenger,battery electric vehicle,natural gas tf] : MostRecentRun</t>
  </si>
  <si>
    <t>Transportation Sector Fuel Used[HDVs,passenger,battery electric vehicle,petroleum gasoline tf] : MostRecentRun</t>
  </si>
  <si>
    <t>Transportation Sector Fuel Used[HDVs,passenger,battery electric vehicle,petroleum diesel tf] : MostRecentRun</t>
  </si>
  <si>
    <t>Transportation Sector Fuel Used[HDVs,passenger,battery electric vehicle,biofuel gasoline tf] : MostRecentRun</t>
  </si>
  <si>
    <t>Transportation Sector Fuel Used[HDVs,passenger,battery electric vehicle,biofuel diesel tf] : MostRecentRun</t>
  </si>
  <si>
    <t>Transportation Sector Fuel Used[HDVs,passenger,battery electric vehicle,jet fuel tf] : MostRecentRun</t>
  </si>
  <si>
    <t>Transportation Sector Fuel Used[HDVs,passenger,battery electric vehicle,heavy or residual fuel oil tf] : MostRecentRun</t>
  </si>
  <si>
    <t>Transportation Sector Fuel Used[HDVs,passenger,battery electric vehicle,LPG propane or butane tf] : MostRecentRun</t>
  </si>
  <si>
    <t>Transportation Sector Fuel Used[HDVs,passenger,battery electric vehicle,hydrogen tf] : MostRecentRun</t>
  </si>
  <si>
    <t>Transportation Sector Fuel Used[HDVs,passenger,natural gas vehicle,electricity tf] : MostRecentRun</t>
  </si>
  <si>
    <t>Transportation Sector Fuel Used[HDVs,passenger,natural gas vehicle,natural gas tf] : MostRecentRun</t>
  </si>
  <si>
    <t>Transportation Sector Fuel Used[HDVs,passenger,natural gas vehicle,petroleum gasoline tf] : MostRecentRun</t>
  </si>
  <si>
    <t>Transportation Sector Fuel Used[HDVs,passenger,natural gas vehicle,petroleum diesel tf] : MostRecentRun</t>
  </si>
  <si>
    <t>Transportation Sector Fuel Used[HDVs,passenger,natural gas vehicle,biofuel gasoline tf] : MostRecentRun</t>
  </si>
  <si>
    <t>Transportation Sector Fuel Used[HDVs,passenger,natural gas vehicle,biofuel diesel tf] : MostRecentRun</t>
  </si>
  <si>
    <t>Transportation Sector Fuel Used[HDVs,passenger,natural gas vehicle,jet fuel tf] : MostRecentRun</t>
  </si>
  <si>
    <t>Transportation Sector Fuel Used[HDVs,passenger,natural gas vehicle,heavy or residual fuel oil tf] : MostRecentRun</t>
  </si>
  <si>
    <t>Transportation Sector Fuel Used[HDVs,passenger,natural gas vehicle,LPG propane or butane tf] : MostRecentRun</t>
  </si>
  <si>
    <t>Transportation Sector Fuel Used[HDVs,passenger,natural gas vehicle,hydrogen tf] : MostRecentRun</t>
  </si>
  <si>
    <t>Transportation Sector Fuel Used[HDVs,passenger,gasoline vehicle,electricity tf] : MostRecentRun</t>
  </si>
  <si>
    <t>Transportation Sector Fuel Used[HDVs,passenger,gasoline vehicle,natural gas tf] : MostRecentRun</t>
  </si>
  <si>
    <t>Transportation Sector Fuel Used[HDVs,passenger,gasoline vehicle,petroleum gasoline tf] : MostRecentRun</t>
  </si>
  <si>
    <t>Transportation Sector Fuel Used[HDVs,passenger,gasoline vehicle,petroleum diesel tf] : MostRecentRun</t>
  </si>
  <si>
    <t>Transportation Sector Fuel Used[HDVs,passenger,gasoline vehicle,biofuel gasoline tf] : MostRecentRun</t>
  </si>
  <si>
    <t>Transportation Sector Fuel Used[HDVs,passenger,gasoline vehicle,biofuel diesel tf] : MostRecentRun</t>
  </si>
  <si>
    <t>Transportation Sector Fuel Used[HDVs,passenger,gasoline vehicle,jet fuel tf] : MostRecentRun</t>
  </si>
  <si>
    <t>Transportation Sector Fuel Used[HDVs,passenger,gasoline vehicle,heavy or residual fuel oil tf] : MostRecentRun</t>
  </si>
  <si>
    <t>Transportation Sector Fuel Used[HDVs,passenger,gasoline vehicle,LPG propane or butane tf] : MostRecentRun</t>
  </si>
  <si>
    <t>Transportation Sector Fuel Used[HDVs,passenger,gasoline vehicle,hydrogen tf] : MostRecentRun</t>
  </si>
  <si>
    <t>Transportation Sector Fuel Used[HDVs,passenger,diesel vehicle,electricity tf] : MostRecentRun</t>
  </si>
  <si>
    <t>Transportation Sector Fuel Used[HDVs,passenger,diesel vehicle,natural gas tf] : MostRecentRun</t>
  </si>
  <si>
    <t>Transportation Sector Fuel Used[HDVs,passenger,diesel vehicle,petroleum gasoline tf] : MostRecentRun</t>
  </si>
  <si>
    <t>Transportation Sector Fuel Used[HDVs,passenger,diesel vehicle,petroleum diesel tf] : MostRecentRun</t>
  </si>
  <si>
    <t>Transportation Sector Fuel Used[HDVs,passenger,diesel vehicle,biofuel gasoline tf] : MostRecentRun</t>
  </si>
  <si>
    <t>Transportation Sector Fuel Used[HDVs,passenger,diesel vehicle,biofuel diesel tf] : MostRecentRun</t>
  </si>
  <si>
    <t>Transportation Sector Fuel Used[HDVs,passenger,diesel vehicle,jet fuel tf] : MostRecentRun</t>
  </si>
  <si>
    <t>Transportation Sector Fuel Used[HDVs,passenger,diesel vehicle,heavy or residual fuel oil tf] : MostRecentRun</t>
  </si>
  <si>
    <t>Transportation Sector Fuel Used[HDVs,passenger,diesel vehicle,LPG propane or butane tf] : MostRecentRun</t>
  </si>
  <si>
    <t>Transportation Sector Fuel Used[HDVs,passenger,diesel vehicle,hydrogen tf] : MostRecentRun</t>
  </si>
  <si>
    <t>Transportation Sector Fuel Used[HDVs,passenger,plugin hybrid vehicle,electricity tf] : MostRecentRun</t>
  </si>
  <si>
    <t>Transportation Sector Fuel Used[HDVs,passenger,plugin hybrid vehicle,natural gas tf] : MostRecentRun</t>
  </si>
  <si>
    <t>Transportation Sector Fuel Used[HDVs,passenger,plugin hybrid vehicle,petroleum gasoline tf] : MostRecentRun</t>
  </si>
  <si>
    <t>Transportation Sector Fuel Used[HDVs,passenger,plugin hybrid vehicle,petroleum diesel tf] : MostRecentRun</t>
  </si>
  <si>
    <t>Transportation Sector Fuel Used[HDVs,passenger,plugin hybrid vehicle,biofuel gasoline tf] : MostRecentRun</t>
  </si>
  <si>
    <t>Transportation Sector Fuel Used[HDVs,passenger,plugin hybrid vehicle,biofuel diesel tf] : MostRecentRun</t>
  </si>
  <si>
    <t>Transportation Sector Fuel Used[HDVs,passenger,plugin hybrid vehicle,jet fuel tf] : MostRecentRun</t>
  </si>
  <si>
    <t>Transportation Sector Fuel Used[HDVs,passenger,plugin hybrid vehicle,heavy or residual fuel oil tf] : MostRecentRun</t>
  </si>
  <si>
    <t>Transportation Sector Fuel Used[HDVs,passenger,plugin hybrid vehicle,LPG propane or butane tf] : MostRecentRun</t>
  </si>
  <si>
    <t>Transportation Sector Fuel Used[HDVs,passenger,plugin hybrid vehicle,hydrogen tf] : MostRecentRun</t>
  </si>
  <si>
    <t>Transportation Sector Fuel Used[HDVs,passenger,LPG vehicle,electricity tf] : MostRecentRun</t>
  </si>
  <si>
    <t>Transportation Sector Fuel Used[HDVs,passenger,LPG vehicle,natural gas tf] : MostRecentRun</t>
  </si>
  <si>
    <t>Transportation Sector Fuel Used[HDVs,passenger,LPG vehicle,petroleum gasoline tf] : MostRecentRun</t>
  </si>
  <si>
    <t>Transportation Sector Fuel Used[HDVs,passenger,LPG vehicle,petroleum diesel tf] : MostRecentRun</t>
  </si>
  <si>
    <t>Transportation Sector Fuel Used[HDVs,passenger,LPG vehicle,biofuel gasoline tf] : MostRecentRun</t>
  </si>
  <si>
    <t>Transportation Sector Fuel Used[HDVs,passenger,LPG vehicle,biofuel diesel tf] : MostRecentRun</t>
  </si>
  <si>
    <t>Transportation Sector Fuel Used[HDVs,passenger,LPG vehicle,jet fuel tf] : MostRecentRun</t>
  </si>
  <si>
    <t>Transportation Sector Fuel Used[HDVs,passenger,LPG vehicle,heavy or residual fuel oil tf] : MostRecentRun</t>
  </si>
  <si>
    <t>Transportation Sector Fuel Used[HDVs,passenger,LPG vehicle,LPG propane or butane tf] : MostRecentRun</t>
  </si>
  <si>
    <t>Transportation Sector Fuel Used[HDVs,passenger,LPG vehicle,hydrogen tf] : MostRecentRun</t>
  </si>
  <si>
    <t>Transportation Sector Fuel Used[HDVs,passenger,hydrogen vehicle,electricity tf] : MostRecentRun</t>
  </si>
  <si>
    <t>Transportation Sector Fuel Used[HDVs,passenger,hydrogen vehicle,natural gas tf] : MostRecentRun</t>
  </si>
  <si>
    <t>Transportation Sector Fuel Used[HDVs,passenger,hydrogen vehicle,petroleum gasoline tf] : MostRecentRun</t>
  </si>
  <si>
    <t>Transportation Sector Fuel Used[HDVs,passenger,hydrogen vehicle,petroleum diesel tf] : MostRecentRun</t>
  </si>
  <si>
    <t>Transportation Sector Fuel Used[HDVs,passenger,hydrogen vehicle,biofuel gasoline tf] : MostRecentRun</t>
  </si>
  <si>
    <t>Transportation Sector Fuel Used[HDVs,passenger,hydrogen vehicle,biofuel diesel tf] : MostRecentRun</t>
  </si>
  <si>
    <t>Transportation Sector Fuel Used[HDVs,passenger,hydrogen vehicle,jet fuel tf] : MostRecentRun</t>
  </si>
  <si>
    <t>Transportation Sector Fuel Used[HDVs,passenger,hydrogen vehicle,heavy or residual fuel oil tf] : MostRecentRun</t>
  </si>
  <si>
    <t>Transportation Sector Fuel Used[HDVs,passenger,hydrogen vehicle,LPG propane or butane tf] : MostRecentRun</t>
  </si>
  <si>
    <t>Transportation Sector Fuel Used[HDVs,passenger,hydrogen vehicle,hydrogen tf] : MostRecentRun</t>
  </si>
  <si>
    <t>Transportation Sector Fuel Used[HDVs,freight,battery electric vehicle,electricity tf] : MostRecentRun</t>
  </si>
  <si>
    <t>Transportation Sector Fuel Used[HDVs,freight,battery electric vehicle,natural gas tf] : MostRecentRun</t>
  </si>
  <si>
    <t>Transportation Sector Fuel Used[HDVs,freight,battery electric vehicle,petroleum gasoline tf] : MostRecentRun</t>
  </si>
  <si>
    <t>Transportation Sector Fuel Used[HDVs,freight,battery electric vehicle,petroleum diesel tf] : MostRecentRun</t>
  </si>
  <si>
    <t>Transportation Sector Fuel Used[HDVs,freight,battery electric vehicle,biofuel gasoline tf] : MostRecentRun</t>
  </si>
  <si>
    <t>Transportation Sector Fuel Used[HDVs,freight,battery electric vehicle,biofuel diesel tf] : MostRecentRun</t>
  </si>
  <si>
    <t>Transportation Sector Fuel Used[HDVs,freight,battery electric vehicle,jet fuel tf] : MostRecentRun</t>
  </si>
  <si>
    <t>Transportation Sector Fuel Used[HDVs,freight,battery electric vehicle,heavy or residual fuel oil tf] : MostRecentRun</t>
  </si>
  <si>
    <t>Transportation Sector Fuel Used[HDVs,freight,battery electric vehicle,LPG propane or butane tf] : MostRecentRun</t>
  </si>
  <si>
    <t>Transportation Sector Fuel Used[HDVs,freight,battery electric vehicle,hydrogen tf] : MostRecentRun</t>
  </si>
  <si>
    <t>Transportation Sector Fuel Used[HDVs,freight,natural gas vehicle,electricity tf] : MostRecentRun</t>
  </si>
  <si>
    <t>Transportation Sector Fuel Used[HDVs,freight,natural gas vehicle,natural gas tf] : MostRecentRun</t>
  </si>
  <si>
    <t>Transportation Sector Fuel Used[HDVs,freight,natural gas vehicle,petroleum gasoline tf] : MostRecentRun</t>
  </si>
  <si>
    <t>Transportation Sector Fuel Used[HDVs,freight,natural gas vehicle,petroleum diesel tf] : MostRecentRun</t>
  </si>
  <si>
    <t>Transportation Sector Fuel Used[HDVs,freight,natural gas vehicle,biofuel gasoline tf] : MostRecentRun</t>
  </si>
  <si>
    <t>Transportation Sector Fuel Used[HDVs,freight,natural gas vehicle,biofuel diesel tf] : MostRecentRun</t>
  </si>
  <si>
    <t>Transportation Sector Fuel Used[HDVs,freight,natural gas vehicle,jet fuel tf] : MostRecentRun</t>
  </si>
  <si>
    <t>Transportation Sector Fuel Used[HDVs,freight,natural gas vehicle,heavy or residual fuel oil tf] : MostRecentRun</t>
  </si>
  <si>
    <t>Transportation Sector Fuel Used[HDVs,freight,natural gas vehicle,LPG propane or butane tf] : MostRecentRun</t>
  </si>
  <si>
    <t>Transportation Sector Fuel Used[HDVs,freight,natural gas vehicle,hydrogen tf] : MostRecentRun</t>
  </si>
  <si>
    <t>Transportation Sector Fuel Used[HDVs,freight,gasoline vehicle,electricity tf] : MostRecentRun</t>
  </si>
  <si>
    <t>Transportation Sector Fuel Used[HDVs,freight,gasoline vehicle,natural gas tf] : MostRecentRun</t>
  </si>
  <si>
    <t>Transportation Sector Fuel Used[HDVs,freight,gasoline vehicle,petroleum gasoline tf] : MostRecentRun</t>
  </si>
  <si>
    <t>Transportation Sector Fuel Used[HDVs,freight,gasoline vehicle,petroleum diesel tf] : MostRecentRun</t>
  </si>
  <si>
    <t>Transportation Sector Fuel Used[HDVs,freight,gasoline vehicle,biofuel gasoline tf] : MostRecentRun</t>
  </si>
  <si>
    <t>Transportation Sector Fuel Used[HDVs,freight,gasoline vehicle,biofuel diesel tf] : MostRecentRun</t>
  </si>
  <si>
    <t>Transportation Sector Fuel Used[HDVs,freight,gasoline vehicle,jet fuel tf] : MostRecentRun</t>
  </si>
  <si>
    <t>Transportation Sector Fuel Used[HDVs,freight,gasoline vehicle,heavy or residual fuel oil tf] : MostRecentRun</t>
  </si>
  <si>
    <t>Transportation Sector Fuel Used[HDVs,freight,gasoline vehicle,LPG propane or butane tf] : MostRecentRun</t>
  </si>
  <si>
    <t>Transportation Sector Fuel Used[HDVs,freight,gasoline vehicle,hydrogen tf] : MostRecentRun</t>
  </si>
  <si>
    <t>Transportation Sector Fuel Used[HDVs,freight,diesel vehicle,electricity tf] : MostRecentRun</t>
  </si>
  <si>
    <t>Transportation Sector Fuel Used[HDVs,freight,diesel vehicle,natural gas tf] : MostRecentRun</t>
  </si>
  <si>
    <t>Transportation Sector Fuel Used[HDVs,freight,diesel vehicle,petroleum gasoline tf] : MostRecentRun</t>
  </si>
  <si>
    <t>Transportation Sector Fuel Used[HDVs,freight,diesel vehicle,petroleum diesel tf] : MostRecentRun</t>
  </si>
  <si>
    <t>Transportation Sector Fuel Used[HDVs,freight,diesel vehicle,biofuel gasoline tf] : MostRecentRun</t>
  </si>
  <si>
    <t>Transportation Sector Fuel Used[HDVs,freight,diesel vehicle,biofuel diesel tf] : MostRecentRun</t>
  </si>
  <si>
    <t>Transportation Sector Fuel Used[HDVs,freight,diesel vehicle,jet fuel tf] : MostRecentRun</t>
  </si>
  <si>
    <t>Transportation Sector Fuel Used[HDVs,freight,diesel vehicle,heavy or residual fuel oil tf] : MostRecentRun</t>
  </si>
  <si>
    <t>Transportation Sector Fuel Used[HDVs,freight,diesel vehicle,LPG propane or butane tf] : MostRecentRun</t>
  </si>
  <si>
    <t>Transportation Sector Fuel Used[HDVs,freight,diesel vehicle,hydrogen tf] : MostRecentRun</t>
  </si>
  <si>
    <t>Transportation Sector Fuel Used[HDVs,freight,plugin hybrid vehicle,electricity tf] : MostRecentRun</t>
  </si>
  <si>
    <t>Transportation Sector Fuel Used[HDVs,freight,plugin hybrid vehicle,natural gas tf] : MostRecentRun</t>
  </si>
  <si>
    <t>Transportation Sector Fuel Used[HDVs,freight,plugin hybrid vehicle,petroleum gasoline tf] : MostRecentRun</t>
  </si>
  <si>
    <t>Transportation Sector Fuel Used[HDVs,freight,plugin hybrid vehicle,petroleum diesel tf] : MostRecentRun</t>
  </si>
  <si>
    <t>Transportation Sector Fuel Used[HDVs,freight,plugin hybrid vehicle,biofuel gasoline tf] : MostRecentRun</t>
  </si>
  <si>
    <t>Transportation Sector Fuel Used[HDVs,freight,plugin hybrid vehicle,biofuel diesel tf] : MostRecentRun</t>
  </si>
  <si>
    <t>Transportation Sector Fuel Used[HDVs,freight,plugin hybrid vehicle,jet fuel tf] : MostRecentRun</t>
  </si>
  <si>
    <t>Transportation Sector Fuel Used[HDVs,freight,plugin hybrid vehicle,heavy or residual fuel oil tf] : MostRecentRun</t>
  </si>
  <si>
    <t>Transportation Sector Fuel Used[HDVs,freight,plugin hybrid vehicle,LPG propane or butane tf] : MostRecentRun</t>
  </si>
  <si>
    <t>Transportation Sector Fuel Used[HDVs,freight,plugin hybrid vehicle,hydrogen tf] : MostRecentRun</t>
  </si>
  <si>
    <t>Transportation Sector Fuel Used[HDVs,freight,LPG vehicle,electricity tf] : MostRecentRun</t>
  </si>
  <si>
    <t>Transportation Sector Fuel Used[HDVs,freight,LPG vehicle,natural gas tf] : MostRecentRun</t>
  </si>
  <si>
    <t>Transportation Sector Fuel Used[HDVs,freight,LPG vehicle,petroleum gasoline tf] : MostRecentRun</t>
  </si>
  <si>
    <t>Transportation Sector Fuel Used[HDVs,freight,LPG vehicle,petroleum diesel tf] : MostRecentRun</t>
  </si>
  <si>
    <t>Transportation Sector Fuel Used[HDVs,freight,LPG vehicle,biofuel gasoline tf] : MostRecentRun</t>
  </si>
  <si>
    <t>Transportation Sector Fuel Used[HDVs,freight,LPG vehicle,biofuel diesel tf] : MostRecentRun</t>
  </si>
  <si>
    <t>Transportation Sector Fuel Used[HDVs,freight,LPG vehicle,jet fuel tf] : MostRecentRun</t>
  </si>
  <si>
    <t>Transportation Sector Fuel Used[HDVs,freight,LPG vehicle,heavy or residual fuel oil tf] : MostRecentRun</t>
  </si>
  <si>
    <t>Transportation Sector Fuel Used[HDVs,freight,LPG vehicle,LPG propane or butane tf] : MostRecentRun</t>
  </si>
  <si>
    <t>Transportation Sector Fuel Used[HDVs,freight,LPG vehicle,hydrogen tf] : MostRecentRun</t>
  </si>
  <si>
    <t>Transportation Sector Fuel Used[HDVs,freight,hydrogen vehicle,electricity tf] : MostRecentRun</t>
  </si>
  <si>
    <t>Transportation Sector Fuel Used[HDVs,freight,hydrogen vehicle,natural gas tf] : MostRecentRun</t>
  </si>
  <si>
    <t>Transportation Sector Fuel Used[HDVs,freight,hydrogen vehicle,petroleum gasoline tf] : MostRecentRun</t>
  </si>
  <si>
    <t>Transportation Sector Fuel Used[HDVs,freight,hydrogen vehicle,petroleum diesel tf] : MostRecentRun</t>
  </si>
  <si>
    <t>Transportation Sector Fuel Used[HDVs,freight,hydrogen vehicle,biofuel gasoline tf] : MostRecentRun</t>
  </si>
  <si>
    <t>Transportation Sector Fuel Used[HDVs,freight,hydrogen vehicle,biofuel diesel tf] : MostRecentRun</t>
  </si>
  <si>
    <t>Transportation Sector Fuel Used[HDVs,freight,hydrogen vehicle,jet fuel tf] : MostRecentRun</t>
  </si>
  <si>
    <t>Transportation Sector Fuel Used[HDVs,freight,hydrogen vehicle,heavy or residual fuel oil tf] : MostRecentRun</t>
  </si>
  <si>
    <t>Transportation Sector Fuel Used[HDVs,freight,hydrogen vehicle,LPG propane or butane tf] : MostRecentRun</t>
  </si>
  <si>
    <t>Transportation Sector Fuel Used[HDVs,freight,hydrogen vehicle,hydrogen tf] : MostRecentRun</t>
  </si>
  <si>
    <t>Transportation Sector Fuel Used[aircraft,passenger,battery electric vehicle,electricity tf] : MostRecentRun</t>
  </si>
  <si>
    <t>Transportation Sector Fuel Used[aircraft,passenger,battery electric vehicle,natural gas tf] : MostRecentRun</t>
  </si>
  <si>
    <t>Transportation Sector Fuel Used[aircraft,passenger,battery electric vehicle,petroleum gasoline tf] : MostRecentRun</t>
  </si>
  <si>
    <t>Transportation Sector Fuel Used[aircraft,passenger,battery electric vehicle,petroleum diesel tf] : MostRecentRun</t>
  </si>
  <si>
    <t>Transportation Sector Fuel Used[aircraft,passenger,battery electric vehicle,biofuel gasoline tf] : MostRecentRun</t>
  </si>
  <si>
    <t>Transportation Sector Fuel Used[aircraft,passenger,battery electric vehicle,biofuel diesel tf] : MostRecentRun</t>
  </si>
  <si>
    <t>Transportation Sector Fuel Used[aircraft,passenger,battery electric vehicle,jet fuel tf] : MostRecentRun</t>
  </si>
  <si>
    <t>Transportation Sector Fuel Used[aircraft,passenger,battery electric vehicle,heavy or residual fuel oil tf] : MostRecentRun</t>
  </si>
  <si>
    <t>Transportation Sector Fuel Used[aircraft,passenger,battery electric vehicle,LPG propane or butane tf] : MostRecentRun</t>
  </si>
  <si>
    <t>Transportation Sector Fuel Used[aircraft,passenger,battery electric vehicle,hydrogen tf] : MostRecentRun</t>
  </si>
  <si>
    <t>Transportation Sector Fuel Used[aircraft,passenger,natural gas vehicle,electricity tf] : MostRecentRun</t>
  </si>
  <si>
    <t>Transportation Sector Fuel Used[aircraft,passenger,natural gas vehicle,natural gas tf] : MostRecentRun</t>
  </si>
  <si>
    <t>Transportation Sector Fuel Used[aircraft,passenger,natural gas vehicle,petroleum gasoline tf] : MostRecentRun</t>
  </si>
  <si>
    <t>Transportation Sector Fuel Used[aircraft,passenger,natural gas vehicle,petroleum diesel tf] : MostRecentRun</t>
  </si>
  <si>
    <t>Transportation Sector Fuel Used[aircraft,passenger,natural gas vehicle,biofuel gasoline tf] : MostRecentRun</t>
  </si>
  <si>
    <t>Transportation Sector Fuel Used[aircraft,passenger,natural gas vehicle,biofuel diesel tf] : MostRecentRun</t>
  </si>
  <si>
    <t>Transportation Sector Fuel Used[aircraft,passenger,natural gas vehicle,jet fuel tf] : MostRecentRun</t>
  </si>
  <si>
    <t>Transportation Sector Fuel Used[aircraft,passenger,natural gas vehicle,heavy or residual fuel oil tf] : MostRecentRun</t>
  </si>
  <si>
    <t>Transportation Sector Fuel Used[aircraft,passenger,natural gas vehicle,LPG propane or butane tf] : MostRecentRun</t>
  </si>
  <si>
    <t>Transportation Sector Fuel Used[aircraft,passenger,natural gas vehicle,hydrogen tf] : MostRecentRun</t>
  </si>
  <si>
    <t>Transportation Sector Fuel Used[aircraft,passenger,gasoline vehicle,electricity tf] : MostRecentRun</t>
  </si>
  <si>
    <t>Transportation Sector Fuel Used[aircraft,passenger,gasoline vehicle,natural gas tf] : MostRecentRun</t>
  </si>
  <si>
    <t>Transportation Sector Fuel Used[aircraft,passenger,gasoline vehicle,petroleum gasoline tf] : MostRecentRun</t>
  </si>
  <si>
    <t>Transportation Sector Fuel Used[aircraft,passenger,gasoline vehicle,petroleum diesel tf] : MostRecentRun</t>
  </si>
  <si>
    <t>Transportation Sector Fuel Used[aircraft,passenger,gasoline vehicle,biofuel gasoline tf] : MostRecentRun</t>
  </si>
  <si>
    <t>Transportation Sector Fuel Used[aircraft,passenger,gasoline vehicle,biofuel diesel tf] : MostRecentRun</t>
  </si>
  <si>
    <t>Transportation Sector Fuel Used[aircraft,passenger,gasoline vehicle,jet fuel tf] : MostRecentRun</t>
  </si>
  <si>
    <t>Transportation Sector Fuel Used[aircraft,passenger,gasoline vehicle,heavy or residual fuel oil tf] : MostRecentRun</t>
  </si>
  <si>
    <t>Transportation Sector Fuel Used[aircraft,passenger,gasoline vehicle,LPG propane or butane tf] : MostRecentRun</t>
  </si>
  <si>
    <t>Transportation Sector Fuel Used[aircraft,passenger,gasoline vehicle,hydrogen tf] : MostRecentRun</t>
  </si>
  <si>
    <t>Transportation Sector Fuel Used[aircraft,passenger,diesel vehicle,electricity tf] : MostRecentRun</t>
  </si>
  <si>
    <t>Transportation Sector Fuel Used[aircraft,passenger,diesel vehicle,natural gas tf] : MostRecentRun</t>
  </si>
  <si>
    <t>Transportation Sector Fuel Used[aircraft,passenger,diesel vehicle,petroleum gasoline tf] : MostRecentRun</t>
  </si>
  <si>
    <t>Transportation Sector Fuel Used[aircraft,passenger,diesel vehicle,petroleum diesel tf] : MostRecentRun</t>
  </si>
  <si>
    <t>Transportation Sector Fuel Used[aircraft,passenger,diesel vehicle,biofuel gasoline tf] : MostRecentRun</t>
  </si>
  <si>
    <t>Transportation Sector Fuel Used[aircraft,passenger,diesel vehicle,biofuel diesel tf] : MostRecentRun</t>
  </si>
  <si>
    <t>Transportation Sector Fuel Used[aircraft,passenger,diesel vehicle,jet fuel tf] : MostRecentRun</t>
  </si>
  <si>
    <t>Transportation Sector Fuel Used[aircraft,passenger,diesel vehicle,heavy or residual fuel oil tf] : MostRecentRun</t>
  </si>
  <si>
    <t>Transportation Sector Fuel Used[aircraft,passenger,diesel vehicle,LPG propane or butane tf] : MostRecentRun</t>
  </si>
  <si>
    <t>Transportation Sector Fuel Used[aircraft,passenger,diesel vehicle,hydrogen tf] : MostRecentRun</t>
  </si>
  <si>
    <t>Transportation Sector Fuel Used[aircraft,passenger,plugin hybrid vehicle,electricity tf] : MostRecentRun</t>
  </si>
  <si>
    <t>Transportation Sector Fuel Used[aircraft,passenger,plugin hybrid vehicle,natural gas tf] : MostRecentRun</t>
  </si>
  <si>
    <t>Transportation Sector Fuel Used[aircraft,passenger,plugin hybrid vehicle,petroleum gasoline tf] : MostRecentRun</t>
  </si>
  <si>
    <t>Transportation Sector Fuel Used[aircraft,passenger,plugin hybrid vehicle,petroleum diesel tf] : MostRecentRun</t>
  </si>
  <si>
    <t>Transportation Sector Fuel Used[aircraft,passenger,plugin hybrid vehicle,biofuel gasoline tf] : MostRecentRun</t>
  </si>
  <si>
    <t>Transportation Sector Fuel Used[aircraft,passenger,plugin hybrid vehicle,biofuel diesel tf] : MostRecentRun</t>
  </si>
  <si>
    <t>Transportation Sector Fuel Used[aircraft,passenger,plugin hybrid vehicle,jet fuel tf] : MostRecentRun</t>
  </si>
  <si>
    <t>Transportation Sector Fuel Used[aircraft,passenger,plugin hybrid vehicle,heavy or residual fuel oil tf] : MostRecentRun</t>
  </si>
  <si>
    <t>Transportation Sector Fuel Used[aircraft,passenger,plugin hybrid vehicle,LPG propane or butane tf] : MostRecentRun</t>
  </si>
  <si>
    <t>Transportation Sector Fuel Used[aircraft,passenger,plugin hybrid vehicle,hydrogen tf] : MostRecentRun</t>
  </si>
  <si>
    <t>Transportation Sector Fuel Used[aircraft,passenger,LPG vehicle,electricity tf] : MostRecentRun</t>
  </si>
  <si>
    <t>Transportation Sector Fuel Used[aircraft,passenger,LPG vehicle,natural gas tf] : MostRecentRun</t>
  </si>
  <si>
    <t>Transportation Sector Fuel Used[aircraft,passenger,LPG vehicle,petroleum gasoline tf] : MostRecentRun</t>
  </si>
  <si>
    <t>Transportation Sector Fuel Used[aircraft,passenger,LPG vehicle,petroleum diesel tf] : MostRecentRun</t>
  </si>
  <si>
    <t>Transportation Sector Fuel Used[aircraft,passenger,LPG vehicle,biofuel gasoline tf] : MostRecentRun</t>
  </si>
  <si>
    <t>Transportation Sector Fuel Used[aircraft,passenger,LPG vehicle,biofuel diesel tf] : MostRecentRun</t>
  </si>
  <si>
    <t>Transportation Sector Fuel Used[aircraft,passenger,LPG vehicle,jet fuel tf] : MostRecentRun</t>
  </si>
  <si>
    <t>Transportation Sector Fuel Used[aircraft,passenger,LPG vehicle,heavy or residual fuel oil tf] : MostRecentRun</t>
  </si>
  <si>
    <t>Transportation Sector Fuel Used[aircraft,passenger,LPG vehicle,LPG propane or butane tf] : MostRecentRun</t>
  </si>
  <si>
    <t>Transportation Sector Fuel Used[aircraft,passenger,LPG vehicle,hydrogen tf] : MostRecentRun</t>
  </si>
  <si>
    <t>Transportation Sector Fuel Used[aircraft,passenger,hydrogen vehicle,electricity tf] : MostRecentRun</t>
  </si>
  <si>
    <t>Transportation Sector Fuel Used[aircraft,passenger,hydrogen vehicle,natural gas tf] : MostRecentRun</t>
  </si>
  <si>
    <t>Transportation Sector Fuel Used[aircraft,passenger,hydrogen vehicle,petroleum gasoline tf] : MostRecentRun</t>
  </si>
  <si>
    <t>Transportation Sector Fuel Used[aircraft,passenger,hydrogen vehicle,petroleum diesel tf] : MostRecentRun</t>
  </si>
  <si>
    <t>Transportation Sector Fuel Used[aircraft,passenger,hydrogen vehicle,biofuel gasoline tf] : MostRecentRun</t>
  </si>
  <si>
    <t>Transportation Sector Fuel Used[aircraft,passenger,hydrogen vehicle,biofuel diesel tf] : MostRecentRun</t>
  </si>
  <si>
    <t>Transportation Sector Fuel Used[aircraft,passenger,hydrogen vehicle,jet fuel tf] : MostRecentRun</t>
  </si>
  <si>
    <t>Transportation Sector Fuel Used[aircraft,passenger,hydrogen vehicle,heavy or residual fuel oil tf] : MostRecentRun</t>
  </si>
  <si>
    <t>Transportation Sector Fuel Used[aircraft,passenger,hydrogen vehicle,LPG propane or butane tf] : MostRecentRun</t>
  </si>
  <si>
    <t>Transportation Sector Fuel Used[aircraft,passenger,hydrogen vehicle,hydrogen tf] : MostRecentRun</t>
  </si>
  <si>
    <t>Transportation Sector Fuel Used[aircraft,freight,battery electric vehicle,electricity tf] : MostRecentRun</t>
  </si>
  <si>
    <t>Transportation Sector Fuel Used[aircraft,freight,battery electric vehicle,natural gas tf] : MostRecentRun</t>
  </si>
  <si>
    <t>Transportation Sector Fuel Used[aircraft,freight,battery electric vehicle,petroleum gasoline tf] : MostRecentRun</t>
  </si>
  <si>
    <t>Transportation Sector Fuel Used[aircraft,freight,battery electric vehicle,petroleum diesel tf] : MostRecentRun</t>
  </si>
  <si>
    <t>Transportation Sector Fuel Used[aircraft,freight,battery electric vehicle,biofuel gasoline tf] : MostRecentRun</t>
  </si>
  <si>
    <t>Transportation Sector Fuel Used[aircraft,freight,battery electric vehicle,biofuel diesel tf] : MostRecentRun</t>
  </si>
  <si>
    <t>Transportation Sector Fuel Used[aircraft,freight,battery electric vehicle,jet fuel tf] : MostRecentRun</t>
  </si>
  <si>
    <t>Transportation Sector Fuel Used[aircraft,freight,battery electric vehicle,heavy or residual fuel oil tf] : MostRecentRun</t>
  </si>
  <si>
    <t>Transportation Sector Fuel Used[aircraft,freight,battery electric vehicle,LPG propane or butane tf] : MostRecentRun</t>
  </si>
  <si>
    <t>Transportation Sector Fuel Used[aircraft,freight,battery electric vehicle,hydrogen tf] : MostRecentRun</t>
  </si>
  <si>
    <t>Transportation Sector Fuel Used[aircraft,freight,natural gas vehicle,electricity tf] : MostRecentRun</t>
  </si>
  <si>
    <t>Transportation Sector Fuel Used[aircraft,freight,natural gas vehicle,natural gas tf] : MostRecentRun</t>
  </si>
  <si>
    <t>Transportation Sector Fuel Used[aircraft,freight,natural gas vehicle,petroleum gasoline tf] : MostRecentRun</t>
  </si>
  <si>
    <t>Transportation Sector Fuel Used[aircraft,freight,natural gas vehicle,petroleum diesel tf] : MostRecentRun</t>
  </si>
  <si>
    <t>Transportation Sector Fuel Used[aircraft,freight,natural gas vehicle,biofuel gasoline tf] : MostRecentRun</t>
  </si>
  <si>
    <t>Transportation Sector Fuel Used[aircraft,freight,natural gas vehicle,biofuel diesel tf] : MostRecentRun</t>
  </si>
  <si>
    <t>Transportation Sector Fuel Used[aircraft,freight,natural gas vehicle,jet fuel tf] : MostRecentRun</t>
  </si>
  <si>
    <t>Transportation Sector Fuel Used[aircraft,freight,natural gas vehicle,heavy or residual fuel oil tf] : MostRecentRun</t>
  </si>
  <si>
    <t>Transportation Sector Fuel Used[aircraft,freight,natural gas vehicle,LPG propane or butane tf] : MostRecentRun</t>
  </si>
  <si>
    <t>Transportation Sector Fuel Used[aircraft,freight,natural gas vehicle,hydrogen tf] : MostRecentRun</t>
  </si>
  <si>
    <t>Transportation Sector Fuel Used[aircraft,freight,gasoline vehicle,electricity tf] : MostRecentRun</t>
  </si>
  <si>
    <t>Transportation Sector Fuel Used[aircraft,freight,gasoline vehicle,natural gas tf] : MostRecentRun</t>
  </si>
  <si>
    <t>Transportation Sector Fuel Used[aircraft,freight,gasoline vehicle,petroleum gasoline tf] : MostRecentRun</t>
  </si>
  <si>
    <t>Transportation Sector Fuel Used[aircraft,freight,gasoline vehicle,petroleum diesel tf] : MostRecentRun</t>
  </si>
  <si>
    <t>Transportation Sector Fuel Used[aircraft,freight,gasoline vehicle,biofuel gasoline tf] : MostRecentRun</t>
  </si>
  <si>
    <t>Transportation Sector Fuel Used[aircraft,freight,gasoline vehicle,biofuel diesel tf] : MostRecentRun</t>
  </si>
  <si>
    <t>Transportation Sector Fuel Used[aircraft,freight,gasoline vehicle,jet fuel tf] : MostRecentRun</t>
  </si>
  <si>
    <t>Transportation Sector Fuel Used[aircraft,freight,gasoline vehicle,heavy or residual fuel oil tf] : MostRecentRun</t>
  </si>
  <si>
    <t>Transportation Sector Fuel Used[aircraft,freight,gasoline vehicle,LPG propane or butane tf] : MostRecentRun</t>
  </si>
  <si>
    <t>Transportation Sector Fuel Used[aircraft,freight,gasoline vehicle,hydrogen tf] : MostRecentRun</t>
  </si>
  <si>
    <t>Transportation Sector Fuel Used[aircraft,freight,diesel vehicle,electricity tf] : MostRecentRun</t>
  </si>
  <si>
    <t>Transportation Sector Fuel Used[aircraft,freight,diesel vehicle,natural gas tf] : MostRecentRun</t>
  </si>
  <si>
    <t>Transportation Sector Fuel Used[aircraft,freight,diesel vehicle,petroleum gasoline tf] : MostRecentRun</t>
  </si>
  <si>
    <t>Transportation Sector Fuel Used[aircraft,freight,diesel vehicle,petroleum diesel tf] : MostRecentRun</t>
  </si>
  <si>
    <t>Transportation Sector Fuel Used[aircraft,freight,diesel vehicle,biofuel gasoline tf] : MostRecentRun</t>
  </si>
  <si>
    <t>Transportation Sector Fuel Used[aircraft,freight,diesel vehicle,biofuel diesel tf] : MostRecentRun</t>
  </si>
  <si>
    <t>Transportation Sector Fuel Used[aircraft,freight,diesel vehicle,jet fuel tf] : MostRecentRun</t>
  </si>
  <si>
    <t>Transportation Sector Fuel Used[aircraft,freight,diesel vehicle,heavy or residual fuel oil tf] : MostRecentRun</t>
  </si>
  <si>
    <t>Transportation Sector Fuel Used[aircraft,freight,diesel vehicle,LPG propane or butane tf] : MostRecentRun</t>
  </si>
  <si>
    <t>Transportation Sector Fuel Used[aircraft,freight,diesel vehicle,hydrogen tf] : MostRecentRun</t>
  </si>
  <si>
    <t>Transportation Sector Fuel Used[aircraft,freight,plugin hybrid vehicle,electricity tf] : MostRecentRun</t>
  </si>
  <si>
    <t>Transportation Sector Fuel Used[aircraft,freight,plugin hybrid vehicle,natural gas tf] : MostRecentRun</t>
  </si>
  <si>
    <t>Transportation Sector Fuel Used[aircraft,freight,plugin hybrid vehicle,petroleum gasoline tf] : MostRecentRun</t>
  </si>
  <si>
    <t>Transportation Sector Fuel Used[aircraft,freight,plugin hybrid vehicle,petroleum diesel tf] : MostRecentRun</t>
  </si>
  <si>
    <t>Transportation Sector Fuel Used[aircraft,freight,plugin hybrid vehicle,biofuel gasoline tf] : MostRecentRun</t>
  </si>
  <si>
    <t>Transportation Sector Fuel Used[aircraft,freight,plugin hybrid vehicle,biofuel diesel tf] : MostRecentRun</t>
  </si>
  <si>
    <t>Transportation Sector Fuel Used[aircraft,freight,plugin hybrid vehicle,jet fuel tf] : MostRecentRun</t>
  </si>
  <si>
    <t>Transportation Sector Fuel Used[aircraft,freight,plugin hybrid vehicle,heavy or residual fuel oil tf] : MostRecentRun</t>
  </si>
  <si>
    <t>Transportation Sector Fuel Used[aircraft,freight,plugin hybrid vehicle,LPG propane or butane tf] : MostRecentRun</t>
  </si>
  <si>
    <t>Transportation Sector Fuel Used[aircraft,freight,plugin hybrid vehicle,hydrogen tf] : MostRecentRun</t>
  </si>
  <si>
    <t>Transportation Sector Fuel Used[aircraft,freight,LPG vehicle,electricity tf] : MostRecentRun</t>
  </si>
  <si>
    <t>Transportation Sector Fuel Used[aircraft,freight,LPG vehicle,natural gas tf] : MostRecentRun</t>
  </si>
  <si>
    <t>Transportation Sector Fuel Used[aircraft,freight,LPG vehicle,petroleum gasoline tf] : MostRecentRun</t>
  </si>
  <si>
    <t>Transportation Sector Fuel Used[aircraft,freight,LPG vehicle,petroleum diesel tf] : MostRecentRun</t>
  </si>
  <si>
    <t>Transportation Sector Fuel Used[aircraft,freight,LPG vehicle,biofuel gasoline tf] : MostRecentRun</t>
  </si>
  <si>
    <t>Transportation Sector Fuel Used[aircraft,freight,LPG vehicle,biofuel diesel tf] : MostRecentRun</t>
  </si>
  <si>
    <t>Transportation Sector Fuel Used[aircraft,freight,LPG vehicle,jet fuel tf] : MostRecentRun</t>
  </si>
  <si>
    <t>Transportation Sector Fuel Used[aircraft,freight,LPG vehicle,heavy or residual fuel oil tf] : MostRecentRun</t>
  </si>
  <si>
    <t>Transportation Sector Fuel Used[aircraft,freight,LPG vehicle,LPG propane or butane tf] : MostRecentRun</t>
  </si>
  <si>
    <t>Transportation Sector Fuel Used[aircraft,freight,LPG vehicle,hydrogen tf] : MostRecentRun</t>
  </si>
  <si>
    <t>Transportation Sector Fuel Used[aircraft,freight,hydrogen vehicle,electricity tf] : MostRecentRun</t>
  </si>
  <si>
    <t>Transportation Sector Fuel Used[aircraft,freight,hydrogen vehicle,natural gas tf] : MostRecentRun</t>
  </si>
  <si>
    <t>Transportation Sector Fuel Used[aircraft,freight,hydrogen vehicle,petroleum gasoline tf] : MostRecentRun</t>
  </si>
  <si>
    <t>Transportation Sector Fuel Used[aircraft,freight,hydrogen vehicle,petroleum diesel tf] : MostRecentRun</t>
  </si>
  <si>
    <t>Transportation Sector Fuel Used[aircraft,freight,hydrogen vehicle,biofuel gasoline tf] : MostRecentRun</t>
  </si>
  <si>
    <t>Transportation Sector Fuel Used[aircraft,freight,hydrogen vehicle,biofuel diesel tf] : MostRecentRun</t>
  </si>
  <si>
    <t>Transportation Sector Fuel Used[aircraft,freight,hydrogen vehicle,jet fuel tf] : MostRecentRun</t>
  </si>
  <si>
    <t>Transportation Sector Fuel Used[aircraft,freight,hydrogen vehicle,heavy or residual fuel oil tf] : MostRecentRun</t>
  </si>
  <si>
    <t>Transportation Sector Fuel Used[aircraft,freight,hydrogen vehicle,LPG propane or butane tf] : MostRecentRun</t>
  </si>
  <si>
    <t>Transportation Sector Fuel Used[aircraft,freight,hydrogen vehicle,hydrogen tf] : MostRecentRun</t>
  </si>
  <si>
    <t>Transportation Sector Fuel Used[rail,passenger,battery electric vehicle,electricity tf] : MostRecentRun</t>
  </si>
  <si>
    <t>Transportation Sector Fuel Used[rail,passenger,battery electric vehicle,natural gas tf] : MostRecentRun</t>
  </si>
  <si>
    <t>Transportation Sector Fuel Used[rail,passenger,battery electric vehicle,petroleum gasoline tf] : MostRecentRun</t>
  </si>
  <si>
    <t>Transportation Sector Fuel Used[rail,passenger,battery electric vehicle,petroleum diesel tf] : MostRecentRun</t>
  </si>
  <si>
    <t>Transportation Sector Fuel Used[rail,passenger,battery electric vehicle,biofuel gasoline tf] : MostRecentRun</t>
  </si>
  <si>
    <t>Transportation Sector Fuel Used[rail,passenger,battery electric vehicle,biofuel diesel tf] : MostRecentRun</t>
  </si>
  <si>
    <t>Transportation Sector Fuel Used[rail,passenger,battery electric vehicle,jet fuel tf] : MostRecentRun</t>
  </si>
  <si>
    <t>Transportation Sector Fuel Used[rail,passenger,battery electric vehicle,heavy or residual fuel oil tf] : MostRecentRun</t>
  </si>
  <si>
    <t>Transportation Sector Fuel Used[rail,passenger,battery electric vehicle,LPG propane or butane tf] : MostRecentRun</t>
  </si>
  <si>
    <t>Transportation Sector Fuel Used[rail,passenger,battery electric vehicle,hydrogen tf] : MostRecentRun</t>
  </si>
  <si>
    <t>Transportation Sector Fuel Used[rail,passenger,natural gas vehicle,electricity tf] : MostRecentRun</t>
  </si>
  <si>
    <t>Transportation Sector Fuel Used[rail,passenger,natural gas vehicle,natural gas tf] : MostRecentRun</t>
  </si>
  <si>
    <t>Transportation Sector Fuel Used[rail,passenger,natural gas vehicle,petroleum gasoline tf] : MostRecentRun</t>
  </si>
  <si>
    <t>Transportation Sector Fuel Used[rail,passenger,natural gas vehicle,petroleum diesel tf] : MostRecentRun</t>
  </si>
  <si>
    <t>Transportation Sector Fuel Used[rail,passenger,natural gas vehicle,biofuel gasoline tf] : MostRecentRun</t>
  </si>
  <si>
    <t>Transportation Sector Fuel Used[rail,passenger,natural gas vehicle,biofuel diesel tf] : MostRecentRun</t>
  </si>
  <si>
    <t>Transportation Sector Fuel Used[rail,passenger,natural gas vehicle,jet fuel tf] : MostRecentRun</t>
  </si>
  <si>
    <t>Transportation Sector Fuel Used[rail,passenger,natural gas vehicle,heavy or residual fuel oil tf] : MostRecentRun</t>
  </si>
  <si>
    <t>Transportation Sector Fuel Used[rail,passenger,natural gas vehicle,LPG propane or butane tf] : MostRecentRun</t>
  </si>
  <si>
    <t>Transportation Sector Fuel Used[rail,passenger,natural gas vehicle,hydrogen tf] : MostRecentRun</t>
  </si>
  <si>
    <t>Transportation Sector Fuel Used[rail,passenger,gasoline vehicle,electricity tf] : MostRecentRun</t>
  </si>
  <si>
    <t>Transportation Sector Fuel Used[rail,passenger,gasoline vehicle,natural gas tf] : MostRecentRun</t>
  </si>
  <si>
    <t>Transportation Sector Fuel Used[rail,passenger,gasoline vehicle,petroleum gasoline tf] : MostRecentRun</t>
  </si>
  <si>
    <t>Transportation Sector Fuel Used[rail,passenger,gasoline vehicle,petroleum diesel tf] : MostRecentRun</t>
  </si>
  <si>
    <t>Transportation Sector Fuel Used[rail,passenger,gasoline vehicle,biofuel gasoline tf] : MostRecentRun</t>
  </si>
  <si>
    <t>Transportation Sector Fuel Used[rail,passenger,gasoline vehicle,biofuel diesel tf] : MostRecentRun</t>
  </si>
  <si>
    <t>Transportation Sector Fuel Used[rail,passenger,gasoline vehicle,jet fuel tf] : MostRecentRun</t>
  </si>
  <si>
    <t>Transportation Sector Fuel Used[rail,passenger,gasoline vehicle,heavy or residual fuel oil tf] : MostRecentRun</t>
  </si>
  <si>
    <t>Transportation Sector Fuel Used[rail,passenger,gasoline vehicle,LPG propane or butane tf] : MostRecentRun</t>
  </si>
  <si>
    <t>Transportation Sector Fuel Used[rail,passenger,gasoline vehicle,hydrogen tf] : MostRecentRun</t>
  </si>
  <si>
    <t>Transportation Sector Fuel Used[rail,passenger,diesel vehicle,electricity tf] : MostRecentRun</t>
  </si>
  <si>
    <t>Transportation Sector Fuel Used[rail,passenger,diesel vehicle,natural gas tf] : MostRecentRun</t>
  </si>
  <si>
    <t>Transportation Sector Fuel Used[rail,passenger,diesel vehicle,petroleum gasoline tf] : MostRecentRun</t>
  </si>
  <si>
    <t>Transportation Sector Fuel Used[rail,passenger,diesel vehicle,petroleum diesel tf] : MostRecentRun</t>
  </si>
  <si>
    <t>Transportation Sector Fuel Used[rail,passenger,diesel vehicle,biofuel gasoline tf] : MostRecentRun</t>
  </si>
  <si>
    <t>Transportation Sector Fuel Used[rail,passenger,diesel vehicle,biofuel diesel tf] : MostRecentRun</t>
  </si>
  <si>
    <t>Transportation Sector Fuel Used[rail,passenger,diesel vehicle,jet fuel tf] : MostRecentRun</t>
  </si>
  <si>
    <t>Transportation Sector Fuel Used[rail,passenger,diesel vehicle,heavy or residual fuel oil tf] : MostRecentRun</t>
  </si>
  <si>
    <t>Transportation Sector Fuel Used[rail,passenger,diesel vehicle,LPG propane or butane tf] : MostRecentRun</t>
  </si>
  <si>
    <t>Transportation Sector Fuel Used[rail,passenger,diesel vehicle,hydrogen tf] : MostRecentRun</t>
  </si>
  <si>
    <t>Transportation Sector Fuel Used[rail,passenger,plugin hybrid vehicle,electricity tf] : MostRecentRun</t>
  </si>
  <si>
    <t>Transportation Sector Fuel Used[rail,passenger,plugin hybrid vehicle,natural gas tf] : MostRecentRun</t>
  </si>
  <si>
    <t>Transportation Sector Fuel Used[rail,passenger,plugin hybrid vehicle,petroleum gasoline tf] : MostRecentRun</t>
  </si>
  <si>
    <t>Transportation Sector Fuel Used[rail,passenger,plugin hybrid vehicle,petroleum diesel tf] : MostRecentRun</t>
  </si>
  <si>
    <t>Transportation Sector Fuel Used[rail,passenger,plugin hybrid vehicle,biofuel gasoline tf] : MostRecentRun</t>
  </si>
  <si>
    <t>Transportation Sector Fuel Used[rail,passenger,plugin hybrid vehicle,biofuel diesel tf] : MostRecentRun</t>
  </si>
  <si>
    <t>Transportation Sector Fuel Used[rail,passenger,plugin hybrid vehicle,jet fuel tf] : MostRecentRun</t>
  </si>
  <si>
    <t>Transportation Sector Fuel Used[rail,passenger,plugin hybrid vehicle,heavy or residual fuel oil tf] : MostRecentRun</t>
  </si>
  <si>
    <t>Transportation Sector Fuel Used[rail,passenger,plugin hybrid vehicle,LPG propane or butane tf] : MostRecentRun</t>
  </si>
  <si>
    <t>Transportation Sector Fuel Used[rail,passenger,plugin hybrid vehicle,hydrogen tf] : MostRecentRun</t>
  </si>
  <si>
    <t>Transportation Sector Fuel Used[rail,passenger,LPG vehicle,electricity tf] : MostRecentRun</t>
  </si>
  <si>
    <t>Transportation Sector Fuel Used[rail,passenger,LPG vehicle,natural gas tf] : MostRecentRun</t>
  </si>
  <si>
    <t>Transportation Sector Fuel Used[rail,passenger,LPG vehicle,petroleum gasoline tf] : MostRecentRun</t>
  </si>
  <si>
    <t>Transportation Sector Fuel Used[rail,passenger,LPG vehicle,petroleum diesel tf] : MostRecentRun</t>
  </si>
  <si>
    <t>Transportation Sector Fuel Used[rail,passenger,LPG vehicle,biofuel gasoline tf] : MostRecentRun</t>
  </si>
  <si>
    <t>Transportation Sector Fuel Used[rail,passenger,LPG vehicle,biofuel diesel tf] : MostRecentRun</t>
  </si>
  <si>
    <t>Transportation Sector Fuel Used[rail,passenger,LPG vehicle,jet fuel tf] : MostRecentRun</t>
  </si>
  <si>
    <t>Transportation Sector Fuel Used[rail,passenger,LPG vehicle,heavy or residual fuel oil tf] : MostRecentRun</t>
  </si>
  <si>
    <t>Transportation Sector Fuel Used[rail,passenger,LPG vehicle,LPG propane or butane tf] : MostRecentRun</t>
  </si>
  <si>
    <t>Transportation Sector Fuel Used[rail,passenger,LPG vehicle,hydrogen tf] : MostRecentRun</t>
  </si>
  <si>
    <t>Transportation Sector Fuel Used[rail,passenger,hydrogen vehicle,electricity tf] : MostRecentRun</t>
  </si>
  <si>
    <t>Transportation Sector Fuel Used[rail,passenger,hydrogen vehicle,natural gas tf] : MostRecentRun</t>
  </si>
  <si>
    <t>Transportation Sector Fuel Used[rail,passenger,hydrogen vehicle,petroleum gasoline tf] : MostRecentRun</t>
  </si>
  <si>
    <t>Transportation Sector Fuel Used[rail,passenger,hydrogen vehicle,petroleum diesel tf] : MostRecentRun</t>
  </si>
  <si>
    <t>Transportation Sector Fuel Used[rail,passenger,hydrogen vehicle,biofuel gasoline tf] : MostRecentRun</t>
  </si>
  <si>
    <t>Transportation Sector Fuel Used[rail,passenger,hydrogen vehicle,biofuel diesel tf] : MostRecentRun</t>
  </si>
  <si>
    <t>Transportation Sector Fuel Used[rail,passenger,hydrogen vehicle,jet fuel tf] : MostRecentRun</t>
  </si>
  <si>
    <t>Transportation Sector Fuel Used[rail,passenger,hydrogen vehicle,heavy or residual fuel oil tf] : MostRecentRun</t>
  </si>
  <si>
    <t>Transportation Sector Fuel Used[rail,passenger,hydrogen vehicle,LPG propane or butane tf] : MostRecentRun</t>
  </si>
  <si>
    <t>Transportation Sector Fuel Used[rail,passenger,hydrogen vehicle,hydrogen tf] : MostRecentRun</t>
  </si>
  <si>
    <t>Transportation Sector Fuel Used[rail,freight,battery electric vehicle,electricity tf] : MostRecentRun</t>
  </si>
  <si>
    <t>Transportation Sector Fuel Used[rail,freight,battery electric vehicle,natural gas tf] : MostRecentRun</t>
  </si>
  <si>
    <t>Transportation Sector Fuel Used[rail,freight,battery electric vehicle,petroleum gasoline tf] : MostRecentRun</t>
  </si>
  <si>
    <t>Transportation Sector Fuel Used[rail,freight,battery electric vehicle,petroleum diesel tf] : MostRecentRun</t>
  </si>
  <si>
    <t>Transportation Sector Fuel Used[rail,freight,battery electric vehicle,biofuel gasoline tf] : MostRecentRun</t>
  </si>
  <si>
    <t>Transportation Sector Fuel Used[rail,freight,battery electric vehicle,biofuel diesel tf] : MostRecentRun</t>
  </si>
  <si>
    <t>Transportation Sector Fuel Used[rail,freight,battery electric vehicle,jet fuel tf] : MostRecentRun</t>
  </si>
  <si>
    <t>Transportation Sector Fuel Used[rail,freight,battery electric vehicle,heavy or residual fuel oil tf] : MostRecentRun</t>
  </si>
  <si>
    <t>Transportation Sector Fuel Used[rail,freight,battery electric vehicle,LPG propane or butane tf] : MostRecentRun</t>
  </si>
  <si>
    <t>Transportation Sector Fuel Used[rail,freight,battery electric vehicle,hydrogen tf] : MostRecentRun</t>
  </si>
  <si>
    <t>Transportation Sector Fuel Used[rail,freight,natural gas vehicle,electricity tf] : MostRecentRun</t>
  </si>
  <si>
    <t>Transportation Sector Fuel Used[rail,freight,natural gas vehicle,natural gas tf] : MostRecentRun</t>
  </si>
  <si>
    <t>Transportation Sector Fuel Used[rail,freight,natural gas vehicle,petroleum gasoline tf] : MostRecentRun</t>
  </si>
  <si>
    <t>Transportation Sector Fuel Used[rail,freight,natural gas vehicle,petroleum diesel tf] : MostRecentRun</t>
  </si>
  <si>
    <t>Transportation Sector Fuel Used[rail,freight,natural gas vehicle,biofuel gasoline tf] : MostRecentRun</t>
  </si>
  <si>
    <t>Transportation Sector Fuel Used[rail,freight,natural gas vehicle,biofuel diesel tf] : MostRecentRun</t>
  </si>
  <si>
    <t>Transportation Sector Fuel Used[rail,freight,natural gas vehicle,jet fuel tf] : MostRecentRun</t>
  </si>
  <si>
    <t>Transportation Sector Fuel Used[rail,freight,natural gas vehicle,heavy or residual fuel oil tf] : MostRecentRun</t>
  </si>
  <si>
    <t>Transportation Sector Fuel Used[rail,freight,natural gas vehicle,LPG propane or butane tf] : MostRecentRun</t>
  </si>
  <si>
    <t>Transportation Sector Fuel Used[rail,freight,natural gas vehicle,hydrogen tf] : MostRecentRun</t>
  </si>
  <si>
    <t>Transportation Sector Fuel Used[rail,freight,gasoline vehicle,electricity tf] : MostRecentRun</t>
  </si>
  <si>
    <t>Transportation Sector Fuel Used[rail,freight,gasoline vehicle,natural gas tf] : MostRecentRun</t>
  </si>
  <si>
    <t>Transportation Sector Fuel Used[rail,freight,gasoline vehicle,petroleum gasoline tf] : MostRecentRun</t>
  </si>
  <si>
    <t>Transportation Sector Fuel Used[rail,freight,gasoline vehicle,petroleum diesel tf] : MostRecentRun</t>
  </si>
  <si>
    <t>Transportation Sector Fuel Used[rail,freight,gasoline vehicle,biofuel gasoline tf] : MostRecentRun</t>
  </si>
  <si>
    <t>Transportation Sector Fuel Used[rail,freight,gasoline vehicle,biofuel diesel tf] : MostRecentRun</t>
  </si>
  <si>
    <t>Transportation Sector Fuel Used[rail,freight,gasoline vehicle,jet fuel tf] : MostRecentRun</t>
  </si>
  <si>
    <t>Transportation Sector Fuel Used[rail,freight,gasoline vehicle,heavy or residual fuel oil tf] : MostRecentRun</t>
  </si>
  <si>
    <t>Transportation Sector Fuel Used[rail,freight,gasoline vehicle,LPG propane or butane tf] : MostRecentRun</t>
  </si>
  <si>
    <t>Transportation Sector Fuel Used[rail,freight,gasoline vehicle,hydrogen tf] : MostRecentRun</t>
  </si>
  <si>
    <t>Transportation Sector Fuel Used[rail,freight,diesel vehicle,electricity tf] : MostRecentRun</t>
  </si>
  <si>
    <t>Transportation Sector Fuel Used[rail,freight,diesel vehicle,natural gas tf] : MostRecentRun</t>
  </si>
  <si>
    <t>Transportation Sector Fuel Used[rail,freight,diesel vehicle,petroleum gasoline tf] : MostRecentRun</t>
  </si>
  <si>
    <t>Transportation Sector Fuel Used[rail,freight,diesel vehicle,petroleum diesel tf] : MostRecentRun</t>
  </si>
  <si>
    <t>Transportation Sector Fuel Used[rail,freight,diesel vehicle,biofuel gasoline tf] : MostRecentRun</t>
  </si>
  <si>
    <t>Transportation Sector Fuel Used[rail,freight,diesel vehicle,biofuel diesel tf] : MostRecentRun</t>
  </si>
  <si>
    <t>Transportation Sector Fuel Used[rail,freight,diesel vehicle,jet fuel tf] : MostRecentRun</t>
  </si>
  <si>
    <t>Transportation Sector Fuel Used[rail,freight,diesel vehicle,heavy or residual fuel oil tf] : MostRecentRun</t>
  </si>
  <si>
    <t>Transportation Sector Fuel Used[rail,freight,diesel vehicle,LPG propane or butane tf] : MostRecentRun</t>
  </si>
  <si>
    <t>Transportation Sector Fuel Used[rail,freight,diesel vehicle,hydrogen tf] : MostRecentRun</t>
  </si>
  <si>
    <t>Transportation Sector Fuel Used[rail,freight,plugin hybrid vehicle,electricity tf] : MostRecentRun</t>
  </si>
  <si>
    <t>Transportation Sector Fuel Used[rail,freight,plugin hybrid vehicle,natural gas tf] : MostRecentRun</t>
  </si>
  <si>
    <t>Transportation Sector Fuel Used[rail,freight,plugin hybrid vehicle,petroleum gasoline tf] : MostRecentRun</t>
  </si>
  <si>
    <t>Transportation Sector Fuel Used[rail,freight,plugin hybrid vehicle,petroleum diesel tf] : MostRecentRun</t>
  </si>
  <si>
    <t>Transportation Sector Fuel Used[rail,freight,plugin hybrid vehicle,biofuel gasoline tf] : MostRecentRun</t>
  </si>
  <si>
    <t>Transportation Sector Fuel Used[rail,freight,plugin hybrid vehicle,biofuel diesel tf] : MostRecentRun</t>
  </si>
  <si>
    <t>Transportation Sector Fuel Used[rail,freight,plugin hybrid vehicle,jet fuel tf] : MostRecentRun</t>
  </si>
  <si>
    <t>Transportation Sector Fuel Used[rail,freight,plugin hybrid vehicle,heavy or residual fuel oil tf] : MostRecentRun</t>
  </si>
  <si>
    <t>Transportation Sector Fuel Used[rail,freight,plugin hybrid vehicle,LPG propane or butane tf] : MostRecentRun</t>
  </si>
  <si>
    <t>Transportation Sector Fuel Used[rail,freight,plugin hybrid vehicle,hydrogen tf] : MostRecentRun</t>
  </si>
  <si>
    <t>Transportation Sector Fuel Used[rail,freight,LPG vehicle,electricity tf] : MostRecentRun</t>
  </si>
  <si>
    <t>Transportation Sector Fuel Used[rail,freight,LPG vehicle,natural gas tf] : MostRecentRun</t>
  </si>
  <si>
    <t>Transportation Sector Fuel Used[rail,freight,LPG vehicle,petroleum gasoline tf] : MostRecentRun</t>
  </si>
  <si>
    <t>Transportation Sector Fuel Used[rail,freight,LPG vehicle,petroleum diesel tf] : MostRecentRun</t>
  </si>
  <si>
    <t>Transportation Sector Fuel Used[rail,freight,LPG vehicle,biofuel gasoline tf] : MostRecentRun</t>
  </si>
  <si>
    <t>Transportation Sector Fuel Used[rail,freight,LPG vehicle,biofuel diesel tf] : MostRecentRun</t>
  </si>
  <si>
    <t>Transportation Sector Fuel Used[rail,freight,LPG vehicle,jet fuel tf] : MostRecentRun</t>
  </si>
  <si>
    <t>Transportation Sector Fuel Used[rail,freight,LPG vehicle,heavy or residual fuel oil tf] : MostRecentRun</t>
  </si>
  <si>
    <t>Transportation Sector Fuel Used[rail,freight,LPG vehicle,LPG propane or butane tf] : MostRecentRun</t>
  </si>
  <si>
    <t>Transportation Sector Fuel Used[rail,freight,LPG vehicle,hydrogen tf] : MostRecentRun</t>
  </si>
  <si>
    <t>Transportation Sector Fuel Used[rail,freight,hydrogen vehicle,electricity tf] : MostRecentRun</t>
  </si>
  <si>
    <t>Transportation Sector Fuel Used[rail,freight,hydrogen vehicle,natural gas tf] : MostRecentRun</t>
  </si>
  <si>
    <t>Transportation Sector Fuel Used[rail,freight,hydrogen vehicle,petroleum gasoline tf] : MostRecentRun</t>
  </si>
  <si>
    <t>Transportation Sector Fuel Used[rail,freight,hydrogen vehicle,petroleum diesel tf] : MostRecentRun</t>
  </si>
  <si>
    <t>Transportation Sector Fuel Used[rail,freight,hydrogen vehicle,biofuel gasoline tf] : MostRecentRun</t>
  </si>
  <si>
    <t>Transportation Sector Fuel Used[rail,freight,hydrogen vehicle,biofuel diesel tf] : MostRecentRun</t>
  </si>
  <si>
    <t>Transportation Sector Fuel Used[rail,freight,hydrogen vehicle,jet fuel tf] : MostRecentRun</t>
  </si>
  <si>
    <t>Transportation Sector Fuel Used[rail,freight,hydrogen vehicle,heavy or residual fuel oil tf] : MostRecentRun</t>
  </si>
  <si>
    <t>Transportation Sector Fuel Used[rail,freight,hydrogen vehicle,LPG propane or butane tf] : MostRecentRun</t>
  </si>
  <si>
    <t>Transportation Sector Fuel Used[rail,freight,hydrogen vehicle,hydrogen tf] : MostRecentRun</t>
  </si>
  <si>
    <t>Transportation Sector Fuel Used[ships,passenger,battery electric vehicle,electricity tf] : MostRecentRun</t>
  </si>
  <si>
    <t>Transportation Sector Fuel Used[ships,passenger,battery electric vehicle,natural gas tf] : MostRecentRun</t>
  </si>
  <si>
    <t>Transportation Sector Fuel Used[ships,passenger,battery electric vehicle,petroleum gasoline tf] : MostRecentRun</t>
  </si>
  <si>
    <t>Transportation Sector Fuel Used[ships,passenger,battery electric vehicle,petroleum diesel tf] : MostRecentRun</t>
  </si>
  <si>
    <t>Transportation Sector Fuel Used[ships,passenger,battery electric vehicle,biofuel gasoline tf] : MostRecentRun</t>
  </si>
  <si>
    <t>Transportation Sector Fuel Used[ships,passenger,battery electric vehicle,biofuel diesel tf] : MostRecentRun</t>
  </si>
  <si>
    <t>Transportation Sector Fuel Used[ships,passenger,battery electric vehicle,jet fuel tf] : MostRecentRun</t>
  </si>
  <si>
    <t>Transportation Sector Fuel Used[ships,passenger,battery electric vehicle,heavy or residual fuel oil tf] : MostRecentRun</t>
  </si>
  <si>
    <t>Transportation Sector Fuel Used[ships,passenger,battery electric vehicle,LPG propane or butane tf] : MostRecentRun</t>
  </si>
  <si>
    <t>Transportation Sector Fuel Used[ships,passenger,battery electric vehicle,hydrogen tf] : MostRecentRun</t>
  </si>
  <si>
    <t>Transportation Sector Fuel Used[ships,passenger,natural gas vehicle,electricity tf] : MostRecentRun</t>
  </si>
  <si>
    <t>Transportation Sector Fuel Used[ships,passenger,natural gas vehicle,natural gas tf] : MostRecentRun</t>
  </si>
  <si>
    <t>Transportation Sector Fuel Used[ships,passenger,natural gas vehicle,petroleum gasoline tf] : MostRecentRun</t>
  </si>
  <si>
    <t>Transportation Sector Fuel Used[ships,passenger,natural gas vehicle,petroleum diesel tf] : MostRecentRun</t>
  </si>
  <si>
    <t>Transportation Sector Fuel Used[ships,passenger,natural gas vehicle,biofuel gasoline tf] : MostRecentRun</t>
  </si>
  <si>
    <t>Transportation Sector Fuel Used[ships,passenger,natural gas vehicle,biofuel diesel tf] : MostRecentRun</t>
  </si>
  <si>
    <t>Transportation Sector Fuel Used[ships,passenger,natural gas vehicle,jet fuel tf] : MostRecentRun</t>
  </si>
  <si>
    <t>Transportation Sector Fuel Used[ships,passenger,natural gas vehicle,heavy or residual fuel oil tf] : MostRecentRun</t>
  </si>
  <si>
    <t>Transportation Sector Fuel Used[ships,passenger,natural gas vehicle,LPG propane or butane tf] : MostRecentRun</t>
  </si>
  <si>
    <t>Transportation Sector Fuel Used[ships,passenger,natural gas vehicle,hydrogen tf] : MostRecentRun</t>
  </si>
  <si>
    <t>Transportation Sector Fuel Used[ships,passenger,gasoline vehicle,electricity tf] : MostRecentRun</t>
  </si>
  <si>
    <t>Transportation Sector Fuel Used[ships,passenger,gasoline vehicle,natural gas tf] : MostRecentRun</t>
  </si>
  <si>
    <t>Transportation Sector Fuel Used[ships,passenger,gasoline vehicle,petroleum gasoline tf] : MostRecentRun</t>
  </si>
  <si>
    <t>Transportation Sector Fuel Used[ships,passenger,gasoline vehicle,petroleum diesel tf] : MostRecentRun</t>
  </si>
  <si>
    <t>Transportation Sector Fuel Used[ships,passenger,gasoline vehicle,biofuel gasoline tf] : MostRecentRun</t>
  </si>
  <si>
    <t>Transportation Sector Fuel Used[ships,passenger,gasoline vehicle,biofuel diesel tf] : MostRecentRun</t>
  </si>
  <si>
    <t>Transportation Sector Fuel Used[ships,passenger,gasoline vehicle,jet fuel tf] : MostRecentRun</t>
  </si>
  <si>
    <t>Transportation Sector Fuel Used[ships,passenger,gasoline vehicle,heavy or residual fuel oil tf] : MostRecentRun</t>
  </si>
  <si>
    <t>Transportation Sector Fuel Used[ships,passenger,gasoline vehicle,LPG propane or butane tf] : MostRecentRun</t>
  </si>
  <si>
    <t>Transportation Sector Fuel Used[ships,passenger,gasoline vehicle,hydrogen tf] : MostRecentRun</t>
  </si>
  <si>
    <t>Transportation Sector Fuel Used[ships,passenger,diesel vehicle,electricity tf] : MostRecentRun</t>
  </si>
  <si>
    <t>Transportation Sector Fuel Used[ships,passenger,diesel vehicle,natural gas tf] : MostRecentRun</t>
  </si>
  <si>
    <t>Transportation Sector Fuel Used[ships,passenger,diesel vehicle,petroleum gasoline tf] : MostRecentRun</t>
  </si>
  <si>
    <t>Transportation Sector Fuel Used[ships,passenger,diesel vehicle,petroleum diesel tf] : MostRecentRun</t>
  </si>
  <si>
    <t>Transportation Sector Fuel Used[ships,passenger,diesel vehicle,biofuel gasoline tf] : MostRecentRun</t>
  </si>
  <si>
    <t>Transportation Sector Fuel Used[ships,passenger,diesel vehicle,biofuel diesel tf] : MostRecentRun</t>
  </si>
  <si>
    <t>Transportation Sector Fuel Used[ships,passenger,diesel vehicle,jet fuel tf] : MostRecentRun</t>
  </si>
  <si>
    <t>Transportation Sector Fuel Used[ships,passenger,diesel vehicle,heavy or residual fuel oil tf] : MostRecentRun</t>
  </si>
  <si>
    <t>Transportation Sector Fuel Used[ships,passenger,diesel vehicle,LPG propane or butane tf] : MostRecentRun</t>
  </si>
  <si>
    <t>Transportation Sector Fuel Used[ships,passenger,diesel vehicle,hydrogen tf] : MostRecentRun</t>
  </si>
  <si>
    <t>Transportation Sector Fuel Used[ships,passenger,plugin hybrid vehicle,electricity tf] : MostRecentRun</t>
  </si>
  <si>
    <t>Transportation Sector Fuel Used[ships,passenger,plugin hybrid vehicle,natural gas tf] : MostRecentRun</t>
  </si>
  <si>
    <t>Transportation Sector Fuel Used[ships,passenger,plugin hybrid vehicle,petroleum gasoline tf] : MostRecentRun</t>
  </si>
  <si>
    <t>Transportation Sector Fuel Used[ships,passenger,plugin hybrid vehicle,petroleum diesel tf] : MostRecentRun</t>
  </si>
  <si>
    <t>Transportation Sector Fuel Used[ships,passenger,plugin hybrid vehicle,biofuel gasoline tf] : MostRecentRun</t>
  </si>
  <si>
    <t>Transportation Sector Fuel Used[ships,passenger,plugin hybrid vehicle,biofuel diesel tf] : MostRecentRun</t>
  </si>
  <si>
    <t>Transportation Sector Fuel Used[ships,passenger,plugin hybrid vehicle,jet fuel tf] : MostRecentRun</t>
  </si>
  <si>
    <t>Transportation Sector Fuel Used[ships,passenger,plugin hybrid vehicle,heavy or residual fuel oil tf] : MostRecentRun</t>
  </si>
  <si>
    <t>Transportation Sector Fuel Used[ships,passenger,plugin hybrid vehicle,LPG propane or butane tf] : MostRecentRun</t>
  </si>
  <si>
    <t>Transportation Sector Fuel Used[ships,passenger,plugin hybrid vehicle,hydrogen tf] : MostRecentRun</t>
  </si>
  <si>
    <t>Transportation Sector Fuel Used[ships,passenger,LPG vehicle,electricity tf] : MostRecentRun</t>
  </si>
  <si>
    <t>Transportation Sector Fuel Used[ships,passenger,LPG vehicle,natural gas tf] : MostRecentRun</t>
  </si>
  <si>
    <t>Transportation Sector Fuel Used[ships,passenger,LPG vehicle,petroleum gasoline tf] : MostRecentRun</t>
  </si>
  <si>
    <t>Transportation Sector Fuel Used[ships,passenger,LPG vehicle,petroleum diesel tf] : MostRecentRun</t>
  </si>
  <si>
    <t>Transportation Sector Fuel Used[ships,passenger,LPG vehicle,biofuel gasoline tf] : MostRecentRun</t>
  </si>
  <si>
    <t>Transportation Sector Fuel Used[ships,passenger,LPG vehicle,biofuel diesel tf] : MostRecentRun</t>
  </si>
  <si>
    <t>Transportation Sector Fuel Used[ships,passenger,LPG vehicle,jet fuel tf] : MostRecentRun</t>
  </si>
  <si>
    <t>Transportation Sector Fuel Used[ships,passenger,LPG vehicle,heavy or residual fuel oil tf] : MostRecentRun</t>
  </si>
  <si>
    <t>Transportation Sector Fuel Used[ships,passenger,LPG vehicle,LPG propane or butane tf] : MostRecentRun</t>
  </si>
  <si>
    <t>Transportation Sector Fuel Used[ships,passenger,LPG vehicle,hydrogen tf] : MostRecentRun</t>
  </si>
  <si>
    <t>Transportation Sector Fuel Used[ships,passenger,hydrogen vehicle,electricity tf] : MostRecentRun</t>
  </si>
  <si>
    <t>Transportation Sector Fuel Used[ships,passenger,hydrogen vehicle,natural gas tf] : MostRecentRun</t>
  </si>
  <si>
    <t>Transportation Sector Fuel Used[ships,passenger,hydrogen vehicle,petroleum gasoline tf] : MostRecentRun</t>
  </si>
  <si>
    <t>Transportation Sector Fuel Used[ships,passenger,hydrogen vehicle,petroleum diesel tf] : MostRecentRun</t>
  </si>
  <si>
    <t>Transportation Sector Fuel Used[ships,passenger,hydrogen vehicle,biofuel gasoline tf] : MostRecentRun</t>
  </si>
  <si>
    <t>Transportation Sector Fuel Used[ships,passenger,hydrogen vehicle,biofuel diesel tf] : MostRecentRun</t>
  </si>
  <si>
    <t>Transportation Sector Fuel Used[ships,passenger,hydrogen vehicle,jet fuel tf] : MostRecentRun</t>
  </si>
  <si>
    <t>Transportation Sector Fuel Used[ships,passenger,hydrogen vehicle,heavy or residual fuel oil tf] : MostRecentRun</t>
  </si>
  <si>
    <t>Transportation Sector Fuel Used[ships,passenger,hydrogen vehicle,LPG propane or butane tf] : MostRecentRun</t>
  </si>
  <si>
    <t>Transportation Sector Fuel Used[ships,passenger,hydrogen vehicle,hydrogen tf] : MostRecentRun</t>
  </si>
  <si>
    <t>Transportation Sector Fuel Used[ships,freight,battery electric vehicle,electricity tf] : MostRecentRun</t>
  </si>
  <si>
    <t>Transportation Sector Fuel Used[ships,freight,battery electric vehicle,natural gas tf] : MostRecentRun</t>
  </si>
  <si>
    <t>Transportation Sector Fuel Used[ships,freight,battery electric vehicle,petroleum gasoline tf] : MostRecentRun</t>
  </si>
  <si>
    <t>Transportation Sector Fuel Used[ships,freight,battery electric vehicle,petroleum diesel tf] : MostRecentRun</t>
  </si>
  <si>
    <t>Transportation Sector Fuel Used[ships,freight,battery electric vehicle,biofuel gasoline tf] : MostRecentRun</t>
  </si>
  <si>
    <t>Transportation Sector Fuel Used[ships,freight,battery electric vehicle,biofuel diesel tf] : MostRecentRun</t>
  </si>
  <si>
    <t>Transportation Sector Fuel Used[ships,freight,battery electric vehicle,jet fuel tf] : MostRecentRun</t>
  </si>
  <si>
    <t>Transportation Sector Fuel Used[ships,freight,battery electric vehicle,heavy or residual fuel oil tf] : MostRecentRun</t>
  </si>
  <si>
    <t>Transportation Sector Fuel Used[ships,freight,battery electric vehicle,LPG propane or butane tf] : MostRecentRun</t>
  </si>
  <si>
    <t>Transportation Sector Fuel Used[ships,freight,battery electric vehicle,hydrogen tf] : MostRecentRun</t>
  </si>
  <si>
    <t>Transportation Sector Fuel Used[ships,freight,natural gas vehicle,electricity tf] : MostRecentRun</t>
  </si>
  <si>
    <t>Transportation Sector Fuel Used[ships,freight,natural gas vehicle,natural gas tf] : MostRecentRun</t>
  </si>
  <si>
    <t>Transportation Sector Fuel Used[ships,freight,natural gas vehicle,petroleum gasoline tf] : MostRecentRun</t>
  </si>
  <si>
    <t>Transportation Sector Fuel Used[ships,freight,natural gas vehicle,petroleum diesel tf] : MostRecentRun</t>
  </si>
  <si>
    <t>Transportation Sector Fuel Used[ships,freight,natural gas vehicle,biofuel gasoline tf] : MostRecentRun</t>
  </si>
  <si>
    <t>Transportation Sector Fuel Used[ships,freight,natural gas vehicle,biofuel diesel tf] : MostRecentRun</t>
  </si>
  <si>
    <t>Transportation Sector Fuel Used[ships,freight,natural gas vehicle,jet fuel tf] : MostRecentRun</t>
  </si>
  <si>
    <t>Transportation Sector Fuel Used[ships,freight,natural gas vehicle,heavy or residual fuel oil tf] : MostRecentRun</t>
  </si>
  <si>
    <t>Transportation Sector Fuel Used[ships,freight,natural gas vehicle,LPG propane or butane tf] : MostRecentRun</t>
  </si>
  <si>
    <t>Transportation Sector Fuel Used[ships,freight,natural gas vehicle,hydrogen tf] : MostRecentRun</t>
  </si>
  <si>
    <t>Transportation Sector Fuel Used[ships,freight,gasoline vehicle,electricity tf] : MostRecentRun</t>
  </si>
  <si>
    <t>Transportation Sector Fuel Used[ships,freight,gasoline vehicle,natural gas tf] : MostRecentRun</t>
  </si>
  <si>
    <t>Transportation Sector Fuel Used[ships,freight,gasoline vehicle,petroleum gasoline tf] : MostRecentRun</t>
  </si>
  <si>
    <t>Transportation Sector Fuel Used[ships,freight,gasoline vehicle,petroleum diesel tf] : MostRecentRun</t>
  </si>
  <si>
    <t>Transportation Sector Fuel Used[ships,freight,gasoline vehicle,biofuel gasoline tf] : MostRecentRun</t>
  </si>
  <si>
    <t>Transportation Sector Fuel Used[ships,freight,gasoline vehicle,biofuel diesel tf] : MostRecentRun</t>
  </si>
  <si>
    <t>Transportation Sector Fuel Used[ships,freight,gasoline vehicle,jet fuel tf] : MostRecentRun</t>
  </si>
  <si>
    <t>Transportation Sector Fuel Used[ships,freight,gasoline vehicle,heavy or residual fuel oil tf] : MostRecentRun</t>
  </si>
  <si>
    <t>Transportation Sector Fuel Used[ships,freight,gasoline vehicle,LPG propane or butane tf] : MostRecentRun</t>
  </si>
  <si>
    <t>Transportation Sector Fuel Used[ships,freight,gasoline vehicle,hydrogen tf] : MostRecentRun</t>
  </si>
  <si>
    <t>Transportation Sector Fuel Used[ships,freight,diesel vehicle,electricity tf] : MostRecentRun</t>
  </si>
  <si>
    <t>Transportation Sector Fuel Used[ships,freight,diesel vehicle,natural gas tf] : MostRecentRun</t>
  </si>
  <si>
    <t>Transportation Sector Fuel Used[ships,freight,diesel vehicle,petroleum gasoline tf] : MostRecentRun</t>
  </si>
  <si>
    <t>Transportation Sector Fuel Used[ships,freight,diesel vehicle,petroleum diesel tf] : MostRecentRun</t>
  </si>
  <si>
    <t>Transportation Sector Fuel Used[ships,freight,diesel vehicle,biofuel gasoline tf] : MostRecentRun</t>
  </si>
  <si>
    <t>Transportation Sector Fuel Used[ships,freight,diesel vehicle,biofuel diesel tf] : MostRecentRun</t>
  </si>
  <si>
    <t>Transportation Sector Fuel Used[ships,freight,diesel vehicle,jet fuel tf] : MostRecentRun</t>
  </si>
  <si>
    <t>Transportation Sector Fuel Used[ships,freight,diesel vehicle,heavy or residual fuel oil tf] : MostRecentRun</t>
  </si>
  <si>
    <t>Transportation Sector Fuel Used[ships,freight,diesel vehicle,LPG propane or butane tf] : MostRecentRun</t>
  </si>
  <si>
    <t>Transportation Sector Fuel Used[ships,freight,diesel vehicle,hydrogen tf] : MostRecentRun</t>
  </si>
  <si>
    <t>Transportation Sector Fuel Used[ships,freight,plugin hybrid vehicle,electricity tf] : MostRecentRun</t>
  </si>
  <si>
    <t>Transportation Sector Fuel Used[ships,freight,plugin hybrid vehicle,natural gas tf] : MostRecentRun</t>
  </si>
  <si>
    <t>Transportation Sector Fuel Used[ships,freight,plugin hybrid vehicle,petroleum gasoline tf] : MostRecentRun</t>
  </si>
  <si>
    <t>Transportation Sector Fuel Used[ships,freight,plugin hybrid vehicle,petroleum diesel tf] : MostRecentRun</t>
  </si>
  <si>
    <t>Transportation Sector Fuel Used[ships,freight,plugin hybrid vehicle,biofuel gasoline tf] : MostRecentRun</t>
  </si>
  <si>
    <t>Transportation Sector Fuel Used[ships,freight,plugin hybrid vehicle,biofuel diesel tf] : MostRecentRun</t>
  </si>
  <si>
    <t>Transportation Sector Fuel Used[ships,freight,plugin hybrid vehicle,jet fuel tf] : MostRecentRun</t>
  </si>
  <si>
    <t>Transportation Sector Fuel Used[ships,freight,plugin hybrid vehicle,heavy or residual fuel oil tf] : MostRecentRun</t>
  </si>
  <si>
    <t>Transportation Sector Fuel Used[ships,freight,plugin hybrid vehicle,LPG propane or butane tf] : MostRecentRun</t>
  </si>
  <si>
    <t>Transportation Sector Fuel Used[ships,freight,plugin hybrid vehicle,hydrogen tf] : MostRecentRun</t>
  </si>
  <si>
    <t>Transportation Sector Fuel Used[ships,freight,LPG vehicle,electricity tf] : MostRecentRun</t>
  </si>
  <si>
    <t>Transportation Sector Fuel Used[ships,freight,LPG vehicle,natural gas tf] : MostRecentRun</t>
  </si>
  <si>
    <t>Transportation Sector Fuel Used[ships,freight,LPG vehicle,petroleum gasoline tf] : MostRecentRun</t>
  </si>
  <si>
    <t>Transportation Sector Fuel Used[ships,freight,LPG vehicle,petroleum diesel tf] : MostRecentRun</t>
  </si>
  <si>
    <t>Transportation Sector Fuel Used[ships,freight,LPG vehicle,biofuel gasoline tf] : MostRecentRun</t>
  </si>
  <si>
    <t>Transportation Sector Fuel Used[ships,freight,LPG vehicle,biofuel diesel tf] : MostRecentRun</t>
  </si>
  <si>
    <t>Transportation Sector Fuel Used[ships,freight,LPG vehicle,jet fuel tf] : MostRecentRun</t>
  </si>
  <si>
    <t>Transportation Sector Fuel Used[ships,freight,LPG vehicle,heavy or residual fuel oil tf] : MostRecentRun</t>
  </si>
  <si>
    <t>Transportation Sector Fuel Used[ships,freight,LPG vehicle,LPG propane or butane tf] : MostRecentRun</t>
  </si>
  <si>
    <t>Transportation Sector Fuel Used[ships,freight,LPG vehicle,hydrogen tf] : MostRecentRun</t>
  </si>
  <si>
    <t>Transportation Sector Fuel Used[ships,freight,hydrogen vehicle,electricity tf] : MostRecentRun</t>
  </si>
  <si>
    <t>Transportation Sector Fuel Used[ships,freight,hydrogen vehicle,natural gas tf] : MostRecentRun</t>
  </si>
  <si>
    <t>Transportation Sector Fuel Used[ships,freight,hydrogen vehicle,petroleum gasoline tf] : MostRecentRun</t>
  </si>
  <si>
    <t>Transportation Sector Fuel Used[ships,freight,hydrogen vehicle,petroleum diesel tf] : MostRecentRun</t>
  </si>
  <si>
    <t>Transportation Sector Fuel Used[ships,freight,hydrogen vehicle,biofuel gasoline tf] : MostRecentRun</t>
  </si>
  <si>
    <t>Transportation Sector Fuel Used[ships,freight,hydrogen vehicle,biofuel diesel tf] : MostRecentRun</t>
  </si>
  <si>
    <t>Transportation Sector Fuel Used[ships,freight,hydrogen vehicle,jet fuel tf] : MostRecentRun</t>
  </si>
  <si>
    <t>Transportation Sector Fuel Used[ships,freight,hydrogen vehicle,heavy or residual fuel oil tf] : MostRecentRun</t>
  </si>
  <si>
    <t>Transportation Sector Fuel Used[ships,freight,hydrogen vehicle,LPG propane or butane tf] : MostRecentRun</t>
  </si>
  <si>
    <t>Transportation Sector Fuel Used[ships,freight,hydrogen vehicle,hydrogen tf] : MostRecentRun</t>
  </si>
  <si>
    <t>Transportation Sector Fuel Used[motorbikes,passenger,battery electric vehicle,electricity tf] : MostRecentRun</t>
  </si>
  <si>
    <t>Transportation Sector Fuel Used[motorbikes,passenger,battery electric vehicle,natural gas tf] : MostRecentRun</t>
  </si>
  <si>
    <t>Transportation Sector Fuel Used[motorbikes,passenger,battery electric vehicle,petroleum gasoline tf] : MostRecentRun</t>
  </si>
  <si>
    <t>Transportation Sector Fuel Used[motorbikes,passenger,battery electric vehicle,petroleum diesel tf] : MostRecentRun</t>
  </si>
  <si>
    <t>Transportation Sector Fuel Used[motorbikes,passenger,battery electric vehicle,biofuel gasoline tf] : MostRecentRun</t>
  </si>
  <si>
    <t>Transportation Sector Fuel Used[motorbikes,passenger,battery electric vehicle,biofuel diesel tf] : MostRecentRun</t>
  </si>
  <si>
    <t>Transportation Sector Fuel Used[motorbikes,passenger,battery electric vehicle,jet fuel tf] : MostRecentRun</t>
  </si>
  <si>
    <t>Transportation Sector Fuel Used[motorbikes,passenger,battery electric vehicle,heavy or residual fuel oil tf] : MostRecentRun</t>
  </si>
  <si>
    <t>Transportation Sector Fuel Used[motorbikes,passenger,battery electric vehicle,LPG propane or butane tf] : MostRecentRun</t>
  </si>
  <si>
    <t>Transportation Sector Fuel Used[motorbikes,passenger,battery electric vehicle,hydrogen tf] : MostRecentRun</t>
  </si>
  <si>
    <t>Transportation Sector Fuel Used[motorbikes,passenger,natural gas vehicle,electricity tf] : MostRecentRun</t>
  </si>
  <si>
    <t>Transportation Sector Fuel Used[motorbikes,passenger,natural gas vehicle,natural gas tf] : MostRecentRun</t>
  </si>
  <si>
    <t>Transportation Sector Fuel Used[motorbikes,passenger,natural gas vehicle,petroleum gasoline tf] : MostRecentRun</t>
  </si>
  <si>
    <t>Transportation Sector Fuel Used[motorbikes,passenger,natural gas vehicle,petroleum diesel tf] : MostRecentRun</t>
  </si>
  <si>
    <t>Transportation Sector Fuel Used[motorbikes,passenger,natural gas vehicle,biofuel gasoline tf] : MostRecentRun</t>
  </si>
  <si>
    <t>Transportation Sector Fuel Used[motorbikes,passenger,natural gas vehicle,biofuel diesel tf] : MostRecentRun</t>
  </si>
  <si>
    <t>Transportation Sector Fuel Used[motorbikes,passenger,natural gas vehicle,jet fuel tf] : MostRecentRun</t>
  </si>
  <si>
    <t>Transportation Sector Fuel Used[motorbikes,passenger,natural gas vehicle,heavy or residual fuel oil tf] : MostRecentRun</t>
  </si>
  <si>
    <t>Transportation Sector Fuel Used[motorbikes,passenger,natural gas vehicle,LPG propane or butane tf] : MostRecentRun</t>
  </si>
  <si>
    <t>Transportation Sector Fuel Used[motorbikes,passenger,natural gas vehicle,hydrogen tf] : MostRecentRun</t>
  </si>
  <si>
    <t>Transportation Sector Fuel Used[motorbikes,passenger,gasoline vehicle,electricity tf] : MostRecentRun</t>
  </si>
  <si>
    <t>Transportation Sector Fuel Used[motorbikes,passenger,gasoline vehicle,natural gas tf] : MostRecentRun</t>
  </si>
  <si>
    <t>Transportation Sector Fuel Used[motorbikes,passenger,gasoline vehicle,petroleum gasoline tf] : MostRecentRun</t>
  </si>
  <si>
    <t>Transportation Sector Fuel Used[motorbikes,passenger,gasoline vehicle,petroleum diesel tf] : MostRecentRun</t>
  </si>
  <si>
    <t>Transportation Sector Fuel Used[motorbikes,passenger,gasoline vehicle,biofuel gasoline tf] : MostRecentRun</t>
  </si>
  <si>
    <t>Transportation Sector Fuel Used[motorbikes,passenger,gasoline vehicle,biofuel diesel tf] : MostRecentRun</t>
  </si>
  <si>
    <t>Transportation Sector Fuel Used[motorbikes,passenger,gasoline vehicle,jet fuel tf] : MostRecentRun</t>
  </si>
  <si>
    <t>Transportation Sector Fuel Used[motorbikes,passenger,gasoline vehicle,heavy or residual fuel oil tf] : MostRecentRun</t>
  </si>
  <si>
    <t>Transportation Sector Fuel Used[motorbikes,passenger,gasoline vehicle,LPG propane or butane tf] : MostRecentRun</t>
  </si>
  <si>
    <t>Transportation Sector Fuel Used[motorbikes,passenger,gasoline vehicle,hydrogen tf] : MostRecentRun</t>
  </si>
  <si>
    <t>Transportation Sector Fuel Used[motorbikes,passenger,diesel vehicle,electricity tf] : MostRecentRun</t>
  </si>
  <si>
    <t>Transportation Sector Fuel Used[motorbikes,passenger,diesel vehicle,natural gas tf] : MostRecentRun</t>
  </si>
  <si>
    <t>Transportation Sector Fuel Used[motorbikes,passenger,diesel vehicle,petroleum gasoline tf] : MostRecentRun</t>
  </si>
  <si>
    <t>Transportation Sector Fuel Used[motorbikes,passenger,diesel vehicle,petroleum diesel tf] : MostRecentRun</t>
  </si>
  <si>
    <t>Transportation Sector Fuel Used[motorbikes,passenger,diesel vehicle,biofuel gasoline tf] : MostRecentRun</t>
  </si>
  <si>
    <t>Transportation Sector Fuel Used[motorbikes,passenger,diesel vehicle,biofuel diesel tf] : MostRecentRun</t>
  </si>
  <si>
    <t>Transportation Sector Fuel Used[motorbikes,passenger,diesel vehicle,jet fuel tf] : MostRecentRun</t>
  </si>
  <si>
    <t>Transportation Sector Fuel Used[motorbikes,passenger,diesel vehicle,heavy or residual fuel oil tf] : MostRecentRun</t>
  </si>
  <si>
    <t>Transportation Sector Fuel Used[motorbikes,passenger,diesel vehicle,LPG propane or butane tf] : MostRecentRun</t>
  </si>
  <si>
    <t>Transportation Sector Fuel Used[motorbikes,passenger,diesel vehicle,hydrogen tf] : MostRecentRun</t>
  </si>
  <si>
    <t>Transportation Sector Fuel Used[motorbikes,passenger,plugin hybrid vehicle,electricity tf] : MostRecentRun</t>
  </si>
  <si>
    <t>Transportation Sector Fuel Used[motorbikes,passenger,plugin hybrid vehicle,natural gas tf] : MostRecentRun</t>
  </si>
  <si>
    <t>Transportation Sector Fuel Used[motorbikes,passenger,plugin hybrid vehicle,petroleum gasoline tf] : MostRecentRun</t>
  </si>
  <si>
    <t>Transportation Sector Fuel Used[motorbikes,passenger,plugin hybrid vehicle,petroleum diesel tf] : MostRecentRun</t>
  </si>
  <si>
    <t>Transportation Sector Fuel Used[motorbikes,passenger,plugin hybrid vehicle,biofuel gasoline tf] : MostRecentRun</t>
  </si>
  <si>
    <t>Transportation Sector Fuel Used[motorbikes,passenger,plugin hybrid vehicle,biofuel diesel tf] : MostRecentRun</t>
  </si>
  <si>
    <t>Transportation Sector Fuel Used[motorbikes,passenger,plugin hybrid vehicle,jet fuel tf] : MostRecentRun</t>
  </si>
  <si>
    <t>Transportation Sector Fuel Used[motorbikes,passenger,plugin hybrid vehicle,heavy or residual fuel oil tf] : MostRecentRun</t>
  </si>
  <si>
    <t>Transportation Sector Fuel Used[motorbikes,passenger,plugin hybrid vehicle,LPG propane or butane tf] : MostRecentRun</t>
  </si>
  <si>
    <t>Transportation Sector Fuel Used[motorbikes,passenger,plugin hybrid vehicle,hydrogen tf] : MostRecentRun</t>
  </si>
  <si>
    <t>Transportation Sector Fuel Used[motorbikes,passenger,LPG vehicle,electricity tf] : MostRecentRun</t>
  </si>
  <si>
    <t>Transportation Sector Fuel Used[motorbikes,passenger,LPG vehicle,natural gas tf] : MostRecentRun</t>
  </si>
  <si>
    <t>Transportation Sector Fuel Used[motorbikes,passenger,LPG vehicle,petroleum gasoline tf] : MostRecentRun</t>
  </si>
  <si>
    <t>Transportation Sector Fuel Used[motorbikes,passenger,LPG vehicle,petroleum diesel tf] : MostRecentRun</t>
  </si>
  <si>
    <t>Transportation Sector Fuel Used[motorbikes,passenger,LPG vehicle,biofuel gasoline tf] : MostRecentRun</t>
  </si>
  <si>
    <t>Transportation Sector Fuel Used[motorbikes,passenger,LPG vehicle,biofuel diesel tf] : MostRecentRun</t>
  </si>
  <si>
    <t>Transportation Sector Fuel Used[motorbikes,passenger,LPG vehicle,jet fuel tf] : MostRecentRun</t>
  </si>
  <si>
    <t>Transportation Sector Fuel Used[motorbikes,passenger,LPG vehicle,heavy or residual fuel oil tf] : MostRecentRun</t>
  </si>
  <si>
    <t>Transportation Sector Fuel Used[motorbikes,passenger,LPG vehicle,LPG propane or butane tf] : MostRecentRun</t>
  </si>
  <si>
    <t>Transportation Sector Fuel Used[motorbikes,passenger,LPG vehicle,hydrogen tf] : MostRecentRun</t>
  </si>
  <si>
    <t>Transportation Sector Fuel Used[motorbikes,passenger,hydrogen vehicle,electricity tf] : MostRecentRun</t>
  </si>
  <si>
    <t>Transportation Sector Fuel Used[motorbikes,passenger,hydrogen vehicle,natural gas tf] : MostRecentRun</t>
  </si>
  <si>
    <t>Transportation Sector Fuel Used[motorbikes,passenger,hydrogen vehicle,petroleum gasoline tf] : MostRecentRun</t>
  </si>
  <si>
    <t>Transportation Sector Fuel Used[motorbikes,passenger,hydrogen vehicle,petroleum diesel tf] : MostRecentRun</t>
  </si>
  <si>
    <t>Transportation Sector Fuel Used[motorbikes,passenger,hydrogen vehicle,biofuel gasoline tf] : MostRecentRun</t>
  </si>
  <si>
    <t>Transportation Sector Fuel Used[motorbikes,passenger,hydrogen vehicle,biofuel diesel tf] : MostRecentRun</t>
  </si>
  <si>
    <t>Transportation Sector Fuel Used[motorbikes,passenger,hydrogen vehicle,jet fuel tf] : MostRecentRun</t>
  </si>
  <si>
    <t>Transportation Sector Fuel Used[motorbikes,passenger,hydrogen vehicle,heavy or residual fuel oil tf] : MostRecentRun</t>
  </si>
  <si>
    <t>Transportation Sector Fuel Used[motorbikes,passenger,hydrogen vehicle,LPG propane or butane tf] : MostRecentRun</t>
  </si>
  <si>
    <t>Transportation Sector Fuel Used[motorbikes,passenger,hydrogen vehicle,hydrogen tf] : MostRecentRun</t>
  </si>
  <si>
    <t>Transportation Sector Fuel Used[motorbikes,freight,battery electric vehicle,electricity tf] : MostRecentRun</t>
  </si>
  <si>
    <t>Transportation Sector Fuel Used[motorbikes,freight,battery electric vehicle,natural gas tf] : MostRecentRun</t>
  </si>
  <si>
    <t>Transportation Sector Fuel Used[motorbikes,freight,battery electric vehicle,petroleum gasoline tf] : MostRecentRun</t>
  </si>
  <si>
    <t>Transportation Sector Fuel Used[motorbikes,freight,battery electric vehicle,petroleum diesel tf] : MostRecentRun</t>
  </si>
  <si>
    <t>Transportation Sector Fuel Used[motorbikes,freight,battery electric vehicle,biofuel gasoline tf] : MostRecentRun</t>
  </si>
  <si>
    <t>Transportation Sector Fuel Used[motorbikes,freight,battery electric vehicle,biofuel diesel tf] : MostRecentRun</t>
  </si>
  <si>
    <t>Transportation Sector Fuel Used[motorbikes,freight,battery electric vehicle,jet fuel tf] : MostRecentRun</t>
  </si>
  <si>
    <t>Transportation Sector Fuel Used[motorbikes,freight,battery electric vehicle,heavy or residual fuel oil tf] : MostRecentRun</t>
  </si>
  <si>
    <t>Transportation Sector Fuel Used[motorbikes,freight,battery electric vehicle,LPG propane or butane tf] : MostRecentRun</t>
  </si>
  <si>
    <t>Transportation Sector Fuel Used[motorbikes,freight,battery electric vehicle,hydrogen tf] : MostRecentRun</t>
  </si>
  <si>
    <t>Transportation Sector Fuel Used[motorbikes,freight,natural gas vehicle,electricity tf] : MostRecentRun</t>
  </si>
  <si>
    <t>Transportation Sector Fuel Used[motorbikes,freight,natural gas vehicle,natural gas tf] : MostRecentRun</t>
  </si>
  <si>
    <t>Transportation Sector Fuel Used[motorbikes,freight,natural gas vehicle,petroleum gasoline tf] : MostRecentRun</t>
  </si>
  <si>
    <t>Transportation Sector Fuel Used[motorbikes,freight,natural gas vehicle,petroleum diesel tf] : MostRecentRun</t>
  </si>
  <si>
    <t>Transportation Sector Fuel Used[motorbikes,freight,natural gas vehicle,biofuel gasoline tf] : MostRecentRun</t>
  </si>
  <si>
    <t>Transportation Sector Fuel Used[motorbikes,freight,natural gas vehicle,biofuel diesel tf] : MostRecentRun</t>
  </si>
  <si>
    <t>Transportation Sector Fuel Used[motorbikes,freight,natural gas vehicle,jet fuel tf] : MostRecentRun</t>
  </si>
  <si>
    <t>Transportation Sector Fuel Used[motorbikes,freight,natural gas vehicle,heavy or residual fuel oil tf] : MostRecentRun</t>
  </si>
  <si>
    <t>Transportation Sector Fuel Used[motorbikes,freight,natural gas vehicle,LPG propane or butane tf] : MostRecentRun</t>
  </si>
  <si>
    <t>Transportation Sector Fuel Used[motorbikes,freight,natural gas vehicle,hydrogen tf] : MostRecentRun</t>
  </si>
  <si>
    <t>Transportation Sector Fuel Used[motorbikes,freight,gasoline vehicle,electricity tf] : MostRecentRun</t>
  </si>
  <si>
    <t>Transportation Sector Fuel Used[motorbikes,freight,gasoline vehicle,natural gas tf] : MostRecentRun</t>
  </si>
  <si>
    <t>Transportation Sector Fuel Used[motorbikes,freight,gasoline vehicle,petroleum gasoline tf] : MostRecentRun</t>
  </si>
  <si>
    <t>Transportation Sector Fuel Used[motorbikes,freight,gasoline vehicle,petroleum diesel tf] : MostRecentRun</t>
  </si>
  <si>
    <t>Transportation Sector Fuel Used[motorbikes,freight,gasoline vehicle,biofuel gasoline tf] : MostRecentRun</t>
  </si>
  <si>
    <t>Transportation Sector Fuel Used[motorbikes,freight,gasoline vehicle,biofuel diesel tf] : MostRecentRun</t>
  </si>
  <si>
    <t>Transportation Sector Fuel Used[motorbikes,freight,gasoline vehicle,jet fuel tf] : MostRecentRun</t>
  </si>
  <si>
    <t>Transportation Sector Fuel Used[motorbikes,freight,gasoline vehicle,heavy or residual fuel oil tf] : MostRecentRun</t>
  </si>
  <si>
    <t>Transportation Sector Fuel Used[motorbikes,freight,gasoline vehicle,LPG propane or butane tf] : MostRecentRun</t>
  </si>
  <si>
    <t>Transportation Sector Fuel Used[motorbikes,freight,gasoline vehicle,hydrogen tf] : MostRecentRun</t>
  </si>
  <si>
    <t>Transportation Sector Fuel Used[motorbikes,freight,diesel vehicle,electricity tf] : MostRecentRun</t>
  </si>
  <si>
    <t>Transportation Sector Fuel Used[motorbikes,freight,diesel vehicle,natural gas tf] : MostRecentRun</t>
  </si>
  <si>
    <t>Transportation Sector Fuel Used[motorbikes,freight,diesel vehicle,petroleum gasoline tf] : MostRecentRun</t>
  </si>
  <si>
    <t>Transportation Sector Fuel Used[motorbikes,freight,diesel vehicle,petroleum diesel tf] : MostRecentRun</t>
  </si>
  <si>
    <t>Transportation Sector Fuel Used[motorbikes,freight,diesel vehicle,biofuel gasoline tf] : MostRecentRun</t>
  </si>
  <si>
    <t>Transportation Sector Fuel Used[motorbikes,freight,diesel vehicle,biofuel diesel tf] : MostRecentRun</t>
  </si>
  <si>
    <t>Transportation Sector Fuel Used[motorbikes,freight,diesel vehicle,jet fuel tf] : MostRecentRun</t>
  </si>
  <si>
    <t>Transportation Sector Fuel Used[motorbikes,freight,diesel vehicle,heavy or residual fuel oil tf] : MostRecentRun</t>
  </si>
  <si>
    <t>Transportation Sector Fuel Used[motorbikes,freight,diesel vehicle,LPG propane or butane tf] : MostRecentRun</t>
  </si>
  <si>
    <t>Transportation Sector Fuel Used[motorbikes,freight,diesel vehicle,hydrogen tf] : MostRecentRun</t>
  </si>
  <si>
    <t>Transportation Sector Fuel Used[motorbikes,freight,plugin hybrid vehicle,electricity tf] : MostRecentRun</t>
  </si>
  <si>
    <t>Transportation Sector Fuel Used[motorbikes,freight,plugin hybrid vehicle,natural gas tf] : MostRecentRun</t>
  </si>
  <si>
    <t>Transportation Sector Fuel Used[motorbikes,freight,plugin hybrid vehicle,petroleum gasoline tf] : MostRecentRun</t>
  </si>
  <si>
    <t>Transportation Sector Fuel Used[motorbikes,freight,plugin hybrid vehicle,petroleum diesel tf] : MostRecentRun</t>
  </si>
  <si>
    <t>Transportation Sector Fuel Used[motorbikes,freight,plugin hybrid vehicle,biofuel gasoline tf] : MostRecentRun</t>
  </si>
  <si>
    <t>Transportation Sector Fuel Used[motorbikes,freight,plugin hybrid vehicle,biofuel diesel tf] : MostRecentRun</t>
  </si>
  <si>
    <t>Transportation Sector Fuel Used[motorbikes,freight,plugin hybrid vehicle,jet fuel tf] : MostRecentRun</t>
  </si>
  <si>
    <t>Transportation Sector Fuel Used[motorbikes,freight,plugin hybrid vehicle,heavy or residual fuel oil tf] : MostRecentRun</t>
  </si>
  <si>
    <t>Transportation Sector Fuel Used[motorbikes,freight,plugin hybrid vehicle,LPG propane or butane tf] : MostRecentRun</t>
  </si>
  <si>
    <t>Transportation Sector Fuel Used[motorbikes,freight,plugin hybrid vehicle,hydrogen tf] : MostRecentRun</t>
  </si>
  <si>
    <t>Transportation Sector Fuel Used[motorbikes,freight,LPG vehicle,electricity tf] : MostRecentRun</t>
  </si>
  <si>
    <t>Transportation Sector Fuel Used[motorbikes,freight,LPG vehicle,natural gas tf] : MostRecentRun</t>
  </si>
  <si>
    <t>Transportation Sector Fuel Used[motorbikes,freight,LPG vehicle,petroleum gasoline tf] : MostRecentRun</t>
  </si>
  <si>
    <t>Transportation Sector Fuel Used[motorbikes,freight,LPG vehicle,petroleum diesel tf] : MostRecentRun</t>
  </si>
  <si>
    <t>Transportation Sector Fuel Used[motorbikes,freight,LPG vehicle,biofuel gasoline tf] : MostRecentRun</t>
  </si>
  <si>
    <t>Transportation Sector Fuel Used[motorbikes,freight,LPG vehicle,biofuel diesel tf] : MostRecentRun</t>
  </si>
  <si>
    <t>Transportation Sector Fuel Used[motorbikes,freight,LPG vehicle,jet fuel tf] : MostRecentRun</t>
  </si>
  <si>
    <t>Transportation Sector Fuel Used[motorbikes,freight,LPG vehicle,heavy or residual fuel oil tf] : MostRecentRun</t>
  </si>
  <si>
    <t>Transportation Sector Fuel Used[motorbikes,freight,LPG vehicle,LPG propane or butane tf] : MostRecentRun</t>
  </si>
  <si>
    <t>Transportation Sector Fuel Used[motorbikes,freight,LPG vehicle,hydrogen tf] : MostRecentRun</t>
  </si>
  <si>
    <t>Transportation Sector Fuel Used[motorbikes,freight,hydrogen vehicle,electricity tf] : MostRecentRun</t>
  </si>
  <si>
    <t>Transportation Sector Fuel Used[motorbikes,freight,hydrogen vehicle,natural gas tf] : MostRecentRun</t>
  </si>
  <si>
    <t>Transportation Sector Fuel Used[motorbikes,freight,hydrogen vehicle,petroleum gasoline tf] : MostRecentRun</t>
  </si>
  <si>
    <t>Transportation Sector Fuel Used[motorbikes,freight,hydrogen vehicle,petroleum diesel tf] : MostRecentRun</t>
  </si>
  <si>
    <t>Transportation Sector Fuel Used[motorbikes,freight,hydrogen vehicle,biofuel gasoline tf] : MostRecentRun</t>
  </si>
  <si>
    <t>Transportation Sector Fuel Used[motorbikes,freight,hydrogen vehicle,biofuel diesel tf] : MostRecentRun</t>
  </si>
  <si>
    <t>Transportation Sector Fuel Used[motorbikes,freight,hydrogen vehicle,jet fuel tf] : MostRecentRun</t>
  </si>
  <si>
    <t>Transportation Sector Fuel Used[motorbikes,freight,hydrogen vehicle,heavy or residual fuel oil tf] : MostRecentRun</t>
  </si>
  <si>
    <t>Transportation Sector Fuel Used[motorbikes,freight,hydrogen vehicle,LPG propane or butane tf] : MostRecentRun</t>
  </si>
  <si>
    <t>Transportation Sector Fuel Used[motorbikes,freight,hydrogen vehicle,hydrogen tf] : MostRecentRun</t>
  </si>
  <si>
    <t>Building Components Energy Use[urban residential,electricity bf,heating] : MostRecentRun</t>
  </si>
  <si>
    <t>Building Components Energy Use[urban residential,electricity bf,cooling and ventilation] : MostRecentRun</t>
  </si>
  <si>
    <t>Building Components Energy Use[urban residential,electricity bf,envelope] : MostRecentRun</t>
  </si>
  <si>
    <t>Building Components Energy Use[urban residential,electricity bf,lighting] : MostRecentRun</t>
  </si>
  <si>
    <t>Building Components Energy Use[urban residential,electricity bf,appliances] : MostRecentRun</t>
  </si>
  <si>
    <t>Building Components Energy Use[urban residential,electricity bf,other component] : MostRecentRun</t>
  </si>
  <si>
    <t>Building Components Energy Use[urban residential,hard coal bf,heating] : MostRecentRun</t>
  </si>
  <si>
    <t>Building Components Energy Use[urban residential,hard coal bf,cooling and ventilation] : MostRecentRun</t>
  </si>
  <si>
    <t>Building Components Energy Use[urban residential,hard coal bf,envelope] : MostRecentRun</t>
  </si>
  <si>
    <t>Building Components Energy Use[urban residential,hard coal bf,lighting] : MostRecentRun</t>
  </si>
  <si>
    <t>Building Components Energy Use[urban residential,hard coal bf,appliances] : MostRecentRun</t>
  </si>
  <si>
    <t>Building Components Energy Use[urban residential,hard coal bf,other component] : MostRecentRun</t>
  </si>
  <si>
    <t>Building Components Energy Use[urban residential,natural gas bf,heating] : MostRecentRun</t>
  </si>
  <si>
    <t>Building Components Energy Use[urban residential,natural gas bf,cooling and ventilation] : MostRecentRun</t>
  </si>
  <si>
    <t>Building Components Energy Use[urban residential,natural gas bf,envelope] : MostRecentRun</t>
  </si>
  <si>
    <t>Building Components Energy Use[urban residential,natural gas bf,lighting] : MostRecentRun</t>
  </si>
  <si>
    <t>Building Components Energy Use[urban residential,natural gas bf,appliances] : MostRecentRun</t>
  </si>
  <si>
    <t>Building Components Energy Use[urban residential,natural gas bf,other component] : MostRecentRun</t>
  </si>
  <si>
    <t>Building Components Energy Use[urban residential,petroleum diesel bf,heating] : MostRecentRun</t>
  </si>
  <si>
    <t>Building Components Energy Use[urban residential,petroleum diesel bf,cooling and ventilation] : MostRecentRun</t>
  </si>
  <si>
    <t>Building Components Energy Use[urban residential,petroleum diesel bf,envelope] : MostRecentRun</t>
  </si>
  <si>
    <t>Building Components Energy Use[urban residential,petroleum diesel bf,lighting] : MostRecentRun</t>
  </si>
  <si>
    <t>Building Components Energy Use[urban residential,petroleum diesel bf,appliances] : MostRecentRun</t>
  </si>
  <si>
    <t>Building Components Energy Use[urban residential,petroleum diesel bf,other component] : MostRecentRun</t>
  </si>
  <si>
    <t>Building Components Energy Use[urban residential,heat bf,heating] : MostRecentRun</t>
  </si>
  <si>
    <t>Building Components Energy Use[urban residential,heat bf,cooling and ventilation] : MostRecentRun</t>
  </si>
  <si>
    <t>Building Components Energy Use[urban residential,heat bf,envelope] : MostRecentRun</t>
  </si>
  <si>
    <t>Building Components Energy Use[urban residential,heat bf,lighting] : MostRecentRun</t>
  </si>
  <si>
    <t>Building Components Energy Use[urban residential,heat bf,appliances] : MostRecentRun</t>
  </si>
  <si>
    <t>Building Components Energy Use[urban residential,heat bf,other component] : MostRecentRun</t>
  </si>
  <si>
    <t>Building Components Energy Use[urban residential,biomass bf,heating] : MostRecentRun</t>
  </si>
  <si>
    <t>Building Components Energy Use[urban residential,biomass bf,cooling and ventilation] : MostRecentRun</t>
  </si>
  <si>
    <t>Building Components Energy Use[urban residential,biomass bf,envelope] : MostRecentRun</t>
  </si>
  <si>
    <t>Building Components Energy Use[urban residential,biomass bf,lighting] : MostRecentRun</t>
  </si>
  <si>
    <t>Building Components Energy Use[urban residential,biomass bf,appliances] : MostRecentRun</t>
  </si>
  <si>
    <t>Building Components Energy Use[urban residential,biomass bf,other component] : MostRecentRun</t>
  </si>
  <si>
    <t>Building Components Energy Use[urban residential,kerosene bf,heating] : MostRecentRun</t>
  </si>
  <si>
    <t>Building Components Energy Use[urban residential,kerosene bf,cooling and ventilation] : MostRecentRun</t>
  </si>
  <si>
    <t>Building Components Energy Use[urban residential,kerosene bf,envelope] : MostRecentRun</t>
  </si>
  <si>
    <t>Building Components Energy Use[urban residential,kerosene bf,lighting] : MostRecentRun</t>
  </si>
  <si>
    <t>Building Components Energy Use[urban residential,kerosene bf,appliances] : MostRecentRun</t>
  </si>
  <si>
    <t>Building Components Energy Use[urban residential,kerosene bf,other component] : MostRecentRun</t>
  </si>
  <si>
    <t>Building Components Energy Use[urban residential,heavy or residual fuel oil bf,heating] : MostRecentRun</t>
  </si>
  <si>
    <t>Building Components Energy Use[urban residential,heavy or residual fuel oil bf,cooling and ventilation] : MostRecentRun</t>
  </si>
  <si>
    <t>Building Components Energy Use[urban residential,heavy or residual fuel oil bf,envelope] : MostRecentRun</t>
  </si>
  <si>
    <t>Building Components Energy Use[urban residential,heavy or residual fuel oil bf,lighting] : MostRecentRun</t>
  </si>
  <si>
    <t>Building Components Energy Use[urban residential,heavy or residual fuel oil bf,appliances] : MostRecentRun</t>
  </si>
  <si>
    <t>Building Components Energy Use[urban residential,heavy or residual fuel oil bf,other component] : MostRecentRun</t>
  </si>
  <si>
    <t>Building Components Energy Use[urban residential,LPG propane or butane bf,heating] : MostRecentRun</t>
  </si>
  <si>
    <t>Building Components Energy Use[urban residential,LPG propane or butane bf,cooling and ventilation] : MostRecentRun</t>
  </si>
  <si>
    <t>Building Components Energy Use[urban residential,LPG propane or butane bf,envelope] : MostRecentRun</t>
  </si>
  <si>
    <t>Building Components Energy Use[urban residential,LPG propane or butane bf,lighting] : MostRecentRun</t>
  </si>
  <si>
    <t>Building Components Energy Use[urban residential,LPG propane or butane bf,appliances] : MostRecentRun</t>
  </si>
  <si>
    <t>Building Components Energy Use[urban residential,LPG propane or butane bf,other component] : MostRecentRun</t>
  </si>
  <si>
    <t>Building Components Energy Use[urban residential,hydrogen bf,heating] : MostRecentRun</t>
  </si>
  <si>
    <t>Building Components Energy Use[urban residential,hydrogen bf,cooling and ventilation] : MostRecentRun</t>
  </si>
  <si>
    <t>Building Components Energy Use[urban residential,hydrogen bf,envelope] : MostRecentRun</t>
  </si>
  <si>
    <t>Building Components Energy Use[urban residential,hydrogen bf,lighting] : MostRecentRun</t>
  </si>
  <si>
    <t>Building Components Energy Use[urban residential,hydrogen bf,appliances] : MostRecentRun</t>
  </si>
  <si>
    <t>Building Components Energy Use[urban residential,hydrogen bf,other component] : MostRecentRun</t>
  </si>
  <si>
    <t>Building Components Energy Use[rural residential,electricity bf,heating] : MostRecentRun</t>
  </si>
  <si>
    <t>Building Components Energy Use[rural residential,electricity bf,cooling and ventilation] : MostRecentRun</t>
  </si>
  <si>
    <t>Building Components Energy Use[rural residential,electricity bf,envelope] : MostRecentRun</t>
  </si>
  <si>
    <t>Building Components Energy Use[rural residential,electricity bf,lighting] : MostRecentRun</t>
  </si>
  <si>
    <t>Building Components Energy Use[rural residential,electricity bf,appliances] : MostRecentRun</t>
  </si>
  <si>
    <t>Building Components Energy Use[rural residential,electricity bf,other component] : MostRecentRun</t>
  </si>
  <si>
    <t>Building Components Energy Use[rural residential,hard coal bf,heating] : MostRecentRun</t>
  </si>
  <si>
    <t>Building Components Energy Use[rural residential,hard coal bf,cooling and ventilation] : MostRecentRun</t>
  </si>
  <si>
    <t>Building Components Energy Use[rural residential,hard coal bf,envelope] : MostRecentRun</t>
  </si>
  <si>
    <t>Building Components Energy Use[rural residential,hard coal bf,lighting] : MostRecentRun</t>
  </si>
  <si>
    <t>Building Components Energy Use[rural residential,hard coal bf,appliances] : MostRecentRun</t>
  </si>
  <si>
    <t>Building Components Energy Use[rural residential,hard coal bf,other component] : MostRecentRun</t>
  </si>
  <si>
    <t>Building Components Energy Use[rural residential,natural gas bf,heating] : MostRecentRun</t>
  </si>
  <si>
    <t>Building Components Energy Use[rural residential,natural gas bf,cooling and ventilation] : MostRecentRun</t>
  </si>
  <si>
    <t>Building Components Energy Use[rural residential,natural gas bf,envelope] : MostRecentRun</t>
  </si>
  <si>
    <t>Building Components Energy Use[rural residential,natural gas bf,lighting] : MostRecentRun</t>
  </si>
  <si>
    <t>Building Components Energy Use[rural residential,natural gas bf,appliances] : MostRecentRun</t>
  </si>
  <si>
    <t>Building Components Energy Use[rural residential,natural gas bf,other component] : MostRecentRun</t>
  </si>
  <si>
    <t>Building Components Energy Use[rural residential,petroleum diesel bf,heating] : MostRecentRun</t>
  </si>
  <si>
    <t>Building Components Energy Use[rural residential,petroleum diesel bf,cooling and ventilation] : MostRecentRun</t>
  </si>
  <si>
    <t>Building Components Energy Use[rural residential,petroleum diesel bf,envelope] : MostRecentRun</t>
  </si>
  <si>
    <t>Building Components Energy Use[rural residential,petroleum diesel bf,lighting] : MostRecentRun</t>
  </si>
  <si>
    <t>Building Components Energy Use[rural residential,petroleum diesel bf,appliances] : MostRecentRun</t>
  </si>
  <si>
    <t>Building Components Energy Use[rural residential,petroleum diesel bf,other component] : MostRecentRun</t>
  </si>
  <si>
    <t>Building Components Energy Use[rural residential,heat bf,heating] : MostRecentRun</t>
  </si>
  <si>
    <t>Building Components Energy Use[rural residential,heat bf,cooling and ventilation] : MostRecentRun</t>
  </si>
  <si>
    <t>Building Components Energy Use[rural residential,heat bf,envelope] : MostRecentRun</t>
  </si>
  <si>
    <t>Building Components Energy Use[rural residential,heat bf,lighting] : MostRecentRun</t>
  </si>
  <si>
    <t>Building Components Energy Use[rural residential,heat bf,appliances] : MostRecentRun</t>
  </si>
  <si>
    <t>Building Components Energy Use[rural residential,heat bf,other component] : MostRecentRun</t>
  </si>
  <si>
    <t>Building Components Energy Use[rural residential,biomass bf,heating] : MostRecentRun</t>
  </si>
  <si>
    <t>Building Components Energy Use[rural residential,biomass bf,cooling and ventilation] : MostRecentRun</t>
  </si>
  <si>
    <t>Building Components Energy Use[rural residential,biomass bf,envelope] : MostRecentRun</t>
  </si>
  <si>
    <t>Building Components Energy Use[rural residential,biomass bf,lighting] : MostRecentRun</t>
  </si>
  <si>
    <t>Building Components Energy Use[rural residential,biomass bf,appliances] : MostRecentRun</t>
  </si>
  <si>
    <t>Building Components Energy Use[rural residential,biomass bf,other component] : MostRecentRun</t>
  </si>
  <si>
    <t>Building Components Energy Use[rural residential,kerosene bf,heating] : MostRecentRun</t>
  </si>
  <si>
    <t>Building Components Energy Use[rural residential,kerosene bf,cooling and ventilation] : MostRecentRun</t>
  </si>
  <si>
    <t>Building Components Energy Use[rural residential,kerosene bf,envelope] : MostRecentRun</t>
  </si>
  <si>
    <t>Building Components Energy Use[rural residential,kerosene bf,lighting] : MostRecentRun</t>
  </si>
  <si>
    <t>Building Components Energy Use[rural residential,kerosene bf,appliances] : MostRecentRun</t>
  </si>
  <si>
    <t>Building Components Energy Use[rural residential,kerosene bf,other component] : MostRecentRun</t>
  </si>
  <si>
    <t>Building Components Energy Use[rural residential,heavy or residual fuel oil bf,heating] : MostRecentRun</t>
  </si>
  <si>
    <t>Building Components Energy Use[rural residential,heavy or residual fuel oil bf,cooling and ventilation] : MostRecentRun</t>
  </si>
  <si>
    <t>Building Components Energy Use[rural residential,heavy or residual fuel oil bf,envelope] : MostRecentRun</t>
  </si>
  <si>
    <t>Building Components Energy Use[rural residential,heavy or residual fuel oil bf,lighting] : MostRecentRun</t>
  </si>
  <si>
    <t>Building Components Energy Use[rural residential,heavy or residual fuel oil bf,appliances] : MostRecentRun</t>
  </si>
  <si>
    <t>Building Components Energy Use[rural residential,heavy or residual fuel oil bf,other component] : MostRecentRun</t>
  </si>
  <si>
    <t>Building Components Energy Use[rural residential,LPG propane or butane bf,heating] : MostRecentRun</t>
  </si>
  <si>
    <t>Building Components Energy Use[rural residential,LPG propane or butane bf,cooling and ventilation] : MostRecentRun</t>
  </si>
  <si>
    <t>Building Components Energy Use[rural residential,LPG propane or butane bf,envelope] : MostRecentRun</t>
  </si>
  <si>
    <t>Building Components Energy Use[rural residential,LPG propane or butane bf,lighting] : MostRecentRun</t>
  </si>
  <si>
    <t>Building Components Energy Use[rural residential,LPG propane or butane bf,appliances] : MostRecentRun</t>
  </si>
  <si>
    <t>Building Components Energy Use[rural residential,LPG propane or butane bf,other component] : MostRecentRun</t>
  </si>
  <si>
    <t>Building Components Energy Use[rural residential,hydrogen bf,heating] : MostRecentRun</t>
  </si>
  <si>
    <t>Building Components Energy Use[rural residential,hydrogen bf,cooling and ventilation] : MostRecentRun</t>
  </si>
  <si>
    <t>Building Components Energy Use[rural residential,hydrogen bf,envelope] : MostRecentRun</t>
  </si>
  <si>
    <t>Building Components Energy Use[rural residential,hydrogen bf,lighting] : MostRecentRun</t>
  </si>
  <si>
    <t>Building Components Energy Use[rural residential,hydrogen bf,appliances] : MostRecentRun</t>
  </si>
  <si>
    <t>Building Components Energy Use[rural residential,hydrogen bf,other component] : MostRecentRun</t>
  </si>
  <si>
    <t>Building Components Energy Use[commercial,electricity bf,heating] : MostRecentRun</t>
  </si>
  <si>
    <t>Building Components Energy Use[commercial,electricity bf,cooling and ventilation] : MostRecentRun</t>
  </si>
  <si>
    <t>Building Components Energy Use[commercial,electricity bf,envelope] : MostRecentRun</t>
  </si>
  <si>
    <t>Building Components Energy Use[commercial,electricity bf,lighting] : MostRecentRun</t>
  </si>
  <si>
    <t>Building Components Energy Use[commercial,electricity bf,appliances] : MostRecentRun</t>
  </si>
  <si>
    <t>Building Components Energy Use[commercial,electricity bf,other component] : MostRecentRun</t>
  </si>
  <si>
    <t>Building Components Energy Use[commercial,hard coal bf,heating] : MostRecentRun</t>
  </si>
  <si>
    <t>Building Components Energy Use[commercial,hard coal bf,cooling and ventilation] : MostRecentRun</t>
  </si>
  <si>
    <t>Building Components Energy Use[commercial,hard coal bf,envelope] : MostRecentRun</t>
  </si>
  <si>
    <t>Building Components Energy Use[commercial,hard coal bf,lighting] : MostRecentRun</t>
  </si>
  <si>
    <t>Building Components Energy Use[commercial,hard coal bf,appliances] : MostRecentRun</t>
  </si>
  <si>
    <t>Building Components Energy Use[commercial,hard coal bf,other component] : MostRecentRun</t>
  </si>
  <si>
    <t>Building Components Energy Use[commercial,natural gas bf,heating] : MostRecentRun</t>
  </si>
  <si>
    <t>Building Components Energy Use[commercial,natural gas bf,cooling and ventilation] : MostRecentRun</t>
  </si>
  <si>
    <t>Building Components Energy Use[commercial,natural gas bf,envelope] : MostRecentRun</t>
  </si>
  <si>
    <t>Building Components Energy Use[commercial,natural gas bf,lighting] : MostRecentRun</t>
  </si>
  <si>
    <t>Building Components Energy Use[commercial,natural gas bf,appliances] : MostRecentRun</t>
  </si>
  <si>
    <t>Building Components Energy Use[commercial,natural gas bf,other component] : MostRecentRun</t>
  </si>
  <si>
    <t>Building Components Energy Use[commercial,petroleum diesel bf,heating] : MostRecentRun</t>
  </si>
  <si>
    <t>Building Components Energy Use[commercial,petroleum diesel bf,cooling and ventilation] : MostRecentRun</t>
  </si>
  <si>
    <t>Building Components Energy Use[commercial,petroleum diesel bf,envelope] : MostRecentRun</t>
  </si>
  <si>
    <t>Building Components Energy Use[commercial,petroleum diesel bf,lighting] : MostRecentRun</t>
  </si>
  <si>
    <t>Building Components Energy Use[commercial,petroleum diesel bf,appliances] : MostRecentRun</t>
  </si>
  <si>
    <t>Building Components Energy Use[commercial,petroleum diesel bf,other component] : MostRecentRun</t>
  </si>
  <si>
    <t>Building Components Energy Use[commercial,heat bf,heating] : MostRecentRun</t>
  </si>
  <si>
    <t>Building Components Energy Use[commercial,heat bf,cooling and ventilation] : MostRecentRun</t>
  </si>
  <si>
    <t>Building Components Energy Use[commercial,heat bf,envelope] : MostRecentRun</t>
  </si>
  <si>
    <t>Building Components Energy Use[commercial,heat bf,lighting] : MostRecentRun</t>
  </si>
  <si>
    <t>Building Components Energy Use[commercial,heat bf,appliances] : MostRecentRun</t>
  </si>
  <si>
    <t>Building Components Energy Use[commercial,heat bf,other component] : MostRecentRun</t>
  </si>
  <si>
    <t>Building Components Energy Use[commercial,biomass bf,heating] : MostRecentRun</t>
  </si>
  <si>
    <t>Building Components Energy Use[commercial,biomass bf,cooling and ventilation] : MostRecentRun</t>
  </si>
  <si>
    <t>Building Components Energy Use[commercial,biomass bf,envelope] : MostRecentRun</t>
  </si>
  <si>
    <t>Building Components Energy Use[commercial,biomass bf,lighting] : MostRecentRun</t>
  </si>
  <si>
    <t>Building Components Energy Use[commercial,biomass bf,appliances] : MostRecentRun</t>
  </si>
  <si>
    <t>Building Components Energy Use[commercial,biomass bf,other component] : MostRecentRun</t>
  </si>
  <si>
    <t>Building Components Energy Use[commercial,kerosene bf,heating] : MostRecentRun</t>
  </si>
  <si>
    <t>Building Components Energy Use[commercial,kerosene bf,cooling and ventilation] : MostRecentRun</t>
  </si>
  <si>
    <t>Building Components Energy Use[commercial,kerosene bf,envelope] : MostRecentRun</t>
  </si>
  <si>
    <t>Building Components Energy Use[commercial,kerosene bf,lighting] : MostRecentRun</t>
  </si>
  <si>
    <t>Building Components Energy Use[commercial,kerosene bf,appliances] : MostRecentRun</t>
  </si>
  <si>
    <t>Building Components Energy Use[commercial,kerosene bf,other component] : MostRecentRun</t>
  </si>
  <si>
    <t>Building Components Energy Use[commercial,heavy or residual fuel oil bf,heating] : MostRecentRun</t>
  </si>
  <si>
    <t>Building Components Energy Use[commercial,heavy or residual fuel oil bf,cooling and ventilation] : MostRecentRun</t>
  </si>
  <si>
    <t>Building Components Energy Use[commercial,heavy or residual fuel oil bf,envelope] : MostRecentRun</t>
  </si>
  <si>
    <t>Building Components Energy Use[commercial,heavy or residual fuel oil bf,lighting] : MostRecentRun</t>
  </si>
  <si>
    <t>Building Components Energy Use[commercial,heavy or residual fuel oil bf,appliances] : MostRecentRun</t>
  </si>
  <si>
    <t>Building Components Energy Use[commercial,heavy or residual fuel oil bf,other component] : MostRecentRun</t>
  </si>
  <si>
    <t>Building Components Energy Use[commercial,LPG propane or butane bf,heating] : MostRecentRun</t>
  </si>
  <si>
    <t>Building Components Energy Use[commercial,LPG propane or butane bf,cooling and ventilation] : MostRecentRun</t>
  </si>
  <si>
    <t>Building Components Energy Use[commercial,LPG propane or butane bf,envelope] : MostRecentRun</t>
  </si>
  <si>
    <t>Building Components Energy Use[commercial,LPG propane or butane bf,lighting] : MostRecentRun</t>
  </si>
  <si>
    <t>Building Components Energy Use[commercial,LPG propane or butane bf,appliances] : MostRecentRun</t>
  </si>
  <si>
    <t>Building Components Energy Use[commercial,LPG propane or butane bf,other component] : MostRecentRun</t>
  </si>
  <si>
    <t>Building Components Energy Use[commercial,hydrogen bf,heating] : MostRecentRun</t>
  </si>
  <si>
    <t>Building Components Energy Use[commercial,hydrogen bf,cooling and ventilation] : MostRecentRun</t>
  </si>
  <si>
    <t>Building Components Energy Use[commercial,hydrogen bf,envelope] : MostRecentRun</t>
  </si>
  <si>
    <t>Building Components Energy Use[commercial,hydrogen bf,lighting] : MostRecentRun</t>
  </si>
  <si>
    <t>Building Components Energy Use[commercial,hydrogen bf,appliances] : MostRecentRun</t>
  </si>
  <si>
    <t>Building Components Energy Use[commercial,hydrogen bf,other component] : MostRecentRun</t>
  </si>
  <si>
    <t>We estimate this value based on the prices seen within the United States.</t>
  </si>
  <si>
    <t>ref2020.d112119a</t>
  </si>
  <si>
    <t>Report</t>
  </si>
  <si>
    <t>Annual Energy Outlook 2020</t>
  </si>
  <si>
    <t>Scenario</t>
  </si>
  <si>
    <t>ref2020</t>
  </si>
  <si>
    <t>Reference case</t>
  </si>
  <si>
    <t>Datekey</t>
  </si>
  <si>
    <t>d112119a</t>
  </si>
  <si>
    <t>Release Date</t>
  </si>
  <si>
    <t xml:space="preserve"> January 2020</t>
  </si>
  <si>
    <t>SUP000</t>
  </si>
  <si>
    <t>1. Total Energy Supply, Disposition, and Price Summary</t>
  </si>
  <si>
    <t>(quadrillion Btu, unless otherwise noted)</t>
  </si>
  <si>
    <t/>
  </si>
  <si>
    <t>2019-</t>
  </si>
  <si>
    <t xml:space="preserve"> Supply, Disposition, and Prices</t>
  </si>
  <si>
    <t>Production</t>
  </si>
  <si>
    <t>SUP000:ba_CrudeOilLease</t>
  </si>
  <si>
    <t xml:space="preserve">   Crude Oil and Lease Condensate</t>
  </si>
  <si>
    <t>SUP000:ba_NaturalGasPla</t>
  </si>
  <si>
    <t xml:space="preserve">   Natural Gas Plant Liquids</t>
  </si>
  <si>
    <t>SUP000:ba_DryNaturalGas</t>
  </si>
  <si>
    <t xml:space="preserve">   Dry Natural Gas</t>
  </si>
  <si>
    <t>SUP000:ba_Coal</t>
  </si>
  <si>
    <t xml:space="preserve">   Coal 1/</t>
  </si>
  <si>
    <t>SUP000:ba_NuclearPower</t>
  </si>
  <si>
    <t xml:space="preserve">   Nuclear / Uranium 2/</t>
  </si>
  <si>
    <t>SUP000:ba_Hydropower</t>
  </si>
  <si>
    <t xml:space="preserve">   Conventional Hydroelectric Power</t>
  </si>
  <si>
    <t>SUP000:ba_Biomass</t>
  </si>
  <si>
    <t xml:space="preserve">   Biomass 3/</t>
  </si>
  <si>
    <t>SUP000:ba_RenewableEner</t>
  </si>
  <si>
    <t xml:space="preserve">   Other Renewable Energy 4/</t>
  </si>
  <si>
    <t>SUP000:ba_Other</t>
  </si>
  <si>
    <t xml:space="preserve">   Other 5/</t>
  </si>
  <si>
    <t>SUP000:ba_Total</t>
  </si>
  <si>
    <t xml:space="preserve">       Total</t>
  </si>
  <si>
    <t>Imports</t>
  </si>
  <si>
    <t>SUP000:ca_CrudeOil</t>
  </si>
  <si>
    <t xml:space="preserve">   Crude Oil</t>
  </si>
  <si>
    <t>SUP000:ca_PetroleumProd</t>
  </si>
  <si>
    <t xml:space="preserve">   Petroleum and Other Liquids 6/</t>
  </si>
  <si>
    <t>SUP000:ca_NaturalGas</t>
  </si>
  <si>
    <t xml:space="preserve">   Natural Gas</t>
  </si>
  <si>
    <t>SUP000:ca_OtherImports</t>
  </si>
  <si>
    <t xml:space="preserve">   Other 7/</t>
  </si>
  <si>
    <t>SUP000:ca_Total</t>
  </si>
  <si>
    <t>Exports</t>
  </si>
  <si>
    <t>SUP000:da_Petroleum</t>
  </si>
  <si>
    <t xml:space="preserve">   Petroleum and Other Liquids 8/</t>
  </si>
  <si>
    <t>SUP000:da_NaturalGas</t>
  </si>
  <si>
    <t>SUP000:da_Coal</t>
  </si>
  <si>
    <t xml:space="preserve">   Coal</t>
  </si>
  <si>
    <t>SUP000:da_Total</t>
  </si>
  <si>
    <t>SUP000:ea_Discrepancy</t>
  </si>
  <si>
    <t>Discrepancy 9/</t>
  </si>
  <si>
    <t>- -</t>
  </si>
  <si>
    <t>Consumption</t>
  </si>
  <si>
    <t>SUP000:fa_PetroleumProd</t>
  </si>
  <si>
    <t xml:space="preserve">   Petroleum and Other Liquids 10/</t>
  </si>
  <si>
    <t>SUP000:fa_NaturalGas</t>
  </si>
  <si>
    <t>SUP000:fa_Coal</t>
  </si>
  <si>
    <t xml:space="preserve">   Coal 11/</t>
  </si>
  <si>
    <t>SUP000:fa_NuclearPower</t>
  </si>
  <si>
    <t>SUP000:fa_Hydropower</t>
  </si>
  <si>
    <t>SUP000:fa_Biomass</t>
  </si>
  <si>
    <t xml:space="preserve">   Biomass 12/</t>
  </si>
  <si>
    <t>SUP000:fa_RenewableEner</t>
  </si>
  <si>
    <t>SUP000:fa_Other</t>
  </si>
  <si>
    <t xml:space="preserve">   Other 13/</t>
  </si>
  <si>
    <t>SUP000:fa_Total</t>
  </si>
  <si>
    <t xml:space="preserve">     Total</t>
  </si>
  <si>
    <t>Prices (2019 dollars per unit)</t>
  </si>
  <si>
    <t>SUP000:ha_WorldOilPrice</t>
  </si>
  <si>
    <t xml:space="preserve">  Brent Spot Price (dollars per barrel)</t>
  </si>
  <si>
    <t>SUP000:ha_ForLowSulfLit</t>
  </si>
  <si>
    <t xml:space="preserve">  West Texas Intermediate Spot Price (dollars per barrel)</t>
  </si>
  <si>
    <t>SUP000:ha_GasPriceHenry</t>
  </si>
  <si>
    <t xml:space="preserve">  Natural Gas at Henry Hub (dollars per mmBtu)</t>
  </si>
  <si>
    <t>SUP000:ha_CoalMinemouth</t>
  </si>
  <si>
    <t xml:space="preserve">  Coal, Minemouth (dollars per ton) 14/</t>
  </si>
  <si>
    <t>SUP000:ha_CoalMineBtu</t>
  </si>
  <si>
    <t xml:space="preserve">  Coal, Minemouth (dollars per million Btu) 14/</t>
  </si>
  <si>
    <t>SUP000:ha_CoalDelivered</t>
  </si>
  <si>
    <t xml:space="preserve">  Coal, Delivered (dollars per million Btu) 15/</t>
  </si>
  <si>
    <t>SUP000:ha_Electricity(c</t>
  </si>
  <si>
    <t xml:space="preserve">  Electricity (cents per kilowatthour)</t>
  </si>
  <si>
    <t>Prices (nominal dollars per unit)</t>
  </si>
  <si>
    <t>SUP000:nom_ImportRACost</t>
  </si>
  <si>
    <t>SUP000:nom_ForLowSulfLi</t>
  </si>
  <si>
    <t>SUP000:nom_Gas@HenryHub</t>
  </si>
  <si>
    <t>SUP000:nom_CoalMinemout</t>
  </si>
  <si>
    <t>SUP000:nom_CoalMineBtu</t>
  </si>
  <si>
    <t>SUP000:nom_CoalDeliverd</t>
  </si>
  <si>
    <t>SUP000:nom_Electricity</t>
  </si>
  <si>
    <t xml:space="preserve">   1/ Includes waste coal.</t>
  </si>
  <si>
    <t xml:space="preserve">   2/ These values represent the energy obtained from uranium when it is used in light water reactors.  The total energy content of uranium</t>
  </si>
  <si>
    <t>is much larger, but alternative processes are required to take advantage of it.</t>
  </si>
  <si>
    <t xml:space="preserve">   3/ Includes grid-connected electricity from wood and wood waste; biomass, such as corn, used for liquid fuels production; and non-electric</t>
  </si>
  <si>
    <t>energy demand from wood.  Refer to Table 17 for details.</t>
  </si>
  <si>
    <t xml:space="preserve">   4/ Includes grid-connected electricity from landfill gas; biogenic municipal waste; wind; photovoltaic and solar thermal sources; and</t>
  </si>
  <si>
    <t>non-electric energy from renewable sources, such as active and passive solar systems.  Excludes electricity imports using renewable sources</t>
  </si>
  <si>
    <t>and nonmarketed renewable energy. See Table 17 for selected nonmarketed residential and commercial renewable energy data.</t>
  </si>
  <si>
    <t xml:space="preserve">   5/ Includes non-biogenic municipal waste, hydrogen, methanol, and some domestic inputs to refineries.</t>
  </si>
  <si>
    <t xml:space="preserve">   6/ Includes imports of finished petroleum products, unfinished oils, alcohols, ethers, blending components, and renewable fuels such as ethanol.</t>
  </si>
  <si>
    <t xml:space="preserve">   7/ Includes coal, coal coke (net), and electricity (net).  Excludes imports of fuel used in nuclear power plants.</t>
  </si>
  <si>
    <t xml:space="preserve">   8/ Includes crude oil, petroleum products, ethanol, and biodiesel.</t>
  </si>
  <si>
    <t xml:space="preserve">   9/ Balancing item.  Includes unaccounted for supply, losses, gains, and net storage withdrawals.</t>
  </si>
  <si>
    <t xml:space="preserve">   10/ Estimated consumption.  Includes petroleum-derived fuels and non-petroleum-derived fuels, such as ethanol and biodiesel, and coal-based</t>
  </si>
  <si>
    <t>synthetic liquids.  Petroleum coke, which is a solid, is included.  Also included are hydrocarbon gas liquids and crude oil consumed as a fuel.</t>
  </si>
  <si>
    <t>Refer to Table 17 for detailed renewable liquid fuels consumption.</t>
  </si>
  <si>
    <t xml:space="preserve">   11/ Excludes coal converted to coal-based synthetic liquids and natural gas.</t>
  </si>
  <si>
    <t xml:space="preserve">   12/ Includes grid-connected electricity from wood and wood waste, non-electric energy from wood, and biofuels heat and coproducts used in the</t>
  </si>
  <si>
    <t>production of liquid fuels, but excludes the energy content of the liquid fuels.</t>
  </si>
  <si>
    <t xml:space="preserve">   13/ Includes non-biogenic municipal waste, hydrogen, and net electricity imports.</t>
  </si>
  <si>
    <t xml:space="preserve">   14/ Includes reported prices for both open market and captive mines.  Prices weighted by production, which differs from average minemouth prices</t>
  </si>
  <si>
    <t>published in EIA data reports where it is weighted by reported sales.</t>
  </si>
  <si>
    <t xml:space="preserve">   15/ Prices weighted by consumption; weighted average excludes export free-alongside-ship (f.a.s.) prices.</t>
  </si>
  <si>
    <t xml:space="preserve">   Btu = British thermal unit.</t>
  </si>
  <si>
    <t xml:space="preserve">   MmBtu = Million Btu.</t>
  </si>
  <si>
    <t xml:space="preserve">   - - = Not applicable.</t>
  </si>
  <si>
    <t xml:space="preserve">   Note:  Totals may not equal sum of components due to independent rounding.</t>
  </si>
  <si>
    <t xml:space="preserve">   Sources:  2019:  U.S. Energy Information Administration (EIA), Short-Term Energy Outlook, October 2019 and EIA, AEO2020 National</t>
  </si>
  <si>
    <t>Energy Modeling System run ref2020.d112119a.  Projections:  EIA, AEO2020 National Energy Modeling System run ref2020.d112119a.</t>
  </si>
  <si>
    <t>https://www.eia.gov/energyexplained/units-and-calculators/</t>
  </si>
  <si>
    <t>2019 to 2012 USD</t>
  </si>
  <si>
    <t>the prices paid on the global market.</t>
  </si>
  <si>
    <t>2014-15</t>
  </si>
  <si>
    <t xml:space="preserve">2015-16 </t>
  </si>
  <si>
    <t>2017-18</t>
  </si>
  <si>
    <t>Financial Year</t>
  </si>
  <si>
    <t>Crude oil, selected petroleum products (petroleum, diesel, LPG)</t>
  </si>
  <si>
    <t>Ministry of Petroleum and Natural Gas</t>
  </si>
  <si>
    <t>Indian Petroleum and Nat Gas Statistics</t>
  </si>
  <si>
    <t>http://petroleum.nic.in/sites/default/files/arep2020.pdf</t>
  </si>
  <si>
    <t>LNG</t>
  </si>
  <si>
    <t>Petroleum Planning &amp; Analysis Cell</t>
  </si>
  <si>
    <t>Ready Reckoner: Oil Industry Information at a Glance</t>
  </si>
  <si>
    <t>https://www.ppac.gov.in/WriteReadData/Reports/202101120159244134186PPACRRNov2020WebVersion.pdf</t>
  </si>
  <si>
    <t>Table IV.4, page 80</t>
  </si>
  <si>
    <t>Table 3.10, page 26</t>
  </si>
  <si>
    <t>LNG Import Quantity (MMT)</t>
  </si>
  <si>
    <t>Value (Million USD)</t>
  </si>
  <si>
    <t>Price (USD/MT)</t>
  </si>
  <si>
    <t>Import Quantity and Value of LNG in India</t>
  </si>
  <si>
    <t>PPAC</t>
  </si>
  <si>
    <t>Petroleum Planning &amp; Analysis Cell (PPAC)</t>
  </si>
  <si>
    <t>Period : 1998-99 - 2019-20</t>
  </si>
  <si>
    <t>('Million US$)</t>
  </si>
  <si>
    <t>Import/Export of Crude oil and Petroleum Products</t>
  </si>
  <si>
    <t>IMPORT/EXPORT</t>
  </si>
  <si>
    <t>1998-99</t>
  </si>
  <si>
    <t>1999-2000</t>
  </si>
  <si>
    <t>2000-01</t>
  </si>
  <si>
    <t xml:space="preserve">2001-02 </t>
  </si>
  <si>
    <t>2002-03</t>
  </si>
  <si>
    <t>2003-04</t>
  </si>
  <si>
    <t>2004-05</t>
  </si>
  <si>
    <t>2005-06</t>
  </si>
  <si>
    <t xml:space="preserve">2006-07 </t>
  </si>
  <si>
    <t xml:space="preserve">2007-08 </t>
  </si>
  <si>
    <t xml:space="preserve">2008-09 </t>
  </si>
  <si>
    <t xml:space="preserve">2009-10 </t>
  </si>
  <si>
    <t xml:space="preserve">2010-11 </t>
  </si>
  <si>
    <t>2011-12</t>
  </si>
  <si>
    <t xml:space="preserve">2012-13 </t>
  </si>
  <si>
    <t xml:space="preserve">2013-14 </t>
  </si>
  <si>
    <t>2015-16</t>
  </si>
  <si>
    <t>2018-19</t>
  </si>
  <si>
    <t>2019-20</t>
  </si>
  <si>
    <t>IMPORT^</t>
  </si>
  <si>
    <t xml:space="preserve"> CRUDE OIL$</t>
  </si>
  <si>
    <t>PRODUCTS</t>
  </si>
  <si>
    <t>LPG</t>
  </si>
  <si>
    <t>MS</t>
  </si>
  <si>
    <t>Naphtha</t>
  </si>
  <si>
    <t>ATF</t>
  </si>
  <si>
    <t>SKO</t>
  </si>
  <si>
    <t>HSD</t>
  </si>
  <si>
    <t>LOBS/ Lube oil</t>
  </si>
  <si>
    <t>Fuel Oil</t>
  </si>
  <si>
    <t>Bitumen</t>
  </si>
  <si>
    <r>
      <t>Others</t>
    </r>
    <r>
      <rPr>
        <vertAlign val="superscript"/>
        <sz val="12"/>
        <rFont val="Times New Roman"/>
        <family val="1"/>
      </rPr>
      <t>&amp;</t>
    </r>
  </si>
  <si>
    <t>PRODUCT IMPORT*</t>
  </si>
  <si>
    <t>TOTAL IMPORTS</t>
  </si>
  <si>
    <t xml:space="preserve"> PRODUCT EXPORT @</t>
  </si>
  <si>
    <t>MS!</t>
  </si>
  <si>
    <t>Naphtha$</t>
  </si>
  <si>
    <t>ATF#</t>
  </si>
  <si>
    <t>LDO</t>
  </si>
  <si>
    <t>LOBS/ Lube Oil</t>
  </si>
  <si>
    <t>Others%</t>
  </si>
  <si>
    <t>TOTAL  PRODUCT EXPORT</t>
  </si>
  <si>
    <t>NET IMPORT</t>
  </si>
  <si>
    <t>NET PRODUCT EXPORT</t>
  </si>
  <si>
    <t>Source : Oil Companies &amp; DGCIS, (P) : Provisional</t>
  </si>
  <si>
    <t>Notes:</t>
  </si>
  <si>
    <t>RIL SEZ imports/exports included in country's import/export data</t>
  </si>
  <si>
    <t xml:space="preserve">^LNG import not included </t>
  </si>
  <si>
    <t>$Crude oil imports does not include value of crude oil quantity of 756 TMT imported at ISPRL, Mangalore during 2018-19.</t>
  </si>
  <si>
    <t>&amp; Others in import include Paraffin wax, Petroleum Jelly, Aviation Gas, MTBE, Reformate etc.</t>
  </si>
  <si>
    <t xml:space="preserve">@ Nepal sales by IOCL, Nepal and Bhutan sales by BPCL are considered in total exports with average Rupee-US$ exchange rate </t>
  </si>
  <si>
    <t>! RIL SEZ's MS export includes export of Alkylates</t>
  </si>
  <si>
    <t># ATF exports by RIL  does not include ATF sales to foreign going airlines</t>
  </si>
  <si>
    <t>% Others in export include Benzene, Hexane, MTO, Sulphur etc.</t>
  </si>
  <si>
    <t>('000 Metric Tonnes)</t>
  </si>
  <si>
    <t>2010-11</t>
  </si>
  <si>
    <t>2012-13</t>
  </si>
  <si>
    <t>2013-14</t>
  </si>
  <si>
    <t>PRODUCT</t>
  </si>
  <si>
    <t>TOTAL PRODUCT IMPORT</t>
  </si>
  <si>
    <t>TOTAL IMPORT</t>
  </si>
  <si>
    <r>
      <t>MS</t>
    </r>
    <r>
      <rPr>
        <vertAlign val="superscript"/>
        <sz val="12"/>
        <rFont val="Times New Roman"/>
        <family val="1"/>
      </rPr>
      <t>!</t>
    </r>
  </si>
  <si>
    <r>
      <t>ATF</t>
    </r>
    <r>
      <rPr>
        <vertAlign val="superscript"/>
        <sz val="12"/>
        <rFont val="Times New Roman"/>
        <family val="1"/>
      </rPr>
      <t>#</t>
    </r>
  </si>
  <si>
    <r>
      <t>Others</t>
    </r>
    <r>
      <rPr>
        <vertAlign val="superscript"/>
        <sz val="12"/>
        <rFont val="Times New Roman"/>
        <family val="1"/>
      </rPr>
      <t>%</t>
    </r>
  </si>
  <si>
    <t>TOTAL EXPORT</t>
  </si>
  <si>
    <t>Net Product Export</t>
  </si>
  <si>
    <t>Source: Oil Companies &amp; DGCIS  P= Provisional</t>
  </si>
  <si>
    <t>&amp; Others in import include Petcoke, Paraffin wax, Petroleum Jelly, Aviation Gas, MTBE, Reformate etc.</t>
  </si>
  <si>
    <t>% Others in export include Petcoke/CBFS, Benzene, Hexane, MTO, Sulphur etc.</t>
  </si>
  <si>
    <t>Jet Fuel and Heavy Fuel Oil</t>
  </si>
  <si>
    <t>Import/Export data tab</t>
  </si>
  <si>
    <t>https://www.ppac.gov.in/content/212_1_ImportExport.aspx</t>
  </si>
  <si>
    <t>Data for Crude and Products - Value in Dollars (Historical);
Data for Crude and Products - Quantity (Historical)</t>
  </si>
  <si>
    <t xml:space="preserve">2016-17 </t>
  </si>
  <si>
    <t>2018-2019</t>
  </si>
  <si>
    <t>crude</t>
  </si>
  <si>
    <t>petrol</t>
  </si>
  <si>
    <t>diesel</t>
  </si>
  <si>
    <t>kerosene</t>
  </si>
  <si>
    <t>ratio to US</t>
  </si>
  <si>
    <t>BTU per barrel crude oil</t>
  </si>
  <si>
    <t>BTU per gallon motor gasoline</t>
  </si>
  <si>
    <t>BTU per gallon diesel fuel</t>
  </si>
  <si>
    <t>gallons per barrel</t>
  </si>
  <si>
    <t>US value</t>
  </si>
  <si>
    <t>correct units</t>
  </si>
  <si>
    <t>BTU per gallon propane</t>
  </si>
  <si>
    <t>https://www.elgas.com.au/blog/1675-propane-conversion-values-pounds-gallons-btu-therms-ft-usa</t>
  </si>
  <si>
    <t>pounds per gallon propane</t>
  </si>
  <si>
    <t>pounds per metric ton</t>
  </si>
  <si>
    <t>Table IV.4</t>
  </si>
  <si>
    <t>Indian Petroleum and Natural Gas Statistics 2018-2019</t>
  </si>
  <si>
    <t>coal</t>
  </si>
  <si>
    <t>2019 USD / barrel</t>
  </si>
  <si>
    <t>2019 USD / Mbtu</t>
  </si>
  <si>
    <t>2019 USD / tonne</t>
  </si>
  <si>
    <t>2012 USD / BTU</t>
  </si>
  <si>
    <t>BTU per gallon crude</t>
  </si>
  <si>
    <t>https://www.convertunits.com/from/btu/to/kcal</t>
  </si>
  <si>
    <t>kcal per BTU</t>
  </si>
  <si>
    <t>Start year coal, crude, and natural gas prices</t>
  </si>
  <si>
    <t>International Energy Agency</t>
  </si>
  <si>
    <t>India Energy Outlook</t>
  </si>
  <si>
    <t>https://iea.blob.core.windows.net/assets/1de6d91e-e23f-4e02-b1fb-51fdd6283b22/India_Energy_Outlook_2021.pdf</t>
  </si>
  <si>
    <t>Table 1.3</t>
  </si>
  <si>
    <t>Petroleum gasoline, petroleum diesel, LPG</t>
  </si>
  <si>
    <t>Other fuels: fuel prices in EPS file fuels/BFPaT</t>
  </si>
  <si>
    <t>Crude oil scaling</t>
  </si>
  <si>
    <t>Energy Information Administration</t>
  </si>
  <si>
    <t>Annual Energy Outlook</t>
  </si>
  <si>
    <t>Table 1</t>
  </si>
  <si>
    <t>https://www.eia.gov/outlooks/aeo/</t>
  </si>
  <si>
    <t>Time (Time)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</si>
</sst>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#,##0.0"/>
    <numFmt numFmtId="166" formatCode="0.0"/>
    <numFmt numFmtId="167" formatCode="mmmm"/>
    <numFmt numFmtId="168" formatCode="#,##0.00000"/>
    <numFmt numFmtId="169" formatCode="[$-409]d\-mmm\-yy;@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u/>
      <sz val="10"/>
      <color theme="4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i/>
      <sz val="1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2"/>
      <name val="Arial"/>
      <family val="2"/>
    </font>
    <font>
      <i/>
      <sz val="10"/>
      <color theme="1"/>
      <name val="Times New Roman"/>
      <family val="1"/>
    </font>
    <font>
      <b/>
      <sz val="10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b/>
      <i/>
      <sz val="14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6" fillId="0" borderId="0" applyNumberFormat="0" applyProtection="0">
      <alignment horizontal="left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2" fillId="0" borderId="4" applyNumberFormat="0" applyProtection="0">
      <alignment wrapText="1"/>
    </xf>
    <xf numFmtId="0" fontId="8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5" fillId="0" borderId="0"/>
    <xf numFmtId="0" fontId="25" fillId="0" borderId="0"/>
    <xf numFmtId="0" fontId="25" fillId="0" borderId="0"/>
  </cellStyleXfs>
  <cellXfs count="12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ont="1"/>
    <xf numFmtId="0" fontId="0" fillId="2" borderId="0" xfId="0" applyFill="1"/>
    <xf numFmtId="11" fontId="0" fillId="0" borderId="0" xfId="0" applyNumberFormat="1"/>
    <xf numFmtId="0" fontId="1" fillId="2" borderId="0" xfId="0" applyFont="1" applyFill="1"/>
    <xf numFmtId="0" fontId="0" fillId="0" borderId="0" xfId="0" applyFont="1" applyFill="1"/>
    <xf numFmtId="0" fontId="0" fillId="0" borderId="0" xfId="0" applyFont="1" applyAlignment="1">
      <alignment horizontal="right"/>
    </xf>
    <xf numFmtId="0" fontId="0" fillId="0" borderId="0" xfId="0" applyNumberFormat="1"/>
    <xf numFmtId="0" fontId="1" fillId="0" borderId="0" xfId="0" applyFont="1" applyAlignment="1">
      <alignment wrapText="1"/>
    </xf>
    <xf numFmtId="11" fontId="0" fillId="0" borderId="0" xfId="0" applyNumberFormat="1" applyFill="1"/>
    <xf numFmtId="0" fontId="2" fillId="0" borderId="0" xfId="1" applyFont="1"/>
    <xf numFmtId="0" fontId="3" fillId="0" borderId="1" xfId="2" applyFont="1" applyFill="1" applyBorder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3" applyFont="1" applyFill="1" applyBorder="1" applyAlignment="1">
      <alignment horizontal="left"/>
    </xf>
    <xf numFmtId="0" fontId="0" fillId="0" borderId="0" xfId="0" applyAlignment="1" applyProtection="1">
      <alignment horizontal="left"/>
    </xf>
    <xf numFmtId="0" fontId="3" fillId="0" borderId="2" xfId="4" applyFont="1" applyFill="1" applyBorder="1" applyAlignment="1">
      <alignment wrapText="1"/>
    </xf>
    <xf numFmtId="0" fontId="0" fillId="0" borderId="3" xfId="5" applyFont="1" applyFill="1" applyBorder="1" applyAlignment="1">
      <alignment wrapText="1"/>
    </xf>
    <xf numFmtId="4" fontId="0" fillId="0" borderId="3" xfId="5" applyNumberFormat="1" applyFont="1" applyFill="1" applyAlignment="1">
      <alignment horizontal="right" wrapText="1"/>
    </xf>
    <xf numFmtId="164" fontId="0" fillId="0" borderId="3" xfId="5" applyNumberFormat="1" applyFont="1" applyFill="1" applyAlignment="1">
      <alignment horizontal="right" wrapText="1"/>
    </xf>
    <xf numFmtId="4" fontId="3" fillId="0" borderId="2" xfId="4" applyNumberFormat="1" applyFill="1" applyAlignment="1">
      <alignment horizontal="right" wrapText="1"/>
    </xf>
    <xf numFmtId="164" fontId="3" fillId="0" borderId="2" xfId="4" applyNumberFormat="1" applyFill="1" applyAlignment="1">
      <alignment horizontal="right" wrapText="1"/>
    </xf>
    <xf numFmtId="3" fontId="0" fillId="0" borderId="3" xfId="5" applyNumberFormat="1" applyFont="1" applyFill="1" applyAlignment="1">
      <alignment horizontal="right" wrapText="1"/>
    </xf>
    <xf numFmtId="165" fontId="0" fillId="0" borderId="3" xfId="5" applyNumberFormat="1" applyFont="1" applyFill="1" applyAlignment="1">
      <alignment horizontal="right" wrapText="1"/>
    </xf>
    <xf numFmtId="0" fontId="7" fillId="0" borderId="0" xfId="0" applyFont="1"/>
    <xf numFmtId="0" fontId="1" fillId="2" borderId="0" xfId="0" applyFont="1" applyFill="1" applyAlignment="1"/>
    <xf numFmtId="0" fontId="0" fillId="0" borderId="0" xfId="0" applyAlignment="1"/>
    <xf numFmtId="0" fontId="8" fillId="0" borderId="0" xfId="7" applyAlignment="1" applyProtection="1"/>
    <xf numFmtId="0" fontId="0" fillId="0" borderId="0" xfId="0" applyFill="1"/>
    <xf numFmtId="0" fontId="9" fillId="0" borderId="0" xfId="0" applyFont="1"/>
    <xf numFmtId="0" fontId="0" fillId="0" borderId="0" xfId="0" applyAlignment="1">
      <alignment wrapText="1"/>
    </xf>
    <xf numFmtId="1" fontId="0" fillId="0" borderId="0" xfId="0" applyNumberFormat="1"/>
    <xf numFmtId="0" fontId="11" fillId="0" borderId="0" xfId="8" applyFont="1"/>
    <xf numFmtId="0" fontId="12" fillId="0" borderId="0" xfId="0" applyFont="1"/>
    <xf numFmtId="0" fontId="13" fillId="0" borderId="0" xfId="8" applyFont="1"/>
    <xf numFmtId="0" fontId="14" fillId="0" borderId="0" xfId="0" applyFont="1" applyAlignment="1">
      <alignment horizontal="left"/>
    </xf>
    <xf numFmtId="0" fontId="15" fillId="0" borderId="0" xfId="9" applyFont="1"/>
    <xf numFmtId="0" fontId="12" fillId="0" borderId="0" xfId="0" applyFont="1" applyAlignment="1">
      <alignment horizontal="left"/>
    </xf>
    <xf numFmtId="0" fontId="16" fillId="0" borderId="0" xfId="8" applyFont="1" applyAlignment="1">
      <alignment vertical="center"/>
    </xf>
    <xf numFmtId="0" fontId="16" fillId="0" borderId="0" xfId="8" applyFont="1" applyAlignment="1">
      <alignment horizontal="left" vertical="center"/>
    </xf>
    <xf numFmtId="0" fontId="17" fillId="0" borderId="0" xfId="0" applyFont="1"/>
    <xf numFmtId="0" fontId="18" fillId="4" borderId="5" xfId="0" applyFont="1" applyFill="1" applyBorder="1" applyAlignment="1">
      <alignment horizontal="center" vertical="center" wrapText="1"/>
    </xf>
    <xf numFmtId="167" fontId="18" fillId="4" borderId="5" xfId="0" applyNumberFormat="1" applyFont="1" applyFill="1" applyBorder="1" applyAlignment="1">
      <alignment horizontal="center" vertical="center"/>
    </xf>
    <xf numFmtId="167" fontId="18" fillId="4" borderId="5" xfId="0" applyNumberFormat="1" applyFont="1" applyFill="1" applyBorder="1" applyAlignment="1">
      <alignment vertical="center"/>
    </xf>
    <xf numFmtId="167" fontId="19" fillId="0" borderId="0" xfId="0" applyNumberFormat="1" applyFont="1" applyAlignment="1">
      <alignment vertical="center"/>
    </xf>
    <xf numFmtId="1" fontId="20" fillId="6" borderId="5" xfId="10" applyNumberFormat="1" applyFont="1" applyFill="1" applyBorder="1" applyAlignment="1">
      <alignment horizontal="left"/>
    </xf>
    <xf numFmtId="0" fontId="14" fillId="0" borderId="5" xfId="0" applyFont="1" applyBorder="1"/>
    <xf numFmtId="0" fontId="21" fillId="0" borderId="5" xfId="0" quotePrefix="1" applyFont="1" applyBorder="1" applyAlignment="1">
      <alignment horizontal="right" vertical="top" wrapText="1"/>
    </xf>
    <xf numFmtId="0" fontId="13" fillId="0" borderId="5" xfId="0" applyFont="1" applyBorder="1"/>
    <xf numFmtId="0" fontId="12" fillId="0" borderId="5" xfId="0" applyFont="1" applyBorder="1"/>
    <xf numFmtId="0" fontId="13" fillId="0" borderId="0" xfId="0" applyFont="1"/>
    <xf numFmtId="1" fontId="20" fillId="6" borderId="5" xfId="10" applyNumberFormat="1" applyFont="1" applyFill="1" applyBorder="1" applyAlignment="1">
      <alignment horizontal="center"/>
    </xf>
    <xf numFmtId="3" fontId="19" fillId="0" borderId="5" xfId="0" applyNumberFormat="1" applyFont="1" applyBorder="1"/>
    <xf numFmtId="1" fontId="19" fillId="6" borderId="5" xfId="10" applyNumberFormat="1" applyFont="1" applyFill="1" applyBorder="1" applyAlignment="1">
      <alignment horizontal="right"/>
    </xf>
    <xf numFmtId="1" fontId="19" fillId="0" borderId="5" xfId="0" applyNumberFormat="1" applyFont="1" applyBorder="1"/>
    <xf numFmtId="0" fontId="11" fillId="0" borderId="0" xfId="0" applyFont="1"/>
    <xf numFmtId="0" fontId="19" fillId="0" borderId="5" xfId="0" applyFont="1" applyBorder="1"/>
    <xf numFmtId="1" fontId="12" fillId="0" borderId="5" xfId="0" applyNumberFormat="1" applyFont="1" applyBorder="1"/>
    <xf numFmtId="1" fontId="22" fillId="6" borderId="5" xfId="10" applyNumberFormat="1" applyFont="1" applyFill="1" applyBorder="1" applyAlignment="1">
      <alignment horizontal="right"/>
    </xf>
    <xf numFmtId="3" fontId="12" fillId="0" borderId="5" xfId="0" applyNumberFormat="1" applyFont="1" applyBorder="1"/>
    <xf numFmtId="1" fontId="12" fillId="6" borderId="5" xfId="10" applyNumberFormat="1" applyFont="1" applyFill="1" applyBorder="1" applyAlignment="1">
      <alignment horizontal="right"/>
    </xf>
    <xf numFmtId="3" fontId="22" fillId="6" borderId="5" xfId="10" applyNumberFormat="1" applyFont="1" applyFill="1" applyBorder="1" applyAlignment="1">
      <alignment horizontal="right"/>
    </xf>
    <xf numFmtId="0" fontId="23" fillId="0" borderId="5" xfId="0" applyFont="1" applyBorder="1" applyAlignment="1">
      <alignment horizontal="right"/>
    </xf>
    <xf numFmtId="0" fontId="20" fillId="3" borderId="5" xfId="0" applyFont="1" applyFill="1" applyBorder="1" applyAlignment="1">
      <alignment horizontal="center"/>
    </xf>
    <xf numFmtId="3" fontId="19" fillId="0" borderId="5" xfId="0" applyNumberFormat="1" applyFont="1" applyBorder="1" applyAlignment="1">
      <alignment horizontal="right"/>
    </xf>
    <xf numFmtId="0" fontId="12" fillId="0" borderId="5" xfId="0" applyFont="1" applyBorder="1" applyAlignment="1">
      <alignment horizontal="right"/>
    </xf>
    <xf numFmtId="168" fontId="12" fillId="0" borderId="5" xfId="0" applyNumberFormat="1" applyFont="1" applyBorder="1"/>
    <xf numFmtId="1" fontId="20" fillId="6" borderId="5" xfId="11" applyNumberFormat="1" applyFont="1" applyFill="1" applyBorder="1" applyAlignment="1">
      <alignment horizontal="left"/>
    </xf>
    <xf numFmtId="1" fontId="22" fillId="6" borderId="5" xfId="11" applyNumberFormat="1" applyFont="1" applyFill="1" applyBorder="1" applyAlignment="1">
      <alignment horizontal="right"/>
    </xf>
    <xf numFmtId="3" fontId="22" fillId="6" borderId="5" xfId="11" applyNumberFormat="1" applyFont="1" applyFill="1" applyBorder="1" applyAlignment="1">
      <alignment horizontal="right"/>
    </xf>
    <xf numFmtId="165" fontId="12" fillId="0" borderId="5" xfId="0" applyNumberFormat="1" applyFont="1" applyBorder="1"/>
    <xf numFmtId="0" fontId="20" fillId="3" borderId="5" xfId="11" applyFont="1" applyFill="1" applyBorder="1" applyAlignment="1">
      <alignment horizontal="right"/>
    </xf>
    <xf numFmtId="0" fontId="27" fillId="0" borderId="7" xfId="0" applyFont="1" applyBorder="1" applyAlignment="1">
      <alignment wrapText="1"/>
    </xf>
    <xf numFmtId="0" fontId="28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1" fontId="26" fillId="0" borderId="0" xfId="11" applyNumberFormat="1" applyFont="1" applyAlignment="1">
      <alignment horizontal="left" vertical="center" wrapText="1"/>
    </xf>
    <xf numFmtId="0" fontId="26" fillId="0" borderId="0" xfId="11" applyFont="1" applyAlignment="1">
      <alignment horizontal="left" vertical="center" wrapText="1"/>
    </xf>
    <xf numFmtId="0" fontId="21" fillId="0" borderId="0" xfId="0" applyFont="1" applyAlignment="1">
      <alignment vertical="center" wrapText="1"/>
    </xf>
    <xf numFmtId="0" fontId="26" fillId="0" borderId="0" xfId="0" quotePrefix="1" applyFont="1" applyAlignment="1">
      <alignment horizontal="left"/>
    </xf>
    <xf numFmtId="0" fontId="21" fillId="0" borderId="0" xfId="0" applyFont="1"/>
    <xf numFmtId="0" fontId="22" fillId="0" borderId="0" xfId="0" applyFont="1"/>
    <xf numFmtId="0" fontId="22" fillId="0" borderId="0" xfId="11" applyFont="1"/>
    <xf numFmtId="0" fontId="29" fillId="0" borderId="0" xfId="11" applyFont="1"/>
    <xf numFmtId="0" fontId="11" fillId="0" borderId="0" xfId="8" applyFont="1" applyAlignment="1">
      <alignment horizontal="center"/>
    </xf>
    <xf numFmtId="0" fontId="27" fillId="0" borderId="0" xfId="8" applyFont="1" applyAlignment="1">
      <alignment horizontal="center"/>
    </xf>
    <xf numFmtId="169" fontId="30" fillId="0" borderId="0" xfId="0" applyNumberFormat="1" applyFont="1"/>
    <xf numFmtId="0" fontId="30" fillId="0" borderId="0" xfId="0" applyFont="1"/>
    <xf numFmtId="0" fontId="18" fillId="4" borderId="5" xfId="0" applyFont="1" applyFill="1" applyBorder="1" applyAlignment="1">
      <alignment horizontal="center" vertical="center"/>
    </xf>
    <xf numFmtId="167" fontId="32" fillId="4" borderId="5" xfId="0" applyNumberFormat="1" applyFont="1" applyFill="1" applyBorder="1" applyAlignment="1">
      <alignment horizontal="center" vertical="center"/>
    </xf>
    <xf numFmtId="167" fontId="32" fillId="4" borderId="5" xfId="0" applyNumberFormat="1" applyFont="1" applyFill="1" applyBorder="1" applyAlignment="1">
      <alignment vertical="center"/>
    </xf>
    <xf numFmtId="1" fontId="27" fillId="6" borderId="5" xfId="10" applyNumberFormat="1" applyFont="1" applyFill="1" applyBorder="1" applyAlignment="1">
      <alignment horizontal="center"/>
    </xf>
    <xf numFmtId="0" fontId="33" fillId="0" borderId="5" xfId="0" applyFont="1" applyBorder="1" applyAlignment="1">
      <alignment horizontal="center"/>
    </xf>
    <xf numFmtId="1" fontId="13" fillId="0" borderId="5" xfId="0" applyNumberFormat="1" applyFont="1" applyBorder="1"/>
    <xf numFmtId="0" fontId="23" fillId="0" borderId="5" xfId="0" applyFont="1" applyBorder="1"/>
    <xf numFmtId="0" fontId="33" fillId="0" borderId="5" xfId="0" applyFont="1" applyBorder="1"/>
    <xf numFmtId="1" fontId="23" fillId="6" borderId="5" xfId="0" applyNumberFormat="1" applyFont="1" applyFill="1" applyBorder="1" applyAlignment="1">
      <alignment horizontal="right"/>
    </xf>
    <xf numFmtId="1" fontId="12" fillId="7" borderId="5" xfId="0" applyNumberFormat="1" applyFont="1" applyFill="1" applyBorder="1" applyAlignment="1">
      <alignment horizontal="right"/>
    </xf>
    <xf numFmtId="3" fontId="23" fillId="6" borderId="5" xfId="0" applyNumberFormat="1" applyFont="1" applyFill="1" applyBorder="1" applyAlignment="1">
      <alignment horizontal="right"/>
    </xf>
    <xf numFmtId="3" fontId="23" fillId="6" borderId="5" xfId="10" applyNumberFormat="1" applyFont="1" applyFill="1" applyBorder="1" applyAlignment="1">
      <alignment horizontal="right"/>
    </xf>
    <xf numFmtId="1" fontId="23" fillId="6" borderId="5" xfId="10" applyNumberFormat="1" applyFont="1" applyFill="1" applyBorder="1" applyAlignment="1">
      <alignment horizontal="right"/>
    </xf>
    <xf numFmtId="166" fontId="12" fillId="7" borderId="5" xfId="0" applyNumberFormat="1" applyFont="1" applyFill="1" applyBorder="1" applyAlignment="1">
      <alignment horizontal="right"/>
    </xf>
    <xf numFmtId="0" fontId="26" fillId="0" borderId="0" xfId="0" applyFont="1" applyAlignment="1">
      <alignment vertical="center" wrapText="1"/>
    </xf>
    <xf numFmtId="0" fontId="26" fillId="0" borderId="0" xfId="11" applyFont="1" applyAlignment="1">
      <alignment vertical="center" wrapText="1"/>
    </xf>
    <xf numFmtId="0" fontId="27" fillId="0" borderId="0" xfId="0" applyFont="1" applyAlignment="1">
      <alignment horizontal="left" wrapText="1"/>
    </xf>
    <xf numFmtId="0" fontId="28" fillId="0" borderId="0" xfId="12" applyFont="1" applyAlignment="1">
      <alignment horizontal="left" vertical="center" wrapText="1"/>
    </xf>
    <xf numFmtId="0" fontId="26" fillId="0" borderId="0" xfId="12" quotePrefix="1" applyFont="1" applyAlignment="1">
      <alignment horizontal="left"/>
    </xf>
    <xf numFmtId="3" fontId="0" fillId="0" borderId="0" xfId="0" applyNumberFormat="1"/>
    <xf numFmtId="0" fontId="1" fillId="0" borderId="0" xfId="0" applyFont="1" applyFill="1"/>
    <xf numFmtId="0" fontId="2" fillId="0" borderId="4" xfId="6" applyFont="1" applyFill="1" applyBorder="1" applyAlignment="1">
      <alignment wrapText="1"/>
    </xf>
    <xf numFmtId="0" fontId="18" fillId="5" borderId="11" xfId="9" applyFont="1" applyFill="1" applyBorder="1" applyAlignment="1">
      <alignment horizontal="center" vertical="center"/>
    </xf>
    <xf numFmtId="0" fontId="18" fillId="5" borderId="12" xfId="9" applyFont="1" applyFill="1" applyBorder="1" applyAlignment="1">
      <alignment horizontal="center" vertical="center"/>
    </xf>
    <xf numFmtId="0" fontId="18" fillId="5" borderId="13" xfId="9" applyFont="1" applyFill="1" applyBorder="1" applyAlignment="1">
      <alignment horizontal="center" vertical="center"/>
    </xf>
    <xf numFmtId="0" fontId="26" fillId="0" borderId="6" xfId="11" applyFont="1" applyBorder="1" applyAlignment="1">
      <alignment horizontal="center" vertical="center" wrapText="1"/>
    </xf>
    <xf numFmtId="0" fontId="26" fillId="0" borderId="7" xfId="11" applyFont="1" applyBorder="1" applyAlignment="1">
      <alignment horizontal="center" vertical="center" wrapText="1"/>
    </xf>
    <xf numFmtId="0" fontId="16" fillId="0" borderId="0" xfId="8" quotePrefix="1" applyFont="1" applyAlignment="1">
      <alignment horizontal="left"/>
    </xf>
    <xf numFmtId="0" fontId="16" fillId="0" borderId="0" xfId="8" applyFont="1" applyAlignment="1">
      <alignment horizontal="left"/>
    </xf>
    <xf numFmtId="0" fontId="18" fillId="0" borderId="8" xfId="8" applyFont="1" applyBorder="1" applyAlignment="1">
      <alignment horizontal="right"/>
    </xf>
    <xf numFmtId="0" fontId="18" fillId="0" borderId="0" xfId="8" applyFont="1" applyAlignment="1">
      <alignment horizontal="right"/>
    </xf>
    <xf numFmtId="0" fontId="18" fillId="5" borderId="8" xfId="9" applyFont="1" applyFill="1" applyBorder="1" applyAlignment="1">
      <alignment horizontal="center" vertical="center"/>
    </xf>
    <xf numFmtId="0" fontId="18" fillId="5" borderId="0" xfId="9" applyFont="1" applyFill="1" applyAlignment="1">
      <alignment horizontal="center" vertical="center"/>
    </xf>
    <xf numFmtId="0" fontId="26" fillId="0" borderId="6" xfId="11" applyFont="1" applyBorder="1" applyAlignment="1">
      <alignment horizontal="left" vertical="center" wrapText="1"/>
    </xf>
    <xf numFmtId="0" fontId="26" fillId="0" borderId="7" xfId="11" applyFont="1" applyBorder="1" applyAlignment="1">
      <alignment horizontal="left" vertical="center" wrapText="1"/>
    </xf>
    <xf numFmtId="0" fontId="18" fillId="0" borderId="0" xfId="8" quotePrefix="1" applyFont="1" applyAlignment="1">
      <alignment horizontal="left" vertical="center"/>
    </xf>
    <xf numFmtId="0" fontId="31" fillId="0" borderId="9" xfId="8" applyFont="1" applyBorder="1" applyAlignment="1">
      <alignment horizontal="right"/>
    </xf>
    <xf numFmtId="0" fontId="31" fillId="0" borderId="10" xfId="8" applyFont="1" applyBorder="1" applyAlignment="1">
      <alignment horizontal="right"/>
    </xf>
  </cellXfs>
  <cellStyles count="13">
    <cellStyle name="Body: normal cell" xfId="5" xr:uid="{00000000-0005-0000-0000-000000000000}"/>
    <cellStyle name="Font: Calibri, 9pt regular" xfId="1" xr:uid="{00000000-0005-0000-0000-000001000000}"/>
    <cellStyle name="Footnotes: top row" xfId="6" xr:uid="{00000000-0005-0000-0000-000002000000}"/>
    <cellStyle name="Header: bottom row" xfId="2" xr:uid="{00000000-0005-0000-0000-000003000000}"/>
    <cellStyle name="Hyperlink" xfId="7" builtinId="8"/>
    <cellStyle name="Normal" xfId="0" builtinId="0"/>
    <cellStyle name="Normal 2 2 3 5" xfId="10" xr:uid="{00000000-0005-0000-0000-000006000000}"/>
    <cellStyle name="Normal 259" xfId="11" xr:uid="{00000000-0005-0000-0000-000007000000}"/>
    <cellStyle name="Normal 259 4" xfId="12" xr:uid="{00000000-0005-0000-0000-000008000000}"/>
    <cellStyle name="Normal 4" xfId="8" xr:uid="{00000000-0005-0000-0000-000009000000}"/>
    <cellStyle name="Normal 4 2" xfId="9" xr:uid="{00000000-0005-0000-0000-00000A000000}"/>
    <cellStyle name="Parent row" xfId="4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42863</xdr:rowOff>
    </xdr:from>
    <xdr:to>
      <xdr:col>18</xdr:col>
      <xdr:colOff>636570</xdr:colOff>
      <xdr:row>21</xdr:row>
      <xdr:rowOff>90007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863"/>
          <a:ext cx="12838095" cy="38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9</xdr:row>
      <xdr:rowOff>138113</xdr:rowOff>
    </xdr:from>
    <xdr:to>
      <xdr:col>8</xdr:col>
      <xdr:colOff>285750</xdr:colOff>
      <xdr:row>22</xdr:row>
      <xdr:rowOff>126522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2128838"/>
          <a:ext cx="5829300" cy="23410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533400</xdr:colOff>
      <xdr:row>0</xdr:row>
      <xdr:rowOff>121875</xdr:rowOff>
    </xdr:from>
    <xdr:to>
      <xdr:col>15</xdr:col>
      <xdr:colOff>277238</xdr:colOff>
      <xdr:row>11</xdr:row>
      <xdr:rowOff>95609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E04230-7276-4AE3-B669-162E48899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1575" y="121875"/>
          <a:ext cx="5839838" cy="20692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114300</xdr:colOff>
      <xdr:row>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33E88B-8312-4606-9824-1BE82C4BC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239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666750</xdr:colOff>
      <xdr:row>57</xdr:row>
      <xdr:rowOff>66675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C60E5A8-BF92-4478-8E26-DBF00931B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667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anM/Documents/eps-india/InputData/fuels/BFPaT/BFPaT-pretax-wind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Tax Data&gt;"/>
      <sheetName val="Petroleum &amp; Diesel Prices"/>
      <sheetName val="Tax Rates"/>
      <sheetName val="Electricity Tax Rates"/>
      <sheetName val="Electricity Tariffs and Consump"/>
      <sheetName val="Petroleum Products Consumption"/>
      <sheetName val="NG Sales"/>
      <sheetName val="Crude Oil Production"/>
      <sheetName val="Coal &amp; Lignite"/>
      <sheetName val="Fuel Oil &amp; LPG"/>
      <sheetName val="Start Year Taxes"/>
      <sheetName val="Tax_Share of Price"/>
      <sheetName val="Total Fuel Cost&gt;"/>
      <sheetName val="Conversion Factors"/>
      <sheetName val="AEO Table 73"/>
      <sheetName val="Electricity"/>
      <sheetName val="BIFUbC-electricity"/>
      <sheetName val="Coal and Lignite"/>
      <sheetName val="BFPIaE"/>
      <sheetName val="Consumption of Coal&amp;Lignite"/>
      <sheetName val="NE Population"/>
      <sheetName val="Natural Gas"/>
      <sheetName val="LPG"/>
      <sheetName val="Nuclear Fuel"/>
      <sheetName val="Biomass"/>
      <sheetName val="Petro Gasoline &amp; Diesel"/>
      <sheetName val="Bio gasoline"/>
      <sheetName val="Kerosene"/>
      <sheetName val="Jet Fuel"/>
      <sheetName val="Crude Oil"/>
      <sheetName val="Heavy Fuel Oil"/>
      <sheetName val="Municipal Solid Waste"/>
      <sheetName val="Hydrogen"/>
      <sheetName val="Start Year Prices"/>
      <sheetName val="AEO Table 3"/>
      <sheetName val="AEO Table 12"/>
      <sheetName val="AEO Table 13"/>
      <sheetName val="Total Fuel Prices"/>
      <sheetName val="Pretax &gt;"/>
      <sheetName val="BFPaT-pretax-electricity"/>
      <sheetName val="BFPaT-pretax-coal"/>
      <sheetName val="BFPaT-pretax-natgas"/>
      <sheetName val="BFPaT-pretax-nuclear"/>
      <sheetName val="BFPaT-pretax-hydro"/>
      <sheetName val="BFPaT-pretax-wind"/>
      <sheetName val="BFPaT-pretax-solar"/>
      <sheetName val="BFPaT-pretax-biomass"/>
      <sheetName val="BFPaT-pretax-petgas"/>
      <sheetName val="BFPaT-pretax-petdies"/>
      <sheetName val="BFPaT-pretax-biogas"/>
      <sheetName val="BFPaT-pretax-biodies"/>
      <sheetName val="BFPaT-pretax-jetkerosene"/>
      <sheetName val="BFPaT-pretax-heat"/>
      <sheetName val="BFPaT-pretax-lignite"/>
      <sheetName val="BFPaT-pretax-geothermal"/>
      <sheetName val="BFPaT-pretax-crude"/>
      <sheetName val="BFPaT-pretax-heavyfueloil"/>
      <sheetName val="BFPaT-pretax-lpgpropbut"/>
      <sheetName val="BFPaT-pretax-msw"/>
      <sheetName val="BFPaT-pretax-hydrogen"/>
      <sheetName val="Fuel Tax &gt;"/>
      <sheetName val="BFPaT-fueltax-electricity"/>
      <sheetName val="BFPaT-fueltax-coal"/>
      <sheetName val="BFPaT-fueltax-natgas"/>
      <sheetName val="BFPaT-fueltax-nuclear"/>
      <sheetName val="BFPaT-fueltax-hydro"/>
      <sheetName val="BFPaT-fueltax-wind"/>
      <sheetName val="BFPaT-fueltax-solar"/>
      <sheetName val="BFPaT-fueltax-biomass"/>
      <sheetName val="BFPaT-fueltax-petgas"/>
      <sheetName val="BFPaT-fueltax-petdies"/>
      <sheetName val="BFPaT-fueltax-biogas"/>
      <sheetName val="BFPaT-fueltax-biodies"/>
      <sheetName val="BFPaT-fueltax-jetkerosene"/>
      <sheetName val="BFPaT-fueltax-heat"/>
      <sheetName val="BFPaT-fueltax-lignite"/>
      <sheetName val="BFPaT-fueltax-geothermal"/>
      <sheetName val="BFPaT-fueltax-crude"/>
      <sheetName val="BFPaT-fueltax-heavyfueloil"/>
      <sheetName val="BFPaT-fueltax-lpgpropbut"/>
      <sheetName val="BFPaT-fueltax-msw"/>
      <sheetName val="BFPaT-fueltax-hydrog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A2" t="str">
            <v>electricity</v>
          </cell>
          <cell r="B2">
            <v>5.5335908619313187E-2</v>
          </cell>
          <cell r="C2">
            <v>5.5335908619313187E-2</v>
          </cell>
          <cell r="D2">
            <v>5.5335908619313187E-2</v>
          </cell>
          <cell r="E2">
            <v>5.5335908619313187E-2</v>
          </cell>
          <cell r="F2">
            <v>5.5335908619313187E-2</v>
          </cell>
          <cell r="G2">
            <v>5.5335908619313187E-2</v>
          </cell>
          <cell r="H2">
            <v>5.5335908619313187E-2</v>
          </cell>
          <cell r="I2">
            <v>5.5335908619313187E-2</v>
          </cell>
          <cell r="J2">
            <v>5.5335908619313187E-2</v>
          </cell>
          <cell r="K2">
            <v>5.5335908619313187E-2</v>
          </cell>
          <cell r="L2">
            <v>5.5335908619313187E-2</v>
          </cell>
          <cell r="M2">
            <v>5.5335908619313187E-2</v>
          </cell>
          <cell r="N2">
            <v>5.5335908619313187E-2</v>
          </cell>
          <cell r="O2">
            <v>5.5335908619313187E-2</v>
          </cell>
          <cell r="P2">
            <v>5.5335908619313187E-2</v>
          </cell>
          <cell r="Q2">
            <v>5.5335908619313187E-2</v>
          </cell>
          <cell r="R2">
            <v>5.5335908619313187E-2</v>
          </cell>
          <cell r="S2">
            <v>5.5335908619313187E-2</v>
          </cell>
          <cell r="T2">
            <v>5.5335908619313187E-2</v>
          </cell>
          <cell r="U2">
            <v>5.5335908619313187E-2</v>
          </cell>
          <cell r="V2">
            <v>5.5335908619313187E-2</v>
          </cell>
          <cell r="W2">
            <v>5.5335908619313187E-2</v>
          </cell>
          <cell r="X2">
            <v>5.5335908619313187E-2</v>
          </cell>
          <cell r="Y2">
            <v>5.5335908619313187E-2</v>
          </cell>
          <cell r="Z2">
            <v>5.5335908619313187E-2</v>
          </cell>
          <cell r="AA2">
            <v>5.5335908619313187E-2</v>
          </cell>
          <cell r="AB2">
            <v>5.5335908619313187E-2</v>
          </cell>
          <cell r="AC2">
            <v>5.5335908619313187E-2</v>
          </cell>
          <cell r="AD2">
            <v>5.5335908619313187E-2</v>
          </cell>
          <cell r="AE2">
            <v>5.5335908619313187E-2</v>
          </cell>
          <cell r="AF2">
            <v>5.5335908619313187E-2</v>
          </cell>
          <cell r="AG2">
            <v>5.5335908619313187E-2</v>
          </cell>
          <cell r="AH2">
            <v>5.5335908619313187E-2</v>
          </cell>
          <cell r="AI2">
            <v>5.5335908619313187E-2</v>
          </cell>
        </row>
        <row r="3">
          <cell r="A3" t="str">
            <v>Coal</v>
          </cell>
          <cell r="B3">
            <v>0.23271342827476171</v>
          </cell>
          <cell r="C3">
            <v>0.23271342827476171</v>
          </cell>
          <cell r="D3">
            <v>0.23271342827476171</v>
          </cell>
          <cell r="E3">
            <v>0.23271342827476171</v>
          </cell>
          <cell r="F3">
            <v>0.23271342827476171</v>
          </cell>
          <cell r="G3">
            <v>0.23271342827476171</v>
          </cell>
          <cell r="H3">
            <v>0.23271342827476171</v>
          </cell>
          <cell r="I3">
            <v>0.23271342827476171</v>
          </cell>
          <cell r="J3">
            <v>0.23271342827476171</v>
          </cell>
          <cell r="K3">
            <v>0.23271342827476171</v>
          </cell>
          <cell r="L3">
            <v>0.23271342827476171</v>
          </cell>
          <cell r="M3">
            <v>0.23271342827476171</v>
          </cell>
          <cell r="N3">
            <v>0.23271342827476171</v>
          </cell>
          <cell r="O3">
            <v>0.23271342827476171</v>
          </cell>
          <cell r="P3">
            <v>0.23271342827476171</v>
          </cell>
          <cell r="Q3">
            <v>0.23271342827476171</v>
          </cell>
          <cell r="R3">
            <v>0.23271342827476171</v>
          </cell>
          <cell r="S3">
            <v>0.23271342827476171</v>
          </cell>
          <cell r="T3">
            <v>0.23271342827476171</v>
          </cell>
          <cell r="U3">
            <v>0.23271342827476171</v>
          </cell>
          <cell r="V3">
            <v>0.23271342827476171</v>
          </cell>
          <cell r="W3">
            <v>0.23271342827476171</v>
          </cell>
          <cell r="X3">
            <v>0.23271342827476171</v>
          </cell>
          <cell r="Y3">
            <v>0.23271342827476171</v>
          </cell>
          <cell r="Z3">
            <v>0.23271342827476171</v>
          </cell>
          <cell r="AA3">
            <v>0.23271342827476171</v>
          </cell>
          <cell r="AB3">
            <v>0.23271342827476171</v>
          </cell>
          <cell r="AC3">
            <v>0.23271342827476171</v>
          </cell>
          <cell r="AD3">
            <v>0.23271342827476171</v>
          </cell>
          <cell r="AE3">
            <v>0.23271342827476171</v>
          </cell>
          <cell r="AF3">
            <v>0.23271342827476171</v>
          </cell>
          <cell r="AG3">
            <v>0.23271342827476171</v>
          </cell>
          <cell r="AH3">
            <v>0.23271342827476171</v>
          </cell>
          <cell r="AI3">
            <v>0.23271342827476171</v>
          </cell>
        </row>
        <row r="4">
          <cell r="A4" t="str">
            <v>natural gas</v>
          </cell>
          <cell r="B4">
            <v>0.1206258820183351</v>
          </cell>
          <cell r="C4">
            <v>0.1206258820183351</v>
          </cell>
          <cell r="D4">
            <v>0.1206258820183351</v>
          </cell>
          <cell r="E4">
            <v>0.1206258820183351</v>
          </cell>
          <cell r="F4">
            <v>0.1206258820183351</v>
          </cell>
          <cell r="G4">
            <v>0.1206258820183351</v>
          </cell>
          <cell r="H4">
            <v>0.1206258820183351</v>
          </cell>
          <cell r="I4">
            <v>0.1206258820183351</v>
          </cell>
          <cell r="J4">
            <v>0.1206258820183351</v>
          </cell>
          <cell r="K4">
            <v>0.1206258820183351</v>
          </cell>
          <cell r="L4">
            <v>0.1206258820183351</v>
          </cell>
          <cell r="M4">
            <v>0.1206258820183351</v>
          </cell>
          <cell r="N4">
            <v>0.1206258820183351</v>
          </cell>
          <cell r="O4">
            <v>0.1206258820183351</v>
          </cell>
          <cell r="P4">
            <v>0.1206258820183351</v>
          </cell>
          <cell r="Q4">
            <v>0.1206258820183351</v>
          </cell>
          <cell r="R4">
            <v>0.1206258820183351</v>
          </cell>
          <cell r="S4">
            <v>0.1206258820183351</v>
          </cell>
          <cell r="T4">
            <v>0.1206258820183351</v>
          </cell>
          <cell r="U4">
            <v>0.1206258820183351</v>
          </cell>
          <cell r="V4">
            <v>0.1206258820183351</v>
          </cell>
          <cell r="W4">
            <v>0.1206258820183351</v>
          </cell>
          <cell r="X4">
            <v>0.1206258820183351</v>
          </cell>
          <cell r="Y4">
            <v>0.1206258820183351</v>
          </cell>
          <cell r="Z4">
            <v>0.1206258820183351</v>
          </cell>
          <cell r="AA4">
            <v>0.1206258820183351</v>
          </cell>
          <cell r="AB4">
            <v>0.1206258820183351</v>
          </cell>
          <cell r="AC4">
            <v>0.1206258820183351</v>
          </cell>
          <cell r="AD4">
            <v>0.1206258820183351</v>
          </cell>
          <cell r="AE4">
            <v>0.1206258820183351</v>
          </cell>
          <cell r="AF4">
            <v>0.1206258820183351</v>
          </cell>
          <cell r="AG4">
            <v>0.1206258820183351</v>
          </cell>
          <cell r="AH4">
            <v>0.1206258820183351</v>
          </cell>
          <cell r="AI4">
            <v>0.1206258820183351</v>
          </cell>
        </row>
        <row r="5">
          <cell r="A5" t="str">
            <v>nuclear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</row>
        <row r="6">
          <cell r="A6" t="str">
            <v>Hydro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</row>
        <row r="7">
          <cell r="A7" t="str">
            <v>Wind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</row>
        <row r="8">
          <cell r="A8" t="str">
            <v>Solar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</row>
        <row r="9">
          <cell r="A9" t="str">
            <v>biomass</v>
          </cell>
          <cell r="B9">
            <v>0.05</v>
          </cell>
          <cell r="C9">
            <v>0.05</v>
          </cell>
          <cell r="D9">
            <v>0.05</v>
          </cell>
          <cell r="E9">
            <v>0.05</v>
          </cell>
          <cell r="F9">
            <v>0.05</v>
          </cell>
          <cell r="G9">
            <v>0.05</v>
          </cell>
          <cell r="H9">
            <v>0.05</v>
          </cell>
          <cell r="I9">
            <v>0.05</v>
          </cell>
          <cell r="J9">
            <v>0.05</v>
          </cell>
          <cell r="K9">
            <v>0.05</v>
          </cell>
          <cell r="L9">
            <v>0.05</v>
          </cell>
          <cell r="M9">
            <v>0.05</v>
          </cell>
          <cell r="N9">
            <v>0.05</v>
          </cell>
          <cell r="O9">
            <v>0.05</v>
          </cell>
          <cell r="P9">
            <v>0.05</v>
          </cell>
          <cell r="Q9">
            <v>0.05</v>
          </cell>
          <cell r="R9">
            <v>0.05</v>
          </cell>
          <cell r="S9">
            <v>0.05</v>
          </cell>
          <cell r="T9">
            <v>0.05</v>
          </cell>
          <cell r="U9">
            <v>0.05</v>
          </cell>
          <cell r="V9">
            <v>0.05</v>
          </cell>
          <cell r="W9">
            <v>0.05</v>
          </cell>
          <cell r="X9">
            <v>0.05</v>
          </cell>
          <cell r="Y9">
            <v>0.05</v>
          </cell>
          <cell r="Z9">
            <v>0.05</v>
          </cell>
          <cell r="AA9">
            <v>0.05</v>
          </cell>
          <cell r="AB9">
            <v>0.05</v>
          </cell>
          <cell r="AC9">
            <v>0.05</v>
          </cell>
          <cell r="AD9">
            <v>0.05</v>
          </cell>
          <cell r="AE9">
            <v>0.05</v>
          </cell>
          <cell r="AF9">
            <v>0.05</v>
          </cell>
          <cell r="AG9">
            <v>0.05</v>
          </cell>
          <cell r="AH9">
            <v>0.05</v>
          </cell>
          <cell r="AI9">
            <v>0.05</v>
          </cell>
        </row>
        <row r="10">
          <cell r="A10" t="str">
            <v>petroleum gasoline</v>
          </cell>
          <cell r="B10">
            <v>0.49136152656008247</v>
          </cell>
          <cell r="C10">
            <v>0.49136152656008247</v>
          </cell>
          <cell r="D10">
            <v>0.49136152656008247</v>
          </cell>
          <cell r="E10">
            <v>0.49136152656008247</v>
          </cell>
          <cell r="F10">
            <v>0.49136152656008247</v>
          </cell>
          <cell r="G10">
            <v>0.49136152656008247</v>
          </cell>
          <cell r="H10">
            <v>0.49136152656008247</v>
          </cell>
          <cell r="I10">
            <v>0.49136152656008247</v>
          </cell>
          <cell r="J10">
            <v>0.49136152656008247</v>
          </cell>
          <cell r="K10">
            <v>0.49136152656008247</v>
          </cell>
          <cell r="L10">
            <v>0.49136152656008247</v>
          </cell>
          <cell r="M10">
            <v>0.49136152656008247</v>
          </cell>
          <cell r="N10">
            <v>0.49136152656008247</v>
          </cell>
          <cell r="O10">
            <v>0.49136152656008247</v>
          </cell>
          <cell r="P10">
            <v>0.49136152656008247</v>
          </cell>
          <cell r="Q10">
            <v>0.49136152656008247</v>
          </cell>
          <cell r="R10">
            <v>0.49136152656008247</v>
          </cell>
          <cell r="S10">
            <v>0.49136152656008247</v>
          </cell>
          <cell r="T10">
            <v>0.49136152656008247</v>
          </cell>
          <cell r="U10">
            <v>0.49136152656008247</v>
          </cell>
          <cell r="V10">
            <v>0.49136152656008247</v>
          </cell>
          <cell r="W10">
            <v>0.49136152656008247</v>
          </cell>
          <cell r="X10">
            <v>0.49136152656008247</v>
          </cell>
          <cell r="Y10">
            <v>0.49136152656008247</v>
          </cell>
          <cell r="Z10">
            <v>0.49136152656008247</v>
          </cell>
          <cell r="AA10">
            <v>0.49136152656008247</v>
          </cell>
          <cell r="AB10">
            <v>0.49136152656008247</v>
          </cell>
          <cell r="AC10">
            <v>0.49136152656008247</v>
          </cell>
          <cell r="AD10">
            <v>0.49136152656008247</v>
          </cell>
          <cell r="AE10">
            <v>0.49136152656008247</v>
          </cell>
          <cell r="AF10">
            <v>0.49136152656008247</v>
          </cell>
          <cell r="AG10">
            <v>0.49136152656008247</v>
          </cell>
          <cell r="AH10">
            <v>0.49136152656008247</v>
          </cell>
          <cell r="AI10">
            <v>0.49136152656008247</v>
          </cell>
        </row>
        <row r="11">
          <cell r="A11" t="str">
            <v>petroleum diesel</v>
          </cell>
          <cell r="B11">
            <v>0.37339233854238696</v>
          </cell>
          <cell r="C11">
            <v>0.37339233854238696</v>
          </cell>
          <cell r="D11">
            <v>0.37339233854238696</v>
          </cell>
          <cell r="E11">
            <v>0.37339233854238696</v>
          </cell>
          <cell r="F11">
            <v>0.37339233854238696</v>
          </cell>
          <cell r="G11">
            <v>0.37339233854238696</v>
          </cell>
          <cell r="H11">
            <v>0.37339233854238696</v>
          </cell>
          <cell r="I11">
            <v>0.37339233854238696</v>
          </cell>
          <cell r="J11">
            <v>0.37339233854238696</v>
          </cell>
          <cell r="K11">
            <v>0.37339233854238696</v>
          </cell>
          <cell r="L11">
            <v>0.37339233854238696</v>
          </cell>
          <cell r="M11">
            <v>0.37339233854238696</v>
          </cell>
          <cell r="N11">
            <v>0.37339233854238696</v>
          </cell>
          <cell r="O11">
            <v>0.37339233854238696</v>
          </cell>
          <cell r="P11">
            <v>0.37339233854238696</v>
          </cell>
          <cell r="Q11">
            <v>0.37339233854238696</v>
          </cell>
          <cell r="R11">
            <v>0.37339233854238696</v>
          </cell>
          <cell r="S11">
            <v>0.37339233854238696</v>
          </cell>
          <cell r="T11">
            <v>0.37339233854238696</v>
          </cell>
          <cell r="U11">
            <v>0.37339233854238696</v>
          </cell>
          <cell r="V11">
            <v>0.37339233854238696</v>
          </cell>
          <cell r="W11">
            <v>0.37339233854238696</v>
          </cell>
          <cell r="X11">
            <v>0.37339233854238696</v>
          </cell>
          <cell r="Y11">
            <v>0.37339233854238696</v>
          </cell>
          <cell r="Z11">
            <v>0.37339233854238696</v>
          </cell>
          <cell r="AA11">
            <v>0.37339233854238696</v>
          </cell>
          <cell r="AB11">
            <v>0.37339233854238696</v>
          </cell>
          <cell r="AC11">
            <v>0.37339233854238696</v>
          </cell>
          <cell r="AD11">
            <v>0.37339233854238696</v>
          </cell>
          <cell r="AE11">
            <v>0.37339233854238696</v>
          </cell>
          <cell r="AF11">
            <v>0.37339233854238696</v>
          </cell>
          <cell r="AG11">
            <v>0.37339233854238696</v>
          </cell>
          <cell r="AH11">
            <v>0.37339233854238696</v>
          </cell>
          <cell r="AI11">
            <v>0.37339233854238696</v>
          </cell>
        </row>
        <row r="12">
          <cell r="A12" t="str">
            <v>biofuel gasoline</v>
          </cell>
          <cell r="B12">
            <v>0.05</v>
          </cell>
          <cell r="C12">
            <v>0.05</v>
          </cell>
          <cell r="D12">
            <v>0.05</v>
          </cell>
          <cell r="E12">
            <v>0.05</v>
          </cell>
          <cell r="F12">
            <v>0.05</v>
          </cell>
          <cell r="G12">
            <v>0.05</v>
          </cell>
          <cell r="H12">
            <v>0.05</v>
          </cell>
          <cell r="I12">
            <v>0.05</v>
          </cell>
          <cell r="J12">
            <v>0.05</v>
          </cell>
          <cell r="K12">
            <v>0.05</v>
          </cell>
          <cell r="L12">
            <v>0.05</v>
          </cell>
          <cell r="M12">
            <v>0.05</v>
          </cell>
          <cell r="N12">
            <v>0.05</v>
          </cell>
          <cell r="O12">
            <v>0.05</v>
          </cell>
          <cell r="P12">
            <v>0.05</v>
          </cell>
          <cell r="Q12">
            <v>0.05</v>
          </cell>
          <cell r="R12">
            <v>0.05</v>
          </cell>
          <cell r="S12">
            <v>0.05</v>
          </cell>
          <cell r="T12">
            <v>0.05</v>
          </cell>
          <cell r="U12">
            <v>0.05</v>
          </cell>
          <cell r="V12">
            <v>0.05</v>
          </cell>
          <cell r="W12">
            <v>0.05</v>
          </cell>
          <cell r="X12">
            <v>0.05</v>
          </cell>
          <cell r="Y12">
            <v>0.05</v>
          </cell>
          <cell r="Z12">
            <v>0.05</v>
          </cell>
          <cell r="AA12">
            <v>0.05</v>
          </cell>
          <cell r="AB12">
            <v>0.05</v>
          </cell>
          <cell r="AC12">
            <v>0.05</v>
          </cell>
          <cell r="AD12">
            <v>0.05</v>
          </cell>
          <cell r="AE12">
            <v>0.05</v>
          </cell>
          <cell r="AF12">
            <v>0.05</v>
          </cell>
          <cell r="AG12">
            <v>0.05</v>
          </cell>
          <cell r="AH12">
            <v>0.05</v>
          </cell>
          <cell r="AI12">
            <v>0.05</v>
          </cell>
        </row>
        <row r="13">
          <cell r="A13" t="str">
            <v>biofuel diesel</v>
          </cell>
          <cell r="B13">
            <v>0.05</v>
          </cell>
          <cell r="C13">
            <v>0.05</v>
          </cell>
          <cell r="D13">
            <v>0.05</v>
          </cell>
          <cell r="E13">
            <v>0.05</v>
          </cell>
          <cell r="F13">
            <v>0.05</v>
          </cell>
          <cell r="G13">
            <v>0.05</v>
          </cell>
          <cell r="H13">
            <v>0.05</v>
          </cell>
          <cell r="I13">
            <v>0.05</v>
          </cell>
          <cell r="J13">
            <v>0.05</v>
          </cell>
          <cell r="K13">
            <v>0.05</v>
          </cell>
          <cell r="L13">
            <v>0.05</v>
          </cell>
          <cell r="M13">
            <v>0.05</v>
          </cell>
          <cell r="N13">
            <v>0.05</v>
          </cell>
          <cell r="O13">
            <v>0.05</v>
          </cell>
          <cell r="P13">
            <v>0.05</v>
          </cell>
          <cell r="Q13">
            <v>0.05</v>
          </cell>
          <cell r="R13">
            <v>0.05</v>
          </cell>
          <cell r="S13">
            <v>0.05</v>
          </cell>
          <cell r="T13">
            <v>0.05</v>
          </cell>
          <cell r="U13">
            <v>0.05</v>
          </cell>
          <cell r="V13">
            <v>0.05</v>
          </cell>
          <cell r="W13">
            <v>0.05</v>
          </cell>
          <cell r="X13">
            <v>0.05</v>
          </cell>
          <cell r="Y13">
            <v>0.05</v>
          </cell>
          <cell r="Z13">
            <v>0.05</v>
          </cell>
          <cell r="AA13">
            <v>0.05</v>
          </cell>
          <cell r="AB13">
            <v>0.05</v>
          </cell>
          <cell r="AC13">
            <v>0.05</v>
          </cell>
          <cell r="AD13">
            <v>0.05</v>
          </cell>
          <cell r="AE13">
            <v>0.05</v>
          </cell>
          <cell r="AF13">
            <v>0.05</v>
          </cell>
          <cell r="AG13">
            <v>0.05</v>
          </cell>
          <cell r="AH13">
            <v>0.05</v>
          </cell>
          <cell r="AI13">
            <v>0.05</v>
          </cell>
        </row>
        <row r="14">
          <cell r="A14" t="str">
            <v>Jet Fuel or Kerosene</v>
          </cell>
          <cell r="B14">
            <v>0.10387508175277957</v>
          </cell>
          <cell r="C14">
            <v>0.10387508175277957</v>
          </cell>
          <cell r="D14">
            <v>0.10387508175277957</v>
          </cell>
          <cell r="E14">
            <v>0.10387508175277957</v>
          </cell>
          <cell r="F14">
            <v>0.10387508175277957</v>
          </cell>
          <cell r="G14">
            <v>0.10387508175277957</v>
          </cell>
          <cell r="H14">
            <v>0.10387508175277957</v>
          </cell>
          <cell r="I14">
            <v>0.10387508175277957</v>
          </cell>
          <cell r="J14">
            <v>0.10387508175277957</v>
          </cell>
          <cell r="K14">
            <v>0.10387508175277957</v>
          </cell>
          <cell r="L14">
            <v>0.10387508175277957</v>
          </cell>
          <cell r="M14">
            <v>0.10387508175277957</v>
          </cell>
          <cell r="N14">
            <v>0.10387508175277957</v>
          </cell>
          <cell r="O14">
            <v>0.10387508175277957</v>
          </cell>
          <cell r="P14">
            <v>0.10387508175277957</v>
          </cell>
          <cell r="Q14">
            <v>0.10387508175277957</v>
          </cell>
          <cell r="R14">
            <v>0.10387508175277957</v>
          </cell>
          <cell r="S14">
            <v>0.10387508175277957</v>
          </cell>
          <cell r="T14">
            <v>0.10387508175277957</v>
          </cell>
          <cell r="U14">
            <v>0.10387508175277957</v>
          </cell>
          <cell r="V14">
            <v>0.10387508175277957</v>
          </cell>
          <cell r="W14">
            <v>0.10387508175277957</v>
          </cell>
          <cell r="X14">
            <v>0.10387508175277957</v>
          </cell>
          <cell r="Y14">
            <v>0.10387508175277957</v>
          </cell>
          <cell r="Z14">
            <v>0.10387508175277957</v>
          </cell>
          <cell r="AA14">
            <v>0.10387508175277957</v>
          </cell>
          <cell r="AB14">
            <v>0.10387508175277957</v>
          </cell>
          <cell r="AC14">
            <v>0.10387508175277957</v>
          </cell>
          <cell r="AD14">
            <v>0.10387508175277957</v>
          </cell>
          <cell r="AE14">
            <v>0.10387508175277957</v>
          </cell>
          <cell r="AF14">
            <v>0.10387508175277957</v>
          </cell>
          <cell r="AG14">
            <v>0.10387508175277957</v>
          </cell>
          <cell r="AH14">
            <v>0.10387508175277957</v>
          </cell>
          <cell r="AI14">
            <v>0.10387508175277957</v>
          </cell>
        </row>
        <row r="15">
          <cell r="A15" t="str">
            <v>heat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</row>
        <row r="16">
          <cell r="A16" t="str">
            <v>Geothermal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A17" t="str">
            <v>lignite</v>
          </cell>
          <cell r="B17">
            <v>0.19727706611116066</v>
          </cell>
          <cell r="C17">
            <v>0.19727706611116066</v>
          </cell>
          <cell r="D17">
            <v>0.19727706611116066</v>
          </cell>
          <cell r="E17">
            <v>0.19727706611116066</v>
          </cell>
          <cell r="F17">
            <v>0.19727706611116066</v>
          </cell>
          <cell r="G17">
            <v>0.19727706611116066</v>
          </cell>
          <cell r="H17">
            <v>0.19727706611116066</v>
          </cell>
          <cell r="I17">
            <v>0.19727706611116066</v>
          </cell>
          <cell r="J17">
            <v>0.19727706611116066</v>
          </cell>
          <cell r="K17">
            <v>0.19727706611116066</v>
          </cell>
          <cell r="L17">
            <v>0.19727706611116066</v>
          </cell>
          <cell r="M17">
            <v>0.19727706611116066</v>
          </cell>
          <cell r="N17">
            <v>0.19727706611116066</v>
          </cell>
          <cell r="O17">
            <v>0.19727706611116066</v>
          </cell>
          <cell r="P17">
            <v>0.19727706611116066</v>
          </cell>
          <cell r="Q17">
            <v>0.19727706611116066</v>
          </cell>
          <cell r="R17">
            <v>0.19727706611116066</v>
          </cell>
          <cell r="S17">
            <v>0.19727706611116066</v>
          </cell>
          <cell r="T17">
            <v>0.19727706611116066</v>
          </cell>
          <cell r="U17">
            <v>0.19727706611116066</v>
          </cell>
          <cell r="V17">
            <v>0.19727706611116066</v>
          </cell>
          <cell r="W17">
            <v>0.19727706611116066</v>
          </cell>
          <cell r="X17">
            <v>0.19727706611116066</v>
          </cell>
          <cell r="Y17">
            <v>0.19727706611116066</v>
          </cell>
          <cell r="Z17">
            <v>0.19727706611116066</v>
          </cell>
          <cell r="AA17">
            <v>0.19727706611116066</v>
          </cell>
          <cell r="AB17">
            <v>0.19727706611116066</v>
          </cell>
          <cell r="AC17">
            <v>0.19727706611116066</v>
          </cell>
          <cell r="AD17">
            <v>0.19727706611116066</v>
          </cell>
          <cell r="AE17">
            <v>0.19727706611116066</v>
          </cell>
          <cell r="AF17">
            <v>0.19727706611116066</v>
          </cell>
          <cell r="AG17">
            <v>0.19727706611116066</v>
          </cell>
          <cell r="AH17">
            <v>0.19727706611116066</v>
          </cell>
          <cell r="AI17">
            <v>0.19727706611116066</v>
          </cell>
        </row>
        <row r="18">
          <cell r="A18" t="str">
            <v>crude oil</v>
          </cell>
          <cell r="B18">
            <v>4.9553227013645E-2</v>
          </cell>
          <cell r="C18">
            <v>4.9553227013645E-2</v>
          </cell>
          <cell r="D18">
            <v>4.9553227013645E-2</v>
          </cell>
          <cell r="E18">
            <v>4.9553227013645E-2</v>
          </cell>
          <cell r="F18">
            <v>4.9553227013645E-2</v>
          </cell>
          <cell r="G18">
            <v>4.9553227013645E-2</v>
          </cell>
          <cell r="H18">
            <v>4.9553227013645E-2</v>
          </cell>
          <cell r="I18">
            <v>4.9553227013645E-2</v>
          </cell>
          <cell r="J18">
            <v>4.9553227013645E-2</v>
          </cell>
          <cell r="K18">
            <v>4.9553227013645E-2</v>
          </cell>
          <cell r="L18">
            <v>4.9553227013645E-2</v>
          </cell>
          <cell r="M18">
            <v>4.9553227013645E-2</v>
          </cell>
          <cell r="N18">
            <v>4.9553227013645E-2</v>
          </cell>
          <cell r="O18">
            <v>4.9553227013645E-2</v>
          </cell>
          <cell r="P18">
            <v>4.9553227013645E-2</v>
          </cell>
          <cell r="Q18">
            <v>4.9553227013645E-2</v>
          </cell>
          <cell r="R18">
            <v>4.9553227013645E-2</v>
          </cell>
          <cell r="S18">
            <v>4.9553227013645E-2</v>
          </cell>
          <cell r="T18">
            <v>4.9553227013645E-2</v>
          </cell>
          <cell r="U18">
            <v>4.9553227013645E-2</v>
          </cell>
          <cell r="V18">
            <v>4.9553227013645E-2</v>
          </cell>
          <cell r="W18">
            <v>4.9553227013645E-2</v>
          </cell>
          <cell r="X18">
            <v>4.9553227013645E-2</v>
          </cell>
          <cell r="Y18">
            <v>4.9553227013645E-2</v>
          </cell>
          <cell r="Z18">
            <v>4.9553227013645E-2</v>
          </cell>
          <cell r="AA18">
            <v>4.9553227013645E-2</v>
          </cell>
          <cell r="AB18">
            <v>4.9553227013645E-2</v>
          </cell>
          <cell r="AC18">
            <v>4.9553227013645E-2</v>
          </cell>
          <cell r="AD18">
            <v>4.9553227013645E-2</v>
          </cell>
          <cell r="AE18">
            <v>4.9553227013645E-2</v>
          </cell>
          <cell r="AF18">
            <v>4.9553227013645E-2</v>
          </cell>
          <cell r="AG18">
            <v>4.9553227013645E-2</v>
          </cell>
          <cell r="AH18">
            <v>4.9553227013645E-2</v>
          </cell>
          <cell r="AI18">
            <v>4.9553227013645E-2</v>
          </cell>
        </row>
        <row r="19">
          <cell r="A19" t="str">
            <v>heavy fuel oil</v>
          </cell>
          <cell r="B19">
            <v>0.18</v>
          </cell>
          <cell r="C19">
            <v>0.18</v>
          </cell>
          <cell r="D19">
            <v>0.18</v>
          </cell>
          <cell r="E19">
            <v>0.18</v>
          </cell>
          <cell r="F19">
            <v>0.18</v>
          </cell>
          <cell r="G19">
            <v>0.18</v>
          </cell>
          <cell r="H19">
            <v>0.18</v>
          </cell>
          <cell r="I19">
            <v>0.18</v>
          </cell>
          <cell r="J19">
            <v>0.18</v>
          </cell>
          <cell r="K19">
            <v>0.18</v>
          </cell>
          <cell r="L19">
            <v>0.18</v>
          </cell>
          <cell r="M19">
            <v>0.18</v>
          </cell>
          <cell r="N19">
            <v>0.18</v>
          </cell>
          <cell r="O19">
            <v>0.18</v>
          </cell>
          <cell r="P19">
            <v>0.18</v>
          </cell>
          <cell r="Q19">
            <v>0.18</v>
          </cell>
          <cell r="R19">
            <v>0.18</v>
          </cell>
          <cell r="S19">
            <v>0.18</v>
          </cell>
          <cell r="T19">
            <v>0.18</v>
          </cell>
          <cell r="U19">
            <v>0.18</v>
          </cell>
          <cell r="V19">
            <v>0.18</v>
          </cell>
          <cell r="W19">
            <v>0.18</v>
          </cell>
          <cell r="X19">
            <v>0.18</v>
          </cell>
          <cell r="Y19">
            <v>0.18</v>
          </cell>
          <cell r="Z19">
            <v>0.18</v>
          </cell>
          <cell r="AA19">
            <v>0.18</v>
          </cell>
          <cell r="AB19">
            <v>0.18</v>
          </cell>
          <cell r="AC19">
            <v>0.18</v>
          </cell>
          <cell r="AD19">
            <v>0.18</v>
          </cell>
          <cell r="AE19">
            <v>0.18</v>
          </cell>
          <cell r="AF19">
            <v>0.18</v>
          </cell>
          <cell r="AG19">
            <v>0.18</v>
          </cell>
          <cell r="AH19">
            <v>0.18</v>
          </cell>
          <cell r="AI19">
            <v>0.18</v>
          </cell>
        </row>
        <row r="20">
          <cell r="A20" t="str">
            <v>LPG propane or butane</v>
          </cell>
          <cell r="B20">
            <v>0.05</v>
          </cell>
          <cell r="C20">
            <v>0.05</v>
          </cell>
          <cell r="D20">
            <v>0.05</v>
          </cell>
          <cell r="E20">
            <v>0.05</v>
          </cell>
          <cell r="F20">
            <v>0.05</v>
          </cell>
          <cell r="G20">
            <v>0.05</v>
          </cell>
          <cell r="H20">
            <v>0.05</v>
          </cell>
          <cell r="I20">
            <v>0.05</v>
          </cell>
          <cell r="J20">
            <v>0.05</v>
          </cell>
          <cell r="K20">
            <v>0.05</v>
          </cell>
          <cell r="L20">
            <v>0.05</v>
          </cell>
          <cell r="M20">
            <v>0.05</v>
          </cell>
          <cell r="N20">
            <v>0.05</v>
          </cell>
          <cell r="O20">
            <v>0.05</v>
          </cell>
          <cell r="P20">
            <v>0.05</v>
          </cell>
          <cell r="Q20">
            <v>0.05</v>
          </cell>
          <cell r="R20">
            <v>0.05</v>
          </cell>
          <cell r="S20">
            <v>0.05</v>
          </cell>
          <cell r="T20">
            <v>0.05</v>
          </cell>
          <cell r="U20">
            <v>0.05</v>
          </cell>
          <cell r="V20">
            <v>0.05</v>
          </cell>
          <cell r="W20">
            <v>0.05</v>
          </cell>
          <cell r="X20">
            <v>0.05</v>
          </cell>
          <cell r="Y20">
            <v>0.05</v>
          </cell>
          <cell r="Z20">
            <v>0.05</v>
          </cell>
          <cell r="AA20">
            <v>0.05</v>
          </cell>
          <cell r="AB20">
            <v>0.05</v>
          </cell>
          <cell r="AC20">
            <v>0.05</v>
          </cell>
          <cell r="AD20">
            <v>0.05</v>
          </cell>
          <cell r="AE20">
            <v>0.05</v>
          </cell>
          <cell r="AF20">
            <v>0.05</v>
          </cell>
          <cell r="AG20">
            <v>0.05</v>
          </cell>
          <cell r="AH20">
            <v>0.05</v>
          </cell>
          <cell r="AI20">
            <v>0.05</v>
          </cell>
        </row>
        <row r="21">
          <cell r="A21" t="str">
            <v>municipal solid waste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</row>
        <row r="22">
          <cell r="A22" t="str">
            <v>hydrogen</v>
          </cell>
          <cell r="B22">
            <v>5.5335908619313187E-2</v>
          </cell>
          <cell r="C22">
            <v>5.5335908619313187E-2</v>
          </cell>
          <cell r="D22">
            <v>5.5335908619313187E-2</v>
          </cell>
          <cell r="E22">
            <v>5.5335908619313187E-2</v>
          </cell>
          <cell r="F22">
            <v>5.5335908619313187E-2</v>
          </cell>
          <cell r="G22">
            <v>5.5335908619313187E-2</v>
          </cell>
          <cell r="H22">
            <v>5.5335908619313187E-2</v>
          </cell>
          <cell r="I22">
            <v>5.5335908619313187E-2</v>
          </cell>
          <cell r="J22">
            <v>5.5335908619313187E-2</v>
          </cell>
          <cell r="K22">
            <v>5.5335908619313187E-2</v>
          </cell>
          <cell r="L22">
            <v>5.5335908619313187E-2</v>
          </cell>
          <cell r="M22">
            <v>5.5335908619313187E-2</v>
          </cell>
          <cell r="N22">
            <v>5.5335908619313187E-2</v>
          </cell>
          <cell r="O22">
            <v>5.5335908619313187E-2</v>
          </cell>
          <cell r="P22">
            <v>5.5335908619313187E-2</v>
          </cell>
          <cell r="Q22">
            <v>5.5335908619313187E-2</v>
          </cell>
          <cell r="R22">
            <v>5.5335908619313187E-2</v>
          </cell>
          <cell r="S22">
            <v>5.5335908619313187E-2</v>
          </cell>
          <cell r="T22">
            <v>5.5335908619313187E-2</v>
          </cell>
          <cell r="U22">
            <v>5.5335908619313187E-2</v>
          </cell>
          <cell r="V22">
            <v>5.5335908619313187E-2</v>
          </cell>
          <cell r="W22">
            <v>5.5335908619313187E-2</v>
          </cell>
          <cell r="X22">
            <v>5.5335908619313187E-2</v>
          </cell>
          <cell r="Y22">
            <v>5.5335908619313187E-2</v>
          </cell>
          <cell r="Z22">
            <v>5.5335908619313187E-2</v>
          </cell>
          <cell r="AA22">
            <v>5.5335908619313187E-2</v>
          </cell>
          <cell r="AB22">
            <v>5.5335908619313187E-2</v>
          </cell>
          <cell r="AC22">
            <v>5.5335908619313187E-2</v>
          </cell>
          <cell r="AD22">
            <v>5.5335908619313187E-2</v>
          </cell>
          <cell r="AE22">
            <v>5.5335908619313187E-2</v>
          </cell>
          <cell r="AF22">
            <v>5.5335908619313187E-2</v>
          </cell>
          <cell r="AG22">
            <v>5.5335908619313187E-2</v>
          </cell>
          <cell r="AH22">
            <v>5.5335908619313187E-2</v>
          </cell>
          <cell r="AI22">
            <v>5.5335908619313187E-2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workbookViewId="0">
      <selection activeCell="F15" sqref="F15"/>
    </sheetView>
  </sheetViews>
  <sheetFormatPr defaultRowHeight="14.5" x14ac:dyDescent="0.35"/>
  <cols>
    <col min="1" max="1" width="26.81640625" customWidth="1"/>
    <col min="2" max="2" width="91.453125" customWidth="1"/>
    <col min="4" max="4" width="50.7265625" customWidth="1"/>
    <col min="6" max="6" width="43.7265625" customWidth="1"/>
    <col min="7" max="7" width="43.81640625" customWidth="1"/>
  </cols>
  <sheetData>
    <row r="1" spans="1:6" x14ac:dyDescent="0.35">
      <c r="A1" s="1" t="s">
        <v>39</v>
      </c>
    </row>
    <row r="3" spans="1:6" x14ac:dyDescent="0.35">
      <c r="A3" s="1" t="s">
        <v>0</v>
      </c>
      <c r="B3" s="27" t="s">
        <v>1347</v>
      </c>
      <c r="D3" s="27" t="s">
        <v>1467</v>
      </c>
      <c r="F3" s="27" t="s">
        <v>1472</v>
      </c>
    </row>
    <row r="4" spans="1:6" x14ac:dyDescent="0.35">
      <c r="B4" s="28" t="s">
        <v>1348</v>
      </c>
      <c r="D4" t="s">
        <v>1468</v>
      </c>
      <c r="F4" t="s">
        <v>1348</v>
      </c>
    </row>
    <row r="5" spans="1:6" x14ac:dyDescent="0.35">
      <c r="B5" s="2">
        <v>2019</v>
      </c>
      <c r="D5" s="2">
        <v>2021</v>
      </c>
      <c r="F5" s="2">
        <v>2019</v>
      </c>
    </row>
    <row r="6" spans="1:6" x14ac:dyDescent="0.35">
      <c r="B6" s="28" t="s">
        <v>1349</v>
      </c>
      <c r="D6" t="s">
        <v>1469</v>
      </c>
      <c r="F6" t="s">
        <v>1458</v>
      </c>
    </row>
    <row r="7" spans="1:6" x14ac:dyDescent="0.35">
      <c r="B7" s="29" t="s">
        <v>1350</v>
      </c>
      <c r="D7" s="29" t="s">
        <v>1470</v>
      </c>
      <c r="F7" s="29" t="s">
        <v>1350</v>
      </c>
    </row>
    <row r="8" spans="1:6" x14ac:dyDescent="0.35">
      <c r="B8" s="29"/>
      <c r="D8" t="s">
        <v>1471</v>
      </c>
      <c r="F8" t="s">
        <v>1457</v>
      </c>
    </row>
    <row r="9" spans="1:6" x14ac:dyDescent="0.35">
      <c r="B9" s="28" t="s">
        <v>1355</v>
      </c>
    </row>
    <row r="10" spans="1:6" x14ac:dyDescent="0.35">
      <c r="B10" s="27" t="s">
        <v>1351</v>
      </c>
      <c r="D10" s="27" t="s">
        <v>1436</v>
      </c>
      <c r="F10" s="27" t="s">
        <v>1474</v>
      </c>
    </row>
    <row r="11" spans="1:6" x14ac:dyDescent="0.35">
      <c r="B11" t="s">
        <v>1362</v>
      </c>
      <c r="D11" t="s">
        <v>1362</v>
      </c>
      <c r="F11" t="s">
        <v>1475</v>
      </c>
    </row>
    <row r="12" spans="1:6" x14ac:dyDescent="0.35">
      <c r="B12" s="2">
        <v>2020</v>
      </c>
      <c r="D12" s="2">
        <v>2020</v>
      </c>
      <c r="F12" s="2">
        <v>2020</v>
      </c>
    </row>
    <row r="13" spans="1:6" x14ac:dyDescent="0.35">
      <c r="B13" t="s">
        <v>1353</v>
      </c>
      <c r="D13" t="s">
        <v>1437</v>
      </c>
      <c r="F13" t="s">
        <v>1476</v>
      </c>
    </row>
    <row r="14" spans="1:6" x14ac:dyDescent="0.35">
      <c r="B14" s="29" t="s">
        <v>1354</v>
      </c>
      <c r="D14" s="29" t="s">
        <v>1438</v>
      </c>
      <c r="F14" t="s">
        <v>1478</v>
      </c>
    </row>
    <row r="15" spans="1:6" ht="29" x14ac:dyDescent="0.35">
      <c r="B15" t="s">
        <v>1356</v>
      </c>
      <c r="D15" s="32" t="s">
        <v>1439</v>
      </c>
      <c r="F15" t="s">
        <v>1477</v>
      </c>
    </row>
    <row r="16" spans="1:6" x14ac:dyDescent="0.35">
      <c r="B16" s="29"/>
    </row>
    <row r="17" spans="1:4" x14ac:dyDescent="0.35">
      <c r="B17" s="29"/>
      <c r="C17" t="s">
        <v>1473</v>
      </c>
    </row>
    <row r="18" spans="1:4" x14ac:dyDescent="0.35">
      <c r="B18" s="29"/>
    </row>
    <row r="19" spans="1:4" ht="29" x14ac:dyDescent="0.35">
      <c r="A19" s="1" t="s">
        <v>1</v>
      </c>
      <c r="C19" s="32" t="s">
        <v>1341</v>
      </c>
      <c r="D19">
        <v>0.89805481563188172</v>
      </c>
    </row>
    <row r="20" spans="1:4" x14ac:dyDescent="0.35">
      <c r="A20" t="s">
        <v>16</v>
      </c>
    </row>
    <row r="21" spans="1:4" x14ac:dyDescent="0.35">
      <c r="A21" t="s">
        <v>1342</v>
      </c>
    </row>
    <row r="23" spans="1:4" x14ac:dyDescent="0.35">
      <c r="A23" t="s">
        <v>18</v>
      </c>
    </row>
    <row r="25" spans="1:4" x14ac:dyDescent="0.35">
      <c r="A25" t="s">
        <v>17</v>
      </c>
    </row>
    <row r="27" spans="1:4" x14ac:dyDescent="0.35">
      <c r="A27" s="1" t="s">
        <v>1215</v>
      </c>
    </row>
    <row r="28" spans="1:4" x14ac:dyDescent="0.35">
      <c r="A28" t="s">
        <v>65</v>
      </c>
    </row>
    <row r="35" spans="1:3" x14ac:dyDescent="0.35">
      <c r="A35" t="s">
        <v>1447</v>
      </c>
      <c r="B35">
        <v>5698000</v>
      </c>
      <c r="C35" t="s">
        <v>1340</v>
      </c>
    </row>
    <row r="36" spans="1:3" x14ac:dyDescent="0.35">
      <c r="A36" t="s">
        <v>1448</v>
      </c>
      <c r="B36">
        <v>120286</v>
      </c>
      <c r="C36" t="s">
        <v>1340</v>
      </c>
    </row>
    <row r="37" spans="1:3" x14ac:dyDescent="0.35">
      <c r="A37" t="s">
        <v>1449</v>
      </c>
      <c r="B37">
        <v>137381</v>
      </c>
      <c r="C37" t="s">
        <v>1340</v>
      </c>
    </row>
    <row r="38" spans="1:3" x14ac:dyDescent="0.35">
      <c r="A38" t="s">
        <v>1453</v>
      </c>
      <c r="B38">
        <v>91452</v>
      </c>
      <c r="C38" t="s">
        <v>1340</v>
      </c>
    </row>
    <row r="39" spans="1:3" x14ac:dyDescent="0.35">
      <c r="A39" t="s">
        <v>1450</v>
      </c>
      <c r="B39">
        <v>42</v>
      </c>
    </row>
    <row r="40" spans="1:3" x14ac:dyDescent="0.35">
      <c r="A40" t="s">
        <v>1455</v>
      </c>
      <c r="B40">
        <v>4.2300000000000004</v>
      </c>
      <c r="C40" t="s">
        <v>1454</v>
      </c>
    </row>
    <row r="41" spans="1:3" x14ac:dyDescent="0.35">
      <c r="A41" t="s">
        <v>1456</v>
      </c>
      <c r="B41">
        <v>2204.62</v>
      </c>
    </row>
    <row r="42" spans="1:3" x14ac:dyDescent="0.35">
      <c r="A42" t="s">
        <v>1341</v>
      </c>
      <c r="B42">
        <v>0.89805481563188172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"/>
  <sheetViews>
    <sheetView topLeftCell="B1" workbookViewId="0">
      <selection activeCell="C35" sqref="C35"/>
    </sheetView>
  </sheetViews>
  <sheetFormatPr defaultRowHeight="14.5" x14ac:dyDescent="0.35"/>
  <cols>
    <col min="1" max="1" width="19.453125" hidden="1" customWidth="1"/>
    <col min="2" max="2" width="42.7265625" customWidth="1"/>
  </cols>
  <sheetData>
    <row r="1" spans="1:35" ht="15" customHeight="1" thickBot="1" x14ac:dyDescent="0.4">
      <c r="B1" s="12" t="s">
        <v>1216</v>
      </c>
      <c r="C1" s="13">
        <v>2019</v>
      </c>
      <c r="D1" s="13">
        <v>2020</v>
      </c>
      <c r="E1" s="13">
        <v>2021</v>
      </c>
      <c r="F1" s="13">
        <v>2022</v>
      </c>
      <c r="G1" s="13">
        <v>2023</v>
      </c>
      <c r="H1" s="13">
        <v>2024</v>
      </c>
      <c r="I1" s="13">
        <v>2025</v>
      </c>
      <c r="J1" s="13">
        <v>2026</v>
      </c>
      <c r="K1" s="13">
        <v>2027</v>
      </c>
      <c r="L1" s="13">
        <v>2028</v>
      </c>
      <c r="M1" s="13">
        <v>2029</v>
      </c>
      <c r="N1" s="13">
        <v>2030</v>
      </c>
      <c r="O1" s="13">
        <v>2031</v>
      </c>
      <c r="P1" s="13">
        <v>2032</v>
      </c>
      <c r="Q1" s="13">
        <v>2033</v>
      </c>
      <c r="R1" s="13">
        <v>2034</v>
      </c>
      <c r="S1" s="13">
        <v>2035</v>
      </c>
      <c r="T1" s="13">
        <v>2036</v>
      </c>
      <c r="U1" s="13">
        <v>2037</v>
      </c>
      <c r="V1" s="13">
        <v>2038</v>
      </c>
      <c r="W1" s="13">
        <v>2039</v>
      </c>
      <c r="X1" s="13">
        <v>2040</v>
      </c>
      <c r="Y1" s="13">
        <v>2041</v>
      </c>
      <c r="Z1" s="13">
        <v>2042</v>
      </c>
      <c r="AA1" s="13">
        <v>2043</v>
      </c>
      <c r="AB1" s="13">
        <v>2044</v>
      </c>
      <c r="AC1" s="13">
        <v>2045</v>
      </c>
      <c r="AD1" s="13">
        <v>2046</v>
      </c>
      <c r="AE1" s="13">
        <v>2047</v>
      </c>
      <c r="AF1" s="13">
        <v>2048</v>
      </c>
      <c r="AG1" s="13">
        <v>2049</v>
      </c>
      <c r="AH1" s="13">
        <v>2050</v>
      </c>
    </row>
    <row r="2" spans="1:35" ht="15" customHeight="1" thickTop="1" x14ac:dyDescent="0.35">
      <c r="C2" s="14"/>
      <c r="D2" s="14"/>
      <c r="E2" s="14"/>
      <c r="F2" s="14"/>
      <c r="G2" s="14"/>
    </row>
    <row r="3" spans="1:35" ht="15" customHeight="1" x14ac:dyDescent="0.35">
      <c r="C3" s="14" t="s">
        <v>1217</v>
      </c>
      <c r="D3" s="14" t="s">
        <v>1218</v>
      </c>
      <c r="E3" s="14"/>
      <c r="F3" s="14"/>
      <c r="G3" s="14"/>
    </row>
    <row r="4" spans="1:35" ht="15" customHeight="1" x14ac:dyDescent="0.35">
      <c r="C4" s="14" t="s">
        <v>1219</v>
      </c>
      <c r="D4" s="14" t="s">
        <v>1220</v>
      </c>
      <c r="E4" s="14"/>
      <c r="F4" s="14"/>
      <c r="G4" s="14" t="s">
        <v>1221</v>
      </c>
    </row>
    <row r="5" spans="1:35" ht="15" customHeight="1" x14ac:dyDescent="0.35">
      <c r="C5" s="14" t="s">
        <v>1222</v>
      </c>
      <c r="D5" s="14" t="s">
        <v>1223</v>
      </c>
      <c r="E5" s="14"/>
      <c r="F5" s="14"/>
      <c r="G5" s="14"/>
    </row>
    <row r="6" spans="1:35" ht="15" customHeight="1" x14ac:dyDescent="0.35">
      <c r="C6" s="14" t="s">
        <v>1224</v>
      </c>
      <c r="D6" s="14"/>
      <c r="E6" s="14" t="s">
        <v>1225</v>
      </c>
      <c r="F6" s="14"/>
      <c r="G6" s="14"/>
    </row>
    <row r="10" spans="1:35" ht="15" customHeight="1" x14ac:dyDescent="0.35">
      <c r="A10" s="15" t="s">
        <v>1226</v>
      </c>
      <c r="B10" s="16" t="s">
        <v>1227</v>
      </c>
    </row>
    <row r="11" spans="1:35" ht="15" customHeight="1" x14ac:dyDescent="0.35">
      <c r="B11" s="12" t="s">
        <v>1228</v>
      </c>
    </row>
    <row r="12" spans="1:35" ht="15" customHeight="1" x14ac:dyDescent="0.35">
      <c r="B12" s="12" t="s">
        <v>1229</v>
      </c>
      <c r="C12" s="17" t="s">
        <v>1229</v>
      </c>
      <c r="D12" s="17" t="s">
        <v>1229</v>
      </c>
      <c r="E12" s="17" t="s">
        <v>1229</v>
      </c>
      <c r="F12" s="17" t="s">
        <v>1229</v>
      </c>
      <c r="G12" s="17" t="s">
        <v>1229</v>
      </c>
      <c r="H12" s="17" t="s">
        <v>1229</v>
      </c>
      <c r="I12" s="17" t="s">
        <v>1229</v>
      </c>
      <c r="J12" s="17" t="s">
        <v>1229</v>
      </c>
      <c r="K12" s="17" t="s">
        <v>1229</v>
      </c>
      <c r="L12" s="17" t="s">
        <v>1229</v>
      </c>
      <c r="M12" s="17" t="s">
        <v>1229</v>
      </c>
      <c r="N12" s="17" t="s">
        <v>1229</v>
      </c>
      <c r="O12" s="17" t="s">
        <v>1229</v>
      </c>
      <c r="P12" s="17" t="s">
        <v>1229</v>
      </c>
      <c r="Q12" s="17" t="s">
        <v>1229</v>
      </c>
      <c r="R12" s="17" t="s">
        <v>1229</v>
      </c>
      <c r="S12" s="17" t="s">
        <v>1229</v>
      </c>
      <c r="T12" s="17" t="s">
        <v>1229</v>
      </c>
      <c r="U12" s="17" t="s">
        <v>1229</v>
      </c>
      <c r="V12" s="17" t="s">
        <v>1229</v>
      </c>
      <c r="W12" s="17" t="s">
        <v>1229</v>
      </c>
      <c r="X12" s="17" t="s">
        <v>1229</v>
      </c>
      <c r="Y12" s="17" t="s">
        <v>1229</v>
      </c>
      <c r="Z12" s="17" t="s">
        <v>1229</v>
      </c>
      <c r="AA12" s="17" t="s">
        <v>1229</v>
      </c>
      <c r="AB12" s="17" t="s">
        <v>1229</v>
      </c>
      <c r="AC12" s="17" t="s">
        <v>1229</v>
      </c>
      <c r="AD12" s="17" t="s">
        <v>1229</v>
      </c>
      <c r="AE12" s="17" t="s">
        <v>1229</v>
      </c>
      <c r="AF12" s="17" t="s">
        <v>1229</v>
      </c>
      <c r="AG12" s="17" t="s">
        <v>1229</v>
      </c>
      <c r="AH12" s="17" t="s">
        <v>1229</v>
      </c>
      <c r="AI12" s="17" t="s">
        <v>1230</v>
      </c>
    </row>
    <row r="13" spans="1:35" ht="15" customHeight="1" thickBot="1" x14ac:dyDescent="0.4">
      <c r="B13" s="13" t="s">
        <v>1231</v>
      </c>
      <c r="C13" s="13">
        <v>2019</v>
      </c>
      <c r="D13" s="13">
        <v>2020</v>
      </c>
      <c r="E13" s="13">
        <v>2021</v>
      </c>
      <c r="F13" s="13">
        <v>2022</v>
      </c>
      <c r="G13" s="13">
        <v>2023</v>
      </c>
      <c r="H13" s="13">
        <v>2024</v>
      </c>
      <c r="I13" s="13">
        <v>2025</v>
      </c>
      <c r="J13" s="13">
        <v>2026</v>
      </c>
      <c r="K13" s="13">
        <v>2027</v>
      </c>
      <c r="L13" s="13">
        <v>2028</v>
      </c>
      <c r="M13" s="13">
        <v>2029</v>
      </c>
      <c r="N13" s="13">
        <v>2030</v>
      </c>
      <c r="O13" s="13">
        <v>2031</v>
      </c>
      <c r="P13" s="13">
        <v>2032</v>
      </c>
      <c r="Q13" s="13">
        <v>2033</v>
      </c>
      <c r="R13" s="13">
        <v>2034</v>
      </c>
      <c r="S13" s="13">
        <v>2035</v>
      </c>
      <c r="T13" s="13">
        <v>2036</v>
      </c>
      <c r="U13" s="13">
        <v>2037</v>
      </c>
      <c r="V13" s="13">
        <v>2038</v>
      </c>
      <c r="W13" s="13">
        <v>2039</v>
      </c>
      <c r="X13" s="13">
        <v>2040</v>
      </c>
      <c r="Y13" s="13">
        <v>2041</v>
      </c>
      <c r="Z13" s="13">
        <v>2042</v>
      </c>
      <c r="AA13" s="13">
        <v>2043</v>
      </c>
      <c r="AB13" s="13">
        <v>2044</v>
      </c>
      <c r="AC13" s="13">
        <v>2045</v>
      </c>
      <c r="AD13" s="13">
        <v>2046</v>
      </c>
      <c r="AE13" s="13">
        <v>2047</v>
      </c>
      <c r="AF13" s="13">
        <v>2048</v>
      </c>
      <c r="AG13" s="13">
        <v>2049</v>
      </c>
      <c r="AH13" s="13">
        <v>2050</v>
      </c>
      <c r="AI13" s="13">
        <v>2050</v>
      </c>
    </row>
    <row r="14" spans="1:35" ht="15" customHeight="1" thickTop="1" x14ac:dyDescent="0.35"/>
    <row r="15" spans="1:35" ht="15" customHeight="1" x14ac:dyDescent="0.35">
      <c r="B15" s="18" t="s">
        <v>1232</v>
      </c>
    </row>
    <row r="16" spans="1:35" ht="15" customHeight="1" x14ac:dyDescent="0.35">
      <c r="A16" s="15" t="s">
        <v>1233</v>
      </c>
      <c r="B16" s="19" t="s">
        <v>1234</v>
      </c>
      <c r="C16" s="20">
        <v>25.611993999999999</v>
      </c>
      <c r="D16" s="20">
        <v>27.470048999999999</v>
      </c>
      <c r="E16" s="20">
        <v>28.494802</v>
      </c>
      <c r="F16" s="20">
        <v>29.284983</v>
      </c>
      <c r="G16" s="20">
        <v>29.437076999999999</v>
      </c>
      <c r="H16" s="20">
        <v>29.64554</v>
      </c>
      <c r="I16" s="20">
        <v>29.641725999999998</v>
      </c>
      <c r="J16" s="20">
        <v>29.790983000000001</v>
      </c>
      <c r="K16" s="20">
        <v>29.775186999999999</v>
      </c>
      <c r="L16" s="20">
        <v>29.516684000000001</v>
      </c>
      <c r="M16" s="20">
        <v>29.532515</v>
      </c>
      <c r="N16" s="20">
        <v>29.747253000000001</v>
      </c>
      <c r="O16" s="20">
        <v>29.890884</v>
      </c>
      <c r="P16" s="20">
        <v>30.092388</v>
      </c>
      <c r="Q16" s="20">
        <v>30.068521</v>
      </c>
      <c r="R16" s="20">
        <v>29.858008999999999</v>
      </c>
      <c r="S16" s="20">
        <v>29.67897</v>
      </c>
      <c r="T16" s="20">
        <v>29.407720999999999</v>
      </c>
      <c r="U16" s="20">
        <v>29.011500999999999</v>
      </c>
      <c r="V16" s="20">
        <v>28.693753999999998</v>
      </c>
      <c r="W16" s="20">
        <v>28.532722</v>
      </c>
      <c r="X16" s="20">
        <v>28.853625999999998</v>
      </c>
      <c r="Y16" s="20">
        <v>29.041647000000001</v>
      </c>
      <c r="Z16" s="20">
        <v>29.058005999999999</v>
      </c>
      <c r="AA16" s="20">
        <v>28.954979000000002</v>
      </c>
      <c r="AB16" s="20">
        <v>28.623829000000001</v>
      </c>
      <c r="AC16" s="20">
        <v>28.151617000000002</v>
      </c>
      <c r="AD16" s="20">
        <v>27.620864999999998</v>
      </c>
      <c r="AE16" s="20">
        <v>27.029858000000001</v>
      </c>
      <c r="AF16" s="20">
        <v>26.494122000000001</v>
      </c>
      <c r="AG16" s="20">
        <v>25.881308000000001</v>
      </c>
      <c r="AH16" s="20">
        <v>24.796230000000001</v>
      </c>
      <c r="AI16" s="21">
        <v>-1.044E-3</v>
      </c>
    </row>
    <row r="17" spans="1:35" ht="15" customHeight="1" x14ac:dyDescent="0.35">
      <c r="A17" s="15" t="s">
        <v>1235</v>
      </c>
      <c r="B17" s="19" t="s">
        <v>1236</v>
      </c>
      <c r="C17" s="20">
        <v>6.6019019999999999</v>
      </c>
      <c r="D17" s="20">
        <v>7.2318899999999999</v>
      </c>
      <c r="E17" s="20">
        <v>7.3844390000000004</v>
      </c>
      <c r="F17" s="20">
        <v>8.1545550000000002</v>
      </c>
      <c r="G17" s="20">
        <v>8.1970700000000001</v>
      </c>
      <c r="H17" s="20">
        <v>8.2711670000000002</v>
      </c>
      <c r="I17" s="20">
        <v>8.3764719999999997</v>
      </c>
      <c r="J17" s="20">
        <v>8.5405770000000008</v>
      </c>
      <c r="K17" s="20">
        <v>8.6869639999999997</v>
      </c>
      <c r="L17" s="20">
        <v>8.7605109999999993</v>
      </c>
      <c r="M17" s="20">
        <v>8.7734959999999997</v>
      </c>
      <c r="N17" s="20">
        <v>8.7436039999999995</v>
      </c>
      <c r="O17" s="20">
        <v>8.7293579999999995</v>
      </c>
      <c r="P17" s="20">
        <v>8.6874260000000003</v>
      </c>
      <c r="Q17" s="20">
        <v>8.6625510000000006</v>
      </c>
      <c r="R17" s="20">
        <v>8.6945510000000006</v>
      </c>
      <c r="S17" s="20">
        <v>8.7301959999999994</v>
      </c>
      <c r="T17" s="20">
        <v>8.7063439999999996</v>
      </c>
      <c r="U17" s="20">
        <v>8.6320999999999994</v>
      </c>
      <c r="V17" s="20">
        <v>8.586074</v>
      </c>
      <c r="W17" s="20">
        <v>8.5737070000000006</v>
      </c>
      <c r="X17" s="20">
        <v>8.5956320000000002</v>
      </c>
      <c r="Y17" s="20">
        <v>8.6115080000000006</v>
      </c>
      <c r="Z17" s="20">
        <v>8.6138320000000004</v>
      </c>
      <c r="AA17" s="20">
        <v>8.6202470000000009</v>
      </c>
      <c r="AB17" s="20">
        <v>8.5840709999999998</v>
      </c>
      <c r="AC17" s="20">
        <v>8.5441120000000002</v>
      </c>
      <c r="AD17" s="20">
        <v>8.4679190000000002</v>
      </c>
      <c r="AE17" s="20">
        <v>8.4433570000000007</v>
      </c>
      <c r="AF17" s="20">
        <v>8.4490289999999995</v>
      </c>
      <c r="AG17" s="20">
        <v>8.3908400000000007</v>
      </c>
      <c r="AH17" s="20">
        <v>8.1908840000000005</v>
      </c>
      <c r="AI17" s="21">
        <v>6.9810000000000002E-3</v>
      </c>
    </row>
    <row r="18" spans="1:35" ht="15" customHeight="1" x14ac:dyDescent="0.35">
      <c r="A18" s="15" t="s">
        <v>1237</v>
      </c>
      <c r="B18" s="19" t="s">
        <v>1238</v>
      </c>
      <c r="C18" s="20">
        <v>35.031666000000001</v>
      </c>
      <c r="D18" s="20">
        <v>36.033656999999998</v>
      </c>
      <c r="E18" s="20">
        <v>37.331187999999997</v>
      </c>
      <c r="F18" s="20">
        <v>37.590195000000001</v>
      </c>
      <c r="G18" s="20">
        <v>37.847774999999999</v>
      </c>
      <c r="H18" s="20">
        <v>38.332695000000001</v>
      </c>
      <c r="I18" s="20">
        <v>39.291294000000001</v>
      </c>
      <c r="J18" s="20">
        <v>39.964728999999998</v>
      </c>
      <c r="K18" s="20">
        <v>40.147494999999999</v>
      </c>
      <c r="L18" s="20">
        <v>40.689774</v>
      </c>
      <c r="M18" s="20">
        <v>40.984023999999998</v>
      </c>
      <c r="N18" s="20">
        <v>40.933514000000002</v>
      </c>
      <c r="O18" s="20">
        <v>41.105021999999998</v>
      </c>
      <c r="P18" s="20">
        <v>41.415512</v>
      </c>
      <c r="Q18" s="20">
        <v>41.783867000000001</v>
      </c>
      <c r="R18" s="20">
        <v>42.303432000000001</v>
      </c>
      <c r="S18" s="20">
        <v>42.534461999999998</v>
      </c>
      <c r="T18" s="20">
        <v>42.787467999999997</v>
      </c>
      <c r="U18" s="20">
        <v>43.062252000000001</v>
      </c>
      <c r="V18" s="20">
        <v>43.329517000000003</v>
      </c>
      <c r="W18" s="20">
        <v>43.569817</v>
      </c>
      <c r="X18" s="20">
        <v>43.935242000000002</v>
      </c>
      <c r="Y18" s="20">
        <v>44.149737999999999</v>
      </c>
      <c r="Z18" s="20">
        <v>44.370525000000001</v>
      </c>
      <c r="AA18" s="20">
        <v>44.607227000000002</v>
      </c>
      <c r="AB18" s="20">
        <v>44.817394</v>
      </c>
      <c r="AC18" s="20">
        <v>44.978980999999997</v>
      </c>
      <c r="AD18" s="20">
        <v>45.196522000000002</v>
      </c>
      <c r="AE18" s="20">
        <v>45.565365</v>
      </c>
      <c r="AF18" s="20">
        <v>46.018310999999997</v>
      </c>
      <c r="AG18" s="20">
        <v>46.380791000000002</v>
      </c>
      <c r="AH18" s="20">
        <v>46.616813999999998</v>
      </c>
      <c r="AI18" s="21">
        <v>9.2589999999999999E-3</v>
      </c>
    </row>
    <row r="19" spans="1:35" ht="15" customHeight="1" x14ac:dyDescent="0.35">
      <c r="A19" s="15" t="s">
        <v>1239</v>
      </c>
      <c r="B19" s="19" t="s">
        <v>1240</v>
      </c>
      <c r="C19" s="20">
        <v>13.567287</v>
      </c>
      <c r="D19" s="20">
        <v>12.301702000000001</v>
      </c>
      <c r="E19" s="20">
        <v>11.91614</v>
      </c>
      <c r="F19" s="20">
        <v>12.097934</v>
      </c>
      <c r="G19" s="20">
        <v>11.528378</v>
      </c>
      <c r="H19" s="20">
        <v>11.431785</v>
      </c>
      <c r="I19" s="20">
        <v>10.959244</v>
      </c>
      <c r="J19" s="20">
        <v>11.374874999999999</v>
      </c>
      <c r="K19" s="20">
        <v>11.346437999999999</v>
      </c>
      <c r="L19" s="20">
        <v>11.251115</v>
      </c>
      <c r="M19" s="20">
        <v>11.165606</v>
      </c>
      <c r="N19" s="20">
        <v>11.150665</v>
      </c>
      <c r="O19" s="20">
        <v>11.095863</v>
      </c>
      <c r="P19" s="20">
        <v>11.075275</v>
      </c>
      <c r="Q19" s="20">
        <v>11.138650999999999</v>
      </c>
      <c r="R19" s="20">
        <v>11.05944</v>
      </c>
      <c r="S19" s="20">
        <v>10.961893</v>
      </c>
      <c r="T19" s="20">
        <v>10.900166</v>
      </c>
      <c r="U19" s="20">
        <v>10.886232</v>
      </c>
      <c r="V19" s="20">
        <v>10.788899000000001</v>
      </c>
      <c r="W19" s="20">
        <v>10.740030000000001</v>
      </c>
      <c r="X19" s="20">
        <v>10.712185</v>
      </c>
      <c r="Y19" s="20">
        <v>10.675381</v>
      </c>
      <c r="Z19" s="20">
        <v>10.670083</v>
      </c>
      <c r="AA19" s="20">
        <v>10.665628</v>
      </c>
      <c r="AB19" s="20">
        <v>10.664737000000001</v>
      </c>
      <c r="AC19" s="20">
        <v>10.636405999999999</v>
      </c>
      <c r="AD19" s="20">
        <v>10.700362999999999</v>
      </c>
      <c r="AE19" s="20">
        <v>10.683536</v>
      </c>
      <c r="AF19" s="20">
        <v>10.674272999999999</v>
      </c>
      <c r="AG19" s="20">
        <v>10.649559999999999</v>
      </c>
      <c r="AH19" s="20">
        <v>10.675205999999999</v>
      </c>
      <c r="AI19" s="21">
        <v>-7.7039999999999999E-3</v>
      </c>
    </row>
    <row r="20" spans="1:35" ht="15" customHeight="1" x14ac:dyDescent="0.35">
      <c r="A20" s="15" t="s">
        <v>1241</v>
      </c>
      <c r="B20" s="19" t="s">
        <v>1242</v>
      </c>
      <c r="C20" s="20">
        <v>8.4447150000000004</v>
      </c>
      <c r="D20" s="20">
        <v>8.2963240000000003</v>
      </c>
      <c r="E20" s="20">
        <v>8.1618230000000001</v>
      </c>
      <c r="F20" s="20">
        <v>8.0091900000000003</v>
      </c>
      <c r="G20" s="20">
        <v>8.0310430000000004</v>
      </c>
      <c r="H20" s="20">
        <v>8.0633920000000003</v>
      </c>
      <c r="I20" s="20">
        <v>7.8221889999999998</v>
      </c>
      <c r="J20" s="20">
        <v>7.0982510000000003</v>
      </c>
      <c r="K20" s="20">
        <v>7.1011790000000001</v>
      </c>
      <c r="L20" s="20">
        <v>7.1049009999999999</v>
      </c>
      <c r="M20" s="20">
        <v>7.1086070000000001</v>
      </c>
      <c r="N20" s="20">
        <v>7.1157079999999997</v>
      </c>
      <c r="O20" s="20">
        <v>7.1268459999999996</v>
      </c>
      <c r="P20" s="20">
        <v>7.1344240000000001</v>
      </c>
      <c r="Q20" s="20">
        <v>6.9723090000000001</v>
      </c>
      <c r="R20" s="20">
        <v>6.7987950000000001</v>
      </c>
      <c r="S20" s="20">
        <v>6.8134930000000002</v>
      </c>
      <c r="T20" s="20">
        <v>6.8244199999999999</v>
      </c>
      <c r="U20" s="20">
        <v>6.8266289999999996</v>
      </c>
      <c r="V20" s="20">
        <v>6.8288320000000002</v>
      </c>
      <c r="W20" s="20">
        <v>6.8288320000000002</v>
      </c>
      <c r="X20" s="20">
        <v>6.7398020000000001</v>
      </c>
      <c r="Y20" s="20">
        <v>6.7529009999999996</v>
      </c>
      <c r="Z20" s="20">
        <v>6.7623740000000003</v>
      </c>
      <c r="AA20" s="20">
        <v>6.6799390000000001</v>
      </c>
      <c r="AB20" s="20">
        <v>6.6878409999999997</v>
      </c>
      <c r="AC20" s="20">
        <v>6.6964040000000002</v>
      </c>
      <c r="AD20" s="20">
        <v>6.7008619999999999</v>
      </c>
      <c r="AE20" s="20">
        <v>6.7053180000000001</v>
      </c>
      <c r="AF20" s="20">
        <v>6.708094</v>
      </c>
      <c r="AG20" s="20">
        <v>6.7114479999999999</v>
      </c>
      <c r="AH20" s="20">
        <v>6.7162949999999997</v>
      </c>
      <c r="AI20" s="21">
        <v>-7.3600000000000002E-3</v>
      </c>
    </row>
    <row r="21" spans="1:35" ht="15" customHeight="1" x14ac:dyDescent="0.35">
      <c r="A21" s="15" t="s">
        <v>1243</v>
      </c>
      <c r="B21" s="19" t="s">
        <v>1244</v>
      </c>
      <c r="C21" s="20">
        <v>2.6272229999999999</v>
      </c>
      <c r="D21" s="20">
        <v>2.6280489999999999</v>
      </c>
      <c r="E21" s="20">
        <v>2.6091600000000001</v>
      </c>
      <c r="F21" s="20">
        <v>2.5599219999999998</v>
      </c>
      <c r="G21" s="20">
        <v>2.5150700000000001</v>
      </c>
      <c r="H21" s="20">
        <v>2.4734569999999998</v>
      </c>
      <c r="I21" s="20">
        <v>2.4585080000000001</v>
      </c>
      <c r="J21" s="20">
        <v>2.3993739999999999</v>
      </c>
      <c r="K21" s="20">
        <v>2.3926940000000001</v>
      </c>
      <c r="L21" s="20">
        <v>2.3837269999999999</v>
      </c>
      <c r="M21" s="20">
        <v>2.3771840000000002</v>
      </c>
      <c r="N21" s="20">
        <v>2.371095</v>
      </c>
      <c r="O21" s="20">
        <v>2.372903</v>
      </c>
      <c r="P21" s="20">
        <v>2.363693</v>
      </c>
      <c r="Q21" s="20">
        <v>2.3590360000000001</v>
      </c>
      <c r="R21" s="20">
        <v>2.356455</v>
      </c>
      <c r="S21" s="20">
        <v>2.3473850000000001</v>
      </c>
      <c r="T21" s="20">
        <v>2.3418030000000001</v>
      </c>
      <c r="U21" s="20">
        <v>2.3342529999999999</v>
      </c>
      <c r="V21" s="20">
        <v>2.3264710000000002</v>
      </c>
      <c r="W21" s="20">
        <v>2.3167970000000002</v>
      </c>
      <c r="X21" s="20">
        <v>2.3068300000000002</v>
      </c>
      <c r="Y21" s="20">
        <v>2.298737</v>
      </c>
      <c r="Z21" s="20">
        <v>2.2840549999999999</v>
      </c>
      <c r="AA21" s="20">
        <v>2.2847749999999998</v>
      </c>
      <c r="AB21" s="20">
        <v>2.2813439999999998</v>
      </c>
      <c r="AC21" s="20">
        <v>2.2727469999999999</v>
      </c>
      <c r="AD21" s="20">
        <v>2.2737039999999999</v>
      </c>
      <c r="AE21" s="20">
        <v>2.2817509999999999</v>
      </c>
      <c r="AF21" s="20">
        <v>2.2799499999999999</v>
      </c>
      <c r="AG21" s="20">
        <v>2.2737780000000001</v>
      </c>
      <c r="AH21" s="20">
        <v>2.2625250000000001</v>
      </c>
      <c r="AI21" s="21">
        <v>-4.8089999999999999E-3</v>
      </c>
    </row>
    <row r="22" spans="1:35" ht="15" customHeight="1" x14ac:dyDescent="0.35">
      <c r="A22" s="15" t="s">
        <v>1245</v>
      </c>
      <c r="B22" s="19" t="s">
        <v>1246</v>
      </c>
      <c r="C22" s="20">
        <v>4.8234599999999999</v>
      </c>
      <c r="D22" s="20">
        <v>4.7398749999999996</v>
      </c>
      <c r="E22" s="20">
        <v>4.8134420000000002</v>
      </c>
      <c r="F22" s="20">
        <v>4.8773650000000002</v>
      </c>
      <c r="G22" s="20">
        <v>4.8942509999999997</v>
      </c>
      <c r="H22" s="20">
        <v>4.9273809999999996</v>
      </c>
      <c r="I22" s="20">
        <v>4.9563370000000004</v>
      </c>
      <c r="J22" s="20">
        <v>4.9946830000000002</v>
      </c>
      <c r="K22" s="20">
        <v>5.0237579999999999</v>
      </c>
      <c r="L22" s="20">
        <v>5.07172</v>
      </c>
      <c r="M22" s="20">
        <v>5.0997880000000002</v>
      </c>
      <c r="N22" s="20">
        <v>5.133343</v>
      </c>
      <c r="O22" s="20">
        <v>5.1501830000000002</v>
      </c>
      <c r="P22" s="20">
        <v>5.1613689999999997</v>
      </c>
      <c r="Q22" s="20">
        <v>5.1743240000000004</v>
      </c>
      <c r="R22" s="20">
        <v>5.1895920000000002</v>
      </c>
      <c r="S22" s="20">
        <v>5.2043090000000003</v>
      </c>
      <c r="T22" s="20">
        <v>5.2177829999999998</v>
      </c>
      <c r="U22" s="20">
        <v>5.2270830000000004</v>
      </c>
      <c r="V22" s="20">
        <v>5.2400510000000002</v>
      </c>
      <c r="W22" s="20">
        <v>5.2517810000000003</v>
      </c>
      <c r="X22" s="20">
        <v>5.2697789999999998</v>
      </c>
      <c r="Y22" s="20">
        <v>5.2909540000000002</v>
      </c>
      <c r="Z22" s="20">
        <v>5.3100639999999997</v>
      </c>
      <c r="AA22" s="20">
        <v>5.3353330000000003</v>
      </c>
      <c r="AB22" s="20">
        <v>5.360538</v>
      </c>
      <c r="AC22" s="20">
        <v>5.3880650000000001</v>
      </c>
      <c r="AD22" s="20">
        <v>5.4140160000000002</v>
      </c>
      <c r="AE22" s="20">
        <v>5.4475600000000002</v>
      </c>
      <c r="AF22" s="20">
        <v>5.4759770000000003</v>
      </c>
      <c r="AG22" s="20">
        <v>5.5068549999999998</v>
      </c>
      <c r="AH22" s="20">
        <v>5.5353389999999996</v>
      </c>
      <c r="AI22" s="21">
        <v>4.4510000000000001E-3</v>
      </c>
    </row>
    <row r="23" spans="1:35" ht="15" customHeight="1" x14ac:dyDescent="0.35">
      <c r="A23" s="15" t="s">
        <v>1247</v>
      </c>
      <c r="B23" s="19" t="s">
        <v>1248</v>
      </c>
      <c r="C23" s="20">
        <v>3.9866130000000002</v>
      </c>
      <c r="D23" s="20">
        <v>4.4920280000000004</v>
      </c>
      <c r="E23" s="20">
        <v>5.0645519999999999</v>
      </c>
      <c r="F23" s="20">
        <v>5.8791070000000003</v>
      </c>
      <c r="G23" s="20">
        <v>6.4832999999999998</v>
      </c>
      <c r="H23" s="20">
        <v>6.7789630000000001</v>
      </c>
      <c r="I23" s="20">
        <v>7.2154259999999999</v>
      </c>
      <c r="J23" s="20">
        <v>7.3763969999999999</v>
      </c>
      <c r="K23" s="20">
        <v>7.5805249999999997</v>
      </c>
      <c r="L23" s="20">
        <v>7.7764329999999999</v>
      </c>
      <c r="M23" s="20">
        <v>8.060765</v>
      </c>
      <c r="N23" s="20">
        <v>8.4724140000000006</v>
      </c>
      <c r="O23" s="20">
        <v>8.5990500000000001</v>
      </c>
      <c r="P23" s="20">
        <v>8.6252949999999995</v>
      </c>
      <c r="Q23" s="20">
        <v>8.6702870000000001</v>
      </c>
      <c r="R23" s="20">
        <v>8.7115349999999996</v>
      </c>
      <c r="S23" s="20">
        <v>8.9610610000000008</v>
      </c>
      <c r="T23" s="20">
        <v>9.1560959999999998</v>
      </c>
      <c r="U23" s="20">
        <v>9.3085830000000005</v>
      </c>
      <c r="V23" s="20">
        <v>9.4918940000000003</v>
      </c>
      <c r="W23" s="20">
        <v>9.6658430000000006</v>
      </c>
      <c r="X23" s="20">
        <v>9.8714049999999993</v>
      </c>
      <c r="Y23" s="20">
        <v>10.118544</v>
      </c>
      <c r="Z23" s="20">
        <v>10.417507000000001</v>
      </c>
      <c r="AA23" s="20">
        <v>10.760035</v>
      </c>
      <c r="AB23" s="20">
        <v>11.121703</v>
      </c>
      <c r="AC23" s="20">
        <v>11.526014</v>
      </c>
      <c r="AD23" s="20">
        <v>11.799397000000001</v>
      </c>
      <c r="AE23" s="20">
        <v>12.039868</v>
      </c>
      <c r="AF23" s="20">
        <v>12.214866000000001</v>
      </c>
      <c r="AG23" s="20">
        <v>12.415702</v>
      </c>
      <c r="AH23" s="20">
        <v>12.642707</v>
      </c>
      <c r="AI23" s="21">
        <v>3.7932E-2</v>
      </c>
    </row>
    <row r="24" spans="1:35" ht="15" customHeight="1" x14ac:dyDescent="0.35">
      <c r="A24" s="15" t="s">
        <v>1249</v>
      </c>
      <c r="B24" s="19" t="s">
        <v>1250</v>
      </c>
      <c r="C24" s="20">
        <v>1.4188879999999999</v>
      </c>
      <c r="D24" s="20">
        <v>0.82741600000000004</v>
      </c>
      <c r="E24" s="20">
        <v>0.76915900000000004</v>
      </c>
      <c r="F24" s="20">
        <v>0.81370399999999998</v>
      </c>
      <c r="G24" s="20">
        <v>0.90498599999999996</v>
      </c>
      <c r="H24" s="20">
        <v>0.93629899999999999</v>
      </c>
      <c r="I24" s="20">
        <v>0.88239900000000004</v>
      </c>
      <c r="J24" s="20">
        <v>0.73650400000000005</v>
      </c>
      <c r="K24" s="20">
        <v>0.70337899999999998</v>
      </c>
      <c r="L24" s="20">
        <v>0.71896099999999996</v>
      </c>
      <c r="M24" s="20">
        <v>0.71672899999999995</v>
      </c>
      <c r="N24" s="20">
        <v>0.67875799999999997</v>
      </c>
      <c r="O24" s="20">
        <v>0.673709</v>
      </c>
      <c r="P24" s="20">
        <v>0.67886000000000002</v>
      </c>
      <c r="Q24" s="20">
        <v>0.65972900000000001</v>
      </c>
      <c r="R24" s="20">
        <v>0.68534600000000001</v>
      </c>
      <c r="S24" s="20">
        <v>0.68765500000000002</v>
      </c>
      <c r="T24" s="20">
        <v>0.67360299999999995</v>
      </c>
      <c r="U24" s="20">
        <v>0.70967199999999997</v>
      </c>
      <c r="V24" s="20">
        <v>0.71401099999999995</v>
      </c>
      <c r="W24" s="20">
        <v>0.71428100000000005</v>
      </c>
      <c r="X24" s="20">
        <v>0.70825099999999996</v>
      </c>
      <c r="Y24" s="20">
        <v>0.71667899999999995</v>
      </c>
      <c r="Z24" s="20">
        <v>0.71788600000000002</v>
      </c>
      <c r="AA24" s="20">
        <v>0.720414</v>
      </c>
      <c r="AB24" s="20">
        <v>0.72780400000000001</v>
      </c>
      <c r="AC24" s="20">
        <v>0.73664099999999999</v>
      </c>
      <c r="AD24" s="20">
        <v>0.73240700000000003</v>
      </c>
      <c r="AE24" s="20">
        <v>0.75258800000000003</v>
      </c>
      <c r="AF24" s="20">
        <v>0.76302599999999998</v>
      </c>
      <c r="AG24" s="20">
        <v>0.77178400000000003</v>
      </c>
      <c r="AH24" s="20">
        <v>0.77161299999999999</v>
      </c>
      <c r="AI24" s="21">
        <v>-1.9458E-2</v>
      </c>
    </row>
    <row r="25" spans="1:35" ht="15" customHeight="1" x14ac:dyDescent="0.35">
      <c r="A25" s="15" t="s">
        <v>1251</v>
      </c>
      <c r="B25" s="18" t="s">
        <v>1252</v>
      </c>
      <c r="C25" s="22">
        <v>102.113747</v>
      </c>
      <c r="D25" s="22">
        <v>104.020996</v>
      </c>
      <c r="E25" s="22">
        <v>106.544701</v>
      </c>
      <c r="F25" s="22">
        <v>109.266953</v>
      </c>
      <c r="G25" s="22">
        <v>109.83895099999999</v>
      </c>
      <c r="H25" s="22">
        <v>110.860687</v>
      </c>
      <c r="I25" s="22">
        <v>111.60359200000001</v>
      </c>
      <c r="J25" s="22">
        <v>112.276375</v>
      </c>
      <c r="K25" s="22">
        <v>112.757622</v>
      </c>
      <c r="L25" s="22">
        <v>113.273827</v>
      </c>
      <c r="M25" s="22">
        <v>113.818718</v>
      </c>
      <c r="N25" s="22">
        <v>114.346352</v>
      </c>
      <c r="O25" s="22">
        <v>114.74382</v>
      </c>
      <c r="P25" s="22">
        <v>115.234238</v>
      </c>
      <c r="Q25" s="22">
        <v>115.48928100000001</v>
      </c>
      <c r="R25" s="22">
        <v>115.65715</v>
      </c>
      <c r="S25" s="22">
        <v>115.91941799999999</v>
      </c>
      <c r="T25" s="22">
        <v>116.015396</v>
      </c>
      <c r="U25" s="22">
        <v>115.998306</v>
      </c>
      <c r="V25" s="22">
        <v>115.999512</v>
      </c>
      <c r="W25" s="22">
        <v>116.19381</v>
      </c>
      <c r="X25" s="22">
        <v>116.992744</v>
      </c>
      <c r="Y25" s="22">
        <v>117.65609000000001</v>
      </c>
      <c r="Z25" s="22">
        <v>118.204323</v>
      </c>
      <c r="AA25" s="22">
        <v>118.62857099999999</v>
      </c>
      <c r="AB25" s="22">
        <v>118.86927</v>
      </c>
      <c r="AC25" s="22">
        <v>118.930992</v>
      </c>
      <c r="AD25" s="22">
        <v>118.906059</v>
      </c>
      <c r="AE25" s="22">
        <v>118.94918800000001</v>
      </c>
      <c r="AF25" s="22">
        <v>119.077637</v>
      </c>
      <c r="AG25" s="22">
        <v>118.982063</v>
      </c>
      <c r="AH25" s="22">
        <v>118.20761899999999</v>
      </c>
      <c r="AI25" s="23">
        <v>4.7320000000000001E-3</v>
      </c>
    </row>
    <row r="27" spans="1:35" ht="15" customHeight="1" x14ac:dyDescent="0.35">
      <c r="B27" s="18" t="s">
        <v>1253</v>
      </c>
    </row>
    <row r="28" spans="1:35" ht="15" customHeight="1" x14ac:dyDescent="0.35">
      <c r="A28" s="15" t="s">
        <v>1254</v>
      </c>
      <c r="B28" s="19" t="s">
        <v>1255</v>
      </c>
      <c r="C28" s="20">
        <v>15.553844</v>
      </c>
      <c r="D28" s="20">
        <v>15.955926</v>
      </c>
      <c r="E28" s="20">
        <v>14.746981</v>
      </c>
      <c r="F28" s="20">
        <v>14.677569</v>
      </c>
      <c r="G28" s="20">
        <v>14.71904</v>
      </c>
      <c r="H28" s="20">
        <v>15.418278000000001</v>
      </c>
      <c r="I28" s="20">
        <v>14.744417</v>
      </c>
      <c r="J28" s="20">
        <v>15.570346000000001</v>
      </c>
      <c r="K28" s="20">
        <v>14.863301999999999</v>
      </c>
      <c r="L28" s="20">
        <v>15.257555999999999</v>
      </c>
      <c r="M28" s="20">
        <v>15.021279</v>
      </c>
      <c r="N28" s="20">
        <v>14.408842</v>
      </c>
      <c r="O28" s="20">
        <v>14.093935999999999</v>
      </c>
      <c r="P28" s="20">
        <v>14.057603</v>
      </c>
      <c r="Q28" s="20">
        <v>13.628367000000001</v>
      </c>
      <c r="R28" s="20">
        <v>14.341786000000001</v>
      </c>
      <c r="S28" s="20">
        <v>14.514404000000001</v>
      </c>
      <c r="T28" s="20">
        <v>14.28753</v>
      </c>
      <c r="U28" s="20">
        <v>15.278381</v>
      </c>
      <c r="V28" s="20">
        <v>15.240164</v>
      </c>
      <c r="W28" s="20">
        <v>15.243741</v>
      </c>
      <c r="X28" s="20">
        <v>15.07306</v>
      </c>
      <c r="Y28" s="20">
        <v>15.523645999999999</v>
      </c>
      <c r="Z28" s="20">
        <v>15.265840000000001</v>
      </c>
      <c r="AA28" s="20">
        <v>15.396822</v>
      </c>
      <c r="AB28" s="20">
        <v>15.742918</v>
      </c>
      <c r="AC28" s="20">
        <v>16.219759</v>
      </c>
      <c r="AD28" s="20">
        <v>15.569623999999999</v>
      </c>
      <c r="AE28" s="20">
        <v>16.714656999999999</v>
      </c>
      <c r="AF28" s="20">
        <v>17.507576</v>
      </c>
      <c r="AG28" s="20">
        <v>17.736098999999999</v>
      </c>
      <c r="AH28" s="20">
        <v>17.060542999999999</v>
      </c>
      <c r="AI28" s="21">
        <v>2.9870000000000001E-3</v>
      </c>
    </row>
    <row r="29" spans="1:35" ht="15" customHeight="1" x14ac:dyDescent="0.35">
      <c r="A29" s="15" t="s">
        <v>1256</v>
      </c>
      <c r="B29" s="19" t="s">
        <v>1257</v>
      </c>
      <c r="C29" s="20">
        <v>4.8218459999999999</v>
      </c>
      <c r="D29" s="20">
        <v>4.8682829999999999</v>
      </c>
      <c r="E29" s="20">
        <v>4.2536339999999999</v>
      </c>
      <c r="F29" s="20">
        <v>4.2231249999999996</v>
      </c>
      <c r="G29" s="20">
        <v>4.2503019999999996</v>
      </c>
      <c r="H29" s="20">
        <v>4.2614799999999997</v>
      </c>
      <c r="I29" s="20">
        <v>4.0865369999999999</v>
      </c>
      <c r="J29" s="20">
        <v>3.8264770000000001</v>
      </c>
      <c r="K29" s="20">
        <v>3.7689370000000002</v>
      </c>
      <c r="L29" s="20">
        <v>3.5921449999999999</v>
      </c>
      <c r="M29" s="20">
        <v>3.521687</v>
      </c>
      <c r="N29" s="20">
        <v>3.5552640000000002</v>
      </c>
      <c r="O29" s="20">
        <v>3.5350760000000001</v>
      </c>
      <c r="P29" s="20">
        <v>3.5446019999999998</v>
      </c>
      <c r="Q29" s="20">
        <v>3.5730620000000002</v>
      </c>
      <c r="R29" s="20">
        <v>3.5460820000000002</v>
      </c>
      <c r="S29" s="20">
        <v>3.5583019999999999</v>
      </c>
      <c r="T29" s="20">
        <v>3.5499969999999998</v>
      </c>
      <c r="U29" s="20">
        <v>3.605515</v>
      </c>
      <c r="V29" s="20">
        <v>3.6364779999999999</v>
      </c>
      <c r="W29" s="20">
        <v>3.669384</v>
      </c>
      <c r="X29" s="20">
        <v>3.7044459999999999</v>
      </c>
      <c r="Y29" s="20">
        <v>3.763665</v>
      </c>
      <c r="Z29" s="20">
        <v>3.7893180000000002</v>
      </c>
      <c r="AA29" s="20">
        <v>3.8217789999999998</v>
      </c>
      <c r="AB29" s="20">
        <v>3.847737</v>
      </c>
      <c r="AC29" s="20">
        <v>3.9163230000000002</v>
      </c>
      <c r="AD29" s="20">
        <v>3.9913919999999998</v>
      </c>
      <c r="AE29" s="20">
        <v>4.0042749999999998</v>
      </c>
      <c r="AF29" s="20">
        <v>4.0643799999999999</v>
      </c>
      <c r="AG29" s="20">
        <v>4.1425689999999999</v>
      </c>
      <c r="AH29" s="20">
        <v>4.2591049999999999</v>
      </c>
      <c r="AI29" s="21">
        <v>-3.9950000000000003E-3</v>
      </c>
    </row>
    <row r="30" spans="1:35" ht="15" customHeight="1" x14ac:dyDescent="0.35">
      <c r="A30" s="15" t="s">
        <v>1258</v>
      </c>
      <c r="B30" s="19" t="s">
        <v>1259</v>
      </c>
      <c r="C30" s="20">
        <v>2.7904170000000001</v>
      </c>
      <c r="D30" s="20">
        <v>2.737625</v>
      </c>
      <c r="E30" s="20">
        <v>2.5053109999999998</v>
      </c>
      <c r="F30" s="20">
        <v>2.4984670000000002</v>
      </c>
      <c r="G30" s="20">
        <v>2.4013659999999999</v>
      </c>
      <c r="H30" s="20">
        <v>2.3791709999999999</v>
      </c>
      <c r="I30" s="20">
        <v>2.4546790000000001</v>
      </c>
      <c r="J30" s="20">
        <v>2.571234</v>
      </c>
      <c r="K30" s="20">
        <v>2.4594520000000002</v>
      </c>
      <c r="L30" s="20">
        <v>2.2421310000000001</v>
      </c>
      <c r="M30" s="20">
        <v>2.1955010000000001</v>
      </c>
      <c r="N30" s="20">
        <v>2.1763569999999999</v>
      </c>
      <c r="O30" s="20">
        <v>2.2368290000000002</v>
      </c>
      <c r="P30" s="20">
        <v>2.2121330000000001</v>
      </c>
      <c r="Q30" s="20">
        <v>2.1109870000000002</v>
      </c>
      <c r="R30" s="20">
        <v>2.082128</v>
      </c>
      <c r="S30" s="20">
        <v>2.056724</v>
      </c>
      <c r="T30" s="20">
        <v>2.0427010000000001</v>
      </c>
      <c r="U30" s="20">
        <v>2.0694300000000001</v>
      </c>
      <c r="V30" s="20">
        <v>2.0636679999999998</v>
      </c>
      <c r="W30" s="20">
        <v>2.065515</v>
      </c>
      <c r="X30" s="20">
        <v>2.0697510000000001</v>
      </c>
      <c r="Y30" s="20">
        <v>2.0653260000000002</v>
      </c>
      <c r="Z30" s="20">
        <v>2.0557919999999998</v>
      </c>
      <c r="AA30" s="20">
        <v>2.0450620000000002</v>
      </c>
      <c r="AB30" s="20">
        <v>2.0243169999999999</v>
      </c>
      <c r="AC30" s="20">
        <v>2.0110999999999999</v>
      </c>
      <c r="AD30" s="20">
        <v>2.0049169999999998</v>
      </c>
      <c r="AE30" s="20">
        <v>2.0089250000000001</v>
      </c>
      <c r="AF30" s="20">
        <v>1.9932430000000001</v>
      </c>
      <c r="AG30" s="20">
        <v>1.9922690000000001</v>
      </c>
      <c r="AH30" s="20">
        <v>1.9917320000000001</v>
      </c>
      <c r="AI30" s="21">
        <v>-1.0817999999999999E-2</v>
      </c>
    </row>
    <row r="31" spans="1:35" ht="15" customHeight="1" x14ac:dyDescent="0.35">
      <c r="A31" s="15" t="s">
        <v>1260</v>
      </c>
      <c r="B31" s="19" t="s">
        <v>1261</v>
      </c>
      <c r="C31" s="20">
        <v>0.29147099999999998</v>
      </c>
      <c r="D31" s="20">
        <v>0.31148300000000001</v>
      </c>
      <c r="E31" s="20">
        <v>0.197879</v>
      </c>
      <c r="F31" s="20">
        <v>0.192162</v>
      </c>
      <c r="G31" s="20">
        <v>0.18914300000000001</v>
      </c>
      <c r="H31" s="20">
        <v>0.192052</v>
      </c>
      <c r="I31" s="20">
        <v>0.185666</v>
      </c>
      <c r="J31" s="20">
        <v>0.196601</v>
      </c>
      <c r="K31" s="20">
        <v>0.21040800000000001</v>
      </c>
      <c r="L31" s="20">
        <v>0.21635499999999999</v>
      </c>
      <c r="M31" s="20">
        <v>0.21065800000000001</v>
      </c>
      <c r="N31" s="20">
        <v>0.21084700000000001</v>
      </c>
      <c r="O31" s="20">
        <v>0.202959</v>
      </c>
      <c r="P31" s="20">
        <v>0.21087</v>
      </c>
      <c r="Q31" s="20">
        <v>0.21102299999999999</v>
      </c>
      <c r="R31" s="20">
        <v>0.219916</v>
      </c>
      <c r="S31" s="20">
        <v>0.217975</v>
      </c>
      <c r="T31" s="20">
        <v>0.21322199999999999</v>
      </c>
      <c r="U31" s="20">
        <v>0.21205599999999999</v>
      </c>
      <c r="V31" s="20">
        <v>0.21080499999999999</v>
      </c>
      <c r="W31" s="20">
        <v>0.21180299999999999</v>
      </c>
      <c r="X31" s="20">
        <v>0.211116</v>
      </c>
      <c r="Y31" s="20">
        <v>0.21271100000000001</v>
      </c>
      <c r="Z31" s="20">
        <v>0.21129300000000001</v>
      </c>
      <c r="AA31" s="20">
        <v>0.20986099999999999</v>
      </c>
      <c r="AB31" s="20">
        <v>0.20839099999999999</v>
      </c>
      <c r="AC31" s="20">
        <v>0.20740400000000001</v>
      </c>
      <c r="AD31" s="20">
        <v>0.20299700000000001</v>
      </c>
      <c r="AE31" s="20">
        <v>0.20074500000000001</v>
      </c>
      <c r="AF31" s="20">
        <v>0.198074</v>
      </c>
      <c r="AG31" s="20">
        <v>0.19659199999999999</v>
      </c>
      <c r="AH31" s="20">
        <v>0.195047</v>
      </c>
      <c r="AI31" s="21">
        <v>-1.2874E-2</v>
      </c>
    </row>
    <row r="32" spans="1:35" ht="15" customHeight="1" x14ac:dyDescent="0.35">
      <c r="A32" s="15" t="s">
        <v>1262</v>
      </c>
      <c r="B32" s="18" t="s">
        <v>1252</v>
      </c>
      <c r="C32" s="22">
        <v>23.457578999999999</v>
      </c>
      <c r="D32" s="22">
        <v>23.873318000000001</v>
      </c>
      <c r="E32" s="22">
        <v>21.703804000000002</v>
      </c>
      <c r="F32" s="22">
        <v>21.591322000000002</v>
      </c>
      <c r="G32" s="22">
        <v>21.559850999999998</v>
      </c>
      <c r="H32" s="22">
        <v>22.250982</v>
      </c>
      <c r="I32" s="22">
        <v>21.471299999999999</v>
      </c>
      <c r="J32" s="22">
        <v>22.164657999999999</v>
      </c>
      <c r="K32" s="22">
        <v>21.302098999999998</v>
      </c>
      <c r="L32" s="22">
        <v>21.308188999999999</v>
      </c>
      <c r="M32" s="22">
        <v>20.949127000000001</v>
      </c>
      <c r="N32" s="22">
        <v>20.351310999999999</v>
      </c>
      <c r="O32" s="22">
        <v>20.068798000000001</v>
      </c>
      <c r="P32" s="22">
        <v>20.025207999999999</v>
      </c>
      <c r="Q32" s="22">
        <v>19.523439</v>
      </c>
      <c r="R32" s="22">
        <v>20.189913000000001</v>
      </c>
      <c r="S32" s="22">
        <v>20.347405999999999</v>
      </c>
      <c r="T32" s="22">
        <v>20.093451000000002</v>
      </c>
      <c r="U32" s="22">
        <v>21.165379999999999</v>
      </c>
      <c r="V32" s="22">
        <v>21.151116999999999</v>
      </c>
      <c r="W32" s="22">
        <v>21.190442999999998</v>
      </c>
      <c r="X32" s="22">
        <v>21.058371000000001</v>
      </c>
      <c r="Y32" s="22">
        <v>21.565349999999999</v>
      </c>
      <c r="Z32" s="22">
        <v>21.322243</v>
      </c>
      <c r="AA32" s="22">
        <v>21.473521999999999</v>
      </c>
      <c r="AB32" s="22">
        <v>21.823364000000002</v>
      </c>
      <c r="AC32" s="22">
        <v>22.354588</v>
      </c>
      <c r="AD32" s="22">
        <v>21.768930000000001</v>
      </c>
      <c r="AE32" s="22">
        <v>22.928599999999999</v>
      </c>
      <c r="AF32" s="22">
        <v>23.763273000000002</v>
      </c>
      <c r="AG32" s="22">
        <v>24.067530000000001</v>
      </c>
      <c r="AH32" s="22">
        <v>23.506428</v>
      </c>
      <c r="AI32" s="23">
        <v>6.7000000000000002E-5</v>
      </c>
    </row>
    <row r="34" spans="1:35" ht="15" customHeight="1" x14ac:dyDescent="0.35">
      <c r="B34" s="18" t="s">
        <v>1263</v>
      </c>
    </row>
    <row r="35" spans="1:35" ht="15" customHeight="1" x14ac:dyDescent="0.35">
      <c r="A35" s="15" t="s">
        <v>1264</v>
      </c>
      <c r="B35" s="19" t="s">
        <v>1265</v>
      </c>
      <c r="C35" s="20">
        <v>16.702090999999999</v>
      </c>
      <c r="D35" s="20">
        <v>19.429749999999999</v>
      </c>
      <c r="E35" s="20">
        <v>19.203918000000002</v>
      </c>
      <c r="F35" s="20">
        <v>20.904346</v>
      </c>
      <c r="G35" s="20">
        <v>21.426331999999999</v>
      </c>
      <c r="H35" s="20">
        <v>22.721699000000001</v>
      </c>
      <c r="I35" s="20">
        <v>22.201430999999999</v>
      </c>
      <c r="J35" s="20">
        <v>23.043635999999999</v>
      </c>
      <c r="K35" s="20">
        <v>22.691139</v>
      </c>
      <c r="L35" s="20">
        <v>22.767050000000001</v>
      </c>
      <c r="M35" s="20">
        <v>22.613102000000001</v>
      </c>
      <c r="N35" s="20">
        <v>22.22241</v>
      </c>
      <c r="O35" s="20">
        <v>22.091737999999999</v>
      </c>
      <c r="P35" s="20">
        <v>22.258441999999999</v>
      </c>
      <c r="Q35" s="20">
        <v>21.989692999999999</v>
      </c>
      <c r="R35" s="20">
        <v>22.429055999999999</v>
      </c>
      <c r="S35" s="20">
        <v>22.497185000000002</v>
      </c>
      <c r="T35" s="20">
        <v>22.096921999999999</v>
      </c>
      <c r="U35" s="20">
        <v>22.619617000000002</v>
      </c>
      <c r="V35" s="20">
        <v>22.251132999999999</v>
      </c>
      <c r="W35" s="20">
        <v>22.084496000000001</v>
      </c>
      <c r="X35" s="20">
        <v>22.271158</v>
      </c>
      <c r="Y35" s="20">
        <v>22.863661</v>
      </c>
      <c r="Z35" s="20">
        <v>22.565138000000001</v>
      </c>
      <c r="AA35" s="20">
        <v>22.484831</v>
      </c>
      <c r="AB35" s="20">
        <v>22.337135</v>
      </c>
      <c r="AC35" s="20">
        <v>22.191292000000001</v>
      </c>
      <c r="AD35" s="20">
        <v>20.846298000000001</v>
      </c>
      <c r="AE35" s="20">
        <v>21.177911999999999</v>
      </c>
      <c r="AF35" s="20">
        <v>21.276543</v>
      </c>
      <c r="AG35" s="20">
        <v>20.703648000000001</v>
      </c>
      <c r="AH35" s="20">
        <v>18.656486999999998</v>
      </c>
      <c r="AI35" s="21">
        <v>3.5760000000000002E-3</v>
      </c>
    </row>
    <row r="36" spans="1:35" ht="15" customHeight="1" x14ac:dyDescent="0.35">
      <c r="A36" s="15" t="s">
        <v>1266</v>
      </c>
      <c r="B36" s="19" t="s">
        <v>1259</v>
      </c>
      <c r="C36" s="20">
        <v>4.4833109999999996</v>
      </c>
      <c r="D36" s="20">
        <v>5.391038</v>
      </c>
      <c r="E36" s="20">
        <v>6.298673</v>
      </c>
      <c r="F36" s="20">
        <v>6.6466700000000003</v>
      </c>
      <c r="G36" s="20">
        <v>6.8403340000000004</v>
      </c>
      <c r="H36" s="20">
        <v>7.3325469999999999</v>
      </c>
      <c r="I36" s="20">
        <v>8.2720099999999999</v>
      </c>
      <c r="J36" s="20">
        <v>9.0331150000000004</v>
      </c>
      <c r="K36" s="20">
        <v>9.2627690000000005</v>
      </c>
      <c r="L36" s="20">
        <v>9.5766270000000002</v>
      </c>
      <c r="M36" s="20">
        <v>9.78857</v>
      </c>
      <c r="N36" s="20">
        <v>9.9352470000000004</v>
      </c>
      <c r="O36" s="20">
        <v>9.9640760000000004</v>
      </c>
      <c r="P36" s="20">
        <v>10.002685</v>
      </c>
      <c r="Q36" s="20">
        <v>10.012971</v>
      </c>
      <c r="R36" s="20">
        <v>10.033694000000001</v>
      </c>
      <c r="S36" s="20">
        <v>10.057024</v>
      </c>
      <c r="T36" s="20">
        <v>10.103948000000001</v>
      </c>
      <c r="U36" s="20">
        <v>10.085648000000001</v>
      </c>
      <c r="V36" s="20">
        <v>10.09483</v>
      </c>
      <c r="W36" s="20">
        <v>10.105273</v>
      </c>
      <c r="X36" s="20">
        <v>10.137658</v>
      </c>
      <c r="Y36" s="20">
        <v>10.119766</v>
      </c>
      <c r="Z36" s="20">
        <v>10.127851</v>
      </c>
      <c r="AA36" s="20">
        <v>10.137839</v>
      </c>
      <c r="AB36" s="20">
        <v>10.175268000000001</v>
      </c>
      <c r="AC36" s="20">
        <v>10.159141999999999</v>
      </c>
      <c r="AD36" s="20">
        <v>10.165965999999999</v>
      </c>
      <c r="AE36" s="20">
        <v>10.173054</v>
      </c>
      <c r="AF36" s="20">
        <v>10.20885</v>
      </c>
      <c r="AG36" s="20">
        <v>10.192398000000001</v>
      </c>
      <c r="AH36" s="20">
        <v>10.173192999999999</v>
      </c>
      <c r="AI36" s="21">
        <v>2.6785E-2</v>
      </c>
    </row>
    <row r="37" spans="1:35" ht="15" customHeight="1" x14ac:dyDescent="0.35">
      <c r="A37" s="15" t="s">
        <v>1267</v>
      </c>
      <c r="B37" s="19" t="s">
        <v>1268</v>
      </c>
      <c r="C37" s="20">
        <v>2.3848479999999999</v>
      </c>
      <c r="D37" s="20">
        <v>2.0873010000000001</v>
      </c>
      <c r="E37" s="20">
        <v>2.2188530000000002</v>
      </c>
      <c r="F37" s="20">
        <v>2.7331300000000001</v>
      </c>
      <c r="G37" s="20">
        <v>2.7490260000000002</v>
      </c>
      <c r="H37" s="20">
        <v>2.7655249999999998</v>
      </c>
      <c r="I37" s="20">
        <v>2.7840210000000001</v>
      </c>
      <c r="J37" s="20">
        <v>2.799102</v>
      </c>
      <c r="K37" s="20">
        <v>2.7826019999999998</v>
      </c>
      <c r="L37" s="20">
        <v>2.7140339999999998</v>
      </c>
      <c r="M37" s="20">
        <v>2.6624780000000001</v>
      </c>
      <c r="N37" s="20">
        <v>2.6604939999999999</v>
      </c>
      <c r="O37" s="20">
        <v>2.6597249999999999</v>
      </c>
      <c r="P37" s="20">
        <v>2.6590400000000001</v>
      </c>
      <c r="Q37" s="20">
        <v>2.6583990000000002</v>
      </c>
      <c r="R37" s="20">
        <v>2.6517430000000002</v>
      </c>
      <c r="S37" s="20">
        <v>2.651135</v>
      </c>
      <c r="T37" s="20">
        <v>2.6505740000000002</v>
      </c>
      <c r="U37" s="20">
        <v>2.6500530000000002</v>
      </c>
      <c r="V37" s="20">
        <v>2.649575</v>
      </c>
      <c r="W37" s="20">
        <v>2.6491340000000001</v>
      </c>
      <c r="X37" s="20">
        <v>2.64873</v>
      </c>
      <c r="Y37" s="20">
        <v>2.6483620000000001</v>
      </c>
      <c r="Z37" s="20">
        <v>2.6723490000000001</v>
      </c>
      <c r="AA37" s="20">
        <v>2.6977259999999998</v>
      </c>
      <c r="AB37" s="20">
        <v>2.697454</v>
      </c>
      <c r="AC37" s="20">
        <v>2.7057540000000002</v>
      </c>
      <c r="AD37" s="20">
        <v>2.7056239999999998</v>
      </c>
      <c r="AE37" s="20">
        <v>2.6968100000000002</v>
      </c>
      <c r="AF37" s="20">
        <v>2.6966480000000002</v>
      </c>
      <c r="AG37" s="20">
        <v>2.7053980000000002</v>
      </c>
      <c r="AH37" s="20">
        <v>2.7053739999999999</v>
      </c>
      <c r="AI37" s="21">
        <v>4.0759999999999998E-3</v>
      </c>
    </row>
    <row r="38" spans="1:35" ht="15" customHeight="1" x14ac:dyDescent="0.35">
      <c r="A38" s="15" t="s">
        <v>1269</v>
      </c>
      <c r="B38" s="18" t="s">
        <v>1252</v>
      </c>
      <c r="C38" s="22">
        <v>23.570250000000001</v>
      </c>
      <c r="D38" s="22">
        <v>26.908090999999999</v>
      </c>
      <c r="E38" s="22">
        <v>27.721443000000001</v>
      </c>
      <c r="F38" s="22">
        <v>30.284147000000001</v>
      </c>
      <c r="G38" s="22">
        <v>31.015694</v>
      </c>
      <c r="H38" s="22">
        <v>32.819771000000003</v>
      </c>
      <c r="I38" s="22">
        <v>33.257461999999997</v>
      </c>
      <c r="J38" s="22">
        <v>34.875853999999997</v>
      </c>
      <c r="K38" s="22">
        <v>34.736507000000003</v>
      </c>
      <c r="L38" s="22">
        <v>35.057713</v>
      </c>
      <c r="M38" s="22">
        <v>35.064152</v>
      </c>
      <c r="N38" s="22">
        <v>34.818153000000002</v>
      </c>
      <c r="O38" s="22">
        <v>34.715538000000002</v>
      </c>
      <c r="P38" s="22">
        <v>34.920166000000002</v>
      </c>
      <c r="Q38" s="22">
        <v>34.661059999999999</v>
      </c>
      <c r="R38" s="22">
        <v>35.114494000000001</v>
      </c>
      <c r="S38" s="22">
        <v>35.205340999999997</v>
      </c>
      <c r="T38" s="22">
        <v>34.851444000000001</v>
      </c>
      <c r="U38" s="22">
        <v>35.355316000000002</v>
      </c>
      <c r="V38" s="22">
        <v>34.995536999999999</v>
      </c>
      <c r="W38" s="22">
        <v>34.838904999999997</v>
      </c>
      <c r="X38" s="22">
        <v>35.057549000000002</v>
      </c>
      <c r="Y38" s="22">
        <v>35.631790000000002</v>
      </c>
      <c r="Z38" s="22">
        <v>35.365336999999997</v>
      </c>
      <c r="AA38" s="22">
        <v>35.320396000000002</v>
      </c>
      <c r="AB38" s="22">
        <v>35.209857999999997</v>
      </c>
      <c r="AC38" s="22">
        <v>35.056187000000001</v>
      </c>
      <c r="AD38" s="22">
        <v>33.717888000000002</v>
      </c>
      <c r="AE38" s="22">
        <v>34.047775000000001</v>
      </c>
      <c r="AF38" s="22">
        <v>34.182040999999998</v>
      </c>
      <c r="AG38" s="22">
        <v>33.601444000000001</v>
      </c>
      <c r="AH38" s="22">
        <v>31.535053000000001</v>
      </c>
      <c r="AI38" s="23">
        <v>9.4350000000000007E-3</v>
      </c>
    </row>
    <row r="40" spans="1:35" ht="15" customHeight="1" x14ac:dyDescent="0.35">
      <c r="A40" s="15" t="s">
        <v>1270</v>
      </c>
      <c r="B40" s="18" t="s">
        <v>1271</v>
      </c>
      <c r="C40" s="22">
        <v>2.0051730000000001</v>
      </c>
      <c r="D40" s="22">
        <v>1.395311</v>
      </c>
      <c r="E40" s="22">
        <v>0.31388899999999997</v>
      </c>
      <c r="F40" s="22">
        <v>0.27928199999999997</v>
      </c>
      <c r="G40" s="22">
        <v>0.27027699999999999</v>
      </c>
      <c r="H40" s="22">
        <v>0.280891</v>
      </c>
      <c r="I40" s="22">
        <v>0.24202699999999999</v>
      </c>
      <c r="J40" s="22">
        <v>0.30258200000000002</v>
      </c>
      <c r="K40" s="22">
        <v>0.24679200000000001</v>
      </c>
      <c r="L40" s="22">
        <v>0.316021</v>
      </c>
      <c r="M40" s="22">
        <v>0.31348799999999999</v>
      </c>
      <c r="N40" s="22">
        <v>0.326683</v>
      </c>
      <c r="O40" s="22">
        <v>0.30522500000000002</v>
      </c>
      <c r="P40" s="22">
        <v>0.30619000000000002</v>
      </c>
      <c r="Q40" s="22">
        <v>0.196102</v>
      </c>
      <c r="R40" s="22">
        <v>0.26288600000000001</v>
      </c>
      <c r="S40" s="22">
        <v>0.27232699999999999</v>
      </c>
      <c r="T40" s="22">
        <v>0.18753400000000001</v>
      </c>
      <c r="U40" s="22">
        <v>0.30293300000000001</v>
      </c>
      <c r="V40" s="22">
        <v>0.29396800000000001</v>
      </c>
      <c r="W40" s="22">
        <v>0.29736299999999999</v>
      </c>
      <c r="X40" s="22">
        <v>0.27624500000000002</v>
      </c>
      <c r="Y40" s="22">
        <v>0.31004700000000002</v>
      </c>
      <c r="Z40" s="22">
        <v>0.27367000000000002</v>
      </c>
      <c r="AA40" s="22">
        <v>0.28415299999999999</v>
      </c>
      <c r="AB40" s="22">
        <v>0.290325</v>
      </c>
      <c r="AC40" s="22">
        <v>0.27345999999999998</v>
      </c>
      <c r="AD40" s="22">
        <v>0.243225</v>
      </c>
      <c r="AE40" s="22">
        <v>0.28258100000000003</v>
      </c>
      <c r="AF40" s="22">
        <v>0.31215999999999999</v>
      </c>
      <c r="AG40" s="22">
        <v>0.295788</v>
      </c>
      <c r="AH40" s="22">
        <v>0.254417</v>
      </c>
      <c r="AI40" s="23" t="s">
        <v>1272</v>
      </c>
    </row>
    <row r="42" spans="1:35" ht="15" customHeight="1" x14ac:dyDescent="0.35">
      <c r="B42" s="18" t="s">
        <v>1273</v>
      </c>
    </row>
    <row r="43" spans="1:35" ht="15" customHeight="1" x14ac:dyDescent="0.35">
      <c r="A43" s="15" t="s">
        <v>1274</v>
      </c>
      <c r="B43" s="19" t="s">
        <v>1275</v>
      </c>
      <c r="C43" s="20">
        <v>38.035392999999999</v>
      </c>
      <c r="D43" s="20">
        <v>38.281551</v>
      </c>
      <c r="E43" s="20">
        <v>38.194522999999997</v>
      </c>
      <c r="F43" s="20">
        <v>38.067791</v>
      </c>
      <c r="G43" s="20">
        <v>37.910881000000003</v>
      </c>
      <c r="H43" s="20">
        <v>37.636485999999998</v>
      </c>
      <c r="I43" s="20">
        <v>37.401595999999998</v>
      </c>
      <c r="J43" s="20">
        <v>37.254978000000001</v>
      </c>
      <c r="K43" s="20">
        <v>37.025654000000003</v>
      </c>
      <c r="L43" s="20">
        <v>36.959000000000003</v>
      </c>
      <c r="M43" s="20">
        <v>36.854236999999998</v>
      </c>
      <c r="N43" s="20">
        <v>36.842789000000003</v>
      </c>
      <c r="O43" s="20">
        <v>36.794589999999999</v>
      </c>
      <c r="P43" s="20">
        <v>36.740558999999998</v>
      </c>
      <c r="Q43" s="20">
        <v>36.651111999999998</v>
      </c>
      <c r="R43" s="20">
        <v>36.683517000000002</v>
      </c>
      <c r="S43" s="20">
        <v>36.670482999999997</v>
      </c>
      <c r="T43" s="20">
        <v>36.619984000000002</v>
      </c>
      <c r="U43" s="20">
        <v>36.633986999999998</v>
      </c>
      <c r="V43" s="20">
        <v>36.659450999999997</v>
      </c>
      <c r="W43" s="20">
        <v>36.704563</v>
      </c>
      <c r="X43" s="20">
        <v>36.747784000000003</v>
      </c>
      <c r="Y43" s="20">
        <v>36.86544</v>
      </c>
      <c r="Z43" s="20">
        <v>36.995640000000002</v>
      </c>
      <c r="AA43" s="20">
        <v>37.145873999999999</v>
      </c>
      <c r="AB43" s="20">
        <v>37.317386999999997</v>
      </c>
      <c r="AC43" s="20">
        <v>37.533596000000003</v>
      </c>
      <c r="AD43" s="20">
        <v>37.730907000000002</v>
      </c>
      <c r="AE43" s="20">
        <v>37.954109000000003</v>
      </c>
      <c r="AF43" s="20">
        <v>38.181632999999998</v>
      </c>
      <c r="AG43" s="20">
        <v>38.41666</v>
      </c>
      <c r="AH43" s="20">
        <v>38.663657999999998</v>
      </c>
      <c r="AI43" s="21">
        <v>5.2899999999999996E-4</v>
      </c>
    </row>
    <row r="44" spans="1:35" ht="15" customHeight="1" x14ac:dyDescent="0.35">
      <c r="A44" s="15" t="s">
        <v>1276</v>
      </c>
      <c r="B44" s="19" t="s">
        <v>1259</v>
      </c>
      <c r="C44" s="20">
        <v>32.145389999999999</v>
      </c>
      <c r="D44" s="20">
        <v>32.202682000000003</v>
      </c>
      <c r="E44" s="20">
        <v>33.071632000000001</v>
      </c>
      <c r="F44" s="20">
        <v>32.998856000000004</v>
      </c>
      <c r="G44" s="20">
        <v>32.985461999999998</v>
      </c>
      <c r="H44" s="20">
        <v>32.969062999999998</v>
      </c>
      <c r="I44" s="20">
        <v>33.063847000000003</v>
      </c>
      <c r="J44" s="20">
        <v>33.072158999999999</v>
      </c>
      <c r="K44" s="20">
        <v>32.902473000000001</v>
      </c>
      <c r="L44" s="20">
        <v>32.900860000000002</v>
      </c>
      <c r="M44" s="20">
        <v>32.929447000000003</v>
      </c>
      <c r="N44" s="20">
        <v>32.680709999999998</v>
      </c>
      <c r="O44" s="20">
        <v>32.879432999999999</v>
      </c>
      <c r="P44" s="20">
        <v>33.152904999999997</v>
      </c>
      <c r="Q44" s="20">
        <v>33.413578000000001</v>
      </c>
      <c r="R44" s="20">
        <v>33.883789</v>
      </c>
      <c r="S44" s="20">
        <v>34.050732000000004</v>
      </c>
      <c r="T44" s="20">
        <v>34.238548000000002</v>
      </c>
      <c r="U44" s="20">
        <v>34.522491000000002</v>
      </c>
      <c r="V44" s="20">
        <v>34.760570999999999</v>
      </c>
      <c r="W44" s="20">
        <v>34.983902</v>
      </c>
      <c r="X44" s="20">
        <v>35.316647000000003</v>
      </c>
      <c r="Y44" s="20">
        <v>35.527850999999998</v>
      </c>
      <c r="Z44" s="20">
        <v>35.729934999999998</v>
      </c>
      <c r="AA44" s="20">
        <v>35.940024999999999</v>
      </c>
      <c r="AB44" s="20">
        <v>36.082644999999999</v>
      </c>
      <c r="AC44" s="20">
        <v>36.243198</v>
      </c>
      <c r="AD44" s="20">
        <v>36.443565</v>
      </c>
      <c r="AE44" s="20">
        <v>36.784999999999997</v>
      </c>
      <c r="AF44" s="20">
        <v>37.169860999999997</v>
      </c>
      <c r="AG44" s="20">
        <v>37.552455999999999</v>
      </c>
      <c r="AH44" s="20">
        <v>37.810448000000001</v>
      </c>
      <c r="AI44" s="21">
        <v>5.2500000000000003E-3</v>
      </c>
    </row>
    <row r="45" spans="1:35" ht="15" customHeight="1" x14ac:dyDescent="0.35">
      <c r="A45" s="15" t="s">
        <v>1277</v>
      </c>
      <c r="B45" s="19" t="s">
        <v>1278</v>
      </c>
      <c r="C45" s="20">
        <v>11.249905999999999</v>
      </c>
      <c r="D45" s="20">
        <v>10.258844</v>
      </c>
      <c r="E45" s="20">
        <v>9.692323</v>
      </c>
      <c r="F45" s="20">
        <v>9.3449170000000006</v>
      </c>
      <c r="G45" s="20">
        <v>8.7503430000000009</v>
      </c>
      <c r="H45" s="20">
        <v>8.6285659999999993</v>
      </c>
      <c r="I45" s="20">
        <v>8.1450560000000003</v>
      </c>
      <c r="J45" s="20">
        <v>8.5590670000000006</v>
      </c>
      <c r="K45" s="20">
        <v>8.5411090000000005</v>
      </c>
      <c r="L45" s="20">
        <v>8.5189839999999997</v>
      </c>
      <c r="M45" s="20">
        <v>8.4811650000000007</v>
      </c>
      <c r="N45" s="20">
        <v>8.4593629999999997</v>
      </c>
      <c r="O45" s="20">
        <v>8.4033610000000003</v>
      </c>
      <c r="P45" s="20">
        <v>8.3855629999999994</v>
      </c>
      <c r="Q45" s="20">
        <v>8.4497440000000008</v>
      </c>
      <c r="R45" s="20">
        <v>8.3760080000000006</v>
      </c>
      <c r="S45" s="20">
        <v>8.2780059999999995</v>
      </c>
      <c r="T45" s="20">
        <v>8.2168209999999995</v>
      </c>
      <c r="U45" s="20">
        <v>8.2037809999999993</v>
      </c>
      <c r="V45" s="20">
        <v>8.1111909999999998</v>
      </c>
      <c r="W45" s="20">
        <v>8.0575279999999996</v>
      </c>
      <c r="X45" s="20">
        <v>8.0319649999999996</v>
      </c>
      <c r="Y45" s="20">
        <v>7.995692</v>
      </c>
      <c r="Z45" s="20">
        <v>7.9653229999999997</v>
      </c>
      <c r="AA45" s="20">
        <v>7.9357379999999997</v>
      </c>
      <c r="AB45" s="20">
        <v>7.9339510000000004</v>
      </c>
      <c r="AC45" s="20">
        <v>7.896763</v>
      </c>
      <c r="AD45" s="20">
        <v>7.9624959999999998</v>
      </c>
      <c r="AE45" s="20">
        <v>7.9530839999999996</v>
      </c>
      <c r="AF45" s="20">
        <v>7.9441959999999998</v>
      </c>
      <c r="AG45" s="20">
        <v>7.9108299999999998</v>
      </c>
      <c r="AH45" s="20">
        <v>7.9364470000000003</v>
      </c>
      <c r="AI45" s="21">
        <v>-1.1192000000000001E-2</v>
      </c>
    </row>
    <row r="46" spans="1:35" ht="15" customHeight="1" x14ac:dyDescent="0.35">
      <c r="A46" s="15" t="s">
        <v>1279</v>
      </c>
      <c r="B46" s="19" t="s">
        <v>1242</v>
      </c>
      <c r="C46" s="20">
        <v>8.4447150000000004</v>
      </c>
      <c r="D46" s="20">
        <v>8.2963240000000003</v>
      </c>
      <c r="E46" s="20">
        <v>8.1618230000000001</v>
      </c>
      <c r="F46" s="20">
        <v>8.0091900000000003</v>
      </c>
      <c r="G46" s="20">
        <v>8.0310430000000004</v>
      </c>
      <c r="H46" s="20">
        <v>8.0633920000000003</v>
      </c>
      <c r="I46" s="20">
        <v>7.8221889999999998</v>
      </c>
      <c r="J46" s="20">
        <v>7.0982510000000003</v>
      </c>
      <c r="K46" s="20">
        <v>7.1011790000000001</v>
      </c>
      <c r="L46" s="20">
        <v>7.1049009999999999</v>
      </c>
      <c r="M46" s="20">
        <v>7.1086070000000001</v>
      </c>
      <c r="N46" s="20">
        <v>7.1157079999999997</v>
      </c>
      <c r="O46" s="20">
        <v>7.1268459999999996</v>
      </c>
      <c r="P46" s="20">
        <v>7.1344240000000001</v>
      </c>
      <c r="Q46" s="20">
        <v>6.9723090000000001</v>
      </c>
      <c r="R46" s="20">
        <v>6.7987950000000001</v>
      </c>
      <c r="S46" s="20">
        <v>6.8134930000000002</v>
      </c>
      <c r="T46" s="20">
        <v>6.8244199999999999</v>
      </c>
      <c r="U46" s="20">
        <v>6.8266289999999996</v>
      </c>
      <c r="V46" s="20">
        <v>6.8288320000000002</v>
      </c>
      <c r="W46" s="20">
        <v>6.8288320000000002</v>
      </c>
      <c r="X46" s="20">
        <v>6.7398020000000001</v>
      </c>
      <c r="Y46" s="20">
        <v>6.7529009999999996</v>
      </c>
      <c r="Z46" s="20">
        <v>6.7623740000000003</v>
      </c>
      <c r="AA46" s="20">
        <v>6.6799390000000001</v>
      </c>
      <c r="AB46" s="20">
        <v>6.6878409999999997</v>
      </c>
      <c r="AC46" s="20">
        <v>6.6964040000000002</v>
      </c>
      <c r="AD46" s="20">
        <v>6.7008619999999999</v>
      </c>
      <c r="AE46" s="20">
        <v>6.7053180000000001</v>
      </c>
      <c r="AF46" s="20">
        <v>6.708094</v>
      </c>
      <c r="AG46" s="20">
        <v>6.7114479999999999</v>
      </c>
      <c r="AH46" s="20">
        <v>6.7162949999999997</v>
      </c>
      <c r="AI46" s="21">
        <v>-7.3600000000000002E-3</v>
      </c>
    </row>
    <row r="47" spans="1:35" ht="15" customHeight="1" x14ac:dyDescent="0.35">
      <c r="A47" s="15" t="s">
        <v>1280</v>
      </c>
      <c r="B47" s="19" t="s">
        <v>1244</v>
      </c>
      <c r="C47" s="20">
        <v>2.6272229999999999</v>
      </c>
      <c r="D47" s="20">
        <v>2.6280489999999999</v>
      </c>
      <c r="E47" s="20">
        <v>2.6091600000000001</v>
      </c>
      <c r="F47" s="20">
        <v>2.5599219999999998</v>
      </c>
      <c r="G47" s="20">
        <v>2.5150700000000001</v>
      </c>
      <c r="H47" s="20">
        <v>2.4734569999999998</v>
      </c>
      <c r="I47" s="20">
        <v>2.4585080000000001</v>
      </c>
      <c r="J47" s="20">
        <v>2.3993739999999999</v>
      </c>
      <c r="K47" s="20">
        <v>2.3926940000000001</v>
      </c>
      <c r="L47" s="20">
        <v>2.3837269999999999</v>
      </c>
      <c r="M47" s="20">
        <v>2.3771840000000002</v>
      </c>
      <c r="N47" s="20">
        <v>2.371095</v>
      </c>
      <c r="O47" s="20">
        <v>2.372903</v>
      </c>
      <c r="P47" s="20">
        <v>2.363693</v>
      </c>
      <c r="Q47" s="20">
        <v>2.3590360000000001</v>
      </c>
      <c r="R47" s="20">
        <v>2.356455</v>
      </c>
      <c r="S47" s="20">
        <v>2.3473850000000001</v>
      </c>
      <c r="T47" s="20">
        <v>2.3418030000000001</v>
      </c>
      <c r="U47" s="20">
        <v>2.3342529999999999</v>
      </c>
      <c r="V47" s="20">
        <v>2.3264710000000002</v>
      </c>
      <c r="W47" s="20">
        <v>2.3167970000000002</v>
      </c>
      <c r="X47" s="20">
        <v>2.3068300000000002</v>
      </c>
      <c r="Y47" s="20">
        <v>2.298737</v>
      </c>
      <c r="Z47" s="20">
        <v>2.2840549999999999</v>
      </c>
      <c r="AA47" s="20">
        <v>2.2847749999999998</v>
      </c>
      <c r="AB47" s="20">
        <v>2.2813439999999998</v>
      </c>
      <c r="AC47" s="20">
        <v>2.2727469999999999</v>
      </c>
      <c r="AD47" s="20">
        <v>2.2737039999999999</v>
      </c>
      <c r="AE47" s="20">
        <v>2.2817509999999999</v>
      </c>
      <c r="AF47" s="20">
        <v>2.2799499999999999</v>
      </c>
      <c r="AG47" s="20">
        <v>2.2737780000000001</v>
      </c>
      <c r="AH47" s="20">
        <v>2.2625250000000001</v>
      </c>
      <c r="AI47" s="21">
        <v>-4.8089999999999999E-3</v>
      </c>
    </row>
    <row r="48" spans="1:35" ht="15" customHeight="1" x14ac:dyDescent="0.35">
      <c r="A48" s="15" t="s">
        <v>1281</v>
      </c>
      <c r="B48" s="19" t="s">
        <v>1282</v>
      </c>
      <c r="C48" s="20">
        <v>3.2253970000000001</v>
      </c>
      <c r="D48" s="20">
        <v>3.1088290000000001</v>
      </c>
      <c r="E48" s="20">
        <v>3.1116760000000001</v>
      </c>
      <c r="F48" s="20">
        <v>3.142795</v>
      </c>
      <c r="G48" s="20">
        <v>3.15063</v>
      </c>
      <c r="H48" s="20">
        <v>3.1673689999999999</v>
      </c>
      <c r="I48" s="20">
        <v>3.1865790000000001</v>
      </c>
      <c r="J48" s="20">
        <v>3.2154690000000001</v>
      </c>
      <c r="K48" s="20">
        <v>3.2329340000000002</v>
      </c>
      <c r="L48" s="20">
        <v>3.2579470000000001</v>
      </c>
      <c r="M48" s="20">
        <v>3.2752520000000001</v>
      </c>
      <c r="N48" s="20">
        <v>3.2983449999999999</v>
      </c>
      <c r="O48" s="20">
        <v>3.3112729999999999</v>
      </c>
      <c r="P48" s="20">
        <v>3.3184300000000002</v>
      </c>
      <c r="Q48" s="20">
        <v>3.3271630000000001</v>
      </c>
      <c r="R48" s="20">
        <v>3.3383530000000001</v>
      </c>
      <c r="S48" s="20">
        <v>3.3485619999999998</v>
      </c>
      <c r="T48" s="20">
        <v>3.357383</v>
      </c>
      <c r="U48" s="20">
        <v>3.3619340000000002</v>
      </c>
      <c r="V48" s="20">
        <v>3.370085</v>
      </c>
      <c r="W48" s="20">
        <v>3.3768009999999999</v>
      </c>
      <c r="X48" s="20">
        <v>3.3897240000000002</v>
      </c>
      <c r="Y48" s="20">
        <v>3.405491</v>
      </c>
      <c r="Z48" s="20">
        <v>3.4190209999999999</v>
      </c>
      <c r="AA48" s="20">
        <v>3.4386930000000002</v>
      </c>
      <c r="AB48" s="20">
        <v>3.4563820000000001</v>
      </c>
      <c r="AC48" s="20">
        <v>3.476807</v>
      </c>
      <c r="AD48" s="20">
        <v>3.496759</v>
      </c>
      <c r="AE48" s="20">
        <v>3.5240879999999999</v>
      </c>
      <c r="AF48" s="20">
        <v>3.5463390000000001</v>
      </c>
      <c r="AG48" s="20">
        <v>3.570926</v>
      </c>
      <c r="AH48" s="20">
        <v>3.5931700000000002</v>
      </c>
      <c r="AI48" s="21">
        <v>3.4889999999999999E-3</v>
      </c>
    </row>
    <row r="49" spans="1:35" ht="15" customHeight="1" x14ac:dyDescent="0.35">
      <c r="A49" s="15" t="s">
        <v>1283</v>
      </c>
      <c r="B49" s="19" t="s">
        <v>1248</v>
      </c>
      <c r="C49" s="20">
        <v>3.9866130000000002</v>
      </c>
      <c r="D49" s="20">
        <v>4.4920280000000004</v>
      </c>
      <c r="E49" s="20">
        <v>5.0645519999999999</v>
      </c>
      <c r="F49" s="20">
        <v>5.8791070000000003</v>
      </c>
      <c r="G49" s="20">
        <v>6.4832999999999998</v>
      </c>
      <c r="H49" s="20">
        <v>6.7789630000000001</v>
      </c>
      <c r="I49" s="20">
        <v>7.2154259999999999</v>
      </c>
      <c r="J49" s="20">
        <v>7.3763969999999999</v>
      </c>
      <c r="K49" s="20">
        <v>7.5805249999999997</v>
      </c>
      <c r="L49" s="20">
        <v>7.7764329999999999</v>
      </c>
      <c r="M49" s="20">
        <v>8.060765</v>
      </c>
      <c r="N49" s="20">
        <v>8.4724140000000006</v>
      </c>
      <c r="O49" s="20">
        <v>8.5990500000000001</v>
      </c>
      <c r="P49" s="20">
        <v>8.6252949999999995</v>
      </c>
      <c r="Q49" s="20">
        <v>8.6702870000000001</v>
      </c>
      <c r="R49" s="20">
        <v>8.7115349999999996</v>
      </c>
      <c r="S49" s="20">
        <v>8.9610610000000008</v>
      </c>
      <c r="T49" s="20">
        <v>9.1560959999999998</v>
      </c>
      <c r="U49" s="20">
        <v>9.3085830000000005</v>
      </c>
      <c r="V49" s="20">
        <v>9.4918940000000003</v>
      </c>
      <c r="W49" s="20">
        <v>9.6658430000000006</v>
      </c>
      <c r="X49" s="20">
        <v>9.8714049999999993</v>
      </c>
      <c r="Y49" s="20">
        <v>10.118544</v>
      </c>
      <c r="Z49" s="20">
        <v>10.417507000000001</v>
      </c>
      <c r="AA49" s="20">
        <v>10.760035</v>
      </c>
      <c r="AB49" s="20">
        <v>11.121703</v>
      </c>
      <c r="AC49" s="20">
        <v>11.526014</v>
      </c>
      <c r="AD49" s="20">
        <v>11.799397000000001</v>
      </c>
      <c r="AE49" s="20">
        <v>12.039868</v>
      </c>
      <c r="AF49" s="20">
        <v>12.214866000000001</v>
      </c>
      <c r="AG49" s="20">
        <v>12.415702</v>
      </c>
      <c r="AH49" s="20">
        <v>12.642707</v>
      </c>
      <c r="AI49" s="21">
        <v>3.7932E-2</v>
      </c>
    </row>
    <row r="50" spans="1:35" ht="15" customHeight="1" x14ac:dyDescent="0.35">
      <c r="A50" s="15" t="s">
        <v>1284</v>
      </c>
      <c r="B50" s="19" t="s">
        <v>1285</v>
      </c>
      <c r="C50" s="20">
        <v>0.28126800000000002</v>
      </c>
      <c r="D50" s="20">
        <v>0.322602</v>
      </c>
      <c r="E50" s="20">
        <v>0.307481</v>
      </c>
      <c r="F50" s="20">
        <v>0.292265</v>
      </c>
      <c r="G50" s="20">
        <v>0.286105</v>
      </c>
      <c r="H50" s="20">
        <v>0.29372399999999999</v>
      </c>
      <c r="I50" s="20">
        <v>0.28220600000000001</v>
      </c>
      <c r="J50" s="20">
        <v>0.28690399999999999</v>
      </c>
      <c r="K50" s="20">
        <v>0.29984699999999997</v>
      </c>
      <c r="L50" s="20">
        <v>0.30642000000000003</v>
      </c>
      <c r="M50" s="20">
        <v>0.30355100000000002</v>
      </c>
      <c r="N50" s="20">
        <v>0.31239899999999998</v>
      </c>
      <c r="O50" s="20">
        <v>0.3044</v>
      </c>
      <c r="P50" s="20">
        <v>0.31222499999999997</v>
      </c>
      <c r="Q50" s="20">
        <v>0.31232799999999999</v>
      </c>
      <c r="R50" s="20">
        <v>0.32122600000000001</v>
      </c>
      <c r="S50" s="20">
        <v>0.31943700000000003</v>
      </c>
      <c r="T50" s="20">
        <v>0.31481300000000001</v>
      </c>
      <c r="U50" s="20">
        <v>0.31378</v>
      </c>
      <c r="V50" s="20">
        <v>0.31261899999999998</v>
      </c>
      <c r="W50" s="20">
        <v>0.31372499999999998</v>
      </c>
      <c r="X50" s="20">
        <v>0.313166</v>
      </c>
      <c r="Y50" s="20">
        <v>0.31495000000000001</v>
      </c>
      <c r="Z50" s="20">
        <v>0.31370799999999999</v>
      </c>
      <c r="AA50" s="20">
        <v>0.31246800000000002</v>
      </c>
      <c r="AB50" s="20">
        <v>0.31119200000000002</v>
      </c>
      <c r="AC50" s="20">
        <v>0.31040400000000001</v>
      </c>
      <c r="AD50" s="20">
        <v>0.30619400000000002</v>
      </c>
      <c r="AE50" s="20">
        <v>0.30421599999999999</v>
      </c>
      <c r="AF50" s="20">
        <v>0.30176799999999998</v>
      </c>
      <c r="AG50" s="20">
        <v>0.300562</v>
      </c>
      <c r="AH50" s="20">
        <v>0.299321</v>
      </c>
      <c r="AI50" s="21">
        <v>2.0089999999999999E-3</v>
      </c>
    </row>
    <row r="51" spans="1:35" ht="15" customHeight="1" x14ac:dyDescent="0.35">
      <c r="A51" s="15" t="s">
        <v>1286</v>
      </c>
      <c r="B51" s="18" t="s">
        <v>1287</v>
      </c>
      <c r="C51" s="22">
        <v>99.995902999999998</v>
      </c>
      <c r="D51" s="22">
        <v>99.590912000000003</v>
      </c>
      <c r="E51" s="22">
        <v>100.213173</v>
      </c>
      <c r="F51" s="22">
        <v>100.29484600000001</v>
      </c>
      <c r="G51" s="22">
        <v>100.112831</v>
      </c>
      <c r="H51" s="22">
        <v>100.011009</v>
      </c>
      <c r="I51" s="22">
        <v>99.575400999999999</v>
      </c>
      <c r="J51" s="22">
        <v>99.262596000000002</v>
      </c>
      <c r="K51" s="22">
        <v>99.076424000000003</v>
      </c>
      <c r="L51" s="22">
        <v>99.208281999999997</v>
      </c>
      <c r="M51" s="22">
        <v>99.390204999999995</v>
      </c>
      <c r="N51" s="22">
        <v>99.552825999999996</v>
      </c>
      <c r="O51" s="22">
        <v>99.791854999999998</v>
      </c>
      <c r="P51" s="22">
        <v>100.033089</v>
      </c>
      <c r="Q51" s="22">
        <v>100.155556</v>
      </c>
      <c r="R51" s="22">
        <v>100.46968099999999</v>
      </c>
      <c r="S51" s="22">
        <v>100.789154</v>
      </c>
      <c r="T51" s="22">
        <v>101.06986999999999</v>
      </c>
      <c r="U51" s="22">
        <v>101.50543999999999</v>
      </c>
      <c r="V51" s="22">
        <v>101.86112199999999</v>
      </c>
      <c r="W51" s="22">
        <v>102.247986</v>
      </c>
      <c r="X51" s="22">
        <v>102.71732299999999</v>
      </c>
      <c r="Y51" s="22">
        <v>103.279602</v>
      </c>
      <c r="Z51" s="22">
        <v>103.887558</v>
      </c>
      <c r="AA51" s="22">
        <v>104.49754299999999</v>
      </c>
      <c r="AB51" s="22">
        <v>105.19245100000001</v>
      </c>
      <c r="AC51" s="22">
        <v>105.955933</v>
      </c>
      <c r="AD51" s="22">
        <v>106.713875</v>
      </c>
      <c r="AE51" s="22">
        <v>107.547432</v>
      </c>
      <c r="AF51" s="22">
        <v>108.34671</v>
      </c>
      <c r="AG51" s="22">
        <v>109.152359</v>
      </c>
      <c r="AH51" s="22">
        <v>109.924576</v>
      </c>
      <c r="AI51" s="23">
        <v>3.058E-3</v>
      </c>
    </row>
    <row r="53" spans="1:35" ht="15" customHeight="1" x14ac:dyDescent="0.35">
      <c r="B53" s="18" t="s">
        <v>1288</v>
      </c>
    </row>
    <row r="54" spans="1:35" ht="15" customHeight="1" x14ac:dyDescent="0.35">
      <c r="A54" s="15" t="s">
        <v>1289</v>
      </c>
      <c r="B54" s="19" t="s">
        <v>1290</v>
      </c>
      <c r="C54" s="24">
        <v>63.371997999999998</v>
      </c>
      <c r="D54" s="24">
        <v>58.505806</v>
      </c>
      <c r="E54" s="24">
        <v>61.632210000000001</v>
      </c>
      <c r="F54" s="24">
        <v>64.001991000000004</v>
      </c>
      <c r="G54" s="24">
        <v>65.341621000000004</v>
      </c>
      <c r="H54" s="24">
        <v>67.003448000000006</v>
      </c>
      <c r="I54" s="24">
        <v>68.735039</v>
      </c>
      <c r="J54" s="24">
        <v>70.371643000000006</v>
      </c>
      <c r="K54" s="24">
        <v>71.580528000000001</v>
      </c>
      <c r="L54" s="24">
        <v>73.166756000000007</v>
      </c>
      <c r="M54" s="24">
        <v>74.728347999999997</v>
      </c>
      <c r="N54" s="24">
        <v>75.831558000000001</v>
      </c>
      <c r="O54" s="24">
        <v>77.375022999999999</v>
      </c>
      <c r="P54" s="24">
        <v>78.623016000000007</v>
      </c>
      <c r="Q54" s="24">
        <v>80.499656999999999</v>
      </c>
      <c r="R54" s="24">
        <v>81.877769000000001</v>
      </c>
      <c r="S54" s="24">
        <v>83.325171999999995</v>
      </c>
      <c r="T54" s="24">
        <v>84.876801</v>
      </c>
      <c r="U54" s="24">
        <v>86.175788999999995</v>
      </c>
      <c r="V54" s="24">
        <v>87.637855999999999</v>
      </c>
      <c r="W54" s="24">
        <v>89.162689</v>
      </c>
      <c r="X54" s="24">
        <v>90.480170999999999</v>
      </c>
      <c r="Y54" s="24">
        <v>91.638084000000006</v>
      </c>
      <c r="Z54" s="24">
        <v>93.707344000000006</v>
      </c>
      <c r="AA54" s="24">
        <v>94.894356000000002</v>
      </c>
      <c r="AB54" s="24">
        <v>96.306297000000001</v>
      </c>
      <c r="AC54" s="24">
        <v>97.762259999999998</v>
      </c>
      <c r="AD54" s="24">
        <v>99.024994000000007</v>
      </c>
      <c r="AE54" s="24">
        <v>100.73233</v>
      </c>
      <c r="AF54" s="24">
        <v>102.33839399999999</v>
      </c>
      <c r="AG54" s="24">
        <v>103.79858400000001</v>
      </c>
      <c r="AH54" s="24">
        <v>104.98382599999999</v>
      </c>
      <c r="AI54" s="21">
        <v>1.6417000000000001E-2</v>
      </c>
    </row>
    <row r="55" spans="1:35" ht="15" customHeight="1" x14ac:dyDescent="0.35">
      <c r="A55" s="15" t="s">
        <v>1291</v>
      </c>
      <c r="B55" s="19" t="s">
        <v>1292</v>
      </c>
      <c r="C55" s="24">
        <v>56.261001999999998</v>
      </c>
      <c r="D55" s="24">
        <v>53.136775999999998</v>
      </c>
      <c r="E55" s="24">
        <v>58.231895000000002</v>
      </c>
      <c r="F55" s="24">
        <v>59.639107000000003</v>
      </c>
      <c r="G55" s="24">
        <v>60.805594999999997</v>
      </c>
      <c r="H55" s="24">
        <v>63.003368000000002</v>
      </c>
      <c r="I55" s="24">
        <v>64.557952999999998</v>
      </c>
      <c r="J55" s="24">
        <v>66.193848000000003</v>
      </c>
      <c r="K55" s="24">
        <v>67.774688999999995</v>
      </c>
      <c r="L55" s="24">
        <v>68.532477999999998</v>
      </c>
      <c r="M55" s="24">
        <v>70.067909</v>
      </c>
      <c r="N55" s="24">
        <v>71.338820999999996</v>
      </c>
      <c r="O55" s="24">
        <v>73.019858999999997</v>
      </c>
      <c r="P55" s="24">
        <v>73.873024000000001</v>
      </c>
      <c r="Q55" s="24">
        <v>76.580032000000003</v>
      </c>
      <c r="R55" s="24">
        <v>77.812531000000007</v>
      </c>
      <c r="S55" s="24">
        <v>79.355727999999999</v>
      </c>
      <c r="T55" s="24">
        <v>81.419929999999994</v>
      </c>
      <c r="U55" s="24">
        <v>81.804587999999995</v>
      </c>
      <c r="V55" s="24">
        <v>83.338547000000005</v>
      </c>
      <c r="W55" s="24">
        <v>84.788505999999998</v>
      </c>
      <c r="X55" s="24">
        <v>85.737099000000001</v>
      </c>
      <c r="Y55" s="24">
        <v>86.747519999999994</v>
      </c>
      <c r="Z55" s="24">
        <v>89.025313999999995</v>
      </c>
      <c r="AA55" s="24">
        <v>90.120521999999994</v>
      </c>
      <c r="AB55" s="24">
        <v>91.401298999999995</v>
      </c>
      <c r="AC55" s="24">
        <v>93.352012999999999</v>
      </c>
      <c r="AD55" s="24">
        <v>94.050811999999993</v>
      </c>
      <c r="AE55" s="24">
        <v>96.415947000000003</v>
      </c>
      <c r="AF55" s="24">
        <v>98.235748000000001</v>
      </c>
      <c r="AG55" s="24">
        <v>99.713111999999995</v>
      </c>
      <c r="AH55" s="24">
        <v>100.72344200000001</v>
      </c>
      <c r="AI55" s="21">
        <v>1.8964000000000002E-2</v>
      </c>
    </row>
    <row r="56" spans="1:35" ht="15" customHeight="1" x14ac:dyDescent="0.35">
      <c r="A56" s="15" t="s">
        <v>1293</v>
      </c>
      <c r="B56" s="19" t="s">
        <v>1294</v>
      </c>
      <c r="C56" s="20">
        <v>2.5672429999999999</v>
      </c>
      <c r="D56" s="20">
        <v>2.4352480000000001</v>
      </c>
      <c r="E56" s="20">
        <v>2.493109</v>
      </c>
      <c r="F56" s="20">
        <v>2.4907490000000001</v>
      </c>
      <c r="G56" s="20">
        <v>2.5230329999999999</v>
      </c>
      <c r="H56" s="20">
        <v>2.6177380000000001</v>
      </c>
      <c r="I56" s="20">
        <v>2.8399730000000001</v>
      </c>
      <c r="J56" s="20">
        <v>3.0810759999999999</v>
      </c>
      <c r="K56" s="20">
        <v>3.2320419999999999</v>
      </c>
      <c r="L56" s="20">
        <v>3.3193589999999999</v>
      </c>
      <c r="M56" s="20">
        <v>3.331645</v>
      </c>
      <c r="N56" s="20">
        <v>3.2858550000000002</v>
      </c>
      <c r="O56" s="20">
        <v>3.239649</v>
      </c>
      <c r="P56" s="20">
        <v>3.258222</v>
      </c>
      <c r="Q56" s="20">
        <v>3.3201719999999999</v>
      </c>
      <c r="R56" s="20">
        <v>3.3677199999999998</v>
      </c>
      <c r="S56" s="20">
        <v>3.3625099999999999</v>
      </c>
      <c r="T56" s="20">
        <v>3.3583240000000001</v>
      </c>
      <c r="U56" s="20">
        <v>3.403626</v>
      </c>
      <c r="V56" s="20">
        <v>3.431597</v>
      </c>
      <c r="W56" s="20">
        <v>3.4409930000000002</v>
      </c>
      <c r="X56" s="20">
        <v>3.4448949999999998</v>
      </c>
      <c r="Y56" s="20">
        <v>3.4431210000000001</v>
      </c>
      <c r="Z56" s="20">
        <v>3.4656790000000002</v>
      </c>
      <c r="AA56" s="20">
        <v>3.4823499999999998</v>
      </c>
      <c r="AB56" s="20">
        <v>3.4958070000000001</v>
      </c>
      <c r="AC56" s="20">
        <v>3.5175200000000002</v>
      </c>
      <c r="AD56" s="20">
        <v>3.552241</v>
      </c>
      <c r="AE56" s="20">
        <v>3.5966490000000002</v>
      </c>
      <c r="AF56" s="20">
        <v>3.6275210000000002</v>
      </c>
      <c r="AG56" s="20">
        <v>3.6473209999999998</v>
      </c>
      <c r="AH56" s="20">
        <v>3.6941130000000002</v>
      </c>
      <c r="AI56" s="21">
        <v>1.1808000000000001E-2</v>
      </c>
    </row>
    <row r="57" spans="1:35" ht="15" customHeight="1" x14ac:dyDescent="0.35">
      <c r="A57" s="15" t="s">
        <v>1295</v>
      </c>
      <c r="B57" s="19" t="s">
        <v>1296</v>
      </c>
      <c r="C57" s="25">
        <v>34.304488999999997</v>
      </c>
      <c r="D57" s="25">
        <v>32.995308000000001</v>
      </c>
      <c r="E57" s="25">
        <v>34.696387999999999</v>
      </c>
      <c r="F57" s="25">
        <v>34.934283999999998</v>
      </c>
      <c r="G57" s="25">
        <v>34.221854999999998</v>
      </c>
      <c r="H57" s="25">
        <v>34.061408999999998</v>
      </c>
      <c r="I57" s="25">
        <v>34.292254999999997</v>
      </c>
      <c r="J57" s="25">
        <v>33.714443000000003</v>
      </c>
      <c r="K57" s="25">
        <v>33.938473000000002</v>
      </c>
      <c r="L57" s="25">
        <v>33.576248</v>
      </c>
      <c r="M57" s="25">
        <v>33.236691</v>
      </c>
      <c r="N57" s="25">
        <v>33.546734000000001</v>
      </c>
      <c r="O57" s="25">
        <v>33.568375000000003</v>
      </c>
      <c r="P57" s="25">
        <v>33.668273999999997</v>
      </c>
      <c r="Q57" s="25">
        <v>33.778675</v>
      </c>
      <c r="R57" s="25">
        <v>33.897060000000003</v>
      </c>
      <c r="S57" s="25">
        <v>34.306530000000002</v>
      </c>
      <c r="T57" s="25">
        <v>34.600712000000001</v>
      </c>
      <c r="U57" s="25">
        <v>35.440517</v>
      </c>
      <c r="V57" s="25">
        <v>35.844481999999999</v>
      </c>
      <c r="W57" s="25">
        <v>36.508194000000003</v>
      </c>
      <c r="X57" s="25">
        <v>36.632168</v>
      </c>
      <c r="Y57" s="25">
        <v>36.780327</v>
      </c>
      <c r="Z57" s="25">
        <v>36.947043999999998</v>
      </c>
      <c r="AA57" s="25">
        <v>37.080089999999998</v>
      </c>
      <c r="AB57" s="25">
        <v>37.165894000000002</v>
      </c>
      <c r="AC57" s="25">
        <v>37.497112000000001</v>
      </c>
      <c r="AD57" s="25">
        <v>37.419581999999998</v>
      </c>
      <c r="AE57" s="25">
        <v>37.528770000000002</v>
      </c>
      <c r="AF57" s="25">
        <v>37.622447999999999</v>
      </c>
      <c r="AG57" s="25">
        <v>37.723869000000001</v>
      </c>
      <c r="AH57" s="25">
        <v>37.805992000000003</v>
      </c>
      <c r="AI57" s="21">
        <v>3.14E-3</v>
      </c>
    </row>
    <row r="58" spans="1:35" ht="15" customHeight="1" x14ac:dyDescent="0.35">
      <c r="A58" s="15" t="s">
        <v>1297</v>
      </c>
      <c r="B58" s="19" t="s">
        <v>1298</v>
      </c>
      <c r="C58" s="20">
        <v>1.7060120000000001</v>
      </c>
      <c r="D58" s="20">
        <v>1.6239330000000001</v>
      </c>
      <c r="E58" s="20">
        <v>1.665675</v>
      </c>
      <c r="F58" s="20">
        <v>1.6631279999999999</v>
      </c>
      <c r="G58" s="20">
        <v>1.63487</v>
      </c>
      <c r="H58" s="20">
        <v>1.6259330000000001</v>
      </c>
      <c r="I58" s="20">
        <v>1.63371</v>
      </c>
      <c r="J58" s="20">
        <v>1.6156280000000001</v>
      </c>
      <c r="K58" s="20">
        <v>1.625014</v>
      </c>
      <c r="L58" s="20">
        <v>1.6081620000000001</v>
      </c>
      <c r="M58" s="20">
        <v>1.5977939999999999</v>
      </c>
      <c r="N58" s="20">
        <v>1.6116440000000001</v>
      </c>
      <c r="O58" s="20">
        <v>1.6149500000000001</v>
      </c>
      <c r="P58" s="20">
        <v>1.6201700000000001</v>
      </c>
      <c r="Q58" s="20">
        <v>1.625653</v>
      </c>
      <c r="R58" s="20">
        <v>1.6316360000000001</v>
      </c>
      <c r="S58" s="20">
        <v>1.6462840000000001</v>
      </c>
      <c r="T58" s="20">
        <v>1.6570240000000001</v>
      </c>
      <c r="U58" s="20">
        <v>1.6873549999999999</v>
      </c>
      <c r="V58" s="20">
        <v>1.702707</v>
      </c>
      <c r="W58" s="20">
        <v>1.7239629999999999</v>
      </c>
      <c r="X58" s="20">
        <v>1.728505</v>
      </c>
      <c r="Y58" s="20">
        <v>1.7348779999999999</v>
      </c>
      <c r="Z58" s="20">
        <v>1.74166</v>
      </c>
      <c r="AA58" s="20">
        <v>1.7471049999999999</v>
      </c>
      <c r="AB58" s="20">
        <v>1.7516339999999999</v>
      </c>
      <c r="AC58" s="20">
        <v>1.764135</v>
      </c>
      <c r="AD58" s="20">
        <v>1.764581</v>
      </c>
      <c r="AE58" s="20">
        <v>1.7707539999999999</v>
      </c>
      <c r="AF58" s="20">
        <v>1.776235</v>
      </c>
      <c r="AG58" s="20">
        <v>1.78148</v>
      </c>
      <c r="AH58" s="20">
        <v>1.7858449999999999</v>
      </c>
      <c r="AI58" s="21">
        <v>1.4760000000000001E-3</v>
      </c>
    </row>
    <row r="59" spans="1:35" ht="15" customHeight="1" x14ac:dyDescent="0.35">
      <c r="A59" s="15" t="s">
        <v>1299</v>
      </c>
      <c r="B59" s="19" t="s">
        <v>1300</v>
      </c>
      <c r="C59" s="20">
        <v>2.1898119999999999</v>
      </c>
      <c r="D59" s="20">
        <v>2.1846269999999999</v>
      </c>
      <c r="E59" s="20">
        <v>2.141867</v>
      </c>
      <c r="F59" s="20">
        <v>2.1100859999999999</v>
      </c>
      <c r="G59" s="20">
        <v>2.0951209999999998</v>
      </c>
      <c r="H59" s="20">
        <v>2.0910570000000002</v>
      </c>
      <c r="I59" s="20">
        <v>2.0837349999999999</v>
      </c>
      <c r="J59" s="20">
        <v>2.0845959999999999</v>
      </c>
      <c r="K59" s="20">
        <v>2.0990180000000001</v>
      </c>
      <c r="L59" s="20">
        <v>2.0849660000000001</v>
      </c>
      <c r="M59" s="20">
        <v>2.0885400000000001</v>
      </c>
      <c r="N59" s="20">
        <v>2.0886089999999999</v>
      </c>
      <c r="O59" s="20">
        <v>2.0897549999999998</v>
      </c>
      <c r="P59" s="20">
        <v>2.0894170000000001</v>
      </c>
      <c r="Q59" s="20">
        <v>2.0963850000000002</v>
      </c>
      <c r="R59" s="20">
        <v>2.100292</v>
      </c>
      <c r="S59" s="20">
        <v>2.0984340000000001</v>
      </c>
      <c r="T59" s="20">
        <v>2.1017700000000001</v>
      </c>
      <c r="U59" s="20">
        <v>2.1090179999999998</v>
      </c>
      <c r="V59" s="20">
        <v>2.110163</v>
      </c>
      <c r="W59" s="20">
        <v>2.112422</v>
      </c>
      <c r="X59" s="20">
        <v>2.1091440000000001</v>
      </c>
      <c r="Y59" s="20">
        <v>2.1123280000000002</v>
      </c>
      <c r="Z59" s="20">
        <v>2.1176089999999999</v>
      </c>
      <c r="AA59" s="20">
        <v>2.1218949999999999</v>
      </c>
      <c r="AB59" s="20">
        <v>2.1244529999999999</v>
      </c>
      <c r="AC59" s="20">
        <v>2.1301410000000001</v>
      </c>
      <c r="AD59" s="20">
        <v>2.1286160000000001</v>
      </c>
      <c r="AE59" s="20">
        <v>2.1326329999999998</v>
      </c>
      <c r="AF59" s="20">
        <v>2.1345779999999999</v>
      </c>
      <c r="AG59" s="20">
        <v>2.1354150000000001</v>
      </c>
      <c r="AH59" s="20">
        <v>2.1364260000000002</v>
      </c>
      <c r="AI59" s="21">
        <v>-7.9600000000000005E-4</v>
      </c>
    </row>
    <row r="60" spans="1:35" ht="15" customHeight="1" x14ac:dyDescent="0.35">
      <c r="A60" s="15" t="s">
        <v>1301</v>
      </c>
      <c r="B60" s="19" t="s">
        <v>1302</v>
      </c>
      <c r="C60" s="25">
        <v>10.391057999999999</v>
      </c>
      <c r="D60" s="25">
        <v>10.212733</v>
      </c>
      <c r="E60" s="25">
        <v>10.144772</v>
      </c>
      <c r="F60" s="25">
        <v>10.119161999999999</v>
      </c>
      <c r="G60" s="25">
        <v>10.121079</v>
      </c>
      <c r="H60" s="25">
        <v>10.184604</v>
      </c>
      <c r="I60" s="25">
        <v>10.321588999999999</v>
      </c>
      <c r="J60" s="25">
        <v>10.438571</v>
      </c>
      <c r="K60" s="25">
        <v>10.493043999999999</v>
      </c>
      <c r="L60" s="25">
        <v>10.451485</v>
      </c>
      <c r="M60" s="25">
        <v>10.390381</v>
      </c>
      <c r="N60" s="25">
        <v>10.370628</v>
      </c>
      <c r="O60" s="25">
        <v>10.328291</v>
      </c>
      <c r="P60" s="25">
        <v>10.280963</v>
      </c>
      <c r="Q60" s="25">
        <v>10.315948000000001</v>
      </c>
      <c r="R60" s="25">
        <v>10.32381</v>
      </c>
      <c r="S60" s="25">
        <v>10.26488</v>
      </c>
      <c r="T60" s="25">
        <v>10.233636000000001</v>
      </c>
      <c r="U60" s="25">
        <v>10.199707</v>
      </c>
      <c r="V60" s="25">
        <v>10.21621</v>
      </c>
      <c r="W60" s="25">
        <v>10.185767</v>
      </c>
      <c r="X60" s="25">
        <v>10.131741</v>
      </c>
      <c r="Y60" s="25">
        <v>10.114000000000001</v>
      </c>
      <c r="Z60" s="25">
        <v>10.088267999999999</v>
      </c>
      <c r="AA60" s="25">
        <v>10.056148</v>
      </c>
      <c r="AB60" s="25">
        <v>10.052033</v>
      </c>
      <c r="AC60" s="25">
        <v>10.030837999999999</v>
      </c>
      <c r="AD60" s="25">
        <v>10.001727000000001</v>
      </c>
      <c r="AE60" s="25">
        <v>10.003812999999999</v>
      </c>
      <c r="AF60" s="25">
        <v>9.9775399999999994</v>
      </c>
      <c r="AG60" s="25">
        <v>9.9323409999999992</v>
      </c>
      <c r="AH60" s="25">
        <v>9.903041</v>
      </c>
      <c r="AI60" s="21">
        <v>-1.5510000000000001E-3</v>
      </c>
    </row>
    <row r="63" spans="1:35" ht="15" customHeight="1" x14ac:dyDescent="0.35">
      <c r="B63" s="18" t="s">
        <v>1303</v>
      </c>
    </row>
    <row r="64" spans="1:35" ht="15" customHeight="1" x14ac:dyDescent="0.35">
      <c r="A64" s="15" t="s">
        <v>1304</v>
      </c>
      <c r="B64" s="19" t="s">
        <v>1290</v>
      </c>
      <c r="C64" s="24">
        <v>63.371997999999998</v>
      </c>
      <c r="D64" s="24">
        <v>59.932999000000002</v>
      </c>
      <c r="E64" s="24">
        <v>64.689864999999998</v>
      </c>
      <c r="F64" s="24">
        <v>68.861427000000006</v>
      </c>
      <c r="G64" s="24">
        <v>72.013762999999997</v>
      </c>
      <c r="H64" s="24">
        <v>75.530227999999994</v>
      </c>
      <c r="I64" s="24">
        <v>79.240425000000002</v>
      </c>
      <c r="J64" s="24">
        <v>83.028533999999993</v>
      </c>
      <c r="K64" s="24">
        <v>86.475121000000001</v>
      </c>
      <c r="L64" s="24">
        <v>90.513267999999997</v>
      </c>
      <c r="M64" s="24">
        <v>94.651404999999997</v>
      </c>
      <c r="N64" s="24">
        <v>98.288391000000004</v>
      </c>
      <c r="O64" s="24">
        <v>102.55667099999999</v>
      </c>
      <c r="P64" s="24">
        <v>106.521652</v>
      </c>
      <c r="Q64" s="24">
        <v>111.479332</v>
      </c>
      <c r="R64" s="24">
        <v>115.851364</v>
      </c>
      <c r="S64" s="24">
        <v>120.46687300000001</v>
      </c>
      <c r="T64" s="24">
        <v>125.41025500000001</v>
      </c>
      <c r="U64" s="24">
        <v>130.158951</v>
      </c>
      <c r="V64" s="24">
        <v>135.32948300000001</v>
      </c>
      <c r="W64" s="24">
        <v>140.765717</v>
      </c>
      <c r="X64" s="24">
        <v>146.03994800000001</v>
      </c>
      <c r="Y64" s="24">
        <v>151.26097100000001</v>
      </c>
      <c r="Z64" s="24">
        <v>158.22602800000001</v>
      </c>
      <c r="AA64" s="24">
        <v>163.915482</v>
      </c>
      <c r="AB64" s="24">
        <v>170.23127700000001</v>
      </c>
      <c r="AC64" s="24">
        <v>176.887756</v>
      </c>
      <c r="AD64" s="24">
        <v>183.427155</v>
      </c>
      <c r="AE64" s="24">
        <v>191.10295099999999</v>
      </c>
      <c r="AF64" s="24">
        <v>198.939514</v>
      </c>
      <c r="AG64" s="24">
        <v>206.79264800000001</v>
      </c>
      <c r="AH64" s="24">
        <v>214.277344</v>
      </c>
      <c r="AI64" s="21">
        <v>4.0080999999999999E-2</v>
      </c>
    </row>
    <row r="65" spans="1:35" ht="15" customHeight="1" x14ac:dyDescent="0.35">
      <c r="A65" s="15" t="s">
        <v>1305</v>
      </c>
      <c r="B65" s="19" t="s">
        <v>1292</v>
      </c>
      <c r="C65" s="24">
        <v>56.261001999999998</v>
      </c>
      <c r="D65" s="24">
        <v>54.432999000000002</v>
      </c>
      <c r="E65" s="24">
        <v>61.120860999999998</v>
      </c>
      <c r="F65" s="24">
        <v>64.167282</v>
      </c>
      <c r="G65" s="24">
        <v>67.014549000000002</v>
      </c>
      <c r="H65" s="24">
        <v>71.021102999999997</v>
      </c>
      <c r="I65" s="24">
        <v>74.424919000000003</v>
      </c>
      <c r="J65" s="24">
        <v>78.099334999999996</v>
      </c>
      <c r="K65" s="24">
        <v>81.877350000000007</v>
      </c>
      <c r="L65" s="24">
        <v>84.780281000000002</v>
      </c>
      <c r="M65" s="24">
        <v>88.748465999999993</v>
      </c>
      <c r="N65" s="24">
        <v>92.465171999999995</v>
      </c>
      <c r="O65" s="24">
        <v>96.784126000000001</v>
      </c>
      <c r="P65" s="24">
        <v>100.08616600000001</v>
      </c>
      <c r="Q65" s="24">
        <v>106.05126199999999</v>
      </c>
      <c r="R65" s="24">
        <v>110.099335</v>
      </c>
      <c r="S65" s="24">
        <v>114.72807299999999</v>
      </c>
      <c r="T65" s="24">
        <v>120.302536</v>
      </c>
      <c r="U65" s="24">
        <v>123.55674</v>
      </c>
      <c r="V65" s="24">
        <v>128.69053600000001</v>
      </c>
      <c r="W65" s="24">
        <v>133.85997</v>
      </c>
      <c r="X65" s="24">
        <v>138.38436899999999</v>
      </c>
      <c r="Y65" s="24">
        <v>143.18843100000001</v>
      </c>
      <c r="Z65" s="24">
        <v>150.32037399999999</v>
      </c>
      <c r="AA65" s="24">
        <v>155.66941800000001</v>
      </c>
      <c r="AB65" s="24">
        <v>161.56118799999999</v>
      </c>
      <c r="AC65" s="24">
        <v>168.90799000000001</v>
      </c>
      <c r="AD65" s="24">
        <v>174.21331799999999</v>
      </c>
      <c r="AE65" s="24">
        <v>182.914185</v>
      </c>
      <c r="AF65" s="24">
        <v>190.96421799999999</v>
      </c>
      <c r="AG65" s="24">
        <v>198.653381</v>
      </c>
      <c r="AH65" s="24">
        <v>205.58166499999999</v>
      </c>
      <c r="AI65" s="21">
        <v>4.2687000000000003E-2</v>
      </c>
    </row>
    <row r="66" spans="1:35" ht="15" customHeight="1" x14ac:dyDescent="0.35">
      <c r="A66" s="15" t="s">
        <v>1306</v>
      </c>
      <c r="B66" s="19" t="s">
        <v>1294</v>
      </c>
      <c r="C66" s="20">
        <v>2.5672429999999999</v>
      </c>
      <c r="D66" s="20">
        <v>2.494653</v>
      </c>
      <c r="E66" s="20">
        <v>2.6167959999999999</v>
      </c>
      <c r="F66" s="20">
        <v>2.679862</v>
      </c>
      <c r="G66" s="20">
        <v>2.7806630000000001</v>
      </c>
      <c r="H66" s="20">
        <v>2.950869</v>
      </c>
      <c r="I66" s="20">
        <v>3.2740309999999999</v>
      </c>
      <c r="J66" s="20">
        <v>3.6352310000000001</v>
      </c>
      <c r="K66" s="20">
        <v>3.9045700000000001</v>
      </c>
      <c r="L66" s="20">
        <v>4.1063190000000001</v>
      </c>
      <c r="M66" s="20">
        <v>4.2198830000000003</v>
      </c>
      <c r="N66" s="20">
        <v>4.2589319999999997</v>
      </c>
      <c r="O66" s="20">
        <v>4.29399</v>
      </c>
      <c r="P66" s="20">
        <v>4.414371</v>
      </c>
      <c r="Q66" s="20">
        <v>4.5979140000000003</v>
      </c>
      <c r="R66" s="20">
        <v>4.7650899999999998</v>
      </c>
      <c r="S66" s="20">
        <v>4.8613289999999996</v>
      </c>
      <c r="T66" s="20">
        <v>4.9621130000000004</v>
      </c>
      <c r="U66" s="20">
        <v>5.1407999999999996</v>
      </c>
      <c r="V66" s="20">
        <v>5.2990370000000002</v>
      </c>
      <c r="W66" s="20">
        <v>5.4324729999999999</v>
      </c>
      <c r="X66" s="20">
        <v>5.5602489999999998</v>
      </c>
      <c r="Y66" s="20">
        <v>5.6833330000000002</v>
      </c>
      <c r="Z66" s="20">
        <v>5.8518420000000004</v>
      </c>
      <c r="AA66" s="20">
        <v>6.0152270000000003</v>
      </c>
      <c r="AB66" s="20">
        <v>6.1791989999999997</v>
      </c>
      <c r="AC66" s="20">
        <v>6.3644819999999998</v>
      </c>
      <c r="AD66" s="20">
        <v>6.5799289999999999</v>
      </c>
      <c r="AE66" s="20">
        <v>6.8233329999999999</v>
      </c>
      <c r="AF66" s="20">
        <v>7.0516769999999998</v>
      </c>
      <c r="AG66" s="20">
        <v>7.2663719999999996</v>
      </c>
      <c r="AH66" s="20">
        <v>7.539873</v>
      </c>
      <c r="AI66" s="21">
        <v>3.5365000000000001E-2</v>
      </c>
    </row>
    <row r="67" spans="1:35" ht="15" customHeight="1" x14ac:dyDescent="0.35">
      <c r="A67" s="15" t="s">
        <v>1307</v>
      </c>
      <c r="B67" s="19" t="s">
        <v>1296</v>
      </c>
      <c r="C67" s="25">
        <v>34.304488999999997</v>
      </c>
      <c r="D67" s="25">
        <v>33.800193999999998</v>
      </c>
      <c r="E67" s="25">
        <v>36.417724999999997</v>
      </c>
      <c r="F67" s="25">
        <v>37.586716000000003</v>
      </c>
      <c r="G67" s="25">
        <v>37.716304999999998</v>
      </c>
      <c r="H67" s="25">
        <v>38.396023</v>
      </c>
      <c r="I67" s="25">
        <v>39.533447000000002</v>
      </c>
      <c r="J67" s="25">
        <v>39.778252000000002</v>
      </c>
      <c r="K67" s="25">
        <v>41.000445999999997</v>
      </c>
      <c r="L67" s="25">
        <v>41.536563999999998</v>
      </c>
      <c r="M67" s="25">
        <v>42.097805000000001</v>
      </c>
      <c r="N67" s="25">
        <v>43.481296999999998</v>
      </c>
      <c r="O67" s="25">
        <v>44.493183000000002</v>
      </c>
      <c r="P67" s="25">
        <v>45.615143000000003</v>
      </c>
      <c r="Q67" s="25">
        <v>46.778132999999997</v>
      </c>
      <c r="R67" s="25">
        <v>47.961993999999997</v>
      </c>
      <c r="S67" s="25">
        <v>49.598457000000003</v>
      </c>
      <c r="T67" s="25">
        <v>51.124504000000002</v>
      </c>
      <c r="U67" s="25">
        <v>53.528964999999999</v>
      </c>
      <c r="V67" s="25">
        <v>55.350684999999999</v>
      </c>
      <c r="W67" s="25">
        <v>57.637360000000001</v>
      </c>
      <c r="X67" s="25">
        <v>59.126328000000001</v>
      </c>
      <c r="Y67" s="25">
        <v>60.710872999999999</v>
      </c>
      <c r="Z67" s="25">
        <v>62.385551</v>
      </c>
      <c r="AA67" s="25">
        <v>64.050179</v>
      </c>
      <c r="AB67" s="25">
        <v>65.694534000000004</v>
      </c>
      <c r="AC67" s="25">
        <v>67.846007999999998</v>
      </c>
      <c r="AD67" s="25">
        <v>69.313484000000003</v>
      </c>
      <c r="AE67" s="25">
        <v>71.197188999999995</v>
      </c>
      <c r="AF67" s="25">
        <v>73.135711999999998</v>
      </c>
      <c r="AG67" s="25">
        <v>75.155356999999995</v>
      </c>
      <c r="AH67" s="25">
        <v>77.163955999999999</v>
      </c>
      <c r="AI67" s="21">
        <v>2.6495000000000001E-2</v>
      </c>
    </row>
    <row r="68" spans="1:35" ht="15" customHeight="1" x14ac:dyDescent="0.35">
      <c r="A68" s="15" t="s">
        <v>1308</v>
      </c>
      <c r="B68" s="19" t="s">
        <v>1298</v>
      </c>
      <c r="C68" s="20">
        <v>1.7060120000000001</v>
      </c>
      <c r="D68" s="20">
        <v>1.663548</v>
      </c>
      <c r="E68" s="20">
        <v>1.7483109999999999</v>
      </c>
      <c r="F68" s="20">
        <v>1.7894030000000001</v>
      </c>
      <c r="G68" s="20">
        <v>1.801809</v>
      </c>
      <c r="H68" s="20">
        <v>1.8328469999999999</v>
      </c>
      <c r="I68" s="20">
        <v>1.883405</v>
      </c>
      <c r="J68" s="20">
        <v>1.9062110000000001</v>
      </c>
      <c r="K68" s="20">
        <v>1.963149</v>
      </c>
      <c r="L68" s="20">
        <v>1.989428</v>
      </c>
      <c r="M68" s="20">
        <v>2.0237759999999998</v>
      </c>
      <c r="N68" s="20">
        <v>2.0889180000000001</v>
      </c>
      <c r="O68" s="20">
        <v>2.1405340000000002</v>
      </c>
      <c r="P68" s="20">
        <v>2.1950720000000001</v>
      </c>
      <c r="Q68" s="20">
        <v>2.2512729999999999</v>
      </c>
      <c r="R68" s="20">
        <v>2.3086519999999999</v>
      </c>
      <c r="S68" s="20">
        <v>2.3801049999999999</v>
      </c>
      <c r="T68" s="20">
        <v>2.4483459999999999</v>
      </c>
      <c r="U68" s="20">
        <v>2.5485630000000001</v>
      </c>
      <c r="V68" s="20">
        <v>2.629302</v>
      </c>
      <c r="W68" s="20">
        <v>2.7217090000000002</v>
      </c>
      <c r="X68" s="20">
        <v>2.7899020000000001</v>
      </c>
      <c r="Y68" s="20">
        <v>2.8636490000000001</v>
      </c>
      <c r="Z68" s="20">
        <v>2.940814</v>
      </c>
      <c r="AA68" s="20">
        <v>3.0178569999999998</v>
      </c>
      <c r="AB68" s="20">
        <v>3.0961940000000001</v>
      </c>
      <c r="AC68" s="20">
        <v>3.191967</v>
      </c>
      <c r="AD68" s="20">
        <v>3.2685900000000001</v>
      </c>
      <c r="AE68" s="20">
        <v>3.3593609999999998</v>
      </c>
      <c r="AF68" s="20">
        <v>3.45289</v>
      </c>
      <c r="AG68" s="20">
        <v>3.5491519999999999</v>
      </c>
      <c r="AH68" s="20">
        <v>3.645</v>
      </c>
      <c r="AI68" s="21">
        <v>2.4792999999999999E-2</v>
      </c>
    </row>
    <row r="69" spans="1:35" ht="15" customHeight="1" x14ac:dyDescent="0.35">
      <c r="A69" s="15" t="s">
        <v>1309</v>
      </c>
      <c r="B69" s="19" t="s">
        <v>1300</v>
      </c>
      <c r="C69" s="20">
        <v>2.1898119999999999</v>
      </c>
      <c r="D69" s="20">
        <v>2.2379190000000002</v>
      </c>
      <c r="E69" s="20">
        <v>2.2481279999999999</v>
      </c>
      <c r="F69" s="20">
        <v>2.2702969999999998</v>
      </c>
      <c r="G69" s="20">
        <v>2.3090570000000001</v>
      </c>
      <c r="H69" s="20">
        <v>2.3571620000000002</v>
      </c>
      <c r="I69" s="20">
        <v>2.4022109999999999</v>
      </c>
      <c r="J69" s="20">
        <v>2.459527</v>
      </c>
      <c r="K69" s="20">
        <v>2.5357850000000002</v>
      </c>
      <c r="L69" s="20">
        <v>2.5792730000000001</v>
      </c>
      <c r="M69" s="20">
        <v>2.6453579999999999</v>
      </c>
      <c r="N69" s="20">
        <v>2.707131</v>
      </c>
      <c r="O69" s="20">
        <v>2.7698649999999998</v>
      </c>
      <c r="P69" s="20">
        <v>2.8308270000000002</v>
      </c>
      <c r="Q69" s="20">
        <v>2.9031630000000002</v>
      </c>
      <c r="R69" s="20">
        <v>2.9717669999999998</v>
      </c>
      <c r="S69" s="20">
        <v>3.033798</v>
      </c>
      <c r="T69" s="20">
        <v>3.1054840000000001</v>
      </c>
      <c r="U69" s="20">
        <v>3.185438</v>
      </c>
      <c r="V69" s="20">
        <v>3.2584930000000001</v>
      </c>
      <c r="W69" s="20">
        <v>3.3349890000000002</v>
      </c>
      <c r="X69" s="20">
        <v>3.404274</v>
      </c>
      <c r="Y69" s="20">
        <v>3.4866809999999999</v>
      </c>
      <c r="Z69" s="20">
        <v>3.5756100000000002</v>
      </c>
      <c r="AA69" s="20">
        <v>3.6652490000000002</v>
      </c>
      <c r="AB69" s="20">
        <v>3.755188</v>
      </c>
      <c r="AC69" s="20">
        <v>3.854206</v>
      </c>
      <c r="AD69" s="20">
        <v>3.9429029999999998</v>
      </c>
      <c r="AE69" s="20">
        <v>4.0458959999999999</v>
      </c>
      <c r="AF69" s="20">
        <v>4.1494869999999997</v>
      </c>
      <c r="AG69" s="20">
        <v>4.2542790000000004</v>
      </c>
      <c r="AH69" s="20">
        <v>4.3605549999999997</v>
      </c>
      <c r="AI69" s="21">
        <v>2.2467000000000001E-2</v>
      </c>
    </row>
    <row r="70" spans="1:35" ht="15" customHeight="1" x14ac:dyDescent="0.35">
      <c r="A70" s="15" t="s">
        <v>1310</v>
      </c>
      <c r="B70" s="19" t="s">
        <v>1302</v>
      </c>
      <c r="C70" s="25">
        <v>10.391057999999999</v>
      </c>
      <c r="D70" s="25">
        <v>10.461864</v>
      </c>
      <c r="E70" s="25">
        <v>10.648066999999999</v>
      </c>
      <c r="F70" s="25">
        <v>10.887472000000001</v>
      </c>
      <c r="G70" s="25">
        <v>11.154559000000001</v>
      </c>
      <c r="H70" s="25">
        <v>11.480684</v>
      </c>
      <c r="I70" s="25">
        <v>11.899129</v>
      </c>
      <c r="J70" s="25">
        <v>12.316031000000001</v>
      </c>
      <c r="K70" s="25">
        <v>12.676454</v>
      </c>
      <c r="L70" s="25">
        <v>12.929342</v>
      </c>
      <c r="M70" s="25">
        <v>13.160523</v>
      </c>
      <c r="N70" s="25">
        <v>13.441796</v>
      </c>
      <c r="O70" s="25">
        <v>13.689627</v>
      </c>
      <c r="P70" s="25">
        <v>13.929066000000001</v>
      </c>
      <c r="Q70" s="25">
        <v>14.285959999999999</v>
      </c>
      <c r="R70" s="25">
        <v>14.607475000000001</v>
      </c>
      <c r="S70" s="25">
        <v>14.840388000000001</v>
      </c>
      <c r="T70" s="25">
        <v>15.120773</v>
      </c>
      <c r="U70" s="25">
        <v>15.405524</v>
      </c>
      <c r="V70" s="25">
        <v>15.775767</v>
      </c>
      <c r="W70" s="25">
        <v>16.080793</v>
      </c>
      <c r="X70" s="25">
        <v>16.353183999999999</v>
      </c>
      <c r="Y70" s="25">
        <v>16.694514999999999</v>
      </c>
      <c r="Z70" s="25">
        <v>17.034168000000001</v>
      </c>
      <c r="AA70" s="25">
        <v>17.370456999999998</v>
      </c>
      <c r="AB70" s="25">
        <v>17.768001999999999</v>
      </c>
      <c r="AC70" s="25">
        <v>18.149460000000001</v>
      </c>
      <c r="AD70" s="25">
        <v>18.526517999999999</v>
      </c>
      <c r="AE70" s="25">
        <v>18.978594000000001</v>
      </c>
      <c r="AF70" s="25">
        <v>19.395720000000001</v>
      </c>
      <c r="AG70" s="25">
        <v>19.787699</v>
      </c>
      <c r="AH70" s="25">
        <v>20.212610000000002</v>
      </c>
      <c r="AI70" s="21">
        <v>2.1694999999999999E-2</v>
      </c>
    </row>
    <row r="71" spans="1:35" ht="15" customHeight="1" thickBot="1" x14ac:dyDescent="0.4"/>
    <row r="72" spans="1:35" ht="15" customHeight="1" x14ac:dyDescent="0.35">
      <c r="B72" s="110" t="s">
        <v>1311</v>
      </c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</row>
    <row r="73" spans="1:35" ht="15" customHeight="1" x14ac:dyDescent="0.35">
      <c r="B73" s="26" t="s">
        <v>1312</v>
      </c>
    </row>
    <row r="74" spans="1:35" ht="15" customHeight="1" x14ac:dyDescent="0.35">
      <c r="B74" s="26" t="s">
        <v>1313</v>
      </c>
    </row>
    <row r="75" spans="1:35" ht="15" customHeight="1" x14ac:dyDescent="0.35">
      <c r="B75" s="26" t="s">
        <v>1314</v>
      </c>
    </row>
    <row r="76" spans="1:35" ht="15" customHeight="1" x14ac:dyDescent="0.35">
      <c r="B76" s="26" t="s">
        <v>1315</v>
      </c>
    </row>
    <row r="77" spans="1:35" ht="15" customHeight="1" x14ac:dyDescent="0.35">
      <c r="B77" s="26" t="s">
        <v>1316</v>
      </c>
    </row>
    <row r="78" spans="1:35" ht="15" customHeight="1" x14ac:dyDescent="0.35">
      <c r="B78" s="26" t="s">
        <v>1317</v>
      </c>
    </row>
    <row r="79" spans="1:35" ht="15" customHeight="1" x14ac:dyDescent="0.35">
      <c r="B79" s="26" t="s">
        <v>1318</v>
      </c>
    </row>
    <row r="80" spans="1:35" ht="15" customHeight="1" x14ac:dyDescent="0.35">
      <c r="B80" s="26" t="s">
        <v>1319</v>
      </c>
    </row>
    <row r="81" spans="2:2" ht="15" customHeight="1" x14ac:dyDescent="0.35">
      <c r="B81" s="26" t="s">
        <v>1320</v>
      </c>
    </row>
    <row r="82" spans="2:2" ht="15" customHeight="1" x14ac:dyDescent="0.35">
      <c r="B82" s="26" t="s">
        <v>1321</v>
      </c>
    </row>
    <row r="83" spans="2:2" ht="15" customHeight="1" x14ac:dyDescent="0.35">
      <c r="B83" s="26" t="s">
        <v>1322</v>
      </c>
    </row>
    <row r="84" spans="2:2" ht="15" customHeight="1" x14ac:dyDescent="0.35">
      <c r="B84" s="26" t="s">
        <v>1323</v>
      </c>
    </row>
    <row r="85" spans="2:2" ht="15" customHeight="1" x14ac:dyDescent="0.35">
      <c r="B85" s="26" t="s">
        <v>1324</v>
      </c>
    </row>
    <row r="86" spans="2:2" ht="15" customHeight="1" x14ac:dyDescent="0.35">
      <c r="B86" s="26" t="s">
        <v>1325</v>
      </c>
    </row>
    <row r="87" spans="2:2" ht="15" customHeight="1" x14ac:dyDescent="0.35">
      <c r="B87" s="26" t="s">
        <v>1326</v>
      </c>
    </row>
    <row r="88" spans="2:2" ht="15" customHeight="1" x14ac:dyDescent="0.35">
      <c r="B88" s="26" t="s">
        <v>1327</v>
      </c>
    </row>
    <row r="89" spans="2:2" ht="15" customHeight="1" x14ac:dyDescent="0.35">
      <c r="B89" s="26" t="s">
        <v>1328</v>
      </c>
    </row>
    <row r="90" spans="2:2" ht="15" customHeight="1" x14ac:dyDescent="0.35">
      <c r="B90" s="26" t="s">
        <v>1329</v>
      </c>
    </row>
    <row r="91" spans="2:2" ht="15" customHeight="1" x14ac:dyDescent="0.35">
      <c r="B91" s="26" t="s">
        <v>1330</v>
      </c>
    </row>
    <row r="92" spans="2:2" ht="15" customHeight="1" x14ac:dyDescent="0.35">
      <c r="B92" s="26" t="s">
        <v>1331</v>
      </c>
    </row>
    <row r="93" spans="2:2" ht="15" customHeight="1" x14ac:dyDescent="0.35">
      <c r="B93" s="26" t="s">
        <v>1332</v>
      </c>
    </row>
    <row r="94" spans="2:2" ht="15" customHeight="1" x14ac:dyDescent="0.35">
      <c r="B94" s="26" t="s">
        <v>1333</v>
      </c>
    </row>
    <row r="95" spans="2:2" ht="15" customHeight="1" x14ac:dyDescent="0.35">
      <c r="B95" s="26" t="s">
        <v>1334</v>
      </c>
    </row>
    <row r="96" spans="2:2" ht="15" customHeight="1" x14ac:dyDescent="0.35">
      <c r="B96" s="26" t="s">
        <v>1335</v>
      </c>
    </row>
    <row r="97" spans="2:2" ht="15" customHeight="1" x14ac:dyDescent="0.35">
      <c r="B97" s="26" t="s">
        <v>1336</v>
      </c>
    </row>
    <row r="98" spans="2:2" ht="15" customHeight="1" x14ac:dyDescent="0.35">
      <c r="B98" s="26" t="s">
        <v>1337</v>
      </c>
    </row>
    <row r="99" spans="2:2" ht="15" customHeight="1" x14ac:dyDescent="0.35">
      <c r="B99" s="26" t="s">
        <v>1338</v>
      </c>
    </row>
    <row r="100" spans="2:2" ht="15" customHeight="1" x14ac:dyDescent="0.35">
      <c r="B100" s="26" t="s">
        <v>1339</v>
      </c>
    </row>
  </sheetData>
  <mergeCells count="1">
    <mergeCell ref="B72:AI7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3:G27"/>
  <sheetViews>
    <sheetView topLeftCell="A16" workbookViewId="0">
      <selection activeCell="C26" sqref="C26"/>
    </sheetView>
  </sheetViews>
  <sheetFormatPr defaultRowHeight="14.5" x14ac:dyDescent="0.35"/>
  <cols>
    <col min="4" max="5" width="11.54296875" bestFit="1" customWidth="1"/>
    <col min="7" max="7" width="11.54296875" bestFit="1" customWidth="1"/>
  </cols>
  <sheetData>
    <row r="23" spans="2:7" x14ac:dyDescent="0.35">
      <c r="C23" t="s">
        <v>1442</v>
      </c>
      <c r="D23" t="s">
        <v>1443</v>
      </c>
      <c r="E23" t="s">
        <v>1444</v>
      </c>
      <c r="F23" t="s">
        <v>1445</v>
      </c>
      <c r="G23" t="s">
        <v>1389</v>
      </c>
    </row>
    <row r="24" spans="2:7" x14ac:dyDescent="0.35">
      <c r="B24" t="s">
        <v>1441</v>
      </c>
      <c r="C24">
        <v>69.88</v>
      </c>
      <c r="D24">
        <v>75.58</v>
      </c>
      <c r="E24">
        <v>82.51</v>
      </c>
      <c r="F24">
        <v>82.24</v>
      </c>
      <c r="G24">
        <v>526</v>
      </c>
    </row>
    <row r="25" spans="2:7" x14ac:dyDescent="0.35">
      <c r="B25" t="s">
        <v>1452</v>
      </c>
      <c r="D25">
        <f>D24/About!B39/About!B36*About!B42</f>
        <v>1.343523787462453E-5</v>
      </c>
      <c r="E25">
        <f>E24/About!B39/About!B37*About!B42</f>
        <v>1.2842023770145411E-5</v>
      </c>
      <c r="G25">
        <f>G24/About!B38*About!B42*About!B40/About!B41</f>
        <v>9.9106469845578083E-6</v>
      </c>
    </row>
    <row r="26" spans="2:7" x14ac:dyDescent="0.35">
      <c r="B26" t="s">
        <v>1451</v>
      </c>
      <c r="C26" s="108">
        <f>Crude!C54</f>
        <v>63.371997999999998</v>
      </c>
    </row>
    <row r="27" spans="2:7" x14ac:dyDescent="0.35">
      <c r="B27" t="s">
        <v>1446</v>
      </c>
      <c r="C27">
        <f>C24/Crude!C54</f>
        <v>1.1026952314175102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26"/>
  <sheetViews>
    <sheetView workbookViewId="0">
      <selection activeCell="A8" sqref="A8:C8"/>
    </sheetView>
  </sheetViews>
  <sheetFormatPr defaultRowHeight="14.5" x14ac:dyDescent="0.35"/>
  <cols>
    <col min="1" max="2" width="11" customWidth="1"/>
    <col min="3" max="3" width="11.54296875" bestFit="1" customWidth="1"/>
    <col min="11" max="11" width="11.54296875" bestFit="1" customWidth="1"/>
  </cols>
  <sheetData>
    <row r="2" spans="1:3" ht="29" x14ac:dyDescent="0.35">
      <c r="A2" t="s">
        <v>40</v>
      </c>
      <c r="B2" s="32" t="s">
        <v>1460</v>
      </c>
      <c r="C2">
        <v>63</v>
      </c>
    </row>
    <row r="3" spans="1:3" ht="29" x14ac:dyDescent="0.35">
      <c r="A3" t="s">
        <v>3</v>
      </c>
      <c r="B3" s="32" t="s">
        <v>1461</v>
      </c>
      <c r="C3">
        <v>11</v>
      </c>
    </row>
    <row r="4" spans="1:3" ht="29" x14ac:dyDescent="0.35">
      <c r="A4" t="s">
        <v>1459</v>
      </c>
      <c r="B4" s="32" t="s">
        <v>1462</v>
      </c>
      <c r="C4">
        <v>68</v>
      </c>
    </row>
    <row r="5" spans="1:3" x14ac:dyDescent="0.35">
      <c r="B5" s="32"/>
    </row>
    <row r="6" spans="1:3" ht="29" x14ac:dyDescent="0.35">
      <c r="A6" t="s">
        <v>40</v>
      </c>
      <c r="B6" s="32" t="s">
        <v>1463</v>
      </c>
      <c r="C6">
        <f>C2/B25*About!D19</f>
        <v>9.9415662247071769E-6</v>
      </c>
    </row>
    <row r="7" spans="1:3" ht="29" x14ac:dyDescent="0.35">
      <c r="A7" t="s">
        <v>3</v>
      </c>
      <c r="B7" s="32" t="s">
        <v>1463</v>
      </c>
      <c r="C7">
        <f>C3/1000000*About!D19</f>
        <v>9.8786029719506992E-6</v>
      </c>
    </row>
    <row r="8" spans="1:3" ht="29" x14ac:dyDescent="0.35">
      <c r="A8" t="s">
        <v>1459</v>
      </c>
      <c r="B8" s="32" t="s">
        <v>1463</v>
      </c>
      <c r="C8">
        <f>C4/1000/6000/B26</f>
        <v>2.8566363443120592E-6</v>
      </c>
    </row>
    <row r="25" spans="1:3" ht="29" x14ac:dyDescent="0.35">
      <c r="A25" s="32" t="s">
        <v>1464</v>
      </c>
      <c r="B25">
        <v>5691000</v>
      </c>
      <c r="C25" t="s">
        <v>1340</v>
      </c>
    </row>
    <row r="26" spans="1:3" x14ac:dyDescent="0.35">
      <c r="A26" t="s">
        <v>1466</v>
      </c>
      <c r="B26">
        <v>3.9673699999999998</v>
      </c>
      <c r="C26" t="s">
        <v>1465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selection activeCell="C10" sqref="C10"/>
    </sheetView>
  </sheetViews>
  <sheetFormatPr defaultRowHeight="14.5" x14ac:dyDescent="0.35"/>
  <cols>
    <col min="1" max="1" width="13.26953125" bestFit="1" customWidth="1"/>
    <col min="2" max="2" width="26" bestFit="1" customWidth="1"/>
    <col min="3" max="3" width="18.54296875" bestFit="1" customWidth="1"/>
    <col min="4" max="4" width="14" customWidth="1"/>
  </cols>
  <sheetData>
    <row r="1" spans="1:8" x14ac:dyDescent="0.35">
      <c r="A1" s="6" t="s">
        <v>1360</v>
      </c>
      <c r="B1" s="4"/>
    </row>
    <row r="2" spans="1:8" x14ac:dyDescent="0.35">
      <c r="A2" s="1" t="s">
        <v>1346</v>
      </c>
      <c r="B2" s="1" t="s">
        <v>1357</v>
      </c>
      <c r="C2" s="1" t="s">
        <v>1358</v>
      </c>
      <c r="D2" s="1" t="s">
        <v>1359</v>
      </c>
    </row>
    <row r="3" spans="1:8" x14ac:dyDescent="0.35">
      <c r="A3">
        <v>2019</v>
      </c>
      <c r="B3">
        <v>21.7</v>
      </c>
      <c r="C3">
        <v>10253</v>
      </c>
      <c r="D3" s="33">
        <f>C3/B3</f>
        <v>472.48847926267285</v>
      </c>
    </row>
    <row r="4" spans="1:8" x14ac:dyDescent="0.35">
      <c r="A4">
        <v>2020</v>
      </c>
      <c r="B4">
        <v>25.6</v>
      </c>
      <c r="C4">
        <v>9489</v>
      </c>
      <c r="D4" s="33">
        <f>C4/B4</f>
        <v>370.6640625</v>
      </c>
    </row>
    <row r="13" spans="1:8" x14ac:dyDescent="0.35">
      <c r="G13" s="31" t="s">
        <v>0</v>
      </c>
      <c r="H13" s="31" t="s">
        <v>1361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04"/>
  <sheetViews>
    <sheetView workbookViewId="0">
      <selection activeCell="E76" sqref="E76"/>
    </sheetView>
  </sheetViews>
  <sheetFormatPr defaultColWidth="28.81640625" defaultRowHeight="14" x14ac:dyDescent="0.3"/>
  <cols>
    <col min="1" max="1" width="34.81640625" style="39" customWidth="1"/>
    <col min="2" max="2" width="14.7265625" style="35" customWidth="1"/>
    <col min="3" max="3" width="15.453125" style="35" bestFit="1" customWidth="1"/>
    <col min="4" max="18" width="14.7265625" style="35" customWidth="1"/>
    <col min="19" max="19" width="17.1796875" style="35" bestFit="1" customWidth="1"/>
    <col min="20" max="20" width="17.26953125" style="35" bestFit="1" customWidth="1"/>
    <col min="21" max="21" width="15.26953125" style="35" customWidth="1"/>
    <col min="22" max="22" width="15.81640625" style="35" customWidth="1"/>
    <col min="23" max="23" width="15" style="35" bestFit="1" customWidth="1"/>
    <col min="24" max="253" width="8.81640625" style="35" customWidth="1"/>
    <col min="254" max="256" width="28.81640625" style="35"/>
    <col min="257" max="257" width="34.81640625" style="35" customWidth="1"/>
    <col min="258" max="258" width="14.7265625" style="35" customWidth="1"/>
    <col min="259" max="259" width="15.453125" style="35" bestFit="1" customWidth="1"/>
    <col min="260" max="274" width="14.7265625" style="35" customWidth="1"/>
    <col min="275" max="275" width="17.1796875" style="35" bestFit="1" customWidth="1"/>
    <col min="276" max="276" width="17.26953125" style="35" bestFit="1" customWidth="1"/>
    <col min="277" max="277" width="15.26953125" style="35" customWidth="1"/>
    <col min="278" max="278" width="15.81640625" style="35" customWidth="1"/>
    <col min="279" max="279" width="15" style="35" bestFit="1" customWidth="1"/>
    <col min="280" max="509" width="8.81640625" style="35" customWidth="1"/>
    <col min="510" max="512" width="28.81640625" style="35"/>
    <col min="513" max="513" width="34.81640625" style="35" customWidth="1"/>
    <col min="514" max="514" width="14.7265625" style="35" customWidth="1"/>
    <col min="515" max="515" width="15.453125" style="35" bestFit="1" customWidth="1"/>
    <col min="516" max="530" width="14.7265625" style="35" customWidth="1"/>
    <col min="531" max="531" width="17.1796875" style="35" bestFit="1" customWidth="1"/>
    <col min="532" max="532" width="17.26953125" style="35" bestFit="1" customWidth="1"/>
    <col min="533" max="533" width="15.26953125" style="35" customWidth="1"/>
    <col min="534" max="534" width="15.81640625" style="35" customWidth="1"/>
    <col min="535" max="535" width="15" style="35" bestFit="1" customWidth="1"/>
    <col min="536" max="765" width="8.81640625" style="35" customWidth="1"/>
    <col min="766" max="768" width="28.81640625" style="35"/>
    <col min="769" max="769" width="34.81640625" style="35" customWidth="1"/>
    <col min="770" max="770" width="14.7265625" style="35" customWidth="1"/>
    <col min="771" max="771" width="15.453125" style="35" bestFit="1" customWidth="1"/>
    <col min="772" max="786" width="14.7265625" style="35" customWidth="1"/>
    <col min="787" max="787" width="17.1796875" style="35" bestFit="1" customWidth="1"/>
    <col min="788" max="788" width="17.26953125" style="35" bestFit="1" customWidth="1"/>
    <col min="789" max="789" width="15.26953125" style="35" customWidth="1"/>
    <col min="790" max="790" width="15.81640625" style="35" customWidth="1"/>
    <col min="791" max="791" width="15" style="35" bestFit="1" customWidth="1"/>
    <col min="792" max="1021" width="8.81640625" style="35" customWidth="1"/>
    <col min="1022" max="1024" width="28.81640625" style="35"/>
    <col min="1025" max="1025" width="34.81640625" style="35" customWidth="1"/>
    <col min="1026" max="1026" width="14.7265625" style="35" customWidth="1"/>
    <col min="1027" max="1027" width="15.453125" style="35" bestFit="1" customWidth="1"/>
    <col min="1028" max="1042" width="14.7265625" style="35" customWidth="1"/>
    <col min="1043" max="1043" width="17.1796875" style="35" bestFit="1" customWidth="1"/>
    <col min="1044" max="1044" width="17.26953125" style="35" bestFit="1" customWidth="1"/>
    <col min="1045" max="1045" width="15.26953125" style="35" customWidth="1"/>
    <col min="1046" max="1046" width="15.81640625" style="35" customWidth="1"/>
    <col min="1047" max="1047" width="15" style="35" bestFit="1" customWidth="1"/>
    <col min="1048" max="1277" width="8.81640625" style="35" customWidth="1"/>
    <col min="1278" max="1280" width="28.81640625" style="35"/>
    <col min="1281" max="1281" width="34.81640625" style="35" customWidth="1"/>
    <col min="1282" max="1282" width="14.7265625" style="35" customWidth="1"/>
    <col min="1283" max="1283" width="15.453125" style="35" bestFit="1" customWidth="1"/>
    <col min="1284" max="1298" width="14.7265625" style="35" customWidth="1"/>
    <col min="1299" max="1299" width="17.1796875" style="35" bestFit="1" customWidth="1"/>
    <col min="1300" max="1300" width="17.26953125" style="35" bestFit="1" customWidth="1"/>
    <col min="1301" max="1301" width="15.26953125" style="35" customWidth="1"/>
    <col min="1302" max="1302" width="15.81640625" style="35" customWidth="1"/>
    <col min="1303" max="1303" width="15" style="35" bestFit="1" customWidth="1"/>
    <col min="1304" max="1533" width="8.81640625" style="35" customWidth="1"/>
    <col min="1534" max="1536" width="28.81640625" style="35"/>
    <col min="1537" max="1537" width="34.81640625" style="35" customWidth="1"/>
    <col min="1538" max="1538" width="14.7265625" style="35" customWidth="1"/>
    <col min="1539" max="1539" width="15.453125" style="35" bestFit="1" customWidth="1"/>
    <col min="1540" max="1554" width="14.7265625" style="35" customWidth="1"/>
    <col min="1555" max="1555" width="17.1796875" style="35" bestFit="1" customWidth="1"/>
    <col min="1556" max="1556" width="17.26953125" style="35" bestFit="1" customWidth="1"/>
    <col min="1557" max="1557" width="15.26953125" style="35" customWidth="1"/>
    <col min="1558" max="1558" width="15.81640625" style="35" customWidth="1"/>
    <col min="1559" max="1559" width="15" style="35" bestFit="1" customWidth="1"/>
    <col min="1560" max="1789" width="8.81640625" style="35" customWidth="1"/>
    <col min="1790" max="1792" width="28.81640625" style="35"/>
    <col min="1793" max="1793" width="34.81640625" style="35" customWidth="1"/>
    <col min="1794" max="1794" width="14.7265625" style="35" customWidth="1"/>
    <col min="1795" max="1795" width="15.453125" style="35" bestFit="1" customWidth="1"/>
    <col min="1796" max="1810" width="14.7265625" style="35" customWidth="1"/>
    <col min="1811" max="1811" width="17.1796875" style="35" bestFit="1" customWidth="1"/>
    <col min="1812" max="1812" width="17.26953125" style="35" bestFit="1" customWidth="1"/>
    <col min="1813" max="1813" width="15.26953125" style="35" customWidth="1"/>
    <col min="1814" max="1814" width="15.81640625" style="35" customWidth="1"/>
    <col min="1815" max="1815" width="15" style="35" bestFit="1" customWidth="1"/>
    <col min="1816" max="2045" width="8.81640625" style="35" customWidth="1"/>
    <col min="2046" max="2048" width="28.81640625" style="35"/>
    <col min="2049" max="2049" width="34.81640625" style="35" customWidth="1"/>
    <col min="2050" max="2050" width="14.7265625" style="35" customWidth="1"/>
    <col min="2051" max="2051" width="15.453125" style="35" bestFit="1" customWidth="1"/>
    <col min="2052" max="2066" width="14.7265625" style="35" customWidth="1"/>
    <col min="2067" max="2067" width="17.1796875" style="35" bestFit="1" customWidth="1"/>
    <col min="2068" max="2068" width="17.26953125" style="35" bestFit="1" customWidth="1"/>
    <col min="2069" max="2069" width="15.26953125" style="35" customWidth="1"/>
    <col min="2070" max="2070" width="15.81640625" style="35" customWidth="1"/>
    <col min="2071" max="2071" width="15" style="35" bestFit="1" customWidth="1"/>
    <col min="2072" max="2301" width="8.81640625" style="35" customWidth="1"/>
    <col min="2302" max="2304" width="28.81640625" style="35"/>
    <col min="2305" max="2305" width="34.81640625" style="35" customWidth="1"/>
    <col min="2306" max="2306" width="14.7265625" style="35" customWidth="1"/>
    <col min="2307" max="2307" width="15.453125" style="35" bestFit="1" customWidth="1"/>
    <col min="2308" max="2322" width="14.7265625" style="35" customWidth="1"/>
    <col min="2323" max="2323" width="17.1796875" style="35" bestFit="1" customWidth="1"/>
    <col min="2324" max="2324" width="17.26953125" style="35" bestFit="1" customWidth="1"/>
    <col min="2325" max="2325" width="15.26953125" style="35" customWidth="1"/>
    <col min="2326" max="2326" width="15.81640625" style="35" customWidth="1"/>
    <col min="2327" max="2327" width="15" style="35" bestFit="1" customWidth="1"/>
    <col min="2328" max="2557" width="8.81640625" style="35" customWidth="1"/>
    <col min="2558" max="2560" width="28.81640625" style="35"/>
    <col min="2561" max="2561" width="34.81640625" style="35" customWidth="1"/>
    <col min="2562" max="2562" width="14.7265625" style="35" customWidth="1"/>
    <col min="2563" max="2563" width="15.453125" style="35" bestFit="1" customWidth="1"/>
    <col min="2564" max="2578" width="14.7265625" style="35" customWidth="1"/>
    <col min="2579" max="2579" width="17.1796875" style="35" bestFit="1" customWidth="1"/>
    <col min="2580" max="2580" width="17.26953125" style="35" bestFit="1" customWidth="1"/>
    <col min="2581" max="2581" width="15.26953125" style="35" customWidth="1"/>
    <col min="2582" max="2582" width="15.81640625" style="35" customWidth="1"/>
    <col min="2583" max="2583" width="15" style="35" bestFit="1" customWidth="1"/>
    <col min="2584" max="2813" width="8.81640625" style="35" customWidth="1"/>
    <col min="2814" max="2816" width="28.81640625" style="35"/>
    <col min="2817" max="2817" width="34.81640625" style="35" customWidth="1"/>
    <col min="2818" max="2818" width="14.7265625" style="35" customWidth="1"/>
    <col min="2819" max="2819" width="15.453125" style="35" bestFit="1" customWidth="1"/>
    <col min="2820" max="2834" width="14.7265625" style="35" customWidth="1"/>
    <col min="2835" max="2835" width="17.1796875" style="35" bestFit="1" customWidth="1"/>
    <col min="2836" max="2836" width="17.26953125" style="35" bestFit="1" customWidth="1"/>
    <col min="2837" max="2837" width="15.26953125" style="35" customWidth="1"/>
    <col min="2838" max="2838" width="15.81640625" style="35" customWidth="1"/>
    <col min="2839" max="2839" width="15" style="35" bestFit="1" customWidth="1"/>
    <col min="2840" max="3069" width="8.81640625" style="35" customWidth="1"/>
    <col min="3070" max="3072" width="28.81640625" style="35"/>
    <col min="3073" max="3073" width="34.81640625" style="35" customWidth="1"/>
    <col min="3074" max="3074" width="14.7265625" style="35" customWidth="1"/>
    <col min="3075" max="3075" width="15.453125" style="35" bestFit="1" customWidth="1"/>
    <col min="3076" max="3090" width="14.7265625" style="35" customWidth="1"/>
    <col min="3091" max="3091" width="17.1796875" style="35" bestFit="1" customWidth="1"/>
    <col min="3092" max="3092" width="17.26953125" style="35" bestFit="1" customWidth="1"/>
    <col min="3093" max="3093" width="15.26953125" style="35" customWidth="1"/>
    <col min="3094" max="3094" width="15.81640625" style="35" customWidth="1"/>
    <col min="3095" max="3095" width="15" style="35" bestFit="1" customWidth="1"/>
    <col min="3096" max="3325" width="8.81640625" style="35" customWidth="1"/>
    <col min="3326" max="3328" width="28.81640625" style="35"/>
    <col min="3329" max="3329" width="34.81640625" style="35" customWidth="1"/>
    <col min="3330" max="3330" width="14.7265625" style="35" customWidth="1"/>
    <col min="3331" max="3331" width="15.453125" style="35" bestFit="1" customWidth="1"/>
    <col min="3332" max="3346" width="14.7265625" style="35" customWidth="1"/>
    <col min="3347" max="3347" width="17.1796875" style="35" bestFit="1" customWidth="1"/>
    <col min="3348" max="3348" width="17.26953125" style="35" bestFit="1" customWidth="1"/>
    <col min="3349" max="3349" width="15.26953125" style="35" customWidth="1"/>
    <col min="3350" max="3350" width="15.81640625" style="35" customWidth="1"/>
    <col min="3351" max="3351" width="15" style="35" bestFit="1" customWidth="1"/>
    <col min="3352" max="3581" width="8.81640625" style="35" customWidth="1"/>
    <col min="3582" max="3584" width="28.81640625" style="35"/>
    <col min="3585" max="3585" width="34.81640625" style="35" customWidth="1"/>
    <col min="3586" max="3586" width="14.7265625" style="35" customWidth="1"/>
    <col min="3587" max="3587" width="15.453125" style="35" bestFit="1" customWidth="1"/>
    <col min="3588" max="3602" width="14.7265625" style="35" customWidth="1"/>
    <col min="3603" max="3603" width="17.1796875" style="35" bestFit="1" customWidth="1"/>
    <col min="3604" max="3604" width="17.26953125" style="35" bestFit="1" customWidth="1"/>
    <col min="3605" max="3605" width="15.26953125" style="35" customWidth="1"/>
    <col min="3606" max="3606" width="15.81640625" style="35" customWidth="1"/>
    <col min="3607" max="3607" width="15" style="35" bestFit="1" customWidth="1"/>
    <col min="3608" max="3837" width="8.81640625" style="35" customWidth="1"/>
    <col min="3838" max="3840" width="28.81640625" style="35"/>
    <col min="3841" max="3841" width="34.81640625" style="35" customWidth="1"/>
    <col min="3842" max="3842" width="14.7265625" style="35" customWidth="1"/>
    <col min="3843" max="3843" width="15.453125" style="35" bestFit="1" customWidth="1"/>
    <col min="3844" max="3858" width="14.7265625" style="35" customWidth="1"/>
    <col min="3859" max="3859" width="17.1796875" style="35" bestFit="1" customWidth="1"/>
    <col min="3860" max="3860" width="17.26953125" style="35" bestFit="1" customWidth="1"/>
    <col min="3861" max="3861" width="15.26953125" style="35" customWidth="1"/>
    <col min="3862" max="3862" width="15.81640625" style="35" customWidth="1"/>
    <col min="3863" max="3863" width="15" style="35" bestFit="1" customWidth="1"/>
    <col min="3864" max="4093" width="8.81640625" style="35" customWidth="1"/>
    <col min="4094" max="4096" width="28.81640625" style="35"/>
    <col min="4097" max="4097" width="34.81640625" style="35" customWidth="1"/>
    <col min="4098" max="4098" width="14.7265625" style="35" customWidth="1"/>
    <col min="4099" max="4099" width="15.453125" style="35" bestFit="1" customWidth="1"/>
    <col min="4100" max="4114" width="14.7265625" style="35" customWidth="1"/>
    <col min="4115" max="4115" width="17.1796875" style="35" bestFit="1" customWidth="1"/>
    <col min="4116" max="4116" width="17.26953125" style="35" bestFit="1" customWidth="1"/>
    <col min="4117" max="4117" width="15.26953125" style="35" customWidth="1"/>
    <col min="4118" max="4118" width="15.81640625" style="35" customWidth="1"/>
    <col min="4119" max="4119" width="15" style="35" bestFit="1" customWidth="1"/>
    <col min="4120" max="4349" width="8.81640625" style="35" customWidth="1"/>
    <col min="4350" max="4352" width="28.81640625" style="35"/>
    <col min="4353" max="4353" width="34.81640625" style="35" customWidth="1"/>
    <col min="4354" max="4354" width="14.7265625" style="35" customWidth="1"/>
    <col min="4355" max="4355" width="15.453125" style="35" bestFit="1" customWidth="1"/>
    <col min="4356" max="4370" width="14.7265625" style="35" customWidth="1"/>
    <col min="4371" max="4371" width="17.1796875" style="35" bestFit="1" customWidth="1"/>
    <col min="4372" max="4372" width="17.26953125" style="35" bestFit="1" customWidth="1"/>
    <col min="4373" max="4373" width="15.26953125" style="35" customWidth="1"/>
    <col min="4374" max="4374" width="15.81640625" style="35" customWidth="1"/>
    <col min="4375" max="4375" width="15" style="35" bestFit="1" customWidth="1"/>
    <col min="4376" max="4605" width="8.81640625" style="35" customWidth="1"/>
    <col min="4606" max="4608" width="28.81640625" style="35"/>
    <col min="4609" max="4609" width="34.81640625" style="35" customWidth="1"/>
    <col min="4610" max="4610" width="14.7265625" style="35" customWidth="1"/>
    <col min="4611" max="4611" width="15.453125" style="35" bestFit="1" customWidth="1"/>
    <col min="4612" max="4626" width="14.7265625" style="35" customWidth="1"/>
    <col min="4627" max="4627" width="17.1796875" style="35" bestFit="1" customWidth="1"/>
    <col min="4628" max="4628" width="17.26953125" style="35" bestFit="1" customWidth="1"/>
    <col min="4629" max="4629" width="15.26953125" style="35" customWidth="1"/>
    <col min="4630" max="4630" width="15.81640625" style="35" customWidth="1"/>
    <col min="4631" max="4631" width="15" style="35" bestFit="1" customWidth="1"/>
    <col min="4632" max="4861" width="8.81640625" style="35" customWidth="1"/>
    <col min="4862" max="4864" width="28.81640625" style="35"/>
    <col min="4865" max="4865" width="34.81640625" style="35" customWidth="1"/>
    <col min="4866" max="4866" width="14.7265625" style="35" customWidth="1"/>
    <col min="4867" max="4867" width="15.453125" style="35" bestFit="1" customWidth="1"/>
    <col min="4868" max="4882" width="14.7265625" style="35" customWidth="1"/>
    <col min="4883" max="4883" width="17.1796875" style="35" bestFit="1" customWidth="1"/>
    <col min="4884" max="4884" width="17.26953125" style="35" bestFit="1" customWidth="1"/>
    <col min="4885" max="4885" width="15.26953125" style="35" customWidth="1"/>
    <col min="4886" max="4886" width="15.81640625" style="35" customWidth="1"/>
    <col min="4887" max="4887" width="15" style="35" bestFit="1" customWidth="1"/>
    <col min="4888" max="5117" width="8.81640625" style="35" customWidth="1"/>
    <col min="5118" max="5120" width="28.81640625" style="35"/>
    <col min="5121" max="5121" width="34.81640625" style="35" customWidth="1"/>
    <col min="5122" max="5122" width="14.7265625" style="35" customWidth="1"/>
    <col min="5123" max="5123" width="15.453125" style="35" bestFit="1" customWidth="1"/>
    <col min="5124" max="5138" width="14.7265625" style="35" customWidth="1"/>
    <col min="5139" max="5139" width="17.1796875" style="35" bestFit="1" customWidth="1"/>
    <col min="5140" max="5140" width="17.26953125" style="35" bestFit="1" customWidth="1"/>
    <col min="5141" max="5141" width="15.26953125" style="35" customWidth="1"/>
    <col min="5142" max="5142" width="15.81640625" style="35" customWidth="1"/>
    <col min="5143" max="5143" width="15" style="35" bestFit="1" customWidth="1"/>
    <col min="5144" max="5373" width="8.81640625" style="35" customWidth="1"/>
    <col min="5374" max="5376" width="28.81640625" style="35"/>
    <col min="5377" max="5377" width="34.81640625" style="35" customWidth="1"/>
    <col min="5378" max="5378" width="14.7265625" style="35" customWidth="1"/>
    <col min="5379" max="5379" width="15.453125" style="35" bestFit="1" customWidth="1"/>
    <col min="5380" max="5394" width="14.7265625" style="35" customWidth="1"/>
    <col min="5395" max="5395" width="17.1796875" style="35" bestFit="1" customWidth="1"/>
    <col min="5396" max="5396" width="17.26953125" style="35" bestFit="1" customWidth="1"/>
    <col min="5397" max="5397" width="15.26953125" style="35" customWidth="1"/>
    <col min="5398" max="5398" width="15.81640625" style="35" customWidth="1"/>
    <col min="5399" max="5399" width="15" style="35" bestFit="1" customWidth="1"/>
    <col min="5400" max="5629" width="8.81640625" style="35" customWidth="1"/>
    <col min="5630" max="5632" width="28.81640625" style="35"/>
    <col min="5633" max="5633" width="34.81640625" style="35" customWidth="1"/>
    <col min="5634" max="5634" width="14.7265625" style="35" customWidth="1"/>
    <col min="5635" max="5635" width="15.453125" style="35" bestFit="1" customWidth="1"/>
    <col min="5636" max="5650" width="14.7265625" style="35" customWidth="1"/>
    <col min="5651" max="5651" width="17.1796875" style="35" bestFit="1" customWidth="1"/>
    <col min="5652" max="5652" width="17.26953125" style="35" bestFit="1" customWidth="1"/>
    <col min="5653" max="5653" width="15.26953125" style="35" customWidth="1"/>
    <col min="5654" max="5654" width="15.81640625" style="35" customWidth="1"/>
    <col min="5655" max="5655" width="15" style="35" bestFit="1" customWidth="1"/>
    <col min="5656" max="5885" width="8.81640625" style="35" customWidth="1"/>
    <col min="5886" max="5888" width="28.81640625" style="35"/>
    <col min="5889" max="5889" width="34.81640625" style="35" customWidth="1"/>
    <col min="5890" max="5890" width="14.7265625" style="35" customWidth="1"/>
    <col min="5891" max="5891" width="15.453125" style="35" bestFit="1" customWidth="1"/>
    <col min="5892" max="5906" width="14.7265625" style="35" customWidth="1"/>
    <col min="5907" max="5907" width="17.1796875" style="35" bestFit="1" customWidth="1"/>
    <col min="5908" max="5908" width="17.26953125" style="35" bestFit="1" customWidth="1"/>
    <col min="5909" max="5909" width="15.26953125" style="35" customWidth="1"/>
    <col min="5910" max="5910" width="15.81640625" style="35" customWidth="1"/>
    <col min="5911" max="5911" width="15" style="35" bestFit="1" customWidth="1"/>
    <col min="5912" max="6141" width="8.81640625" style="35" customWidth="1"/>
    <col min="6142" max="6144" width="28.81640625" style="35"/>
    <col min="6145" max="6145" width="34.81640625" style="35" customWidth="1"/>
    <col min="6146" max="6146" width="14.7265625" style="35" customWidth="1"/>
    <col min="6147" max="6147" width="15.453125" style="35" bestFit="1" customWidth="1"/>
    <col min="6148" max="6162" width="14.7265625" style="35" customWidth="1"/>
    <col min="6163" max="6163" width="17.1796875" style="35" bestFit="1" customWidth="1"/>
    <col min="6164" max="6164" width="17.26953125" style="35" bestFit="1" customWidth="1"/>
    <col min="6165" max="6165" width="15.26953125" style="35" customWidth="1"/>
    <col min="6166" max="6166" width="15.81640625" style="35" customWidth="1"/>
    <col min="6167" max="6167" width="15" style="35" bestFit="1" customWidth="1"/>
    <col min="6168" max="6397" width="8.81640625" style="35" customWidth="1"/>
    <col min="6398" max="6400" width="28.81640625" style="35"/>
    <col min="6401" max="6401" width="34.81640625" style="35" customWidth="1"/>
    <col min="6402" max="6402" width="14.7265625" style="35" customWidth="1"/>
    <col min="6403" max="6403" width="15.453125" style="35" bestFit="1" customWidth="1"/>
    <col min="6404" max="6418" width="14.7265625" style="35" customWidth="1"/>
    <col min="6419" max="6419" width="17.1796875" style="35" bestFit="1" customWidth="1"/>
    <col min="6420" max="6420" width="17.26953125" style="35" bestFit="1" customWidth="1"/>
    <col min="6421" max="6421" width="15.26953125" style="35" customWidth="1"/>
    <col min="6422" max="6422" width="15.81640625" style="35" customWidth="1"/>
    <col min="6423" max="6423" width="15" style="35" bestFit="1" customWidth="1"/>
    <col min="6424" max="6653" width="8.81640625" style="35" customWidth="1"/>
    <col min="6654" max="6656" width="28.81640625" style="35"/>
    <col min="6657" max="6657" width="34.81640625" style="35" customWidth="1"/>
    <col min="6658" max="6658" width="14.7265625" style="35" customWidth="1"/>
    <col min="6659" max="6659" width="15.453125" style="35" bestFit="1" customWidth="1"/>
    <col min="6660" max="6674" width="14.7265625" style="35" customWidth="1"/>
    <col min="6675" max="6675" width="17.1796875" style="35" bestFit="1" customWidth="1"/>
    <col min="6676" max="6676" width="17.26953125" style="35" bestFit="1" customWidth="1"/>
    <col min="6677" max="6677" width="15.26953125" style="35" customWidth="1"/>
    <col min="6678" max="6678" width="15.81640625" style="35" customWidth="1"/>
    <col min="6679" max="6679" width="15" style="35" bestFit="1" customWidth="1"/>
    <col min="6680" max="6909" width="8.81640625" style="35" customWidth="1"/>
    <col min="6910" max="6912" width="28.81640625" style="35"/>
    <col min="6913" max="6913" width="34.81640625" style="35" customWidth="1"/>
    <col min="6914" max="6914" width="14.7265625" style="35" customWidth="1"/>
    <col min="6915" max="6915" width="15.453125" style="35" bestFit="1" customWidth="1"/>
    <col min="6916" max="6930" width="14.7265625" style="35" customWidth="1"/>
    <col min="6931" max="6931" width="17.1796875" style="35" bestFit="1" customWidth="1"/>
    <col min="6932" max="6932" width="17.26953125" style="35" bestFit="1" customWidth="1"/>
    <col min="6933" max="6933" width="15.26953125" style="35" customWidth="1"/>
    <col min="6934" max="6934" width="15.81640625" style="35" customWidth="1"/>
    <col min="6935" max="6935" width="15" style="35" bestFit="1" customWidth="1"/>
    <col min="6936" max="7165" width="8.81640625" style="35" customWidth="1"/>
    <col min="7166" max="7168" width="28.81640625" style="35"/>
    <col min="7169" max="7169" width="34.81640625" style="35" customWidth="1"/>
    <col min="7170" max="7170" width="14.7265625" style="35" customWidth="1"/>
    <col min="7171" max="7171" width="15.453125" style="35" bestFit="1" customWidth="1"/>
    <col min="7172" max="7186" width="14.7265625" style="35" customWidth="1"/>
    <col min="7187" max="7187" width="17.1796875" style="35" bestFit="1" customWidth="1"/>
    <col min="7188" max="7188" width="17.26953125" style="35" bestFit="1" customWidth="1"/>
    <col min="7189" max="7189" width="15.26953125" style="35" customWidth="1"/>
    <col min="7190" max="7190" width="15.81640625" style="35" customWidth="1"/>
    <col min="7191" max="7191" width="15" style="35" bestFit="1" customWidth="1"/>
    <col min="7192" max="7421" width="8.81640625" style="35" customWidth="1"/>
    <col min="7422" max="7424" width="28.81640625" style="35"/>
    <col min="7425" max="7425" width="34.81640625" style="35" customWidth="1"/>
    <col min="7426" max="7426" width="14.7265625" style="35" customWidth="1"/>
    <col min="7427" max="7427" width="15.453125" style="35" bestFit="1" customWidth="1"/>
    <col min="7428" max="7442" width="14.7265625" style="35" customWidth="1"/>
    <col min="7443" max="7443" width="17.1796875" style="35" bestFit="1" customWidth="1"/>
    <col min="7444" max="7444" width="17.26953125" style="35" bestFit="1" customWidth="1"/>
    <col min="7445" max="7445" width="15.26953125" style="35" customWidth="1"/>
    <col min="7446" max="7446" width="15.81640625" style="35" customWidth="1"/>
    <col min="7447" max="7447" width="15" style="35" bestFit="1" customWidth="1"/>
    <col min="7448" max="7677" width="8.81640625" style="35" customWidth="1"/>
    <col min="7678" max="7680" width="28.81640625" style="35"/>
    <col min="7681" max="7681" width="34.81640625" style="35" customWidth="1"/>
    <col min="7682" max="7682" width="14.7265625" style="35" customWidth="1"/>
    <col min="7683" max="7683" width="15.453125" style="35" bestFit="1" customWidth="1"/>
    <col min="7684" max="7698" width="14.7265625" style="35" customWidth="1"/>
    <col min="7699" max="7699" width="17.1796875" style="35" bestFit="1" customWidth="1"/>
    <col min="7700" max="7700" width="17.26953125" style="35" bestFit="1" customWidth="1"/>
    <col min="7701" max="7701" width="15.26953125" style="35" customWidth="1"/>
    <col min="7702" max="7702" width="15.81640625" style="35" customWidth="1"/>
    <col min="7703" max="7703" width="15" style="35" bestFit="1" customWidth="1"/>
    <col min="7704" max="7933" width="8.81640625" style="35" customWidth="1"/>
    <col min="7934" max="7936" width="28.81640625" style="35"/>
    <col min="7937" max="7937" width="34.81640625" style="35" customWidth="1"/>
    <col min="7938" max="7938" width="14.7265625" style="35" customWidth="1"/>
    <col min="7939" max="7939" width="15.453125" style="35" bestFit="1" customWidth="1"/>
    <col min="7940" max="7954" width="14.7265625" style="35" customWidth="1"/>
    <col min="7955" max="7955" width="17.1796875" style="35" bestFit="1" customWidth="1"/>
    <col min="7956" max="7956" width="17.26953125" style="35" bestFit="1" customWidth="1"/>
    <col min="7957" max="7957" width="15.26953125" style="35" customWidth="1"/>
    <col min="7958" max="7958" width="15.81640625" style="35" customWidth="1"/>
    <col min="7959" max="7959" width="15" style="35" bestFit="1" customWidth="1"/>
    <col min="7960" max="8189" width="8.81640625" style="35" customWidth="1"/>
    <col min="8190" max="8192" width="28.81640625" style="35"/>
    <col min="8193" max="8193" width="34.81640625" style="35" customWidth="1"/>
    <col min="8194" max="8194" width="14.7265625" style="35" customWidth="1"/>
    <col min="8195" max="8195" width="15.453125" style="35" bestFit="1" customWidth="1"/>
    <col min="8196" max="8210" width="14.7265625" style="35" customWidth="1"/>
    <col min="8211" max="8211" width="17.1796875" style="35" bestFit="1" customWidth="1"/>
    <col min="8212" max="8212" width="17.26953125" style="35" bestFit="1" customWidth="1"/>
    <col min="8213" max="8213" width="15.26953125" style="35" customWidth="1"/>
    <col min="8214" max="8214" width="15.81640625" style="35" customWidth="1"/>
    <col min="8215" max="8215" width="15" style="35" bestFit="1" customWidth="1"/>
    <col min="8216" max="8445" width="8.81640625" style="35" customWidth="1"/>
    <col min="8446" max="8448" width="28.81640625" style="35"/>
    <col min="8449" max="8449" width="34.81640625" style="35" customWidth="1"/>
    <col min="8450" max="8450" width="14.7265625" style="35" customWidth="1"/>
    <col min="8451" max="8451" width="15.453125" style="35" bestFit="1" customWidth="1"/>
    <col min="8452" max="8466" width="14.7265625" style="35" customWidth="1"/>
    <col min="8467" max="8467" width="17.1796875" style="35" bestFit="1" customWidth="1"/>
    <col min="8468" max="8468" width="17.26953125" style="35" bestFit="1" customWidth="1"/>
    <col min="8469" max="8469" width="15.26953125" style="35" customWidth="1"/>
    <col min="8470" max="8470" width="15.81640625" style="35" customWidth="1"/>
    <col min="8471" max="8471" width="15" style="35" bestFit="1" customWidth="1"/>
    <col min="8472" max="8701" width="8.81640625" style="35" customWidth="1"/>
    <col min="8702" max="8704" width="28.81640625" style="35"/>
    <col min="8705" max="8705" width="34.81640625" style="35" customWidth="1"/>
    <col min="8706" max="8706" width="14.7265625" style="35" customWidth="1"/>
    <col min="8707" max="8707" width="15.453125" style="35" bestFit="1" customWidth="1"/>
    <col min="8708" max="8722" width="14.7265625" style="35" customWidth="1"/>
    <col min="8723" max="8723" width="17.1796875" style="35" bestFit="1" customWidth="1"/>
    <col min="8724" max="8724" width="17.26953125" style="35" bestFit="1" customWidth="1"/>
    <col min="8725" max="8725" width="15.26953125" style="35" customWidth="1"/>
    <col min="8726" max="8726" width="15.81640625" style="35" customWidth="1"/>
    <col min="8727" max="8727" width="15" style="35" bestFit="1" customWidth="1"/>
    <col min="8728" max="8957" width="8.81640625" style="35" customWidth="1"/>
    <col min="8958" max="8960" width="28.81640625" style="35"/>
    <col min="8961" max="8961" width="34.81640625" style="35" customWidth="1"/>
    <col min="8962" max="8962" width="14.7265625" style="35" customWidth="1"/>
    <col min="8963" max="8963" width="15.453125" style="35" bestFit="1" customWidth="1"/>
    <col min="8964" max="8978" width="14.7265625" style="35" customWidth="1"/>
    <col min="8979" max="8979" width="17.1796875" style="35" bestFit="1" customWidth="1"/>
    <col min="8980" max="8980" width="17.26953125" style="35" bestFit="1" customWidth="1"/>
    <col min="8981" max="8981" width="15.26953125" style="35" customWidth="1"/>
    <col min="8982" max="8982" width="15.81640625" style="35" customWidth="1"/>
    <col min="8983" max="8983" width="15" style="35" bestFit="1" customWidth="1"/>
    <col min="8984" max="9213" width="8.81640625" style="35" customWidth="1"/>
    <col min="9214" max="9216" width="28.81640625" style="35"/>
    <col min="9217" max="9217" width="34.81640625" style="35" customWidth="1"/>
    <col min="9218" max="9218" width="14.7265625" style="35" customWidth="1"/>
    <col min="9219" max="9219" width="15.453125" style="35" bestFit="1" customWidth="1"/>
    <col min="9220" max="9234" width="14.7265625" style="35" customWidth="1"/>
    <col min="9235" max="9235" width="17.1796875" style="35" bestFit="1" customWidth="1"/>
    <col min="9236" max="9236" width="17.26953125" style="35" bestFit="1" customWidth="1"/>
    <col min="9237" max="9237" width="15.26953125" style="35" customWidth="1"/>
    <col min="9238" max="9238" width="15.81640625" style="35" customWidth="1"/>
    <col min="9239" max="9239" width="15" style="35" bestFit="1" customWidth="1"/>
    <col min="9240" max="9469" width="8.81640625" style="35" customWidth="1"/>
    <col min="9470" max="9472" width="28.81640625" style="35"/>
    <col min="9473" max="9473" width="34.81640625" style="35" customWidth="1"/>
    <col min="9474" max="9474" width="14.7265625" style="35" customWidth="1"/>
    <col min="9475" max="9475" width="15.453125" style="35" bestFit="1" customWidth="1"/>
    <col min="9476" max="9490" width="14.7265625" style="35" customWidth="1"/>
    <col min="9491" max="9491" width="17.1796875" style="35" bestFit="1" customWidth="1"/>
    <col min="9492" max="9492" width="17.26953125" style="35" bestFit="1" customWidth="1"/>
    <col min="9493" max="9493" width="15.26953125" style="35" customWidth="1"/>
    <col min="9494" max="9494" width="15.81640625" style="35" customWidth="1"/>
    <col min="9495" max="9495" width="15" style="35" bestFit="1" customWidth="1"/>
    <col min="9496" max="9725" width="8.81640625" style="35" customWidth="1"/>
    <col min="9726" max="9728" width="28.81640625" style="35"/>
    <col min="9729" max="9729" width="34.81640625" style="35" customWidth="1"/>
    <col min="9730" max="9730" width="14.7265625" style="35" customWidth="1"/>
    <col min="9731" max="9731" width="15.453125" style="35" bestFit="1" customWidth="1"/>
    <col min="9732" max="9746" width="14.7265625" style="35" customWidth="1"/>
    <col min="9747" max="9747" width="17.1796875" style="35" bestFit="1" customWidth="1"/>
    <col min="9748" max="9748" width="17.26953125" style="35" bestFit="1" customWidth="1"/>
    <col min="9749" max="9749" width="15.26953125" style="35" customWidth="1"/>
    <col min="9750" max="9750" width="15.81640625" style="35" customWidth="1"/>
    <col min="9751" max="9751" width="15" style="35" bestFit="1" customWidth="1"/>
    <col min="9752" max="9981" width="8.81640625" style="35" customWidth="1"/>
    <col min="9982" max="9984" width="28.81640625" style="35"/>
    <col min="9985" max="9985" width="34.81640625" style="35" customWidth="1"/>
    <col min="9986" max="9986" width="14.7265625" style="35" customWidth="1"/>
    <col min="9987" max="9987" width="15.453125" style="35" bestFit="1" customWidth="1"/>
    <col min="9988" max="10002" width="14.7265625" style="35" customWidth="1"/>
    <col min="10003" max="10003" width="17.1796875" style="35" bestFit="1" customWidth="1"/>
    <col min="10004" max="10004" width="17.26953125" style="35" bestFit="1" customWidth="1"/>
    <col min="10005" max="10005" width="15.26953125" style="35" customWidth="1"/>
    <col min="10006" max="10006" width="15.81640625" style="35" customWidth="1"/>
    <col min="10007" max="10007" width="15" style="35" bestFit="1" customWidth="1"/>
    <col min="10008" max="10237" width="8.81640625" style="35" customWidth="1"/>
    <col min="10238" max="10240" width="28.81640625" style="35"/>
    <col min="10241" max="10241" width="34.81640625" style="35" customWidth="1"/>
    <col min="10242" max="10242" width="14.7265625" style="35" customWidth="1"/>
    <col min="10243" max="10243" width="15.453125" style="35" bestFit="1" customWidth="1"/>
    <col min="10244" max="10258" width="14.7265625" style="35" customWidth="1"/>
    <col min="10259" max="10259" width="17.1796875" style="35" bestFit="1" customWidth="1"/>
    <col min="10260" max="10260" width="17.26953125" style="35" bestFit="1" customWidth="1"/>
    <col min="10261" max="10261" width="15.26953125" style="35" customWidth="1"/>
    <col min="10262" max="10262" width="15.81640625" style="35" customWidth="1"/>
    <col min="10263" max="10263" width="15" style="35" bestFit="1" customWidth="1"/>
    <col min="10264" max="10493" width="8.81640625" style="35" customWidth="1"/>
    <col min="10494" max="10496" width="28.81640625" style="35"/>
    <col min="10497" max="10497" width="34.81640625" style="35" customWidth="1"/>
    <col min="10498" max="10498" width="14.7265625" style="35" customWidth="1"/>
    <col min="10499" max="10499" width="15.453125" style="35" bestFit="1" customWidth="1"/>
    <col min="10500" max="10514" width="14.7265625" style="35" customWidth="1"/>
    <col min="10515" max="10515" width="17.1796875" style="35" bestFit="1" customWidth="1"/>
    <col min="10516" max="10516" width="17.26953125" style="35" bestFit="1" customWidth="1"/>
    <col min="10517" max="10517" width="15.26953125" style="35" customWidth="1"/>
    <col min="10518" max="10518" width="15.81640625" style="35" customWidth="1"/>
    <col min="10519" max="10519" width="15" style="35" bestFit="1" customWidth="1"/>
    <col min="10520" max="10749" width="8.81640625" style="35" customWidth="1"/>
    <col min="10750" max="10752" width="28.81640625" style="35"/>
    <col min="10753" max="10753" width="34.81640625" style="35" customWidth="1"/>
    <col min="10754" max="10754" width="14.7265625" style="35" customWidth="1"/>
    <col min="10755" max="10755" width="15.453125" style="35" bestFit="1" customWidth="1"/>
    <col min="10756" max="10770" width="14.7265625" style="35" customWidth="1"/>
    <col min="10771" max="10771" width="17.1796875" style="35" bestFit="1" customWidth="1"/>
    <col min="10772" max="10772" width="17.26953125" style="35" bestFit="1" customWidth="1"/>
    <col min="10773" max="10773" width="15.26953125" style="35" customWidth="1"/>
    <col min="10774" max="10774" width="15.81640625" style="35" customWidth="1"/>
    <col min="10775" max="10775" width="15" style="35" bestFit="1" customWidth="1"/>
    <col min="10776" max="11005" width="8.81640625" style="35" customWidth="1"/>
    <col min="11006" max="11008" width="28.81640625" style="35"/>
    <col min="11009" max="11009" width="34.81640625" style="35" customWidth="1"/>
    <col min="11010" max="11010" width="14.7265625" style="35" customWidth="1"/>
    <col min="11011" max="11011" width="15.453125" style="35" bestFit="1" customWidth="1"/>
    <col min="11012" max="11026" width="14.7265625" style="35" customWidth="1"/>
    <col min="11027" max="11027" width="17.1796875" style="35" bestFit="1" customWidth="1"/>
    <col min="11028" max="11028" width="17.26953125" style="35" bestFit="1" customWidth="1"/>
    <col min="11029" max="11029" width="15.26953125" style="35" customWidth="1"/>
    <col min="11030" max="11030" width="15.81640625" style="35" customWidth="1"/>
    <col min="11031" max="11031" width="15" style="35" bestFit="1" customWidth="1"/>
    <col min="11032" max="11261" width="8.81640625" style="35" customWidth="1"/>
    <col min="11262" max="11264" width="28.81640625" style="35"/>
    <col min="11265" max="11265" width="34.81640625" style="35" customWidth="1"/>
    <col min="11266" max="11266" width="14.7265625" style="35" customWidth="1"/>
    <col min="11267" max="11267" width="15.453125" style="35" bestFit="1" customWidth="1"/>
    <col min="11268" max="11282" width="14.7265625" style="35" customWidth="1"/>
    <col min="11283" max="11283" width="17.1796875" style="35" bestFit="1" customWidth="1"/>
    <col min="11284" max="11284" width="17.26953125" style="35" bestFit="1" customWidth="1"/>
    <col min="11285" max="11285" width="15.26953125" style="35" customWidth="1"/>
    <col min="11286" max="11286" width="15.81640625" style="35" customWidth="1"/>
    <col min="11287" max="11287" width="15" style="35" bestFit="1" customWidth="1"/>
    <col min="11288" max="11517" width="8.81640625" style="35" customWidth="1"/>
    <col min="11518" max="11520" width="28.81640625" style="35"/>
    <col min="11521" max="11521" width="34.81640625" style="35" customWidth="1"/>
    <col min="11522" max="11522" width="14.7265625" style="35" customWidth="1"/>
    <col min="11523" max="11523" width="15.453125" style="35" bestFit="1" customWidth="1"/>
    <col min="11524" max="11538" width="14.7265625" style="35" customWidth="1"/>
    <col min="11539" max="11539" width="17.1796875" style="35" bestFit="1" customWidth="1"/>
    <col min="11540" max="11540" width="17.26953125" style="35" bestFit="1" customWidth="1"/>
    <col min="11541" max="11541" width="15.26953125" style="35" customWidth="1"/>
    <col min="11542" max="11542" width="15.81640625" style="35" customWidth="1"/>
    <col min="11543" max="11543" width="15" style="35" bestFit="1" customWidth="1"/>
    <col min="11544" max="11773" width="8.81640625" style="35" customWidth="1"/>
    <col min="11774" max="11776" width="28.81640625" style="35"/>
    <col min="11777" max="11777" width="34.81640625" style="35" customWidth="1"/>
    <col min="11778" max="11778" width="14.7265625" style="35" customWidth="1"/>
    <col min="11779" max="11779" width="15.453125" style="35" bestFit="1" customWidth="1"/>
    <col min="11780" max="11794" width="14.7265625" style="35" customWidth="1"/>
    <col min="11795" max="11795" width="17.1796875" style="35" bestFit="1" customWidth="1"/>
    <col min="11796" max="11796" width="17.26953125" style="35" bestFit="1" customWidth="1"/>
    <col min="11797" max="11797" width="15.26953125" style="35" customWidth="1"/>
    <col min="11798" max="11798" width="15.81640625" style="35" customWidth="1"/>
    <col min="11799" max="11799" width="15" style="35" bestFit="1" customWidth="1"/>
    <col min="11800" max="12029" width="8.81640625" style="35" customWidth="1"/>
    <col min="12030" max="12032" width="28.81640625" style="35"/>
    <col min="12033" max="12033" width="34.81640625" style="35" customWidth="1"/>
    <col min="12034" max="12034" width="14.7265625" style="35" customWidth="1"/>
    <col min="12035" max="12035" width="15.453125" style="35" bestFit="1" customWidth="1"/>
    <col min="12036" max="12050" width="14.7265625" style="35" customWidth="1"/>
    <col min="12051" max="12051" width="17.1796875" style="35" bestFit="1" customWidth="1"/>
    <col min="12052" max="12052" width="17.26953125" style="35" bestFit="1" customWidth="1"/>
    <col min="12053" max="12053" width="15.26953125" style="35" customWidth="1"/>
    <col min="12054" max="12054" width="15.81640625" style="35" customWidth="1"/>
    <col min="12055" max="12055" width="15" style="35" bestFit="1" customWidth="1"/>
    <col min="12056" max="12285" width="8.81640625" style="35" customWidth="1"/>
    <col min="12286" max="12288" width="28.81640625" style="35"/>
    <col min="12289" max="12289" width="34.81640625" style="35" customWidth="1"/>
    <col min="12290" max="12290" width="14.7265625" style="35" customWidth="1"/>
    <col min="12291" max="12291" width="15.453125" style="35" bestFit="1" customWidth="1"/>
    <col min="12292" max="12306" width="14.7265625" style="35" customWidth="1"/>
    <col min="12307" max="12307" width="17.1796875" style="35" bestFit="1" customWidth="1"/>
    <col min="12308" max="12308" width="17.26953125" style="35" bestFit="1" customWidth="1"/>
    <col min="12309" max="12309" width="15.26953125" style="35" customWidth="1"/>
    <col min="12310" max="12310" width="15.81640625" style="35" customWidth="1"/>
    <col min="12311" max="12311" width="15" style="35" bestFit="1" customWidth="1"/>
    <col min="12312" max="12541" width="8.81640625" style="35" customWidth="1"/>
    <col min="12542" max="12544" width="28.81640625" style="35"/>
    <col min="12545" max="12545" width="34.81640625" style="35" customWidth="1"/>
    <col min="12546" max="12546" width="14.7265625" style="35" customWidth="1"/>
    <col min="12547" max="12547" width="15.453125" style="35" bestFit="1" customWidth="1"/>
    <col min="12548" max="12562" width="14.7265625" style="35" customWidth="1"/>
    <col min="12563" max="12563" width="17.1796875" style="35" bestFit="1" customWidth="1"/>
    <col min="12564" max="12564" width="17.26953125" style="35" bestFit="1" customWidth="1"/>
    <col min="12565" max="12565" width="15.26953125" style="35" customWidth="1"/>
    <col min="12566" max="12566" width="15.81640625" style="35" customWidth="1"/>
    <col min="12567" max="12567" width="15" style="35" bestFit="1" customWidth="1"/>
    <col min="12568" max="12797" width="8.81640625" style="35" customWidth="1"/>
    <col min="12798" max="12800" width="28.81640625" style="35"/>
    <col min="12801" max="12801" width="34.81640625" style="35" customWidth="1"/>
    <col min="12802" max="12802" width="14.7265625" style="35" customWidth="1"/>
    <col min="12803" max="12803" width="15.453125" style="35" bestFit="1" customWidth="1"/>
    <col min="12804" max="12818" width="14.7265625" style="35" customWidth="1"/>
    <col min="12819" max="12819" width="17.1796875" style="35" bestFit="1" customWidth="1"/>
    <col min="12820" max="12820" width="17.26953125" style="35" bestFit="1" customWidth="1"/>
    <col min="12821" max="12821" width="15.26953125" style="35" customWidth="1"/>
    <col min="12822" max="12822" width="15.81640625" style="35" customWidth="1"/>
    <col min="12823" max="12823" width="15" style="35" bestFit="1" customWidth="1"/>
    <col min="12824" max="13053" width="8.81640625" style="35" customWidth="1"/>
    <col min="13054" max="13056" width="28.81640625" style="35"/>
    <col min="13057" max="13057" width="34.81640625" style="35" customWidth="1"/>
    <col min="13058" max="13058" width="14.7265625" style="35" customWidth="1"/>
    <col min="13059" max="13059" width="15.453125" style="35" bestFit="1" customWidth="1"/>
    <col min="13060" max="13074" width="14.7265625" style="35" customWidth="1"/>
    <col min="13075" max="13075" width="17.1796875" style="35" bestFit="1" customWidth="1"/>
    <col min="13076" max="13076" width="17.26953125" style="35" bestFit="1" customWidth="1"/>
    <col min="13077" max="13077" width="15.26953125" style="35" customWidth="1"/>
    <col min="13078" max="13078" width="15.81640625" style="35" customWidth="1"/>
    <col min="13079" max="13079" width="15" style="35" bestFit="1" customWidth="1"/>
    <col min="13080" max="13309" width="8.81640625" style="35" customWidth="1"/>
    <col min="13310" max="13312" width="28.81640625" style="35"/>
    <col min="13313" max="13313" width="34.81640625" style="35" customWidth="1"/>
    <col min="13314" max="13314" width="14.7265625" style="35" customWidth="1"/>
    <col min="13315" max="13315" width="15.453125" style="35" bestFit="1" customWidth="1"/>
    <col min="13316" max="13330" width="14.7265625" style="35" customWidth="1"/>
    <col min="13331" max="13331" width="17.1796875" style="35" bestFit="1" customWidth="1"/>
    <col min="13332" max="13332" width="17.26953125" style="35" bestFit="1" customWidth="1"/>
    <col min="13333" max="13333" width="15.26953125" style="35" customWidth="1"/>
    <col min="13334" max="13334" width="15.81640625" style="35" customWidth="1"/>
    <col min="13335" max="13335" width="15" style="35" bestFit="1" customWidth="1"/>
    <col min="13336" max="13565" width="8.81640625" style="35" customWidth="1"/>
    <col min="13566" max="13568" width="28.81640625" style="35"/>
    <col min="13569" max="13569" width="34.81640625" style="35" customWidth="1"/>
    <col min="13570" max="13570" width="14.7265625" style="35" customWidth="1"/>
    <col min="13571" max="13571" width="15.453125" style="35" bestFit="1" customWidth="1"/>
    <col min="13572" max="13586" width="14.7265625" style="35" customWidth="1"/>
    <col min="13587" max="13587" width="17.1796875" style="35" bestFit="1" customWidth="1"/>
    <col min="13588" max="13588" width="17.26953125" style="35" bestFit="1" customWidth="1"/>
    <col min="13589" max="13589" width="15.26953125" style="35" customWidth="1"/>
    <col min="13590" max="13590" width="15.81640625" style="35" customWidth="1"/>
    <col min="13591" max="13591" width="15" style="35" bestFit="1" customWidth="1"/>
    <col min="13592" max="13821" width="8.81640625" style="35" customWidth="1"/>
    <col min="13822" max="13824" width="28.81640625" style="35"/>
    <col min="13825" max="13825" width="34.81640625" style="35" customWidth="1"/>
    <col min="13826" max="13826" width="14.7265625" style="35" customWidth="1"/>
    <col min="13827" max="13827" width="15.453125" style="35" bestFit="1" customWidth="1"/>
    <col min="13828" max="13842" width="14.7265625" style="35" customWidth="1"/>
    <col min="13843" max="13843" width="17.1796875" style="35" bestFit="1" customWidth="1"/>
    <col min="13844" max="13844" width="17.26953125" style="35" bestFit="1" customWidth="1"/>
    <col min="13845" max="13845" width="15.26953125" style="35" customWidth="1"/>
    <col min="13846" max="13846" width="15.81640625" style="35" customWidth="1"/>
    <col min="13847" max="13847" width="15" style="35" bestFit="1" customWidth="1"/>
    <col min="13848" max="14077" width="8.81640625" style="35" customWidth="1"/>
    <col min="14078" max="14080" width="28.81640625" style="35"/>
    <col min="14081" max="14081" width="34.81640625" style="35" customWidth="1"/>
    <col min="14082" max="14082" width="14.7265625" style="35" customWidth="1"/>
    <col min="14083" max="14083" width="15.453125" style="35" bestFit="1" customWidth="1"/>
    <col min="14084" max="14098" width="14.7265625" style="35" customWidth="1"/>
    <col min="14099" max="14099" width="17.1796875" style="35" bestFit="1" customWidth="1"/>
    <col min="14100" max="14100" width="17.26953125" style="35" bestFit="1" customWidth="1"/>
    <col min="14101" max="14101" width="15.26953125" style="35" customWidth="1"/>
    <col min="14102" max="14102" width="15.81640625" style="35" customWidth="1"/>
    <col min="14103" max="14103" width="15" style="35" bestFit="1" customWidth="1"/>
    <col min="14104" max="14333" width="8.81640625" style="35" customWidth="1"/>
    <col min="14334" max="14336" width="28.81640625" style="35"/>
    <col min="14337" max="14337" width="34.81640625" style="35" customWidth="1"/>
    <col min="14338" max="14338" width="14.7265625" style="35" customWidth="1"/>
    <col min="14339" max="14339" width="15.453125" style="35" bestFit="1" customWidth="1"/>
    <col min="14340" max="14354" width="14.7265625" style="35" customWidth="1"/>
    <col min="14355" max="14355" width="17.1796875" style="35" bestFit="1" customWidth="1"/>
    <col min="14356" max="14356" width="17.26953125" style="35" bestFit="1" customWidth="1"/>
    <col min="14357" max="14357" width="15.26953125" style="35" customWidth="1"/>
    <col min="14358" max="14358" width="15.81640625" style="35" customWidth="1"/>
    <col min="14359" max="14359" width="15" style="35" bestFit="1" customWidth="1"/>
    <col min="14360" max="14589" width="8.81640625" style="35" customWidth="1"/>
    <col min="14590" max="14592" width="28.81640625" style="35"/>
    <col min="14593" max="14593" width="34.81640625" style="35" customWidth="1"/>
    <col min="14594" max="14594" width="14.7265625" style="35" customWidth="1"/>
    <col min="14595" max="14595" width="15.453125" style="35" bestFit="1" customWidth="1"/>
    <col min="14596" max="14610" width="14.7265625" style="35" customWidth="1"/>
    <col min="14611" max="14611" width="17.1796875" style="35" bestFit="1" customWidth="1"/>
    <col min="14612" max="14612" width="17.26953125" style="35" bestFit="1" customWidth="1"/>
    <col min="14613" max="14613" width="15.26953125" style="35" customWidth="1"/>
    <col min="14614" max="14614" width="15.81640625" style="35" customWidth="1"/>
    <col min="14615" max="14615" width="15" style="35" bestFit="1" customWidth="1"/>
    <col min="14616" max="14845" width="8.81640625" style="35" customWidth="1"/>
    <col min="14846" max="14848" width="28.81640625" style="35"/>
    <col min="14849" max="14849" width="34.81640625" style="35" customWidth="1"/>
    <col min="14850" max="14850" width="14.7265625" style="35" customWidth="1"/>
    <col min="14851" max="14851" width="15.453125" style="35" bestFit="1" customWidth="1"/>
    <col min="14852" max="14866" width="14.7265625" style="35" customWidth="1"/>
    <col min="14867" max="14867" width="17.1796875" style="35" bestFit="1" customWidth="1"/>
    <col min="14868" max="14868" width="17.26953125" style="35" bestFit="1" customWidth="1"/>
    <col min="14869" max="14869" width="15.26953125" style="35" customWidth="1"/>
    <col min="14870" max="14870" width="15.81640625" style="35" customWidth="1"/>
    <col min="14871" max="14871" width="15" style="35" bestFit="1" customWidth="1"/>
    <col min="14872" max="15101" width="8.81640625" style="35" customWidth="1"/>
    <col min="15102" max="15104" width="28.81640625" style="35"/>
    <col min="15105" max="15105" width="34.81640625" style="35" customWidth="1"/>
    <col min="15106" max="15106" width="14.7265625" style="35" customWidth="1"/>
    <col min="15107" max="15107" width="15.453125" style="35" bestFit="1" customWidth="1"/>
    <col min="15108" max="15122" width="14.7265625" style="35" customWidth="1"/>
    <col min="15123" max="15123" width="17.1796875" style="35" bestFit="1" customWidth="1"/>
    <col min="15124" max="15124" width="17.26953125" style="35" bestFit="1" customWidth="1"/>
    <col min="15125" max="15125" width="15.26953125" style="35" customWidth="1"/>
    <col min="15126" max="15126" width="15.81640625" style="35" customWidth="1"/>
    <col min="15127" max="15127" width="15" style="35" bestFit="1" customWidth="1"/>
    <col min="15128" max="15357" width="8.81640625" style="35" customWidth="1"/>
    <col min="15358" max="15360" width="28.81640625" style="35"/>
    <col min="15361" max="15361" width="34.81640625" style="35" customWidth="1"/>
    <col min="15362" max="15362" width="14.7265625" style="35" customWidth="1"/>
    <col min="15363" max="15363" width="15.453125" style="35" bestFit="1" customWidth="1"/>
    <col min="15364" max="15378" width="14.7265625" style="35" customWidth="1"/>
    <col min="15379" max="15379" width="17.1796875" style="35" bestFit="1" customWidth="1"/>
    <col min="15380" max="15380" width="17.26953125" style="35" bestFit="1" customWidth="1"/>
    <col min="15381" max="15381" width="15.26953125" style="35" customWidth="1"/>
    <col min="15382" max="15382" width="15.81640625" style="35" customWidth="1"/>
    <col min="15383" max="15383" width="15" style="35" bestFit="1" customWidth="1"/>
    <col min="15384" max="15613" width="8.81640625" style="35" customWidth="1"/>
    <col min="15614" max="15616" width="28.81640625" style="35"/>
    <col min="15617" max="15617" width="34.81640625" style="35" customWidth="1"/>
    <col min="15618" max="15618" width="14.7265625" style="35" customWidth="1"/>
    <col min="15619" max="15619" width="15.453125" style="35" bestFit="1" customWidth="1"/>
    <col min="15620" max="15634" width="14.7265625" style="35" customWidth="1"/>
    <col min="15635" max="15635" width="17.1796875" style="35" bestFit="1" customWidth="1"/>
    <col min="15636" max="15636" width="17.26953125" style="35" bestFit="1" customWidth="1"/>
    <col min="15637" max="15637" width="15.26953125" style="35" customWidth="1"/>
    <col min="15638" max="15638" width="15.81640625" style="35" customWidth="1"/>
    <col min="15639" max="15639" width="15" style="35" bestFit="1" customWidth="1"/>
    <col min="15640" max="15869" width="8.81640625" style="35" customWidth="1"/>
    <col min="15870" max="15872" width="28.81640625" style="35"/>
    <col min="15873" max="15873" width="34.81640625" style="35" customWidth="1"/>
    <col min="15874" max="15874" width="14.7265625" style="35" customWidth="1"/>
    <col min="15875" max="15875" width="15.453125" style="35" bestFit="1" customWidth="1"/>
    <col min="15876" max="15890" width="14.7265625" style="35" customWidth="1"/>
    <col min="15891" max="15891" width="17.1796875" style="35" bestFit="1" customWidth="1"/>
    <col min="15892" max="15892" width="17.26953125" style="35" bestFit="1" customWidth="1"/>
    <col min="15893" max="15893" width="15.26953125" style="35" customWidth="1"/>
    <col min="15894" max="15894" width="15.81640625" style="35" customWidth="1"/>
    <col min="15895" max="15895" width="15" style="35" bestFit="1" customWidth="1"/>
    <col min="15896" max="16125" width="8.81640625" style="35" customWidth="1"/>
    <col min="16126" max="16128" width="28.81640625" style="35"/>
    <col min="16129" max="16129" width="34.81640625" style="35" customWidth="1"/>
    <col min="16130" max="16130" width="14.7265625" style="35" customWidth="1"/>
    <col min="16131" max="16131" width="15.453125" style="35" bestFit="1" customWidth="1"/>
    <col min="16132" max="16146" width="14.7265625" style="35" customWidth="1"/>
    <col min="16147" max="16147" width="17.1796875" style="35" bestFit="1" customWidth="1"/>
    <col min="16148" max="16148" width="17.26953125" style="35" bestFit="1" customWidth="1"/>
    <col min="16149" max="16149" width="15.26953125" style="35" customWidth="1"/>
    <col min="16150" max="16150" width="15.81640625" style="35" customWidth="1"/>
    <col min="16151" max="16151" width="15" style="35" bestFit="1" customWidth="1"/>
    <col min="16152" max="16381" width="8.81640625" style="35" customWidth="1"/>
    <col min="16382" max="16384" width="28.81640625" style="35"/>
  </cols>
  <sheetData>
    <row r="1" spans="1:23" x14ac:dyDescent="0.3">
      <c r="A1" s="34"/>
    </row>
    <row r="2" spans="1:23" x14ac:dyDescent="0.3">
      <c r="A2" s="36"/>
    </row>
    <row r="3" spans="1:23" ht="20" x14ac:dyDescent="0.4">
      <c r="A3" s="37"/>
      <c r="E3" s="38" t="s">
        <v>1352</v>
      </c>
    </row>
    <row r="5" spans="1:23" ht="20.5" x14ac:dyDescent="0.45">
      <c r="A5" s="116" t="s">
        <v>1363</v>
      </c>
      <c r="B5" s="117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1"/>
      <c r="O5" s="42"/>
      <c r="P5" s="42"/>
      <c r="Q5" s="42"/>
      <c r="R5" s="42"/>
      <c r="S5" s="42"/>
    </row>
    <row r="6" spans="1:23" ht="17.5" x14ac:dyDescent="0.35">
      <c r="A6" s="118" t="s">
        <v>1364</v>
      </c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</row>
    <row r="7" spans="1:23" ht="17.5" x14ac:dyDescent="0.3">
      <c r="A7" s="120" t="s">
        <v>1365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</row>
    <row r="8" spans="1:23" s="46" customFormat="1" ht="21.75" customHeight="1" x14ac:dyDescent="0.35">
      <c r="A8" s="43" t="s">
        <v>1366</v>
      </c>
      <c r="B8" s="43" t="s">
        <v>1367</v>
      </c>
      <c r="C8" s="43" t="s">
        <v>1368</v>
      </c>
      <c r="D8" s="43" t="s">
        <v>1369</v>
      </c>
      <c r="E8" s="43" t="s">
        <v>1370</v>
      </c>
      <c r="F8" s="43" t="s">
        <v>1371</v>
      </c>
      <c r="G8" s="43" t="s">
        <v>1372</v>
      </c>
      <c r="H8" s="43" t="s">
        <v>1373</v>
      </c>
      <c r="I8" s="43" t="s">
        <v>1374</v>
      </c>
      <c r="J8" s="43" t="s">
        <v>1375</v>
      </c>
      <c r="K8" s="43" t="s">
        <v>1376</v>
      </c>
      <c r="L8" s="43" t="s">
        <v>1377</v>
      </c>
      <c r="M8" s="43" t="s">
        <v>1378</v>
      </c>
      <c r="N8" s="43" t="s">
        <v>1379</v>
      </c>
      <c r="O8" s="43" t="s">
        <v>1380</v>
      </c>
      <c r="P8" s="43" t="s">
        <v>1381</v>
      </c>
      <c r="Q8" s="43" t="s">
        <v>1382</v>
      </c>
      <c r="R8" s="43" t="s">
        <v>1343</v>
      </c>
      <c r="S8" s="43" t="s">
        <v>1383</v>
      </c>
      <c r="T8" s="43" t="s">
        <v>1440</v>
      </c>
      <c r="U8" s="44" t="s">
        <v>1345</v>
      </c>
      <c r="V8" s="44" t="s">
        <v>1384</v>
      </c>
      <c r="W8" s="45" t="s">
        <v>1385</v>
      </c>
    </row>
    <row r="9" spans="1:23" s="52" customFormat="1" ht="15" x14ac:dyDescent="0.3">
      <c r="A9" s="47" t="s">
        <v>1386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9"/>
      <c r="P9" s="48"/>
      <c r="Q9" s="48"/>
      <c r="R9" s="48"/>
      <c r="S9" s="48"/>
      <c r="T9" s="50"/>
      <c r="U9" s="50"/>
      <c r="V9" s="50"/>
      <c r="W9" s="51"/>
    </row>
    <row r="10" spans="1:23" s="57" customFormat="1" ht="15" x14ac:dyDescent="0.3">
      <c r="A10" s="53" t="s">
        <v>1387</v>
      </c>
      <c r="B10" s="54">
        <v>3518</v>
      </c>
      <c r="C10" s="54">
        <v>9210</v>
      </c>
      <c r="D10" s="54">
        <v>14403</v>
      </c>
      <c r="E10" s="54">
        <v>12635</v>
      </c>
      <c r="F10" s="54">
        <v>15759</v>
      </c>
      <c r="G10" s="54">
        <v>18268</v>
      </c>
      <c r="H10" s="54">
        <v>25990</v>
      </c>
      <c r="I10" s="54">
        <v>38776</v>
      </c>
      <c r="J10" s="54">
        <v>48389</v>
      </c>
      <c r="K10" s="54">
        <v>67988</v>
      </c>
      <c r="L10" s="54">
        <v>76876</v>
      </c>
      <c r="M10" s="54">
        <v>79553</v>
      </c>
      <c r="N10" s="54">
        <v>100080</v>
      </c>
      <c r="O10" s="55">
        <v>139689.91595309786</v>
      </c>
      <c r="P10" s="56">
        <v>144293.11621430775</v>
      </c>
      <c r="Q10" s="56">
        <v>142961.59028411983</v>
      </c>
      <c r="R10" s="56">
        <v>112743.57979942759</v>
      </c>
      <c r="S10" s="56">
        <v>63972.3758832354</v>
      </c>
      <c r="T10" s="56">
        <v>70196.061188561958</v>
      </c>
      <c r="U10" s="56">
        <v>87803.146195350273</v>
      </c>
      <c r="V10" s="56">
        <v>111914.6718858977</v>
      </c>
      <c r="W10" s="56">
        <v>101376.19315806715</v>
      </c>
    </row>
    <row r="11" spans="1:23" s="52" customFormat="1" ht="15" x14ac:dyDescent="0.3">
      <c r="A11" s="53" t="s">
        <v>1388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5"/>
      <c r="P11" s="56"/>
      <c r="Q11" s="56"/>
      <c r="R11" s="56"/>
      <c r="S11" s="58"/>
      <c r="T11" s="59"/>
      <c r="U11" s="51"/>
      <c r="V11" s="51"/>
      <c r="W11" s="51"/>
    </row>
    <row r="12" spans="1:23" s="52" customFormat="1" x14ac:dyDescent="0.3">
      <c r="A12" s="60" t="s">
        <v>1389</v>
      </c>
      <c r="B12" s="61">
        <v>300</v>
      </c>
      <c r="C12" s="61">
        <v>414</v>
      </c>
      <c r="D12" s="61">
        <v>291</v>
      </c>
      <c r="E12" s="61">
        <v>168</v>
      </c>
      <c r="F12" s="61">
        <v>388</v>
      </c>
      <c r="G12" s="61">
        <v>561</v>
      </c>
      <c r="H12" s="61">
        <v>998</v>
      </c>
      <c r="I12" s="61">
        <v>1575</v>
      </c>
      <c r="J12" s="61">
        <v>1276</v>
      </c>
      <c r="K12" s="61">
        <v>2163</v>
      </c>
      <c r="L12" s="61">
        <v>1733</v>
      </c>
      <c r="M12" s="61">
        <v>1767.1847205228223</v>
      </c>
      <c r="N12" s="61">
        <v>3469.171667167549</v>
      </c>
      <c r="O12" s="62">
        <v>5584.0221230848756</v>
      </c>
      <c r="P12" s="59">
        <v>5803.2922088265186</v>
      </c>
      <c r="Q12" s="59">
        <v>6144.0163841063104</v>
      </c>
      <c r="R12" s="59">
        <v>5954.7568501639953</v>
      </c>
      <c r="S12" s="59">
        <v>3921.7221296758644</v>
      </c>
      <c r="T12" s="59">
        <v>4774.5941574400276</v>
      </c>
      <c r="U12" s="59">
        <v>5848.8456788354188</v>
      </c>
      <c r="V12" s="59">
        <v>7178.2319504224088</v>
      </c>
      <c r="W12" s="59">
        <v>7069.9862099290785</v>
      </c>
    </row>
    <row r="13" spans="1:23" s="52" customFormat="1" x14ac:dyDescent="0.3">
      <c r="A13" s="63" t="s">
        <v>1390</v>
      </c>
      <c r="B13" s="61">
        <v>45</v>
      </c>
      <c r="C13" s="61">
        <v>0</v>
      </c>
      <c r="D13" s="61">
        <v>0</v>
      </c>
      <c r="E13" s="61">
        <v>0</v>
      </c>
      <c r="F13" s="61">
        <v>0</v>
      </c>
      <c r="G13" s="61">
        <v>0</v>
      </c>
      <c r="H13" s="61">
        <v>114</v>
      </c>
      <c r="I13" s="61">
        <v>293</v>
      </c>
      <c r="J13" s="61">
        <v>290</v>
      </c>
      <c r="K13" s="61">
        <v>281</v>
      </c>
      <c r="L13" s="61">
        <v>352</v>
      </c>
      <c r="M13" s="61">
        <v>266.12710819</v>
      </c>
      <c r="N13" s="61">
        <v>1403.3623078590383</v>
      </c>
      <c r="O13" s="62">
        <v>716.13786708409998</v>
      </c>
      <c r="P13" s="59">
        <v>159.86164048000001</v>
      </c>
      <c r="Q13" s="59">
        <v>247.544914898</v>
      </c>
      <c r="R13" s="59">
        <v>375.45000287169267</v>
      </c>
      <c r="S13" s="59">
        <v>648.26479803225584</v>
      </c>
      <c r="T13" s="59">
        <v>239.49099848513558</v>
      </c>
      <c r="U13" s="59">
        <v>90.872212700000006</v>
      </c>
      <c r="V13" s="59">
        <v>444.88044666593004</v>
      </c>
      <c r="W13" s="59">
        <v>1356.802612655918</v>
      </c>
    </row>
    <row r="14" spans="1:23" s="52" customFormat="1" x14ac:dyDescent="0.3">
      <c r="A14" s="60" t="s">
        <v>1391</v>
      </c>
      <c r="B14" s="61">
        <v>315</v>
      </c>
      <c r="C14" s="61">
        <v>452</v>
      </c>
      <c r="D14" s="61">
        <v>897</v>
      </c>
      <c r="E14" s="61">
        <v>724</v>
      </c>
      <c r="F14" s="61">
        <v>729</v>
      </c>
      <c r="G14" s="61">
        <v>626</v>
      </c>
      <c r="H14" s="61">
        <v>841</v>
      </c>
      <c r="I14" s="61">
        <v>1209</v>
      </c>
      <c r="J14" s="61">
        <v>3142</v>
      </c>
      <c r="K14" s="61">
        <v>4582</v>
      </c>
      <c r="L14" s="61">
        <v>3802</v>
      </c>
      <c r="M14" s="61">
        <v>1029.1056353073495</v>
      </c>
      <c r="N14" s="61">
        <v>1452.9948176127637</v>
      </c>
      <c r="O14" s="62">
        <v>2022.4442206506355</v>
      </c>
      <c r="P14" s="59">
        <v>1691.371584843828</v>
      </c>
      <c r="Q14" s="59">
        <v>981.73819979405994</v>
      </c>
      <c r="R14" s="59">
        <v>744.49111329824393</v>
      </c>
      <c r="S14" s="59">
        <v>1462.9304183299669</v>
      </c>
      <c r="T14" s="59">
        <v>1239.7739999913238</v>
      </c>
      <c r="U14" s="59">
        <v>1260.6555783379247</v>
      </c>
      <c r="V14" s="59">
        <v>1390.560844106403</v>
      </c>
      <c r="W14" s="59">
        <v>941.03583435732742</v>
      </c>
    </row>
    <row r="15" spans="1:23" s="52" customFormat="1" x14ac:dyDescent="0.3">
      <c r="A15" s="60" t="s">
        <v>1392</v>
      </c>
      <c r="B15" s="61">
        <v>0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/>
      <c r="N15" s="61">
        <v>0</v>
      </c>
      <c r="O15" s="62">
        <v>0</v>
      </c>
      <c r="P15" s="59">
        <v>0</v>
      </c>
      <c r="Q15" s="59">
        <v>0</v>
      </c>
      <c r="R15" s="59">
        <v>113.70392261029717</v>
      </c>
      <c r="S15" s="59">
        <v>135.31372393095577</v>
      </c>
      <c r="T15" s="59">
        <v>163.3854190505034</v>
      </c>
      <c r="U15" s="59">
        <v>178.43667553096358</v>
      </c>
      <c r="V15" s="59">
        <v>199.98127113206476</v>
      </c>
      <c r="W15" s="59">
        <v>44.6678223680046</v>
      </c>
    </row>
    <row r="16" spans="1:23" s="52" customFormat="1" x14ac:dyDescent="0.3">
      <c r="A16" s="63" t="s">
        <v>1393</v>
      </c>
      <c r="B16" s="61">
        <v>923</v>
      </c>
      <c r="C16" s="61">
        <v>1276</v>
      </c>
      <c r="D16" s="61">
        <v>521</v>
      </c>
      <c r="E16" s="61">
        <v>81</v>
      </c>
      <c r="F16" s="61">
        <v>166</v>
      </c>
      <c r="G16" s="61">
        <v>191</v>
      </c>
      <c r="H16" s="61">
        <v>98</v>
      </c>
      <c r="I16" s="61">
        <v>597</v>
      </c>
      <c r="J16" s="61">
        <v>933</v>
      </c>
      <c r="K16" s="61">
        <v>2072</v>
      </c>
      <c r="L16" s="61">
        <v>1486</v>
      </c>
      <c r="M16" s="61">
        <v>614.22716976000004</v>
      </c>
      <c r="N16" s="61">
        <v>1080.9680628828401</v>
      </c>
      <c r="O16" s="62">
        <v>596.83553668484001</v>
      </c>
      <c r="P16" s="59">
        <v>0</v>
      </c>
      <c r="Q16" s="59">
        <v>0</v>
      </c>
      <c r="R16" s="59">
        <v>28.813641259999997</v>
      </c>
      <c r="S16" s="59">
        <v>24.659992482564359</v>
      </c>
      <c r="T16" s="59">
        <v>0</v>
      </c>
      <c r="U16" s="59">
        <v>0</v>
      </c>
      <c r="V16" s="59">
        <v>0</v>
      </c>
      <c r="W16" s="59">
        <v>0</v>
      </c>
    </row>
    <row r="17" spans="1:23" s="52" customFormat="1" x14ac:dyDescent="0.3">
      <c r="A17" s="60" t="s">
        <v>1394</v>
      </c>
      <c r="B17" s="61">
        <v>1134</v>
      </c>
      <c r="C17" s="61">
        <v>854</v>
      </c>
      <c r="D17" s="61">
        <v>0</v>
      </c>
      <c r="E17" s="61">
        <v>6</v>
      </c>
      <c r="F17" s="61">
        <v>24</v>
      </c>
      <c r="G17" s="61">
        <v>25</v>
      </c>
      <c r="H17" s="61">
        <v>361</v>
      </c>
      <c r="I17" s="61">
        <v>435</v>
      </c>
      <c r="J17" s="61">
        <v>589</v>
      </c>
      <c r="K17" s="61">
        <v>2265</v>
      </c>
      <c r="L17" s="61">
        <v>2198</v>
      </c>
      <c r="M17" s="61">
        <v>1331.5643755879901</v>
      </c>
      <c r="N17" s="61">
        <v>1505.063865988752</v>
      </c>
      <c r="O17" s="62">
        <v>1096.0359503879129</v>
      </c>
      <c r="P17" s="59">
        <v>506.88767158437946</v>
      </c>
      <c r="Q17" s="59">
        <v>74.072632462271159</v>
      </c>
      <c r="R17" s="59">
        <v>108.41536378841302</v>
      </c>
      <c r="S17" s="59">
        <v>91.621161311584459</v>
      </c>
      <c r="T17" s="59">
        <v>438.2633324942048</v>
      </c>
      <c r="U17" s="59">
        <v>659.50823950067695</v>
      </c>
      <c r="V17" s="59">
        <v>360.45934024611779</v>
      </c>
      <c r="W17" s="59">
        <v>1632.3766181578831</v>
      </c>
    </row>
    <row r="18" spans="1:23" s="52" customFormat="1" x14ac:dyDescent="0.3">
      <c r="A18" s="60" t="s">
        <v>1395</v>
      </c>
      <c r="B18" s="61">
        <v>35</v>
      </c>
      <c r="C18" s="61">
        <v>68</v>
      </c>
      <c r="D18" s="61">
        <v>123</v>
      </c>
      <c r="E18" s="61">
        <v>123</v>
      </c>
      <c r="F18" s="61">
        <v>108</v>
      </c>
      <c r="G18" s="61">
        <v>213</v>
      </c>
      <c r="H18" s="61">
        <v>215</v>
      </c>
      <c r="I18" s="61">
        <v>661</v>
      </c>
      <c r="J18" s="61">
        <v>748</v>
      </c>
      <c r="K18" s="61">
        <v>844</v>
      </c>
      <c r="L18" s="61">
        <v>988</v>
      </c>
      <c r="M18" s="61">
        <v>732.67093771265377</v>
      </c>
      <c r="N18" s="61">
        <v>854.70487249999996</v>
      </c>
      <c r="O18" s="62">
        <v>1707.5715465726585</v>
      </c>
      <c r="P18" s="59">
        <v>2067.5304136646118</v>
      </c>
      <c r="Q18" s="59">
        <v>2121.5846820122642</v>
      </c>
      <c r="R18" s="59">
        <v>2067.206530721799</v>
      </c>
      <c r="S18" s="59">
        <v>1438.8749503907136</v>
      </c>
      <c r="T18" s="59">
        <v>1275.6037482448257</v>
      </c>
      <c r="U18" s="59">
        <v>1860.1071825890219</v>
      </c>
      <c r="V18" s="59">
        <v>1909.5383400330268</v>
      </c>
      <c r="W18" s="59">
        <v>1672.9277931672727</v>
      </c>
    </row>
    <row r="19" spans="1:23" s="52" customFormat="1" x14ac:dyDescent="0.3">
      <c r="A19" s="60" t="s">
        <v>1396</v>
      </c>
      <c r="B19" s="61">
        <v>142</v>
      </c>
      <c r="C19" s="61">
        <v>199</v>
      </c>
      <c r="D19" s="61">
        <v>286</v>
      </c>
      <c r="E19" s="61">
        <v>306</v>
      </c>
      <c r="F19" s="61">
        <v>403</v>
      </c>
      <c r="G19" s="61">
        <v>337</v>
      </c>
      <c r="H19" s="61">
        <v>374</v>
      </c>
      <c r="I19" s="61">
        <v>685</v>
      </c>
      <c r="J19" s="61">
        <v>1142</v>
      </c>
      <c r="K19" s="61">
        <v>1861</v>
      </c>
      <c r="L19" s="61">
        <v>1748</v>
      </c>
      <c r="M19" s="61">
        <v>405.54543567673647</v>
      </c>
      <c r="N19" s="61">
        <v>527.1804106946006</v>
      </c>
      <c r="O19" s="62">
        <v>911.7899701577154</v>
      </c>
      <c r="P19" s="59">
        <v>777.60723238632545</v>
      </c>
      <c r="Q19" s="59">
        <v>942.13115551134251</v>
      </c>
      <c r="R19" s="59">
        <v>598.7481803244541</v>
      </c>
      <c r="S19" s="59">
        <v>363.39129629987599</v>
      </c>
      <c r="T19" s="59">
        <v>273.4233823066175</v>
      </c>
      <c r="U19" s="59">
        <v>499.38451530465846</v>
      </c>
      <c r="V19" s="59">
        <v>696.48878490831237</v>
      </c>
      <c r="W19" s="59">
        <v>1649.7756857300863</v>
      </c>
    </row>
    <row r="20" spans="1:23" s="52" customFormat="1" x14ac:dyDescent="0.3">
      <c r="A20" s="60" t="s">
        <v>1397</v>
      </c>
      <c r="B20" s="61">
        <v>0</v>
      </c>
      <c r="C20" s="61">
        <v>0</v>
      </c>
      <c r="D20" s="61">
        <v>0</v>
      </c>
      <c r="E20" s="61">
        <v>1</v>
      </c>
      <c r="F20" s="61">
        <v>0</v>
      </c>
      <c r="G20" s="61">
        <v>1</v>
      </c>
      <c r="H20" s="61">
        <v>4</v>
      </c>
      <c r="I20" s="61">
        <v>5</v>
      </c>
      <c r="J20" s="61">
        <v>4</v>
      </c>
      <c r="K20" s="61">
        <v>13</v>
      </c>
      <c r="L20" s="61">
        <v>43.021999999999998</v>
      </c>
      <c r="M20" s="61">
        <v>28.920326302702058</v>
      </c>
      <c r="N20" s="61">
        <v>43.495004122493356</v>
      </c>
      <c r="O20" s="62">
        <v>40.240201769357796</v>
      </c>
      <c r="P20" s="59">
        <v>49.799675050618482</v>
      </c>
      <c r="Q20" s="59">
        <v>132.43755717117025</v>
      </c>
      <c r="R20" s="59">
        <v>261.51722981432334</v>
      </c>
      <c r="S20" s="59">
        <v>278.89057428757826</v>
      </c>
      <c r="T20" s="59">
        <v>242.413813637705</v>
      </c>
      <c r="U20" s="59">
        <v>293.24163863466902</v>
      </c>
      <c r="V20" s="59">
        <v>309.13012355962155</v>
      </c>
      <c r="W20" s="59">
        <v>509.73769464811551</v>
      </c>
    </row>
    <row r="21" spans="1:23" s="52" customFormat="1" ht="18.5" x14ac:dyDescent="0.35">
      <c r="A21" s="64" t="s">
        <v>1398</v>
      </c>
      <c r="B21" s="61">
        <v>1</v>
      </c>
      <c r="C21" s="61">
        <v>1</v>
      </c>
      <c r="D21" s="61">
        <v>524</v>
      </c>
      <c r="E21" s="61">
        <v>102</v>
      </c>
      <c r="F21" s="61">
        <v>4</v>
      </c>
      <c r="G21" s="61">
        <v>160</v>
      </c>
      <c r="H21" s="61">
        <v>273</v>
      </c>
      <c r="I21" s="61">
        <v>842</v>
      </c>
      <c r="J21" s="61">
        <v>944</v>
      </c>
      <c r="K21" s="61">
        <v>1045</v>
      </c>
      <c r="L21" s="61">
        <v>1207</v>
      </c>
      <c r="M21" s="61">
        <v>912.25608629881572</v>
      </c>
      <c r="N21" s="61">
        <v>1731.3884406014422</v>
      </c>
      <c r="O21" s="62">
        <v>1513.7227101124622</v>
      </c>
      <c r="P21" s="59">
        <v>1533.6298487006113</v>
      </c>
      <c r="Q21" s="59">
        <v>1822.2734837230971</v>
      </c>
      <c r="R21" s="59">
        <v>1884.881447367349</v>
      </c>
      <c r="S21" s="59">
        <v>1586.4006867512987</v>
      </c>
      <c r="T21" s="59">
        <v>1966.82270177943</v>
      </c>
      <c r="U21" s="59">
        <v>2945.9145870634566</v>
      </c>
      <c r="V21" s="59">
        <v>3851.518722223142</v>
      </c>
      <c r="W21" s="59">
        <v>2811.3683584382566</v>
      </c>
    </row>
    <row r="22" spans="1:23" s="57" customFormat="1" ht="15" x14ac:dyDescent="0.3">
      <c r="A22" s="65" t="s">
        <v>1399</v>
      </c>
      <c r="B22" s="66">
        <f t="shared" ref="B22:W22" si="0">SUM(B12:B21)</f>
        <v>2895</v>
      </c>
      <c r="C22" s="66">
        <f t="shared" si="0"/>
        <v>3264</v>
      </c>
      <c r="D22" s="66">
        <f t="shared" si="0"/>
        <v>2642</v>
      </c>
      <c r="E22" s="66">
        <f t="shared" si="0"/>
        <v>1511</v>
      </c>
      <c r="F22" s="66">
        <f t="shared" si="0"/>
        <v>1822</v>
      </c>
      <c r="G22" s="66">
        <f t="shared" si="0"/>
        <v>2114</v>
      </c>
      <c r="H22" s="66">
        <f t="shared" si="0"/>
        <v>3278</v>
      </c>
      <c r="I22" s="66">
        <f t="shared" si="0"/>
        <v>6302</v>
      </c>
      <c r="J22" s="66">
        <f t="shared" si="0"/>
        <v>9068</v>
      </c>
      <c r="K22" s="66">
        <f t="shared" si="0"/>
        <v>15126</v>
      </c>
      <c r="L22" s="66">
        <f t="shared" si="0"/>
        <v>13557.022000000001</v>
      </c>
      <c r="M22" s="66">
        <f t="shared" si="0"/>
        <v>7087.6017953590699</v>
      </c>
      <c r="N22" s="66">
        <f t="shared" si="0"/>
        <v>12068.329449429479</v>
      </c>
      <c r="O22" s="66">
        <f t="shared" si="0"/>
        <v>14188.800126504559</v>
      </c>
      <c r="P22" s="66">
        <f t="shared" si="0"/>
        <v>12589.980275536895</v>
      </c>
      <c r="Q22" s="66">
        <f t="shared" si="0"/>
        <v>12465.799009678514</v>
      </c>
      <c r="R22" s="66">
        <f t="shared" si="0"/>
        <v>12137.984282220566</v>
      </c>
      <c r="S22" s="66">
        <f t="shared" si="0"/>
        <v>9952.0697314926565</v>
      </c>
      <c r="T22" s="66">
        <f t="shared" si="0"/>
        <v>10613.771553429773</v>
      </c>
      <c r="U22" s="66">
        <f t="shared" si="0"/>
        <v>13636.966308496789</v>
      </c>
      <c r="V22" s="66">
        <f t="shared" si="0"/>
        <v>16340.789823297026</v>
      </c>
      <c r="W22" s="66">
        <f t="shared" si="0"/>
        <v>17688.678629451944</v>
      </c>
    </row>
    <row r="23" spans="1:23" s="52" customFormat="1" x14ac:dyDescent="0.3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67"/>
      <c r="P23" s="51"/>
      <c r="Q23" s="51"/>
      <c r="R23" s="56"/>
      <c r="S23" s="58"/>
      <c r="T23" s="66"/>
      <c r="U23" s="51"/>
      <c r="V23" s="51"/>
      <c r="W23" s="51"/>
    </row>
    <row r="24" spans="1:23" s="57" customFormat="1" x14ac:dyDescent="0.3">
      <c r="A24" s="58" t="s">
        <v>1400</v>
      </c>
      <c r="B24" s="66">
        <f t="shared" ref="B24:W24" si="1">+B10+B22</f>
        <v>6413</v>
      </c>
      <c r="C24" s="66">
        <f t="shared" si="1"/>
        <v>12474</v>
      </c>
      <c r="D24" s="66">
        <f t="shared" si="1"/>
        <v>17045</v>
      </c>
      <c r="E24" s="66">
        <f t="shared" si="1"/>
        <v>14146</v>
      </c>
      <c r="F24" s="66">
        <f t="shared" si="1"/>
        <v>17581</v>
      </c>
      <c r="G24" s="66">
        <f t="shared" si="1"/>
        <v>20382</v>
      </c>
      <c r="H24" s="66">
        <f>+H10+H22</f>
        <v>29268</v>
      </c>
      <c r="I24" s="66">
        <f t="shared" si="1"/>
        <v>45078</v>
      </c>
      <c r="J24" s="66">
        <f t="shared" si="1"/>
        <v>57457</v>
      </c>
      <c r="K24" s="66">
        <f t="shared" si="1"/>
        <v>83114</v>
      </c>
      <c r="L24" s="66">
        <f t="shared" si="1"/>
        <v>90433.021999999997</v>
      </c>
      <c r="M24" s="66">
        <f t="shared" si="1"/>
        <v>86640.601795359064</v>
      </c>
      <c r="N24" s="66">
        <f t="shared" si="1"/>
        <v>112148.32944942948</v>
      </c>
      <c r="O24" s="66">
        <f t="shared" si="1"/>
        <v>153878.71607960243</v>
      </c>
      <c r="P24" s="66">
        <f t="shared" si="1"/>
        <v>156883.09648984464</v>
      </c>
      <c r="Q24" s="66">
        <f t="shared" si="1"/>
        <v>155427.38929379833</v>
      </c>
      <c r="R24" s="66">
        <f t="shared" si="1"/>
        <v>124881.56408164816</v>
      </c>
      <c r="S24" s="66">
        <f t="shared" si="1"/>
        <v>73924.445614728058</v>
      </c>
      <c r="T24" s="66">
        <f t="shared" si="1"/>
        <v>80809.832741991733</v>
      </c>
      <c r="U24" s="66">
        <f t="shared" si="1"/>
        <v>101440.11250384706</v>
      </c>
      <c r="V24" s="66">
        <f t="shared" si="1"/>
        <v>128255.46170919473</v>
      </c>
      <c r="W24" s="66">
        <f t="shared" si="1"/>
        <v>119064.87178751909</v>
      </c>
    </row>
    <row r="25" spans="1:23" s="52" customFormat="1" x14ac:dyDescent="0.3">
      <c r="A25" s="51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7"/>
      <c r="P25" s="51"/>
      <c r="Q25" s="51"/>
      <c r="R25" s="66"/>
      <c r="S25" s="58"/>
      <c r="T25" s="59"/>
      <c r="U25" s="51"/>
      <c r="V25" s="51"/>
      <c r="W25" s="51"/>
    </row>
    <row r="26" spans="1:23" s="52" customFormat="1" ht="15" x14ac:dyDescent="0.3">
      <c r="A26" s="69" t="s">
        <v>1401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5"/>
      <c r="P26" s="51"/>
      <c r="Q26" s="51"/>
      <c r="R26" s="56"/>
      <c r="S26" s="58"/>
      <c r="T26" s="59"/>
      <c r="U26" s="51"/>
      <c r="V26" s="51"/>
      <c r="W26" s="51"/>
    </row>
    <row r="27" spans="1:23" s="52" customFormat="1" x14ac:dyDescent="0.3">
      <c r="A27" s="70" t="s">
        <v>1389</v>
      </c>
      <c r="B27" s="61">
        <v>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69</v>
      </c>
      <c r="I27" s="61">
        <v>37</v>
      </c>
      <c r="J27" s="61">
        <v>75</v>
      </c>
      <c r="K27" s="61">
        <v>99</v>
      </c>
      <c r="L27" s="61">
        <v>97</v>
      </c>
      <c r="M27" s="61">
        <v>104</v>
      </c>
      <c r="N27" s="61">
        <v>151</v>
      </c>
      <c r="O27" s="62">
        <v>195.03530561833367</v>
      </c>
      <c r="P27" s="59">
        <v>235.95505044836375</v>
      </c>
      <c r="Q27" s="59">
        <v>259.57026365110943</v>
      </c>
      <c r="R27" s="59">
        <v>235.74397532427042</v>
      </c>
      <c r="S27" s="59">
        <v>119.53332634035912</v>
      </c>
      <c r="T27" s="59">
        <v>172.90567163677923</v>
      </c>
      <c r="U27" s="59">
        <v>231.16793931631989</v>
      </c>
      <c r="V27" s="59">
        <v>282.75007703426695</v>
      </c>
      <c r="W27" s="59">
        <v>276.98938252240646</v>
      </c>
    </row>
    <row r="28" spans="1:23" s="52" customFormat="1" x14ac:dyDescent="0.3">
      <c r="A28" s="71" t="s">
        <v>1402</v>
      </c>
      <c r="B28" s="61">
        <v>0</v>
      </c>
      <c r="C28" s="61">
        <v>32</v>
      </c>
      <c r="D28" s="61">
        <v>315</v>
      </c>
      <c r="E28" s="61">
        <v>538</v>
      </c>
      <c r="F28" s="61">
        <v>623</v>
      </c>
      <c r="G28" s="61">
        <v>876</v>
      </c>
      <c r="H28" s="61">
        <v>1251</v>
      </c>
      <c r="I28" s="61">
        <v>1314</v>
      </c>
      <c r="J28" s="61">
        <v>2252</v>
      </c>
      <c r="K28" s="61">
        <v>3392</v>
      </c>
      <c r="L28" s="61">
        <v>4008</v>
      </c>
      <c r="M28" s="61">
        <v>6650</v>
      </c>
      <c r="N28" s="61">
        <v>10861</v>
      </c>
      <c r="O28" s="62">
        <v>15477.818764489561</v>
      </c>
      <c r="P28" s="59">
        <v>17528.218484090427</v>
      </c>
      <c r="Q28" s="59">
        <v>15397.214525224237</v>
      </c>
      <c r="R28" s="59">
        <v>13453.878054115043</v>
      </c>
      <c r="S28" s="59">
        <v>9119.540058546494</v>
      </c>
      <c r="T28" s="59">
        <v>7895.4941428247657</v>
      </c>
      <c r="U28" s="59">
        <v>8464.4876139319822</v>
      </c>
      <c r="V28" s="59">
        <v>8641.1336783449187</v>
      </c>
      <c r="W28" s="59">
        <v>7707.5090106905081</v>
      </c>
    </row>
    <row r="29" spans="1:23" s="52" customFormat="1" x14ac:dyDescent="0.3">
      <c r="A29" s="70" t="s">
        <v>1403</v>
      </c>
      <c r="B29" s="61">
        <v>86</v>
      </c>
      <c r="C29" s="61">
        <v>120</v>
      </c>
      <c r="D29" s="61">
        <v>715</v>
      </c>
      <c r="E29" s="61">
        <v>479</v>
      </c>
      <c r="F29" s="61">
        <v>485</v>
      </c>
      <c r="G29" s="61">
        <v>577</v>
      </c>
      <c r="H29" s="61">
        <v>1123</v>
      </c>
      <c r="I29" s="61">
        <v>2426</v>
      </c>
      <c r="J29" s="61">
        <v>4741</v>
      </c>
      <c r="K29" s="61">
        <v>6791</v>
      </c>
      <c r="L29" s="61">
        <v>5643</v>
      </c>
      <c r="M29" s="61">
        <v>6419</v>
      </c>
      <c r="N29" s="61">
        <v>8161</v>
      </c>
      <c r="O29" s="62">
        <v>9482.1125409148117</v>
      </c>
      <c r="P29" s="59">
        <v>7991.7216112835831</v>
      </c>
      <c r="Q29" s="59">
        <v>7583.672222197486</v>
      </c>
      <c r="R29" s="59">
        <v>5176.2248378140766</v>
      </c>
      <c r="S29" s="59">
        <v>3070.8717188486935</v>
      </c>
      <c r="T29" s="59">
        <v>3666.0795585332803</v>
      </c>
      <c r="U29" s="59">
        <v>4504.6418270447102</v>
      </c>
      <c r="V29" s="59">
        <v>4137.045294861301</v>
      </c>
      <c r="W29" s="59">
        <v>4438.9956800330856</v>
      </c>
    </row>
    <row r="30" spans="1:23" s="52" customFormat="1" x14ac:dyDescent="0.3">
      <c r="A30" s="70" t="s">
        <v>1404</v>
      </c>
      <c r="B30" s="61">
        <v>0</v>
      </c>
      <c r="C30" s="61">
        <v>0</v>
      </c>
      <c r="D30" s="61">
        <v>38</v>
      </c>
      <c r="E30" s="61">
        <v>36</v>
      </c>
      <c r="F30" s="61">
        <v>169</v>
      </c>
      <c r="G30" s="61">
        <v>427</v>
      </c>
      <c r="H30" s="61">
        <v>991</v>
      </c>
      <c r="I30" s="61">
        <v>1588</v>
      </c>
      <c r="J30" s="61">
        <v>2264</v>
      </c>
      <c r="K30" s="61">
        <v>3376</v>
      </c>
      <c r="L30" s="61">
        <v>2999</v>
      </c>
      <c r="M30" s="61">
        <v>2824</v>
      </c>
      <c r="N30" s="61">
        <v>3546</v>
      </c>
      <c r="O30" s="62">
        <v>4568.3114115735852</v>
      </c>
      <c r="P30" s="59">
        <v>4644.5557377613295</v>
      </c>
      <c r="Q30" s="59">
        <v>5487.0023343632647</v>
      </c>
      <c r="R30" s="59">
        <v>4155.3917912999232</v>
      </c>
      <c r="S30" s="59">
        <v>2439.7655190827395</v>
      </c>
      <c r="T30" s="59">
        <v>3323.9503708304364</v>
      </c>
      <c r="U30" s="59">
        <v>3931.1456847465533</v>
      </c>
      <c r="V30" s="59">
        <v>4866.6890988230862</v>
      </c>
      <c r="W30" s="59">
        <v>4020.9874793586259</v>
      </c>
    </row>
    <row r="31" spans="1:23" s="52" customFormat="1" x14ac:dyDescent="0.3">
      <c r="A31" s="63" t="s">
        <v>1393</v>
      </c>
      <c r="B31" s="61">
        <v>0</v>
      </c>
      <c r="C31" s="61">
        <v>0</v>
      </c>
      <c r="D31" s="61">
        <v>0</v>
      </c>
      <c r="E31" s="61">
        <v>0</v>
      </c>
      <c r="F31" s="61">
        <v>0</v>
      </c>
      <c r="G31" s="61">
        <v>0</v>
      </c>
      <c r="H31" s="61">
        <v>102</v>
      </c>
      <c r="I31" s="61">
        <v>84</v>
      </c>
      <c r="J31" s="61">
        <v>119</v>
      </c>
      <c r="K31" s="61">
        <v>122</v>
      </c>
      <c r="L31" s="61">
        <v>77</v>
      </c>
      <c r="M31" s="61">
        <v>32</v>
      </c>
      <c r="N31" s="61">
        <v>30.905000000000001</v>
      </c>
      <c r="O31" s="62">
        <v>39.352430675110071</v>
      </c>
      <c r="P31" s="59">
        <v>25.468013077343397</v>
      </c>
      <c r="Q31" s="59">
        <v>16.068750612220263</v>
      </c>
      <c r="R31" s="59">
        <v>13.153516482569618</v>
      </c>
      <c r="S31" s="59">
        <v>5.3835747384882442</v>
      </c>
      <c r="T31" s="59">
        <v>8.0592245669266109</v>
      </c>
      <c r="U31" s="59">
        <v>10.488380312131534</v>
      </c>
      <c r="V31" s="59">
        <v>14.004636986994457</v>
      </c>
      <c r="W31" s="59">
        <v>77.579331902283059</v>
      </c>
    </row>
    <row r="32" spans="1:23" s="52" customFormat="1" x14ac:dyDescent="0.3">
      <c r="A32" s="60" t="s">
        <v>1394</v>
      </c>
      <c r="B32" s="61">
        <v>0</v>
      </c>
      <c r="C32" s="61">
        <v>0</v>
      </c>
      <c r="D32" s="61">
        <v>409</v>
      </c>
      <c r="E32" s="61">
        <v>533</v>
      </c>
      <c r="F32" s="61">
        <v>735</v>
      </c>
      <c r="G32" s="61">
        <v>1475</v>
      </c>
      <c r="H32" s="61">
        <v>2627</v>
      </c>
      <c r="I32" s="61">
        <v>4189</v>
      </c>
      <c r="J32" s="61">
        <v>6427</v>
      </c>
      <c r="K32" s="61">
        <v>10178</v>
      </c>
      <c r="L32" s="61">
        <v>11032</v>
      </c>
      <c r="M32" s="61">
        <v>10747</v>
      </c>
      <c r="N32" s="61">
        <v>15220</v>
      </c>
      <c r="O32" s="62">
        <v>21746.080380286217</v>
      </c>
      <c r="P32" s="59">
        <v>21252.772030943335</v>
      </c>
      <c r="Q32" s="59">
        <v>24336.182862858102</v>
      </c>
      <c r="R32" s="59">
        <v>18865.249755050456</v>
      </c>
      <c r="S32" s="59">
        <v>10179.634684344248</v>
      </c>
      <c r="T32" s="59">
        <v>11904.570698903603</v>
      </c>
      <c r="U32" s="59">
        <v>15420.008328567257</v>
      </c>
      <c r="V32" s="59">
        <v>17625.177086835225</v>
      </c>
      <c r="W32" s="59">
        <v>17480.663445377257</v>
      </c>
    </row>
    <row r="33" spans="1:24" s="52" customFormat="1" x14ac:dyDescent="0.3">
      <c r="A33" s="60" t="s">
        <v>1405</v>
      </c>
      <c r="B33" s="61">
        <v>0</v>
      </c>
      <c r="C33" s="61">
        <v>0</v>
      </c>
      <c r="D33" s="61">
        <v>2</v>
      </c>
      <c r="E33" s="61">
        <v>5</v>
      </c>
      <c r="F33" s="61">
        <v>0</v>
      </c>
      <c r="G33" s="61">
        <v>0</v>
      </c>
      <c r="H33" s="61">
        <v>0</v>
      </c>
      <c r="I33" s="72">
        <v>0.1</v>
      </c>
      <c r="J33" s="61">
        <v>0.1</v>
      </c>
      <c r="K33" s="72">
        <v>0</v>
      </c>
      <c r="L33" s="72">
        <v>0.28999999999999998</v>
      </c>
      <c r="M33" s="61">
        <v>19</v>
      </c>
      <c r="N33" s="61">
        <v>56</v>
      </c>
      <c r="O33" s="62">
        <v>69.168862104855108</v>
      </c>
      <c r="P33" s="59">
        <v>7.8491181591719341</v>
      </c>
      <c r="Q33" s="59">
        <v>21.568999999999996</v>
      </c>
      <c r="R33" s="59">
        <v>4.7613023999999999</v>
      </c>
      <c r="S33" s="59">
        <v>0</v>
      </c>
      <c r="T33" s="59">
        <v>58.935559747843868</v>
      </c>
      <c r="U33" s="59">
        <v>5.7399022371060902</v>
      </c>
      <c r="V33" s="59">
        <v>49.59</v>
      </c>
      <c r="W33" s="59">
        <v>0</v>
      </c>
    </row>
    <row r="34" spans="1:24" s="52" customFormat="1" x14ac:dyDescent="0.3">
      <c r="A34" s="60" t="s">
        <v>1406</v>
      </c>
      <c r="B34" s="61">
        <v>0</v>
      </c>
      <c r="C34" s="61">
        <v>0</v>
      </c>
      <c r="D34" s="61">
        <v>0</v>
      </c>
      <c r="E34" s="61">
        <v>0</v>
      </c>
      <c r="F34" s="61">
        <v>5</v>
      </c>
      <c r="G34" s="61">
        <v>8</v>
      </c>
      <c r="H34" s="61">
        <v>5</v>
      </c>
      <c r="I34" s="61">
        <v>80</v>
      </c>
      <c r="J34" s="61">
        <v>273</v>
      </c>
      <c r="K34" s="61">
        <v>171</v>
      </c>
      <c r="L34" s="61">
        <v>136</v>
      </c>
      <c r="M34" s="61">
        <v>26</v>
      </c>
      <c r="N34" s="61">
        <v>33.6</v>
      </c>
      <c r="O34" s="62">
        <v>36.499164611620905</v>
      </c>
      <c r="P34" s="59">
        <v>64.939777378842152</v>
      </c>
      <c r="Q34" s="59">
        <v>26.531845880943841</v>
      </c>
      <c r="R34" s="59">
        <v>16.008202545880078</v>
      </c>
      <c r="S34" s="59">
        <v>19.626316551520407</v>
      </c>
      <c r="T34" s="59">
        <v>15.403928554977046</v>
      </c>
      <c r="U34" s="59">
        <v>18.280079211348149</v>
      </c>
      <c r="V34" s="59">
        <v>15.122732235837063</v>
      </c>
      <c r="W34" s="59">
        <v>13.483251527458222</v>
      </c>
    </row>
    <row r="35" spans="1:24" s="52" customFormat="1" x14ac:dyDescent="0.3">
      <c r="A35" s="60" t="s">
        <v>1396</v>
      </c>
      <c r="B35" s="61">
        <v>0</v>
      </c>
      <c r="C35" s="61">
        <v>0</v>
      </c>
      <c r="D35" s="61">
        <v>70</v>
      </c>
      <c r="E35" s="61">
        <v>53</v>
      </c>
      <c r="F35" s="61">
        <v>178</v>
      </c>
      <c r="G35" s="61">
        <v>204</v>
      </c>
      <c r="H35" s="61">
        <v>338</v>
      </c>
      <c r="I35" s="61">
        <v>522</v>
      </c>
      <c r="J35" s="61">
        <v>1101</v>
      </c>
      <c r="K35" s="61">
        <v>1696</v>
      </c>
      <c r="L35" s="61">
        <v>2737</v>
      </c>
      <c r="M35" s="61">
        <v>2250</v>
      </c>
      <c r="N35" s="61">
        <v>3318</v>
      </c>
      <c r="O35" s="62">
        <v>5311.9325148407897</v>
      </c>
      <c r="P35" s="59">
        <v>3757.0654328678238</v>
      </c>
      <c r="Q35" s="59">
        <v>3670.7011257625313</v>
      </c>
      <c r="R35" s="59">
        <v>2320.6853813640341</v>
      </c>
      <c r="S35" s="59">
        <v>687.76925699267008</v>
      </c>
      <c r="T35" s="59">
        <v>583.31612870487209</v>
      </c>
      <c r="U35" s="59">
        <v>817.37604945556825</v>
      </c>
      <c r="V35" s="59">
        <v>922.63137858770301</v>
      </c>
      <c r="W35" s="59">
        <v>536.51121138614576</v>
      </c>
    </row>
    <row r="36" spans="1:24" s="52" customFormat="1" x14ac:dyDescent="0.3">
      <c r="A36" s="60" t="s">
        <v>1397</v>
      </c>
      <c r="B36" s="61">
        <v>0</v>
      </c>
      <c r="C36" s="61">
        <v>0</v>
      </c>
      <c r="D36" s="61">
        <v>0</v>
      </c>
      <c r="E36" s="61">
        <v>0</v>
      </c>
      <c r="F36" s="61">
        <v>0</v>
      </c>
      <c r="G36" s="61">
        <v>1</v>
      </c>
      <c r="H36" s="61">
        <v>7</v>
      </c>
      <c r="I36" s="61">
        <v>6</v>
      </c>
      <c r="J36" s="61">
        <v>17</v>
      </c>
      <c r="K36" s="61">
        <v>13</v>
      </c>
      <c r="L36" s="61">
        <v>13.6</v>
      </c>
      <c r="M36" s="61">
        <v>12</v>
      </c>
      <c r="N36" s="61">
        <v>27</v>
      </c>
      <c r="O36" s="62">
        <v>5.6141804416258587</v>
      </c>
      <c r="P36" s="59">
        <v>52.028923183853031</v>
      </c>
      <c r="Q36" s="59">
        <v>52.353850180265262</v>
      </c>
      <c r="R36" s="59">
        <v>40.032268983349503</v>
      </c>
      <c r="S36" s="59">
        <v>27.439317624184341</v>
      </c>
      <c r="T36" s="59">
        <v>5.5166440942496129</v>
      </c>
      <c r="U36" s="59">
        <v>18.248011339863886</v>
      </c>
      <c r="V36" s="59">
        <v>10.180121989430305</v>
      </c>
      <c r="W36" s="59">
        <v>12.514926334778702</v>
      </c>
    </row>
    <row r="37" spans="1:24" s="52" customFormat="1" x14ac:dyDescent="0.3">
      <c r="A37" s="60" t="s">
        <v>1407</v>
      </c>
      <c r="B37" s="61">
        <v>0</v>
      </c>
      <c r="C37" s="61">
        <v>9</v>
      </c>
      <c r="D37" s="61">
        <v>127</v>
      </c>
      <c r="E37" s="61">
        <v>87</v>
      </c>
      <c r="F37" s="61">
        <v>56</v>
      </c>
      <c r="G37" s="61">
        <v>93</v>
      </c>
      <c r="H37" s="61">
        <v>147</v>
      </c>
      <c r="I37" s="61">
        <v>987</v>
      </c>
      <c r="J37" s="61">
        <v>638</v>
      </c>
      <c r="K37" s="61">
        <v>1718</v>
      </c>
      <c r="L37" s="61">
        <v>539</v>
      </c>
      <c r="M37" s="61">
        <v>1580</v>
      </c>
      <c r="N37" s="61">
        <v>1935.4</v>
      </c>
      <c r="O37" s="62">
        <v>2386.9929814046582</v>
      </c>
      <c r="P37" s="59">
        <v>3287.8382388355271</v>
      </c>
      <c r="Q37" s="59">
        <v>3813.5561881754898</v>
      </c>
      <c r="R37" s="59">
        <v>2995.4754482412</v>
      </c>
      <c r="S37" s="59">
        <v>1389.7833014063463</v>
      </c>
      <c r="T37" s="59">
        <v>1415.1402649004478</v>
      </c>
      <c r="U37" s="59">
        <v>1518.200312211276</v>
      </c>
      <c r="V37" s="59">
        <v>1671.2995940109492</v>
      </c>
      <c r="W37" s="59">
        <v>1282.7146488060719</v>
      </c>
    </row>
    <row r="38" spans="1:24" s="57" customFormat="1" ht="15" x14ac:dyDescent="0.3">
      <c r="A38" s="73" t="s">
        <v>1408</v>
      </c>
      <c r="B38" s="54">
        <f t="shared" ref="B38:W38" si="2">SUM(B27:B37)</f>
        <v>86</v>
      </c>
      <c r="C38" s="54">
        <f t="shared" si="2"/>
        <v>161</v>
      </c>
      <c r="D38" s="54">
        <f t="shared" si="2"/>
        <v>1676</v>
      </c>
      <c r="E38" s="54">
        <f t="shared" si="2"/>
        <v>1731</v>
      </c>
      <c r="F38" s="54">
        <f t="shared" si="2"/>
        <v>2251</v>
      </c>
      <c r="G38" s="54">
        <f t="shared" si="2"/>
        <v>3661</v>
      </c>
      <c r="H38" s="54">
        <f t="shared" si="2"/>
        <v>6660</v>
      </c>
      <c r="I38" s="54">
        <f t="shared" si="2"/>
        <v>11233.1</v>
      </c>
      <c r="J38" s="54">
        <f t="shared" si="2"/>
        <v>17907.099999999999</v>
      </c>
      <c r="K38" s="54">
        <f t="shared" si="2"/>
        <v>27556</v>
      </c>
      <c r="L38" s="54">
        <f t="shared" si="2"/>
        <v>27281.89</v>
      </c>
      <c r="M38" s="54">
        <f t="shared" si="2"/>
        <v>30663</v>
      </c>
      <c r="N38" s="54">
        <f t="shared" si="2"/>
        <v>43339.904999999999</v>
      </c>
      <c r="O38" s="54">
        <f t="shared" si="2"/>
        <v>59318.918536961159</v>
      </c>
      <c r="P38" s="54">
        <f t="shared" si="2"/>
        <v>58848.412418029606</v>
      </c>
      <c r="Q38" s="54">
        <f t="shared" si="2"/>
        <v>60664.422968905659</v>
      </c>
      <c r="R38" s="54">
        <f t="shared" si="2"/>
        <v>47276.604533620804</v>
      </c>
      <c r="S38" s="54">
        <f t="shared" si="2"/>
        <v>27059.34707447574</v>
      </c>
      <c r="T38" s="54">
        <f t="shared" si="2"/>
        <v>29049.372193298179</v>
      </c>
      <c r="U38" s="54">
        <f t="shared" si="2"/>
        <v>34939.784128374115</v>
      </c>
      <c r="V38" s="54">
        <f t="shared" si="2"/>
        <v>38235.623699709715</v>
      </c>
      <c r="W38" s="54">
        <f t="shared" si="2"/>
        <v>35847.948367938625</v>
      </c>
      <c r="X38" s="52"/>
    </row>
    <row r="39" spans="1:24" s="52" customFormat="1" x14ac:dyDescent="0.3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67"/>
      <c r="P39" s="51"/>
      <c r="Q39" s="51"/>
      <c r="R39" s="66"/>
      <c r="S39" s="51"/>
      <c r="T39" s="66"/>
      <c r="U39" s="51"/>
      <c r="V39" s="51"/>
      <c r="W39" s="51"/>
    </row>
    <row r="40" spans="1:24" s="57" customFormat="1" x14ac:dyDescent="0.3">
      <c r="A40" s="58" t="s">
        <v>1409</v>
      </c>
      <c r="B40" s="54">
        <f>+B24-B38</f>
        <v>6327</v>
      </c>
      <c r="C40" s="54">
        <f t="shared" ref="C40:W40" si="3">+C24-C38</f>
        <v>12313</v>
      </c>
      <c r="D40" s="54">
        <f t="shared" si="3"/>
        <v>15369</v>
      </c>
      <c r="E40" s="54">
        <f t="shared" si="3"/>
        <v>12415</v>
      </c>
      <c r="F40" s="54">
        <f t="shared" si="3"/>
        <v>15330</v>
      </c>
      <c r="G40" s="54">
        <f t="shared" si="3"/>
        <v>16721</v>
      </c>
      <c r="H40" s="54">
        <f>+H24-H38</f>
        <v>22608</v>
      </c>
      <c r="I40" s="54">
        <f t="shared" si="3"/>
        <v>33844.9</v>
      </c>
      <c r="J40" s="54">
        <f t="shared" si="3"/>
        <v>39549.9</v>
      </c>
      <c r="K40" s="54">
        <f t="shared" si="3"/>
        <v>55558</v>
      </c>
      <c r="L40" s="54">
        <f t="shared" si="3"/>
        <v>63151.131999999998</v>
      </c>
      <c r="M40" s="54">
        <f t="shared" si="3"/>
        <v>55977.601795359064</v>
      </c>
      <c r="N40" s="54">
        <f t="shared" si="3"/>
        <v>68808.424449429484</v>
      </c>
      <c r="O40" s="54">
        <f t="shared" si="3"/>
        <v>94559.797542641259</v>
      </c>
      <c r="P40" s="54">
        <f t="shared" si="3"/>
        <v>98034.684071815034</v>
      </c>
      <c r="Q40" s="54">
        <f t="shared" si="3"/>
        <v>94762.966324892681</v>
      </c>
      <c r="R40" s="54">
        <f t="shared" si="3"/>
        <v>77604.959548027357</v>
      </c>
      <c r="S40" s="54">
        <f t="shared" si="3"/>
        <v>46865.098540252322</v>
      </c>
      <c r="T40" s="54">
        <f t="shared" si="3"/>
        <v>51760.460548693554</v>
      </c>
      <c r="U40" s="54">
        <f t="shared" si="3"/>
        <v>66500.328375472949</v>
      </c>
      <c r="V40" s="54">
        <f t="shared" si="3"/>
        <v>90019.838009485014</v>
      </c>
      <c r="W40" s="54">
        <f t="shared" si="3"/>
        <v>83216.923419580475</v>
      </c>
    </row>
    <row r="41" spans="1:24" s="52" customFormat="1" x14ac:dyDescent="0.3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67"/>
      <c r="P41" s="51"/>
      <c r="Q41" s="51"/>
      <c r="R41" s="56"/>
      <c r="S41" s="51"/>
      <c r="T41" s="66"/>
      <c r="U41" s="51"/>
      <c r="V41" s="51"/>
      <c r="W41" s="51"/>
    </row>
    <row r="42" spans="1:24" s="52" customFormat="1" x14ac:dyDescent="0.3">
      <c r="A42" s="58" t="s">
        <v>1410</v>
      </c>
      <c r="B42" s="54">
        <f>+B38-B22</f>
        <v>-2809</v>
      </c>
      <c r="C42" s="54">
        <f t="shared" ref="C42:W42" si="4">+C38-C22</f>
        <v>-3103</v>
      </c>
      <c r="D42" s="54">
        <f t="shared" si="4"/>
        <v>-966</v>
      </c>
      <c r="E42" s="54">
        <f t="shared" si="4"/>
        <v>220</v>
      </c>
      <c r="F42" s="54">
        <f t="shared" si="4"/>
        <v>429</v>
      </c>
      <c r="G42" s="54">
        <f t="shared" si="4"/>
        <v>1547</v>
      </c>
      <c r="H42" s="54">
        <f t="shared" si="4"/>
        <v>3382</v>
      </c>
      <c r="I42" s="54">
        <f t="shared" si="4"/>
        <v>4931.1000000000004</v>
      </c>
      <c r="J42" s="54">
        <f t="shared" si="4"/>
        <v>8839.0999999999985</v>
      </c>
      <c r="K42" s="54">
        <f t="shared" si="4"/>
        <v>12430</v>
      </c>
      <c r="L42" s="54">
        <f t="shared" si="4"/>
        <v>13724.867999999999</v>
      </c>
      <c r="M42" s="54">
        <f t="shared" si="4"/>
        <v>23575.398204640929</v>
      </c>
      <c r="N42" s="54">
        <f t="shared" si="4"/>
        <v>31271.57555057052</v>
      </c>
      <c r="O42" s="54">
        <f t="shared" si="4"/>
        <v>45130.118410456598</v>
      </c>
      <c r="P42" s="54">
        <f t="shared" si="4"/>
        <v>46258.432142492711</v>
      </c>
      <c r="Q42" s="54">
        <f t="shared" si="4"/>
        <v>48198.623959227145</v>
      </c>
      <c r="R42" s="54">
        <f t="shared" si="4"/>
        <v>35138.620251400236</v>
      </c>
      <c r="S42" s="54">
        <f t="shared" si="4"/>
        <v>17107.277342983085</v>
      </c>
      <c r="T42" s="54">
        <f t="shared" si="4"/>
        <v>18435.600639868404</v>
      </c>
      <c r="U42" s="54">
        <f t="shared" si="4"/>
        <v>21302.817819877324</v>
      </c>
      <c r="V42" s="54">
        <f t="shared" si="4"/>
        <v>21894.833876412689</v>
      </c>
      <c r="W42" s="54">
        <f t="shared" si="4"/>
        <v>18159.269738486681</v>
      </c>
    </row>
    <row r="43" spans="1:24" ht="15" customHeight="1" x14ac:dyDescent="0.3">
      <c r="A43" s="122" t="s">
        <v>1411</v>
      </c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74"/>
      <c r="P43" s="74"/>
      <c r="Q43" s="74"/>
      <c r="R43" s="74"/>
      <c r="S43" s="74"/>
      <c r="T43" s="74"/>
    </row>
    <row r="44" spans="1:24" ht="15" customHeight="1" x14ac:dyDescent="0.3">
      <c r="A44" s="75" t="s">
        <v>1412</v>
      </c>
      <c r="B44" s="76"/>
      <c r="C44" s="76"/>
      <c r="D44" s="76"/>
      <c r="E44" s="76"/>
      <c r="F44" s="76"/>
      <c r="G44" s="77"/>
      <c r="H44" s="77"/>
      <c r="I44" s="77"/>
      <c r="J44" s="77"/>
      <c r="K44" s="77"/>
      <c r="L44" s="77"/>
      <c r="M44" s="77"/>
      <c r="N44" s="78"/>
      <c r="O44" s="79"/>
      <c r="P44" s="79"/>
      <c r="Q44" s="79"/>
      <c r="R44" s="79"/>
      <c r="S44" s="79"/>
      <c r="T44" s="79"/>
    </row>
    <row r="45" spans="1:24" x14ac:dyDescent="0.3">
      <c r="A45" s="80" t="s">
        <v>1413</v>
      </c>
      <c r="B45" s="76"/>
      <c r="C45" s="76"/>
      <c r="D45" s="76"/>
      <c r="E45" s="76"/>
      <c r="F45" s="76"/>
      <c r="G45" s="77"/>
      <c r="H45" s="77"/>
      <c r="I45" s="77"/>
      <c r="J45" s="77"/>
      <c r="K45" s="77"/>
      <c r="L45" s="77"/>
      <c r="M45" s="77"/>
      <c r="N45" s="78"/>
      <c r="O45" s="81"/>
      <c r="P45" s="81"/>
      <c r="Q45" s="81"/>
      <c r="R45" s="81"/>
      <c r="S45" s="81"/>
      <c r="T45" s="81"/>
    </row>
    <row r="46" spans="1:24" x14ac:dyDescent="0.3">
      <c r="A46" s="80" t="s">
        <v>1414</v>
      </c>
      <c r="B46" s="76"/>
      <c r="C46" s="76"/>
      <c r="D46" s="76"/>
      <c r="E46" s="76"/>
      <c r="F46" s="76"/>
      <c r="G46" s="78"/>
      <c r="H46" s="78"/>
      <c r="I46" s="78"/>
      <c r="J46" s="78"/>
      <c r="K46" s="78"/>
      <c r="L46" s="78"/>
      <c r="M46" s="78"/>
      <c r="N46" s="77"/>
    </row>
    <row r="47" spans="1:24" x14ac:dyDescent="0.3">
      <c r="A47" s="80" t="s">
        <v>1415</v>
      </c>
      <c r="B47" s="82"/>
      <c r="C47" s="82"/>
      <c r="D47" s="82"/>
      <c r="E47" s="82"/>
      <c r="F47" s="82"/>
      <c r="G47" s="83"/>
      <c r="H47" s="83"/>
      <c r="I47" s="83"/>
      <c r="J47" s="83"/>
      <c r="K47" s="83"/>
      <c r="L47" s="83"/>
      <c r="M47" s="83"/>
      <c r="N47" s="84"/>
    </row>
    <row r="48" spans="1:24" x14ac:dyDescent="0.3">
      <c r="A48" s="80" t="s">
        <v>1416</v>
      </c>
      <c r="B48" s="82"/>
      <c r="C48" s="82"/>
      <c r="D48" s="82"/>
      <c r="E48" s="82"/>
      <c r="F48" s="82"/>
      <c r="G48" s="83"/>
      <c r="H48" s="83"/>
      <c r="I48" s="83"/>
      <c r="J48" s="83"/>
      <c r="K48" s="83"/>
      <c r="L48" s="83"/>
      <c r="M48" s="83"/>
      <c r="N48" s="84"/>
    </row>
    <row r="49" spans="1:23" x14ac:dyDescent="0.3">
      <c r="A49" s="80" t="s">
        <v>1417</v>
      </c>
      <c r="B49" s="82"/>
      <c r="C49" s="82"/>
      <c r="D49" s="82"/>
      <c r="E49" s="82"/>
      <c r="F49" s="82"/>
      <c r="G49" s="83"/>
      <c r="H49" s="83"/>
      <c r="I49" s="83"/>
      <c r="J49" s="83"/>
      <c r="K49" s="83"/>
      <c r="L49" s="83"/>
      <c r="M49" s="83"/>
      <c r="N49" s="84"/>
    </row>
    <row r="50" spans="1:23" x14ac:dyDescent="0.3">
      <c r="A50" s="80" t="s">
        <v>1418</v>
      </c>
      <c r="B50" s="82"/>
      <c r="C50" s="82"/>
      <c r="D50" s="82"/>
      <c r="E50" s="82"/>
      <c r="F50" s="82"/>
      <c r="G50" s="83"/>
      <c r="H50" s="83"/>
      <c r="I50" s="83"/>
      <c r="J50" s="83"/>
      <c r="K50" s="83"/>
      <c r="L50" s="83"/>
      <c r="M50" s="83"/>
      <c r="N50" s="84"/>
    </row>
    <row r="51" spans="1:23" x14ac:dyDescent="0.3">
      <c r="A51" s="80" t="s">
        <v>1419</v>
      </c>
      <c r="B51" s="76"/>
      <c r="C51" s="76"/>
      <c r="D51" s="76"/>
      <c r="E51" s="76"/>
      <c r="F51" s="76"/>
      <c r="G51" s="78"/>
      <c r="H51" s="78"/>
      <c r="I51" s="78"/>
      <c r="J51" s="78"/>
      <c r="K51" s="78"/>
      <c r="L51" s="78"/>
      <c r="M51" s="78"/>
      <c r="N51" s="84"/>
    </row>
    <row r="52" spans="1:23" x14ac:dyDescent="0.3">
      <c r="A52" s="80" t="s">
        <v>1420</v>
      </c>
      <c r="B52" s="82"/>
      <c r="C52" s="82"/>
      <c r="D52" s="82"/>
      <c r="E52" s="82"/>
      <c r="F52" s="82"/>
      <c r="G52" s="83"/>
      <c r="H52" s="83"/>
      <c r="I52" s="83"/>
      <c r="J52" s="83"/>
      <c r="K52" s="83"/>
      <c r="L52" s="83"/>
      <c r="M52" s="83"/>
      <c r="N52" s="84"/>
    </row>
    <row r="55" spans="1:23" x14ac:dyDescent="0.3">
      <c r="A55" s="34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</row>
    <row r="56" spans="1:23" x14ac:dyDescent="0.3">
      <c r="A56" s="85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</row>
    <row r="57" spans="1:23" ht="20" x14ac:dyDescent="0.4">
      <c r="A57" s="82"/>
      <c r="B57" s="82"/>
      <c r="C57" s="82"/>
      <c r="D57" s="82"/>
      <c r="E57" s="82"/>
      <c r="F57" s="82"/>
      <c r="G57" s="82"/>
      <c r="H57" s="38" t="s">
        <v>1352</v>
      </c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</row>
    <row r="58" spans="1:23" x14ac:dyDescent="0.3">
      <c r="A58" s="86"/>
      <c r="B58" s="86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</row>
    <row r="59" spans="1:23" ht="18" x14ac:dyDescent="0.4">
      <c r="A59" s="124" t="s">
        <v>1363</v>
      </c>
      <c r="B59" s="124"/>
      <c r="C59" s="87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2"/>
      <c r="U59" s="82"/>
      <c r="V59" s="82"/>
      <c r="W59" s="82"/>
    </row>
    <row r="60" spans="1:23" ht="17.5" x14ac:dyDescent="0.35">
      <c r="A60" s="125" t="s">
        <v>1421</v>
      </c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</row>
    <row r="61" spans="1:23" ht="17.5" x14ac:dyDescent="0.3">
      <c r="A61" s="111" t="s">
        <v>1365</v>
      </c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3"/>
    </row>
    <row r="62" spans="1:23" ht="17.5" x14ac:dyDescent="0.3">
      <c r="A62" s="43" t="s">
        <v>1366</v>
      </c>
      <c r="B62" s="89" t="s">
        <v>1367</v>
      </c>
      <c r="C62" s="89" t="s">
        <v>1368</v>
      </c>
      <c r="D62" s="89" t="s">
        <v>1369</v>
      </c>
      <c r="E62" s="89" t="s">
        <v>1370</v>
      </c>
      <c r="F62" s="89" t="s">
        <v>1371</v>
      </c>
      <c r="G62" s="89" t="s">
        <v>1372</v>
      </c>
      <c r="H62" s="89" t="s">
        <v>1373</v>
      </c>
      <c r="I62" s="89" t="s">
        <v>1374</v>
      </c>
      <c r="J62" s="89" t="s">
        <v>1375</v>
      </c>
      <c r="K62" s="89" t="s">
        <v>1376</v>
      </c>
      <c r="L62" s="89" t="s">
        <v>1377</v>
      </c>
      <c r="M62" s="89" t="s">
        <v>1378</v>
      </c>
      <c r="N62" s="89" t="s">
        <v>1422</v>
      </c>
      <c r="O62" s="43" t="s">
        <v>1380</v>
      </c>
      <c r="P62" s="89" t="s">
        <v>1423</v>
      </c>
      <c r="Q62" s="89" t="s">
        <v>1424</v>
      </c>
      <c r="R62" s="89" t="s">
        <v>1343</v>
      </c>
      <c r="S62" s="89" t="s">
        <v>1344</v>
      </c>
      <c r="T62" s="89">
        <v>0</v>
      </c>
      <c r="U62" s="90">
        <v>0</v>
      </c>
      <c r="V62" s="90" t="s">
        <v>1384</v>
      </c>
      <c r="W62" s="91" t="s">
        <v>1385</v>
      </c>
    </row>
    <row r="63" spans="1:23" ht="15" x14ac:dyDescent="0.3">
      <c r="A63" s="47" t="s">
        <v>1386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92"/>
      <c r="P63" s="48"/>
      <c r="Q63" s="48"/>
      <c r="R63" s="48"/>
      <c r="S63" s="48"/>
      <c r="T63" s="50"/>
      <c r="U63" s="50"/>
      <c r="V63" s="51"/>
      <c r="W63" s="51"/>
    </row>
    <row r="64" spans="1:23" ht="15" x14ac:dyDescent="0.3">
      <c r="A64" s="53" t="s">
        <v>1387</v>
      </c>
      <c r="B64" s="54">
        <v>39808</v>
      </c>
      <c r="C64" s="54">
        <v>57805</v>
      </c>
      <c r="D64" s="54">
        <v>74097</v>
      </c>
      <c r="E64" s="54">
        <v>78706</v>
      </c>
      <c r="F64" s="54">
        <v>81989</v>
      </c>
      <c r="G64" s="54">
        <v>90434</v>
      </c>
      <c r="H64" s="54">
        <v>95861</v>
      </c>
      <c r="I64" s="54">
        <v>99409</v>
      </c>
      <c r="J64" s="54">
        <v>111502</v>
      </c>
      <c r="K64" s="54">
        <v>121672</v>
      </c>
      <c r="L64" s="56">
        <v>132775</v>
      </c>
      <c r="M64" s="56">
        <v>159259</v>
      </c>
      <c r="N64" s="56">
        <v>163595</v>
      </c>
      <c r="O64" s="55">
        <v>0</v>
      </c>
      <c r="P64" s="56">
        <v>0</v>
      </c>
      <c r="Q64" s="56">
        <v>0</v>
      </c>
      <c r="R64" s="56">
        <v>0</v>
      </c>
      <c r="S64" s="56">
        <v>0</v>
      </c>
      <c r="T64" s="56">
        <v>0</v>
      </c>
      <c r="U64" s="56">
        <v>0</v>
      </c>
      <c r="V64" s="56">
        <v>0</v>
      </c>
      <c r="W64" s="56">
        <v>0</v>
      </c>
    </row>
    <row r="65" spans="1:23" ht="15" x14ac:dyDescent="0.3">
      <c r="A65" s="93" t="s">
        <v>1425</v>
      </c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5"/>
      <c r="P65" s="56"/>
      <c r="Q65" s="56"/>
      <c r="R65" s="56"/>
      <c r="S65" s="51"/>
      <c r="T65" s="94"/>
      <c r="U65" s="51"/>
      <c r="V65" s="51"/>
      <c r="W65" s="56"/>
    </row>
    <row r="66" spans="1:23" ht="15.5" x14ac:dyDescent="0.35">
      <c r="A66" s="64" t="s">
        <v>1389</v>
      </c>
      <c r="B66" s="61">
        <v>1722</v>
      </c>
      <c r="C66" s="61">
        <v>1587</v>
      </c>
      <c r="D66" s="61">
        <v>853</v>
      </c>
      <c r="E66" s="61">
        <v>659</v>
      </c>
      <c r="F66" s="61">
        <v>1073</v>
      </c>
      <c r="G66" s="61">
        <v>1708</v>
      </c>
      <c r="H66" s="61">
        <v>2334</v>
      </c>
      <c r="I66" s="61">
        <v>2883</v>
      </c>
      <c r="J66" s="61">
        <v>2278</v>
      </c>
      <c r="K66" s="61">
        <v>2833</v>
      </c>
      <c r="L66" s="61">
        <v>2422.568045</v>
      </c>
      <c r="M66" s="61">
        <v>2718</v>
      </c>
      <c r="N66" s="61">
        <v>4484.3424509999995</v>
      </c>
      <c r="O66" s="62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</row>
    <row r="67" spans="1:23" ht="15.5" x14ac:dyDescent="0.35">
      <c r="A67" s="64" t="s">
        <v>1390</v>
      </c>
      <c r="B67" s="61">
        <v>251</v>
      </c>
      <c r="C67" s="61">
        <v>0</v>
      </c>
      <c r="D67" s="61">
        <v>0</v>
      </c>
      <c r="E67" s="61">
        <v>0</v>
      </c>
      <c r="F67" s="61">
        <v>0</v>
      </c>
      <c r="G67" s="61">
        <v>0</v>
      </c>
      <c r="H67" s="61">
        <v>233</v>
      </c>
      <c r="I67" s="61">
        <v>486</v>
      </c>
      <c r="J67" s="61">
        <v>421</v>
      </c>
      <c r="K67" s="61">
        <v>328</v>
      </c>
      <c r="L67" s="61">
        <v>397.41</v>
      </c>
      <c r="M67" s="61">
        <v>385</v>
      </c>
      <c r="N67" s="61">
        <v>1702.2145579999999</v>
      </c>
      <c r="O67" s="62">
        <v>0</v>
      </c>
      <c r="P67" s="59">
        <v>0</v>
      </c>
      <c r="Q67" s="59">
        <v>0</v>
      </c>
      <c r="R67" s="59">
        <v>0</v>
      </c>
      <c r="S67" s="59">
        <v>0</v>
      </c>
      <c r="T67" s="59">
        <v>0</v>
      </c>
      <c r="U67" s="59">
        <v>0</v>
      </c>
      <c r="V67" s="59">
        <v>0</v>
      </c>
      <c r="W67" s="59">
        <v>0</v>
      </c>
    </row>
    <row r="68" spans="1:23" ht="15.5" x14ac:dyDescent="0.35">
      <c r="A68" s="64" t="s">
        <v>1391</v>
      </c>
      <c r="B68" s="61">
        <v>2407</v>
      </c>
      <c r="C68" s="61">
        <v>1917</v>
      </c>
      <c r="D68" s="61">
        <v>3165</v>
      </c>
      <c r="E68" s="61">
        <v>3308</v>
      </c>
      <c r="F68" s="61">
        <v>2784</v>
      </c>
      <c r="G68" s="61">
        <v>2371</v>
      </c>
      <c r="H68" s="61">
        <v>2214</v>
      </c>
      <c r="I68" s="61">
        <v>2331</v>
      </c>
      <c r="J68" s="61">
        <v>5307</v>
      </c>
      <c r="K68" s="61">
        <v>5983</v>
      </c>
      <c r="L68" s="61">
        <v>5022.6309999999985</v>
      </c>
      <c r="M68" s="61">
        <v>1734</v>
      </c>
      <c r="N68" s="61">
        <v>2062.5180139999998</v>
      </c>
      <c r="O68" s="62">
        <v>0</v>
      </c>
      <c r="P68" s="59">
        <v>0</v>
      </c>
      <c r="Q68" s="59">
        <v>0</v>
      </c>
      <c r="R68" s="59">
        <v>0</v>
      </c>
      <c r="S68" s="59">
        <v>0</v>
      </c>
      <c r="T68" s="59">
        <v>0</v>
      </c>
      <c r="U68" s="59">
        <v>0</v>
      </c>
      <c r="V68" s="59">
        <v>0</v>
      </c>
      <c r="W68" s="59">
        <v>0</v>
      </c>
    </row>
    <row r="69" spans="1:23" ht="15.5" x14ac:dyDescent="0.35">
      <c r="A69" s="64" t="s">
        <v>1392</v>
      </c>
      <c r="B69" s="61">
        <v>0</v>
      </c>
      <c r="C69" s="61">
        <v>0</v>
      </c>
      <c r="D69" s="61">
        <v>0</v>
      </c>
      <c r="E69" s="61">
        <v>0</v>
      </c>
      <c r="F69" s="61">
        <v>0</v>
      </c>
      <c r="G69" s="61">
        <v>0</v>
      </c>
      <c r="H69" s="61">
        <v>0</v>
      </c>
      <c r="I69" s="61">
        <v>0</v>
      </c>
      <c r="J69" s="61">
        <v>0</v>
      </c>
      <c r="K69" s="61">
        <v>0</v>
      </c>
      <c r="L69" s="61">
        <v>0</v>
      </c>
      <c r="M69" s="61">
        <v>0</v>
      </c>
      <c r="N69" s="61">
        <v>0</v>
      </c>
      <c r="O69" s="62">
        <v>0</v>
      </c>
      <c r="P69" s="59">
        <v>0</v>
      </c>
      <c r="Q69" s="59">
        <v>0</v>
      </c>
      <c r="R69" s="59">
        <v>0</v>
      </c>
      <c r="S69" s="59">
        <v>0</v>
      </c>
      <c r="T69" s="59">
        <v>0</v>
      </c>
      <c r="U69" s="59">
        <v>0</v>
      </c>
      <c r="V69" s="59">
        <v>0</v>
      </c>
      <c r="W69" s="59">
        <v>0</v>
      </c>
    </row>
    <row r="70" spans="1:23" ht="15.5" x14ac:dyDescent="0.35">
      <c r="A70" s="64" t="s">
        <v>1393</v>
      </c>
      <c r="B70" s="61">
        <v>7065</v>
      </c>
      <c r="C70" s="61">
        <v>6312</v>
      </c>
      <c r="D70" s="61">
        <v>1918</v>
      </c>
      <c r="E70" s="61">
        <v>391</v>
      </c>
      <c r="F70" s="61">
        <v>698</v>
      </c>
      <c r="G70" s="61">
        <v>804</v>
      </c>
      <c r="H70" s="61">
        <v>210</v>
      </c>
      <c r="I70" s="61">
        <v>1044</v>
      </c>
      <c r="J70" s="61">
        <v>1424</v>
      </c>
      <c r="K70" s="61">
        <v>2489</v>
      </c>
      <c r="L70" s="61">
        <v>1448.15</v>
      </c>
      <c r="M70" s="61">
        <v>985</v>
      </c>
      <c r="N70" s="61">
        <v>1380.5205429999999</v>
      </c>
      <c r="O70" s="62">
        <v>0</v>
      </c>
      <c r="P70" s="59">
        <v>0</v>
      </c>
      <c r="Q70" s="59">
        <v>0</v>
      </c>
      <c r="R70" s="59">
        <v>0</v>
      </c>
      <c r="S70" s="59">
        <v>0</v>
      </c>
      <c r="T70" s="59">
        <v>0</v>
      </c>
      <c r="U70" s="59">
        <v>0</v>
      </c>
      <c r="V70" s="59">
        <v>0</v>
      </c>
      <c r="W70" s="59">
        <v>0</v>
      </c>
    </row>
    <row r="71" spans="1:23" ht="15.5" x14ac:dyDescent="0.35">
      <c r="A71" s="64" t="s">
        <v>1394</v>
      </c>
      <c r="B71" s="61">
        <v>10231</v>
      </c>
      <c r="C71" s="61">
        <v>5006</v>
      </c>
      <c r="D71" s="61">
        <v>0</v>
      </c>
      <c r="E71" s="61">
        <v>31</v>
      </c>
      <c r="F71" s="61">
        <v>106</v>
      </c>
      <c r="G71" s="61">
        <v>100</v>
      </c>
      <c r="H71" s="61">
        <v>814</v>
      </c>
      <c r="I71" s="61">
        <v>801</v>
      </c>
      <c r="J71" s="61">
        <v>968</v>
      </c>
      <c r="K71" s="61">
        <v>2951</v>
      </c>
      <c r="L71" s="61">
        <v>2742.3579999999997</v>
      </c>
      <c r="M71" s="61">
        <v>2531</v>
      </c>
      <c r="N71" s="61">
        <v>1996.2493349999995</v>
      </c>
      <c r="O71" s="62">
        <v>0</v>
      </c>
      <c r="P71" s="59">
        <v>0</v>
      </c>
      <c r="Q71" s="59">
        <v>0</v>
      </c>
      <c r="R71" s="59">
        <v>0</v>
      </c>
      <c r="S71" s="59">
        <v>0</v>
      </c>
      <c r="T71" s="59">
        <v>0</v>
      </c>
      <c r="U71" s="59">
        <v>0</v>
      </c>
      <c r="V71" s="59">
        <v>0</v>
      </c>
      <c r="W71" s="59">
        <v>0</v>
      </c>
    </row>
    <row r="72" spans="1:23" ht="15.5" x14ac:dyDescent="0.35">
      <c r="A72" s="64" t="s">
        <v>1395</v>
      </c>
      <c r="B72" s="61">
        <v>396</v>
      </c>
      <c r="C72" s="61">
        <v>407</v>
      </c>
      <c r="D72" s="61">
        <v>255</v>
      </c>
      <c r="E72" s="61">
        <v>326</v>
      </c>
      <c r="F72" s="61">
        <v>340</v>
      </c>
      <c r="G72" s="61">
        <v>612</v>
      </c>
      <c r="H72" s="61">
        <v>557</v>
      </c>
      <c r="I72" s="61">
        <v>1189</v>
      </c>
      <c r="J72" s="61">
        <v>1021</v>
      </c>
      <c r="K72" s="61">
        <v>1253</v>
      </c>
      <c r="L72" s="61">
        <v>985.977935</v>
      </c>
      <c r="M72" s="61">
        <v>1419</v>
      </c>
      <c r="N72" s="61">
        <v>1291.2570000000001</v>
      </c>
      <c r="O72" s="62">
        <v>0</v>
      </c>
      <c r="P72" s="59">
        <v>0</v>
      </c>
      <c r="Q72" s="59">
        <v>0</v>
      </c>
      <c r="R72" s="59">
        <v>0</v>
      </c>
      <c r="S72" s="59">
        <v>0</v>
      </c>
      <c r="T72" s="59">
        <v>0</v>
      </c>
      <c r="U72" s="59">
        <v>0</v>
      </c>
      <c r="V72" s="59">
        <v>0</v>
      </c>
      <c r="W72" s="59">
        <v>0</v>
      </c>
    </row>
    <row r="73" spans="1:23" ht="15.5" x14ac:dyDescent="0.35">
      <c r="A73" s="64" t="s">
        <v>1396</v>
      </c>
      <c r="B73" s="61">
        <v>1696</v>
      </c>
      <c r="C73" s="61">
        <v>1377</v>
      </c>
      <c r="D73" s="61">
        <v>1728</v>
      </c>
      <c r="E73" s="61">
        <v>1977</v>
      </c>
      <c r="F73" s="61">
        <v>2220</v>
      </c>
      <c r="G73" s="61">
        <v>1728</v>
      </c>
      <c r="H73" s="61">
        <v>1585</v>
      </c>
      <c r="I73" s="61">
        <v>2015</v>
      </c>
      <c r="J73" s="61">
        <v>2983</v>
      </c>
      <c r="K73" s="61">
        <v>3659</v>
      </c>
      <c r="L73" s="61">
        <v>2759.6279999999997</v>
      </c>
      <c r="M73" s="61">
        <v>896</v>
      </c>
      <c r="N73" s="61">
        <v>1012.7707599999999</v>
      </c>
      <c r="O73" s="62">
        <v>0</v>
      </c>
      <c r="P73" s="59">
        <v>0</v>
      </c>
      <c r="Q73" s="59">
        <v>0</v>
      </c>
      <c r="R73" s="59">
        <v>0</v>
      </c>
      <c r="S73" s="59">
        <v>0</v>
      </c>
      <c r="T73" s="59">
        <v>0</v>
      </c>
      <c r="U73" s="59">
        <v>0</v>
      </c>
      <c r="V73" s="59">
        <v>0</v>
      </c>
      <c r="W73" s="59">
        <v>0</v>
      </c>
    </row>
    <row r="74" spans="1:23" ht="15.5" x14ac:dyDescent="0.35">
      <c r="A74" s="64" t="s">
        <v>1397</v>
      </c>
      <c r="B74" s="61">
        <v>0</v>
      </c>
      <c r="C74" s="61">
        <v>0</v>
      </c>
      <c r="D74" s="61">
        <v>0</v>
      </c>
      <c r="E74" s="61">
        <v>9</v>
      </c>
      <c r="F74" s="61">
        <v>0</v>
      </c>
      <c r="G74" s="61">
        <v>6</v>
      </c>
      <c r="H74" s="61">
        <v>21</v>
      </c>
      <c r="I74" s="61">
        <v>23</v>
      </c>
      <c r="J74" s="61">
        <v>14</v>
      </c>
      <c r="K74" s="61">
        <v>35</v>
      </c>
      <c r="L74" s="61">
        <v>104.64786499999998</v>
      </c>
      <c r="M74" s="61">
        <v>69</v>
      </c>
      <c r="N74" s="61">
        <v>98.003999999999991</v>
      </c>
      <c r="O74" s="62">
        <v>0</v>
      </c>
      <c r="P74" s="59">
        <v>0</v>
      </c>
      <c r="Q74" s="59">
        <v>0</v>
      </c>
      <c r="R74" s="59">
        <v>0</v>
      </c>
      <c r="S74" s="59">
        <v>0</v>
      </c>
      <c r="T74" s="59">
        <v>0</v>
      </c>
      <c r="U74" s="59">
        <v>0</v>
      </c>
      <c r="V74" s="59">
        <v>0</v>
      </c>
      <c r="W74" s="59">
        <v>0</v>
      </c>
    </row>
    <row r="75" spans="1:23" ht="18.5" x14ac:dyDescent="0.35">
      <c r="A75" s="64" t="s">
        <v>1398</v>
      </c>
      <c r="B75" s="61">
        <v>3</v>
      </c>
      <c r="C75" s="61">
        <v>1</v>
      </c>
      <c r="D75" s="61">
        <v>1348</v>
      </c>
      <c r="E75" s="61">
        <v>308</v>
      </c>
      <c r="F75" s="61">
        <v>7</v>
      </c>
      <c r="G75" s="61">
        <v>672</v>
      </c>
      <c r="H75" s="61">
        <v>860</v>
      </c>
      <c r="I75" s="61">
        <v>2669</v>
      </c>
      <c r="J75" s="61">
        <v>3244</v>
      </c>
      <c r="K75" s="61">
        <v>2931</v>
      </c>
      <c r="L75" s="61">
        <v>2701.8165700000009</v>
      </c>
      <c r="M75" s="61">
        <v>3928</v>
      </c>
      <c r="N75" s="61">
        <v>3351.5646199999992</v>
      </c>
      <c r="O75" s="62">
        <v>0</v>
      </c>
      <c r="P75" s="59">
        <v>0</v>
      </c>
      <c r="Q75" s="59">
        <v>0</v>
      </c>
      <c r="R75" s="59">
        <v>0</v>
      </c>
      <c r="S75" s="59">
        <v>0</v>
      </c>
      <c r="T75" s="59">
        <v>0</v>
      </c>
      <c r="U75" s="59">
        <v>0</v>
      </c>
      <c r="V75" s="59">
        <v>0</v>
      </c>
      <c r="W75" s="59">
        <v>0</v>
      </c>
    </row>
    <row r="76" spans="1:23" ht="15" x14ac:dyDescent="0.3">
      <c r="A76" s="93" t="s">
        <v>1426</v>
      </c>
      <c r="B76" s="54">
        <v>23771</v>
      </c>
      <c r="C76" s="54">
        <v>16607</v>
      </c>
      <c r="D76" s="54">
        <v>9267</v>
      </c>
      <c r="E76" s="54">
        <v>7009</v>
      </c>
      <c r="F76" s="54">
        <v>7228</v>
      </c>
      <c r="G76" s="54">
        <v>8001</v>
      </c>
      <c r="H76" s="54">
        <v>8828</v>
      </c>
      <c r="I76" s="54">
        <v>13441</v>
      </c>
      <c r="J76" s="54">
        <v>17660</v>
      </c>
      <c r="K76" s="54">
        <v>22462</v>
      </c>
      <c r="L76" s="54">
        <f t="shared" ref="L76:R76" si="5">SUM(L66:L75)</f>
        <v>18585.187415</v>
      </c>
      <c r="M76" s="54">
        <f t="shared" si="5"/>
        <v>14665</v>
      </c>
      <c r="N76" s="54">
        <f t="shared" si="5"/>
        <v>17379.441280999999</v>
      </c>
      <c r="O76" s="54">
        <f>SUM(O66:O75)</f>
        <v>0</v>
      </c>
      <c r="P76" s="54">
        <f t="shared" si="5"/>
        <v>0</v>
      </c>
      <c r="Q76" s="54">
        <f t="shared" si="5"/>
        <v>0</v>
      </c>
      <c r="R76" s="54">
        <f t="shared" si="5"/>
        <v>0</v>
      </c>
      <c r="S76" s="54">
        <f>SUM(S66:S75)</f>
        <v>0</v>
      </c>
      <c r="T76" s="54">
        <f>SUM(T66:T75)</f>
        <v>0</v>
      </c>
      <c r="U76" s="54">
        <f>SUM(U66:U75)</f>
        <v>0</v>
      </c>
      <c r="V76" s="54">
        <f>SUM(V66:V75)</f>
        <v>0</v>
      </c>
      <c r="W76" s="54">
        <f>SUM(W66:W75)</f>
        <v>0</v>
      </c>
    </row>
    <row r="77" spans="1:23" ht="15.5" x14ac:dyDescent="0.35">
      <c r="A77" s="95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61"/>
      <c r="T77" s="61"/>
      <c r="U77" s="51"/>
      <c r="V77" s="51"/>
      <c r="W77" s="56"/>
    </row>
    <row r="78" spans="1:23" ht="15" x14ac:dyDescent="0.3">
      <c r="A78" s="96" t="s">
        <v>1427</v>
      </c>
      <c r="B78" s="54">
        <f t="shared" ref="B78:W78" si="6">+B64+B76</f>
        <v>63579</v>
      </c>
      <c r="C78" s="54">
        <f t="shared" si="6"/>
        <v>74412</v>
      </c>
      <c r="D78" s="54">
        <f t="shared" si="6"/>
        <v>83364</v>
      </c>
      <c r="E78" s="54">
        <f t="shared" si="6"/>
        <v>85715</v>
      </c>
      <c r="F78" s="54">
        <f t="shared" si="6"/>
        <v>89217</v>
      </c>
      <c r="G78" s="54">
        <f t="shared" si="6"/>
        <v>98435</v>
      </c>
      <c r="H78" s="54">
        <f t="shared" si="6"/>
        <v>104689</v>
      </c>
      <c r="I78" s="54">
        <f t="shared" si="6"/>
        <v>112850</v>
      </c>
      <c r="J78" s="54">
        <f t="shared" si="6"/>
        <v>129162</v>
      </c>
      <c r="K78" s="54">
        <f t="shared" si="6"/>
        <v>144134</v>
      </c>
      <c r="L78" s="54">
        <f t="shared" si="6"/>
        <v>151360.18741499999</v>
      </c>
      <c r="M78" s="54">
        <f t="shared" si="6"/>
        <v>173924</v>
      </c>
      <c r="N78" s="54">
        <f t="shared" si="6"/>
        <v>180974.44128100001</v>
      </c>
      <c r="O78" s="54">
        <f t="shared" si="6"/>
        <v>0</v>
      </c>
      <c r="P78" s="54">
        <f t="shared" si="6"/>
        <v>0</v>
      </c>
      <c r="Q78" s="54">
        <f t="shared" si="6"/>
        <v>0</v>
      </c>
      <c r="R78" s="54">
        <f t="shared" si="6"/>
        <v>0</v>
      </c>
      <c r="S78" s="54">
        <f t="shared" si="6"/>
        <v>0</v>
      </c>
      <c r="T78" s="54">
        <f t="shared" si="6"/>
        <v>0</v>
      </c>
      <c r="U78" s="54">
        <f t="shared" si="6"/>
        <v>0</v>
      </c>
      <c r="V78" s="54">
        <f t="shared" si="6"/>
        <v>0</v>
      </c>
      <c r="W78" s="54">
        <f t="shared" si="6"/>
        <v>0</v>
      </c>
    </row>
    <row r="79" spans="1:23" ht="15" x14ac:dyDescent="0.3">
      <c r="A79" s="69" t="s">
        <v>1401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6"/>
      <c r="S79" s="51"/>
      <c r="T79" s="59"/>
      <c r="U79" s="51"/>
      <c r="V79" s="51"/>
      <c r="W79" s="52"/>
    </row>
    <row r="80" spans="1:23" ht="15.5" x14ac:dyDescent="0.35">
      <c r="A80" s="97" t="s">
        <v>1389</v>
      </c>
      <c r="B80" s="61">
        <v>0</v>
      </c>
      <c r="C80" s="61">
        <v>0</v>
      </c>
      <c r="D80" s="61">
        <v>0</v>
      </c>
      <c r="E80" s="61">
        <v>0</v>
      </c>
      <c r="F80" s="61">
        <v>0</v>
      </c>
      <c r="G80" s="61">
        <v>0</v>
      </c>
      <c r="H80" s="61">
        <v>145</v>
      </c>
      <c r="I80" s="61">
        <v>53</v>
      </c>
      <c r="J80" s="61">
        <v>112</v>
      </c>
      <c r="K80" s="61">
        <v>99</v>
      </c>
      <c r="L80" s="98">
        <v>109</v>
      </c>
      <c r="M80" s="98">
        <v>131</v>
      </c>
      <c r="N80" s="98">
        <v>154</v>
      </c>
      <c r="O80" s="62">
        <v>0</v>
      </c>
      <c r="P80" s="59">
        <v>0</v>
      </c>
      <c r="Q80" s="59">
        <v>0</v>
      </c>
      <c r="R80" s="59">
        <v>0</v>
      </c>
      <c r="S80" s="59">
        <v>0</v>
      </c>
      <c r="T80" s="59">
        <v>0</v>
      </c>
      <c r="U80" s="59">
        <v>0</v>
      </c>
      <c r="V80" s="59">
        <v>0</v>
      </c>
      <c r="W80" s="59">
        <v>0</v>
      </c>
    </row>
    <row r="81" spans="1:23" ht="18.5" x14ac:dyDescent="0.35">
      <c r="A81" s="99" t="s">
        <v>1428</v>
      </c>
      <c r="B81" s="61">
        <v>0</v>
      </c>
      <c r="C81" s="61">
        <v>131</v>
      </c>
      <c r="D81" s="61">
        <v>1202</v>
      </c>
      <c r="E81" s="61">
        <v>2406</v>
      </c>
      <c r="F81" s="61">
        <v>2336</v>
      </c>
      <c r="G81" s="61">
        <v>2979</v>
      </c>
      <c r="H81" s="61">
        <v>2897</v>
      </c>
      <c r="I81" s="61">
        <v>2417</v>
      </c>
      <c r="J81" s="61">
        <v>3615</v>
      </c>
      <c r="K81" s="61">
        <v>4258</v>
      </c>
      <c r="L81" s="98">
        <v>5440</v>
      </c>
      <c r="M81" s="98">
        <v>9771</v>
      </c>
      <c r="N81" s="98">
        <v>13578</v>
      </c>
      <c r="O81" s="62">
        <v>0</v>
      </c>
      <c r="P81" s="59">
        <v>0</v>
      </c>
      <c r="Q81" s="59">
        <v>0</v>
      </c>
      <c r="R81" s="59">
        <v>0</v>
      </c>
      <c r="S81" s="59">
        <v>0</v>
      </c>
      <c r="T81" s="59">
        <v>0</v>
      </c>
      <c r="U81" s="59">
        <v>0</v>
      </c>
      <c r="V81" s="59">
        <v>0</v>
      </c>
      <c r="W81" s="59">
        <v>0</v>
      </c>
    </row>
    <row r="82" spans="1:23" ht="15.5" x14ac:dyDescent="0.35">
      <c r="A82" s="97" t="s">
        <v>1391</v>
      </c>
      <c r="B82" s="61">
        <v>720</v>
      </c>
      <c r="C82" s="61">
        <v>583</v>
      </c>
      <c r="D82" s="61">
        <v>2882</v>
      </c>
      <c r="E82" s="61">
        <v>2535</v>
      </c>
      <c r="F82" s="61">
        <v>2067</v>
      </c>
      <c r="G82" s="61">
        <v>2176</v>
      </c>
      <c r="H82" s="61">
        <v>2926</v>
      </c>
      <c r="I82" s="61">
        <v>5066</v>
      </c>
      <c r="J82" s="61">
        <v>8411</v>
      </c>
      <c r="K82" s="61">
        <v>9297</v>
      </c>
      <c r="L82" s="98">
        <v>7601</v>
      </c>
      <c r="M82" s="98">
        <v>10042.68</v>
      </c>
      <c r="N82" s="98">
        <v>10655</v>
      </c>
      <c r="O82" s="62">
        <v>0</v>
      </c>
      <c r="P82" s="59">
        <v>0</v>
      </c>
      <c r="Q82" s="59">
        <v>0</v>
      </c>
      <c r="R82" s="59">
        <v>0</v>
      </c>
      <c r="S82" s="59">
        <v>0</v>
      </c>
      <c r="T82" s="59">
        <v>0</v>
      </c>
      <c r="U82" s="59">
        <v>0</v>
      </c>
      <c r="V82" s="59">
        <v>0</v>
      </c>
      <c r="W82" s="59">
        <v>0</v>
      </c>
    </row>
    <row r="83" spans="1:23" ht="18.5" x14ac:dyDescent="0.35">
      <c r="A83" s="97" t="s">
        <v>1429</v>
      </c>
      <c r="B83" s="61">
        <v>0</v>
      </c>
      <c r="C83" s="61">
        <v>0</v>
      </c>
      <c r="D83" s="61">
        <v>160</v>
      </c>
      <c r="E83" s="61">
        <v>194</v>
      </c>
      <c r="F83" s="61">
        <v>697</v>
      </c>
      <c r="G83" s="61">
        <v>1660</v>
      </c>
      <c r="H83" s="61">
        <v>2480</v>
      </c>
      <c r="I83" s="61">
        <v>2828</v>
      </c>
      <c r="J83" s="61">
        <v>3652</v>
      </c>
      <c r="K83" s="61">
        <v>4486</v>
      </c>
      <c r="L83" s="98">
        <v>3701</v>
      </c>
      <c r="M83" s="98">
        <v>4588</v>
      </c>
      <c r="N83" s="98">
        <v>4478.0929999999998</v>
      </c>
      <c r="O83" s="62">
        <v>0</v>
      </c>
      <c r="P83" s="59">
        <v>0</v>
      </c>
      <c r="Q83" s="59">
        <v>0</v>
      </c>
      <c r="R83" s="59">
        <v>0</v>
      </c>
      <c r="S83" s="59">
        <v>0</v>
      </c>
      <c r="T83" s="59">
        <v>0</v>
      </c>
      <c r="U83" s="59">
        <v>0</v>
      </c>
      <c r="V83" s="59">
        <v>0</v>
      </c>
      <c r="W83" s="59">
        <v>0</v>
      </c>
    </row>
    <row r="84" spans="1:23" ht="15.5" x14ac:dyDescent="0.35">
      <c r="A84" s="100" t="s">
        <v>1393</v>
      </c>
      <c r="B84" s="61">
        <v>0</v>
      </c>
      <c r="C84" s="61">
        <v>0</v>
      </c>
      <c r="D84" s="61">
        <v>0</v>
      </c>
      <c r="E84" s="61">
        <v>0</v>
      </c>
      <c r="F84" s="61">
        <v>0</v>
      </c>
      <c r="G84" s="61">
        <v>0</v>
      </c>
      <c r="H84" s="61">
        <v>207</v>
      </c>
      <c r="I84" s="61">
        <v>121</v>
      </c>
      <c r="J84" s="61">
        <v>150</v>
      </c>
      <c r="K84" s="61">
        <v>137</v>
      </c>
      <c r="L84" s="98">
        <v>77</v>
      </c>
      <c r="M84" s="98">
        <v>46</v>
      </c>
      <c r="N84" s="98">
        <v>33</v>
      </c>
      <c r="O84" s="62">
        <v>0</v>
      </c>
      <c r="P84" s="59">
        <v>0</v>
      </c>
      <c r="Q84" s="59">
        <v>0</v>
      </c>
      <c r="R84" s="59">
        <v>0</v>
      </c>
      <c r="S84" s="59">
        <v>0</v>
      </c>
      <c r="T84" s="59">
        <v>0</v>
      </c>
      <c r="U84" s="59">
        <v>0</v>
      </c>
      <c r="V84" s="59">
        <v>0</v>
      </c>
      <c r="W84" s="59">
        <v>0</v>
      </c>
    </row>
    <row r="85" spans="1:23" ht="15.5" x14ac:dyDescent="0.35">
      <c r="A85" s="101" t="s">
        <v>1394</v>
      </c>
      <c r="B85" s="61">
        <v>0</v>
      </c>
      <c r="C85" s="61">
        <v>0</v>
      </c>
      <c r="D85" s="61">
        <v>1597</v>
      </c>
      <c r="E85" s="61">
        <v>2860</v>
      </c>
      <c r="F85" s="61">
        <v>3178</v>
      </c>
      <c r="G85" s="61">
        <v>6181</v>
      </c>
      <c r="H85" s="61">
        <v>7286</v>
      </c>
      <c r="I85" s="61">
        <v>8504</v>
      </c>
      <c r="J85" s="61">
        <v>11369</v>
      </c>
      <c r="K85" s="61">
        <v>14308</v>
      </c>
      <c r="L85" s="98">
        <v>14720</v>
      </c>
      <c r="M85" s="98">
        <v>18451</v>
      </c>
      <c r="N85" s="98">
        <v>20335</v>
      </c>
      <c r="O85" s="62">
        <v>0</v>
      </c>
      <c r="P85" s="59">
        <v>0</v>
      </c>
      <c r="Q85" s="59">
        <v>0</v>
      </c>
      <c r="R85" s="59">
        <v>0</v>
      </c>
      <c r="S85" s="59">
        <v>0</v>
      </c>
      <c r="T85" s="59">
        <v>0</v>
      </c>
      <c r="U85" s="59">
        <v>0</v>
      </c>
      <c r="V85" s="59">
        <v>0</v>
      </c>
      <c r="W85" s="59">
        <v>0</v>
      </c>
    </row>
    <row r="86" spans="1:23" ht="15.5" x14ac:dyDescent="0.35">
      <c r="A86" s="101" t="s">
        <v>1405</v>
      </c>
      <c r="B86" s="61">
        <v>0</v>
      </c>
      <c r="C86" s="61">
        <v>0</v>
      </c>
      <c r="D86" s="61">
        <v>10</v>
      </c>
      <c r="E86" s="61">
        <v>30</v>
      </c>
      <c r="F86" s="61">
        <v>0</v>
      </c>
      <c r="G86" s="61">
        <v>0</v>
      </c>
      <c r="H86" s="61">
        <v>0</v>
      </c>
      <c r="I86" s="72">
        <v>0.2</v>
      </c>
      <c r="J86" s="72">
        <v>0.1</v>
      </c>
      <c r="K86" s="61">
        <v>0</v>
      </c>
      <c r="L86" s="102">
        <v>0.4</v>
      </c>
      <c r="M86" s="98">
        <v>41</v>
      </c>
      <c r="N86" s="98">
        <v>98</v>
      </c>
      <c r="O86" s="62">
        <v>0</v>
      </c>
      <c r="P86" s="59">
        <v>0</v>
      </c>
      <c r="Q86" s="59">
        <v>0</v>
      </c>
      <c r="R86" s="59">
        <v>0</v>
      </c>
      <c r="S86" s="59">
        <v>0</v>
      </c>
      <c r="T86" s="59">
        <v>0</v>
      </c>
      <c r="U86" s="59">
        <v>0</v>
      </c>
      <c r="V86" s="59">
        <v>0</v>
      </c>
      <c r="W86" s="59">
        <v>0</v>
      </c>
    </row>
    <row r="87" spans="1:23" ht="15.5" x14ac:dyDescent="0.35">
      <c r="A87" s="101" t="s">
        <v>1406</v>
      </c>
      <c r="B87" s="61">
        <v>0</v>
      </c>
      <c r="C87" s="61">
        <v>0</v>
      </c>
      <c r="D87" s="61">
        <v>0</v>
      </c>
      <c r="E87" s="61">
        <v>0</v>
      </c>
      <c r="F87" s="61">
        <v>23</v>
      </c>
      <c r="G87" s="61">
        <v>17</v>
      </c>
      <c r="H87" s="61">
        <v>5</v>
      </c>
      <c r="I87" s="61">
        <v>291</v>
      </c>
      <c r="J87" s="61">
        <v>509</v>
      </c>
      <c r="K87" s="61">
        <v>311</v>
      </c>
      <c r="L87" s="98">
        <v>139</v>
      </c>
      <c r="M87" s="98">
        <v>28</v>
      </c>
      <c r="N87" s="98">
        <v>29</v>
      </c>
      <c r="O87" s="62">
        <v>0</v>
      </c>
      <c r="P87" s="59">
        <v>0</v>
      </c>
      <c r="Q87" s="59">
        <v>0</v>
      </c>
      <c r="R87" s="59">
        <v>0</v>
      </c>
      <c r="S87" s="59">
        <v>0</v>
      </c>
      <c r="T87" s="59">
        <v>0</v>
      </c>
      <c r="U87" s="59">
        <v>0</v>
      </c>
      <c r="V87" s="59">
        <v>0</v>
      </c>
      <c r="W87" s="59">
        <v>0</v>
      </c>
    </row>
    <row r="88" spans="1:23" ht="15.5" x14ac:dyDescent="0.35">
      <c r="A88" s="101" t="s">
        <v>1396</v>
      </c>
      <c r="B88" s="61">
        <v>0</v>
      </c>
      <c r="C88" s="61">
        <v>0</v>
      </c>
      <c r="D88" s="61">
        <v>508</v>
      </c>
      <c r="E88" s="61">
        <v>482</v>
      </c>
      <c r="F88" s="61">
        <v>1120</v>
      </c>
      <c r="G88" s="61">
        <v>1310</v>
      </c>
      <c r="H88" s="61">
        <v>1792</v>
      </c>
      <c r="I88" s="61">
        <v>1815</v>
      </c>
      <c r="J88" s="61">
        <v>3759</v>
      </c>
      <c r="K88" s="61">
        <v>4718</v>
      </c>
      <c r="L88" s="98">
        <v>6207</v>
      </c>
      <c r="M88" s="98">
        <v>5186.0659999999998</v>
      </c>
      <c r="N88" s="98">
        <v>6734</v>
      </c>
      <c r="O88" s="62">
        <v>0</v>
      </c>
      <c r="P88" s="59">
        <v>0</v>
      </c>
      <c r="Q88" s="59">
        <v>0</v>
      </c>
      <c r="R88" s="59">
        <v>0</v>
      </c>
      <c r="S88" s="59">
        <v>0</v>
      </c>
      <c r="T88" s="59">
        <v>0</v>
      </c>
      <c r="U88" s="59">
        <v>0</v>
      </c>
      <c r="V88" s="59">
        <v>0</v>
      </c>
      <c r="W88" s="59">
        <v>0</v>
      </c>
    </row>
    <row r="89" spans="1:23" ht="15.5" x14ac:dyDescent="0.35">
      <c r="A89" s="101" t="s">
        <v>1397</v>
      </c>
      <c r="B89" s="61">
        <v>0</v>
      </c>
      <c r="C89" s="61">
        <v>0</v>
      </c>
      <c r="D89" s="61">
        <v>0</v>
      </c>
      <c r="E89" s="61">
        <v>0</v>
      </c>
      <c r="F89" s="61">
        <v>0</v>
      </c>
      <c r="G89" s="61">
        <v>4</v>
      </c>
      <c r="H89" s="61">
        <v>47</v>
      </c>
      <c r="I89" s="61">
        <v>33</v>
      </c>
      <c r="J89" s="61">
        <v>66</v>
      </c>
      <c r="K89" s="61">
        <v>43</v>
      </c>
      <c r="L89" s="98">
        <v>45</v>
      </c>
      <c r="M89" s="98">
        <v>31</v>
      </c>
      <c r="N89" s="98">
        <v>56</v>
      </c>
      <c r="O89" s="62">
        <v>0</v>
      </c>
      <c r="P89" s="59">
        <v>0</v>
      </c>
      <c r="Q89" s="59">
        <v>0</v>
      </c>
      <c r="R89" s="59">
        <v>0</v>
      </c>
      <c r="S89" s="59">
        <v>0</v>
      </c>
      <c r="T89" s="59">
        <v>0</v>
      </c>
      <c r="U89" s="59">
        <v>0</v>
      </c>
      <c r="V89" s="59">
        <v>0</v>
      </c>
      <c r="W89" s="59">
        <v>0</v>
      </c>
    </row>
    <row r="90" spans="1:23" ht="18.5" x14ac:dyDescent="0.35">
      <c r="A90" s="101" t="s">
        <v>1430</v>
      </c>
      <c r="B90" s="61">
        <v>0</v>
      </c>
      <c r="C90" s="61">
        <v>32</v>
      </c>
      <c r="D90" s="61">
        <v>2006</v>
      </c>
      <c r="E90" s="61">
        <v>1578</v>
      </c>
      <c r="F90" s="61">
        <v>868</v>
      </c>
      <c r="G90" s="61">
        <v>293</v>
      </c>
      <c r="H90" s="61">
        <v>427</v>
      </c>
      <c r="I90" s="61">
        <v>2333</v>
      </c>
      <c r="J90" s="61">
        <v>1980</v>
      </c>
      <c r="K90" s="61">
        <v>3122</v>
      </c>
      <c r="L90" s="98">
        <v>905</v>
      </c>
      <c r="M90" s="98">
        <v>2839.1729999999998</v>
      </c>
      <c r="N90" s="98">
        <v>2927</v>
      </c>
      <c r="O90" s="62">
        <v>0</v>
      </c>
      <c r="P90" s="59">
        <v>0</v>
      </c>
      <c r="Q90" s="59">
        <v>0</v>
      </c>
      <c r="R90" s="59">
        <v>0</v>
      </c>
      <c r="S90" s="59">
        <v>0</v>
      </c>
      <c r="T90" s="59">
        <v>0</v>
      </c>
      <c r="U90" s="59">
        <v>0</v>
      </c>
      <c r="V90" s="59">
        <v>0</v>
      </c>
      <c r="W90" s="59">
        <v>0</v>
      </c>
    </row>
    <row r="91" spans="1:23" ht="15" x14ac:dyDescent="0.3">
      <c r="A91" s="93" t="s">
        <v>1431</v>
      </c>
      <c r="B91" s="54">
        <v>720</v>
      </c>
      <c r="C91" s="54">
        <v>746</v>
      </c>
      <c r="D91" s="54">
        <v>8365</v>
      </c>
      <c r="E91" s="54">
        <v>10085</v>
      </c>
      <c r="F91" s="54">
        <v>10289</v>
      </c>
      <c r="G91" s="54">
        <v>14620</v>
      </c>
      <c r="H91" s="54">
        <v>18211</v>
      </c>
      <c r="I91" s="54">
        <v>23460</v>
      </c>
      <c r="J91" s="54">
        <v>33624</v>
      </c>
      <c r="K91" s="54">
        <v>40779</v>
      </c>
      <c r="L91" s="54">
        <f t="shared" ref="L91:R91" si="7">SUM(L80:L90)</f>
        <v>38944.400000000001</v>
      </c>
      <c r="M91" s="54">
        <f t="shared" si="7"/>
        <v>51154.919000000002</v>
      </c>
      <c r="N91" s="54">
        <f t="shared" si="7"/>
        <v>59077.093000000001</v>
      </c>
      <c r="O91" s="54">
        <f t="shared" si="7"/>
        <v>0</v>
      </c>
      <c r="P91" s="54">
        <f t="shared" si="7"/>
        <v>0</v>
      </c>
      <c r="Q91" s="54">
        <f t="shared" si="7"/>
        <v>0</v>
      </c>
      <c r="R91" s="54">
        <f t="shared" si="7"/>
        <v>0</v>
      </c>
      <c r="S91" s="54">
        <f>SUM(S80:S90)</f>
        <v>0</v>
      </c>
      <c r="T91" s="54">
        <f>SUM(T80:T90)</f>
        <v>0</v>
      </c>
      <c r="U91" s="54">
        <f>SUM(U80:U90)</f>
        <v>0</v>
      </c>
      <c r="V91" s="54">
        <f>SUM(V80:V90)</f>
        <v>0</v>
      </c>
      <c r="W91" s="54">
        <f>SUM(W80:W90)</f>
        <v>0</v>
      </c>
    </row>
    <row r="92" spans="1:23" ht="15.5" x14ac:dyDescent="0.35">
      <c r="A92" s="95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61"/>
      <c r="T92" s="54"/>
      <c r="U92" s="51"/>
      <c r="V92" s="51"/>
      <c r="W92" s="52"/>
    </row>
    <row r="93" spans="1:23" ht="15" x14ac:dyDescent="0.3">
      <c r="A93" s="96" t="s">
        <v>1409</v>
      </c>
      <c r="B93" s="54">
        <f t="shared" ref="B93:R93" si="8">+B78-B91</f>
        <v>62859</v>
      </c>
      <c r="C93" s="54">
        <f t="shared" si="8"/>
        <v>73666</v>
      </c>
      <c r="D93" s="54">
        <f t="shared" si="8"/>
        <v>74999</v>
      </c>
      <c r="E93" s="54">
        <f t="shared" si="8"/>
        <v>75630</v>
      </c>
      <c r="F93" s="54">
        <f t="shared" si="8"/>
        <v>78928</v>
      </c>
      <c r="G93" s="54">
        <f t="shared" si="8"/>
        <v>83815</v>
      </c>
      <c r="H93" s="54">
        <f t="shared" si="8"/>
        <v>86478</v>
      </c>
      <c r="I93" s="54">
        <f t="shared" si="8"/>
        <v>89390</v>
      </c>
      <c r="J93" s="54">
        <f t="shared" si="8"/>
        <v>95538</v>
      </c>
      <c r="K93" s="54">
        <f t="shared" si="8"/>
        <v>103355</v>
      </c>
      <c r="L93" s="54">
        <f t="shared" si="8"/>
        <v>112415.787415</v>
      </c>
      <c r="M93" s="54">
        <f t="shared" si="8"/>
        <v>122769.08100000001</v>
      </c>
      <c r="N93" s="54">
        <f t="shared" si="8"/>
        <v>121897.34828100001</v>
      </c>
      <c r="O93" s="54">
        <f t="shared" si="8"/>
        <v>0</v>
      </c>
      <c r="P93" s="54">
        <f t="shared" si="8"/>
        <v>0</v>
      </c>
      <c r="Q93" s="54">
        <f t="shared" si="8"/>
        <v>0</v>
      </c>
      <c r="R93" s="54">
        <f t="shared" si="8"/>
        <v>0</v>
      </c>
      <c r="S93" s="54">
        <f>+S78-S91</f>
        <v>0</v>
      </c>
      <c r="T93" s="54">
        <f>+T78-T91</f>
        <v>0</v>
      </c>
      <c r="U93" s="54">
        <f>+U78-U91</f>
        <v>0</v>
      </c>
      <c r="V93" s="54">
        <f>+V78-V91</f>
        <v>0</v>
      </c>
      <c r="W93" s="54">
        <f>+W78-W91</f>
        <v>0</v>
      </c>
    </row>
    <row r="94" spans="1:23" ht="15.5" x14ac:dyDescent="0.35">
      <c r="A94" s="95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6"/>
      <c r="S94" s="54"/>
      <c r="T94" s="54"/>
      <c r="U94" s="51"/>
      <c r="V94" s="51"/>
      <c r="W94" s="56"/>
    </row>
    <row r="95" spans="1:23" ht="15" x14ac:dyDescent="0.3">
      <c r="A95" s="96" t="s">
        <v>1432</v>
      </c>
      <c r="B95" s="54">
        <f t="shared" ref="B95:W95" si="9">+B91-B76</f>
        <v>-23051</v>
      </c>
      <c r="C95" s="54">
        <f t="shared" si="9"/>
        <v>-15861</v>
      </c>
      <c r="D95" s="54">
        <f t="shared" si="9"/>
        <v>-902</v>
      </c>
      <c r="E95" s="54">
        <f t="shared" si="9"/>
        <v>3076</v>
      </c>
      <c r="F95" s="54">
        <f t="shared" si="9"/>
        <v>3061</v>
      </c>
      <c r="G95" s="54">
        <f t="shared" si="9"/>
        <v>6619</v>
      </c>
      <c r="H95" s="54">
        <f t="shared" si="9"/>
        <v>9383</v>
      </c>
      <c r="I95" s="54">
        <f t="shared" si="9"/>
        <v>10019</v>
      </c>
      <c r="J95" s="54">
        <f t="shared" si="9"/>
        <v>15964</v>
      </c>
      <c r="K95" s="54">
        <f t="shared" si="9"/>
        <v>18317</v>
      </c>
      <c r="L95" s="54">
        <f t="shared" si="9"/>
        <v>20359.212585000001</v>
      </c>
      <c r="M95" s="54">
        <f t="shared" si="9"/>
        <v>36489.919000000002</v>
      </c>
      <c r="N95" s="54">
        <f t="shared" si="9"/>
        <v>41697.651719000001</v>
      </c>
      <c r="O95" s="54">
        <f t="shared" si="9"/>
        <v>0</v>
      </c>
      <c r="P95" s="54">
        <f t="shared" si="9"/>
        <v>0</v>
      </c>
      <c r="Q95" s="54">
        <f t="shared" si="9"/>
        <v>0</v>
      </c>
      <c r="R95" s="54">
        <f t="shared" si="9"/>
        <v>0</v>
      </c>
      <c r="S95" s="54">
        <f t="shared" si="9"/>
        <v>0</v>
      </c>
      <c r="T95" s="54">
        <f t="shared" si="9"/>
        <v>0</v>
      </c>
      <c r="U95" s="54">
        <f t="shared" si="9"/>
        <v>0</v>
      </c>
      <c r="V95" s="54">
        <f t="shared" si="9"/>
        <v>0</v>
      </c>
      <c r="W95" s="54">
        <f t="shared" si="9"/>
        <v>0</v>
      </c>
    </row>
    <row r="96" spans="1:23" x14ac:dyDescent="0.3">
      <c r="A96" s="114" t="s">
        <v>1433</v>
      </c>
      <c r="B96" s="115"/>
      <c r="C96" s="103"/>
      <c r="D96" s="103"/>
      <c r="E96" s="103"/>
      <c r="F96" s="103"/>
      <c r="G96" s="104"/>
      <c r="H96" s="104"/>
      <c r="I96" s="104"/>
      <c r="J96" s="104"/>
      <c r="K96" s="104"/>
      <c r="L96" s="104"/>
      <c r="M96" s="104"/>
      <c r="N96" s="104"/>
      <c r="O96" s="105"/>
      <c r="P96" s="105"/>
      <c r="Q96" s="105"/>
      <c r="R96" s="105"/>
      <c r="S96" s="105"/>
      <c r="T96" s="105"/>
      <c r="U96" s="82"/>
      <c r="V96" s="82"/>
      <c r="W96" s="82"/>
    </row>
    <row r="97" spans="1:23" x14ac:dyDescent="0.3">
      <c r="A97" s="106" t="s">
        <v>1412</v>
      </c>
      <c r="B97" s="78"/>
      <c r="C97" s="76"/>
      <c r="D97" s="76"/>
      <c r="E97" s="76"/>
      <c r="F97" s="76"/>
      <c r="G97" s="77"/>
      <c r="H97" s="77"/>
      <c r="I97" s="77"/>
      <c r="J97" s="77"/>
      <c r="K97" s="77"/>
      <c r="L97" s="77"/>
      <c r="M97" s="77"/>
      <c r="N97" s="78"/>
      <c r="O97" s="82"/>
      <c r="P97" s="82"/>
      <c r="Q97" s="82"/>
      <c r="R97" s="82"/>
      <c r="S97" s="82"/>
      <c r="T97" s="82"/>
      <c r="U97" s="82"/>
      <c r="V97" s="82"/>
      <c r="W97" s="82"/>
    </row>
    <row r="98" spans="1:23" x14ac:dyDescent="0.3">
      <c r="A98" s="107" t="s">
        <v>1413</v>
      </c>
      <c r="B98" s="78"/>
      <c r="C98" s="76"/>
      <c r="D98" s="76"/>
      <c r="E98" s="76"/>
      <c r="F98" s="76"/>
      <c r="G98" s="77"/>
      <c r="H98" s="77"/>
      <c r="I98" s="77"/>
      <c r="J98" s="77"/>
      <c r="K98" s="77"/>
      <c r="L98" s="77"/>
      <c r="M98" s="77"/>
      <c r="N98" s="78"/>
      <c r="O98" s="82"/>
      <c r="P98" s="82"/>
      <c r="Q98" s="82"/>
      <c r="R98" s="82"/>
      <c r="S98" s="82"/>
      <c r="T98" s="82"/>
      <c r="U98" s="82"/>
      <c r="V98" s="82"/>
      <c r="W98" s="82"/>
    </row>
    <row r="99" spans="1:23" x14ac:dyDescent="0.3">
      <c r="A99" s="107" t="s">
        <v>1414</v>
      </c>
      <c r="B99" s="78"/>
      <c r="C99" s="76"/>
      <c r="D99" s="76"/>
      <c r="E99" s="76"/>
      <c r="F99" s="76"/>
      <c r="G99" s="78"/>
      <c r="H99" s="78"/>
      <c r="I99" s="78"/>
      <c r="J99" s="78"/>
      <c r="K99" s="78"/>
      <c r="L99" s="78"/>
      <c r="M99" s="78"/>
      <c r="N99" s="77"/>
      <c r="O99" s="82"/>
      <c r="P99" s="82"/>
      <c r="Q99" s="82"/>
      <c r="R99" s="82"/>
      <c r="S99" s="82"/>
      <c r="T99" s="82"/>
      <c r="U99" s="82"/>
      <c r="V99" s="82"/>
      <c r="W99" s="82"/>
    </row>
    <row r="100" spans="1:23" x14ac:dyDescent="0.3">
      <c r="A100" s="107" t="s">
        <v>1434</v>
      </c>
      <c r="B100" s="83"/>
      <c r="C100" s="82"/>
      <c r="D100" s="82"/>
      <c r="E100" s="82"/>
      <c r="F100" s="82"/>
      <c r="G100" s="83"/>
      <c r="H100" s="83"/>
      <c r="I100" s="83"/>
      <c r="J100" s="83"/>
      <c r="K100" s="83"/>
      <c r="L100" s="83"/>
      <c r="M100" s="83"/>
      <c r="N100" s="84"/>
      <c r="O100" s="82"/>
      <c r="P100" s="82"/>
      <c r="Q100" s="82"/>
      <c r="R100" s="82"/>
      <c r="S100" s="82"/>
      <c r="T100" s="82"/>
      <c r="U100" s="82"/>
      <c r="V100" s="82"/>
      <c r="W100" s="82"/>
    </row>
    <row r="101" spans="1:23" x14ac:dyDescent="0.3">
      <c r="A101" s="107" t="s">
        <v>1417</v>
      </c>
      <c r="B101" s="83"/>
      <c r="C101" s="82"/>
      <c r="D101" s="82"/>
      <c r="E101" s="82"/>
      <c r="F101" s="82"/>
      <c r="G101" s="83"/>
      <c r="H101" s="83"/>
      <c r="I101" s="83"/>
      <c r="J101" s="83"/>
      <c r="K101" s="83"/>
      <c r="L101" s="83"/>
      <c r="M101" s="83"/>
      <c r="N101" s="84"/>
      <c r="O101" s="82"/>
      <c r="P101" s="82"/>
      <c r="Q101" s="82"/>
      <c r="R101" s="82"/>
      <c r="S101" s="82"/>
      <c r="T101" s="82"/>
      <c r="U101" s="82"/>
      <c r="V101" s="82"/>
      <c r="W101" s="82"/>
    </row>
    <row r="102" spans="1:23" x14ac:dyDescent="0.3">
      <c r="A102" s="107" t="s">
        <v>1418</v>
      </c>
      <c r="B102" s="83"/>
      <c r="C102" s="82"/>
      <c r="D102" s="82"/>
      <c r="E102" s="82"/>
      <c r="F102" s="82"/>
      <c r="G102" s="83"/>
      <c r="H102" s="83"/>
      <c r="I102" s="83"/>
      <c r="J102" s="83"/>
      <c r="K102" s="83"/>
      <c r="L102" s="83"/>
      <c r="M102" s="83"/>
      <c r="N102" s="84"/>
      <c r="O102" s="82"/>
      <c r="P102" s="82"/>
      <c r="Q102" s="82"/>
      <c r="R102" s="82"/>
      <c r="S102" s="82"/>
      <c r="T102" s="82"/>
      <c r="U102" s="82"/>
      <c r="V102" s="82"/>
      <c r="W102" s="82"/>
    </row>
    <row r="103" spans="1:23" x14ac:dyDescent="0.3">
      <c r="A103" s="107" t="s">
        <v>1419</v>
      </c>
      <c r="B103" s="83"/>
      <c r="C103" s="82"/>
      <c r="D103" s="82"/>
      <c r="E103" s="82"/>
      <c r="F103" s="82"/>
      <c r="G103" s="83"/>
      <c r="H103" s="83"/>
      <c r="I103" s="83"/>
      <c r="J103" s="83"/>
      <c r="K103" s="83"/>
      <c r="L103" s="83"/>
      <c r="M103" s="83"/>
      <c r="N103" s="84"/>
      <c r="O103" s="82"/>
      <c r="P103" s="82"/>
      <c r="Q103" s="82"/>
      <c r="R103" s="82"/>
      <c r="S103" s="82"/>
      <c r="T103" s="82"/>
      <c r="U103" s="82"/>
      <c r="V103" s="82"/>
      <c r="W103" s="82"/>
    </row>
    <row r="104" spans="1:23" x14ac:dyDescent="0.3">
      <c r="A104" s="107" t="s">
        <v>1435</v>
      </c>
      <c r="B104" s="78"/>
      <c r="C104" s="76"/>
      <c r="D104" s="76"/>
      <c r="E104" s="76"/>
      <c r="F104" s="76"/>
      <c r="G104" s="78"/>
      <c r="H104" s="78"/>
      <c r="I104" s="78"/>
      <c r="J104" s="78"/>
      <c r="K104" s="78"/>
      <c r="L104" s="78"/>
      <c r="M104" s="78"/>
      <c r="N104" s="84"/>
      <c r="O104" s="82"/>
      <c r="P104" s="82"/>
      <c r="Q104" s="82"/>
      <c r="R104" s="82"/>
      <c r="S104" s="82"/>
      <c r="T104" s="82"/>
      <c r="U104" s="82"/>
      <c r="V104" s="82"/>
      <c r="W104" s="82"/>
    </row>
  </sheetData>
  <mergeCells count="8">
    <mergeCell ref="A61:W61"/>
    <mergeCell ref="A96:B96"/>
    <mergeCell ref="A5:B5"/>
    <mergeCell ref="A6:W6"/>
    <mergeCell ref="A7:W7"/>
    <mergeCell ref="A43:N43"/>
    <mergeCell ref="A59:B59"/>
    <mergeCell ref="A60:W6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150"/>
  <sheetViews>
    <sheetView topLeftCell="A39" workbookViewId="0">
      <selection activeCell="B53" sqref="B53"/>
    </sheetView>
  </sheetViews>
  <sheetFormatPr defaultRowHeight="14.5" x14ac:dyDescent="0.35"/>
  <cols>
    <col min="1" max="1" width="39.54296875" customWidth="1"/>
    <col min="32" max="32" width="11.81640625" bestFit="1" customWidth="1"/>
  </cols>
  <sheetData>
    <row r="1" spans="1:51" s="4" customFormat="1" x14ac:dyDescent="0.35">
      <c r="A1" s="6" t="s">
        <v>21</v>
      </c>
    </row>
    <row r="2" spans="1:51" s="7" customFormat="1" x14ac:dyDescent="0.35">
      <c r="A2" s="7" t="s">
        <v>29</v>
      </c>
      <c r="B2" s="109">
        <v>2021</v>
      </c>
      <c r="C2" s="109">
        <v>2022</v>
      </c>
      <c r="D2" s="109">
        <v>2023</v>
      </c>
      <c r="E2" s="109">
        <v>2024</v>
      </c>
      <c r="F2" s="109">
        <v>2025</v>
      </c>
      <c r="G2" s="109">
        <v>2026</v>
      </c>
      <c r="H2" s="109">
        <v>2027</v>
      </c>
      <c r="I2" s="109">
        <v>2028</v>
      </c>
      <c r="J2" s="109">
        <v>2029</v>
      </c>
      <c r="K2" s="109">
        <v>2030</v>
      </c>
      <c r="L2" s="109">
        <v>2031</v>
      </c>
      <c r="M2" s="109">
        <v>2032</v>
      </c>
      <c r="N2" s="109">
        <v>2033</v>
      </c>
      <c r="O2" s="109">
        <v>2034</v>
      </c>
      <c r="P2" s="109">
        <v>2035</v>
      </c>
      <c r="Q2" s="109">
        <v>2036</v>
      </c>
      <c r="R2" s="109">
        <v>2037</v>
      </c>
      <c r="S2" s="109">
        <v>2038</v>
      </c>
      <c r="T2" s="109">
        <v>2039</v>
      </c>
      <c r="U2" s="109">
        <v>2040</v>
      </c>
      <c r="V2" s="109">
        <v>2041</v>
      </c>
      <c r="W2" s="109">
        <v>2042</v>
      </c>
      <c r="X2" s="109">
        <v>2043</v>
      </c>
      <c r="Y2" s="109">
        <v>2044</v>
      </c>
      <c r="Z2" s="109">
        <v>2045</v>
      </c>
      <c r="AA2" s="109">
        <v>2046</v>
      </c>
      <c r="AB2" s="109">
        <v>2047</v>
      </c>
      <c r="AC2" s="109">
        <v>2048</v>
      </c>
      <c r="AD2" s="109">
        <v>2049</v>
      </c>
      <c r="AE2" s="109">
        <v>2050</v>
      </c>
      <c r="AF2" s="109">
        <v>2051</v>
      </c>
      <c r="AG2" s="109">
        <v>2052</v>
      </c>
      <c r="AH2" s="109">
        <v>2053</v>
      </c>
      <c r="AI2" s="109">
        <v>2054</v>
      </c>
      <c r="AJ2" s="109">
        <v>2055</v>
      </c>
      <c r="AK2" s="109">
        <v>2056</v>
      </c>
      <c r="AL2" s="109">
        <v>2057</v>
      </c>
      <c r="AM2" s="109">
        <v>2058</v>
      </c>
      <c r="AN2" s="109">
        <v>2059</v>
      </c>
      <c r="AO2" s="109">
        <v>2060</v>
      </c>
      <c r="AP2" s="109">
        <v>2061</v>
      </c>
      <c r="AQ2" s="109">
        <v>2062</v>
      </c>
      <c r="AR2" s="109">
        <v>2063</v>
      </c>
      <c r="AS2" s="109">
        <v>2064</v>
      </c>
      <c r="AT2" s="109">
        <v>2065</v>
      </c>
      <c r="AU2" s="109">
        <v>2066</v>
      </c>
      <c r="AV2" s="109">
        <v>2067</v>
      </c>
      <c r="AW2" s="109">
        <v>2068</v>
      </c>
      <c r="AX2" s="109">
        <v>2069</v>
      </c>
      <c r="AY2" s="109">
        <v>2070</v>
      </c>
    </row>
    <row r="3" spans="1:51" x14ac:dyDescent="0.35">
      <c r="A3" t="s">
        <v>51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51" x14ac:dyDescent="0.35">
      <c r="A4" t="s">
        <v>52</v>
      </c>
      <c r="B4">
        <v>1.5268672590616609E-6</v>
      </c>
      <c r="C4">
        <v>1.5268672590616609E-6</v>
      </c>
      <c r="D4">
        <v>1.5194552820759244E-6</v>
      </c>
      <c r="E4">
        <v>1.5268672590616609E-6</v>
      </c>
      <c r="F4">
        <v>1.504631328104452E-6</v>
      </c>
      <c r="G4">
        <v>1.4823953971472437E-6</v>
      </c>
      <c r="H4">
        <v>1.467571443175771E-6</v>
      </c>
      <c r="I4">
        <v>1.4601594661900347E-6</v>
      </c>
      <c r="J4">
        <v>1.4453355122185623E-6</v>
      </c>
      <c r="K4">
        <v>1.4527474892042985E-6</v>
      </c>
      <c r="L4">
        <v>1.4601594661900347E-6</v>
      </c>
      <c r="M4">
        <v>1.4527474892042985E-6</v>
      </c>
      <c r="N4">
        <v>1.4527474892042985E-6</v>
      </c>
      <c r="O4">
        <v>1.4527474892042985E-6</v>
      </c>
      <c r="P4">
        <v>1.4453355122185623E-6</v>
      </c>
      <c r="Q4">
        <v>1.4453355122185623E-6</v>
      </c>
      <c r="R4">
        <v>1.4527474892042985E-6</v>
      </c>
      <c r="S4">
        <v>1.4527474892042985E-6</v>
      </c>
      <c r="T4">
        <v>1.4453355122185623E-6</v>
      </c>
      <c r="U4">
        <v>1.4453355122185623E-6</v>
      </c>
      <c r="V4">
        <v>1.4527474892042985E-6</v>
      </c>
      <c r="W4">
        <v>1.4527474892042985E-6</v>
      </c>
      <c r="X4">
        <v>1.4453355122185623E-6</v>
      </c>
      <c r="Y4">
        <v>1.4453355122185623E-6</v>
      </c>
      <c r="Z4">
        <v>1.4453355122185623E-6</v>
      </c>
      <c r="AA4">
        <v>1.4453355122185623E-6</v>
      </c>
      <c r="AB4">
        <v>1.4453355122185623E-6</v>
      </c>
      <c r="AC4">
        <v>1.4453355122185623E-6</v>
      </c>
      <c r="AD4">
        <v>1.4453355122185623E-6</v>
      </c>
      <c r="AE4">
        <v>1.4453355122185623E-6</v>
      </c>
    </row>
    <row r="5" spans="1:51" x14ac:dyDescent="0.35">
      <c r="A5" t="s">
        <v>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51" x14ac:dyDescent="0.35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51" x14ac:dyDescent="0.35">
      <c r="A7" t="s">
        <v>55</v>
      </c>
      <c r="B7">
        <v>1.8314931626443423E-6</v>
      </c>
      <c r="C7">
        <v>1.8314931626443423E-6</v>
      </c>
      <c r="D7">
        <v>1.8314931626443423E-6</v>
      </c>
      <c r="E7">
        <v>1.8314931626443423E-6</v>
      </c>
      <c r="F7">
        <v>1.8526257760594693E-6</v>
      </c>
      <c r="G7">
        <v>1.8526257760594693E-6</v>
      </c>
      <c r="H7">
        <v>1.8526257760594693E-6</v>
      </c>
      <c r="I7">
        <v>1.8596699805311781E-6</v>
      </c>
      <c r="J7">
        <v>1.8667141850028871E-6</v>
      </c>
      <c r="K7">
        <v>1.8737583894745963E-6</v>
      </c>
      <c r="L7">
        <v>1.8878467984180145E-6</v>
      </c>
      <c r="M7">
        <v>1.8878467984180145E-6</v>
      </c>
      <c r="N7">
        <v>1.8948910028897232E-6</v>
      </c>
      <c r="O7">
        <v>1.9019352073614324E-6</v>
      </c>
      <c r="P7">
        <v>1.908979411833141E-6</v>
      </c>
      <c r="Q7">
        <v>1.908979411833141E-6</v>
      </c>
      <c r="R7">
        <v>1.9160236163048506E-6</v>
      </c>
      <c r="S7">
        <v>1.9160236163048506E-6</v>
      </c>
      <c r="T7">
        <v>1.9230678207765594E-6</v>
      </c>
      <c r="U7">
        <v>1.9230678207765594E-6</v>
      </c>
      <c r="V7">
        <v>1.9301120252482686E-6</v>
      </c>
      <c r="W7">
        <v>1.9371562297199774E-6</v>
      </c>
      <c r="X7">
        <v>1.9442004341916861E-6</v>
      </c>
      <c r="Y7">
        <v>1.9512446386633953E-6</v>
      </c>
      <c r="Z7">
        <v>1.9582888431351041E-6</v>
      </c>
      <c r="AA7">
        <v>1.9653330476068133E-6</v>
      </c>
      <c r="AB7">
        <v>1.9723772520785225E-6</v>
      </c>
      <c r="AC7">
        <v>1.9794214565502313E-6</v>
      </c>
      <c r="AD7">
        <v>1.9864656610219405E-6</v>
      </c>
      <c r="AE7">
        <v>1.9935098654936493E-6</v>
      </c>
    </row>
    <row r="8" spans="1:51" x14ac:dyDescent="0.35">
      <c r="A8" t="s">
        <v>56</v>
      </c>
      <c r="B8">
        <v>1.8314931626443423E-6</v>
      </c>
      <c r="C8">
        <v>1.8314931626443423E-6</v>
      </c>
      <c r="D8">
        <v>1.8314931626443423E-6</v>
      </c>
      <c r="E8">
        <v>1.8314931626443423E-6</v>
      </c>
      <c r="F8">
        <v>1.8526257760594693E-6</v>
      </c>
      <c r="G8">
        <v>1.8526257760594693E-6</v>
      </c>
      <c r="H8">
        <v>1.8526257760594693E-6</v>
      </c>
      <c r="I8">
        <v>1.8596699805311781E-6</v>
      </c>
      <c r="J8">
        <v>1.8667141850028871E-6</v>
      </c>
      <c r="K8">
        <v>1.8737583894745963E-6</v>
      </c>
      <c r="L8">
        <v>1.8878467984180145E-6</v>
      </c>
      <c r="M8">
        <v>1.8878467984180145E-6</v>
      </c>
      <c r="N8">
        <v>1.8948910028897232E-6</v>
      </c>
      <c r="O8">
        <v>1.9019352073614324E-6</v>
      </c>
      <c r="P8">
        <v>1.908979411833141E-6</v>
      </c>
      <c r="Q8">
        <v>1.908979411833141E-6</v>
      </c>
      <c r="R8">
        <v>1.9160236163048506E-6</v>
      </c>
      <c r="S8">
        <v>1.9160236163048506E-6</v>
      </c>
      <c r="T8">
        <v>1.9230678207765594E-6</v>
      </c>
      <c r="U8">
        <v>1.9230678207765594E-6</v>
      </c>
      <c r="V8">
        <v>1.9301120252482686E-6</v>
      </c>
      <c r="W8">
        <v>1.9371562297199774E-6</v>
      </c>
      <c r="X8">
        <v>1.9442004341916861E-6</v>
      </c>
      <c r="Y8">
        <v>1.9512446386633953E-6</v>
      </c>
      <c r="Z8">
        <v>1.9582888431351041E-6</v>
      </c>
      <c r="AA8">
        <v>1.9653330476068133E-6</v>
      </c>
      <c r="AB8">
        <v>1.9723772520785225E-6</v>
      </c>
      <c r="AC8">
        <v>1.9794214565502313E-6</v>
      </c>
      <c r="AD8">
        <v>1.9864656610219405E-6</v>
      </c>
      <c r="AE8">
        <v>1.9935098654936493E-6</v>
      </c>
    </row>
    <row r="9" spans="1:51" x14ac:dyDescent="0.35">
      <c r="A9" t="s">
        <v>57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51" x14ac:dyDescent="0.35">
      <c r="A10" t="s">
        <v>58</v>
      </c>
      <c r="B10">
        <v>1.8314931626443423E-6</v>
      </c>
      <c r="C10">
        <v>1.8314931626443423E-6</v>
      </c>
      <c r="D10">
        <v>1.8314931626443423E-6</v>
      </c>
      <c r="E10">
        <v>1.8314931626443423E-6</v>
      </c>
      <c r="F10">
        <v>1.8526257760594693E-6</v>
      </c>
      <c r="G10">
        <v>1.8526257760594693E-6</v>
      </c>
      <c r="H10">
        <v>1.8526257760594693E-6</v>
      </c>
      <c r="I10">
        <v>1.8596699805311781E-6</v>
      </c>
      <c r="J10">
        <v>1.8667141850028871E-6</v>
      </c>
      <c r="K10">
        <v>1.8737583894745963E-6</v>
      </c>
      <c r="L10">
        <v>1.8878467984180145E-6</v>
      </c>
      <c r="M10">
        <v>1.8878467984180145E-6</v>
      </c>
      <c r="N10">
        <v>1.8948910028897232E-6</v>
      </c>
      <c r="O10">
        <v>1.9019352073614324E-6</v>
      </c>
      <c r="P10">
        <v>1.908979411833141E-6</v>
      </c>
      <c r="Q10">
        <v>1.908979411833141E-6</v>
      </c>
      <c r="R10">
        <v>1.9160236163048506E-6</v>
      </c>
      <c r="S10">
        <v>1.9160236163048506E-6</v>
      </c>
      <c r="T10">
        <v>1.9230678207765594E-6</v>
      </c>
      <c r="U10">
        <v>1.9230678207765594E-6</v>
      </c>
      <c r="V10">
        <v>1.9301120252482686E-6</v>
      </c>
      <c r="W10">
        <v>1.9371562297199774E-6</v>
      </c>
      <c r="X10">
        <v>1.9442004341916861E-6</v>
      </c>
      <c r="Y10">
        <v>1.9512446386633953E-6</v>
      </c>
      <c r="Z10">
        <v>1.9582888431351041E-6</v>
      </c>
      <c r="AA10">
        <v>1.9653330476068133E-6</v>
      </c>
      <c r="AB10">
        <v>1.9723772520785225E-6</v>
      </c>
      <c r="AC10">
        <v>1.9794214565502313E-6</v>
      </c>
      <c r="AD10">
        <v>1.9864656610219405E-6</v>
      </c>
      <c r="AE10">
        <v>1.9935098654936493E-6</v>
      </c>
    </row>
    <row r="11" spans="1:51" s="4" customFormat="1" x14ac:dyDescent="0.35">
      <c r="A11" s="6" t="s">
        <v>30</v>
      </c>
    </row>
    <row r="12" spans="1:51" x14ac:dyDescent="0.35">
      <c r="A12" t="s">
        <v>29</v>
      </c>
      <c r="B12" s="1">
        <v>2021</v>
      </c>
      <c r="C12" s="1">
        <v>2022</v>
      </c>
      <c r="D12" s="1">
        <v>2023</v>
      </c>
      <c r="E12" s="1">
        <v>2024</v>
      </c>
      <c r="F12" s="1">
        <v>2025</v>
      </c>
      <c r="G12" s="1">
        <v>2026</v>
      </c>
      <c r="H12" s="1">
        <v>2027</v>
      </c>
      <c r="I12" s="1">
        <v>2028</v>
      </c>
      <c r="J12" s="1">
        <v>2029</v>
      </c>
      <c r="K12" s="1">
        <v>2030</v>
      </c>
      <c r="L12" s="1">
        <v>2031</v>
      </c>
      <c r="M12" s="1">
        <v>2032</v>
      </c>
      <c r="N12" s="1">
        <v>2033</v>
      </c>
      <c r="O12" s="1">
        <v>2034</v>
      </c>
      <c r="P12" s="1">
        <v>2035</v>
      </c>
      <c r="Q12" s="1">
        <v>2036</v>
      </c>
      <c r="R12" s="1">
        <v>2037</v>
      </c>
      <c r="S12" s="1">
        <v>2038</v>
      </c>
      <c r="T12" s="1">
        <v>2039</v>
      </c>
      <c r="U12" s="1">
        <v>2040</v>
      </c>
      <c r="V12" s="1">
        <v>2041</v>
      </c>
      <c r="W12" s="1">
        <v>2042</v>
      </c>
      <c r="X12" s="1">
        <v>2043</v>
      </c>
      <c r="Y12" s="1">
        <v>2044</v>
      </c>
      <c r="Z12" s="1">
        <v>2045</v>
      </c>
      <c r="AA12" s="1">
        <v>2046</v>
      </c>
      <c r="AB12" s="1">
        <v>2047</v>
      </c>
      <c r="AC12" s="1">
        <v>2048</v>
      </c>
      <c r="AD12" s="1">
        <v>2049</v>
      </c>
      <c r="AE12" s="1">
        <v>2050</v>
      </c>
      <c r="AF12" s="1">
        <v>2051</v>
      </c>
      <c r="AG12" s="1">
        <v>2052</v>
      </c>
      <c r="AH12" s="1">
        <v>2053</v>
      </c>
      <c r="AI12" s="1">
        <v>2054</v>
      </c>
      <c r="AJ12" s="1">
        <v>2055</v>
      </c>
      <c r="AK12" s="1">
        <v>2056</v>
      </c>
      <c r="AL12" s="1">
        <v>2057</v>
      </c>
      <c r="AM12" s="1">
        <v>2058</v>
      </c>
      <c r="AN12" s="1">
        <v>2059</v>
      </c>
      <c r="AO12" s="1">
        <v>2060</v>
      </c>
      <c r="AP12" s="1">
        <v>2061</v>
      </c>
      <c r="AQ12" s="1">
        <v>2062</v>
      </c>
      <c r="AR12" s="1">
        <v>2063</v>
      </c>
      <c r="AS12" s="1">
        <v>2064</v>
      </c>
      <c r="AT12" s="1">
        <v>2065</v>
      </c>
      <c r="AU12" s="1">
        <v>2066</v>
      </c>
      <c r="AV12" s="1">
        <v>2067</v>
      </c>
      <c r="AW12" s="1">
        <v>2068</v>
      </c>
      <c r="AX12" s="1">
        <v>2069</v>
      </c>
      <c r="AY12" s="1">
        <v>2070</v>
      </c>
    </row>
    <row r="13" spans="1:51" x14ac:dyDescent="0.35">
      <c r="A13" t="s">
        <v>51</v>
      </c>
      <c r="B13">
        <v>9.3747450175164482E-6</v>
      </c>
      <c r="C13">
        <v>9.3747450175164482E-6</v>
      </c>
      <c r="D13">
        <v>9.3747450175164482E-6</v>
      </c>
      <c r="E13">
        <v>9.3747450175164482E-6</v>
      </c>
      <c r="F13">
        <v>1.4066753925610302E-5</v>
      </c>
      <c r="G13">
        <v>1.4633619525008094E-5</v>
      </c>
      <c r="H13">
        <v>1.357495988805795E-5</v>
      </c>
      <c r="I13">
        <v>1.2710593510155202E-5</v>
      </c>
      <c r="J13">
        <v>1.3066861330728431E-5</v>
      </c>
      <c r="K13">
        <v>1.3538698890122817E-5</v>
      </c>
      <c r="L13">
        <v>1.3800959404401562E-5</v>
      </c>
      <c r="M13">
        <v>1.4406000444512995E-5</v>
      </c>
      <c r="N13">
        <v>1.4928257712533808E-5</v>
      </c>
      <c r="O13">
        <v>1.5170167064953801E-5</v>
      </c>
      <c r="P13">
        <v>1.5236079242984522E-5</v>
      </c>
      <c r="Q13">
        <v>1.5528957231936634E-5</v>
      </c>
      <c r="R13">
        <v>1.582005687593809E-5</v>
      </c>
      <c r="S13">
        <v>1.5955383482769691E-5</v>
      </c>
      <c r="T13">
        <v>1.6026417475722061E-5</v>
      </c>
      <c r="U13">
        <v>1.6047372004617642E-5</v>
      </c>
      <c r="V13">
        <v>1.6006556266043592E-5</v>
      </c>
      <c r="W13">
        <v>1.610373011513286E-5</v>
      </c>
      <c r="X13">
        <v>1.6106524657198174E-5</v>
      </c>
      <c r="Y13">
        <v>1.6101520793727331E-5</v>
      </c>
      <c r="Z13">
        <v>1.6100477377047101E-5</v>
      </c>
      <c r="AA13">
        <v>1.6008398123313911E-5</v>
      </c>
      <c r="AB13">
        <v>1.5903716210721243E-5</v>
      </c>
      <c r="AC13">
        <v>1.5886558811222847E-5</v>
      </c>
      <c r="AD13">
        <v>1.5913007155769556E-5</v>
      </c>
      <c r="AE13">
        <v>1.5973380152206532E-5</v>
      </c>
    </row>
    <row r="14" spans="1:51" x14ac:dyDescent="0.35">
      <c r="A14" t="s">
        <v>52</v>
      </c>
      <c r="B14">
        <v>5.6876299688761656E-6</v>
      </c>
      <c r="C14">
        <v>5.6876299688761656E-6</v>
      </c>
      <c r="D14">
        <v>5.6876299688761656E-6</v>
      </c>
      <c r="E14">
        <v>5.6876299688761656E-6</v>
      </c>
      <c r="F14">
        <v>8.5342578430258864E-6</v>
      </c>
      <c r="G14">
        <v>8.878173519178747E-6</v>
      </c>
      <c r="H14">
        <v>8.2358878605601257E-6</v>
      </c>
      <c r="I14">
        <v>7.7114793453564761E-6</v>
      </c>
      <c r="J14">
        <v>7.9276259743530379E-6</v>
      </c>
      <c r="K14">
        <v>8.2138884207703639E-6</v>
      </c>
      <c r="L14">
        <v>8.3730010961420753E-6</v>
      </c>
      <c r="M14">
        <v>8.7400776988345127E-6</v>
      </c>
      <c r="N14">
        <v>9.0569296327813493E-6</v>
      </c>
      <c r="O14">
        <v>9.2036953186751596E-6</v>
      </c>
      <c r="P14">
        <v>9.2436840413957204E-6</v>
      </c>
      <c r="Q14">
        <v>9.4213722477496775E-6</v>
      </c>
      <c r="R14">
        <v>9.5979815375019124E-6</v>
      </c>
      <c r="S14">
        <v>9.680083788087246E-6</v>
      </c>
      <c r="T14">
        <v>9.7231799007143053E-6</v>
      </c>
      <c r="U14">
        <v>9.7358929511820763E-6</v>
      </c>
      <c r="V14">
        <v>9.7111301637695323E-6</v>
      </c>
      <c r="W14">
        <v>9.770085249506635E-6</v>
      </c>
      <c r="X14">
        <v>9.7717806898807753E-6</v>
      </c>
      <c r="Y14">
        <v>9.7687448607692896E-6</v>
      </c>
      <c r="Z14">
        <v>9.7681118229672562E-6</v>
      </c>
      <c r="AA14">
        <v>9.7122476131070317E-6</v>
      </c>
      <c r="AB14">
        <v>9.6487374075335625E-6</v>
      </c>
      <c r="AC14">
        <v>9.6383280641975356E-6</v>
      </c>
      <c r="AD14">
        <v>9.654374196309922E-6</v>
      </c>
      <c r="AE14">
        <v>9.6910023140031702E-6</v>
      </c>
    </row>
    <row r="15" spans="1:51" x14ac:dyDescent="0.35">
      <c r="A15" t="s">
        <v>53</v>
      </c>
      <c r="B15">
        <v>9.3747450175164482E-6</v>
      </c>
      <c r="C15">
        <v>9.3747450175164482E-6</v>
      </c>
      <c r="D15">
        <v>9.3747450175164482E-6</v>
      </c>
      <c r="E15">
        <v>9.3747450175164482E-6</v>
      </c>
      <c r="F15">
        <v>9.3747450175164482E-6</v>
      </c>
      <c r="G15">
        <v>9.3747450175164482E-6</v>
      </c>
      <c r="H15">
        <v>9.3747450175164482E-6</v>
      </c>
      <c r="I15">
        <v>9.3747450175164482E-6</v>
      </c>
      <c r="J15">
        <v>9.3747450175164482E-6</v>
      </c>
      <c r="K15">
        <v>9.3747450175164482E-6</v>
      </c>
      <c r="L15">
        <v>9.3747450175164482E-6</v>
      </c>
      <c r="M15">
        <v>9.3747450175164482E-6</v>
      </c>
      <c r="N15">
        <v>9.3747450175164482E-6</v>
      </c>
      <c r="O15">
        <v>9.3747450175164482E-6</v>
      </c>
      <c r="P15">
        <v>9.3747450175164482E-6</v>
      </c>
      <c r="Q15">
        <v>9.3747450175164482E-6</v>
      </c>
      <c r="R15">
        <v>9.3747450175164482E-6</v>
      </c>
      <c r="S15">
        <v>9.3747450175164482E-6</v>
      </c>
      <c r="T15">
        <v>9.3747450175164482E-6</v>
      </c>
      <c r="U15">
        <v>9.3747450175164482E-6</v>
      </c>
      <c r="V15">
        <v>9.3747450175164482E-6</v>
      </c>
      <c r="W15">
        <v>9.3747450175164482E-6</v>
      </c>
      <c r="X15">
        <v>9.3747450175164482E-6</v>
      </c>
      <c r="Y15">
        <v>9.3747450175164482E-6</v>
      </c>
      <c r="Z15">
        <v>9.3747450175164482E-6</v>
      </c>
      <c r="AA15">
        <v>9.3747450175164482E-6</v>
      </c>
      <c r="AB15">
        <v>9.3747450175164482E-6</v>
      </c>
      <c r="AC15">
        <v>9.3747450175164482E-6</v>
      </c>
      <c r="AD15">
        <v>9.3747450175164482E-6</v>
      </c>
      <c r="AE15">
        <v>9.3747450175164482E-6</v>
      </c>
    </row>
    <row r="16" spans="1:51" x14ac:dyDescent="0.35">
      <c r="A16" t="s">
        <v>54</v>
      </c>
      <c r="B16">
        <v>9.3747450175164482E-6</v>
      </c>
      <c r="C16">
        <v>9.3747450175164482E-6</v>
      </c>
      <c r="D16">
        <v>9.3747450175164482E-6</v>
      </c>
      <c r="E16">
        <v>9.3747450175164482E-6</v>
      </c>
      <c r="F16">
        <v>9.3747450175164482E-6</v>
      </c>
      <c r="G16">
        <v>9.3747450175164482E-6</v>
      </c>
      <c r="H16">
        <v>9.3747450175164482E-6</v>
      </c>
      <c r="I16">
        <v>9.3747450175164482E-6</v>
      </c>
      <c r="J16">
        <v>9.3747450175164482E-6</v>
      </c>
      <c r="K16">
        <v>9.3747450175164482E-6</v>
      </c>
      <c r="L16">
        <v>9.3747450175164482E-6</v>
      </c>
      <c r="M16">
        <v>9.3747450175164482E-6</v>
      </c>
      <c r="N16">
        <v>9.3747450175164482E-6</v>
      </c>
      <c r="O16">
        <v>9.3747450175164482E-6</v>
      </c>
      <c r="P16">
        <v>9.3747450175164482E-6</v>
      </c>
      <c r="Q16">
        <v>9.3747450175164482E-6</v>
      </c>
      <c r="R16">
        <v>9.3747450175164482E-6</v>
      </c>
      <c r="S16">
        <v>9.3747450175164482E-6</v>
      </c>
      <c r="T16">
        <v>9.3747450175164482E-6</v>
      </c>
      <c r="U16">
        <v>9.3747450175164482E-6</v>
      </c>
      <c r="V16">
        <v>9.3747450175164482E-6</v>
      </c>
      <c r="W16">
        <v>9.3747450175164482E-6</v>
      </c>
      <c r="X16">
        <v>9.3747450175164482E-6</v>
      </c>
      <c r="Y16">
        <v>9.3747450175164482E-6</v>
      </c>
      <c r="Z16">
        <v>9.3747450175164482E-6</v>
      </c>
      <c r="AA16">
        <v>9.3747450175164482E-6</v>
      </c>
      <c r="AB16">
        <v>9.3747450175164482E-6</v>
      </c>
      <c r="AC16">
        <v>9.3747450175164482E-6</v>
      </c>
      <c r="AD16">
        <v>9.3747450175164482E-6</v>
      </c>
      <c r="AE16">
        <v>9.3747450175164482E-6</v>
      </c>
    </row>
    <row r="17" spans="1:51" x14ac:dyDescent="0.35">
      <c r="A17" t="s">
        <v>55</v>
      </c>
      <c r="B17">
        <v>9.3747450175164482E-6</v>
      </c>
      <c r="C17">
        <v>9.3747450175164482E-6</v>
      </c>
      <c r="D17">
        <v>9.3747450175164482E-6</v>
      </c>
      <c r="E17">
        <v>9.3747450175164482E-6</v>
      </c>
      <c r="F17">
        <v>9.3747450175164482E-6</v>
      </c>
      <c r="G17">
        <v>9.3747450175164482E-6</v>
      </c>
      <c r="H17">
        <v>9.3747450175164482E-6</v>
      </c>
      <c r="I17">
        <v>9.3747450175164482E-6</v>
      </c>
      <c r="J17">
        <v>9.3747450175164482E-6</v>
      </c>
      <c r="K17">
        <v>9.3747450175164482E-6</v>
      </c>
      <c r="L17">
        <v>9.3747450175164482E-6</v>
      </c>
      <c r="M17">
        <v>9.3747450175164482E-6</v>
      </c>
      <c r="N17">
        <v>9.3747450175164482E-6</v>
      </c>
      <c r="O17">
        <v>9.3747450175164482E-6</v>
      </c>
      <c r="P17">
        <v>9.3747450175164482E-6</v>
      </c>
      <c r="Q17">
        <v>9.3747450175164482E-6</v>
      </c>
      <c r="R17">
        <v>9.3747450175164482E-6</v>
      </c>
      <c r="S17">
        <v>9.3747450175164482E-6</v>
      </c>
      <c r="T17">
        <v>9.3747450175164482E-6</v>
      </c>
      <c r="U17">
        <v>9.3747450175164482E-6</v>
      </c>
      <c r="V17">
        <v>9.3747450175164482E-6</v>
      </c>
      <c r="W17">
        <v>9.3747450175164482E-6</v>
      </c>
      <c r="X17">
        <v>9.3747450175164482E-6</v>
      </c>
      <c r="Y17">
        <v>9.3747450175164482E-6</v>
      </c>
      <c r="Z17">
        <v>9.3747450175164482E-6</v>
      </c>
      <c r="AA17">
        <v>9.3747450175164482E-6</v>
      </c>
      <c r="AB17">
        <v>9.3747450175164482E-6</v>
      </c>
      <c r="AC17">
        <v>9.3747450175164482E-6</v>
      </c>
      <c r="AD17">
        <v>9.3747450175164482E-6</v>
      </c>
      <c r="AE17">
        <v>9.3747450175164482E-6</v>
      </c>
    </row>
    <row r="18" spans="1:51" x14ac:dyDescent="0.35">
      <c r="A18" t="s">
        <v>56</v>
      </c>
      <c r="B18">
        <v>9.3747450175164482E-6</v>
      </c>
      <c r="C18">
        <v>9.3747450175164482E-6</v>
      </c>
      <c r="D18">
        <v>9.3747450175164482E-6</v>
      </c>
      <c r="E18">
        <v>9.3747450175164482E-6</v>
      </c>
      <c r="F18">
        <v>9.3747450175164482E-6</v>
      </c>
      <c r="G18">
        <v>9.3747450175164482E-6</v>
      </c>
      <c r="H18">
        <v>9.3747450175164482E-6</v>
      </c>
      <c r="I18">
        <v>9.3747450175164482E-6</v>
      </c>
      <c r="J18">
        <v>9.3747450175164482E-6</v>
      </c>
      <c r="K18">
        <v>9.3747450175164482E-6</v>
      </c>
      <c r="L18">
        <v>9.3747450175164482E-6</v>
      </c>
      <c r="M18">
        <v>9.3747450175164482E-6</v>
      </c>
      <c r="N18">
        <v>9.3747450175164482E-6</v>
      </c>
      <c r="O18">
        <v>9.3747450175164482E-6</v>
      </c>
      <c r="P18">
        <v>9.3747450175164482E-6</v>
      </c>
      <c r="Q18">
        <v>9.3747450175164482E-6</v>
      </c>
      <c r="R18">
        <v>9.3747450175164482E-6</v>
      </c>
      <c r="S18">
        <v>9.3747450175164482E-6</v>
      </c>
      <c r="T18">
        <v>9.3747450175164482E-6</v>
      </c>
      <c r="U18">
        <v>9.3747450175164482E-6</v>
      </c>
      <c r="V18">
        <v>9.3747450175164482E-6</v>
      </c>
      <c r="W18">
        <v>9.3747450175164482E-6</v>
      </c>
      <c r="X18">
        <v>9.3747450175164482E-6</v>
      </c>
      <c r="Y18">
        <v>9.3747450175164482E-6</v>
      </c>
      <c r="Z18">
        <v>9.3747450175164482E-6</v>
      </c>
      <c r="AA18">
        <v>9.3747450175164482E-6</v>
      </c>
      <c r="AB18">
        <v>9.3747450175164482E-6</v>
      </c>
      <c r="AC18">
        <v>9.3747450175164482E-6</v>
      </c>
      <c r="AD18">
        <v>9.3747450175164482E-6</v>
      </c>
      <c r="AE18">
        <v>9.3747450175164482E-6</v>
      </c>
    </row>
    <row r="19" spans="1:51" x14ac:dyDescent="0.35">
      <c r="A19" t="s">
        <v>57</v>
      </c>
      <c r="B19">
        <v>9.3747450175164482E-6</v>
      </c>
      <c r="C19">
        <v>9.3747450175164482E-6</v>
      </c>
      <c r="D19">
        <v>9.3747450175164482E-6</v>
      </c>
      <c r="E19">
        <v>9.3747450175164482E-6</v>
      </c>
      <c r="F19">
        <v>9.3747450175164482E-6</v>
      </c>
      <c r="G19">
        <v>9.3747450175164482E-6</v>
      </c>
      <c r="H19">
        <v>9.3747450175164482E-6</v>
      </c>
      <c r="I19">
        <v>9.3747450175164482E-6</v>
      </c>
      <c r="J19">
        <v>9.3747450175164482E-6</v>
      </c>
      <c r="K19">
        <v>9.3747450175164482E-6</v>
      </c>
      <c r="L19">
        <v>9.3747450175164482E-6</v>
      </c>
      <c r="M19">
        <v>9.3747450175164482E-6</v>
      </c>
      <c r="N19">
        <v>9.3747450175164482E-6</v>
      </c>
      <c r="O19">
        <v>9.3747450175164482E-6</v>
      </c>
      <c r="P19">
        <v>9.3747450175164482E-6</v>
      </c>
      <c r="Q19">
        <v>9.3747450175164482E-6</v>
      </c>
      <c r="R19">
        <v>9.3747450175164482E-6</v>
      </c>
      <c r="S19">
        <v>9.3747450175164482E-6</v>
      </c>
      <c r="T19">
        <v>9.3747450175164482E-6</v>
      </c>
      <c r="U19">
        <v>9.3747450175164482E-6</v>
      </c>
      <c r="V19">
        <v>9.3747450175164482E-6</v>
      </c>
      <c r="W19">
        <v>9.3747450175164482E-6</v>
      </c>
      <c r="X19">
        <v>9.3747450175164482E-6</v>
      </c>
      <c r="Y19">
        <v>9.3747450175164482E-6</v>
      </c>
      <c r="Z19">
        <v>9.3747450175164482E-6</v>
      </c>
      <c r="AA19">
        <v>9.3747450175164482E-6</v>
      </c>
      <c r="AB19">
        <v>9.3747450175164482E-6</v>
      </c>
      <c r="AC19">
        <v>9.3747450175164482E-6</v>
      </c>
      <c r="AD19">
        <v>9.3747450175164482E-6</v>
      </c>
      <c r="AE19">
        <v>9.3747450175164482E-6</v>
      </c>
    </row>
    <row r="20" spans="1:51" x14ac:dyDescent="0.35">
      <c r="A20" t="s">
        <v>58</v>
      </c>
      <c r="B20">
        <v>9.3747450175164482E-6</v>
      </c>
      <c r="C20">
        <v>9.3747450175164482E-6</v>
      </c>
      <c r="D20">
        <v>9.3747450175164482E-6</v>
      </c>
      <c r="E20">
        <v>9.3747450175164482E-6</v>
      </c>
      <c r="F20">
        <v>9.3747450175164482E-6</v>
      </c>
      <c r="G20">
        <v>9.3747450175164482E-6</v>
      </c>
      <c r="H20">
        <v>9.3747450175164482E-6</v>
      </c>
      <c r="I20">
        <v>9.3747450175164482E-6</v>
      </c>
      <c r="J20">
        <v>9.3747450175164482E-6</v>
      </c>
      <c r="K20">
        <v>9.3747450175164482E-6</v>
      </c>
      <c r="L20">
        <v>9.3747450175164482E-6</v>
      </c>
      <c r="M20">
        <v>9.3747450175164482E-6</v>
      </c>
      <c r="N20">
        <v>9.3747450175164482E-6</v>
      </c>
      <c r="O20">
        <v>9.3747450175164482E-6</v>
      </c>
      <c r="P20">
        <v>9.3747450175164482E-6</v>
      </c>
      <c r="Q20">
        <v>9.3747450175164482E-6</v>
      </c>
      <c r="R20">
        <v>9.3747450175164482E-6</v>
      </c>
      <c r="S20">
        <v>9.3747450175164482E-6</v>
      </c>
      <c r="T20">
        <v>9.3747450175164482E-6</v>
      </c>
      <c r="U20">
        <v>9.3747450175164482E-6</v>
      </c>
      <c r="V20">
        <v>9.3747450175164482E-6</v>
      </c>
      <c r="W20">
        <v>9.3747450175164482E-6</v>
      </c>
      <c r="X20">
        <v>9.3747450175164482E-6</v>
      </c>
      <c r="Y20">
        <v>9.3747450175164482E-6</v>
      </c>
      <c r="Z20">
        <v>9.3747450175164482E-6</v>
      </c>
      <c r="AA20">
        <v>9.3747450175164482E-6</v>
      </c>
      <c r="AB20">
        <v>9.3747450175164482E-6</v>
      </c>
      <c r="AC20">
        <v>9.3747450175164482E-6</v>
      </c>
      <c r="AD20">
        <v>9.3747450175164482E-6</v>
      </c>
      <c r="AE20">
        <v>9.3747450175164482E-6</v>
      </c>
    </row>
    <row r="21" spans="1:51" s="4" customFormat="1" x14ac:dyDescent="0.35">
      <c r="A21" s="6" t="s">
        <v>31</v>
      </c>
    </row>
    <row r="22" spans="1:51" x14ac:dyDescent="0.35">
      <c r="A22" t="s">
        <v>29</v>
      </c>
      <c r="B22" s="1">
        <v>2021</v>
      </c>
      <c r="C22" s="1">
        <v>2022</v>
      </c>
      <c r="D22" s="1">
        <v>2023</v>
      </c>
      <c r="E22" s="1">
        <v>2024</v>
      </c>
      <c r="F22" s="1">
        <v>2025</v>
      </c>
      <c r="G22" s="1">
        <v>2026</v>
      </c>
      <c r="H22" s="1">
        <v>2027</v>
      </c>
      <c r="I22" s="1">
        <v>2028</v>
      </c>
      <c r="J22" s="1">
        <v>2029</v>
      </c>
      <c r="K22" s="1">
        <v>2030</v>
      </c>
      <c r="L22" s="1">
        <v>2031</v>
      </c>
      <c r="M22" s="1">
        <v>2032</v>
      </c>
      <c r="N22" s="1">
        <v>2033</v>
      </c>
      <c r="O22" s="1">
        <v>2034</v>
      </c>
      <c r="P22" s="1">
        <v>2035</v>
      </c>
      <c r="Q22" s="1">
        <v>2036</v>
      </c>
      <c r="R22" s="1">
        <v>2037</v>
      </c>
      <c r="S22" s="1">
        <v>2038</v>
      </c>
      <c r="T22" s="1">
        <v>2039</v>
      </c>
      <c r="U22" s="1">
        <v>2040</v>
      </c>
      <c r="V22" s="1">
        <v>2041</v>
      </c>
      <c r="W22" s="1">
        <v>2042</v>
      </c>
      <c r="X22" s="1">
        <v>2043</v>
      </c>
      <c r="Y22" s="1">
        <v>2044</v>
      </c>
      <c r="Z22" s="1">
        <v>2045</v>
      </c>
      <c r="AA22" s="1">
        <v>2046</v>
      </c>
      <c r="AB22" s="1">
        <v>2047</v>
      </c>
      <c r="AC22" s="1">
        <v>2048</v>
      </c>
      <c r="AD22" s="1">
        <v>2049</v>
      </c>
      <c r="AE22" s="1">
        <v>2050</v>
      </c>
      <c r="AF22" s="1">
        <v>2051</v>
      </c>
      <c r="AG22" s="1">
        <v>2052</v>
      </c>
      <c r="AH22" s="1">
        <v>2053</v>
      </c>
      <c r="AI22" s="1">
        <v>2054</v>
      </c>
      <c r="AJ22" s="1">
        <v>2055</v>
      </c>
      <c r="AK22" s="1">
        <v>2056</v>
      </c>
      <c r="AL22" s="1">
        <v>2057</v>
      </c>
      <c r="AM22" s="1">
        <v>2058</v>
      </c>
      <c r="AN22" s="1">
        <v>2059</v>
      </c>
      <c r="AO22" s="1">
        <v>2060</v>
      </c>
      <c r="AP22" s="1">
        <v>2061</v>
      </c>
      <c r="AQ22" s="1">
        <v>2062</v>
      </c>
      <c r="AR22" s="1">
        <v>2063</v>
      </c>
      <c r="AS22" s="1">
        <v>2064</v>
      </c>
      <c r="AT22" s="1">
        <v>2065</v>
      </c>
      <c r="AU22" s="1">
        <v>2066</v>
      </c>
      <c r="AV22" s="1">
        <v>2067</v>
      </c>
      <c r="AW22" s="1">
        <v>2068</v>
      </c>
      <c r="AX22" s="1">
        <v>2069</v>
      </c>
      <c r="AY22" s="1">
        <v>2070</v>
      </c>
    </row>
    <row r="23" spans="1:51" x14ac:dyDescent="0.35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51" x14ac:dyDescent="0.35">
      <c r="A24" t="s">
        <v>52</v>
      </c>
      <c r="B24">
        <v>7.4000000000000001E-7</v>
      </c>
      <c r="C24">
        <v>7.4000000000000001E-7</v>
      </c>
      <c r="D24">
        <v>7.4000000000000001E-7</v>
      </c>
      <c r="E24">
        <v>7.4000000000000001E-7</v>
      </c>
      <c r="F24">
        <v>7.4000000000000001E-7</v>
      </c>
      <c r="G24">
        <v>7.4000000000000001E-7</v>
      </c>
      <c r="H24">
        <v>7.4000000000000001E-7</v>
      </c>
      <c r="I24">
        <v>7.4000000000000001E-7</v>
      </c>
      <c r="J24">
        <v>7.5088235294117644E-7</v>
      </c>
      <c r="K24">
        <v>7.5088235294117644E-7</v>
      </c>
      <c r="L24">
        <v>7.5088235294117644E-7</v>
      </c>
      <c r="M24">
        <v>7.5088235294117644E-7</v>
      </c>
      <c r="N24">
        <v>7.5088235294117644E-7</v>
      </c>
      <c r="O24">
        <v>7.5088235294117644E-7</v>
      </c>
      <c r="P24">
        <v>7.5088235294117644E-7</v>
      </c>
      <c r="Q24">
        <v>7.6176470588235288E-7</v>
      </c>
      <c r="R24">
        <v>7.6176470588235288E-7</v>
      </c>
      <c r="S24">
        <v>7.6176470588235288E-7</v>
      </c>
      <c r="T24">
        <v>7.6176470588235288E-7</v>
      </c>
      <c r="U24">
        <v>7.6176470588235288E-7</v>
      </c>
      <c r="V24">
        <v>7.6176470588235288E-7</v>
      </c>
      <c r="W24">
        <v>7.7264705882352931E-7</v>
      </c>
      <c r="X24">
        <v>7.7264705882352931E-7</v>
      </c>
      <c r="Y24">
        <v>7.7264705882352931E-7</v>
      </c>
      <c r="Z24">
        <v>7.7264705882352931E-7</v>
      </c>
      <c r="AA24">
        <v>7.7264705882352931E-7</v>
      </c>
      <c r="AB24">
        <v>7.8352941176470575E-7</v>
      </c>
      <c r="AC24">
        <v>7.8352941176470575E-7</v>
      </c>
      <c r="AD24">
        <v>7.8352941176470575E-7</v>
      </c>
      <c r="AE24">
        <v>7.8352941176470575E-7</v>
      </c>
    </row>
    <row r="25" spans="1:51" x14ac:dyDescent="0.35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51" x14ac:dyDescent="0.35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51" x14ac:dyDescent="0.35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51" x14ac:dyDescent="0.35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51" x14ac:dyDescent="0.35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51" x14ac:dyDescent="0.35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51" s="4" customFormat="1" x14ac:dyDescent="0.35">
      <c r="A31" s="6" t="s">
        <v>32</v>
      </c>
    </row>
    <row r="32" spans="1:51" x14ac:dyDescent="0.35">
      <c r="A32" t="s">
        <v>29</v>
      </c>
      <c r="B32" s="1">
        <v>2021</v>
      </c>
      <c r="C32" s="1">
        <v>2022</v>
      </c>
      <c r="D32" s="1">
        <v>2023</v>
      </c>
      <c r="E32" s="1">
        <v>2024</v>
      </c>
      <c r="F32" s="1">
        <v>2025</v>
      </c>
      <c r="G32" s="1">
        <v>2026</v>
      </c>
      <c r="H32" s="1">
        <v>2027</v>
      </c>
      <c r="I32" s="1">
        <v>2028</v>
      </c>
      <c r="J32" s="1">
        <v>2029</v>
      </c>
      <c r="K32" s="1">
        <v>2030</v>
      </c>
      <c r="L32" s="1">
        <v>2031</v>
      </c>
      <c r="M32" s="1">
        <v>2032</v>
      </c>
      <c r="N32" s="1">
        <v>2033</v>
      </c>
      <c r="O32" s="1">
        <v>2034</v>
      </c>
      <c r="P32" s="1">
        <v>2035</v>
      </c>
      <c r="Q32" s="1">
        <v>2036</v>
      </c>
      <c r="R32" s="1">
        <v>2037</v>
      </c>
      <c r="S32" s="1">
        <v>2038</v>
      </c>
      <c r="T32" s="1">
        <v>2039</v>
      </c>
      <c r="U32" s="1">
        <v>2040</v>
      </c>
      <c r="V32" s="1">
        <v>2041</v>
      </c>
      <c r="W32" s="1">
        <v>2042</v>
      </c>
      <c r="X32" s="1">
        <v>2043</v>
      </c>
      <c r="Y32" s="1">
        <v>2044</v>
      </c>
      <c r="Z32" s="1">
        <v>2045</v>
      </c>
      <c r="AA32" s="1">
        <v>2046</v>
      </c>
      <c r="AB32" s="1">
        <v>2047</v>
      </c>
      <c r="AC32" s="1">
        <v>2048</v>
      </c>
      <c r="AD32" s="1">
        <v>2049</v>
      </c>
      <c r="AE32" s="1">
        <v>2050</v>
      </c>
      <c r="AF32" s="1">
        <v>2051</v>
      </c>
      <c r="AG32" s="1">
        <v>2052</v>
      </c>
      <c r="AH32" s="1">
        <v>2053</v>
      </c>
      <c r="AI32" s="1">
        <v>2054</v>
      </c>
      <c r="AJ32" s="1">
        <v>2055</v>
      </c>
      <c r="AK32" s="1">
        <v>2056</v>
      </c>
      <c r="AL32" s="1">
        <v>2057</v>
      </c>
      <c r="AM32" s="1">
        <v>2058</v>
      </c>
      <c r="AN32" s="1">
        <v>2059</v>
      </c>
      <c r="AO32" s="1">
        <v>2060</v>
      </c>
      <c r="AP32" s="1">
        <v>2061</v>
      </c>
      <c r="AQ32" s="1">
        <v>2062</v>
      </c>
      <c r="AR32" s="1">
        <v>2063</v>
      </c>
      <c r="AS32" s="1">
        <v>2064</v>
      </c>
      <c r="AT32" s="1">
        <v>2065</v>
      </c>
      <c r="AU32" s="1">
        <v>2066</v>
      </c>
      <c r="AV32" s="1">
        <v>2067</v>
      </c>
      <c r="AW32" s="1">
        <v>2068</v>
      </c>
      <c r="AX32" s="1">
        <v>2069</v>
      </c>
      <c r="AY32" s="1">
        <v>2070</v>
      </c>
    </row>
    <row r="33" spans="1:51" x14ac:dyDescent="0.35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51" x14ac:dyDescent="0.35">
      <c r="A34" t="s">
        <v>52</v>
      </c>
      <c r="B34">
        <v>2.2777859199904897E-6</v>
      </c>
      <c r="C34">
        <v>2.2777859199904897E-6</v>
      </c>
      <c r="D34">
        <v>2.2777859199904897E-6</v>
      </c>
      <c r="E34">
        <v>2.2777859199904897E-6</v>
      </c>
      <c r="F34">
        <v>2.2777859199904897E-6</v>
      </c>
      <c r="G34">
        <v>2.2777859199904897E-6</v>
      </c>
      <c r="H34">
        <v>2.2777859199904897E-6</v>
      </c>
      <c r="I34">
        <v>2.2777859199904897E-6</v>
      </c>
      <c r="J34">
        <v>2.2777859199904897E-6</v>
      </c>
      <c r="K34">
        <v>2.2777859199904897E-6</v>
      </c>
      <c r="L34">
        <v>2.2777859199904897E-6</v>
      </c>
      <c r="M34">
        <v>2.2777859199904897E-6</v>
      </c>
      <c r="N34">
        <v>2.2777859199904897E-6</v>
      </c>
      <c r="O34">
        <v>2.2777859199904897E-6</v>
      </c>
      <c r="P34">
        <v>2.2777859199904897E-6</v>
      </c>
      <c r="Q34">
        <v>2.2777859199904897E-6</v>
      </c>
      <c r="R34">
        <v>2.2777859199904897E-6</v>
      </c>
      <c r="S34">
        <v>2.2777859199904897E-6</v>
      </c>
      <c r="T34">
        <v>2.2777859199904897E-6</v>
      </c>
      <c r="U34">
        <v>2.2777859199904897E-6</v>
      </c>
      <c r="V34">
        <v>2.2777859199904897E-6</v>
      </c>
      <c r="W34">
        <v>2.2777859199904897E-6</v>
      </c>
      <c r="X34">
        <v>2.2777859199904897E-6</v>
      </c>
      <c r="Y34">
        <v>2.2777859199904897E-6</v>
      </c>
      <c r="Z34">
        <v>2.2777859199904897E-6</v>
      </c>
      <c r="AA34">
        <v>2.2777859199904897E-6</v>
      </c>
      <c r="AB34">
        <v>2.2777859199904897E-6</v>
      </c>
      <c r="AC34">
        <v>2.2777859199904897E-6</v>
      </c>
      <c r="AD34">
        <v>2.2777859199904897E-6</v>
      </c>
      <c r="AE34">
        <v>2.2777859199904897E-6</v>
      </c>
    </row>
    <row r="35" spans="1:51" x14ac:dyDescent="0.35">
      <c r="A35" t="s">
        <v>53</v>
      </c>
      <c r="B35">
        <v>2.2777859199904897E-6</v>
      </c>
      <c r="C35">
        <v>2.2777859199904897E-6</v>
      </c>
      <c r="D35">
        <v>2.2777859199904897E-6</v>
      </c>
      <c r="E35">
        <v>2.2777859199904897E-6</v>
      </c>
      <c r="F35">
        <v>2.2777859199904897E-6</v>
      </c>
      <c r="G35">
        <v>2.2777859199904897E-6</v>
      </c>
      <c r="H35">
        <v>2.2777859199904897E-6</v>
      </c>
      <c r="I35">
        <v>2.2777859199904897E-6</v>
      </c>
      <c r="J35">
        <v>2.2777859199904897E-6</v>
      </c>
      <c r="K35">
        <v>2.2777859199904897E-6</v>
      </c>
      <c r="L35">
        <v>2.2777859199904897E-6</v>
      </c>
      <c r="M35">
        <v>2.2777859199904897E-6</v>
      </c>
      <c r="N35">
        <v>2.2777859199904897E-6</v>
      </c>
      <c r="O35">
        <v>2.2777859199904897E-6</v>
      </c>
      <c r="P35">
        <v>2.2777859199904897E-6</v>
      </c>
      <c r="Q35">
        <v>2.2777859199904897E-6</v>
      </c>
      <c r="R35">
        <v>2.2777859199904897E-6</v>
      </c>
      <c r="S35">
        <v>2.2777859199904897E-6</v>
      </c>
      <c r="T35">
        <v>2.2777859199904897E-6</v>
      </c>
      <c r="U35">
        <v>2.2777859199904897E-6</v>
      </c>
      <c r="V35">
        <v>2.2777859199904897E-6</v>
      </c>
      <c r="W35">
        <v>2.2777859199904897E-6</v>
      </c>
      <c r="X35">
        <v>2.2777859199904897E-6</v>
      </c>
      <c r="Y35">
        <v>2.2777859199904897E-6</v>
      </c>
      <c r="Z35">
        <v>2.2777859199904897E-6</v>
      </c>
      <c r="AA35">
        <v>2.2777859199904897E-6</v>
      </c>
      <c r="AB35">
        <v>2.2777859199904897E-6</v>
      </c>
      <c r="AC35">
        <v>2.2777859199904897E-6</v>
      </c>
      <c r="AD35">
        <v>2.2777859199904897E-6</v>
      </c>
      <c r="AE35">
        <v>2.2777859199904897E-6</v>
      </c>
    </row>
    <row r="36" spans="1:51" x14ac:dyDescent="0.35">
      <c r="A36" t="s">
        <v>54</v>
      </c>
      <c r="B36">
        <v>2.2777859199904897E-6</v>
      </c>
      <c r="C36">
        <v>2.2777859199904897E-6</v>
      </c>
      <c r="D36">
        <v>2.2777859199904897E-6</v>
      </c>
      <c r="E36">
        <v>2.2777859199904897E-6</v>
      </c>
      <c r="F36">
        <v>2.2777859199904897E-6</v>
      </c>
      <c r="G36">
        <v>2.2777859199904897E-6</v>
      </c>
      <c r="H36">
        <v>2.2777859199904897E-6</v>
      </c>
      <c r="I36">
        <v>2.2777859199904897E-6</v>
      </c>
      <c r="J36">
        <v>2.2777859199904897E-6</v>
      </c>
      <c r="K36">
        <v>2.2777859199904897E-6</v>
      </c>
      <c r="L36">
        <v>2.2777859199904897E-6</v>
      </c>
      <c r="M36">
        <v>2.2777859199904897E-6</v>
      </c>
      <c r="N36">
        <v>2.2777859199904897E-6</v>
      </c>
      <c r="O36">
        <v>2.2777859199904897E-6</v>
      </c>
      <c r="P36">
        <v>2.2777859199904897E-6</v>
      </c>
      <c r="Q36">
        <v>2.2777859199904897E-6</v>
      </c>
      <c r="R36">
        <v>2.2777859199904897E-6</v>
      </c>
      <c r="S36">
        <v>2.2777859199904897E-6</v>
      </c>
      <c r="T36">
        <v>2.2777859199904897E-6</v>
      </c>
      <c r="U36">
        <v>2.2777859199904897E-6</v>
      </c>
      <c r="V36">
        <v>2.2777859199904897E-6</v>
      </c>
      <c r="W36">
        <v>2.2777859199904897E-6</v>
      </c>
      <c r="X36">
        <v>2.2777859199904897E-6</v>
      </c>
      <c r="Y36">
        <v>2.2777859199904897E-6</v>
      </c>
      <c r="Z36">
        <v>2.2777859199904897E-6</v>
      </c>
      <c r="AA36">
        <v>2.2777859199904897E-6</v>
      </c>
      <c r="AB36">
        <v>2.2777859199904897E-6</v>
      </c>
      <c r="AC36">
        <v>2.2777859199904897E-6</v>
      </c>
      <c r="AD36">
        <v>2.2777859199904897E-6</v>
      </c>
      <c r="AE36">
        <v>2.2777859199904897E-6</v>
      </c>
    </row>
    <row r="37" spans="1:51" x14ac:dyDescent="0.35">
      <c r="A37" t="s">
        <v>55</v>
      </c>
      <c r="B37">
        <v>2.2777859199904897E-6</v>
      </c>
      <c r="C37">
        <v>2.2777859199904897E-6</v>
      </c>
      <c r="D37">
        <v>2.2777859199904897E-6</v>
      </c>
      <c r="E37">
        <v>2.2777859199904897E-6</v>
      </c>
      <c r="F37">
        <v>2.2777859199904897E-6</v>
      </c>
      <c r="G37">
        <v>2.2777859199904897E-6</v>
      </c>
      <c r="H37">
        <v>2.2777859199904897E-6</v>
      </c>
      <c r="I37">
        <v>2.2777859199904897E-6</v>
      </c>
      <c r="J37">
        <v>2.2777859199904897E-6</v>
      </c>
      <c r="K37">
        <v>2.2777859199904897E-6</v>
      </c>
      <c r="L37">
        <v>2.2777859199904897E-6</v>
      </c>
      <c r="M37">
        <v>2.2777859199904897E-6</v>
      </c>
      <c r="N37">
        <v>2.2777859199904897E-6</v>
      </c>
      <c r="O37">
        <v>2.2777859199904897E-6</v>
      </c>
      <c r="P37">
        <v>2.2777859199904897E-6</v>
      </c>
      <c r="Q37">
        <v>2.2777859199904897E-6</v>
      </c>
      <c r="R37">
        <v>2.2777859199904897E-6</v>
      </c>
      <c r="S37">
        <v>2.2777859199904897E-6</v>
      </c>
      <c r="T37">
        <v>2.2777859199904897E-6</v>
      </c>
      <c r="U37">
        <v>2.2777859199904897E-6</v>
      </c>
      <c r="V37">
        <v>2.2777859199904897E-6</v>
      </c>
      <c r="W37">
        <v>2.2777859199904897E-6</v>
      </c>
      <c r="X37">
        <v>2.2777859199904897E-6</v>
      </c>
      <c r="Y37">
        <v>2.2777859199904897E-6</v>
      </c>
      <c r="Z37">
        <v>2.2777859199904897E-6</v>
      </c>
      <c r="AA37">
        <v>2.2777859199904897E-6</v>
      </c>
      <c r="AB37">
        <v>2.2777859199904897E-6</v>
      </c>
      <c r="AC37">
        <v>2.2777859199904897E-6</v>
      </c>
      <c r="AD37">
        <v>2.2777859199904897E-6</v>
      </c>
      <c r="AE37">
        <v>2.2777859199904897E-6</v>
      </c>
    </row>
    <row r="38" spans="1:51" x14ac:dyDescent="0.35">
      <c r="A38" t="s">
        <v>56</v>
      </c>
      <c r="B38">
        <v>2.2777859199904897E-6</v>
      </c>
      <c r="C38">
        <v>2.2777859199904897E-6</v>
      </c>
      <c r="D38">
        <v>2.2777859199904897E-6</v>
      </c>
      <c r="E38">
        <v>2.2777859199904897E-6</v>
      </c>
      <c r="F38">
        <v>2.2777859199904897E-6</v>
      </c>
      <c r="G38">
        <v>2.2777859199904897E-6</v>
      </c>
      <c r="H38">
        <v>2.2777859199904897E-6</v>
      </c>
      <c r="I38">
        <v>2.2777859199904897E-6</v>
      </c>
      <c r="J38">
        <v>2.2777859199904897E-6</v>
      </c>
      <c r="K38">
        <v>2.2777859199904897E-6</v>
      </c>
      <c r="L38">
        <v>2.2777859199904897E-6</v>
      </c>
      <c r="M38">
        <v>2.2777859199904897E-6</v>
      </c>
      <c r="N38">
        <v>2.2777859199904897E-6</v>
      </c>
      <c r="O38">
        <v>2.2777859199904897E-6</v>
      </c>
      <c r="P38">
        <v>2.2777859199904897E-6</v>
      </c>
      <c r="Q38">
        <v>2.2777859199904897E-6</v>
      </c>
      <c r="R38">
        <v>2.2777859199904897E-6</v>
      </c>
      <c r="S38">
        <v>2.2777859199904897E-6</v>
      </c>
      <c r="T38">
        <v>2.2777859199904897E-6</v>
      </c>
      <c r="U38">
        <v>2.2777859199904897E-6</v>
      </c>
      <c r="V38">
        <v>2.2777859199904897E-6</v>
      </c>
      <c r="W38">
        <v>2.2777859199904897E-6</v>
      </c>
      <c r="X38">
        <v>2.2777859199904897E-6</v>
      </c>
      <c r="Y38">
        <v>2.2777859199904897E-6</v>
      </c>
      <c r="Z38">
        <v>2.2777859199904897E-6</v>
      </c>
      <c r="AA38">
        <v>2.2777859199904897E-6</v>
      </c>
      <c r="AB38">
        <v>2.2777859199904897E-6</v>
      </c>
      <c r="AC38">
        <v>2.2777859199904897E-6</v>
      </c>
      <c r="AD38">
        <v>2.2777859199904897E-6</v>
      </c>
      <c r="AE38">
        <v>2.2777859199904897E-6</v>
      </c>
    </row>
    <row r="39" spans="1:51" x14ac:dyDescent="0.35">
      <c r="A39" t="s">
        <v>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51" x14ac:dyDescent="0.35">
      <c r="A40" t="s">
        <v>58</v>
      </c>
      <c r="B40">
        <v>2.2777859199904897E-6</v>
      </c>
      <c r="C40">
        <v>2.2777859199904897E-6</v>
      </c>
      <c r="D40">
        <v>2.2777859199904897E-6</v>
      </c>
      <c r="E40">
        <v>2.2777859199904897E-6</v>
      </c>
      <c r="F40">
        <v>2.2777859199904897E-6</v>
      </c>
      <c r="G40">
        <v>2.2777859199904897E-6</v>
      </c>
      <c r="H40">
        <v>2.2777859199904897E-6</v>
      </c>
      <c r="I40">
        <v>2.2777859199904897E-6</v>
      </c>
      <c r="J40">
        <v>2.2777859199904897E-6</v>
      </c>
      <c r="K40">
        <v>2.2777859199904897E-6</v>
      </c>
      <c r="L40">
        <v>2.2777859199904897E-6</v>
      </c>
      <c r="M40">
        <v>2.2777859199904897E-6</v>
      </c>
      <c r="N40">
        <v>2.2777859199904897E-6</v>
      </c>
      <c r="O40">
        <v>2.2777859199904897E-6</v>
      </c>
      <c r="P40">
        <v>2.2777859199904897E-6</v>
      </c>
      <c r="Q40">
        <v>2.2777859199904897E-6</v>
      </c>
      <c r="R40">
        <v>2.2777859199904897E-6</v>
      </c>
      <c r="S40">
        <v>2.2777859199904897E-6</v>
      </c>
      <c r="T40">
        <v>2.2777859199904897E-6</v>
      </c>
      <c r="U40">
        <v>2.2777859199904897E-6</v>
      </c>
      <c r="V40">
        <v>2.2777859199904897E-6</v>
      </c>
      <c r="W40">
        <v>2.2777859199904897E-6</v>
      </c>
      <c r="X40">
        <v>2.2777859199904897E-6</v>
      </c>
      <c r="Y40">
        <v>2.2777859199904897E-6</v>
      </c>
      <c r="Z40">
        <v>2.2777859199904897E-6</v>
      </c>
      <c r="AA40">
        <v>2.2777859199904897E-6</v>
      </c>
      <c r="AB40">
        <v>2.2777859199904897E-6</v>
      </c>
      <c r="AC40">
        <v>2.2777859199904897E-6</v>
      </c>
      <c r="AD40">
        <v>2.2777859199904897E-6</v>
      </c>
      <c r="AE40">
        <v>2.2777859199904897E-6</v>
      </c>
    </row>
    <row r="41" spans="1:51" s="4" customFormat="1" x14ac:dyDescent="0.35">
      <c r="A41" s="6" t="s">
        <v>33</v>
      </c>
    </row>
    <row r="42" spans="1:51" x14ac:dyDescent="0.35">
      <c r="A42" t="s">
        <v>29</v>
      </c>
      <c r="B42" s="1">
        <v>2021</v>
      </c>
      <c r="C42" s="1">
        <v>2022</v>
      </c>
      <c r="D42" s="1">
        <v>2023</v>
      </c>
      <c r="E42" s="1">
        <v>2024</v>
      </c>
      <c r="F42" s="1">
        <v>2025</v>
      </c>
      <c r="G42" s="1">
        <v>2026</v>
      </c>
      <c r="H42" s="1">
        <v>2027</v>
      </c>
      <c r="I42" s="1">
        <v>2028</v>
      </c>
      <c r="J42" s="1">
        <v>2029</v>
      </c>
      <c r="K42" s="1">
        <v>2030</v>
      </c>
      <c r="L42" s="1">
        <v>2031</v>
      </c>
      <c r="M42" s="1">
        <v>2032</v>
      </c>
      <c r="N42" s="1">
        <v>2033</v>
      </c>
      <c r="O42" s="1">
        <v>2034</v>
      </c>
      <c r="P42" s="1">
        <v>2035</v>
      </c>
      <c r="Q42" s="1">
        <v>2036</v>
      </c>
      <c r="R42" s="1">
        <v>2037</v>
      </c>
      <c r="S42" s="1">
        <v>2038</v>
      </c>
      <c r="T42" s="1">
        <v>2039</v>
      </c>
      <c r="U42" s="1">
        <v>2040</v>
      </c>
      <c r="V42" s="1">
        <v>2041</v>
      </c>
      <c r="W42" s="1">
        <v>2042</v>
      </c>
      <c r="X42" s="1">
        <v>2043</v>
      </c>
      <c r="Y42" s="1">
        <v>2044</v>
      </c>
      <c r="Z42" s="1">
        <v>2045</v>
      </c>
      <c r="AA42" s="1">
        <v>2046</v>
      </c>
      <c r="AB42" s="1">
        <v>2047</v>
      </c>
      <c r="AC42" s="1">
        <v>2048</v>
      </c>
      <c r="AD42" s="1">
        <v>2049</v>
      </c>
      <c r="AE42" s="1">
        <v>2050</v>
      </c>
      <c r="AF42" s="1">
        <v>2051</v>
      </c>
      <c r="AG42" s="1">
        <v>2052</v>
      </c>
      <c r="AH42" s="1">
        <v>2053</v>
      </c>
      <c r="AI42" s="1">
        <v>2054</v>
      </c>
      <c r="AJ42" s="1">
        <v>2055</v>
      </c>
      <c r="AK42" s="1">
        <v>2056</v>
      </c>
      <c r="AL42" s="1">
        <v>2057</v>
      </c>
      <c r="AM42" s="1">
        <v>2058</v>
      </c>
      <c r="AN42" s="1">
        <v>2059</v>
      </c>
      <c r="AO42" s="1">
        <v>2060</v>
      </c>
      <c r="AP42" s="1">
        <v>2061</v>
      </c>
      <c r="AQ42" s="1">
        <v>2062</v>
      </c>
      <c r="AR42" s="1">
        <v>2063</v>
      </c>
      <c r="AS42" s="1">
        <v>2064</v>
      </c>
      <c r="AT42" s="1">
        <v>2065</v>
      </c>
      <c r="AU42" s="1">
        <v>2066</v>
      </c>
      <c r="AV42" s="1">
        <v>2067</v>
      </c>
      <c r="AW42" s="1">
        <v>2068</v>
      </c>
      <c r="AX42" s="1">
        <v>2069</v>
      </c>
      <c r="AY42" s="1">
        <v>2070</v>
      </c>
    </row>
    <row r="43" spans="1:51" x14ac:dyDescent="0.35">
      <c r="A43" t="s">
        <v>51</v>
      </c>
      <c r="B43">
        <v>1.2626852772965708E-5</v>
      </c>
      <c r="C43">
        <v>1.2626852772965708E-5</v>
      </c>
      <c r="D43">
        <v>1.2753408928321174E-5</v>
      </c>
      <c r="E43">
        <v>1.2626852772965708E-5</v>
      </c>
      <c r="F43">
        <v>1.2644110430514179E-5</v>
      </c>
      <c r="G43">
        <v>1.2644110430514179E-5</v>
      </c>
      <c r="H43">
        <v>1.2592337457868763E-5</v>
      </c>
      <c r="I43">
        <v>1.2425513434900197E-5</v>
      </c>
      <c r="J43">
        <v>1.2569327247804134E-5</v>
      </c>
      <c r="K43">
        <v>1.2672873193094968E-5</v>
      </c>
      <c r="L43">
        <v>1.282819211103122E-5</v>
      </c>
      <c r="M43">
        <v>1.289147018870895E-5</v>
      </c>
      <c r="N43">
        <v>1.3064046764193679E-5</v>
      </c>
      <c r="O43">
        <v>1.3466725440324703E-5</v>
      </c>
      <c r="P43">
        <v>1.3558766280583223E-5</v>
      </c>
      <c r="Q43">
        <v>1.3679569883422532E-5</v>
      </c>
      <c r="R43">
        <v>1.3921177089101144E-5</v>
      </c>
      <c r="S43">
        <v>1.4145526637231285E-5</v>
      </c>
      <c r="T43">
        <v>1.4295093002651383E-5</v>
      </c>
      <c r="U43">
        <v>1.4467669578136108E-5</v>
      </c>
      <c r="V43">
        <v>1.4507937445749211E-5</v>
      </c>
      <c r="W43">
        <v>1.4669008916201619E-5</v>
      </c>
      <c r="X43">
        <v>1.4864595701750974E-5</v>
      </c>
      <c r="Y43">
        <v>1.4916368674396393E-5</v>
      </c>
      <c r="Z43">
        <v>1.5025667172203384E-5</v>
      </c>
      <c r="AA43">
        <v>1.5255769272849684E-5</v>
      </c>
      <c r="AB43">
        <v>1.5382325428205148E-5</v>
      </c>
      <c r="AC43">
        <v>1.5503129031044455E-5</v>
      </c>
      <c r="AD43">
        <v>1.5698715816593809E-5</v>
      </c>
      <c r="AE43">
        <v>1.575048878923923E-5</v>
      </c>
    </row>
    <row r="44" spans="1:51" x14ac:dyDescent="0.35">
      <c r="A44" t="s">
        <v>52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51" x14ac:dyDescent="0.35">
      <c r="A45" t="s">
        <v>53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51" x14ac:dyDescent="0.35">
      <c r="A46" t="s">
        <v>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51" x14ac:dyDescent="0.35">
      <c r="A47" t="s">
        <v>55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51" x14ac:dyDescent="0.35">
      <c r="A48" t="s">
        <v>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51" x14ac:dyDescent="0.35">
      <c r="A49" t="s">
        <v>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51" x14ac:dyDescent="0.35">
      <c r="A50" t="s">
        <v>58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51" s="4" customFormat="1" x14ac:dyDescent="0.35">
      <c r="A51" s="6" t="s">
        <v>34</v>
      </c>
    </row>
    <row r="52" spans="1:51" x14ac:dyDescent="0.35">
      <c r="A52" t="s">
        <v>29</v>
      </c>
      <c r="B52" s="1">
        <v>2021</v>
      </c>
      <c r="C52" s="1">
        <v>2022</v>
      </c>
      <c r="D52" s="1">
        <v>2023</v>
      </c>
      <c r="E52" s="1">
        <v>2024</v>
      </c>
      <c r="F52" s="1">
        <v>2025</v>
      </c>
      <c r="G52" s="1">
        <v>2026</v>
      </c>
      <c r="H52" s="1">
        <v>2027</v>
      </c>
      <c r="I52" s="1">
        <v>2028</v>
      </c>
      <c r="J52" s="1">
        <v>2029</v>
      </c>
      <c r="K52" s="1">
        <v>2030</v>
      </c>
      <c r="L52" s="1">
        <v>2031</v>
      </c>
      <c r="M52" s="1">
        <v>2032</v>
      </c>
      <c r="N52" s="1">
        <v>2033</v>
      </c>
      <c r="O52" s="1">
        <v>2034</v>
      </c>
      <c r="P52" s="1">
        <v>2035</v>
      </c>
      <c r="Q52" s="1">
        <v>2036</v>
      </c>
      <c r="R52" s="1">
        <v>2037</v>
      </c>
      <c r="S52" s="1">
        <v>2038</v>
      </c>
      <c r="T52" s="1">
        <v>2039</v>
      </c>
      <c r="U52" s="1">
        <v>2040</v>
      </c>
      <c r="V52" s="1">
        <v>2041</v>
      </c>
      <c r="W52" s="1">
        <v>2042</v>
      </c>
      <c r="X52" s="1">
        <v>2043</v>
      </c>
      <c r="Y52" s="1">
        <v>2044</v>
      </c>
      <c r="Z52" s="1">
        <v>2045</v>
      </c>
      <c r="AA52" s="1">
        <v>2046</v>
      </c>
      <c r="AB52" s="1">
        <v>2047</v>
      </c>
      <c r="AC52" s="1">
        <v>2048</v>
      </c>
      <c r="AD52" s="1">
        <v>2049</v>
      </c>
      <c r="AE52" s="1">
        <v>2050</v>
      </c>
      <c r="AF52" s="1">
        <v>2051</v>
      </c>
      <c r="AG52" s="1">
        <v>2052</v>
      </c>
      <c r="AH52" s="1">
        <v>2053</v>
      </c>
      <c r="AI52" s="1">
        <v>2054</v>
      </c>
      <c r="AJ52" s="1">
        <v>2055</v>
      </c>
      <c r="AK52" s="1">
        <v>2056</v>
      </c>
      <c r="AL52" s="1">
        <v>2057</v>
      </c>
      <c r="AM52" s="1">
        <v>2058</v>
      </c>
      <c r="AN52" s="1">
        <v>2059</v>
      </c>
      <c r="AO52" s="1">
        <v>2060</v>
      </c>
      <c r="AP52" s="1">
        <v>2061</v>
      </c>
      <c r="AQ52" s="1">
        <v>2062</v>
      </c>
      <c r="AR52" s="1">
        <v>2063</v>
      </c>
      <c r="AS52" s="1">
        <v>2064</v>
      </c>
      <c r="AT52" s="1">
        <v>2065</v>
      </c>
      <c r="AU52" s="1">
        <v>2066</v>
      </c>
      <c r="AV52" s="1">
        <v>2067</v>
      </c>
      <c r="AW52" s="1">
        <v>2068</v>
      </c>
      <c r="AX52" s="1">
        <v>2069</v>
      </c>
      <c r="AY52" s="1">
        <v>2070</v>
      </c>
    </row>
    <row r="53" spans="1:51" x14ac:dyDescent="0.35">
      <c r="A53" t="s">
        <v>51</v>
      </c>
      <c r="B53">
        <v>1.1113782217699962E-5</v>
      </c>
      <c r="C53">
        <v>1.1113782217699962E-5</v>
      </c>
      <c r="D53">
        <v>1.1514794978132433E-5</v>
      </c>
      <c r="E53">
        <v>1.1113782217699962E-5</v>
      </c>
      <c r="F53">
        <v>1.1176277712832297E-5</v>
      </c>
      <c r="G53">
        <v>1.1348140324446213E-5</v>
      </c>
      <c r="H53">
        <v>1.1415843777506241E-5</v>
      </c>
      <c r="I53">
        <v>1.1618954136686324E-5</v>
      </c>
      <c r="J53">
        <v>1.1691865547674048E-5</v>
      </c>
      <c r="K53">
        <v>1.190539182270952E-5</v>
      </c>
      <c r="L53">
        <v>1.1931431612347992E-5</v>
      </c>
      <c r="M53">
        <v>1.2118918097744993E-5</v>
      </c>
      <c r="N53">
        <v>1.2228285214226576E-5</v>
      </c>
      <c r="O53">
        <v>1.2483475152683603E-5</v>
      </c>
      <c r="P53">
        <v>1.2624090016731353E-5</v>
      </c>
      <c r="Q53">
        <v>1.2717833259429855E-5</v>
      </c>
      <c r="R53">
        <v>1.2920943618609938E-5</v>
      </c>
      <c r="S53">
        <v>1.3025102777163826E-5</v>
      </c>
      <c r="T53">
        <v>1.3139677851573106E-5</v>
      </c>
      <c r="U53">
        <v>1.3275084757693159E-5</v>
      </c>
      <c r="V53">
        <v>1.3363620042463967E-5</v>
      </c>
      <c r="W53">
        <v>1.3478195116873244E-5</v>
      </c>
      <c r="X53">
        <v>1.3592770191282522E-5</v>
      </c>
      <c r="Y53">
        <v>1.3592770191282522E-5</v>
      </c>
      <c r="Z53">
        <v>1.3681305476053327E-5</v>
      </c>
      <c r="AA53">
        <v>1.3884415835233412E-5</v>
      </c>
      <c r="AB53">
        <v>1.3967743162076523E-5</v>
      </c>
      <c r="AC53">
        <v>1.4077110278558108E-5</v>
      </c>
      <c r="AD53">
        <v>1.42698047218828E-5</v>
      </c>
      <c r="AE53">
        <v>1.4275012679810496E-5</v>
      </c>
    </row>
    <row r="54" spans="1:51" x14ac:dyDescent="0.35">
      <c r="A54" t="s">
        <v>52</v>
      </c>
      <c r="B54">
        <v>1.1113782217699962E-5</v>
      </c>
      <c r="C54">
        <v>1.1113782217699962E-5</v>
      </c>
      <c r="D54">
        <v>1.1421484306317653E-5</v>
      </c>
      <c r="E54">
        <v>1.1113782217699962E-5</v>
      </c>
      <c r="F54">
        <v>1.0727850784518452E-5</v>
      </c>
      <c r="G54">
        <v>1.0430579275175938E-5</v>
      </c>
      <c r="H54">
        <v>1.0081154869457545E-5</v>
      </c>
      <c r="I54">
        <v>9.8673279943164406E-6</v>
      </c>
      <c r="J54">
        <v>9.5231188782356331E-6</v>
      </c>
      <c r="K54">
        <v>9.6378552502625673E-6</v>
      </c>
      <c r="L54">
        <v>9.611778802074627E-6</v>
      </c>
      <c r="M54">
        <v>9.7682374912022669E-6</v>
      </c>
      <c r="N54">
        <v>9.8673279943164406E-6</v>
      </c>
      <c r="O54">
        <v>9.9194808906923177E-6</v>
      </c>
      <c r="P54">
        <v>1.0013356104168902E-5</v>
      </c>
      <c r="Q54">
        <v>1.0091585448732721E-5</v>
      </c>
      <c r="R54">
        <v>1.0284551165323475E-5</v>
      </c>
      <c r="S54">
        <v>1.0414933406263174E-5</v>
      </c>
      <c r="T54">
        <v>1.0540100357565287E-5</v>
      </c>
      <c r="U54">
        <v>1.068612846741775E-5</v>
      </c>
      <c r="V54">
        <v>1.075914252234398E-5</v>
      </c>
      <c r="W54">
        <v>1.0811295418719861E-5</v>
      </c>
      <c r="X54">
        <v>1.0936462370021971E-5</v>
      </c>
      <c r="Y54">
        <v>1.09677541078475E-5</v>
      </c>
      <c r="Z54">
        <v>1.107205990059926E-5</v>
      </c>
      <c r="AA54">
        <v>1.1270240906827604E-5</v>
      </c>
      <c r="AB54">
        <v>1.1348470251391423E-5</v>
      </c>
      <c r="AC54">
        <v>1.1447560754505593E-5</v>
      </c>
      <c r="AD54">
        <v>1.1656172340009112E-5</v>
      </c>
      <c r="AE54">
        <v>1.1703109946747403E-5</v>
      </c>
    </row>
    <row r="55" spans="1:51" x14ac:dyDescent="0.35">
      <c r="A55" t="s">
        <v>53</v>
      </c>
      <c r="B55">
        <v>7.4988858465143946E-6</v>
      </c>
      <c r="C55">
        <v>7.4988858465143946E-6</v>
      </c>
      <c r="D55">
        <v>7.7066014638591582E-6</v>
      </c>
      <c r="E55">
        <v>7.4988858465143946E-6</v>
      </c>
      <c r="F55">
        <v>7.6150657680801103E-6</v>
      </c>
      <c r="G55">
        <v>7.8192607817410663E-6</v>
      </c>
      <c r="H55">
        <v>7.9600849290934482E-6</v>
      </c>
      <c r="I55">
        <v>8.1924447722248812E-6</v>
      </c>
      <c r="J55">
        <v>8.3473513343125016E-6</v>
      </c>
      <c r="K55">
        <v>8.4740930669296466E-6</v>
      </c>
      <c r="L55">
        <v>8.4846548779810759E-6</v>
      </c>
      <c r="M55">
        <v>8.6043554032306008E-6</v>
      </c>
      <c r="N55">
        <v>8.6747674769067934E-6</v>
      </c>
      <c r="O55">
        <v>8.7170147211125089E-6</v>
      </c>
      <c r="P55">
        <v>8.812071020575366E-6</v>
      </c>
      <c r="Q55">
        <v>8.8719212832001293E-6</v>
      </c>
      <c r="R55">
        <v>8.984580601082034E-6</v>
      </c>
      <c r="S55">
        <v>9.0620338821258451E-6</v>
      </c>
      <c r="T55">
        <v>9.1359665594858452E-6</v>
      </c>
      <c r="U55">
        <v>9.2204610478972763E-6</v>
      </c>
      <c r="V55">
        <v>9.2767907068382287E-6</v>
      </c>
      <c r="W55">
        <v>9.3507233841982305E-6</v>
      </c>
      <c r="X55">
        <v>9.4281766652420432E-6</v>
      </c>
      <c r="Y55">
        <v>9.4316972689258507E-6</v>
      </c>
      <c r="Z55">
        <v>9.4985887389182341E-6</v>
      </c>
      <c r="AA55">
        <v>9.6288510752191866E-6</v>
      </c>
      <c r="AB55">
        <v>9.6851807341601407E-6</v>
      </c>
      <c r="AC55">
        <v>9.7555928078363316E-6</v>
      </c>
      <c r="AD55">
        <v>9.8788139367696674E-6</v>
      </c>
      <c r="AE55">
        <v>9.8964169551887151E-6</v>
      </c>
    </row>
    <row r="56" spans="1:51" x14ac:dyDescent="0.35">
      <c r="A56" t="s">
        <v>54</v>
      </c>
      <c r="B56">
        <v>1.1113782217699962E-5</v>
      </c>
      <c r="C56">
        <v>1.1113782217699962E-5</v>
      </c>
      <c r="D56">
        <v>1.1420476862622458E-5</v>
      </c>
      <c r="E56">
        <v>1.1113782217699962E-5</v>
      </c>
      <c r="F56">
        <v>1.0775898286853145E-5</v>
      </c>
      <c r="G56">
        <v>1.0562771499703612E-5</v>
      </c>
      <c r="H56">
        <v>1.0261275069101837E-5</v>
      </c>
      <c r="I56">
        <v>1.0089733996518067E-5</v>
      </c>
      <c r="J56">
        <v>9.7934357802370124E-6</v>
      </c>
      <c r="K56">
        <v>9.990967924424382E-6</v>
      </c>
      <c r="L56">
        <v>1.0011760781707264E-5</v>
      </c>
      <c r="M56">
        <v>1.0188500068611755E-5</v>
      </c>
      <c r="N56">
        <v>1.0297662569346878E-5</v>
      </c>
      <c r="O56">
        <v>1.0515987570817131E-5</v>
      </c>
      <c r="P56">
        <v>1.0656339357476577E-5</v>
      </c>
      <c r="Q56">
        <v>1.0744709000928824E-5</v>
      </c>
      <c r="R56">
        <v>1.0947439359436913E-5</v>
      </c>
      <c r="S56">
        <v>1.1056601860172041E-5</v>
      </c>
      <c r="T56">
        <v>1.1170962575227887E-5</v>
      </c>
      <c r="U56">
        <v>1.1306116147566613E-5</v>
      </c>
      <c r="V56">
        <v>1.1384089362377415E-5</v>
      </c>
      <c r="W56">
        <v>1.1493251863112543E-5</v>
      </c>
      <c r="X56">
        <v>1.1618009006809831E-5</v>
      </c>
      <c r="Y56">
        <v>1.1623207221130551E-5</v>
      </c>
      <c r="Z56">
        <v>1.1727171507544955E-5</v>
      </c>
      <c r="AA56">
        <v>1.1919505437411606E-5</v>
      </c>
      <c r="AB56">
        <v>1.2007875080863853E-5</v>
      </c>
      <c r="AC56">
        <v>1.2111839367278256E-5</v>
      </c>
      <c r="AD56">
        <v>1.2304173297144909E-5</v>
      </c>
      <c r="AE56">
        <v>1.2330164368748508E-5</v>
      </c>
    </row>
    <row r="57" spans="1:51" x14ac:dyDescent="0.35">
      <c r="A57" t="s">
        <v>55</v>
      </c>
      <c r="B57">
        <v>1.1113782217699962E-5</v>
      </c>
      <c r="C57">
        <v>1.1113782217699962E-5</v>
      </c>
      <c r="D57">
        <v>1.142162876739212E-5</v>
      </c>
      <c r="E57">
        <v>1.1113782217699962E-5</v>
      </c>
      <c r="F57">
        <v>1.0790282453616677E-5</v>
      </c>
      <c r="G57">
        <v>1.058679066653203E-5</v>
      </c>
      <c r="H57">
        <v>1.0289379593100621E-5</v>
      </c>
      <c r="I57">
        <v>1.0132847449189357E-5</v>
      </c>
      <c r="J57">
        <v>9.8354363757579482E-6</v>
      </c>
      <c r="K57">
        <v>1.004414590097297E-5</v>
      </c>
      <c r="L57">
        <v>1.0070234591624848E-5</v>
      </c>
      <c r="M57">
        <v>1.0252855426187992E-5</v>
      </c>
      <c r="N57">
        <v>1.0362427926925879E-5</v>
      </c>
      <c r="O57">
        <v>1.0430258522620762E-5</v>
      </c>
      <c r="P57">
        <v>1.0571137452140904E-5</v>
      </c>
      <c r="Q57">
        <v>1.0665056738487664E-5</v>
      </c>
      <c r="R57">
        <v>1.0852895311181184E-5</v>
      </c>
      <c r="S57">
        <v>1.0962467811919071E-5</v>
      </c>
      <c r="T57">
        <v>1.1082475788917708E-5</v>
      </c>
      <c r="U57">
        <v>1.1218136980307473E-5</v>
      </c>
      <c r="V57">
        <v>1.1296403052263108E-5</v>
      </c>
      <c r="W57">
        <v>1.1411193291131371E-5</v>
      </c>
      <c r="X57">
        <v>1.1531201268130009E-5</v>
      </c>
      <c r="Y57">
        <v>1.154163674439076E-5</v>
      </c>
      <c r="Z57">
        <v>1.1645991506998269E-5</v>
      </c>
      <c r="AA57">
        <v>1.1839047817822166E-5</v>
      </c>
      <c r="AB57">
        <v>1.1932967104168926E-5</v>
      </c>
      <c r="AC57">
        <v>1.2037321866776438E-5</v>
      </c>
      <c r="AD57">
        <v>1.2235595915730709E-5</v>
      </c>
      <c r="AE57">
        <v>1.2256466868252211E-5</v>
      </c>
    </row>
    <row r="58" spans="1:51" x14ac:dyDescent="0.35">
      <c r="A58" t="s">
        <v>56</v>
      </c>
      <c r="B58">
        <v>1.1113782217699962E-5</v>
      </c>
      <c r="C58">
        <v>1.1113782217699962E-5</v>
      </c>
      <c r="D58">
        <v>1.142162876739212E-5</v>
      </c>
      <c r="E58">
        <v>1.1113782217699962E-5</v>
      </c>
      <c r="F58">
        <v>1.0790282453616677E-5</v>
      </c>
      <c r="G58">
        <v>1.058679066653203E-5</v>
      </c>
      <c r="H58">
        <v>1.0289379593100621E-5</v>
      </c>
      <c r="I58">
        <v>1.0132847449189357E-5</v>
      </c>
      <c r="J58">
        <v>9.8354363757579482E-6</v>
      </c>
      <c r="K58">
        <v>1.004414590097297E-5</v>
      </c>
      <c r="L58">
        <v>1.0070234591624848E-5</v>
      </c>
      <c r="M58">
        <v>1.0252855426187992E-5</v>
      </c>
      <c r="N58">
        <v>1.0362427926925879E-5</v>
      </c>
      <c r="O58">
        <v>1.0430258522620762E-5</v>
      </c>
      <c r="P58">
        <v>1.0571137452140904E-5</v>
      </c>
      <c r="Q58">
        <v>1.0665056738487664E-5</v>
      </c>
      <c r="R58">
        <v>1.0852895311181184E-5</v>
      </c>
      <c r="S58">
        <v>1.0962467811919071E-5</v>
      </c>
      <c r="T58">
        <v>1.1082475788917708E-5</v>
      </c>
      <c r="U58">
        <v>1.1218136980307473E-5</v>
      </c>
      <c r="V58">
        <v>1.1296403052263108E-5</v>
      </c>
      <c r="W58">
        <v>1.1411193291131371E-5</v>
      </c>
      <c r="X58">
        <v>1.1531201268130009E-5</v>
      </c>
      <c r="Y58">
        <v>1.154163674439076E-5</v>
      </c>
      <c r="Z58">
        <v>1.1645991506998269E-5</v>
      </c>
      <c r="AA58">
        <v>1.1839047817822166E-5</v>
      </c>
      <c r="AB58">
        <v>1.1932967104168926E-5</v>
      </c>
      <c r="AC58">
        <v>1.2037321866776438E-5</v>
      </c>
      <c r="AD58">
        <v>1.2235595915730709E-5</v>
      </c>
      <c r="AE58">
        <v>1.2256466868252211E-5</v>
      </c>
    </row>
    <row r="59" spans="1:51" x14ac:dyDescent="0.35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51" x14ac:dyDescent="0.35">
      <c r="A60" t="s">
        <v>58</v>
      </c>
      <c r="B60">
        <v>1.1113782217699962E-5</v>
      </c>
      <c r="C60">
        <v>1.1113782217699962E-5</v>
      </c>
      <c r="D60">
        <v>1.142162876739212E-5</v>
      </c>
      <c r="E60">
        <v>1.1113782217699962E-5</v>
      </c>
      <c r="F60">
        <v>1.0790282453616677E-5</v>
      </c>
      <c r="G60">
        <v>1.058679066653203E-5</v>
      </c>
      <c r="H60">
        <v>1.0289379593100621E-5</v>
      </c>
      <c r="I60">
        <v>1.0132847449189357E-5</v>
      </c>
      <c r="J60">
        <v>9.8354363757579482E-6</v>
      </c>
      <c r="K60">
        <v>1.004414590097297E-5</v>
      </c>
      <c r="L60">
        <v>1.0070234591624848E-5</v>
      </c>
      <c r="M60">
        <v>1.0252855426187992E-5</v>
      </c>
      <c r="N60">
        <v>1.0362427926925879E-5</v>
      </c>
      <c r="O60">
        <v>1.0430258522620762E-5</v>
      </c>
      <c r="P60">
        <v>1.0571137452140904E-5</v>
      </c>
      <c r="Q60">
        <v>1.0665056738487664E-5</v>
      </c>
      <c r="R60">
        <v>1.0852895311181184E-5</v>
      </c>
      <c r="S60">
        <v>1.0962467811919071E-5</v>
      </c>
      <c r="T60">
        <v>1.1082475788917708E-5</v>
      </c>
      <c r="U60">
        <v>1.1218136980307473E-5</v>
      </c>
      <c r="V60">
        <v>1.1296403052263108E-5</v>
      </c>
      <c r="W60">
        <v>1.1411193291131371E-5</v>
      </c>
      <c r="X60">
        <v>1.1531201268130009E-5</v>
      </c>
      <c r="Y60">
        <v>1.154163674439076E-5</v>
      </c>
      <c r="Z60">
        <v>1.1645991506998269E-5</v>
      </c>
      <c r="AA60">
        <v>1.1839047817822166E-5</v>
      </c>
      <c r="AB60">
        <v>1.1932967104168926E-5</v>
      </c>
      <c r="AC60">
        <v>1.2037321866776438E-5</v>
      </c>
      <c r="AD60">
        <v>1.2235595915730709E-5</v>
      </c>
      <c r="AE60">
        <v>1.2256466868252211E-5</v>
      </c>
    </row>
    <row r="61" spans="1:51" s="4" customFormat="1" x14ac:dyDescent="0.35">
      <c r="A61" s="6" t="s">
        <v>35</v>
      </c>
    </row>
    <row r="62" spans="1:51" x14ac:dyDescent="0.35">
      <c r="A62" t="s">
        <v>29</v>
      </c>
      <c r="B62" s="1">
        <v>2021</v>
      </c>
      <c r="C62" s="1">
        <v>2022</v>
      </c>
      <c r="D62" s="1">
        <v>2023</v>
      </c>
      <c r="E62" s="1">
        <v>2024</v>
      </c>
      <c r="F62" s="1">
        <v>2025</v>
      </c>
      <c r="G62" s="1">
        <v>2026</v>
      </c>
      <c r="H62" s="1">
        <v>2027</v>
      </c>
      <c r="I62" s="1">
        <v>2028</v>
      </c>
      <c r="J62" s="1">
        <v>2029</v>
      </c>
      <c r="K62" s="1">
        <v>2030</v>
      </c>
      <c r="L62" s="1">
        <v>2031</v>
      </c>
      <c r="M62" s="1">
        <v>2032</v>
      </c>
      <c r="N62" s="1">
        <v>2033</v>
      </c>
      <c r="O62" s="1">
        <v>2034</v>
      </c>
      <c r="P62" s="1">
        <v>2035</v>
      </c>
      <c r="Q62" s="1">
        <v>2036</v>
      </c>
      <c r="R62" s="1">
        <v>2037</v>
      </c>
      <c r="S62" s="1">
        <v>2038</v>
      </c>
      <c r="T62" s="1">
        <v>2039</v>
      </c>
      <c r="U62" s="1">
        <v>2040</v>
      </c>
      <c r="V62" s="1">
        <v>2041</v>
      </c>
      <c r="W62" s="1">
        <v>2042</v>
      </c>
      <c r="X62" s="1">
        <v>2043</v>
      </c>
      <c r="Y62" s="1">
        <v>2044</v>
      </c>
      <c r="Z62" s="1">
        <v>2045</v>
      </c>
      <c r="AA62" s="1">
        <v>2046</v>
      </c>
      <c r="AB62" s="1">
        <v>2047</v>
      </c>
      <c r="AC62" s="1">
        <v>2048</v>
      </c>
      <c r="AD62" s="1">
        <v>2049</v>
      </c>
      <c r="AE62" s="1">
        <v>2050</v>
      </c>
      <c r="AF62" s="1">
        <v>2051</v>
      </c>
      <c r="AG62" s="1">
        <v>2052</v>
      </c>
      <c r="AH62" s="1">
        <v>2053</v>
      </c>
      <c r="AI62" s="1">
        <v>2054</v>
      </c>
      <c r="AJ62" s="1">
        <v>2055</v>
      </c>
      <c r="AK62" s="1">
        <v>2056</v>
      </c>
      <c r="AL62" s="1">
        <v>2057</v>
      </c>
      <c r="AM62" s="1">
        <v>2058</v>
      </c>
      <c r="AN62" s="1">
        <v>2059</v>
      </c>
      <c r="AO62" s="1">
        <v>2060</v>
      </c>
      <c r="AP62" s="1">
        <v>2061</v>
      </c>
      <c r="AQ62" s="1">
        <v>2062</v>
      </c>
      <c r="AR62" s="1">
        <v>2063</v>
      </c>
      <c r="AS62" s="1">
        <v>2064</v>
      </c>
      <c r="AT62" s="1">
        <v>2065</v>
      </c>
      <c r="AU62" s="1">
        <v>2066</v>
      </c>
      <c r="AV62" s="1">
        <v>2067</v>
      </c>
      <c r="AW62" s="1">
        <v>2068</v>
      </c>
      <c r="AX62" s="1">
        <v>2069</v>
      </c>
      <c r="AY62" s="1">
        <v>2070</v>
      </c>
    </row>
    <row r="63" spans="1:51" x14ac:dyDescent="0.35">
      <c r="A63" t="s">
        <v>51</v>
      </c>
      <c r="B63">
        <v>2.3729869830297023E-5</v>
      </c>
      <c r="C63">
        <v>2.3729869830297023E-5</v>
      </c>
      <c r="D63">
        <v>2.4023556338097729E-5</v>
      </c>
      <c r="E63">
        <v>2.3729869830297023E-5</v>
      </c>
      <c r="F63">
        <v>2.9280544827730363E-5</v>
      </c>
      <c r="G63">
        <v>2.7831691389246881E-5</v>
      </c>
      <c r="H63">
        <v>2.8017692844187332E-5</v>
      </c>
      <c r="I63">
        <v>2.7919797341587092E-5</v>
      </c>
      <c r="J63">
        <v>2.7273687024425537E-5</v>
      </c>
      <c r="K63">
        <v>2.7352003426505734E-5</v>
      </c>
      <c r="L63">
        <v>2.7567373532226247E-5</v>
      </c>
      <c r="M63">
        <v>2.7831691389246881E-5</v>
      </c>
      <c r="N63">
        <v>2.810579879652754E-5</v>
      </c>
      <c r="O63">
        <v>2.9427388081630713E-5</v>
      </c>
      <c r="P63">
        <v>2.975044324021149E-5</v>
      </c>
      <c r="Q63">
        <v>2.9907076044371873E-5</v>
      </c>
      <c r="R63">
        <v>3.0553186361533421E-5</v>
      </c>
      <c r="S63">
        <v>3.1032874324274571E-5</v>
      </c>
      <c r="T63">
        <v>3.2090145752357116E-5</v>
      </c>
      <c r="U63">
        <v>3.1972671149236824E-5</v>
      </c>
      <c r="V63">
        <v>3.2139093503657228E-5</v>
      </c>
      <c r="W63">
        <v>3.3059311228099448E-5</v>
      </c>
      <c r="X63">
        <v>3.4038266254101803E-5</v>
      </c>
      <c r="Y63">
        <v>3.4860588475943771E-5</v>
      </c>
      <c r="Z63">
        <v>3.5164064534004501E-5</v>
      </c>
      <c r="AA63">
        <v>3.6691234374568166E-5</v>
      </c>
      <c r="AB63">
        <v>3.7141553686529252E-5</v>
      </c>
      <c r="AC63">
        <v>3.7542925247190226E-5</v>
      </c>
      <c r="AD63">
        <v>3.795408635811121E-5</v>
      </c>
      <c r="AE63">
        <v>3.843377432085236E-5</v>
      </c>
    </row>
    <row r="64" spans="1:51" x14ac:dyDescent="0.35">
      <c r="A64" t="s">
        <v>52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55" x14ac:dyDescent="0.35">
      <c r="A65" t="s">
        <v>53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55" x14ac:dyDescent="0.35">
      <c r="A66" t="s">
        <v>54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55" x14ac:dyDescent="0.35">
      <c r="A67" t="s">
        <v>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55" x14ac:dyDescent="0.35">
      <c r="A68" t="s">
        <v>56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55" x14ac:dyDescent="0.35">
      <c r="A69" t="s">
        <v>57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55" x14ac:dyDescent="0.35">
      <c r="A70" t="s">
        <v>58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55" s="4" customFormat="1" x14ac:dyDescent="0.35">
      <c r="A71" s="6" t="s">
        <v>36</v>
      </c>
    </row>
    <row r="72" spans="1:55" x14ac:dyDescent="0.35">
      <c r="A72" t="s">
        <v>29</v>
      </c>
      <c r="B72" s="1">
        <v>2021</v>
      </c>
      <c r="C72" s="1">
        <v>2022</v>
      </c>
      <c r="D72" s="1">
        <v>2023</v>
      </c>
      <c r="E72" s="1">
        <v>2024</v>
      </c>
      <c r="F72" s="1">
        <v>2025</v>
      </c>
      <c r="G72" s="1">
        <v>2026</v>
      </c>
      <c r="H72" s="1">
        <v>2027</v>
      </c>
      <c r="I72" s="1">
        <v>2028</v>
      </c>
      <c r="J72" s="1">
        <v>2029</v>
      </c>
      <c r="K72" s="1">
        <v>2030</v>
      </c>
      <c r="L72" s="1">
        <v>2031</v>
      </c>
      <c r="M72" s="1">
        <v>2032</v>
      </c>
      <c r="N72" s="1">
        <v>2033</v>
      </c>
      <c r="O72" s="1">
        <v>2034</v>
      </c>
      <c r="P72" s="1">
        <v>2035</v>
      </c>
      <c r="Q72" s="1">
        <v>2036</v>
      </c>
      <c r="R72" s="1">
        <v>2037</v>
      </c>
      <c r="S72" s="1">
        <v>2038</v>
      </c>
      <c r="T72" s="1">
        <v>2039</v>
      </c>
      <c r="U72" s="1">
        <v>2040</v>
      </c>
      <c r="V72" s="1">
        <v>2041</v>
      </c>
      <c r="W72" s="1">
        <v>2042</v>
      </c>
      <c r="X72" s="1">
        <v>2043</v>
      </c>
      <c r="Y72" s="1">
        <v>2044</v>
      </c>
      <c r="Z72" s="1">
        <v>2045</v>
      </c>
      <c r="AA72" s="1">
        <v>2046</v>
      </c>
      <c r="AB72" s="1">
        <v>2047</v>
      </c>
      <c r="AC72" s="1">
        <v>2048</v>
      </c>
      <c r="AD72" s="1">
        <v>2049</v>
      </c>
      <c r="AE72" s="1">
        <v>2050</v>
      </c>
      <c r="AF72" s="1">
        <v>2051</v>
      </c>
      <c r="AG72" s="1">
        <v>2052</v>
      </c>
      <c r="AH72" s="1">
        <v>2053</v>
      </c>
      <c r="AI72" s="1">
        <v>2054</v>
      </c>
      <c r="AJ72" s="1">
        <v>2055</v>
      </c>
      <c r="AK72" s="1">
        <v>2056</v>
      </c>
      <c r="AL72" s="1">
        <v>2057</v>
      </c>
      <c r="AM72" s="1">
        <v>2058</v>
      </c>
      <c r="AN72" s="1">
        <v>2059</v>
      </c>
      <c r="AO72" s="1">
        <v>2060</v>
      </c>
      <c r="AP72" s="1">
        <v>2061</v>
      </c>
      <c r="AQ72" s="1">
        <v>2062</v>
      </c>
      <c r="AR72" s="1">
        <v>2063</v>
      </c>
      <c r="AS72" s="1">
        <v>2064</v>
      </c>
      <c r="AT72" s="1">
        <v>2065</v>
      </c>
      <c r="AU72" s="1">
        <v>2066</v>
      </c>
      <c r="AV72" s="1">
        <v>2067</v>
      </c>
      <c r="AW72" s="1">
        <v>2068</v>
      </c>
      <c r="AX72" s="1">
        <v>2069</v>
      </c>
      <c r="AY72" s="1">
        <v>2070</v>
      </c>
      <c r="AZ72" s="1"/>
      <c r="BA72" s="109"/>
      <c r="BB72" s="109"/>
      <c r="BC72" s="109"/>
    </row>
    <row r="73" spans="1:55" x14ac:dyDescent="0.35">
      <c r="A73" t="s">
        <v>51</v>
      </c>
      <c r="B73">
        <v>1.8434124286213794E-5</v>
      </c>
      <c r="C73">
        <v>1.8434124286213794E-5</v>
      </c>
      <c r="D73">
        <v>1.9099273100664805E-5</v>
      </c>
      <c r="E73">
        <v>1.8434124286213794E-5</v>
      </c>
      <c r="F73">
        <v>1.8537783841712656E-5</v>
      </c>
      <c r="G73">
        <v>1.8822847619334517E-5</v>
      </c>
      <c r="H73">
        <v>1.8935145471124951E-5</v>
      </c>
      <c r="I73">
        <v>1.9272039026496239E-5</v>
      </c>
      <c r="J73">
        <v>1.9392975174578244E-5</v>
      </c>
      <c r="K73">
        <v>1.974714532253268E-5</v>
      </c>
      <c r="L73">
        <v>1.9790336803990539E-5</v>
      </c>
      <c r="M73">
        <v>2.0101315470487115E-5</v>
      </c>
      <c r="N73">
        <v>2.028271969261012E-5</v>
      </c>
      <c r="O73">
        <v>2.0705996210897127E-5</v>
      </c>
      <c r="P73">
        <v>2.0939230210769559E-5</v>
      </c>
      <c r="Q73">
        <v>2.1094719544017852E-5</v>
      </c>
      <c r="R73">
        <v>2.1431613099389141E-5</v>
      </c>
      <c r="S73">
        <v>2.1604379025220574E-5</v>
      </c>
      <c r="T73">
        <v>2.1794421543635151E-5</v>
      </c>
      <c r="U73">
        <v>2.2019017247216009E-5</v>
      </c>
      <c r="V73">
        <v>2.2165868284172727E-5</v>
      </c>
      <c r="W73">
        <v>2.23559108025873E-5</v>
      </c>
      <c r="X73">
        <v>2.2545953321001877E-5</v>
      </c>
      <c r="Y73">
        <v>2.2545953321001877E-5</v>
      </c>
      <c r="Z73">
        <v>2.2692804357958595E-5</v>
      </c>
      <c r="AA73">
        <v>2.3029697913329887E-5</v>
      </c>
      <c r="AB73">
        <v>2.3167910653995033E-5</v>
      </c>
      <c r="AC73">
        <v>2.3349314876118038E-5</v>
      </c>
      <c r="AD73">
        <v>2.3668931838906186E-5</v>
      </c>
      <c r="AE73">
        <v>2.3677570135197758E-5</v>
      </c>
    </row>
    <row r="74" spans="1:55" x14ac:dyDescent="0.35">
      <c r="A74" t="s">
        <v>52</v>
      </c>
      <c r="B74">
        <v>1.8434124286213794E-5</v>
      </c>
      <c r="C74">
        <v>1.8434124286213794E-5</v>
      </c>
      <c r="D74">
        <v>1.8944501260820371E-5</v>
      </c>
      <c r="E74">
        <v>1.8434124286213794E-5</v>
      </c>
      <c r="F74">
        <v>1.7793990453656395E-5</v>
      </c>
      <c r="G74">
        <v>1.7300914393443261E-5</v>
      </c>
      <c r="H74">
        <v>1.6721333761262912E-5</v>
      </c>
      <c r="I74">
        <v>1.6366665016197331E-5</v>
      </c>
      <c r="J74">
        <v>1.57957348412137E-5</v>
      </c>
      <c r="K74">
        <v>1.5986044899541576E-5</v>
      </c>
      <c r="L74">
        <v>1.5942792613557965E-5</v>
      </c>
      <c r="M74">
        <v>1.6202306329459616E-5</v>
      </c>
      <c r="N74">
        <v>1.6366665016197331E-5</v>
      </c>
      <c r="O74">
        <v>1.6453169588164543E-5</v>
      </c>
      <c r="P74">
        <v>1.6608877817705533E-5</v>
      </c>
      <c r="Q74">
        <v>1.6738634675656358E-5</v>
      </c>
      <c r="R74">
        <v>1.7058701591935056E-5</v>
      </c>
      <c r="S74">
        <v>1.72749630218531E-5</v>
      </c>
      <c r="T74">
        <v>1.7482573994574418E-5</v>
      </c>
      <c r="U74">
        <v>1.7724786796082623E-5</v>
      </c>
      <c r="V74">
        <v>1.7845893196836724E-5</v>
      </c>
      <c r="W74">
        <v>1.7932397768803942E-5</v>
      </c>
      <c r="X74">
        <v>1.8140008741525261E-5</v>
      </c>
      <c r="Y74">
        <v>1.8191911484705593E-5</v>
      </c>
      <c r="Z74">
        <v>1.8364920628640026E-5</v>
      </c>
      <c r="AA74">
        <v>1.8693638002115449E-5</v>
      </c>
      <c r="AB74">
        <v>1.8823394860066274E-5</v>
      </c>
      <c r="AC74">
        <v>1.8987753546803982E-5</v>
      </c>
      <c r="AD74">
        <v>1.9333771834672848E-5</v>
      </c>
      <c r="AE74">
        <v>1.9411625949443341E-5</v>
      </c>
    </row>
    <row r="75" spans="1:55" x14ac:dyDescent="0.35">
      <c r="A75" t="s">
        <v>53</v>
      </c>
      <c r="B75">
        <v>1.243819529616302E-5</v>
      </c>
      <c r="C75">
        <v>1.243819529616302E-5</v>
      </c>
      <c r="D75">
        <v>1.2782727466338429E-5</v>
      </c>
      <c r="E75">
        <v>1.243819529616302E-5</v>
      </c>
      <c r="F75">
        <v>1.2630899730328928E-5</v>
      </c>
      <c r="G75">
        <v>1.2969592372196277E-5</v>
      </c>
      <c r="H75">
        <v>1.3203173504518585E-5</v>
      </c>
      <c r="I75">
        <v>1.35885823728504E-5</v>
      </c>
      <c r="J75">
        <v>1.384552161840494E-5</v>
      </c>
      <c r="K75">
        <v>1.405574463749502E-5</v>
      </c>
      <c r="L75">
        <v>1.4073263222419193E-5</v>
      </c>
      <c r="M75">
        <v>1.4271807184893157E-5</v>
      </c>
      <c r="N75">
        <v>1.4388597751054312E-5</v>
      </c>
      <c r="O75">
        <v>1.4458672090751006E-5</v>
      </c>
      <c r="P75">
        <v>1.4616339355068564E-5</v>
      </c>
      <c r="Q75">
        <v>1.4715611336305545E-5</v>
      </c>
      <c r="R75">
        <v>1.4902476242163394E-5</v>
      </c>
      <c r="S75">
        <v>1.5030945864940664E-5</v>
      </c>
      <c r="T75">
        <v>1.5153575959409876E-5</v>
      </c>
      <c r="U75">
        <v>1.5293724638803265E-5</v>
      </c>
      <c r="V75">
        <v>1.5387157091732187E-5</v>
      </c>
      <c r="W75">
        <v>1.5509787186201399E-5</v>
      </c>
      <c r="X75">
        <v>1.5638256808978673E-5</v>
      </c>
      <c r="Y75">
        <v>1.5644096337286728E-5</v>
      </c>
      <c r="Z75">
        <v>1.5755047375139826E-5</v>
      </c>
      <c r="AA75">
        <v>1.5971109922537964E-5</v>
      </c>
      <c r="AB75">
        <v>1.6064542375466886E-5</v>
      </c>
      <c r="AC75">
        <v>1.618133294162804E-5</v>
      </c>
      <c r="AD75">
        <v>1.6385716432410064E-5</v>
      </c>
      <c r="AE75">
        <v>1.6414914073950353E-5</v>
      </c>
    </row>
    <row r="76" spans="1:55" x14ac:dyDescent="0.35">
      <c r="A76" t="s">
        <v>54</v>
      </c>
      <c r="B76">
        <v>1.8434124286213794E-5</v>
      </c>
      <c r="C76">
        <v>1.8434124286213794E-5</v>
      </c>
      <c r="D76">
        <v>1.8942830241726709E-5</v>
      </c>
      <c r="E76">
        <v>1.8434124286213794E-5</v>
      </c>
      <c r="F76">
        <v>1.7873685521665671E-5</v>
      </c>
      <c r="G76">
        <v>1.7520177993258389E-5</v>
      </c>
      <c r="H76">
        <v>1.7020094172584674E-5</v>
      </c>
      <c r="I76">
        <v>1.6735563722891007E-5</v>
      </c>
      <c r="J76">
        <v>1.62441020370565E-5</v>
      </c>
      <c r="K76">
        <v>1.6571743160946174E-5</v>
      </c>
      <c r="L76">
        <v>1.6606231700302983E-5</v>
      </c>
      <c r="M76">
        <v>1.6899384284835851E-5</v>
      </c>
      <c r="N76">
        <v>1.7080449116459089E-5</v>
      </c>
      <c r="O76">
        <v>1.7442578779705572E-5</v>
      </c>
      <c r="P76">
        <v>1.7675376420364022E-5</v>
      </c>
      <c r="Q76">
        <v>1.782195271263046E-5</v>
      </c>
      <c r="R76">
        <v>1.8158215971359331E-5</v>
      </c>
      <c r="S76">
        <v>1.8339280802982576E-5</v>
      </c>
      <c r="T76">
        <v>1.8528967769445019E-5</v>
      </c>
      <c r="U76">
        <v>1.8753143275264271E-5</v>
      </c>
      <c r="V76">
        <v>1.8882475297852294E-5</v>
      </c>
      <c r="W76">
        <v>1.9063540129475539E-5</v>
      </c>
      <c r="X76">
        <v>1.927047136561639E-5</v>
      </c>
      <c r="Y76">
        <v>1.9279093500455591E-5</v>
      </c>
      <c r="Z76">
        <v>1.9451536197239625E-5</v>
      </c>
      <c r="AA76">
        <v>1.9770555186290098E-5</v>
      </c>
      <c r="AB76">
        <v>1.9917131478556537E-5</v>
      </c>
      <c r="AC76">
        <v>2.0089574175340574E-5</v>
      </c>
      <c r="AD76">
        <v>2.0408593164391047E-5</v>
      </c>
      <c r="AE76">
        <v>2.0451703838587054E-5</v>
      </c>
    </row>
    <row r="77" spans="1:55" x14ac:dyDescent="0.35">
      <c r="A77" t="s">
        <v>55</v>
      </c>
      <c r="B77">
        <v>1.8434124286213794E-5</v>
      </c>
      <c r="C77">
        <v>1.8434124286213794E-5</v>
      </c>
      <c r="D77">
        <v>1.8944740874423473E-5</v>
      </c>
      <c r="E77">
        <v>1.8434124286213794E-5</v>
      </c>
      <c r="F77">
        <v>1.7897544142671424E-5</v>
      </c>
      <c r="G77">
        <v>1.7560017923346378E-5</v>
      </c>
      <c r="H77">
        <v>1.7066710372025166E-5</v>
      </c>
      <c r="I77">
        <v>1.6807074818698214E-5</v>
      </c>
      <c r="J77">
        <v>1.6313767267376998E-5</v>
      </c>
      <c r="K77">
        <v>1.6659948005146271E-5</v>
      </c>
      <c r="L77">
        <v>1.6703220597367429E-5</v>
      </c>
      <c r="M77">
        <v>1.7006128742915542E-5</v>
      </c>
      <c r="N77">
        <v>1.718787363024441E-5</v>
      </c>
      <c r="O77">
        <v>1.7300382370019426E-5</v>
      </c>
      <c r="P77">
        <v>1.7534054368013687E-5</v>
      </c>
      <c r="Q77">
        <v>1.7689835700009858E-5</v>
      </c>
      <c r="R77">
        <v>1.8001398364002205E-5</v>
      </c>
      <c r="S77">
        <v>1.8183143251331074E-5</v>
      </c>
      <c r="T77">
        <v>1.8382197175548402E-5</v>
      </c>
      <c r="U77">
        <v>1.8607214655098431E-5</v>
      </c>
      <c r="V77">
        <v>1.873703243176191E-5</v>
      </c>
      <c r="W77">
        <v>1.892743183753501E-5</v>
      </c>
      <c r="X77">
        <v>1.9126485761752345E-5</v>
      </c>
      <c r="Y77">
        <v>1.9143794798640808E-5</v>
      </c>
      <c r="Z77">
        <v>1.9316885167525441E-5</v>
      </c>
      <c r="AA77">
        <v>1.9637102349962017E-5</v>
      </c>
      <c r="AB77">
        <v>1.9792883681958191E-5</v>
      </c>
      <c r="AC77">
        <v>1.9965974050842828E-5</v>
      </c>
      <c r="AD77">
        <v>2.0294845751723639E-5</v>
      </c>
      <c r="AE77">
        <v>2.0329463825500565E-5</v>
      </c>
    </row>
    <row r="78" spans="1:55" x14ac:dyDescent="0.35">
      <c r="A78" t="s">
        <v>56</v>
      </c>
      <c r="B78">
        <v>1.8434124286213794E-5</v>
      </c>
      <c r="C78">
        <v>1.8434124286213794E-5</v>
      </c>
      <c r="D78">
        <v>1.8944740874423473E-5</v>
      </c>
      <c r="E78">
        <v>1.8434124286213794E-5</v>
      </c>
      <c r="F78">
        <v>1.7897544142671424E-5</v>
      </c>
      <c r="G78">
        <v>1.7560017923346378E-5</v>
      </c>
      <c r="H78">
        <v>1.7066710372025166E-5</v>
      </c>
      <c r="I78">
        <v>1.6807074818698214E-5</v>
      </c>
      <c r="J78">
        <v>1.6313767267376998E-5</v>
      </c>
      <c r="K78">
        <v>1.6659948005146271E-5</v>
      </c>
      <c r="L78">
        <v>1.6703220597367429E-5</v>
      </c>
      <c r="M78">
        <v>1.7006128742915542E-5</v>
      </c>
      <c r="N78">
        <v>1.718787363024441E-5</v>
      </c>
      <c r="O78">
        <v>1.7300382370019426E-5</v>
      </c>
      <c r="P78">
        <v>1.7534054368013687E-5</v>
      </c>
      <c r="Q78">
        <v>1.7689835700009858E-5</v>
      </c>
      <c r="R78">
        <v>1.8001398364002205E-5</v>
      </c>
      <c r="S78">
        <v>1.8183143251331074E-5</v>
      </c>
      <c r="T78">
        <v>1.8382197175548402E-5</v>
      </c>
      <c r="U78">
        <v>1.8607214655098431E-5</v>
      </c>
      <c r="V78">
        <v>1.873703243176191E-5</v>
      </c>
      <c r="W78">
        <v>1.892743183753501E-5</v>
      </c>
      <c r="X78">
        <v>1.9126485761752345E-5</v>
      </c>
      <c r="Y78">
        <v>1.9143794798640808E-5</v>
      </c>
      <c r="Z78">
        <v>1.9316885167525441E-5</v>
      </c>
      <c r="AA78">
        <v>1.9637102349962017E-5</v>
      </c>
      <c r="AB78">
        <v>1.9792883681958191E-5</v>
      </c>
      <c r="AC78">
        <v>1.9965974050842828E-5</v>
      </c>
      <c r="AD78">
        <v>2.0294845751723639E-5</v>
      </c>
      <c r="AE78">
        <v>2.0329463825500565E-5</v>
      </c>
    </row>
    <row r="79" spans="1:55" x14ac:dyDescent="0.35">
      <c r="A79" t="s">
        <v>57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55" x14ac:dyDescent="0.35">
      <c r="A80" t="s">
        <v>58</v>
      </c>
      <c r="B80">
        <v>1.8434124286213794E-5</v>
      </c>
      <c r="C80">
        <v>1.8434124286213794E-5</v>
      </c>
      <c r="D80">
        <v>1.8944740874423473E-5</v>
      </c>
      <c r="E80">
        <v>1.8434124286213794E-5</v>
      </c>
      <c r="F80">
        <v>1.7897544142671424E-5</v>
      </c>
      <c r="G80">
        <v>1.7560017923346378E-5</v>
      </c>
      <c r="H80">
        <v>1.7066710372025166E-5</v>
      </c>
      <c r="I80">
        <v>1.6807074818698214E-5</v>
      </c>
      <c r="J80">
        <v>1.6313767267376998E-5</v>
      </c>
      <c r="K80">
        <v>1.6659948005146271E-5</v>
      </c>
      <c r="L80">
        <v>1.6703220597367429E-5</v>
      </c>
      <c r="M80">
        <v>1.7006128742915542E-5</v>
      </c>
      <c r="N80">
        <v>1.718787363024441E-5</v>
      </c>
      <c r="O80">
        <v>1.7300382370019426E-5</v>
      </c>
      <c r="P80">
        <v>1.7534054368013687E-5</v>
      </c>
      <c r="Q80">
        <v>1.7689835700009858E-5</v>
      </c>
      <c r="R80">
        <v>1.8001398364002205E-5</v>
      </c>
      <c r="S80">
        <v>1.8183143251331074E-5</v>
      </c>
      <c r="T80">
        <v>1.8382197175548402E-5</v>
      </c>
      <c r="U80">
        <v>1.8607214655098431E-5</v>
      </c>
      <c r="V80">
        <v>1.873703243176191E-5</v>
      </c>
      <c r="W80">
        <v>1.892743183753501E-5</v>
      </c>
      <c r="X80">
        <v>1.9126485761752345E-5</v>
      </c>
      <c r="Y80">
        <v>1.9143794798640808E-5</v>
      </c>
      <c r="Z80">
        <v>1.9316885167525441E-5</v>
      </c>
      <c r="AA80">
        <v>1.9637102349962017E-5</v>
      </c>
      <c r="AB80">
        <v>1.9792883681958191E-5</v>
      </c>
      <c r="AC80">
        <v>1.9965974050842828E-5</v>
      </c>
      <c r="AD80">
        <v>2.0294845751723639E-5</v>
      </c>
      <c r="AE80">
        <v>2.0329463825500565E-5</v>
      </c>
    </row>
    <row r="81" spans="1:51" s="4" customFormat="1" x14ac:dyDescent="0.35">
      <c r="A81" s="6" t="s">
        <v>37</v>
      </c>
    </row>
    <row r="82" spans="1:51" x14ac:dyDescent="0.35">
      <c r="A82" t="s">
        <v>29</v>
      </c>
      <c r="B82" s="1">
        <v>2021</v>
      </c>
      <c r="C82" s="1">
        <v>2022</v>
      </c>
      <c r="D82" s="1">
        <v>2023</v>
      </c>
      <c r="E82" s="1">
        <v>2024</v>
      </c>
      <c r="F82" s="1">
        <v>2025</v>
      </c>
      <c r="G82" s="1">
        <v>2026</v>
      </c>
      <c r="H82" s="1">
        <v>2027</v>
      </c>
      <c r="I82" s="1">
        <v>2028</v>
      </c>
      <c r="J82" s="1">
        <v>2029</v>
      </c>
      <c r="K82" s="1">
        <v>2030</v>
      </c>
      <c r="L82" s="1">
        <v>2031</v>
      </c>
      <c r="M82" s="1">
        <v>2032</v>
      </c>
      <c r="N82" s="1">
        <v>2033</v>
      </c>
      <c r="O82" s="1">
        <v>2034</v>
      </c>
      <c r="P82" s="1">
        <v>2035</v>
      </c>
      <c r="Q82" s="1">
        <v>2036</v>
      </c>
      <c r="R82" s="1">
        <v>2037</v>
      </c>
      <c r="S82" s="1">
        <v>2038</v>
      </c>
      <c r="T82" s="1">
        <v>2039</v>
      </c>
      <c r="U82" s="1">
        <v>2040</v>
      </c>
      <c r="V82" s="1">
        <v>2041</v>
      </c>
      <c r="W82" s="1">
        <v>2042</v>
      </c>
      <c r="X82" s="1">
        <v>2043</v>
      </c>
      <c r="Y82" s="1">
        <v>2044</v>
      </c>
      <c r="Z82" s="1">
        <v>2045</v>
      </c>
      <c r="AA82" s="1">
        <v>2046</v>
      </c>
      <c r="AB82" s="1">
        <v>2047</v>
      </c>
      <c r="AC82" s="1">
        <v>2048</v>
      </c>
      <c r="AD82" s="1">
        <v>2049</v>
      </c>
      <c r="AE82" s="1">
        <v>2050</v>
      </c>
      <c r="AF82" s="1">
        <v>2051</v>
      </c>
      <c r="AG82" s="1">
        <v>2052</v>
      </c>
      <c r="AH82" s="1">
        <v>2053</v>
      </c>
      <c r="AI82" s="1">
        <v>2054</v>
      </c>
      <c r="AJ82" s="1">
        <v>2055</v>
      </c>
      <c r="AK82" s="1">
        <v>2056</v>
      </c>
      <c r="AL82" s="1">
        <v>2057</v>
      </c>
      <c r="AM82" s="1">
        <v>2058</v>
      </c>
      <c r="AN82" s="1">
        <v>2059</v>
      </c>
      <c r="AO82" s="1">
        <v>2060</v>
      </c>
      <c r="AP82" s="1">
        <v>2061</v>
      </c>
      <c r="AQ82" s="1">
        <v>2062</v>
      </c>
      <c r="AR82" s="1">
        <v>2063</v>
      </c>
      <c r="AS82" s="1">
        <v>2064</v>
      </c>
      <c r="AT82" s="1">
        <v>2065</v>
      </c>
      <c r="AU82" s="1">
        <v>2066</v>
      </c>
      <c r="AV82" s="1">
        <v>2067</v>
      </c>
      <c r="AW82" s="1">
        <v>2068</v>
      </c>
      <c r="AX82" s="1">
        <v>2069</v>
      </c>
      <c r="AY82" s="1">
        <v>2070</v>
      </c>
    </row>
    <row r="83" spans="1:51" x14ac:dyDescent="0.35">
      <c r="A83" t="s">
        <v>51</v>
      </c>
      <c r="B83">
        <v>2.1019815000976147E-5</v>
      </c>
      <c r="C83">
        <v>2.1019815000976147E-5</v>
      </c>
      <c r="D83">
        <v>2.177826193400106E-5</v>
      </c>
      <c r="E83">
        <v>2.1019815000976147E-5</v>
      </c>
      <c r="F83">
        <v>2.1138014523006007E-5</v>
      </c>
      <c r="G83">
        <v>2.1463063208588108E-5</v>
      </c>
      <c r="H83">
        <v>2.1591112690787122E-5</v>
      </c>
      <c r="I83">
        <v>2.1975261137384153E-5</v>
      </c>
      <c r="J83">
        <v>2.2113160579752318E-5</v>
      </c>
      <c r="K83">
        <v>2.2517008946687668E-5</v>
      </c>
      <c r="L83">
        <v>2.2566258747533437E-5</v>
      </c>
      <c r="M83">
        <v>2.2920857313623007E-5</v>
      </c>
      <c r="N83">
        <v>2.3127706477175257E-5</v>
      </c>
      <c r="O83">
        <v>2.3610354525463835E-5</v>
      </c>
      <c r="P83">
        <v>2.3876303450031012E-5</v>
      </c>
      <c r="Q83">
        <v>2.4053602733075803E-5</v>
      </c>
      <c r="R83">
        <v>2.443775117967283E-5</v>
      </c>
      <c r="S83">
        <v>2.4634750383055929E-5</v>
      </c>
      <c r="T83">
        <v>2.485144950677733E-5</v>
      </c>
      <c r="U83">
        <v>2.5107548471175349E-5</v>
      </c>
      <c r="V83">
        <v>2.5274997794050982E-5</v>
      </c>
      <c r="W83">
        <v>2.5491696917772386E-5</v>
      </c>
      <c r="X83">
        <v>2.5708396041493795E-5</v>
      </c>
      <c r="Y83">
        <v>2.5708396041493795E-5</v>
      </c>
      <c r="Z83">
        <v>2.5875845364369417E-5</v>
      </c>
      <c r="AA83">
        <v>2.6259993810966454E-5</v>
      </c>
      <c r="AB83">
        <v>2.6417593173672932E-5</v>
      </c>
      <c r="AC83">
        <v>2.6624442337225179E-5</v>
      </c>
      <c r="AD83">
        <v>2.69888908634839E-5</v>
      </c>
      <c r="AE83">
        <v>2.6998740823653055E-5</v>
      </c>
    </row>
    <row r="84" spans="1:51" x14ac:dyDescent="0.35">
      <c r="A84" t="s">
        <v>52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51" x14ac:dyDescent="0.35">
      <c r="A85" t="s">
        <v>53</v>
      </c>
      <c r="B85">
        <v>1.0801857439687137E-5</v>
      </c>
      <c r="C85">
        <v>1.0801857439687137E-5</v>
      </c>
      <c r="D85">
        <v>1.1101063819471898E-5</v>
      </c>
      <c r="E85">
        <v>1.0801857439687137E-5</v>
      </c>
      <c r="F85">
        <v>1.0969210160583698E-5</v>
      </c>
      <c r="G85">
        <v>1.1263345245795837E-5</v>
      </c>
      <c r="H85">
        <v>1.1466197028700757E-5</v>
      </c>
      <c r="I85">
        <v>1.1800902470493883E-5</v>
      </c>
      <c r="J85">
        <v>1.2024039431689297E-5</v>
      </c>
      <c r="K85">
        <v>1.2206606036303726E-5</v>
      </c>
      <c r="L85">
        <v>1.2221819920021598E-5</v>
      </c>
      <c r="M85">
        <v>1.2394243935490782E-5</v>
      </c>
      <c r="N85">
        <v>1.2495669826943243E-5</v>
      </c>
      <c r="O85">
        <v>1.255652536181472E-5</v>
      </c>
      <c r="P85">
        <v>1.2693450315275541E-5</v>
      </c>
      <c r="Q85">
        <v>1.2779662323010133E-5</v>
      </c>
      <c r="R85">
        <v>1.2941943749334071E-5</v>
      </c>
      <c r="S85">
        <v>1.3053512229931778E-5</v>
      </c>
      <c r="T85">
        <v>1.3160009415956863E-5</v>
      </c>
      <c r="U85">
        <v>1.3281720485699817E-5</v>
      </c>
      <c r="V85">
        <v>1.3362861198861786E-5</v>
      </c>
      <c r="W85">
        <v>1.3469358384886871E-5</v>
      </c>
      <c r="X85">
        <v>1.3580926865484581E-5</v>
      </c>
      <c r="Y85">
        <v>1.3585998160057202E-5</v>
      </c>
      <c r="Z85">
        <v>1.3682352756937041E-5</v>
      </c>
      <c r="AA85">
        <v>1.3869990656124093E-5</v>
      </c>
      <c r="AB85">
        <v>1.3951131369286062E-5</v>
      </c>
      <c r="AC85">
        <v>1.4052557260738522E-5</v>
      </c>
      <c r="AD85">
        <v>1.4230052570780331E-5</v>
      </c>
      <c r="AE85">
        <v>1.4255409043643446E-5</v>
      </c>
    </row>
    <row r="86" spans="1:51" x14ac:dyDescent="0.35">
      <c r="A86" t="s">
        <v>54</v>
      </c>
      <c r="B86">
        <v>1.0801857439687137E-5</v>
      </c>
      <c r="C86">
        <v>1.0801857439687137E-5</v>
      </c>
      <c r="D86">
        <v>1.1099944244617698E-5</v>
      </c>
      <c r="E86">
        <v>1.0801857439687137E-5</v>
      </c>
      <c r="F86">
        <v>1.0473456722390757E-5</v>
      </c>
      <c r="G86">
        <v>1.0266311654557653E-5</v>
      </c>
      <c r="H86">
        <v>9.9732771683547273E-6</v>
      </c>
      <c r="I86">
        <v>9.8065506503427186E-6</v>
      </c>
      <c r="J86">
        <v>9.5185684828674317E-6</v>
      </c>
      <c r="K86">
        <v>9.7105565945176224E-6</v>
      </c>
      <c r="L86">
        <v>9.7307658694281707E-6</v>
      </c>
      <c r="M86">
        <v>9.9025447061678165E-6</v>
      </c>
      <c r="N86">
        <v>1.0008643399448184E-5</v>
      </c>
      <c r="O86">
        <v>1.0220840786008924E-5</v>
      </c>
      <c r="P86">
        <v>1.0357253391655114E-5</v>
      </c>
      <c r="Q86">
        <v>1.0443142810024938E-5</v>
      </c>
      <c r="R86">
        <v>1.0640183240402765E-5</v>
      </c>
      <c r="S86">
        <v>1.0746281933683134E-5</v>
      </c>
      <c r="T86">
        <v>1.0857432945691142E-5</v>
      </c>
      <c r="U86">
        <v>1.0988793232609692E-5</v>
      </c>
      <c r="V86">
        <v>1.1064578013524242E-5</v>
      </c>
      <c r="W86">
        <v>1.1170676706804612E-5</v>
      </c>
      <c r="X86">
        <v>1.1291932356267891E-5</v>
      </c>
      <c r="Y86">
        <v>1.1296984674995529E-5</v>
      </c>
      <c r="Z86">
        <v>1.1398031049548261E-5</v>
      </c>
      <c r="AA86">
        <v>1.1584966842470816E-5</v>
      </c>
      <c r="AB86">
        <v>1.1670856260840642E-5</v>
      </c>
      <c r="AC86">
        <v>1.1771902635393373E-5</v>
      </c>
      <c r="AD86">
        <v>1.1958838428315929E-5</v>
      </c>
      <c r="AE86">
        <v>1.1984100021954111E-5</v>
      </c>
    </row>
    <row r="87" spans="1:51" x14ac:dyDescent="0.35">
      <c r="A87" t="s">
        <v>55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51" x14ac:dyDescent="0.35">
      <c r="A88" t="s">
        <v>56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51" x14ac:dyDescent="0.35">
      <c r="A89" t="s">
        <v>57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51" x14ac:dyDescent="0.35">
      <c r="A90" t="s">
        <v>58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51" s="4" customFormat="1" x14ac:dyDescent="0.35">
      <c r="A91" s="6" t="s">
        <v>38</v>
      </c>
    </row>
    <row r="92" spans="1:51" x14ac:dyDescent="0.35">
      <c r="A92" t="s">
        <v>29</v>
      </c>
      <c r="B92" s="1">
        <v>2021</v>
      </c>
      <c r="C92" s="1">
        <v>2022</v>
      </c>
      <c r="D92" s="1">
        <v>2023</v>
      </c>
      <c r="E92" s="1">
        <v>2024</v>
      </c>
      <c r="F92" s="1">
        <v>2025</v>
      </c>
      <c r="G92" s="1">
        <v>2026</v>
      </c>
      <c r="H92" s="1">
        <v>2027</v>
      </c>
      <c r="I92" s="1">
        <v>2028</v>
      </c>
      <c r="J92" s="1">
        <v>2029</v>
      </c>
      <c r="K92" s="1">
        <v>2030</v>
      </c>
      <c r="L92" s="1">
        <v>2031</v>
      </c>
      <c r="M92" s="1">
        <v>2032</v>
      </c>
      <c r="N92" s="1">
        <v>2033</v>
      </c>
      <c r="O92" s="1">
        <v>2034</v>
      </c>
      <c r="P92" s="1">
        <v>2035</v>
      </c>
      <c r="Q92" s="1">
        <v>2036</v>
      </c>
      <c r="R92" s="1">
        <v>2037</v>
      </c>
      <c r="S92" s="1">
        <v>2038</v>
      </c>
      <c r="T92" s="1">
        <v>2039</v>
      </c>
      <c r="U92" s="1">
        <v>2040</v>
      </c>
      <c r="V92" s="1">
        <v>2041</v>
      </c>
      <c r="W92" s="1">
        <v>2042</v>
      </c>
      <c r="X92" s="1">
        <v>2043</v>
      </c>
      <c r="Y92" s="1">
        <v>2044</v>
      </c>
      <c r="Z92" s="1">
        <v>2045</v>
      </c>
      <c r="AA92" s="1">
        <v>2046</v>
      </c>
      <c r="AB92" s="1">
        <v>2047</v>
      </c>
      <c r="AC92" s="1">
        <v>2048</v>
      </c>
      <c r="AD92" s="1">
        <v>2049</v>
      </c>
      <c r="AE92" s="1">
        <v>2050</v>
      </c>
      <c r="AF92" s="1">
        <v>2051</v>
      </c>
      <c r="AG92" s="1">
        <v>2052</v>
      </c>
      <c r="AH92" s="1">
        <v>2053</v>
      </c>
      <c r="AI92" s="1">
        <v>2054</v>
      </c>
      <c r="AJ92" s="1">
        <v>2055</v>
      </c>
      <c r="AK92" s="1">
        <v>2056</v>
      </c>
      <c r="AL92" s="1">
        <v>2057</v>
      </c>
      <c r="AM92" s="1">
        <v>2058</v>
      </c>
      <c r="AN92" s="1">
        <v>2059</v>
      </c>
      <c r="AO92" s="1">
        <v>2060</v>
      </c>
      <c r="AP92" s="1">
        <v>2061</v>
      </c>
      <c r="AQ92" s="1">
        <v>2062</v>
      </c>
      <c r="AR92" s="1">
        <v>2063</v>
      </c>
      <c r="AS92" s="1">
        <v>2064</v>
      </c>
      <c r="AT92" s="1">
        <v>2065</v>
      </c>
      <c r="AU92" s="1">
        <v>2066</v>
      </c>
      <c r="AV92" s="1">
        <v>2067</v>
      </c>
      <c r="AW92" s="1">
        <v>2068</v>
      </c>
      <c r="AX92" s="1">
        <v>2069</v>
      </c>
      <c r="AY92" s="1">
        <v>2070</v>
      </c>
    </row>
    <row r="93" spans="1:51" x14ac:dyDescent="0.35">
      <c r="A93" t="s">
        <v>51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51" x14ac:dyDescent="0.35">
      <c r="A94" t="s">
        <v>52</v>
      </c>
      <c r="B94">
        <v>1.5214645517300554E-6</v>
      </c>
      <c r="C94">
        <v>1.5214645517300554E-6</v>
      </c>
      <c r="D94">
        <v>1.5140788014789386E-6</v>
      </c>
      <c r="E94">
        <v>1.5214645517300554E-6</v>
      </c>
      <c r="F94">
        <v>1.499307300976705E-6</v>
      </c>
      <c r="G94">
        <v>1.4771500502233548E-6</v>
      </c>
      <c r="H94">
        <v>1.4623785497211213E-6</v>
      </c>
      <c r="I94">
        <v>1.4549927994700043E-6</v>
      </c>
      <c r="J94">
        <v>1.4402212989677709E-6</v>
      </c>
      <c r="K94">
        <v>1.4476070492188877E-6</v>
      </c>
      <c r="L94">
        <v>1.4549927994700043E-6</v>
      </c>
      <c r="M94">
        <v>1.4476070492188877E-6</v>
      </c>
      <c r="N94">
        <v>1.4476070492188877E-6</v>
      </c>
      <c r="O94">
        <v>1.4476070492188877E-6</v>
      </c>
      <c r="P94">
        <v>1.4402212989677709E-6</v>
      </c>
      <c r="Q94">
        <v>1.4402212989677709E-6</v>
      </c>
      <c r="R94">
        <v>1.4476070492188877E-6</v>
      </c>
      <c r="S94">
        <v>1.4476070492188877E-6</v>
      </c>
      <c r="T94">
        <v>1.4402212989677709E-6</v>
      </c>
      <c r="U94">
        <v>1.4402212989677709E-6</v>
      </c>
      <c r="V94">
        <v>1.4476070492188877E-6</v>
      </c>
      <c r="W94">
        <v>1.4476070492188877E-6</v>
      </c>
      <c r="X94">
        <v>1.4402212989677709E-6</v>
      </c>
      <c r="Y94">
        <v>1.4402212989677709E-6</v>
      </c>
      <c r="Z94">
        <v>1.4402212989677709E-6</v>
      </c>
      <c r="AA94">
        <v>1.4402212989677709E-6</v>
      </c>
      <c r="AB94">
        <v>1.4402212989677709E-6</v>
      </c>
      <c r="AC94">
        <v>1.4402212989677709E-6</v>
      </c>
      <c r="AD94">
        <v>1.4402212989677709E-6</v>
      </c>
      <c r="AE94">
        <v>1.4402212989677709E-6</v>
      </c>
    </row>
    <row r="95" spans="1:51" x14ac:dyDescent="0.35">
      <c r="A95" t="s">
        <v>53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51" x14ac:dyDescent="0.35">
      <c r="A96" t="s">
        <v>54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51" x14ac:dyDescent="0.35">
      <c r="A97" t="s">
        <v>55</v>
      </c>
      <c r="B97">
        <v>1.5214645517300554E-6</v>
      </c>
      <c r="C97">
        <v>1.5214645517300554E-6</v>
      </c>
      <c r="D97">
        <v>1.5141848170327826E-6</v>
      </c>
      <c r="E97">
        <v>1.5214645517300554E-6</v>
      </c>
      <c r="F97">
        <v>1.5069050823355093E-6</v>
      </c>
      <c r="G97">
        <v>1.4850658782436906E-6</v>
      </c>
      <c r="H97">
        <v>1.4777861435464174E-6</v>
      </c>
      <c r="I97">
        <v>1.4705064088491447E-6</v>
      </c>
      <c r="J97">
        <v>1.4632266741518715E-6</v>
      </c>
      <c r="K97">
        <v>1.4705064088491447E-6</v>
      </c>
      <c r="L97">
        <v>1.4777861435464174E-6</v>
      </c>
      <c r="M97">
        <v>1.4632266741518715E-6</v>
      </c>
      <c r="N97">
        <v>1.4705064088491447E-6</v>
      </c>
      <c r="O97">
        <v>1.4705064088491447E-6</v>
      </c>
      <c r="P97">
        <v>1.4632266741518715E-6</v>
      </c>
      <c r="Q97">
        <v>1.4632266741518715E-6</v>
      </c>
      <c r="R97">
        <v>1.4705064088491447E-6</v>
      </c>
      <c r="S97">
        <v>1.4705064088491447E-6</v>
      </c>
      <c r="T97">
        <v>1.4632266741518715E-6</v>
      </c>
      <c r="U97">
        <v>1.4632266741518715E-6</v>
      </c>
      <c r="V97">
        <v>1.4705064088491447E-6</v>
      </c>
      <c r="W97">
        <v>1.4705064088491447E-6</v>
      </c>
      <c r="X97">
        <v>1.4705064088491447E-6</v>
      </c>
      <c r="Y97">
        <v>1.4632266741518715E-6</v>
      </c>
      <c r="Z97">
        <v>1.4632266741518715E-6</v>
      </c>
      <c r="AA97">
        <v>1.4705064088491447E-6</v>
      </c>
      <c r="AB97">
        <v>1.4705064088491447E-6</v>
      </c>
      <c r="AC97">
        <v>1.4705064088491447E-6</v>
      </c>
      <c r="AD97">
        <v>1.4705064088491447E-6</v>
      </c>
      <c r="AE97">
        <v>1.4705064088491447E-6</v>
      </c>
    </row>
    <row r="98" spans="1:51" x14ac:dyDescent="0.35">
      <c r="A98" t="s">
        <v>56</v>
      </c>
      <c r="B98">
        <v>1.5214645517300554E-6</v>
      </c>
      <c r="C98">
        <v>1.5214645517300554E-6</v>
      </c>
      <c r="D98">
        <v>1.5141848170327826E-6</v>
      </c>
      <c r="E98">
        <v>1.5214645517300554E-6</v>
      </c>
      <c r="F98">
        <v>1.5069050823355093E-6</v>
      </c>
      <c r="G98">
        <v>1.4850658782436906E-6</v>
      </c>
      <c r="H98">
        <v>1.4777861435464174E-6</v>
      </c>
      <c r="I98">
        <v>1.4705064088491447E-6</v>
      </c>
      <c r="J98">
        <v>1.4632266741518715E-6</v>
      </c>
      <c r="K98">
        <v>1.4705064088491447E-6</v>
      </c>
      <c r="L98">
        <v>1.4777861435464174E-6</v>
      </c>
      <c r="M98">
        <v>1.4632266741518715E-6</v>
      </c>
      <c r="N98">
        <v>1.4705064088491447E-6</v>
      </c>
      <c r="O98">
        <v>1.4705064088491447E-6</v>
      </c>
      <c r="P98">
        <v>1.4632266741518715E-6</v>
      </c>
      <c r="Q98">
        <v>1.4632266741518715E-6</v>
      </c>
      <c r="R98">
        <v>1.4705064088491447E-6</v>
      </c>
      <c r="S98">
        <v>1.4705064088491447E-6</v>
      </c>
      <c r="T98">
        <v>1.4632266741518715E-6</v>
      </c>
      <c r="U98">
        <v>1.4632266741518715E-6</v>
      </c>
      <c r="V98">
        <v>1.4705064088491447E-6</v>
      </c>
      <c r="W98">
        <v>1.4705064088491447E-6</v>
      </c>
      <c r="X98">
        <v>1.4705064088491447E-6</v>
      </c>
      <c r="Y98">
        <v>1.4632266741518715E-6</v>
      </c>
      <c r="Z98">
        <v>1.4632266741518715E-6</v>
      </c>
      <c r="AA98">
        <v>1.4705064088491447E-6</v>
      </c>
      <c r="AB98">
        <v>1.4705064088491447E-6</v>
      </c>
      <c r="AC98">
        <v>1.4705064088491447E-6</v>
      </c>
      <c r="AD98">
        <v>1.4705064088491447E-6</v>
      </c>
      <c r="AE98">
        <v>1.4705064088491447E-6</v>
      </c>
    </row>
    <row r="99" spans="1:51" x14ac:dyDescent="0.35">
      <c r="A99" t="s">
        <v>57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51" x14ac:dyDescent="0.35">
      <c r="A100" t="s">
        <v>58</v>
      </c>
      <c r="B100">
        <v>1.5214645517300554E-6</v>
      </c>
      <c r="C100">
        <v>1.5214645517300554E-6</v>
      </c>
      <c r="D100">
        <v>1.5141848170327826E-6</v>
      </c>
      <c r="E100">
        <v>1.5214645517300554E-6</v>
      </c>
      <c r="F100">
        <v>1.5069050823355093E-6</v>
      </c>
      <c r="G100">
        <v>1.4850658782436906E-6</v>
      </c>
      <c r="H100">
        <v>1.4777861435464174E-6</v>
      </c>
      <c r="I100">
        <v>1.4705064088491447E-6</v>
      </c>
      <c r="J100">
        <v>1.4632266741518715E-6</v>
      </c>
      <c r="K100">
        <v>1.4705064088491447E-6</v>
      </c>
      <c r="L100">
        <v>1.4777861435464174E-6</v>
      </c>
      <c r="M100">
        <v>1.4632266741518715E-6</v>
      </c>
      <c r="N100">
        <v>1.4705064088491447E-6</v>
      </c>
      <c r="O100">
        <v>1.4705064088491447E-6</v>
      </c>
      <c r="P100">
        <v>1.4632266741518715E-6</v>
      </c>
      <c r="Q100">
        <v>1.4632266741518715E-6</v>
      </c>
      <c r="R100">
        <v>1.4705064088491447E-6</v>
      </c>
      <c r="S100">
        <v>1.4705064088491447E-6</v>
      </c>
      <c r="T100">
        <v>1.4632266741518715E-6</v>
      </c>
      <c r="U100">
        <v>1.4632266741518715E-6</v>
      </c>
      <c r="V100">
        <v>1.4705064088491447E-6</v>
      </c>
      <c r="W100">
        <v>1.4705064088491447E-6</v>
      </c>
      <c r="X100">
        <v>1.4705064088491447E-6</v>
      </c>
      <c r="Y100">
        <v>1.4632266741518715E-6</v>
      </c>
      <c r="Z100">
        <v>1.4632266741518715E-6</v>
      </c>
      <c r="AA100">
        <v>1.4705064088491447E-6</v>
      </c>
      <c r="AB100">
        <v>1.4705064088491447E-6</v>
      </c>
      <c r="AC100">
        <v>1.4705064088491447E-6</v>
      </c>
      <c r="AD100">
        <v>1.4705064088491447E-6</v>
      </c>
      <c r="AE100">
        <v>1.4705064088491447E-6</v>
      </c>
    </row>
    <row r="101" spans="1:51" s="4" customFormat="1" x14ac:dyDescent="0.35">
      <c r="A101" s="6" t="s">
        <v>45</v>
      </c>
    </row>
    <row r="102" spans="1:51" x14ac:dyDescent="0.35">
      <c r="A102" t="s">
        <v>29</v>
      </c>
      <c r="B102" s="1">
        <v>2021</v>
      </c>
      <c r="C102" s="1">
        <v>2022</v>
      </c>
      <c r="D102" s="1">
        <v>2023</v>
      </c>
      <c r="E102" s="1">
        <v>2024</v>
      </c>
      <c r="F102" s="1">
        <v>2025</v>
      </c>
      <c r="G102" s="1">
        <v>2026</v>
      </c>
      <c r="H102" s="1">
        <v>2027</v>
      </c>
      <c r="I102" s="1">
        <v>2028</v>
      </c>
      <c r="J102" s="1">
        <v>2029</v>
      </c>
      <c r="K102" s="1">
        <v>2030</v>
      </c>
      <c r="L102" s="1">
        <v>2031</v>
      </c>
      <c r="M102" s="1">
        <v>2032</v>
      </c>
      <c r="N102" s="1">
        <v>2033</v>
      </c>
      <c r="O102" s="1">
        <v>2034</v>
      </c>
      <c r="P102" s="1">
        <v>2035</v>
      </c>
      <c r="Q102" s="1">
        <v>2036</v>
      </c>
      <c r="R102" s="1">
        <v>2037</v>
      </c>
      <c r="S102" s="1">
        <v>2038</v>
      </c>
      <c r="T102" s="1">
        <v>2039</v>
      </c>
      <c r="U102" s="1">
        <v>2040</v>
      </c>
      <c r="V102" s="1">
        <v>2041</v>
      </c>
      <c r="W102" s="1">
        <v>2042</v>
      </c>
      <c r="X102" s="1">
        <v>2043</v>
      </c>
      <c r="Y102" s="1">
        <v>2044</v>
      </c>
      <c r="Z102" s="1">
        <v>2045</v>
      </c>
      <c r="AA102" s="1">
        <v>2046</v>
      </c>
      <c r="AB102" s="1">
        <v>2047</v>
      </c>
      <c r="AC102" s="1">
        <v>2048</v>
      </c>
      <c r="AD102" s="1">
        <v>2049</v>
      </c>
      <c r="AE102" s="1">
        <v>2050</v>
      </c>
      <c r="AF102" s="1">
        <v>2051</v>
      </c>
      <c r="AG102" s="1">
        <v>2052</v>
      </c>
      <c r="AH102" s="1">
        <v>2053</v>
      </c>
      <c r="AI102" s="1">
        <v>2054</v>
      </c>
      <c r="AJ102" s="1">
        <v>2055</v>
      </c>
      <c r="AK102" s="1">
        <v>2056</v>
      </c>
      <c r="AL102" s="1">
        <v>2057</v>
      </c>
      <c r="AM102" s="1">
        <v>2058</v>
      </c>
      <c r="AN102" s="1">
        <v>2059</v>
      </c>
      <c r="AO102" s="1">
        <v>2060</v>
      </c>
      <c r="AP102" s="1">
        <v>2061</v>
      </c>
      <c r="AQ102" s="1">
        <v>2062</v>
      </c>
      <c r="AR102" s="1">
        <v>2063</v>
      </c>
      <c r="AS102" s="1">
        <v>2064</v>
      </c>
      <c r="AT102" s="1">
        <v>2065</v>
      </c>
      <c r="AU102" s="1">
        <v>2066</v>
      </c>
      <c r="AV102" s="1">
        <v>2067</v>
      </c>
      <c r="AW102" s="1">
        <v>2068</v>
      </c>
      <c r="AX102" s="1">
        <v>2069</v>
      </c>
      <c r="AY102" s="1">
        <v>2070</v>
      </c>
    </row>
    <row r="103" spans="1:51" x14ac:dyDescent="0.35">
      <c r="A103" t="s">
        <v>51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51" x14ac:dyDescent="0.35">
      <c r="A104" t="s">
        <v>52</v>
      </c>
      <c r="B104">
        <v>1.0649819601300229E-5</v>
      </c>
      <c r="C104">
        <v>1.0649819601300229E-5</v>
      </c>
      <c r="D104">
        <v>1.2418715270152828E-5</v>
      </c>
      <c r="E104">
        <v>1.0649819601300229E-5</v>
      </c>
      <c r="F104">
        <v>1.2830429872074075E-5</v>
      </c>
      <c r="G104">
        <v>1.3273791907188258E-5</v>
      </c>
      <c r="H104">
        <v>1.3489623341115601E-5</v>
      </c>
      <c r="I104">
        <v>1.4051558348491084E-5</v>
      </c>
      <c r="J104">
        <v>1.439362991407415E-5</v>
      </c>
      <c r="K104">
        <v>1.4421240307596216E-5</v>
      </c>
      <c r="L104">
        <v>1.4946111689770317E-5</v>
      </c>
      <c r="M104">
        <v>1.4831830847856541E-5</v>
      </c>
      <c r="N104">
        <v>1.5164865946545045E-5</v>
      </c>
      <c r="O104">
        <v>1.5403450768752316E-5</v>
      </c>
      <c r="P104">
        <v>1.5764814058998982E-5</v>
      </c>
      <c r="Q104">
        <v>1.5847919363594205E-5</v>
      </c>
      <c r="R104">
        <v>1.6712063314681503E-5</v>
      </c>
      <c r="S104">
        <v>1.6597179749942538E-5</v>
      </c>
      <c r="T104">
        <v>1.6883659925045586E-5</v>
      </c>
      <c r="U104">
        <v>1.7555339929567256E-5</v>
      </c>
      <c r="V104">
        <v>1.7769710827167562E-5</v>
      </c>
      <c r="W104">
        <v>1.8078807437923118E-5</v>
      </c>
      <c r="X104">
        <v>1.8393495697567623E-5</v>
      </c>
      <c r="Y104">
        <v>1.889549358444508E-5</v>
      </c>
      <c r="Z104">
        <v>1.9104933968683739E-5</v>
      </c>
      <c r="AA104">
        <v>1.9621928824587285E-5</v>
      </c>
      <c r="AB104">
        <v>1.9810133238156004E-5</v>
      </c>
      <c r="AC104">
        <v>2.0069042836635057E-5</v>
      </c>
      <c r="AD104">
        <v>2.0530938543930343E-5</v>
      </c>
      <c r="AE104">
        <v>2.0735281490119283E-5</v>
      </c>
    </row>
    <row r="105" spans="1:51" x14ac:dyDescent="0.35">
      <c r="A105" t="s">
        <v>53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51" x14ac:dyDescent="0.35">
      <c r="A106" t="s">
        <v>54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51" x14ac:dyDescent="0.35">
      <c r="A107" t="s">
        <v>55</v>
      </c>
      <c r="B107">
        <v>1.0649819601300229E-5</v>
      </c>
      <c r="C107">
        <v>1.0649819601300229E-5</v>
      </c>
      <c r="D107">
        <v>1.2418715270152828E-5</v>
      </c>
      <c r="E107">
        <v>1.0649819601300229E-5</v>
      </c>
      <c r="F107">
        <v>1.2830429872074075E-5</v>
      </c>
      <c r="G107">
        <v>1.3273791907188258E-5</v>
      </c>
      <c r="H107">
        <v>1.3489623341115601E-5</v>
      </c>
      <c r="I107">
        <v>1.4051558348491084E-5</v>
      </c>
      <c r="J107">
        <v>1.439362991407415E-5</v>
      </c>
      <c r="K107">
        <v>1.4421240307596216E-5</v>
      </c>
      <c r="L107">
        <v>1.4946111689770317E-5</v>
      </c>
      <c r="M107">
        <v>1.4831830847856541E-5</v>
      </c>
      <c r="N107">
        <v>1.5164865946545045E-5</v>
      </c>
      <c r="O107">
        <v>1.5403450768752316E-5</v>
      </c>
      <c r="P107">
        <v>1.5764814058998982E-5</v>
      </c>
      <c r="Q107">
        <v>1.5847919363594205E-5</v>
      </c>
      <c r="R107">
        <v>1.6712063314681503E-5</v>
      </c>
      <c r="S107">
        <v>1.6597179749942538E-5</v>
      </c>
      <c r="T107">
        <v>1.6883659925045586E-5</v>
      </c>
      <c r="U107">
        <v>1.7555339929567256E-5</v>
      </c>
      <c r="V107">
        <v>1.7769710827167562E-5</v>
      </c>
      <c r="W107">
        <v>1.8078807437923118E-5</v>
      </c>
      <c r="X107">
        <v>1.8393495697567623E-5</v>
      </c>
      <c r="Y107">
        <v>1.889549358444508E-5</v>
      </c>
      <c r="Z107">
        <v>1.9104933968683739E-5</v>
      </c>
      <c r="AA107">
        <v>1.9621928824587285E-5</v>
      </c>
      <c r="AB107">
        <v>1.9810133238156004E-5</v>
      </c>
      <c r="AC107">
        <v>2.0069042836635057E-5</v>
      </c>
      <c r="AD107">
        <v>2.0530938543930343E-5</v>
      </c>
      <c r="AE107">
        <v>2.0735281490119283E-5</v>
      </c>
    </row>
    <row r="108" spans="1:51" x14ac:dyDescent="0.35">
      <c r="A108" t="s">
        <v>56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51" x14ac:dyDescent="0.35">
      <c r="A109" t="s">
        <v>57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51" x14ac:dyDescent="0.35">
      <c r="A110" t="s">
        <v>58</v>
      </c>
      <c r="B110">
        <v>1.0649819601300229E-5</v>
      </c>
      <c r="C110">
        <v>1.0649819601300229E-5</v>
      </c>
      <c r="D110">
        <v>1.2418715270152828E-5</v>
      </c>
      <c r="E110">
        <v>1.0649819601300229E-5</v>
      </c>
      <c r="F110">
        <v>1.2830429872074075E-5</v>
      </c>
      <c r="G110">
        <v>1.3273791907188258E-5</v>
      </c>
      <c r="H110">
        <v>1.3489623341115601E-5</v>
      </c>
      <c r="I110">
        <v>1.4051558348491084E-5</v>
      </c>
      <c r="J110">
        <v>1.439362991407415E-5</v>
      </c>
      <c r="K110">
        <v>1.4421240307596216E-5</v>
      </c>
      <c r="L110">
        <v>1.4946111689770317E-5</v>
      </c>
      <c r="M110">
        <v>1.4831830847856541E-5</v>
      </c>
      <c r="N110">
        <v>1.5164865946545045E-5</v>
      </c>
      <c r="O110">
        <v>1.5403450768752316E-5</v>
      </c>
      <c r="P110">
        <v>1.5764814058998982E-5</v>
      </c>
      <c r="Q110">
        <v>1.5847919363594205E-5</v>
      </c>
      <c r="R110">
        <v>1.6712063314681503E-5</v>
      </c>
      <c r="S110">
        <v>1.6597179749942538E-5</v>
      </c>
      <c r="T110">
        <v>1.6883659925045586E-5</v>
      </c>
      <c r="U110">
        <v>1.7555339929567256E-5</v>
      </c>
      <c r="V110">
        <v>1.7769710827167562E-5</v>
      </c>
      <c r="W110">
        <v>1.8078807437923118E-5</v>
      </c>
      <c r="X110">
        <v>1.8393495697567623E-5</v>
      </c>
      <c r="Y110">
        <v>1.889549358444508E-5</v>
      </c>
      <c r="Z110">
        <v>1.9104933968683739E-5</v>
      </c>
      <c r="AA110">
        <v>1.9621928824587285E-5</v>
      </c>
      <c r="AB110">
        <v>1.9810133238156004E-5</v>
      </c>
      <c r="AC110">
        <v>2.0069042836635057E-5</v>
      </c>
      <c r="AD110">
        <v>2.0530938543930343E-5</v>
      </c>
      <c r="AE110">
        <v>2.0735281490119283E-5</v>
      </c>
    </row>
    <row r="111" spans="1:51" s="4" customFormat="1" x14ac:dyDescent="0.35">
      <c r="A111" s="6" t="s">
        <v>46</v>
      </c>
    </row>
    <row r="112" spans="1:51" x14ac:dyDescent="0.35">
      <c r="A112" t="s">
        <v>29</v>
      </c>
      <c r="B112" s="1">
        <v>2021</v>
      </c>
      <c r="C112" s="1">
        <v>2022</v>
      </c>
      <c r="D112" s="1">
        <v>2023</v>
      </c>
      <c r="E112" s="1">
        <v>2024</v>
      </c>
      <c r="F112" s="1">
        <v>2025</v>
      </c>
      <c r="G112" s="1">
        <v>2026</v>
      </c>
      <c r="H112" s="1">
        <v>2027</v>
      </c>
      <c r="I112" s="1">
        <v>2028</v>
      </c>
      <c r="J112" s="1">
        <v>2029</v>
      </c>
      <c r="K112" s="1">
        <v>2030</v>
      </c>
      <c r="L112" s="1">
        <v>2031</v>
      </c>
      <c r="M112" s="1">
        <v>2032</v>
      </c>
      <c r="N112" s="1">
        <v>2033</v>
      </c>
      <c r="O112" s="1">
        <v>2034</v>
      </c>
      <c r="P112" s="1">
        <v>2035</v>
      </c>
      <c r="Q112" s="1">
        <v>2036</v>
      </c>
      <c r="R112" s="1">
        <v>2037</v>
      </c>
      <c r="S112" s="1">
        <v>2038</v>
      </c>
      <c r="T112" s="1">
        <v>2039</v>
      </c>
      <c r="U112" s="1">
        <v>2040</v>
      </c>
      <c r="V112" s="1">
        <v>2041</v>
      </c>
      <c r="W112" s="1">
        <v>2042</v>
      </c>
      <c r="X112" s="1">
        <v>2043</v>
      </c>
      <c r="Y112" s="1">
        <v>2044</v>
      </c>
      <c r="Z112" s="1">
        <v>2045</v>
      </c>
      <c r="AA112" s="1">
        <v>2046</v>
      </c>
      <c r="AB112" s="1">
        <v>2047</v>
      </c>
      <c r="AC112" s="1">
        <v>2048</v>
      </c>
      <c r="AD112" s="1">
        <v>2049</v>
      </c>
      <c r="AE112" s="1">
        <v>2050</v>
      </c>
      <c r="AF112" s="1">
        <v>2051</v>
      </c>
      <c r="AG112" s="1">
        <v>2052</v>
      </c>
      <c r="AH112" s="1">
        <v>2053</v>
      </c>
      <c r="AI112" s="1">
        <v>2054</v>
      </c>
      <c r="AJ112" s="1">
        <v>2055</v>
      </c>
      <c r="AK112" s="1">
        <v>2056</v>
      </c>
      <c r="AL112" s="1">
        <v>2057</v>
      </c>
      <c r="AM112" s="1">
        <v>2058</v>
      </c>
      <c r="AN112" s="1">
        <v>2059</v>
      </c>
      <c r="AO112" s="1">
        <v>2060</v>
      </c>
      <c r="AP112" s="1">
        <v>2061</v>
      </c>
      <c r="AQ112" s="1">
        <v>2062</v>
      </c>
      <c r="AR112" s="1">
        <v>2063</v>
      </c>
      <c r="AS112" s="1">
        <v>2064</v>
      </c>
      <c r="AT112" s="1">
        <v>2065</v>
      </c>
      <c r="AU112" s="1">
        <v>2066</v>
      </c>
      <c r="AV112" s="1">
        <v>2067</v>
      </c>
      <c r="AW112" s="1">
        <v>2068</v>
      </c>
      <c r="AX112" s="1">
        <v>2069</v>
      </c>
      <c r="AY112" s="1">
        <v>2070</v>
      </c>
    </row>
    <row r="113" spans="1:51" x14ac:dyDescent="0.35">
      <c r="A113" t="s">
        <v>51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51" x14ac:dyDescent="0.35">
      <c r="A114" t="s">
        <v>52</v>
      </c>
      <c r="B114">
        <v>1.41942E-5</v>
      </c>
      <c r="C114">
        <v>1.41942E-5</v>
      </c>
      <c r="D114">
        <v>1.5238794805194808E-5</v>
      </c>
      <c r="E114">
        <v>1.41942E-5</v>
      </c>
      <c r="F114">
        <v>1.6418572467532465E-5</v>
      </c>
      <c r="G114">
        <v>1.6455440519480517E-5</v>
      </c>
      <c r="H114">
        <v>1.6369415064935064E-5</v>
      </c>
      <c r="I114">
        <v>1.6504597922077918E-5</v>
      </c>
      <c r="J114">
        <v>1.6713516883116882E-5</v>
      </c>
      <c r="K114">
        <v>1.6860989090909088E-5</v>
      </c>
      <c r="L114">
        <v>1.7217380259740255E-5</v>
      </c>
      <c r="M114">
        <v>1.7229669610389608E-5</v>
      </c>
      <c r="N114">
        <v>1.7708954285714286E-5</v>
      </c>
      <c r="O114">
        <v>1.7967030649350648E-5</v>
      </c>
      <c r="P114">
        <v>1.8298843116883116E-5</v>
      </c>
      <c r="Q114">
        <v>1.8470894025974021E-5</v>
      </c>
      <c r="R114">
        <v>1.8790417142857137E-5</v>
      </c>
      <c r="S114">
        <v>1.8999336103896104E-5</v>
      </c>
      <c r="T114">
        <v>1.9257412467532465E-5</v>
      </c>
      <c r="U114">
        <v>1.9478620779220779E-5</v>
      </c>
      <c r="V114">
        <v>1.9712118441558441E-5</v>
      </c>
      <c r="W114">
        <v>1.9921037402597405E-5</v>
      </c>
      <c r="X114">
        <v>2.0203692467532469E-5</v>
      </c>
      <c r="Y114">
        <v>2.0461768831168827E-5</v>
      </c>
      <c r="Z114">
        <v>2.0596951688311691E-5</v>
      </c>
      <c r="AA114">
        <v>2.0805870649350648E-5</v>
      </c>
      <c r="AB114">
        <v>2.0855028051948049E-5</v>
      </c>
      <c r="AC114">
        <v>2.083044935064935E-5</v>
      </c>
      <c r="AD114">
        <v>2.0695266493506493E-5</v>
      </c>
      <c r="AE114">
        <v>2.1014789610389608E-5</v>
      </c>
    </row>
    <row r="115" spans="1:51" x14ac:dyDescent="0.35">
      <c r="A115" t="s">
        <v>53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51" x14ac:dyDescent="0.35">
      <c r="A116" t="s">
        <v>54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51" x14ac:dyDescent="0.35">
      <c r="A117" t="s">
        <v>55</v>
      </c>
      <c r="B117">
        <v>1.41942E-5</v>
      </c>
      <c r="C117">
        <v>1.41942E-5</v>
      </c>
      <c r="D117">
        <v>2.540840220994475E-5</v>
      </c>
      <c r="E117">
        <v>1.41942E-5</v>
      </c>
      <c r="F117">
        <v>2.0663932044198895E-5</v>
      </c>
      <c r="G117">
        <v>2.7368927071823202E-5</v>
      </c>
      <c r="H117">
        <v>3.3564185635359121E-5</v>
      </c>
      <c r="I117">
        <v>4.0465233149171267E-5</v>
      </c>
      <c r="J117">
        <v>4.7131017679558006E-5</v>
      </c>
      <c r="K117">
        <v>4.7013386187845305E-5</v>
      </c>
      <c r="L117">
        <v>4.8817069060773475E-5</v>
      </c>
      <c r="M117">
        <v>4.8189701104972373E-5</v>
      </c>
      <c r="N117">
        <v>4.9954173480662978E-5</v>
      </c>
      <c r="O117">
        <v>5.0738383425414365E-5</v>
      </c>
      <c r="P117">
        <v>5.2071540331491711E-5</v>
      </c>
      <c r="Q117">
        <v>5.2385224309392262E-5</v>
      </c>
      <c r="R117">
        <v>5.3326276243093915E-5</v>
      </c>
      <c r="S117">
        <v>5.3600749723756901E-5</v>
      </c>
      <c r="T117">
        <v>5.4541801657458554E-5</v>
      </c>
      <c r="U117">
        <v>5.5443643093922648E-5</v>
      </c>
      <c r="V117">
        <v>5.6227853038674029E-5</v>
      </c>
      <c r="W117">
        <v>5.6972852486187838E-5</v>
      </c>
      <c r="X117">
        <v>5.8149167403314913E-5</v>
      </c>
      <c r="Y117">
        <v>5.952153480662983E-5</v>
      </c>
      <c r="Z117">
        <v>6.065863922651934E-5</v>
      </c>
      <c r="AA117">
        <v>6.1560480662983428E-5</v>
      </c>
      <c r="AB117">
        <v>6.238390110497238E-5</v>
      </c>
      <c r="AC117">
        <v>6.3011269060773482E-5</v>
      </c>
      <c r="AD117">
        <v>6.3324953038674026E-5</v>
      </c>
      <c r="AE117">
        <v>6.4618899447513808E-5</v>
      </c>
    </row>
    <row r="118" spans="1:51" x14ac:dyDescent="0.35">
      <c r="A118" t="s">
        <v>56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51" x14ac:dyDescent="0.35">
      <c r="A119" t="s">
        <v>57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51" x14ac:dyDescent="0.35">
      <c r="A120" t="s">
        <v>58</v>
      </c>
      <c r="B120">
        <v>1.41942E-5</v>
      </c>
      <c r="C120">
        <v>1.41942E-5</v>
      </c>
      <c r="D120">
        <v>2.540840220994475E-5</v>
      </c>
      <c r="E120">
        <v>1.41942E-5</v>
      </c>
      <c r="F120">
        <v>2.0663932044198895E-5</v>
      </c>
      <c r="G120">
        <v>2.7368927071823202E-5</v>
      </c>
      <c r="H120">
        <v>3.3564185635359121E-5</v>
      </c>
      <c r="I120">
        <v>4.0465233149171267E-5</v>
      </c>
      <c r="J120">
        <v>4.7131017679558006E-5</v>
      </c>
      <c r="K120">
        <v>4.7013386187845305E-5</v>
      </c>
      <c r="L120">
        <v>4.8817069060773475E-5</v>
      </c>
      <c r="M120">
        <v>4.8189701104972373E-5</v>
      </c>
      <c r="N120">
        <v>4.9954173480662978E-5</v>
      </c>
      <c r="O120">
        <v>5.0738383425414365E-5</v>
      </c>
      <c r="P120">
        <v>5.2071540331491711E-5</v>
      </c>
      <c r="Q120">
        <v>5.2385224309392262E-5</v>
      </c>
      <c r="R120">
        <v>5.3326276243093915E-5</v>
      </c>
      <c r="S120">
        <v>5.3600749723756901E-5</v>
      </c>
      <c r="T120">
        <v>5.4541801657458554E-5</v>
      </c>
      <c r="U120">
        <v>5.5443643093922648E-5</v>
      </c>
      <c r="V120">
        <v>5.6227853038674029E-5</v>
      </c>
      <c r="W120">
        <v>5.6972852486187838E-5</v>
      </c>
      <c r="X120">
        <v>5.8149167403314913E-5</v>
      </c>
      <c r="Y120">
        <v>5.952153480662983E-5</v>
      </c>
      <c r="Z120">
        <v>6.065863922651934E-5</v>
      </c>
      <c r="AA120">
        <v>6.1560480662983428E-5</v>
      </c>
      <c r="AB120">
        <v>6.238390110497238E-5</v>
      </c>
      <c r="AC120">
        <v>6.3011269060773482E-5</v>
      </c>
      <c r="AD120">
        <v>6.3324953038674026E-5</v>
      </c>
      <c r="AE120">
        <v>6.4618899447513808E-5</v>
      </c>
    </row>
    <row r="121" spans="1:51" s="4" customFormat="1" x14ac:dyDescent="0.35">
      <c r="A121" s="6" t="s">
        <v>47</v>
      </c>
    </row>
    <row r="122" spans="1:51" x14ac:dyDescent="0.35">
      <c r="A122" t="s">
        <v>29</v>
      </c>
      <c r="B122" s="1">
        <v>2021</v>
      </c>
      <c r="C122" s="1">
        <v>2022</v>
      </c>
      <c r="D122" s="1">
        <v>2023</v>
      </c>
      <c r="E122" s="1">
        <v>2024</v>
      </c>
      <c r="F122" s="1">
        <v>2025</v>
      </c>
      <c r="G122" s="1">
        <v>2026</v>
      </c>
      <c r="H122" s="1">
        <v>2027</v>
      </c>
      <c r="I122" s="1">
        <v>2028</v>
      </c>
      <c r="J122" s="1">
        <v>2029</v>
      </c>
      <c r="K122" s="1">
        <v>2030</v>
      </c>
      <c r="L122" s="1">
        <v>2031</v>
      </c>
      <c r="M122" s="1">
        <v>2032</v>
      </c>
      <c r="N122" s="1">
        <v>2033</v>
      </c>
      <c r="O122" s="1">
        <v>2034</v>
      </c>
      <c r="P122" s="1">
        <v>2035</v>
      </c>
      <c r="Q122" s="1">
        <v>2036</v>
      </c>
      <c r="R122" s="1">
        <v>2037</v>
      </c>
      <c r="S122" s="1">
        <v>2038</v>
      </c>
      <c r="T122" s="1">
        <v>2039</v>
      </c>
      <c r="U122" s="1">
        <v>2040</v>
      </c>
      <c r="V122" s="1">
        <v>2041</v>
      </c>
      <c r="W122" s="1">
        <v>2042</v>
      </c>
      <c r="X122" s="1">
        <v>2043</v>
      </c>
      <c r="Y122" s="1">
        <v>2044</v>
      </c>
      <c r="Z122" s="1">
        <v>2045</v>
      </c>
      <c r="AA122" s="1">
        <v>2046</v>
      </c>
      <c r="AB122" s="1">
        <v>2047</v>
      </c>
      <c r="AC122" s="1">
        <v>2048</v>
      </c>
      <c r="AD122" s="1">
        <v>2049</v>
      </c>
      <c r="AE122" s="1">
        <v>2050</v>
      </c>
      <c r="AF122" s="1">
        <v>2051</v>
      </c>
      <c r="AG122" s="1">
        <v>2052</v>
      </c>
      <c r="AH122" s="1">
        <v>2053</v>
      </c>
      <c r="AI122" s="1">
        <v>2054</v>
      </c>
      <c r="AJ122" s="1">
        <v>2055</v>
      </c>
      <c r="AK122" s="1">
        <v>2056</v>
      </c>
      <c r="AL122" s="1">
        <v>2057</v>
      </c>
      <c r="AM122" s="1">
        <v>2058</v>
      </c>
      <c r="AN122" s="1">
        <v>2059</v>
      </c>
      <c r="AO122" s="1">
        <v>2060</v>
      </c>
      <c r="AP122" s="1">
        <v>2061</v>
      </c>
      <c r="AQ122" s="1">
        <v>2062</v>
      </c>
      <c r="AR122" s="1">
        <v>2063</v>
      </c>
      <c r="AS122" s="1">
        <v>2064</v>
      </c>
      <c r="AT122" s="1">
        <v>2065</v>
      </c>
      <c r="AU122" s="1">
        <v>2066</v>
      </c>
      <c r="AV122" s="1">
        <v>2067</v>
      </c>
      <c r="AW122" s="1">
        <v>2068</v>
      </c>
      <c r="AX122" s="1">
        <v>2069</v>
      </c>
      <c r="AY122" s="1">
        <v>2070</v>
      </c>
    </row>
    <row r="123" spans="1:51" x14ac:dyDescent="0.35">
      <c r="A123" t="s">
        <v>51</v>
      </c>
      <c r="B123">
        <v>1.1741802274620854E-5</v>
      </c>
      <c r="C123">
        <v>1.1741802274620854E-5</v>
      </c>
      <c r="D123">
        <v>1.2859101799022493E-5</v>
      </c>
      <c r="E123">
        <v>1.1741802274620854E-5</v>
      </c>
      <c r="F123">
        <v>1.2310609305225321E-5</v>
      </c>
      <c r="G123">
        <v>1.310287624071012E-5</v>
      </c>
      <c r="H123">
        <v>1.3590425124085383E-5</v>
      </c>
      <c r="I123">
        <v>1.413891761788255E-5</v>
      </c>
      <c r="J123">
        <v>1.4951499090174648E-5</v>
      </c>
      <c r="K123">
        <v>1.57336087572558E-5</v>
      </c>
      <c r="L123">
        <v>1.6119584956594545E-5</v>
      </c>
      <c r="M123">
        <v>1.6343044861474872E-5</v>
      </c>
      <c r="N123">
        <v>1.6444617545511385E-5</v>
      </c>
      <c r="O123">
        <v>1.6363359398282174E-5</v>
      </c>
      <c r="P123">
        <v>1.6383673935089476E-5</v>
      </c>
      <c r="Q123">
        <v>1.6475089350722334E-5</v>
      </c>
      <c r="R123">
        <v>1.6779807402831876E-5</v>
      </c>
      <c r="S123">
        <v>1.704389638132681E-5</v>
      </c>
      <c r="T123">
        <v>1.7307985359821741E-5</v>
      </c>
      <c r="U123">
        <v>1.7622860680334929E-5</v>
      </c>
      <c r="V123">
        <v>1.7958050537655424E-5</v>
      </c>
      <c r="W123">
        <v>1.8262768589764958E-5</v>
      </c>
      <c r="X123">
        <v>1.8547172105067194E-5</v>
      </c>
      <c r="Y123">
        <v>1.8790946546754823E-5</v>
      </c>
      <c r="Z123">
        <v>1.9024563720038801E-5</v>
      </c>
      <c r="AA123">
        <v>1.9400382650973903E-5</v>
      </c>
      <c r="AB123">
        <v>1.9674628897872488E-5</v>
      </c>
      <c r="AC123">
        <v>1.994887514477107E-5</v>
      </c>
      <c r="AD123">
        <v>2.0233278660073302E-5</v>
      </c>
      <c r="AE123">
        <v>2.0497367638568236E-5</v>
      </c>
    </row>
    <row r="124" spans="1:51" x14ac:dyDescent="0.35">
      <c r="A124" t="s">
        <v>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51" x14ac:dyDescent="0.35">
      <c r="A125" t="s">
        <v>53</v>
      </c>
      <c r="B125">
        <v>1.1741802274620854E-5</v>
      </c>
      <c r="C125">
        <v>1.1741802274620854E-5</v>
      </c>
      <c r="D125">
        <v>1.1892052825054392E-5</v>
      </c>
      <c r="E125">
        <v>1.1741802274620854E-5</v>
      </c>
      <c r="F125">
        <v>1.1947701177066808E-5</v>
      </c>
      <c r="G125">
        <v>1.2342804476354999E-5</v>
      </c>
      <c r="H125">
        <v>1.2732342940441947E-5</v>
      </c>
      <c r="I125">
        <v>1.3160835250937588E-5</v>
      </c>
      <c r="J125">
        <v>1.3706189100659316E-5</v>
      </c>
      <c r="K125">
        <v>1.4296061631990982E-5</v>
      </c>
      <c r="L125">
        <v>1.476907262409656E-5</v>
      </c>
      <c r="M125">
        <v>1.5130786912177297E-5</v>
      </c>
      <c r="N125">
        <v>1.5386769331434433E-5</v>
      </c>
      <c r="O125">
        <v>1.5603797904282877E-5</v>
      </c>
      <c r="P125">
        <v>1.5687270432301509E-5</v>
      </c>
      <c r="Q125">
        <v>1.5776307795521383E-5</v>
      </c>
      <c r="R125">
        <v>1.5954382521961128E-5</v>
      </c>
      <c r="S125">
        <v>1.6138022083602119E-5</v>
      </c>
      <c r="T125">
        <v>1.6343920986048078E-5</v>
      </c>
      <c r="U125">
        <v>1.6572079229299004E-5</v>
      </c>
      <c r="V125">
        <v>1.68224968133549E-5</v>
      </c>
      <c r="W125">
        <v>1.7078479232612037E-5</v>
      </c>
      <c r="X125">
        <v>1.7323331981466687E-5</v>
      </c>
      <c r="Y125">
        <v>1.7551490224717613E-5</v>
      </c>
      <c r="Z125">
        <v>1.7768518797566057E-5</v>
      </c>
      <c r="AA125">
        <v>1.8035630887225676E-5</v>
      </c>
      <c r="AB125">
        <v>1.8280483636080333E-5</v>
      </c>
      <c r="AC125">
        <v>1.8519771549733743E-5</v>
      </c>
      <c r="AD125">
        <v>1.8759059463387154E-5</v>
      </c>
      <c r="AE125">
        <v>1.898721770663808E-5</v>
      </c>
    </row>
    <row r="126" spans="1:51" x14ac:dyDescent="0.35">
      <c r="A126" t="s">
        <v>54</v>
      </c>
      <c r="B126">
        <v>1.1741802274620854E-5</v>
      </c>
      <c r="C126">
        <v>1.1741802274620854E-5</v>
      </c>
      <c r="D126">
        <v>1.2505090757843474E-5</v>
      </c>
      <c r="E126">
        <v>1.1741802274620854E-5</v>
      </c>
      <c r="F126">
        <v>1.2055677912581555E-5</v>
      </c>
      <c r="G126">
        <v>1.2583559667333648E-5</v>
      </c>
      <c r="H126">
        <v>1.2947370065879008E-5</v>
      </c>
      <c r="I126">
        <v>1.3346848150556268E-5</v>
      </c>
      <c r="J126">
        <v>1.3903264054213877E-5</v>
      </c>
      <c r="K126">
        <v>1.4445412883418728E-5</v>
      </c>
      <c r="L126">
        <v>1.4745021446926675E-5</v>
      </c>
      <c r="M126">
        <v>1.4923359877586161E-5</v>
      </c>
      <c r="N126">
        <v>1.5001828787076339E-5</v>
      </c>
      <c r="O126">
        <v>1.5108831845472031E-5</v>
      </c>
      <c r="P126">
        <v>1.5115965382698415E-5</v>
      </c>
      <c r="Q126">
        <v>1.5173033680509448E-5</v>
      </c>
      <c r="R126">
        <v>1.5379906260074458E-5</v>
      </c>
      <c r="S126">
        <v>1.5558244690733949E-5</v>
      </c>
      <c r="T126">
        <v>1.574371665861982E-5</v>
      </c>
      <c r="U126">
        <v>1.5950589238184831E-5</v>
      </c>
      <c r="V126">
        <v>1.6171728892202598E-5</v>
      </c>
      <c r="W126">
        <v>1.6385735008993986E-5</v>
      </c>
      <c r="X126">
        <v>1.6571206976879854E-5</v>
      </c>
      <c r="Y126">
        <v>1.6735278333086588E-5</v>
      </c>
      <c r="Z126">
        <v>1.6892216152066938E-5</v>
      </c>
      <c r="AA126">
        <v>1.7134756417763843E-5</v>
      </c>
      <c r="AB126">
        <v>1.7320228385649714E-5</v>
      </c>
      <c r="AC126">
        <v>1.7498566816309205E-5</v>
      </c>
      <c r="AD126">
        <v>1.7684038784195072E-5</v>
      </c>
      <c r="AE126">
        <v>1.785524367762819E-5</v>
      </c>
    </row>
    <row r="127" spans="1:51" x14ac:dyDescent="0.35">
      <c r="A127" t="s">
        <v>55</v>
      </c>
      <c r="B127">
        <v>1.1741802274620854E-5</v>
      </c>
      <c r="C127">
        <v>1.1741802274620854E-5</v>
      </c>
      <c r="D127">
        <v>1.2859101799022493E-5</v>
      </c>
      <c r="E127">
        <v>1.1741802274620854E-5</v>
      </c>
      <c r="F127">
        <v>1.2310609305225321E-5</v>
      </c>
      <c r="G127">
        <v>1.310287624071012E-5</v>
      </c>
      <c r="H127">
        <v>1.3590425124085383E-5</v>
      </c>
      <c r="I127">
        <v>1.413891761788255E-5</v>
      </c>
      <c r="J127">
        <v>1.4951499090174648E-5</v>
      </c>
      <c r="K127">
        <v>1.57336087572558E-5</v>
      </c>
      <c r="L127">
        <v>1.6119584956594545E-5</v>
      </c>
      <c r="M127">
        <v>1.6343044861474872E-5</v>
      </c>
      <c r="N127">
        <v>1.6444617545511385E-5</v>
      </c>
      <c r="O127">
        <v>1.6363359398282174E-5</v>
      </c>
      <c r="P127">
        <v>1.6383673935089476E-5</v>
      </c>
      <c r="Q127">
        <v>1.6475089350722334E-5</v>
      </c>
      <c r="R127">
        <v>1.6779807402831876E-5</v>
      </c>
      <c r="S127">
        <v>1.704389638132681E-5</v>
      </c>
      <c r="T127">
        <v>1.7307985359821741E-5</v>
      </c>
      <c r="U127">
        <v>1.7622860680334929E-5</v>
      </c>
      <c r="V127">
        <v>1.7958050537655424E-5</v>
      </c>
      <c r="W127">
        <v>1.8262768589764958E-5</v>
      </c>
      <c r="X127">
        <v>1.8547172105067194E-5</v>
      </c>
      <c r="Y127">
        <v>1.8790946546754823E-5</v>
      </c>
      <c r="Z127">
        <v>1.9024563720038801E-5</v>
      </c>
      <c r="AA127">
        <v>1.9400382650973903E-5</v>
      </c>
      <c r="AB127">
        <v>1.9674628897872488E-5</v>
      </c>
      <c r="AC127">
        <v>1.994887514477107E-5</v>
      </c>
      <c r="AD127">
        <v>2.0233278660073302E-5</v>
      </c>
      <c r="AE127">
        <v>2.0497367638568236E-5</v>
      </c>
    </row>
    <row r="128" spans="1:51" x14ac:dyDescent="0.35">
      <c r="A128" t="s">
        <v>56</v>
      </c>
      <c r="B128">
        <v>1.1741802274620854E-5</v>
      </c>
      <c r="C128">
        <v>1.1741802274620854E-5</v>
      </c>
      <c r="D128">
        <v>1.2859101799022493E-5</v>
      </c>
      <c r="E128">
        <v>1.1741802274620854E-5</v>
      </c>
      <c r="F128">
        <v>1.2310609305225321E-5</v>
      </c>
      <c r="G128">
        <v>1.310287624071012E-5</v>
      </c>
      <c r="H128">
        <v>1.3590425124085383E-5</v>
      </c>
      <c r="I128">
        <v>1.413891761788255E-5</v>
      </c>
      <c r="J128">
        <v>1.4951499090174648E-5</v>
      </c>
      <c r="K128">
        <v>1.57336087572558E-5</v>
      </c>
      <c r="L128">
        <v>1.6119584956594545E-5</v>
      </c>
      <c r="M128">
        <v>1.6343044861474872E-5</v>
      </c>
      <c r="N128">
        <v>1.6444617545511385E-5</v>
      </c>
      <c r="O128">
        <v>1.6363359398282174E-5</v>
      </c>
      <c r="P128">
        <v>1.6383673935089476E-5</v>
      </c>
      <c r="Q128">
        <v>1.6475089350722334E-5</v>
      </c>
      <c r="R128">
        <v>1.6779807402831876E-5</v>
      </c>
      <c r="S128">
        <v>1.704389638132681E-5</v>
      </c>
      <c r="T128">
        <v>1.7307985359821741E-5</v>
      </c>
      <c r="U128">
        <v>1.7622860680334929E-5</v>
      </c>
      <c r="V128">
        <v>1.7958050537655424E-5</v>
      </c>
      <c r="W128">
        <v>1.8262768589764958E-5</v>
      </c>
      <c r="X128">
        <v>1.8547172105067194E-5</v>
      </c>
      <c r="Y128">
        <v>1.8790946546754823E-5</v>
      </c>
      <c r="Z128">
        <v>1.9024563720038801E-5</v>
      </c>
      <c r="AA128">
        <v>1.9400382650973903E-5</v>
      </c>
      <c r="AB128">
        <v>1.9674628897872488E-5</v>
      </c>
      <c r="AC128">
        <v>1.994887514477107E-5</v>
      </c>
      <c r="AD128">
        <v>2.0233278660073302E-5</v>
      </c>
      <c r="AE128">
        <v>2.0497367638568236E-5</v>
      </c>
    </row>
    <row r="129" spans="1:51" x14ac:dyDescent="0.35">
      <c r="A129" t="s">
        <v>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51" x14ac:dyDescent="0.35">
      <c r="A130" t="s">
        <v>58</v>
      </c>
      <c r="B130">
        <v>1.1741802274620854E-5</v>
      </c>
      <c r="C130">
        <v>1.1741802274620854E-5</v>
      </c>
      <c r="D130">
        <v>1.2859101799022493E-5</v>
      </c>
      <c r="E130">
        <v>1.1741802274620854E-5</v>
      </c>
      <c r="F130">
        <v>1.2310609305225321E-5</v>
      </c>
      <c r="G130">
        <v>1.310287624071012E-5</v>
      </c>
      <c r="H130">
        <v>1.3590425124085383E-5</v>
      </c>
      <c r="I130">
        <v>1.413891761788255E-5</v>
      </c>
      <c r="J130">
        <v>1.4951499090174648E-5</v>
      </c>
      <c r="K130">
        <v>1.57336087572558E-5</v>
      </c>
      <c r="L130">
        <v>1.6119584956594545E-5</v>
      </c>
      <c r="M130">
        <v>1.6343044861474872E-5</v>
      </c>
      <c r="N130">
        <v>1.6444617545511385E-5</v>
      </c>
      <c r="O130">
        <v>1.6363359398282174E-5</v>
      </c>
      <c r="P130">
        <v>1.6383673935089476E-5</v>
      </c>
      <c r="Q130">
        <v>1.6475089350722334E-5</v>
      </c>
      <c r="R130">
        <v>1.6779807402831876E-5</v>
      </c>
      <c r="S130">
        <v>1.704389638132681E-5</v>
      </c>
      <c r="T130">
        <v>1.7307985359821741E-5</v>
      </c>
      <c r="U130">
        <v>1.7622860680334929E-5</v>
      </c>
      <c r="V130">
        <v>1.7958050537655424E-5</v>
      </c>
      <c r="W130">
        <v>1.8262768589764958E-5</v>
      </c>
      <c r="X130">
        <v>1.8547172105067194E-5</v>
      </c>
      <c r="Y130">
        <v>1.8790946546754823E-5</v>
      </c>
      <c r="Z130">
        <v>1.9024563720038801E-5</v>
      </c>
      <c r="AA130">
        <v>1.9400382650973903E-5</v>
      </c>
      <c r="AB130">
        <v>1.9674628897872488E-5</v>
      </c>
      <c r="AC130">
        <v>1.994887514477107E-5</v>
      </c>
      <c r="AD130">
        <v>2.0233278660073302E-5</v>
      </c>
      <c r="AE130">
        <v>2.0497367638568236E-5</v>
      </c>
    </row>
    <row r="131" spans="1:51" s="4" customFormat="1" x14ac:dyDescent="0.35">
      <c r="A131" s="6" t="s">
        <v>48</v>
      </c>
    </row>
    <row r="132" spans="1:51" x14ac:dyDescent="0.35">
      <c r="A132" t="s">
        <v>29</v>
      </c>
      <c r="B132" s="1">
        <v>2021</v>
      </c>
      <c r="C132" s="1">
        <v>2022</v>
      </c>
      <c r="D132" s="1">
        <v>2023</v>
      </c>
      <c r="E132" s="1">
        <v>2024</v>
      </c>
      <c r="F132" s="1">
        <v>2025</v>
      </c>
      <c r="G132" s="1">
        <v>2026</v>
      </c>
      <c r="H132" s="1">
        <v>2027</v>
      </c>
      <c r="I132" s="1">
        <v>2028</v>
      </c>
      <c r="J132" s="1">
        <v>2029</v>
      </c>
      <c r="K132" s="1">
        <v>2030</v>
      </c>
      <c r="L132" s="1">
        <v>2031</v>
      </c>
      <c r="M132" s="1">
        <v>2032</v>
      </c>
      <c r="N132" s="1">
        <v>2033</v>
      </c>
      <c r="O132" s="1">
        <v>2034</v>
      </c>
      <c r="P132" s="1">
        <v>2035</v>
      </c>
      <c r="Q132" s="1">
        <v>2036</v>
      </c>
      <c r="R132" s="1">
        <v>2037</v>
      </c>
      <c r="S132" s="1">
        <v>2038</v>
      </c>
      <c r="T132" s="1">
        <v>2039</v>
      </c>
      <c r="U132" s="1">
        <v>2040</v>
      </c>
      <c r="V132" s="1">
        <v>2041</v>
      </c>
      <c r="W132" s="1">
        <v>2042</v>
      </c>
      <c r="X132" s="1">
        <v>2043</v>
      </c>
      <c r="Y132" s="1">
        <v>2044</v>
      </c>
      <c r="Z132" s="1">
        <v>2045</v>
      </c>
      <c r="AA132" s="1">
        <v>2046</v>
      </c>
      <c r="AB132" s="1">
        <v>2047</v>
      </c>
      <c r="AC132" s="1">
        <v>2048</v>
      </c>
      <c r="AD132" s="1">
        <v>2049</v>
      </c>
      <c r="AE132" s="1">
        <v>2050</v>
      </c>
      <c r="AF132" s="1">
        <v>2051</v>
      </c>
      <c r="AG132" s="1">
        <v>2052</v>
      </c>
      <c r="AH132" s="1">
        <v>2053</v>
      </c>
      <c r="AI132" s="1">
        <v>2054</v>
      </c>
      <c r="AJ132" s="1">
        <v>2055</v>
      </c>
      <c r="AK132" s="1">
        <v>2056</v>
      </c>
      <c r="AL132" s="1">
        <v>2057</v>
      </c>
      <c r="AM132" s="1">
        <v>2058</v>
      </c>
      <c r="AN132" s="1">
        <v>2059</v>
      </c>
      <c r="AO132" s="1">
        <v>2060</v>
      </c>
      <c r="AP132" s="1">
        <v>2061</v>
      </c>
      <c r="AQ132" s="1">
        <v>2062</v>
      </c>
      <c r="AR132" s="1">
        <v>2063</v>
      </c>
      <c r="AS132" s="1">
        <v>2064</v>
      </c>
      <c r="AT132" s="1">
        <v>2065</v>
      </c>
      <c r="AU132" s="1">
        <v>2066</v>
      </c>
      <c r="AV132" s="1">
        <v>2067</v>
      </c>
      <c r="AW132" s="1">
        <v>2068</v>
      </c>
      <c r="AX132" s="1">
        <v>2069</v>
      </c>
      <c r="AY132" s="1">
        <v>2070</v>
      </c>
    </row>
    <row r="133" spans="1:51" x14ac:dyDescent="0.35">
      <c r="A133" t="s">
        <v>51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51" x14ac:dyDescent="0.35">
      <c r="A134" t="s">
        <v>52</v>
      </c>
      <c r="B134">
        <v>2.0261479263456279E-6</v>
      </c>
      <c r="C134">
        <v>2.0261479263456279E-6</v>
      </c>
      <c r="D134">
        <v>2.0261479263456279E-6</v>
      </c>
      <c r="E134">
        <v>2.0261479263456279E-6</v>
      </c>
      <c r="F134">
        <v>2.0261479263456279E-6</v>
      </c>
      <c r="G134">
        <v>2.0261479263456279E-6</v>
      </c>
      <c r="H134">
        <v>2.0261479263456279E-6</v>
      </c>
      <c r="I134">
        <v>2.0261479263456279E-6</v>
      </c>
      <c r="J134">
        <v>2.0261479263456279E-6</v>
      </c>
      <c r="K134">
        <v>2.0261479263456279E-6</v>
      </c>
      <c r="L134">
        <v>2.0261479263456279E-6</v>
      </c>
      <c r="M134">
        <v>2.0261479263456279E-6</v>
      </c>
      <c r="N134">
        <v>2.0261479263456279E-6</v>
      </c>
      <c r="O134">
        <v>2.0261479263456279E-6</v>
      </c>
      <c r="P134">
        <v>2.0261479263456279E-6</v>
      </c>
      <c r="Q134">
        <v>2.0261479263456279E-6</v>
      </c>
      <c r="R134">
        <v>2.0261479263456279E-6</v>
      </c>
      <c r="S134">
        <v>2.0261479263456279E-6</v>
      </c>
      <c r="T134">
        <v>2.0261479263456279E-6</v>
      </c>
      <c r="U134">
        <v>2.0261479263456279E-6</v>
      </c>
      <c r="V134">
        <v>2.0261479263456279E-6</v>
      </c>
      <c r="W134">
        <v>2.0261479263456279E-6</v>
      </c>
      <c r="X134">
        <v>2.0261479263456279E-6</v>
      </c>
      <c r="Y134">
        <v>2.0261479263456279E-6</v>
      </c>
      <c r="Z134">
        <v>2.0261479263456279E-6</v>
      </c>
      <c r="AA134">
        <v>2.0261479263456279E-6</v>
      </c>
      <c r="AB134">
        <v>2.0261479263456279E-6</v>
      </c>
      <c r="AC134">
        <v>2.0261479263456279E-6</v>
      </c>
      <c r="AD134">
        <v>2.0261479263456279E-6</v>
      </c>
      <c r="AE134">
        <v>2.0261479263456279E-6</v>
      </c>
    </row>
    <row r="135" spans="1:51" x14ac:dyDescent="0.35">
      <c r="A135" t="s">
        <v>53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51" x14ac:dyDescent="0.35">
      <c r="A136" t="s">
        <v>54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51" x14ac:dyDescent="0.35">
      <c r="A137" t="s">
        <v>55</v>
      </c>
      <c r="B137">
        <v>2.0261479263456279E-6</v>
      </c>
      <c r="C137">
        <v>2.0261479263456279E-6</v>
      </c>
      <c r="D137">
        <v>2.0261479263456279E-6</v>
      </c>
      <c r="E137">
        <v>2.0261479263456279E-6</v>
      </c>
      <c r="F137">
        <v>2.0261479263456279E-6</v>
      </c>
      <c r="G137">
        <v>2.0261479263456279E-6</v>
      </c>
      <c r="H137">
        <v>2.0261479263456279E-6</v>
      </c>
      <c r="I137">
        <v>2.0261479263456279E-6</v>
      </c>
      <c r="J137">
        <v>2.0261479263456279E-6</v>
      </c>
      <c r="K137">
        <v>2.0261479263456279E-6</v>
      </c>
      <c r="L137">
        <v>2.0261479263456279E-6</v>
      </c>
      <c r="M137">
        <v>2.0261479263456279E-6</v>
      </c>
      <c r="N137">
        <v>2.0261479263456279E-6</v>
      </c>
      <c r="O137">
        <v>2.0261479263456279E-6</v>
      </c>
      <c r="P137">
        <v>2.0261479263456279E-6</v>
      </c>
      <c r="Q137">
        <v>2.0261479263456279E-6</v>
      </c>
      <c r="R137">
        <v>2.0261479263456279E-6</v>
      </c>
      <c r="S137">
        <v>2.0261479263456279E-6</v>
      </c>
      <c r="T137">
        <v>2.0261479263456279E-6</v>
      </c>
      <c r="U137">
        <v>2.0261479263456279E-6</v>
      </c>
      <c r="V137">
        <v>2.0261479263456279E-6</v>
      </c>
      <c r="W137">
        <v>2.0261479263456279E-6</v>
      </c>
      <c r="X137">
        <v>2.0261479263456279E-6</v>
      </c>
      <c r="Y137">
        <v>2.0261479263456279E-6</v>
      </c>
      <c r="Z137">
        <v>2.0261479263456279E-6</v>
      </c>
      <c r="AA137">
        <v>2.0261479263456279E-6</v>
      </c>
      <c r="AB137">
        <v>2.0261479263456279E-6</v>
      </c>
      <c r="AC137">
        <v>2.0261479263456279E-6</v>
      </c>
      <c r="AD137">
        <v>2.0261479263456279E-6</v>
      </c>
      <c r="AE137">
        <v>2.0261479263456279E-6</v>
      </c>
    </row>
    <row r="138" spans="1:51" x14ac:dyDescent="0.35">
      <c r="A138" t="s">
        <v>56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51" x14ac:dyDescent="0.35">
      <c r="A139" t="s">
        <v>57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51" x14ac:dyDescent="0.35">
      <c r="A140" t="s">
        <v>58</v>
      </c>
      <c r="B140">
        <v>2.0261479263456279E-6</v>
      </c>
      <c r="C140">
        <v>2.0261479263456279E-6</v>
      </c>
      <c r="D140">
        <v>2.0261479263456279E-6</v>
      </c>
      <c r="E140">
        <v>2.0261479263456279E-6</v>
      </c>
      <c r="F140">
        <v>2.0261479263456279E-6</v>
      </c>
      <c r="G140">
        <v>2.0261479263456279E-6</v>
      </c>
      <c r="H140">
        <v>2.0261479263456279E-6</v>
      </c>
      <c r="I140">
        <v>2.0261479263456279E-6</v>
      </c>
      <c r="J140">
        <v>2.0261479263456279E-6</v>
      </c>
      <c r="K140">
        <v>2.0261479263456279E-6</v>
      </c>
      <c r="L140">
        <v>2.0261479263456279E-6</v>
      </c>
      <c r="M140">
        <v>2.0261479263456279E-6</v>
      </c>
      <c r="N140">
        <v>2.0261479263456279E-6</v>
      </c>
      <c r="O140">
        <v>2.0261479263456279E-6</v>
      </c>
      <c r="P140">
        <v>2.0261479263456279E-6</v>
      </c>
      <c r="Q140">
        <v>2.0261479263456279E-6</v>
      </c>
      <c r="R140">
        <v>2.0261479263456279E-6</v>
      </c>
      <c r="S140">
        <v>2.0261479263456279E-6</v>
      </c>
      <c r="T140">
        <v>2.0261479263456279E-6</v>
      </c>
      <c r="U140">
        <v>2.0261479263456279E-6</v>
      </c>
      <c r="V140">
        <v>2.0261479263456279E-6</v>
      </c>
      <c r="W140">
        <v>2.0261479263456279E-6</v>
      </c>
      <c r="X140">
        <v>2.0261479263456279E-6</v>
      </c>
      <c r="Y140">
        <v>2.0261479263456279E-6</v>
      </c>
      <c r="Z140">
        <v>2.0261479263456279E-6</v>
      </c>
      <c r="AA140">
        <v>2.0261479263456279E-6</v>
      </c>
      <c r="AB140">
        <v>2.0261479263456279E-6</v>
      </c>
      <c r="AC140">
        <v>2.0261479263456279E-6</v>
      </c>
      <c r="AD140">
        <v>2.0261479263456279E-6</v>
      </c>
      <c r="AE140">
        <v>2.0261479263456279E-6</v>
      </c>
    </row>
    <row r="141" spans="1:51" s="4" customFormat="1" x14ac:dyDescent="0.35">
      <c r="A141" s="6" t="s">
        <v>49</v>
      </c>
    </row>
    <row r="142" spans="1:51" x14ac:dyDescent="0.35">
      <c r="A142" t="s">
        <v>29</v>
      </c>
      <c r="B142" s="1">
        <v>2021</v>
      </c>
      <c r="C142" s="1">
        <v>2022</v>
      </c>
      <c r="D142" s="1">
        <v>2023</v>
      </c>
      <c r="E142" s="1">
        <v>2024</v>
      </c>
      <c r="F142" s="1">
        <v>2025</v>
      </c>
      <c r="G142" s="1">
        <v>2026</v>
      </c>
      <c r="H142" s="1">
        <v>2027</v>
      </c>
      <c r="I142" s="1">
        <v>2028</v>
      </c>
      <c r="J142" s="1">
        <v>2029</v>
      </c>
      <c r="K142" s="1">
        <v>2030</v>
      </c>
      <c r="L142" s="1">
        <v>2031</v>
      </c>
      <c r="M142" s="1">
        <v>2032</v>
      </c>
      <c r="N142" s="1">
        <v>2033</v>
      </c>
      <c r="O142" s="1">
        <v>2034</v>
      </c>
      <c r="P142" s="1">
        <v>2035</v>
      </c>
      <c r="Q142" s="1">
        <v>2036</v>
      </c>
      <c r="R142" s="1">
        <v>2037</v>
      </c>
      <c r="S142" s="1">
        <v>2038</v>
      </c>
      <c r="T142" s="1">
        <v>2039</v>
      </c>
      <c r="U142" s="1">
        <v>2040</v>
      </c>
      <c r="V142" s="1">
        <v>2041</v>
      </c>
      <c r="W142" s="1">
        <v>2042</v>
      </c>
      <c r="X142" s="1">
        <v>2043</v>
      </c>
      <c r="Y142" s="1">
        <v>2044</v>
      </c>
      <c r="Z142" s="1">
        <v>2045</v>
      </c>
      <c r="AA142" s="1">
        <v>2046</v>
      </c>
      <c r="AB142" s="1">
        <v>2047</v>
      </c>
      <c r="AC142" s="1">
        <v>2048</v>
      </c>
      <c r="AD142" s="1">
        <v>2049</v>
      </c>
      <c r="AE142" s="1">
        <v>2050</v>
      </c>
      <c r="AF142" s="1">
        <v>2051</v>
      </c>
      <c r="AG142" s="1">
        <v>2052</v>
      </c>
      <c r="AH142" s="1">
        <v>2053</v>
      </c>
      <c r="AI142" s="1">
        <v>2054</v>
      </c>
      <c r="AJ142" s="1">
        <v>2055</v>
      </c>
      <c r="AK142" s="1">
        <v>2056</v>
      </c>
      <c r="AL142" s="1">
        <v>2057</v>
      </c>
      <c r="AM142" s="1">
        <v>2058</v>
      </c>
      <c r="AN142" s="1">
        <v>2059</v>
      </c>
      <c r="AO142" s="1">
        <v>2060</v>
      </c>
      <c r="AP142" s="1">
        <v>2061</v>
      </c>
      <c r="AQ142" s="1">
        <v>2062</v>
      </c>
      <c r="AR142" s="1">
        <v>2063</v>
      </c>
      <c r="AS142" s="1">
        <v>2064</v>
      </c>
      <c r="AT142" s="1">
        <v>2065</v>
      </c>
      <c r="AU142" s="1">
        <v>2066</v>
      </c>
      <c r="AV142" s="1">
        <v>2067</v>
      </c>
      <c r="AW142" s="1">
        <v>2068</v>
      </c>
      <c r="AX142" s="1">
        <v>2069</v>
      </c>
      <c r="AY142" s="1">
        <v>2070</v>
      </c>
    </row>
    <row r="143" spans="1:51" x14ac:dyDescent="0.35">
      <c r="A143" t="s">
        <v>51</v>
      </c>
      <c r="B143">
        <v>9.1591555421904051E-5</v>
      </c>
      <c r="C143">
        <v>8.5575521015226019E-5</v>
      </c>
      <c r="D143">
        <v>7.9559486608549586E-5</v>
      </c>
      <c r="E143">
        <v>7.3543452201871567E-5</v>
      </c>
      <c r="F143">
        <v>6.7527417795193535E-5</v>
      </c>
      <c r="G143">
        <v>6.1511383388517102E-5</v>
      </c>
      <c r="H143">
        <v>5.5495348981839076E-5</v>
      </c>
      <c r="I143">
        <v>4.9479314575161051E-5</v>
      </c>
      <c r="J143">
        <v>4.3463280168483025E-5</v>
      </c>
      <c r="K143">
        <v>3.7447245761806585E-5</v>
      </c>
      <c r="L143">
        <v>3.143121135512856E-5</v>
      </c>
      <c r="M143">
        <v>2.5415176948450534E-5</v>
      </c>
      <c r="N143">
        <v>1.9399142541774101E-5</v>
      </c>
      <c r="O143">
        <v>1.3383108135096074E-5</v>
      </c>
      <c r="P143">
        <v>1.305702225160026E-5</v>
      </c>
      <c r="Q143">
        <v>1.2730936368105542E-5</v>
      </c>
      <c r="R143">
        <v>1.2404850484610824E-5</v>
      </c>
      <c r="S143">
        <v>1.2078764601116106E-5</v>
      </c>
      <c r="T143">
        <v>1.1752678717621488E-5</v>
      </c>
      <c r="U143">
        <v>1.142659283412677E-5</v>
      </c>
      <c r="V143">
        <v>1.1100506950632052E-5</v>
      </c>
      <c r="W143">
        <v>1.0774421067137333E-5</v>
      </c>
      <c r="X143">
        <v>1.0448335183642615E-5</v>
      </c>
      <c r="Y143">
        <v>1.0122249300147997E-5</v>
      </c>
      <c r="Z143">
        <v>9.796163416653279E-6</v>
      </c>
      <c r="AA143">
        <v>9.4700775331585611E-6</v>
      </c>
      <c r="AB143">
        <v>9.1439916496638431E-6</v>
      </c>
      <c r="AC143">
        <v>8.8179057661691252E-6</v>
      </c>
      <c r="AD143">
        <v>8.4918198826744073E-6</v>
      </c>
      <c r="AE143">
        <v>8.1657339991797876E-6</v>
      </c>
    </row>
    <row r="144" spans="1:51" x14ac:dyDescent="0.35">
      <c r="A144" t="s">
        <v>52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35">
      <c r="A145" t="s">
        <v>53</v>
      </c>
      <c r="B145">
        <v>9.1591555421904051E-5</v>
      </c>
      <c r="C145">
        <v>8.5575521015226019E-5</v>
      </c>
      <c r="D145">
        <v>7.9559486608549586E-5</v>
      </c>
      <c r="E145">
        <v>7.3543452201871567E-5</v>
      </c>
      <c r="F145">
        <v>6.7527417795193535E-5</v>
      </c>
      <c r="G145">
        <v>6.1511383388517102E-5</v>
      </c>
      <c r="H145">
        <v>5.5495348981839076E-5</v>
      </c>
      <c r="I145">
        <v>4.9479314575161051E-5</v>
      </c>
      <c r="J145">
        <v>4.3463280168483025E-5</v>
      </c>
      <c r="K145">
        <v>3.7447245761806585E-5</v>
      </c>
      <c r="L145">
        <v>3.143121135512856E-5</v>
      </c>
      <c r="M145">
        <v>2.5415176948450534E-5</v>
      </c>
      <c r="N145">
        <v>1.9399142541774101E-5</v>
      </c>
      <c r="O145">
        <v>1.3383108135096074E-5</v>
      </c>
      <c r="P145">
        <v>1.305702225160026E-5</v>
      </c>
      <c r="Q145">
        <v>1.2730936368105542E-5</v>
      </c>
      <c r="R145">
        <v>1.2404850484610824E-5</v>
      </c>
      <c r="S145">
        <v>1.2078764601116106E-5</v>
      </c>
      <c r="T145">
        <v>1.1752678717621488E-5</v>
      </c>
      <c r="U145">
        <v>1.142659283412677E-5</v>
      </c>
      <c r="V145">
        <v>1.1100506950632052E-5</v>
      </c>
      <c r="W145">
        <v>1.0774421067137333E-5</v>
      </c>
      <c r="X145">
        <v>1.0448335183642615E-5</v>
      </c>
      <c r="Y145">
        <v>1.0122249300147997E-5</v>
      </c>
      <c r="Z145">
        <v>9.796163416653279E-6</v>
      </c>
      <c r="AA145">
        <v>9.4700775331585611E-6</v>
      </c>
      <c r="AB145">
        <v>9.1439916496638431E-6</v>
      </c>
      <c r="AC145">
        <v>8.8179057661691252E-6</v>
      </c>
      <c r="AD145">
        <v>8.4918198826744073E-6</v>
      </c>
      <c r="AE145">
        <v>8.1657339991797876E-6</v>
      </c>
    </row>
    <row r="146" spans="1:31" x14ac:dyDescent="0.35">
      <c r="A146" t="s">
        <v>54</v>
      </c>
      <c r="B146">
        <v>9.1591555421904051E-5</v>
      </c>
      <c r="C146">
        <v>8.5575521015226019E-5</v>
      </c>
      <c r="D146">
        <v>7.9559486608549586E-5</v>
      </c>
      <c r="E146">
        <v>7.3543452201871567E-5</v>
      </c>
      <c r="F146">
        <v>6.7527417795193535E-5</v>
      </c>
      <c r="G146">
        <v>6.1511383388517102E-5</v>
      </c>
      <c r="H146">
        <v>5.5495348981839076E-5</v>
      </c>
      <c r="I146">
        <v>4.9479314575161051E-5</v>
      </c>
      <c r="J146">
        <v>4.3463280168483025E-5</v>
      </c>
      <c r="K146">
        <v>3.7447245761806585E-5</v>
      </c>
      <c r="L146">
        <v>3.143121135512856E-5</v>
      </c>
      <c r="M146">
        <v>2.5415176948450534E-5</v>
      </c>
      <c r="N146">
        <v>1.9399142541774101E-5</v>
      </c>
      <c r="O146">
        <v>1.3383108135096074E-5</v>
      </c>
      <c r="P146">
        <v>1.305702225160026E-5</v>
      </c>
      <c r="Q146">
        <v>1.2730936368105542E-5</v>
      </c>
      <c r="R146">
        <v>1.2404850484610824E-5</v>
      </c>
      <c r="S146">
        <v>1.2078764601116106E-5</v>
      </c>
      <c r="T146">
        <v>1.1752678717621488E-5</v>
      </c>
      <c r="U146">
        <v>1.142659283412677E-5</v>
      </c>
      <c r="V146">
        <v>1.1100506950632052E-5</v>
      </c>
      <c r="W146">
        <v>1.0774421067137333E-5</v>
      </c>
      <c r="X146">
        <v>1.0448335183642615E-5</v>
      </c>
      <c r="Y146">
        <v>1.0122249300147997E-5</v>
      </c>
      <c r="Z146">
        <v>9.796163416653279E-6</v>
      </c>
      <c r="AA146">
        <v>9.4700775331585611E-6</v>
      </c>
      <c r="AB146">
        <v>9.1439916496638431E-6</v>
      </c>
      <c r="AC146">
        <v>8.8179057661691252E-6</v>
      </c>
      <c r="AD146">
        <v>8.4918198826744073E-6</v>
      </c>
      <c r="AE146">
        <v>8.1657339991797876E-6</v>
      </c>
    </row>
    <row r="147" spans="1:31" x14ac:dyDescent="0.35">
      <c r="A147" t="s">
        <v>55</v>
      </c>
      <c r="B147">
        <v>9.1591555421904051E-5</v>
      </c>
      <c r="C147">
        <v>8.5575521015226019E-5</v>
      </c>
      <c r="D147">
        <v>7.9559486608549586E-5</v>
      </c>
      <c r="E147">
        <v>7.3543452201871567E-5</v>
      </c>
      <c r="F147">
        <v>6.7527417795193535E-5</v>
      </c>
      <c r="G147">
        <v>6.1511383388517102E-5</v>
      </c>
      <c r="H147">
        <v>5.5495348981839076E-5</v>
      </c>
      <c r="I147">
        <v>4.9479314575161051E-5</v>
      </c>
      <c r="J147">
        <v>4.3463280168483025E-5</v>
      </c>
      <c r="K147">
        <v>3.7447245761806585E-5</v>
      </c>
      <c r="L147">
        <v>3.143121135512856E-5</v>
      </c>
      <c r="M147">
        <v>2.5415176948450534E-5</v>
      </c>
      <c r="N147">
        <v>1.9399142541774101E-5</v>
      </c>
      <c r="O147">
        <v>1.3383108135096074E-5</v>
      </c>
      <c r="P147">
        <v>1.305702225160026E-5</v>
      </c>
      <c r="Q147">
        <v>1.2730936368105542E-5</v>
      </c>
      <c r="R147">
        <v>1.2404850484610824E-5</v>
      </c>
      <c r="S147">
        <v>1.2078764601116106E-5</v>
      </c>
      <c r="T147">
        <v>1.1752678717621488E-5</v>
      </c>
      <c r="U147">
        <v>1.142659283412677E-5</v>
      </c>
      <c r="V147">
        <v>1.1100506950632052E-5</v>
      </c>
      <c r="W147">
        <v>1.0774421067137333E-5</v>
      </c>
      <c r="X147">
        <v>1.0448335183642615E-5</v>
      </c>
      <c r="Y147">
        <v>1.0122249300147997E-5</v>
      </c>
      <c r="Z147">
        <v>9.796163416653279E-6</v>
      </c>
      <c r="AA147">
        <v>9.4700775331585611E-6</v>
      </c>
      <c r="AB147">
        <v>9.1439916496638431E-6</v>
      </c>
      <c r="AC147">
        <v>8.8179057661691252E-6</v>
      </c>
      <c r="AD147">
        <v>8.4918198826744073E-6</v>
      </c>
      <c r="AE147">
        <v>8.1657339991797876E-6</v>
      </c>
    </row>
    <row r="148" spans="1:31" x14ac:dyDescent="0.35">
      <c r="A148" t="s">
        <v>56</v>
      </c>
      <c r="B148">
        <v>9.1591555421904051E-5</v>
      </c>
      <c r="C148">
        <v>8.5575521015226019E-5</v>
      </c>
      <c r="D148">
        <v>7.9559486608549586E-5</v>
      </c>
      <c r="E148">
        <v>7.3543452201871567E-5</v>
      </c>
      <c r="F148">
        <v>6.7527417795193535E-5</v>
      </c>
      <c r="G148">
        <v>6.1511383388517102E-5</v>
      </c>
      <c r="H148">
        <v>5.5495348981839076E-5</v>
      </c>
      <c r="I148">
        <v>4.9479314575161051E-5</v>
      </c>
      <c r="J148">
        <v>4.3463280168483025E-5</v>
      </c>
      <c r="K148">
        <v>3.7447245761806585E-5</v>
      </c>
      <c r="L148">
        <v>3.143121135512856E-5</v>
      </c>
      <c r="M148">
        <v>2.5415176948450534E-5</v>
      </c>
      <c r="N148">
        <v>1.9399142541774101E-5</v>
      </c>
      <c r="O148">
        <v>1.3383108135096074E-5</v>
      </c>
      <c r="P148">
        <v>1.305702225160026E-5</v>
      </c>
      <c r="Q148">
        <v>1.2730936368105542E-5</v>
      </c>
      <c r="R148">
        <v>1.2404850484610824E-5</v>
      </c>
      <c r="S148">
        <v>1.2078764601116106E-5</v>
      </c>
      <c r="T148">
        <v>1.1752678717621488E-5</v>
      </c>
      <c r="U148">
        <v>1.142659283412677E-5</v>
      </c>
      <c r="V148">
        <v>1.1100506950632052E-5</v>
      </c>
      <c r="W148">
        <v>1.0774421067137333E-5</v>
      </c>
      <c r="X148">
        <v>1.0448335183642615E-5</v>
      </c>
      <c r="Y148">
        <v>1.0122249300147997E-5</v>
      </c>
      <c r="Z148">
        <v>9.796163416653279E-6</v>
      </c>
      <c r="AA148">
        <v>9.4700775331585611E-6</v>
      </c>
      <c r="AB148">
        <v>9.1439916496638431E-6</v>
      </c>
      <c r="AC148">
        <v>8.8179057661691252E-6</v>
      </c>
      <c r="AD148">
        <v>8.4918198826744073E-6</v>
      </c>
      <c r="AE148">
        <v>8.1657339991797876E-6</v>
      </c>
    </row>
    <row r="149" spans="1:31" x14ac:dyDescent="0.35">
      <c r="A149" t="s">
        <v>57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 x14ac:dyDescent="0.35">
      <c r="A150" t="s">
        <v>58</v>
      </c>
      <c r="B150">
        <v>9.1591555421904051E-5</v>
      </c>
      <c r="C150">
        <v>8.5575521015226019E-5</v>
      </c>
      <c r="D150">
        <v>7.9559486608549586E-5</v>
      </c>
      <c r="E150">
        <v>7.3543452201871567E-5</v>
      </c>
      <c r="F150">
        <v>6.7527417795193535E-5</v>
      </c>
      <c r="G150">
        <v>6.1511383388517102E-5</v>
      </c>
      <c r="H150">
        <v>5.5495348981839076E-5</v>
      </c>
      <c r="I150">
        <v>4.9479314575161051E-5</v>
      </c>
      <c r="J150">
        <v>4.3463280168483025E-5</v>
      </c>
      <c r="K150">
        <v>3.7447245761806585E-5</v>
      </c>
      <c r="L150">
        <v>3.143121135512856E-5</v>
      </c>
      <c r="M150">
        <v>2.5415176948450534E-5</v>
      </c>
      <c r="N150">
        <v>1.9399142541774101E-5</v>
      </c>
      <c r="O150">
        <v>1.3383108135096074E-5</v>
      </c>
      <c r="P150">
        <v>1.305702225160026E-5</v>
      </c>
      <c r="Q150">
        <v>1.2730936368105542E-5</v>
      </c>
      <c r="R150">
        <v>1.2404850484610824E-5</v>
      </c>
      <c r="S150">
        <v>1.2078764601116106E-5</v>
      </c>
      <c r="T150">
        <v>1.1752678717621488E-5</v>
      </c>
      <c r="U150">
        <v>1.142659283412677E-5</v>
      </c>
      <c r="V150">
        <v>1.1100506950632052E-5</v>
      </c>
      <c r="W150">
        <v>1.0774421067137333E-5</v>
      </c>
      <c r="X150">
        <v>1.0448335183642615E-5</v>
      </c>
      <c r="Y150">
        <v>1.0122249300147997E-5</v>
      </c>
      <c r="Z150">
        <v>9.796163416653279E-6</v>
      </c>
      <c r="AA150">
        <v>9.4700775331585611E-6</v>
      </c>
      <c r="AB150">
        <v>9.1439916496638431E-6</v>
      </c>
      <c r="AC150">
        <v>8.8179057661691252E-6</v>
      </c>
      <c r="AD150">
        <v>8.4918198826744073E-6</v>
      </c>
      <c r="AE150">
        <v>8.1657339991797876E-6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150"/>
  <sheetViews>
    <sheetView topLeftCell="A41" workbookViewId="0">
      <selection activeCell="B53" sqref="B53"/>
    </sheetView>
  </sheetViews>
  <sheetFormatPr defaultRowHeight="14.5" x14ac:dyDescent="0.35"/>
  <cols>
    <col min="1" max="1" width="39.54296875" customWidth="1"/>
  </cols>
  <sheetData>
    <row r="1" spans="1:51" s="4" customFormat="1" x14ac:dyDescent="0.35">
      <c r="A1" s="6" t="s">
        <v>21</v>
      </c>
    </row>
    <row r="2" spans="1:51" s="7" customFormat="1" x14ac:dyDescent="0.35">
      <c r="A2" s="7" t="s">
        <v>29</v>
      </c>
      <c r="B2" s="109">
        <v>2021</v>
      </c>
      <c r="C2" s="109">
        <v>2022</v>
      </c>
      <c r="D2" s="109">
        <v>2023</v>
      </c>
      <c r="E2" s="109">
        <v>2024</v>
      </c>
      <c r="F2" s="109">
        <v>2025</v>
      </c>
      <c r="G2" s="109">
        <v>2026</v>
      </c>
      <c r="H2" s="109">
        <v>2027</v>
      </c>
      <c r="I2" s="109">
        <v>2028</v>
      </c>
      <c r="J2" s="109">
        <v>2029</v>
      </c>
      <c r="K2" s="109">
        <v>2030</v>
      </c>
      <c r="L2" s="109">
        <v>2031</v>
      </c>
      <c r="M2" s="109">
        <v>2032</v>
      </c>
      <c r="N2" s="109">
        <v>2033</v>
      </c>
      <c r="O2" s="109">
        <v>2034</v>
      </c>
      <c r="P2" s="109">
        <v>2035</v>
      </c>
      <c r="Q2" s="109">
        <v>2036</v>
      </c>
      <c r="R2" s="109">
        <v>2037</v>
      </c>
      <c r="S2" s="109">
        <v>2038</v>
      </c>
      <c r="T2" s="109">
        <v>2039</v>
      </c>
      <c r="U2" s="109">
        <v>2040</v>
      </c>
      <c r="V2" s="109">
        <v>2041</v>
      </c>
      <c r="W2" s="109">
        <v>2042</v>
      </c>
      <c r="X2" s="109">
        <v>2043</v>
      </c>
      <c r="Y2" s="109">
        <v>2044</v>
      </c>
      <c r="Z2" s="109">
        <v>2045</v>
      </c>
      <c r="AA2" s="109">
        <v>2046</v>
      </c>
      <c r="AB2" s="109">
        <v>2047</v>
      </c>
      <c r="AC2" s="109">
        <v>2048</v>
      </c>
      <c r="AD2" s="109">
        <v>2049</v>
      </c>
      <c r="AE2" s="109">
        <v>2050</v>
      </c>
      <c r="AF2" s="109">
        <v>2051</v>
      </c>
      <c r="AG2" s="109">
        <v>2052</v>
      </c>
      <c r="AH2" s="109">
        <v>2053</v>
      </c>
      <c r="AI2" s="109">
        <v>2054</v>
      </c>
      <c r="AJ2" s="109">
        <v>2055</v>
      </c>
      <c r="AK2" s="109">
        <v>2056</v>
      </c>
      <c r="AL2" s="109">
        <v>2057</v>
      </c>
      <c r="AM2" s="109">
        <v>2058</v>
      </c>
      <c r="AN2" s="109">
        <v>2059</v>
      </c>
      <c r="AO2" s="109">
        <v>2060</v>
      </c>
      <c r="AP2" s="109">
        <v>2061</v>
      </c>
      <c r="AQ2" s="109">
        <v>2062</v>
      </c>
      <c r="AR2" s="109">
        <v>2063</v>
      </c>
      <c r="AS2" s="109">
        <v>2064</v>
      </c>
      <c r="AT2" s="109">
        <v>2065</v>
      </c>
      <c r="AU2" s="109">
        <v>2066</v>
      </c>
      <c r="AV2" s="109">
        <v>2067</v>
      </c>
      <c r="AW2" s="109">
        <v>2068</v>
      </c>
      <c r="AX2" s="109">
        <v>2069</v>
      </c>
      <c r="AY2" s="109">
        <v>2070</v>
      </c>
    </row>
    <row r="3" spans="1:51" x14ac:dyDescent="0.35">
      <c r="A3" t="s">
        <v>51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51" x14ac:dyDescent="0.35">
      <c r="A4" t="s">
        <v>52</v>
      </c>
      <c r="B4">
        <v>4.4933639383763392E-7</v>
      </c>
      <c r="C4">
        <v>4.4933639383763392E-7</v>
      </c>
      <c r="D4">
        <v>4.4715514920735406E-7</v>
      </c>
      <c r="E4">
        <v>4.4933639383763392E-7</v>
      </c>
      <c r="F4">
        <v>4.4279265994679455E-7</v>
      </c>
      <c r="G4">
        <v>4.3624892605595529E-7</v>
      </c>
      <c r="H4">
        <v>4.3188643679539567E-7</v>
      </c>
      <c r="I4">
        <v>4.2970519216511587E-7</v>
      </c>
      <c r="J4">
        <v>4.2534270290455636E-7</v>
      </c>
      <c r="K4">
        <v>4.2752394753483611E-7</v>
      </c>
      <c r="L4">
        <v>4.2970519216511587E-7</v>
      </c>
      <c r="M4">
        <v>4.2752394753483611E-7</v>
      </c>
      <c r="N4">
        <v>4.2752394753483611E-7</v>
      </c>
      <c r="O4">
        <v>4.2752394753483611E-7</v>
      </c>
      <c r="P4">
        <v>4.2534270290455636E-7</v>
      </c>
      <c r="Q4">
        <v>4.2534270290455636E-7</v>
      </c>
      <c r="R4">
        <v>4.2752394753483611E-7</v>
      </c>
      <c r="S4">
        <v>4.2752394753483611E-7</v>
      </c>
      <c r="T4">
        <v>4.2534270290455636E-7</v>
      </c>
      <c r="U4">
        <v>4.2534270290455636E-7</v>
      </c>
      <c r="V4">
        <v>4.2752394753483611E-7</v>
      </c>
      <c r="W4">
        <v>4.2752394753483611E-7</v>
      </c>
      <c r="X4">
        <v>4.2534270290455636E-7</v>
      </c>
      <c r="Y4">
        <v>4.2534270290455636E-7</v>
      </c>
      <c r="Z4">
        <v>4.2534270290455636E-7</v>
      </c>
      <c r="AA4">
        <v>4.2534270290455636E-7</v>
      </c>
      <c r="AB4">
        <v>4.2534270290455636E-7</v>
      </c>
      <c r="AC4">
        <v>4.2534270290455636E-7</v>
      </c>
      <c r="AD4">
        <v>4.2534270290455636E-7</v>
      </c>
      <c r="AE4">
        <v>4.2534270290455636E-7</v>
      </c>
    </row>
    <row r="5" spans="1:51" x14ac:dyDescent="0.35">
      <c r="A5" t="s">
        <v>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51" x14ac:dyDescent="0.35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51" x14ac:dyDescent="0.35">
      <c r="A7" t="s">
        <v>55</v>
      </c>
      <c r="B7">
        <v>5.3898367926668454E-7</v>
      </c>
      <c r="C7">
        <v>5.3898367926668454E-7</v>
      </c>
      <c r="D7">
        <v>5.3898367926668454E-7</v>
      </c>
      <c r="E7">
        <v>5.3898367926668454E-7</v>
      </c>
      <c r="F7">
        <v>5.452027217197616E-7</v>
      </c>
      <c r="G7">
        <v>5.452027217197616E-7</v>
      </c>
      <c r="H7">
        <v>5.452027217197616E-7</v>
      </c>
      <c r="I7">
        <v>5.4727573587078725E-7</v>
      </c>
      <c r="J7">
        <v>5.49348750021813E-7</v>
      </c>
      <c r="K7">
        <v>5.5142176417283876E-7</v>
      </c>
      <c r="L7">
        <v>5.5556779247489027E-7</v>
      </c>
      <c r="M7">
        <v>5.5556779247489027E-7</v>
      </c>
      <c r="N7">
        <v>5.5764080662591581E-7</v>
      </c>
      <c r="O7">
        <v>5.5971382077694157E-7</v>
      </c>
      <c r="P7">
        <v>5.6178683492796722E-7</v>
      </c>
      <c r="Q7">
        <v>5.6178683492796722E-7</v>
      </c>
      <c r="R7">
        <v>5.6385984907899308E-7</v>
      </c>
      <c r="S7">
        <v>5.6385984907899308E-7</v>
      </c>
      <c r="T7">
        <v>5.6593286323001873E-7</v>
      </c>
      <c r="U7">
        <v>5.6593286323001873E-7</v>
      </c>
      <c r="V7">
        <v>5.6800587738104448E-7</v>
      </c>
      <c r="W7">
        <v>5.7007889153207013E-7</v>
      </c>
      <c r="X7">
        <v>5.7215190568309578E-7</v>
      </c>
      <c r="Y7">
        <v>5.7422491983412154E-7</v>
      </c>
      <c r="Z7">
        <v>5.7629793398514719E-7</v>
      </c>
      <c r="AA7">
        <v>5.7837094813617294E-7</v>
      </c>
      <c r="AB7">
        <v>5.804439622871987E-7</v>
      </c>
      <c r="AC7">
        <v>5.8251697643822435E-7</v>
      </c>
      <c r="AD7">
        <v>5.845899905892501E-7</v>
      </c>
      <c r="AE7">
        <v>5.8666300474027575E-7</v>
      </c>
    </row>
    <row r="8" spans="1:51" x14ac:dyDescent="0.35">
      <c r="A8" t="s">
        <v>56</v>
      </c>
      <c r="B8">
        <v>5.3898367926668454E-7</v>
      </c>
      <c r="C8">
        <v>5.3898367926668454E-7</v>
      </c>
      <c r="D8">
        <v>5.3898367926668454E-7</v>
      </c>
      <c r="E8">
        <v>5.3898367926668454E-7</v>
      </c>
      <c r="F8">
        <v>5.452027217197616E-7</v>
      </c>
      <c r="G8">
        <v>5.452027217197616E-7</v>
      </c>
      <c r="H8">
        <v>5.452027217197616E-7</v>
      </c>
      <c r="I8">
        <v>5.4727573587078725E-7</v>
      </c>
      <c r="J8">
        <v>5.49348750021813E-7</v>
      </c>
      <c r="K8">
        <v>5.5142176417283876E-7</v>
      </c>
      <c r="L8">
        <v>5.5556779247489027E-7</v>
      </c>
      <c r="M8">
        <v>5.5556779247489027E-7</v>
      </c>
      <c r="N8">
        <v>5.5764080662591581E-7</v>
      </c>
      <c r="O8">
        <v>5.5971382077694157E-7</v>
      </c>
      <c r="P8">
        <v>5.6178683492796722E-7</v>
      </c>
      <c r="Q8">
        <v>5.6178683492796722E-7</v>
      </c>
      <c r="R8">
        <v>5.6385984907899308E-7</v>
      </c>
      <c r="S8">
        <v>5.6385984907899308E-7</v>
      </c>
      <c r="T8">
        <v>5.6593286323001873E-7</v>
      </c>
      <c r="U8">
        <v>5.6593286323001873E-7</v>
      </c>
      <c r="V8">
        <v>5.6800587738104448E-7</v>
      </c>
      <c r="W8">
        <v>5.7007889153207013E-7</v>
      </c>
      <c r="X8">
        <v>5.7215190568309578E-7</v>
      </c>
      <c r="Y8">
        <v>5.7422491983412154E-7</v>
      </c>
      <c r="Z8">
        <v>5.7629793398514719E-7</v>
      </c>
      <c r="AA8">
        <v>5.7837094813617294E-7</v>
      </c>
      <c r="AB8">
        <v>5.804439622871987E-7</v>
      </c>
      <c r="AC8">
        <v>5.8251697643822435E-7</v>
      </c>
      <c r="AD8">
        <v>5.845899905892501E-7</v>
      </c>
      <c r="AE8">
        <v>5.8666300474027575E-7</v>
      </c>
    </row>
    <row r="9" spans="1:51" x14ac:dyDescent="0.35">
      <c r="A9" t="s">
        <v>57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51" x14ac:dyDescent="0.35">
      <c r="A10" t="s">
        <v>58</v>
      </c>
      <c r="B10">
        <v>5.3898367926668454E-7</v>
      </c>
      <c r="C10">
        <v>5.3898367926668454E-7</v>
      </c>
      <c r="D10">
        <v>5.3898367926668454E-7</v>
      </c>
      <c r="E10">
        <v>5.3898367926668454E-7</v>
      </c>
      <c r="F10">
        <v>5.452027217197616E-7</v>
      </c>
      <c r="G10">
        <v>5.452027217197616E-7</v>
      </c>
      <c r="H10">
        <v>5.452027217197616E-7</v>
      </c>
      <c r="I10">
        <v>5.4727573587078725E-7</v>
      </c>
      <c r="J10">
        <v>5.49348750021813E-7</v>
      </c>
      <c r="K10">
        <v>5.5142176417283876E-7</v>
      </c>
      <c r="L10">
        <v>5.5556779247489027E-7</v>
      </c>
      <c r="M10">
        <v>5.5556779247489027E-7</v>
      </c>
      <c r="N10">
        <v>5.5764080662591581E-7</v>
      </c>
      <c r="O10">
        <v>5.5971382077694157E-7</v>
      </c>
      <c r="P10">
        <v>5.6178683492796722E-7</v>
      </c>
      <c r="Q10">
        <v>5.6178683492796722E-7</v>
      </c>
      <c r="R10">
        <v>5.6385984907899308E-7</v>
      </c>
      <c r="S10">
        <v>5.6385984907899308E-7</v>
      </c>
      <c r="T10">
        <v>5.6593286323001873E-7</v>
      </c>
      <c r="U10">
        <v>5.6593286323001873E-7</v>
      </c>
      <c r="V10">
        <v>5.6800587738104448E-7</v>
      </c>
      <c r="W10">
        <v>5.7007889153207013E-7</v>
      </c>
      <c r="X10">
        <v>5.7215190568309578E-7</v>
      </c>
      <c r="Y10">
        <v>5.7422491983412154E-7</v>
      </c>
      <c r="Z10">
        <v>5.7629793398514719E-7</v>
      </c>
      <c r="AA10">
        <v>5.7837094813617294E-7</v>
      </c>
      <c r="AB10">
        <v>5.804439622871987E-7</v>
      </c>
      <c r="AC10">
        <v>5.8251697643822435E-7</v>
      </c>
      <c r="AD10">
        <v>5.845899905892501E-7</v>
      </c>
      <c r="AE10">
        <v>5.8666300474027575E-7</v>
      </c>
    </row>
    <row r="11" spans="1:51" s="4" customFormat="1" x14ac:dyDescent="0.35">
      <c r="A11" s="6" t="s">
        <v>30</v>
      </c>
    </row>
    <row r="12" spans="1:51" x14ac:dyDescent="0.35">
      <c r="A12" t="s">
        <v>29</v>
      </c>
      <c r="B12" s="1">
        <v>2021</v>
      </c>
      <c r="C12" s="1">
        <v>2022</v>
      </c>
      <c r="D12" s="1">
        <v>2023</v>
      </c>
      <c r="E12" s="1">
        <v>2024</v>
      </c>
      <c r="F12" s="1">
        <v>2025</v>
      </c>
      <c r="G12" s="1">
        <v>2026</v>
      </c>
      <c r="H12" s="1">
        <v>2027</v>
      </c>
      <c r="I12" s="1">
        <v>2028</v>
      </c>
      <c r="J12" s="1">
        <v>2029</v>
      </c>
      <c r="K12" s="1">
        <v>2030</v>
      </c>
      <c r="L12" s="1">
        <v>2031</v>
      </c>
      <c r="M12" s="1">
        <v>2032</v>
      </c>
      <c r="N12" s="1">
        <v>2033</v>
      </c>
      <c r="O12" s="1">
        <v>2034</v>
      </c>
      <c r="P12" s="1">
        <v>2035</v>
      </c>
      <c r="Q12" s="1">
        <v>2036</v>
      </c>
      <c r="R12" s="1">
        <v>2037</v>
      </c>
      <c r="S12" s="1">
        <v>2038</v>
      </c>
      <c r="T12" s="1">
        <v>2039</v>
      </c>
      <c r="U12" s="1">
        <v>2040</v>
      </c>
      <c r="V12" s="1">
        <v>2041</v>
      </c>
      <c r="W12" s="1">
        <v>2042</v>
      </c>
      <c r="X12" s="1">
        <v>2043</v>
      </c>
      <c r="Y12" s="1">
        <v>2044</v>
      </c>
      <c r="Z12" s="1">
        <v>2045</v>
      </c>
      <c r="AA12" s="1">
        <v>2046</v>
      </c>
      <c r="AB12" s="1">
        <v>2047</v>
      </c>
      <c r="AC12" s="1">
        <v>2048</v>
      </c>
      <c r="AD12" s="1">
        <v>2049</v>
      </c>
      <c r="AE12" s="1">
        <v>2050</v>
      </c>
      <c r="AF12" s="1">
        <v>2051</v>
      </c>
      <c r="AG12" s="1">
        <v>2052</v>
      </c>
      <c r="AH12" s="1">
        <v>2053</v>
      </c>
      <c r="AI12" s="1">
        <v>2054</v>
      </c>
      <c r="AJ12" s="1">
        <v>2055</v>
      </c>
      <c r="AK12" s="1">
        <v>2056</v>
      </c>
      <c r="AL12" s="1">
        <v>2057</v>
      </c>
      <c r="AM12" s="1">
        <v>2058</v>
      </c>
      <c r="AN12" s="1">
        <v>2059</v>
      </c>
      <c r="AO12" s="1">
        <v>2060</v>
      </c>
      <c r="AP12" s="1">
        <v>2061</v>
      </c>
      <c r="AQ12" s="1">
        <v>2062</v>
      </c>
      <c r="AR12" s="1">
        <v>2063</v>
      </c>
      <c r="AS12" s="1">
        <v>2064</v>
      </c>
      <c r="AT12" s="1">
        <v>2065</v>
      </c>
      <c r="AU12" s="1">
        <v>2066</v>
      </c>
      <c r="AV12" s="1">
        <v>2067</v>
      </c>
      <c r="AW12" s="1">
        <v>2068</v>
      </c>
      <c r="AX12" s="1">
        <v>2069</v>
      </c>
      <c r="AY12" s="1">
        <v>2070</v>
      </c>
    </row>
    <row r="13" spans="1:51" x14ac:dyDescent="0.35">
      <c r="A13" t="s">
        <v>51</v>
      </c>
      <c r="B13">
        <v>1.4019127700661328E-6</v>
      </c>
      <c r="C13">
        <v>1.4019127700661328E-6</v>
      </c>
      <c r="D13">
        <v>1.4019127700661328E-6</v>
      </c>
      <c r="E13">
        <v>1.4019127700661328E-6</v>
      </c>
      <c r="F13">
        <v>2.1035624888830619E-6</v>
      </c>
      <c r="G13">
        <v>2.1883323808878142E-6</v>
      </c>
      <c r="H13">
        <v>2.0300189055430564E-6</v>
      </c>
      <c r="I13">
        <v>1.9007603218766717E-6</v>
      </c>
      <c r="J13">
        <v>1.95403712101009E-6</v>
      </c>
      <c r="K13">
        <v>2.0245963840808062E-6</v>
      </c>
      <c r="L13">
        <v>2.0638151962580449E-6</v>
      </c>
      <c r="M13">
        <v>2.1542938982346264E-6</v>
      </c>
      <c r="N13">
        <v>2.232392996602658E-6</v>
      </c>
      <c r="O13">
        <v>2.2685684669458355E-6</v>
      </c>
      <c r="P13">
        <v>2.2784250682626166E-6</v>
      </c>
      <c r="Q13">
        <v>2.3222224613667573E-6</v>
      </c>
      <c r="R13">
        <v>2.3657539182250323E-6</v>
      </c>
      <c r="S13">
        <v>2.3859908524448392E-6</v>
      </c>
      <c r="T13">
        <v>2.3966133772860636E-6</v>
      </c>
      <c r="U13">
        <v>2.3997469474892579E-6</v>
      </c>
      <c r="V13">
        <v>2.3936433036013734E-6</v>
      </c>
      <c r="W13">
        <v>2.4081748198933029E-6</v>
      </c>
      <c r="X13">
        <v>2.4085927197082344E-6</v>
      </c>
      <c r="Y13">
        <v>2.4078444348123428E-6</v>
      </c>
      <c r="Z13">
        <v>2.4076884007905338E-6</v>
      </c>
      <c r="AA13">
        <v>2.3939187375703053E-6</v>
      </c>
      <c r="AB13">
        <v>2.378264454730143E-6</v>
      </c>
      <c r="AC13">
        <v>2.3756987126845741E-6</v>
      </c>
      <c r="AD13">
        <v>2.3796538359330316E-6</v>
      </c>
      <c r="AE13">
        <v>2.3886821001166449E-6</v>
      </c>
    </row>
    <row r="14" spans="1:51" x14ac:dyDescent="0.35">
      <c r="A14" t="s">
        <v>52</v>
      </c>
      <c r="B14">
        <v>8.5053631537497415E-7</v>
      </c>
      <c r="C14">
        <v>8.5053631537497415E-7</v>
      </c>
      <c r="D14">
        <v>8.5053631537497415E-7</v>
      </c>
      <c r="E14">
        <v>8.5053631537497415E-7</v>
      </c>
      <c r="F14">
        <v>1.27622511661065E-6</v>
      </c>
      <c r="G14">
        <v>1.3276547584114414E-6</v>
      </c>
      <c r="H14">
        <v>1.2316064429462892E-6</v>
      </c>
      <c r="I14">
        <v>1.15318564399957E-6</v>
      </c>
      <c r="J14">
        <v>1.1855085198570834E-6</v>
      </c>
      <c r="K14">
        <v>1.2283166152743961E-6</v>
      </c>
      <c r="L14">
        <v>1.2521105521832086E-6</v>
      </c>
      <c r="M14">
        <v>1.3070037120446753E-6</v>
      </c>
      <c r="N14">
        <v>1.3543862031513933E-6</v>
      </c>
      <c r="O14">
        <v>1.3763337536050435E-6</v>
      </c>
      <c r="P14">
        <v>1.3823137243600709E-6</v>
      </c>
      <c r="Q14">
        <v>1.4088854727236067E-6</v>
      </c>
      <c r="R14">
        <v>1.4352958783563308E-6</v>
      </c>
      <c r="S14">
        <v>1.4475735662648218E-6</v>
      </c>
      <c r="T14">
        <v>1.4540182205481324E-6</v>
      </c>
      <c r="U14">
        <v>1.4559193482869629E-6</v>
      </c>
      <c r="V14">
        <v>1.4522162856616633E-6</v>
      </c>
      <c r="W14">
        <v>1.4610325134524737E-6</v>
      </c>
      <c r="X14">
        <v>1.4612860520294644E-6</v>
      </c>
      <c r="Y14">
        <v>1.4608320698047557E-6</v>
      </c>
      <c r="Z14">
        <v>1.460737404426983E-6</v>
      </c>
      <c r="AA14">
        <v>1.4523833906328617E-6</v>
      </c>
      <c r="AB14">
        <v>1.442885983710688E-6</v>
      </c>
      <c r="AC14">
        <v>1.4413293556292296E-6</v>
      </c>
      <c r="AD14">
        <v>1.4437289171614623E-6</v>
      </c>
      <c r="AE14">
        <v>1.4492063382370974E-6</v>
      </c>
    </row>
    <row r="15" spans="1:51" x14ac:dyDescent="0.35">
      <c r="A15" t="s">
        <v>53</v>
      </c>
      <c r="B15">
        <v>1.4019127700661328E-6</v>
      </c>
      <c r="C15">
        <v>1.4019127700661328E-6</v>
      </c>
      <c r="D15">
        <v>1.4019127700661328E-6</v>
      </c>
      <c r="E15">
        <v>1.4019127700661328E-6</v>
      </c>
      <c r="F15">
        <v>1.4019127700661328E-6</v>
      </c>
      <c r="G15">
        <v>1.4019127700661328E-6</v>
      </c>
      <c r="H15">
        <v>1.4019127700661328E-6</v>
      </c>
      <c r="I15">
        <v>1.4019127700661328E-6</v>
      </c>
      <c r="J15">
        <v>1.4019127700661328E-6</v>
      </c>
      <c r="K15">
        <v>1.4019127700661328E-6</v>
      </c>
      <c r="L15">
        <v>1.4019127700661328E-6</v>
      </c>
      <c r="M15">
        <v>1.4019127700661328E-6</v>
      </c>
      <c r="N15">
        <v>1.4019127700661328E-6</v>
      </c>
      <c r="O15">
        <v>1.4019127700661328E-6</v>
      </c>
      <c r="P15">
        <v>1.4019127700661328E-6</v>
      </c>
      <c r="Q15">
        <v>1.4019127700661328E-6</v>
      </c>
      <c r="R15">
        <v>1.4019127700661328E-6</v>
      </c>
      <c r="S15">
        <v>1.4019127700661328E-6</v>
      </c>
      <c r="T15">
        <v>1.4019127700661328E-6</v>
      </c>
      <c r="U15">
        <v>1.4019127700661328E-6</v>
      </c>
      <c r="V15">
        <v>1.4019127700661328E-6</v>
      </c>
      <c r="W15">
        <v>1.4019127700661328E-6</v>
      </c>
      <c r="X15">
        <v>1.4019127700661328E-6</v>
      </c>
      <c r="Y15">
        <v>1.4019127700661328E-6</v>
      </c>
      <c r="Z15">
        <v>1.4019127700661328E-6</v>
      </c>
      <c r="AA15">
        <v>1.4019127700661328E-6</v>
      </c>
      <c r="AB15">
        <v>1.4019127700661328E-6</v>
      </c>
      <c r="AC15">
        <v>1.4019127700661328E-6</v>
      </c>
      <c r="AD15">
        <v>1.4019127700661328E-6</v>
      </c>
      <c r="AE15">
        <v>1.4019127700661328E-6</v>
      </c>
    </row>
    <row r="16" spans="1:51" x14ac:dyDescent="0.35">
      <c r="A16" t="s">
        <v>54</v>
      </c>
      <c r="B16">
        <v>1.4019127700661328E-6</v>
      </c>
      <c r="C16">
        <v>1.4019127700661328E-6</v>
      </c>
      <c r="D16">
        <v>1.4019127700661328E-6</v>
      </c>
      <c r="E16">
        <v>1.4019127700661328E-6</v>
      </c>
      <c r="F16">
        <v>1.4019127700661328E-6</v>
      </c>
      <c r="G16">
        <v>1.4019127700661328E-6</v>
      </c>
      <c r="H16">
        <v>1.4019127700661328E-6</v>
      </c>
      <c r="I16">
        <v>1.4019127700661328E-6</v>
      </c>
      <c r="J16">
        <v>1.4019127700661328E-6</v>
      </c>
      <c r="K16">
        <v>1.4019127700661328E-6</v>
      </c>
      <c r="L16">
        <v>1.4019127700661328E-6</v>
      </c>
      <c r="M16">
        <v>1.4019127700661328E-6</v>
      </c>
      <c r="N16">
        <v>1.4019127700661328E-6</v>
      </c>
      <c r="O16">
        <v>1.4019127700661328E-6</v>
      </c>
      <c r="P16">
        <v>1.4019127700661328E-6</v>
      </c>
      <c r="Q16">
        <v>1.4019127700661328E-6</v>
      </c>
      <c r="R16">
        <v>1.4019127700661328E-6</v>
      </c>
      <c r="S16">
        <v>1.4019127700661328E-6</v>
      </c>
      <c r="T16">
        <v>1.4019127700661328E-6</v>
      </c>
      <c r="U16">
        <v>1.4019127700661328E-6</v>
      </c>
      <c r="V16">
        <v>1.4019127700661328E-6</v>
      </c>
      <c r="W16">
        <v>1.4019127700661328E-6</v>
      </c>
      <c r="X16">
        <v>1.4019127700661328E-6</v>
      </c>
      <c r="Y16">
        <v>1.4019127700661328E-6</v>
      </c>
      <c r="Z16">
        <v>1.4019127700661328E-6</v>
      </c>
      <c r="AA16">
        <v>1.4019127700661328E-6</v>
      </c>
      <c r="AB16">
        <v>1.4019127700661328E-6</v>
      </c>
      <c r="AC16">
        <v>1.4019127700661328E-6</v>
      </c>
      <c r="AD16">
        <v>1.4019127700661328E-6</v>
      </c>
      <c r="AE16">
        <v>1.4019127700661328E-6</v>
      </c>
    </row>
    <row r="17" spans="1:51" x14ac:dyDescent="0.35">
      <c r="A17" t="s">
        <v>55</v>
      </c>
      <c r="B17">
        <v>1.4019127700661328E-6</v>
      </c>
      <c r="C17">
        <v>1.4019127700661328E-6</v>
      </c>
      <c r="D17">
        <v>1.4019127700661328E-6</v>
      </c>
      <c r="E17">
        <v>1.4019127700661328E-6</v>
      </c>
      <c r="F17">
        <v>1.4019127700661328E-6</v>
      </c>
      <c r="G17">
        <v>1.4019127700661328E-6</v>
      </c>
      <c r="H17">
        <v>1.4019127700661328E-6</v>
      </c>
      <c r="I17">
        <v>1.4019127700661328E-6</v>
      </c>
      <c r="J17">
        <v>1.4019127700661328E-6</v>
      </c>
      <c r="K17">
        <v>1.4019127700661328E-6</v>
      </c>
      <c r="L17">
        <v>1.4019127700661328E-6</v>
      </c>
      <c r="M17">
        <v>1.4019127700661328E-6</v>
      </c>
      <c r="N17">
        <v>1.4019127700661328E-6</v>
      </c>
      <c r="O17">
        <v>1.4019127700661328E-6</v>
      </c>
      <c r="P17">
        <v>1.4019127700661328E-6</v>
      </c>
      <c r="Q17">
        <v>1.4019127700661328E-6</v>
      </c>
      <c r="R17">
        <v>1.4019127700661328E-6</v>
      </c>
      <c r="S17">
        <v>1.4019127700661328E-6</v>
      </c>
      <c r="T17">
        <v>1.4019127700661328E-6</v>
      </c>
      <c r="U17">
        <v>1.4019127700661328E-6</v>
      </c>
      <c r="V17">
        <v>1.4019127700661328E-6</v>
      </c>
      <c r="W17">
        <v>1.4019127700661328E-6</v>
      </c>
      <c r="X17">
        <v>1.4019127700661328E-6</v>
      </c>
      <c r="Y17">
        <v>1.4019127700661328E-6</v>
      </c>
      <c r="Z17">
        <v>1.4019127700661328E-6</v>
      </c>
      <c r="AA17">
        <v>1.4019127700661328E-6</v>
      </c>
      <c r="AB17">
        <v>1.4019127700661328E-6</v>
      </c>
      <c r="AC17">
        <v>1.4019127700661328E-6</v>
      </c>
      <c r="AD17">
        <v>1.4019127700661328E-6</v>
      </c>
      <c r="AE17">
        <v>1.4019127700661328E-6</v>
      </c>
    </row>
    <row r="18" spans="1:51" x14ac:dyDescent="0.35">
      <c r="A18" t="s">
        <v>56</v>
      </c>
      <c r="B18">
        <v>1.4019127700661328E-6</v>
      </c>
      <c r="C18">
        <v>1.4019127700661328E-6</v>
      </c>
      <c r="D18">
        <v>1.4019127700661328E-6</v>
      </c>
      <c r="E18">
        <v>1.4019127700661328E-6</v>
      </c>
      <c r="F18">
        <v>1.4019127700661328E-6</v>
      </c>
      <c r="G18">
        <v>1.4019127700661328E-6</v>
      </c>
      <c r="H18">
        <v>1.4019127700661328E-6</v>
      </c>
      <c r="I18">
        <v>1.4019127700661328E-6</v>
      </c>
      <c r="J18">
        <v>1.4019127700661328E-6</v>
      </c>
      <c r="K18">
        <v>1.4019127700661328E-6</v>
      </c>
      <c r="L18">
        <v>1.4019127700661328E-6</v>
      </c>
      <c r="M18">
        <v>1.4019127700661328E-6</v>
      </c>
      <c r="N18">
        <v>1.4019127700661328E-6</v>
      </c>
      <c r="O18">
        <v>1.4019127700661328E-6</v>
      </c>
      <c r="P18">
        <v>1.4019127700661328E-6</v>
      </c>
      <c r="Q18">
        <v>1.4019127700661328E-6</v>
      </c>
      <c r="R18">
        <v>1.4019127700661328E-6</v>
      </c>
      <c r="S18">
        <v>1.4019127700661328E-6</v>
      </c>
      <c r="T18">
        <v>1.4019127700661328E-6</v>
      </c>
      <c r="U18">
        <v>1.4019127700661328E-6</v>
      </c>
      <c r="V18">
        <v>1.4019127700661328E-6</v>
      </c>
      <c r="W18">
        <v>1.4019127700661328E-6</v>
      </c>
      <c r="X18">
        <v>1.4019127700661328E-6</v>
      </c>
      <c r="Y18">
        <v>1.4019127700661328E-6</v>
      </c>
      <c r="Z18">
        <v>1.4019127700661328E-6</v>
      </c>
      <c r="AA18">
        <v>1.4019127700661328E-6</v>
      </c>
      <c r="AB18">
        <v>1.4019127700661328E-6</v>
      </c>
      <c r="AC18">
        <v>1.4019127700661328E-6</v>
      </c>
      <c r="AD18">
        <v>1.4019127700661328E-6</v>
      </c>
      <c r="AE18">
        <v>1.4019127700661328E-6</v>
      </c>
    </row>
    <row r="19" spans="1:51" x14ac:dyDescent="0.35">
      <c r="A19" t="s">
        <v>57</v>
      </c>
      <c r="B19">
        <v>1.4019127700661328E-6</v>
      </c>
      <c r="C19">
        <v>1.4019127700661328E-6</v>
      </c>
      <c r="D19">
        <v>1.4019127700661328E-6</v>
      </c>
      <c r="E19">
        <v>1.4019127700661328E-6</v>
      </c>
      <c r="F19">
        <v>1.4019127700661328E-6</v>
      </c>
      <c r="G19">
        <v>1.4019127700661328E-6</v>
      </c>
      <c r="H19">
        <v>1.4019127700661328E-6</v>
      </c>
      <c r="I19">
        <v>1.4019127700661328E-6</v>
      </c>
      <c r="J19">
        <v>1.4019127700661328E-6</v>
      </c>
      <c r="K19">
        <v>1.4019127700661328E-6</v>
      </c>
      <c r="L19">
        <v>1.4019127700661328E-6</v>
      </c>
      <c r="M19">
        <v>1.4019127700661328E-6</v>
      </c>
      <c r="N19">
        <v>1.4019127700661328E-6</v>
      </c>
      <c r="O19">
        <v>1.4019127700661328E-6</v>
      </c>
      <c r="P19">
        <v>1.4019127700661328E-6</v>
      </c>
      <c r="Q19">
        <v>1.4019127700661328E-6</v>
      </c>
      <c r="R19">
        <v>1.4019127700661328E-6</v>
      </c>
      <c r="S19">
        <v>1.4019127700661328E-6</v>
      </c>
      <c r="T19">
        <v>1.4019127700661328E-6</v>
      </c>
      <c r="U19">
        <v>1.4019127700661328E-6</v>
      </c>
      <c r="V19">
        <v>1.4019127700661328E-6</v>
      </c>
      <c r="W19">
        <v>1.4019127700661328E-6</v>
      </c>
      <c r="X19">
        <v>1.4019127700661328E-6</v>
      </c>
      <c r="Y19">
        <v>1.4019127700661328E-6</v>
      </c>
      <c r="Z19">
        <v>1.4019127700661328E-6</v>
      </c>
      <c r="AA19">
        <v>1.4019127700661328E-6</v>
      </c>
      <c r="AB19">
        <v>1.4019127700661328E-6</v>
      </c>
      <c r="AC19">
        <v>1.4019127700661328E-6</v>
      </c>
      <c r="AD19">
        <v>1.4019127700661328E-6</v>
      </c>
      <c r="AE19">
        <v>1.4019127700661328E-6</v>
      </c>
    </row>
    <row r="20" spans="1:51" x14ac:dyDescent="0.35">
      <c r="A20" t="s">
        <v>58</v>
      </c>
      <c r="B20">
        <v>1.4019127700661328E-6</v>
      </c>
      <c r="C20">
        <v>1.4019127700661328E-6</v>
      </c>
      <c r="D20">
        <v>1.4019127700661328E-6</v>
      </c>
      <c r="E20">
        <v>1.4019127700661328E-6</v>
      </c>
      <c r="F20">
        <v>1.4019127700661328E-6</v>
      </c>
      <c r="G20">
        <v>1.4019127700661328E-6</v>
      </c>
      <c r="H20">
        <v>1.4019127700661328E-6</v>
      </c>
      <c r="I20">
        <v>1.4019127700661328E-6</v>
      </c>
      <c r="J20">
        <v>1.4019127700661328E-6</v>
      </c>
      <c r="K20">
        <v>1.4019127700661328E-6</v>
      </c>
      <c r="L20">
        <v>1.4019127700661328E-6</v>
      </c>
      <c r="M20">
        <v>1.4019127700661328E-6</v>
      </c>
      <c r="N20">
        <v>1.4019127700661328E-6</v>
      </c>
      <c r="O20">
        <v>1.4019127700661328E-6</v>
      </c>
      <c r="P20">
        <v>1.4019127700661328E-6</v>
      </c>
      <c r="Q20">
        <v>1.4019127700661328E-6</v>
      </c>
      <c r="R20">
        <v>1.4019127700661328E-6</v>
      </c>
      <c r="S20">
        <v>1.4019127700661328E-6</v>
      </c>
      <c r="T20">
        <v>1.4019127700661328E-6</v>
      </c>
      <c r="U20">
        <v>1.4019127700661328E-6</v>
      </c>
      <c r="V20">
        <v>1.4019127700661328E-6</v>
      </c>
      <c r="W20">
        <v>1.4019127700661328E-6</v>
      </c>
      <c r="X20">
        <v>1.4019127700661328E-6</v>
      </c>
      <c r="Y20">
        <v>1.4019127700661328E-6</v>
      </c>
      <c r="Z20">
        <v>1.4019127700661328E-6</v>
      </c>
      <c r="AA20">
        <v>1.4019127700661328E-6</v>
      </c>
      <c r="AB20">
        <v>1.4019127700661328E-6</v>
      </c>
      <c r="AC20">
        <v>1.4019127700661328E-6</v>
      </c>
      <c r="AD20">
        <v>1.4019127700661328E-6</v>
      </c>
      <c r="AE20">
        <v>1.4019127700661328E-6</v>
      </c>
    </row>
    <row r="21" spans="1:51" s="4" customFormat="1" x14ac:dyDescent="0.35">
      <c r="A21" s="6" t="s">
        <v>31</v>
      </c>
    </row>
    <row r="22" spans="1:51" x14ac:dyDescent="0.35">
      <c r="A22" t="s">
        <v>29</v>
      </c>
      <c r="B22" s="1">
        <v>2021</v>
      </c>
      <c r="C22" s="1">
        <v>2022</v>
      </c>
      <c r="D22" s="1">
        <v>2023</v>
      </c>
      <c r="E22" s="1">
        <v>2024</v>
      </c>
      <c r="F22" s="1">
        <v>2025</v>
      </c>
      <c r="G22" s="1">
        <v>2026</v>
      </c>
      <c r="H22" s="1">
        <v>2027</v>
      </c>
      <c r="I22" s="1">
        <v>2028</v>
      </c>
      <c r="J22" s="1">
        <v>2029</v>
      </c>
      <c r="K22" s="1">
        <v>2030</v>
      </c>
      <c r="L22" s="1">
        <v>2031</v>
      </c>
      <c r="M22" s="1">
        <v>2032</v>
      </c>
      <c r="N22" s="1">
        <v>2033</v>
      </c>
      <c r="O22" s="1">
        <v>2034</v>
      </c>
      <c r="P22" s="1">
        <v>2035</v>
      </c>
      <c r="Q22" s="1">
        <v>2036</v>
      </c>
      <c r="R22" s="1">
        <v>2037</v>
      </c>
      <c r="S22" s="1">
        <v>2038</v>
      </c>
      <c r="T22" s="1">
        <v>2039</v>
      </c>
      <c r="U22" s="1">
        <v>2040</v>
      </c>
      <c r="V22" s="1">
        <v>2041</v>
      </c>
      <c r="W22" s="1">
        <v>2042</v>
      </c>
      <c r="X22" s="1">
        <v>2043</v>
      </c>
      <c r="Y22" s="1">
        <v>2044</v>
      </c>
      <c r="Z22" s="1">
        <v>2045</v>
      </c>
      <c r="AA22" s="1">
        <v>2046</v>
      </c>
      <c r="AB22" s="1">
        <v>2047</v>
      </c>
      <c r="AC22" s="1">
        <v>2048</v>
      </c>
      <c r="AD22" s="1">
        <v>2049</v>
      </c>
      <c r="AE22" s="1">
        <v>2050</v>
      </c>
      <c r="AF22" s="1">
        <v>2051</v>
      </c>
      <c r="AG22" s="1">
        <v>2052</v>
      </c>
      <c r="AH22" s="1">
        <v>2053</v>
      </c>
      <c r="AI22" s="1">
        <v>2054</v>
      </c>
      <c r="AJ22" s="1">
        <v>2055</v>
      </c>
      <c r="AK22" s="1">
        <v>2056</v>
      </c>
      <c r="AL22" s="1">
        <v>2057</v>
      </c>
      <c r="AM22" s="1">
        <v>2058</v>
      </c>
      <c r="AN22" s="1">
        <v>2059</v>
      </c>
      <c r="AO22" s="1">
        <v>2060</v>
      </c>
      <c r="AP22" s="1">
        <v>2061</v>
      </c>
      <c r="AQ22" s="1">
        <v>2062</v>
      </c>
      <c r="AR22" s="1">
        <v>2063</v>
      </c>
      <c r="AS22" s="1">
        <v>2064</v>
      </c>
      <c r="AT22" s="1">
        <v>2065</v>
      </c>
      <c r="AU22" s="1">
        <v>2066</v>
      </c>
      <c r="AV22" s="1">
        <v>2067</v>
      </c>
      <c r="AW22" s="1">
        <v>2068</v>
      </c>
      <c r="AX22" s="1">
        <v>2069</v>
      </c>
      <c r="AY22" s="1">
        <v>2070</v>
      </c>
    </row>
    <row r="23" spans="1:51" x14ac:dyDescent="0.35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51" x14ac:dyDescent="0.35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51" x14ac:dyDescent="0.35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51" x14ac:dyDescent="0.35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51" x14ac:dyDescent="0.35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51" x14ac:dyDescent="0.35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51" x14ac:dyDescent="0.35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51" x14ac:dyDescent="0.35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51" s="4" customFormat="1" x14ac:dyDescent="0.35">
      <c r="A31" s="6" t="s">
        <v>32</v>
      </c>
    </row>
    <row r="32" spans="1:51" x14ac:dyDescent="0.35">
      <c r="A32" t="s">
        <v>29</v>
      </c>
      <c r="B32" s="1">
        <v>2021</v>
      </c>
      <c r="C32" s="1">
        <v>2022</v>
      </c>
      <c r="D32" s="1">
        <v>2023</v>
      </c>
      <c r="E32" s="1">
        <v>2024</v>
      </c>
      <c r="F32" s="1">
        <v>2025</v>
      </c>
      <c r="G32" s="1">
        <v>2026</v>
      </c>
      <c r="H32" s="1">
        <v>2027</v>
      </c>
      <c r="I32" s="1">
        <v>2028</v>
      </c>
      <c r="J32" s="1">
        <v>2029</v>
      </c>
      <c r="K32" s="1">
        <v>2030</v>
      </c>
      <c r="L32" s="1">
        <v>2031</v>
      </c>
      <c r="M32" s="1">
        <v>2032</v>
      </c>
      <c r="N32" s="1">
        <v>2033</v>
      </c>
      <c r="O32" s="1">
        <v>2034</v>
      </c>
      <c r="P32" s="1">
        <v>2035</v>
      </c>
      <c r="Q32" s="1">
        <v>2036</v>
      </c>
      <c r="R32" s="1">
        <v>2037</v>
      </c>
      <c r="S32" s="1">
        <v>2038</v>
      </c>
      <c r="T32" s="1">
        <v>2039</v>
      </c>
      <c r="U32" s="1">
        <v>2040</v>
      </c>
      <c r="V32" s="1">
        <v>2041</v>
      </c>
      <c r="W32" s="1">
        <v>2042</v>
      </c>
      <c r="X32" s="1">
        <v>2043</v>
      </c>
      <c r="Y32" s="1">
        <v>2044</v>
      </c>
      <c r="Z32" s="1">
        <v>2045</v>
      </c>
      <c r="AA32" s="1">
        <v>2046</v>
      </c>
      <c r="AB32" s="1">
        <v>2047</v>
      </c>
      <c r="AC32" s="1">
        <v>2048</v>
      </c>
      <c r="AD32" s="1">
        <v>2049</v>
      </c>
      <c r="AE32" s="1">
        <v>2050</v>
      </c>
      <c r="AF32" s="1">
        <v>2051</v>
      </c>
      <c r="AG32" s="1">
        <v>2052</v>
      </c>
      <c r="AH32" s="1">
        <v>2053</v>
      </c>
      <c r="AI32" s="1">
        <v>2054</v>
      </c>
      <c r="AJ32" s="1">
        <v>2055</v>
      </c>
      <c r="AK32" s="1">
        <v>2056</v>
      </c>
      <c r="AL32" s="1">
        <v>2057</v>
      </c>
      <c r="AM32" s="1">
        <v>2058</v>
      </c>
      <c r="AN32" s="1">
        <v>2059</v>
      </c>
      <c r="AO32" s="1">
        <v>2060</v>
      </c>
      <c r="AP32" s="1">
        <v>2061</v>
      </c>
      <c r="AQ32" s="1">
        <v>2062</v>
      </c>
      <c r="AR32" s="1">
        <v>2063</v>
      </c>
      <c r="AS32" s="1">
        <v>2064</v>
      </c>
      <c r="AT32" s="1">
        <v>2065</v>
      </c>
      <c r="AU32" s="1">
        <v>2066</v>
      </c>
      <c r="AV32" s="1">
        <v>2067</v>
      </c>
      <c r="AW32" s="1">
        <v>2068</v>
      </c>
      <c r="AX32" s="1">
        <v>2069</v>
      </c>
      <c r="AY32" s="1">
        <v>2070</v>
      </c>
    </row>
    <row r="33" spans="1:51" x14ac:dyDescent="0.35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51" x14ac:dyDescent="0.35">
      <c r="A34" t="s">
        <v>52</v>
      </c>
      <c r="B34">
        <v>1.1988346947318368E-7</v>
      </c>
      <c r="C34">
        <v>1.1988346947318368E-7</v>
      </c>
      <c r="D34">
        <v>1.1988346947318368E-7</v>
      </c>
      <c r="E34">
        <v>1.1988346947318368E-7</v>
      </c>
      <c r="F34">
        <v>1.1988346947318368E-7</v>
      </c>
      <c r="G34">
        <v>1.1988346947318368E-7</v>
      </c>
      <c r="H34">
        <v>1.1988346947318368E-7</v>
      </c>
      <c r="I34">
        <v>1.1988346947318368E-7</v>
      </c>
      <c r="J34">
        <v>1.1988346947318368E-7</v>
      </c>
      <c r="K34">
        <v>1.1988346947318368E-7</v>
      </c>
      <c r="L34">
        <v>1.1988346947318368E-7</v>
      </c>
      <c r="M34">
        <v>1.1988346947318368E-7</v>
      </c>
      <c r="N34">
        <v>1.1988346947318368E-7</v>
      </c>
      <c r="O34">
        <v>1.1988346947318368E-7</v>
      </c>
      <c r="P34">
        <v>1.1988346947318368E-7</v>
      </c>
      <c r="Q34">
        <v>1.1988346947318368E-7</v>
      </c>
      <c r="R34">
        <v>1.1988346947318368E-7</v>
      </c>
      <c r="S34">
        <v>1.1988346947318368E-7</v>
      </c>
      <c r="T34">
        <v>1.1988346947318368E-7</v>
      </c>
      <c r="U34">
        <v>1.1988346947318368E-7</v>
      </c>
      <c r="V34">
        <v>1.1988346947318368E-7</v>
      </c>
      <c r="W34">
        <v>1.1988346947318368E-7</v>
      </c>
      <c r="X34">
        <v>1.1988346947318368E-7</v>
      </c>
      <c r="Y34">
        <v>1.1988346947318368E-7</v>
      </c>
      <c r="Z34">
        <v>1.1988346947318368E-7</v>
      </c>
      <c r="AA34">
        <v>1.1988346947318368E-7</v>
      </c>
      <c r="AB34">
        <v>1.1988346947318368E-7</v>
      </c>
      <c r="AC34">
        <v>1.1988346947318368E-7</v>
      </c>
      <c r="AD34">
        <v>1.1988346947318368E-7</v>
      </c>
      <c r="AE34">
        <v>1.1988346947318368E-7</v>
      </c>
      <c r="AF34">
        <v>1.61118996363117E-7</v>
      </c>
    </row>
    <row r="35" spans="1:51" x14ac:dyDescent="0.35">
      <c r="A35" t="s">
        <v>53</v>
      </c>
      <c r="B35">
        <v>1.1988346947318368E-7</v>
      </c>
      <c r="C35">
        <v>1.1988346947318368E-7</v>
      </c>
      <c r="D35">
        <v>1.1988346947318368E-7</v>
      </c>
      <c r="E35">
        <v>1.1988346947318368E-7</v>
      </c>
      <c r="F35">
        <v>1.1988346947318368E-7</v>
      </c>
      <c r="G35">
        <v>1.1988346947318368E-7</v>
      </c>
      <c r="H35">
        <v>1.1988346947318368E-7</v>
      </c>
      <c r="I35">
        <v>1.1988346947318368E-7</v>
      </c>
      <c r="J35">
        <v>1.1988346947318368E-7</v>
      </c>
      <c r="K35">
        <v>1.1988346947318368E-7</v>
      </c>
      <c r="L35">
        <v>1.1988346947318368E-7</v>
      </c>
      <c r="M35">
        <v>1.1988346947318368E-7</v>
      </c>
      <c r="N35">
        <v>1.1988346947318368E-7</v>
      </c>
      <c r="O35">
        <v>1.1988346947318368E-7</v>
      </c>
      <c r="P35">
        <v>1.1988346947318368E-7</v>
      </c>
      <c r="Q35">
        <v>1.1988346947318368E-7</v>
      </c>
      <c r="R35">
        <v>1.1988346947318368E-7</v>
      </c>
      <c r="S35">
        <v>1.1988346947318368E-7</v>
      </c>
      <c r="T35">
        <v>1.1988346947318368E-7</v>
      </c>
      <c r="U35">
        <v>1.1988346947318368E-7</v>
      </c>
      <c r="V35">
        <v>1.1988346947318368E-7</v>
      </c>
      <c r="W35">
        <v>1.1988346947318368E-7</v>
      </c>
      <c r="X35">
        <v>1.1988346947318368E-7</v>
      </c>
      <c r="Y35">
        <v>1.1988346947318368E-7</v>
      </c>
      <c r="Z35">
        <v>1.1988346947318368E-7</v>
      </c>
      <c r="AA35">
        <v>1.1988346947318368E-7</v>
      </c>
      <c r="AB35">
        <v>1.1988346947318368E-7</v>
      </c>
      <c r="AC35">
        <v>1.1988346947318368E-7</v>
      </c>
      <c r="AD35">
        <v>1.1988346947318368E-7</v>
      </c>
      <c r="AE35">
        <v>1.1988346947318368E-7</v>
      </c>
      <c r="AF35">
        <v>1.61118996363117E-7</v>
      </c>
    </row>
    <row r="36" spans="1:51" x14ac:dyDescent="0.35">
      <c r="A36" t="s">
        <v>54</v>
      </c>
      <c r="B36">
        <v>1.1988346947318368E-7</v>
      </c>
      <c r="C36">
        <v>1.1988346947318368E-7</v>
      </c>
      <c r="D36">
        <v>1.1988346947318368E-7</v>
      </c>
      <c r="E36">
        <v>1.1988346947318368E-7</v>
      </c>
      <c r="F36">
        <v>1.1988346947318368E-7</v>
      </c>
      <c r="G36">
        <v>1.1988346947318368E-7</v>
      </c>
      <c r="H36">
        <v>1.1988346947318368E-7</v>
      </c>
      <c r="I36">
        <v>1.1988346947318368E-7</v>
      </c>
      <c r="J36">
        <v>1.1988346947318368E-7</v>
      </c>
      <c r="K36">
        <v>1.1988346947318368E-7</v>
      </c>
      <c r="L36">
        <v>1.1988346947318368E-7</v>
      </c>
      <c r="M36">
        <v>1.1988346947318368E-7</v>
      </c>
      <c r="N36">
        <v>1.1988346947318368E-7</v>
      </c>
      <c r="O36">
        <v>1.1988346947318368E-7</v>
      </c>
      <c r="P36">
        <v>1.1988346947318368E-7</v>
      </c>
      <c r="Q36">
        <v>1.1988346947318368E-7</v>
      </c>
      <c r="R36">
        <v>1.1988346947318368E-7</v>
      </c>
      <c r="S36">
        <v>1.1988346947318368E-7</v>
      </c>
      <c r="T36">
        <v>1.1988346947318368E-7</v>
      </c>
      <c r="U36">
        <v>1.1988346947318368E-7</v>
      </c>
      <c r="V36">
        <v>1.1988346947318368E-7</v>
      </c>
      <c r="W36">
        <v>1.1988346947318368E-7</v>
      </c>
      <c r="X36">
        <v>1.1988346947318368E-7</v>
      </c>
      <c r="Y36">
        <v>1.1988346947318368E-7</v>
      </c>
      <c r="Z36">
        <v>1.1988346947318368E-7</v>
      </c>
      <c r="AA36">
        <v>1.1988346947318368E-7</v>
      </c>
      <c r="AB36">
        <v>1.1988346947318368E-7</v>
      </c>
      <c r="AC36">
        <v>1.1988346947318368E-7</v>
      </c>
      <c r="AD36">
        <v>1.1988346947318368E-7</v>
      </c>
      <c r="AE36">
        <v>1.1988346947318368E-7</v>
      </c>
      <c r="AF36">
        <v>1.61118996363117E-7</v>
      </c>
    </row>
    <row r="37" spans="1:51" x14ac:dyDescent="0.35">
      <c r="A37" t="s">
        <v>55</v>
      </c>
      <c r="B37">
        <v>1.1988346947318368E-7</v>
      </c>
      <c r="C37">
        <v>1.1988346947318368E-7</v>
      </c>
      <c r="D37">
        <v>1.1988346947318368E-7</v>
      </c>
      <c r="E37">
        <v>1.1988346947318368E-7</v>
      </c>
      <c r="F37">
        <v>1.1988346947318368E-7</v>
      </c>
      <c r="G37">
        <v>1.1988346947318368E-7</v>
      </c>
      <c r="H37">
        <v>1.1988346947318368E-7</v>
      </c>
      <c r="I37">
        <v>1.1988346947318368E-7</v>
      </c>
      <c r="J37">
        <v>1.1988346947318368E-7</v>
      </c>
      <c r="K37">
        <v>1.1988346947318368E-7</v>
      </c>
      <c r="L37">
        <v>1.1988346947318368E-7</v>
      </c>
      <c r="M37">
        <v>1.1988346947318368E-7</v>
      </c>
      <c r="N37">
        <v>1.1988346947318368E-7</v>
      </c>
      <c r="O37">
        <v>1.1988346947318368E-7</v>
      </c>
      <c r="P37">
        <v>1.1988346947318368E-7</v>
      </c>
      <c r="Q37">
        <v>1.1988346947318368E-7</v>
      </c>
      <c r="R37">
        <v>1.1988346947318368E-7</v>
      </c>
      <c r="S37">
        <v>1.1988346947318368E-7</v>
      </c>
      <c r="T37">
        <v>1.1988346947318368E-7</v>
      </c>
      <c r="U37">
        <v>1.1988346947318368E-7</v>
      </c>
      <c r="V37">
        <v>1.1988346947318368E-7</v>
      </c>
      <c r="W37">
        <v>1.1988346947318368E-7</v>
      </c>
      <c r="X37">
        <v>1.1988346947318368E-7</v>
      </c>
      <c r="Y37">
        <v>1.1988346947318368E-7</v>
      </c>
      <c r="Z37">
        <v>1.1988346947318368E-7</v>
      </c>
      <c r="AA37">
        <v>1.1988346947318368E-7</v>
      </c>
      <c r="AB37">
        <v>1.1988346947318368E-7</v>
      </c>
      <c r="AC37">
        <v>1.1988346947318368E-7</v>
      </c>
      <c r="AD37">
        <v>1.1988346947318368E-7</v>
      </c>
      <c r="AE37">
        <v>1.1988346947318368E-7</v>
      </c>
      <c r="AF37">
        <v>1.61118996363117E-7</v>
      </c>
    </row>
    <row r="38" spans="1:51" x14ac:dyDescent="0.35">
      <c r="A38" t="s">
        <v>56</v>
      </c>
      <c r="B38">
        <v>1.1988346947318368E-7</v>
      </c>
      <c r="C38">
        <v>1.1988346947318368E-7</v>
      </c>
      <c r="D38">
        <v>1.1988346947318368E-7</v>
      </c>
      <c r="E38">
        <v>1.1988346947318368E-7</v>
      </c>
      <c r="F38">
        <v>1.1988346947318368E-7</v>
      </c>
      <c r="G38">
        <v>1.1988346947318368E-7</v>
      </c>
      <c r="H38">
        <v>1.1988346947318368E-7</v>
      </c>
      <c r="I38">
        <v>1.1988346947318368E-7</v>
      </c>
      <c r="J38">
        <v>1.1988346947318368E-7</v>
      </c>
      <c r="K38">
        <v>1.1988346947318368E-7</v>
      </c>
      <c r="L38">
        <v>1.1988346947318368E-7</v>
      </c>
      <c r="M38">
        <v>1.1988346947318368E-7</v>
      </c>
      <c r="N38">
        <v>1.1988346947318368E-7</v>
      </c>
      <c r="O38">
        <v>1.1988346947318368E-7</v>
      </c>
      <c r="P38">
        <v>1.1988346947318368E-7</v>
      </c>
      <c r="Q38">
        <v>1.1988346947318368E-7</v>
      </c>
      <c r="R38">
        <v>1.1988346947318368E-7</v>
      </c>
      <c r="S38">
        <v>1.1988346947318368E-7</v>
      </c>
      <c r="T38">
        <v>1.1988346947318368E-7</v>
      </c>
      <c r="U38">
        <v>1.1988346947318368E-7</v>
      </c>
      <c r="V38">
        <v>1.1988346947318368E-7</v>
      </c>
      <c r="W38">
        <v>1.1988346947318368E-7</v>
      </c>
      <c r="X38">
        <v>1.1988346947318368E-7</v>
      </c>
      <c r="Y38">
        <v>1.1988346947318368E-7</v>
      </c>
      <c r="Z38">
        <v>1.1988346947318368E-7</v>
      </c>
      <c r="AA38">
        <v>1.1988346947318368E-7</v>
      </c>
      <c r="AB38">
        <v>1.1988346947318368E-7</v>
      </c>
      <c r="AC38">
        <v>1.1988346947318368E-7</v>
      </c>
      <c r="AD38">
        <v>1.1988346947318368E-7</v>
      </c>
      <c r="AE38">
        <v>1.1988346947318368E-7</v>
      </c>
      <c r="AF38">
        <v>0</v>
      </c>
    </row>
    <row r="39" spans="1:51" x14ac:dyDescent="0.35">
      <c r="A39" t="s">
        <v>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51" x14ac:dyDescent="0.35">
      <c r="A40" t="s">
        <v>58</v>
      </c>
      <c r="B40">
        <v>1.1988346947318368E-7</v>
      </c>
      <c r="C40">
        <v>1.1988346947318368E-7</v>
      </c>
      <c r="D40">
        <v>1.1988346947318368E-7</v>
      </c>
      <c r="E40">
        <v>1.1988346947318368E-7</v>
      </c>
      <c r="F40">
        <v>1.1988346947318368E-7</v>
      </c>
      <c r="G40">
        <v>1.1988346947318368E-7</v>
      </c>
      <c r="H40">
        <v>1.1988346947318368E-7</v>
      </c>
      <c r="I40">
        <v>1.1988346947318368E-7</v>
      </c>
      <c r="J40">
        <v>1.1988346947318368E-7</v>
      </c>
      <c r="K40">
        <v>1.1988346947318368E-7</v>
      </c>
      <c r="L40">
        <v>1.1988346947318368E-7</v>
      </c>
      <c r="M40">
        <v>1.1988346947318368E-7</v>
      </c>
      <c r="N40">
        <v>1.1988346947318368E-7</v>
      </c>
      <c r="O40">
        <v>1.1988346947318368E-7</v>
      </c>
      <c r="P40">
        <v>1.1988346947318368E-7</v>
      </c>
      <c r="Q40">
        <v>1.1988346947318368E-7</v>
      </c>
      <c r="R40">
        <v>1.1988346947318368E-7</v>
      </c>
      <c r="S40">
        <v>1.1988346947318368E-7</v>
      </c>
      <c r="T40">
        <v>1.1988346947318368E-7</v>
      </c>
      <c r="U40">
        <v>1.1988346947318368E-7</v>
      </c>
      <c r="V40">
        <v>1.1988346947318368E-7</v>
      </c>
      <c r="W40">
        <v>1.1988346947318368E-7</v>
      </c>
      <c r="X40">
        <v>1.1988346947318368E-7</v>
      </c>
      <c r="Y40">
        <v>1.1988346947318368E-7</v>
      </c>
      <c r="Z40">
        <v>1.1988346947318368E-7</v>
      </c>
      <c r="AA40">
        <v>1.1988346947318368E-7</v>
      </c>
      <c r="AB40">
        <v>1.1988346947318368E-7</v>
      </c>
      <c r="AC40">
        <v>1.1988346947318368E-7</v>
      </c>
      <c r="AD40">
        <v>1.1988346947318368E-7</v>
      </c>
      <c r="AE40">
        <v>1.1988346947318368E-7</v>
      </c>
      <c r="AF40">
        <v>1.61118996363117E-7</v>
      </c>
    </row>
    <row r="41" spans="1:51" s="4" customFormat="1" x14ac:dyDescent="0.35">
      <c r="A41" s="6" t="s">
        <v>33</v>
      </c>
    </row>
    <row r="42" spans="1:51" x14ac:dyDescent="0.35">
      <c r="A42" t="s">
        <v>29</v>
      </c>
      <c r="B42" s="1">
        <v>2021</v>
      </c>
      <c r="C42" s="1">
        <v>2022</v>
      </c>
      <c r="D42" s="1">
        <v>2023</v>
      </c>
      <c r="E42" s="1">
        <v>2024</v>
      </c>
      <c r="F42" s="1">
        <v>2025</v>
      </c>
      <c r="G42" s="1">
        <v>2026</v>
      </c>
      <c r="H42" s="1">
        <v>2027</v>
      </c>
      <c r="I42" s="1">
        <v>2028</v>
      </c>
      <c r="J42" s="1">
        <v>2029</v>
      </c>
      <c r="K42" s="1">
        <v>2030</v>
      </c>
      <c r="L42" s="1">
        <v>2031</v>
      </c>
      <c r="M42" s="1">
        <v>2032</v>
      </c>
      <c r="N42" s="1">
        <v>2033</v>
      </c>
      <c r="O42" s="1">
        <v>2034</v>
      </c>
      <c r="P42" s="1">
        <v>2035</v>
      </c>
      <c r="Q42" s="1">
        <v>2036</v>
      </c>
      <c r="R42" s="1">
        <v>2037</v>
      </c>
      <c r="S42" s="1">
        <v>2038</v>
      </c>
      <c r="T42" s="1">
        <v>2039</v>
      </c>
      <c r="U42" s="1">
        <v>2040</v>
      </c>
      <c r="V42" s="1">
        <v>2041</v>
      </c>
      <c r="W42" s="1">
        <v>2042</v>
      </c>
      <c r="X42" s="1">
        <v>2043</v>
      </c>
      <c r="Y42" s="1">
        <v>2044</v>
      </c>
      <c r="Z42" s="1">
        <v>2045</v>
      </c>
      <c r="AA42" s="1">
        <v>2046</v>
      </c>
      <c r="AB42" s="1">
        <v>2047</v>
      </c>
      <c r="AC42" s="1">
        <v>2048</v>
      </c>
      <c r="AD42" s="1">
        <v>2049</v>
      </c>
      <c r="AE42" s="1">
        <v>2050</v>
      </c>
      <c r="AF42" s="1">
        <v>2051</v>
      </c>
      <c r="AG42" s="1">
        <v>2052</v>
      </c>
      <c r="AH42" s="1">
        <v>2053</v>
      </c>
      <c r="AI42" s="1">
        <v>2054</v>
      </c>
      <c r="AJ42" s="1">
        <v>2055</v>
      </c>
      <c r="AK42" s="1">
        <v>2056</v>
      </c>
      <c r="AL42" s="1">
        <v>2057</v>
      </c>
      <c r="AM42" s="1">
        <v>2058</v>
      </c>
      <c r="AN42" s="1">
        <v>2059</v>
      </c>
      <c r="AO42" s="1">
        <v>2060</v>
      </c>
      <c r="AP42" s="1">
        <v>2061</v>
      </c>
      <c r="AQ42" s="1">
        <v>2062</v>
      </c>
      <c r="AR42" s="1">
        <v>2063</v>
      </c>
      <c r="AS42" s="1">
        <v>2064</v>
      </c>
      <c r="AT42" s="1">
        <v>2065</v>
      </c>
      <c r="AU42" s="1">
        <v>2066</v>
      </c>
      <c r="AV42" s="1">
        <v>2067</v>
      </c>
      <c r="AW42" s="1">
        <v>2068</v>
      </c>
      <c r="AX42" s="1">
        <v>2069</v>
      </c>
      <c r="AY42" s="1">
        <v>2070</v>
      </c>
    </row>
    <row r="43" spans="1:51" x14ac:dyDescent="0.35">
      <c r="A43" t="s">
        <v>51</v>
      </c>
      <c r="B43">
        <v>1.2351957574715369E-5</v>
      </c>
      <c r="C43">
        <v>1.2351957574715369E-5</v>
      </c>
      <c r="D43">
        <v>1.2475758516238712E-5</v>
      </c>
      <c r="E43">
        <v>1.2351957574715369E-5</v>
      </c>
      <c r="F43">
        <v>1.2368839521286733E-5</v>
      </c>
      <c r="G43">
        <v>1.2368839521286733E-5</v>
      </c>
      <c r="H43">
        <v>1.2318193681572638E-5</v>
      </c>
      <c r="I43">
        <v>1.2155001531382778E-5</v>
      </c>
      <c r="J43">
        <v>1.2295684419477486E-5</v>
      </c>
      <c r="K43">
        <v>1.2396976098905675E-5</v>
      </c>
      <c r="L43">
        <v>1.2548913618047961E-5</v>
      </c>
      <c r="M43">
        <v>1.261081408880963E-5</v>
      </c>
      <c r="N43">
        <v>1.2779633554523283E-5</v>
      </c>
      <c r="O43">
        <v>1.3173545641188464E-5</v>
      </c>
      <c r="P43">
        <v>1.3263582689569079E-5</v>
      </c>
      <c r="Q43">
        <v>1.3381756315568632E-5</v>
      </c>
      <c r="R43">
        <v>1.3618103567567741E-5</v>
      </c>
      <c r="S43">
        <v>1.3837568872995485E-5</v>
      </c>
      <c r="T43">
        <v>1.3983879076613984E-5</v>
      </c>
      <c r="U43">
        <v>1.4152698542327632E-5</v>
      </c>
      <c r="V43">
        <v>1.4192089750994152E-5</v>
      </c>
      <c r="W43">
        <v>1.4349654585660223E-5</v>
      </c>
      <c r="X43">
        <v>1.4540983313469025E-5</v>
      </c>
      <c r="Y43">
        <v>1.4591629153183124E-5</v>
      </c>
      <c r="Z43">
        <v>1.46985481481351E-5</v>
      </c>
      <c r="AA43">
        <v>1.4923640769086633E-5</v>
      </c>
      <c r="AB43">
        <v>1.5047441710609975E-5</v>
      </c>
      <c r="AC43">
        <v>1.516561533660953E-5</v>
      </c>
      <c r="AD43">
        <v>1.5356944064418332E-5</v>
      </c>
      <c r="AE43">
        <v>1.5407589904132429E-5</v>
      </c>
    </row>
    <row r="44" spans="1:51" x14ac:dyDescent="0.35">
      <c r="A44" t="s">
        <v>52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51" x14ac:dyDescent="0.35">
      <c r="A45" t="s">
        <v>53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51" x14ac:dyDescent="0.35">
      <c r="A46" t="s">
        <v>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51" x14ac:dyDescent="0.35">
      <c r="A47" t="s">
        <v>55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51" x14ac:dyDescent="0.35">
      <c r="A48" t="s">
        <v>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51" x14ac:dyDescent="0.35">
      <c r="A49" t="s">
        <v>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51" x14ac:dyDescent="0.35">
      <c r="A50" t="s">
        <v>58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51" s="4" customFormat="1" x14ac:dyDescent="0.35">
      <c r="A51" s="6" t="s">
        <v>34</v>
      </c>
    </row>
    <row r="52" spans="1:51" x14ac:dyDescent="0.35">
      <c r="A52" t="s">
        <v>29</v>
      </c>
      <c r="B52" s="1">
        <v>2021</v>
      </c>
      <c r="C52" s="1">
        <v>2022</v>
      </c>
      <c r="D52" s="1">
        <v>2023</v>
      </c>
      <c r="E52" s="1">
        <v>2024</v>
      </c>
      <c r="F52" s="1">
        <v>2025</v>
      </c>
      <c r="G52" s="1">
        <v>2026</v>
      </c>
      <c r="H52" s="1">
        <v>2027</v>
      </c>
      <c r="I52" s="1">
        <v>2028</v>
      </c>
      <c r="J52" s="1">
        <v>2029</v>
      </c>
      <c r="K52" s="1">
        <v>2030</v>
      </c>
      <c r="L52" s="1">
        <v>2031</v>
      </c>
      <c r="M52" s="1">
        <v>2032</v>
      </c>
      <c r="N52" s="1">
        <v>2033</v>
      </c>
      <c r="O52" s="1">
        <v>2034</v>
      </c>
      <c r="P52" s="1">
        <v>2035</v>
      </c>
      <c r="Q52" s="1">
        <v>2036</v>
      </c>
      <c r="R52" s="1">
        <v>2037</v>
      </c>
      <c r="S52" s="1">
        <v>2038</v>
      </c>
      <c r="T52" s="1">
        <v>2039</v>
      </c>
      <c r="U52" s="1">
        <v>2040</v>
      </c>
      <c r="V52" s="1">
        <v>2041</v>
      </c>
      <c r="W52" s="1">
        <v>2042</v>
      </c>
      <c r="X52" s="1">
        <v>2043</v>
      </c>
      <c r="Y52" s="1">
        <v>2044</v>
      </c>
      <c r="Z52" s="1">
        <v>2045</v>
      </c>
      <c r="AA52" s="1">
        <v>2046</v>
      </c>
      <c r="AB52" s="1">
        <v>2047</v>
      </c>
      <c r="AC52" s="1">
        <v>2048</v>
      </c>
      <c r="AD52" s="1">
        <v>2049</v>
      </c>
      <c r="AE52" s="1">
        <v>2050</v>
      </c>
      <c r="AF52" s="1">
        <v>2051</v>
      </c>
      <c r="AG52" s="1">
        <v>2052</v>
      </c>
      <c r="AH52" s="1">
        <v>2053</v>
      </c>
      <c r="AI52" s="1">
        <v>2054</v>
      </c>
      <c r="AJ52" s="1">
        <v>2055</v>
      </c>
      <c r="AK52" s="1">
        <v>2056</v>
      </c>
      <c r="AL52" s="1">
        <v>2057</v>
      </c>
      <c r="AM52" s="1">
        <v>2058</v>
      </c>
      <c r="AN52" s="1">
        <v>2059</v>
      </c>
      <c r="AO52" s="1">
        <v>2060</v>
      </c>
      <c r="AP52" s="1">
        <v>2061</v>
      </c>
      <c r="AQ52" s="1">
        <v>2062</v>
      </c>
      <c r="AR52" s="1">
        <v>2063</v>
      </c>
      <c r="AS52" s="1">
        <v>2064</v>
      </c>
      <c r="AT52" s="1">
        <v>2065</v>
      </c>
      <c r="AU52" s="1">
        <v>2066</v>
      </c>
      <c r="AV52" s="1">
        <v>2067</v>
      </c>
      <c r="AW52" s="1">
        <v>2068</v>
      </c>
      <c r="AX52" s="1">
        <v>2069</v>
      </c>
      <c r="AY52" s="1">
        <v>2070</v>
      </c>
    </row>
    <row r="53" spans="1:51" x14ac:dyDescent="0.35">
      <c r="A53" t="s">
        <v>51</v>
      </c>
      <c r="B53">
        <v>8.2905591362092975E-6</v>
      </c>
      <c r="C53">
        <v>8.2905591362092975E-6</v>
      </c>
      <c r="D53">
        <v>8.589703022567365E-6</v>
      </c>
      <c r="E53">
        <v>8.2905591362092975E-6</v>
      </c>
      <c r="F53">
        <v>8.3371789626547117E-6</v>
      </c>
      <c r="G53">
        <v>8.4653834853795965E-6</v>
      </c>
      <c r="H53">
        <v>8.5158882973621289E-6</v>
      </c>
      <c r="I53">
        <v>8.6674027333097209E-6</v>
      </c>
      <c r="J53">
        <v>8.7217925308293696E-6</v>
      </c>
      <c r="K53">
        <v>8.8810769378511979E-6</v>
      </c>
      <c r="L53">
        <v>8.9005018655367868E-6</v>
      </c>
      <c r="M53">
        <v>9.0403613448730261E-6</v>
      </c>
      <c r="N53">
        <v>9.1219460411524984E-6</v>
      </c>
      <c r="O53">
        <v>9.3123103324712684E-6</v>
      </c>
      <c r="P53">
        <v>9.4172049419734478E-6</v>
      </c>
      <c r="Q53">
        <v>9.4871346816415691E-6</v>
      </c>
      <c r="R53">
        <v>9.6386491175891611E-6</v>
      </c>
      <c r="S53">
        <v>9.7163488283315153E-6</v>
      </c>
      <c r="T53">
        <v>9.8018185101481074E-6</v>
      </c>
      <c r="U53">
        <v>9.9028281341131671E-6</v>
      </c>
      <c r="V53">
        <v>9.9688728882441702E-6</v>
      </c>
      <c r="W53">
        <v>1.0054342570060761E-5</v>
      </c>
      <c r="X53">
        <v>1.0139812251877353E-5</v>
      </c>
      <c r="Y53">
        <v>1.0139812251877353E-5</v>
      </c>
      <c r="Z53">
        <v>1.0205857006008354E-5</v>
      </c>
      <c r="AA53">
        <v>1.0357371441955946E-5</v>
      </c>
      <c r="AB53">
        <v>1.0419531210549831E-5</v>
      </c>
      <c r="AC53">
        <v>1.0501115906829304E-5</v>
      </c>
      <c r="AD53">
        <v>1.0644860371702661E-5</v>
      </c>
      <c r="AE53">
        <v>1.0648745357239779E-5</v>
      </c>
    </row>
    <row r="54" spans="1:51" x14ac:dyDescent="0.35">
      <c r="A54" t="s">
        <v>52</v>
      </c>
      <c r="B54">
        <v>8.2905591362092975E-6</v>
      </c>
      <c r="C54">
        <v>8.2905591362092975E-6</v>
      </c>
      <c r="D54">
        <v>8.5200959682301089E-6</v>
      </c>
      <c r="E54">
        <v>8.2905591362092975E-6</v>
      </c>
      <c r="F54">
        <v>8.002665482488281E-6</v>
      </c>
      <c r="G54">
        <v>7.7809095600274967E-6</v>
      </c>
      <c r="H54">
        <v>7.5202490897665759E-6</v>
      </c>
      <c r="I54">
        <v>7.3607404437860143E-6</v>
      </c>
      <c r="J54">
        <v>7.1039704283051055E-6</v>
      </c>
      <c r="K54">
        <v>7.1895604334654079E-6</v>
      </c>
      <c r="L54">
        <v>7.1701081595653392E-6</v>
      </c>
      <c r="M54">
        <v>7.2868218029657509E-6</v>
      </c>
      <c r="N54">
        <v>7.3607404437860143E-6</v>
      </c>
      <c r="O54">
        <v>7.3996449915861499E-6</v>
      </c>
      <c r="P54">
        <v>7.4696731776263981E-6</v>
      </c>
      <c r="Q54">
        <v>7.5280299993266047E-6</v>
      </c>
      <c r="R54">
        <v>7.6719768261871121E-6</v>
      </c>
      <c r="S54">
        <v>7.769238195687456E-6</v>
      </c>
      <c r="T54">
        <v>7.8626091104077864E-6</v>
      </c>
      <c r="U54">
        <v>7.9715418442481709E-6</v>
      </c>
      <c r="V54">
        <v>8.0260082111683623E-6</v>
      </c>
      <c r="W54">
        <v>8.0649127589685013E-6</v>
      </c>
      <c r="X54">
        <v>8.1582836736888299E-6</v>
      </c>
      <c r="Y54">
        <v>8.1816264023689146E-6</v>
      </c>
      <c r="Z54">
        <v>8.2594354979691891E-6</v>
      </c>
      <c r="AA54">
        <v>8.4072727796097125E-6</v>
      </c>
      <c r="AB54">
        <v>8.4656296013099192E-6</v>
      </c>
      <c r="AC54">
        <v>8.5395482421301784E-6</v>
      </c>
      <c r="AD54">
        <v>8.695166433330729E-6</v>
      </c>
      <c r="AE54">
        <v>8.7301805263508526E-6</v>
      </c>
    </row>
    <row r="55" spans="1:51" x14ac:dyDescent="0.35">
      <c r="A55" t="s">
        <v>53</v>
      </c>
      <c r="B55">
        <v>5.5939513073414185E-6</v>
      </c>
      <c r="C55">
        <v>5.5939513073414185E-6</v>
      </c>
      <c r="D55">
        <v>5.7489011322865559E-6</v>
      </c>
      <c r="E55">
        <v>5.5939513073414185E-6</v>
      </c>
      <c r="F55">
        <v>5.6806181585819196E-6</v>
      </c>
      <c r="G55">
        <v>5.8329417153076478E-6</v>
      </c>
      <c r="H55">
        <v>5.937992444084012E-6</v>
      </c>
      <c r="I55">
        <v>6.111326146565015E-6</v>
      </c>
      <c r="J55">
        <v>6.2268819482190154E-6</v>
      </c>
      <c r="K55">
        <v>6.3214276041177434E-6</v>
      </c>
      <c r="L55">
        <v>6.3293064087759712E-6</v>
      </c>
      <c r="M55">
        <v>6.4185995282358807E-6</v>
      </c>
      <c r="N55">
        <v>6.4711248926240632E-6</v>
      </c>
      <c r="O55">
        <v>6.5026401112569734E-6</v>
      </c>
      <c r="P55">
        <v>6.5735493531810182E-6</v>
      </c>
      <c r="Q55">
        <v>6.6181959129109738E-6</v>
      </c>
      <c r="R55">
        <v>6.7022364959320648E-6</v>
      </c>
      <c r="S55">
        <v>6.7600143967590658E-6</v>
      </c>
      <c r="T55">
        <v>6.8151660293666567E-6</v>
      </c>
      <c r="U55">
        <v>6.8781964666324763E-6</v>
      </c>
      <c r="V55">
        <v>6.9202167581430218E-6</v>
      </c>
      <c r="W55">
        <v>6.9753683907506127E-6</v>
      </c>
      <c r="X55">
        <v>7.0331462915776154E-6</v>
      </c>
      <c r="Y55">
        <v>7.035772559797023E-6</v>
      </c>
      <c r="Z55">
        <v>7.0856716559657971E-6</v>
      </c>
      <c r="AA55">
        <v>7.1828435800839335E-6</v>
      </c>
      <c r="AB55">
        <v>7.2248638715944799E-6</v>
      </c>
      <c r="AC55">
        <v>7.2773892359826616E-6</v>
      </c>
      <c r="AD55">
        <v>7.3693086236619812E-6</v>
      </c>
      <c r="AE55">
        <v>7.3824399647590266E-6</v>
      </c>
    </row>
    <row r="56" spans="1:51" x14ac:dyDescent="0.35">
      <c r="A56" t="s">
        <v>54</v>
      </c>
      <c r="B56">
        <v>8.2905591362092975E-6</v>
      </c>
      <c r="C56">
        <v>8.2905591362092975E-6</v>
      </c>
      <c r="D56">
        <v>8.5193444444582912E-6</v>
      </c>
      <c r="E56">
        <v>8.2905591362092975E-6</v>
      </c>
      <c r="F56">
        <v>8.0385075254265093E-6</v>
      </c>
      <c r="G56">
        <v>7.8795211247789024E-6</v>
      </c>
      <c r="H56">
        <v>7.6546135336188747E-6</v>
      </c>
      <c r="I56">
        <v>7.5266488696829968E-6</v>
      </c>
      <c r="J56">
        <v>7.3056189956119359E-6</v>
      </c>
      <c r="K56">
        <v>7.452972244992644E-6</v>
      </c>
      <c r="L56">
        <v>7.4684831133485081E-6</v>
      </c>
      <c r="M56">
        <v>7.6003254943733529E-6</v>
      </c>
      <c r="N56">
        <v>7.6817575532416369E-6</v>
      </c>
      <c r="O56">
        <v>7.8446216709782098E-6</v>
      </c>
      <c r="P56">
        <v>7.9493200323802908E-6</v>
      </c>
      <c r="Q56">
        <v>8.0152412228927149E-6</v>
      </c>
      <c r="R56">
        <v>8.1664721893623864E-6</v>
      </c>
      <c r="S56">
        <v>8.2479042482306729E-6</v>
      </c>
      <c r="T56">
        <v>8.3332140241879254E-6</v>
      </c>
      <c r="U56">
        <v>8.4340346685010403E-6</v>
      </c>
      <c r="V56">
        <v>8.492200424835529E-6</v>
      </c>
      <c r="W56">
        <v>8.5736324837038155E-6</v>
      </c>
      <c r="X56">
        <v>8.6666976938390001E-6</v>
      </c>
      <c r="Y56">
        <v>8.6705754109279661E-6</v>
      </c>
      <c r="Z56">
        <v>8.7481297527072849E-6</v>
      </c>
      <c r="AA56">
        <v>8.8916052849990277E-6</v>
      </c>
      <c r="AB56">
        <v>8.9575264755114518E-6</v>
      </c>
      <c r="AC56">
        <v>9.0350808172907689E-6</v>
      </c>
      <c r="AD56">
        <v>9.1785563495825118E-6</v>
      </c>
      <c r="AE56">
        <v>9.1979449350273402E-6</v>
      </c>
    </row>
    <row r="57" spans="1:51" x14ac:dyDescent="0.35">
      <c r="A57" t="s">
        <v>55</v>
      </c>
      <c r="B57">
        <v>8.2905591362092975E-6</v>
      </c>
      <c r="C57">
        <v>8.2905591362092975E-6</v>
      </c>
      <c r="D57">
        <v>8.5202037320010111E-6</v>
      </c>
      <c r="E57">
        <v>8.2905591362092975E-6</v>
      </c>
      <c r="F57">
        <v>8.0492376965637702E-6</v>
      </c>
      <c r="G57">
        <v>7.8974387264641623E-6</v>
      </c>
      <c r="H57">
        <v>7.6755786932416589E-6</v>
      </c>
      <c r="I57">
        <v>7.558810254703502E-6</v>
      </c>
      <c r="J57">
        <v>7.3369502214809995E-6</v>
      </c>
      <c r="K57">
        <v>7.4926414728652108E-6</v>
      </c>
      <c r="L57">
        <v>7.5121028792882373E-6</v>
      </c>
      <c r="M57">
        <v>7.6483327242494214E-6</v>
      </c>
      <c r="N57">
        <v>7.7300706312261339E-6</v>
      </c>
      <c r="O57">
        <v>7.7806702879260037E-6</v>
      </c>
      <c r="P57">
        <v>7.8857618826103469E-6</v>
      </c>
      <c r="Q57">
        <v>7.9558229457332424E-6</v>
      </c>
      <c r="R57">
        <v>8.0959450719790333E-6</v>
      </c>
      <c r="S57">
        <v>8.1776829789557458E-6</v>
      </c>
      <c r="T57">
        <v>8.2672054485016651E-6</v>
      </c>
      <c r="U57">
        <v>8.3684047619014032E-6</v>
      </c>
      <c r="V57">
        <v>8.4267889811704833E-6</v>
      </c>
      <c r="W57">
        <v>8.5124191694318009E-6</v>
      </c>
      <c r="X57">
        <v>8.6019416389777236E-6</v>
      </c>
      <c r="Y57">
        <v>8.6097262015469338E-6</v>
      </c>
      <c r="Z57">
        <v>8.6875718272390395E-6</v>
      </c>
      <c r="AA57">
        <v>8.8315862347694355E-6</v>
      </c>
      <c r="AB57">
        <v>8.901647297892331E-6</v>
      </c>
      <c r="AC57">
        <v>8.9794929235844367E-6</v>
      </c>
      <c r="AD57">
        <v>9.1273996123994378E-6</v>
      </c>
      <c r="AE57">
        <v>9.1429687375378599E-6</v>
      </c>
    </row>
    <row r="58" spans="1:51" x14ac:dyDescent="0.35">
      <c r="A58" t="s">
        <v>56</v>
      </c>
      <c r="B58">
        <v>8.2905591362092975E-6</v>
      </c>
      <c r="C58">
        <v>8.2905591362092975E-6</v>
      </c>
      <c r="D58">
        <v>8.5202037320010111E-6</v>
      </c>
      <c r="E58">
        <v>8.2905591362092975E-6</v>
      </c>
      <c r="F58">
        <v>8.0492376965637702E-6</v>
      </c>
      <c r="G58">
        <v>7.8974387264641623E-6</v>
      </c>
      <c r="H58">
        <v>7.6755786932416589E-6</v>
      </c>
      <c r="I58">
        <v>7.558810254703502E-6</v>
      </c>
      <c r="J58">
        <v>7.3369502214809995E-6</v>
      </c>
      <c r="K58">
        <v>7.4926414728652108E-6</v>
      </c>
      <c r="L58">
        <v>7.5121028792882373E-6</v>
      </c>
      <c r="M58">
        <v>7.6483327242494214E-6</v>
      </c>
      <c r="N58">
        <v>7.7300706312261339E-6</v>
      </c>
      <c r="O58">
        <v>7.7806702879260037E-6</v>
      </c>
      <c r="P58">
        <v>7.8857618826103469E-6</v>
      </c>
      <c r="Q58">
        <v>7.9558229457332424E-6</v>
      </c>
      <c r="R58">
        <v>8.0959450719790333E-6</v>
      </c>
      <c r="S58">
        <v>8.1776829789557458E-6</v>
      </c>
      <c r="T58">
        <v>8.2672054485016651E-6</v>
      </c>
      <c r="U58">
        <v>8.3684047619014032E-6</v>
      </c>
      <c r="V58">
        <v>8.4267889811704833E-6</v>
      </c>
      <c r="W58">
        <v>8.5124191694318009E-6</v>
      </c>
      <c r="X58">
        <v>8.6019416389777236E-6</v>
      </c>
      <c r="Y58">
        <v>8.6097262015469338E-6</v>
      </c>
      <c r="Z58">
        <v>8.6875718272390395E-6</v>
      </c>
      <c r="AA58">
        <v>8.8315862347694355E-6</v>
      </c>
      <c r="AB58">
        <v>8.901647297892331E-6</v>
      </c>
      <c r="AC58">
        <v>8.9794929235844367E-6</v>
      </c>
      <c r="AD58">
        <v>9.1273996123994378E-6</v>
      </c>
      <c r="AE58">
        <v>9.1429687375378599E-6</v>
      </c>
    </row>
    <row r="59" spans="1:51" x14ac:dyDescent="0.35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51" x14ac:dyDescent="0.35">
      <c r="A60" t="s">
        <v>58</v>
      </c>
      <c r="B60">
        <v>8.2905591362092975E-6</v>
      </c>
      <c r="C60">
        <v>8.2905591362092975E-6</v>
      </c>
      <c r="D60">
        <v>8.5202037320010111E-6</v>
      </c>
      <c r="E60">
        <v>8.2905591362092975E-6</v>
      </c>
      <c r="F60">
        <v>8.0492376965637702E-6</v>
      </c>
      <c r="G60">
        <v>7.8974387264641623E-6</v>
      </c>
      <c r="H60">
        <v>7.6755786932416589E-6</v>
      </c>
      <c r="I60">
        <v>7.558810254703502E-6</v>
      </c>
      <c r="J60">
        <v>7.3369502214809995E-6</v>
      </c>
      <c r="K60">
        <v>7.4926414728652108E-6</v>
      </c>
      <c r="L60">
        <v>7.5121028792882373E-6</v>
      </c>
      <c r="M60">
        <v>7.6483327242494214E-6</v>
      </c>
      <c r="N60">
        <v>7.7300706312261339E-6</v>
      </c>
      <c r="O60">
        <v>7.7806702879260037E-6</v>
      </c>
      <c r="P60">
        <v>7.8857618826103469E-6</v>
      </c>
      <c r="Q60">
        <v>7.9558229457332424E-6</v>
      </c>
      <c r="R60">
        <v>8.0959450719790333E-6</v>
      </c>
      <c r="S60">
        <v>8.1776829789557458E-6</v>
      </c>
      <c r="T60">
        <v>8.2672054485016651E-6</v>
      </c>
      <c r="U60">
        <v>8.3684047619014032E-6</v>
      </c>
      <c r="V60">
        <v>8.4267889811704833E-6</v>
      </c>
      <c r="W60">
        <v>8.5124191694318009E-6</v>
      </c>
      <c r="X60">
        <v>8.6019416389777236E-6</v>
      </c>
      <c r="Y60">
        <v>8.6097262015469338E-6</v>
      </c>
      <c r="Z60">
        <v>8.6875718272390395E-6</v>
      </c>
      <c r="AA60">
        <v>8.8315862347694355E-6</v>
      </c>
      <c r="AB60">
        <v>8.901647297892331E-6</v>
      </c>
      <c r="AC60">
        <v>8.9794929235844367E-6</v>
      </c>
      <c r="AD60">
        <v>9.1273996123994378E-6</v>
      </c>
      <c r="AE60">
        <v>9.1429687375378599E-6</v>
      </c>
    </row>
    <row r="61" spans="1:51" s="4" customFormat="1" x14ac:dyDescent="0.35">
      <c r="A61" s="6" t="s">
        <v>35</v>
      </c>
    </row>
    <row r="62" spans="1:51" x14ac:dyDescent="0.35">
      <c r="A62" t="s">
        <v>29</v>
      </c>
      <c r="B62" s="1">
        <v>2021</v>
      </c>
      <c r="C62" s="1">
        <v>2022</v>
      </c>
      <c r="D62" s="1">
        <v>2023</v>
      </c>
      <c r="E62" s="1">
        <v>2024</v>
      </c>
      <c r="F62" s="1">
        <v>2025</v>
      </c>
      <c r="G62" s="1">
        <v>2026</v>
      </c>
      <c r="H62" s="1">
        <v>2027</v>
      </c>
      <c r="I62" s="1">
        <v>2028</v>
      </c>
      <c r="J62" s="1">
        <v>2029</v>
      </c>
      <c r="K62" s="1">
        <v>2030</v>
      </c>
      <c r="L62" s="1">
        <v>2031</v>
      </c>
      <c r="M62" s="1">
        <v>2032</v>
      </c>
      <c r="N62" s="1">
        <v>2033</v>
      </c>
      <c r="O62" s="1">
        <v>2034</v>
      </c>
      <c r="P62" s="1">
        <v>2035</v>
      </c>
      <c r="Q62" s="1">
        <v>2036</v>
      </c>
      <c r="R62" s="1">
        <v>2037</v>
      </c>
      <c r="S62" s="1">
        <v>2038</v>
      </c>
      <c r="T62" s="1">
        <v>2039</v>
      </c>
      <c r="U62" s="1">
        <v>2040</v>
      </c>
      <c r="V62" s="1">
        <v>2041</v>
      </c>
      <c r="W62" s="1">
        <v>2042</v>
      </c>
      <c r="X62" s="1">
        <v>2043</v>
      </c>
      <c r="Y62" s="1">
        <v>2044</v>
      </c>
      <c r="Z62" s="1">
        <v>2045</v>
      </c>
      <c r="AA62" s="1">
        <v>2046</v>
      </c>
      <c r="AB62" s="1">
        <v>2047</v>
      </c>
      <c r="AC62" s="1">
        <v>2048</v>
      </c>
      <c r="AD62" s="1">
        <v>2049</v>
      </c>
      <c r="AE62" s="1">
        <v>2050</v>
      </c>
      <c r="AF62" s="1">
        <v>2051</v>
      </c>
      <c r="AG62" s="1">
        <v>2052</v>
      </c>
      <c r="AH62" s="1">
        <v>2053</v>
      </c>
      <c r="AI62" s="1">
        <v>2054</v>
      </c>
      <c r="AJ62" s="1">
        <v>2055</v>
      </c>
      <c r="AK62" s="1">
        <v>2056</v>
      </c>
      <c r="AL62" s="1">
        <v>2057</v>
      </c>
      <c r="AM62" s="1">
        <v>2058</v>
      </c>
      <c r="AN62" s="1">
        <v>2059</v>
      </c>
      <c r="AO62" s="1">
        <v>2060</v>
      </c>
      <c r="AP62" s="1">
        <v>2061</v>
      </c>
      <c r="AQ62" s="1">
        <v>2062</v>
      </c>
      <c r="AR62" s="1">
        <v>2063</v>
      </c>
      <c r="AS62" s="1">
        <v>2064</v>
      </c>
      <c r="AT62" s="1">
        <v>2065</v>
      </c>
      <c r="AU62" s="1">
        <v>2066</v>
      </c>
      <c r="AV62" s="1">
        <v>2067</v>
      </c>
      <c r="AW62" s="1">
        <v>2068</v>
      </c>
      <c r="AX62" s="1">
        <v>2069</v>
      </c>
      <c r="AY62" s="1">
        <v>2070</v>
      </c>
    </row>
    <row r="63" spans="1:51" x14ac:dyDescent="0.35">
      <c r="A63" t="s">
        <v>51</v>
      </c>
      <c r="B63">
        <v>1.248940517384054E-6</v>
      </c>
      <c r="C63">
        <v>1.248940517384054E-6</v>
      </c>
      <c r="D63">
        <v>1.2643977020051437E-6</v>
      </c>
      <c r="E63">
        <v>1.248940517384054E-6</v>
      </c>
      <c r="F63">
        <v>1.5410813067226509E-6</v>
      </c>
      <c r="G63">
        <v>1.4648258625919413E-6</v>
      </c>
      <c r="H63">
        <v>1.474615412851965E-6</v>
      </c>
      <c r="I63">
        <v>1.4694630179782681E-6</v>
      </c>
      <c r="J63">
        <v>1.4354572118118707E-6</v>
      </c>
      <c r="K63">
        <v>1.4395791277108283E-6</v>
      </c>
      <c r="L63">
        <v>1.4509143964329605E-6</v>
      </c>
      <c r="M63">
        <v>1.4648258625919413E-6</v>
      </c>
      <c r="N63">
        <v>1.4792525682382918E-6</v>
      </c>
      <c r="O63">
        <v>1.5488098990331956E-6</v>
      </c>
      <c r="P63">
        <v>1.5658128021163944E-6</v>
      </c>
      <c r="Q63">
        <v>1.5740566339143092E-6</v>
      </c>
      <c r="R63">
        <v>1.6080624400807066E-6</v>
      </c>
      <c r="S63">
        <v>1.6333091749618196E-6</v>
      </c>
      <c r="T63">
        <v>1.6889550395977432E-6</v>
      </c>
      <c r="U63">
        <v>1.6827721657493069E-6</v>
      </c>
      <c r="V63">
        <v>1.6915312370345913E-6</v>
      </c>
      <c r="W63">
        <v>1.7399637488473394E-6</v>
      </c>
      <c r="X63">
        <v>1.7914876975843056E-6</v>
      </c>
      <c r="Y63">
        <v>1.8347678145233564E-6</v>
      </c>
      <c r="Z63">
        <v>1.8507402386318158E-6</v>
      </c>
      <c r="AA63">
        <v>1.9311175986614829E-6</v>
      </c>
      <c r="AB63">
        <v>1.954818615080487E-6</v>
      </c>
      <c r="AC63">
        <v>1.9759434340626434E-6</v>
      </c>
      <c r="AD63">
        <v>1.9975834925321692E-6</v>
      </c>
      <c r="AE63">
        <v>2.0228302274132822E-6</v>
      </c>
    </row>
    <row r="64" spans="1:51" x14ac:dyDescent="0.35">
      <c r="A64" t="s">
        <v>52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51" x14ac:dyDescent="0.35">
      <c r="A65" t="s">
        <v>53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51" x14ac:dyDescent="0.35">
      <c r="A66" t="s">
        <v>54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51" x14ac:dyDescent="0.35">
      <c r="A67" t="s">
        <v>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51" x14ac:dyDescent="0.35">
      <c r="A68" t="s">
        <v>56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51" x14ac:dyDescent="0.35">
      <c r="A69" t="s">
        <v>57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51" x14ac:dyDescent="0.35">
      <c r="A70" t="s">
        <v>58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51" s="4" customFormat="1" x14ac:dyDescent="0.35">
      <c r="A71" s="6" t="s">
        <v>36</v>
      </c>
    </row>
    <row r="72" spans="1:51" x14ac:dyDescent="0.35">
      <c r="A72" t="s">
        <v>29</v>
      </c>
      <c r="B72" s="1">
        <v>2021</v>
      </c>
      <c r="C72" s="1">
        <v>2022</v>
      </c>
      <c r="D72" s="1">
        <v>2023</v>
      </c>
      <c r="E72" s="1">
        <v>2024</v>
      </c>
      <c r="F72" s="1">
        <v>2025</v>
      </c>
      <c r="G72" s="1">
        <v>2026</v>
      </c>
      <c r="H72" s="1">
        <v>2027</v>
      </c>
      <c r="I72" s="1">
        <v>2028</v>
      </c>
      <c r="J72" s="1">
        <v>2029</v>
      </c>
      <c r="K72" s="1">
        <v>2030</v>
      </c>
      <c r="L72" s="1">
        <v>2031</v>
      </c>
      <c r="M72" s="1">
        <v>2032</v>
      </c>
      <c r="N72" s="1">
        <v>2033</v>
      </c>
      <c r="O72" s="1">
        <v>2034</v>
      </c>
      <c r="P72" s="1">
        <v>2035</v>
      </c>
      <c r="Q72" s="1">
        <v>2036</v>
      </c>
      <c r="R72" s="1">
        <v>2037</v>
      </c>
      <c r="S72" s="1">
        <v>2038</v>
      </c>
      <c r="T72" s="1">
        <v>2039</v>
      </c>
      <c r="U72" s="1">
        <v>2040</v>
      </c>
      <c r="V72" s="1">
        <v>2041</v>
      </c>
      <c r="W72" s="1">
        <v>2042</v>
      </c>
      <c r="X72" s="1">
        <v>2043</v>
      </c>
      <c r="Y72" s="1">
        <v>2044</v>
      </c>
      <c r="Z72" s="1">
        <v>2045</v>
      </c>
      <c r="AA72" s="1">
        <v>2046</v>
      </c>
      <c r="AB72" s="1">
        <v>2047</v>
      </c>
      <c r="AC72" s="1">
        <v>2048</v>
      </c>
      <c r="AD72" s="1">
        <v>2049</v>
      </c>
      <c r="AE72" s="1">
        <v>2050</v>
      </c>
      <c r="AF72" s="1">
        <v>2051</v>
      </c>
      <c r="AG72" s="1">
        <v>2052</v>
      </c>
      <c r="AH72" s="1">
        <v>2053</v>
      </c>
      <c r="AI72" s="1">
        <v>2054</v>
      </c>
      <c r="AJ72" s="1">
        <v>2055</v>
      </c>
      <c r="AK72" s="1">
        <v>2056</v>
      </c>
      <c r="AL72" s="1">
        <v>2057</v>
      </c>
      <c r="AM72" s="1">
        <v>2058</v>
      </c>
      <c r="AN72" s="1">
        <v>2059</v>
      </c>
      <c r="AO72" s="1">
        <v>2060</v>
      </c>
      <c r="AP72" s="1">
        <v>2061</v>
      </c>
      <c r="AQ72" s="1">
        <v>2062</v>
      </c>
      <c r="AR72" s="1">
        <v>2063</v>
      </c>
      <c r="AS72" s="1">
        <v>2064</v>
      </c>
      <c r="AT72" s="1">
        <v>2065</v>
      </c>
      <c r="AU72" s="1">
        <v>2066</v>
      </c>
      <c r="AV72" s="1">
        <v>2067</v>
      </c>
      <c r="AW72" s="1">
        <v>2068</v>
      </c>
      <c r="AX72" s="1">
        <v>2069</v>
      </c>
      <c r="AY72" s="1">
        <v>2070</v>
      </c>
    </row>
    <row r="73" spans="1:51" x14ac:dyDescent="0.35">
      <c r="A73" t="s">
        <v>51</v>
      </c>
      <c r="B73">
        <v>9.7021706769546298E-7</v>
      </c>
      <c r="C73">
        <v>9.7021706769546298E-7</v>
      </c>
      <c r="D73">
        <v>1.0052249000349899E-6</v>
      </c>
      <c r="E73">
        <v>9.7021706769546298E-7</v>
      </c>
      <c r="F73">
        <v>9.7567283377435038E-7</v>
      </c>
      <c r="G73">
        <v>9.9067619049129046E-7</v>
      </c>
      <c r="H73">
        <v>9.965866037434185E-7</v>
      </c>
      <c r="I73">
        <v>1.0143178434998022E-6</v>
      </c>
      <c r="J73">
        <v>1.0206829039251708E-6</v>
      </c>
      <c r="K73">
        <v>1.0393234380280358E-6</v>
      </c>
      <c r="L73">
        <v>1.041596673894239E-6</v>
      </c>
      <c r="M73">
        <v>1.0579639721309009E-6</v>
      </c>
      <c r="N73">
        <v>1.0675115627689538E-6</v>
      </c>
      <c r="O73">
        <v>1.0897892742577434E-6</v>
      </c>
      <c r="P73">
        <v>1.1020647479352401E-6</v>
      </c>
      <c r="Q73">
        <v>1.1102483970535713E-6</v>
      </c>
      <c r="R73">
        <v>1.127979636809955E-6</v>
      </c>
      <c r="S73">
        <v>1.1370725802747671E-6</v>
      </c>
      <c r="T73">
        <v>1.1470748180860606E-6</v>
      </c>
      <c r="U73">
        <v>1.1588956445903164E-6</v>
      </c>
      <c r="V73">
        <v>1.1666246465354068E-6</v>
      </c>
      <c r="W73">
        <v>1.1766268843467003E-6</v>
      </c>
      <c r="X73">
        <v>1.1866291221579938E-6</v>
      </c>
      <c r="Y73">
        <v>1.1866291221579938E-6</v>
      </c>
      <c r="Z73">
        <v>1.194358124103084E-6</v>
      </c>
      <c r="AA73">
        <v>1.2120893638594679E-6</v>
      </c>
      <c r="AB73">
        <v>1.2193637186313178E-6</v>
      </c>
      <c r="AC73">
        <v>1.2289113092693705E-6</v>
      </c>
      <c r="AD73">
        <v>1.2457332546792731E-6</v>
      </c>
      <c r="AE73">
        <v>1.2461879018525138E-6</v>
      </c>
    </row>
    <row r="74" spans="1:51" x14ac:dyDescent="0.35">
      <c r="A74" t="s">
        <v>52</v>
      </c>
      <c r="B74">
        <v>9.7021706769546298E-7</v>
      </c>
      <c r="C74">
        <v>9.7021706769546298E-7</v>
      </c>
      <c r="D74">
        <v>9.9707901372738801E-7</v>
      </c>
      <c r="E74">
        <v>9.7021706769546298E-7</v>
      </c>
      <c r="F74">
        <v>9.3652581335033673E-7</v>
      </c>
      <c r="G74">
        <v>9.1057444176017178E-7</v>
      </c>
      <c r="H74">
        <v>8.8007019796120605E-7</v>
      </c>
      <c r="I74">
        <v>8.6140342190512272E-7</v>
      </c>
      <c r="J74">
        <v>8.3135446532703697E-7</v>
      </c>
      <c r="K74">
        <v>8.4137078418639882E-7</v>
      </c>
      <c r="L74">
        <v>8.3909434808199827E-7</v>
      </c>
      <c r="M74">
        <v>8.5275296470840093E-7</v>
      </c>
      <c r="N74">
        <v>8.6140342190512272E-7</v>
      </c>
      <c r="O74">
        <v>8.6595629411392329E-7</v>
      </c>
      <c r="P74">
        <v>8.74151464089765E-7</v>
      </c>
      <c r="Q74">
        <v>8.8098077240296633E-7</v>
      </c>
      <c r="R74">
        <v>8.9782639957552929E-7</v>
      </c>
      <c r="S74">
        <v>9.0920858009753151E-7</v>
      </c>
      <c r="T74">
        <v>9.2013547339865364E-7</v>
      </c>
      <c r="U74">
        <v>9.3288351558329602E-7</v>
      </c>
      <c r="V74">
        <v>9.3925753667561716E-7</v>
      </c>
      <c r="W74">
        <v>9.4381040888441815E-7</v>
      </c>
      <c r="X74">
        <v>9.5473730218554018E-7</v>
      </c>
      <c r="Y74">
        <v>9.5746902551082071E-7</v>
      </c>
      <c r="Z74">
        <v>9.6657476992842248E-7</v>
      </c>
      <c r="AA74">
        <v>9.8387568432186586E-7</v>
      </c>
      <c r="AB74">
        <v>9.9070499263506698E-7</v>
      </c>
      <c r="AC74">
        <v>9.9935544983178845E-7</v>
      </c>
      <c r="AD74">
        <v>1.017566938666992E-6</v>
      </c>
      <c r="AE74">
        <v>1.0216645236549128E-6</v>
      </c>
    </row>
    <row r="75" spans="1:51" x14ac:dyDescent="0.35">
      <c r="A75" t="s">
        <v>53</v>
      </c>
      <c r="B75">
        <v>6.5464185769279063E-7</v>
      </c>
      <c r="C75">
        <v>6.5464185769279063E-7</v>
      </c>
      <c r="D75">
        <v>6.7277512980728575E-7</v>
      </c>
      <c r="E75">
        <v>6.5464185769279063E-7</v>
      </c>
      <c r="F75">
        <v>6.6478419633310145E-7</v>
      </c>
      <c r="G75">
        <v>6.8261012485243566E-7</v>
      </c>
      <c r="H75">
        <v>6.9490386865887301E-7</v>
      </c>
      <c r="I75">
        <v>7.1518854593949486E-7</v>
      </c>
      <c r="J75">
        <v>7.2871166412657581E-7</v>
      </c>
      <c r="K75">
        <v>7.3977603355236954E-7</v>
      </c>
      <c r="L75">
        <v>7.4069806433785235E-7</v>
      </c>
      <c r="M75">
        <v>7.5114774657332407E-7</v>
      </c>
      <c r="N75">
        <v>7.5729461847654285E-7</v>
      </c>
      <c r="O75">
        <v>7.609827416184741E-7</v>
      </c>
      <c r="P75">
        <v>7.6928101868781919E-7</v>
      </c>
      <c r="Q75">
        <v>7.7450585980555515E-7</v>
      </c>
      <c r="R75">
        <v>7.8434085485070496E-7</v>
      </c>
      <c r="S75">
        <v>7.9110241394424554E-7</v>
      </c>
      <c r="T75">
        <v>7.9755662944262512E-7</v>
      </c>
      <c r="U75">
        <v>8.0493287572648761E-7</v>
      </c>
      <c r="V75">
        <v>8.0985037324906257E-7</v>
      </c>
      <c r="W75">
        <v>8.1630458874744214E-7</v>
      </c>
      <c r="X75">
        <v>8.2306614784098293E-7</v>
      </c>
      <c r="Y75">
        <v>8.2337349143614373E-7</v>
      </c>
      <c r="Z75">
        <v>8.292130197442015E-7</v>
      </c>
      <c r="AA75">
        <v>8.4058473276515603E-7</v>
      </c>
      <c r="AB75">
        <v>8.4550223028773099E-7</v>
      </c>
      <c r="AC75">
        <v>8.5164910219094966E-7</v>
      </c>
      <c r="AD75">
        <v>8.6240612802158239E-7</v>
      </c>
      <c r="AE75">
        <v>8.63942845997387E-7</v>
      </c>
    </row>
    <row r="76" spans="1:51" x14ac:dyDescent="0.35">
      <c r="A76" t="s">
        <v>54</v>
      </c>
      <c r="B76">
        <v>9.7021706769546298E-7</v>
      </c>
      <c r="C76">
        <v>9.7021706769546298E-7</v>
      </c>
      <c r="D76">
        <v>9.9699106535403757E-7</v>
      </c>
      <c r="E76">
        <v>9.7021706769546298E-7</v>
      </c>
      <c r="F76">
        <v>9.407202906139827E-7</v>
      </c>
      <c r="G76">
        <v>9.2211463122412572E-7</v>
      </c>
      <c r="H76">
        <v>8.9579443013603548E-7</v>
      </c>
      <c r="I76">
        <v>8.8081914331005322E-7</v>
      </c>
      <c r="J76">
        <v>8.5495273879244733E-7</v>
      </c>
      <c r="K76">
        <v>8.7219700847085126E-7</v>
      </c>
      <c r="L76">
        <v>8.7401219475278867E-7</v>
      </c>
      <c r="M76">
        <v>8.8944127814925539E-7</v>
      </c>
      <c r="N76">
        <v>8.9897100612942574E-7</v>
      </c>
      <c r="O76">
        <v>9.1803046208976697E-7</v>
      </c>
      <c r="P76">
        <v>9.3028296949284333E-7</v>
      </c>
      <c r="Q76">
        <v>9.379975111910769E-7</v>
      </c>
      <c r="R76">
        <v>9.5569557743996496E-7</v>
      </c>
      <c r="S76">
        <v>9.6522530542013563E-7</v>
      </c>
      <c r="T76">
        <v>9.7520882997079054E-7</v>
      </c>
      <c r="U76">
        <v>9.8700754080338266E-7</v>
      </c>
      <c r="V76">
        <v>9.9381448936064721E-7</v>
      </c>
      <c r="W76">
        <v>1.0033442173408179E-6</v>
      </c>
      <c r="X76">
        <v>1.0142353350324415E-6</v>
      </c>
      <c r="Y76">
        <v>1.0146891316029257E-6</v>
      </c>
      <c r="Z76">
        <v>1.0237650630126119E-6</v>
      </c>
      <c r="AA76">
        <v>1.0405555361205316E-6</v>
      </c>
      <c r="AB76">
        <v>1.0482700778187651E-6</v>
      </c>
      <c r="AC76">
        <v>1.0573460092284513E-6</v>
      </c>
      <c r="AD76">
        <v>1.074136482336371E-6</v>
      </c>
      <c r="AE76">
        <v>1.0764054651887924E-6</v>
      </c>
    </row>
    <row r="77" spans="1:51" x14ac:dyDescent="0.35">
      <c r="A77" t="s">
        <v>55</v>
      </c>
      <c r="B77">
        <v>9.7021706769546298E-7</v>
      </c>
      <c r="C77">
        <v>9.7021706769546298E-7</v>
      </c>
      <c r="D77">
        <v>9.9709162496965648E-7</v>
      </c>
      <c r="E77">
        <v>9.7021706769546298E-7</v>
      </c>
      <c r="F77">
        <v>9.4197600750902227E-7</v>
      </c>
      <c r="G77">
        <v>9.2421146964980955E-7</v>
      </c>
      <c r="H77">
        <v>8.9824791431711398E-7</v>
      </c>
      <c r="I77">
        <v>8.8458288519464291E-7</v>
      </c>
      <c r="J77">
        <v>8.5861932986194734E-7</v>
      </c>
      <c r="K77">
        <v>8.7683936869190902E-7</v>
      </c>
      <c r="L77">
        <v>8.7911687354565427E-7</v>
      </c>
      <c r="M77">
        <v>8.950594075218707E-7</v>
      </c>
      <c r="N77">
        <v>9.0462492790760066E-7</v>
      </c>
      <c r="O77">
        <v>9.1054644052733827E-7</v>
      </c>
      <c r="P77">
        <v>9.2284496673756255E-7</v>
      </c>
      <c r="Q77">
        <v>9.310439842110453E-7</v>
      </c>
      <c r="R77">
        <v>9.474420191580108E-7</v>
      </c>
      <c r="S77">
        <v>9.5700753954374077E-7</v>
      </c>
      <c r="T77">
        <v>9.6748406187096856E-7</v>
      </c>
      <c r="U77">
        <v>9.7932708711044377E-7</v>
      </c>
      <c r="V77">
        <v>9.8615960167167941E-7</v>
      </c>
      <c r="W77">
        <v>9.9618062302815855E-7</v>
      </c>
      <c r="X77">
        <v>1.0066571453553868E-6</v>
      </c>
      <c r="Y77">
        <v>1.0075681472968847E-6</v>
      </c>
      <c r="Z77">
        <v>1.0166781667118655E-6</v>
      </c>
      <c r="AA77">
        <v>1.0335317026295801E-6</v>
      </c>
      <c r="AB77">
        <v>1.0417307201030627E-6</v>
      </c>
      <c r="AC77">
        <v>1.0508407395180437E-6</v>
      </c>
      <c r="AD77">
        <v>1.0681497764065073E-6</v>
      </c>
      <c r="AE77">
        <v>1.0699717802895034E-6</v>
      </c>
    </row>
    <row r="78" spans="1:51" x14ac:dyDescent="0.35">
      <c r="A78" t="s">
        <v>56</v>
      </c>
      <c r="B78">
        <v>9.7021706769546298E-7</v>
      </c>
      <c r="C78">
        <v>9.7021706769546298E-7</v>
      </c>
      <c r="D78">
        <v>9.9709162496965648E-7</v>
      </c>
      <c r="E78">
        <v>9.7021706769546298E-7</v>
      </c>
      <c r="F78">
        <v>9.4197600750902227E-7</v>
      </c>
      <c r="G78">
        <v>9.2421146964980955E-7</v>
      </c>
      <c r="H78">
        <v>8.9824791431711398E-7</v>
      </c>
      <c r="I78">
        <v>8.8458288519464291E-7</v>
      </c>
      <c r="J78">
        <v>8.5861932986194734E-7</v>
      </c>
      <c r="K78">
        <v>8.7683936869190902E-7</v>
      </c>
      <c r="L78">
        <v>8.7911687354565427E-7</v>
      </c>
      <c r="M78">
        <v>8.950594075218707E-7</v>
      </c>
      <c r="N78">
        <v>9.0462492790760066E-7</v>
      </c>
      <c r="O78">
        <v>9.1054644052733827E-7</v>
      </c>
      <c r="P78">
        <v>9.2284496673756255E-7</v>
      </c>
      <c r="Q78">
        <v>9.310439842110453E-7</v>
      </c>
      <c r="R78">
        <v>9.474420191580108E-7</v>
      </c>
      <c r="S78">
        <v>9.5700753954374077E-7</v>
      </c>
      <c r="T78">
        <v>9.6748406187096856E-7</v>
      </c>
      <c r="U78">
        <v>9.7932708711044377E-7</v>
      </c>
      <c r="V78">
        <v>9.8615960167167941E-7</v>
      </c>
      <c r="W78">
        <v>9.9618062302815855E-7</v>
      </c>
      <c r="X78">
        <v>1.0066571453553868E-6</v>
      </c>
      <c r="Y78">
        <v>1.0075681472968847E-6</v>
      </c>
      <c r="Z78">
        <v>1.0166781667118655E-6</v>
      </c>
      <c r="AA78">
        <v>1.0335317026295801E-6</v>
      </c>
      <c r="AB78">
        <v>1.0417307201030627E-6</v>
      </c>
      <c r="AC78">
        <v>1.0508407395180437E-6</v>
      </c>
      <c r="AD78">
        <v>1.0681497764065073E-6</v>
      </c>
      <c r="AE78">
        <v>1.0699717802895034E-6</v>
      </c>
    </row>
    <row r="79" spans="1:51" x14ac:dyDescent="0.35">
      <c r="A79" t="s">
        <v>57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51" x14ac:dyDescent="0.35">
      <c r="A80" t="s">
        <v>58</v>
      </c>
      <c r="B80">
        <v>9.7021706769546298E-7</v>
      </c>
      <c r="C80">
        <v>9.7021706769546298E-7</v>
      </c>
      <c r="D80">
        <v>9.9709162496965648E-7</v>
      </c>
      <c r="E80">
        <v>9.7021706769546298E-7</v>
      </c>
      <c r="F80">
        <v>9.4197600750902227E-7</v>
      </c>
      <c r="G80">
        <v>9.2421146964980955E-7</v>
      </c>
      <c r="H80">
        <v>8.9824791431711398E-7</v>
      </c>
      <c r="I80">
        <v>8.8458288519464291E-7</v>
      </c>
      <c r="J80">
        <v>8.5861932986194734E-7</v>
      </c>
      <c r="K80">
        <v>8.7683936869190902E-7</v>
      </c>
      <c r="L80">
        <v>8.7911687354565427E-7</v>
      </c>
      <c r="M80">
        <v>8.950594075218707E-7</v>
      </c>
      <c r="N80">
        <v>9.0462492790760066E-7</v>
      </c>
      <c r="O80">
        <v>9.1054644052733827E-7</v>
      </c>
      <c r="P80">
        <v>9.2284496673756255E-7</v>
      </c>
      <c r="Q80">
        <v>9.310439842110453E-7</v>
      </c>
      <c r="R80">
        <v>9.474420191580108E-7</v>
      </c>
      <c r="S80">
        <v>9.5700753954374077E-7</v>
      </c>
      <c r="T80">
        <v>9.6748406187096856E-7</v>
      </c>
      <c r="U80">
        <v>9.7932708711044377E-7</v>
      </c>
      <c r="V80">
        <v>9.8615960167167941E-7</v>
      </c>
      <c r="W80">
        <v>9.9618062302815855E-7</v>
      </c>
      <c r="X80">
        <v>1.0066571453553868E-6</v>
      </c>
      <c r="Y80">
        <v>1.0075681472968847E-6</v>
      </c>
      <c r="Z80">
        <v>1.0166781667118655E-6</v>
      </c>
      <c r="AA80">
        <v>1.0335317026295801E-6</v>
      </c>
      <c r="AB80">
        <v>1.0417307201030627E-6</v>
      </c>
      <c r="AC80">
        <v>1.0508407395180437E-6</v>
      </c>
      <c r="AD80">
        <v>1.0681497764065073E-6</v>
      </c>
      <c r="AE80">
        <v>1.0699717802895034E-6</v>
      </c>
    </row>
    <row r="81" spans="1:51" s="4" customFormat="1" x14ac:dyDescent="0.35">
      <c r="A81" s="6" t="s">
        <v>37</v>
      </c>
    </row>
    <row r="82" spans="1:51" x14ac:dyDescent="0.35">
      <c r="A82" t="s">
        <v>29</v>
      </c>
      <c r="B82" s="1">
        <v>2021</v>
      </c>
      <c r="C82" s="1">
        <v>2022</v>
      </c>
      <c r="D82" s="1">
        <v>2023</v>
      </c>
      <c r="E82" s="1">
        <v>2024</v>
      </c>
      <c r="F82" s="1">
        <v>2025</v>
      </c>
      <c r="G82" s="1">
        <v>2026</v>
      </c>
      <c r="H82" s="1">
        <v>2027</v>
      </c>
      <c r="I82" s="1">
        <v>2028</v>
      </c>
      <c r="J82" s="1">
        <v>2029</v>
      </c>
      <c r="K82" s="1">
        <v>2030</v>
      </c>
      <c r="L82" s="1">
        <v>2031</v>
      </c>
      <c r="M82" s="1">
        <v>2032</v>
      </c>
      <c r="N82" s="1">
        <v>2033</v>
      </c>
      <c r="O82" s="1">
        <v>2034</v>
      </c>
      <c r="P82" s="1">
        <v>2035</v>
      </c>
      <c r="Q82" s="1">
        <v>2036</v>
      </c>
      <c r="R82" s="1">
        <v>2037</v>
      </c>
      <c r="S82" s="1">
        <v>2038</v>
      </c>
      <c r="T82" s="1">
        <v>2039</v>
      </c>
      <c r="U82" s="1">
        <v>2040</v>
      </c>
      <c r="V82" s="1">
        <v>2041</v>
      </c>
      <c r="W82" s="1">
        <v>2042</v>
      </c>
      <c r="X82" s="1">
        <v>2043</v>
      </c>
      <c r="Y82" s="1">
        <v>2044</v>
      </c>
      <c r="Z82" s="1">
        <v>2045</v>
      </c>
      <c r="AA82" s="1">
        <v>2046</v>
      </c>
      <c r="AB82" s="1">
        <v>2047</v>
      </c>
      <c r="AC82" s="1">
        <v>2048</v>
      </c>
      <c r="AD82" s="1">
        <v>2049</v>
      </c>
      <c r="AE82" s="1">
        <v>2050</v>
      </c>
      <c r="AF82" s="1">
        <v>2051</v>
      </c>
      <c r="AG82" s="1">
        <v>2052</v>
      </c>
      <c r="AH82" s="1">
        <v>2053</v>
      </c>
      <c r="AI82" s="1">
        <v>2054</v>
      </c>
      <c r="AJ82" s="1">
        <v>2055</v>
      </c>
      <c r="AK82" s="1">
        <v>2056</v>
      </c>
      <c r="AL82" s="1">
        <v>2057</v>
      </c>
      <c r="AM82" s="1">
        <v>2058</v>
      </c>
      <c r="AN82" s="1">
        <v>2059</v>
      </c>
      <c r="AO82" s="1">
        <v>2060</v>
      </c>
      <c r="AP82" s="1">
        <v>2061</v>
      </c>
      <c r="AQ82" s="1">
        <v>2062</v>
      </c>
      <c r="AR82" s="1">
        <v>2063</v>
      </c>
      <c r="AS82" s="1">
        <v>2064</v>
      </c>
      <c r="AT82" s="1">
        <v>2065</v>
      </c>
      <c r="AU82" s="1">
        <v>2066</v>
      </c>
      <c r="AV82" s="1">
        <v>2067</v>
      </c>
      <c r="AW82" s="1">
        <v>2068</v>
      </c>
      <c r="AX82" s="1">
        <v>2069</v>
      </c>
      <c r="AY82" s="1">
        <v>2070</v>
      </c>
    </row>
    <row r="83" spans="1:51" x14ac:dyDescent="0.35">
      <c r="A83" t="s">
        <v>51</v>
      </c>
      <c r="B83">
        <v>4.458119358795163E-6</v>
      </c>
      <c r="C83">
        <v>4.458119358795163E-6</v>
      </c>
      <c r="D83">
        <v>4.6189793356589055E-6</v>
      </c>
      <c r="E83">
        <v>4.458119358795163E-6</v>
      </c>
      <c r="F83">
        <v>4.4831884460986043E-6</v>
      </c>
      <c r="G83">
        <v>4.5521284361830635E-6</v>
      </c>
      <c r="H83">
        <v>4.5792866140951255E-6</v>
      </c>
      <c r="I83">
        <v>4.6607611478313062E-6</v>
      </c>
      <c r="J83">
        <v>4.6900084163519863E-6</v>
      </c>
      <c r="K83">
        <v>4.7756611313054092E-6</v>
      </c>
      <c r="L83">
        <v>4.7861065843485091E-6</v>
      </c>
      <c r="M83">
        <v>4.8613138462588304E-6</v>
      </c>
      <c r="N83">
        <v>4.9051847490398509E-6</v>
      </c>
      <c r="O83">
        <v>5.0075501888622324E-6</v>
      </c>
      <c r="P83">
        <v>5.0639556352949735E-6</v>
      </c>
      <c r="Q83">
        <v>5.1015592662501354E-6</v>
      </c>
      <c r="R83">
        <v>5.1830337999863162E-6</v>
      </c>
      <c r="S83">
        <v>5.2248156121587177E-6</v>
      </c>
      <c r="T83">
        <v>5.2707756055483572E-6</v>
      </c>
      <c r="U83">
        <v>5.3250919613724785E-6</v>
      </c>
      <c r="V83">
        <v>5.3606065017190189E-6</v>
      </c>
      <c r="W83">
        <v>5.4065664951086609E-6</v>
      </c>
      <c r="X83">
        <v>5.4525264884983021E-6</v>
      </c>
      <c r="Y83">
        <v>5.4525264884983021E-6</v>
      </c>
      <c r="Z83">
        <v>5.4880410288448417E-6</v>
      </c>
      <c r="AA83">
        <v>5.5695155625810232E-6</v>
      </c>
      <c r="AB83">
        <v>5.6029410123189446E-6</v>
      </c>
      <c r="AC83">
        <v>5.6468119150999651E-6</v>
      </c>
      <c r="AD83">
        <v>5.7241082676189054E-6</v>
      </c>
      <c r="AE83">
        <v>5.726197358227526E-6</v>
      </c>
      <c r="AF83" s="5"/>
    </row>
    <row r="84" spans="1:51" x14ac:dyDescent="0.35">
      <c r="A84" t="s">
        <v>52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51" x14ac:dyDescent="0.35">
      <c r="A85" t="s">
        <v>53</v>
      </c>
      <c r="B85">
        <v>2.2909797141686757E-6</v>
      </c>
      <c r="C85">
        <v>2.2909797141686757E-6</v>
      </c>
      <c r="D85">
        <v>2.3544387766738172E-6</v>
      </c>
      <c r="E85">
        <v>2.2909797141686757E-6</v>
      </c>
      <c r="F85">
        <v>2.3264737660783311E-6</v>
      </c>
      <c r="G85">
        <v>2.3888572512528772E-6</v>
      </c>
      <c r="H85">
        <v>2.4318803444767019E-6</v>
      </c>
      <c r="I85">
        <v>2.5028684482960136E-6</v>
      </c>
      <c r="J85">
        <v>2.5501938508422206E-6</v>
      </c>
      <c r="K85">
        <v>2.588914634743663E-6</v>
      </c>
      <c r="L85">
        <v>2.59214136673545E-6</v>
      </c>
      <c r="M85">
        <v>2.6287109959757012E-6</v>
      </c>
      <c r="N85">
        <v>2.6502225425876137E-6</v>
      </c>
      <c r="O85">
        <v>2.6631294705547612E-6</v>
      </c>
      <c r="P85">
        <v>2.6921700584808427E-6</v>
      </c>
      <c r="Q85">
        <v>2.7104548731009683E-6</v>
      </c>
      <c r="R85">
        <v>2.7448733476800283E-6</v>
      </c>
      <c r="S85">
        <v>2.7685360489531316E-6</v>
      </c>
      <c r="T85">
        <v>2.7911231728956395E-6</v>
      </c>
      <c r="U85">
        <v>2.8169370288299349E-6</v>
      </c>
      <c r="V85">
        <v>2.8341462661194647E-6</v>
      </c>
      <c r="W85">
        <v>2.8567333900619726E-6</v>
      </c>
      <c r="X85">
        <v>2.8803960913350772E-6</v>
      </c>
      <c r="Y85">
        <v>2.8814716686656722E-6</v>
      </c>
      <c r="Z85">
        <v>2.9019076379469894E-6</v>
      </c>
      <c r="AA85">
        <v>2.9417039991790271E-6</v>
      </c>
      <c r="AB85">
        <v>2.9589132364685569E-6</v>
      </c>
      <c r="AC85">
        <v>2.9804247830804691E-6</v>
      </c>
      <c r="AD85">
        <v>3.0180699896513161E-6</v>
      </c>
      <c r="AE85">
        <v>3.0234478763042942E-6</v>
      </c>
    </row>
    <row r="86" spans="1:51" x14ac:dyDescent="0.35">
      <c r="A86" t="s">
        <v>54</v>
      </c>
      <c r="B86">
        <v>2.2909797141686757E-6</v>
      </c>
      <c r="C86">
        <v>2.2909797141686757E-6</v>
      </c>
      <c r="D86">
        <v>2.3542013246158001E-6</v>
      </c>
      <c r="E86">
        <v>2.2909797141686757E-6</v>
      </c>
      <c r="F86">
        <v>2.2213287874048946E-6</v>
      </c>
      <c r="G86">
        <v>2.1773951259077403E-6</v>
      </c>
      <c r="H86">
        <v>2.1152450681800586E-6</v>
      </c>
      <c r="I86">
        <v>2.0798838284384467E-6</v>
      </c>
      <c r="J86">
        <v>2.018805323430208E-6</v>
      </c>
      <c r="K86">
        <v>2.0595243267690338E-6</v>
      </c>
      <c r="L86">
        <v>2.0638105376468054E-6</v>
      </c>
      <c r="M86">
        <v>2.1002433301078604E-6</v>
      </c>
      <c r="N86">
        <v>2.1227459372161583E-6</v>
      </c>
      <c r="O86">
        <v>2.1677511514327552E-6</v>
      </c>
      <c r="P86">
        <v>2.1966830748577105E-6</v>
      </c>
      <c r="Q86">
        <v>2.2148994710882384E-6</v>
      </c>
      <c r="R86">
        <v>2.2566900271465065E-6</v>
      </c>
      <c r="S86">
        <v>2.2791926342548052E-6</v>
      </c>
      <c r="T86">
        <v>2.3027667940825466E-6</v>
      </c>
      <c r="U86">
        <v>2.3306271647880587E-6</v>
      </c>
      <c r="V86">
        <v>2.3467004555797004E-6</v>
      </c>
      <c r="W86">
        <v>2.3692030626879991E-6</v>
      </c>
      <c r="X86">
        <v>2.3949203279546259E-6</v>
      </c>
      <c r="Y86">
        <v>2.395991880674069E-6</v>
      </c>
      <c r="Z86">
        <v>2.4174229350629242E-6</v>
      </c>
      <c r="AA86">
        <v>2.4570703856823073E-6</v>
      </c>
      <c r="AB86">
        <v>2.4752867819128352E-6</v>
      </c>
      <c r="AC86">
        <v>2.4967178363016908E-6</v>
      </c>
      <c r="AD86">
        <v>2.5363652869210738E-6</v>
      </c>
      <c r="AE86">
        <v>2.5417230505182873E-6</v>
      </c>
    </row>
    <row r="87" spans="1:51" x14ac:dyDescent="0.35">
      <c r="A87" t="s">
        <v>55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51" x14ac:dyDescent="0.35">
      <c r="A88" t="s">
        <v>56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51" x14ac:dyDescent="0.35">
      <c r="A89" t="s">
        <v>57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51" x14ac:dyDescent="0.35">
      <c r="A90" t="s">
        <v>58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51" s="4" customFormat="1" x14ac:dyDescent="0.35">
      <c r="A91" s="6" t="s">
        <v>38</v>
      </c>
    </row>
    <row r="92" spans="1:51" x14ac:dyDescent="0.35">
      <c r="A92" t="s">
        <v>29</v>
      </c>
      <c r="B92" s="1">
        <v>2021</v>
      </c>
      <c r="C92" s="1">
        <v>2022</v>
      </c>
      <c r="D92" s="1">
        <v>2023</v>
      </c>
      <c r="E92" s="1">
        <v>2024</v>
      </c>
      <c r="F92" s="1">
        <v>2025</v>
      </c>
      <c r="G92" s="1">
        <v>2026</v>
      </c>
      <c r="H92" s="1">
        <v>2027</v>
      </c>
      <c r="I92" s="1">
        <v>2028</v>
      </c>
      <c r="J92" s="1">
        <v>2029</v>
      </c>
      <c r="K92" s="1">
        <v>2030</v>
      </c>
      <c r="L92" s="1">
        <v>2031</v>
      </c>
      <c r="M92" s="1">
        <v>2032</v>
      </c>
      <c r="N92" s="1">
        <v>2033</v>
      </c>
      <c r="O92" s="1">
        <v>2034</v>
      </c>
      <c r="P92" s="1">
        <v>2035</v>
      </c>
      <c r="Q92" s="1">
        <v>2036</v>
      </c>
      <c r="R92" s="1">
        <v>2037</v>
      </c>
      <c r="S92" s="1">
        <v>2038</v>
      </c>
      <c r="T92" s="1">
        <v>2039</v>
      </c>
      <c r="U92" s="1">
        <v>2040</v>
      </c>
      <c r="V92" s="1">
        <v>2041</v>
      </c>
      <c r="W92" s="1">
        <v>2042</v>
      </c>
      <c r="X92" s="1">
        <v>2043</v>
      </c>
      <c r="Y92" s="1">
        <v>2044</v>
      </c>
      <c r="Z92" s="1">
        <v>2045</v>
      </c>
      <c r="AA92" s="1">
        <v>2046</v>
      </c>
      <c r="AB92" s="1">
        <v>2047</v>
      </c>
      <c r="AC92" s="1">
        <v>2048</v>
      </c>
      <c r="AD92" s="1">
        <v>2049</v>
      </c>
      <c r="AE92" s="1">
        <v>2050</v>
      </c>
      <c r="AF92" s="1">
        <v>2051</v>
      </c>
      <c r="AG92" s="1">
        <v>2052</v>
      </c>
      <c r="AH92" s="1">
        <v>2053</v>
      </c>
      <c r="AI92" s="1">
        <v>2054</v>
      </c>
      <c r="AJ92" s="1">
        <v>2055</v>
      </c>
      <c r="AK92" s="1">
        <v>2056</v>
      </c>
      <c r="AL92" s="1">
        <v>2057</v>
      </c>
      <c r="AM92" s="1">
        <v>2058</v>
      </c>
      <c r="AN92" s="1">
        <v>2059</v>
      </c>
      <c r="AO92" s="1">
        <v>2060</v>
      </c>
      <c r="AP92" s="1">
        <v>2061</v>
      </c>
      <c r="AQ92" s="1">
        <v>2062</v>
      </c>
      <c r="AR92" s="1">
        <v>2063</v>
      </c>
      <c r="AS92" s="1">
        <v>2064</v>
      </c>
      <c r="AT92" s="1">
        <v>2065</v>
      </c>
      <c r="AU92" s="1">
        <v>2066</v>
      </c>
      <c r="AV92" s="1">
        <v>2067</v>
      </c>
      <c r="AW92" s="1">
        <v>2068</v>
      </c>
      <c r="AX92" s="1">
        <v>2069</v>
      </c>
      <c r="AY92" s="1">
        <v>2070</v>
      </c>
    </row>
    <row r="93" spans="1:51" x14ac:dyDescent="0.35">
      <c r="A93" t="s">
        <v>51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51" x14ac:dyDescent="0.35">
      <c r="A94" t="s">
        <v>52</v>
      </c>
      <c r="B94">
        <v>3.69134602435686E-7</v>
      </c>
      <c r="C94">
        <v>3.69134602435686E-7</v>
      </c>
      <c r="D94">
        <v>3.6734268688988165E-7</v>
      </c>
      <c r="E94">
        <v>3.69134602435686E-7</v>
      </c>
      <c r="F94">
        <v>3.6375885579827302E-7</v>
      </c>
      <c r="G94">
        <v>3.583831091608602E-7</v>
      </c>
      <c r="H94">
        <v>3.5479927806925156E-7</v>
      </c>
      <c r="I94">
        <v>3.5300736252344727E-7</v>
      </c>
      <c r="J94">
        <v>3.4942353143183864E-7</v>
      </c>
      <c r="K94">
        <v>3.5121544697764293E-7</v>
      </c>
      <c r="L94">
        <v>3.5300736252344727E-7</v>
      </c>
      <c r="M94">
        <v>3.5121544697764293E-7</v>
      </c>
      <c r="N94">
        <v>3.5121544697764293E-7</v>
      </c>
      <c r="O94">
        <v>3.5121544697764293E-7</v>
      </c>
      <c r="P94">
        <v>3.4942353143183864E-7</v>
      </c>
      <c r="Q94">
        <v>3.4942353143183864E-7</v>
      </c>
      <c r="R94">
        <v>3.5121544697764293E-7</v>
      </c>
      <c r="S94">
        <v>3.5121544697764293E-7</v>
      </c>
      <c r="T94">
        <v>3.4942353143183864E-7</v>
      </c>
      <c r="U94">
        <v>3.4942353143183864E-7</v>
      </c>
      <c r="V94">
        <v>3.5121544697764293E-7</v>
      </c>
      <c r="W94">
        <v>3.5121544697764293E-7</v>
      </c>
      <c r="X94">
        <v>3.4942353143183864E-7</v>
      </c>
      <c r="Y94">
        <v>3.4942353143183864E-7</v>
      </c>
      <c r="Z94">
        <v>3.4942353143183864E-7</v>
      </c>
      <c r="AA94">
        <v>3.4942353143183864E-7</v>
      </c>
      <c r="AB94">
        <v>3.4942353143183864E-7</v>
      </c>
      <c r="AC94">
        <v>3.4942353143183864E-7</v>
      </c>
      <c r="AD94">
        <v>3.4942353143183864E-7</v>
      </c>
      <c r="AE94">
        <v>3.4942353143183864E-7</v>
      </c>
    </row>
    <row r="95" spans="1:51" x14ac:dyDescent="0.35">
      <c r="A95" t="s">
        <v>53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51" x14ac:dyDescent="0.35">
      <c r="A96" t="s">
        <v>54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51" x14ac:dyDescent="0.35">
      <c r="A97" t="s">
        <v>55</v>
      </c>
      <c r="B97">
        <v>3.69134602435686E-7</v>
      </c>
      <c r="C97">
        <v>3.69134602435686E-7</v>
      </c>
      <c r="D97">
        <v>3.6736840816565882E-7</v>
      </c>
      <c r="E97">
        <v>3.69134602435686E-7</v>
      </c>
      <c r="F97">
        <v>3.6560221389563154E-7</v>
      </c>
      <c r="G97">
        <v>3.6030363108554996E-7</v>
      </c>
      <c r="H97">
        <v>3.5853743681552274E-7</v>
      </c>
      <c r="I97">
        <v>3.5677124254549556E-7</v>
      </c>
      <c r="J97">
        <v>3.5500504827546833E-7</v>
      </c>
      <c r="K97">
        <v>3.5677124254549556E-7</v>
      </c>
      <c r="L97">
        <v>3.5853743681552274E-7</v>
      </c>
      <c r="M97">
        <v>3.5500504827546833E-7</v>
      </c>
      <c r="N97">
        <v>3.5677124254549556E-7</v>
      </c>
      <c r="O97">
        <v>3.5677124254549556E-7</v>
      </c>
      <c r="P97">
        <v>3.5500504827546833E-7</v>
      </c>
      <c r="Q97">
        <v>3.5500504827546833E-7</v>
      </c>
      <c r="R97">
        <v>3.5677124254549556E-7</v>
      </c>
      <c r="S97">
        <v>3.5677124254549556E-7</v>
      </c>
      <c r="T97">
        <v>3.5500504827546833E-7</v>
      </c>
      <c r="U97">
        <v>3.5500504827546833E-7</v>
      </c>
      <c r="V97">
        <v>3.5677124254549556E-7</v>
      </c>
      <c r="W97">
        <v>3.5677124254549556E-7</v>
      </c>
      <c r="X97">
        <v>3.5677124254549556E-7</v>
      </c>
      <c r="Y97">
        <v>3.5500504827546833E-7</v>
      </c>
      <c r="Z97">
        <v>3.5500504827546833E-7</v>
      </c>
      <c r="AA97">
        <v>3.5677124254549556E-7</v>
      </c>
      <c r="AB97">
        <v>3.5677124254549556E-7</v>
      </c>
      <c r="AC97">
        <v>3.5677124254549556E-7</v>
      </c>
      <c r="AD97">
        <v>3.5677124254549556E-7</v>
      </c>
      <c r="AE97">
        <v>3.5677124254549556E-7</v>
      </c>
    </row>
    <row r="98" spans="1:51" x14ac:dyDescent="0.35">
      <c r="A98" t="s">
        <v>56</v>
      </c>
      <c r="B98">
        <v>3.69134602435686E-7</v>
      </c>
      <c r="C98">
        <v>3.69134602435686E-7</v>
      </c>
      <c r="D98">
        <v>3.6736840816565882E-7</v>
      </c>
      <c r="E98">
        <v>3.69134602435686E-7</v>
      </c>
      <c r="F98">
        <v>3.6560221389563154E-7</v>
      </c>
      <c r="G98">
        <v>3.6030363108554996E-7</v>
      </c>
      <c r="H98">
        <v>3.5853743681552274E-7</v>
      </c>
      <c r="I98">
        <v>3.5677124254549556E-7</v>
      </c>
      <c r="J98">
        <v>3.5500504827546833E-7</v>
      </c>
      <c r="K98">
        <v>3.5677124254549556E-7</v>
      </c>
      <c r="L98">
        <v>3.5853743681552274E-7</v>
      </c>
      <c r="M98">
        <v>3.5500504827546833E-7</v>
      </c>
      <c r="N98">
        <v>3.5677124254549556E-7</v>
      </c>
      <c r="O98">
        <v>3.5677124254549556E-7</v>
      </c>
      <c r="P98">
        <v>3.5500504827546833E-7</v>
      </c>
      <c r="Q98">
        <v>3.5500504827546833E-7</v>
      </c>
      <c r="R98">
        <v>3.5677124254549556E-7</v>
      </c>
      <c r="S98">
        <v>3.5677124254549556E-7</v>
      </c>
      <c r="T98">
        <v>3.5500504827546833E-7</v>
      </c>
      <c r="U98">
        <v>3.5500504827546833E-7</v>
      </c>
      <c r="V98">
        <v>3.5677124254549556E-7</v>
      </c>
      <c r="W98">
        <v>3.5677124254549556E-7</v>
      </c>
      <c r="X98">
        <v>3.5677124254549556E-7</v>
      </c>
      <c r="Y98">
        <v>3.5500504827546833E-7</v>
      </c>
      <c r="Z98">
        <v>3.5500504827546833E-7</v>
      </c>
      <c r="AA98">
        <v>3.5677124254549556E-7</v>
      </c>
      <c r="AB98">
        <v>3.5677124254549556E-7</v>
      </c>
      <c r="AC98">
        <v>3.5677124254549556E-7</v>
      </c>
      <c r="AD98">
        <v>3.5677124254549556E-7</v>
      </c>
      <c r="AE98">
        <v>3.5677124254549556E-7</v>
      </c>
    </row>
    <row r="99" spans="1:51" x14ac:dyDescent="0.35">
      <c r="A99" t="s">
        <v>57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51" x14ac:dyDescent="0.35">
      <c r="A100" t="s">
        <v>58</v>
      </c>
      <c r="B100">
        <v>3.69134602435686E-7</v>
      </c>
      <c r="C100">
        <v>3.69134602435686E-7</v>
      </c>
      <c r="D100">
        <v>3.6736840816565882E-7</v>
      </c>
      <c r="E100">
        <v>3.69134602435686E-7</v>
      </c>
      <c r="F100">
        <v>3.6560221389563154E-7</v>
      </c>
      <c r="G100">
        <v>3.6030363108554996E-7</v>
      </c>
      <c r="H100">
        <v>3.5853743681552274E-7</v>
      </c>
      <c r="I100">
        <v>3.5677124254549556E-7</v>
      </c>
      <c r="J100">
        <v>3.5500504827546833E-7</v>
      </c>
      <c r="K100">
        <v>3.5677124254549556E-7</v>
      </c>
      <c r="L100">
        <v>3.5853743681552274E-7</v>
      </c>
      <c r="M100">
        <v>3.5500504827546833E-7</v>
      </c>
      <c r="N100">
        <v>3.5677124254549556E-7</v>
      </c>
      <c r="O100">
        <v>3.5677124254549556E-7</v>
      </c>
      <c r="P100">
        <v>3.5500504827546833E-7</v>
      </c>
      <c r="Q100">
        <v>3.5500504827546833E-7</v>
      </c>
      <c r="R100">
        <v>3.5677124254549556E-7</v>
      </c>
      <c r="S100">
        <v>3.5677124254549556E-7</v>
      </c>
      <c r="T100">
        <v>3.5500504827546833E-7</v>
      </c>
      <c r="U100">
        <v>3.5500504827546833E-7</v>
      </c>
      <c r="V100">
        <v>3.5677124254549556E-7</v>
      </c>
      <c r="W100">
        <v>3.5677124254549556E-7</v>
      </c>
      <c r="X100">
        <v>3.5677124254549556E-7</v>
      </c>
      <c r="Y100">
        <v>3.5500504827546833E-7</v>
      </c>
      <c r="Z100">
        <v>3.5500504827546833E-7</v>
      </c>
      <c r="AA100">
        <v>3.5677124254549556E-7</v>
      </c>
      <c r="AB100">
        <v>3.5677124254549556E-7</v>
      </c>
      <c r="AC100">
        <v>3.5677124254549556E-7</v>
      </c>
      <c r="AD100">
        <v>3.5677124254549556E-7</v>
      </c>
      <c r="AE100">
        <v>3.5677124254549556E-7</v>
      </c>
    </row>
    <row r="101" spans="1:51" s="4" customFormat="1" x14ac:dyDescent="0.35">
      <c r="A101" s="6" t="s">
        <v>45</v>
      </c>
    </row>
    <row r="102" spans="1:51" x14ac:dyDescent="0.35">
      <c r="A102" t="s">
        <v>29</v>
      </c>
      <c r="B102" s="1">
        <v>2021</v>
      </c>
      <c r="C102" s="1">
        <v>2022</v>
      </c>
      <c r="D102" s="1">
        <v>2023</v>
      </c>
      <c r="E102" s="1">
        <v>2024</v>
      </c>
      <c r="F102" s="1">
        <v>2025</v>
      </c>
      <c r="G102" s="1">
        <v>2026</v>
      </c>
      <c r="H102" s="1">
        <v>2027</v>
      </c>
      <c r="I102" s="1">
        <v>2028</v>
      </c>
      <c r="J102" s="1">
        <v>2029</v>
      </c>
      <c r="K102" s="1">
        <v>2030</v>
      </c>
      <c r="L102" s="1">
        <v>2031</v>
      </c>
      <c r="M102" s="1">
        <v>2032</v>
      </c>
      <c r="N102" s="1">
        <v>2033</v>
      </c>
      <c r="O102" s="1">
        <v>2034</v>
      </c>
      <c r="P102" s="1">
        <v>2035</v>
      </c>
      <c r="Q102" s="1">
        <v>2036</v>
      </c>
      <c r="R102" s="1">
        <v>2037</v>
      </c>
      <c r="S102" s="1">
        <v>2038</v>
      </c>
      <c r="T102" s="1">
        <v>2039</v>
      </c>
      <c r="U102" s="1">
        <v>2040</v>
      </c>
      <c r="V102" s="1">
        <v>2041</v>
      </c>
      <c r="W102" s="1">
        <v>2042</v>
      </c>
      <c r="X102" s="1">
        <v>2043</v>
      </c>
      <c r="Y102" s="1">
        <v>2044</v>
      </c>
      <c r="Z102" s="1">
        <v>2045</v>
      </c>
      <c r="AA102" s="1">
        <v>2046</v>
      </c>
      <c r="AB102" s="1">
        <v>2047</v>
      </c>
      <c r="AC102" s="1">
        <v>2048</v>
      </c>
      <c r="AD102" s="1">
        <v>2049</v>
      </c>
      <c r="AE102" s="1">
        <v>2050</v>
      </c>
      <c r="AF102" s="1">
        <v>2051</v>
      </c>
      <c r="AG102" s="1">
        <v>2052</v>
      </c>
      <c r="AH102" s="1">
        <v>2053</v>
      </c>
      <c r="AI102" s="1">
        <v>2054</v>
      </c>
      <c r="AJ102" s="1">
        <v>2055</v>
      </c>
      <c r="AK102" s="1">
        <v>2056</v>
      </c>
      <c r="AL102" s="1">
        <v>2057</v>
      </c>
      <c r="AM102" s="1">
        <v>2058</v>
      </c>
      <c r="AN102" s="1">
        <v>2059</v>
      </c>
      <c r="AO102" s="1">
        <v>2060</v>
      </c>
      <c r="AP102" s="1">
        <v>2061</v>
      </c>
      <c r="AQ102" s="1">
        <v>2062</v>
      </c>
      <c r="AR102" s="1">
        <v>2063</v>
      </c>
      <c r="AS102" s="1">
        <v>2064</v>
      </c>
      <c r="AT102" s="1">
        <v>2065</v>
      </c>
      <c r="AU102" s="1">
        <v>2066</v>
      </c>
      <c r="AV102" s="1">
        <v>2067</v>
      </c>
      <c r="AW102" s="1">
        <v>2068</v>
      </c>
      <c r="AX102" s="1">
        <v>2069</v>
      </c>
      <c r="AY102" s="1">
        <v>2070</v>
      </c>
    </row>
    <row r="103" spans="1:51" x14ac:dyDescent="0.35">
      <c r="A103" t="s">
        <v>51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51" x14ac:dyDescent="0.35">
      <c r="A104" t="s">
        <v>52</v>
      </c>
      <c r="B104">
        <v>5.6002522628597766E-7</v>
      </c>
      <c r="C104">
        <v>5.6002522628597766E-7</v>
      </c>
      <c r="D104">
        <v>6.5304334624591743E-7</v>
      </c>
      <c r="E104">
        <v>5.6002522628597766E-7</v>
      </c>
      <c r="F104">
        <v>6.7469353110708044E-7</v>
      </c>
      <c r="G104">
        <v>6.9800790950379235E-7</v>
      </c>
      <c r="H104">
        <v>7.0935749589585001E-7</v>
      </c>
      <c r="I104">
        <v>7.3890708372408378E-7</v>
      </c>
      <c r="J104">
        <v>7.568950603371588E-7</v>
      </c>
      <c r="K104">
        <v>7.5834696444999018E-7</v>
      </c>
      <c r="L104">
        <v>7.8594754601638571E-7</v>
      </c>
      <c r="M104">
        <v>7.799380400577025E-7</v>
      </c>
      <c r="N104">
        <v>7.9745083027261208E-7</v>
      </c>
      <c r="O104">
        <v>8.0999691312163171E-7</v>
      </c>
      <c r="P104">
        <v>8.2899935315987673E-7</v>
      </c>
      <c r="Q104">
        <v>8.3336948042530231E-7</v>
      </c>
      <c r="R104">
        <v>8.7881085219203511E-7</v>
      </c>
      <c r="S104">
        <v>8.7276965180103287E-7</v>
      </c>
      <c r="T104">
        <v>8.8783433185147661E-7</v>
      </c>
      <c r="U104">
        <v>9.2315490634065295E-7</v>
      </c>
      <c r="V104">
        <v>9.3442768981795057E-7</v>
      </c>
      <c r="W104">
        <v>9.5068166461405658E-7</v>
      </c>
      <c r="X104">
        <v>9.6722967861003451E-7</v>
      </c>
      <c r="Y104">
        <v>9.9362744784166598E-7</v>
      </c>
      <c r="Z104">
        <v>1.0046409582078282E-6</v>
      </c>
      <c r="AA104">
        <v>1.0318273493398171E-6</v>
      </c>
      <c r="AB104">
        <v>1.041724157289876E-6</v>
      </c>
      <c r="AC104">
        <v>1.0553390270157577E-6</v>
      </c>
      <c r="AD104">
        <v>1.0796280063302037E-6</v>
      </c>
      <c r="AE104">
        <v>1.0903734657805622E-6</v>
      </c>
    </row>
    <row r="105" spans="1:51" x14ac:dyDescent="0.35">
      <c r="A105" t="s">
        <v>53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51" x14ac:dyDescent="0.35">
      <c r="A106" t="s">
        <v>54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51" x14ac:dyDescent="0.35">
      <c r="A107" t="s">
        <v>55</v>
      </c>
      <c r="B107">
        <v>5.6002522628597766E-7</v>
      </c>
      <c r="C107">
        <v>5.6002522628597766E-7</v>
      </c>
      <c r="D107">
        <v>6.5304334624591743E-7</v>
      </c>
      <c r="E107">
        <v>5.6002522628597766E-7</v>
      </c>
      <c r="F107">
        <v>6.7469353110708044E-7</v>
      </c>
      <c r="G107">
        <v>6.9800790950379235E-7</v>
      </c>
      <c r="H107">
        <v>7.0935749589585001E-7</v>
      </c>
      <c r="I107">
        <v>7.3890708372408378E-7</v>
      </c>
      <c r="J107">
        <v>7.568950603371588E-7</v>
      </c>
      <c r="K107">
        <v>7.5834696444999018E-7</v>
      </c>
      <c r="L107">
        <v>7.8594754601638571E-7</v>
      </c>
      <c r="M107">
        <v>7.799380400577025E-7</v>
      </c>
      <c r="N107">
        <v>7.9745083027261208E-7</v>
      </c>
      <c r="O107">
        <v>8.0999691312163171E-7</v>
      </c>
      <c r="P107">
        <v>8.2899935315987673E-7</v>
      </c>
      <c r="Q107">
        <v>8.3336948042530231E-7</v>
      </c>
      <c r="R107">
        <v>8.7881085219203511E-7</v>
      </c>
      <c r="S107">
        <v>8.7276965180103287E-7</v>
      </c>
      <c r="T107">
        <v>8.8783433185147661E-7</v>
      </c>
      <c r="U107">
        <v>9.2315490634065295E-7</v>
      </c>
      <c r="V107">
        <v>9.3442768981795057E-7</v>
      </c>
      <c r="W107">
        <v>9.5068166461405658E-7</v>
      </c>
      <c r="X107">
        <v>9.6722967861003451E-7</v>
      </c>
      <c r="Y107">
        <v>9.9362744784166598E-7</v>
      </c>
      <c r="Z107">
        <v>1.0046409582078282E-6</v>
      </c>
      <c r="AA107">
        <v>1.0318273493398171E-6</v>
      </c>
      <c r="AB107">
        <v>1.041724157289876E-6</v>
      </c>
      <c r="AC107">
        <v>1.0553390270157577E-6</v>
      </c>
      <c r="AD107">
        <v>1.0796280063302037E-6</v>
      </c>
      <c r="AE107">
        <v>1.0903734657805622E-6</v>
      </c>
    </row>
    <row r="108" spans="1:51" x14ac:dyDescent="0.35">
      <c r="A108" t="s">
        <v>56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51" x14ac:dyDescent="0.35">
      <c r="A109" t="s">
        <v>57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51" x14ac:dyDescent="0.35">
      <c r="A110" t="s">
        <v>58</v>
      </c>
      <c r="B110">
        <v>5.6002522628597766E-7</v>
      </c>
      <c r="C110">
        <v>5.6002522628597766E-7</v>
      </c>
      <c r="D110">
        <v>6.5304334624591743E-7</v>
      </c>
      <c r="E110">
        <v>5.6002522628597766E-7</v>
      </c>
      <c r="F110">
        <v>6.7469353110708044E-7</v>
      </c>
      <c r="G110">
        <v>6.9800790950379235E-7</v>
      </c>
      <c r="H110">
        <v>7.0935749589585001E-7</v>
      </c>
      <c r="I110">
        <v>7.3890708372408378E-7</v>
      </c>
      <c r="J110">
        <v>7.568950603371588E-7</v>
      </c>
      <c r="K110">
        <v>7.5834696444999018E-7</v>
      </c>
      <c r="L110">
        <v>7.8594754601638571E-7</v>
      </c>
      <c r="M110">
        <v>7.799380400577025E-7</v>
      </c>
      <c r="N110">
        <v>7.9745083027261208E-7</v>
      </c>
      <c r="O110">
        <v>8.0999691312163171E-7</v>
      </c>
      <c r="P110">
        <v>8.2899935315987673E-7</v>
      </c>
      <c r="Q110">
        <v>8.3336948042530231E-7</v>
      </c>
      <c r="R110">
        <v>8.7881085219203511E-7</v>
      </c>
      <c r="S110">
        <v>8.7276965180103287E-7</v>
      </c>
      <c r="T110">
        <v>8.8783433185147661E-7</v>
      </c>
      <c r="U110">
        <v>9.2315490634065295E-7</v>
      </c>
      <c r="V110">
        <v>9.3442768981795057E-7</v>
      </c>
      <c r="W110">
        <v>9.5068166461405658E-7</v>
      </c>
      <c r="X110">
        <v>9.6722967861003451E-7</v>
      </c>
      <c r="Y110">
        <v>9.9362744784166598E-7</v>
      </c>
      <c r="Z110">
        <v>1.0046409582078282E-6</v>
      </c>
      <c r="AA110">
        <v>1.0318273493398171E-6</v>
      </c>
      <c r="AB110">
        <v>1.041724157289876E-6</v>
      </c>
      <c r="AC110">
        <v>1.0553390270157577E-6</v>
      </c>
      <c r="AD110">
        <v>1.0796280063302037E-6</v>
      </c>
      <c r="AE110">
        <v>1.0903734657805622E-6</v>
      </c>
    </row>
    <row r="111" spans="1:51" s="4" customFormat="1" x14ac:dyDescent="0.35">
      <c r="A111" s="6" t="s">
        <v>46</v>
      </c>
    </row>
    <row r="112" spans="1:51" x14ac:dyDescent="0.35">
      <c r="A112" t="s">
        <v>29</v>
      </c>
      <c r="B112" s="1">
        <v>2021</v>
      </c>
      <c r="C112" s="1">
        <v>2022</v>
      </c>
      <c r="D112" s="1">
        <v>2023</v>
      </c>
      <c r="E112" s="1">
        <v>2024</v>
      </c>
      <c r="F112" s="1">
        <v>2025</v>
      </c>
      <c r="G112" s="1">
        <v>2026</v>
      </c>
      <c r="H112" s="1">
        <v>2027</v>
      </c>
      <c r="I112" s="1">
        <v>2028</v>
      </c>
      <c r="J112" s="1">
        <v>2029</v>
      </c>
      <c r="K112" s="1">
        <v>2030</v>
      </c>
      <c r="L112" s="1">
        <v>2031</v>
      </c>
      <c r="M112" s="1">
        <v>2032</v>
      </c>
      <c r="N112" s="1">
        <v>2033</v>
      </c>
      <c r="O112" s="1">
        <v>2034</v>
      </c>
      <c r="P112" s="1">
        <v>2035</v>
      </c>
      <c r="Q112" s="1">
        <v>2036</v>
      </c>
      <c r="R112" s="1">
        <v>2037</v>
      </c>
      <c r="S112" s="1">
        <v>2038</v>
      </c>
      <c r="T112" s="1">
        <v>2039</v>
      </c>
      <c r="U112" s="1">
        <v>2040</v>
      </c>
      <c r="V112" s="1">
        <v>2041</v>
      </c>
      <c r="W112" s="1">
        <v>2042</v>
      </c>
      <c r="X112" s="1">
        <v>2043</v>
      </c>
      <c r="Y112" s="1">
        <v>2044</v>
      </c>
      <c r="Z112" s="1">
        <v>2045</v>
      </c>
      <c r="AA112" s="1">
        <v>2046</v>
      </c>
      <c r="AB112" s="1">
        <v>2047</v>
      </c>
      <c r="AC112" s="1">
        <v>2048</v>
      </c>
      <c r="AD112" s="1">
        <v>2049</v>
      </c>
      <c r="AE112" s="1">
        <v>2050</v>
      </c>
      <c r="AF112" s="1">
        <v>2051</v>
      </c>
      <c r="AG112" s="1">
        <v>2052</v>
      </c>
      <c r="AH112" s="1">
        <v>2053</v>
      </c>
      <c r="AI112" s="1">
        <v>2054</v>
      </c>
      <c r="AJ112" s="1">
        <v>2055</v>
      </c>
      <c r="AK112" s="1">
        <v>2056</v>
      </c>
      <c r="AL112" s="1">
        <v>2057</v>
      </c>
      <c r="AM112" s="1">
        <v>2058</v>
      </c>
      <c r="AN112" s="1">
        <v>2059</v>
      </c>
      <c r="AO112" s="1">
        <v>2060</v>
      </c>
      <c r="AP112" s="1">
        <v>2061</v>
      </c>
      <c r="AQ112" s="1">
        <v>2062</v>
      </c>
      <c r="AR112" s="1">
        <v>2063</v>
      </c>
      <c r="AS112" s="1">
        <v>2064</v>
      </c>
      <c r="AT112" s="1">
        <v>2065</v>
      </c>
      <c r="AU112" s="1">
        <v>2066</v>
      </c>
      <c r="AV112" s="1">
        <v>2067</v>
      </c>
      <c r="AW112" s="1">
        <v>2068</v>
      </c>
      <c r="AX112" s="1">
        <v>2069</v>
      </c>
      <c r="AY112" s="1">
        <v>2070</v>
      </c>
    </row>
    <row r="113" spans="1:51" x14ac:dyDescent="0.35">
      <c r="A113" t="s">
        <v>51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51" x14ac:dyDescent="0.35">
      <c r="A114" t="s">
        <v>52</v>
      </c>
      <c r="B114">
        <v>3.1157999999999995E-6</v>
      </c>
      <c r="C114">
        <v>3.1157999999999995E-6</v>
      </c>
      <c r="D114">
        <v>3.3451012987012986E-6</v>
      </c>
      <c r="E114">
        <v>3.1157999999999995E-6</v>
      </c>
      <c r="F114">
        <v>3.6040768831168825E-6</v>
      </c>
      <c r="G114">
        <v>3.6121698701298693E-6</v>
      </c>
      <c r="H114">
        <v>3.5932862337662335E-6</v>
      </c>
      <c r="I114">
        <v>3.6229605194805183E-6</v>
      </c>
      <c r="J114">
        <v>3.6688207792207783E-6</v>
      </c>
      <c r="K114">
        <v>3.7011927272727266E-6</v>
      </c>
      <c r="L114">
        <v>3.7794249350649341E-6</v>
      </c>
      <c r="M114">
        <v>3.7821225974025968E-6</v>
      </c>
      <c r="N114">
        <v>3.887331428571428E-6</v>
      </c>
      <c r="O114">
        <v>3.943982337662337E-6</v>
      </c>
      <c r="P114">
        <v>4.0168192207792204E-6</v>
      </c>
      <c r="Q114">
        <v>4.0545864935064928E-6</v>
      </c>
      <c r="R114">
        <v>4.1247257142857131E-6</v>
      </c>
      <c r="S114">
        <v>4.1705859740259731E-6</v>
      </c>
      <c r="T114">
        <v>4.2272368831168821E-6</v>
      </c>
      <c r="U114">
        <v>4.2757948051948043E-6</v>
      </c>
      <c r="V114">
        <v>4.3270503896103888E-6</v>
      </c>
      <c r="W114">
        <v>4.3729106493506488E-6</v>
      </c>
      <c r="X114">
        <v>4.4349568831168824E-6</v>
      </c>
      <c r="Y114">
        <v>4.4916077922077905E-6</v>
      </c>
      <c r="Z114">
        <v>4.5212820779220779E-6</v>
      </c>
      <c r="AA114">
        <v>4.567142337662337E-6</v>
      </c>
      <c r="AB114">
        <v>4.577932987012986E-6</v>
      </c>
      <c r="AC114">
        <v>4.5725376623376615E-6</v>
      </c>
      <c r="AD114">
        <v>4.5428633766233759E-6</v>
      </c>
      <c r="AE114">
        <v>4.613002597402597E-6</v>
      </c>
    </row>
    <row r="115" spans="1:51" x14ac:dyDescent="0.35">
      <c r="A115" t="s">
        <v>53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51" x14ac:dyDescent="0.35">
      <c r="A116" t="s">
        <v>54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51" x14ac:dyDescent="0.35">
      <c r="A117" t="s">
        <v>55</v>
      </c>
      <c r="B117">
        <v>3.1157999999999995E-6</v>
      </c>
      <c r="C117">
        <v>3.1157999999999995E-6</v>
      </c>
      <c r="D117">
        <v>5.5774541436464079E-6</v>
      </c>
      <c r="E117">
        <v>3.1157999999999995E-6</v>
      </c>
      <c r="F117">
        <v>4.5359850828729278E-6</v>
      </c>
      <c r="G117">
        <v>6.0078132596685074E-6</v>
      </c>
      <c r="H117">
        <v>7.3677480662983422E-6</v>
      </c>
      <c r="I117">
        <v>8.8826121546961308E-6</v>
      </c>
      <c r="J117">
        <v>1.0345833149171269E-5</v>
      </c>
      <c r="K117">
        <v>1.0320011602209944E-5</v>
      </c>
      <c r="L117">
        <v>1.0715941988950274E-5</v>
      </c>
      <c r="M117">
        <v>1.0578227071823202E-5</v>
      </c>
      <c r="N117">
        <v>1.0965550276243093E-5</v>
      </c>
      <c r="O117">
        <v>1.1137693922651933E-5</v>
      </c>
      <c r="P117">
        <v>1.143033812154696E-5</v>
      </c>
      <c r="Q117">
        <v>1.1499195580110495E-5</v>
      </c>
      <c r="R117">
        <v>1.1705767955801102E-5</v>
      </c>
      <c r="S117">
        <v>1.1766018232044196E-5</v>
      </c>
      <c r="T117">
        <v>1.1972590607734803E-5</v>
      </c>
      <c r="U117">
        <v>1.2170555801104969E-5</v>
      </c>
      <c r="V117">
        <v>1.234269944751381E-5</v>
      </c>
      <c r="W117">
        <v>1.2506235911602208E-5</v>
      </c>
      <c r="X117">
        <v>1.2764451381215467E-5</v>
      </c>
      <c r="Y117">
        <v>1.3065702762430937E-5</v>
      </c>
      <c r="Z117">
        <v>1.3315311049723756E-5</v>
      </c>
      <c r="AA117">
        <v>1.3513276243093922E-5</v>
      </c>
      <c r="AB117">
        <v>1.3694027071823204E-5</v>
      </c>
      <c r="AC117">
        <v>1.3831741988950276E-5</v>
      </c>
      <c r="AD117">
        <v>1.3900599447513809E-5</v>
      </c>
      <c r="AE117">
        <v>1.4184636464088396E-5</v>
      </c>
    </row>
    <row r="118" spans="1:51" x14ac:dyDescent="0.35">
      <c r="A118" t="s">
        <v>56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51" x14ac:dyDescent="0.35">
      <c r="A119" t="s">
        <v>57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51" x14ac:dyDescent="0.35">
      <c r="A120" t="s">
        <v>58</v>
      </c>
      <c r="B120">
        <v>3.1157999999999995E-6</v>
      </c>
      <c r="C120">
        <v>3.1157999999999995E-6</v>
      </c>
      <c r="D120">
        <v>5.5774541436464079E-6</v>
      </c>
      <c r="E120">
        <v>3.1157999999999995E-6</v>
      </c>
      <c r="F120">
        <v>4.5359850828729278E-6</v>
      </c>
      <c r="G120">
        <v>6.0078132596685074E-6</v>
      </c>
      <c r="H120">
        <v>7.3677480662983422E-6</v>
      </c>
      <c r="I120">
        <v>8.8826121546961308E-6</v>
      </c>
      <c r="J120">
        <v>1.0345833149171269E-5</v>
      </c>
      <c r="K120">
        <v>1.0320011602209944E-5</v>
      </c>
      <c r="L120">
        <v>1.0715941988950274E-5</v>
      </c>
      <c r="M120">
        <v>1.0578227071823202E-5</v>
      </c>
      <c r="N120">
        <v>1.0965550276243093E-5</v>
      </c>
      <c r="O120">
        <v>1.1137693922651933E-5</v>
      </c>
      <c r="P120">
        <v>1.143033812154696E-5</v>
      </c>
      <c r="Q120">
        <v>1.1499195580110495E-5</v>
      </c>
      <c r="R120">
        <v>1.1705767955801102E-5</v>
      </c>
      <c r="S120">
        <v>1.1766018232044196E-5</v>
      </c>
      <c r="T120">
        <v>1.1972590607734803E-5</v>
      </c>
      <c r="U120">
        <v>1.2170555801104969E-5</v>
      </c>
      <c r="V120">
        <v>1.234269944751381E-5</v>
      </c>
      <c r="W120">
        <v>1.2506235911602208E-5</v>
      </c>
      <c r="X120">
        <v>1.2764451381215467E-5</v>
      </c>
      <c r="Y120">
        <v>1.3065702762430937E-5</v>
      </c>
      <c r="Z120">
        <v>1.3315311049723756E-5</v>
      </c>
      <c r="AA120">
        <v>1.3513276243093922E-5</v>
      </c>
      <c r="AB120">
        <v>1.3694027071823204E-5</v>
      </c>
      <c r="AC120">
        <v>1.3831741988950276E-5</v>
      </c>
      <c r="AD120">
        <v>1.3900599447513809E-5</v>
      </c>
      <c r="AE120">
        <v>1.4184636464088396E-5</v>
      </c>
    </row>
    <row r="121" spans="1:51" s="4" customFormat="1" x14ac:dyDescent="0.35">
      <c r="A121" s="6" t="s">
        <v>47</v>
      </c>
    </row>
    <row r="122" spans="1:51" x14ac:dyDescent="0.35">
      <c r="A122" t="s">
        <v>29</v>
      </c>
      <c r="B122" s="1">
        <v>2021</v>
      </c>
      <c r="C122" s="1">
        <v>2022</v>
      </c>
      <c r="D122" s="1">
        <v>2023</v>
      </c>
      <c r="E122" s="1">
        <v>2024</v>
      </c>
      <c r="F122" s="1">
        <v>2025</v>
      </c>
      <c r="G122" s="1">
        <v>2026</v>
      </c>
      <c r="H122" s="1">
        <v>2027</v>
      </c>
      <c r="I122" s="1">
        <v>2028</v>
      </c>
      <c r="J122" s="1">
        <v>2029</v>
      </c>
      <c r="K122" s="1">
        <v>2030</v>
      </c>
      <c r="L122" s="1">
        <v>2031</v>
      </c>
      <c r="M122" s="1">
        <v>2032</v>
      </c>
      <c r="N122" s="1">
        <v>2033</v>
      </c>
      <c r="O122" s="1">
        <v>2034</v>
      </c>
      <c r="P122" s="1">
        <v>2035</v>
      </c>
      <c r="Q122" s="1">
        <v>2036</v>
      </c>
      <c r="R122" s="1">
        <v>2037</v>
      </c>
      <c r="S122" s="1">
        <v>2038</v>
      </c>
      <c r="T122" s="1">
        <v>2039</v>
      </c>
      <c r="U122" s="1">
        <v>2040</v>
      </c>
      <c r="V122" s="1">
        <v>2041</v>
      </c>
      <c r="W122" s="1">
        <v>2042</v>
      </c>
      <c r="X122" s="1">
        <v>2043</v>
      </c>
      <c r="Y122" s="1">
        <v>2044</v>
      </c>
      <c r="Z122" s="1">
        <v>2045</v>
      </c>
      <c r="AA122" s="1">
        <v>2046</v>
      </c>
      <c r="AB122" s="1">
        <v>2047</v>
      </c>
      <c r="AC122" s="1">
        <v>2048</v>
      </c>
      <c r="AD122" s="1">
        <v>2049</v>
      </c>
      <c r="AE122" s="1">
        <v>2050</v>
      </c>
      <c r="AF122" s="1">
        <v>2051</v>
      </c>
      <c r="AG122" s="1">
        <v>2052</v>
      </c>
      <c r="AH122" s="1">
        <v>2053</v>
      </c>
      <c r="AI122" s="1">
        <v>2054</v>
      </c>
      <c r="AJ122" s="1">
        <v>2055</v>
      </c>
      <c r="AK122" s="1">
        <v>2056</v>
      </c>
      <c r="AL122" s="1">
        <v>2057</v>
      </c>
      <c r="AM122" s="1">
        <v>2058</v>
      </c>
      <c r="AN122" s="1">
        <v>2059</v>
      </c>
      <c r="AO122" s="1">
        <v>2060</v>
      </c>
      <c r="AP122" s="1">
        <v>2061</v>
      </c>
      <c r="AQ122" s="1">
        <v>2062</v>
      </c>
      <c r="AR122" s="1">
        <v>2063</v>
      </c>
      <c r="AS122" s="1">
        <v>2064</v>
      </c>
      <c r="AT122" s="1">
        <v>2065</v>
      </c>
      <c r="AU122" s="1">
        <v>2066</v>
      </c>
      <c r="AV122" s="1">
        <v>2067</v>
      </c>
      <c r="AW122" s="1">
        <v>2068</v>
      </c>
      <c r="AX122" s="1">
        <v>2069</v>
      </c>
      <c r="AY122" s="1">
        <v>2070</v>
      </c>
    </row>
    <row r="123" spans="1:51" x14ac:dyDescent="0.35">
      <c r="A123" t="s">
        <v>51</v>
      </c>
      <c r="B123">
        <v>6.1798959340109763E-7</v>
      </c>
      <c r="C123">
        <v>6.1798959340109763E-7</v>
      </c>
      <c r="D123">
        <v>6.7679483152749963E-7</v>
      </c>
      <c r="E123">
        <v>6.1798959340109763E-7</v>
      </c>
      <c r="F123">
        <v>6.4792680553817489E-7</v>
      </c>
      <c r="G123">
        <v>6.896250653005327E-7</v>
      </c>
      <c r="H123">
        <v>7.1528553284659915E-7</v>
      </c>
      <c r="I123">
        <v>7.4415355883592378E-7</v>
      </c>
      <c r="J123">
        <v>7.8692100474603422E-7</v>
      </c>
      <c r="K123">
        <v>8.2808467143451577E-7</v>
      </c>
      <c r="L123">
        <v>8.4839920824181815E-7</v>
      </c>
      <c r="M123">
        <v>8.6016025586709849E-7</v>
      </c>
      <c r="N123">
        <v>8.6550618660586256E-7</v>
      </c>
      <c r="O123">
        <v>8.6122944201485122E-7</v>
      </c>
      <c r="P123">
        <v>8.6229862816260395E-7</v>
      </c>
      <c r="Q123">
        <v>8.6710996582749144E-7</v>
      </c>
      <c r="R123">
        <v>8.8314775804378301E-7</v>
      </c>
      <c r="S123">
        <v>8.9704717796456902E-7</v>
      </c>
      <c r="T123">
        <v>9.1094659788535481E-7</v>
      </c>
      <c r="U123">
        <v>9.2751898317552264E-7</v>
      </c>
      <c r="V123">
        <v>9.4516055461344341E-7</v>
      </c>
      <c r="W123">
        <v>9.6119834682973477E-7</v>
      </c>
      <c r="X123">
        <v>9.7616695289827362E-7</v>
      </c>
      <c r="Y123">
        <v>9.8899718667130658E-7</v>
      </c>
      <c r="Z123">
        <v>1.0012928273704634E-6</v>
      </c>
      <c r="AA123">
        <v>1.0210727711038897E-6</v>
      </c>
      <c r="AB123">
        <v>1.035506784098552E-6</v>
      </c>
      <c r="AC123">
        <v>1.0499407970932143E-6</v>
      </c>
      <c r="AD123">
        <v>1.0649094031617529E-6</v>
      </c>
      <c r="AE123">
        <v>1.078808823082539E-6</v>
      </c>
    </row>
    <row r="124" spans="1:51" x14ac:dyDescent="0.35">
      <c r="A124" t="s">
        <v>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51" x14ac:dyDescent="0.35">
      <c r="A125" t="s">
        <v>53</v>
      </c>
      <c r="B125">
        <v>6.1798959340109763E-7</v>
      </c>
      <c r="C125">
        <v>6.1798959340109763E-7</v>
      </c>
      <c r="D125">
        <v>6.2589751710812588E-7</v>
      </c>
      <c r="E125">
        <v>6.1798959340109763E-7</v>
      </c>
      <c r="F125">
        <v>6.2882637774035845E-7</v>
      </c>
      <c r="G125">
        <v>6.4962128822921053E-7</v>
      </c>
      <c r="H125">
        <v>6.7012331265483939E-7</v>
      </c>
      <c r="I125">
        <v>6.9267553952303104E-7</v>
      </c>
      <c r="J125">
        <v>7.2137837371891137E-7</v>
      </c>
      <c r="K125">
        <v>7.5242429642057804E-7</v>
      </c>
      <c r="L125">
        <v>7.7731961179455581E-7</v>
      </c>
      <c r="M125">
        <v>7.9635720590406833E-7</v>
      </c>
      <c r="N125">
        <v>8.098299648123386E-7</v>
      </c>
      <c r="O125">
        <v>8.212525212780462E-7</v>
      </c>
      <c r="P125">
        <v>8.2564581222639532E-7</v>
      </c>
      <c r="Q125">
        <v>8.3033198923796757E-7</v>
      </c>
      <c r="R125">
        <v>8.3970434326111216E-7</v>
      </c>
      <c r="S125">
        <v>8.4936958334748008E-7</v>
      </c>
      <c r="T125">
        <v>8.6020636768674102E-7</v>
      </c>
      <c r="U125">
        <v>8.7221469627889517E-7</v>
      </c>
      <c r="V125">
        <v>8.8539456912394212E-7</v>
      </c>
      <c r="W125">
        <v>8.9886732803221261E-7</v>
      </c>
      <c r="X125">
        <v>9.1175431481403622E-7</v>
      </c>
      <c r="Y125">
        <v>9.2376264340619027E-7</v>
      </c>
      <c r="Z125">
        <v>9.3518519987189776E-7</v>
      </c>
      <c r="AA125">
        <v>9.492437309066147E-7</v>
      </c>
      <c r="AB125">
        <v>9.6213071768843853E-7</v>
      </c>
      <c r="AC125">
        <v>9.7472481840703913E-7</v>
      </c>
      <c r="AD125">
        <v>9.8731891912563973E-7</v>
      </c>
      <c r="AE125">
        <v>9.9932724771779367E-7</v>
      </c>
    </row>
    <row r="126" spans="1:51" x14ac:dyDescent="0.35">
      <c r="A126" t="s">
        <v>54</v>
      </c>
      <c r="B126">
        <v>6.1798959340109763E-7</v>
      </c>
      <c r="C126">
        <v>6.1798959340109763E-7</v>
      </c>
      <c r="D126">
        <v>6.5816267146544599E-7</v>
      </c>
      <c r="E126">
        <v>6.1798959340109763E-7</v>
      </c>
      <c r="F126">
        <v>6.3450936382008184E-7</v>
      </c>
      <c r="G126">
        <v>6.6229261407019202E-7</v>
      </c>
      <c r="H126">
        <v>6.8144052978310568E-7</v>
      </c>
      <c r="I126">
        <v>7.024656921345405E-7</v>
      </c>
      <c r="J126">
        <v>7.3175073969546726E-7</v>
      </c>
      <c r="K126">
        <v>7.6028488860098573E-7</v>
      </c>
      <c r="L126">
        <v>7.7605376036456187E-7</v>
      </c>
      <c r="M126">
        <v>7.8543999355716647E-7</v>
      </c>
      <c r="N126">
        <v>7.8956993616191271E-7</v>
      </c>
      <c r="O126">
        <v>7.9520167607747542E-7</v>
      </c>
      <c r="P126">
        <v>7.9557712540517989E-7</v>
      </c>
      <c r="Q126">
        <v>7.9858072002681316E-7</v>
      </c>
      <c r="R126">
        <v>8.0946875053023466E-7</v>
      </c>
      <c r="S126">
        <v>8.1885498372283947E-7</v>
      </c>
      <c r="T126">
        <v>8.2861666624314842E-7</v>
      </c>
      <c r="U126">
        <v>8.3950469674657003E-7</v>
      </c>
      <c r="V126">
        <v>8.5114362590540003E-7</v>
      </c>
      <c r="W126">
        <v>8.6240710573652557E-7</v>
      </c>
      <c r="X126">
        <v>8.7216878825683442E-7</v>
      </c>
      <c r="Y126">
        <v>8.8080412279403105E-7</v>
      </c>
      <c r="Z126">
        <v>8.890640080035231E-7</v>
      </c>
      <c r="AA126">
        <v>9.0182928514546554E-7</v>
      </c>
      <c r="AB126">
        <v>9.115909676657745E-7</v>
      </c>
      <c r="AC126">
        <v>9.2097720085837931E-7</v>
      </c>
      <c r="AD126">
        <v>9.3073888337868806E-7</v>
      </c>
      <c r="AE126">
        <v>9.3974966724358893E-7</v>
      </c>
    </row>
    <row r="127" spans="1:51" x14ac:dyDescent="0.35">
      <c r="A127" t="s">
        <v>55</v>
      </c>
      <c r="B127">
        <v>6.1798959340109763E-7</v>
      </c>
      <c r="C127">
        <v>6.1798959340109763E-7</v>
      </c>
      <c r="D127">
        <v>6.7679483152749963E-7</v>
      </c>
      <c r="E127">
        <v>6.1798959340109763E-7</v>
      </c>
      <c r="F127">
        <v>6.4792680553817489E-7</v>
      </c>
      <c r="G127">
        <v>6.896250653005327E-7</v>
      </c>
      <c r="H127">
        <v>7.1528553284659915E-7</v>
      </c>
      <c r="I127">
        <v>7.4415355883592378E-7</v>
      </c>
      <c r="J127">
        <v>7.8692100474603422E-7</v>
      </c>
      <c r="K127">
        <v>8.2808467143451577E-7</v>
      </c>
      <c r="L127">
        <v>8.4839920824181815E-7</v>
      </c>
      <c r="M127">
        <v>8.6016025586709849E-7</v>
      </c>
      <c r="N127">
        <v>8.6550618660586256E-7</v>
      </c>
      <c r="O127">
        <v>8.6122944201485122E-7</v>
      </c>
      <c r="P127">
        <v>8.6229862816260395E-7</v>
      </c>
      <c r="Q127">
        <v>8.6710996582749144E-7</v>
      </c>
      <c r="R127">
        <v>8.8314775804378301E-7</v>
      </c>
      <c r="S127">
        <v>8.9704717796456902E-7</v>
      </c>
      <c r="T127">
        <v>9.1094659788535481E-7</v>
      </c>
      <c r="U127">
        <v>9.2751898317552264E-7</v>
      </c>
      <c r="V127">
        <v>9.4516055461344341E-7</v>
      </c>
      <c r="W127">
        <v>9.6119834682973477E-7</v>
      </c>
      <c r="X127">
        <v>9.7616695289827362E-7</v>
      </c>
      <c r="Y127">
        <v>9.8899718667130658E-7</v>
      </c>
      <c r="Z127">
        <v>1.0012928273704634E-6</v>
      </c>
      <c r="AA127">
        <v>1.0210727711038897E-6</v>
      </c>
      <c r="AB127">
        <v>1.035506784098552E-6</v>
      </c>
      <c r="AC127">
        <v>1.0499407970932143E-6</v>
      </c>
      <c r="AD127">
        <v>1.0649094031617529E-6</v>
      </c>
      <c r="AE127">
        <v>1.078808823082539E-6</v>
      </c>
    </row>
    <row r="128" spans="1:51" x14ac:dyDescent="0.35">
      <c r="A128" t="s">
        <v>56</v>
      </c>
      <c r="B128">
        <v>6.1798959340109763E-7</v>
      </c>
      <c r="C128">
        <v>6.1798959340109763E-7</v>
      </c>
      <c r="D128">
        <v>6.7679483152749963E-7</v>
      </c>
      <c r="E128">
        <v>6.1798959340109763E-7</v>
      </c>
      <c r="F128">
        <v>6.4792680553817489E-7</v>
      </c>
      <c r="G128">
        <v>6.896250653005327E-7</v>
      </c>
      <c r="H128">
        <v>7.1528553284659915E-7</v>
      </c>
      <c r="I128">
        <v>7.4415355883592378E-7</v>
      </c>
      <c r="J128">
        <v>7.8692100474603422E-7</v>
      </c>
      <c r="K128">
        <v>8.2808467143451577E-7</v>
      </c>
      <c r="L128">
        <v>8.4839920824181815E-7</v>
      </c>
      <c r="M128">
        <v>8.6016025586709849E-7</v>
      </c>
      <c r="N128">
        <v>8.6550618660586256E-7</v>
      </c>
      <c r="O128">
        <v>8.6122944201485122E-7</v>
      </c>
      <c r="P128">
        <v>8.6229862816260395E-7</v>
      </c>
      <c r="Q128">
        <v>8.6710996582749144E-7</v>
      </c>
      <c r="R128">
        <v>8.8314775804378301E-7</v>
      </c>
      <c r="S128">
        <v>8.9704717796456902E-7</v>
      </c>
      <c r="T128">
        <v>9.1094659788535481E-7</v>
      </c>
      <c r="U128">
        <v>9.2751898317552264E-7</v>
      </c>
      <c r="V128">
        <v>9.4516055461344341E-7</v>
      </c>
      <c r="W128">
        <v>9.6119834682973477E-7</v>
      </c>
      <c r="X128">
        <v>9.7616695289827362E-7</v>
      </c>
      <c r="Y128">
        <v>9.8899718667130658E-7</v>
      </c>
      <c r="Z128">
        <v>1.0012928273704634E-6</v>
      </c>
      <c r="AA128">
        <v>1.0210727711038897E-6</v>
      </c>
      <c r="AB128">
        <v>1.035506784098552E-6</v>
      </c>
      <c r="AC128">
        <v>1.0499407970932143E-6</v>
      </c>
      <c r="AD128">
        <v>1.0649094031617529E-6</v>
      </c>
      <c r="AE128">
        <v>1.078808823082539E-6</v>
      </c>
    </row>
    <row r="129" spans="1:51" x14ac:dyDescent="0.35">
      <c r="A129" t="s">
        <v>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51" x14ac:dyDescent="0.35">
      <c r="A130" t="s">
        <v>58</v>
      </c>
      <c r="B130">
        <v>6.1798959340109763E-7</v>
      </c>
      <c r="C130">
        <v>6.1798959340109763E-7</v>
      </c>
      <c r="D130">
        <v>6.7679483152749963E-7</v>
      </c>
      <c r="E130">
        <v>6.1798959340109763E-7</v>
      </c>
      <c r="F130">
        <v>6.4792680553817489E-7</v>
      </c>
      <c r="G130">
        <v>6.896250653005327E-7</v>
      </c>
      <c r="H130">
        <v>7.1528553284659915E-7</v>
      </c>
      <c r="I130">
        <v>7.4415355883592378E-7</v>
      </c>
      <c r="J130">
        <v>7.8692100474603422E-7</v>
      </c>
      <c r="K130">
        <v>8.2808467143451577E-7</v>
      </c>
      <c r="L130">
        <v>8.4839920824181815E-7</v>
      </c>
      <c r="M130">
        <v>8.6016025586709849E-7</v>
      </c>
      <c r="N130">
        <v>8.6550618660586256E-7</v>
      </c>
      <c r="O130">
        <v>8.6122944201485122E-7</v>
      </c>
      <c r="P130">
        <v>8.6229862816260395E-7</v>
      </c>
      <c r="Q130">
        <v>8.6710996582749144E-7</v>
      </c>
      <c r="R130">
        <v>8.8314775804378301E-7</v>
      </c>
      <c r="S130">
        <v>8.9704717796456902E-7</v>
      </c>
      <c r="T130">
        <v>9.1094659788535481E-7</v>
      </c>
      <c r="U130">
        <v>9.2751898317552264E-7</v>
      </c>
      <c r="V130">
        <v>9.4516055461344341E-7</v>
      </c>
      <c r="W130">
        <v>9.6119834682973477E-7</v>
      </c>
      <c r="X130">
        <v>9.7616695289827362E-7</v>
      </c>
      <c r="Y130">
        <v>9.8899718667130658E-7</v>
      </c>
      <c r="Z130">
        <v>1.0012928273704634E-6</v>
      </c>
      <c r="AA130">
        <v>1.0210727711038897E-6</v>
      </c>
      <c r="AB130">
        <v>1.035506784098552E-6</v>
      </c>
      <c r="AC130">
        <v>1.0499407970932143E-6</v>
      </c>
      <c r="AD130">
        <v>1.0649094031617529E-6</v>
      </c>
      <c r="AE130">
        <v>1.078808823082539E-6</v>
      </c>
    </row>
    <row r="131" spans="1:51" s="4" customFormat="1" x14ac:dyDescent="0.35">
      <c r="A131" s="6" t="s">
        <v>48</v>
      </c>
    </row>
    <row r="132" spans="1:51" x14ac:dyDescent="0.35">
      <c r="A132" t="s">
        <v>29</v>
      </c>
      <c r="B132" s="1">
        <v>2021</v>
      </c>
      <c r="C132" s="1">
        <v>2022</v>
      </c>
      <c r="D132" s="1">
        <v>2023</v>
      </c>
      <c r="E132" s="1">
        <v>2024</v>
      </c>
      <c r="F132" s="1">
        <v>2025</v>
      </c>
      <c r="G132" s="1">
        <v>2026</v>
      </c>
      <c r="H132" s="1">
        <v>2027</v>
      </c>
      <c r="I132" s="1">
        <v>2028</v>
      </c>
      <c r="J132" s="1">
        <v>2029</v>
      </c>
      <c r="K132" s="1">
        <v>2030</v>
      </c>
      <c r="L132" s="1">
        <v>2031</v>
      </c>
      <c r="M132" s="1">
        <v>2032</v>
      </c>
      <c r="N132" s="1">
        <v>2033</v>
      </c>
      <c r="O132" s="1">
        <v>2034</v>
      </c>
      <c r="P132" s="1">
        <v>2035</v>
      </c>
      <c r="Q132" s="1">
        <v>2036</v>
      </c>
      <c r="R132" s="1">
        <v>2037</v>
      </c>
      <c r="S132" s="1">
        <v>2038</v>
      </c>
      <c r="T132" s="1">
        <v>2039</v>
      </c>
      <c r="U132" s="1">
        <v>2040</v>
      </c>
      <c r="V132" s="1">
        <v>2041</v>
      </c>
      <c r="W132" s="1">
        <v>2042</v>
      </c>
      <c r="X132" s="1">
        <v>2043</v>
      </c>
      <c r="Y132" s="1">
        <v>2044</v>
      </c>
      <c r="Z132" s="1">
        <v>2045</v>
      </c>
      <c r="AA132" s="1">
        <v>2046</v>
      </c>
      <c r="AB132" s="1">
        <v>2047</v>
      </c>
      <c r="AC132" s="1">
        <v>2048</v>
      </c>
      <c r="AD132" s="1">
        <v>2049</v>
      </c>
      <c r="AE132" s="1">
        <v>2050</v>
      </c>
      <c r="AF132" s="1">
        <v>2051</v>
      </c>
      <c r="AG132" s="1">
        <v>2052</v>
      </c>
      <c r="AH132" s="1">
        <v>2053</v>
      </c>
      <c r="AI132" s="1">
        <v>2054</v>
      </c>
      <c r="AJ132" s="1">
        <v>2055</v>
      </c>
      <c r="AK132" s="1">
        <v>2056</v>
      </c>
      <c r="AL132" s="1">
        <v>2057</v>
      </c>
      <c r="AM132" s="1">
        <v>2058</v>
      </c>
      <c r="AN132" s="1">
        <v>2059</v>
      </c>
      <c r="AO132" s="1">
        <v>2060</v>
      </c>
      <c r="AP132" s="1">
        <v>2061</v>
      </c>
      <c r="AQ132" s="1">
        <v>2062</v>
      </c>
      <c r="AR132" s="1">
        <v>2063</v>
      </c>
      <c r="AS132" s="1">
        <v>2064</v>
      </c>
      <c r="AT132" s="1">
        <v>2065</v>
      </c>
      <c r="AU132" s="1">
        <v>2066</v>
      </c>
      <c r="AV132" s="1">
        <v>2067</v>
      </c>
      <c r="AW132" s="1">
        <v>2068</v>
      </c>
      <c r="AX132" s="1">
        <v>2069</v>
      </c>
      <c r="AY132" s="1">
        <v>2070</v>
      </c>
    </row>
    <row r="133" spans="1:51" x14ac:dyDescent="0.35">
      <c r="A133" t="s">
        <v>51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51" x14ac:dyDescent="0.35">
      <c r="A134" t="s">
        <v>52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51" x14ac:dyDescent="0.35">
      <c r="A135" t="s">
        <v>53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51" x14ac:dyDescent="0.35">
      <c r="A136" t="s">
        <v>54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51" x14ac:dyDescent="0.35">
      <c r="A137" t="s">
        <v>55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51" x14ac:dyDescent="0.35">
      <c r="A138" t="s">
        <v>56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51" x14ac:dyDescent="0.35">
      <c r="A139" t="s">
        <v>57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51" x14ac:dyDescent="0.35">
      <c r="A140" t="s">
        <v>58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51" s="4" customFormat="1" x14ac:dyDescent="0.35">
      <c r="A141" s="6" t="s">
        <v>49</v>
      </c>
    </row>
    <row r="142" spans="1:51" x14ac:dyDescent="0.35">
      <c r="A142" t="s">
        <v>29</v>
      </c>
      <c r="B142" s="1">
        <v>2021</v>
      </c>
      <c r="C142" s="1">
        <v>2022</v>
      </c>
      <c r="D142" s="1">
        <v>2023</v>
      </c>
      <c r="E142" s="1">
        <v>2024</v>
      </c>
      <c r="F142" s="1">
        <v>2025</v>
      </c>
      <c r="G142" s="1">
        <v>2026</v>
      </c>
      <c r="H142" s="1">
        <v>2027</v>
      </c>
      <c r="I142" s="1">
        <v>2028</v>
      </c>
      <c r="J142" s="1">
        <v>2029</v>
      </c>
      <c r="K142" s="1">
        <v>2030</v>
      </c>
      <c r="L142" s="1">
        <v>2031</v>
      </c>
      <c r="M142" s="1">
        <v>2032</v>
      </c>
      <c r="N142" s="1">
        <v>2033</v>
      </c>
      <c r="O142" s="1">
        <v>2034</v>
      </c>
      <c r="P142" s="1">
        <v>2035</v>
      </c>
      <c r="Q142" s="1">
        <v>2036</v>
      </c>
      <c r="R142" s="1">
        <v>2037</v>
      </c>
      <c r="S142" s="1">
        <v>2038</v>
      </c>
      <c r="T142" s="1">
        <v>2039</v>
      </c>
      <c r="U142" s="1">
        <v>2040</v>
      </c>
      <c r="V142" s="1">
        <v>2041</v>
      </c>
      <c r="W142" s="1">
        <v>2042</v>
      </c>
      <c r="X142" s="1">
        <v>2043</v>
      </c>
      <c r="Y142" s="1">
        <v>2044</v>
      </c>
      <c r="Z142" s="1">
        <v>2045</v>
      </c>
      <c r="AA142" s="1">
        <v>2046</v>
      </c>
      <c r="AB142" s="1">
        <v>2047</v>
      </c>
      <c r="AC142" s="1">
        <v>2048</v>
      </c>
      <c r="AD142" s="1">
        <v>2049</v>
      </c>
      <c r="AE142" s="1">
        <v>2050</v>
      </c>
      <c r="AF142" s="1">
        <v>2051</v>
      </c>
      <c r="AG142" s="1">
        <v>2052</v>
      </c>
      <c r="AH142" s="1">
        <v>2053</v>
      </c>
      <c r="AI142" s="1">
        <v>2054</v>
      </c>
      <c r="AJ142" s="1">
        <v>2055</v>
      </c>
      <c r="AK142" s="1">
        <v>2056</v>
      </c>
      <c r="AL142" s="1">
        <v>2057</v>
      </c>
      <c r="AM142" s="1">
        <v>2058</v>
      </c>
      <c r="AN142" s="1">
        <v>2059</v>
      </c>
      <c r="AO142" s="1">
        <v>2060</v>
      </c>
      <c r="AP142" s="1">
        <v>2061</v>
      </c>
      <c r="AQ142" s="1">
        <v>2062</v>
      </c>
      <c r="AR142" s="1">
        <v>2063</v>
      </c>
      <c r="AS142" s="1">
        <v>2064</v>
      </c>
      <c r="AT142" s="1">
        <v>2065</v>
      </c>
      <c r="AU142" s="1">
        <v>2066</v>
      </c>
      <c r="AV142" s="1">
        <v>2067</v>
      </c>
      <c r="AW142" s="1">
        <v>2068</v>
      </c>
      <c r="AX142" s="1">
        <v>2069</v>
      </c>
      <c r="AY142" s="1">
        <v>2070</v>
      </c>
    </row>
    <row r="143" spans="1:51" x14ac:dyDescent="0.35">
      <c r="A143" t="s">
        <v>51</v>
      </c>
      <c r="B143">
        <v>8.1776223701456845E-6</v>
      </c>
      <c r="C143">
        <v>7.6404892543579046E-6</v>
      </c>
      <c r="D143">
        <v>7.1033561385702687E-6</v>
      </c>
      <c r="E143">
        <v>6.5662230227824897E-6</v>
      </c>
      <c r="F143">
        <v>6.0290899069947115E-6</v>
      </c>
      <c r="G143">
        <v>5.4919567912070747E-6</v>
      </c>
      <c r="H143">
        <v>4.9548236754192957E-6</v>
      </c>
      <c r="I143">
        <v>4.4176905596315167E-6</v>
      </c>
      <c r="J143">
        <v>3.8805574438437376E-6</v>
      </c>
      <c r="K143">
        <v>3.3434243280561013E-6</v>
      </c>
      <c r="L143">
        <v>2.8062912122683227E-6</v>
      </c>
      <c r="M143">
        <v>2.2691580964805437E-6</v>
      </c>
      <c r="N143">
        <v>1.7320249806929071E-6</v>
      </c>
      <c r="O143">
        <v>1.1948918649051283E-6</v>
      </c>
      <c r="P143">
        <v>1.1657777483997287E-6</v>
      </c>
      <c r="Q143">
        <v>1.1366636318944267E-6</v>
      </c>
      <c r="R143">
        <v>1.107549515389125E-6</v>
      </c>
      <c r="S143">
        <v>1.078435398883823E-6</v>
      </c>
      <c r="T143">
        <v>1.0493212823785301E-6</v>
      </c>
      <c r="U143">
        <v>1.0202071658732283E-6</v>
      </c>
      <c r="V143">
        <v>9.9109304936792635E-7</v>
      </c>
      <c r="W143">
        <v>9.6197893286262458E-7</v>
      </c>
      <c r="X143">
        <v>9.3286481635732271E-7</v>
      </c>
      <c r="Y143">
        <v>9.0375069985202972E-7</v>
      </c>
      <c r="Z143">
        <v>8.7463658334672785E-7</v>
      </c>
      <c r="AA143">
        <v>8.4552246684142608E-7</v>
      </c>
      <c r="AB143">
        <v>8.1640835033612421E-7</v>
      </c>
      <c r="AC143">
        <v>7.8729423383082233E-7</v>
      </c>
      <c r="AD143">
        <v>7.5818011732552046E-7</v>
      </c>
      <c r="AE143">
        <v>7.2906600082022758E-7</v>
      </c>
    </row>
    <row r="144" spans="1:51" x14ac:dyDescent="0.35">
      <c r="A144" t="s">
        <v>52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35">
      <c r="A145" t="s">
        <v>53</v>
      </c>
      <c r="B145">
        <v>8.1776223701456845E-6</v>
      </c>
      <c r="C145">
        <v>7.6404892543579046E-6</v>
      </c>
      <c r="D145">
        <v>7.1033561385702687E-6</v>
      </c>
      <c r="E145">
        <v>6.5662230227824897E-6</v>
      </c>
      <c r="F145">
        <v>6.0290899069947115E-6</v>
      </c>
      <c r="G145">
        <v>5.4919567912070747E-6</v>
      </c>
      <c r="H145">
        <v>4.9548236754192957E-6</v>
      </c>
      <c r="I145">
        <v>4.4176905596315167E-6</v>
      </c>
      <c r="J145">
        <v>3.8805574438437376E-6</v>
      </c>
      <c r="K145">
        <v>3.3434243280561013E-6</v>
      </c>
      <c r="L145">
        <v>2.8062912122683227E-6</v>
      </c>
      <c r="M145">
        <v>2.2691580964805437E-6</v>
      </c>
      <c r="N145">
        <v>1.7320249806929071E-6</v>
      </c>
      <c r="O145">
        <v>1.1948918649051283E-6</v>
      </c>
      <c r="P145">
        <v>1.1657777483997287E-6</v>
      </c>
      <c r="Q145">
        <v>1.1366636318944267E-6</v>
      </c>
      <c r="R145">
        <v>1.107549515389125E-6</v>
      </c>
      <c r="S145">
        <v>1.078435398883823E-6</v>
      </c>
      <c r="T145">
        <v>1.0493212823785301E-6</v>
      </c>
      <c r="U145">
        <v>1.0202071658732283E-6</v>
      </c>
      <c r="V145">
        <v>9.9109304936792635E-7</v>
      </c>
      <c r="W145">
        <v>9.6197893286262458E-7</v>
      </c>
      <c r="X145">
        <v>9.3286481635732271E-7</v>
      </c>
      <c r="Y145">
        <v>9.0375069985202972E-7</v>
      </c>
      <c r="Z145">
        <v>8.7463658334672785E-7</v>
      </c>
      <c r="AA145">
        <v>8.4552246684142608E-7</v>
      </c>
      <c r="AB145">
        <v>8.1640835033612421E-7</v>
      </c>
      <c r="AC145">
        <v>7.8729423383082233E-7</v>
      </c>
      <c r="AD145">
        <v>7.5818011732552046E-7</v>
      </c>
      <c r="AE145">
        <v>7.2906600082022758E-7</v>
      </c>
    </row>
    <row r="146" spans="1:31" x14ac:dyDescent="0.35">
      <c r="A146" t="s">
        <v>54</v>
      </c>
      <c r="B146">
        <v>8.1776223701456845E-6</v>
      </c>
      <c r="C146">
        <v>7.6404892543579046E-6</v>
      </c>
      <c r="D146">
        <v>7.1033561385702687E-6</v>
      </c>
      <c r="E146">
        <v>6.5662230227824897E-6</v>
      </c>
      <c r="F146">
        <v>6.0290899069947115E-6</v>
      </c>
      <c r="G146">
        <v>5.4919567912070747E-6</v>
      </c>
      <c r="H146">
        <v>4.9548236754192957E-6</v>
      </c>
      <c r="I146">
        <v>4.4176905596315167E-6</v>
      </c>
      <c r="J146">
        <v>3.8805574438437376E-6</v>
      </c>
      <c r="K146">
        <v>3.3434243280561013E-6</v>
      </c>
      <c r="L146">
        <v>2.8062912122683227E-6</v>
      </c>
      <c r="M146">
        <v>2.2691580964805437E-6</v>
      </c>
      <c r="N146">
        <v>1.7320249806929071E-6</v>
      </c>
      <c r="O146">
        <v>1.1948918649051283E-6</v>
      </c>
      <c r="P146">
        <v>1.1657777483997287E-6</v>
      </c>
      <c r="Q146">
        <v>1.1366636318944267E-6</v>
      </c>
      <c r="R146">
        <v>1.107549515389125E-6</v>
      </c>
      <c r="S146">
        <v>1.078435398883823E-6</v>
      </c>
      <c r="T146">
        <v>1.0493212823785301E-6</v>
      </c>
      <c r="U146">
        <v>1.0202071658732283E-6</v>
      </c>
      <c r="V146">
        <v>9.9109304936792635E-7</v>
      </c>
      <c r="W146">
        <v>9.6197893286262458E-7</v>
      </c>
      <c r="X146">
        <v>9.3286481635732271E-7</v>
      </c>
      <c r="Y146">
        <v>9.0375069985202972E-7</v>
      </c>
      <c r="Z146">
        <v>8.7463658334672785E-7</v>
      </c>
      <c r="AA146">
        <v>8.4552246684142608E-7</v>
      </c>
      <c r="AB146">
        <v>8.1640835033612421E-7</v>
      </c>
      <c r="AC146">
        <v>7.8729423383082233E-7</v>
      </c>
      <c r="AD146">
        <v>7.5818011732552046E-7</v>
      </c>
      <c r="AE146">
        <v>7.2906600082022758E-7</v>
      </c>
    </row>
    <row r="147" spans="1:31" x14ac:dyDescent="0.35">
      <c r="A147" t="s">
        <v>55</v>
      </c>
      <c r="B147">
        <v>8.1776223701456845E-6</v>
      </c>
      <c r="C147">
        <v>7.6404892543579046E-6</v>
      </c>
      <c r="D147">
        <v>7.1033561385702687E-6</v>
      </c>
      <c r="E147">
        <v>6.5662230227824897E-6</v>
      </c>
      <c r="F147">
        <v>6.0290899069947115E-6</v>
      </c>
      <c r="G147">
        <v>5.4919567912070747E-6</v>
      </c>
      <c r="H147">
        <v>4.9548236754192957E-6</v>
      </c>
      <c r="I147">
        <v>4.4176905596315167E-6</v>
      </c>
      <c r="J147">
        <v>3.8805574438437376E-6</v>
      </c>
      <c r="K147">
        <v>3.3434243280561013E-6</v>
      </c>
      <c r="L147">
        <v>2.8062912122683227E-6</v>
      </c>
      <c r="M147">
        <v>2.2691580964805437E-6</v>
      </c>
      <c r="N147">
        <v>1.7320249806929071E-6</v>
      </c>
      <c r="O147">
        <v>1.1948918649051283E-6</v>
      </c>
      <c r="P147">
        <v>1.1657777483997287E-6</v>
      </c>
      <c r="Q147">
        <v>1.1366636318944267E-6</v>
      </c>
      <c r="R147">
        <v>1.107549515389125E-6</v>
      </c>
      <c r="S147">
        <v>1.078435398883823E-6</v>
      </c>
      <c r="T147">
        <v>1.0493212823785301E-6</v>
      </c>
      <c r="U147">
        <v>1.0202071658732283E-6</v>
      </c>
      <c r="V147">
        <v>9.9109304936792635E-7</v>
      </c>
      <c r="W147">
        <v>9.6197893286262458E-7</v>
      </c>
      <c r="X147">
        <v>9.3286481635732271E-7</v>
      </c>
      <c r="Y147">
        <v>9.0375069985202972E-7</v>
      </c>
      <c r="Z147">
        <v>8.7463658334672785E-7</v>
      </c>
      <c r="AA147">
        <v>8.4552246684142608E-7</v>
      </c>
      <c r="AB147">
        <v>8.1640835033612421E-7</v>
      </c>
      <c r="AC147">
        <v>7.8729423383082233E-7</v>
      </c>
      <c r="AD147">
        <v>7.5818011732552046E-7</v>
      </c>
      <c r="AE147">
        <v>7.2906600082022758E-7</v>
      </c>
    </row>
    <row r="148" spans="1:31" x14ac:dyDescent="0.35">
      <c r="A148" t="s">
        <v>56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5">
      <c r="A149" t="s">
        <v>57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 x14ac:dyDescent="0.35">
      <c r="A150" t="s">
        <v>58</v>
      </c>
      <c r="B150">
        <v>8.1776223701456845E-6</v>
      </c>
      <c r="C150">
        <v>7.6404892543579046E-6</v>
      </c>
      <c r="D150">
        <v>7.1033561385702687E-6</v>
      </c>
      <c r="E150">
        <v>6.5662230227824897E-6</v>
      </c>
      <c r="F150">
        <v>6.0290899069947115E-6</v>
      </c>
      <c r="G150">
        <v>5.4919567912070747E-6</v>
      </c>
      <c r="H150">
        <v>4.9548236754192957E-6</v>
      </c>
      <c r="I150">
        <v>4.4176905596315167E-6</v>
      </c>
      <c r="J150">
        <v>3.8805574438437376E-6</v>
      </c>
      <c r="K150">
        <v>3.3434243280561013E-6</v>
      </c>
      <c r="L150">
        <v>2.8062912122683227E-6</v>
      </c>
      <c r="M150">
        <v>2.2691580964805437E-6</v>
      </c>
      <c r="N150">
        <v>1.7320249806929071E-6</v>
      </c>
      <c r="O150">
        <v>1.1948918649051283E-6</v>
      </c>
      <c r="P150">
        <v>1.1657777483997287E-6</v>
      </c>
      <c r="Q150">
        <v>1.1366636318944267E-6</v>
      </c>
      <c r="R150">
        <v>1.107549515389125E-6</v>
      </c>
      <c r="S150">
        <v>1.078435398883823E-6</v>
      </c>
      <c r="T150">
        <v>1.0493212823785301E-6</v>
      </c>
      <c r="U150">
        <v>1.0202071658732283E-6</v>
      </c>
      <c r="V150">
        <v>9.9109304936792635E-7</v>
      </c>
      <c r="W150">
        <v>9.6197893286262458E-7</v>
      </c>
      <c r="X150">
        <v>9.3286481635732271E-7</v>
      </c>
      <c r="Y150">
        <v>9.0375069985202972E-7</v>
      </c>
      <c r="Z150">
        <v>8.7463658334672785E-7</v>
      </c>
      <c r="AA150">
        <v>8.4552246684142608E-7</v>
      </c>
      <c r="AB150">
        <v>8.1640835033612421E-7</v>
      </c>
      <c r="AC150">
        <v>7.8729423383082233E-7</v>
      </c>
      <c r="AD150">
        <v>7.5818011732552046E-7</v>
      </c>
      <c r="AE150">
        <v>7.2906600082022758E-7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F1156"/>
  <sheetViews>
    <sheetView workbookViewId="0">
      <selection activeCell="A1149" sqref="A1149"/>
    </sheetView>
  </sheetViews>
  <sheetFormatPr defaultRowHeight="14.5" x14ac:dyDescent="0.35"/>
  <cols>
    <col min="1" max="1" width="81.7265625" customWidth="1"/>
    <col min="3" max="33" width="0" hidden="1" customWidth="1"/>
    <col min="36" max="37" width="24.1796875" customWidth="1"/>
    <col min="38" max="38" width="10.54296875" bestFit="1" customWidth="1"/>
  </cols>
  <sheetData>
    <row r="1" spans="1:58" x14ac:dyDescent="0.35">
      <c r="A1" t="s">
        <v>1479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J1" s="1" t="s">
        <v>66</v>
      </c>
    </row>
    <row r="2" spans="1:58" x14ac:dyDescent="0.35">
      <c r="A2" t="s">
        <v>67</v>
      </c>
      <c r="B2" s="5">
        <v>8922560000000000</v>
      </c>
      <c r="C2" s="5">
        <v>7885320000000000</v>
      </c>
      <c r="D2" s="5">
        <v>7788200000000000</v>
      </c>
      <c r="E2" s="5">
        <v>7521350000000000</v>
      </c>
      <c r="F2" s="5">
        <v>7951550000000000</v>
      </c>
      <c r="G2" s="5">
        <v>7955390000000000</v>
      </c>
      <c r="H2" s="5">
        <v>7686330000000000</v>
      </c>
      <c r="I2" s="5">
        <v>7463960000000000</v>
      </c>
      <c r="J2" s="5">
        <v>7225970000000000</v>
      </c>
      <c r="K2" s="5">
        <v>7244230000000000</v>
      </c>
      <c r="L2" s="5">
        <v>7338470000000000</v>
      </c>
      <c r="M2" s="5">
        <v>7428370000000000</v>
      </c>
      <c r="N2" s="5">
        <v>7490120000000000</v>
      </c>
      <c r="O2" s="5">
        <v>7556340000000000</v>
      </c>
      <c r="P2" s="5">
        <v>7675640000000000</v>
      </c>
      <c r="Q2" s="5">
        <v>7680610000000000</v>
      </c>
      <c r="R2" s="5">
        <v>7682990000000000</v>
      </c>
      <c r="S2" s="5">
        <v>7685510000000000</v>
      </c>
      <c r="T2" s="5">
        <v>7689800000000000</v>
      </c>
      <c r="U2" s="5">
        <v>7694000000000000</v>
      </c>
      <c r="V2" s="5">
        <v>7692170000000000</v>
      </c>
      <c r="W2" s="5">
        <v>7690310000000000</v>
      </c>
      <c r="X2" s="5">
        <v>7691130000000000</v>
      </c>
      <c r="Y2" s="5">
        <v>7693190000000000</v>
      </c>
      <c r="Z2" s="5">
        <v>7707830000000000</v>
      </c>
      <c r="AA2" s="5">
        <v>7706300000000000</v>
      </c>
      <c r="AB2" s="5">
        <v>7705360000000000</v>
      </c>
      <c r="AC2" s="5">
        <v>7704380000000000</v>
      </c>
      <c r="AD2" s="5">
        <v>7700480000000000</v>
      </c>
      <c r="AE2" s="5">
        <v>7701020000000000</v>
      </c>
      <c r="AF2" s="5">
        <v>7696120000000000</v>
      </c>
      <c r="AG2" s="5">
        <v>7696030000000000</v>
      </c>
      <c r="AL2" s="3" t="s">
        <v>20</v>
      </c>
      <c r="AM2" s="3" t="s">
        <v>2</v>
      </c>
      <c r="AN2" s="3" t="s">
        <v>3</v>
      </c>
      <c r="AO2" s="3" t="s">
        <v>4</v>
      </c>
      <c r="AP2" t="s">
        <v>12</v>
      </c>
      <c r="AQ2" t="s">
        <v>13</v>
      </c>
      <c r="AR2" t="s">
        <v>14</v>
      </c>
      <c r="AS2" t="s">
        <v>5</v>
      </c>
      <c r="AT2" t="s">
        <v>6</v>
      </c>
      <c r="AU2" t="s">
        <v>7</v>
      </c>
      <c r="AV2" t="s">
        <v>8</v>
      </c>
      <c r="AW2" t="s">
        <v>9</v>
      </c>
      <c r="AX2" t="s">
        <v>10</v>
      </c>
      <c r="AY2" t="s">
        <v>19</v>
      </c>
      <c r="AZ2" t="s">
        <v>15</v>
      </c>
      <c r="BA2" s="3" t="s">
        <v>11</v>
      </c>
      <c r="BB2" t="s">
        <v>40</v>
      </c>
      <c r="BC2" t="s">
        <v>41</v>
      </c>
      <c r="BD2" t="s">
        <v>42</v>
      </c>
      <c r="BE2" t="s">
        <v>43</v>
      </c>
      <c r="BF2" t="s">
        <v>44</v>
      </c>
    </row>
    <row r="3" spans="1:58" x14ac:dyDescent="0.35">
      <c r="A3" t="s">
        <v>68</v>
      </c>
      <c r="B3" s="5">
        <v>0</v>
      </c>
      <c r="C3" s="5">
        <v>1214330000000</v>
      </c>
      <c r="D3" s="5">
        <v>2127600000000</v>
      </c>
      <c r="E3" s="5">
        <v>3456580000000</v>
      </c>
      <c r="F3" s="5">
        <v>4799370000000</v>
      </c>
      <c r="G3" s="5">
        <v>6377620000000</v>
      </c>
      <c r="H3" s="5">
        <v>7795670000000</v>
      </c>
      <c r="I3" s="5">
        <v>9029970000000</v>
      </c>
      <c r="J3" s="5">
        <v>10188600000000</v>
      </c>
      <c r="K3" s="5">
        <v>11271000000000</v>
      </c>
      <c r="L3" s="5">
        <v>12607600000000</v>
      </c>
      <c r="M3" s="5">
        <v>14045000000000</v>
      </c>
      <c r="N3" s="5">
        <v>15505400000000</v>
      </c>
      <c r="O3" s="5">
        <v>16940800000000</v>
      </c>
      <c r="P3" s="5">
        <v>18382100000000</v>
      </c>
      <c r="Q3" s="5">
        <v>19960700000000</v>
      </c>
      <c r="R3" s="5">
        <v>21302700000000</v>
      </c>
      <c r="S3" s="5">
        <v>22639200000000</v>
      </c>
      <c r="T3" s="5">
        <v>23977200000000</v>
      </c>
      <c r="U3" s="5">
        <v>25321400000000</v>
      </c>
      <c r="V3" s="5">
        <v>26666000000000</v>
      </c>
      <c r="W3" s="5">
        <v>27992500000000</v>
      </c>
      <c r="X3" s="5">
        <v>29318900000000</v>
      </c>
      <c r="Y3" s="5">
        <v>30654100000000</v>
      </c>
      <c r="Z3" s="5">
        <v>31993300000000</v>
      </c>
      <c r="AA3" s="5">
        <v>33379900000000</v>
      </c>
      <c r="AB3" s="5">
        <v>34708600000000</v>
      </c>
      <c r="AC3" s="5">
        <v>36039100000000</v>
      </c>
      <c r="AD3" s="5">
        <v>37369100000000</v>
      </c>
      <c r="AE3" s="5">
        <v>38686200000000</v>
      </c>
      <c r="AF3" s="5">
        <v>40021900000000</v>
      </c>
      <c r="AG3" s="5">
        <v>41332700000000</v>
      </c>
      <c r="AJ3" t="s">
        <v>64</v>
      </c>
      <c r="AL3">
        <f t="shared" ref="AL3:AU7" si="0">SUMIFS($B:$B,$A:$A,"*"&amp;$AJ3&amp;"*",$A:$A,"*"&amp;AL$2&amp;"*")</f>
        <v>0</v>
      </c>
      <c r="AM3">
        <f t="shared" si="0"/>
        <v>0</v>
      </c>
      <c r="AN3">
        <f t="shared" si="0"/>
        <v>63901931000000</v>
      </c>
      <c r="AO3">
        <f t="shared" si="0"/>
        <v>0</v>
      </c>
      <c r="AP3">
        <f t="shared" si="0"/>
        <v>0</v>
      </c>
      <c r="AQ3">
        <f t="shared" si="0"/>
        <v>0</v>
      </c>
      <c r="AR3">
        <f t="shared" si="0"/>
        <v>0</v>
      </c>
      <c r="AS3">
        <f t="shared" si="0"/>
        <v>0</v>
      </c>
      <c r="AT3">
        <f t="shared" si="0"/>
        <v>1069589200000000</v>
      </c>
      <c r="AU3">
        <f t="shared" si="0"/>
        <v>3128867300000000</v>
      </c>
      <c r="AV3">
        <f t="shared" ref="AV3:BF7" si="1">SUMIFS($B:$B,$A:$A,"*"&amp;$AJ3&amp;"*",$A:$A,"*"&amp;AV$2&amp;"*")</f>
        <v>113278200000000</v>
      </c>
      <c r="AW3">
        <f t="shared" si="1"/>
        <v>144128250000000</v>
      </c>
      <c r="AX3">
        <f t="shared" si="1"/>
        <v>340545200000000</v>
      </c>
      <c r="AY3">
        <f t="shared" si="1"/>
        <v>0</v>
      </c>
      <c r="AZ3">
        <f t="shared" si="1"/>
        <v>0</v>
      </c>
      <c r="BA3">
        <f t="shared" si="1"/>
        <v>0</v>
      </c>
      <c r="BB3">
        <f t="shared" si="1"/>
        <v>0</v>
      </c>
      <c r="BC3">
        <f t="shared" si="1"/>
        <v>0</v>
      </c>
      <c r="BD3">
        <f t="shared" si="1"/>
        <v>11019920000000</v>
      </c>
      <c r="BE3">
        <f t="shared" si="1"/>
        <v>0</v>
      </c>
      <c r="BF3">
        <f t="shared" si="1"/>
        <v>0</v>
      </c>
    </row>
    <row r="4" spans="1:58" x14ac:dyDescent="0.35">
      <c r="A4" t="s">
        <v>69</v>
      </c>
      <c r="B4" s="5">
        <v>458263000000000</v>
      </c>
      <c r="C4" s="5">
        <v>926831000000000</v>
      </c>
      <c r="D4" s="5">
        <v>1424660000000000</v>
      </c>
      <c r="E4" s="5">
        <v>1909610000000000</v>
      </c>
      <c r="F4" s="5">
        <v>1990380000000000</v>
      </c>
      <c r="G4" s="5">
        <v>2130420000000000</v>
      </c>
      <c r="H4" s="5">
        <v>2307790000000000</v>
      </c>
      <c r="I4" s="5">
        <v>2393890000000000</v>
      </c>
      <c r="J4" s="5">
        <v>2463680000000000</v>
      </c>
      <c r="K4" s="5">
        <v>2509080000000000</v>
      </c>
      <c r="L4" s="5">
        <v>2538940000000000</v>
      </c>
      <c r="M4" s="5">
        <v>2568050000000000</v>
      </c>
      <c r="N4" s="5">
        <v>2592570000000000</v>
      </c>
      <c r="O4" s="5">
        <v>2603710000000000</v>
      </c>
      <c r="P4" s="5">
        <v>2622600000000000</v>
      </c>
      <c r="Q4" s="5">
        <v>2624670000000000</v>
      </c>
      <c r="R4" s="5">
        <v>2625950000000000</v>
      </c>
      <c r="S4" s="5">
        <v>2627460000000000</v>
      </c>
      <c r="T4" s="5">
        <v>2629430000000000</v>
      </c>
      <c r="U4" s="5">
        <v>2631190000000000</v>
      </c>
      <c r="V4" s="5">
        <v>2631860000000000</v>
      </c>
      <c r="W4" s="5">
        <v>2632730000000000</v>
      </c>
      <c r="X4" s="5">
        <v>2634080000000000</v>
      </c>
      <c r="Y4" s="5">
        <v>2635430000000000</v>
      </c>
      <c r="Z4" s="5">
        <v>2638670000000000</v>
      </c>
      <c r="AA4" s="5">
        <v>2639640000000000</v>
      </c>
      <c r="AB4" s="5">
        <v>2640650000000000</v>
      </c>
      <c r="AC4" s="5">
        <v>2641650000000000</v>
      </c>
      <c r="AD4" s="5">
        <v>2642220000000000</v>
      </c>
      <c r="AE4" s="5">
        <v>2643430000000000</v>
      </c>
      <c r="AF4" s="5">
        <v>2643870000000000</v>
      </c>
      <c r="AG4" s="5">
        <v>2644980000000000</v>
      </c>
      <c r="AJ4" t="s">
        <v>59</v>
      </c>
      <c r="AL4">
        <f t="shared" si="0"/>
        <v>0</v>
      </c>
      <c r="AM4">
        <f t="shared" si="0"/>
        <v>9380823000000000</v>
      </c>
      <c r="AN4">
        <f t="shared" si="0"/>
        <v>10131100000000</v>
      </c>
      <c r="AO4">
        <f t="shared" si="0"/>
        <v>374046000000000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329559200000000</v>
      </c>
      <c r="AT4">
        <f t="shared" si="0"/>
        <v>0</v>
      </c>
      <c r="AU4">
        <f t="shared" si="0"/>
        <v>0</v>
      </c>
      <c r="AV4">
        <f t="shared" si="1"/>
        <v>0</v>
      </c>
      <c r="AW4">
        <f t="shared" si="1"/>
        <v>0</v>
      </c>
      <c r="AX4">
        <f t="shared" si="1"/>
        <v>0</v>
      </c>
      <c r="AY4">
        <f t="shared" si="1"/>
        <v>0</v>
      </c>
      <c r="AZ4">
        <f t="shared" si="1"/>
        <v>0</v>
      </c>
      <c r="BA4">
        <f t="shared" si="1"/>
        <v>9694620000000</v>
      </c>
      <c r="BB4">
        <f t="shared" si="1"/>
        <v>0</v>
      </c>
      <c r="BC4">
        <f t="shared" si="1"/>
        <v>0</v>
      </c>
      <c r="BD4">
        <f t="shared" si="1"/>
        <v>0</v>
      </c>
      <c r="BE4">
        <f t="shared" si="1"/>
        <v>392026000000</v>
      </c>
      <c r="BF4">
        <f t="shared" si="1"/>
        <v>0</v>
      </c>
    </row>
    <row r="5" spans="1:58" x14ac:dyDescent="0.35">
      <c r="A5" t="s">
        <v>70</v>
      </c>
      <c r="B5" s="5">
        <v>6862060000000</v>
      </c>
      <c r="C5" s="5">
        <v>5896660000000</v>
      </c>
      <c r="D5" s="5">
        <v>1024690000000</v>
      </c>
      <c r="E5" s="5">
        <v>832984000000</v>
      </c>
      <c r="F5" s="5">
        <v>1186790000000</v>
      </c>
      <c r="G5" s="5">
        <v>1572800000000</v>
      </c>
      <c r="H5" s="5">
        <v>1345120000000</v>
      </c>
      <c r="I5" s="5">
        <v>1198960000000</v>
      </c>
      <c r="J5" s="5">
        <v>1132950000000</v>
      </c>
      <c r="K5" s="5">
        <v>951551000000</v>
      </c>
      <c r="L5" s="5">
        <v>851117000000</v>
      </c>
      <c r="M5" s="5">
        <v>817195000000</v>
      </c>
      <c r="N5" s="5">
        <v>798843000000</v>
      </c>
      <c r="O5" s="5">
        <v>756020000000</v>
      </c>
      <c r="P5" s="5">
        <v>737866000000</v>
      </c>
      <c r="Q5" s="5">
        <v>716643000000</v>
      </c>
      <c r="R5" s="5">
        <v>692968000000</v>
      </c>
      <c r="S5" s="5">
        <v>689989000000</v>
      </c>
      <c r="T5" s="5">
        <v>709375000000</v>
      </c>
      <c r="U5" s="5">
        <v>694973000000</v>
      </c>
      <c r="V5" s="5">
        <v>681592000000</v>
      </c>
      <c r="W5" s="5">
        <v>681915000000</v>
      </c>
      <c r="X5" s="5">
        <v>687612000000</v>
      </c>
      <c r="Y5" s="5">
        <v>695791000000</v>
      </c>
      <c r="Z5" s="5">
        <v>713659000000</v>
      </c>
      <c r="AA5" s="5">
        <v>715959000000</v>
      </c>
      <c r="AB5" s="5">
        <v>711507000000</v>
      </c>
      <c r="AC5" s="5">
        <v>701876000000</v>
      </c>
      <c r="AD5" s="5">
        <v>683395000000</v>
      </c>
      <c r="AE5" s="5">
        <v>651757000000</v>
      </c>
      <c r="AF5" s="5">
        <v>616570000000</v>
      </c>
      <c r="AG5" s="5">
        <v>594184000000</v>
      </c>
      <c r="AJ5" t="s">
        <v>60</v>
      </c>
      <c r="AK5" t="s">
        <v>61</v>
      </c>
      <c r="AL5">
        <f t="shared" si="0"/>
        <v>0</v>
      </c>
      <c r="AM5">
        <f t="shared" si="0"/>
        <v>0</v>
      </c>
      <c r="AN5">
        <f t="shared" si="0"/>
        <v>151951000000000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3423020000000000</v>
      </c>
      <c r="AT5">
        <f t="shared" si="0"/>
        <v>0</v>
      </c>
      <c r="AU5">
        <f t="shared" si="0"/>
        <v>0</v>
      </c>
      <c r="AV5">
        <f t="shared" si="1"/>
        <v>0</v>
      </c>
      <c r="AW5">
        <f t="shared" si="1"/>
        <v>0</v>
      </c>
      <c r="AX5">
        <f t="shared" si="1"/>
        <v>0</v>
      </c>
      <c r="AY5">
        <f t="shared" si="1"/>
        <v>0</v>
      </c>
      <c r="AZ5">
        <f t="shared" si="1"/>
        <v>0</v>
      </c>
      <c r="BA5">
        <f t="shared" si="1"/>
        <v>0</v>
      </c>
      <c r="BB5">
        <f t="shared" si="1"/>
        <v>0</v>
      </c>
      <c r="BC5">
        <f t="shared" si="1"/>
        <v>0</v>
      </c>
      <c r="BD5">
        <f t="shared" si="1"/>
        <v>1079631000000000</v>
      </c>
      <c r="BE5">
        <f t="shared" si="1"/>
        <v>0</v>
      </c>
      <c r="BF5">
        <f t="shared" si="1"/>
        <v>0</v>
      </c>
    </row>
    <row r="6" spans="1:58" x14ac:dyDescent="0.35">
      <c r="A6" t="s">
        <v>71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J6" t="s">
        <v>60</v>
      </c>
      <c r="AK6" t="s">
        <v>62</v>
      </c>
      <c r="AL6">
        <f t="shared" si="0"/>
        <v>0</v>
      </c>
      <c r="AM6">
        <f t="shared" si="0"/>
        <v>0</v>
      </c>
      <c r="AN6">
        <f t="shared" si="0"/>
        <v>151951000000000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3423020000000000</v>
      </c>
      <c r="AT6">
        <f t="shared" si="0"/>
        <v>0</v>
      </c>
      <c r="AU6">
        <f t="shared" si="0"/>
        <v>0</v>
      </c>
      <c r="AV6">
        <f t="shared" si="1"/>
        <v>0</v>
      </c>
      <c r="AW6">
        <f t="shared" si="1"/>
        <v>0</v>
      </c>
      <c r="AX6">
        <f t="shared" si="1"/>
        <v>0</v>
      </c>
      <c r="AY6">
        <f t="shared" si="1"/>
        <v>0</v>
      </c>
      <c r="AZ6">
        <f t="shared" si="1"/>
        <v>0</v>
      </c>
      <c r="BA6">
        <f t="shared" si="1"/>
        <v>0</v>
      </c>
      <c r="BB6">
        <f t="shared" si="1"/>
        <v>0</v>
      </c>
      <c r="BC6">
        <f t="shared" si="1"/>
        <v>0</v>
      </c>
      <c r="BD6">
        <f t="shared" si="1"/>
        <v>1079631000000000</v>
      </c>
      <c r="BE6">
        <f t="shared" si="1"/>
        <v>0</v>
      </c>
      <c r="BF6">
        <f t="shared" si="1"/>
        <v>0</v>
      </c>
    </row>
    <row r="7" spans="1:58" x14ac:dyDescent="0.35">
      <c r="A7" t="s">
        <v>72</v>
      </c>
      <c r="B7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J7" t="s">
        <v>63</v>
      </c>
      <c r="AL7">
        <f t="shared" si="0"/>
        <v>0</v>
      </c>
      <c r="AM7">
        <f t="shared" si="0"/>
        <v>5923087235000000</v>
      </c>
      <c r="AN7">
        <f t="shared" si="0"/>
        <v>1.35967513E+16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2120000000000000</v>
      </c>
      <c r="AT7">
        <f t="shared" si="0"/>
        <v>0</v>
      </c>
      <c r="AU7">
        <f t="shared" si="0"/>
        <v>1266796200000000</v>
      </c>
      <c r="AV7">
        <f t="shared" si="1"/>
        <v>0</v>
      </c>
      <c r="AW7">
        <f t="shared" si="1"/>
        <v>0</v>
      </c>
      <c r="AX7">
        <f t="shared" si="1"/>
        <v>0</v>
      </c>
      <c r="AY7">
        <f t="shared" si="1"/>
        <v>0</v>
      </c>
      <c r="AZ7">
        <f t="shared" si="1"/>
        <v>0</v>
      </c>
      <c r="BA7">
        <f t="shared" si="1"/>
        <v>0</v>
      </c>
      <c r="BB7">
        <f t="shared" si="1"/>
        <v>1.21155E+16</v>
      </c>
      <c r="BC7">
        <f t="shared" si="1"/>
        <v>0</v>
      </c>
      <c r="BD7">
        <f t="shared" si="1"/>
        <v>652656200000000</v>
      </c>
      <c r="BE7">
        <f t="shared" si="1"/>
        <v>0</v>
      </c>
      <c r="BF7">
        <f t="shared" si="1"/>
        <v>0</v>
      </c>
    </row>
    <row r="8" spans="1:58" x14ac:dyDescent="0.35">
      <c r="A8" t="s">
        <v>73</v>
      </c>
      <c r="B8" s="5">
        <v>374046000000000</v>
      </c>
      <c r="C8" s="5">
        <v>374046000000000</v>
      </c>
      <c r="D8" s="5">
        <v>374046000000000</v>
      </c>
      <c r="E8" s="5">
        <v>374046000000000</v>
      </c>
      <c r="F8" s="5">
        <v>374046000000000</v>
      </c>
      <c r="G8" s="5">
        <v>374046000000000</v>
      </c>
      <c r="H8" s="5">
        <v>374046000000000</v>
      </c>
      <c r="I8" s="5">
        <v>374046000000000</v>
      </c>
      <c r="J8" s="5">
        <v>374046000000000</v>
      </c>
      <c r="K8" s="5">
        <v>374046000000000</v>
      </c>
      <c r="L8" s="5">
        <v>374046000000000</v>
      </c>
      <c r="M8" s="5">
        <v>374046000000000</v>
      </c>
      <c r="N8" s="5">
        <v>374046000000000</v>
      </c>
      <c r="O8" s="5">
        <v>374046000000000</v>
      </c>
      <c r="P8" s="5">
        <v>374046000000000</v>
      </c>
      <c r="Q8" s="5">
        <v>374046000000000</v>
      </c>
      <c r="R8" s="5">
        <v>374046000000000</v>
      </c>
      <c r="S8" s="5">
        <v>374046000000000</v>
      </c>
      <c r="T8" s="5">
        <v>374046000000000</v>
      </c>
      <c r="U8" s="5">
        <v>374046000000000</v>
      </c>
      <c r="V8" s="5">
        <v>374046000000000</v>
      </c>
      <c r="W8" s="5">
        <v>374046000000000</v>
      </c>
      <c r="X8" s="5">
        <v>374046000000000</v>
      </c>
      <c r="Y8" s="5">
        <v>374046000000000</v>
      </c>
      <c r="Z8" s="5">
        <v>374046000000000</v>
      </c>
      <c r="AA8" s="5">
        <v>374046000000000</v>
      </c>
      <c r="AB8" s="5">
        <v>374046000000000</v>
      </c>
      <c r="AC8" s="5">
        <v>374046000000000</v>
      </c>
      <c r="AD8" s="5">
        <v>374046000000000</v>
      </c>
      <c r="AE8" s="5">
        <v>374046000000000</v>
      </c>
      <c r="AF8" s="5">
        <v>374046000000000</v>
      </c>
      <c r="AG8" s="5">
        <v>374046000000000</v>
      </c>
    </row>
    <row r="9" spans="1:58" x14ac:dyDescent="0.35">
      <c r="A9" t="s">
        <v>74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J9" s="1"/>
    </row>
    <row r="10" spans="1:58" x14ac:dyDescent="0.35">
      <c r="A10" t="s">
        <v>75</v>
      </c>
      <c r="B10" s="5">
        <v>0</v>
      </c>
      <c r="C10" s="5">
        <v>28096900000000</v>
      </c>
      <c r="D10" s="5">
        <v>57218700000000</v>
      </c>
      <c r="E10" s="5">
        <v>87365300000000</v>
      </c>
      <c r="F10" s="5">
        <v>147957000000000</v>
      </c>
      <c r="G10" s="5">
        <v>240831000000000</v>
      </c>
      <c r="H10" s="5">
        <v>367395000000000</v>
      </c>
      <c r="I10" s="5">
        <v>466930000000000</v>
      </c>
      <c r="J10" s="5">
        <v>569539000000000</v>
      </c>
      <c r="K10" s="5">
        <v>578763000000000</v>
      </c>
      <c r="L10" s="5">
        <v>587217000000000</v>
      </c>
      <c r="M10" s="5">
        <v>596441000000000</v>
      </c>
      <c r="N10" s="5">
        <v>639312000000000</v>
      </c>
      <c r="O10" s="5">
        <v>683208000000000</v>
      </c>
      <c r="P10" s="5">
        <v>683208000000000</v>
      </c>
      <c r="Q10" s="5">
        <v>683208000000000</v>
      </c>
      <c r="R10" s="5">
        <v>683208000000000</v>
      </c>
      <c r="S10" s="5">
        <v>683208000000000</v>
      </c>
      <c r="T10" s="5">
        <v>683208000000000</v>
      </c>
      <c r="U10" s="5">
        <v>683208000000000</v>
      </c>
      <c r="V10" s="5">
        <v>683208000000000</v>
      </c>
      <c r="W10" s="5">
        <v>683208000000000</v>
      </c>
      <c r="X10" s="5">
        <v>683208000000000</v>
      </c>
      <c r="Y10" s="5">
        <v>683208000000000</v>
      </c>
      <c r="Z10" s="5">
        <v>683208000000000</v>
      </c>
      <c r="AA10" s="5">
        <v>683208000000000</v>
      </c>
      <c r="AB10" s="5">
        <v>683208000000000</v>
      </c>
      <c r="AC10" s="5">
        <v>683208000000000</v>
      </c>
      <c r="AD10" s="5">
        <v>683208000000000</v>
      </c>
      <c r="AE10" s="5">
        <v>683208000000000</v>
      </c>
      <c r="AF10" s="5">
        <v>683208000000000</v>
      </c>
      <c r="AG10" s="5">
        <v>683208000000000</v>
      </c>
      <c r="AJ10" s="3"/>
    </row>
    <row r="11" spans="1:58" x14ac:dyDescent="0.35">
      <c r="A11" t="s">
        <v>76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J11" s="3"/>
    </row>
    <row r="12" spans="1:58" x14ac:dyDescent="0.35">
      <c r="A12" t="s">
        <v>77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J12" s="3"/>
      <c r="AK12" s="3"/>
    </row>
    <row r="13" spans="1:58" x14ac:dyDescent="0.35">
      <c r="A13" t="s">
        <v>78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J13" s="3"/>
    </row>
    <row r="14" spans="1:58" x14ac:dyDescent="0.35">
      <c r="A14" t="s">
        <v>79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</row>
    <row r="15" spans="1:58" x14ac:dyDescent="0.35">
      <c r="A15" t="s">
        <v>80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</row>
    <row r="16" spans="1:58" x14ac:dyDescent="0.35">
      <c r="A16" t="s">
        <v>81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</row>
    <row r="17" spans="1:36" x14ac:dyDescent="0.35">
      <c r="A17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6" x14ac:dyDescent="0.35">
      <c r="A18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6" x14ac:dyDescent="0.35">
      <c r="A19" t="s">
        <v>84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</row>
    <row r="20" spans="1:36" x14ac:dyDescent="0.35">
      <c r="A20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6" x14ac:dyDescent="0.35">
      <c r="A2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6" x14ac:dyDescent="0.35">
      <c r="A22" t="s">
        <v>87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</row>
    <row r="23" spans="1:36" x14ac:dyDescent="0.35">
      <c r="A23" t="s">
        <v>88</v>
      </c>
      <c r="B23" s="5">
        <v>301797000000000</v>
      </c>
      <c r="C23" s="5">
        <v>301797000000000</v>
      </c>
      <c r="D23" s="5">
        <v>301797000000000</v>
      </c>
      <c r="E23" s="5">
        <v>301797000000000</v>
      </c>
      <c r="F23" s="5">
        <v>301797000000000</v>
      </c>
      <c r="G23" s="5">
        <v>301797000000000</v>
      </c>
      <c r="H23" s="5">
        <v>301797000000000</v>
      </c>
      <c r="I23" s="5">
        <v>301797000000000</v>
      </c>
      <c r="J23" s="5">
        <v>301797000000000</v>
      </c>
      <c r="K23" s="5">
        <v>301797000000000</v>
      </c>
      <c r="L23" s="5">
        <v>301797000000000</v>
      </c>
      <c r="M23" s="5">
        <v>301797000000000</v>
      </c>
      <c r="N23" s="5">
        <v>301797000000000</v>
      </c>
      <c r="O23" s="5">
        <v>301797000000000</v>
      </c>
      <c r="P23" s="5">
        <v>301797000000000</v>
      </c>
      <c r="Q23" s="5">
        <v>301797000000000</v>
      </c>
      <c r="R23" s="5">
        <v>301797000000000</v>
      </c>
      <c r="S23" s="5">
        <v>301797000000000</v>
      </c>
      <c r="T23" s="5">
        <v>301797000000000</v>
      </c>
      <c r="U23" s="5">
        <v>301797000000000</v>
      </c>
      <c r="V23" s="5">
        <v>301797000000000</v>
      </c>
      <c r="W23" s="5">
        <v>301797000000000</v>
      </c>
      <c r="X23" s="5">
        <v>301797000000000</v>
      </c>
      <c r="Y23" s="5">
        <v>301797000000000</v>
      </c>
      <c r="Z23" s="5">
        <v>301797000000000</v>
      </c>
      <c r="AA23" s="5">
        <v>301797000000000</v>
      </c>
      <c r="AB23" s="5">
        <v>301797000000000</v>
      </c>
      <c r="AC23" s="5">
        <v>301797000000000</v>
      </c>
      <c r="AD23" s="5">
        <v>301797000000000</v>
      </c>
      <c r="AE23" s="5">
        <v>301797000000000</v>
      </c>
      <c r="AF23" s="5">
        <v>301797000000000</v>
      </c>
      <c r="AG23" s="5">
        <v>301797000000000</v>
      </c>
    </row>
    <row r="24" spans="1:36" x14ac:dyDescent="0.35">
      <c r="A24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</row>
    <row r="25" spans="1:36" x14ac:dyDescent="0.35">
      <c r="A25" t="s">
        <v>90</v>
      </c>
      <c r="B25" s="5">
        <v>27762200000000</v>
      </c>
      <c r="C25" s="5">
        <v>55524300000000</v>
      </c>
      <c r="D25" s="5">
        <v>83286500000000</v>
      </c>
      <c r="E25" s="5">
        <v>111049000000000</v>
      </c>
      <c r="F25" s="5">
        <v>111049000000000</v>
      </c>
      <c r="G25" s="5">
        <v>111049000000000</v>
      </c>
      <c r="H25" s="5">
        <v>111049000000000</v>
      </c>
      <c r="I25" s="5">
        <v>111049000000000</v>
      </c>
      <c r="J25" s="5">
        <v>111049000000000</v>
      </c>
      <c r="K25" s="5">
        <v>111049000000000</v>
      </c>
      <c r="L25" s="5">
        <v>111049000000000</v>
      </c>
      <c r="M25" s="5">
        <v>111049000000000</v>
      </c>
      <c r="N25" s="5">
        <v>111049000000000</v>
      </c>
      <c r="O25" s="5">
        <v>111049000000000</v>
      </c>
      <c r="P25" s="5">
        <v>111049000000000</v>
      </c>
      <c r="Q25" s="5">
        <v>111049000000000</v>
      </c>
      <c r="R25" s="5">
        <v>111049000000000</v>
      </c>
      <c r="S25" s="5">
        <v>111049000000000</v>
      </c>
      <c r="T25" s="5">
        <v>111049000000000</v>
      </c>
      <c r="U25" s="5">
        <v>111049000000000</v>
      </c>
      <c r="V25" s="5">
        <v>111049000000000</v>
      </c>
      <c r="W25" s="5">
        <v>111049000000000</v>
      </c>
      <c r="X25" s="5">
        <v>111049000000000</v>
      </c>
      <c r="Y25" s="5">
        <v>111049000000000</v>
      </c>
      <c r="Z25" s="5">
        <v>111049000000000</v>
      </c>
      <c r="AA25" s="5">
        <v>111049000000000</v>
      </c>
      <c r="AB25" s="5">
        <v>111049000000000</v>
      </c>
      <c r="AC25" s="5">
        <v>111049000000000</v>
      </c>
      <c r="AD25" s="5">
        <v>111049000000000</v>
      </c>
      <c r="AE25" s="5">
        <v>111049000000000</v>
      </c>
      <c r="AF25" s="5">
        <v>111049000000000</v>
      </c>
      <c r="AG25" s="5">
        <v>111049000000000</v>
      </c>
      <c r="AJ25" s="3"/>
    </row>
    <row r="26" spans="1:36" x14ac:dyDescent="0.35">
      <c r="A26" t="s">
        <v>91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</row>
    <row r="27" spans="1:36" x14ac:dyDescent="0.35">
      <c r="A27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6" x14ac:dyDescent="0.35">
      <c r="A28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6" x14ac:dyDescent="0.35">
      <c r="A29" t="s">
        <v>94</v>
      </c>
      <c r="B29" s="5">
        <v>6429880000000</v>
      </c>
      <c r="C29" s="5">
        <v>6429870000000</v>
      </c>
      <c r="D29" s="5">
        <v>6429940000000</v>
      </c>
      <c r="E29" s="5">
        <v>6429980000000</v>
      </c>
      <c r="F29" s="5">
        <v>6430150000000</v>
      </c>
      <c r="G29" s="5">
        <v>6430250000000</v>
      </c>
      <c r="H29" s="5">
        <v>6430340000000</v>
      </c>
      <c r="I29" s="5">
        <v>6430310000000</v>
      </c>
      <c r="J29" s="5">
        <v>6430340000000</v>
      </c>
      <c r="K29" s="5">
        <v>6430270000000</v>
      </c>
      <c r="L29" s="5">
        <v>6430250000000</v>
      </c>
      <c r="M29" s="5">
        <v>6430240000000</v>
      </c>
      <c r="N29" s="5">
        <v>6430200000000</v>
      </c>
      <c r="O29" s="5">
        <v>6430190000000</v>
      </c>
      <c r="P29" s="5">
        <v>6430160000000</v>
      </c>
      <c r="Q29" s="5">
        <v>6430120000000</v>
      </c>
      <c r="R29" s="5">
        <v>6430060000000</v>
      </c>
      <c r="S29" s="5">
        <v>6430020000000</v>
      </c>
      <c r="T29" s="5">
        <v>6430010000000</v>
      </c>
      <c r="U29" s="5">
        <v>6430000000000</v>
      </c>
      <c r="V29" s="5">
        <v>6429950000000</v>
      </c>
      <c r="W29" s="5">
        <v>6429940000000</v>
      </c>
      <c r="X29" s="5">
        <v>6429920000000</v>
      </c>
      <c r="Y29" s="5">
        <v>6429860000000</v>
      </c>
      <c r="Z29" s="5">
        <v>6429850000000</v>
      </c>
      <c r="AA29" s="5">
        <v>6429820000000</v>
      </c>
      <c r="AB29" s="5">
        <v>6429770000000</v>
      </c>
      <c r="AC29" s="5">
        <v>6429760000000</v>
      </c>
      <c r="AD29" s="5">
        <v>6429720000000</v>
      </c>
      <c r="AE29" s="5">
        <v>6429690000000</v>
      </c>
      <c r="AF29" s="5">
        <v>6429660000000</v>
      </c>
      <c r="AG29" s="5">
        <v>6429650000000</v>
      </c>
    </row>
    <row r="30" spans="1:36" x14ac:dyDescent="0.35">
      <c r="A30" t="s">
        <v>95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</row>
    <row r="31" spans="1:36" x14ac:dyDescent="0.35">
      <c r="A31" t="s">
        <v>96</v>
      </c>
      <c r="B31" s="5">
        <v>9056170000</v>
      </c>
      <c r="C31" s="5">
        <v>9056160000</v>
      </c>
      <c r="D31" s="5">
        <v>9056260000</v>
      </c>
      <c r="E31" s="5">
        <v>9056300000</v>
      </c>
      <c r="F31" s="5">
        <v>9056550000</v>
      </c>
      <c r="G31" s="5">
        <v>9056690000</v>
      </c>
      <c r="H31" s="5">
        <v>9056820000</v>
      </c>
      <c r="I31" s="5">
        <v>9056780000</v>
      </c>
      <c r="J31" s="5">
        <v>9056820000</v>
      </c>
      <c r="K31" s="5">
        <v>9056710000</v>
      </c>
      <c r="L31" s="5">
        <v>9056690000</v>
      </c>
      <c r="M31" s="5">
        <v>9056680000</v>
      </c>
      <c r="N31" s="5">
        <v>9056620000</v>
      </c>
      <c r="O31" s="5">
        <v>9056600000</v>
      </c>
      <c r="P31" s="5">
        <v>9056570000</v>
      </c>
      <c r="Q31" s="5">
        <v>9056510000</v>
      </c>
      <c r="R31" s="5">
        <v>9056430000</v>
      </c>
      <c r="S31" s="5">
        <v>9056370000</v>
      </c>
      <c r="T31" s="5">
        <v>9056360000</v>
      </c>
      <c r="U31" s="5">
        <v>9056340000</v>
      </c>
      <c r="V31" s="5">
        <v>9056270000</v>
      </c>
      <c r="W31" s="5">
        <v>9056250000</v>
      </c>
      <c r="X31" s="5">
        <v>9056220000</v>
      </c>
      <c r="Y31" s="5">
        <v>9056150000</v>
      </c>
      <c r="Z31" s="5">
        <v>9056120000</v>
      </c>
      <c r="AA31" s="5">
        <v>9056090000</v>
      </c>
      <c r="AB31" s="5">
        <v>9056020000</v>
      </c>
      <c r="AC31" s="5">
        <v>9056010000</v>
      </c>
      <c r="AD31" s="5">
        <v>9055950000</v>
      </c>
      <c r="AE31" s="5">
        <v>9055900000</v>
      </c>
      <c r="AF31" s="5">
        <v>9055860000</v>
      </c>
      <c r="AG31" s="5">
        <v>9055840000</v>
      </c>
    </row>
    <row r="32" spans="1:36" x14ac:dyDescent="0.35">
      <c r="A32" t="s">
        <v>97</v>
      </c>
      <c r="B32" s="5">
        <v>3269040000000</v>
      </c>
      <c r="C32" s="5">
        <v>3262460000000</v>
      </c>
      <c r="D32" s="5">
        <v>3228770000000</v>
      </c>
      <c r="E32" s="5">
        <v>3227340000000</v>
      </c>
      <c r="F32" s="5">
        <v>3229970000000</v>
      </c>
      <c r="G32" s="5">
        <v>3232770000000</v>
      </c>
      <c r="H32" s="5">
        <v>3231120000000</v>
      </c>
      <c r="I32" s="5">
        <v>3230060000000</v>
      </c>
      <c r="J32" s="5">
        <v>3229580000000</v>
      </c>
      <c r="K32" s="5">
        <v>3228230000000</v>
      </c>
      <c r="L32" s="5">
        <v>3227490000000</v>
      </c>
      <c r="M32" s="5">
        <v>3227230000000</v>
      </c>
      <c r="N32" s="5">
        <v>3227100000000</v>
      </c>
      <c r="O32" s="5">
        <v>3226770000000</v>
      </c>
      <c r="P32" s="5">
        <v>3226640000000</v>
      </c>
      <c r="Q32" s="5">
        <v>3226480000000</v>
      </c>
      <c r="R32" s="5">
        <v>3226300000000</v>
      </c>
      <c r="S32" s="5">
        <v>3226280000000</v>
      </c>
      <c r="T32" s="5">
        <v>3226420000000</v>
      </c>
      <c r="U32" s="5">
        <v>3226320000000</v>
      </c>
      <c r="V32" s="5">
        <v>3226210000000</v>
      </c>
      <c r="W32" s="5">
        <v>3226210000000</v>
      </c>
      <c r="X32" s="5">
        <v>3226260000000</v>
      </c>
      <c r="Y32" s="5">
        <v>3226320000000</v>
      </c>
      <c r="Z32" s="5">
        <v>3226460000000</v>
      </c>
      <c r="AA32" s="5">
        <v>3226470000000</v>
      </c>
      <c r="AB32" s="5">
        <v>3226440000000</v>
      </c>
      <c r="AC32" s="5">
        <v>3226370000000</v>
      </c>
      <c r="AD32" s="5">
        <v>3226230000000</v>
      </c>
      <c r="AE32" s="5">
        <v>3225980000000</v>
      </c>
      <c r="AF32" s="5">
        <v>3225720000000</v>
      </c>
      <c r="AG32" s="5">
        <v>3225540000000</v>
      </c>
    </row>
    <row r="33" spans="1:33" x14ac:dyDescent="0.35">
      <c r="A33" t="s">
        <v>98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</row>
    <row r="34" spans="1:33" x14ac:dyDescent="0.35">
      <c r="A34" t="s">
        <v>99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10603300000000</v>
      </c>
      <c r="O34" s="5">
        <v>82974200000000</v>
      </c>
      <c r="P34" s="5">
        <v>156262000000000</v>
      </c>
      <c r="Q34" s="5">
        <v>222166000000000</v>
      </c>
      <c r="R34" s="5">
        <v>283914000000000</v>
      </c>
      <c r="S34" s="5">
        <v>342907000000000</v>
      </c>
      <c r="T34" s="5">
        <v>400077000000000</v>
      </c>
      <c r="U34" s="5">
        <v>459059000000000</v>
      </c>
      <c r="V34" s="5">
        <v>518038000000000</v>
      </c>
      <c r="W34" s="5">
        <v>575188000000000</v>
      </c>
      <c r="X34" s="5">
        <v>632347000000000</v>
      </c>
      <c r="Y34" s="5">
        <v>686284000000000</v>
      </c>
      <c r="Z34" s="5">
        <v>720882000000000</v>
      </c>
      <c r="AA34" s="5">
        <v>756378000000000</v>
      </c>
      <c r="AB34" s="5">
        <v>791400000000000</v>
      </c>
      <c r="AC34" s="5">
        <v>825950000000000</v>
      </c>
      <c r="AD34" s="5">
        <v>860020000000000</v>
      </c>
      <c r="AE34" s="5">
        <v>894980000000000</v>
      </c>
      <c r="AF34" s="5">
        <v>933154000000000</v>
      </c>
      <c r="AG34" s="5">
        <v>969506000000000</v>
      </c>
    </row>
    <row r="35" spans="1:33" x14ac:dyDescent="0.35">
      <c r="A35" t="s">
        <v>100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</row>
    <row r="36" spans="1:33" x14ac:dyDescent="0.35">
      <c r="A36" t="s">
        <v>101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</row>
    <row r="37" spans="1:33" x14ac:dyDescent="0.35">
      <c r="A37" t="s">
        <v>102</v>
      </c>
      <c r="B37" s="5">
        <v>9694620000000</v>
      </c>
      <c r="C37" s="5">
        <v>8425910000000</v>
      </c>
      <c r="D37" s="5">
        <v>8522060000000</v>
      </c>
      <c r="E37" s="5">
        <v>8408940000000</v>
      </c>
      <c r="F37" s="5">
        <v>9449360000000</v>
      </c>
      <c r="G37" s="5">
        <v>9823380000000</v>
      </c>
      <c r="H37" s="5">
        <v>9733310000000</v>
      </c>
      <c r="I37" s="5">
        <v>9765310000000</v>
      </c>
      <c r="J37" s="5">
        <v>9750550000000</v>
      </c>
      <c r="K37" s="5">
        <v>9781930000000</v>
      </c>
      <c r="L37" s="5">
        <v>9959260000000</v>
      </c>
      <c r="M37" s="5">
        <v>10129000000000</v>
      </c>
      <c r="N37" s="5">
        <v>10225900000000</v>
      </c>
      <c r="O37" s="5">
        <v>10351200000000</v>
      </c>
      <c r="P37" s="5">
        <v>10599900000000</v>
      </c>
      <c r="Q37" s="5">
        <v>10606500000000</v>
      </c>
      <c r="R37" s="5">
        <v>10589200000000</v>
      </c>
      <c r="S37" s="5">
        <v>10591500000000</v>
      </c>
      <c r="T37" s="5">
        <v>10616600000000</v>
      </c>
      <c r="U37" s="5">
        <v>10622200000000</v>
      </c>
      <c r="V37" s="5">
        <v>10596600000000</v>
      </c>
      <c r="W37" s="5">
        <v>10590400000000</v>
      </c>
      <c r="X37" s="5">
        <v>10674200000000</v>
      </c>
      <c r="Y37" s="5">
        <v>10590800000000</v>
      </c>
      <c r="Z37" s="5">
        <v>10616800000000</v>
      </c>
      <c r="AA37" s="5">
        <v>10611100000000</v>
      </c>
      <c r="AB37" s="5">
        <v>10606700000000</v>
      </c>
      <c r="AC37" s="5">
        <v>10602200000000</v>
      </c>
      <c r="AD37" s="5">
        <v>10591900000000</v>
      </c>
      <c r="AE37" s="5">
        <v>10590400000000</v>
      </c>
      <c r="AF37" s="5">
        <v>10578200000000</v>
      </c>
      <c r="AG37" s="5">
        <v>10575500000000</v>
      </c>
    </row>
    <row r="38" spans="1:33" x14ac:dyDescent="0.35">
      <c r="A38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x14ac:dyDescent="0.35">
      <c r="A39" t="s">
        <v>104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</row>
    <row r="40" spans="1:33" x14ac:dyDescent="0.35">
      <c r="A40" t="s">
        <v>105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</row>
    <row r="41" spans="1:33" x14ac:dyDescent="0.35">
      <c r="A4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35">
      <c r="A42" t="s">
        <v>107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</row>
    <row r="43" spans="1:33" x14ac:dyDescent="0.35">
      <c r="A43" t="s">
        <v>108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</row>
    <row r="44" spans="1:33" x14ac:dyDescent="0.35">
      <c r="A44" t="s">
        <v>109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</row>
    <row r="45" spans="1:33" x14ac:dyDescent="0.35">
      <c r="A45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35">
      <c r="A46" t="s">
        <v>111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</row>
    <row r="47" spans="1:33" x14ac:dyDescent="0.35">
      <c r="A47" t="s">
        <v>112</v>
      </c>
      <c r="B47" s="5">
        <v>392026000000</v>
      </c>
      <c r="C47" s="5">
        <v>327141000000</v>
      </c>
      <c r="D47" s="5">
        <v>308157000000</v>
      </c>
      <c r="E47" s="5">
        <v>279029000000</v>
      </c>
      <c r="F47" s="5">
        <v>314181000000</v>
      </c>
      <c r="G47" s="5">
        <v>325864000000</v>
      </c>
      <c r="H47" s="5">
        <v>304112000000</v>
      </c>
      <c r="I47" s="5">
        <v>314174000000</v>
      </c>
      <c r="J47" s="5">
        <v>322049000000</v>
      </c>
      <c r="K47" s="5">
        <v>315021000000</v>
      </c>
      <c r="L47" s="5">
        <v>324184000000</v>
      </c>
      <c r="M47" s="5">
        <v>333173000000</v>
      </c>
      <c r="N47" s="5">
        <v>329316000000</v>
      </c>
      <c r="O47" s="5">
        <v>336016000000</v>
      </c>
      <c r="P47" s="5">
        <v>359274000000</v>
      </c>
      <c r="Q47" s="5">
        <v>359655000000</v>
      </c>
      <c r="R47" s="5">
        <v>349079000000</v>
      </c>
      <c r="S47" s="5">
        <v>349207000000</v>
      </c>
      <c r="T47" s="5">
        <v>360235000000</v>
      </c>
      <c r="U47" s="5">
        <v>360556000000</v>
      </c>
      <c r="V47" s="5">
        <v>349495000000</v>
      </c>
      <c r="W47" s="5">
        <v>349146000000</v>
      </c>
      <c r="X47" s="5">
        <v>353862000000</v>
      </c>
      <c r="Y47" s="5">
        <v>349171000000</v>
      </c>
      <c r="Z47" s="5">
        <v>350625000000</v>
      </c>
      <c r="AA47" s="5">
        <v>350306000000</v>
      </c>
      <c r="AB47" s="5">
        <v>350058000000</v>
      </c>
      <c r="AC47" s="5">
        <v>349805000000</v>
      </c>
      <c r="AD47" s="5">
        <v>349233000000</v>
      </c>
      <c r="AE47" s="5">
        <v>349149000000</v>
      </c>
      <c r="AF47" s="5">
        <v>348468000000</v>
      </c>
      <c r="AG47" s="5">
        <v>348316000000</v>
      </c>
    </row>
    <row r="48" spans="1:33" x14ac:dyDescent="0.35">
      <c r="A48" t="s">
        <v>113</v>
      </c>
      <c r="B48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</row>
    <row r="49" spans="1:33" x14ac:dyDescent="0.35">
      <c r="A49" t="s">
        <v>114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</row>
    <row r="51" spans="1:33" x14ac:dyDescent="0.35">
      <c r="A51" t="s">
        <v>1479</v>
      </c>
      <c r="B51">
        <v>2019</v>
      </c>
      <c r="C51">
        <v>2020</v>
      </c>
      <c r="D51">
        <v>2021</v>
      </c>
      <c r="E51">
        <v>2022</v>
      </c>
      <c r="F51">
        <v>2023</v>
      </c>
      <c r="G51">
        <v>2024</v>
      </c>
      <c r="H51">
        <v>2025</v>
      </c>
      <c r="I51">
        <v>2026</v>
      </c>
      <c r="J51">
        <v>2027</v>
      </c>
      <c r="K51">
        <v>2028</v>
      </c>
      <c r="L51">
        <v>2029</v>
      </c>
      <c r="M51">
        <v>2030</v>
      </c>
      <c r="N51">
        <v>2031</v>
      </c>
      <c r="O51">
        <v>2032</v>
      </c>
      <c r="P51">
        <v>2033</v>
      </c>
      <c r="Q51">
        <v>2034</v>
      </c>
      <c r="R51">
        <v>2035</v>
      </c>
      <c r="S51">
        <v>2036</v>
      </c>
      <c r="T51">
        <v>2037</v>
      </c>
      <c r="U51">
        <v>2038</v>
      </c>
      <c r="V51">
        <v>2039</v>
      </c>
      <c r="W51">
        <v>2040</v>
      </c>
      <c r="X51">
        <v>2041</v>
      </c>
      <c r="Y51">
        <v>2042</v>
      </c>
      <c r="Z51">
        <v>2043</v>
      </c>
      <c r="AA51">
        <v>2044</v>
      </c>
      <c r="AB51">
        <v>2045</v>
      </c>
      <c r="AC51">
        <v>2046</v>
      </c>
      <c r="AD51">
        <v>2047</v>
      </c>
      <c r="AE51">
        <v>2048</v>
      </c>
      <c r="AF51">
        <v>2049</v>
      </c>
      <c r="AG51">
        <v>2050</v>
      </c>
    </row>
    <row r="52" spans="1:33" x14ac:dyDescent="0.35">
      <c r="A52" t="s">
        <v>115</v>
      </c>
      <c r="B52" s="5">
        <v>36542000000000</v>
      </c>
      <c r="C52" s="5">
        <v>34714600000000</v>
      </c>
      <c r="D52" s="5">
        <v>37733600000000</v>
      </c>
      <c r="E52" s="5">
        <v>39997700000000</v>
      </c>
      <c r="F52" s="5">
        <v>42327300000000</v>
      </c>
      <c r="G52" s="5">
        <v>44457300000000</v>
      </c>
      <c r="H52" s="5">
        <v>46483500000000</v>
      </c>
      <c r="I52" s="5">
        <v>48453700000000</v>
      </c>
      <c r="J52" s="5">
        <v>50395100000000</v>
      </c>
      <c r="K52" s="5">
        <v>52912200000000</v>
      </c>
      <c r="L52" s="5">
        <v>55420700000000</v>
      </c>
      <c r="M52" s="5">
        <v>57925100000000</v>
      </c>
      <c r="N52" s="5">
        <v>60427500000000</v>
      </c>
      <c r="O52" s="5">
        <v>62931000000000</v>
      </c>
      <c r="P52" s="5">
        <v>65880000000000</v>
      </c>
      <c r="Q52" s="5">
        <v>68830000000000</v>
      </c>
      <c r="R52" s="5">
        <v>71779000000000</v>
      </c>
      <c r="S52" s="5">
        <v>74729000000000</v>
      </c>
      <c r="T52" s="5">
        <v>77678000000000</v>
      </c>
      <c r="U52" s="5">
        <v>80481000000000</v>
      </c>
      <c r="V52" s="5">
        <v>83284000000000</v>
      </c>
      <c r="W52" s="5">
        <v>86087000000000</v>
      </c>
      <c r="X52" s="5">
        <v>88890000000000</v>
      </c>
      <c r="Y52" s="5">
        <v>91693000000000</v>
      </c>
      <c r="Z52" s="5">
        <v>94231000000000</v>
      </c>
      <c r="AA52" s="5">
        <v>96768000000000</v>
      </c>
      <c r="AB52" s="5">
        <v>99306000000000</v>
      </c>
      <c r="AC52" s="5">
        <v>101840000000000</v>
      </c>
      <c r="AD52" s="5">
        <v>104380000000000</v>
      </c>
      <c r="AE52" s="5">
        <v>106920000000000</v>
      </c>
      <c r="AF52" s="5">
        <v>109460000000000</v>
      </c>
      <c r="AG52" s="5">
        <v>111990000000000</v>
      </c>
    </row>
    <row r="53" spans="1:33" x14ac:dyDescent="0.35">
      <c r="A53" t="s">
        <v>116</v>
      </c>
      <c r="B53" s="5">
        <v>0</v>
      </c>
      <c r="C53" s="5">
        <v>19506800</v>
      </c>
      <c r="D53" s="5">
        <v>32315000</v>
      </c>
      <c r="E53" s="5">
        <v>52624400</v>
      </c>
      <c r="F53" s="5">
        <v>72465600</v>
      </c>
      <c r="G53" s="5">
        <v>91751300</v>
      </c>
      <c r="H53" s="5">
        <v>110482000</v>
      </c>
      <c r="I53" s="5">
        <v>128695000</v>
      </c>
      <c r="J53" s="5">
        <v>144811000</v>
      </c>
      <c r="K53" s="5">
        <v>162104000</v>
      </c>
      <c r="L53" s="5">
        <v>179074000</v>
      </c>
      <c r="M53" s="5">
        <v>223834000</v>
      </c>
      <c r="N53" s="5">
        <v>242741000</v>
      </c>
      <c r="O53" s="5">
        <v>253640000</v>
      </c>
      <c r="P53" s="5">
        <v>272095000</v>
      </c>
      <c r="Q53" s="5">
        <v>289609000</v>
      </c>
      <c r="R53" s="5">
        <v>305030000</v>
      </c>
      <c r="S53" s="5">
        <v>320805000</v>
      </c>
      <c r="T53" s="5">
        <v>337020000</v>
      </c>
      <c r="U53" s="5">
        <v>352188000</v>
      </c>
      <c r="V53" s="5">
        <v>417530000</v>
      </c>
      <c r="W53" s="5">
        <v>424690000</v>
      </c>
      <c r="X53" s="5">
        <v>441078000</v>
      </c>
      <c r="Y53" s="5">
        <v>460853000</v>
      </c>
      <c r="Z53" s="5">
        <v>480780000</v>
      </c>
      <c r="AA53" s="5">
        <v>504581000</v>
      </c>
      <c r="AB53" s="5">
        <v>528676000</v>
      </c>
      <c r="AC53" s="5">
        <v>601808000</v>
      </c>
      <c r="AD53" s="5">
        <v>628653000</v>
      </c>
      <c r="AE53" s="5">
        <v>655789000</v>
      </c>
      <c r="AF53" s="5">
        <v>679526000</v>
      </c>
      <c r="AG53" s="5">
        <v>707499000</v>
      </c>
    </row>
    <row r="54" spans="1:33" x14ac:dyDescent="0.35">
      <c r="A54" t="s">
        <v>117</v>
      </c>
      <c r="B54" s="5">
        <v>249820000000000</v>
      </c>
      <c r="C54" s="5">
        <v>241560000000000</v>
      </c>
      <c r="D54" s="5">
        <v>266839000000000</v>
      </c>
      <c r="E54" s="5">
        <v>287042000000000</v>
      </c>
      <c r="F54" s="5">
        <v>308195000000000</v>
      </c>
      <c r="G54" s="5">
        <v>327955000000000</v>
      </c>
      <c r="H54" s="5">
        <v>346983000000000</v>
      </c>
      <c r="I54" s="5">
        <v>365617000000000</v>
      </c>
      <c r="J54" s="5">
        <v>384031000000000</v>
      </c>
      <c r="K54" s="5">
        <v>407363000000000</v>
      </c>
      <c r="L54" s="5">
        <v>430638000000000</v>
      </c>
      <c r="M54" s="5">
        <v>453882000000000</v>
      </c>
      <c r="N54" s="5">
        <v>477100000000000</v>
      </c>
      <c r="O54" s="5">
        <v>500330000000000</v>
      </c>
      <c r="P54" s="5">
        <v>521600000000000</v>
      </c>
      <c r="Q54" s="5">
        <v>542870000000000</v>
      </c>
      <c r="R54" s="5">
        <v>564130000000000</v>
      </c>
      <c r="S54" s="5">
        <v>585400000000000</v>
      </c>
      <c r="T54" s="5">
        <v>606670000000000</v>
      </c>
      <c r="U54" s="5">
        <v>623600000000000</v>
      </c>
      <c r="V54" s="5">
        <v>640540000000000</v>
      </c>
      <c r="W54" s="5">
        <v>657480000000000</v>
      </c>
      <c r="X54" s="5">
        <v>674410000000000</v>
      </c>
      <c r="Y54" s="5">
        <v>691350000000000</v>
      </c>
      <c r="Z54" s="5">
        <v>702510000000000</v>
      </c>
      <c r="AA54" s="5">
        <v>713670000000000</v>
      </c>
      <c r="AB54" s="5">
        <v>724830000000000</v>
      </c>
      <c r="AC54" s="5">
        <v>736000000000000</v>
      </c>
      <c r="AD54" s="5">
        <v>747160000000000</v>
      </c>
      <c r="AE54" s="5">
        <v>758320000000000</v>
      </c>
      <c r="AF54" s="5">
        <v>769480000000000</v>
      </c>
      <c r="AG54" s="5">
        <v>780650000000000</v>
      </c>
    </row>
    <row r="55" spans="1:33" x14ac:dyDescent="0.35">
      <c r="A55" t="s">
        <v>118</v>
      </c>
      <c r="B55" s="5">
        <v>189190000000000</v>
      </c>
      <c r="C55" s="5">
        <v>174160000000000</v>
      </c>
      <c r="D55" s="5">
        <v>183693000000000</v>
      </c>
      <c r="E55" s="5">
        <v>189184000000000</v>
      </c>
      <c r="F55" s="5">
        <v>192509000000000</v>
      </c>
      <c r="G55" s="5">
        <v>194816000000000</v>
      </c>
      <c r="H55" s="5">
        <v>196595000000000</v>
      </c>
      <c r="I55" s="5">
        <v>198124000000000</v>
      </c>
      <c r="J55" s="5">
        <v>199514000000000</v>
      </c>
      <c r="K55" s="5">
        <v>200376000000000</v>
      </c>
      <c r="L55" s="5">
        <v>201215000000000</v>
      </c>
      <c r="M55" s="5">
        <v>202026000000000</v>
      </c>
      <c r="N55" s="5">
        <v>202829000000000</v>
      </c>
      <c r="O55" s="5">
        <v>203630000000000</v>
      </c>
      <c r="P55" s="5">
        <v>204204000000000</v>
      </c>
      <c r="Q55" s="5">
        <v>204777000000000</v>
      </c>
      <c r="R55" s="5">
        <v>205360000000000</v>
      </c>
      <c r="S55" s="5">
        <v>205934000000000</v>
      </c>
      <c r="T55" s="5">
        <v>206507000000000</v>
      </c>
      <c r="U55" s="5">
        <v>206854000000000</v>
      </c>
      <c r="V55" s="5">
        <v>207187000000000</v>
      </c>
      <c r="W55" s="5">
        <v>207526000000000</v>
      </c>
      <c r="X55" s="5">
        <v>207869000000000</v>
      </c>
      <c r="Y55" s="5">
        <v>208202000000000</v>
      </c>
      <c r="Z55" s="5">
        <v>208095000000000</v>
      </c>
      <c r="AA55" s="5">
        <v>207987000000000</v>
      </c>
      <c r="AB55" s="5">
        <v>207881000000000</v>
      </c>
      <c r="AC55" s="5">
        <v>207770000000000</v>
      </c>
      <c r="AD55" s="5">
        <v>207663000000000</v>
      </c>
      <c r="AE55" s="5">
        <v>207556000000000</v>
      </c>
      <c r="AF55" s="5">
        <v>207452000000000</v>
      </c>
      <c r="AG55" s="5">
        <v>207345000000000</v>
      </c>
    </row>
    <row r="56" spans="1:33" x14ac:dyDescent="0.35">
      <c r="A56" t="s">
        <v>119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</row>
    <row r="57" spans="1:33" x14ac:dyDescent="0.35">
      <c r="A57" t="s">
        <v>120</v>
      </c>
      <c r="B57" s="5">
        <v>1130900000000</v>
      </c>
      <c r="C57" s="5">
        <v>1044450000000</v>
      </c>
      <c r="D57" s="5">
        <v>1104870000000</v>
      </c>
      <c r="E57" s="5">
        <v>1141080000000</v>
      </c>
      <c r="F57" s="5">
        <v>1164820000000</v>
      </c>
      <c r="G57" s="5">
        <v>1182300000000</v>
      </c>
      <c r="H57" s="5">
        <v>1196370000000</v>
      </c>
      <c r="I57" s="5">
        <v>1208570000000</v>
      </c>
      <c r="J57" s="5">
        <v>1219780000000</v>
      </c>
      <c r="K57" s="5">
        <v>1230390000000</v>
      </c>
      <c r="L57" s="5">
        <v>1240390000000</v>
      </c>
      <c r="M57" s="5">
        <v>1249990000000</v>
      </c>
      <c r="N57" s="5">
        <v>1259250000000</v>
      </c>
      <c r="O57" s="5">
        <v>1268200000000</v>
      </c>
      <c r="P57" s="5">
        <v>1276700000000</v>
      </c>
      <c r="Q57" s="5">
        <v>1284900000000</v>
      </c>
      <c r="R57" s="5">
        <v>1292700000000</v>
      </c>
      <c r="S57" s="5">
        <v>1300200000000</v>
      </c>
      <c r="T57" s="5">
        <v>1307300000000</v>
      </c>
      <c r="U57" s="5">
        <v>1314000000000</v>
      </c>
      <c r="V57" s="5">
        <v>1320400000000</v>
      </c>
      <c r="W57" s="5">
        <v>1326400000000</v>
      </c>
      <c r="X57" s="5">
        <v>1332200000000</v>
      </c>
      <c r="Y57" s="5">
        <v>1337600000000</v>
      </c>
      <c r="Z57" s="5">
        <v>1342800000000</v>
      </c>
      <c r="AA57" s="5">
        <v>1347600000000</v>
      </c>
      <c r="AB57" s="5">
        <v>1352200000000</v>
      </c>
      <c r="AC57" s="5">
        <v>1356400000000</v>
      </c>
      <c r="AD57" s="5">
        <v>1360400000000</v>
      </c>
      <c r="AE57" s="5">
        <v>1364100000000</v>
      </c>
      <c r="AF57" s="5">
        <v>1367600000000</v>
      </c>
      <c r="AG57" s="5">
        <v>1370700000000</v>
      </c>
    </row>
    <row r="58" spans="1:33" x14ac:dyDescent="0.35">
      <c r="A58" t="s">
        <v>121</v>
      </c>
      <c r="B58" s="5">
        <v>728180000000000</v>
      </c>
      <c r="C58" s="5">
        <v>705680000000000</v>
      </c>
      <c r="D58" s="5">
        <v>781064000000000</v>
      </c>
      <c r="E58" s="5">
        <v>841714000000000</v>
      </c>
      <c r="F58" s="5">
        <v>888904000000000</v>
      </c>
      <c r="G58" s="5">
        <v>931876000000000</v>
      </c>
      <c r="H58" s="5">
        <v>972635000000000</v>
      </c>
      <c r="I58" s="5">
        <v>1012240000000000</v>
      </c>
      <c r="J58" s="5">
        <v>1051190000000000</v>
      </c>
      <c r="K58" s="5">
        <v>1093830000000000</v>
      </c>
      <c r="L58" s="5">
        <v>1136310000000000</v>
      </c>
      <c r="M58" s="5">
        <v>1178600000000000</v>
      </c>
      <c r="N58" s="5">
        <v>1220950000000000</v>
      </c>
      <c r="O58" s="5">
        <v>1263200000000000</v>
      </c>
      <c r="P58" s="5">
        <v>1297300000000000</v>
      </c>
      <c r="Q58" s="5">
        <v>1331300000000000</v>
      </c>
      <c r="R58" s="5">
        <v>1365400000000000</v>
      </c>
      <c r="S58" s="5">
        <v>1399400000000000</v>
      </c>
      <c r="T58" s="5">
        <v>1433500000000000</v>
      </c>
      <c r="U58" s="5">
        <v>1472100000000000</v>
      </c>
      <c r="V58" s="5">
        <v>1510800000000000</v>
      </c>
      <c r="W58" s="5">
        <v>1549400000000000</v>
      </c>
      <c r="X58" s="5">
        <v>1588000000000000</v>
      </c>
      <c r="Y58" s="5">
        <v>1626700000000000</v>
      </c>
      <c r="Z58" s="5">
        <v>1652900000000000</v>
      </c>
      <c r="AA58" s="5">
        <v>1679000000000000</v>
      </c>
      <c r="AB58" s="5">
        <v>1705200000000000</v>
      </c>
      <c r="AC58" s="5">
        <v>1731400000000000</v>
      </c>
      <c r="AD58" s="5">
        <v>1757600000000000</v>
      </c>
      <c r="AE58" s="5">
        <v>1783800000000000</v>
      </c>
      <c r="AF58" s="5">
        <v>1809900000000000</v>
      </c>
      <c r="AG58" s="5">
        <v>1836100000000000</v>
      </c>
    </row>
    <row r="59" spans="1:33" x14ac:dyDescent="0.35">
      <c r="A59" t="s">
        <v>122</v>
      </c>
      <c r="B59" s="5">
        <v>1294900000000000</v>
      </c>
      <c r="C59" s="5">
        <v>1208040000000000</v>
      </c>
      <c r="D59" s="5">
        <v>1290910000000000</v>
      </c>
      <c r="E59" s="5">
        <v>1346390000000000</v>
      </c>
      <c r="F59" s="5">
        <v>1393670000000000</v>
      </c>
      <c r="G59" s="5">
        <v>1433790000000000</v>
      </c>
      <c r="H59" s="5">
        <v>1470390000000000</v>
      </c>
      <c r="I59" s="5">
        <v>1505040000000000</v>
      </c>
      <c r="J59" s="5">
        <v>1538840000000000</v>
      </c>
      <c r="K59" s="5">
        <v>1574860000000000</v>
      </c>
      <c r="L59" s="5">
        <v>1610630000000000</v>
      </c>
      <c r="M59" s="5">
        <v>1646270000000000</v>
      </c>
      <c r="N59" s="5">
        <v>1681940000000000</v>
      </c>
      <c r="O59" s="5">
        <v>1717520000000000</v>
      </c>
      <c r="P59" s="5">
        <v>1764330000000000</v>
      </c>
      <c r="Q59" s="5">
        <v>1811030000000000</v>
      </c>
      <c r="R59" s="5">
        <v>1857840000000000</v>
      </c>
      <c r="S59" s="5">
        <v>1904650000000000</v>
      </c>
      <c r="T59" s="5">
        <v>1951360000000000</v>
      </c>
      <c r="U59" s="5">
        <v>2017970000000000</v>
      </c>
      <c r="V59" s="5">
        <v>2084580000000000</v>
      </c>
      <c r="W59" s="5">
        <v>2151180000000000</v>
      </c>
      <c r="X59" s="5">
        <v>2217790000000000</v>
      </c>
      <c r="Y59" s="5">
        <v>2284400000000000</v>
      </c>
      <c r="Z59" s="5">
        <v>2339510000000000</v>
      </c>
      <c r="AA59" s="5">
        <v>2394720000000000</v>
      </c>
      <c r="AB59" s="5">
        <v>2449830000000000</v>
      </c>
      <c r="AC59" s="5">
        <v>2505030000000000</v>
      </c>
      <c r="AD59" s="5">
        <v>2560140000000000</v>
      </c>
      <c r="AE59" s="5">
        <v>2615250000000000</v>
      </c>
      <c r="AF59" s="5">
        <v>2670460000000000</v>
      </c>
      <c r="AG59" s="5">
        <v>2725570000000000</v>
      </c>
    </row>
    <row r="60" spans="1:33" x14ac:dyDescent="0.35">
      <c r="A60" t="s">
        <v>123</v>
      </c>
      <c r="B60" s="5">
        <v>1155000000000000</v>
      </c>
      <c r="C60" s="5">
        <v>1097540000000000</v>
      </c>
      <c r="D60" s="5">
        <v>1193290000000000</v>
      </c>
      <c r="E60" s="5">
        <v>1264180000000000</v>
      </c>
      <c r="F60" s="5">
        <v>1338430000000000</v>
      </c>
      <c r="G60" s="5">
        <v>1405390000000000</v>
      </c>
      <c r="H60" s="5">
        <v>1470030000000000</v>
      </c>
      <c r="I60" s="5">
        <v>1531940000000000</v>
      </c>
      <c r="J60" s="5">
        <v>1592930000000000</v>
      </c>
      <c r="K60" s="5">
        <v>1672440000000000</v>
      </c>
      <c r="L60" s="5">
        <v>1751710000000000</v>
      </c>
      <c r="M60" s="5">
        <v>1831850000000000</v>
      </c>
      <c r="N60" s="5">
        <v>1910920000000000</v>
      </c>
      <c r="O60" s="5">
        <v>1990000000000000</v>
      </c>
      <c r="P60" s="5">
        <v>2083000000000000</v>
      </c>
      <c r="Q60" s="5">
        <v>2176000000000000</v>
      </c>
      <c r="R60" s="5">
        <v>2269000000000000</v>
      </c>
      <c r="S60" s="5">
        <v>2363000000000000</v>
      </c>
      <c r="T60" s="5">
        <v>2456000000000000</v>
      </c>
      <c r="U60" s="5">
        <v>2544000000000000</v>
      </c>
      <c r="V60" s="5">
        <v>2633000000000000</v>
      </c>
      <c r="W60" s="5">
        <v>2722000000000000</v>
      </c>
      <c r="X60" s="5">
        <v>2810000000000000</v>
      </c>
      <c r="Y60" s="5">
        <v>2899000000000000</v>
      </c>
      <c r="Z60" s="5">
        <v>2979000000000000</v>
      </c>
      <c r="AA60" s="5">
        <v>3059000000000000</v>
      </c>
      <c r="AB60" s="5">
        <v>3140000000000000</v>
      </c>
      <c r="AC60" s="5">
        <v>3220000000000000</v>
      </c>
      <c r="AD60" s="5">
        <v>3300000000000000</v>
      </c>
      <c r="AE60" s="5">
        <v>3380000000000000</v>
      </c>
      <c r="AF60" s="5">
        <v>3461000000000000</v>
      </c>
      <c r="AG60" s="5">
        <v>3541000000000000</v>
      </c>
    </row>
    <row r="61" spans="1:33" x14ac:dyDescent="0.35">
      <c r="A61" t="s">
        <v>124</v>
      </c>
      <c r="B61" s="5">
        <v>90085100000000</v>
      </c>
      <c r="C61" s="5">
        <v>83962600000000</v>
      </c>
      <c r="D61" s="5">
        <v>89634800000000</v>
      </c>
      <c r="E61" s="5">
        <v>93405600000000</v>
      </c>
      <c r="F61" s="5">
        <v>97083700000000</v>
      </c>
      <c r="G61" s="5">
        <v>100277000000000</v>
      </c>
      <c r="H61" s="5">
        <v>103220000000000</v>
      </c>
      <c r="I61" s="5">
        <v>106034000000000</v>
      </c>
      <c r="J61" s="5">
        <v>108783000000000</v>
      </c>
      <c r="K61" s="5">
        <v>111899000000000</v>
      </c>
      <c r="L61" s="5">
        <v>114998000000000</v>
      </c>
      <c r="M61" s="5">
        <v>118087000000000</v>
      </c>
      <c r="N61" s="5">
        <v>121173000000000</v>
      </c>
      <c r="O61" s="5">
        <v>124258000000000</v>
      </c>
      <c r="P61" s="5">
        <v>127788000000000</v>
      </c>
      <c r="Q61" s="5">
        <v>131318000000000</v>
      </c>
      <c r="R61" s="5">
        <v>134849000000000</v>
      </c>
      <c r="S61" s="5">
        <v>138379000000000</v>
      </c>
      <c r="T61" s="5">
        <v>141909000000000</v>
      </c>
      <c r="U61" s="5">
        <v>146274000000000</v>
      </c>
      <c r="V61" s="5">
        <v>150638000000000</v>
      </c>
      <c r="W61" s="5">
        <v>155003000000000</v>
      </c>
      <c r="X61" s="5">
        <v>159367000000000</v>
      </c>
      <c r="Y61" s="5">
        <v>163731000000000</v>
      </c>
      <c r="Z61" s="5">
        <v>169227000000000</v>
      </c>
      <c r="AA61" s="5">
        <v>174723000000000</v>
      </c>
      <c r="AB61" s="5">
        <v>180218000000000</v>
      </c>
      <c r="AC61" s="5">
        <v>185714000000000</v>
      </c>
      <c r="AD61" s="5">
        <v>191209000000000</v>
      </c>
      <c r="AE61" s="5">
        <v>196705000000000</v>
      </c>
      <c r="AF61" s="5">
        <v>202201000000000</v>
      </c>
      <c r="AG61" s="5">
        <v>207696000000000</v>
      </c>
    </row>
    <row r="62" spans="1:33" x14ac:dyDescent="0.35">
      <c r="A62" t="s">
        <v>125</v>
      </c>
      <c r="B62" s="5">
        <v>2560000000000000</v>
      </c>
      <c r="C62" s="5">
        <v>2475640000000000</v>
      </c>
      <c r="D62" s="5">
        <v>2734900000000000</v>
      </c>
      <c r="E62" s="5">
        <v>2941260000000000</v>
      </c>
      <c r="F62" s="5">
        <v>3158620000000000</v>
      </c>
      <c r="G62" s="5">
        <v>3360810000000000</v>
      </c>
      <c r="H62" s="5">
        <v>3555400000000000</v>
      </c>
      <c r="I62" s="5">
        <v>3746950000000000</v>
      </c>
      <c r="J62" s="5">
        <v>3935350000000000</v>
      </c>
      <c r="K62" s="5">
        <v>4174590000000000</v>
      </c>
      <c r="L62" s="5">
        <v>4413260000000000</v>
      </c>
      <c r="M62" s="5">
        <v>4651610000000000</v>
      </c>
      <c r="N62" s="5">
        <v>4888790000000000</v>
      </c>
      <c r="O62" s="5">
        <v>5127000000000000</v>
      </c>
      <c r="P62" s="5">
        <v>5345000000000000</v>
      </c>
      <c r="Q62" s="5">
        <v>5563000000000000</v>
      </c>
      <c r="R62" s="5">
        <v>5781000000000000</v>
      </c>
      <c r="S62" s="5">
        <v>5999000000000000</v>
      </c>
      <c r="T62" s="5">
        <v>6217000000000000</v>
      </c>
      <c r="U62" s="5">
        <v>6390000000000000</v>
      </c>
      <c r="V62" s="5">
        <v>6564000000000000</v>
      </c>
      <c r="W62" s="5">
        <v>6738000000000000</v>
      </c>
      <c r="X62" s="5">
        <v>6911000000000000</v>
      </c>
      <c r="Y62" s="5">
        <v>7085000000000000</v>
      </c>
      <c r="Z62" s="5">
        <v>7199000000000000</v>
      </c>
      <c r="AA62" s="5">
        <v>7313000000000000</v>
      </c>
      <c r="AB62" s="5">
        <v>7428000000000000</v>
      </c>
      <c r="AC62" s="5">
        <v>7542000000000000</v>
      </c>
      <c r="AD62" s="5">
        <v>7657000000000000</v>
      </c>
      <c r="AE62" s="5">
        <v>7771000000000000</v>
      </c>
      <c r="AF62" s="5">
        <v>7885000000000000</v>
      </c>
      <c r="AG62" s="5">
        <v>8000000000000000</v>
      </c>
    </row>
    <row r="63" spans="1:33" x14ac:dyDescent="0.35">
      <c r="A63" t="s">
        <v>126</v>
      </c>
      <c r="B63" s="5">
        <v>465100000000000</v>
      </c>
      <c r="C63" s="5">
        <v>428796000000000</v>
      </c>
      <c r="D63" s="5">
        <v>452939000000000</v>
      </c>
      <c r="E63" s="5">
        <v>467062000000000</v>
      </c>
      <c r="F63" s="5">
        <v>475383000000000</v>
      </c>
      <c r="G63" s="5">
        <v>481169000000000</v>
      </c>
      <c r="H63" s="5">
        <v>485578000000000</v>
      </c>
      <c r="I63" s="5">
        <v>489443000000000</v>
      </c>
      <c r="J63" s="5">
        <v>492989000000000</v>
      </c>
      <c r="K63" s="5">
        <v>494669000000000</v>
      </c>
      <c r="L63" s="5">
        <v>496266000000000</v>
      </c>
      <c r="M63" s="5">
        <v>497822000000000</v>
      </c>
      <c r="N63" s="5">
        <v>499355000000000</v>
      </c>
      <c r="O63" s="5">
        <v>500983000000000</v>
      </c>
      <c r="P63" s="5">
        <v>501895000000000</v>
      </c>
      <c r="Q63" s="5">
        <v>502706000000000</v>
      </c>
      <c r="R63" s="5">
        <v>503617000000000</v>
      </c>
      <c r="S63" s="5">
        <v>504527000000000</v>
      </c>
      <c r="T63" s="5">
        <v>505437000000000</v>
      </c>
      <c r="U63" s="5">
        <v>505656000000000</v>
      </c>
      <c r="V63" s="5">
        <v>505863000000000</v>
      </c>
      <c r="W63" s="5">
        <v>506063000000000</v>
      </c>
      <c r="X63" s="5">
        <v>506270000000000</v>
      </c>
      <c r="Y63" s="5">
        <v>506478000000000</v>
      </c>
      <c r="Z63" s="5">
        <v>505486000000000</v>
      </c>
      <c r="AA63" s="5">
        <v>504493000000000</v>
      </c>
      <c r="AB63" s="5">
        <v>503401000000000</v>
      </c>
      <c r="AC63" s="5">
        <v>502401000000000</v>
      </c>
      <c r="AD63" s="5">
        <v>501308000000000</v>
      </c>
      <c r="AE63" s="5">
        <v>500315000000000</v>
      </c>
      <c r="AF63" s="5">
        <v>499333000000000</v>
      </c>
      <c r="AG63" s="5">
        <v>498240000000000</v>
      </c>
    </row>
    <row r="64" spans="1:33" x14ac:dyDescent="0.35">
      <c r="A64" t="s">
        <v>127</v>
      </c>
      <c r="B64" s="5">
        <v>342835000000</v>
      </c>
      <c r="C64" s="5">
        <v>320303000000</v>
      </c>
      <c r="D64" s="5">
        <v>342731000000</v>
      </c>
      <c r="E64" s="5">
        <v>357941000000</v>
      </c>
      <c r="F64" s="5">
        <v>365385000000</v>
      </c>
      <c r="G64" s="5">
        <v>370898000000</v>
      </c>
      <c r="H64" s="5">
        <v>375435000000</v>
      </c>
      <c r="I64" s="5">
        <v>379480000000</v>
      </c>
      <c r="J64" s="5">
        <v>383277000000</v>
      </c>
      <c r="K64" s="5">
        <v>382832000000</v>
      </c>
      <c r="L64" s="5">
        <v>382322000000</v>
      </c>
      <c r="M64" s="5">
        <v>381779000000</v>
      </c>
      <c r="N64" s="5">
        <v>381221000000</v>
      </c>
      <c r="O64" s="5">
        <v>380662000000</v>
      </c>
      <c r="P64" s="5">
        <v>380183000000</v>
      </c>
      <c r="Q64" s="5">
        <v>379705000000</v>
      </c>
      <c r="R64" s="5">
        <v>379226000000</v>
      </c>
      <c r="S64" s="5">
        <v>378747000000</v>
      </c>
      <c r="T64" s="5">
        <v>378268000000</v>
      </c>
      <c r="U64" s="5">
        <v>365149000000</v>
      </c>
      <c r="V64" s="5">
        <v>352029000000</v>
      </c>
      <c r="W64" s="5">
        <v>338909000000</v>
      </c>
      <c r="X64" s="5">
        <v>325789000000</v>
      </c>
      <c r="Y64" s="5">
        <v>312670000000</v>
      </c>
      <c r="Z64" s="5">
        <v>301848000000</v>
      </c>
      <c r="AA64" s="5">
        <v>291027000000</v>
      </c>
      <c r="AB64" s="5">
        <v>280206000000</v>
      </c>
      <c r="AC64" s="5">
        <v>269384000000</v>
      </c>
      <c r="AD64" s="5">
        <v>258563000000</v>
      </c>
      <c r="AE64" s="5">
        <v>247742000000</v>
      </c>
      <c r="AF64" s="5">
        <v>236920000000</v>
      </c>
      <c r="AG64" s="5">
        <v>226099000000</v>
      </c>
    </row>
    <row r="65" spans="1:33" x14ac:dyDescent="0.35">
      <c r="A65" t="s">
        <v>128</v>
      </c>
      <c r="B65" s="5">
        <v>559300000000</v>
      </c>
      <c r="C65" s="5">
        <v>516511000000</v>
      </c>
      <c r="D65" s="5">
        <v>546406000000</v>
      </c>
      <c r="E65" s="5">
        <v>564280000000</v>
      </c>
      <c r="F65" s="5">
        <v>576030000000</v>
      </c>
      <c r="G65" s="5">
        <v>584635000000</v>
      </c>
      <c r="H65" s="5">
        <v>591603000000</v>
      </c>
      <c r="I65" s="5">
        <v>597694000000</v>
      </c>
      <c r="J65" s="5">
        <v>603194000000</v>
      </c>
      <c r="K65" s="5">
        <v>608395000000</v>
      </c>
      <c r="L65" s="5">
        <v>613397000000</v>
      </c>
      <c r="M65" s="5">
        <v>618148000000</v>
      </c>
      <c r="N65" s="5">
        <v>622774000000</v>
      </c>
      <c r="O65" s="5">
        <v>627100000000</v>
      </c>
      <c r="P65" s="5">
        <v>631400000000</v>
      </c>
      <c r="Q65" s="5">
        <v>635400000000</v>
      </c>
      <c r="R65" s="5">
        <v>639300000000</v>
      </c>
      <c r="S65" s="5">
        <v>643000000000</v>
      </c>
      <c r="T65" s="5">
        <v>646500000000</v>
      </c>
      <c r="U65" s="5">
        <v>649800000000</v>
      </c>
      <c r="V65" s="5">
        <v>652900000000</v>
      </c>
      <c r="W65" s="5">
        <v>655900000000</v>
      </c>
      <c r="X65" s="5">
        <v>658800000000</v>
      </c>
      <c r="Y65" s="5">
        <v>661500000000</v>
      </c>
      <c r="Z65" s="5">
        <v>664000000000</v>
      </c>
      <c r="AA65" s="5">
        <v>666400000000</v>
      </c>
      <c r="AB65" s="5">
        <v>668700000000</v>
      </c>
      <c r="AC65" s="5">
        <v>670800000000</v>
      </c>
      <c r="AD65" s="5">
        <v>672800000000</v>
      </c>
      <c r="AE65" s="5">
        <v>674600000000</v>
      </c>
      <c r="AF65" s="5">
        <v>676300000000</v>
      </c>
      <c r="AG65" s="5">
        <v>677900000000</v>
      </c>
    </row>
    <row r="66" spans="1:33" x14ac:dyDescent="0.35">
      <c r="A66" t="s">
        <v>129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</row>
    <row r="67" spans="1:33" x14ac:dyDescent="0.35">
      <c r="A67" t="s">
        <v>130</v>
      </c>
      <c r="B67" s="5">
        <v>1652000000000000</v>
      </c>
      <c r="C67" s="5">
        <v>1536220000000000</v>
      </c>
      <c r="D67" s="5">
        <v>1637340000000000</v>
      </c>
      <c r="E67" s="5">
        <v>1702590000000000</v>
      </c>
      <c r="F67" s="5">
        <v>1756970000000000</v>
      </c>
      <c r="G67" s="5">
        <v>1802360000000000</v>
      </c>
      <c r="H67" s="5">
        <v>1842170000000000</v>
      </c>
      <c r="I67" s="5">
        <v>1880630000000000</v>
      </c>
      <c r="J67" s="5">
        <v>1917910000000000</v>
      </c>
      <c r="K67" s="5">
        <v>1956560000000000</v>
      </c>
      <c r="L67" s="5">
        <v>1994910000000000</v>
      </c>
      <c r="M67" s="5">
        <v>2033100000000000</v>
      </c>
      <c r="N67" s="5">
        <v>2071210000000000</v>
      </c>
      <c r="O67" s="5">
        <v>2109310000000000</v>
      </c>
      <c r="P67" s="5">
        <v>2159330000000000</v>
      </c>
      <c r="Q67" s="5">
        <v>2210360000000000</v>
      </c>
      <c r="R67" s="5">
        <v>2261380000000000</v>
      </c>
      <c r="S67" s="5">
        <v>2311400000000000</v>
      </c>
      <c r="T67" s="5">
        <v>2362430000000000</v>
      </c>
      <c r="U67" s="5">
        <v>2435470000000000</v>
      </c>
      <c r="V67" s="5">
        <v>2507490000000000</v>
      </c>
      <c r="W67" s="5">
        <v>2580500000000000</v>
      </c>
      <c r="X67" s="5">
        <v>2653520000000000</v>
      </c>
      <c r="Y67" s="5">
        <v>2726550000000000</v>
      </c>
      <c r="Z67" s="5">
        <v>2783570000000000</v>
      </c>
      <c r="AA67" s="5">
        <v>2840590000000000</v>
      </c>
      <c r="AB67" s="5">
        <v>2898620000000000</v>
      </c>
      <c r="AC67" s="5">
        <v>2955620000000000</v>
      </c>
      <c r="AD67" s="5">
        <v>3012650000000000</v>
      </c>
      <c r="AE67" s="5">
        <v>3069670000000000</v>
      </c>
      <c r="AF67" s="5">
        <v>3127720000000000</v>
      </c>
      <c r="AG67" s="5">
        <v>3184750000000000</v>
      </c>
    </row>
    <row r="68" spans="1:33" x14ac:dyDescent="0.35">
      <c r="A68" t="s">
        <v>131</v>
      </c>
      <c r="B68" s="5">
        <v>2020000000000</v>
      </c>
      <c r="C68" s="5">
        <v>1919100000000</v>
      </c>
      <c r="D68" s="5">
        <v>2086100000000</v>
      </c>
      <c r="E68" s="5">
        <v>2211330000000</v>
      </c>
      <c r="F68" s="5">
        <v>2339530000000</v>
      </c>
      <c r="G68" s="5">
        <v>2457700000000</v>
      </c>
      <c r="H68" s="5">
        <v>2569070000000</v>
      </c>
      <c r="I68" s="5">
        <v>2678390000000</v>
      </c>
      <c r="J68" s="5">
        <v>2786120000000</v>
      </c>
      <c r="K68" s="5">
        <v>2925020000000</v>
      </c>
      <c r="L68" s="5">
        <v>3063480000000</v>
      </c>
      <c r="M68" s="5">
        <v>3201730000000</v>
      </c>
      <c r="N68" s="5">
        <v>3339860000000</v>
      </c>
      <c r="O68" s="5">
        <v>3479000000000</v>
      </c>
      <c r="P68" s="5">
        <v>3642000000000</v>
      </c>
      <c r="Q68" s="5">
        <v>3805000000000</v>
      </c>
      <c r="R68" s="5">
        <v>3968000000000</v>
      </c>
      <c r="S68" s="5">
        <v>4131000000000</v>
      </c>
      <c r="T68" s="5">
        <v>4294000000000</v>
      </c>
      <c r="U68" s="5">
        <v>4449000000000</v>
      </c>
      <c r="V68" s="5">
        <v>4604000000000</v>
      </c>
      <c r="W68" s="5">
        <v>4759000000000</v>
      </c>
      <c r="X68" s="5">
        <v>4914000000000</v>
      </c>
      <c r="Y68" s="5">
        <v>5069000000000</v>
      </c>
      <c r="Z68" s="5">
        <v>5209000000000</v>
      </c>
      <c r="AA68" s="5">
        <v>5349000000000</v>
      </c>
      <c r="AB68" s="5">
        <v>5489000000000</v>
      </c>
      <c r="AC68" s="5">
        <v>5630000000000</v>
      </c>
      <c r="AD68" s="5">
        <v>5770000000000</v>
      </c>
      <c r="AE68" s="5">
        <v>5910000000000</v>
      </c>
      <c r="AF68" s="5">
        <v>6050000000000</v>
      </c>
      <c r="AG68" s="5">
        <v>6191000000000</v>
      </c>
    </row>
    <row r="69" spans="1:33" x14ac:dyDescent="0.35">
      <c r="A69" t="s">
        <v>132</v>
      </c>
      <c r="B69" s="5">
        <v>409600000000000</v>
      </c>
      <c r="C69" s="5">
        <v>381718000000000</v>
      </c>
      <c r="D69" s="5">
        <v>407556000000000</v>
      </c>
      <c r="E69" s="5">
        <v>424653000000000</v>
      </c>
      <c r="F69" s="5">
        <v>441395000000000</v>
      </c>
      <c r="G69" s="5">
        <v>455932000000000</v>
      </c>
      <c r="H69" s="5">
        <v>469333000000000</v>
      </c>
      <c r="I69" s="5">
        <v>482150000000000</v>
      </c>
      <c r="J69" s="5">
        <v>494567000000000</v>
      </c>
      <c r="K69" s="5">
        <v>508829000000000</v>
      </c>
      <c r="L69" s="5">
        <v>522912000000000</v>
      </c>
      <c r="M69" s="5">
        <v>536955000000000</v>
      </c>
      <c r="N69" s="5">
        <v>550977000000000</v>
      </c>
      <c r="O69" s="5">
        <v>565000000000000</v>
      </c>
      <c r="P69" s="5">
        <v>581000000000000</v>
      </c>
      <c r="Q69" s="5">
        <v>597100000000000</v>
      </c>
      <c r="R69" s="5">
        <v>613100000000000</v>
      </c>
      <c r="S69" s="5">
        <v>629200000000000</v>
      </c>
      <c r="T69" s="5">
        <v>645200000000000</v>
      </c>
      <c r="U69" s="5">
        <v>665100000000000</v>
      </c>
      <c r="V69" s="5">
        <v>684900000000000</v>
      </c>
      <c r="W69" s="5">
        <v>704800000000000</v>
      </c>
      <c r="X69" s="5">
        <v>724600000000000</v>
      </c>
      <c r="Y69" s="5">
        <v>744500000000000</v>
      </c>
      <c r="Z69" s="5">
        <v>769400000000000</v>
      </c>
      <c r="AA69" s="5">
        <v>794400000000000</v>
      </c>
      <c r="AB69" s="5">
        <v>819400000000000</v>
      </c>
      <c r="AC69" s="5">
        <v>844400000000000</v>
      </c>
      <c r="AD69" s="5">
        <v>869400000000000</v>
      </c>
      <c r="AE69" s="5">
        <v>894400000000000</v>
      </c>
      <c r="AF69" s="5">
        <v>919400000000000</v>
      </c>
      <c r="AG69" s="5">
        <v>944400000000000</v>
      </c>
    </row>
    <row r="70" spans="1:33" x14ac:dyDescent="0.35">
      <c r="A70" t="s">
        <v>133</v>
      </c>
      <c r="B70" s="5">
        <v>67060000000000</v>
      </c>
      <c r="C70" s="5">
        <v>64847200000000</v>
      </c>
      <c r="D70" s="5">
        <v>71626100000000</v>
      </c>
      <c r="E70" s="5">
        <v>77054000000000</v>
      </c>
      <c r="F70" s="5">
        <v>82729500000000</v>
      </c>
      <c r="G70" s="5">
        <v>88033500000000</v>
      </c>
      <c r="H70" s="5">
        <v>93138600000000</v>
      </c>
      <c r="I70" s="5">
        <v>98147700000000</v>
      </c>
      <c r="J70" s="5">
        <v>103131000000000</v>
      </c>
      <c r="K70" s="5">
        <v>109363000000000</v>
      </c>
      <c r="L70" s="5">
        <v>115581000000000</v>
      </c>
      <c r="M70" s="5">
        <v>121790000000000</v>
      </c>
      <c r="N70" s="5">
        <v>128095000000000</v>
      </c>
      <c r="O70" s="5">
        <v>134300000000000</v>
      </c>
      <c r="P70" s="5">
        <v>140000000000000</v>
      </c>
      <c r="Q70" s="5">
        <v>145700000000000</v>
      </c>
      <c r="R70" s="5">
        <v>151400000000000</v>
      </c>
      <c r="S70" s="5">
        <v>157100000000000</v>
      </c>
      <c r="T70" s="5">
        <v>162900000000000</v>
      </c>
      <c r="U70" s="5">
        <v>167400000000000</v>
      </c>
      <c r="V70" s="5">
        <v>171900000000000</v>
      </c>
      <c r="W70" s="5">
        <v>176500000000000</v>
      </c>
      <c r="X70" s="5">
        <v>181000000000000</v>
      </c>
      <c r="Y70" s="5">
        <v>185600000000000</v>
      </c>
      <c r="Z70" s="5">
        <v>188600000000000</v>
      </c>
      <c r="AA70" s="5">
        <v>191600000000000</v>
      </c>
      <c r="AB70" s="5">
        <v>194600000000000</v>
      </c>
      <c r="AC70" s="5">
        <v>197600000000000</v>
      </c>
      <c r="AD70" s="5">
        <v>200600000000000</v>
      </c>
      <c r="AE70" s="5">
        <v>203600000000000</v>
      </c>
      <c r="AF70" s="5">
        <v>206600000000000</v>
      </c>
      <c r="AG70" s="5">
        <v>209600000000000</v>
      </c>
    </row>
    <row r="71" spans="1:33" x14ac:dyDescent="0.35">
      <c r="A71" t="s">
        <v>134</v>
      </c>
      <c r="B71" s="5">
        <v>716200000000000</v>
      </c>
      <c r="C71" s="5">
        <v>654871000000000</v>
      </c>
      <c r="D71" s="5">
        <v>686215000000000</v>
      </c>
      <c r="E71" s="5">
        <v>702052000000000</v>
      </c>
      <c r="F71" s="5">
        <v>716902000000000</v>
      </c>
      <c r="G71" s="5">
        <v>727966000000000</v>
      </c>
      <c r="H71" s="5">
        <v>737218000000000</v>
      </c>
      <c r="I71" s="5">
        <v>745404000000000</v>
      </c>
      <c r="J71" s="5">
        <v>753103000000000</v>
      </c>
      <c r="K71" s="5">
        <v>764954000000000</v>
      </c>
      <c r="L71" s="5">
        <v>776681000000000</v>
      </c>
      <c r="M71" s="5">
        <v>788247000000000</v>
      </c>
      <c r="N71" s="5">
        <v>799880000000000</v>
      </c>
      <c r="O71" s="5">
        <v>811514000000000</v>
      </c>
      <c r="P71" s="5">
        <v>823115000000000</v>
      </c>
      <c r="Q71" s="5">
        <v>834816000000000</v>
      </c>
      <c r="R71" s="5">
        <v>846416000000000</v>
      </c>
      <c r="S71" s="5">
        <v>858017000000000</v>
      </c>
      <c r="T71" s="5">
        <v>869718000000000</v>
      </c>
      <c r="U71" s="5">
        <v>878919000000000</v>
      </c>
      <c r="V71" s="5">
        <v>888120000000000</v>
      </c>
      <c r="W71" s="5">
        <v>897419000000000</v>
      </c>
      <c r="X71" s="5">
        <v>906620000000000</v>
      </c>
      <c r="Y71" s="5">
        <v>915921000000000</v>
      </c>
      <c r="Z71" s="5">
        <v>927922000000000</v>
      </c>
      <c r="AA71" s="5">
        <v>939922000000000</v>
      </c>
      <c r="AB71" s="5">
        <v>951923000000000</v>
      </c>
      <c r="AC71" s="5">
        <v>963923000000000</v>
      </c>
      <c r="AD71" s="5">
        <v>976024000000000</v>
      </c>
      <c r="AE71" s="5">
        <v>988025000000000</v>
      </c>
      <c r="AF71" s="5">
        <v>1000030000000000</v>
      </c>
      <c r="AG71" s="5">
        <v>1012030000000000</v>
      </c>
    </row>
    <row r="72" spans="1:33" x14ac:dyDescent="0.35">
      <c r="A72" t="s">
        <v>135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</row>
    <row r="73" spans="1:33" x14ac:dyDescent="0.35">
      <c r="A73" t="s">
        <v>136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</row>
    <row r="74" spans="1:33" x14ac:dyDescent="0.35">
      <c r="A74" t="s">
        <v>137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</row>
    <row r="75" spans="1:33" x14ac:dyDescent="0.35">
      <c r="A75" t="s">
        <v>138</v>
      </c>
      <c r="B75" s="5">
        <v>196000000000000</v>
      </c>
      <c r="C75" s="5">
        <v>182316000000000</v>
      </c>
      <c r="D75" s="5">
        <v>194260000000000</v>
      </c>
      <c r="E75" s="5">
        <v>202059000000000</v>
      </c>
      <c r="F75" s="5">
        <v>208439000000000</v>
      </c>
      <c r="G75" s="5">
        <v>213753000000000</v>
      </c>
      <c r="H75" s="5">
        <v>218622000000000</v>
      </c>
      <c r="I75" s="5">
        <v>223113000000000</v>
      </c>
      <c r="J75" s="5">
        <v>227463000000000</v>
      </c>
      <c r="K75" s="5">
        <v>232040000000000</v>
      </c>
      <c r="L75" s="5">
        <v>236680000000000</v>
      </c>
      <c r="M75" s="5">
        <v>241201000000000</v>
      </c>
      <c r="N75" s="5">
        <v>245713000000000</v>
      </c>
      <c r="O75" s="5">
        <v>250224000000000</v>
      </c>
      <c r="P75" s="5">
        <v>256225000000000</v>
      </c>
      <c r="Q75" s="5">
        <v>262227000000000</v>
      </c>
      <c r="R75" s="5">
        <v>268229000000000</v>
      </c>
      <c r="S75" s="5">
        <v>274230000000000</v>
      </c>
      <c r="T75" s="5">
        <v>280232000000000</v>
      </c>
      <c r="U75" s="5">
        <v>288834000000000</v>
      </c>
      <c r="V75" s="5">
        <v>297536000000000</v>
      </c>
      <c r="W75" s="5">
        <v>306137000000000</v>
      </c>
      <c r="X75" s="5">
        <v>314739000000000</v>
      </c>
      <c r="Y75" s="5">
        <v>323441000000000</v>
      </c>
      <c r="Z75" s="5">
        <v>330243000000000</v>
      </c>
      <c r="AA75" s="5">
        <v>337045000000000</v>
      </c>
      <c r="AB75" s="5">
        <v>343847000000000</v>
      </c>
      <c r="AC75" s="5">
        <v>350648000000000</v>
      </c>
      <c r="AD75" s="5">
        <v>357450000000000</v>
      </c>
      <c r="AE75" s="5">
        <v>364253000000000</v>
      </c>
      <c r="AF75" s="5">
        <v>371057000000000</v>
      </c>
      <c r="AG75" s="5">
        <v>377759000000000</v>
      </c>
    </row>
    <row r="76" spans="1:33" x14ac:dyDescent="0.35">
      <c r="A76" t="s">
        <v>139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</row>
    <row r="77" spans="1:33" x14ac:dyDescent="0.35">
      <c r="A77" t="s">
        <v>140</v>
      </c>
      <c r="B77" s="5">
        <v>0</v>
      </c>
      <c r="C77" s="5">
        <v>16882900</v>
      </c>
      <c r="D77" s="5">
        <v>28613300</v>
      </c>
      <c r="E77" s="5">
        <v>47391000</v>
      </c>
      <c r="F77" s="5">
        <v>66189600</v>
      </c>
      <c r="G77" s="5">
        <v>84912400</v>
      </c>
      <c r="H77" s="5">
        <v>103496000</v>
      </c>
      <c r="I77" s="5">
        <v>121930000</v>
      </c>
      <c r="J77" s="5">
        <v>139102000</v>
      </c>
      <c r="K77" s="5">
        <v>156189000</v>
      </c>
      <c r="L77" s="5">
        <v>173556000</v>
      </c>
      <c r="M77" s="5">
        <v>217506000</v>
      </c>
      <c r="N77" s="5">
        <v>237114000</v>
      </c>
      <c r="O77" s="5">
        <v>248316000</v>
      </c>
      <c r="P77" s="5">
        <v>264020000</v>
      </c>
      <c r="Q77" s="5">
        <v>277916000</v>
      </c>
      <c r="R77" s="5">
        <v>289606000</v>
      </c>
      <c r="S77" s="5">
        <v>301487000</v>
      </c>
      <c r="T77" s="5">
        <v>313634000</v>
      </c>
      <c r="U77" s="5">
        <v>324022000</v>
      </c>
      <c r="V77" s="5">
        <v>379955000</v>
      </c>
      <c r="W77" s="5">
        <v>382454000</v>
      </c>
      <c r="X77" s="5">
        <v>393259000</v>
      </c>
      <c r="Y77" s="5">
        <v>406963000</v>
      </c>
      <c r="Z77" s="5">
        <v>421309000</v>
      </c>
      <c r="AA77" s="5">
        <v>437890000</v>
      </c>
      <c r="AB77" s="5">
        <v>455504000</v>
      </c>
      <c r="AC77" s="5">
        <v>513747000</v>
      </c>
      <c r="AD77" s="5">
        <v>531870000</v>
      </c>
      <c r="AE77" s="5">
        <v>551200000</v>
      </c>
      <c r="AF77" s="5">
        <v>566298000</v>
      </c>
      <c r="AG77" s="5">
        <v>585977000</v>
      </c>
    </row>
    <row r="78" spans="1:33" x14ac:dyDescent="0.35">
      <c r="A78" t="s">
        <v>141</v>
      </c>
      <c r="B78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</row>
    <row r="79" spans="1:33" x14ac:dyDescent="0.35">
      <c r="A79" t="s">
        <v>142</v>
      </c>
      <c r="B79" s="5">
        <v>0</v>
      </c>
      <c r="C79" s="5">
        <v>5517380000</v>
      </c>
      <c r="D79" s="5">
        <v>9322460000</v>
      </c>
      <c r="E79" s="5">
        <v>15528000000</v>
      </c>
      <c r="F79" s="5">
        <v>21752400000</v>
      </c>
      <c r="G79" s="5">
        <v>27710400000</v>
      </c>
      <c r="H79" s="5">
        <v>33539300000</v>
      </c>
      <c r="I79" s="5">
        <v>39195200000</v>
      </c>
      <c r="J79" s="5">
        <v>46491200000</v>
      </c>
      <c r="K79" s="5">
        <v>51832600000</v>
      </c>
      <c r="L79" s="5">
        <v>56778400000</v>
      </c>
      <c r="M79" s="5">
        <v>61566100000</v>
      </c>
      <c r="N79" s="5">
        <v>66141700000</v>
      </c>
      <c r="O79" s="5">
        <v>68236900000</v>
      </c>
      <c r="P79" s="5">
        <v>71478300000</v>
      </c>
      <c r="Q79" s="5">
        <v>73910100000</v>
      </c>
      <c r="R79" s="5">
        <v>76338000000</v>
      </c>
      <c r="S79" s="5">
        <v>78785500000</v>
      </c>
      <c r="T79" s="5">
        <v>80656800000</v>
      </c>
      <c r="U79" s="5">
        <v>86166400000</v>
      </c>
      <c r="V79" s="5">
        <v>87816400000</v>
      </c>
      <c r="W79" s="5">
        <v>86616700000</v>
      </c>
      <c r="X79" s="5">
        <v>88317500000</v>
      </c>
      <c r="Y79" s="5">
        <v>90033000000</v>
      </c>
      <c r="Z79" s="5">
        <v>91857200000</v>
      </c>
      <c r="AA79" s="5">
        <v>93166900000</v>
      </c>
      <c r="AB79" s="5">
        <v>95220400000</v>
      </c>
      <c r="AC79" s="5">
        <v>94268000000</v>
      </c>
      <c r="AD79" s="5">
        <v>95598600000</v>
      </c>
      <c r="AE79" s="5">
        <v>97106500000</v>
      </c>
      <c r="AF79" s="5">
        <v>101821000000</v>
      </c>
      <c r="AG79" s="5">
        <v>103345000000</v>
      </c>
    </row>
    <row r="80" spans="1:33" x14ac:dyDescent="0.35">
      <c r="A80" t="s">
        <v>143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</row>
    <row r="81" spans="1:33" x14ac:dyDescent="0.35">
      <c r="A81" t="s">
        <v>144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35">
      <c r="A82" t="s">
        <v>145</v>
      </c>
      <c r="B82" s="5">
        <v>2120000000000000</v>
      </c>
      <c r="C82" s="5">
        <v>2047040000000000</v>
      </c>
      <c r="D82" s="5">
        <v>2267920000000000</v>
      </c>
      <c r="E82" s="5">
        <v>2436380000000000</v>
      </c>
      <c r="F82" s="5">
        <v>2581900000000000</v>
      </c>
      <c r="G82" s="5">
        <v>2715300000000000</v>
      </c>
      <c r="H82" s="5">
        <v>2842330000000000</v>
      </c>
      <c r="I82" s="5">
        <v>2966000000000000</v>
      </c>
      <c r="J82" s="5">
        <v>3097910000000000</v>
      </c>
      <c r="K82" s="5">
        <v>3208920000000000</v>
      </c>
      <c r="L82" s="5">
        <v>3329440000000000</v>
      </c>
      <c r="M82" s="5">
        <v>3439710000000000</v>
      </c>
      <c r="N82" s="5">
        <v>3559850000000000</v>
      </c>
      <c r="O82" s="5">
        <v>3670000000000000</v>
      </c>
      <c r="P82" s="5">
        <v>3740000000000000</v>
      </c>
      <c r="Q82" s="5">
        <v>3800000000000000</v>
      </c>
      <c r="R82" s="5">
        <v>3860000000000000</v>
      </c>
      <c r="S82" s="5">
        <v>3920000000000000</v>
      </c>
      <c r="T82" s="5">
        <v>3980000000000000</v>
      </c>
      <c r="U82" s="5">
        <v>4050000000000000</v>
      </c>
      <c r="V82" s="5">
        <v>4120000000000000</v>
      </c>
      <c r="W82" s="5">
        <v>4190000000000000</v>
      </c>
      <c r="X82" s="5">
        <v>4260000000000000</v>
      </c>
      <c r="Y82" s="5">
        <v>4330000000000000</v>
      </c>
      <c r="Z82" s="5">
        <v>4380000000000000</v>
      </c>
      <c r="AA82" s="5">
        <v>4420000000000000</v>
      </c>
      <c r="AB82" s="5">
        <v>4470000000000000</v>
      </c>
      <c r="AC82" s="5">
        <v>4510000000000000</v>
      </c>
      <c r="AD82" s="5">
        <v>4550000000000000</v>
      </c>
      <c r="AE82" s="5">
        <v>4600000000000000</v>
      </c>
      <c r="AF82" s="5">
        <v>4640000000000000</v>
      </c>
      <c r="AG82" s="5">
        <v>4690000000000000</v>
      </c>
    </row>
    <row r="83" spans="1:33" x14ac:dyDescent="0.35">
      <c r="A83" t="s">
        <v>146</v>
      </c>
      <c r="B83" s="5">
        <v>0</v>
      </c>
      <c r="C83" s="5">
        <v>8593980000</v>
      </c>
      <c r="D83" s="5">
        <v>14663300000</v>
      </c>
      <c r="E83" s="5">
        <v>24409900000</v>
      </c>
      <c r="F83" s="5">
        <v>34372500000</v>
      </c>
      <c r="G83" s="5">
        <v>43985100000</v>
      </c>
      <c r="H83" s="5">
        <v>53672800000</v>
      </c>
      <c r="I83" s="5">
        <v>63113900000</v>
      </c>
      <c r="J83" s="5">
        <v>75671600000</v>
      </c>
      <c r="K83" s="5">
        <v>84960800000</v>
      </c>
      <c r="L83" s="5">
        <v>93944700000</v>
      </c>
      <c r="M83" s="5">
        <v>102585000000</v>
      </c>
      <c r="N83" s="5">
        <v>111359000000</v>
      </c>
      <c r="O83" s="5">
        <v>115086000000</v>
      </c>
      <c r="P83" s="5">
        <v>122102000000</v>
      </c>
      <c r="Q83" s="5">
        <v>128193000000</v>
      </c>
      <c r="R83" s="5">
        <v>133895000000</v>
      </c>
      <c r="S83" s="5">
        <v>139697000000</v>
      </c>
      <c r="T83" s="5">
        <v>145384000000</v>
      </c>
      <c r="U83" s="5">
        <v>156848000000</v>
      </c>
      <c r="V83" s="5">
        <v>163109000000</v>
      </c>
      <c r="W83" s="5">
        <v>164089000000</v>
      </c>
      <c r="X83" s="5">
        <v>170266000000</v>
      </c>
      <c r="Y83" s="5">
        <v>176529000000</v>
      </c>
      <c r="Z83" s="5">
        <v>182653000000</v>
      </c>
      <c r="AA83" s="5">
        <v>188472000000</v>
      </c>
      <c r="AB83" s="5">
        <v>194494000000</v>
      </c>
      <c r="AC83" s="5">
        <v>195507000000</v>
      </c>
      <c r="AD83" s="5">
        <v>201059000000</v>
      </c>
      <c r="AE83" s="5">
        <v>207059000000</v>
      </c>
      <c r="AF83" s="5">
        <v>220198000000</v>
      </c>
      <c r="AG83" s="5">
        <v>226496000000</v>
      </c>
    </row>
    <row r="84" spans="1:33" x14ac:dyDescent="0.35">
      <c r="A84" t="s">
        <v>147</v>
      </c>
      <c r="B84" s="5">
        <v>12090000000000</v>
      </c>
      <c r="C84" s="5">
        <v>11487200000000</v>
      </c>
      <c r="D84" s="5">
        <v>12478300000000</v>
      </c>
      <c r="E84" s="5">
        <v>13228800000000</v>
      </c>
      <c r="F84" s="5">
        <v>13997600000000</v>
      </c>
      <c r="G84" s="5">
        <v>14710400000000</v>
      </c>
      <c r="H84" s="5">
        <v>15378500000000</v>
      </c>
      <c r="I84" s="5">
        <v>16028400000000</v>
      </c>
      <c r="J84" s="5">
        <v>16668800000000</v>
      </c>
      <c r="K84" s="5">
        <v>17504100000000</v>
      </c>
      <c r="L84" s="5">
        <v>18336900000000</v>
      </c>
      <c r="M84" s="5">
        <v>19158400000000</v>
      </c>
      <c r="N84" s="5">
        <v>19989200000000</v>
      </c>
      <c r="O84" s="5">
        <v>20820000000000</v>
      </c>
      <c r="P84" s="5">
        <v>21790000000000</v>
      </c>
      <c r="Q84" s="5">
        <v>22770000000000</v>
      </c>
      <c r="R84" s="5">
        <v>23740000000000</v>
      </c>
      <c r="S84" s="5">
        <v>24720000000000</v>
      </c>
      <c r="T84" s="5">
        <v>25700000000000</v>
      </c>
      <c r="U84" s="5">
        <v>26620000000000</v>
      </c>
      <c r="V84" s="5">
        <v>27550000000000</v>
      </c>
      <c r="W84" s="5">
        <v>28480000000000</v>
      </c>
      <c r="X84" s="5">
        <v>29400000000000</v>
      </c>
      <c r="Y84" s="5">
        <v>30330000000000</v>
      </c>
      <c r="Z84" s="5">
        <v>31170000000000</v>
      </c>
      <c r="AA84" s="5">
        <v>32010000000000</v>
      </c>
      <c r="AB84" s="5">
        <v>32850000000000</v>
      </c>
      <c r="AC84" s="5">
        <v>33690000000000</v>
      </c>
      <c r="AD84" s="5">
        <v>34530000000000</v>
      </c>
      <c r="AE84" s="5">
        <v>35370000000000</v>
      </c>
      <c r="AF84" s="5">
        <v>36210000000000</v>
      </c>
      <c r="AG84" s="5">
        <v>37050000000000</v>
      </c>
    </row>
    <row r="85" spans="1:33" x14ac:dyDescent="0.35">
      <c r="A85" t="s">
        <v>148</v>
      </c>
      <c r="B85" s="5">
        <v>286200000000</v>
      </c>
      <c r="C85" s="5">
        <v>266758000000</v>
      </c>
      <c r="D85" s="5">
        <v>284787000000</v>
      </c>
      <c r="E85" s="5">
        <v>296776000000</v>
      </c>
      <c r="F85" s="5">
        <v>308453000000</v>
      </c>
      <c r="G85" s="5">
        <v>318589000000</v>
      </c>
      <c r="H85" s="5">
        <v>327931000000</v>
      </c>
      <c r="I85" s="5">
        <v>336865000000</v>
      </c>
      <c r="J85" s="5">
        <v>345588000000</v>
      </c>
      <c r="K85" s="5">
        <v>355504000000</v>
      </c>
      <c r="L85" s="5">
        <v>365364000000</v>
      </c>
      <c r="M85" s="5">
        <v>375200000000</v>
      </c>
      <c r="N85" s="5">
        <v>385017000000</v>
      </c>
      <c r="O85" s="5">
        <v>394835000000</v>
      </c>
      <c r="P85" s="5">
        <v>406037000000</v>
      </c>
      <c r="Q85" s="5">
        <v>417239000000</v>
      </c>
      <c r="R85" s="5">
        <v>428441000000</v>
      </c>
      <c r="S85" s="5">
        <v>439642000000</v>
      </c>
      <c r="T85" s="5">
        <v>450844000000</v>
      </c>
      <c r="U85" s="5">
        <v>464745000000</v>
      </c>
      <c r="V85" s="5">
        <v>478653000000</v>
      </c>
      <c r="W85" s="5">
        <v>492453000000</v>
      </c>
      <c r="X85" s="5">
        <v>506355000000</v>
      </c>
      <c r="Y85" s="5">
        <v>520257000000</v>
      </c>
      <c r="Z85" s="5">
        <v>537658000000</v>
      </c>
      <c r="AA85" s="5">
        <v>555161000000</v>
      </c>
      <c r="AB85" s="5">
        <v>572563000000</v>
      </c>
      <c r="AC85" s="5">
        <v>590071000000</v>
      </c>
      <c r="AD85" s="5">
        <v>607574000000</v>
      </c>
      <c r="AE85" s="5">
        <v>624976000000</v>
      </c>
      <c r="AF85" s="5">
        <v>642478000000</v>
      </c>
      <c r="AG85" s="5">
        <v>659881000000</v>
      </c>
    </row>
    <row r="86" spans="1:33" x14ac:dyDescent="0.35">
      <c r="A86" t="s">
        <v>149</v>
      </c>
      <c r="B86" s="5">
        <v>30560000000000</v>
      </c>
      <c r="C86" s="5">
        <v>29554100000000</v>
      </c>
      <c r="D86" s="5">
        <v>32640800000000</v>
      </c>
      <c r="E86" s="5">
        <v>35117100000000</v>
      </c>
      <c r="F86" s="5">
        <v>37699600000000</v>
      </c>
      <c r="G86" s="5">
        <v>40122800000000</v>
      </c>
      <c r="H86" s="5">
        <v>42445400000000</v>
      </c>
      <c r="I86" s="5">
        <v>44729700000000</v>
      </c>
      <c r="J86" s="5">
        <v>46978400000000</v>
      </c>
      <c r="K86" s="5">
        <v>49833200000000</v>
      </c>
      <c r="L86" s="5">
        <v>52681100000000</v>
      </c>
      <c r="M86" s="5">
        <v>55525300000000</v>
      </c>
      <c r="N86" s="5">
        <v>58367500000000</v>
      </c>
      <c r="O86" s="5">
        <v>61210000000000</v>
      </c>
      <c r="P86" s="5">
        <v>63810000000000</v>
      </c>
      <c r="Q86" s="5">
        <v>66410000000000</v>
      </c>
      <c r="R86" s="5">
        <v>69020000000000</v>
      </c>
      <c r="S86" s="5">
        <v>71620000000000</v>
      </c>
      <c r="T86" s="5">
        <v>74220000000000</v>
      </c>
      <c r="U86" s="5">
        <v>76290000000000</v>
      </c>
      <c r="V86" s="5">
        <v>78360000000000</v>
      </c>
      <c r="W86" s="5">
        <v>80430000000000</v>
      </c>
      <c r="X86" s="5">
        <v>82510000000000</v>
      </c>
      <c r="Y86" s="5">
        <v>84580000000000</v>
      </c>
      <c r="Z86" s="5">
        <v>85940000000000</v>
      </c>
      <c r="AA86" s="5">
        <v>87310000000000</v>
      </c>
      <c r="AB86" s="5">
        <v>88680000000000</v>
      </c>
      <c r="AC86" s="5">
        <v>90040000000000</v>
      </c>
      <c r="AD86" s="5">
        <v>91410000000000</v>
      </c>
      <c r="AE86" s="5">
        <v>92770000000000</v>
      </c>
      <c r="AF86" s="5">
        <v>94140000000000</v>
      </c>
      <c r="AG86" s="5">
        <v>95500000000000</v>
      </c>
    </row>
    <row r="87" spans="1:33" x14ac:dyDescent="0.35">
      <c r="A87" t="s">
        <v>150</v>
      </c>
      <c r="B87" s="5">
        <v>61890000000000</v>
      </c>
      <c r="C87" s="5">
        <v>57071300000000</v>
      </c>
      <c r="D87" s="5">
        <v>60307200000000</v>
      </c>
      <c r="E87" s="5">
        <v>62213400000000</v>
      </c>
      <c r="F87" s="5">
        <v>63324300000000</v>
      </c>
      <c r="G87" s="5">
        <v>64087600000000</v>
      </c>
      <c r="H87" s="5">
        <v>64680700000000</v>
      </c>
      <c r="I87" s="5">
        <v>65198200000000</v>
      </c>
      <c r="J87" s="5">
        <v>65662800000000</v>
      </c>
      <c r="K87" s="5">
        <v>65875600000000</v>
      </c>
      <c r="L87" s="5">
        <v>66067200000000</v>
      </c>
      <c r="M87" s="5">
        <v>66263300000000</v>
      </c>
      <c r="N87" s="5">
        <v>66456600000000</v>
      </c>
      <c r="O87" s="5">
        <v>66649600000000</v>
      </c>
      <c r="P87" s="5">
        <v>66750000000000</v>
      </c>
      <c r="Q87" s="5">
        <v>66850400000000</v>
      </c>
      <c r="R87" s="5">
        <v>66950700000000</v>
      </c>
      <c r="S87" s="5">
        <v>67051100000000</v>
      </c>
      <c r="T87" s="5">
        <v>67151300000000</v>
      </c>
      <c r="U87" s="5">
        <v>67162100000000</v>
      </c>
      <c r="V87" s="5">
        <v>67162300000000</v>
      </c>
      <c r="W87" s="5">
        <v>67172100000000</v>
      </c>
      <c r="X87" s="5">
        <v>67182300000000</v>
      </c>
      <c r="Y87" s="5">
        <v>67192500000000</v>
      </c>
      <c r="Z87" s="5">
        <v>67022800000000</v>
      </c>
      <c r="AA87" s="5">
        <v>66862900000000</v>
      </c>
      <c r="AB87" s="5">
        <v>66693200000000</v>
      </c>
      <c r="AC87" s="5">
        <v>66533100000000</v>
      </c>
      <c r="AD87" s="5">
        <v>66363300000000</v>
      </c>
      <c r="AE87" s="5">
        <v>66203400000000</v>
      </c>
      <c r="AF87" s="5">
        <v>66034100000000</v>
      </c>
      <c r="AG87" s="5">
        <v>65874300000000</v>
      </c>
    </row>
    <row r="88" spans="1:33" x14ac:dyDescent="0.35">
      <c r="A88" t="s">
        <v>151</v>
      </c>
      <c r="B88" s="5">
        <v>62510000000000</v>
      </c>
      <c r="C88" s="5">
        <v>58395400000000</v>
      </c>
      <c r="D88" s="5">
        <v>62487400000000</v>
      </c>
      <c r="E88" s="5">
        <v>65263600000000</v>
      </c>
      <c r="F88" s="5">
        <v>66614900000000</v>
      </c>
      <c r="G88" s="5">
        <v>67623900000000</v>
      </c>
      <c r="H88" s="5">
        <v>68445200000000</v>
      </c>
      <c r="I88" s="5">
        <v>69186700000000</v>
      </c>
      <c r="J88" s="5">
        <v>69882900000000</v>
      </c>
      <c r="K88" s="5">
        <v>69796500000000</v>
      </c>
      <c r="L88" s="5">
        <v>69708300000000</v>
      </c>
      <c r="M88" s="5">
        <v>69604100000000</v>
      </c>
      <c r="N88" s="5">
        <v>69507100000000</v>
      </c>
      <c r="O88" s="5">
        <v>69400000000000</v>
      </c>
      <c r="P88" s="5">
        <v>69310000000000</v>
      </c>
      <c r="Q88" s="5">
        <v>69230000000000</v>
      </c>
      <c r="R88" s="5">
        <v>69140000000000</v>
      </c>
      <c r="S88" s="5">
        <v>69050000000000</v>
      </c>
      <c r="T88" s="5">
        <v>68970000000000</v>
      </c>
      <c r="U88" s="5">
        <v>66570000000000</v>
      </c>
      <c r="V88" s="5">
        <v>64180000000000</v>
      </c>
      <c r="W88" s="5">
        <v>61790000000000</v>
      </c>
      <c r="X88" s="5">
        <v>59400000000000</v>
      </c>
      <c r="Y88" s="5">
        <v>57010000000000</v>
      </c>
      <c r="Z88" s="5">
        <v>55030000000000</v>
      </c>
      <c r="AA88" s="5">
        <v>53060000000000</v>
      </c>
      <c r="AB88" s="5">
        <v>51090000000000</v>
      </c>
      <c r="AC88" s="5">
        <v>49110000000000</v>
      </c>
      <c r="AD88" s="5">
        <v>47140000000000</v>
      </c>
      <c r="AE88" s="5">
        <v>45170000000000</v>
      </c>
      <c r="AF88" s="5">
        <v>43200000000000</v>
      </c>
      <c r="AG88" s="5">
        <v>41220000000000</v>
      </c>
    </row>
    <row r="89" spans="1:33" x14ac:dyDescent="0.35">
      <c r="A89" t="s">
        <v>152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x14ac:dyDescent="0.35">
      <c r="A90" t="s">
        <v>153</v>
      </c>
      <c r="B90" s="5">
        <v>29460000000000</v>
      </c>
      <c r="C90" s="5">
        <v>28393500000000</v>
      </c>
      <c r="D90" s="5">
        <v>31262800000000</v>
      </c>
      <c r="E90" s="5">
        <v>33532000000000</v>
      </c>
      <c r="F90" s="5">
        <v>35741000000000</v>
      </c>
      <c r="G90" s="5">
        <v>37795400000000</v>
      </c>
      <c r="H90" s="5">
        <v>39752700000000</v>
      </c>
      <c r="I90" s="5">
        <v>41673800000000</v>
      </c>
      <c r="J90" s="5">
        <v>43560700000000</v>
      </c>
      <c r="K90" s="5">
        <v>45034800000000</v>
      </c>
      <c r="L90" s="5">
        <v>46502200000000</v>
      </c>
      <c r="M90" s="5">
        <v>47966000000000</v>
      </c>
      <c r="N90" s="5">
        <v>49437900000000</v>
      </c>
      <c r="O90" s="5">
        <v>50900000000000</v>
      </c>
      <c r="P90" s="5">
        <v>51040000000000</v>
      </c>
      <c r="Q90" s="5">
        <v>51190000000000</v>
      </c>
      <c r="R90" s="5">
        <v>51340000000000</v>
      </c>
      <c r="S90" s="5">
        <v>51490000000000</v>
      </c>
      <c r="T90" s="5">
        <v>51640000000000</v>
      </c>
      <c r="U90" s="5">
        <v>51780000000000</v>
      </c>
      <c r="V90" s="5">
        <v>51930000000000</v>
      </c>
      <c r="W90" s="5">
        <v>52070000000000</v>
      </c>
      <c r="X90" s="5">
        <v>52210000000000</v>
      </c>
      <c r="Y90" s="5">
        <v>52360000000000</v>
      </c>
      <c r="Z90" s="5">
        <v>52350000000000</v>
      </c>
      <c r="AA90" s="5">
        <v>52340000000000</v>
      </c>
      <c r="AB90" s="5">
        <v>52330000000000</v>
      </c>
      <c r="AC90" s="5">
        <v>52320000000000</v>
      </c>
      <c r="AD90" s="5">
        <v>52320000000000</v>
      </c>
      <c r="AE90" s="5">
        <v>52310000000000</v>
      </c>
      <c r="AF90" s="5">
        <v>52300000000000</v>
      </c>
      <c r="AG90" s="5">
        <v>52290000000000</v>
      </c>
    </row>
    <row r="91" spans="1:33" x14ac:dyDescent="0.35">
      <c r="A91" t="s">
        <v>154</v>
      </c>
      <c r="B91" s="5">
        <v>1070000000000000</v>
      </c>
      <c r="C91" s="5">
        <v>993363000000000</v>
      </c>
      <c r="D91" s="5">
        <v>1055490000000000</v>
      </c>
      <c r="E91" s="5">
        <v>1095880000000000</v>
      </c>
      <c r="F91" s="5">
        <v>1127730000000000</v>
      </c>
      <c r="G91" s="5">
        <v>1154760000000000</v>
      </c>
      <c r="H91" s="5">
        <v>1177830000000000</v>
      </c>
      <c r="I91" s="5">
        <v>1199390000000000</v>
      </c>
      <c r="J91" s="5">
        <v>1220190000000000</v>
      </c>
      <c r="K91" s="5">
        <v>1242590000000000</v>
      </c>
      <c r="L91" s="5">
        <v>1263800000000000</v>
      </c>
      <c r="M91" s="5">
        <v>1284910000000000</v>
      </c>
      <c r="N91" s="5">
        <v>1305960000000000</v>
      </c>
      <c r="O91" s="5">
        <v>1328020000000000</v>
      </c>
      <c r="P91" s="5">
        <v>1356020000000000</v>
      </c>
      <c r="Q91" s="5">
        <v>1385020000000000</v>
      </c>
      <c r="R91" s="5">
        <v>1413020000000000</v>
      </c>
      <c r="S91" s="5">
        <v>1442020000000000</v>
      </c>
      <c r="T91" s="5">
        <v>1470020000000000</v>
      </c>
      <c r="U91" s="5">
        <v>1512020000000000</v>
      </c>
      <c r="V91" s="5">
        <v>1553020000000000</v>
      </c>
      <c r="W91" s="5">
        <v>1595020000000000</v>
      </c>
      <c r="X91" s="5">
        <v>1636020000000000</v>
      </c>
      <c r="Y91" s="5">
        <v>1678020000000000</v>
      </c>
      <c r="Z91" s="5">
        <v>1709030000000000</v>
      </c>
      <c r="AA91" s="5">
        <v>1740030000000000</v>
      </c>
      <c r="AB91" s="5">
        <v>1771030000000000</v>
      </c>
      <c r="AC91" s="5">
        <v>1802030000000000</v>
      </c>
      <c r="AD91" s="5">
        <v>1833030000000000</v>
      </c>
      <c r="AE91" s="5">
        <v>1864030000000000</v>
      </c>
      <c r="AF91" s="5">
        <v>1895030000000000</v>
      </c>
      <c r="AG91" s="5">
        <v>1926030000000000</v>
      </c>
    </row>
    <row r="92" spans="1:33" x14ac:dyDescent="0.35">
      <c r="A92" t="s">
        <v>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x14ac:dyDescent="0.35">
      <c r="A93" t="s">
        <v>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35">
      <c r="A94" t="s">
        <v>157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35">
      <c r="A95" t="s">
        <v>158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35">
      <c r="A96" t="s">
        <v>159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35">
      <c r="A97" t="s">
        <v>160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35">
      <c r="A98" t="s">
        <v>161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35">
      <c r="A99" t="s">
        <v>162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35">
      <c r="A100" t="s">
        <v>163</v>
      </c>
      <c r="B100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</row>
    <row r="101" spans="1:33" x14ac:dyDescent="0.35">
      <c r="A101" t="s">
        <v>164</v>
      </c>
      <c r="B101" s="5">
        <v>1.21155E+16</v>
      </c>
      <c r="C101" s="5">
        <v>1.15097E+16</v>
      </c>
      <c r="D101" s="5">
        <v>1.25106E+16</v>
      </c>
      <c r="E101" s="5">
        <v>1.32609E+16</v>
      </c>
      <c r="F101" s="5">
        <v>1.40334E+16</v>
      </c>
      <c r="G101" s="5">
        <v>1.47397E+16</v>
      </c>
      <c r="H101" s="5">
        <v>1.54113E+16</v>
      </c>
      <c r="I101" s="5">
        <v>1.60646E+16</v>
      </c>
      <c r="J101" s="5">
        <v>1.67084E+16</v>
      </c>
      <c r="K101" s="5">
        <v>1.75427E+16</v>
      </c>
      <c r="L101" s="5">
        <v>1.83745E+16</v>
      </c>
      <c r="M101" s="5">
        <v>1.92049E+16</v>
      </c>
      <c r="N101" s="5">
        <v>2.00347E+16</v>
      </c>
      <c r="O101" s="5">
        <v>2.08644E+16</v>
      </c>
      <c r="P101" s="5">
        <v>2.18423E+16</v>
      </c>
      <c r="Q101" s="5">
        <v>2.28202E+16</v>
      </c>
      <c r="R101" s="5">
        <v>2.37981E+16</v>
      </c>
      <c r="S101" s="5">
        <v>2.4776E+16</v>
      </c>
      <c r="T101" s="5">
        <v>2.57539E+16</v>
      </c>
      <c r="U101" s="5">
        <v>2.66832E+16</v>
      </c>
      <c r="V101" s="5">
        <v>2.76125E+16</v>
      </c>
      <c r="W101" s="5">
        <v>2.85419E+16</v>
      </c>
      <c r="X101" s="5">
        <v>2.94712E+16</v>
      </c>
      <c r="Y101" s="5">
        <v>3.04005E+16</v>
      </c>
      <c r="Z101" s="5">
        <v>3.12418E+16</v>
      </c>
      <c r="AA101" s="5">
        <v>3.20831E+16</v>
      </c>
      <c r="AB101" s="5">
        <v>3.29245E+16</v>
      </c>
      <c r="AC101" s="5">
        <v>3.37658E+16</v>
      </c>
      <c r="AD101" s="5">
        <v>3.46071E+16</v>
      </c>
      <c r="AE101" s="5">
        <v>3.54484E+16</v>
      </c>
      <c r="AF101" s="5">
        <v>3.62897E+16</v>
      </c>
      <c r="AG101" s="5">
        <v>3.7131E+16</v>
      </c>
    </row>
    <row r="102" spans="1:33" x14ac:dyDescent="0.35">
      <c r="A102" t="s">
        <v>165</v>
      </c>
      <c r="B102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</row>
    <row r="103" spans="1:33" x14ac:dyDescent="0.35">
      <c r="A103" t="s">
        <v>166</v>
      </c>
      <c r="B103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</row>
    <row r="104" spans="1:33" x14ac:dyDescent="0.35">
      <c r="A104" t="s">
        <v>167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35">
      <c r="A105" t="s">
        <v>168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x14ac:dyDescent="0.35">
      <c r="A106" t="s">
        <v>169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35">
      <c r="A107" t="s">
        <v>170</v>
      </c>
      <c r="B107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</row>
    <row r="108" spans="1:33" x14ac:dyDescent="0.35">
      <c r="A108" t="s">
        <v>171</v>
      </c>
      <c r="B108" s="5">
        <v>842075000000</v>
      </c>
      <c r="C108" s="5">
        <v>799967000000</v>
      </c>
      <c r="D108" s="5">
        <v>869537000000</v>
      </c>
      <c r="E108" s="5">
        <v>921689000000</v>
      </c>
      <c r="F108" s="5">
        <v>975380000000</v>
      </c>
      <c r="G108" s="5">
        <v>1024470000000</v>
      </c>
      <c r="H108" s="5">
        <v>1071150000000</v>
      </c>
      <c r="I108" s="5">
        <v>1116560000000</v>
      </c>
      <c r="J108" s="5">
        <v>1161310000000</v>
      </c>
      <c r="K108" s="5">
        <v>1219290000000</v>
      </c>
      <c r="L108" s="5">
        <v>1277110000000</v>
      </c>
      <c r="M108" s="5">
        <v>1334820000000</v>
      </c>
      <c r="N108" s="5">
        <v>1392490000000</v>
      </c>
      <c r="O108" s="5">
        <v>1450160000000</v>
      </c>
      <c r="P108" s="5">
        <v>1518130000000</v>
      </c>
      <c r="Q108" s="5">
        <v>1586100000000</v>
      </c>
      <c r="R108" s="5">
        <v>1654060000000</v>
      </c>
      <c r="S108" s="5">
        <v>1722030000000</v>
      </c>
      <c r="T108" s="5">
        <v>1790000000000</v>
      </c>
      <c r="U108" s="5">
        <v>1854590000000</v>
      </c>
      <c r="V108" s="5">
        <v>1919180000000</v>
      </c>
      <c r="W108" s="5">
        <v>1983780000000</v>
      </c>
      <c r="X108" s="5">
        <v>2048370000000</v>
      </c>
      <c r="Y108" s="5">
        <v>2112960000000</v>
      </c>
      <c r="Z108" s="5">
        <v>2171430000000</v>
      </c>
      <c r="AA108" s="5">
        <v>2229910000000</v>
      </c>
      <c r="AB108" s="5">
        <v>2288380000000</v>
      </c>
      <c r="AC108" s="5">
        <v>2346860000000</v>
      </c>
      <c r="AD108" s="5">
        <v>2405330000000</v>
      </c>
      <c r="AE108" s="5">
        <v>2463810000000</v>
      </c>
      <c r="AF108" s="5">
        <v>2522280000000</v>
      </c>
      <c r="AG108" s="5">
        <v>2580760000000</v>
      </c>
    </row>
    <row r="109" spans="1:33" x14ac:dyDescent="0.35">
      <c r="A109" t="s">
        <v>172</v>
      </c>
      <c r="B109" s="5">
        <v>0</v>
      </c>
      <c r="C109" s="5">
        <v>2230970</v>
      </c>
      <c r="D109" s="5">
        <v>3630660</v>
      </c>
      <c r="E109" s="5">
        <v>5813370</v>
      </c>
      <c r="F109" s="5">
        <v>7888520</v>
      </c>
      <c r="G109" s="5">
        <v>9849810</v>
      </c>
      <c r="H109" s="5">
        <v>11704000</v>
      </c>
      <c r="I109" s="5">
        <v>13462200</v>
      </c>
      <c r="J109" s="5">
        <v>14966200</v>
      </c>
      <c r="K109" s="5">
        <v>16510400</v>
      </c>
      <c r="L109" s="5">
        <v>17986800</v>
      </c>
      <c r="M109" s="5">
        <v>22186800</v>
      </c>
      <c r="N109" s="5">
        <v>23757100</v>
      </c>
      <c r="O109" s="5">
        <v>24525500</v>
      </c>
      <c r="P109" s="5">
        <v>26109900</v>
      </c>
      <c r="Q109" s="5">
        <v>27590400</v>
      </c>
      <c r="R109" s="5">
        <v>28858200</v>
      </c>
      <c r="S109" s="5">
        <v>30150400</v>
      </c>
      <c r="T109" s="5">
        <v>31474400</v>
      </c>
      <c r="U109" s="5">
        <v>32788700</v>
      </c>
      <c r="V109" s="5">
        <v>38756700</v>
      </c>
      <c r="W109" s="5">
        <v>39311100</v>
      </c>
      <c r="X109" s="5">
        <v>40719700</v>
      </c>
      <c r="Y109" s="5">
        <v>42437000</v>
      </c>
      <c r="Z109" s="5">
        <v>44173900</v>
      </c>
      <c r="AA109" s="5">
        <v>46261600</v>
      </c>
      <c r="AB109" s="5">
        <v>48370700</v>
      </c>
      <c r="AC109" s="5">
        <v>54950900</v>
      </c>
      <c r="AD109" s="5">
        <v>57291700</v>
      </c>
      <c r="AE109" s="5">
        <v>59653400</v>
      </c>
      <c r="AF109" s="5">
        <v>61701100</v>
      </c>
      <c r="AG109" s="5">
        <v>64129000</v>
      </c>
    </row>
    <row r="110" spans="1:33" x14ac:dyDescent="0.35">
      <c r="A110" t="s">
        <v>173</v>
      </c>
      <c r="B110" s="5">
        <v>2908070000000</v>
      </c>
      <c r="C110" s="5">
        <v>2811970000000</v>
      </c>
      <c r="D110" s="5">
        <v>3106200000000</v>
      </c>
      <c r="E110" s="5">
        <v>3341440000000</v>
      </c>
      <c r="F110" s="5">
        <v>3587630000000</v>
      </c>
      <c r="G110" s="5">
        <v>3817720000000</v>
      </c>
      <c r="H110" s="5">
        <v>4039190000000</v>
      </c>
      <c r="I110" s="5">
        <v>4256050000000</v>
      </c>
      <c r="J110" s="5">
        <v>4470480000000</v>
      </c>
      <c r="K110" s="5">
        <v>4742060000000</v>
      </c>
      <c r="L110" s="5">
        <v>5012980000000</v>
      </c>
      <c r="M110" s="5">
        <v>5283550000000</v>
      </c>
      <c r="N110" s="5">
        <v>5553920000000</v>
      </c>
      <c r="O110" s="5">
        <v>5824320000000</v>
      </c>
      <c r="P110" s="5">
        <v>6071880000000</v>
      </c>
      <c r="Q110" s="5">
        <v>6319450000000</v>
      </c>
      <c r="R110" s="5">
        <v>6567020000000</v>
      </c>
      <c r="S110" s="5">
        <v>6814580000000</v>
      </c>
      <c r="T110" s="5">
        <v>7062150000000</v>
      </c>
      <c r="U110" s="5">
        <v>7259300000000</v>
      </c>
      <c r="V110" s="5">
        <v>7456440000000</v>
      </c>
      <c r="W110" s="5">
        <v>7653590000000</v>
      </c>
      <c r="X110" s="5">
        <v>7850730000000</v>
      </c>
      <c r="Y110" s="5">
        <v>8047880000000</v>
      </c>
      <c r="Z110" s="5">
        <v>8177820000000</v>
      </c>
      <c r="AA110" s="5">
        <v>8307760000000</v>
      </c>
      <c r="AB110" s="5">
        <v>8437710000000</v>
      </c>
      <c r="AC110" s="5">
        <v>8567650000000</v>
      </c>
      <c r="AD110" s="5">
        <v>8697590000000</v>
      </c>
      <c r="AE110" s="5">
        <v>8827530000000</v>
      </c>
      <c r="AF110" s="5">
        <v>8957480000000</v>
      </c>
      <c r="AG110" s="5">
        <v>9087420000000</v>
      </c>
    </row>
    <row r="111" spans="1:33" x14ac:dyDescent="0.35">
      <c r="A111" t="s">
        <v>174</v>
      </c>
      <c r="B111" s="5">
        <v>18244500000000</v>
      </c>
      <c r="C111" s="5">
        <v>16825700000000</v>
      </c>
      <c r="D111" s="5">
        <v>17778500000000</v>
      </c>
      <c r="E111" s="5">
        <v>18342200000000</v>
      </c>
      <c r="F111" s="5">
        <v>18668300000000</v>
      </c>
      <c r="G111" s="5">
        <v>18894700000000</v>
      </c>
      <c r="H111" s="5">
        <v>19070800000000</v>
      </c>
      <c r="I111" s="5">
        <v>19221700000000</v>
      </c>
      <c r="J111" s="5">
        <v>19360100000000</v>
      </c>
      <c r="K111" s="5">
        <v>19422500000000</v>
      </c>
      <c r="L111" s="5">
        <v>19481600000000</v>
      </c>
      <c r="M111" s="5">
        <v>19539100000000</v>
      </c>
      <c r="N111" s="5">
        <v>19595800000000</v>
      </c>
      <c r="O111" s="5">
        <v>19652200000000</v>
      </c>
      <c r="P111" s="5">
        <v>19682100000000</v>
      </c>
      <c r="Q111" s="5">
        <v>19711900000000</v>
      </c>
      <c r="R111" s="5">
        <v>19741700000000</v>
      </c>
      <c r="S111" s="5">
        <v>19771600000000</v>
      </c>
      <c r="T111" s="5">
        <v>19801400000000</v>
      </c>
      <c r="U111" s="5">
        <v>19804000000000</v>
      </c>
      <c r="V111" s="5">
        <v>19806400000000</v>
      </c>
      <c r="W111" s="5">
        <v>19808300000000</v>
      </c>
      <c r="X111" s="5">
        <v>19810600000000</v>
      </c>
      <c r="Y111" s="5">
        <v>19813000000000</v>
      </c>
      <c r="Z111" s="5">
        <v>19764700000000</v>
      </c>
      <c r="AA111" s="5">
        <v>19716400000000</v>
      </c>
      <c r="AB111" s="5">
        <v>19668200000000</v>
      </c>
      <c r="AC111" s="5">
        <v>19619700000000</v>
      </c>
      <c r="AD111" s="5">
        <v>19571500000000</v>
      </c>
      <c r="AE111" s="5">
        <v>19523200000000</v>
      </c>
      <c r="AF111" s="5">
        <v>19475300000000</v>
      </c>
      <c r="AG111" s="5">
        <v>19427000000000</v>
      </c>
    </row>
    <row r="112" spans="1:33" x14ac:dyDescent="0.35">
      <c r="A112" t="s">
        <v>175</v>
      </c>
      <c r="B112" s="5">
        <v>2114720000000</v>
      </c>
      <c r="C112" s="5">
        <v>1975740000000</v>
      </c>
      <c r="D112" s="5">
        <v>2114070000000</v>
      </c>
      <c r="E112" s="5">
        <v>2207890000000</v>
      </c>
      <c r="F112" s="5">
        <v>2253810000000</v>
      </c>
      <c r="G112" s="5">
        <v>2287820000000</v>
      </c>
      <c r="H112" s="5">
        <v>2315810000000</v>
      </c>
      <c r="I112" s="5">
        <v>2340760000000</v>
      </c>
      <c r="J112" s="5">
        <v>2364180000000</v>
      </c>
      <c r="K112" s="5">
        <v>2361430000000</v>
      </c>
      <c r="L112" s="5">
        <v>2358280000000</v>
      </c>
      <c r="M112" s="5">
        <v>2354940000000</v>
      </c>
      <c r="N112" s="5">
        <v>2351490000000</v>
      </c>
      <c r="O112" s="5">
        <v>2348050000000</v>
      </c>
      <c r="P112" s="5">
        <v>2345090000000</v>
      </c>
      <c r="Q112" s="5">
        <v>2342140000000</v>
      </c>
      <c r="R112" s="5">
        <v>2339190000000</v>
      </c>
      <c r="S112" s="5">
        <v>2336230000000</v>
      </c>
      <c r="T112" s="5">
        <v>2333280000000</v>
      </c>
      <c r="U112" s="5">
        <v>2252350000000</v>
      </c>
      <c r="V112" s="5">
        <v>2171430000000</v>
      </c>
      <c r="W112" s="5">
        <v>2090500000000</v>
      </c>
      <c r="X112" s="5">
        <v>2009570000000</v>
      </c>
      <c r="Y112" s="5">
        <v>1928650000000</v>
      </c>
      <c r="Z112" s="5">
        <v>1861900000000</v>
      </c>
      <c r="AA112" s="5">
        <v>1795150000000</v>
      </c>
      <c r="AB112" s="5">
        <v>1728400000000</v>
      </c>
      <c r="AC112" s="5">
        <v>1661650000000</v>
      </c>
      <c r="AD112" s="5">
        <v>1594900000000</v>
      </c>
      <c r="AE112" s="5">
        <v>1528150000000</v>
      </c>
      <c r="AF112" s="5">
        <v>1461400000000</v>
      </c>
      <c r="AG112" s="5">
        <v>1394650000000</v>
      </c>
    </row>
    <row r="113" spans="1:33" x14ac:dyDescent="0.35">
      <c r="A113" t="s">
        <v>176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35">
      <c r="A114" t="s">
        <v>177</v>
      </c>
      <c r="B114" s="5">
        <v>3479040000000</v>
      </c>
      <c r="C114" s="5">
        <v>3352130000000</v>
      </c>
      <c r="D114" s="5">
        <v>3691060000000</v>
      </c>
      <c r="E114" s="5">
        <v>3959140000000</v>
      </c>
      <c r="F114" s="5">
        <v>4220560000000</v>
      </c>
      <c r="G114" s="5">
        <v>4462570000000</v>
      </c>
      <c r="H114" s="5">
        <v>4694280000000</v>
      </c>
      <c r="I114" s="5">
        <v>4920540000000</v>
      </c>
      <c r="J114" s="5">
        <v>5143930000000</v>
      </c>
      <c r="K114" s="5">
        <v>5318030000000</v>
      </c>
      <c r="L114" s="5">
        <v>5491340000000</v>
      </c>
      <c r="M114" s="5">
        <v>5664210000000</v>
      </c>
      <c r="N114" s="5">
        <v>5836870000000</v>
      </c>
      <c r="O114" s="5">
        <v>6009550000000</v>
      </c>
      <c r="P114" s="5">
        <v>6027120000000</v>
      </c>
      <c r="Q114" s="5">
        <v>6044680000000</v>
      </c>
      <c r="R114" s="5">
        <v>6062240000000</v>
      </c>
      <c r="S114" s="5">
        <v>6079800000000</v>
      </c>
      <c r="T114" s="5">
        <v>6097360000000</v>
      </c>
      <c r="U114" s="5">
        <v>6114320000000</v>
      </c>
      <c r="V114" s="5">
        <v>6131280000000</v>
      </c>
      <c r="W114" s="5">
        <v>6148230000000</v>
      </c>
      <c r="X114" s="5">
        <v>6165190000000</v>
      </c>
      <c r="Y114" s="5">
        <v>6182140000000</v>
      </c>
      <c r="Z114" s="5">
        <v>6181150000000</v>
      </c>
      <c r="AA114" s="5">
        <v>6180160000000</v>
      </c>
      <c r="AB114" s="5">
        <v>6179170000000</v>
      </c>
      <c r="AC114" s="5">
        <v>6178180000000</v>
      </c>
      <c r="AD114" s="5">
        <v>6177190000000</v>
      </c>
      <c r="AE114" s="5">
        <v>6176200000000</v>
      </c>
      <c r="AF114" s="5">
        <v>6175210000000</v>
      </c>
      <c r="AG114" s="5">
        <v>6174220000000</v>
      </c>
    </row>
    <row r="115" spans="1:33" x14ac:dyDescent="0.35">
      <c r="A115" t="s">
        <v>178</v>
      </c>
      <c r="B115" s="5">
        <v>263693000000000</v>
      </c>
      <c r="C115" s="5">
        <v>244739000000000</v>
      </c>
      <c r="D115" s="5">
        <v>260214000000000</v>
      </c>
      <c r="E115" s="5">
        <v>270098000000000</v>
      </c>
      <c r="F115" s="5">
        <v>278013000000000</v>
      </c>
      <c r="G115" s="5">
        <v>284495000000000</v>
      </c>
      <c r="H115" s="5">
        <v>290249000000000</v>
      </c>
      <c r="I115" s="5">
        <v>295630000000000</v>
      </c>
      <c r="J115" s="5">
        <v>300823000000000</v>
      </c>
      <c r="K115" s="5">
        <v>306159000000000</v>
      </c>
      <c r="L115" s="5">
        <v>311446000000000</v>
      </c>
      <c r="M115" s="5">
        <v>316709000000000</v>
      </c>
      <c r="N115" s="5">
        <v>321959000000000</v>
      </c>
      <c r="O115" s="5">
        <v>327209000000000</v>
      </c>
      <c r="P115" s="5">
        <v>334237000000000</v>
      </c>
      <c r="Q115" s="5">
        <v>341265000000000</v>
      </c>
      <c r="R115" s="5">
        <v>348292000000000</v>
      </c>
      <c r="S115" s="5">
        <v>355320000000000</v>
      </c>
      <c r="T115" s="5">
        <v>362348000000000</v>
      </c>
      <c r="U115" s="5">
        <v>372571000000000</v>
      </c>
      <c r="V115" s="5">
        <v>382795000000000</v>
      </c>
      <c r="W115" s="5">
        <v>393017000000000</v>
      </c>
      <c r="X115" s="5">
        <v>403241000000000</v>
      </c>
      <c r="Y115" s="5">
        <v>413463000000000</v>
      </c>
      <c r="Z115" s="5">
        <v>421111000000000</v>
      </c>
      <c r="AA115" s="5">
        <v>428758000000000</v>
      </c>
      <c r="AB115" s="5">
        <v>436406000000000</v>
      </c>
      <c r="AC115" s="5">
        <v>444052000000000</v>
      </c>
      <c r="AD115" s="5">
        <v>451700000000000</v>
      </c>
      <c r="AE115" s="5">
        <v>459347000000000</v>
      </c>
      <c r="AF115" s="5">
        <v>466995000000000</v>
      </c>
      <c r="AG115" s="5">
        <v>474643000000000</v>
      </c>
    </row>
    <row r="116" spans="1:33" x14ac:dyDescent="0.35">
      <c r="A116" t="s">
        <v>179</v>
      </c>
      <c r="B116" s="5">
        <v>262606000000000</v>
      </c>
      <c r="C116" s="5">
        <v>249474000000000</v>
      </c>
      <c r="D116" s="5">
        <v>271169000000000</v>
      </c>
      <c r="E116" s="5">
        <v>287434000000000</v>
      </c>
      <c r="F116" s="5">
        <v>304177000000000</v>
      </c>
      <c r="G116" s="5">
        <v>319488000000000</v>
      </c>
      <c r="H116" s="5">
        <v>334044000000000</v>
      </c>
      <c r="I116" s="5">
        <v>348205000000000</v>
      </c>
      <c r="J116" s="5">
        <v>362159000000000</v>
      </c>
      <c r="K116" s="5">
        <v>380242000000000</v>
      </c>
      <c r="L116" s="5">
        <v>398271000000000</v>
      </c>
      <c r="M116" s="5">
        <v>416270000000000</v>
      </c>
      <c r="N116" s="5">
        <v>434255000000000</v>
      </c>
      <c r="O116" s="5">
        <v>452240000000000</v>
      </c>
      <c r="P116" s="5">
        <v>473437000000000</v>
      </c>
      <c r="Q116" s="5">
        <v>494633000000000</v>
      </c>
      <c r="R116" s="5">
        <v>515829000000000</v>
      </c>
      <c r="S116" s="5">
        <v>537025000000000</v>
      </c>
      <c r="T116" s="5">
        <v>558221000000000</v>
      </c>
      <c r="U116" s="5">
        <v>578364000000000</v>
      </c>
      <c r="V116" s="5">
        <v>598508000000000</v>
      </c>
      <c r="W116" s="5">
        <v>618651000000000</v>
      </c>
      <c r="X116" s="5">
        <v>638794000000000</v>
      </c>
      <c r="Y116" s="5">
        <v>658938000000000</v>
      </c>
      <c r="Z116" s="5">
        <v>677173000000000</v>
      </c>
      <c r="AA116" s="5">
        <v>695409000000000</v>
      </c>
      <c r="AB116" s="5">
        <v>713645000000000</v>
      </c>
      <c r="AC116" s="5">
        <v>731880000000000</v>
      </c>
      <c r="AD116" s="5">
        <v>750116000000000</v>
      </c>
      <c r="AE116" s="5">
        <v>768352000000000</v>
      </c>
      <c r="AF116" s="5">
        <v>786588000000000</v>
      </c>
      <c r="AG116" s="5">
        <v>804823000000000</v>
      </c>
    </row>
    <row r="117" spans="1:33" x14ac:dyDescent="0.35">
      <c r="A117" t="s">
        <v>180</v>
      </c>
      <c r="B117">
        <v>0</v>
      </c>
      <c r="C117" s="5">
        <v>5112790</v>
      </c>
      <c r="D117" s="5">
        <v>8500180</v>
      </c>
      <c r="E117" s="5">
        <v>13889200</v>
      </c>
      <c r="F117" s="5">
        <v>19336600</v>
      </c>
      <c r="G117" s="5">
        <v>24733800</v>
      </c>
      <c r="H117" s="5">
        <v>30066000</v>
      </c>
      <c r="I117" s="5">
        <v>35333500</v>
      </c>
      <c r="J117" s="5">
        <v>40087800</v>
      </c>
      <c r="K117" s="5">
        <v>45486500</v>
      </c>
      <c r="L117" s="5">
        <v>50883200</v>
      </c>
      <c r="M117" s="5">
        <v>64350000</v>
      </c>
      <c r="N117" s="5">
        <v>70547300</v>
      </c>
      <c r="O117" s="5">
        <v>74470300</v>
      </c>
      <c r="P117" s="5">
        <v>80799500</v>
      </c>
      <c r="Q117" s="5">
        <v>86922400</v>
      </c>
      <c r="R117" s="5">
        <v>92467000</v>
      </c>
      <c r="S117" s="5">
        <v>98166000</v>
      </c>
      <c r="T117" s="5">
        <v>104044000</v>
      </c>
      <c r="U117" s="5">
        <v>108897000</v>
      </c>
      <c r="V117" s="5">
        <v>129289000</v>
      </c>
      <c r="W117" s="5">
        <v>131691000</v>
      </c>
      <c r="X117" s="5">
        <v>136953000</v>
      </c>
      <c r="Y117" s="5">
        <v>143271000</v>
      </c>
      <c r="Z117" s="5">
        <v>149735000</v>
      </c>
      <c r="AA117" s="5">
        <v>157421000</v>
      </c>
      <c r="AB117" s="5">
        <v>165213000</v>
      </c>
      <c r="AC117" s="5">
        <v>188365000</v>
      </c>
      <c r="AD117" s="5">
        <v>197073000</v>
      </c>
      <c r="AE117" s="5">
        <v>205886000</v>
      </c>
      <c r="AF117" s="5">
        <v>213645000</v>
      </c>
      <c r="AG117" s="5">
        <v>222749000</v>
      </c>
    </row>
    <row r="118" spans="1:33" x14ac:dyDescent="0.35">
      <c r="A118" t="s">
        <v>181</v>
      </c>
      <c r="B118" s="5">
        <v>220522000000000</v>
      </c>
      <c r="C118" s="5">
        <v>213235000000000</v>
      </c>
      <c r="D118" s="5">
        <v>235546000000000</v>
      </c>
      <c r="E118" s="5">
        <v>253385000000000</v>
      </c>
      <c r="F118" s="5">
        <v>272054000000000</v>
      </c>
      <c r="G118" s="5">
        <v>289502000000000</v>
      </c>
      <c r="H118" s="5">
        <v>306295000000000</v>
      </c>
      <c r="I118" s="5">
        <v>322741000000000</v>
      </c>
      <c r="J118" s="5">
        <v>339002000000000</v>
      </c>
      <c r="K118" s="5">
        <v>359595000000000</v>
      </c>
      <c r="L118" s="5">
        <v>380139000000000</v>
      </c>
      <c r="M118" s="5">
        <v>400656000000000</v>
      </c>
      <c r="N118" s="5">
        <v>421159000000000</v>
      </c>
      <c r="O118" s="5">
        <v>441664000000000</v>
      </c>
      <c r="P118" s="5">
        <v>460437000000000</v>
      </c>
      <c r="Q118" s="5">
        <v>479211000000000</v>
      </c>
      <c r="R118" s="5">
        <v>497984000000000</v>
      </c>
      <c r="S118" s="5">
        <v>516757000000000</v>
      </c>
      <c r="T118" s="5">
        <v>535530000000000</v>
      </c>
      <c r="U118" s="5">
        <v>550480000000000</v>
      </c>
      <c r="V118" s="5">
        <v>565430000000000</v>
      </c>
      <c r="W118" s="5">
        <v>580380000000000</v>
      </c>
      <c r="X118" s="5">
        <v>595329000000000</v>
      </c>
      <c r="Y118" s="5">
        <v>610279000000000</v>
      </c>
      <c r="Z118" s="5">
        <v>620133000000000</v>
      </c>
      <c r="AA118" s="5">
        <v>629986000000000</v>
      </c>
      <c r="AB118" s="5">
        <v>639840000000000</v>
      </c>
      <c r="AC118" s="5">
        <v>649694000000000</v>
      </c>
      <c r="AD118" s="5">
        <v>659548000000000</v>
      </c>
      <c r="AE118" s="5">
        <v>669401000000000</v>
      </c>
      <c r="AF118" s="5">
        <v>679255000000000</v>
      </c>
      <c r="AG118" s="5">
        <v>689109000000000</v>
      </c>
    </row>
    <row r="119" spans="1:33" x14ac:dyDescent="0.35">
      <c r="A119" t="s">
        <v>182</v>
      </c>
      <c r="B119" s="5">
        <v>22081200000000</v>
      </c>
      <c r="C119" s="5">
        <v>20364800000000</v>
      </c>
      <c r="D119" s="5">
        <v>21518500000000</v>
      </c>
      <c r="E119" s="5">
        <v>22201700000000</v>
      </c>
      <c r="F119" s="5">
        <v>22597200000000</v>
      </c>
      <c r="G119" s="5">
        <v>22872100000000</v>
      </c>
      <c r="H119" s="5">
        <v>23086400000000</v>
      </c>
      <c r="I119" s="5">
        <v>23269900000000</v>
      </c>
      <c r="J119" s="5">
        <v>23438600000000</v>
      </c>
      <c r="K119" s="5">
        <v>23515300000000</v>
      </c>
      <c r="L119" s="5">
        <v>23588000000000</v>
      </c>
      <c r="M119" s="5">
        <v>23658600000000</v>
      </c>
      <c r="N119" s="5">
        <v>23728300000000</v>
      </c>
      <c r="O119" s="5">
        <v>23797200000000</v>
      </c>
      <c r="P119" s="5">
        <v>23834400000000</v>
      </c>
      <c r="Q119" s="5">
        <v>23871400000000</v>
      </c>
      <c r="R119" s="5">
        <v>23908400000000</v>
      </c>
      <c r="S119" s="5">
        <v>23945500000000</v>
      </c>
      <c r="T119" s="5">
        <v>23982400000000</v>
      </c>
      <c r="U119" s="5">
        <v>23987100000000</v>
      </c>
      <c r="V119" s="5">
        <v>23990500000000</v>
      </c>
      <c r="W119" s="5">
        <v>23992900000000</v>
      </c>
      <c r="X119" s="5">
        <v>23996400000000</v>
      </c>
      <c r="Y119" s="5">
        <v>23999700000000</v>
      </c>
      <c r="Z119" s="5">
        <v>23942000000000</v>
      </c>
      <c r="AA119" s="5">
        <v>23884200000000</v>
      </c>
      <c r="AB119" s="5">
        <v>23826500000000</v>
      </c>
      <c r="AC119" s="5">
        <v>23767900000000</v>
      </c>
      <c r="AD119" s="5">
        <v>23710100000000</v>
      </c>
      <c r="AE119" s="5">
        <v>23652300000000</v>
      </c>
      <c r="AF119" s="5">
        <v>23595700000000</v>
      </c>
      <c r="AG119" s="5">
        <v>23538000000000</v>
      </c>
    </row>
    <row r="120" spans="1:33" x14ac:dyDescent="0.35">
      <c r="A120" t="s">
        <v>183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</row>
    <row r="121" spans="1:33" x14ac:dyDescent="0.35">
      <c r="A121" t="s">
        <v>184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x14ac:dyDescent="0.35">
      <c r="A122" t="s">
        <v>185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</row>
    <row r="123" spans="1:33" x14ac:dyDescent="0.35">
      <c r="A123" t="s">
        <v>186</v>
      </c>
      <c r="B123" s="5">
        <v>147447000000000</v>
      </c>
      <c r="C123" s="5">
        <v>136852000000000</v>
      </c>
      <c r="D123" s="5">
        <v>145505000000000</v>
      </c>
      <c r="E123" s="5">
        <v>151034000000000</v>
      </c>
      <c r="F123" s="5">
        <v>155462000000000</v>
      </c>
      <c r="G123" s="5">
        <v>159090000000000</v>
      </c>
      <c r="H123" s="5">
        <v>162309000000000</v>
      </c>
      <c r="I123" s="5">
        <v>165319000000000</v>
      </c>
      <c r="J123" s="5">
        <v>168226000000000</v>
      </c>
      <c r="K123" s="5">
        <v>171212000000000</v>
      </c>
      <c r="L123" s="5">
        <v>174171000000000</v>
      </c>
      <c r="M123" s="5">
        <v>177116000000000</v>
      </c>
      <c r="N123" s="5">
        <v>180055000000000</v>
      </c>
      <c r="O123" s="5">
        <v>182992000000000</v>
      </c>
      <c r="P123" s="5">
        <v>186923000000000</v>
      </c>
      <c r="Q123" s="5">
        <v>190855000000000</v>
      </c>
      <c r="R123" s="5">
        <v>194788000000000</v>
      </c>
      <c r="S123" s="5">
        <v>198719000000000</v>
      </c>
      <c r="T123" s="5">
        <v>202651000000000</v>
      </c>
      <c r="U123" s="5">
        <v>208372000000000</v>
      </c>
      <c r="V123" s="5">
        <v>214090000000000</v>
      </c>
      <c r="W123" s="5">
        <v>219808000000000</v>
      </c>
      <c r="X123" s="5">
        <v>225526000000000</v>
      </c>
      <c r="Y123" s="5">
        <v>231245000000000</v>
      </c>
      <c r="Z123" s="5">
        <v>235524000000000</v>
      </c>
      <c r="AA123" s="5">
        <v>239803000000000</v>
      </c>
      <c r="AB123" s="5">
        <v>244081000000000</v>
      </c>
      <c r="AC123" s="5">
        <v>248358000000000</v>
      </c>
      <c r="AD123" s="5">
        <v>252637000000000</v>
      </c>
      <c r="AE123" s="5">
        <v>256914000000000</v>
      </c>
      <c r="AF123" s="5">
        <v>261196000000000</v>
      </c>
      <c r="AG123" s="5">
        <v>265475000000000</v>
      </c>
    </row>
    <row r="124" spans="1:33" x14ac:dyDescent="0.35">
      <c r="A124" t="s">
        <v>187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x14ac:dyDescent="0.35">
      <c r="A125" t="s">
        <v>188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x14ac:dyDescent="0.35">
      <c r="A126" t="s">
        <v>189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x14ac:dyDescent="0.35">
      <c r="A127" t="s">
        <v>190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35">
      <c r="A128" t="s">
        <v>191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35">
      <c r="A129" t="s">
        <v>192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 x14ac:dyDescent="0.35">
      <c r="A130" t="s">
        <v>193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 x14ac:dyDescent="0.35">
      <c r="A131" t="s">
        <v>194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3" spans="1:33" x14ac:dyDescent="0.35">
      <c r="A133" t="s">
        <v>1479</v>
      </c>
      <c r="B133">
        <v>2019</v>
      </c>
      <c r="C133">
        <v>2020</v>
      </c>
      <c r="D133">
        <v>2021</v>
      </c>
      <c r="E133">
        <v>2022</v>
      </c>
      <c r="F133">
        <v>2023</v>
      </c>
      <c r="G133">
        <v>2024</v>
      </c>
      <c r="H133">
        <v>2025</v>
      </c>
      <c r="I133">
        <v>2026</v>
      </c>
      <c r="J133">
        <v>2027</v>
      </c>
      <c r="K133">
        <v>2028</v>
      </c>
      <c r="L133">
        <v>2029</v>
      </c>
      <c r="M133">
        <v>2030</v>
      </c>
      <c r="N133">
        <v>2031</v>
      </c>
      <c r="O133">
        <v>2032</v>
      </c>
      <c r="P133">
        <v>2033</v>
      </c>
      <c r="Q133">
        <v>2034</v>
      </c>
      <c r="R133">
        <v>2035</v>
      </c>
      <c r="S133">
        <v>2036</v>
      </c>
      <c r="T133">
        <v>2037</v>
      </c>
      <c r="U133">
        <v>2038</v>
      </c>
      <c r="V133">
        <v>2039</v>
      </c>
      <c r="W133">
        <v>2040</v>
      </c>
      <c r="X133">
        <v>2041</v>
      </c>
      <c r="Y133">
        <v>2042</v>
      </c>
      <c r="Z133">
        <v>2043</v>
      </c>
      <c r="AA133">
        <v>2044</v>
      </c>
      <c r="AB133">
        <v>2045</v>
      </c>
      <c r="AC133">
        <v>2046</v>
      </c>
      <c r="AD133">
        <v>2047</v>
      </c>
      <c r="AE133">
        <v>2048</v>
      </c>
      <c r="AF133">
        <v>2049</v>
      </c>
      <c r="AG133">
        <v>2050</v>
      </c>
    </row>
    <row r="134" spans="1:33" x14ac:dyDescent="0.35">
      <c r="A134" t="s">
        <v>195</v>
      </c>
      <c r="B134" s="5">
        <v>1534750000000</v>
      </c>
      <c r="C134" s="5">
        <v>1368010000000</v>
      </c>
      <c r="D134" s="5">
        <v>1940080000000</v>
      </c>
      <c r="E134" s="5">
        <v>2603660000000</v>
      </c>
      <c r="F134" s="5">
        <v>3523280000000</v>
      </c>
      <c r="G134" s="5">
        <v>4781870000000</v>
      </c>
      <c r="H134" s="5">
        <v>6516770000000</v>
      </c>
      <c r="I134" s="5">
        <v>8885240000000</v>
      </c>
      <c r="J134" s="5">
        <v>12047100000000</v>
      </c>
      <c r="K134" s="5">
        <v>16383300000000</v>
      </c>
      <c r="L134" s="5">
        <v>21909600000000</v>
      </c>
      <c r="M134" s="5">
        <v>28748100000000</v>
      </c>
      <c r="N134" s="5">
        <v>36884300000000</v>
      </c>
      <c r="O134" s="5">
        <v>46289400000000</v>
      </c>
      <c r="P134" s="5">
        <v>57106100000000</v>
      </c>
      <c r="Q134" s="5">
        <v>68973600000000</v>
      </c>
      <c r="R134" s="5">
        <v>81729300000000</v>
      </c>
      <c r="S134" s="5">
        <v>95111100000000</v>
      </c>
      <c r="T134" s="5">
        <v>108676000000000</v>
      </c>
      <c r="U134" s="5">
        <v>122673000000000</v>
      </c>
      <c r="V134" s="5">
        <v>137301000000000</v>
      </c>
      <c r="W134" s="5">
        <v>152338000000000</v>
      </c>
      <c r="X134" s="5">
        <v>167580000000000</v>
      </c>
      <c r="Y134" s="5">
        <v>182877000000000</v>
      </c>
      <c r="Z134" s="5">
        <v>198308000000000</v>
      </c>
      <c r="AA134" s="5">
        <v>213452000000000</v>
      </c>
      <c r="AB134" s="5">
        <v>228163000000000</v>
      </c>
      <c r="AC134" s="5">
        <v>242331000000000</v>
      </c>
      <c r="AD134" s="5">
        <v>255874000000000</v>
      </c>
      <c r="AE134" s="5">
        <v>268618000000000</v>
      </c>
      <c r="AF134" s="5">
        <v>280501000000000</v>
      </c>
      <c r="AG134" s="5">
        <v>291475000000000</v>
      </c>
    </row>
    <row r="135" spans="1:33" x14ac:dyDescent="0.35">
      <c r="A135" t="s">
        <v>196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x14ac:dyDescent="0.35">
      <c r="A136" t="s">
        <v>197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35">
      <c r="A137" t="s">
        <v>198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x14ac:dyDescent="0.35">
      <c r="A138" t="s">
        <v>199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 x14ac:dyDescent="0.35">
      <c r="A139" t="s">
        <v>200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 x14ac:dyDescent="0.35">
      <c r="A140" t="s">
        <v>201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 x14ac:dyDescent="0.35">
      <c r="A141" t="s">
        <v>202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x14ac:dyDescent="0.35">
      <c r="A142" t="s">
        <v>203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 x14ac:dyDescent="0.35">
      <c r="A143" t="s">
        <v>204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35">
      <c r="A144" t="s">
        <v>205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x14ac:dyDescent="0.35">
      <c r="A145" t="s">
        <v>206</v>
      </c>
      <c r="B145" s="5">
        <v>15773400000000</v>
      </c>
      <c r="C145" s="5">
        <v>12792900000000</v>
      </c>
      <c r="D145" s="5">
        <v>15831600000000</v>
      </c>
      <c r="E145" s="5">
        <v>17844100000000</v>
      </c>
      <c r="F145" s="5">
        <v>19561100000000</v>
      </c>
      <c r="G145" s="5">
        <v>20878100000000</v>
      </c>
      <c r="H145" s="5">
        <v>21907800000000</v>
      </c>
      <c r="I145" s="5">
        <v>22715000000000</v>
      </c>
      <c r="J145" s="5">
        <v>23338300000000</v>
      </c>
      <c r="K145" s="5">
        <v>24096400000000</v>
      </c>
      <c r="L145" s="5">
        <v>24678000000000</v>
      </c>
      <c r="M145" s="5">
        <v>25104200000000</v>
      </c>
      <c r="N145" s="5">
        <v>25371000000000</v>
      </c>
      <c r="O145" s="5">
        <v>25513000000000</v>
      </c>
      <c r="P145" s="5">
        <v>25659000000000</v>
      </c>
      <c r="Q145" s="5">
        <v>25701700000000</v>
      </c>
      <c r="R145" s="5">
        <v>25658900000000</v>
      </c>
      <c r="S145" s="5">
        <v>25546900000000</v>
      </c>
      <c r="T145" s="5">
        <v>25582400000000</v>
      </c>
      <c r="U145" s="5">
        <v>25796900000000</v>
      </c>
      <c r="V145" s="5">
        <v>25909900000000</v>
      </c>
      <c r="W145" s="5">
        <v>25948100000000</v>
      </c>
      <c r="X145" s="5">
        <v>25920200000000</v>
      </c>
      <c r="Y145" s="5">
        <v>25831200000000</v>
      </c>
      <c r="Z145" s="5">
        <v>25739100000000</v>
      </c>
      <c r="AA145" s="5">
        <v>25615000000000</v>
      </c>
      <c r="AB145" s="5">
        <v>25467600000000</v>
      </c>
      <c r="AC145" s="5">
        <v>25285200000000</v>
      </c>
      <c r="AD145" s="5">
        <v>25090300000000</v>
      </c>
      <c r="AE145" s="5">
        <v>24879800000000</v>
      </c>
      <c r="AF145" s="5">
        <v>24655800000000</v>
      </c>
      <c r="AG145" s="5">
        <v>24424500000000</v>
      </c>
    </row>
    <row r="146" spans="1:33" x14ac:dyDescent="0.35">
      <c r="A146" t="s">
        <v>207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 x14ac:dyDescent="0.35">
      <c r="A147" t="s">
        <v>208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 x14ac:dyDescent="0.35">
      <c r="A148" t="s">
        <v>209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35">
      <c r="A149" t="s">
        <v>210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 x14ac:dyDescent="0.35">
      <c r="A150" t="s">
        <v>211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 x14ac:dyDescent="0.35">
      <c r="A151" t="s">
        <v>212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 x14ac:dyDescent="0.35">
      <c r="A152" t="s">
        <v>213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 x14ac:dyDescent="0.35">
      <c r="A153" t="s">
        <v>214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 x14ac:dyDescent="0.35">
      <c r="A154" t="s">
        <v>215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35">
      <c r="A155" t="s">
        <v>216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35">
      <c r="A156" t="s">
        <v>217</v>
      </c>
      <c r="B156" s="5">
        <v>484752000000000</v>
      </c>
      <c r="C156" s="5">
        <v>394258000000000</v>
      </c>
      <c r="D156" s="5">
        <v>477851000000000</v>
      </c>
      <c r="E156" s="5">
        <v>540488000000000</v>
      </c>
      <c r="F156" s="5">
        <v>591789000000000</v>
      </c>
      <c r="G156" s="5">
        <v>631823000000000</v>
      </c>
      <c r="H156" s="5">
        <v>663646000000000</v>
      </c>
      <c r="I156" s="5">
        <v>698279000000000</v>
      </c>
      <c r="J156" s="5">
        <v>729117000000000</v>
      </c>
      <c r="K156" s="5">
        <v>765703000000000</v>
      </c>
      <c r="L156" s="5">
        <v>798374000000000</v>
      </c>
      <c r="M156" s="5">
        <v>827502000000000</v>
      </c>
      <c r="N156" s="5">
        <v>853636000000000</v>
      </c>
      <c r="O156" s="5">
        <v>876595000000000</v>
      </c>
      <c r="P156" s="5">
        <v>900618000000000</v>
      </c>
      <c r="Q156" s="5">
        <v>921851000000000</v>
      </c>
      <c r="R156" s="5">
        <v>941118000000000</v>
      </c>
      <c r="S156" s="5">
        <v>956028000000000</v>
      </c>
      <c r="T156" s="5">
        <v>973536000000000</v>
      </c>
      <c r="U156" s="5">
        <v>996908000000000</v>
      </c>
      <c r="V156" s="5">
        <v>1017540000000000</v>
      </c>
      <c r="W156" s="5">
        <v>1036230000000000</v>
      </c>
      <c r="X156" s="5">
        <v>1053360000000000</v>
      </c>
      <c r="Y156" s="5">
        <v>1069200000000000</v>
      </c>
      <c r="Z156" s="5">
        <v>1085630000000000</v>
      </c>
      <c r="AA156" s="5">
        <v>1101570000000000</v>
      </c>
      <c r="AB156" s="5">
        <v>1117410000000000</v>
      </c>
      <c r="AC156" s="5">
        <v>1133590000000000</v>
      </c>
      <c r="AD156" s="5">
        <v>1149770000000000</v>
      </c>
      <c r="AE156" s="5">
        <v>1166500000000000</v>
      </c>
      <c r="AF156" s="5">
        <v>1183950000000000</v>
      </c>
      <c r="AG156" s="5">
        <v>1202200000000000</v>
      </c>
    </row>
    <row r="157" spans="1:33" x14ac:dyDescent="0.35">
      <c r="A157" t="s">
        <v>218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x14ac:dyDescent="0.35">
      <c r="A158" t="s">
        <v>219</v>
      </c>
      <c r="B158" s="5">
        <v>51339200000000</v>
      </c>
      <c r="C158" s="5">
        <v>41809000000000</v>
      </c>
      <c r="D158" s="5">
        <v>64437500000000</v>
      </c>
      <c r="E158" s="5">
        <v>74959500000000</v>
      </c>
      <c r="F158" s="5">
        <v>88731600000000</v>
      </c>
      <c r="G158" s="5">
        <v>102055000000000</v>
      </c>
      <c r="H158" s="5">
        <v>115733000000000</v>
      </c>
      <c r="I158" s="5">
        <v>120757000000000</v>
      </c>
      <c r="J158" s="5">
        <v>124768000000000</v>
      </c>
      <c r="K158" s="5">
        <v>129964000000000</v>
      </c>
      <c r="L158" s="5">
        <v>134361000000000</v>
      </c>
      <c r="M158" s="5">
        <v>137679000000000</v>
      </c>
      <c r="N158" s="5">
        <v>139750000000000</v>
      </c>
      <c r="O158" s="5">
        <v>141135000000000</v>
      </c>
      <c r="P158" s="5">
        <v>142394000000000</v>
      </c>
      <c r="Q158" s="5">
        <v>143031000000000</v>
      </c>
      <c r="R158" s="5">
        <v>142730000000000</v>
      </c>
      <c r="S158" s="5">
        <v>144626000000000</v>
      </c>
      <c r="T158" s="5">
        <v>147274000000000</v>
      </c>
      <c r="U158" s="5">
        <v>150810000000000</v>
      </c>
      <c r="V158" s="5">
        <v>153931000000000</v>
      </c>
      <c r="W158" s="5">
        <v>156759000000000</v>
      </c>
      <c r="X158" s="5">
        <v>159351000000000</v>
      </c>
      <c r="Y158" s="5">
        <v>161747000000000</v>
      </c>
      <c r="Z158" s="5">
        <v>164231000000000</v>
      </c>
      <c r="AA158" s="5">
        <v>166643000000000</v>
      </c>
      <c r="AB158" s="5">
        <v>169040000000000</v>
      </c>
      <c r="AC158" s="5">
        <v>171487000000000</v>
      </c>
      <c r="AD158" s="5">
        <v>173935000000000</v>
      </c>
      <c r="AE158" s="5">
        <v>176466000000000</v>
      </c>
      <c r="AF158" s="5">
        <v>179105000000000</v>
      </c>
      <c r="AG158" s="5">
        <v>181867000000000</v>
      </c>
    </row>
    <row r="159" spans="1:33" x14ac:dyDescent="0.35">
      <c r="A159" t="s">
        <v>220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x14ac:dyDescent="0.35">
      <c r="A160" t="s">
        <v>221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 x14ac:dyDescent="0.35">
      <c r="A161" t="s">
        <v>222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35">
      <c r="A162" t="s">
        <v>223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 x14ac:dyDescent="0.35">
      <c r="A163" t="s">
        <v>224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 x14ac:dyDescent="0.35">
      <c r="A164" t="s">
        <v>225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 x14ac:dyDescent="0.35">
      <c r="A165" t="s">
        <v>226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35">
      <c r="A166" t="s">
        <v>227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 x14ac:dyDescent="0.35">
      <c r="A167" t="s">
        <v>228</v>
      </c>
      <c r="B167" s="5">
        <v>169102000000000</v>
      </c>
      <c r="C167" s="5">
        <v>137547000000000</v>
      </c>
      <c r="D167" s="5">
        <v>172016000000000</v>
      </c>
      <c r="E167" s="5">
        <v>195727000000000</v>
      </c>
      <c r="F167" s="5">
        <v>217384000000000</v>
      </c>
      <c r="G167" s="5">
        <v>235654000000000</v>
      </c>
      <c r="H167" s="5">
        <v>251483000000000</v>
      </c>
      <c r="I167" s="5">
        <v>265167000000000</v>
      </c>
      <c r="J167" s="5">
        <v>277580000000000</v>
      </c>
      <c r="K167" s="5">
        <v>292154000000000</v>
      </c>
      <c r="L167" s="5">
        <v>305336000000000</v>
      </c>
      <c r="M167" s="5">
        <v>317357000000000</v>
      </c>
      <c r="N167" s="5">
        <v>328379000000000</v>
      </c>
      <c r="O167" s="5">
        <v>338244000000000</v>
      </c>
      <c r="P167" s="5">
        <v>348665000000000</v>
      </c>
      <c r="Q167" s="5">
        <v>358174000000000</v>
      </c>
      <c r="R167" s="5">
        <v>367177000000000</v>
      </c>
      <c r="S167" s="5">
        <v>374138000000000</v>
      </c>
      <c r="T167" s="5">
        <v>382132000000000</v>
      </c>
      <c r="U167" s="5">
        <v>392453000000000</v>
      </c>
      <c r="V167" s="5">
        <v>401912000000000</v>
      </c>
      <c r="W167" s="5">
        <v>410830000000000</v>
      </c>
      <c r="X167" s="5">
        <v>419289000000000</v>
      </c>
      <c r="Y167" s="5">
        <v>427501000000000</v>
      </c>
      <c r="Z167" s="5">
        <v>436181000000000</v>
      </c>
      <c r="AA167" s="5">
        <v>444856000000000</v>
      </c>
      <c r="AB167" s="5">
        <v>453633000000000</v>
      </c>
      <c r="AC167" s="5">
        <v>462751000000000</v>
      </c>
      <c r="AD167" s="5">
        <v>472353000000000</v>
      </c>
      <c r="AE167" s="5">
        <v>482436000000000</v>
      </c>
      <c r="AF167" s="5">
        <v>493038000000000</v>
      </c>
      <c r="AG167" s="5">
        <v>504188000000000</v>
      </c>
    </row>
    <row r="168" spans="1:33" x14ac:dyDescent="0.35">
      <c r="A168" t="s">
        <v>229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x14ac:dyDescent="0.35">
      <c r="A169" t="s">
        <v>230</v>
      </c>
      <c r="B169" s="5">
        <v>8110280000000</v>
      </c>
      <c r="C169" s="5">
        <v>6613740000000</v>
      </c>
      <c r="D169" s="5">
        <v>7354190000000</v>
      </c>
      <c r="E169" s="5">
        <v>7994760000000</v>
      </c>
      <c r="F169" s="5">
        <v>8126360000000</v>
      </c>
      <c r="G169" s="5">
        <v>7832140000000</v>
      </c>
      <c r="H169" s="5">
        <v>7464400000000</v>
      </c>
      <c r="I169" s="5">
        <v>7371110000000</v>
      </c>
      <c r="J169" s="5">
        <v>7064900000000</v>
      </c>
      <c r="K169" s="5">
        <v>6910980000000</v>
      </c>
      <c r="L169" s="5">
        <v>6655670000000</v>
      </c>
      <c r="M169" s="5">
        <v>6134930000000</v>
      </c>
      <c r="N169" s="5">
        <v>5220970000000</v>
      </c>
      <c r="O169" s="5">
        <v>4201930000000</v>
      </c>
      <c r="P169" s="5">
        <v>3037820000000</v>
      </c>
      <c r="Q169" s="5">
        <v>1770020000000</v>
      </c>
      <c r="R169" s="5">
        <v>178276000000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</row>
    <row r="170" spans="1:33" x14ac:dyDescent="0.35">
      <c r="A170" t="s">
        <v>231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 x14ac:dyDescent="0.35">
      <c r="A171" t="s">
        <v>232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x14ac:dyDescent="0.35">
      <c r="A172" t="s">
        <v>233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 x14ac:dyDescent="0.35">
      <c r="A173" t="s">
        <v>234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 x14ac:dyDescent="0.35">
      <c r="A174" t="s">
        <v>235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</row>
    <row r="175" spans="1:33" x14ac:dyDescent="0.35">
      <c r="A175" t="s">
        <v>236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35">
      <c r="A176" t="s">
        <v>237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</row>
    <row r="177" spans="1:33" x14ac:dyDescent="0.35">
      <c r="A177" t="s">
        <v>238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 x14ac:dyDescent="0.35">
      <c r="A178" t="s">
        <v>239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</row>
    <row r="179" spans="1:33" x14ac:dyDescent="0.35">
      <c r="A179" t="s">
        <v>240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 x14ac:dyDescent="0.35">
      <c r="A180" t="s">
        <v>241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x14ac:dyDescent="0.35">
      <c r="A181" t="s">
        <v>242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 x14ac:dyDescent="0.35">
      <c r="A182" t="s">
        <v>243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x14ac:dyDescent="0.35">
      <c r="A183" t="s">
        <v>244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 x14ac:dyDescent="0.35">
      <c r="A184" t="s">
        <v>245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 x14ac:dyDescent="0.35">
      <c r="A185" t="s">
        <v>246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 x14ac:dyDescent="0.35">
      <c r="A186" t="s">
        <v>247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35">
      <c r="A187" t="s">
        <v>248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 x14ac:dyDescent="0.35">
      <c r="A188" t="s">
        <v>249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 x14ac:dyDescent="0.35">
      <c r="A189" t="s">
        <v>250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x14ac:dyDescent="0.35">
      <c r="A190" t="s">
        <v>251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 x14ac:dyDescent="0.35">
      <c r="A191" t="s">
        <v>252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35">
      <c r="A192" t="s">
        <v>253</v>
      </c>
      <c r="B192" s="5">
        <v>4967250000000</v>
      </c>
      <c r="C192" s="5">
        <v>3959720000000</v>
      </c>
      <c r="D192" s="5">
        <v>4808710000000</v>
      </c>
      <c r="E192" s="5">
        <v>5321870000000</v>
      </c>
      <c r="F192" s="5">
        <v>5735800000000</v>
      </c>
      <c r="G192" s="5">
        <v>6031040000000</v>
      </c>
      <c r="H192" s="5">
        <v>6249820000000</v>
      </c>
      <c r="I192" s="5">
        <v>6414800000000</v>
      </c>
      <c r="J192" s="5">
        <v>6541340000000</v>
      </c>
      <c r="K192" s="5">
        <v>6719440000000</v>
      </c>
      <c r="L192" s="5">
        <v>6861220000000</v>
      </c>
      <c r="M192" s="5">
        <v>6973640000000</v>
      </c>
      <c r="N192" s="5">
        <v>7054840000000</v>
      </c>
      <c r="O192" s="5">
        <v>7107480000000</v>
      </c>
      <c r="P192" s="5">
        <v>7165310000000</v>
      </c>
      <c r="Q192" s="5">
        <v>7199090000000</v>
      </c>
      <c r="R192" s="5">
        <v>7211620000000</v>
      </c>
      <c r="S192" s="5">
        <v>7206690000000</v>
      </c>
      <c r="T192" s="5">
        <v>7235320000000</v>
      </c>
      <c r="U192" s="5">
        <v>7309310000000</v>
      </c>
      <c r="V192" s="5">
        <v>7360870000000</v>
      </c>
      <c r="W192" s="5">
        <v>7394830000000</v>
      </c>
      <c r="X192" s="5">
        <v>7413330000000</v>
      </c>
      <c r="Y192" s="5">
        <v>7418620000000</v>
      </c>
      <c r="Z192" s="5">
        <v>7421680000000</v>
      </c>
      <c r="AA192" s="5">
        <v>7414110000000</v>
      </c>
      <c r="AB192" s="5">
        <v>7397090000000</v>
      </c>
      <c r="AC192" s="5">
        <v>7370510000000</v>
      </c>
      <c r="AD192" s="5">
        <v>7336090000000</v>
      </c>
      <c r="AE192" s="5">
        <v>7294200000000</v>
      </c>
      <c r="AF192" s="5">
        <v>7246630000000</v>
      </c>
      <c r="AG192" s="5">
        <v>7193350000000</v>
      </c>
    </row>
    <row r="193" spans="1:33" x14ac:dyDescent="0.35">
      <c r="A193" t="s">
        <v>254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 x14ac:dyDescent="0.35">
      <c r="A194" t="s">
        <v>255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35">
      <c r="A195" t="s">
        <v>256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 x14ac:dyDescent="0.35">
      <c r="A196" t="s">
        <v>257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35">
      <c r="A197" t="s">
        <v>258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35">
      <c r="A198" t="s">
        <v>259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 x14ac:dyDescent="0.35">
      <c r="A199" t="s">
        <v>260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 x14ac:dyDescent="0.35">
      <c r="A200" t="s">
        <v>261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 x14ac:dyDescent="0.35">
      <c r="A201" t="s">
        <v>262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 x14ac:dyDescent="0.35">
      <c r="A202" t="s">
        <v>263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 x14ac:dyDescent="0.35">
      <c r="A203" t="s">
        <v>264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</row>
    <row r="204" spans="1:33" x14ac:dyDescent="0.35">
      <c r="A204" t="s">
        <v>265</v>
      </c>
      <c r="B204" s="5">
        <v>25195800000</v>
      </c>
      <c r="C204" s="5">
        <v>43754600000</v>
      </c>
      <c r="D204" s="5">
        <v>101459000000</v>
      </c>
      <c r="E204" s="5">
        <v>193348000000</v>
      </c>
      <c r="F204" s="5">
        <v>338350000000</v>
      </c>
      <c r="G204" s="5">
        <v>547708000000</v>
      </c>
      <c r="H204" s="5">
        <v>835267000000</v>
      </c>
      <c r="I204" s="5">
        <v>1217430000000</v>
      </c>
      <c r="J204" s="5">
        <v>1713590000000</v>
      </c>
      <c r="K204" s="5">
        <v>2391940000000</v>
      </c>
      <c r="L204" s="5">
        <v>3223220000000</v>
      </c>
      <c r="M204" s="5">
        <v>4199300000000</v>
      </c>
      <c r="N204" s="5">
        <v>5381810000000</v>
      </c>
      <c r="O204" s="5">
        <v>6761610000000</v>
      </c>
      <c r="P204" s="5">
        <v>8392250000000</v>
      </c>
      <c r="Q204" s="5">
        <v>10202300000000</v>
      </c>
      <c r="R204" s="5">
        <v>12169800000000</v>
      </c>
      <c r="S204" s="5">
        <v>14235900000000</v>
      </c>
      <c r="T204" s="5">
        <v>16349100000000</v>
      </c>
      <c r="U204" s="5">
        <v>19346900000000</v>
      </c>
      <c r="V204" s="5">
        <v>22429400000000</v>
      </c>
      <c r="W204" s="5">
        <v>25511500000000</v>
      </c>
      <c r="X204" s="5">
        <v>28535800000000</v>
      </c>
      <c r="Y204" s="5">
        <v>31457200000000</v>
      </c>
      <c r="Z204" s="5">
        <v>33899200000000</v>
      </c>
      <c r="AA204" s="5">
        <v>36184800000000</v>
      </c>
      <c r="AB204" s="5">
        <v>38309600000000</v>
      </c>
      <c r="AC204" s="5">
        <v>40291400000000</v>
      </c>
      <c r="AD204" s="5">
        <v>42149500000000</v>
      </c>
      <c r="AE204" s="5">
        <v>43903100000000</v>
      </c>
      <c r="AF204" s="5">
        <v>45562000000000</v>
      </c>
      <c r="AG204" s="5">
        <v>47138000000000</v>
      </c>
    </row>
    <row r="205" spans="1:33" x14ac:dyDescent="0.35">
      <c r="A205" t="s">
        <v>266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35">
      <c r="A206" t="s">
        <v>267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x14ac:dyDescent="0.35">
      <c r="A207" t="s">
        <v>268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 x14ac:dyDescent="0.35">
      <c r="A208" t="s">
        <v>269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35">
      <c r="A209" t="s">
        <v>270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35">
      <c r="A210" t="s">
        <v>271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35">
      <c r="A211" t="s">
        <v>272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35">
      <c r="A212" t="s">
        <v>273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 x14ac:dyDescent="0.35">
      <c r="A213" t="s">
        <v>274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x14ac:dyDescent="0.35">
      <c r="A214" t="s">
        <v>275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35">
      <c r="A215" t="s">
        <v>276</v>
      </c>
      <c r="B215" s="5">
        <v>525611000000</v>
      </c>
      <c r="C215" s="5">
        <v>785065000000</v>
      </c>
      <c r="D215" s="5">
        <v>1504380000000</v>
      </c>
      <c r="E215" s="5">
        <v>2345030000000</v>
      </c>
      <c r="F215" s="5">
        <v>3341630000000</v>
      </c>
      <c r="G215" s="5">
        <v>4393340000000</v>
      </c>
      <c r="H215" s="5">
        <v>5455910000000</v>
      </c>
      <c r="I215" s="5">
        <v>6497870000000</v>
      </c>
      <c r="J215" s="5">
        <v>7495870000000</v>
      </c>
      <c r="K215" s="5">
        <v>8609720000000</v>
      </c>
      <c r="L215" s="5">
        <v>9018810000000</v>
      </c>
      <c r="M215" s="5">
        <v>9415570000000</v>
      </c>
      <c r="N215" s="5">
        <v>9761790000000</v>
      </c>
      <c r="O215" s="5">
        <v>10063400000000</v>
      </c>
      <c r="P215" s="5">
        <v>10391900000000</v>
      </c>
      <c r="Q215" s="5">
        <v>10676400000000</v>
      </c>
      <c r="R215" s="5">
        <v>10921200000000</v>
      </c>
      <c r="S215" s="5">
        <v>11131500000000</v>
      </c>
      <c r="T215" s="5">
        <v>11312800000000</v>
      </c>
      <c r="U215" s="5">
        <v>11978800000000</v>
      </c>
      <c r="V215" s="5">
        <v>12577800000000</v>
      </c>
      <c r="W215" s="5">
        <v>13114500000000</v>
      </c>
      <c r="X215" s="5">
        <v>13599900000000</v>
      </c>
      <c r="Y215" s="5">
        <v>14041500000000</v>
      </c>
      <c r="Z215" s="5">
        <v>14300800000000</v>
      </c>
      <c r="AA215" s="5">
        <v>14530700000000</v>
      </c>
      <c r="AB215" s="5">
        <v>14738500000000</v>
      </c>
      <c r="AC215" s="5">
        <v>14922500000000</v>
      </c>
      <c r="AD215" s="5">
        <v>15081000000000</v>
      </c>
      <c r="AE215" s="5">
        <v>15207300000000</v>
      </c>
      <c r="AF215" s="5">
        <v>15300400000000</v>
      </c>
      <c r="AG215" s="5">
        <v>15358900000000</v>
      </c>
    </row>
    <row r="216" spans="1:33" x14ac:dyDescent="0.35">
      <c r="A216" t="s">
        <v>277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 x14ac:dyDescent="0.35">
      <c r="A217" t="s">
        <v>278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 x14ac:dyDescent="0.35">
      <c r="A218" t="s">
        <v>279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 x14ac:dyDescent="0.35">
      <c r="A219" t="s">
        <v>280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 x14ac:dyDescent="0.35">
      <c r="A220" t="s">
        <v>281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 x14ac:dyDescent="0.35">
      <c r="A221" t="s">
        <v>282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35">
      <c r="A222" t="s">
        <v>283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 x14ac:dyDescent="0.35">
      <c r="A223" t="s">
        <v>284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 x14ac:dyDescent="0.35">
      <c r="A224" t="s">
        <v>285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 x14ac:dyDescent="0.35">
      <c r="A225" t="s">
        <v>286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 x14ac:dyDescent="0.35">
      <c r="A226" t="s">
        <v>287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</row>
    <row r="227" spans="1:33" x14ac:dyDescent="0.35">
      <c r="A227" t="s">
        <v>288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 x14ac:dyDescent="0.35">
      <c r="A228" t="s">
        <v>289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</row>
    <row r="229" spans="1:33" x14ac:dyDescent="0.35">
      <c r="A229" t="s">
        <v>290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 x14ac:dyDescent="0.35">
      <c r="A230" t="s">
        <v>291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 x14ac:dyDescent="0.35">
      <c r="A231" t="s">
        <v>292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 x14ac:dyDescent="0.35">
      <c r="A232" t="s">
        <v>293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35">
      <c r="A233" t="s">
        <v>294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35">
      <c r="A234" t="s">
        <v>295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 x14ac:dyDescent="0.35">
      <c r="A235" t="s">
        <v>296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35">
      <c r="A236" t="s">
        <v>297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 x14ac:dyDescent="0.35">
      <c r="A237" t="s">
        <v>298</v>
      </c>
      <c r="B237" s="5">
        <v>229475000000000</v>
      </c>
      <c r="C237" s="5">
        <v>183491000000000</v>
      </c>
      <c r="D237" s="5">
        <v>224586000000000</v>
      </c>
      <c r="E237" s="5">
        <v>249818000000000</v>
      </c>
      <c r="F237" s="5">
        <v>274131000000000</v>
      </c>
      <c r="G237" s="5">
        <v>293642000000000</v>
      </c>
      <c r="H237" s="5">
        <v>310081000000000</v>
      </c>
      <c r="I237" s="5">
        <v>324301000000000</v>
      </c>
      <c r="J237" s="5">
        <v>337632000000000</v>
      </c>
      <c r="K237" s="5">
        <v>357459000000000</v>
      </c>
      <c r="L237" s="5">
        <v>381526000000000</v>
      </c>
      <c r="M237" s="5">
        <v>405319000000000</v>
      </c>
      <c r="N237" s="5">
        <v>428183000000000</v>
      </c>
      <c r="O237" s="5">
        <v>450009000000000</v>
      </c>
      <c r="P237" s="5">
        <v>474134000000000</v>
      </c>
      <c r="Q237" s="5">
        <v>497319000000000</v>
      </c>
      <c r="R237" s="5">
        <v>519898000000000</v>
      </c>
      <c r="S237" s="5">
        <v>539562000000000</v>
      </c>
      <c r="T237" s="5">
        <v>558192000000000</v>
      </c>
      <c r="U237" s="5">
        <v>602183000000000</v>
      </c>
      <c r="V237" s="5">
        <v>644610000000000</v>
      </c>
      <c r="W237" s="5">
        <v>685712000000000</v>
      </c>
      <c r="X237" s="5">
        <v>725861000000000</v>
      </c>
      <c r="Y237" s="5">
        <v>765179000000000</v>
      </c>
      <c r="Z237" s="5">
        <v>795877000000000</v>
      </c>
      <c r="AA237" s="5">
        <v>826059000000000</v>
      </c>
      <c r="AB237" s="5">
        <v>856051000000000</v>
      </c>
      <c r="AC237" s="5">
        <v>885871000000000</v>
      </c>
      <c r="AD237" s="5">
        <v>915285000000000</v>
      </c>
      <c r="AE237" s="5">
        <v>944272000000000</v>
      </c>
      <c r="AF237" s="5">
        <v>972818000000000</v>
      </c>
      <c r="AG237" s="5">
        <v>1000690000000000</v>
      </c>
    </row>
    <row r="238" spans="1:33" x14ac:dyDescent="0.35">
      <c r="A238" t="s">
        <v>299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 x14ac:dyDescent="0.35">
      <c r="A239" t="s">
        <v>300</v>
      </c>
      <c r="B239" s="5">
        <v>11005800000000</v>
      </c>
      <c r="C239" s="5">
        <v>8822870000000</v>
      </c>
      <c r="D239" s="5">
        <v>9601750000000</v>
      </c>
      <c r="E239" s="5">
        <v>10204200000000</v>
      </c>
      <c r="F239" s="5">
        <v>10247700000000</v>
      </c>
      <c r="G239" s="5">
        <v>9759410000000</v>
      </c>
      <c r="H239" s="5">
        <v>9203670000000</v>
      </c>
      <c r="I239" s="5">
        <v>9014900000000</v>
      </c>
      <c r="J239" s="5">
        <v>8593320000000</v>
      </c>
      <c r="K239" s="5">
        <v>8455800000000</v>
      </c>
      <c r="L239" s="5">
        <v>8316430000000</v>
      </c>
      <c r="M239" s="5">
        <v>7835360000000</v>
      </c>
      <c r="N239" s="5">
        <v>6807780000000</v>
      </c>
      <c r="O239" s="5">
        <v>5590360000000</v>
      </c>
      <c r="P239" s="5">
        <v>4131000000000</v>
      </c>
      <c r="Q239" s="5">
        <v>2457650000000</v>
      </c>
      <c r="R239" s="5">
        <v>252427000000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</row>
    <row r="240" spans="1:33" x14ac:dyDescent="0.35">
      <c r="A240" t="s">
        <v>301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 x14ac:dyDescent="0.35">
      <c r="A241" t="s">
        <v>302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 x14ac:dyDescent="0.35">
      <c r="A242" t="s">
        <v>303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 x14ac:dyDescent="0.35">
      <c r="A243" t="s">
        <v>304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 x14ac:dyDescent="0.35">
      <c r="A244" t="s">
        <v>305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</row>
    <row r="245" spans="1:33" x14ac:dyDescent="0.35">
      <c r="A245" t="s">
        <v>306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x14ac:dyDescent="0.35">
      <c r="A246" t="s">
        <v>307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</row>
    <row r="247" spans="1:33" x14ac:dyDescent="0.35">
      <c r="A247" t="s">
        <v>308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 x14ac:dyDescent="0.35">
      <c r="A248" t="s">
        <v>309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</row>
    <row r="249" spans="1:33" x14ac:dyDescent="0.35">
      <c r="A249" t="s">
        <v>310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x14ac:dyDescent="0.35">
      <c r="A250" t="s">
        <v>311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 x14ac:dyDescent="0.35">
      <c r="A251" t="s">
        <v>312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 x14ac:dyDescent="0.35">
      <c r="A252" t="s">
        <v>313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35">
      <c r="A253" t="s">
        <v>314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35">
      <c r="A254" t="s">
        <v>315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35">
      <c r="A255" t="s">
        <v>316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35">
      <c r="A256" t="s">
        <v>317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35">
      <c r="A257" t="s">
        <v>318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 x14ac:dyDescent="0.35">
      <c r="A258" t="s">
        <v>319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35">
      <c r="A259" t="s">
        <v>320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 x14ac:dyDescent="0.35">
      <c r="A260" t="s">
        <v>321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 x14ac:dyDescent="0.35">
      <c r="A261" t="s">
        <v>322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 x14ac:dyDescent="0.35">
      <c r="A262" t="s">
        <v>323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</row>
    <row r="263" spans="1:33" x14ac:dyDescent="0.35">
      <c r="A263" t="s">
        <v>324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x14ac:dyDescent="0.35">
      <c r="A264" t="s">
        <v>325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35">
      <c r="A265" t="s">
        <v>326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x14ac:dyDescent="0.35">
      <c r="A266" t="s">
        <v>327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x14ac:dyDescent="0.35">
      <c r="A267" t="s">
        <v>328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 x14ac:dyDescent="0.35">
      <c r="A268" t="s">
        <v>329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 x14ac:dyDescent="0.35">
      <c r="A269" t="s">
        <v>330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 x14ac:dyDescent="0.35">
      <c r="A270" t="s">
        <v>331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 x14ac:dyDescent="0.35">
      <c r="A271" t="s">
        <v>332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 x14ac:dyDescent="0.35">
      <c r="A272" t="s">
        <v>333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 x14ac:dyDescent="0.35">
      <c r="A273" t="s">
        <v>334</v>
      </c>
      <c r="B273">
        <v>0</v>
      </c>
      <c r="C273">
        <v>0</v>
      </c>
      <c r="D273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</row>
    <row r="274" spans="1:33" x14ac:dyDescent="0.35">
      <c r="A274" t="s">
        <v>335</v>
      </c>
      <c r="B274" s="5">
        <v>2876810000000</v>
      </c>
      <c r="C274" s="5">
        <v>2704390000000</v>
      </c>
      <c r="D274" s="5">
        <v>4159070000000</v>
      </c>
      <c r="E274" s="5">
        <v>6058530000000</v>
      </c>
      <c r="F274" s="5">
        <v>8572370000000</v>
      </c>
      <c r="G274" s="5">
        <v>11907900000000</v>
      </c>
      <c r="H274" s="5">
        <v>14823500000000</v>
      </c>
      <c r="I274" s="5">
        <v>18535100000000</v>
      </c>
      <c r="J274" s="5">
        <v>23153800000000</v>
      </c>
      <c r="K274" s="5">
        <v>28852100000000</v>
      </c>
      <c r="L274" s="5">
        <v>35113300000000</v>
      </c>
      <c r="M274" s="5">
        <v>41928300000000</v>
      </c>
      <c r="N274" s="5">
        <v>49962500000000</v>
      </c>
      <c r="O274" s="5">
        <v>59037100000000</v>
      </c>
      <c r="P274" s="5">
        <v>68607200000000</v>
      </c>
      <c r="Q274" s="5">
        <v>78687700000000</v>
      </c>
      <c r="R274" s="5">
        <v>90371700000000</v>
      </c>
      <c r="S274" s="5">
        <v>102435000000000</v>
      </c>
      <c r="T274" s="5">
        <v>114626000000000</v>
      </c>
      <c r="U274" s="5">
        <v>126411000000000</v>
      </c>
      <c r="V274" s="5">
        <v>137868000000000</v>
      </c>
      <c r="W274" s="5">
        <v>148625000000000</v>
      </c>
      <c r="X274" s="5">
        <v>158759000000000</v>
      </c>
      <c r="Y274" s="5">
        <v>168369000000000</v>
      </c>
      <c r="Z274" s="5">
        <v>176408000000000</v>
      </c>
      <c r="AA274" s="5">
        <v>183785000000000</v>
      </c>
      <c r="AB274" s="5">
        <v>190593000000000</v>
      </c>
      <c r="AC274" s="5">
        <v>196682000000000</v>
      </c>
      <c r="AD274" s="5">
        <v>202365000000000</v>
      </c>
      <c r="AE274" s="5">
        <v>207689000000000</v>
      </c>
      <c r="AF274" s="5">
        <v>212691000000000</v>
      </c>
      <c r="AG274" s="5">
        <v>217527000000000</v>
      </c>
    </row>
    <row r="275" spans="1:33" x14ac:dyDescent="0.35">
      <c r="A275" t="s">
        <v>336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35">
      <c r="A276" t="s">
        <v>337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35">
      <c r="A277" t="s">
        <v>338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35">
      <c r="A278" t="s">
        <v>339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 x14ac:dyDescent="0.35">
      <c r="A279" t="s">
        <v>340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 x14ac:dyDescent="0.35">
      <c r="A280" t="s">
        <v>341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 x14ac:dyDescent="0.35">
      <c r="A281" t="s">
        <v>342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35">
      <c r="A282" t="s">
        <v>343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 x14ac:dyDescent="0.35">
      <c r="A283" t="s">
        <v>344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 x14ac:dyDescent="0.35">
      <c r="A284" t="s">
        <v>345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 x14ac:dyDescent="0.35">
      <c r="A285" t="s">
        <v>346</v>
      </c>
      <c r="B285" s="5">
        <v>18063900000000</v>
      </c>
      <c r="C285" s="5">
        <v>14097700000000</v>
      </c>
      <c r="D285" s="5">
        <v>16894100000000</v>
      </c>
      <c r="E285" s="5">
        <v>18530600000000</v>
      </c>
      <c r="F285" s="5">
        <v>19536600000000</v>
      </c>
      <c r="G285" s="5">
        <v>20191600000000</v>
      </c>
      <c r="H285" s="5">
        <v>20652300000000</v>
      </c>
      <c r="I285" s="5">
        <v>20955400000000</v>
      </c>
      <c r="J285" s="5">
        <v>21143100000000</v>
      </c>
      <c r="K285" s="5">
        <v>21218900000000</v>
      </c>
      <c r="L285" s="5">
        <v>21273700000000</v>
      </c>
      <c r="M285" s="5">
        <v>21348000000000</v>
      </c>
      <c r="N285" s="5">
        <v>21379200000000</v>
      </c>
      <c r="O285" s="5">
        <v>21368500000000</v>
      </c>
      <c r="P285" s="5">
        <v>21182500000000</v>
      </c>
      <c r="Q285" s="5">
        <v>20960600000000</v>
      </c>
      <c r="R285" s="5">
        <v>20694300000000</v>
      </c>
      <c r="S285" s="5">
        <v>20423000000000</v>
      </c>
      <c r="T285" s="5">
        <v>20152200000000</v>
      </c>
      <c r="U285" s="5">
        <v>19844200000000</v>
      </c>
      <c r="V285" s="5">
        <v>19561600000000</v>
      </c>
      <c r="W285" s="5">
        <v>19282000000000</v>
      </c>
      <c r="X285" s="5">
        <v>19014300000000</v>
      </c>
      <c r="Y285" s="5">
        <v>18776500000000</v>
      </c>
      <c r="Z285" s="5">
        <v>18476200000000</v>
      </c>
      <c r="AA285" s="5">
        <v>18194400000000</v>
      </c>
      <c r="AB285" s="5">
        <v>17927600000000</v>
      </c>
      <c r="AC285" s="5">
        <v>17660400000000</v>
      </c>
      <c r="AD285" s="5">
        <v>17393300000000</v>
      </c>
      <c r="AE285" s="5">
        <v>17124300000000</v>
      </c>
      <c r="AF285" s="5">
        <v>16842400000000</v>
      </c>
      <c r="AG285" s="5">
        <v>16556000000000</v>
      </c>
    </row>
    <row r="286" spans="1:33" x14ac:dyDescent="0.35">
      <c r="A286" t="s">
        <v>347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 x14ac:dyDescent="0.35">
      <c r="A287" t="s">
        <v>348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35">
      <c r="A288" t="s">
        <v>349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 x14ac:dyDescent="0.35">
      <c r="A289" t="s">
        <v>350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35">
      <c r="A290" t="s">
        <v>351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 x14ac:dyDescent="0.35">
      <c r="A291" t="s">
        <v>352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 x14ac:dyDescent="0.35">
      <c r="A292" t="s">
        <v>353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x14ac:dyDescent="0.35">
      <c r="A293" t="s">
        <v>354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35">
      <c r="A294" t="s">
        <v>355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 x14ac:dyDescent="0.35">
      <c r="A295" t="s">
        <v>356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 x14ac:dyDescent="0.35">
      <c r="A296" t="s">
        <v>357</v>
      </c>
      <c r="B296" s="5">
        <v>0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</row>
    <row r="297" spans="1:33" x14ac:dyDescent="0.35">
      <c r="A297" t="s">
        <v>358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 x14ac:dyDescent="0.35">
      <c r="A298" t="s">
        <v>359</v>
      </c>
      <c r="B298" s="5">
        <v>0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 x14ac:dyDescent="0.35">
      <c r="A299" t="s">
        <v>360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 x14ac:dyDescent="0.35">
      <c r="A300" t="s">
        <v>361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 x14ac:dyDescent="0.35">
      <c r="A301" t="s">
        <v>362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</row>
    <row r="302" spans="1:33" x14ac:dyDescent="0.35">
      <c r="A302" t="s">
        <v>363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1:33" x14ac:dyDescent="0.35">
      <c r="A303" t="s">
        <v>364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 x14ac:dyDescent="0.35">
      <c r="A304" t="s">
        <v>365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 x14ac:dyDescent="0.35">
      <c r="A305" t="s">
        <v>366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 x14ac:dyDescent="0.35">
      <c r="A306" t="s">
        <v>367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35">
      <c r="A307" t="s">
        <v>368</v>
      </c>
      <c r="B307" s="5">
        <v>900066000000000</v>
      </c>
      <c r="C307" s="5">
        <v>704476000000000</v>
      </c>
      <c r="D307" s="5">
        <v>853726000000000</v>
      </c>
      <c r="E307" s="5">
        <v>946569000000000</v>
      </c>
      <c r="F307" s="5">
        <v>1011440000000000</v>
      </c>
      <c r="G307" s="5">
        <v>1061350000000000</v>
      </c>
      <c r="H307" s="5">
        <v>1103730000000000</v>
      </c>
      <c r="I307" s="5">
        <v>1139230000000000</v>
      </c>
      <c r="J307" s="5">
        <v>1171810000000000</v>
      </c>
      <c r="K307" s="5">
        <v>1200120000000000</v>
      </c>
      <c r="L307" s="5">
        <v>1227360000000000</v>
      </c>
      <c r="M307" s="5">
        <v>1254240000000000</v>
      </c>
      <c r="N307" s="5">
        <v>1280200000000000</v>
      </c>
      <c r="O307" s="5">
        <v>1304580000000000</v>
      </c>
      <c r="P307" s="5">
        <v>1320480000000000</v>
      </c>
      <c r="Q307" s="5">
        <v>1335700000000000</v>
      </c>
      <c r="R307" s="5">
        <v>1349110000000000</v>
      </c>
      <c r="S307" s="5">
        <v>1356530000000000</v>
      </c>
      <c r="T307" s="5">
        <v>1363030000000000</v>
      </c>
      <c r="U307" s="5">
        <v>1366940000000000</v>
      </c>
      <c r="V307" s="5">
        <v>1371360000000000</v>
      </c>
      <c r="W307" s="5">
        <v>1376920000000000</v>
      </c>
      <c r="X307" s="5">
        <v>1383520000000000</v>
      </c>
      <c r="Y307" s="5">
        <v>1390960000000000</v>
      </c>
      <c r="Z307" s="5">
        <v>1393250000000000</v>
      </c>
      <c r="AA307" s="5">
        <v>1396660000000000</v>
      </c>
      <c r="AB307" s="5">
        <v>1401000000000000</v>
      </c>
      <c r="AC307" s="5">
        <v>1406550000000000</v>
      </c>
      <c r="AD307" s="5">
        <v>1412790000000000</v>
      </c>
      <c r="AE307" s="5">
        <v>1419600000000000</v>
      </c>
      <c r="AF307" s="5">
        <v>1426960000000000</v>
      </c>
      <c r="AG307" s="5">
        <v>1434560000000000</v>
      </c>
    </row>
    <row r="308" spans="1:33" x14ac:dyDescent="0.35">
      <c r="A308" t="s">
        <v>369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 x14ac:dyDescent="0.35">
      <c r="A309" t="s">
        <v>370</v>
      </c>
      <c r="B309" s="5">
        <v>43167900000000</v>
      </c>
      <c r="C309" s="5">
        <v>33873600000000</v>
      </c>
      <c r="D309" s="5">
        <v>36499400000000</v>
      </c>
      <c r="E309" s="5">
        <v>38664000000000</v>
      </c>
      <c r="F309" s="5">
        <v>37810100000000</v>
      </c>
      <c r="G309" s="5">
        <v>35274700000000</v>
      </c>
      <c r="H309" s="5">
        <v>32760300000000</v>
      </c>
      <c r="I309" s="5">
        <v>31668200000000</v>
      </c>
      <c r="J309" s="5">
        <v>29824500000000</v>
      </c>
      <c r="K309" s="5">
        <v>28389100000000</v>
      </c>
      <c r="L309" s="5">
        <v>26753700000000</v>
      </c>
      <c r="M309" s="5">
        <v>24246100000000</v>
      </c>
      <c r="N309" s="5">
        <v>20354200000000</v>
      </c>
      <c r="O309" s="5">
        <v>16206500000000</v>
      </c>
      <c r="P309" s="5">
        <v>11504900000000</v>
      </c>
      <c r="Q309" s="5">
        <v>6600730000000</v>
      </c>
      <c r="R309" s="5">
        <v>655035000000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</row>
    <row r="310" spans="1:33" x14ac:dyDescent="0.35">
      <c r="A310" t="s">
        <v>371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 x14ac:dyDescent="0.35">
      <c r="A311" t="s">
        <v>372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35">
      <c r="A312" t="s">
        <v>373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x14ac:dyDescent="0.35">
      <c r="A313" t="s">
        <v>374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 x14ac:dyDescent="0.35">
      <c r="A314" t="s">
        <v>375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</row>
    <row r="315" spans="1:33" x14ac:dyDescent="0.35">
      <c r="A315" t="s">
        <v>376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 x14ac:dyDescent="0.35">
      <c r="A316" t="s">
        <v>377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 x14ac:dyDescent="0.35">
      <c r="A317" t="s">
        <v>378</v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</row>
    <row r="318" spans="1:33" x14ac:dyDescent="0.35">
      <c r="A318" t="s">
        <v>379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 x14ac:dyDescent="0.35">
      <c r="A319" t="s">
        <v>380</v>
      </c>
      <c r="B319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</row>
    <row r="320" spans="1:33" x14ac:dyDescent="0.35">
      <c r="A320" t="s">
        <v>381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 x14ac:dyDescent="0.35">
      <c r="A321" t="s">
        <v>382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1:33" x14ac:dyDescent="0.35">
      <c r="A322" t="s">
        <v>383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 x14ac:dyDescent="0.35">
      <c r="A323" t="s">
        <v>384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</row>
    <row r="324" spans="1:33" x14ac:dyDescent="0.35">
      <c r="A324" t="s">
        <v>385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 x14ac:dyDescent="0.35">
      <c r="A325" t="s">
        <v>386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 x14ac:dyDescent="0.35">
      <c r="A326" t="s">
        <v>387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 x14ac:dyDescent="0.35">
      <c r="A327" t="s">
        <v>388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 x14ac:dyDescent="0.35">
      <c r="A328" t="s">
        <v>389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 x14ac:dyDescent="0.35">
      <c r="A329" t="s">
        <v>390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 x14ac:dyDescent="0.35">
      <c r="A330" t="s">
        <v>391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x14ac:dyDescent="0.35">
      <c r="A331" t="s">
        <v>392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 x14ac:dyDescent="0.35">
      <c r="A332" t="s">
        <v>393</v>
      </c>
      <c r="B332" s="5">
        <v>0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</row>
    <row r="333" spans="1:33" x14ac:dyDescent="0.35">
      <c r="A333" t="s">
        <v>394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 x14ac:dyDescent="0.35">
      <c r="A334" t="s">
        <v>395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1:33" x14ac:dyDescent="0.35">
      <c r="A335" t="s">
        <v>396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 x14ac:dyDescent="0.35">
      <c r="A336" t="s">
        <v>397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x14ac:dyDescent="0.35">
      <c r="A337" t="s">
        <v>398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1:33" x14ac:dyDescent="0.35">
      <c r="A338" t="s">
        <v>399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 x14ac:dyDescent="0.35">
      <c r="A339" t="s">
        <v>400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x14ac:dyDescent="0.35">
      <c r="A340" t="s">
        <v>401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 x14ac:dyDescent="0.35">
      <c r="A341" t="s">
        <v>402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 x14ac:dyDescent="0.35">
      <c r="A342" t="s">
        <v>403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35">
      <c r="A343" t="s">
        <v>404</v>
      </c>
      <c r="B343" s="5">
        <v>0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</row>
    <row r="344" spans="1:33" x14ac:dyDescent="0.35">
      <c r="A344" t="s">
        <v>405</v>
      </c>
      <c r="B344" s="5">
        <v>27450000000</v>
      </c>
      <c r="C344" s="5">
        <v>47519900000</v>
      </c>
      <c r="D344" s="5">
        <v>110476000000</v>
      </c>
      <c r="E344" s="5">
        <v>210265000000</v>
      </c>
      <c r="F344" s="5">
        <v>361243000000</v>
      </c>
      <c r="G344" s="5">
        <v>574405000000</v>
      </c>
      <c r="H344" s="5">
        <v>861236000000</v>
      </c>
      <c r="I344" s="5">
        <v>1237900000000</v>
      </c>
      <c r="J344" s="5">
        <v>1717310000000</v>
      </c>
      <c r="K344" s="5">
        <v>2355050000000</v>
      </c>
      <c r="L344" s="5">
        <v>3120470000000</v>
      </c>
      <c r="M344" s="5">
        <v>4000220000000</v>
      </c>
      <c r="N344" s="5">
        <v>5056930000000</v>
      </c>
      <c r="O344" s="5">
        <v>6283030000000</v>
      </c>
      <c r="P344" s="5">
        <v>7658480000000</v>
      </c>
      <c r="Q344" s="5">
        <v>9157260000000</v>
      </c>
      <c r="R344" s="5">
        <v>10751800000000</v>
      </c>
      <c r="S344" s="5">
        <v>12413900000000</v>
      </c>
      <c r="T344" s="5">
        <v>14093600000000</v>
      </c>
      <c r="U344" s="5">
        <v>15747800000000</v>
      </c>
      <c r="V344" s="5">
        <v>17354700000000</v>
      </c>
      <c r="W344" s="5">
        <v>18861300000000</v>
      </c>
      <c r="X344" s="5">
        <v>20262400000000</v>
      </c>
      <c r="Y344" s="5">
        <v>21559100000000</v>
      </c>
      <c r="Z344" s="5">
        <v>22654300000000</v>
      </c>
      <c r="AA344" s="5">
        <v>23626200000000</v>
      </c>
      <c r="AB344" s="5">
        <v>24492900000000</v>
      </c>
      <c r="AC344" s="5">
        <v>25223600000000</v>
      </c>
      <c r="AD344" s="5">
        <v>25868400000000</v>
      </c>
      <c r="AE344" s="5">
        <v>26438500000000</v>
      </c>
      <c r="AF344" s="5">
        <v>26932100000000</v>
      </c>
      <c r="AG344" s="5">
        <v>27379400000000</v>
      </c>
    </row>
    <row r="345" spans="1:33" x14ac:dyDescent="0.35">
      <c r="A345" t="s">
        <v>406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1:33" x14ac:dyDescent="0.35">
      <c r="A346" t="s">
        <v>407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1:33" x14ac:dyDescent="0.35">
      <c r="A347" t="s">
        <v>408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 x14ac:dyDescent="0.35">
      <c r="A348" t="s">
        <v>409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 x14ac:dyDescent="0.35">
      <c r="A349" t="s">
        <v>410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x14ac:dyDescent="0.35">
      <c r="A350" t="s">
        <v>411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 x14ac:dyDescent="0.35">
      <c r="A351" t="s">
        <v>412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 x14ac:dyDescent="0.35">
      <c r="A352" t="s">
        <v>413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 x14ac:dyDescent="0.35">
      <c r="A353" t="s">
        <v>414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 x14ac:dyDescent="0.35">
      <c r="A354" t="s">
        <v>415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 x14ac:dyDescent="0.35">
      <c r="A355" t="s">
        <v>416</v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</row>
    <row r="356" spans="1:33" x14ac:dyDescent="0.35">
      <c r="A356" t="s">
        <v>417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 x14ac:dyDescent="0.35">
      <c r="A357" t="s">
        <v>418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 x14ac:dyDescent="0.35">
      <c r="A358" t="s">
        <v>419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 x14ac:dyDescent="0.35">
      <c r="A359" t="s">
        <v>420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 x14ac:dyDescent="0.35">
      <c r="A360" t="s">
        <v>421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 x14ac:dyDescent="0.35">
      <c r="A361" t="s">
        <v>422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35">
      <c r="A362" t="s">
        <v>423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 x14ac:dyDescent="0.35">
      <c r="A363" t="s">
        <v>424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 x14ac:dyDescent="0.35">
      <c r="A364" t="s">
        <v>425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 x14ac:dyDescent="0.35">
      <c r="A365" t="s">
        <v>426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 x14ac:dyDescent="0.35">
      <c r="A366" t="s">
        <v>427</v>
      </c>
      <c r="B366" s="5">
        <v>0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</row>
    <row r="367" spans="1:33" x14ac:dyDescent="0.35">
      <c r="A367" t="s">
        <v>428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 x14ac:dyDescent="0.35">
      <c r="A368" t="s">
        <v>429</v>
      </c>
      <c r="B368" s="5">
        <v>0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</row>
    <row r="369" spans="1:33" x14ac:dyDescent="0.35">
      <c r="A369" t="s">
        <v>430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 x14ac:dyDescent="0.35">
      <c r="A370" t="s">
        <v>431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35">
      <c r="A371" t="s">
        <v>432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 x14ac:dyDescent="0.35">
      <c r="A372" t="s">
        <v>433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 x14ac:dyDescent="0.35">
      <c r="A373" t="s">
        <v>434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 x14ac:dyDescent="0.35">
      <c r="A374" t="s">
        <v>435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 x14ac:dyDescent="0.35">
      <c r="A375" t="s">
        <v>436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 x14ac:dyDescent="0.35">
      <c r="A376" t="s">
        <v>437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 x14ac:dyDescent="0.35">
      <c r="A377" t="s">
        <v>438</v>
      </c>
      <c r="B377" s="5">
        <v>1371330000000000</v>
      </c>
      <c r="C377" s="5">
        <v>1092680000000000</v>
      </c>
      <c r="D377" s="5">
        <v>1340760000000000</v>
      </c>
      <c r="E377" s="5">
        <v>1499300000000000</v>
      </c>
      <c r="F377" s="5">
        <v>1636450000000000</v>
      </c>
      <c r="G377" s="5">
        <v>1747470000000000</v>
      </c>
      <c r="H377" s="5">
        <v>1840740000000000</v>
      </c>
      <c r="I377" s="5">
        <v>1920660000000000</v>
      </c>
      <c r="J377" s="5">
        <v>1994630000000000</v>
      </c>
      <c r="K377" s="5">
        <v>2091710000000000</v>
      </c>
      <c r="L377" s="5">
        <v>2194970000000000</v>
      </c>
      <c r="M377" s="5">
        <v>2299270000000000</v>
      </c>
      <c r="N377" s="5">
        <v>2401260000000000</v>
      </c>
      <c r="O377" s="5">
        <v>2499800000000000</v>
      </c>
      <c r="P377" s="5">
        <v>2592700000000000</v>
      </c>
      <c r="Q377" s="5">
        <v>2683160000000000</v>
      </c>
      <c r="R377" s="5">
        <v>2773020000000000</v>
      </c>
      <c r="S377" s="5">
        <v>2849180000000000</v>
      </c>
      <c r="T377" s="5">
        <v>2921140000000000</v>
      </c>
      <c r="U377" s="5">
        <v>2988310000000000</v>
      </c>
      <c r="V377" s="5">
        <v>3052720000000000</v>
      </c>
      <c r="W377" s="5">
        <v>3114640000000000</v>
      </c>
      <c r="X377" s="5">
        <v>3174200000000000</v>
      </c>
      <c r="Y377" s="5">
        <v>3231930000000000</v>
      </c>
      <c r="Z377" s="5">
        <v>3278770000000000</v>
      </c>
      <c r="AA377" s="5">
        <v>3323460000000000</v>
      </c>
      <c r="AB377" s="5">
        <v>3366770000000000</v>
      </c>
      <c r="AC377" s="5">
        <v>3408370000000000</v>
      </c>
      <c r="AD377" s="5">
        <v>3448220000000000</v>
      </c>
      <c r="AE377" s="5">
        <v>3486800000000000</v>
      </c>
      <c r="AF377" s="5">
        <v>3524010000000000</v>
      </c>
      <c r="AG377" s="5">
        <v>3559440000000000</v>
      </c>
    </row>
    <row r="378" spans="1:33" x14ac:dyDescent="0.35">
      <c r="A378" t="s">
        <v>439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 x14ac:dyDescent="0.35">
      <c r="A379" t="s">
        <v>440</v>
      </c>
      <c r="B379" s="5">
        <v>65769900000000</v>
      </c>
      <c r="C379" s="5">
        <v>52540000000000</v>
      </c>
      <c r="D379" s="5">
        <v>57321700000000</v>
      </c>
      <c r="E379" s="5">
        <v>61241100000000</v>
      </c>
      <c r="F379" s="5">
        <v>61174700000000</v>
      </c>
      <c r="G379" s="5">
        <v>58078600000000</v>
      </c>
      <c r="H379" s="5">
        <v>54636000000000</v>
      </c>
      <c r="I379" s="5">
        <v>53390300000000</v>
      </c>
      <c r="J379" s="5">
        <v>50766800000000</v>
      </c>
      <c r="K379" s="5">
        <v>49480000000000</v>
      </c>
      <c r="L379" s="5">
        <v>47845600000000</v>
      </c>
      <c r="M379" s="5">
        <v>44448000000000</v>
      </c>
      <c r="N379" s="5">
        <v>38178100000000</v>
      </c>
      <c r="O379" s="5">
        <v>31054500000000</v>
      </c>
      <c r="P379" s="5">
        <v>22589500000000</v>
      </c>
      <c r="Q379" s="5">
        <v>13259600000000</v>
      </c>
      <c r="R379" s="5">
        <v>1346390000000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</row>
    <row r="380" spans="1:33" x14ac:dyDescent="0.35">
      <c r="A380" t="s">
        <v>441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 x14ac:dyDescent="0.35">
      <c r="A381" t="s">
        <v>442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 spans="1:33" x14ac:dyDescent="0.35">
      <c r="A382" t="s">
        <v>443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35">
      <c r="A383" t="s">
        <v>444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 x14ac:dyDescent="0.35">
      <c r="A384" t="s">
        <v>445</v>
      </c>
      <c r="B384" s="5">
        <v>0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</row>
    <row r="385" spans="1:33" x14ac:dyDescent="0.35">
      <c r="A385" t="s">
        <v>446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 spans="1:33" x14ac:dyDescent="0.35">
      <c r="A386" t="s">
        <v>447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</row>
    <row r="387" spans="1:33" x14ac:dyDescent="0.35">
      <c r="A387" t="s">
        <v>448</v>
      </c>
      <c r="B387" s="5">
        <v>0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</row>
    <row r="388" spans="1:33" x14ac:dyDescent="0.35">
      <c r="A388" t="s">
        <v>449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x14ac:dyDescent="0.35">
      <c r="A389" t="s">
        <v>450</v>
      </c>
      <c r="B389" s="5">
        <v>0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</row>
    <row r="390" spans="1:33" x14ac:dyDescent="0.35">
      <c r="A390" t="s">
        <v>451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35">
      <c r="A391" t="s">
        <v>452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x14ac:dyDescent="0.35">
      <c r="A392" t="s">
        <v>453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 x14ac:dyDescent="0.35">
      <c r="A393" t="s">
        <v>454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 x14ac:dyDescent="0.35">
      <c r="A394" t="s">
        <v>455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 spans="1:33" x14ac:dyDescent="0.35">
      <c r="A395" t="s">
        <v>456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</row>
    <row r="396" spans="1:33" x14ac:dyDescent="0.35">
      <c r="A396" t="s">
        <v>457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 x14ac:dyDescent="0.35">
      <c r="A397" t="s">
        <v>458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</row>
    <row r="398" spans="1:33" x14ac:dyDescent="0.35">
      <c r="A398" t="s">
        <v>459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 x14ac:dyDescent="0.35">
      <c r="A399" t="s">
        <v>460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 x14ac:dyDescent="0.35">
      <c r="A400" t="s">
        <v>461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 x14ac:dyDescent="0.35">
      <c r="A401" t="s">
        <v>462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 x14ac:dyDescent="0.35">
      <c r="A402" t="s">
        <v>463</v>
      </c>
      <c r="B402" s="5">
        <v>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</row>
    <row r="403" spans="1:33" x14ac:dyDescent="0.35">
      <c r="A403" t="s">
        <v>464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 x14ac:dyDescent="0.35">
      <c r="A404" t="s">
        <v>465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1:33" x14ac:dyDescent="0.35">
      <c r="A405" t="s">
        <v>466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 spans="1:33" x14ac:dyDescent="0.35">
      <c r="A406" t="s">
        <v>467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 x14ac:dyDescent="0.35">
      <c r="A407" t="s">
        <v>468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 x14ac:dyDescent="0.35">
      <c r="A408" t="s">
        <v>469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 x14ac:dyDescent="0.35">
      <c r="A409" t="s">
        <v>470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35">
      <c r="A410" t="s">
        <v>471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 spans="1:33" x14ac:dyDescent="0.35">
      <c r="A411" t="s">
        <v>472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 x14ac:dyDescent="0.35">
      <c r="A412" t="s">
        <v>473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 x14ac:dyDescent="0.35">
      <c r="A413" t="s">
        <v>474</v>
      </c>
      <c r="B413" s="5">
        <v>0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</row>
    <row r="414" spans="1:33" x14ac:dyDescent="0.35">
      <c r="A414" t="s">
        <v>475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35">
      <c r="A415" t="s">
        <v>476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 x14ac:dyDescent="0.35">
      <c r="A416" t="s">
        <v>477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 spans="1:33" x14ac:dyDescent="0.35">
      <c r="A417" t="s">
        <v>478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1:33" x14ac:dyDescent="0.35">
      <c r="A418" t="s">
        <v>479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 x14ac:dyDescent="0.35">
      <c r="A419" t="s">
        <v>480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 x14ac:dyDescent="0.35">
      <c r="A420" t="s">
        <v>481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35">
      <c r="A421" t="s">
        <v>482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</row>
    <row r="422" spans="1:33" x14ac:dyDescent="0.35">
      <c r="A422" t="s">
        <v>483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 spans="1:33" x14ac:dyDescent="0.35">
      <c r="A423" t="s">
        <v>484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 x14ac:dyDescent="0.35">
      <c r="A424" t="s">
        <v>485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x14ac:dyDescent="0.35">
      <c r="A425" t="s">
        <v>486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 x14ac:dyDescent="0.35">
      <c r="A426" t="s">
        <v>487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 x14ac:dyDescent="0.35">
      <c r="A427" t="s">
        <v>488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 x14ac:dyDescent="0.35">
      <c r="A428" t="s">
        <v>489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 x14ac:dyDescent="0.35">
      <c r="A429" t="s">
        <v>490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 x14ac:dyDescent="0.35">
      <c r="A430" t="s">
        <v>491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 x14ac:dyDescent="0.35">
      <c r="A431" t="s">
        <v>492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 x14ac:dyDescent="0.35">
      <c r="A432" t="s">
        <v>493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 x14ac:dyDescent="0.35">
      <c r="A433" t="s">
        <v>494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 x14ac:dyDescent="0.35">
      <c r="A434" t="s">
        <v>495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 x14ac:dyDescent="0.35">
      <c r="A435" t="s">
        <v>496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 x14ac:dyDescent="0.35">
      <c r="A436" t="s">
        <v>497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 x14ac:dyDescent="0.35">
      <c r="A437" t="s">
        <v>498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 x14ac:dyDescent="0.35">
      <c r="A438" t="s">
        <v>499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 x14ac:dyDescent="0.35">
      <c r="A439" t="s">
        <v>500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 x14ac:dyDescent="0.35">
      <c r="A440" t="s">
        <v>501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 spans="1:33" x14ac:dyDescent="0.35">
      <c r="A441" t="s">
        <v>502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 spans="1:33" x14ac:dyDescent="0.35">
      <c r="A442" t="s">
        <v>503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 spans="1:33" x14ac:dyDescent="0.35">
      <c r="A443" t="s">
        <v>504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x14ac:dyDescent="0.35">
      <c r="A444" t="s">
        <v>505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35">
      <c r="A445" t="s">
        <v>506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 x14ac:dyDescent="0.35">
      <c r="A446" t="s">
        <v>507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1:33" x14ac:dyDescent="0.35">
      <c r="A447" t="s">
        <v>508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 x14ac:dyDescent="0.35">
      <c r="A448" t="s">
        <v>509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 x14ac:dyDescent="0.35">
      <c r="A449" t="s">
        <v>510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 x14ac:dyDescent="0.35">
      <c r="A450" t="s">
        <v>511</v>
      </c>
      <c r="B450" s="5">
        <v>327621000000000</v>
      </c>
      <c r="C450" s="5">
        <v>268322000000000</v>
      </c>
      <c r="D450" s="5">
        <v>336685000000000</v>
      </c>
      <c r="E450" s="5">
        <v>386015000000000</v>
      </c>
      <c r="F450" s="5">
        <v>431942000000000</v>
      </c>
      <c r="G450" s="5">
        <v>471782000000000</v>
      </c>
      <c r="H450" s="5">
        <v>507904000000000</v>
      </c>
      <c r="I450" s="5">
        <v>541992000000000</v>
      </c>
      <c r="J450" s="5">
        <v>574218000000000</v>
      </c>
      <c r="K450" s="5">
        <v>612920000000000</v>
      </c>
      <c r="L450" s="5">
        <v>649889000000000</v>
      </c>
      <c r="M450" s="5">
        <v>685555000000000</v>
      </c>
      <c r="N450" s="5">
        <v>720813000000000</v>
      </c>
      <c r="O450" s="5">
        <v>755635000000000</v>
      </c>
      <c r="P450" s="5">
        <v>793795000000000</v>
      </c>
      <c r="Q450" s="5">
        <v>831537000000000</v>
      </c>
      <c r="R450" s="5">
        <v>868925000000000</v>
      </c>
      <c r="S450" s="5">
        <v>906346000000000</v>
      </c>
      <c r="T450" s="5">
        <v>943179000000000</v>
      </c>
      <c r="U450" s="5">
        <v>985515000000000</v>
      </c>
      <c r="V450" s="5">
        <v>1028560000000000</v>
      </c>
      <c r="W450" s="5">
        <v>1071320000000000</v>
      </c>
      <c r="X450" s="5">
        <v>1113360000000000</v>
      </c>
      <c r="Y450" s="5">
        <v>1155040000000000</v>
      </c>
      <c r="Z450" s="5">
        <v>1198730000000000</v>
      </c>
      <c r="AA450" s="5">
        <v>1242100000000000</v>
      </c>
      <c r="AB450" s="5">
        <v>1285640000000000</v>
      </c>
      <c r="AC450" s="5">
        <v>1328670000000000</v>
      </c>
      <c r="AD450" s="5">
        <v>1371630000000000</v>
      </c>
      <c r="AE450" s="5">
        <v>1414510000000000</v>
      </c>
      <c r="AF450" s="5">
        <v>1457500000000000</v>
      </c>
      <c r="AG450" s="5">
        <v>1500470000000000</v>
      </c>
    </row>
    <row r="451" spans="1:33" x14ac:dyDescent="0.35">
      <c r="A451" t="s">
        <v>512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 x14ac:dyDescent="0.35">
      <c r="A452" t="s">
        <v>513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 x14ac:dyDescent="0.35">
      <c r="A453" t="s">
        <v>514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</row>
    <row r="454" spans="1:33" x14ac:dyDescent="0.35">
      <c r="A454" t="s">
        <v>515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 spans="1:33" x14ac:dyDescent="0.35">
      <c r="A455" t="s">
        <v>516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 x14ac:dyDescent="0.35">
      <c r="A456" t="s">
        <v>517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 spans="1:33" x14ac:dyDescent="0.35">
      <c r="A457" t="s">
        <v>518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 x14ac:dyDescent="0.35">
      <c r="A458" t="s">
        <v>519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 x14ac:dyDescent="0.35">
      <c r="A459" t="s">
        <v>520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 x14ac:dyDescent="0.35">
      <c r="A460" t="s">
        <v>521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 x14ac:dyDescent="0.35">
      <c r="A461" t="s">
        <v>522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 spans="1:33" x14ac:dyDescent="0.35">
      <c r="A462" t="s">
        <v>523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 x14ac:dyDescent="0.35">
      <c r="A463" t="s">
        <v>524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 spans="1:33" x14ac:dyDescent="0.35">
      <c r="A464" t="s">
        <v>525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 spans="1:33" x14ac:dyDescent="0.35">
      <c r="A465" t="s">
        <v>526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 spans="1:33" x14ac:dyDescent="0.35">
      <c r="A466" t="s">
        <v>527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 x14ac:dyDescent="0.35">
      <c r="A467" t="s">
        <v>528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 x14ac:dyDescent="0.35">
      <c r="A468" t="s">
        <v>529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x14ac:dyDescent="0.35">
      <c r="A469" t="s">
        <v>530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 x14ac:dyDescent="0.35">
      <c r="A470" t="s">
        <v>531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1:33" x14ac:dyDescent="0.35">
      <c r="A471" t="s">
        <v>532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</row>
    <row r="472" spans="1:33" x14ac:dyDescent="0.35">
      <c r="A472" t="s">
        <v>533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</row>
    <row r="473" spans="1:33" x14ac:dyDescent="0.35">
      <c r="A473" t="s">
        <v>534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</row>
    <row r="474" spans="1:33" x14ac:dyDescent="0.35">
      <c r="A474" t="s">
        <v>535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 spans="1:33" x14ac:dyDescent="0.35">
      <c r="A475" t="s">
        <v>536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 spans="1:33" x14ac:dyDescent="0.35">
      <c r="A476" t="s">
        <v>537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1:33" x14ac:dyDescent="0.35">
      <c r="A477" t="s">
        <v>538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</row>
    <row r="478" spans="1:33" x14ac:dyDescent="0.35">
      <c r="A478" t="s">
        <v>539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 x14ac:dyDescent="0.35">
      <c r="A479" t="s">
        <v>540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</row>
    <row r="480" spans="1:33" x14ac:dyDescent="0.35">
      <c r="A480" t="s">
        <v>541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</row>
    <row r="481" spans="1:33" x14ac:dyDescent="0.35">
      <c r="A481" t="s">
        <v>542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 spans="1:33" x14ac:dyDescent="0.35">
      <c r="A482" t="s">
        <v>543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1:33" x14ac:dyDescent="0.35">
      <c r="A483" t="s">
        <v>544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 x14ac:dyDescent="0.35">
      <c r="A484" t="s">
        <v>545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 spans="1:33" x14ac:dyDescent="0.35">
      <c r="A485" t="s">
        <v>546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1:33" x14ac:dyDescent="0.35">
      <c r="A486" t="s">
        <v>547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 x14ac:dyDescent="0.35">
      <c r="A487" t="s">
        <v>548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x14ac:dyDescent="0.35">
      <c r="A488" t="s">
        <v>549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 x14ac:dyDescent="0.35">
      <c r="A489" t="s">
        <v>550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 spans="1:33" x14ac:dyDescent="0.35">
      <c r="A490" t="s">
        <v>551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</row>
    <row r="491" spans="1:33" x14ac:dyDescent="0.35">
      <c r="A491" t="s">
        <v>552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</row>
    <row r="492" spans="1:33" x14ac:dyDescent="0.35">
      <c r="A492" t="s">
        <v>553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 x14ac:dyDescent="0.35">
      <c r="A493" t="s">
        <v>554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</row>
    <row r="494" spans="1:33" x14ac:dyDescent="0.35">
      <c r="A494" t="s">
        <v>555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 x14ac:dyDescent="0.35">
      <c r="A495" t="s">
        <v>556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 x14ac:dyDescent="0.35">
      <c r="A496" t="s">
        <v>557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 spans="1:33" x14ac:dyDescent="0.35">
      <c r="A497" t="s">
        <v>558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 x14ac:dyDescent="0.35">
      <c r="A498" t="s">
        <v>559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35">
      <c r="A499" t="s">
        <v>560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 x14ac:dyDescent="0.35">
      <c r="A500" t="s">
        <v>561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 spans="1:33" x14ac:dyDescent="0.35">
      <c r="A501" t="s">
        <v>562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 spans="1:33" x14ac:dyDescent="0.35">
      <c r="A502" t="s">
        <v>563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</row>
    <row r="503" spans="1:33" x14ac:dyDescent="0.35">
      <c r="A503" t="s">
        <v>564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 x14ac:dyDescent="0.35">
      <c r="A504" t="s">
        <v>565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</row>
    <row r="505" spans="1:33" x14ac:dyDescent="0.35">
      <c r="A505" t="s">
        <v>566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 x14ac:dyDescent="0.35">
      <c r="A506" t="s">
        <v>567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</row>
    <row r="507" spans="1:33" x14ac:dyDescent="0.35">
      <c r="A507" t="s">
        <v>568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</row>
    <row r="508" spans="1:33" x14ac:dyDescent="0.35">
      <c r="A508" t="s">
        <v>569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</row>
    <row r="509" spans="1:33" x14ac:dyDescent="0.35">
      <c r="A509" t="s">
        <v>570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 x14ac:dyDescent="0.35">
      <c r="A510" t="s">
        <v>571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 x14ac:dyDescent="0.35">
      <c r="A511" t="s">
        <v>572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 x14ac:dyDescent="0.35">
      <c r="A512" t="s">
        <v>573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 x14ac:dyDescent="0.35">
      <c r="A513" t="s">
        <v>574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 spans="1:33" x14ac:dyDescent="0.35">
      <c r="A514" t="s">
        <v>575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</row>
    <row r="515" spans="1:33" x14ac:dyDescent="0.35">
      <c r="A515" t="s">
        <v>576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</row>
    <row r="516" spans="1:33" x14ac:dyDescent="0.35">
      <c r="A516" t="s">
        <v>577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</row>
    <row r="517" spans="1:33" x14ac:dyDescent="0.35">
      <c r="A517" t="s">
        <v>578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 x14ac:dyDescent="0.35">
      <c r="A518" t="s">
        <v>579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</row>
    <row r="519" spans="1:33" x14ac:dyDescent="0.35">
      <c r="A519" t="s">
        <v>580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</row>
    <row r="520" spans="1:33" x14ac:dyDescent="0.35">
      <c r="A520" t="s">
        <v>581</v>
      </c>
      <c r="B520" s="5">
        <v>12924200000000</v>
      </c>
      <c r="C520" s="5">
        <v>10510200000000</v>
      </c>
      <c r="D520" s="5">
        <v>13106600000000</v>
      </c>
      <c r="E520" s="5">
        <v>14958100000000</v>
      </c>
      <c r="F520" s="5">
        <v>16742100000000</v>
      </c>
      <c r="G520" s="5">
        <v>18309800000000</v>
      </c>
      <c r="H520" s="5">
        <v>19747600000000</v>
      </c>
      <c r="I520" s="5">
        <v>21115000000000</v>
      </c>
      <c r="J520" s="5">
        <v>22395500000000</v>
      </c>
      <c r="K520" s="5">
        <v>24100000000000</v>
      </c>
      <c r="L520" s="5">
        <v>25764200000000</v>
      </c>
      <c r="M520" s="5">
        <v>27347800000000</v>
      </c>
      <c r="N520" s="5">
        <v>28920200000000</v>
      </c>
      <c r="O520" s="5">
        <v>30474200000000</v>
      </c>
      <c r="P520" s="5">
        <v>32102300000000</v>
      </c>
      <c r="Q520" s="5">
        <v>33714400000000</v>
      </c>
      <c r="R520" s="5">
        <v>35287100000000</v>
      </c>
      <c r="S520" s="5">
        <v>36856600000000</v>
      </c>
      <c r="T520" s="5">
        <v>38414700000000</v>
      </c>
      <c r="U520" s="5">
        <v>40278100000000</v>
      </c>
      <c r="V520" s="5">
        <v>42128900000000</v>
      </c>
      <c r="W520" s="5">
        <v>43933500000000</v>
      </c>
      <c r="X520" s="5">
        <v>45729500000000</v>
      </c>
      <c r="Y520" s="5">
        <v>47525300000000</v>
      </c>
      <c r="Z520" s="5">
        <v>49231200000000</v>
      </c>
      <c r="AA520" s="5">
        <v>50939400000000</v>
      </c>
      <c r="AB520" s="5">
        <v>52631900000000</v>
      </c>
      <c r="AC520" s="5">
        <v>54327500000000</v>
      </c>
      <c r="AD520" s="5">
        <v>56010600000000</v>
      </c>
      <c r="AE520" s="5">
        <v>57687000000000</v>
      </c>
      <c r="AF520" s="5">
        <v>59366000000000</v>
      </c>
      <c r="AG520" s="5">
        <v>61023700000000</v>
      </c>
    </row>
    <row r="521" spans="1:33" x14ac:dyDescent="0.35">
      <c r="A521" t="s">
        <v>582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 x14ac:dyDescent="0.35">
      <c r="A522" t="s">
        <v>583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3" x14ac:dyDescent="0.35">
      <c r="A523" t="s">
        <v>584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 x14ac:dyDescent="0.35">
      <c r="A524" t="s">
        <v>585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 x14ac:dyDescent="0.35">
      <c r="A525" t="s">
        <v>586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 spans="1:33" x14ac:dyDescent="0.35">
      <c r="A526" t="s">
        <v>587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 x14ac:dyDescent="0.35">
      <c r="A527" t="s">
        <v>588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x14ac:dyDescent="0.35">
      <c r="A528" t="s">
        <v>589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 x14ac:dyDescent="0.35">
      <c r="A529" t="s">
        <v>590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 x14ac:dyDescent="0.35">
      <c r="A530" t="s">
        <v>591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</row>
    <row r="531" spans="1:33" x14ac:dyDescent="0.35">
      <c r="A531" t="s">
        <v>592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</row>
    <row r="532" spans="1:33" x14ac:dyDescent="0.35">
      <c r="A532" t="s">
        <v>593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</row>
    <row r="533" spans="1:33" x14ac:dyDescent="0.35">
      <c r="A533" t="s">
        <v>594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 x14ac:dyDescent="0.35">
      <c r="A534" t="s">
        <v>595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 spans="1:33" x14ac:dyDescent="0.35">
      <c r="A535" t="s">
        <v>596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 spans="1:33" x14ac:dyDescent="0.35">
      <c r="A536" t="s">
        <v>597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 spans="1:33" x14ac:dyDescent="0.35">
      <c r="A537" t="s">
        <v>598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</row>
    <row r="538" spans="1:33" x14ac:dyDescent="0.35">
      <c r="A538" t="s">
        <v>599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 x14ac:dyDescent="0.35">
      <c r="A539" t="s">
        <v>600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</row>
    <row r="540" spans="1:33" x14ac:dyDescent="0.35">
      <c r="A540" t="s">
        <v>601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</row>
    <row r="541" spans="1:33" x14ac:dyDescent="0.35">
      <c r="A541" t="s">
        <v>602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</row>
    <row r="542" spans="1:33" x14ac:dyDescent="0.35">
      <c r="A542" t="s">
        <v>603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33" x14ac:dyDescent="0.35">
      <c r="A543" t="s">
        <v>604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</row>
    <row r="544" spans="1:33" x14ac:dyDescent="0.35">
      <c r="A544" t="s">
        <v>605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 x14ac:dyDescent="0.35">
      <c r="A545" t="s">
        <v>606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 x14ac:dyDescent="0.35">
      <c r="A546" t="s">
        <v>607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 x14ac:dyDescent="0.35">
      <c r="A547" t="s">
        <v>608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 x14ac:dyDescent="0.35">
      <c r="A548" t="s">
        <v>609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 x14ac:dyDescent="0.35">
      <c r="A549" t="s">
        <v>610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</row>
    <row r="550" spans="1:33" x14ac:dyDescent="0.35">
      <c r="A550" t="s">
        <v>611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 spans="1:33" x14ac:dyDescent="0.35">
      <c r="A551" t="s">
        <v>612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</row>
    <row r="552" spans="1:33" x14ac:dyDescent="0.35">
      <c r="A552" t="s">
        <v>613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 spans="1:33" x14ac:dyDescent="0.35">
      <c r="A553" t="s">
        <v>614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 x14ac:dyDescent="0.35">
      <c r="A554" t="s">
        <v>615</v>
      </c>
      <c r="B554" s="5">
        <v>24627600000000</v>
      </c>
      <c r="C554" s="5">
        <v>19683100000000</v>
      </c>
      <c r="D554" s="5">
        <v>24329900000000</v>
      </c>
      <c r="E554" s="5">
        <v>27713300000000</v>
      </c>
      <c r="F554" s="5">
        <v>30597200000000</v>
      </c>
      <c r="G554" s="5">
        <v>33242300000000</v>
      </c>
      <c r="H554" s="5">
        <v>35832900000000</v>
      </c>
      <c r="I554" s="5">
        <v>38465400000000</v>
      </c>
      <c r="J554" s="5">
        <v>41182600000000</v>
      </c>
      <c r="K554" s="5">
        <v>44131700000000</v>
      </c>
      <c r="L554" s="5">
        <v>47201000000000</v>
      </c>
      <c r="M554" s="5">
        <v>50390600000000</v>
      </c>
      <c r="N554" s="5">
        <v>53692600000000</v>
      </c>
      <c r="O554" s="5">
        <v>57106600000000</v>
      </c>
      <c r="P554" s="5">
        <v>60441700000000</v>
      </c>
      <c r="Q554" s="5">
        <v>63850700000000</v>
      </c>
      <c r="R554" s="5">
        <v>67326800000000</v>
      </c>
      <c r="S554" s="5">
        <v>70851300000000</v>
      </c>
      <c r="T554" s="5">
        <v>74429500000000</v>
      </c>
      <c r="U554" s="5">
        <v>78067400000000</v>
      </c>
      <c r="V554" s="5">
        <v>81737700000000</v>
      </c>
      <c r="W554" s="5">
        <v>85422300000000</v>
      </c>
      <c r="X554" s="5">
        <v>89137100000000</v>
      </c>
      <c r="Y554" s="5">
        <v>92865300000000</v>
      </c>
      <c r="Z554" s="5">
        <v>96355800000000</v>
      </c>
      <c r="AA554" s="5">
        <v>99842200000000</v>
      </c>
      <c r="AB554" s="5">
        <v>103322000000000</v>
      </c>
      <c r="AC554" s="5">
        <v>106792000000000</v>
      </c>
      <c r="AD554" s="5">
        <v>110250000000000</v>
      </c>
      <c r="AE554" s="5">
        <v>113694000000000</v>
      </c>
      <c r="AF554" s="5">
        <v>117124000000000</v>
      </c>
      <c r="AG554" s="5">
        <v>120538000000000</v>
      </c>
    </row>
    <row r="555" spans="1:33" x14ac:dyDescent="0.35">
      <c r="A555" t="s">
        <v>616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</row>
    <row r="556" spans="1:33" x14ac:dyDescent="0.35">
      <c r="A556" t="s">
        <v>617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</row>
    <row r="557" spans="1:33" x14ac:dyDescent="0.35">
      <c r="A557" t="s">
        <v>618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</row>
    <row r="558" spans="1:33" x14ac:dyDescent="0.35">
      <c r="A558" t="s">
        <v>619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</row>
    <row r="559" spans="1:33" x14ac:dyDescent="0.35">
      <c r="A559" t="s">
        <v>620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</row>
    <row r="560" spans="1:33" x14ac:dyDescent="0.35">
      <c r="A560" t="s">
        <v>621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</row>
    <row r="561" spans="1:33" x14ac:dyDescent="0.35">
      <c r="A561" t="s">
        <v>622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 spans="1:33" x14ac:dyDescent="0.35">
      <c r="A562" t="s">
        <v>623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</row>
    <row r="563" spans="1:33" x14ac:dyDescent="0.35">
      <c r="A563" t="s">
        <v>624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</row>
    <row r="564" spans="1:33" x14ac:dyDescent="0.35">
      <c r="A564" t="s">
        <v>625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 spans="1:33" x14ac:dyDescent="0.35">
      <c r="A565" t="s">
        <v>626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 x14ac:dyDescent="0.35">
      <c r="A566" t="s">
        <v>627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 spans="1:33" x14ac:dyDescent="0.35">
      <c r="A567" t="s">
        <v>628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</row>
    <row r="568" spans="1:33" x14ac:dyDescent="0.35">
      <c r="A568" t="s">
        <v>629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</row>
    <row r="569" spans="1:33" x14ac:dyDescent="0.35">
      <c r="A569" t="s">
        <v>630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</row>
    <row r="570" spans="1:33" x14ac:dyDescent="0.35">
      <c r="A570" t="s">
        <v>631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 spans="1:33" x14ac:dyDescent="0.35">
      <c r="A571" t="s">
        <v>632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</row>
    <row r="572" spans="1:33" x14ac:dyDescent="0.35">
      <c r="A572" t="s">
        <v>633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</row>
    <row r="573" spans="1:33" x14ac:dyDescent="0.35">
      <c r="A573" t="s">
        <v>634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</row>
    <row r="574" spans="1:33" x14ac:dyDescent="0.35">
      <c r="A574" t="s">
        <v>635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</row>
    <row r="575" spans="1:33" x14ac:dyDescent="0.35">
      <c r="A575" t="s">
        <v>636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</row>
    <row r="576" spans="1:33" x14ac:dyDescent="0.35">
      <c r="A576" t="s">
        <v>637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</row>
    <row r="577" spans="1:33" x14ac:dyDescent="0.35">
      <c r="A577" t="s">
        <v>638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</row>
    <row r="578" spans="1:33" x14ac:dyDescent="0.35">
      <c r="A578" t="s">
        <v>639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</row>
    <row r="579" spans="1:33" x14ac:dyDescent="0.35">
      <c r="A579" t="s">
        <v>640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 spans="1:33" x14ac:dyDescent="0.35">
      <c r="A580" t="s">
        <v>641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</row>
    <row r="581" spans="1:33" x14ac:dyDescent="0.35">
      <c r="A581" t="s">
        <v>642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</row>
    <row r="582" spans="1:33" x14ac:dyDescent="0.35">
      <c r="A582" t="s">
        <v>643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</row>
    <row r="583" spans="1:33" x14ac:dyDescent="0.35">
      <c r="A583" t="s">
        <v>644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 spans="1:33" x14ac:dyDescent="0.35">
      <c r="A584" t="s">
        <v>645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</row>
    <row r="585" spans="1:33" x14ac:dyDescent="0.35">
      <c r="A585" t="s">
        <v>646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</row>
    <row r="586" spans="1:33" x14ac:dyDescent="0.35">
      <c r="A586" t="s">
        <v>647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</row>
    <row r="587" spans="1:33" x14ac:dyDescent="0.35">
      <c r="A587" t="s">
        <v>648</v>
      </c>
      <c r="B587" s="5">
        <v>54878800000000</v>
      </c>
      <c r="C587" s="5">
        <v>42936900000000</v>
      </c>
      <c r="D587" s="5">
        <v>51513800000000</v>
      </c>
      <c r="E587" s="5">
        <v>56483200000000</v>
      </c>
      <c r="F587" s="5">
        <v>59589100000000</v>
      </c>
      <c r="G587" s="5">
        <v>61465800000000</v>
      </c>
      <c r="H587" s="5">
        <v>62537300000000</v>
      </c>
      <c r="I587" s="5">
        <v>63028300000000</v>
      </c>
      <c r="J587" s="5">
        <v>63074400000000</v>
      </c>
      <c r="K587" s="5">
        <v>62908300000000</v>
      </c>
      <c r="L587" s="5">
        <v>62403400000000</v>
      </c>
      <c r="M587" s="5">
        <v>61592100000000</v>
      </c>
      <c r="N587" s="5">
        <v>60509600000000</v>
      </c>
      <c r="O587" s="5">
        <v>59177000000000</v>
      </c>
      <c r="P587" s="5">
        <v>57483100000000</v>
      </c>
      <c r="Q587" s="5">
        <v>55623000000000</v>
      </c>
      <c r="R587" s="5">
        <v>53611900000000</v>
      </c>
      <c r="S587" s="5">
        <v>51492100000000</v>
      </c>
      <c r="T587" s="5">
        <v>49251600000000</v>
      </c>
      <c r="U587" s="5">
        <v>46946500000000</v>
      </c>
      <c r="V587" s="5">
        <v>44568500000000</v>
      </c>
      <c r="W587" s="5">
        <v>42159400000000</v>
      </c>
      <c r="X587" s="5">
        <v>39682000000000</v>
      </c>
      <c r="Y587" s="5">
        <v>37175000000000</v>
      </c>
      <c r="Z587" s="5">
        <v>34564300000000</v>
      </c>
      <c r="AA587" s="5">
        <v>31962500000000</v>
      </c>
      <c r="AB587" s="5">
        <v>29376100000000</v>
      </c>
      <c r="AC587" s="5">
        <v>26810500000000</v>
      </c>
      <c r="AD587" s="5">
        <v>24273100000000</v>
      </c>
      <c r="AE587" s="5">
        <v>21765100000000</v>
      </c>
      <c r="AF587" s="5">
        <v>19290400000000</v>
      </c>
      <c r="AG587" s="5">
        <v>16852100000000</v>
      </c>
    </row>
    <row r="588" spans="1:33" x14ac:dyDescent="0.35">
      <c r="A588" t="s">
        <v>649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</row>
    <row r="589" spans="1:33" x14ac:dyDescent="0.35">
      <c r="A589" t="s">
        <v>650</v>
      </c>
      <c r="B589" s="5">
        <v>0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</row>
    <row r="590" spans="1:33" x14ac:dyDescent="0.35">
      <c r="A590" t="s">
        <v>651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</row>
    <row r="591" spans="1:33" x14ac:dyDescent="0.35">
      <c r="A591" t="s">
        <v>652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</row>
    <row r="592" spans="1:33" x14ac:dyDescent="0.35">
      <c r="A592" t="s">
        <v>653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</row>
    <row r="593" spans="1:33" x14ac:dyDescent="0.35">
      <c r="A593" t="s">
        <v>654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</row>
    <row r="594" spans="1:33" x14ac:dyDescent="0.35">
      <c r="A594" t="s">
        <v>655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 spans="1:33" x14ac:dyDescent="0.35">
      <c r="A595" t="s">
        <v>656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 x14ac:dyDescent="0.35">
      <c r="A596" t="s">
        <v>657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 spans="1:33" x14ac:dyDescent="0.35">
      <c r="A597" t="s">
        <v>658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</row>
    <row r="598" spans="1:33" x14ac:dyDescent="0.35">
      <c r="A598" t="s">
        <v>659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</row>
    <row r="599" spans="1:33" x14ac:dyDescent="0.35">
      <c r="A599" t="s">
        <v>660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</row>
    <row r="600" spans="1:33" x14ac:dyDescent="0.35">
      <c r="A600" t="s">
        <v>661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</row>
    <row r="601" spans="1:33" x14ac:dyDescent="0.35">
      <c r="A601" t="s">
        <v>662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</row>
    <row r="602" spans="1:33" x14ac:dyDescent="0.35">
      <c r="A602" t="s">
        <v>663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</row>
    <row r="603" spans="1:33" x14ac:dyDescent="0.35">
      <c r="A603" t="s">
        <v>664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</row>
    <row r="604" spans="1:33" x14ac:dyDescent="0.35">
      <c r="A604" t="s">
        <v>665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 spans="1:33" x14ac:dyDescent="0.35">
      <c r="A605" t="s">
        <v>666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 spans="1:33" x14ac:dyDescent="0.35">
      <c r="A606" t="s">
        <v>667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</row>
    <row r="607" spans="1:33" x14ac:dyDescent="0.35">
      <c r="A607" t="s">
        <v>668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</row>
    <row r="608" spans="1:33" x14ac:dyDescent="0.35">
      <c r="A608" t="s">
        <v>669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</row>
    <row r="609" spans="1:33" x14ac:dyDescent="0.35">
      <c r="A609" t="s">
        <v>670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</row>
    <row r="610" spans="1:33" x14ac:dyDescent="0.35">
      <c r="A610" t="s">
        <v>671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</row>
    <row r="611" spans="1:33" x14ac:dyDescent="0.35">
      <c r="A611" t="s">
        <v>672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</row>
    <row r="612" spans="1:33" x14ac:dyDescent="0.35">
      <c r="A612" t="s">
        <v>673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</row>
    <row r="613" spans="1:33" x14ac:dyDescent="0.35">
      <c r="A613" t="s">
        <v>674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</row>
    <row r="614" spans="1:33" x14ac:dyDescent="0.35">
      <c r="A614" t="s">
        <v>675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</row>
    <row r="615" spans="1:33" x14ac:dyDescent="0.35">
      <c r="A615" t="s">
        <v>676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</row>
    <row r="616" spans="1:33" x14ac:dyDescent="0.35">
      <c r="A616" t="s">
        <v>677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 x14ac:dyDescent="0.35">
      <c r="A617" t="s">
        <v>678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</row>
    <row r="618" spans="1:33" x14ac:dyDescent="0.35">
      <c r="A618" t="s">
        <v>679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</row>
    <row r="619" spans="1:33" x14ac:dyDescent="0.35">
      <c r="A619" t="s">
        <v>680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</row>
    <row r="620" spans="1:33" x14ac:dyDescent="0.35">
      <c r="A620" t="s">
        <v>681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</row>
    <row r="621" spans="1:33" x14ac:dyDescent="0.35">
      <c r="A621" t="s">
        <v>682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</row>
    <row r="622" spans="1:33" x14ac:dyDescent="0.35">
      <c r="A622" t="s">
        <v>683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</row>
    <row r="623" spans="1:33" x14ac:dyDescent="0.35">
      <c r="A623" t="s">
        <v>684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</row>
    <row r="624" spans="1:33" x14ac:dyDescent="0.35">
      <c r="A624" t="s">
        <v>685</v>
      </c>
      <c r="B624" s="5">
        <v>30405000000000</v>
      </c>
      <c r="C624" s="5">
        <v>24578100000000</v>
      </c>
      <c r="D624" s="5">
        <v>30654000000000</v>
      </c>
      <c r="E624" s="5">
        <v>35146400000000</v>
      </c>
      <c r="F624" s="5">
        <v>39353500000000</v>
      </c>
      <c r="G624" s="5">
        <v>43255700000000</v>
      </c>
      <c r="H624" s="5">
        <v>47069500000000</v>
      </c>
      <c r="I624" s="5">
        <v>50917600000000</v>
      </c>
      <c r="J624" s="5">
        <v>54856000000000</v>
      </c>
      <c r="K624" s="5">
        <v>59580000000000</v>
      </c>
      <c r="L624" s="5">
        <v>64473900000000</v>
      </c>
      <c r="M624" s="5">
        <v>69540400000000</v>
      </c>
      <c r="N624" s="5">
        <v>74760000000000</v>
      </c>
      <c r="O624" s="5">
        <v>80128700000000</v>
      </c>
      <c r="P624" s="5">
        <v>85341700000000</v>
      </c>
      <c r="Q624" s="5">
        <v>90662600000000</v>
      </c>
      <c r="R624" s="5">
        <v>96062800000000</v>
      </c>
      <c r="S624" s="5">
        <v>101547000000000</v>
      </c>
      <c r="T624" s="5">
        <v>107088000000000</v>
      </c>
      <c r="U624" s="5">
        <v>112989000000000</v>
      </c>
      <c r="V624" s="5">
        <v>118954000000000</v>
      </c>
      <c r="W624" s="5">
        <v>124957000000000</v>
      </c>
      <c r="X624" s="5">
        <v>130989000000000</v>
      </c>
      <c r="Y624" s="5">
        <v>137040000000000</v>
      </c>
      <c r="Z624" s="5">
        <v>142206000000000</v>
      </c>
      <c r="AA624" s="5">
        <v>147356000000000</v>
      </c>
      <c r="AB624" s="5">
        <v>152487000000000</v>
      </c>
      <c r="AC624" s="5">
        <v>157597000000000</v>
      </c>
      <c r="AD624" s="5">
        <v>162685000000000</v>
      </c>
      <c r="AE624" s="5">
        <v>167749000000000</v>
      </c>
      <c r="AF624" s="5">
        <v>172788000000000</v>
      </c>
      <c r="AG624" s="5">
        <v>177803000000000</v>
      </c>
    </row>
    <row r="625" spans="1:33" x14ac:dyDescent="0.35">
      <c r="A625" t="s">
        <v>686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 spans="1:33" x14ac:dyDescent="0.35">
      <c r="A626" t="s">
        <v>687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</row>
    <row r="627" spans="1:33" x14ac:dyDescent="0.35">
      <c r="A627" t="s">
        <v>688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</row>
    <row r="628" spans="1:33" x14ac:dyDescent="0.35">
      <c r="A628" t="s">
        <v>689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</row>
    <row r="629" spans="1:33" x14ac:dyDescent="0.35">
      <c r="A629" t="s">
        <v>690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</row>
    <row r="630" spans="1:33" x14ac:dyDescent="0.35">
      <c r="A630" t="s">
        <v>691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</row>
    <row r="631" spans="1:33" x14ac:dyDescent="0.35">
      <c r="A631" t="s">
        <v>692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</row>
    <row r="632" spans="1:33" x14ac:dyDescent="0.35">
      <c r="A632" t="s">
        <v>693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</row>
    <row r="633" spans="1:33" x14ac:dyDescent="0.35">
      <c r="A633" t="s">
        <v>694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</row>
    <row r="634" spans="1:33" x14ac:dyDescent="0.35">
      <c r="A634" t="s">
        <v>695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</row>
    <row r="635" spans="1:33" x14ac:dyDescent="0.35">
      <c r="A635" t="s">
        <v>696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</row>
    <row r="636" spans="1:33" x14ac:dyDescent="0.35">
      <c r="A636" t="s">
        <v>697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</row>
    <row r="637" spans="1:33" x14ac:dyDescent="0.35">
      <c r="A637" t="s">
        <v>698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</row>
    <row r="638" spans="1:33" x14ac:dyDescent="0.35">
      <c r="A638" t="s">
        <v>699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 spans="1:33" x14ac:dyDescent="0.35">
      <c r="A639" t="s">
        <v>700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</row>
    <row r="640" spans="1:33" x14ac:dyDescent="0.35">
      <c r="A640" t="s">
        <v>701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</row>
    <row r="641" spans="1:33" x14ac:dyDescent="0.35">
      <c r="A641" t="s">
        <v>702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</row>
    <row r="642" spans="1:33" x14ac:dyDescent="0.35">
      <c r="A642" t="s">
        <v>703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</row>
    <row r="643" spans="1:33" x14ac:dyDescent="0.35">
      <c r="A643" t="s">
        <v>704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</row>
    <row r="644" spans="1:33" x14ac:dyDescent="0.35">
      <c r="A644" t="s">
        <v>705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</row>
    <row r="645" spans="1:33" x14ac:dyDescent="0.35">
      <c r="A645" t="s">
        <v>706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</row>
    <row r="646" spans="1:33" x14ac:dyDescent="0.35">
      <c r="A646" t="s">
        <v>707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</row>
    <row r="647" spans="1:33" x14ac:dyDescent="0.35">
      <c r="A647" t="s">
        <v>708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</row>
    <row r="648" spans="1:33" x14ac:dyDescent="0.35">
      <c r="A648" t="s">
        <v>709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 spans="1:33" x14ac:dyDescent="0.35">
      <c r="A649" t="s">
        <v>710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</row>
    <row r="650" spans="1:33" x14ac:dyDescent="0.35">
      <c r="A650" t="s">
        <v>711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</row>
    <row r="651" spans="1:33" x14ac:dyDescent="0.35">
      <c r="A651" t="s">
        <v>712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</row>
    <row r="652" spans="1:33" x14ac:dyDescent="0.35">
      <c r="A652" t="s">
        <v>713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</row>
    <row r="653" spans="1:33" x14ac:dyDescent="0.35">
      <c r="A653" t="s">
        <v>714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</row>
    <row r="654" spans="1:33" x14ac:dyDescent="0.35">
      <c r="A654" t="s">
        <v>715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</row>
    <row r="655" spans="1:33" x14ac:dyDescent="0.35">
      <c r="A655" t="s">
        <v>716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</row>
    <row r="656" spans="1:33" x14ac:dyDescent="0.35">
      <c r="A656" t="s">
        <v>717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</row>
    <row r="657" spans="1:33" x14ac:dyDescent="0.35">
      <c r="A657" t="s">
        <v>718</v>
      </c>
      <c r="B657" s="5">
        <v>58590700000000</v>
      </c>
      <c r="C657" s="5">
        <v>46427200000000</v>
      </c>
      <c r="D657" s="5">
        <v>56318800000000</v>
      </c>
      <c r="E657" s="5">
        <v>62358500000000</v>
      </c>
      <c r="F657" s="5">
        <v>66952500000000</v>
      </c>
      <c r="G657" s="5">
        <v>70089000000000</v>
      </c>
      <c r="H657" s="5">
        <v>72209800000000</v>
      </c>
      <c r="I657" s="5">
        <v>73537700000000</v>
      </c>
      <c r="J657" s="5">
        <v>74228800000000</v>
      </c>
      <c r="K657" s="5">
        <v>75176100000000</v>
      </c>
      <c r="L657" s="5">
        <v>75514400000000</v>
      </c>
      <c r="M657" s="5">
        <v>75279600000000</v>
      </c>
      <c r="N657" s="5">
        <v>74561100000000</v>
      </c>
      <c r="O657" s="5">
        <v>73401800000000</v>
      </c>
      <c r="P657" s="5">
        <v>71607000000000</v>
      </c>
      <c r="Q657" s="5">
        <v>69487300000000</v>
      </c>
      <c r="R657" s="5">
        <v>67136000000000</v>
      </c>
      <c r="S657" s="5">
        <v>64530700000000</v>
      </c>
      <c r="T657" s="5">
        <v>61762400000000</v>
      </c>
      <c r="U657" s="5">
        <v>59018500000000</v>
      </c>
      <c r="V657" s="5">
        <v>56081000000000</v>
      </c>
      <c r="W657" s="5">
        <v>53038200000000</v>
      </c>
      <c r="X657" s="5">
        <v>49917300000000</v>
      </c>
      <c r="Y657" s="5">
        <v>46742700000000</v>
      </c>
      <c r="Z657" s="5">
        <v>43277300000000</v>
      </c>
      <c r="AA657" s="5">
        <v>39858900000000</v>
      </c>
      <c r="AB657" s="5">
        <v>36499800000000</v>
      </c>
      <c r="AC657" s="5">
        <v>33205800000000</v>
      </c>
      <c r="AD657" s="5">
        <v>29981600000000</v>
      </c>
      <c r="AE657" s="5">
        <v>26830600000000</v>
      </c>
      <c r="AF657" s="5">
        <v>23755400000000</v>
      </c>
      <c r="AG657" s="5">
        <v>20757700000000</v>
      </c>
    </row>
    <row r="658" spans="1:33" x14ac:dyDescent="0.35">
      <c r="A658" t="s">
        <v>719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 spans="1:33" x14ac:dyDescent="0.35">
      <c r="A659" t="s">
        <v>720</v>
      </c>
      <c r="B659" s="5">
        <v>0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</row>
    <row r="660" spans="1:33" x14ac:dyDescent="0.35">
      <c r="A660" t="s">
        <v>721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</row>
    <row r="661" spans="1:33" x14ac:dyDescent="0.35">
      <c r="A661" t="s">
        <v>722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</row>
    <row r="662" spans="1:33" x14ac:dyDescent="0.35">
      <c r="A662" t="s">
        <v>723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 spans="1:33" x14ac:dyDescent="0.35">
      <c r="A663" t="s">
        <v>724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 spans="1:33" x14ac:dyDescent="0.35">
      <c r="A664" t="s">
        <v>725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 spans="1:33" x14ac:dyDescent="0.35">
      <c r="A665" t="s">
        <v>726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 spans="1:33" x14ac:dyDescent="0.35">
      <c r="A666" t="s">
        <v>727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</row>
    <row r="667" spans="1:33" x14ac:dyDescent="0.35">
      <c r="A667" t="s">
        <v>728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</row>
    <row r="668" spans="1:33" x14ac:dyDescent="0.35">
      <c r="A668" t="s">
        <v>729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</row>
    <row r="669" spans="1:33" x14ac:dyDescent="0.35">
      <c r="A669" t="s">
        <v>730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</row>
    <row r="670" spans="1:33" x14ac:dyDescent="0.35">
      <c r="A670" t="s">
        <v>731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</row>
    <row r="671" spans="1:33" x14ac:dyDescent="0.35">
      <c r="A671" t="s">
        <v>732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</row>
    <row r="672" spans="1:33" x14ac:dyDescent="0.35">
      <c r="A672" t="s">
        <v>733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</row>
    <row r="673" spans="1:33" x14ac:dyDescent="0.35">
      <c r="A673" t="s">
        <v>734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</row>
    <row r="674" spans="1:33" x14ac:dyDescent="0.35">
      <c r="A674" t="s">
        <v>735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</row>
    <row r="675" spans="1:33" x14ac:dyDescent="0.35">
      <c r="A675" t="s">
        <v>736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</row>
    <row r="676" spans="1:33" x14ac:dyDescent="0.35">
      <c r="A676" t="s">
        <v>737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</row>
    <row r="677" spans="1:33" x14ac:dyDescent="0.35">
      <c r="A677" t="s">
        <v>738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</row>
    <row r="678" spans="1:33" x14ac:dyDescent="0.35">
      <c r="A678" t="s">
        <v>739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 x14ac:dyDescent="0.35">
      <c r="A679" t="s">
        <v>740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 x14ac:dyDescent="0.35">
      <c r="A680" t="s">
        <v>741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 spans="1:33" x14ac:dyDescent="0.35">
      <c r="A681" t="s">
        <v>742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</row>
    <row r="682" spans="1:33" x14ac:dyDescent="0.35">
      <c r="A682" t="s">
        <v>743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</row>
    <row r="683" spans="1:33" x14ac:dyDescent="0.35">
      <c r="A683" t="s">
        <v>744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</row>
    <row r="684" spans="1:33" x14ac:dyDescent="0.35">
      <c r="A684" t="s">
        <v>745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</row>
    <row r="685" spans="1:33" x14ac:dyDescent="0.35">
      <c r="A685" t="s">
        <v>746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</row>
    <row r="686" spans="1:33" x14ac:dyDescent="0.35">
      <c r="A686" t="s">
        <v>747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</row>
    <row r="687" spans="1:33" x14ac:dyDescent="0.35">
      <c r="A687" t="s">
        <v>748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</row>
    <row r="688" spans="1:33" x14ac:dyDescent="0.35">
      <c r="A688" t="s">
        <v>749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</row>
    <row r="689" spans="1:33" x14ac:dyDescent="0.35">
      <c r="A689" t="s">
        <v>750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 spans="1:33" x14ac:dyDescent="0.35">
      <c r="A690" t="s">
        <v>751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</row>
    <row r="691" spans="1:33" x14ac:dyDescent="0.35">
      <c r="A691" t="s">
        <v>752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</row>
    <row r="692" spans="1:33" x14ac:dyDescent="0.35">
      <c r="A692" t="s">
        <v>753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</row>
    <row r="693" spans="1:33" x14ac:dyDescent="0.35">
      <c r="A693" t="s">
        <v>754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</row>
    <row r="694" spans="1:33" x14ac:dyDescent="0.35">
      <c r="A694" t="s">
        <v>755</v>
      </c>
      <c r="B694" s="5">
        <v>959943000000</v>
      </c>
      <c r="C694" s="5">
        <v>1113660000000</v>
      </c>
      <c r="D694" s="5">
        <v>2087620000000</v>
      </c>
      <c r="E694" s="5">
        <v>3578860000000</v>
      </c>
      <c r="F694" s="5">
        <v>5822030000000</v>
      </c>
      <c r="G694" s="5">
        <v>8944890000000</v>
      </c>
      <c r="H694" s="5">
        <v>13055900000000</v>
      </c>
      <c r="I694" s="5">
        <v>18198700000000</v>
      </c>
      <c r="J694" s="5">
        <v>24308900000000</v>
      </c>
      <c r="K694" s="5">
        <v>30591300000000</v>
      </c>
      <c r="L694" s="5">
        <v>37481400000000</v>
      </c>
      <c r="M694" s="5">
        <v>45192600000000</v>
      </c>
      <c r="N694" s="5">
        <v>53513100000000</v>
      </c>
      <c r="O694" s="5">
        <v>62229000000000</v>
      </c>
      <c r="P694" s="5">
        <v>71173500000000</v>
      </c>
      <c r="Q694" s="5">
        <v>80103300000000</v>
      </c>
      <c r="R694" s="5">
        <v>88850100000000</v>
      </c>
      <c r="S694" s="5">
        <v>97309200000000</v>
      </c>
      <c r="T694" s="5">
        <v>105395000000000</v>
      </c>
      <c r="U694" s="5">
        <v>113394000000000</v>
      </c>
      <c r="V694" s="5">
        <v>120964000000000</v>
      </c>
      <c r="W694" s="5">
        <v>128089000000000</v>
      </c>
      <c r="X694" s="5">
        <v>134773000000000</v>
      </c>
      <c r="Y694" s="5">
        <v>141091000000000</v>
      </c>
      <c r="Z694" s="5">
        <v>147056000000000</v>
      </c>
      <c r="AA694" s="5">
        <v>152560000000000</v>
      </c>
      <c r="AB694" s="5">
        <v>157828000000000</v>
      </c>
      <c r="AC694" s="5">
        <v>162914000000000</v>
      </c>
      <c r="AD694" s="5">
        <v>167941000000000</v>
      </c>
      <c r="AE694" s="5">
        <v>172867000000000</v>
      </c>
      <c r="AF694" s="5">
        <v>177723000000000</v>
      </c>
      <c r="AG694" s="5">
        <v>182406000000000</v>
      </c>
    </row>
    <row r="695" spans="1:33" x14ac:dyDescent="0.35">
      <c r="A695" t="s">
        <v>756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</row>
    <row r="696" spans="1:33" x14ac:dyDescent="0.35">
      <c r="A696" t="s">
        <v>757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</row>
    <row r="697" spans="1:33" x14ac:dyDescent="0.35">
      <c r="A697" t="s">
        <v>758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</row>
    <row r="698" spans="1:33" x14ac:dyDescent="0.35">
      <c r="A698" t="s">
        <v>759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</row>
    <row r="699" spans="1:33" x14ac:dyDescent="0.35">
      <c r="A699" t="s">
        <v>760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</row>
    <row r="700" spans="1:33" x14ac:dyDescent="0.35">
      <c r="A700" t="s">
        <v>761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</row>
    <row r="701" spans="1:33" x14ac:dyDescent="0.35">
      <c r="A701" t="s">
        <v>762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</row>
    <row r="702" spans="1:33" x14ac:dyDescent="0.35">
      <c r="A702" t="s">
        <v>763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</row>
    <row r="703" spans="1:33" x14ac:dyDescent="0.35">
      <c r="A703" t="s">
        <v>764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</row>
    <row r="704" spans="1:33" x14ac:dyDescent="0.35">
      <c r="A704" t="s">
        <v>765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</row>
    <row r="705" spans="1:33" x14ac:dyDescent="0.35">
      <c r="A705" t="s">
        <v>766</v>
      </c>
      <c r="B705" s="5">
        <v>7384820000000</v>
      </c>
      <c r="C705" s="5">
        <v>6639320000000</v>
      </c>
      <c r="D705" s="5">
        <v>9217380000000</v>
      </c>
      <c r="E705" s="5">
        <v>11599400000000</v>
      </c>
      <c r="F705" s="5">
        <v>13945000000000</v>
      </c>
      <c r="G705" s="5">
        <v>16073900000000</v>
      </c>
      <c r="H705" s="5">
        <v>17900900000000</v>
      </c>
      <c r="I705" s="5">
        <v>19356000000000</v>
      </c>
      <c r="J705" s="5">
        <v>20402700000000</v>
      </c>
      <c r="K705" s="5">
        <v>19949500000000</v>
      </c>
      <c r="L705" s="5">
        <v>19482300000000</v>
      </c>
      <c r="M705" s="5">
        <v>18836000000000</v>
      </c>
      <c r="N705" s="5">
        <v>18085600000000</v>
      </c>
      <c r="O705" s="5">
        <v>17288100000000</v>
      </c>
      <c r="P705" s="5">
        <v>16524100000000</v>
      </c>
      <c r="Q705" s="5">
        <v>15791300000000</v>
      </c>
      <c r="R705" s="5">
        <v>15115600000000</v>
      </c>
      <c r="S705" s="5">
        <v>14510100000000</v>
      </c>
      <c r="T705" s="5">
        <v>13981400000000</v>
      </c>
      <c r="U705" s="5">
        <v>13578700000000</v>
      </c>
      <c r="V705" s="5">
        <v>13238800000000</v>
      </c>
      <c r="W705" s="5">
        <v>12962100000000</v>
      </c>
      <c r="X705" s="5">
        <v>12739500000000</v>
      </c>
      <c r="Y705" s="5">
        <v>12560500000000</v>
      </c>
      <c r="Z705" s="5">
        <v>12423100000000</v>
      </c>
      <c r="AA705" s="5">
        <v>12318000000000</v>
      </c>
      <c r="AB705" s="5">
        <v>12245200000000</v>
      </c>
      <c r="AC705" s="5">
        <v>12195200000000</v>
      </c>
      <c r="AD705" s="5">
        <v>12159200000000</v>
      </c>
      <c r="AE705" s="5">
        <v>12131000000000</v>
      </c>
      <c r="AF705" s="5">
        <v>12106000000000</v>
      </c>
      <c r="AG705" s="5">
        <v>12080200000000</v>
      </c>
    </row>
    <row r="706" spans="1:33" x14ac:dyDescent="0.35">
      <c r="A706" t="s">
        <v>767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</row>
    <row r="707" spans="1:33" x14ac:dyDescent="0.35">
      <c r="A707" t="s">
        <v>768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</row>
    <row r="708" spans="1:33" x14ac:dyDescent="0.35">
      <c r="A708" t="s">
        <v>769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</row>
    <row r="709" spans="1:33" x14ac:dyDescent="0.35">
      <c r="A709" t="s">
        <v>770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</row>
    <row r="710" spans="1:33" x14ac:dyDescent="0.35">
      <c r="A710" t="s">
        <v>771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</row>
    <row r="711" spans="1:33" x14ac:dyDescent="0.35">
      <c r="A711" t="s">
        <v>772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</row>
    <row r="712" spans="1:33" x14ac:dyDescent="0.35">
      <c r="A712" t="s">
        <v>773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</row>
    <row r="713" spans="1:33" x14ac:dyDescent="0.35">
      <c r="A713" t="s">
        <v>774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</row>
    <row r="714" spans="1:33" x14ac:dyDescent="0.35">
      <c r="A714" t="s">
        <v>775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</row>
    <row r="715" spans="1:33" x14ac:dyDescent="0.35">
      <c r="A715" t="s">
        <v>776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</row>
    <row r="716" spans="1:33" x14ac:dyDescent="0.35">
      <c r="A716" t="s">
        <v>777</v>
      </c>
      <c r="B716" s="5">
        <v>0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</row>
    <row r="717" spans="1:33" x14ac:dyDescent="0.35">
      <c r="A717" t="s">
        <v>778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</row>
    <row r="718" spans="1:33" x14ac:dyDescent="0.35">
      <c r="A718" t="s">
        <v>779</v>
      </c>
      <c r="B718">
        <v>0</v>
      </c>
      <c r="C718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</row>
    <row r="719" spans="1:33" x14ac:dyDescent="0.35">
      <c r="A719" t="s">
        <v>780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</row>
    <row r="720" spans="1:33" x14ac:dyDescent="0.35">
      <c r="A720" t="s">
        <v>781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</row>
    <row r="721" spans="1:33" x14ac:dyDescent="0.35">
      <c r="A721" t="s">
        <v>782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</row>
    <row r="722" spans="1:33" x14ac:dyDescent="0.35">
      <c r="A722" t="s">
        <v>783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</row>
    <row r="723" spans="1:33" x14ac:dyDescent="0.35">
      <c r="A723" t="s">
        <v>784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</row>
    <row r="724" spans="1:33" x14ac:dyDescent="0.35">
      <c r="A724" t="s">
        <v>785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</row>
    <row r="725" spans="1:33" x14ac:dyDescent="0.35">
      <c r="A725" t="s">
        <v>786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</row>
    <row r="726" spans="1:33" x14ac:dyDescent="0.35">
      <c r="A726" t="s">
        <v>787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</row>
    <row r="727" spans="1:33" x14ac:dyDescent="0.35">
      <c r="A727" t="s">
        <v>788</v>
      </c>
      <c r="B727" s="5">
        <v>247007000000000</v>
      </c>
      <c r="C727" s="5">
        <v>194242000000000</v>
      </c>
      <c r="D727" s="5">
        <v>233789000000000</v>
      </c>
      <c r="E727" s="5">
        <v>255046000000000</v>
      </c>
      <c r="F727" s="5">
        <v>269069000000000</v>
      </c>
      <c r="G727" s="5">
        <v>276517000000000</v>
      </c>
      <c r="H727" s="5">
        <v>279147000000000</v>
      </c>
      <c r="I727" s="5">
        <v>278076000000000</v>
      </c>
      <c r="J727" s="5">
        <v>274723000000000</v>
      </c>
      <c r="K727" s="5">
        <v>280602000000000</v>
      </c>
      <c r="L727" s="5">
        <v>284871000000000</v>
      </c>
      <c r="M727" s="5">
        <v>286843000000000</v>
      </c>
      <c r="N727" s="5">
        <v>287280000000000</v>
      </c>
      <c r="O727" s="5">
        <v>286505000000000</v>
      </c>
      <c r="P727" s="5">
        <v>285798000000000</v>
      </c>
      <c r="Q727" s="5">
        <v>285037000000000</v>
      </c>
      <c r="R727" s="5">
        <v>284932000000000</v>
      </c>
      <c r="S727" s="5">
        <v>284496000000000</v>
      </c>
      <c r="T727" s="5">
        <v>285006000000000</v>
      </c>
      <c r="U727" s="5">
        <v>287749000000000</v>
      </c>
      <c r="V727" s="5">
        <v>291701000000000</v>
      </c>
      <c r="W727" s="5">
        <v>296950000000000</v>
      </c>
      <c r="X727" s="5">
        <v>303454000000000</v>
      </c>
      <c r="Y727" s="5">
        <v>311189000000000</v>
      </c>
      <c r="Z727" s="5">
        <v>320101000000000</v>
      </c>
      <c r="AA727" s="5">
        <v>330036000000000</v>
      </c>
      <c r="AB727" s="5">
        <v>340614000000000</v>
      </c>
      <c r="AC727" s="5">
        <v>351713000000000</v>
      </c>
      <c r="AD727" s="5">
        <v>363169000000000</v>
      </c>
      <c r="AE727" s="5">
        <v>374878000000000</v>
      </c>
      <c r="AF727" s="5">
        <v>386779000000000</v>
      </c>
      <c r="AG727" s="5">
        <v>398768000000000</v>
      </c>
    </row>
    <row r="728" spans="1:33" x14ac:dyDescent="0.35">
      <c r="A728" t="s">
        <v>789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</row>
    <row r="729" spans="1:33" x14ac:dyDescent="0.35">
      <c r="A729" t="s">
        <v>790</v>
      </c>
      <c r="B729" s="5">
        <v>11846600000000</v>
      </c>
      <c r="C729" s="5">
        <v>9339820000000</v>
      </c>
      <c r="D729" s="5">
        <v>9995190000000</v>
      </c>
      <c r="E729" s="5">
        <v>10417700000000</v>
      </c>
      <c r="F729" s="5">
        <v>10058500000000</v>
      </c>
      <c r="G729" s="5">
        <v>9190270000000</v>
      </c>
      <c r="H729" s="5">
        <v>8285510000000</v>
      </c>
      <c r="I729" s="5">
        <v>7729960000000</v>
      </c>
      <c r="J729" s="5">
        <v>6992180000000</v>
      </c>
      <c r="K729" s="5">
        <v>6637720000000</v>
      </c>
      <c r="L729" s="5">
        <v>6209560000000</v>
      </c>
      <c r="M729" s="5">
        <v>5545050000000</v>
      </c>
      <c r="N729" s="5">
        <v>4567540000000</v>
      </c>
      <c r="O729" s="5">
        <v>3559180000000</v>
      </c>
      <c r="P729" s="5">
        <v>2490080000000</v>
      </c>
      <c r="Q729" s="5">
        <v>1408590000000</v>
      </c>
      <c r="R729" s="5">
        <v>138343000000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</row>
    <row r="730" spans="1:33" x14ac:dyDescent="0.35">
      <c r="A730" t="s">
        <v>791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</row>
    <row r="731" spans="1:33" x14ac:dyDescent="0.35">
      <c r="A731" t="s">
        <v>792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</row>
    <row r="732" spans="1:33" x14ac:dyDescent="0.35">
      <c r="A732" t="s">
        <v>793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</row>
    <row r="733" spans="1:33" x14ac:dyDescent="0.35">
      <c r="A733" t="s">
        <v>794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</row>
    <row r="734" spans="1:33" x14ac:dyDescent="0.35">
      <c r="A734" t="s">
        <v>795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</row>
    <row r="735" spans="1:33" x14ac:dyDescent="0.35">
      <c r="A735" t="s">
        <v>796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</row>
    <row r="736" spans="1:33" x14ac:dyDescent="0.35">
      <c r="A736" t="s">
        <v>797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</row>
    <row r="737" spans="1:33" x14ac:dyDescent="0.35">
      <c r="A737" t="s">
        <v>798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</row>
    <row r="738" spans="1:33" x14ac:dyDescent="0.35">
      <c r="A738" t="s">
        <v>799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</row>
    <row r="739" spans="1:33" x14ac:dyDescent="0.35">
      <c r="A739" t="s">
        <v>800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</row>
    <row r="740" spans="1:33" x14ac:dyDescent="0.35">
      <c r="A740" t="s">
        <v>801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 spans="1:33" x14ac:dyDescent="0.35">
      <c r="A741" t="s">
        <v>802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</row>
    <row r="742" spans="1:33" x14ac:dyDescent="0.35">
      <c r="A742" t="s">
        <v>803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</row>
    <row r="743" spans="1:33" x14ac:dyDescent="0.35">
      <c r="A743" t="s">
        <v>804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</row>
    <row r="744" spans="1:33" x14ac:dyDescent="0.35">
      <c r="A744" t="s">
        <v>805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</row>
    <row r="745" spans="1:33" x14ac:dyDescent="0.35">
      <c r="A745" t="s">
        <v>806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</row>
    <row r="746" spans="1:33" x14ac:dyDescent="0.35">
      <c r="A746" t="s">
        <v>807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</row>
    <row r="747" spans="1:33" x14ac:dyDescent="0.35">
      <c r="A747" t="s">
        <v>808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</row>
    <row r="748" spans="1:33" x14ac:dyDescent="0.35">
      <c r="A748" t="s">
        <v>809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</row>
    <row r="749" spans="1:33" x14ac:dyDescent="0.35">
      <c r="A749" t="s">
        <v>810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</row>
    <row r="750" spans="1:33" x14ac:dyDescent="0.35">
      <c r="A750" t="s">
        <v>811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</row>
    <row r="751" spans="1:33" x14ac:dyDescent="0.35">
      <c r="A751" t="s">
        <v>812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</row>
    <row r="752" spans="1:33" x14ac:dyDescent="0.35">
      <c r="A752" t="s">
        <v>813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</row>
    <row r="753" spans="1:33" x14ac:dyDescent="0.35">
      <c r="A753" t="s">
        <v>814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</row>
    <row r="754" spans="1:33" x14ac:dyDescent="0.35">
      <c r="A754" t="s">
        <v>815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</row>
    <row r="755" spans="1:33" x14ac:dyDescent="0.35">
      <c r="A755" t="s">
        <v>816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</row>
    <row r="756" spans="1:33" x14ac:dyDescent="0.35">
      <c r="A756" t="s">
        <v>817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</row>
    <row r="757" spans="1:33" x14ac:dyDescent="0.35">
      <c r="A757" t="s">
        <v>818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</row>
    <row r="758" spans="1:33" x14ac:dyDescent="0.35">
      <c r="A758" t="s">
        <v>819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</row>
    <row r="759" spans="1:33" x14ac:dyDescent="0.35">
      <c r="A759" t="s">
        <v>820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</row>
    <row r="760" spans="1:33" x14ac:dyDescent="0.35">
      <c r="A760" t="s">
        <v>821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 x14ac:dyDescent="0.35">
      <c r="A761" t="s">
        <v>822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</row>
    <row r="762" spans="1:33" x14ac:dyDescent="0.35">
      <c r="A762" t="s">
        <v>823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</row>
    <row r="763" spans="1:33" x14ac:dyDescent="0.35">
      <c r="A763" t="s">
        <v>824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</row>
    <row r="764" spans="1:33" x14ac:dyDescent="0.35">
      <c r="A764" t="s">
        <v>825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</row>
    <row r="765" spans="1:33" x14ac:dyDescent="0.35">
      <c r="A765" t="s">
        <v>826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</row>
    <row r="766" spans="1:33" x14ac:dyDescent="0.35">
      <c r="A766" t="s">
        <v>827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</row>
    <row r="767" spans="1:33" x14ac:dyDescent="0.35">
      <c r="A767" t="s">
        <v>828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</row>
    <row r="768" spans="1:33" x14ac:dyDescent="0.35">
      <c r="A768" t="s">
        <v>829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</row>
    <row r="769" spans="1:33" x14ac:dyDescent="0.35">
      <c r="A769" t="s">
        <v>830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</row>
    <row r="770" spans="1:33" x14ac:dyDescent="0.35">
      <c r="A770" t="s">
        <v>831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</row>
    <row r="771" spans="1:33" x14ac:dyDescent="0.35">
      <c r="A771" t="s">
        <v>832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</row>
    <row r="772" spans="1:33" x14ac:dyDescent="0.35">
      <c r="A772" t="s">
        <v>833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</row>
    <row r="773" spans="1:33" x14ac:dyDescent="0.35">
      <c r="A773" t="s">
        <v>834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</row>
    <row r="774" spans="1:33" x14ac:dyDescent="0.35">
      <c r="A774" t="s">
        <v>835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</row>
    <row r="775" spans="1:33" x14ac:dyDescent="0.35">
      <c r="A775" t="s">
        <v>836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</row>
    <row r="776" spans="1:33" x14ac:dyDescent="0.35">
      <c r="A776" t="s">
        <v>837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</row>
    <row r="777" spans="1:33" x14ac:dyDescent="0.35">
      <c r="A777" t="s">
        <v>838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</row>
    <row r="778" spans="1:33" x14ac:dyDescent="0.35">
      <c r="A778" t="s">
        <v>839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</row>
    <row r="779" spans="1:33" x14ac:dyDescent="0.35">
      <c r="A779" t="s">
        <v>840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</row>
    <row r="780" spans="1:33" x14ac:dyDescent="0.35">
      <c r="A780" t="s">
        <v>841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</row>
    <row r="781" spans="1:33" x14ac:dyDescent="0.35">
      <c r="A781" t="s">
        <v>842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</row>
    <row r="782" spans="1:33" x14ac:dyDescent="0.35">
      <c r="A782" t="s">
        <v>843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</row>
    <row r="783" spans="1:33" x14ac:dyDescent="0.35">
      <c r="A783" t="s">
        <v>844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</row>
    <row r="784" spans="1:33" x14ac:dyDescent="0.35">
      <c r="A784" t="s">
        <v>845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</row>
    <row r="785" spans="1:33" x14ac:dyDescent="0.35">
      <c r="A785" t="s">
        <v>846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</row>
    <row r="786" spans="1:33" x14ac:dyDescent="0.35">
      <c r="A786" t="s">
        <v>847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</row>
    <row r="787" spans="1:33" x14ac:dyDescent="0.35">
      <c r="A787" t="s">
        <v>848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</row>
    <row r="788" spans="1:33" x14ac:dyDescent="0.35">
      <c r="A788" t="s">
        <v>849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</row>
    <row r="789" spans="1:33" x14ac:dyDescent="0.35">
      <c r="A789" t="s">
        <v>850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</row>
    <row r="790" spans="1:33" x14ac:dyDescent="0.35">
      <c r="A790" t="s">
        <v>851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</row>
    <row r="791" spans="1:33" x14ac:dyDescent="0.35">
      <c r="A791" t="s">
        <v>852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</row>
    <row r="792" spans="1:33" x14ac:dyDescent="0.35">
      <c r="A792" t="s">
        <v>853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</row>
    <row r="793" spans="1:33" x14ac:dyDescent="0.35">
      <c r="A793" t="s">
        <v>854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</row>
    <row r="794" spans="1:33" x14ac:dyDescent="0.35">
      <c r="A794" t="s">
        <v>855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</row>
    <row r="795" spans="1:33" x14ac:dyDescent="0.35">
      <c r="A795" t="s">
        <v>856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</row>
    <row r="796" spans="1:33" x14ac:dyDescent="0.35">
      <c r="A796" t="s">
        <v>857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</row>
    <row r="797" spans="1:33" x14ac:dyDescent="0.35">
      <c r="A797" t="s">
        <v>858</v>
      </c>
      <c r="B797" s="5">
        <v>10267300000000</v>
      </c>
      <c r="C797" s="5">
        <v>8224360000000</v>
      </c>
      <c r="D797" s="5">
        <v>10133600000000</v>
      </c>
      <c r="E797" s="5">
        <v>11450100000000</v>
      </c>
      <c r="F797" s="5">
        <v>12606600000000</v>
      </c>
      <c r="G797" s="5">
        <v>13599800000000</v>
      </c>
      <c r="H797" s="5">
        <v>14505000000000</v>
      </c>
      <c r="I797" s="5">
        <v>15363200000000</v>
      </c>
      <c r="J797" s="5">
        <v>16196000000000</v>
      </c>
      <c r="K797" s="5">
        <v>17205800000000</v>
      </c>
      <c r="L797" s="5">
        <v>18208400000000</v>
      </c>
      <c r="M797" s="5">
        <v>19207300000000</v>
      </c>
      <c r="N797" s="5">
        <v>20204000000000</v>
      </c>
      <c r="O797" s="5">
        <v>21200800000000</v>
      </c>
      <c r="P797" s="5">
        <v>22123000000000</v>
      </c>
      <c r="Q797" s="5">
        <v>23045100000000</v>
      </c>
      <c r="R797" s="5">
        <v>23967100000000</v>
      </c>
      <c r="S797" s="5">
        <v>24889100000000</v>
      </c>
      <c r="T797" s="5">
        <v>25811100000000</v>
      </c>
      <c r="U797" s="5">
        <v>26807000000000</v>
      </c>
      <c r="V797" s="5">
        <v>27803000000000</v>
      </c>
      <c r="W797" s="5">
        <v>28798900000000</v>
      </c>
      <c r="X797" s="5">
        <v>29794800000000</v>
      </c>
      <c r="Y797" s="5">
        <v>30790700000000</v>
      </c>
      <c r="Z797" s="5">
        <v>31588100000000</v>
      </c>
      <c r="AA797" s="5">
        <v>32385600000000</v>
      </c>
      <c r="AB797" s="5">
        <v>33183000000000</v>
      </c>
      <c r="AC797" s="5">
        <v>33980500000000</v>
      </c>
      <c r="AD797" s="5">
        <v>34778100000000</v>
      </c>
      <c r="AE797" s="5">
        <v>35575700000000</v>
      </c>
      <c r="AF797" s="5">
        <v>36373300000000</v>
      </c>
      <c r="AG797" s="5">
        <v>37171000000000</v>
      </c>
    </row>
    <row r="798" spans="1:33" x14ac:dyDescent="0.35">
      <c r="A798" t="s">
        <v>859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</row>
    <row r="799" spans="1:33" x14ac:dyDescent="0.35">
      <c r="A799" t="s">
        <v>860</v>
      </c>
      <c r="B799">
        <v>0</v>
      </c>
      <c r="C799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 x14ac:dyDescent="0.35">
      <c r="A800" t="s">
        <v>861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</row>
    <row r="801" spans="1:33" x14ac:dyDescent="0.35">
      <c r="A801" t="s">
        <v>862</v>
      </c>
      <c r="B801" s="5">
        <v>41069000000000</v>
      </c>
      <c r="C801" s="5">
        <v>32897400000000</v>
      </c>
      <c r="D801" s="5">
        <v>40534500000000</v>
      </c>
      <c r="E801" s="5">
        <v>45800400000000</v>
      </c>
      <c r="F801" s="5">
        <v>50426300000000</v>
      </c>
      <c r="G801" s="5">
        <v>54399100000000</v>
      </c>
      <c r="H801" s="5">
        <v>58020200000000</v>
      </c>
      <c r="I801" s="5">
        <v>61452600000000</v>
      </c>
      <c r="J801" s="5">
        <v>64784200000000</v>
      </c>
      <c r="K801" s="5">
        <v>68823100000000</v>
      </c>
      <c r="L801" s="5">
        <v>72833800000000</v>
      </c>
      <c r="M801" s="5">
        <v>76829100000000</v>
      </c>
      <c r="N801" s="5">
        <v>80816000000000</v>
      </c>
      <c r="O801" s="5">
        <v>84803200000000</v>
      </c>
      <c r="P801" s="5">
        <v>88492000000000</v>
      </c>
      <c r="Q801" s="5">
        <v>92180400000000</v>
      </c>
      <c r="R801" s="5">
        <v>95868600000000</v>
      </c>
      <c r="S801" s="5">
        <v>99556500000000</v>
      </c>
      <c r="T801" s="5">
        <v>103244000000000</v>
      </c>
      <c r="U801" s="5">
        <v>107228000000000</v>
      </c>
      <c r="V801" s="5">
        <v>111212000000000</v>
      </c>
      <c r="W801" s="5">
        <v>115196000000000</v>
      </c>
      <c r="X801" s="5">
        <v>119179000000000</v>
      </c>
      <c r="Y801" s="5">
        <v>123163000000000</v>
      </c>
      <c r="Z801" s="5">
        <v>126353000000000</v>
      </c>
      <c r="AA801" s="5">
        <v>129542000000000</v>
      </c>
      <c r="AB801" s="5">
        <v>132732000000000</v>
      </c>
      <c r="AC801" s="5">
        <v>135922000000000</v>
      </c>
      <c r="AD801" s="5">
        <v>139112000000000</v>
      </c>
      <c r="AE801" s="5">
        <v>142303000000000</v>
      </c>
      <c r="AF801" s="5">
        <v>145493000000000</v>
      </c>
      <c r="AG801" s="5">
        <v>148684000000000</v>
      </c>
    </row>
    <row r="802" spans="1:33" x14ac:dyDescent="0.35">
      <c r="A802" t="s">
        <v>863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</row>
    <row r="803" spans="1:33" x14ac:dyDescent="0.35">
      <c r="A803" t="s">
        <v>864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</row>
    <row r="804" spans="1:33" x14ac:dyDescent="0.35">
      <c r="A804" t="s">
        <v>865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 spans="1:33" x14ac:dyDescent="0.35">
      <c r="A805" t="s">
        <v>866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</row>
    <row r="806" spans="1:33" x14ac:dyDescent="0.35">
      <c r="A806" t="s">
        <v>867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</row>
    <row r="807" spans="1:33" x14ac:dyDescent="0.35">
      <c r="A807" t="s">
        <v>868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</row>
    <row r="808" spans="1:33" x14ac:dyDescent="0.35">
      <c r="A808" t="s">
        <v>869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</row>
    <row r="809" spans="1:33" x14ac:dyDescent="0.35">
      <c r="A809" t="s">
        <v>870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</row>
    <row r="810" spans="1:33" x14ac:dyDescent="0.35">
      <c r="A810" t="s">
        <v>871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</row>
    <row r="811" spans="1:33" x14ac:dyDescent="0.35">
      <c r="A811" t="s">
        <v>872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</row>
    <row r="812" spans="1:33" x14ac:dyDescent="0.35">
      <c r="A812" t="s">
        <v>873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</row>
    <row r="813" spans="1:33" x14ac:dyDescent="0.35">
      <c r="A813" t="s">
        <v>874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</row>
    <row r="814" spans="1:33" x14ac:dyDescent="0.35">
      <c r="A814" t="s">
        <v>875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</row>
    <row r="815" spans="1:33" x14ac:dyDescent="0.35">
      <c r="A815" t="s">
        <v>876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</row>
    <row r="816" spans="1:33" x14ac:dyDescent="0.35">
      <c r="A816" t="s">
        <v>877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</row>
    <row r="817" spans="1:33" x14ac:dyDescent="0.35">
      <c r="A817" t="s">
        <v>878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</row>
    <row r="818" spans="1:33" x14ac:dyDescent="0.35">
      <c r="A818" t="s">
        <v>879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</row>
    <row r="819" spans="1:33" x14ac:dyDescent="0.35">
      <c r="A819" t="s">
        <v>880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</row>
    <row r="820" spans="1:33" x14ac:dyDescent="0.35">
      <c r="A820" t="s">
        <v>881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</row>
    <row r="821" spans="1:33" x14ac:dyDescent="0.35">
      <c r="A821" t="s">
        <v>882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 spans="1:33" x14ac:dyDescent="0.35">
      <c r="A822" t="s">
        <v>883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</row>
    <row r="823" spans="1:33" x14ac:dyDescent="0.35">
      <c r="A823" t="s">
        <v>884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</row>
    <row r="824" spans="1:33" x14ac:dyDescent="0.35">
      <c r="A824" t="s">
        <v>885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</row>
    <row r="825" spans="1:33" x14ac:dyDescent="0.35">
      <c r="A825" t="s">
        <v>886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</row>
    <row r="826" spans="1:33" x14ac:dyDescent="0.35">
      <c r="A826" t="s">
        <v>887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</row>
    <row r="827" spans="1:33" x14ac:dyDescent="0.35">
      <c r="A827" t="s">
        <v>888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</row>
    <row r="828" spans="1:33" x14ac:dyDescent="0.35">
      <c r="A828" t="s">
        <v>889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</row>
    <row r="829" spans="1:33" x14ac:dyDescent="0.35">
      <c r="A829" t="s">
        <v>890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 x14ac:dyDescent="0.35">
      <c r="A830" t="s">
        <v>891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</row>
    <row r="831" spans="1:33" x14ac:dyDescent="0.35">
      <c r="A831" t="s">
        <v>892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</row>
    <row r="832" spans="1:33" x14ac:dyDescent="0.35">
      <c r="A832" t="s">
        <v>893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</row>
    <row r="833" spans="1:33" x14ac:dyDescent="0.35">
      <c r="A833" t="s">
        <v>894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</row>
    <row r="834" spans="1:33" x14ac:dyDescent="0.35">
      <c r="A834" t="s">
        <v>895</v>
      </c>
      <c r="B834" s="5">
        <v>1320710000000</v>
      </c>
      <c r="C834" s="5">
        <v>1068520000000</v>
      </c>
      <c r="D834" s="5">
        <v>1355340000000</v>
      </c>
      <c r="E834" s="5">
        <v>1607710000000</v>
      </c>
      <c r="F834" s="5">
        <v>1871210000000</v>
      </c>
      <c r="G834" s="5">
        <v>2177110000000</v>
      </c>
      <c r="H834" s="5">
        <v>2546360000000</v>
      </c>
      <c r="I834" s="5">
        <v>3003280000000</v>
      </c>
      <c r="J834" s="5">
        <v>3566900000000</v>
      </c>
      <c r="K834" s="5">
        <v>4252300000000</v>
      </c>
      <c r="L834" s="5">
        <v>5033970000000</v>
      </c>
      <c r="M834" s="5">
        <v>5886040000000</v>
      </c>
      <c r="N834" s="5">
        <v>6888670000000</v>
      </c>
      <c r="O834" s="5">
        <v>8029290000000</v>
      </c>
      <c r="P834" s="5">
        <v>9237790000000</v>
      </c>
      <c r="Q834" s="5">
        <v>10520100000000</v>
      </c>
      <c r="R834" s="5">
        <v>11859000000000</v>
      </c>
      <c r="S834" s="5">
        <v>13221800000000</v>
      </c>
      <c r="T834" s="5">
        <v>14578100000000</v>
      </c>
      <c r="U834" s="5">
        <v>15870300000000</v>
      </c>
      <c r="V834" s="5">
        <v>17093900000000</v>
      </c>
      <c r="W834" s="5">
        <v>18236000000000</v>
      </c>
      <c r="X834" s="5">
        <v>19285200000000</v>
      </c>
      <c r="Y834" s="5">
        <v>20237500000000</v>
      </c>
      <c r="Z834" s="5">
        <v>20987400000000</v>
      </c>
      <c r="AA834" s="5">
        <v>21649100000000</v>
      </c>
      <c r="AB834" s="5">
        <v>22227300000000</v>
      </c>
      <c r="AC834" s="5">
        <v>22733500000000</v>
      </c>
      <c r="AD834" s="5">
        <v>23183000000000</v>
      </c>
      <c r="AE834" s="5">
        <v>23574000000000</v>
      </c>
      <c r="AF834" s="5">
        <v>23936100000000</v>
      </c>
      <c r="AG834" s="5">
        <v>24268700000000</v>
      </c>
    </row>
    <row r="835" spans="1:33" x14ac:dyDescent="0.35">
      <c r="A835" t="s">
        <v>896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</row>
    <row r="836" spans="1:33" x14ac:dyDescent="0.35">
      <c r="A836" t="s">
        <v>897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</row>
    <row r="837" spans="1:33" x14ac:dyDescent="0.35">
      <c r="A837" t="s">
        <v>898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</row>
    <row r="838" spans="1:33" x14ac:dyDescent="0.35">
      <c r="A838" t="s">
        <v>899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</row>
    <row r="839" spans="1:33" x14ac:dyDescent="0.35">
      <c r="A839" t="s">
        <v>900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</row>
    <row r="840" spans="1:33" x14ac:dyDescent="0.35">
      <c r="A840" t="s">
        <v>901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</row>
    <row r="841" spans="1:33" x14ac:dyDescent="0.35">
      <c r="A841" t="s">
        <v>902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</row>
    <row r="842" spans="1:33" x14ac:dyDescent="0.35">
      <c r="A842" t="s">
        <v>903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</row>
    <row r="843" spans="1:33" x14ac:dyDescent="0.35">
      <c r="A843" t="s">
        <v>904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</row>
    <row r="844" spans="1:33" x14ac:dyDescent="0.35">
      <c r="A844" t="s">
        <v>905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</row>
    <row r="845" spans="1:33" x14ac:dyDescent="0.35">
      <c r="A845" t="s">
        <v>906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 x14ac:dyDescent="0.35">
      <c r="A846" t="s">
        <v>907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</row>
    <row r="847" spans="1:33" x14ac:dyDescent="0.35">
      <c r="A847" t="s">
        <v>908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</row>
    <row r="848" spans="1:33" x14ac:dyDescent="0.35">
      <c r="A848" t="s">
        <v>909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</row>
    <row r="849" spans="1:33" x14ac:dyDescent="0.35">
      <c r="A849" t="s">
        <v>910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</row>
    <row r="850" spans="1:33" x14ac:dyDescent="0.35">
      <c r="A850" t="s">
        <v>911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</row>
    <row r="851" spans="1:33" x14ac:dyDescent="0.35">
      <c r="A851" t="s">
        <v>912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</row>
    <row r="852" spans="1:33" x14ac:dyDescent="0.35">
      <c r="A852" t="s">
        <v>913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</row>
    <row r="853" spans="1:33" x14ac:dyDescent="0.35">
      <c r="A853" t="s">
        <v>914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</row>
    <row r="854" spans="1:33" x14ac:dyDescent="0.35">
      <c r="A854" t="s">
        <v>915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</row>
    <row r="855" spans="1:33" x14ac:dyDescent="0.35">
      <c r="A855" t="s">
        <v>916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</row>
    <row r="856" spans="1:33" x14ac:dyDescent="0.35">
      <c r="A856" t="s">
        <v>917</v>
      </c>
      <c r="B856" s="5">
        <v>493426000000000</v>
      </c>
      <c r="C856" s="5">
        <v>386510000000000</v>
      </c>
      <c r="D856" s="5">
        <v>454472000000000</v>
      </c>
      <c r="E856" s="5">
        <v>501030000000000</v>
      </c>
      <c r="F856" s="5">
        <v>528232000000000</v>
      </c>
      <c r="G856" s="5">
        <v>546219000000000</v>
      </c>
      <c r="H856" s="5">
        <v>558205000000000</v>
      </c>
      <c r="I856" s="5">
        <v>573469000000000</v>
      </c>
      <c r="J856" s="5">
        <v>586261000000000</v>
      </c>
      <c r="K856" s="5">
        <v>596377000000000</v>
      </c>
      <c r="L856" s="5">
        <v>604721000000000</v>
      </c>
      <c r="M856" s="5">
        <v>611710000000000</v>
      </c>
      <c r="N856" s="5">
        <v>616729000000000</v>
      </c>
      <c r="O856" s="5">
        <v>620114000000000</v>
      </c>
      <c r="P856" s="5">
        <v>618564000000000</v>
      </c>
      <c r="Q856" s="5">
        <v>615787000000000</v>
      </c>
      <c r="R856" s="5">
        <v>612438000000000</v>
      </c>
      <c r="S856" s="5">
        <v>607046000000000</v>
      </c>
      <c r="T856" s="5">
        <v>601539000000000</v>
      </c>
      <c r="U856" s="5">
        <v>595016000000000</v>
      </c>
      <c r="V856" s="5">
        <v>589441000000000</v>
      </c>
      <c r="W856" s="5">
        <v>585588000000000</v>
      </c>
      <c r="X856" s="5">
        <v>583139000000000</v>
      </c>
      <c r="Y856" s="5">
        <v>582152000000000</v>
      </c>
      <c r="Z856" s="5">
        <v>580129000000000</v>
      </c>
      <c r="AA856" s="5">
        <v>579558000000000</v>
      </c>
      <c r="AB856" s="5">
        <v>580258000000000</v>
      </c>
      <c r="AC856" s="5">
        <v>581568000000000</v>
      </c>
      <c r="AD856" s="5">
        <v>583737000000000</v>
      </c>
      <c r="AE856" s="5">
        <v>587061000000000</v>
      </c>
      <c r="AF856" s="5">
        <v>590962000000000</v>
      </c>
      <c r="AG856" s="5">
        <v>595307000000000</v>
      </c>
    </row>
    <row r="857" spans="1:33" x14ac:dyDescent="0.35">
      <c r="A857" t="s">
        <v>918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</row>
    <row r="858" spans="1:33" x14ac:dyDescent="0.35">
      <c r="A858" t="s">
        <v>919</v>
      </c>
      <c r="B858" s="5">
        <v>52257800000000</v>
      </c>
      <c r="C858" s="5">
        <v>40987300000000</v>
      </c>
      <c r="D858" s="5">
        <v>61284900000000</v>
      </c>
      <c r="E858" s="5">
        <v>69487200000000</v>
      </c>
      <c r="F858" s="5">
        <v>79202000000000</v>
      </c>
      <c r="G858" s="5">
        <v>88227400000000</v>
      </c>
      <c r="H858" s="5">
        <v>97345000000000</v>
      </c>
      <c r="I858" s="5">
        <v>99173300000000</v>
      </c>
      <c r="J858" s="5">
        <v>100322000000000</v>
      </c>
      <c r="K858" s="5">
        <v>101224000000000</v>
      </c>
      <c r="L858" s="5">
        <v>101770000000000</v>
      </c>
      <c r="M858" s="5">
        <v>101776000000000</v>
      </c>
      <c r="N858" s="5">
        <v>100966000000000</v>
      </c>
      <c r="O858" s="5">
        <v>99840700000000</v>
      </c>
      <c r="P858" s="5">
        <v>97799400000000</v>
      </c>
      <c r="Q858" s="5">
        <v>95543000000000</v>
      </c>
      <c r="R858" s="5">
        <v>92882000000000</v>
      </c>
      <c r="S858" s="5">
        <v>91832600000000</v>
      </c>
      <c r="T858" s="5">
        <v>90999500000000</v>
      </c>
      <c r="U858" s="5">
        <v>90012800000000</v>
      </c>
      <c r="V858" s="5">
        <v>89169400000000</v>
      </c>
      <c r="W858" s="5">
        <v>88586600000000</v>
      </c>
      <c r="X858" s="5">
        <v>88216100000000</v>
      </c>
      <c r="Y858" s="5">
        <v>88066700000000</v>
      </c>
      <c r="Z858" s="5">
        <v>87760700000000</v>
      </c>
      <c r="AA858" s="5">
        <v>87674400000000</v>
      </c>
      <c r="AB858" s="5">
        <v>87780200000000</v>
      </c>
      <c r="AC858" s="5">
        <v>87978400000000</v>
      </c>
      <c r="AD858" s="5">
        <v>88306500000000</v>
      </c>
      <c r="AE858" s="5">
        <v>88809300000000</v>
      </c>
      <c r="AF858" s="5">
        <v>89399500000000</v>
      </c>
      <c r="AG858" s="5">
        <v>90056800000000</v>
      </c>
    </row>
    <row r="859" spans="1:33" x14ac:dyDescent="0.35">
      <c r="A859" t="s">
        <v>920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</row>
    <row r="860" spans="1:33" x14ac:dyDescent="0.35">
      <c r="A860" t="s">
        <v>921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</row>
    <row r="861" spans="1:33" x14ac:dyDescent="0.35">
      <c r="A861" t="s">
        <v>922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</row>
    <row r="862" spans="1:33" x14ac:dyDescent="0.35">
      <c r="A862" t="s">
        <v>923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</row>
    <row r="863" spans="1:33" x14ac:dyDescent="0.35">
      <c r="A863" t="s">
        <v>924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</row>
    <row r="864" spans="1:33" x14ac:dyDescent="0.35">
      <c r="A864" t="s">
        <v>925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</row>
    <row r="865" spans="1:33" x14ac:dyDescent="0.35">
      <c r="A865" t="s">
        <v>926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</row>
    <row r="866" spans="1:33" x14ac:dyDescent="0.35">
      <c r="A866" t="s">
        <v>927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</row>
    <row r="867" spans="1:33" x14ac:dyDescent="0.35">
      <c r="A867" t="s">
        <v>928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</row>
    <row r="868" spans="1:33" x14ac:dyDescent="0.35">
      <c r="A868" t="s">
        <v>929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</row>
    <row r="869" spans="1:33" x14ac:dyDescent="0.35">
      <c r="A869" t="s">
        <v>930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</row>
    <row r="870" spans="1:33" x14ac:dyDescent="0.35">
      <c r="A870" t="s">
        <v>931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</row>
    <row r="871" spans="1:33" x14ac:dyDescent="0.35">
      <c r="A871" t="s">
        <v>932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</row>
    <row r="872" spans="1:33" x14ac:dyDescent="0.35">
      <c r="A872" t="s">
        <v>933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</row>
    <row r="873" spans="1:33" x14ac:dyDescent="0.35">
      <c r="A873" t="s">
        <v>934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</row>
    <row r="874" spans="1:33" x14ac:dyDescent="0.35">
      <c r="A874" t="s">
        <v>935</v>
      </c>
      <c r="B874" s="5">
        <v>0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</row>
    <row r="875" spans="1:33" x14ac:dyDescent="0.35">
      <c r="A875" t="s">
        <v>936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</row>
    <row r="876" spans="1:33" x14ac:dyDescent="0.35">
      <c r="A876" t="s">
        <v>937</v>
      </c>
      <c r="B876" s="5">
        <v>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</row>
    <row r="877" spans="1:33" x14ac:dyDescent="0.35">
      <c r="A877" t="s">
        <v>938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</row>
    <row r="878" spans="1:33" x14ac:dyDescent="0.35">
      <c r="A878" t="s">
        <v>939</v>
      </c>
      <c r="B878" s="5">
        <v>0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0</v>
      </c>
    </row>
    <row r="879" spans="1:33" x14ac:dyDescent="0.35">
      <c r="A879" t="s">
        <v>940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</row>
    <row r="880" spans="1:33" x14ac:dyDescent="0.35">
      <c r="A880" t="s">
        <v>941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</row>
    <row r="881" spans="1:33" x14ac:dyDescent="0.35">
      <c r="A881" t="s">
        <v>942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</row>
    <row r="882" spans="1:33" x14ac:dyDescent="0.35">
      <c r="A882" t="s">
        <v>943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</row>
    <row r="883" spans="1:33" x14ac:dyDescent="0.35">
      <c r="A883" t="s">
        <v>944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</row>
    <row r="884" spans="1:33" x14ac:dyDescent="0.35">
      <c r="A884" t="s">
        <v>945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</row>
    <row r="885" spans="1:33" x14ac:dyDescent="0.35">
      <c r="A885" t="s">
        <v>946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</row>
    <row r="886" spans="1:33" x14ac:dyDescent="0.35">
      <c r="A886" t="s">
        <v>947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</row>
    <row r="887" spans="1:33" x14ac:dyDescent="0.35">
      <c r="A887" t="s">
        <v>948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</row>
    <row r="888" spans="1:33" x14ac:dyDescent="0.35">
      <c r="A888" t="s">
        <v>949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</row>
    <row r="889" spans="1:33" x14ac:dyDescent="0.35">
      <c r="A889" t="s">
        <v>950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</row>
    <row r="890" spans="1:33" x14ac:dyDescent="0.35">
      <c r="A890" t="s">
        <v>951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</row>
    <row r="891" spans="1:33" x14ac:dyDescent="0.35">
      <c r="A891" t="s">
        <v>952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</row>
    <row r="892" spans="1:33" x14ac:dyDescent="0.35">
      <c r="A892" t="s">
        <v>953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</row>
    <row r="893" spans="1:33" x14ac:dyDescent="0.35">
      <c r="A893" t="s">
        <v>954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</row>
    <row r="894" spans="1:33" x14ac:dyDescent="0.35">
      <c r="A894" t="s">
        <v>955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</row>
    <row r="895" spans="1:33" x14ac:dyDescent="0.35">
      <c r="A895" t="s">
        <v>956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</row>
    <row r="896" spans="1:33" x14ac:dyDescent="0.35">
      <c r="A896" t="s">
        <v>957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</row>
    <row r="897" spans="1:33" x14ac:dyDescent="0.35">
      <c r="A897" t="s">
        <v>958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</row>
    <row r="898" spans="1:33" x14ac:dyDescent="0.35">
      <c r="A898" t="s">
        <v>959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</row>
    <row r="899" spans="1:33" x14ac:dyDescent="0.35">
      <c r="A899" t="s">
        <v>960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</row>
    <row r="900" spans="1:33" x14ac:dyDescent="0.35">
      <c r="A900" t="s">
        <v>961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</row>
    <row r="901" spans="1:33" x14ac:dyDescent="0.35">
      <c r="A901" t="s">
        <v>962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</row>
    <row r="902" spans="1:33" x14ac:dyDescent="0.35">
      <c r="A902" t="s">
        <v>963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</row>
    <row r="903" spans="1:33" x14ac:dyDescent="0.35">
      <c r="A903" t="s">
        <v>964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</row>
    <row r="904" spans="1:33" x14ac:dyDescent="0.35">
      <c r="A904" t="s">
        <v>965</v>
      </c>
      <c r="B904" s="5">
        <v>715726000000</v>
      </c>
      <c r="C904" s="5">
        <v>595364000000</v>
      </c>
      <c r="D904" s="5">
        <v>770959000000</v>
      </c>
      <c r="E904" s="5">
        <v>927470000000</v>
      </c>
      <c r="F904" s="5">
        <v>1101750000000</v>
      </c>
      <c r="G904" s="5">
        <v>1300700000000</v>
      </c>
      <c r="H904" s="5">
        <v>1539120000000</v>
      </c>
      <c r="I904" s="5">
        <v>1830940000000</v>
      </c>
      <c r="J904" s="5">
        <v>2189620000000</v>
      </c>
      <c r="K904" s="5">
        <v>2657230000000</v>
      </c>
      <c r="L904" s="5">
        <v>3214910000000</v>
      </c>
      <c r="M904" s="5">
        <v>3854580000000</v>
      </c>
      <c r="N904" s="5">
        <v>4624200000000</v>
      </c>
      <c r="O904" s="5">
        <v>5513940000000</v>
      </c>
      <c r="P904" s="5">
        <v>6551760000000</v>
      </c>
      <c r="Q904" s="5">
        <v>7709580000000</v>
      </c>
      <c r="R904" s="5">
        <v>8969200000000</v>
      </c>
      <c r="S904" s="5">
        <v>10307200000000</v>
      </c>
      <c r="T904" s="5">
        <v>11697100000000</v>
      </c>
      <c r="U904" s="5">
        <v>13176600000000</v>
      </c>
      <c r="V904" s="5">
        <v>14666200000000</v>
      </c>
      <c r="W904" s="5">
        <v>16138800000000</v>
      </c>
      <c r="X904" s="5">
        <v>17549600000000</v>
      </c>
      <c r="Y904" s="5">
        <v>18912300000000</v>
      </c>
      <c r="Z904" s="5">
        <v>20222900000000</v>
      </c>
      <c r="AA904" s="5">
        <v>21464300000000</v>
      </c>
      <c r="AB904" s="5">
        <v>22637100000000</v>
      </c>
      <c r="AC904" s="5">
        <v>23745900000000</v>
      </c>
      <c r="AD904" s="5">
        <v>24797600000000</v>
      </c>
      <c r="AE904" s="5">
        <v>25800900000000</v>
      </c>
      <c r="AF904" s="5">
        <v>26763300000000</v>
      </c>
      <c r="AG904" s="5">
        <v>27662700000000</v>
      </c>
    </row>
    <row r="905" spans="1:33" x14ac:dyDescent="0.35">
      <c r="A905" t="s">
        <v>966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</row>
    <row r="906" spans="1:33" x14ac:dyDescent="0.35">
      <c r="A906" t="s">
        <v>967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</row>
    <row r="907" spans="1:33" x14ac:dyDescent="0.35">
      <c r="A907" t="s">
        <v>968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</row>
    <row r="908" spans="1:33" x14ac:dyDescent="0.35">
      <c r="A908" t="s">
        <v>969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</row>
    <row r="909" spans="1:33" x14ac:dyDescent="0.35">
      <c r="A909" t="s">
        <v>970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</row>
    <row r="910" spans="1:33" x14ac:dyDescent="0.35">
      <c r="A910" t="s">
        <v>971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</row>
    <row r="911" spans="1:33" x14ac:dyDescent="0.35">
      <c r="A911" t="s">
        <v>972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</row>
    <row r="912" spans="1:33" x14ac:dyDescent="0.35">
      <c r="A912" t="s">
        <v>973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</row>
    <row r="913" spans="1:33" x14ac:dyDescent="0.35">
      <c r="A913" t="s">
        <v>974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</row>
    <row r="914" spans="1:33" x14ac:dyDescent="0.35">
      <c r="A914" t="s">
        <v>975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</row>
    <row r="915" spans="1:33" x14ac:dyDescent="0.35">
      <c r="A915" t="s">
        <v>976</v>
      </c>
      <c r="B915" s="5">
        <v>22154200000000</v>
      </c>
      <c r="C915" s="5">
        <v>17916700000000</v>
      </c>
      <c r="D915" s="5">
        <v>22197000000000</v>
      </c>
      <c r="E915" s="5">
        <v>25124900000000</v>
      </c>
      <c r="F915" s="5">
        <v>27607200000000</v>
      </c>
      <c r="G915" s="5">
        <v>29628400000000</v>
      </c>
      <c r="H915" s="5">
        <v>31355200000000</v>
      </c>
      <c r="I915" s="5">
        <v>32881900000000</v>
      </c>
      <c r="J915" s="5">
        <v>34263000000000</v>
      </c>
      <c r="K915" s="5">
        <v>35898900000000</v>
      </c>
      <c r="L915" s="5">
        <v>37485300000000</v>
      </c>
      <c r="M915" s="5">
        <v>39066600000000</v>
      </c>
      <c r="N915" s="5">
        <v>40546200000000</v>
      </c>
      <c r="O915" s="5">
        <v>41898400000000</v>
      </c>
      <c r="P915" s="5">
        <v>43323400000000</v>
      </c>
      <c r="Q915" s="5">
        <v>44666800000000</v>
      </c>
      <c r="R915" s="5">
        <v>45931400000000</v>
      </c>
      <c r="S915" s="5">
        <v>47119000000000</v>
      </c>
      <c r="T915" s="5">
        <v>48231200000000</v>
      </c>
      <c r="U915" s="5">
        <v>49485500000000</v>
      </c>
      <c r="V915" s="5">
        <v>50651400000000</v>
      </c>
      <c r="W915" s="5">
        <v>51729400000000</v>
      </c>
      <c r="X915" s="5">
        <v>52670400000000</v>
      </c>
      <c r="Y915" s="5">
        <v>53566700000000</v>
      </c>
      <c r="Z915" s="5">
        <v>54413100000000</v>
      </c>
      <c r="AA915" s="5">
        <v>55172600000000</v>
      </c>
      <c r="AB915" s="5">
        <v>55845900000000</v>
      </c>
      <c r="AC915" s="5">
        <v>56433400000000</v>
      </c>
      <c r="AD915" s="5">
        <v>56936200000000</v>
      </c>
      <c r="AE915" s="5">
        <v>57351300000000</v>
      </c>
      <c r="AF915" s="5">
        <v>57627400000000</v>
      </c>
      <c r="AG915" s="5">
        <v>57816800000000</v>
      </c>
    </row>
    <row r="916" spans="1:33" x14ac:dyDescent="0.35">
      <c r="A916" t="s">
        <v>977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</row>
    <row r="917" spans="1:33" x14ac:dyDescent="0.35">
      <c r="A917" t="s">
        <v>978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</row>
    <row r="918" spans="1:33" x14ac:dyDescent="0.35">
      <c r="A918" t="s">
        <v>979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</row>
    <row r="919" spans="1:33" x14ac:dyDescent="0.35">
      <c r="A919" t="s">
        <v>980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</row>
    <row r="920" spans="1:33" x14ac:dyDescent="0.35">
      <c r="A920" t="s">
        <v>981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</row>
    <row r="921" spans="1:33" x14ac:dyDescent="0.35">
      <c r="A921" t="s">
        <v>982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</row>
    <row r="922" spans="1:33" x14ac:dyDescent="0.35">
      <c r="A922" t="s">
        <v>983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</row>
    <row r="923" spans="1:33" x14ac:dyDescent="0.35">
      <c r="A923" t="s">
        <v>984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</row>
    <row r="924" spans="1:33" x14ac:dyDescent="0.35">
      <c r="A924" t="s">
        <v>985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</row>
    <row r="925" spans="1:33" x14ac:dyDescent="0.35">
      <c r="A925" t="s">
        <v>986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</row>
    <row r="926" spans="1:33" x14ac:dyDescent="0.35">
      <c r="A926" t="s">
        <v>987</v>
      </c>
      <c r="B926" s="5">
        <v>91411200000000</v>
      </c>
      <c r="C926" s="5">
        <v>73669800000000</v>
      </c>
      <c r="D926" s="5">
        <v>88459800000000</v>
      </c>
      <c r="E926" s="5">
        <v>99025800000000</v>
      </c>
      <c r="F926" s="5">
        <v>106775000000000</v>
      </c>
      <c r="G926" s="5">
        <v>112220000000000</v>
      </c>
      <c r="H926" s="5">
        <v>115828000000000</v>
      </c>
      <c r="I926" s="5">
        <v>119580000000000</v>
      </c>
      <c r="J926" s="5">
        <v>122140000000000</v>
      </c>
      <c r="K926" s="5">
        <v>124945000000000</v>
      </c>
      <c r="L926" s="5">
        <v>126950000000000</v>
      </c>
      <c r="M926" s="5">
        <v>128213000000000</v>
      </c>
      <c r="N926" s="5">
        <v>128367000000000</v>
      </c>
      <c r="O926" s="5">
        <v>127375000000000</v>
      </c>
      <c r="P926" s="5">
        <v>125616000000000</v>
      </c>
      <c r="Q926" s="5">
        <v>122583000000000</v>
      </c>
      <c r="R926" s="5">
        <v>118669000000000</v>
      </c>
      <c r="S926" s="5">
        <v>113842000000000</v>
      </c>
      <c r="T926" s="5">
        <v>108943000000000</v>
      </c>
      <c r="U926" s="5">
        <v>104059000000000</v>
      </c>
      <c r="V926" s="5">
        <v>98911200000000</v>
      </c>
      <c r="W926" s="5">
        <v>93975800000000</v>
      </c>
      <c r="X926" s="5">
        <v>89279900000000</v>
      </c>
      <c r="Y926" s="5">
        <v>84682100000000</v>
      </c>
      <c r="Z926" s="5">
        <v>80527700000000</v>
      </c>
      <c r="AA926" s="5">
        <v>77000100000000</v>
      </c>
      <c r="AB926" s="5">
        <v>74037700000000</v>
      </c>
      <c r="AC926" s="5">
        <v>71187000000000</v>
      </c>
      <c r="AD926" s="5">
        <v>67387200000000</v>
      </c>
      <c r="AE926" s="5">
        <v>63656100000000</v>
      </c>
      <c r="AF926" s="5">
        <v>60282000000000</v>
      </c>
      <c r="AG926" s="5">
        <v>57183100000000</v>
      </c>
    </row>
    <row r="927" spans="1:33" x14ac:dyDescent="0.35">
      <c r="A927" t="s">
        <v>988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</row>
    <row r="928" spans="1:33" x14ac:dyDescent="0.35">
      <c r="A928" t="s">
        <v>989</v>
      </c>
      <c r="B928" s="5">
        <v>9681200000000</v>
      </c>
      <c r="C928" s="5">
        <v>7812300000000</v>
      </c>
      <c r="D928" s="5">
        <v>11928700000000</v>
      </c>
      <c r="E928" s="5">
        <v>13733700000000</v>
      </c>
      <c r="F928" s="5">
        <v>16009700000000</v>
      </c>
      <c r="G928" s="5">
        <v>18126200000000</v>
      </c>
      <c r="H928" s="5">
        <v>20199300000000</v>
      </c>
      <c r="I928" s="5">
        <v>20679700000000</v>
      </c>
      <c r="J928" s="5">
        <v>20900900000000</v>
      </c>
      <c r="K928" s="5">
        <v>21207200000000</v>
      </c>
      <c r="L928" s="5">
        <v>21364800000000</v>
      </c>
      <c r="M928" s="5">
        <v>21332100000000</v>
      </c>
      <c r="N928" s="5">
        <v>21015200000000</v>
      </c>
      <c r="O928" s="5">
        <v>20507800000000</v>
      </c>
      <c r="P928" s="5">
        <v>19860800000000</v>
      </c>
      <c r="Q928" s="5">
        <v>19019500000000</v>
      </c>
      <c r="R928" s="5">
        <v>17997300000000</v>
      </c>
      <c r="S928" s="5">
        <v>17221800000000</v>
      </c>
      <c r="T928" s="5">
        <v>16480600000000</v>
      </c>
      <c r="U928" s="5">
        <v>15741900000000</v>
      </c>
      <c r="V928" s="5">
        <v>14963100000000</v>
      </c>
      <c r="W928" s="5">
        <v>14216500000000</v>
      </c>
      <c r="X928" s="5">
        <v>13506100000000</v>
      </c>
      <c r="Y928" s="5">
        <v>12810500000000</v>
      </c>
      <c r="Z928" s="5">
        <v>12182100000000</v>
      </c>
      <c r="AA928" s="5">
        <v>11648400000000</v>
      </c>
      <c r="AB928" s="5">
        <v>11200300000000</v>
      </c>
      <c r="AC928" s="5">
        <v>10769000000000</v>
      </c>
      <c r="AD928" s="5">
        <v>10194200000000</v>
      </c>
      <c r="AE928" s="5">
        <v>9629760000000</v>
      </c>
      <c r="AF928" s="5">
        <v>9119330000000</v>
      </c>
      <c r="AG928" s="5">
        <v>8650540000000</v>
      </c>
    </row>
    <row r="929" spans="1:33" x14ac:dyDescent="0.35">
      <c r="A929" t="s">
        <v>990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</row>
    <row r="930" spans="1:33" x14ac:dyDescent="0.35">
      <c r="A930" t="s">
        <v>991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</row>
    <row r="931" spans="1:33" x14ac:dyDescent="0.35">
      <c r="A931" t="s">
        <v>992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</row>
    <row r="932" spans="1:33" x14ac:dyDescent="0.35">
      <c r="A932" t="s">
        <v>993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</row>
    <row r="933" spans="1:33" x14ac:dyDescent="0.35">
      <c r="A933" t="s">
        <v>994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</row>
    <row r="934" spans="1:33" x14ac:dyDescent="0.35">
      <c r="A934" t="s">
        <v>995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</row>
    <row r="935" spans="1:33" x14ac:dyDescent="0.35">
      <c r="A935" t="s">
        <v>996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</row>
    <row r="936" spans="1:33" x14ac:dyDescent="0.35">
      <c r="A936" t="s">
        <v>997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</row>
    <row r="937" spans="1:33" x14ac:dyDescent="0.35">
      <c r="A937" t="s">
        <v>998</v>
      </c>
      <c r="B937" s="5">
        <v>88150500000000</v>
      </c>
      <c r="C937" s="5">
        <v>72093800000000</v>
      </c>
      <c r="D937" s="5">
        <v>91419700000000</v>
      </c>
      <c r="E937" s="5">
        <v>106195000000000</v>
      </c>
      <c r="F937" s="5">
        <v>120671000000000</v>
      </c>
      <c r="G937" s="5">
        <v>134434000000000</v>
      </c>
      <c r="H937" s="5">
        <v>148004000000000</v>
      </c>
      <c r="I937" s="5">
        <v>161387000000000</v>
      </c>
      <c r="J937" s="5">
        <v>175160000000000</v>
      </c>
      <c r="K937" s="5">
        <v>190911000000000</v>
      </c>
      <c r="L937" s="5">
        <v>206476000000000</v>
      </c>
      <c r="M937" s="5">
        <v>222093000000000</v>
      </c>
      <c r="N937" s="5">
        <v>237937000000000</v>
      </c>
      <c r="O937" s="5">
        <v>253794000000000</v>
      </c>
      <c r="P937" s="5">
        <v>270520000000000</v>
      </c>
      <c r="Q937" s="5">
        <v>287521000000000</v>
      </c>
      <c r="R937" s="5">
        <v>304812000000000</v>
      </c>
      <c r="S937" s="5">
        <v>320834000000000</v>
      </c>
      <c r="T937" s="5">
        <v>336239000000000</v>
      </c>
      <c r="U937" s="5">
        <v>353526000000000</v>
      </c>
      <c r="V937" s="5">
        <v>371169000000000</v>
      </c>
      <c r="W937" s="5">
        <v>388928000000000</v>
      </c>
      <c r="X937" s="5">
        <v>407046000000000</v>
      </c>
      <c r="Y937" s="5">
        <v>425884000000000</v>
      </c>
      <c r="Z937" s="5">
        <v>445520000000000</v>
      </c>
      <c r="AA937" s="5">
        <v>465433000000000</v>
      </c>
      <c r="AB937" s="5">
        <v>485682000000000</v>
      </c>
      <c r="AC937" s="5">
        <v>506720000000000</v>
      </c>
      <c r="AD937" s="5">
        <v>529665000000000</v>
      </c>
      <c r="AE937" s="5">
        <v>553263000000000</v>
      </c>
      <c r="AF937" s="5">
        <v>577045000000000</v>
      </c>
      <c r="AG937" s="5">
        <v>601142000000000</v>
      </c>
    </row>
    <row r="938" spans="1:33" x14ac:dyDescent="0.35">
      <c r="A938" t="s">
        <v>999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</row>
    <row r="939" spans="1:33" x14ac:dyDescent="0.35">
      <c r="A939" t="s">
        <v>1000</v>
      </c>
      <c r="B939" s="5">
        <v>4227770000000</v>
      </c>
      <c r="C939" s="5">
        <v>3466510000000</v>
      </c>
      <c r="D939" s="5">
        <v>3908470000000</v>
      </c>
      <c r="E939" s="5">
        <v>4337690000000</v>
      </c>
      <c r="F939" s="5">
        <v>4510990000000</v>
      </c>
      <c r="G939" s="5">
        <v>4468020000000</v>
      </c>
      <c r="H939" s="5">
        <v>4392990000000</v>
      </c>
      <c r="I939" s="5">
        <v>4486220000000</v>
      </c>
      <c r="J939" s="5">
        <v>4458130000000</v>
      </c>
      <c r="K939" s="5">
        <v>4516070000000</v>
      </c>
      <c r="L939" s="5">
        <v>4500720000000</v>
      </c>
      <c r="M939" s="5">
        <v>4293350000000</v>
      </c>
      <c r="N939" s="5">
        <v>3783020000000</v>
      </c>
      <c r="O939" s="5">
        <v>3152830000000</v>
      </c>
      <c r="P939" s="5">
        <v>2356960000000</v>
      </c>
      <c r="Q939" s="5">
        <v>1420870000000</v>
      </c>
      <c r="R939" s="5">
        <v>147995000000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</row>
    <row r="940" spans="1:33" x14ac:dyDescent="0.35">
      <c r="A940" t="s">
        <v>1001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</row>
    <row r="941" spans="1:33" x14ac:dyDescent="0.35">
      <c r="A941" t="s">
        <v>1002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</row>
    <row r="942" spans="1:33" x14ac:dyDescent="0.35">
      <c r="A942" t="s">
        <v>1003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</row>
    <row r="943" spans="1:33" x14ac:dyDescent="0.35">
      <c r="A943" t="s">
        <v>1004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</row>
    <row r="944" spans="1:33" x14ac:dyDescent="0.35">
      <c r="A944" t="s">
        <v>1005</v>
      </c>
      <c r="B944" s="5">
        <v>0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</row>
    <row r="945" spans="1:33" x14ac:dyDescent="0.35">
      <c r="A945" t="s">
        <v>1006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</row>
    <row r="946" spans="1:33" x14ac:dyDescent="0.35">
      <c r="A946" t="s">
        <v>1007</v>
      </c>
      <c r="B946" s="5">
        <v>0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</row>
    <row r="947" spans="1:33" x14ac:dyDescent="0.35">
      <c r="A947" t="s">
        <v>1008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</row>
    <row r="948" spans="1:33" x14ac:dyDescent="0.35">
      <c r="A948" t="s">
        <v>1009</v>
      </c>
      <c r="B948" s="5">
        <v>0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</row>
    <row r="949" spans="1:33" x14ac:dyDescent="0.35">
      <c r="A949" t="s">
        <v>1010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</row>
    <row r="950" spans="1:33" x14ac:dyDescent="0.35">
      <c r="A950" t="s">
        <v>1011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</row>
    <row r="951" spans="1:33" x14ac:dyDescent="0.35">
      <c r="A951" t="s">
        <v>1012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</row>
    <row r="952" spans="1:33" x14ac:dyDescent="0.35">
      <c r="A952" t="s">
        <v>1013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</row>
    <row r="953" spans="1:33" x14ac:dyDescent="0.35">
      <c r="A953" t="s">
        <v>1014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</row>
    <row r="954" spans="1:33" x14ac:dyDescent="0.35">
      <c r="A954" t="s">
        <v>1015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</row>
    <row r="955" spans="1:33" x14ac:dyDescent="0.35">
      <c r="A955" t="s">
        <v>1016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</row>
    <row r="956" spans="1:33" x14ac:dyDescent="0.35">
      <c r="A956" t="s">
        <v>1017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</row>
    <row r="957" spans="1:33" x14ac:dyDescent="0.35">
      <c r="A957" t="s">
        <v>1018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</row>
    <row r="958" spans="1:33" x14ac:dyDescent="0.35">
      <c r="A958" t="s">
        <v>1019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</row>
    <row r="959" spans="1:33" x14ac:dyDescent="0.35">
      <c r="A959" t="s">
        <v>1020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</row>
    <row r="960" spans="1:33" x14ac:dyDescent="0.35">
      <c r="A960" t="s">
        <v>1021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</row>
    <row r="961" spans="1:33" x14ac:dyDescent="0.35">
      <c r="A961" t="s">
        <v>1022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</row>
    <row r="962" spans="1:33" x14ac:dyDescent="0.35">
      <c r="A962" t="s">
        <v>1023</v>
      </c>
      <c r="B962" s="5">
        <v>6052670000000</v>
      </c>
      <c r="C962" s="5">
        <v>4753360000000</v>
      </c>
      <c r="D962" s="5">
        <v>5704220000000</v>
      </c>
      <c r="E962" s="5">
        <v>6262010000000</v>
      </c>
      <c r="F962" s="5">
        <v>6695370000000</v>
      </c>
      <c r="G962" s="5">
        <v>7015140000000</v>
      </c>
      <c r="H962" s="5">
        <v>7269540000000</v>
      </c>
      <c r="I962" s="5">
        <v>7488260000000</v>
      </c>
      <c r="J962" s="5">
        <v>7683060000000</v>
      </c>
      <c r="K962" s="5">
        <v>7944710000000</v>
      </c>
      <c r="L962" s="5">
        <v>8203840000000</v>
      </c>
      <c r="M962" s="5">
        <v>8467270000000</v>
      </c>
      <c r="N962" s="5">
        <v>8716730000000</v>
      </c>
      <c r="O962" s="5">
        <v>8952390000000</v>
      </c>
      <c r="P962" s="5">
        <v>9203460000000</v>
      </c>
      <c r="Q962" s="5">
        <v>9439550000000</v>
      </c>
      <c r="R962" s="5">
        <v>9663760000000</v>
      </c>
      <c r="S962" s="5">
        <v>9876220000000</v>
      </c>
      <c r="T962" s="5">
        <v>10074100000000</v>
      </c>
      <c r="U962" s="5">
        <v>10305400000000</v>
      </c>
      <c r="V962" s="5">
        <v>10518600000000</v>
      </c>
      <c r="W962" s="5">
        <v>10716900000000</v>
      </c>
      <c r="X962" s="5">
        <v>10897500000000</v>
      </c>
      <c r="Y962" s="5">
        <v>11063400000000</v>
      </c>
      <c r="Z962" s="5">
        <v>11218800000000</v>
      </c>
      <c r="AA962" s="5">
        <v>11358900000000</v>
      </c>
      <c r="AB962" s="5">
        <v>11483600000000</v>
      </c>
      <c r="AC962" s="5">
        <v>11590200000000</v>
      </c>
      <c r="AD962" s="5">
        <v>11681600000000</v>
      </c>
      <c r="AE962" s="5">
        <v>11754400000000</v>
      </c>
      <c r="AF962" s="5">
        <v>11811500000000</v>
      </c>
      <c r="AG962" s="5">
        <v>11850000000000</v>
      </c>
    </row>
    <row r="963" spans="1:33" x14ac:dyDescent="0.35">
      <c r="A963" t="s">
        <v>1024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</row>
    <row r="964" spans="1:33" x14ac:dyDescent="0.35">
      <c r="A964" t="s">
        <v>1025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</row>
    <row r="965" spans="1:33" x14ac:dyDescent="0.35">
      <c r="A965" t="s">
        <v>1026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</row>
    <row r="966" spans="1:33" x14ac:dyDescent="0.35">
      <c r="A966" t="s">
        <v>1027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</row>
    <row r="967" spans="1:33" x14ac:dyDescent="0.35">
      <c r="A967" t="s">
        <v>1028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</row>
    <row r="968" spans="1:33" x14ac:dyDescent="0.35">
      <c r="A968" t="s">
        <v>1029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</row>
    <row r="969" spans="1:33" x14ac:dyDescent="0.35">
      <c r="A969" t="s">
        <v>1030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</row>
    <row r="970" spans="1:33" x14ac:dyDescent="0.35">
      <c r="A970" t="s">
        <v>1031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</row>
    <row r="971" spans="1:33" x14ac:dyDescent="0.35">
      <c r="A971" t="s">
        <v>1032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</row>
    <row r="972" spans="1:33" x14ac:dyDescent="0.35">
      <c r="A972" t="s">
        <v>1033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</row>
    <row r="973" spans="1:33" x14ac:dyDescent="0.35">
      <c r="A973" t="s">
        <v>1034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</row>
    <row r="976" spans="1:33" x14ac:dyDescent="0.35">
      <c r="A976" t="s">
        <v>1479</v>
      </c>
      <c r="B976">
        <v>2019</v>
      </c>
      <c r="C976">
        <v>2020</v>
      </c>
      <c r="D976">
        <v>2021</v>
      </c>
      <c r="E976">
        <v>2022</v>
      </c>
      <c r="F976">
        <v>2023</v>
      </c>
      <c r="G976">
        <v>2024</v>
      </c>
      <c r="H976">
        <v>2025</v>
      </c>
      <c r="I976">
        <v>2026</v>
      </c>
      <c r="J976">
        <v>2027</v>
      </c>
      <c r="K976">
        <v>2028</v>
      </c>
      <c r="L976">
        <v>2029</v>
      </c>
      <c r="M976">
        <v>2030</v>
      </c>
      <c r="N976">
        <v>2031</v>
      </c>
      <c r="O976">
        <v>2032</v>
      </c>
      <c r="P976">
        <v>2033</v>
      </c>
      <c r="Q976">
        <v>2034</v>
      </c>
      <c r="R976">
        <v>2035</v>
      </c>
      <c r="S976">
        <v>2036</v>
      </c>
      <c r="T976">
        <v>2037</v>
      </c>
      <c r="U976">
        <v>2038</v>
      </c>
      <c r="V976">
        <v>2039</v>
      </c>
      <c r="W976">
        <v>2040</v>
      </c>
      <c r="X976">
        <v>2041</v>
      </c>
      <c r="Y976">
        <v>2042</v>
      </c>
      <c r="Z976">
        <v>2043</v>
      </c>
      <c r="AA976">
        <v>2044</v>
      </c>
      <c r="AB976">
        <v>2045</v>
      </c>
      <c r="AC976">
        <v>2046</v>
      </c>
      <c r="AD976">
        <v>2047</v>
      </c>
      <c r="AE976">
        <v>2048</v>
      </c>
      <c r="AF976">
        <v>2049</v>
      </c>
      <c r="AG976">
        <v>2050</v>
      </c>
    </row>
    <row r="977" spans="1:33" x14ac:dyDescent="0.35">
      <c r="A977" t="s">
        <v>1035</v>
      </c>
      <c r="B977" s="5">
        <v>0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0</v>
      </c>
    </row>
    <row r="978" spans="1:33" x14ac:dyDescent="0.35">
      <c r="A978" t="s">
        <v>1036</v>
      </c>
      <c r="B978" s="5">
        <v>81400000000000</v>
      </c>
      <c r="C978" s="5">
        <v>97105200000000</v>
      </c>
      <c r="D978" s="5">
        <v>107926000000000</v>
      </c>
      <c r="E978" s="5">
        <v>120081000000000</v>
      </c>
      <c r="F978" s="5">
        <v>134609000000000</v>
      </c>
      <c r="G978" s="5">
        <v>150341000000000</v>
      </c>
      <c r="H978" s="5">
        <v>166189000000000</v>
      </c>
      <c r="I978" s="5">
        <v>182103000000000</v>
      </c>
      <c r="J978" s="5">
        <v>198056000000000</v>
      </c>
      <c r="K978" s="5">
        <v>222032000000000</v>
      </c>
      <c r="L978" s="5">
        <v>245017000000000</v>
      </c>
      <c r="M978" s="5">
        <v>269010000000000</v>
      </c>
      <c r="N978" s="5">
        <v>294005000000000</v>
      </c>
      <c r="O978" s="5">
        <v>319000000000000</v>
      </c>
      <c r="P978" s="5">
        <v>343000000000000</v>
      </c>
      <c r="Q978" s="5">
        <v>368000000000000</v>
      </c>
      <c r="R978" s="5">
        <v>393000000000000</v>
      </c>
      <c r="S978" s="5">
        <v>418000000000000</v>
      </c>
      <c r="T978" s="5">
        <v>444000000000000</v>
      </c>
      <c r="U978" s="5">
        <v>469000000000000</v>
      </c>
      <c r="V978" s="5">
        <v>494000000000000</v>
      </c>
      <c r="W978" s="5">
        <v>520000000000000</v>
      </c>
      <c r="X978" s="5">
        <v>546000000000000</v>
      </c>
      <c r="Y978" s="5">
        <v>572000000000000</v>
      </c>
      <c r="Z978" s="5">
        <v>598000000000000</v>
      </c>
      <c r="AA978" s="5">
        <v>624000000000000</v>
      </c>
      <c r="AB978" s="5">
        <v>651000000000000</v>
      </c>
      <c r="AC978" s="5">
        <v>677000000000000</v>
      </c>
      <c r="AD978" s="5">
        <v>704000000000000</v>
      </c>
      <c r="AE978" s="5">
        <v>731000000000000</v>
      </c>
      <c r="AF978" s="5">
        <v>759000000000000</v>
      </c>
      <c r="AG978" s="5">
        <v>786000000000000</v>
      </c>
    </row>
    <row r="979" spans="1:33" x14ac:dyDescent="0.35">
      <c r="A979" t="s">
        <v>1037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</row>
    <row r="980" spans="1:33" x14ac:dyDescent="0.35">
      <c r="A980" t="s">
        <v>1038</v>
      </c>
      <c r="B980" s="5">
        <v>60500000000000</v>
      </c>
      <c r="C980" s="5">
        <v>66222300000000</v>
      </c>
      <c r="D980" s="5">
        <v>68522900000000</v>
      </c>
      <c r="E980" s="5">
        <v>71443200000000</v>
      </c>
      <c r="F980" s="5">
        <v>72327100000000</v>
      </c>
      <c r="G980" s="5">
        <v>73266000000000</v>
      </c>
      <c r="H980" s="5">
        <v>74384400000000</v>
      </c>
      <c r="I980" s="5">
        <v>75442800000000</v>
      </c>
      <c r="J980" s="5">
        <v>76521700000000</v>
      </c>
      <c r="K980" s="5">
        <v>77311000000000</v>
      </c>
      <c r="L980" s="5">
        <v>78105500000000</v>
      </c>
      <c r="M980" s="5">
        <v>78902800000000</v>
      </c>
      <c r="N980" s="5">
        <v>79701400000000</v>
      </c>
      <c r="O980" s="5">
        <v>80400000000000</v>
      </c>
      <c r="P980" s="5">
        <v>82100000000000</v>
      </c>
      <c r="Q980" s="5">
        <v>83700000000000</v>
      </c>
      <c r="R980" s="5">
        <v>85400000000000</v>
      </c>
      <c r="S980" s="5">
        <v>87000000000000</v>
      </c>
      <c r="T980" s="5">
        <v>88700000000000</v>
      </c>
      <c r="U980" s="5">
        <v>90200000000000</v>
      </c>
      <c r="V980" s="5">
        <v>91800000000000</v>
      </c>
      <c r="W980" s="5">
        <v>93400000000000</v>
      </c>
      <c r="X980" s="5">
        <v>94900000000000</v>
      </c>
      <c r="Y980" s="5">
        <v>96400000000000</v>
      </c>
      <c r="Z980" s="5">
        <v>97700000000000</v>
      </c>
      <c r="AA980" s="5">
        <v>99000000000000</v>
      </c>
      <c r="AB980" s="5">
        <v>100000000000000</v>
      </c>
      <c r="AC980" s="5">
        <v>101000000000000</v>
      </c>
      <c r="AD980" s="5">
        <v>103000000000000</v>
      </c>
      <c r="AE980" s="5">
        <v>104000000000000</v>
      </c>
      <c r="AF980" s="5">
        <v>105000000000000</v>
      </c>
      <c r="AG980" s="5">
        <v>106000000000000</v>
      </c>
    </row>
    <row r="981" spans="1:33" x14ac:dyDescent="0.35">
      <c r="A981" t="s">
        <v>1039</v>
      </c>
      <c r="B981" s="5">
        <v>160000000000000</v>
      </c>
      <c r="C981" s="5">
        <v>178251000000000</v>
      </c>
      <c r="D981" s="5">
        <v>188362000000000</v>
      </c>
      <c r="E981" s="5">
        <v>199799000000000</v>
      </c>
      <c r="F981" s="5">
        <v>210954000000000</v>
      </c>
      <c r="G981" s="5">
        <v>221502000000000</v>
      </c>
      <c r="H981" s="5">
        <v>233265000000000</v>
      </c>
      <c r="I981" s="5">
        <v>245139000000000</v>
      </c>
      <c r="J981" s="5">
        <v>256073000000000</v>
      </c>
      <c r="K981" s="5">
        <v>268038000000000</v>
      </c>
      <c r="L981" s="5">
        <v>281020000000000</v>
      </c>
      <c r="M981" s="5">
        <v>293010000000000</v>
      </c>
      <c r="N981" s="5">
        <v>305005000000000</v>
      </c>
      <c r="O981" s="5">
        <v>317000000000000</v>
      </c>
      <c r="P981" s="5">
        <v>328000000000000</v>
      </c>
      <c r="Q981" s="5">
        <v>338000000000000</v>
      </c>
      <c r="R981" s="5">
        <v>349000000000000</v>
      </c>
      <c r="S981" s="5">
        <v>359000000000000</v>
      </c>
      <c r="T981" s="5">
        <v>370000000000000</v>
      </c>
      <c r="U981" s="5">
        <v>382000000000000</v>
      </c>
      <c r="V981" s="5">
        <v>394000000000000</v>
      </c>
      <c r="W981" s="5">
        <v>406000000000000</v>
      </c>
      <c r="X981" s="5">
        <v>419000000000000</v>
      </c>
      <c r="Y981" s="5">
        <v>431000000000000</v>
      </c>
      <c r="Z981" s="5">
        <v>443000000000000</v>
      </c>
      <c r="AA981" s="5">
        <v>455000000000000</v>
      </c>
      <c r="AB981" s="5">
        <v>467000000000000</v>
      </c>
      <c r="AC981" s="5">
        <v>479000000000000</v>
      </c>
      <c r="AD981" s="5">
        <v>491000000000000</v>
      </c>
      <c r="AE981" s="5">
        <v>503000000000000</v>
      </c>
      <c r="AF981" s="5">
        <v>515000000000000</v>
      </c>
      <c r="AG981" s="5">
        <v>528000000000000</v>
      </c>
    </row>
    <row r="982" spans="1:33" x14ac:dyDescent="0.35">
      <c r="A982" t="s">
        <v>1040</v>
      </c>
      <c r="B982" s="5">
        <v>29600000000000</v>
      </c>
      <c r="C982" s="5">
        <v>34302900000000</v>
      </c>
      <c r="D982" s="5">
        <v>37265100000000</v>
      </c>
      <c r="E982" s="5">
        <v>40666100000000</v>
      </c>
      <c r="F982" s="5">
        <v>46008100000000</v>
      </c>
      <c r="G982" s="5">
        <v>51416500000000</v>
      </c>
      <c r="H982" s="5">
        <v>57064700000000</v>
      </c>
      <c r="I982" s="5">
        <v>62835700000000</v>
      </c>
      <c r="J982" s="5">
        <v>68619500000000</v>
      </c>
      <c r="K982" s="5">
        <v>77511000000000</v>
      </c>
      <c r="L982" s="5">
        <v>86606100000000</v>
      </c>
      <c r="M982" s="5">
        <v>95803400000000</v>
      </c>
      <c r="N982" s="5">
        <v>105002000000000</v>
      </c>
      <c r="O982" s="5">
        <v>115000000000000</v>
      </c>
      <c r="P982" s="5">
        <v>129000000000000</v>
      </c>
      <c r="Q982" s="5">
        <v>143000000000000</v>
      </c>
      <c r="R982" s="5">
        <v>158000000000000</v>
      </c>
      <c r="S982" s="5">
        <v>172000000000000</v>
      </c>
      <c r="T982" s="5">
        <v>187000000000000</v>
      </c>
      <c r="U982" s="5">
        <v>204000000000000</v>
      </c>
      <c r="V982" s="5">
        <v>220000000000000</v>
      </c>
      <c r="W982" s="5">
        <v>237000000000000</v>
      </c>
      <c r="X982" s="5">
        <v>254000000000000</v>
      </c>
      <c r="Y982" s="5">
        <v>271000000000000</v>
      </c>
      <c r="Z982" s="5">
        <v>290000000000000</v>
      </c>
      <c r="AA982" s="5">
        <v>309000000000000</v>
      </c>
      <c r="AB982" s="5">
        <v>329000000000000</v>
      </c>
      <c r="AC982" s="5">
        <v>349000000000000</v>
      </c>
      <c r="AD982" s="5">
        <v>368000000000000</v>
      </c>
      <c r="AE982" s="5">
        <v>388000000000000</v>
      </c>
      <c r="AF982" s="5">
        <v>409000000000000</v>
      </c>
      <c r="AG982" s="5">
        <v>429000000000000</v>
      </c>
    </row>
    <row r="983" spans="1:33" x14ac:dyDescent="0.35">
      <c r="A983" t="s">
        <v>1041</v>
      </c>
      <c r="B983" s="5">
        <v>0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</row>
    <row r="984" spans="1:33" x14ac:dyDescent="0.35">
      <c r="A984" t="s">
        <v>1042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</row>
    <row r="985" spans="1:33" x14ac:dyDescent="0.35">
      <c r="A985" t="s">
        <v>1043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</row>
    <row r="986" spans="1:33" x14ac:dyDescent="0.35">
      <c r="A986" t="s">
        <v>1044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</row>
    <row r="987" spans="1:33" x14ac:dyDescent="0.35">
      <c r="A987" t="s">
        <v>1045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</row>
    <row r="988" spans="1:33" x14ac:dyDescent="0.35">
      <c r="A988" t="s">
        <v>1046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</row>
    <row r="989" spans="1:33" x14ac:dyDescent="0.35">
      <c r="A989" t="s">
        <v>1047</v>
      </c>
      <c r="B989" s="5">
        <v>0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</row>
    <row r="990" spans="1:33" x14ac:dyDescent="0.35">
      <c r="A990" t="s">
        <v>1048</v>
      </c>
      <c r="B990" s="5">
        <v>0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0</v>
      </c>
    </row>
    <row r="991" spans="1:33" x14ac:dyDescent="0.35">
      <c r="A991" t="s">
        <v>1049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</row>
    <row r="992" spans="1:33" x14ac:dyDescent="0.35">
      <c r="A992" t="s">
        <v>1050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</row>
    <row r="993" spans="1:33" x14ac:dyDescent="0.35">
      <c r="A993" t="s">
        <v>1051</v>
      </c>
      <c r="B993" s="5">
        <v>97071000000000</v>
      </c>
      <c r="C993" s="5">
        <v>109614000000000</v>
      </c>
      <c r="D993" s="5">
        <v>116548000000000</v>
      </c>
      <c r="E993" s="5">
        <v>124286000000000</v>
      </c>
      <c r="F993" s="5">
        <v>136187000000000</v>
      </c>
      <c r="G993" s="5">
        <v>148311000000000</v>
      </c>
      <c r="H993" s="5">
        <v>160560000000000</v>
      </c>
      <c r="I993" s="5">
        <v>172880000000000</v>
      </c>
      <c r="J993" s="5">
        <v>185239000000000</v>
      </c>
      <c r="K993" s="5">
        <v>195099000000000</v>
      </c>
      <c r="L993" s="5">
        <v>204970000000000</v>
      </c>
      <c r="M993" s="5">
        <v>214848000000000</v>
      </c>
      <c r="N993" s="5">
        <v>224728000000000</v>
      </c>
      <c r="O993" s="5">
        <v>234609000000000</v>
      </c>
      <c r="P993" s="5">
        <v>244085000000000</v>
      </c>
      <c r="Q993" s="5">
        <v>253560000000000</v>
      </c>
      <c r="R993" s="5">
        <v>263036000000000</v>
      </c>
      <c r="S993" s="5">
        <v>272512000000000</v>
      </c>
      <c r="T993" s="5">
        <v>281988000000000</v>
      </c>
      <c r="U993" s="5">
        <v>293394000000000</v>
      </c>
      <c r="V993" s="5">
        <v>304801000000000</v>
      </c>
      <c r="W993" s="5">
        <v>316207000000000</v>
      </c>
      <c r="X993" s="5">
        <v>327614000000000</v>
      </c>
      <c r="Y993" s="5">
        <v>339020000000000</v>
      </c>
      <c r="Z993" s="5">
        <v>345216000000000</v>
      </c>
      <c r="AA993" s="5">
        <v>351412000000000</v>
      </c>
      <c r="AB993" s="5">
        <v>357607000000000</v>
      </c>
      <c r="AC993" s="5">
        <v>363803000000000</v>
      </c>
      <c r="AD993" s="5">
        <v>369999000000000</v>
      </c>
      <c r="AE993" s="5">
        <v>376194000000000</v>
      </c>
      <c r="AF993" s="5">
        <v>382390000000000</v>
      </c>
      <c r="AG993" s="5">
        <v>388586000000000</v>
      </c>
    </row>
    <row r="994" spans="1:33" x14ac:dyDescent="0.35">
      <c r="A994" t="s">
        <v>1052</v>
      </c>
      <c r="B994" s="5">
        <v>0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5">
        <v>0</v>
      </c>
    </row>
    <row r="995" spans="1:33" x14ac:dyDescent="0.35">
      <c r="A995" t="s">
        <v>1053</v>
      </c>
      <c r="B995" s="5">
        <v>0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0</v>
      </c>
    </row>
    <row r="996" spans="1:33" x14ac:dyDescent="0.35">
      <c r="A996" t="s">
        <v>1054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</row>
    <row r="997" spans="1:33" x14ac:dyDescent="0.35">
      <c r="A997" t="s">
        <v>1055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</row>
    <row r="998" spans="1:33" x14ac:dyDescent="0.35">
      <c r="A998" t="s">
        <v>1056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</row>
    <row r="999" spans="1:33" x14ac:dyDescent="0.35">
      <c r="A999" t="s">
        <v>1057</v>
      </c>
      <c r="B999" s="5">
        <v>0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0</v>
      </c>
    </row>
    <row r="1000" spans="1:33" x14ac:dyDescent="0.35">
      <c r="A1000" t="s">
        <v>1058</v>
      </c>
      <c r="B1000" s="5">
        <v>0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0</v>
      </c>
    </row>
    <row r="1001" spans="1:33" x14ac:dyDescent="0.35">
      <c r="A1001" t="s">
        <v>1059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</row>
    <row r="1002" spans="1:33" x14ac:dyDescent="0.35">
      <c r="A1002" t="s">
        <v>1060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</row>
    <row r="1003" spans="1:33" x14ac:dyDescent="0.35">
      <c r="A1003" t="s">
        <v>1061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</row>
    <row r="1004" spans="1:33" x14ac:dyDescent="0.35">
      <c r="A1004" t="s">
        <v>1062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</row>
    <row r="1005" spans="1:33" x14ac:dyDescent="0.35">
      <c r="A1005" t="s">
        <v>1063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</row>
    <row r="1006" spans="1:33" x14ac:dyDescent="0.35">
      <c r="A1006" t="s">
        <v>1064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</row>
    <row r="1007" spans="1:33" x14ac:dyDescent="0.35">
      <c r="A1007" t="s">
        <v>1065</v>
      </c>
      <c r="B1007" s="5">
        <v>0</v>
      </c>
      <c r="C1007" s="5">
        <v>0</v>
      </c>
      <c r="D1007" s="5">
        <v>0</v>
      </c>
      <c r="E1007" s="5">
        <v>0</v>
      </c>
      <c r="F1007" s="5">
        <v>0</v>
      </c>
      <c r="G1007" s="5">
        <v>0</v>
      </c>
      <c r="H1007" s="5">
        <v>0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</row>
    <row r="1008" spans="1:33" x14ac:dyDescent="0.35">
      <c r="A1008" t="s">
        <v>1066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</row>
    <row r="1009" spans="1:33" x14ac:dyDescent="0.35">
      <c r="A1009" t="s">
        <v>1067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</row>
    <row r="1010" spans="1:33" x14ac:dyDescent="0.35">
      <c r="A1010" t="s">
        <v>1068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</row>
    <row r="1011" spans="1:33" x14ac:dyDescent="0.35">
      <c r="A1011" t="s">
        <v>1069</v>
      </c>
      <c r="B1011" s="5">
        <v>382020000000000</v>
      </c>
      <c r="C1011" s="5">
        <v>362910000000000</v>
      </c>
      <c r="D1011" s="5">
        <v>324133000000000</v>
      </c>
      <c r="E1011" s="5">
        <v>289115000000000</v>
      </c>
      <c r="F1011" s="5">
        <v>253046000000000</v>
      </c>
      <c r="G1011" s="5">
        <v>217785000000000</v>
      </c>
      <c r="H1011" s="5">
        <v>182888000000000</v>
      </c>
      <c r="I1011" s="5">
        <v>148155000000000</v>
      </c>
      <c r="J1011" s="5">
        <v>113493000000000</v>
      </c>
      <c r="K1011" s="5">
        <v>101694000000000</v>
      </c>
      <c r="L1011" s="5">
        <v>89905800000000</v>
      </c>
      <c r="M1011" s="5">
        <v>78121500000000</v>
      </c>
      <c r="N1011" s="5">
        <v>66339300000000</v>
      </c>
      <c r="O1011" s="5">
        <v>54557400000000</v>
      </c>
      <c r="P1011" s="5">
        <v>43645900000000</v>
      </c>
      <c r="Q1011" s="5">
        <v>32734500000000</v>
      </c>
      <c r="R1011" s="5">
        <v>21823000000000</v>
      </c>
      <c r="S1011" s="5">
        <v>10911500000000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>
        <v>0</v>
      </c>
      <c r="AE1011">
        <v>0</v>
      </c>
      <c r="AF1011">
        <v>0</v>
      </c>
      <c r="AG1011">
        <v>0</v>
      </c>
    </row>
    <row r="1012" spans="1:33" x14ac:dyDescent="0.35">
      <c r="A1012" t="s">
        <v>1070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</row>
    <row r="1013" spans="1:33" x14ac:dyDescent="0.35">
      <c r="A1013" t="s">
        <v>1071</v>
      </c>
      <c r="B1013" s="5">
        <v>0</v>
      </c>
      <c r="C1013" s="5">
        <v>0</v>
      </c>
      <c r="D1013" s="5">
        <v>0</v>
      </c>
      <c r="E1013" s="5">
        <v>0</v>
      </c>
      <c r="F1013" s="5">
        <v>0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0</v>
      </c>
    </row>
    <row r="1014" spans="1:33" x14ac:dyDescent="0.35">
      <c r="A1014" t="s">
        <v>1072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</row>
    <row r="1015" spans="1:33" x14ac:dyDescent="0.35">
      <c r="A1015" t="s">
        <v>1073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</row>
    <row r="1016" spans="1:33" x14ac:dyDescent="0.35">
      <c r="A1016" t="s">
        <v>1074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</row>
    <row r="1017" spans="1:33" x14ac:dyDescent="0.35">
      <c r="A1017" t="s">
        <v>1075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</row>
    <row r="1018" spans="1:33" x14ac:dyDescent="0.35">
      <c r="A1018" t="s">
        <v>1076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</row>
    <row r="1019" spans="1:33" x14ac:dyDescent="0.35">
      <c r="A1019" t="s">
        <v>1077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</row>
    <row r="1020" spans="1:33" x14ac:dyDescent="0.35">
      <c r="A1020" t="s">
        <v>1078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</row>
    <row r="1021" spans="1:33" x14ac:dyDescent="0.35">
      <c r="A1021" t="s">
        <v>1079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</row>
    <row r="1022" spans="1:33" x14ac:dyDescent="0.35">
      <c r="A1022" t="s">
        <v>1080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</row>
    <row r="1023" spans="1:33" x14ac:dyDescent="0.35">
      <c r="A1023" t="s">
        <v>1081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</row>
    <row r="1024" spans="1:33" x14ac:dyDescent="0.35">
      <c r="A1024" t="s">
        <v>1082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</row>
    <row r="1025" spans="1:33" x14ac:dyDescent="0.35">
      <c r="A1025" t="s">
        <v>1083</v>
      </c>
      <c r="B1025" s="5">
        <v>0</v>
      </c>
      <c r="C1025" s="5">
        <v>0</v>
      </c>
      <c r="D1025" s="5">
        <v>0</v>
      </c>
      <c r="E1025" s="5">
        <v>0</v>
      </c>
      <c r="F1025" s="5">
        <v>0</v>
      </c>
      <c r="G1025" s="5">
        <v>0</v>
      </c>
      <c r="H1025" s="5">
        <v>0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0</v>
      </c>
    </row>
    <row r="1026" spans="1:33" x14ac:dyDescent="0.35">
      <c r="A1026" t="s">
        <v>1084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</row>
    <row r="1027" spans="1:33" x14ac:dyDescent="0.35">
      <c r="A1027" t="s">
        <v>1085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</row>
    <row r="1028" spans="1:33" x14ac:dyDescent="0.35">
      <c r="A1028" t="s">
        <v>1086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</row>
    <row r="1029" spans="1:33" x14ac:dyDescent="0.35">
      <c r="A1029" t="s">
        <v>1087</v>
      </c>
      <c r="B1029" s="5">
        <v>570095000000000</v>
      </c>
      <c r="C1029" s="5">
        <v>600733000000000</v>
      </c>
      <c r="D1029" s="5">
        <v>599947000000000</v>
      </c>
      <c r="E1029" s="5">
        <v>604254000000000</v>
      </c>
      <c r="F1029" s="5">
        <v>601982000000000</v>
      </c>
      <c r="G1029" s="5">
        <v>601069000000000</v>
      </c>
      <c r="H1029" s="5">
        <v>600837000000000</v>
      </c>
      <c r="I1029" s="5">
        <v>600943000000000</v>
      </c>
      <c r="J1029" s="5">
        <v>601220000000000</v>
      </c>
      <c r="K1029" s="5">
        <v>605983000000000</v>
      </c>
      <c r="L1029" s="5">
        <v>610788000000000</v>
      </c>
      <c r="M1029" s="5">
        <v>615615000000000</v>
      </c>
      <c r="N1029" s="5">
        <v>620452000000000</v>
      </c>
      <c r="O1029" s="5">
        <v>625289000000000</v>
      </c>
      <c r="P1029" s="5">
        <v>631960000000000</v>
      </c>
      <c r="Q1029" s="5">
        <v>638632000000000</v>
      </c>
      <c r="R1029" s="5">
        <v>645303000000000</v>
      </c>
      <c r="S1029" s="5">
        <v>651975000000000</v>
      </c>
      <c r="T1029" s="5">
        <v>658646000000000</v>
      </c>
      <c r="U1029" s="5">
        <v>649949000000000</v>
      </c>
      <c r="V1029" s="5">
        <v>641252000000000</v>
      </c>
      <c r="W1029" s="5">
        <v>632555000000000</v>
      </c>
      <c r="X1029" s="5">
        <v>623857000000000</v>
      </c>
      <c r="Y1029" s="5">
        <v>615160000000000</v>
      </c>
      <c r="Z1029" s="5">
        <v>613432000000000</v>
      </c>
      <c r="AA1029" s="5">
        <v>611704000000000</v>
      </c>
      <c r="AB1029" s="5">
        <v>609975000000000</v>
      </c>
      <c r="AC1029" s="5">
        <v>608247000000000</v>
      </c>
      <c r="AD1029" s="5">
        <v>606519000000000</v>
      </c>
      <c r="AE1029" s="5">
        <v>604790000000000</v>
      </c>
      <c r="AF1029" s="5">
        <v>603062000000000</v>
      </c>
      <c r="AG1029" s="5">
        <v>601334000000000</v>
      </c>
    </row>
    <row r="1030" spans="1:33" x14ac:dyDescent="0.35">
      <c r="A1030" t="s">
        <v>1088</v>
      </c>
      <c r="B1030" s="5">
        <v>0</v>
      </c>
      <c r="C1030" s="5">
        <v>0</v>
      </c>
      <c r="D1030" s="5">
        <v>0</v>
      </c>
      <c r="E1030" s="5">
        <v>0</v>
      </c>
      <c r="F1030" s="5">
        <v>0</v>
      </c>
      <c r="G1030" s="5">
        <v>0</v>
      </c>
      <c r="H1030" s="5">
        <v>0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5">
        <v>0</v>
      </c>
    </row>
    <row r="1031" spans="1:33" x14ac:dyDescent="0.35">
      <c r="A1031" t="s">
        <v>1089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</row>
    <row r="1032" spans="1:33" x14ac:dyDescent="0.35">
      <c r="A1032" t="s">
        <v>1090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</row>
    <row r="1033" spans="1:33" x14ac:dyDescent="0.35">
      <c r="A1033" t="s">
        <v>1091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</row>
    <row r="1034" spans="1:33" x14ac:dyDescent="0.35">
      <c r="A1034" t="s">
        <v>1092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</row>
    <row r="1035" spans="1:33" x14ac:dyDescent="0.35">
      <c r="A1035" t="s">
        <v>1093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</row>
    <row r="1036" spans="1:33" x14ac:dyDescent="0.35">
      <c r="A1036" t="s">
        <v>1094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</row>
    <row r="1037" spans="1:33" x14ac:dyDescent="0.35">
      <c r="A1037" t="s">
        <v>1095</v>
      </c>
      <c r="B1037" s="5">
        <v>0</v>
      </c>
      <c r="C1037" s="5">
        <v>0</v>
      </c>
      <c r="D1037" s="5">
        <v>0</v>
      </c>
      <c r="E1037" s="5">
        <v>0</v>
      </c>
      <c r="F1037" s="5">
        <v>0</v>
      </c>
      <c r="G1037" s="5">
        <v>0</v>
      </c>
      <c r="H1037" s="5">
        <v>0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0</v>
      </c>
    </row>
    <row r="1038" spans="1:33" x14ac:dyDescent="0.35">
      <c r="A1038" t="s">
        <v>1096</v>
      </c>
      <c r="B1038" s="5">
        <v>160000000000000</v>
      </c>
      <c r="C1038" s="5">
        <v>187578000000000</v>
      </c>
      <c r="D1038" s="5">
        <v>205671000000000</v>
      </c>
      <c r="E1038" s="5">
        <v>225026000000000</v>
      </c>
      <c r="F1038" s="5">
        <v>248122000000000</v>
      </c>
      <c r="G1038" s="5">
        <v>271616000000000</v>
      </c>
      <c r="H1038" s="5">
        <v>295335000000000</v>
      </c>
      <c r="I1038" s="5">
        <v>318181000000000</v>
      </c>
      <c r="J1038" s="5">
        <v>342097000000000</v>
      </c>
      <c r="K1038" s="5">
        <v>375053000000000</v>
      </c>
      <c r="L1038" s="5">
        <v>409029000000000</v>
      </c>
      <c r="M1038" s="5">
        <v>442016000000000</v>
      </c>
      <c r="N1038" s="5">
        <v>474008000000000</v>
      </c>
      <c r="O1038" s="5">
        <v>507000000000000</v>
      </c>
      <c r="P1038" s="5">
        <v>537000000000000</v>
      </c>
      <c r="Q1038" s="5">
        <v>567000000000000</v>
      </c>
      <c r="R1038" s="5">
        <v>597000000000000</v>
      </c>
      <c r="S1038" s="5">
        <v>626000000000000</v>
      </c>
      <c r="T1038" s="5">
        <v>655000000000000</v>
      </c>
      <c r="U1038" s="5">
        <v>681000000000000</v>
      </c>
      <c r="V1038" s="5">
        <v>707000000000000</v>
      </c>
      <c r="W1038" s="5">
        <v>732000000000000</v>
      </c>
      <c r="X1038" s="5">
        <v>758000000000000</v>
      </c>
      <c r="Y1038" s="5">
        <v>783000000000000</v>
      </c>
      <c r="Z1038" s="5">
        <v>806000000000000</v>
      </c>
      <c r="AA1038" s="5">
        <v>829000000000000</v>
      </c>
      <c r="AB1038" s="5">
        <v>852000000000000</v>
      </c>
      <c r="AC1038" s="5">
        <v>874000000000000</v>
      </c>
      <c r="AD1038" s="5">
        <v>896000000000000</v>
      </c>
      <c r="AE1038" s="5">
        <v>918000000000000</v>
      </c>
      <c r="AF1038" s="5">
        <v>940000000000000</v>
      </c>
      <c r="AG1038" s="5">
        <v>962000000000000</v>
      </c>
    </row>
    <row r="1039" spans="1:33" x14ac:dyDescent="0.35">
      <c r="A1039" t="s">
        <v>1097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</row>
    <row r="1040" spans="1:33" x14ac:dyDescent="0.35">
      <c r="A1040" t="s">
        <v>1098</v>
      </c>
      <c r="B1040" s="5">
        <v>119000000000000</v>
      </c>
      <c r="C1040" s="5">
        <v>128506000000000</v>
      </c>
      <c r="D1040" s="5">
        <v>130326000000000</v>
      </c>
      <c r="E1040" s="5">
        <v>133199000000000</v>
      </c>
      <c r="F1040" s="5">
        <v>132600000000000</v>
      </c>
      <c r="G1040" s="5">
        <v>132300000000000</v>
      </c>
      <c r="H1040" s="5">
        <v>132150000000000</v>
      </c>
      <c r="I1040" s="5">
        <v>132075000000000</v>
      </c>
      <c r="J1040" s="5">
        <v>132037000000000</v>
      </c>
      <c r="K1040" s="5">
        <v>131019000000000</v>
      </c>
      <c r="L1040" s="5">
        <v>130009000000000</v>
      </c>
      <c r="M1040" s="5">
        <v>129005000000000</v>
      </c>
      <c r="N1040" s="5">
        <v>129002000000000</v>
      </c>
      <c r="O1040" s="5">
        <v>128000000000000</v>
      </c>
      <c r="P1040" s="5">
        <v>128000000000000</v>
      </c>
      <c r="Q1040" s="5">
        <v>129000000000000</v>
      </c>
      <c r="R1040" s="5">
        <v>130000000000000</v>
      </c>
      <c r="S1040" s="5">
        <v>130000000000000</v>
      </c>
      <c r="T1040" s="5">
        <v>131000000000000</v>
      </c>
      <c r="U1040" s="5">
        <v>131000000000000</v>
      </c>
      <c r="V1040" s="5">
        <v>131000000000000</v>
      </c>
      <c r="W1040" s="5">
        <v>132000000000000</v>
      </c>
      <c r="X1040" s="5">
        <v>132000000000000</v>
      </c>
      <c r="Y1040" s="5">
        <v>132000000000000</v>
      </c>
      <c r="Z1040" s="5">
        <v>132000000000000</v>
      </c>
      <c r="AA1040" s="5">
        <v>132000000000000</v>
      </c>
      <c r="AB1040" s="5">
        <v>131000000000000</v>
      </c>
      <c r="AC1040" s="5">
        <v>131000000000000</v>
      </c>
      <c r="AD1040" s="5">
        <v>131000000000000</v>
      </c>
      <c r="AE1040" s="5">
        <v>131000000000000</v>
      </c>
      <c r="AF1040" s="5">
        <v>130000000000000</v>
      </c>
      <c r="AG1040" s="5">
        <v>130000000000000</v>
      </c>
    </row>
    <row r="1041" spans="1:33" x14ac:dyDescent="0.35">
      <c r="A1041" t="s">
        <v>1099</v>
      </c>
      <c r="B1041" s="5">
        <v>314700000000000</v>
      </c>
      <c r="C1041" s="5">
        <v>345413000000000</v>
      </c>
      <c r="D1041" s="5">
        <v>358193000000000</v>
      </c>
      <c r="E1041" s="5">
        <v>373463000000000</v>
      </c>
      <c r="F1041" s="5">
        <v>386448000000000</v>
      </c>
      <c r="G1041" s="5">
        <v>400207000000000</v>
      </c>
      <c r="H1041" s="5">
        <v>414170000000000</v>
      </c>
      <c r="I1041" s="5">
        <v>428243000000000</v>
      </c>
      <c r="J1041" s="5">
        <v>442326000000000</v>
      </c>
      <c r="K1041" s="5">
        <v>454965000000000</v>
      </c>
      <c r="L1041" s="5">
        <v>467533000000000</v>
      </c>
      <c r="M1041" s="5">
        <v>480017000000000</v>
      </c>
      <c r="N1041" s="5">
        <v>492409000000000</v>
      </c>
      <c r="O1041" s="5">
        <v>504700000000000</v>
      </c>
      <c r="P1041" s="5">
        <v>513100000000000</v>
      </c>
      <c r="Q1041" s="5">
        <v>521300000000000</v>
      </c>
      <c r="R1041" s="5">
        <v>529600000000000</v>
      </c>
      <c r="S1041" s="5">
        <v>537800000000000</v>
      </c>
      <c r="T1041" s="5">
        <v>545900000000000</v>
      </c>
      <c r="U1041" s="5">
        <v>554900000000000</v>
      </c>
      <c r="V1041" s="5">
        <v>563700000000000</v>
      </c>
      <c r="W1041" s="5">
        <v>572600000000000</v>
      </c>
      <c r="X1041" s="5">
        <v>581400000000000</v>
      </c>
      <c r="Y1041" s="5">
        <v>590100000000000</v>
      </c>
      <c r="Z1041" s="5">
        <v>597200000000000</v>
      </c>
      <c r="AA1041" s="5">
        <v>604200000000000</v>
      </c>
      <c r="AB1041" s="5">
        <v>611200000000000</v>
      </c>
      <c r="AC1041" s="5">
        <v>618100000000000</v>
      </c>
      <c r="AD1041" s="5">
        <v>625000000000000</v>
      </c>
      <c r="AE1041" s="5">
        <v>631900000000000</v>
      </c>
      <c r="AF1041" s="5">
        <v>638800000000000</v>
      </c>
      <c r="AG1041" s="5">
        <v>645600000000000</v>
      </c>
    </row>
    <row r="1042" spans="1:33" x14ac:dyDescent="0.35">
      <c r="A1042" t="s">
        <v>1100</v>
      </c>
      <c r="B1042" s="5">
        <v>29600000000000</v>
      </c>
      <c r="C1042" s="5">
        <v>34302900000000</v>
      </c>
      <c r="D1042" s="5">
        <v>37265100000000</v>
      </c>
      <c r="E1042" s="5">
        <v>40666100000000</v>
      </c>
      <c r="F1042" s="5">
        <v>46008100000000</v>
      </c>
      <c r="G1042" s="5">
        <v>51416500000000</v>
      </c>
      <c r="H1042" s="5">
        <v>57064700000000</v>
      </c>
      <c r="I1042" s="5">
        <v>62835700000000</v>
      </c>
      <c r="J1042" s="5">
        <v>68619500000000</v>
      </c>
      <c r="K1042" s="5">
        <v>77511000000000</v>
      </c>
      <c r="L1042" s="5">
        <v>86606100000000</v>
      </c>
      <c r="M1042" s="5">
        <v>95803400000000</v>
      </c>
      <c r="N1042" s="5">
        <v>105002000000000</v>
      </c>
      <c r="O1042" s="5">
        <v>115000000000000</v>
      </c>
      <c r="P1042" s="5">
        <v>129000000000000</v>
      </c>
      <c r="Q1042" s="5">
        <v>143000000000000</v>
      </c>
      <c r="R1042" s="5">
        <v>158000000000000</v>
      </c>
      <c r="S1042" s="5">
        <v>172000000000000</v>
      </c>
      <c r="T1042" s="5">
        <v>187000000000000</v>
      </c>
      <c r="U1042" s="5">
        <v>204000000000000</v>
      </c>
      <c r="V1042" s="5">
        <v>220000000000000</v>
      </c>
      <c r="W1042" s="5">
        <v>237000000000000</v>
      </c>
      <c r="X1042" s="5">
        <v>254000000000000</v>
      </c>
      <c r="Y1042" s="5">
        <v>271000000000000</v>
      </c>
      <c r="Z1042" s="5">
        <v>290000000000000</v>
      </c>
      <c r="AA1042" s="5">
        <v>309000000000000</v>
      </c>
      <c r="AB1042" s="5">
        <v>329000000000000</v>
      </c>
      <c r="AC1042" s="5">
        <v>349000000000000</v>
      </c>
      <c r="AD1042" s="5">
        <v>368000000000000</v>
      </c>
      <c r="AE1042" s="5">
        <v>388000000000000</v>
      </c>
      <c r="AF1042" s="5">
        <v>409000000000000</v>
      </c>
      <c r="AG1042" s="5">
        <v>429000000000000</v>
      </c>
    </row>
    <row r="1043" spans="1:33" x14ac:dyDescent="0.35">
      <c r="A1043" t="s">
        <v>1101</v>
      </c>
      <c r="B1043" s="5">
        <v>0</v>
      </c>
      <c r="C1043" s="5">
        <v>0</v>
      </c>
      <c r="D1043" s="5">
        <v>0</v>
      </c>
      <c r="E1043" s="5">
        <v>0</v>
      </c>
      <c r="F1043" s="5">
        <v>0</v>
      </c>
      <c r="G1043" s="5">
        <v>0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0</v>
      </c>
    </row>
    <row r="1044" spans="1:33" x14ac:dyDescent="0.35">
      <c r="A1044" t="s">
        <v>1102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</row>
    <row r="1045" spans="1:33" x14ac:dyDescent="0.35">
      <c r="A1045" t="s">
        <v>1103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</row>
    <row r="1046" spans="1:33" x14ac:dyDescent="0.35">
      <c r="A1046" t="s">
        <v>1104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</row>
    <row r="1047" spans="1:33" x14ac:dyDescent="0.35">
      <c r="A1047" t="s">
        <v>1105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</row>
    <row r="1048" spans="1:33" x14ac:dyDescent="0.35">
      <c r="A1048" t="s">
        <v>1106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</row>
    <row r="1049" spans="1:33" x14ac:dyDescent="0.35">
      <c r="A1049" t="s">
        <v>1107</v>
      </c>
      <c r="B1049" s="5">
        <v>0</v>
      </c>
      <c r="C1049" s="5">
        <v>0</v>
      </c>
      <c r="D1049" s="5">
        <v>0</v>
      </c>
      <c r="E1049" s="5">
        <v>0</v>
      </c>
      <c r="F1049" s="5">
        <v>0</v>
      </c>
      <c r="G1049" s="5">
        <v>0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>
        <v>0</v>
      </c>
      <c r="AG1049" s="5">
        <v>0</v>
      </c>
    </row>
    <row r="1050" spans="1:33" x14ac:dyDescent="0.35">
      <c r="A1050" t="s">
        <v>1108</v>
      </c>
      <c r="B1050" s="5">
        <v>0</v>
      </c>
      <c r="C1050" s="5">
        <v>0</v>
      </c>
      <c r="D1050" s="5">
        <v>0</v>
      </c>
      <c r="E1050" s="5">
        <v>0</v>
      </c>
      <c r="F1050" s="5">
        <v>0</v>
      </c>
      <c r="G1050" s="5">
        <v>0</v>
      </c>
      <c r="H1050" s="5">
        <v>0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5">
        <v>0</v>
      </c>
      <c r="AF1050" s="5">
        <v>0</v>
      </c>
      <c r="AG1050" s="5">
        <v>0</v>
      </c>
    </row>
    <row r="1051" spans="1:33" x14ac:dyDescent="0.35">
      <c r="A1051" t="s">
        <v>1109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</row>
    <row r="1052" spans="1:33" x14ac:dyDescent="0.35">
      <c r="A1052" t="s">
        <v>1110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</row>
    <row r="1053" spans="1:33" x14ac:dyDescent="0.35">
      <c r="A1053" t="s">
        <v>1111</v>
      </c>
      <c r="B1053" s="5">
        <v>54880000000000</v>
      </c>
      <c r="C1053" s="5">
        <v>61009500000000</v>
      </c>
      <c r="D1053" s="5">
        <v>64002200000000</v>
      </c>
      <c r="E1053" s="5">
        <v>67467500000000</v>
      </c>
      <c r="F1053" s="5">
        <v>70458600000000</v>
      </c>
      <c r="G1053" s="5">
        <v>73586800000000</v>
      </c>
      <c r="H1053" s="5">
        <v>76787100000000</v>
      </c>
      <c r="I1053" s="5">
        <v>80025400000000</v>
      </c>
      <c r="J1053" s="5">
        <v>83283600000000</v>
      </c>
      <c r="K1053" s="5">
        <v>88342500000000</v>
      </c>
      <c r="L1053" s="5">
        <v>93406600000000</v>
      </c>
      <c r="M1053" s="5">
        <v>98473500000000</v>
      </c>
      <c r="N1053" s="5">
        <v>103502000000000</v>
      </c>
      <c r="O1053" s="5">
        <v>108600000000000</v>
      </c>
      <c r="P1053" s="5">
        <v>114700000000000</v>
      </c>
      <c r="Q1053" s="5">
        <v>120800000000000</v>
      </c>
      <c r="R1053" s="5">
        <v>126900000000000</v>
      </c>
      <c r="S1053" s="5">
        <v>133000000000000</v>
      </c>
      <c r="T1053" s="5">
        <v>139100000000000</v>
      </c>
      <c r="U1053" s="5">
        <v>143500000000000</v>
      </c>
      <c r="V1053" s="5">
        <v>147900000000000</v>
      </c>
      <c r="W1053" s="5">
        <v>152200000000000</v>
      </c>
      <c r="X1053" s="5">
        <v>156600000000000</v>
      </c>
      <c r="Y1053" s="5">
        <v>160900000000000</v>
      </c>
      <c r="Z1053" s="5">
        <v>164900000000000</v>
      </c>
      <c r="AA1053" s="5">
        <v>168900000000000</v>
      </c>
      <c r="AB1053" s="5">
        <v>172900000000000</v>
      </c>
      <c r="AC1053" s="5">
        <v>176900000000000</v>
      </c>
      <c r="AD1053" s="5">
        <v>180900000000000</v>
      </c>
      <c r="AE1053" s="5">
        <v>184800000000000</v>
      </c>
      <c r="AF1053" s="5">
        <v>188800000000000</v>
      </c>
      <c r="AG1053" s="5">
        <v>192800000000000</v>
      </c>
    </row>
    <row r="1054" spans="1:33" x14ac:dyDescent="0.35">
      <c r="A1054" t="s">
        <v>1112</v>
      </c>
      <c r="B1054" s="5">
        <v>0</v>
      </c>
      <c r="C1054" s="5">
        <v>0</v>
      </c>
      <c r="D1054" s="5">
        <v>0</v>
      </c>
      <c r="E1054" s="5">
        <v>0</v>
      </c>
      <c r="F1054" s="5">
        <v>0</v>
      </c>
      <c r="G1054" s="5">
        <v>0</v>
      </c>
      <c r="H1054" s="5">
        <v>0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0</v>
      </c>
    </row>
    <row r="1055" spans="1:33" x14ac:dyDescent="0.35">
      <c r="A1055" t="s">
        <v>1113</v>
      </c>
      <c r="B1055" s="5">
        <v>0</v>
      </c>
      <c r="C1055" s="5">
        <v>0</v>
      </c>
      <c r="D1055" s="5">
        <v>0</v>
      </c>
      <c r="E1055" s="5">
        <v>0</v>
      </c>
      <c r="F1055" s="5">
        <v>0</v>
      </c>
      <c r="G1055" s="5">
        <v>0</v>
      </c>
      <c r="H1055" s="5">
        <v>0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  <c r="AG1055" s="5">
        <v>0</v>
      </c>
    </row>
    <row r="1056" spans="1:33" x14ac:dyDescent="0.35">
      <c r="A1056" t="s">
        <v>1114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</row>
    <row r="1057" spans="1:33" x14ac:dyDescent="0.35">
      <c r="A1057" t="s">
        <v>1115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</row>
    <row r="1058" spans="1:33" x14ac:dyDescent="0.35">
      <c r="A1058" t="s">
        <v>1116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</row>
    <row r="1059" spans="1:33" x14ac:dyDescent="0.35">
      <c r="A1059" t="s">
        <v>1117</v>
      </c>
      <c r="B1059" s="5">
        <v>0</v>
      </c>
      <c r="C1059" s="5">
        <v>0</v>
      </c>
      <c r="D1059" s="5">
        <v>0</v>
      </c>
      <c r="E1059" s="5">
        <v>0</v>
      </c>
      <c r="F1059" s="5">
        <v>0</v>
      </c>
      <c r="G1059" s="5">
        <v>0</v>
      </c>
      <c r="H1059" s="5">
        <v>0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5">
        <v>0</v>
      </c>
    </row>
    <row r="1060" spans="1:33" x14ac:dyDescent="0.35">
      <c r="A1060" t="s">
        <v>1118</v>
      </c>
      <c r="B1060" s="5">
        <v>0</v>
      </c>
      <c r="C1060" s="5">
        <v>0</v>
      </c>
      <c r="D1060" s="5">
        <v>0</v>
      </c>
      <c r="E1060" s="5">
        <v>0</v>
      </c>
      <c r="F1060" s="5">
        <v>0</v>
      </c>
      <c r="G1060" s="5">
        <v>0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5">
        <v>0</v>
      </c>
      <c r="AG1060" s="5">
        <v>0</v>
      </c>
    </row>
    <row r="1061" spans="1:33" x14ac:dyDescent="0.35">
      <c r="A1061" t="s">
        <v>1119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</row>
    <row r="1062" spans="1:33" x14ac:dyDescent="0.35">
      <c r="A1062" t="s">
        <v>1120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</row>
    <row r="1063" spans="1:33" x14ac:dyDescent="0.35">
      <c r="A1063" t="s">
        <v>1121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</row>
    <row r="1064" spans="1:33" x14ac:dyDescent="0.35">
      <c r="A1064" t="s">
        <v>1122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</row>
    <row r="1065" spans="1:33" x14ac:dyDescent="0.35">
      <c r="A1065" t="s">
        <v>1123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</row>
    <row r="1066" spans="1:33" x14ac:dyDescent="0.35">
      <c r="A1066" t="s">
        <v>1124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</row>
    <row r="1067" spans="1:33" x14ac:dyDescent="0.35">
      <c r="A1067" t="s">
        <v>1125</v>
      </c>
      <c r="B1067" s="5">
        <v>0</v>
      </c>
      <c r="C1067" s="5">
        <v>0</v>
      </c>
      <c r="D1067" s="5">
        <v>0</v>
      </c>
      <c r="E1067" s="5">
        <v>0</v>
      </c>
      <c r="F1067" s="5">
        <v>0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5">
        <v>0</v>
      </c>
    </row>
    <row r="1068" spans="1:33" x14ac:dyDescent="0.35">
      <c r="A1068" t="s">
        <v>1126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</row>
    <row r="1069" spans="1:33" x14ac:dyDescent="0.35">
      <c r="A1069" t="s">
        <v>1127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</row>
    <row r="1070" spans="1:33" x14ac:dyDescent="0.35">
      <c r="A1070" t="s">
        <v>1128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</row>
    <row r="1071" spans="1:33" x14ac:dyDescent="0.35">
      <c r="A1071" t="s">
        <v>1129</v>
      </c>
      <c r="B1071" s="5">
        <v>3041000000000000</v>
      </c>
      <c r="C1071" s="5">
        <v>2953570000000000</v>
      </c>
      <c r="D1071" s="5">
        <v>2708330000000000</v>
      </c>
      <c r="E1071" s="5">
        <v>2492440000000000</v>
      </c>
      <c r="F1071" s="5">
        <v>2312460000000000</v>
      </c>
      <c r="G1071" s="5">
        <v>2138850000000000</v>
      </c>
      <c r="H1071" s="5">
        <v>1968230000000000</v>
      </c>
      <c r="I1071" s="5">
        <v>1800020000000000</v>
      </c>
      <c r="J1071" s="5">
        <v>1631460000000000</v>
      </c>
      <c r="K1071" s="5">
        <v>1507210000000000</v>
      </c>
      <c r="L1071" s="5">
        <v>1383100000000000</v>
      </c>
      <c r="M1071" s="5">
        <v>1260040000000000</v>
      </c>
      <c r="N1071" s="5">
        <v>1136020000000000</v>
      </c>
      <c r="O1071" s="5">
        <v>1012000000000000</v>
      </c>
      <c r="P1071" s="5">
        <v>925400000000000</v>
      </c>
      <c r="Q1071" s="5">
        <v>838400000000000</v>
      </c>
      <c r="R1071" s="5">
        <v>751300000000000</v>
      </c>
      <c r="S1071" s="5">
        <v>664300000000000</v>
      </c>
      <c r="T1071" s="5">
        <v>577200000000000</v>
      </c>
      <c r="U1071" s="5">
        <v>554800000000000</v>
      </c>
      <c r="V1071" s="5">
        <v>532300000000000</v>
      </c>
      <c r="W1071" s="5">
        <v>509800000000000</v>
      </c>
      <c r="X1071" s="5">
        <v>487300000000000</v>
      </c>
      <c r="Y1071" s="5">
        <v>464800000000000</v>
      </c>
      <c r="Z1071" s="5">
        <v>442700000000000</v>
      </c>
      <c r="AA1071" s="5">
        <v>420600000000000</v>
      </c>
      <c r="AB1071" s="5">
        <v>398400000000000</v>
      </c>
      <c r="AC1071" s="5">
        <v>376300000000000</v>
      </c>
      <c r="AD1071" s="5">
        <v>354200000000000</v>
      </c>
      <c r="AE1071" s="5">
        <v>332100000000000</v>
      </c>
      <c r="AF1071" s="5">
        <v>309900000000000</v>
      </c>
      <c r="AG1071" s="5">
        <v>287800000000000</v>
      </c>
    </row>
    <row r="1072" spans="1:33" x14ac:dyDescent="0.35">
      <c r="A1072" t="s">
        <v>1130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</row>
    <row r="1073" spans="1:33" x14ac:dyDescent="0.35">
      <c r="A1073" t="s">
        <v>1131</v>
      </c>
      <c r="B1073" s="5">
        <v>0</v>
      </c>
      <c r="C1073" s="5">
        <v>0</v>
      </c>
      <c r="D1073" s="5">
        <v>0</v>
      </c>
      <c r="E1073" s="5">
        <v>0</v>
      </c>
      <c r="F1073" s="5">
        <v>0</v>
      </c>
      <c r="G1073" s="5">
        <v>0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5">
        <v>0</v>
      </c>
    </row>
    <row r="1074" spans="1:33" x14ac:dyDescent="0.35">
      <c r="A1074" t="s">
        <v>1132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</row>
    <row r="1075" spans="1:33" x14ac:dyDescent="0.35">
      <c r="A1075" t="s">
        <v>1133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</row>
    <row r="1076" spans="1:33" x14ac:dyDescent="0.35">
      <c r="A1076" t="s">
        <v>1134</v>
      </c>
      <c r="B1076" s="5">
        <v>120515000000000</v>
      </c>
      <c r="C1076" s="5">
        <v>83263000000000</v>
      </c>
      <c r="D1076" s="5">
        <v>40901600000000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</row>
    <row r="1077" spans="1:33" x14ac:dyDescent="0.35">
      <c r="A1077" t="s">
        <v>1135</v>
      </c>
      <c r="B1077" s="5">
        <v>13390000000000</v>
      </c>
      <c r="C1077" s="5">
        <v>9251420000000</v>
      </c>
      <c r="D1077" s="5">
        <v>4545120000000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</row>
    <row r="1078" spans="1:33" x14ac:dyDescent="0.35">
      <c r="A1078" t="s">
        <v>1136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</row>
    <row r="1079" spans="1:33" x14ac:dyDescent="0.35">
      <c r="A1079" t="s">
        <v>1137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</row>
    <row r="1080" spans="1:33" x14ac:dyDescent="0.35">
      <c r="A1080" t="s">
        <v>1138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</row>
    <row r="1081" spans="1:33" x14ac:dyDescent="0.35">
      <c r="A1081" t="s">
        <v>1139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</row>
    <row r="1082" spans="1:33" x14ac:dyDescent="0.35">
      <c r="A1082" t="s">
        <v>1140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</row>
    <row r="1083" spans="1:33" x14ac:dyDescent="0.35">
      <c r="A1083" t="s">
        <v>1141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</row>
    <row r="1084" spans="1:33" x14ac:dyDescent="0.35">
      <c r="A1084" t="s">
        <v>1142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</row>
    <row r="1085" spans="1:33" x14ac:dyDescent="0.35">
      <c r="A1085" t="s">
        <v>1143</v>
      </c>
      <c r="B1085" s="5">
        <v>0</v>
      </c>
      <c r="C1085" s="5">
        <v>0</v>
      </c>
      <c r="D1085" s="5">
        <v>0</v>
      </c>
      <c r="E1085" s="5">
        <v>0</v>
      </c>
      <c r="F1085" s="5">
        <v>0</v>
      </c>
      <c r="G1085" s="5">
        <v>0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  <c r="AG1085" s="5">
        <v>0</v>
      </c>
    </row>
    <row r="1086" spans="1:33" x14ac:dyDescent="0.35">
      <c r="A1086" t="s">
        <v>1144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</row>
    <row r="1087" spans="1:33" x14ac:dyDescent="0.35">
      <c r="A1087" t="s">
        <v>1145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</row>
    <row r="1088" spans="1:33" x14ac:dyDescent="0.35">
      <c r="A1088" t="s">
        <v>1146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</row>
    <row r="1089" spans="1:33" x14ac:dyDescent="0.35">
      <c r="A1089" t="s">
        <v>1147</v>
      </c>
      <c r="B1089" s="5">
        <v>403600000000000</v>
      </c>
      <c r="C1089" s="5">
        <v>443347000000000</v>
      </c>
      <c r="D1089" s="5">
        <v>460213000000000</v>
      </c>
      <c r="E1089" s="5">
        <v>480627000000000</v>
      </c>
      <c r="F1089" s="5">
        <v>493331000000000</v>
      </c>
      <c r="G1089" s="5">
        <v>507149000000000</v>
      </c>
      <c r="H1089" s="5">
        <v>521492000000000</v>
      </c>
      <c r="I1089" s="5">
        <v>536004000000000</v>
      </c>
      <c r="J1089" s="5">
        <v>550756000000000</v>
      </c>
      <c r="K1089" s="5">
        <v>586083000000000</v>
      </c>
      <c r="L1089" s="5">
        <v>621544000000000</v>
      </c>
      <c r="M1089" s="5">
        <v>656923000000000</v>
      </c>
      <c r="N1089" s="5">
        <v>692312000000000</v>
      </c>
      <c r="O1089" s="5">
        <v>727700000000000</v>
      </c>
      <c r="P1089" s="5">
        <v>726400000000000</v>
      </c>
      <c r="Q1089" s="5">
        <v>725000000000000</v>
      </c>
      <c r="R1089" s="5">
        <v>723600000000000</v>
      </c>
      <c r="S1089" s="5">
        <v>722200000000000</v>
      </c>
      <c r="T1089" s="5">
        <v>720900000000000</v>
      </c>
      <c r="U1089" s="5">
        <v>720100000000000</v>
      </c>
      <c r="V1089" s="5">
        <v>719400000000000</v>
      </c>
      <c r="W1089" s="5">
        <v>718600000000000</v>
      </c>
      <c r="X1089" s="5">
        <v>717900000000000</v>
      </c>
      <c r="Y1089" s="5">
        <v>717100000000000</v>
      </c>
      <c r="Z1089" s="5">
        <v>714300000000000</v>
      </c>
      <c r="AA1089" s="5">
        <v>711400000000000</v>
      </c>
      <c r="AB1089" s="5">
        <v>708600000000000</v>
      </c>
      <c r="AC1089" s="5">
        <v>705700000000000</v>
      </c>
      <c r="AD1089" s="5">
        <v>702800000000000</v>
      </c>
      <c r="AE1089" s="5">
        <v>700000000000000</v>
      </c>
      <c r="AF1089" s="5">
        <v>697100000000000</v>
      </c>
      <c r="AG1089" s="5">
        <v>694300000000000</v>
      </c>
    </row>
    <row r="1090" spans="1:33" x14ac:dyDescent="0.35">
      <c r="A1090" t="s">
        <v>1148</v>
      </c>
      <c r="B1090" s="5">
        <v>0</v>
      </c>
      <c r="C1090" s="5">
        <v>0</v>
      </c>
      <c r="D1090" s="5">
        <v>0</v>
      </c>
      <c r="E1090" s="5">
        <v>0</v>
      </c>
      <c r="F1090" s="5">
        <v>0</v>
      </c>
      <c r="G1090" s="5">
        <v>0</v>
      </c>
      <c r="H1090" s="5">
        <v>0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5">
        <v>0</v>
      </c>
    </row>
    <row r="1091" spans="1:33" x14ac:dyDescent="0.35">
      <c r="A1091" t="s">
        <v>1149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</row>
    <row r="1092" spans="1:33" x14ac:dyDescent="0.35">
      <c r="A1092" t="s">
        <v>1150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</row>
    <row r="1093" spans="1:33" x14ac:dyDescent="0.35">
      <c r="A1093" t="s">
        <v>1151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</row>
    <row r="1094" spans="1:33" x14ac:dyDescent="0.35">
      <c r="A1094" t="s">
        <v>1152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</row>
    <row r="1095" spans="1:33" x14ac:dyDescent="0.35">
      <c r="A1095" t="s">
        <v>1153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</row>
    <row r="1096" spans="1:33" x14ac:dyDescent="0.35">
      <c r="A1096" t="s">
        <v>1154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</row>
    <row r="1097" spans="1:33" x14ac:dyDescent="0.35">
      <c r="A1097" t="s">
        <v>1155</v>
      </c>
      <c r="B1097" s="5">
        <v>0</v>
      </c>
      <c r="C1097" s="5">
        <v>0</v>
      </c>
      <c r="D1097" s="5">
        <v>0</v>
      </c>
      <c r="E1097" s="5">
        <v>0</v>
      </c>
      <c r="F1097" s="5">
        <v>0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0</v>
      </c>
    </row>
    <row r="1098" spans="1:33" x14ac:dyDescent="0.35">
      <c r="A1098" t="s">
        <v>1156</v>
      </c>
      <c r="B1098" s="5">
        <v>191000000000000</v>
      </c>
      <c r="C1098" s="5">
        <v>189625000000000</v>
      </c>
      <c r="D1098" s="5">
        <v>202124000000000</v>
      </c>
      <c r="E1098" s="5">
        <v>213456000000000</v>
      </c>
      <c r="F1098" s="5">
        <v>226657000000000</v>
      </c>
      <c r="G1098" s="5">
        <v>238296000000000</v>
      </c>
      <c r="H1098" s="5">
        <v>250630000000000</v>
      </c>
      <c r="I1098" s="5">
        <v>262806000000000</v>
      </c>
      <c r="J1098" s="5">
        <v>274899000000000</v>
      </c>
      <c r="K1098" s="5">
        <v>292946000000000</v>
      </c>
      <c r="L1098" s="5">
        <v>310971000000000</v>
      </c>
      <c r="M1098" s="5">
        <v>327985000000000</v>
      </c>
      <c r="N1098" s="5">
        <v>345992000000000</v>
      </c>
      <c r="O1098" s="5">
        <v>363000000000000</v>
      </c>
      <c r="P1098" s="5">
        <v>389000000000000</v>
      </c>
      <c r="Q1098" s="5">
        <v>414000000000000</v>
      </c>
      <c r="R1098" s="5">
        <v>439000000000000</v>
      </c>
      <c r="S1098" s="5">
        <v>464000000000000</v>
      </c>
      <c r="T1098" s="5">
        <v>489000000000000</v>
      </c>
      <c r="U1098" s="5">
        <v>518000000000000</v>
      </c>
      <c r="V1098" s="5">
        <v>548000000000000</v>
      </c>
      <c r="W1098" s="5">
        <v>577000000000000</v>
      </c>
      <c r="X1098" s="5">
        <v>607000000000000</v>
      </c>
      <c r="Y1098" s="5">
        <v>636000000000000</v>
      </c>
      <c r="Z1098" s="5">
        <v>671000000000000</v>
      </c>
      <c r="AA1098" s="5">
        <v>706000000000000</v>
      </c>
      <c r="AB1098" s="5">
        <v>741000000000000</v>
      </c>
      <c r="AC1098" s="5">
        <v>776000000000000</v>
      </c>
      <c r="AD1098" s="5">
        <v>811000000000000</v>
      </c>
      <c r="AE1098" s="5">
        <v>846000000000000</v>
      </c>
      <c r="AF1098" s="5">
        <v>881000000000000</v>
      </c>
      <c r="AG1098" s="5">
        <v>916000000000000</v>
      </c>
    </row>
    <row r="1099" spans="1:33" x14ac:dyDescent="0.35">
      <c r="A1099" t="s">
        <v>1157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</row>
    <row r="1100" spans="1:33" x14ac:dyDescent="0.35">
      <c r="A1100" t="s">
        <v>1158</v>
      </c>
      <c r="B1100" s="5">
        <v>43700000000000</v>
      </c>
      <c r="C1100" s="5">
        <v>42594200000000</v>
      </c>
      <c r="D1100" s="5">
        <v>44623500000000</v>
      </c>
      <c r="E1100" s="5">
        <v>46248800000000</v>
      </c>
      <c r="F1100" s="5">
        <v>48015600000000</v>
      </c>
      <c r="G1100" s="5">
        <v>49653400000000</v>
      </c>
      <c r="H1100" s="5">
        <v>51224500000000</v>
      </c>
      <c r="I1100" s="5">
        <v>52861100000000</v>
      </c>
      <c r="J1100" s="5">
        <v>54380000000000</v>
      </c>
      <c r="K1100" s="5">
        <v>56589600000000</v>
      </c>
      <c r="L1100" s="5">
        <v>58894600000000</v>
      </c>
      <c r="M1100" s="5">
        <v>61197200000000</v>
      </c>
      <c r="N1100" s="5">
        <v>63398500000000</v>
      </c>
      <c r="O1100" s="5">
        <v>65700000000000</v>
      </c>
      <c r="P1100" s="5">
        <v>70700000000000</v>
      </c>
      <c r="Q1100" s="5">
        <v>75700000000000</v>
      </c>
      <c r="R1100" s="5">
        <v>80700000000000</v>
      </c>
      <c r="S1100" s="5">
        <v>85700000000000</v>
      </c>
      <c r="T1100" s="5">
        <v>90700000000000</v>
      </c>
      <c r="U1100" s="5">
        <v>97000000000000</v>
      </c>
      <c r="V1100" s="5">
        <v>103000000000000</v>
      </c>
      <c r="W1100" s="5">
        <v>110000000000000</v>
      </c>
      <c r="X1100" s="5">
        <v>116000000000000</v>
      </c>
      <c r="Y1100" s="5">
        <v>122000000000000</v>
      </c>
      <c r="Z1100" s="5">
        <v>130000000000000</v>
      </c>
      <c r="AA1100" s="5">
        <v>138000000000000</v>
      </c>
      <c r="AB1100" s="5">
        <v>147000000000000</v>
      </c>
      <c r="AC1100" s="5">
        <v>155000000000000</v>
      </c>
      <c r="AD1100" s="5">
        <v>163000000000000</v>
      </c>
      <c r="AE1100" s="5">
        <v>171000000000000</v>
      </c>
      <c r="AF1100" s="5">
        <v>179000000000000</v>
      </c>
      <c r="AG1100" s="5">
        <v>187000000000000</v>
      </c>
    </row>
    <row r="1101" spans="1:33" x14ac:dyDescent="0.35">
      <c r="A1101" t="s">
        <v>1159</v>
      </c>
      <c r="B1101" s="5">
        <v>66100000000000</v>
      </c>
      <c r="C1101" s="5">
        <v>64701200000000</v>
      </c>
      <c r="D1101" s="5">
        <v>67960600000000</v>
      </c>
      <c r="E1101" s="5">
        <v>70460300000000</v>
      </c>
      <c r="F1101" s="5">
        <v>72371300000000</v>
      </c>
      <c r="G1101" s="5">
        <v>74081200000000</v>
      </c>
      <c r="H1101" s="5">
        <v>75688400000000</v>
      </c>
      <c r="I1101" s="5">
        <v>77243100000000</v>
      </c>
      <c r="J1101" s="5">
        <v>78771000000000</v>
      </c>
      <c r="K1101" s="5">
        <v>80585200000000</v>
      </c>
      <c r="L1101" s="5">
        <v>82292400000000</v>
      </c>
      <c r="M1101" s="5">
        <v>84096100000000</v>
      </c>
      <c r="N1101" s="5">
        <v>85798000000000</v>
      </c>
      <c r="O1101" s="5">
        <v>87500000000000</v>
      </c>
      <c r="P1101" s="5">
        <v>89000000000000</v>
      </c>
      <c r="Q1101" s="5">
        <v>90500000000000</v>
      </c>
      <c r="R1101" s="5">
        <v>92100000000000</v>
      </c>
      <c r="S1101" s="5">
        <v>93600000000000</v>
      </c>
      <c r="T1101" s="5">
        <v>95100000000000</v>
      </c>
      <c r="U1101" s="5">
        <v>96800000000000</v>
      </c>
      <c r="V1101" s="5">
        <v>98500000000000</v>
      </c>
      <c r="W1101" s="5">
        <v>100000000000000</v>
      </c>
      <c r="X1101" s="5">
        <v>102000000000000</v>
      </c>
      <c r="Y1101" s="5">
        <v>104000000000000</v>
      </c>
      <c r="Z1101" s="5">
        <v>105000000000000</v>
      </c>
      <c r="AA1101" s="5">
        <v>106000000000000</v>
      </c>
      <c r="AB1101" s="5">
        <v>108000000000000</v>
      </c>
      <c r="AC1101" s="5">
        <v>109000000000000</v>
      </c>
      <c r="AD1101" s="5">
        <v>111000000000000</v>
      </c>
      <c r="AE1101" s="5">
        <v>112000000000000</v>
      </c>
      <c r="AF1101" s="5">
        <v>114000000000000</v>
      </c>
      <c r="AG1101" s="5">
        <v>115000000000000</v>
      </c>
    </row>
    <row r="1102" spans="1:33" x14ac:dyDescent="0.35">
      <c r="A1102" t="s">
        <v>1160</v>
      </c>
      <c r="B1102" s="5">
        <v>34800000000000</v>
      </c>
      <c r="C1102" s="5">
        <v>34113500000000</v>
      </c>
      <c r="D1102" s="5">
        <v>36030800000000</v>
      </c>
      <c r="E1102" s="5">
        <v>37552500000000</v>
      </c>
      <c r="F1102" s="5">
        <v>38670900000000</v>
      </c>
      <c r="G1102" s="5">
        <v>39782500000000</v>
      </c>
      <c r="H1102" s="5">
        <v>40739900000000</v>
      </c>
      <c r="I1102" s="5">
        <v>41769200000000</v>
      </c>
      <c r="J1102" s="5">
        <v>42684300000000</v>
      </c>
      <c r="K1102" s="5">
        <v>44491800000000</v>
      </c>
      <c r="L1102" s="5">
        <v>46295700000000</v>
      </c>
      <c r="M1102" s="5">
        <v>48097800000000</v>
      </c>
      <c r="N1102" s="5">
        <v>49898900000000</v>
      </c>
      <c r="O1102" s="5">
        <v>51700000000000</v>
      </c>
      <c r="P1102" s="5">
        <v>55600000000000</v>
      </c>
      <c r="Q1102" s="5">
        <v>59600000000000</v>
      </c>
      <c r="R1102" s="5">
        <v>63500000000000</v>
      </c>
      <c r="S1102" s="5">
        <v>67400000000000</v>
      </c>
      <c r="T1102" s="5">
        <v>71400000000000</v>
      </c>
      <c r="U1102" s="5">
        <v>79600000000000</v>
      </c>
      <c r="V1102" s="5">
        <v>87800000000000</v>
      </c>
      <c r="W1102" s="5">
        <v>96100000000000</v>
      </c>
      <c r="X1102" s="5">
        <v>104000000000000</v>
      </c>
      <c r="Y1102" s="5">
        <v>113000000000000</v>
      </c>
      <c r="Z1102" s="5">
        <v>116000000000000</v>
      </c>
      <c r="AA1102" s="5">
        <v>119000000000000</v>
      </c>
      <c r="AB1102" s="5">
        <v>122000000000000</v>
      </c>
      <c r="AC1102" s="5">
        <v>125000000000000</v>
      </c>
      <c r="AD1102" s="5">
        <v>128000000000000</v>
      </c>
      <c r="AE1102" s="5">
        <v>131000000000000</v>
      </c>
      <c r="AF1102" s="5">
        <v>134000000000000</v>
      </c>
      <c r="AG1102" s="5">
        <v>137000000000000</v>
      </c>
    </row>
    <row r="1103" spans="1:33" x14ac:dyDescent="0.35">
      <c r="A1103" t="s">
        <v>1161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</row>
    <row r="1104" spans="1:33" x14ac:dyDescent="0.35">
      <c r="A1104" t="s">
        <v>1162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</row>
    <row r="1105" spans="1:33" x14ac:dyDescent="0.35">
      <c r="A1105" t="s">
        <v>1163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</row>
    <row r="1106" spans="1:33" x14ac:dyDescent="0.35">
      <c r="A1106" t="s">
        <v>1164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</row>
    <row r="1107" spans="1:33" x14ac:dyDescent="0.35">
      <c r="A1107" t="s">
        <v>1165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</row>
    <row r="1108" spans="1:33" x14ac:dyDescent="0.35">
      <c r="A1108" t="s">
        <v>1166</v>
      </c>
      <c r="B1108" s="5">
        <v>0</v>
      </c>
      <c r="C1108" s="5">
        <v>0</v>
      </c>
      <c r="D1108" s="5">
        <v>0</v>
      </c>
      <c r="E1108" s="5">
        <v>0</v>
      </c>
      <c r="F1108" s="5">
        <v>0</v>
      </c>
      <c r="G1108" s="5">
        <v>0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0</v>
      </c>
    </row>
    <row r="1109" spans="1:33" x14ac:dyDescent="0.35">
      <c r="A1109" t="s">
        <v>1167</v>
      </c>
      <c r="B1109" s="5">
        <v>0</v>
      </c>
      <c r="C1109" s="5">
        <v>0</v>
      </c>
      <c r="D1109" s="5">
        <v>0</v>
      </c>
      <c r="E1109" s="5">
        <v>0</v>
      </c>
      <c r="F1109" s="5">
        <v>0</v>
      </c>
      <c r="G1109" s="5">
        <v>0</v>
      </c>
      <c r="H1109" s="5">
        <v>0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5">
        <v>0</v>
      </c>
    </row>
    <row r="1110" spans="1:33" x14ac:dyDescent="0.35">
      <c r="A1110" t="s">
        <v>1168</v>
      </c>
      <c r="B1110" s="5">
        <v>0</v>
      </c>
      <c r="C1110" s="5">
        <v>0</v>
      </c>
      <c r="D1110" s="5">
        <v>0</v>
      </c>
      <c r="E1110" s="5">
        <v>0</v>
      </c>
      <c r="F1110" s="5">
        <v>0</v>
      </c>
      <c r="G1110" s="5">
        <v>0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0</v>
      </c>
    </row>
    <row r="1111" spans="1:33" x14ac:dyDescent="0.35">
      <c r="A1111" t="s">
        <v>1169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</row>
    <row r="1112" spans="1:33" x14ac:dyDescent="0.35">
      <c r="A1112" t="s">
        <v>1170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</row>
    <row r="1113" spans="1:33" x14ac:dyDescent="0.35">
      <c r="A1113" t="s">
        <v>1171</v>
      </c>
      <c r="B1113" s="5">
        <v>0</v>
      </c>
      <c r="C1113" s="5">
        <v>0</v>
      </c>
      <c r="D1113" s="5">
        <v>0</v>
      </c>
      <c r="E1113" s="5">
        <v>0</v>
      </c>
      <c r="F1113" s="5">
        <v>0</v>
      </c>
      <c r="G1113" s="5">
        <v>0</v>
      </c>
      <c r="H1113" s="5">
        <v>0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0</v>
      </c>
    </row>
    <row r="1114" spans="1:33" x14ac:dyDescent="0.35">
      <c r="A1114" t="s">
        <v>1172</v>
      </c>
      <c r="B1114" s="5">
        <v>0</v>
      </c>
      <c r="C1114" s="5">
        <v>0</v>
      </c>
      <c r="D1114" s="5">
        <v>0</v>
      </c>
      <c r="E1114" s="5">
        <v>0</v>
      </c>
      <c r="F1114" s="5">
        <v>0</v>
      </c>
      <c r="G1114" s="5">
        <v>0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0</v>
      </c>
    </row>
    <row r="1115" spans="1:33" x14ac:dyDescent="0.35">
      <c r="A1115" t="s">
        <v>1173</v>
      </c>
      <c r="B1115" s="5">
        <v>0</v>
      </c>
      <c r="C1115" s="5">
        <v>0</v>
      </c>
      <c r="D1115" s="5">
        <v>0</v>
      </c>
      <c r="E1115" s="5">
        <v>0</v>
      </c>
      <c r="F1115" s="5">
        <v>0</v>
      </c>
      <c r="G1115" s="5">
        <v>0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5">
        <v>0</v>
      </c>
    </row>
    <row r="1116" spans="1:33" x14ac:dyDescent="0.35">
      <c r="A1116" t="s">
        <v>1174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</row>
    <row r="1117" spans="1:33" x14ac:dyDescent="0.35">
      <c r="A1117" t="s">
        <v>1175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</row>
    <row r="1118" spans="1:33" x14ac:dyDescent="0.35">
      <c r="A1118" t="s">
        <v>1176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</row>
    <row r="1119" spans="1:33" x14ac:dyDescent="0.35">
      <c r="A1119" t="s">
        <v>1177</v>
      </c>
      <c r="B1119" s="5">
        <v>0</v>
      </c>
      <c r="C1119" s="5">
        <v>0</v>
      </c>
      <c r="D1119" s="5">
        <v>0</v>
      </c>
      <c r="E1119" s="5">
        <v>0</v>
      </c>
      <c r="F1119" s="5">
        <v>0</v>
      </c>
      <c r="G1119" s="5">
        <v>0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0</v>
      </c>
    </row>
    <row r="1120" spans="1:33" x14ac:dyDescent="0.35">
      <c r="A1120" t="s">
        <v>1178</v>
      </c>
      <c r="B1120" s="5">
        <v>0</v>
      </c>
      <c r="C1120" s="5">
        <v>0</v>
      </c>
      <c r="D1120" s="5">
        <v>0</v>
      </c>
      <c r="E1120" s="5">
        <v>0</v>
      </c>
      <c r="F1120" s="5">
        <v>0</v>
      </c>
      <c r="G1120" s="5">
        <v>0</v>
      </c>
      <c r="H1120" s="5">
        <v>0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5">
        <v>0</v>
      </c>
    </row>
    <row r="1121" spans="1:33" x14ac:dyDescent="0.35">
      <c r="A1121" t="s">
        <v>1179</v>
      </c>
      <c r="B1121" s="5">
        <v>0</v>
      </c>
      <c r="C1121" s="5">
        <v>0</v>
      </c>
      <c r="D1121" s="5">
        <v>0</v>
      </c>
      <c r="E1121" s="5">
        <v>0</v>
      </c>
      <c r="F1121" s="5">
        <v>0</v>
      </c>
      <c r="G1121" s="5">
        <v>0</v>
      </c>
      <c r="H1121" s="5">
        <v>0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5">
        <v>0</v>
      </c>
    </row>
    <row r="1122" spans="1:33" x14ac:dyDescent="0.35">
      <c r="A1122" t="s">
        <v>1180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</row>
    <row r="1123" spans="1:33" x14ac:dyDescent="0.35">
      <c r="A1123" t="s">
        <v>1181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</row>
    <row r="1124" spans="1:33" x14ac:dyDescent="0.35">
      <c r="A1124" t="s">
        <v>1182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</row>
    <row r="1125" spans="1:33" x14ac:dyDescent="0.35">
      <c r="A1125" t="s">
        <v>1183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</row>
    <row r="1126" spans="1:33" x14ac:dyDescent="0.35">
      <c r="A1126" t="s">
        <v>1184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</row>
    <row r="1127" spans="1:33" x14ac:dyDescent="0.35">
      <c r="A1127" t="s">
        <v>1185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</row>
    <row r="1128" spans="1:33" x14ac:dyDescent="0.35">
      <c r="A1128" t="s">
        <v>1186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</row>
    <row r="1129" spans="1:33" x14ac:dyDescent="0.35">
      <c r="A1129" t="s">
        <v>1187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</row>
    <row r="1130" spans="1:33" x14ac:dyDescent="0.35">
      <c r="A1130" t="s">
        <v>1188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</row>
    <row r="1131" spans="1:33" x14ac:dyDescent="0.35">
      <c r="A1131" t="s">
        <v>1189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</row>
    <row r="1132" spans="1:33" x14ac:dyDescent="0.35">
      <c r="A1132" t="s">
        <v>1190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</row>
    <row r="1133" spans="1:33" x14ac:dyDescent="0.35">
      <c r="A1133" t="s">
        <v>1191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</row>
    <row r="1134" spans="1:33" x14ac:dyDescent="0.35">
      <c r="A1134" t="s">
        <v>1192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</row>
    <row r="1135" spans="1:33" x14ac:dyDescent="0.35">
      <c r="A1135" t="s">
        <v>1193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</row>
    <row r="1136" spans="1:33" x14ac:dyDescent="0.35">
      <c r="A1136" t="s">
        <v>1194</v>
      </c>
      <c r="B1136" s="5">
        <v>3629010000000</v>
      </c>
      <c r="C1136" s="5">
        <v>2305360000000</v>
      </c>
      <c r="D1136" s="5">
        <v>1181180000000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</row>
    <row r="1137" spans="1:33" x14ac:dyDescent="0.35">
      <c r="A1137" t="s">
        <v>1195</v>
      </c>
      <c r="B1137" s="5">
        <v>403223000000</v>
      </c>
      <c r="C1137" s="5">
        <v>256152000000</v>
      </c>
      <c r="D1137" s="5">
        <v>131242000000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</row>
    <row r="1138" spans="1:33" x14ac:dyDescent="0.35">
      <c r="A1138" t="s">
        <v>1196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</row>
    <row r="1139" spans="1:33" x14ac:dyDescent="0.35">
      <c r="A1139" t="s">
        <v>1197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</row>
    <row r="1140" spans="1:33" x14ac:dyDescent="0.35">
      <c r="A1140" t="s">
        <v>1198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</row>
    <row r="1141" spans="1:33" x14ac:dyDescent="0.35">
      <c r="A1141" t="s">
        <v>1199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</row>
    <row r="1142" spans="1:33" x14ac:dyDescent="0.35">
      <c r="A1142" t="s">
        <v>1200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</row>
    <row r="1143" spans="1:33" x14ac:dyDescent="0.35">
      <c r="A1143" t="s">
        <v>1201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</row>
    <row r="1144" spans="1:33" x14ac:dyDescent="0.35">
      <c r="A1144" t="s">
        <v>1202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</row>
    <row r="1145" spans="1:33" x14ac:dyDescent="0.35">
      <c r="A1145" t="s">
        <v>1203</v>
      </c>
      <c r="B1145" s="5">
        <v>0</v>
      </c>
      <c r="C1145" s="5">
        <v>0</v>
      </c>
      <c r="D1145" s="5">
        <v>0</v>
      </c>
      <c r="E1145" s="5">
        <v>0</v>
      </c>
      <c r="F1145" s="5">
        <v>0</v>
      </c>
      <c r="G1145" s="5">
        <v>0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5">
        <v>0</v>
      </c>
    </row>
    <row r="1146" spans="1:33" x14ac:dyDescent="0.35">
      <c r="A1146" t="s">
        <v>1204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</row>
    <row r="1147" spans="1:33" x14ac:dyDescent="0.35">
      <c r="A1147" t="s">
        <v>1205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</row>
    <row r="1148" spans="1:33" x14ac:dyDescent="0.35">
      <c r="A1148" t="s">
        <v>1206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</row>
    <row r="1149" spans="1:33" x14ac:dyDescent="0.35">
      <c r="A1149" t="s">
        <v>1207</v>
      </c>
      <c r="B1149" s="5">
        <v>105936000000000</v>
      </c>
      <c r="C1149" s="5">
        <v>104549000000000</v>
      </c>
      <c r="D1149" s="5">
        <v>110827000000000</v>
      </c>
      <c r="E1149" s="5">
        <v>115903000000000</v>
      </c>
      <c r="F1149" s="5">
        <v>118337000000000</v>
      </c>
      <c r="G1149" s="5">
        <v>120436000000000</v>
      </c>
      <c r="H1149" s="5">
        <v>122365000000000</v>
      </c>
      <c r="I1149" s="5">
        <v>124208000000000</v>
      </c>
      <c r="J1149" s="5">
        <v>126007000000000</v>
      </c>
      <c r="K1149" s="5">
        <v>130603000000000</v>
      </c>
      <c r="L1149" s="5">
        <v>135189000000000</v>
      </c>
      <c r="M1149" s="5">
        <v>139769000000000</v>
      </c>
      <c r="N1149" s="5">
        <v>144346000000000</v>
      </c>
      <c r="O1149" s="5">
        <v>148923000000000</v>
      </c>
      <c r="P1149" s="5">
        <v>149463000000000</v>
      </c>
      <c r="Q1149" s="5">
        <v>150003000000000</v>
      </c>
      <c r="R1149" s="5">
        <v>150543000000000</v>
      </c>
      <c r="S1149" s="5">
        <v>151083000000000</v>
      </c>
      <c r="T1149" s="5">
        <v>151623000000000</v>
      </c>
      <c r="U1149" s="5">
        <v>150628000000000</v>
      </c>
      <c r="V1149" s="5">
        <v>149633000000000</v>
      </c>
      <c r="W1149" s="5">
        <v>148637000000000</v>
      </c>
      <c r="X1149" s="5">
        <v>147642000000000</v>
      </c>
      <c r="Y1149" s="5">
        <v>146647000000000</v>
      </c>
      <c r="Z1149" s="5">
        <v>146138000000000</v>
      </c>
      <c r="AA1149" s="5">
        <v>145630000000000</v>
      </c>
      <c r="AB1149" s="5">
        <v>145121000000000</v>
      </c>
      <c r="AC1149" s="5">
        <v>144613000000000</v>
      </c>
      <c r="AD1149" s="5">
        <v>144104000000000</v>
      </c>
      <c r="AE1149" s="5">
        <v>143595000000000</v>
      </c>
      <c r="AF1149" s="5">
        <v>143087000000000</v>
      </c>
      <c r="AG1149" s="5">
        <v>142578000000000</v>
      </c>
    </row>
    <row r="1150" spans="1:33" x14ac:dyDescent="0.35">
      <c r="A1150" t="s">
        <v>1208</v>
      </c>
      <c r="B1150" s="5">
        <v>0</v>
      </c>
      <c r="C1150" s="5">
        <v>0</v>
      </c>
      <c r="D1150" s="5">
        <v>0</v>
      </c>
      <c r="E1150" s="5">
        <v>0</v>
      </c>
      <c r="F1150" s="5">
        <v>0</v>
      </c>
      <c r="G1150" s="5">
        <v>0</v>
      </c>
      <c r="H1150" s="5">
        <v>0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5">
        <v>0</v>
      </c>
    </row>
    <row r="1151" spans="1:33" x14ac:dyDescent="0.35">
      <c r="A1151" t="s">
        <v>1209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</row>
    <row r="1152" spans="1:33" x14ac:dyDescent="0.35">
      <c r="A1152" t="s">
        <v>1210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</row>
    <row r="1153" spans="1:33" x14ac:dyDescent="0.35">
      <c r="A1153" t="s">
        <v>1211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</row>
    <row r="1154" spans="1:33" x14ac:dyDescent="0.35">
      <c r="A1154" t="s">
        <v>1212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</row>
    <row r="1155" spans="1:33" x14ac:dyDescent="0.35">
      <c r="A1155" t="s">
        <v>1213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</row>
    <row r="1156" spans="1:33" x14ac:dyDescent="0.35">
      <c r="A1156" t="s">
        <v>1214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150"/>
  <sheetViews>
    <sheetView workbookViewId="0"/>
  </sheetViews>
  <sheetFormatPr defaultRowHeight="14.5" x14ac:dyDescent="0.35"/>
  <cols>
    <col min="1" max="1" width="39.54296875" customWidth="1"/>
    <col min="2" max="2" width="11.81640625" bestFit="1" customWidth="1"/>
  </cols>
  <sheetData>
    <row r="1" spans="1:51" s="4" customFormat="1" x14ac:dyDescent="0.35">
      <c r="A1" s="6" t="s">
        <v>21</v>
      </c>
    </row>
    <row r="2" spans="1:51" s="7" customFormat="1" x14ac:dyDescent="0.35">
      <c r="A2" s="7" t="s">
        <v>29</v>
      </c>
      <c r="B2" s="1">
        <v>2021</v>
      </c>
      <c r="C2" s="1">
        <v>2022</v>
      </c>
      <c r="D2" s="1">
        <v>2023</v>
      </c>
      <c r="E2" s="1">
        <v>2024</v>
      </c>
      <c r="F2" s="1">
        <v>2025</v>
      </c>
      <c r="G2" s="1">
        <v>2026</v>
      </c>
      <c r="H2" s="1">
        <v>2027</v>
      </c>
      <c r="I2" s="1">
        <v>2028</v>
      </c>
      <c r="J2" s="1">
        <v>2029</v>
      </c>
      <c r="K2" s="1">
        <v>2030</v>
      </c>
      <c r="L2" s="1">
        <v>2031</v>
      </c>
      <c r="M2" s="1">
        <v>2032</v>
      </c>
      <c r="N2" s="1">
        <v>2033</v>
      </c>
      <c r="O2" s="1">
        <v>2034</v>
      </c>
      <c r="P2" s="1">
        <v>2035</v>
      </c>
      <c r="Q2" s="1">
        <v>2036</v>
      </c>
      <c r="R2" s="1">
        <v>2037</v>
      </c>
      <c r="S2" s="1">
        <v>2038</v>
      </c>
      <c r="T2" s="1">
        <v>2039</v>
      </c>
      <c r="U2" s="1">
        <v>2040</v>
      </c>
      <c r="V2" s="1">
        <v>2041</v>
      </c>
      <c r="W2" s="1">
        <v>2042</v>
      </c>
      <c r="X2" s="1">
        <v>2043</v>
      </c>
      <c r="Y2" s="1">
        <v>2044</v>
      </c>
      <c r="Z2" s="1">
        <v>2045</v>
      </c>
      <c r="AA2" s="1">
        <v>2046</v>
      </c>
      <c r="AB2" s="1">
        <v>2047</v>
      </c>
      <c r="AC2" s="1">
        <v>2048</v>
      </c>
      <c r="AD2" s="1">
        <v>2049</v>
      </c>
      <c r="AE2" s="1">
        <v>2050</v>
      </c>
      <c r="AF2" s="1">
        <v>2051</v>
      </c>
      <c r="AG2" s="1">
        <v>2052</v>
      </c>
      <c r="AH2" s="1">
        <v>2053</v>
      </c>
      <c r="AI2" s="1">
        <v>2054</v>
      </c>
      <c r="AJ2" s="1">
        <v>2055</v>
      </c>
      <c r="AK2" s="1">
        <v>2056</v>
      </c>
      <c r="AL2" s="1">
        <v>2057</v>
      </c>
      <c r="AM2" s="1">
        <v>2058</v>
      </c>
      <c r="AN2" s="1">
        <v>2059</v>
      </c>
      <c r="AO2" s="1">
        <v>2060</v>
      </c>
      <c r="AP2" s="1">
        <v>2061</v>
      </c>
      <c r="AQ2" s="1">
        <v>2062</v>
      </c>
      <c r="AR2" s="1">
        <v>2063</v>
      </c>
      <c r="AS2" s="1">
        <v>2064</v>
      </c>
      <c r="AT2" s="1">
        <v>2065</v>
      </c>
      <c r="AU2" s="1">
        <v>2066</v>
      </c>
      <c r="AV2" s="1">
        <v>2067</v>
      </c>
      <c r="AW2" s="1">
        <v>2068</v>
      </c>
      <c r="AX2" s="1">
        <v>2069</v>
      </c>
      <c r="AY2" s="1">
        <v>2070</v>
      </c>
    </row>
    <row r="3" spans="1:51" x14ac:dyDescent="0.35">
      <c r="A3" t="s">
        <v>51</v>
      </c>
      <c r="B3">
        <f>'Pretax Fuel Prices'!B3+'Fuel Taxes'!B3</f>
        <v>0</v>
      </c>
      <c r="C3">
        <f>'Pretax Fuel Prices'!C3+'Fuel Taxes'!C3</f>
        <v>0</v>
      </c>
      <c r="D3">
        <f>'Pretax Fuel Prices'!D3+'Fuel Taxes'!D3</f>
        <v>0</v>
      </c>
      <c r="E3">
        <f>'Pretax Fuel Prices'!E3+'Fuel Taxes'!E3</f>
        <v>0</v>
      </c>
      <c r="F3">
        <f>'Pretax Fuel Prices'!F3+'Fuel Taxes'!F3</f>
        <v>0</v>
      </c>
      <c r="G3">
        <f>'Pretax Fuel Prices'!G3+'Fuel Taxes'!G3</f>
        <v>0</v>
      </c>
      <c r="H3">
        <f>'Pretax Fuel Prices'!H3+'Fuel Taxes'!H3</f>
        <v>0</v>
      </c>
      <c r="I3">
        <f>'Pretax Fuel Prices'!I3+'Fuel Taxes'!I3</f>
        <v>0</v>
      </c>
      <c r="J3">
        <f>'Pretax Fuel Prices'!J3+'Fuel Taxes'!J3</f>
        <v>0</v>
      </c>
      <c r="K3">
        <f>'Pretax Fuel Prices'!K3+'Fuel Taxes'!K3</f>
        <v>0</v>
      </c>
      <c r="L3">
        <f>'Pretax Fuel Prices'!L3+'Fuel Taxes'!L3</f>
        <v>0</v>
      </c>
      <c r="M3">
        <f>'Pretax Fuel Prices'!M3+'Fuel Taxes'!M3</f>
        <v>0</v>
      </c>
      <c r="N3">
        <f>'Pretax Fuel Prices'!N3+'Fuel Taxes'!N3</f>
        <v>0</v>
      </c>
      <c r="O3">
        <f>'Pretax Fuel Prices'!O3+'Fuel Taxes'!O3</f>
        <v>0</v>
      </c>
      <c r="P3">
        <f>'Pretax Fuel Prices'!P3+'Fuel Taxes'!P3</f>
        <v>0</v>
      </c>
      <c r="Q3">
        <f>'Pretax Fuel Prices'!Q3+'Fuel Taxes'!Q3</f>
        <v>0</v>
      </c>
      <c r="R3">
        <f>'Pretax Fuel Prices'!R3+'Fuel Taxes'!R3</f>
        <v>0</v>
      </c>
      <c r="S3">
        <f>'Pretax Fuel Prices'!S3+'Fuel Taxes'!S3</f>
        <v>0</v>
      </c>
      <c r="T3">
        <f>'Pretax Fuel Prices'!T3+'Fuel Taxes'!T3</f>
        <v>0</v>
      </c>
      <c r="U3">
        <f>'Pretax Fuel Prices'!U3+'Fuel Taxes'!U3</f>
        <v>0</v>
      </c>
      <c r="V3">
        <f>'Pretax Fuel Prices'!V3+'Fuel Taxes'!V3</f>
        <v>0</v>
      </c>
      <c r="W3">
        <f>'Pretax Fuel Prices'!W3+'Fuel Taxes'!W3</f>
        <v>0</v>
      </c>
      <c r="X3">
        <f>'Pretax Fuel Prices'!X3+'Fuel Taxes'!X3</f>
        <v>0</v>
      </c>
      <c r="Y3">
        <f>'Pretax Fuel Prices'!Y3+'Fuel Taxes'!Y3</f>
        <v>0</v>
      </c>
      <c r="Z3">
        <f>'Pretax Fuel Prices'!Z3+'Fuel Taxes'!Z3</f>
        <v>0</v>
      </c>
      <c r="AA3">
        <f>'Pretax Fuel Prices'!AA3+'Fuel Taxes'!AA3</f>
        <v>0</v>
      </c>
      <c r="AB3">
        <f>'Pretax Fuel Prices'!AB3+'Fuel Taxes'!AB3</f>
        <v>0</v>
      </c>
      <c r="AC3">
        <f>'Pretax Fuel Prices'!AC3+'Fuel Taxes'!AC3</f>
        <v>0</v>
      </c>
      <c r="AD3">
        <f>'Pretax Fuel Prices'!AD3+'Fuel Taxes'!AD3</f>
        <v>0</v>
      </c>
      <c r="AE3">
        <f>'Pretax Fuel Prices'!AE3+'Fuel Taxes'!AE3</f>
        <v>0</v>
      </c>
      <c r="AF3">
        <f>'Pretax Fuel Prices'!AF3+'Fuel Taxes'!AF3</f>
        <v>0</v>
      </c>
      <c r="AG3">
        <f>'Pretax Fuel Prices'!AG3+'Fuel Taxes'!AG3</f>
        <v>0</v>
      </c>
      <c r="AH3">
        <f>'Pretax Fuel Prices'!AH3+'Fuel Taxes'!AH3</f>
        <v>0</v>
      </c>
      <c r="AI3">
        <f>'Pretax Fuel Prices'!AI3+'Fuel Taxes'!AI3</f>
        <v>0</v>
      </c>
    </row>
    <row r="4" spans="1:51" x14ac:dyDescent="0.35">
      <c r="A4" t="s">
        <v>52</v>
      </c>
      <c r="B4">
        <f>'Pretax Fuel Prices'!B4+'Fuel Taxes'!B4</f>
        <v>1.9762036528992948E-6</v>
      </c>
      <c r="C4">
        <f>'Pretax Fuel Prices'!C4+'Fuel Taxes'!C4</f>
        <v>1.9762036528992948E-6</v>
      </c>
      <c r="D4">
        <f>'Pretax Fuel Prices'!D4+'Fuel Taxes'!D4</f>
        <v>1.9666104312832785E-6</v>
      </c>
      <c r="E4">
        <f>'Pretax Fuel Prices'!E4+'Fuel Taxes'!E4</f>
        <v>1.9762036528992948E-6</v>
      </c>
      <c r="F4">
        <f>'Pretax Fuel Prices'!F4+'Fuel Taxes'!F4</f>
        <v>1.9474239880512467E-6</v>
      </c>
      <c r="G4">
        <f>'Pretax Fuel Prices'!G4+'Fuel Taxes'!G4</f>
        <v>1.9186443232031991E-6</v>
      </c>
      <c r="H4">
        <f>'Pretax Fuel Prices'!H4+'Fuel Taxes'!H4</f>
        <v>1.8994578799711667E-6</v>
      </c>
      <c r="I4">
        <f>'Pretax Fuel Prices'!I4+'Fuel Taxes'!I4</f>
        <v>1.8898646583551506E-6</v>
      </c>
      <c r="J4">
        <f>'Pretax Fuel Prices'!J4+'Fuel Taxes'!J4</f>
        <v>1.8706782151231186E-6</v>
      </c>
      <c r="K4">
        <f>'Pretax Fuel Prices'!K4+'Fuel Taxes'!K4</f>
        <v>1.8802714367391347E-6</v>
      </c>
      <c r="L4">
        <f>'Pretax Fuel Prices'!L4+'Fuel Taxes'!L4</f>
        <v>1.8898646583551506E-6</v>
      </c>
      <c r="M4">
        <f>'Pretax Fuel Prices'!M4+'Fuel Taxes'!M4</f>
        <v>1.8802714367391347E-6</v>
      </c>
      <c r="N4">
        <f>'Pretax Fuel Prices'!N4+'Fuel Taxes'!N4</f>
        <v>1.8802714367391347E-6</v>
      </c>
      <c r="O4">
        <f>'Pretax Fuel Prices'!O4+'Fuel Taxes'!O4</f>
        <v>1.8802714367391347E-6</v>
      </c>
      <c r="P4">
        <f>'Pretax Fuel Prices'!P4+'Fuel Taxes'!P4</f>
        <v>1.8706782151231186E-6</v>
      </c>
      <c r="Q4">
        <f>'Pretax Fuel Prices'!Q4+'Fuel Taxes'!Q4</f>
        <v>1.8706782151231186E-6</v>
      </c>
      <c r="R4">
        <f>'Pretax Fuel Prices'!R4+'Fuel Taxes'!R4</f>
        <v>1.8802714367391347E-6</v>
      </c>
      <c r="S4">
        <f>'Pretax Fuel Prices'!S4+'Fuel Taxes'!S4</f>
        <v>1.8802714367391347E-6</v>
      </c>
      <c r="T4">
        <f>'Pretax Fuel Prices'!T4+'Fuel Taxes'!T4</f>
        <v>1.8706782151231186E-6</v>
      </c>
      <c r="U4">
        <f>'Pretax Fuel Prices'!U4+'Fuel Taxes'!U4</f>
        <v>1.8706782151231186E-6</v>
      </c>
      <c r="V4">
        <f>'Pretax Fuel Prices'!V4+'Fuel Taxes'!V4</f>
        <v>1.8802714367391347E-6</v>
      </c>
      <c r="W4">
        <f>'Pretax Fuel Prices'!W4+'Fuel Taxes'!W4</f>
        <v>1.8802714367391347E-6</v>
      </c>
      <c r="X4">
        <f>'Pretax Fuel Prices'!X4+'Fuel Taxes'!X4</f>
        <v>1.8706782151231186E-6</v>
      </c>
      <c r="Y4">
        <f>'Pretax Fuel Prices'!Y4+'Fuel Taxes'!Y4</f>
        <v>1.8706782151231186E-6</v>
      </c>
      <c r="Z4">
        <f>'Pretax Fuel Prices'!Z4+'Fuel Taxes'!Z4</f>
        <v>1.8706782151231186E-6</v>
      </c>
      <c r="AA4">
        <f>'Pretax Fuel Prices'!AA4+'Fuel Taxes'!AA4</f>
        <v>1.8706782151231186E-6</v>
      </c>
      <c r="AB4">
        <f>'Pretax Fuel Prices'!AB4+'Fuel Taxes'!AB4</f>
        <v>1.8706782151231186E-6</v>
      </c>
      <c r="AC4">
        <f>'Pretax Fuel Prices'!AC4+'Fuel Taxes'!AC4</f>
        <v>1.8706782151231186E-6</v>
      </c>
      <c r="AD4">
        <f>'Pretax Fuel Prices'!AD4+'Fuel Taxes'!AD4</f>
        <v>1.8706782151231186E-6</v>
      </c>
      <c r="AE4">
        <f>'Pretax Fuel Prices'!AE4+'Fuel Taxes'!AE4</f>
        <v>1.8706782151231186E-6</v>
      </c>
      <c r="AF4">
        <f>'Pretax Fuel Prices'!AF4+'Fuel Taxes'!AF4</f>
        <v>0</v>
      </c>
      <c r="AG4">
        <f>'Pretax Fuel Prices'!AG4+'Fuel Taxes'!AG4</f>
        <v>0</v>
      </c>
      <c r="AH4">
        <f>'Pretax Fuel Prices'!AH4+'Fuel Taxes'!AH4</f>
        <v>0</v>
      </c>
      <c r="AI4">
        <f>'Pretax Fuel Prices'!AI4+'Fuel Taxes'!AI4</f>
        <v>0</v>
      </c>
    </row>
    <row r="5" spans="1:51" x14ac:dyDescent="0.35">
      <c r="A5" t="s">
        <v>53</v>
      </c>
      <c r="B5">
        <f>'Pretax Fuel Prices'!B5+'Fuel Taxes'!B5</f>
        <v>0</v>
      </c>
      <c r="C5">
        <f>'Pretax Fuel Prices'!C5+'Fuel Taxes'!C5</f>
        <v>0</v>
      </c>
      <c r="D5">
        <f>'Pretax Fuel Prices'!D5+'Fuel Taxes'!D5</f>
        <v>0</v>
      </c>
      <c r="E5">
        <f>'Pretax Fuel Prices'!E5+'Fuel Taxes'!E5</f>
        <v>0</v>
      </c>
      <c r="F5">
        <f>'Pretax Fuel Prices'!F5+'Fuel Taxes'!F5</f>
        <v>0</v>
      </c>
      <c r="G5">
        <f>'Pretax Fuel Prices'!G5+'Fuel Taxes'!G5</f>
        <v>0</v>
      </c>
      <c r="H5">
        <f>'Pretax Fuel Prices'!H5+'Fuel Taxes'!H5</f>
        <v>0</v>
      </c>
      <c r="I5">
        <f>'Pretax Fuel Prices'!I5+'Fuel Taxes'!I5</f>
        <v>0</v>
      </c>
      <c r="J5">
        <f>'Pretax Fuel Prices'!J5+'Fuel Taxes'!J5</f>
        <v>0</v>
      </c>
      <c r="K5">
        <f>'Pretax Fuel Prices'!K5+'Fuel Taxes'!K5</f>
        <v>0</v>
      </c>
      <c r="L5">
        <f>'Pretax Fuel Prices'!L5+'Fuel Taxes'!L5</f>
        <v>0</v>
      </c>
      <c r="M5">
        <f>'Pretax Fuel Prices'!M5+'Fuel Taxes'!M5</f>
        <v>0</v>
      </c>
      <c r="N5">
        <f>'Pretax Fuel Prices'!N5+'Fuel Taxes'!N5</f>
        <v>0</v>
      </c>
      <c r="O5">
        <f>'Pretax Fuel Prices'!O5+'Fuel Taxes'!O5</f>
        <v>0</v>
      </c>
      <c r="P5">
        <f>'Pretax Fuel Prices'!P5+'Fuel Taxes'!P5</f>
        <v>0</v>
      </c>
      <c r="Q5">
        <f>'Pretax Fuel Prices'!Q5+'Fuel Taxes'!Q5</f>
        <v>0</v>
      </c>
      <c r="R5">
        <f>'Pretax Fuel Prices'!R5+'Fuel Taxes'!R5</f>
        <v>0</v>
      </c>
      <c r="S5">
        <f>'Pretax Fuel Prices'!S5+'Fuel Taxes'!S5</f>
        <v>0</v>
      </c>
      <c r="T5">
        <f>'Pretax Fuel Prices'!T5+'Fuel Taxes'!T5</f>
        <v>0</v>
      </c>
      <c r="U5">
        <f>'Pretax Fuel Prices'!U5+'Fuel Taxes'!U5</f>
        <v>0</v>
      </c>
      <c r="V5">
        <f>'Pretax Fuel Prices'!V5+'Fuel Taxes'!V5</f>
        <v>0</v>
      </c>
      <c r="W5">
        <f>'Pretax Fuel Prices'!W5+'Fuel Taxes'!W5</f>
        <v>0</v>
      </c>
      <c r="X5">
        <f>'Pretax Fuel Prices'!X5+'Fuel Taxes'!X5</f>
        <v>0</v>
      </c>
      <c r="Y5">
        <f>'Pretax Fuel Prices'!Y5+'Fuel Taxes'!Y5</f>
        <v>0</v>
      </c>
      <c r="Z5">
        <f>'Pretax Fuel Prices'!Z5+'Fuel Taxes'!Z5</f>
        <v>0</v>
      </c>
      <c r="AA5">
        <f>'Pretax Fuel Prices'!AA5+'Fuel Taxes'!AA5</f>
        <v>0</v>
      </c>
      <c r="AB5">
        <f>'Pretax Fuel Prices'!AB5+'Fuel Taxes'!AB5</f>
        <v>0</v>
      </c>
      <c r="AC5">
        <f>'Pretax Fuel Prices'!AC5+'Fuel Taxes'!AC5</f>
        <v>0</v>
      </c>
      <c r="AD5">
        <f>'Pretax Fuel Prices'!AD5+'Fuel Taxes'!AD5</f>
        <v>0</v>
      </c>
      <c r="AE5">
        <f>'Pretax Fuel Prices'!AE5+'Fuel Taxes'!AE5</f>
        <v>0</v>
      </c>
      <c r="AF5">
        <f>'Pretax Fuel Prices'!AF5+'Fuel Taxes'!AF5</f>
        <v>0</v>
      </c>
      <c r="AG5">
        <f>'Pretax Fuel Prices'!AG5+'Fuel Taxes'!AG5</f>
        <v>0</v>
      </c>
      <c r="AH5">
        <f>'Pretax Fuel Prices'!AH5+'Fuel Taxes'!AH5</f>
        <v>0</v>
      </c>
      <c r="AI5">
        <f>'Pretax Fuel Prices'!AI5+'Fuel Taxes'!AI5</f>
        <v>0</v>
      </c>
    </row>
    <row r="6" spans="1:51" x14ac:dyDescent="0.35">
      <c r="A6" t="s">
        <v>54</v>
      </c>
      <c r="B6">
        <f>'Pretax Fuel Prices'!B6+'Fuel Taxes'!B6</f>
        <v>0</v>
      </c>
      <c r="C6">
        <f>'Pretax Fuel Prices'!C6+'Fuel Taxes'!C6</f>
        <v>0</v>
      </c>
      <c r="D6">
        <f>'Pretax Fuel Prices'!D6+'Fuel Taxes'!D6</f>
        <v>0</v>
      </c>
      <c r="E6">
        <f>'Pretax Fuel Prices'!E6+'Fuel Taxes'!E6</f>
        <v>0</v>
      </c>
      <c r="F6">
        <f>'Pretax Fuel Prices'!F6+'Fuel Taxes'!F6</f>
        <v>0</v>
      </c>
      <c r="G6">
        <f>'Pretax Fuel Prices'!G6+'Fuel Taxes'!G6</f>
        <v>0</v>
      </c>
      <c r="H6">
        <f>'Pretax Fuel Prices'!H6+'Fuel Taxes'!H6</f>
        <v>0</v>
      </c>
      <c r="I6">
        <f>'Pretax Fuel Prices'!I6+'Fuel Taxes'!I6</f>
        <v>0</v>
      </c>
      <c r="J6">
        <f>'Pretax Fuel Prices'!J6+'Fuel Taxes'!J6</f>
        <v>0</v>
      </c>
      <c r="K6">
        <f>'Pretax Fuel Prices'!K6+'Fuel Taxes'!K6</f>
        <v>0</v>
      </c>
      <c r="L6">
        <f>'Pretax Fuel Prices'!L6+'Fuel Taxes'!L6</f>
        <v>0</v>
      </c>
      <c r="M6">
        <f>'Pretax Fuel Prices'!M6+'Fuel Taxes'!M6</f>
        <v>0</v>
      </c>
      <c r="N6">
        <f>'Pretax Fuel Prices'!N6+'Fuel Taxes'!N6</f>
        <v>0</v>
      </c>
      <c r="O6">
        <f>'Pretax Fuel Prices'!O6+'Fuel Taxes'!O6</f>
        <v>0</v>
      </c>
      <c r="P6">
        <f>'Pretax Fuel Prices'!P6+'Fuel Taxes'!P6</f>
        <v>0</v>
      </c>
      <c r="Q6">
        <f>'Pretax Fuel Prices'!Q6+'Fuel Taxes'!Q6</f>
        <v>0</v>
      </c>
      <c r="R6">
        <f>'Pretax Fuel Prices'!R6+'Fuel Taxes'!R6</f>
        <v>0</v>
      </c>
      <c r="S6">
        <f>'Pretax Fuel Prices'!S6+'Fuel Taxes'!S6</f>
        <v>0</v>
      </c>
      <c r="T6">
        <f>'Pretax Fuel Prices'!T6+'Fuel Taxes'!T6</f>
        <v>0</v>
      </c>
      <c r="U6">
        <f>'Pretax Fuel Prices'!U6+'Fuel Taxes'!U6</f>
        <v>0</v>
      </c>
      <c r="V6">
        <f>'Pretax Fuel Prices'!V6+'Fuel Taxes'!V6</f>
        <v>0</v>
      </c>
      <c r="W6">
        <f>'Pretax Fuel Prices'!W6+'Fuel Taxes'!W6</f>
        <v>0</v>
      </c>
      <c r="X6">
        <f>'Pretax Fuel Prices'!X6+'Fuel Taxes'!X6</f>
        <v>0</v>
      </c>
      <c r="Y6">
        <f>'Pretax Fuel Prices'!Y6+'Fuel Taxes'!Y6</f>
        <v>0</v>
      </c>
      <c r="Z6">
        <f>'Pretax Fuel Prices'!Z6+'Fuel Taxes'!Z6</f>
        <v>0</v>
      </c>
      <c r="AA6">
        <f>'Pretax Fuel Prices'!AA6+'Fuel Taxes'!AA6</f>
        <v>0</v>
      </c>
      <c r="AB6">
        <f>'Pretax Fuel Prices'!AB6+'Fuel Taxes'!AB6</f>
        <v>0</v>
      </c>
      <c r="AC6">
        <f>'Pretax Fuel Prices'!AC6+'Fuel Taxes'!AC6</f>
        <v>0</v>
      </c>
      <c r="AD6">
        <f>'Pretax Fuel Prices'!AD6+'Fuel Taxes'!AD6</f>
        <v>0</v>
      </c>
      <c r="AE6">
        <f>'Pretax Fuel Prices'!AE6+'Fuel Taxes'!AE6</f>
        <v>0</v>
      </c>
      <c r="AF6">
        <f>'Pretax Fuel Prices'!AF6+'Fuel Taxes'!AF6</f>
        <v>0</v>
      </c>
      <c r="AG6">
        <f>'Pretax Fuel Prices'!AG6+'Fuel Taxes'!AG6</f>
        <v>0</v>
      </c>
      <c r="AH6">
        <f>'Pretax Fuel Prices'!AH6+'Fuel Taxes'!AH6</f>
        <v>0</v>
      </c>
      <c r="AI6">
        <f>'Pretax Fuel Prices'!AI6+'Fuel Taxes'!AI6</f>
        <v>0</v>
      </c>
    </row>
    <row r="7" spans="1:51" x14ac:dyDescent="0.35">
      <c r="A7" t="s">
        <v>55</v>
      </c>
      <c r="B7">
        <f>'Pretax Fuel Prices'!B7+'Fuel Taxes'!B7</f>
        <v>2.3704768419110269E-6</v>
      </c>
      <c r="C7">
        <f>'Pretax Fuel Prices'!C7+'Fuel Taxes'!C7</f>
        <v>2.3704768419110269E-6</v>
      </c>
      <c r="D7">
        <f>'Pretax Fuel Prices'!D7+'Fuel Taxes'!D7</f>
        <v>2.3704768419110269E-6</v>
      </c>
      <c r="E7">
        <f>'Pretax Fuel Prices'!E7+'Fuel Taxes'!E7</f>
        <v>2.3704768419110269E-6</v>
      </c>
      <c r="F7">
        <f>'Pretax Fuel Prices'!F7+'Fuel Taxes'!F7</f>
        <v>2.397828497779231E-6</v>
      </c>
      <c r="G7">
        <f>'Pretax Fuel Prices'!G7+'Fuel Taxes'!G7</f>
        <v>2.397828497779231E-6</v>
      </c>
      <c r="H7">
        <f>'Pretax Fuel Prices'!H7+'Fuel Taxes'!H7</f>
        <v>2.397828497779231E-6</v>
      </c>
      <c r="I7">
        <f>'Pretax Fuel Prices'!I7+'Fuel Taxes'!I7</f>
        <v>2.4069457164019654E-6</v>
      </c>
      <c r="J7">
        <f>'Pretax Fuel Prices'!J7+'Fuel Taxes'!J7</f>
        <v>2.4160629350246999E-6</v>
      </c>
      <c r="K7">
        <f>'Pretax Fuel Prices'!K7+'Fuel Taxes'!K7</f>
        <v>2.4251801536474351E-6</v>
      </c>
      <c r="L7">
        <f>'Pretax Fuel Prices'!L7+'Fuel Taxes'!L7</f>
        <v>2.4434145908929048E-6</v>
      </c>
      <c r="M7">
        <f>'Pretax Fuel Prices'!M7+'Fuel Taxes'!M7</f>
        <v>2.4434145908929048E-6</v>
      </c>
      <c r="N7">
        <f>'Pretax Fuel Prices'!N7+'Fuel Taxes'!N7</f>
        <v>2.4525318095156393E-6</v>
      </c>
      <c r="O7">
        <f>'Pretax Fuel Prices'!O7+'Fuel Taxes'!O7</f>
        <v>2.4616490281383741E-6</v>
      </c>
      <c r="P7">
        <f>'Pretax Fuel Prices'!P7+'Fuel Taxes'!P7</f>
        <v>2.4707662467611081E-6</v>
      </c>
      <c r="Q7">
        <f>'Pretax Fuel Prices'!Q7+'Fuel Taxes'!Q7</f>
        <v>2.4707662467611081E-6</v>
      </c>
      <c r="R7">
        <f>'Pretax Fuel Prices'!R7+'Fuel Taxes'!R7</f>
        <v>2.4798834653838438E-6</v>
      </c>
      <c r="S7">
        <f>'Pretax Fuel Prices'!S7+'Fuel Taxes'!S7</f>
        <v>2.4798834653838438E-6</v>
      </c>
      <c r="T7">
        <f>'Pretax Fuel Prices'!T7+'Fuel Taxes'!T7</f>
        <v>2.4890006840065782E-6</v>
      </c>
      <c r="U7">
        <f>'Pretax Fuel Prices'!U7+'Fuel Taxes'!U7</f>
        <v>2.4890006840065782E-6</v>
      </c>
      <c r="V7">
        <f>'Pretax Fuel Prices'!V7+'Fuel Taxes'!V7</f>
        <v>2.4981179026293131E-6</v>
      </c>
      <c r="W7">
        <f>'Pretax Fuel Prices'!W7+'Fuel Taxes'!W7</f>
        <v>2.5072351212520475E-6</v>
      </c>
      <c r="X7">
        <f>'Pretax Fuel Prices'!X7+'Fuel Taxes'!X7</f>
        <v>2.5163523398747819E-6</v>
      </c>
      <c r="Y7">
        <f>'Pretax Fuel Prices'!Y7+'Fuel Taxes'!Y7</f>
        <v>2.5254695584975168E-6</v>
      </c>
      <c r="Z7">
        <f>'Pretax Fuel Prices'!Z7+'Fuel Taxes'!Z7</f>
        <v>2.5345867771202512E-6</v>
      </c>
      <c r="AA7">
        <f>'Pretax Fuel Prices'!AA7+'Fuel Taxes'!AA7</f>
        <v>2.543703995742986E-6</v>
      </c>
      <c r="AB7">
        <f>'Pretax Fuel Prices'!AB7+'Fuel Taxes'!AB7</f>
        <v>2.5528212143657213E-6</v>
      </c>
      <c r="AC7">
        <f>'Pretax Fuel Prices'!AC7+'Fuel Taxes'!AC7</f>
        <v>2.5619384329884557E-6</v>
      </c>
      <c r="AD7">
        <f>'Pretax Fuel Prices'!AD7+'Fuel Taxes'!AD7</f>
        <v>2.5710556516111906E-6</v>
      </c>
      <c r="AE7">
        <f>'Pretax Fuel Prices'!AE7+'Fuel Taxes'!AE7</f>
        <v>2.580172870233925E-6</v>
      </c>
      <c r="AF7">
        <f>'Pretax Fuel Prices'!AF7+'Fuel Taxes'!AF7</f>
        <v>0</v>
      </c>
      <c r="AG7">
        <f>'Pretax Fuel Prices'!AG7+'Fuel Taxes'!AG7</f>
        <v>0</v>
      </c>
      <c r="AH7">
        <f>'Pretax Fuel Prices'!AH7+'Fuel Taxes'!AH7</f>
        <v>0</v>
      </c>
      <c r="AI7">
        <f>'Pretax Fuel Prices'!AI7+'Fuel Taxes'!AI7</f>
        <v>0</v>
      </c>
    </row>
    <row r="8" spans="1:51" x14ac:dyDescent="0.35">
      <c r="A8" t="s">
        <v>56</v>
      </c>
      <c r="B8">
        <f>'Pretax Fuel Prices'!B8+'Fuel Taxes'!B8</f>
        <v>2.3704768419110269E-6</v>
      </c>
      <c r="C8">
        <f>'Pretax Fuel Prices'!C8+'Fuel Taxes'!C8</f>
        <v>2.3704768419110269E-6</v>
      </c>
      <c r="D8">
        <f>'Pretax Fuel Prices'!D8+'Fuel Taxes'!D8</f>
        <v>2.3704768419110269E-6</v>
      </c>
      <c r="E8">
        <f>'Pretax Fuel Prices'!E8+'Fuel Taxes'!E8</f>
        <v>2.3704768419110269E-6</v>
      </c>
      <c r="F8">
        <f>'Pretax Fuel Prices'!F8+'Fuel Taxes'!F8</f>
        <v>2.397828497779231E-6</v>
      </c>
      <c r="G8">
        <f>'Pretax Fuel Prices'!G8+'Fuel Taxes'!G8</f>
        <v>2.397828497779231E-6</v>
      </c>
      <c r="H8">
        <f>'Pretax Fuel Prices'!H8+'Fuel Taxes'!H8</f>
        <v>2.397828497779231E-6</v>
      </c>
      <c r="I8">
        <f>'Pretax Fuel Prices'!I8+'Fuel Taxes'!I8</f>
        <v>2.4069457164019654E-6</v>
      </c>
      <c r="J8">
        <f>'Pretax Fuel Prices'!J8+'Fuel Taxes'!J8</f>
        <v>2.4160629350246999E-6</v>
      </c>
      <c r="K8">
        <f>'Pretax Fuel Prices'!K8+'Fuel Taxes'!K8</f>
        <v>2.4251801536474351E-6</v>
      </c>
      <c r="L8">
        <f>'Pretax Fuel Prices'!L8+'Fuel Taxes'!L8</f>
        <v>2.4434145908929048E-6</v>
      </c>
      <c r="M8">
        <f>'Pretax Fuel Prices'!M8+'Fuel Taxes'!M8</f>
        <v>2.4434145908929048E-6</v>
      </c>
      <c r="N8">
        <f>'Pretax Fuel Prices'!N8+'Fuel Taxes'!N8</f>
        <v>2.4525318095156393E-6</v>
      </c>
      <c r="O8">
        <f>'Pretax Fuel Prices'!O8+'Fuel Taxes'!O8</f>
        <v>2.4616490281383741E-6</v>
      </c>
      <c r="P8">
        <f>'Pretax Fuel Prices'!P8+'Fuel Taxes'!P8</f>
        <v>2.4707662467611081E-6</v>
      </c>
      <c r="Q8">
        <f>'Pretax Fuel Prices'!Q8+'Fuel Taxes'!Q8</f>
        <v>2.4707662467611081E-6</v>
      </c>
      <c r="R8">
        <f>'Pretax Fuel Prices'!R8+'Fuel Taxes'!R8</f>
        <v>2.4798834653838438E-6</v>
      </c>
      <c r="S8">
        <f>'Pretax Fuel Prices'!S8+'Fuel Taxes'!S8</f>
        <v>2.4798834653838438E-6</v>
      </c>
      <c r="T8">
        <f>'Pretax Fuel Prices'!T8+'Fuel Taxes'!T8</f>
        <v>2.4890006840065782E-6</v>
      </c>
      <c r="U8">
        <f>'Pretax Fuel Prices'!U8+'Fuel Taxes'!U8</f>
        <v>2.4890006840065782E-6</v>
      </c>
      <c r="V8">
        <f>'Pretax Fuel Prices'!V8+'Fuel Taxes'!V8</f>
        <v>2.4981179026293131E-6</v>
      </c>
      <c r="W8">
        <f>'Pretax Fuel Prices'!W8+'Fuel Taxes'!W8</f>
        <v>2.5072351212520475E-6</v>
      </c>
      <c r="X8">
        <f>'Pretax Fuel Prices'!X8+'Fuel Taxes'!X8</f>
        <v>2.5163523398747819E-6</v>
      </c>
      <c r="Y8">
        <f>'Pretax Fuel Prices'!Y8+'Fuel Taxes'!Y8</f>
        <v>2.5254695584975168E-6</v>
      </c>
      <c r="Z8">
        <f>'Pretax Fuel Prices'!Z8+'Fuel Taxes'!Z8</f>
        <v>2.5345867771202512E-6</v>
      </c>
      <c r="AA8">
        <f>'Pretax Fuel Prices'!AA8+'Fuel Taxes'!AA8</f>
        <v>2.543703995742986E-6</v>
      </c>
      <c r="AB8">
        <f>'Pretax Fuel Prices'!AB8+'Fuel Taxes'!AB8</f>
        <v>2.5528212143657213E-6</v>
      </c>
      <c r="AC8">
        <f>'Pretax Fuel Prices'!AC8+'Fuel Taxes'!AC8</f>
        <v>2.5619384329884557E-6</v>
      </c>
      <c r="AD8">
        <f>'Pretax Fuel Prices'!AD8+'Fuel Taxes'!AD8</f>
        <v>2.5710556516111906E-6</v>
      </c>
      <c r="AE8">
        <f>'Pretax Fuel Prices'!AE8+'Fuel Taxes'!AE8</f>
        <v>2.580172870233925E-6</v>
      </c>
      <c r="AF8">
        <f>'Pretax Fuel Prices'!AF8+'Fuel Taxes'!AF8</f>
        <v>0</v>
      </c>
      <c r="AG8">
        <f>'Pretax Fuel Prices'!AG8+'Fuel Taxes'!AG8</f>
        <v>0</v>
      </c>
      <c r="AH8">
        <f>'Pretax Fuel Prices'!AH8+'Fuel Taxes'!AH8</f>
        <v>0</v>
      </c>
      <c r="AI8">
        <f>'Pretax Fuel Prices'!AI8+'Fuel Taxes'!AI8</f>
        <v>0</v>
      </c>
    </row>
    <row r="9" spans="1:51" x14ac:dyDescent="0.35">
      <c r="A9" t="s">
        <v>57</v>
      </c>
      <c r="B9">
        <f>'Pretax Fuel Prices'!B9+'Fuel Taxes'!B9</f>
        <v>0</v>
      </c>
      <c r="C9">
        <f>'Pretax Fuel Prices'!C9+'Fuel Taxes'!C9</f>
        <v>0</v>
      </c>
      <c r="D9">
        <f>'Pretax Fuel Prices'!D9+'Fuel Taxes'!D9</f>
        <v>0</v>
      </c>
      <c r="E9">
        <f>'Pretax Fuel Prices'!E9+'Fuel Taxes'!E9</f>
        <v>0</v>
      </c>
      <c r="F9">
        <f>'Pretax Fuel Prices'!F9+'Fuel Taxes'!F9</f>
        <v>0</v>
      </c>
      <c r="G9">
        <f>'Pretax Fuel Prices'!G9+'Fuel Taxes'!G9</f>
        <v>0</v>
      </c>
      <c r="H9">
        <f>'Pretax Fuel Prices'!H9+'Fuel Taxes'!H9</f>
        <v>0</v>
      </c>
      <c r="I9">
        <f>'Pretax Fuel Prices'!I9+'Fuel Taxes'!I9</f>
        <v>0</v>
      </c>
      <c r="J9">
        <f>'Pretax Fuel Prices'!J9+'Fuel Taxes'!J9</f>
        <v>0</v>
      </c>
      <c r="K9">
        <f>'Pretax Fuel Prices'!K9+'Fuel Taxes'!K9</f>
        <v>0</v>
      </c>
      <c r="L9">
        <f>'Pretax Fuel Prices'!L9+'Fuel Taxes'!L9</f>
        <v>0</v>
      </c>
      <c r="M9">
        <f>'Pretax Fuel Prices'!M9+'Fuel Taxes'!M9</f>
        <v>0</v>
      </c>
      <c r="N9">
        <f>'Pretax Fuel Prices'!N9+'Fuel Taxes'!N9</f>
        <v>0</v>
      </c>
      <c r="O9">
        <f>'Pretax Fuel Prices'!O9+'Fuel Taxes'!O9</f>
        <v>0</v>
      </c>
      <c r="P9">
        <f>'Pretax Fuel Prices'!P9+'Fuel Taxes'!P9</f>
        <v>0</v>
      </c>
      <c r="Q9">
        <f>'Pretax Fuel Prices'!Q9+'Fuel Taxes'!Q9</f>
        <v>0</v>
      </c>
      <c r="R9">
        <f>'Pretax Fuel Prices'!R9+'Fuel Taxes'!R9</f>
        <v>0</v>
      </c>
      <c r="S9">
        <f>'Pretax Fuel Prices'!S9+'Fuel Taxes'!S9</f>
        <v>0</v>
      </c>
      <c r="T9">
        <f>'Pretax Fuel Prices'!T9+'Fuel Taxes'!T9</f>
        <v>0</v>
      </c>
      <c r="U9">
        <f>'Pretax Fuel Prices'!U9+'Fuel Taxes'!U9</f>
        <v>0</v>
      </c>
      <c r="V9">
        <f>'Pretax Fuel Prices'!V9+'Fuel Taxes'!V9</f>
        <v>0</v>
      </c>
      <c r="W9">
        <f>'Pretax Fuel Prices'!W9+'Fuel Taxes'!W9</f>
        <v>0</v>
      </c>
      <c r="X9">
        <f>'Pretax Fuel Prices'!X9+'Fuel Taxes'!X9</f>
        <v>0</v>
      </c>
      <c r="Y9">
        <f>'Pretax Fuel Prices'!Y9+'Fuel Taxes'!Y9</f>
        <v>0</v>
      </c>
      <c r="Z9">
        <f>'Pretax Fuel Prices'!Z9+'Fuel Taxes'!Z9</f>
        <v>0</v>
      </c>
      <c r="AA9">
        <f>'Pretax Fuel Prices'!AA9+'Fuel Taxes'!AA9</f>
        <v>0</v>
      </c>
      <c r="AB9">
        <f>'Pretax Fuel Prices'!AB9+'Fuel Taxes'!AB9</f>
        <v>0</v>
      </c>
      <c r="AC9">
        <f>'Pretax Fuel Prices'!AC9+'Fuel Taxes'!AC9</f>
        <v>0</v>
      </c>
      <c r="AD9">
        <f>'Pretax Fuel Prices'!AD9+'Fuel Taxes'!AD9</f>
        <v>0</v>
      </c>
      <c r="AE9">
        <f>'Pretax Fuel Prices'!AE9+'Fuel Taxes'!AE9</f>
        <v>0</v>
      </c>
      <c r="AF9">
        <f>'Pretax Fuel Prices'!AF9+'Fuel Taxes'!AF9</f>
        <v>0</v>
      </c>
      <c r="AG9">
        <f>'Pretax Fuel Prices'!AG9+'Fuel Taxes'!AG9</f>
        <v>0</v>
      </c>
      <c r="AH9">
        <f>'Pretax Fuel Prices'!AH9+'Fuel Taxes'!AH9</f>
        <v>0</v>
      </c>
      <c r="AI9">
        <f>'Pretax Fuel Prices'!AI9+'Fuel Taxes'!AI9</f>
        <v>0</v>
      </c>
    </row>
    <row r="10" spans="1:51" x14ac:dyDescent="0.35">
      <c r="A10" t="s">
        <v>58</v>
      </c>
      <c r="B10">
        <f>'Pretax Fuel Prices'!B10+'Fuel Taxes'!B10</f>
        <v>2.3704768419110269E-6</v>
      </c>
      <c r="C10">
        <f>'Pretax Fuel Prices'!C10+'Fuel Taxes'!C10</f>
        <v>2.3704768419110269E-6</v>
      </c>
      <c r="D10">
        <f>'Pretax Fuel Prices'!D10+'Fuel Taxes'!D10</f>
        <v>2.3704768419110269E-6</v>
      </c>
      <c r="E10">
        <f>'Pretax Fuel Prices'!E10+'Fuel Taxes'!E10</f>
        <v>2.3704768419110269E-6</v>
      </c>
      <c r="F10">
        <f>'Pretax Fuel Prices'!F10+'Fuel Taxes'!F10</f>
        <v>2.397828497779231E-6</v>
      </c>
      <c r="G10">
        <f>'Pretax Fuel Prices'!G10+'Fuel Taxes'!G10</f>
        <v>2.397828497779231E-6</v>
      </c>
      <c r="H10">
        <f>'Pretax Fuel Prices'!H10+'Fuel Taxes'!H10</f>
        <v>2.397828497779231E-6</v>
      </c>
      <c r="I10">
        <f>'Pretax Fuel Prices'!I10+'Fuel Taxes'!I10</f>
        <v>2.4069457164019654E-6</v>
      </c>
      <c r="J10">
        <f>'Pretax Fuel Prices'!J10+'Fuel Taxes'!J10</f>
        <v>2.4160629350246999E-6</v>
      </c>
      <c r="K10">
        <f>'Pretax Fuel Prices'!K10+'Fuel Taxes'!K10</f>
        <v>2.4251801536474351E-6</v>
      </c>
      <c r="L10">
        <f>'Pretax Fuel Prices'!L10+'Fuel Taxes'!L10</f>
        <v>2.4434145908929048E-6</v>
      </c>
      <c r="M10">
        <f>'Pretax Fuel Prices'!M10+'Fuel Taxes'!M10</f>
        <v>2.4434145908929048E-6</v>
      </c>
      <c r="N10">
        <f>'Pretax Fuel Prices'!N10+'Fuel Taxes'!N10</f>
        <v>2.4525318095156393E-6</v>
      </c>
      <c r="O10">
        <f>'Pretax Fuel Prices'!O10+'Fuel Taxes'!O10</f>
        <v>2.4616490281383741E-6</v>
      </c>
      <c r="P10">
        <f>'Pretax Fuel Prices'!P10+'Fuel Taxes'!P10</f>
        <v>2.4707662467611081E-6</v>
      </c>
      <c r="Q10">
        <f>'Pretax Fuel Prices'!Q10+'Fuel Taxes'!Q10</f>
        <v>2.4707662467611081E-6</v>
      </c>
      <c r="R10">
        <f>'Pretax Fuel Prices'!R10+'Fuel Taxes'!R10</f>
        <v>2.4798834653838438E-6</v>
      </c>
      <c r="S10">
        <f>'Pretax Fuel Prices'!S10+'Fuel Taxes'!S10</f>
        <v>2.4798834653838438E-6</v>
      </c>
      <c r="T10">
        <f>'Pretax Fuel Prices'!T10+'Fuel Taxes'!T10</f>
        <v>2.4890006840065782E-6</v>
      </c>
      <c r="U10">
        <f>'Pretax Fuel Prices'!U10+'Fuel Taxes'!U10</f>
        <v>2.4890006840065782E-6</v>
      </c>
      <c r="V10">
        <f>'Pretax Fuel Prices'!V10+'Fuel Taxes'!V10</f>
        <v>2.4981179026293131E-6</v>
      </c>
      <c r="W10">
        <f>'Pretax Fuel Prices'!W10+'Fuel Taxes'!W10</f>
        <v>2.5072351212520475E-6</v>
      </c>
      <c r="X10">
        <f>'Pretax Fuel Prices'!X10+'Fuel Taxes'!X10</f>
        <v>2.5163523398747819E-6</v>
      </c>
      <c r="Y10">
        <f>'Pretax Fuel Prices'!Y10+'Fuel Taxes'!Y10</f>
        <v>2.5254695584975168E-6</v>
      </c>
      <c r="Z10">
        <f>'Pretax Fuel Prices'!Z10+'Fuel Taxes'!Z10</f>
        <v>2.5345867771202512E-6</v>
      </c>
      <c r="AA10">
        <f>'Pretax Fuel Prices'!AA10+'Fuel Taxes'!AA10</f>
        <v>2.543703995742986E-6</v>
      </c>
      <c r="AB10">
        <f>'Pretax Fuel Prices'!AB10+'Fuel Taxes'!AB10</f>
        <v>2.5528212143657213E-6</v>
      </c>
      <c r="AC10">
        <f>'Pretax Fuel Prices'!AC10+'Fuel Taxes'!AC10</f>
        <v>2.5619384329884557E-6</v>
      </c>
      <c r="AD10">
        <f>'Pretax Fuel Prices'!AD10+'Fuel Taxes'!AD10</f>
        <v>2.5710556516111906E-6</v>
      </c>
      <c r="AE10">
        <f>'Pretax Fuel Prices'!AE10+'Fuel Taxes'!AE10</f>
        <v>2.580172870233925E-6</v>
      </c>
      <c r="AF10">
        <f>'Pretax Fuel Prices'!AF10+'Fuel Taxes'!AF10</f>
        <v>0</v>
      </c>
      <c r="AG10">
        <f>'Pretax Fuel Prices'!AG10+'Fuel Taxes'!AG10</f>
        <v>0</v>
      </c>
      <c r="AH10">
        <f>'Pretax Fuel Prices'!AH10+'Fuel Taxes'!AH10</f>
        <v>0</v>
      </c>
      <c r="AI10">
        <f>'Pretax Fuel Prices'!AI10+'Fuel Taxes'!AI10</f>
        <v>0</v>
      </c>
    </row>
    <row r="11" spans="1:51" s="4" customFormat="1" x14ac:dyDescent="0.35">
      <c r="A11" s="6" t="s">
        <v>30</v>
      </c>
    </row>
    <row r="12" spans="1:51" x14ac:dyDescent="0.35">
      <c r="A12" t="s">
        <v>29</v>
      </c>
      <c r="B12" s="1">
        <v>2021</v>
      </c>
      <c r="C12" s="1">
        <v>2022</v>
      </c>
      <c r="D12" s="1">
        <v>2023</v>
      </c>
      <c r="E12" s="1">
        <v>2024</v>
      </c>
      <c r="F12" s="1">
        <v>2025</v>
      </c>
      <c r="G12" s="1">
        <v>2026</v>
      </c>
      <c r="H12" s="1">
        <v>2027</v>
      </c>
      <c r="I12" s="1">
        <v>2028</v>
      </c>
      <c r="J12" s="1">
        <v>2029</v>
      </c>
      <c r="K12" s="1">
        <v>2030</v>
      </c>
      <c r="L12" s="1">
        <v>2031</v>
      </c>
      <c r="M12" s="1">
        <v>2032</v>
      </c>
      <c r="N12" s="1">
        <v>2033</v>
      </c>
      <c r="O12" s="1">
        <v>2034</v>
      </c>
      <c r="P12" s="1">
        <v>2035</v>
      </c>
      <c r="Q12" s="1">
        <v>2036</v>
      </c>
      <c r="R12" s="1">
        <v>2037</v>
      </c>
      <c r="S12" s="1">
        <v>2038</v>
      </c>
      <c r="T12" s="1">
        <v>2039</v>
      </c>
      <c r="U12" s="1">
        <v>2040</v>
      </c>
      <c r="V12" s="1">
        <v>2041</v>
      </c>
      <c r="W12" s="1">
        <v>2042</v>
      </c>
      <c r="X12" s="1">
        <v>2043</v>
      </c>
      <c r="Y12" s="1">
        <v>2044</v>
      </c>
      <c r="Z12" s="1">
        <v>2045</v>
      </c>
      <c r="AA12" s="1">
        <v>2046</v>
      </c>
      <c r="AB12" s="1">
        <v>2047</v>
      </c>
      <c r="AC12" s="1">
        <v>2048</v>
      </c>
      <c r="AD12" s="1">
        <v>2049</v>
      </c>
      <c r="AE12" s="1">
        <v>2050</v>
      </c>
      <c r="AF12" s="1">
        <v>2051</v>
      </c>
      <c r="AG12" s="1">
        <v>2052</v>
      </c>
      <c r="AH12" s="1">
        <v>2053</v>
      </c>
      <c r="AI12" s="1">
        <v>2054</v>
      </c>
      <c r="AJ12" s="1">
        <v>2055</v>
      </c>
      <c r="AK12" s="1">
        <v>2056</v>
      </c>
      <c r="AL12" s="1">
        <v>2057</v>
      </c>
      <c r="AM12" s="1">
        <v>2058</v>
      </c>
      <c r="AN12" s="1">
        <v>2059</v>
      </c>
      <c r="AO12" s="1">
        <v>2060</v>
      </c>
      <c r="AP12" s="1">
        <v>2061</v>
      </c>
      <c r="AQ12" s="1">
        <v>2062</v>
      </c>
      <c r="AR12" s="1">
        <v>2063</v>
      </c>
      <c r="AS12" s="1">
        <v>2064</v>
      </c>
      <c r="AT12" s="1">
        <v>2065</v>
      </c>
      <c r="AU12" s="1">
        <v>2066</v>
      </c>
      <c r="AV12" s="1">
        <v>2067</v>
      </c>
      <c r="AW12" s="1">
        <v>2068</v>
      </c>
      <c r="AX12" s="1">
        <v>2069</v>
      </c>
      <c r="AY12" s="1">
        <v>2070</v>
      </c>
    </row>
    <row r="13" spans="1:51" x14ac:dyDescent="0.35">
      <c r="A13" t="s">
        <v>51</v>
      </c>
      <c r="B13">
        <f>'Pretax Fuel Prices'!B13+'Fuel Taxes'!B13</f>
        <v>1.0776657787582582E-5</v>
      </c>
      <c r="C13">
        <f>'Pretax Fuel Prices'!C13+'Fuel Taxes'!C13</f>
        <v>1.0776657787582582E-5</v>
      </c>
      <c r="D13">
        <f>'Pretax Fuel Prices'!D13+'Fuel Taxes'!D13</f>
        <v>1.0776657787582582E-5</v>
      </c>
      <c r="E13">
        <f>'Pretax Fuel Prices'!E13+'Fuel Taxes'!E13</f>
        <v>1.0776657787582582E-5</v>
      </c>
      <c r="F13">
        <f>'Pretax Fuel Prices'!F13+'Fuel Taxes'!F13</f>
        <v>1.6170316414493364E-5</v>
      </c>
      <c r="G13">
        <f>'Pretax Fuel Prices'!G13+'Fuel Taxes'!G13</f>
        <v>1.6821951905895908E-5</v>
      </c>
      <c r="H13">
        <f>'Pretax Fuel Prices'!H13+'Fuel Taxes'!H13</f>
        <v>1.5604978793601008E-5</v>
      </c>
      <c r="I13">
        <f>'Pretax Fuel Prices'!I13+'Fuel Taxes'!I13</f>
        <v>1.4611353832031874E-5</v>
      </c>
      <c r="J13">
        <f>'Pretax Fuel Prices'!J13+'Fuel Taxes'!J13</f>
        <v>1.502089845173852E-5</v>
      </c>
      <c r="K13">
        <f>'Pretax Fuel Prices'!K13+'Fuel Taxes'!K13</f>
        <v>1.5563295274203623E-5</v>
      </c>
      <c r="L13">
        <f>'Pretax Fuel Prices'!L13+'Fuel Taxes'!L13</f>
        <v>1.5864774600659608E-5</v>
      </c>
      <c r="M13">
        <f>'Pretax Fuel Prices'!M13+'Fuel Taxes'!M13</f>
        <v>1.6560294342747621E-5</v>
      </c>
      <c r="N13">
        <f>'Pretax Fuel Prices'!N13+'Fuel Taxes'!N13</f>
        <v>1.7160650709136468E-5</v>
      </c>
      <c r="O13">
        <f>'Pretax Fuel Prices'!O13+'Fuel Taxes'!O13</f>
        <v>1.7438735531899637E-5</v>
      </c>
      <c r="P13">
        <f>'Pretax Fuel Prices'!P13+'Fuel Taxes'!P13</f>
        <v>1.7514504311247139E-5</v>
      </c>
      <c r="Q13">
        <f>'Pretax Fuel Prices'!Q13+'Fuel Taxes'!Q13</f>
        <v>1.7851179693303391E-5</v>
      </c>
      <c r="R13">
        <f>'Pretax Fuel Prices'!R13+'Fuel Taxes'!R13</f>
        <v>1.8185810794163121E-5</v>
      </c>
      <c r="S13">
        <f>'Pretax Fuel Prices'!S13+'Fuel Taxes'!S13</f>
        <v>1.8341374335214531E-5</v>
      </c>
      <c r="T13">
        <f>'Pretax Fuel Prices'!T13+'Fuel Taxes'!T13</f>
        <v>1.8423030853008126E-5</v>
      </c>
      <c r="U13">
        <f>'Pretax Fuel Prices'!U13+'Fuel Taxes'!U13</f>
        <v>1.8447118952106901E-5</v>
      </c>
      <c r="V13">
        <f>'Pretax Fuel Prices'!V13+'Fuel Taxes'!V13</f>
        <v>1.8400199569644966E-5</v>
      </c>
      <c r="W13">
        <f>'Pretax Fuel Prices'!W13+'Fuel Taxes'!W13</f>
        <v>1.8511904935026164E-5</v>
      </c>
      <c r="X13">
        <f>'Pretax Fuel Prices'!X13+'Fuel Taxes'!X13</f>
        <v>1.8515117376906407E-5</v>
      </c>
      <c r="Y13">
        <f>'Pretax Fuel Prices'!Y13+'Fuel Taxes'!Y13</f>
        <v>1.8509365228539674E-5</v>
      </c>
      <c r="Z13">
        <f>'Pretax Fuel Prices'!Z13+'Fuel Taxes'!Z13</f>
        <v>1.8508165777837634E-5</v>
      </c>
      <c r="AA13">
        <f>'Pretax Fuel Prices'!AA13+'Fuel Taxes'!AA13</f>
        <v>1.8402316860884215E-5</v>
      </c>
      <c r="AB13">
        <f>'Pretax Fuel Prices'!AB13+'Fuel Taxes'!AB13</f>
        <v>1.8281980665451388E-5</v>
      </c>
      <c r="AC13">
        <f>'Pretax Fuel Prices'!AC13+'Fuel Taxes'!AC13</f>
        <v>1.826225752390742E-5</v>
      </c>
      <c r="AD13">
        <f>'Pretax Fuel Prices'!AD13+'Fuel Taxes'!AD13</f>
        <v>1.8292660991702589E-5</v>
      </c>
      <c r="AE13">
        <f>'Pretax Fuel Prices'!AE13+'Fuel Taxes'!AE13</f>
        <v>1.8362062252323178E-5</v>
      </c>
      <c r="AF13">
        <f>'Pretax Fuel Prices'!AF13+'Fuel Taxes'!AF13</f>
        <v>0</v>
      </c>
      <c r="AG13">
        <f>'Pretax Fuel Prices'!AG13+'Fuel Taxes'!AG13</f>
        <v>0</v>
      </c>
      <c r="AH13">
        <f>'Pretax Fuel Prices'!AH13+'Fuel Taxes'!AH13</f>
        <v>0</v>
      </c>
      <c r="AI13">
        <f>'Pretax Fuel Prices'!AI13+'Fuel Taxes'!AI13</f>
        <v>0</v>
      </c>
    </row>
    <row r="14" spans="1:51" x14ac:dyDescent="0.35">
      <c r="A14" t="s">
        <v>52</v>
      </c>
      <c r="B14">
        <f>'Pretax Fuel Prices'!B14+'Fuel Taxes'!B14</f>
        <v>6.5381662842511398E-6</v>
      </c>
      <c r="C14">
        <f>'Pretax Fuel Prices'!C14+'Fuel Taxes'!C14</f>
        <v>6.5381662842511398E-6</v>
      </c>
      <c r="D14">
        <f>'Pretax Fuel Prices'!D14+'Fuel Taxes'!D14</f>
        <v>6.5381662842511398E-6</v>
      </c>
      <c r="E14">
        <f>'Pretax Fuel Prices'!E14+'Fuel Taxes'!E14</f>
        <v>6.5381662842511398E-6</v>
      </c>
      <c r="F14">
        <f>'Pretax Fuel Prices'!F14+'Fuel Taxes'!F14</f>
        <v>9.810482959636536E-6</v>
      </c>
      <c r="G14">
        <f>'Pretax Fuel Prices'!G14+'Fuel Taxes'!G14</f>
        <v>1.0205828277590188E-5</v>
      </c>
      <c r="H14">
        <f>'Pretax Fuel Prices'!H14+'Fuel Taxes'!H14</f>
        <v>9.4674943035064153E-6</v>
      </c>
      <c r="I14">
        <f>'Pretax Fuel Prices'!I14+'Fuel Taxes'!I14</f>
        <v>8.864664989356046E-6</v>
      </c>
      <c r="J14">
        <f>'Pretax Fuel Prices'!J14+'Fuel Taxes'!J14</f>
        <v>9.1131344942101218E-6</v>
      </c>
      <c r="K14">
        <f>'Pretax Fuel Prices'!K14+'Fuel Taxes'!K14</f>
        <v>9.4422050360447598E-6</v>
      </c>
      <c r="L14">
        <f>'Pretax Fuel Prices'!L14+'Fuel Taxes'!L14</f>
        <v>9.625111648325283E-6</v>
      </c>
      <c r="M14">
        <f>'Pretax Fuel Prices'!M14+'Fuel Taxes'!M14</f>
        <v>1.0047081410879188E-5</v>
      </c>
      <c r="N14">
        <f>'Pretax Fuel Prices'!N14+'Fuel Taxes'!N14</f>
        <v>1.0411315835932742E-5</v>
      </c>
      <c r="O14">
        <f>'Pretax Fuel Prices'!O14+'Fuel Taxes'!O14</f>
        <v>1.0580029072280203E-5</v>
      </c>
      <c r="P14">
        <f>'Pretax Fuel Prices'!P14+'Fuel Taxes'!P14</f>
        <v>1.062599776575579E-5</v>
      </c>
      <c r="Q14">
        <f>'Pretax Fuel Prices'!Q14+'Fuel Taxes'!Q14</f>
        <v>1.0830257720473285E-5</v>
      </c>
      <c r="R14">
        <f>'Pretax Fuel Prices'!R14+'Fuel Taxes'!R14</f>
        <v>1.1033277415858244E-5</v>
      </c>
      <c r="S14">
        <f>'Pretax Fuel Prices'!S14+'Fuel Taxes'!S14</f>
        <v>1.1127657354352067E-5</v>
      </c>
      <c r="T14">
        <f>'Pretax Fuel Prices'!T14+'Fuel Taxes'!T14</f>
        <v>1.1177198121262438E-5</v>
      </c>
      <c r="U14">
        <f>'Pretax Fuel Prices'!U14+'Fuel Taxes'!U14</f>
        <v>1.1191812299469039E-5</v>
      </c>
      <c r="V14">
        <f>'Pretax Fuel Prices'!V14+'Fuel Taxes'!V14</f>
        <v>1.1163346449431195E-5</v>
      </c>
      <c r="W14">
        <f>'Pretax Fuel Prices'!W14+'Fuel Taxes'!W14</f>
        <v>1.1231117762959108E-5</v>
      </c>
      <c r="X14">
        <f>'Pretax Fuel Prices'!X14+'Fuel Taxes'!X14</f>
        <v>1.1233066741910239E-5</v>
      </c>
      <c r="Y14">
        <f>'Pretax Fuel Prices'!Y14+'Fuel Taxes'!Y14</f>
        <v>1.1229576930574044E-5</v>
      </c>
      <c r="Z14">
        <f>'Pretax Fuel Prices'!Z14+'Fuel Taxes'!Z14</f>
        <v>1.1228849227394239E-5</v>
      </c>
      <c r="AA14">
        <f>'Pretax Fuel Prices'!AA14+'Fuel Taxes'!AA14</f>
        <v>1.1164631003739894E-5</v>
      </c>
      <c r="AB14">
        <f>'Pretax Fuel Prices'!AB14+'Fuel Taxes'!AB14</f>
        <v>1.1091623391244251E-5</v>
      </c>
      <c r="AC14">
        <f>'Pretax Fuel Prices'!AC14+'Fuel Taxes'!AC14</f>
        <v>1.1079657419826765E-5</v>
      </c>
      <c r="AD14">
        <f>'Pretax Fuel Prices'!AD14+'Fuel Taxes'!AD14</f>
        <v>1.1098103113471384E-5</v>
      </c>
      <c r="AE14">
        <f>'Pretax Fuel Prices'!AE14+'Fuel Taxes'!AE14</f>
        <v>1.1140208652240268E-5</v>
      </c>
      <c r="AF14">
        <f>'Pretax Fuel Prices'!AF14+'Fuel Taxes'!AF14</f>
        <v>0</v>
      </c>
      <c r="AG14">
        <f>'Pretax Fuel Prices'!AG14+'Fuel Taxes'!AG14</f>
        <v>0</v>
      </c>
      <c r="AH14">
        <f>'Pretax Fuel Prices'!AH14+'Fuel Taxes'!AH14</f>
        <v>0</v>
      </c>
      <c r="AI14">
        <f>'Pretax Fuel Prices'!AI14+'Fuel Taxes'!AI14</f>
        <v>0</v>
      </c>
    </row>
    <row r="15" spans="1:51" x14ac:dyDescent="0.35">
      <c r="A15" t="s">
        <v>53</v>
      </c>
      <c r="B15">
        <f>'Pretax Fuel Prices'!B15+'Fuel Taxes'!B15</f>
        <v>1.0776657787582582E-5</v>
      </c>
      <c r="C15">
        <f>'Pretax Fuel Prices'!C15+'Fuel Taxes'!C15</f>
        <v>1.0776657787582582E-5</v>
      </c>
      <c r="D15">
        <f>'Pretax Fuel Prices'!D15+'Fuel Taxes'!D15</f>
        <v>1.0776657787582582E-5</v>
      </c>
      <c r="E15">
        <f>'Pretax Fuel Prices'!E15+'Fuel Taxes'!E15</f>
        <v>1.0776657787582582E-5</v>
      </c>
      <c r="F15">
        <f>'Pretax Fuel Prices'!F15+'Fuel Taxes'!F15</f>
        <v>1.0776657787582582E-5</v>
      </c>
      <c r="G15">
        <f>'Pretax Fuel Prices'!G15+'Fuel Taxes'!G15</f>
        <v>1.0776657787582582E-5</v>
      </c>
      <c r="H15">
        <f>'Pretax Fuel Prices'!H15+'Fuel Taxes'!H15</f>
        <v>1.0776657787582582E-5</v>
      </c>
      <c r="I15">
        <f>'Pretax Fuel Prices'!I15+'Fuel Taxes'!I15</f>
        <v>1.0776657787582582E-5</v>
      </c>
      <c r="J15">
        <f>'Pretax Fuel Prices'!J15+'Fuel Taxes'!J15</f>
        <v>1.0776657787582582E-5</v>
      </c>
      <c r="K15">
        <f>'Pretax Fuel Prices'!K15+'Fuel Taxes'!K15</f>
        <v>1.0776657787582582E-5</v>
      </c>
      <c r="L15">
        <f>'Pretax Fuel Prices'!L15+'Fuel Taxes'!L15</f>
        <v>1.0776657787582582E-5</v>
      </c>
      <c r="M15">
        <f>'Pretax Fuel Prices'!M15+'Fuel Taxes'!M15</f>
        <v>1.0776657787582582E-5</v>
      </c>
      <c r="N15">
        <f>'Pretax Fuel Prices'!N15+'Fuel Taxes'!N15</f>
        <v>1.0776657787582582E-5</v>
      </c>
      <c r="O15">
        <f>'Pretax Fuel Prices'!O15+'Fuel Taxes'!O15</f>
        <v>1.0776657787582582E-5</v>
      </c>
      <c r="P15">
        <f>'Pretax Fuel Prices'!P15+'Fuel Taxes'!P15</f>
        <v>1.0776657787582582E-5</v>
      </c>
      <c r="Q15">
        <f>'Pretax Fuel Prices'!Q15+'Fuel Taxes'!Q15</f>
        <v>1.0776657787582582E-5</v>
      </c>
      <c r="R15">
        <f>'Pretax Fuel Prices'!R15+'Fuel Taxes'!R15</f>
        <v>1.0776657787582582E-5</v>
      </c>
      <c r="S15">
        <f>'Pretax Fuel Prices'!S15+'Fuel Taxes'!S15</f>
        <v>1.0776657787582582E-5</v>
      </c>
      <c r="T15">
        <f>'Pretax Fuel Prices'!T15+'Fuel Taxes'!T15</f>
        <v>1.0776657787582582E-5</v>
      </c>
      <c r="U15">
        <f>'Pretax Fuel Prices'!U15+'Fuel Taxes'!U15</f>
        <v>1.0776657787582582E-5</v>
      </c>
      <c r="V15">
        <f>'Pretax Fuel Prices'!V15+'Fuel Taxes'!V15</f>
        <v>1.0776657787582582E-5</v>
      </c>
      <c r="W15">
        <f>'Pretax Fuel Prices'!W15+'Fuel Taxes'!W15</f>
        <v>1.0776657787582582E-5</v>
      </c>
      <c r="X15">
        <f>'Pretax Fuel Prices'!X15+'Fuel Taxes'!X15</f>
        <v>1.0776657787582582E-5</v>
      </c>
      <c r="Y15">
        <f>'Pretax Fuel Prices'!Y15+'Fuel Taxes'!Y15</f>
        <v>1.0776657787582582E-5</v>
      </c>
      <c r="Z15">
        <f>'Pretax Fuel Prices'!Z15+'Fuel Taxes'!Z15</f>
        <v>1.0776657787582582E-5</v>
      </c>
      <c r="AA15">
        <f>'Pretax Fuel Prices'!AA15+'Fuel Taxes'!AA15</f>
        <v>1.0776657787582582E-5</v>
      </c>
      <c r="AB15">
        <f>'Pretax Fuel Prices'!AB15+'Fuel Taxes'!AB15</f>
        <v>1.0776657787582582E-5</v>
      </c>
      <c r="AC15">
        <f>'Pretax Fuel Prices'!AC15+'Fuel Taxes'!AC15</f>
        <v>1.0776657787582582E-5</v>
      </c>
      <c r="AD15">
        <f>'Pretax Fuel Prices'!AD15+'Fuel Taxes'!AD15</f>
        <v>1.0776657787582582E-5</v>
      </c>
      <c r="AE15">
        <f>'Pretax Fuel Prices'!AE15+'Fuel Taxes'!AE15</f>
        <v>1.0776657787582582E-5</v>
      </c>
      <c r="AF15">
        <f>'Pretax Fuel Prices'!AF15+'Fuel Taxes'!AF15</f>
        <v>0</v>
      </c>
      <c r="AG15">
        <f>'Pretax Fuel Prices'!AG15+'Fuel Taxes'!AG15</f>
        <v>0</v>
      </c>
      <c r="AH15">
        <f>'Pretax Fuel Prices'!AH15+'Fuel Taxes'!AH15</f>
        <v>0</v>
      </c>
      <c r="AI15">
        <f>'Pretax Fuel Prices'!AI15+'Fuel Taxes'!AI15</f>
        <v>0</v>
      </c>
    </row>
    <row r="16" spans="1:51" x14ac:dyDescent="0.35">
      <c r="A16" t="s">
        <v>54</v>
      </c>
      <c r="B16">
        <f>'Pretax Fuel Prices'!B16+'Fuel Taxes'!B16</f>
        <v>1.0776657787582582E-5</v>
      </c>
      <c r="C16">
        <f>'Pretax Fuel Prices'!C16+'Fuel Taxes'!C16</f>
        <v>1.0776657787582582E-5</v>
      </c>
      <c r="D16">
        <f>'Pretax Fuel Prices'!D16+'Fuel Taxes'!D16</f>
        <v>1.0776657787582582E-5</v>
      </c>
      <c r="E16">
        <f>'Pretax Fuel Prices'!E16+'Fuel Taxes'!E16</f>
        <v>1.0776657787582582E-5</v>
      </c>
      <c r="F16">
        <f>'Pretax Fuel Prices'!F16+'Fuel Taxes'!F16</f>
        <v>1.0776657787582582E-5</v>
      </c>
      <c r="G16">
        <f>'Pretax Fuel Prices'!G16+'Fuel Taxes'!G16</f>
        <v>1.0776657787582582E-5</v>
      </c>
      <c r="H16">
        <f>'Pretax Fuel Prices'!H16+'Fuel Taxes'!H16</f>
        <v>1.0776657787582582E-5</v>
      </c>
      <c r="I16">
        <f>'Pretax Fuel Prices'!I16+'Fuel Taxes'!I16</f>
        <v>1.0776657787582582E-5</v>
      </c>
      <c r="J16">
        <f>'Pretax Fuel Prices'!J16+'Fuel Taxes'!J16</f>
        <v>1.0776657787582582E-5</v>
      </c>
      <c r="K16">
        <f>'Pretax Fuel Prices'!K16+'Fuel Taxes'!K16</f>
        <v>1.0776657787582582E-5</v>
      </c>
      <c r="L16">
        <f>'Pretax Fuel Prices'!L16+'Fuel Taxes'!L16</f>
        <v>1.0776657787582582E-5</v>
      </c>
      <c r="M16">
        <f>'Pretax Fuel Prices'!M16+'Fuel Taxes'!M16</f>
        <v>1.0776657787582582E-5</v>
      </c>
      <c r="N16">
        <f>'Pretax Fuel Prices'!N16+'Fuel Taxes'!N16</f>
        <v>1.0776657787582582E-5</v>
      </c>
      <c r="O16">
        <f>'Pretax Fuel Prices'!O16+'Fuel Taxes'!O16</f>
        <v>1.0776657787582582E-5</v>
      </c>
      <c r="P16">
        <f>'Pretax Fuel Prices'!P16+'Fuel Taxes'!P16</f>
        <v>1.0776657787582582E-5</v>
      </c>
      <c r="Q16">
        <f>'Pretax Fuel Prices'!Q16+'Fuel Taxes'!Q16</f>
        <v>1.0776657787582582E-5</v>
      </c>
      <c r="R16">
        <f>'Pretax Fuel Prices'!R16+'Fuel Taxes'!R16</f>
        <v>1.0776657787582582E-5</v>
      </c>
      <c r="S16">
        <f>'Pretax Fuel Prices'!S16+'Fuel Taxes'!S16</f>
        <v>1.0776657787582582E-5</v>
      </c>
      <c r="T16">
        <f>'Pretax Fuel Prices'!T16+'Fuel Taxes'!T16</f>
        <v>1.0776657787582582E-5</v>
      </c>
      <c r="U16">
        <f>'Pretax Fuel Prices'!U16+'Fuel Taxes'!U16</f>
        <v>1.0776657787582582E-5</v>
      </c>
      <c r="V16">
        <f>'Pretax Fuel Prices'!V16+'Fuel Taxes'!V16</f>
        <v>1.0776657787582582E-5</v>
      </c>
      <c r="W16">
        <f>'Pretax Fuel Prices'!W16+'Fuel Taxes'!W16</f>
        <v>1.0776657787582582E-5</v>
      </c>
      <c r="X16">
        <f>'Pretax Fuel Prices'!X16+'Fuel Taxes'!X16</f>
        <v>1.0776657787582582E-5</v>
      </c>
      <c r="Y16">
        <f>'Pretax Fuel Prices'!Y16+'Fuel Taxes'!Y16</f>
        <v>1.0776657787582582E-5</v>
      </c>
      <c r="Z16">
        <f>'Pretax Fuel Prices'!Z16+'Fuel Taxes'!Z16</f>
        <v>1.0776657787582582E-5</v>
      </c>
      <c r="AA16">
        <f>'Pretax Fuel Prices'!AA16+'Fuel Taxes'!AA16</f>
        <v>1.0776657787582582E-5</v>
      </c>
      <c r="AB16">
        <f>'Pretax Fuel Prices'!AB16+'Fuel Taxes'!AB16</f>
        <v>1.0776657787582582E-5</v>
      </c>
      <c r="AC16">
        <f>'Pretax Fuel Prices'!AC16+'Fuel Taxes'!AC16</f>
        <v>1.0776657787582582E-5</v>
      </c>
      <c r="AD16">
        <f>'Pretax Fuel Prices'!AD16+'Fuel Taxes'!AD16</f>
        <v>1.0776657787582582E-5</v>
      </c>
      <c r="AE16">
        <f>'Pretax Fuel Prices'!AE16+'Fuel Taxes'!AE16</f>
        <v>1.0776657787582582E-5</v>
      </c>
      <c r="AF16">
        <f>'Pretax Fuel Prices'!AF16+'Fuel Taxes'!AF16</f>
        <v>0</v>
      </c>
      <c r="AG16">
        <f>'Pretax Fuel Prices'!AG16+'Fuel Taxes'!AG16</f>
        <v>0</v>
      </c>
      <c r="AH16">
        <f>'Pretax Fuel Prices'!AH16+'Fuel Taxes'!AH16</f>
        <v>0</v>
      </c>
      <c r="AI16">
        <f>'Pretax Fuel Prices'!AI16+'Fuel Taxes'!AI16</f>
        <v>0</v>
      </c>
    </row>
    <row r="17" spans="1:51" x14ac:dyDescent="0.35">
      <c r="A17" t="s">
        <v>55</v>
      </c>
      <c r="B17">
        <f>'Pretax Fuel Prices'!B17+'Fuel Taxes'!B17</f>
        <v>1.0776657787582582E-5</v>
      </c>
      <c r="C17">
        <f>'Pretax Fuel Prices'!C17+'Fuel Taxes'!C17</f>
        <v>1.0776657787582582E-5</v>
      </c>
      <c r="D17">
        <f>'Pretax Fuel Prices'!D17+'Fuel Taxes'!D17</f>
        <v>1.0776657787582582E-5</v>
      </c>
      <c r="E17">
        <f>'Pretax Fuel Prices'!E17+'Fuel Taxes'!E17</f>
        <v>1.0776657787582582E-5</v>
      </c>
      <c r="F17">
        <f>'Pretax Fuel Prices'!F17+'Fuel Taxes'!F17</f>
        <v>1.0776657787582582E-5</v>
      </c>
      <c r="G17">
        <f>'Pretax Fuel Prices'!G17+'Fuel Taxes'!G17</f>
        <v>1.0776657787582582E-5</v>
      </c>
      <c r="H17">
        <f>'Pretax Fuel Prices'!H17+'Fuel Taxes'!H17</f>
        <v>1.0776657787582582E-5</v>
      </c>
      <c r="I17">
        <f>'Pretax Fuel Prices'!I17+'Fuel Taxes'!I17</f>
        <v>1.0776657787582582E-5</v>
      </c>
      <c r="J17">
        <f>'Pretax Fuel Prices'!J17+'Fuel Taxes'!J17</f>
        <v>1.0776657787582582E-5</v>
      </c>
      <c r="K17">
        <f>'Pretax Fuel Prices'!K17+'Fuel Taxes'!K17</f>
        <v>1.0776657787582582E-5</v>
      </c>
      <c r="L17">
        <f>'Pretax Fuel Prices'!L17+'Fuel Taxes'!L17</f>
        <v>1.0776657787582582E-5</v>
      </c>
      <c r="M17">
        <f>'Pretax Fuel Prices'!M17+'Fuel Taxes'!M17</f>
        <v>1.0776657787582582E-5</v>
      </c>
      <c r="N17">
        <f>'Pretax Fuel Prices'!N17+'Fuel Taxes'!N17</f>
        <v>1.0776657787582582E-5</v>
      </c>
      <c r="O17">
        <f>'Pretax Fuel Prices'!O17+'Fuel Taxes'!O17</f>
        <v>1.0776657787582582E-5</v>
      </c>
      <c r="P17">
        <f>'Pretax Fuel Prices'!P17+'Fuel Taxes'!P17</f>
        <v>1.0776657787582582E-5</v>
      </c>
      <c r="Q17">
        <f>'Pretax Fuel Prices'!Q17+'Fuel Taxes'!Q17</f>
        <v>1.0776657787582582E-5</v>
      </c>
      <c r="R17">
        <f>'Pretax Fuel Prices'!R17+'Fuel Taxes'!R17</f>
        <v>1.0776657787582582E-5</v>
      </c>
      <c r="S17">
        <f>'Pretax Fuel Prices'!S17+'Fuel Taxes'!S17</f>
        <v>1.0776657787582582E-5</v>
      </c>
      <c r="T17">
        <f>'Pretax Fuel Prices'!T17+'Fuel Taxes'!T17</f>
        <v>1.0776657787582582E-5</v>
      </c>
      <c r="U17">
        <f>'Pretax Fuel Prices'!U17+'Fuel Taxes'!U17</f>
        <v>1.0776657787582582E-5</v>
      </c>
      <c r="V17">
        <f>'Pretax Fuel Prices'!V17+'Fuel Taxes'!V17</f>
        <v>1.0776657787582582E-5</v>
      </c>
      <c r="W17">
        <f>'Pretax Fuel Prices'!W17+'Fuel Taxes'!W17</f>
        <v>1.0776657787582582E-5</v>
      </c>
      <c r="X17">
        <f>'Pretax Fuel Prices'!X17+'Fuel Taxes'!X17</f>
        <v>1.0776657787582582E-5</v>
      </c>
      <c r="Y17">
        <f>'Pretax Fuel Prices'!Y17+'Fuel Taxes'!Y17</f>
        <v>1.0776657787582582E-5</v>
      </c>
      <c r="Z17">
        <f>'Pretax Fuel Prices'!Z17+'Fuel Taxes'!Z17</f>
        <v>1.0776657787582582E-5</v>
      </c>
      <c r="AA17">
        <f>'Pretax Fuel Prices'!AA17+'Fuel Taxes'!AA17</f>
        <v>1.0776657787582582E-5</v>
      </c>
      <c r="AB17">
        <f>'Pretax Fuel Prices'!AB17+'Fuel Taxes'!AB17</f>
        <v>1.0776657787582582E-5</v>
      </c>
      <c r="AC17">
        <f>'Pretax Fuel Prices'!AC17+'Fuel Taxes'!AC17</f>
        <v>1.0776657787582582E-5</v>
      </c>
      <c r="AD17">
        <f>'Pretax Fuel Prices'!AD17+'Fuel Taxes'!AD17</f>
        <v>1.0776657787582582E-5</v>
      </c>
      <c r="AE17">
        <f>'Pretax Fuel Prices'!AE17+'Fuel Taxes'!AE17</f>
        <v>1.0776657787582582E-5</v>
      </c>
      <c r="AF17">
        <f>'Pretax Fuel Prices'!AF17+'Fuel Taxes'!AF17</f>
        <v>0</v>
      </c>
      <c r="AG17">
        <f>'Pretax Fuel Prices'!AG17+'Fuel Taxes'!AG17</f>
        <v>0</v>
      </c>
      <c r="AH17">
        <f>'Pretax Fuel Prices'!AH17+'Fuel Taxes'!AH17</f>
        <v>0</v>
      </c>
      <c r="AI17">
        <f>'Pretax Fuel Prices'!AI17+'Fuel Taxes'!AI17</f>
        <v>0</v>
      </c>
    </row>
    <row r="18" spans="1:51" x14ac:dyDescent="0.35">
      <c r="A18" t="s">
        <v>56</v>
      </c>
      <c r="B18">
        <f>'Pretax Fuel Prices'!B18+'Fuel Taxes'!B18</f>
        <v>1.0776657787582582E-5</v>
      </c>
      <c r="C18">
        <f>'Pretax Fuel Prices'!C18+'Fuel Taxes'!C18</f>
        <v>1.0776657787582582E-5</v>
      </c>
      <c r="D18">
        <f>'Pretax Fuel Prices'!D18+'Fuel Taxes'!D18</f>
        <v>1.0776657787582582E-5</v>
      </c>
      <c r="E18">
        <f>'Pretax Fuel Prices'!E18+'Fuel Taxes'!E18</f>
        <v>1.0776657787582582E-5</v>
      </c>
      <c r="F18">
        <f>'Pretax Fuel Prices'!F18+'Fuel Taxes'!F18</f>
        <v>1.0776657787582582E-5</v>
      </c>
      <c r="G18">
        <f>'Pretax Fuel Prices'!G18+'Fuel Taxes'!G18</f>
        <v>1.0776657787582582E-5</v>
      </c>
      <c r="H18">
        <f>'Pretax Fuel Prices'!H18+'Fuel Taxes'!H18</f>
        <v>1.0776657787582582E-5</v>
      </c>
      <c r="I18">
        <f>'Pretax Fuel Prices'!I18+'Fuel Taxes'!I18</f>
        <v>1.0776657787582582E-5</v>
      </c>
      <c r="J18">
        <f>'Pretax Fuel Prices'!J18+'Fuel Taxes'!J18</f>
        <v>1.0776657787582582E-5</v>
      </c>
      <c r="K18">
        <f>'Pretax Fuel Prices'!K18+'Fuel Taxes'!K18</f>
        <v>1.0776657787582582E-5</v>
      </c>
      <c r="L18">
        <f>'Pretax Fuel Prices'!L18+'Fuel Taxes'!L18</f>
        <v>1.0776657787582582E-5</v>
      </c>
      <c r="M18">
        <f>'Pretax Fuel Prices'!M18+'Fuel Taxes'!M18</f>
        <v>1.0776657787582582E-5</v>
      </c>
      <c r="N18">
        <f>'Pretax Fuel Prices'!N18+'Fuel Taxes'!N18</f>
        <v>1.0776657787582582E-5</v>
      </c>
      <c r="O18">
        <f>'Pretax Fuel Prices'!O18+'Fuel Taxes'!O18</f>
        <v>1.0776657787582582E-5</v>
      </c>
      <c r="P18">
        <f>'Pretax Fuel Prices'!P18+'Fuel Taxes'!P18</f>
        <v>1.0776657787582582E-5</v>
      </c>
      <c r="Q18">
        <f>'Pretax Fuel Prices'!Q18+'Fuel Taxes'!Q18</f>
        <v>1.0776657787582582E-5</v>
      </c>
      <c r="R18">
        <f>'Pretax Fuel Prices'!R18+'Fuel Taxes'!R18</f>
        <v>1.0776657787582582E-5</v>
      </c>
      <c r="S18">
        <f>'Pretax Fuel Prices'!S18+'Fuel Taxes'!S18</f>
        <v>1.0776657787582582E-5</v>
      </c>
      <c r="T18">
        <f>'Pretax Fuel Prices'!T18+'Fuel Taxes'!T18</f>
        <v>1.0776657787582582E-5</v>
      </c>
      <c r="U18">
        <f>'Pretax Fuel Prices'!U18+'Fuel Taxes'!U18</f>
        <v>1.0776657787582582E-5</v>
      </c>
      <c r="V18">
        <f>'Pretax Fuel Prices'!V18+'Fuel Taxes'!V18</f>
        <v>1.0776657787582582E-5</v>
      </c>
      <c r="W18">
        <f>'Pretax Fuel Prices'!W18+'Fuel Taxes'!W18</f>
        <v>1.0776657787582582E-5</v>
      </c>
      <c r="X18">
        <f>'Pretax Fuel Prices'!X18+'Fuel Taxes'!X18</f>
        <v>1.0776657787582582E-5</v>
      </c>
      <c r="Y18">
        <f>'Pretax Fuel Prices'!Y18+'Fuel Taxes'!Y18</f>
        <v>1.0776657787582582E-5</v>
      </c>
      <c r="Z18">
        <f>'Pretax Fuel Prices'!Z18+'Fuel Taxes'!Z18</f>
        <v>1.0776657787582582E-5</v>
      </c>
      <c r="AA18">
        <f>'Pretax Fuel Prices'!AA18+'Fuel Taxes'!AA18</f>
        <v>1.0776657787582582E-5</v>
      </c>
      <c r="AB18">
        <f>'Pretax Fuel Prices'!AB18+'Fuel Taxes'!AB18</f>
        <v>1.0776657787582582E-5</v>
      </c>
      <c r="AC18">
        <f>'Pretax Fuel Prices'!AC18+'Fuel Taxes'!AC18</f>
        <v>1.0776657787582582E-5</v>
      </c>
      <c r="AD18">
        <f>'Pretax Fuel Prices'!AD18+'Fuel Taxes'!AD18</f>
        <v>1.0776657787582582E-5</v>
      </c>
      <c r="AE18">
        <f>'Pretax Fuel Prices'!AE18+'Fuel Taxes'!AE18</f>
        <v>1.0776657787582582E-5</v>
      </c>
      <c r="AF18">
        <f>'Pretax Fuel Prices'!AF18+'Fuel Taxes'!AF18</f>
        <v>0</v>
      </c>
      <c r="AG18">
        <f>'Pretax Fuel Prices'!AG18+'Fuel Taxes'!AG18</f>
        <v>0</v>
      </c>
      <c r="AH18">
        <f>'Pretax Fuel Prices'!AH18+'Fuel Taxes'!AH18</f>
        <v>0</v>
      </c>
      <c r="AI18">
        <f>'Pretax Fuel Prices'!AI18+'Fuel Taxes'!AI18</f>
        <v>0</v>
      </c>
    </row>
    <row r="19" spans="1:51" x14ac:dyDescent="0.35">
      <c r="A19" t="s">
        <v>57</v>
      </c>
      <c r="B19">
        <f>'Pretax Fuel Prices'!B19+'Fuel Taxes'!B19</f>
        <v>1.0776657787582582E-5</v>
      </c>
      <c r="C19">
        <f>'Pretax Fuel Prices'!C19+'Fuel Taxes'!C19</f>
        <v>1.0776657787582582E-5</v>
      </c>
      <c r="D19">
        <f>'Pretax Fuel Prices'!D19+'Fuel Taxes'!D19</f>
        <v>1.0776657787582582E-5</v>
      </c>
      <c r="E19">
        <f>'Pretax Fuel Prices'!E19+'Fuel Taxes'!E19</f>
        <v>1.0776657787582582E-5</v>
      </c>
      <c r="F19">
        <f>'Pretax Fuel Prices'!F19+'Fuel Taxes'!F19</f>
        <v>1.0776657787582582E-5</v>
      </c>
      <c r="G19">
        <f>'Pretax Fuel Prices'!G19+'Fuel Taxes'!G19</f>
        <v>1.0776657787582582E-5</v>
      </c>
      <c r="H19">
        <f>'Pretax Fuel Prices'!H19+'Fuel Taxes'!H19</f>
        <v>1.0776657787582582E-5</v>
      </c>
      <c r="I19">
        <f>'Pretax Fuel Prices'!I19+'Fuel Taxes'!I19</f>
        <v>1.0776657787582582E-5</v>
      </c>
      <c r="J19">
        <f>'Pretax Fuel Prices'!J19+'Fuel Taxes'!J19</f>
        <v>1.0776657787582582E-5</v>
      </c>
      <c r="K19">
        <f>'Pretax Fuel Prices'!K19+'Fuel Taxes'!K19</f>
        <v>1.0776657787582582E-5</v>
      </c>
      <c r="L19">
        <f>'Pretax Fuel Prices'!L19+'Fuel Taxes'!L19</f>
        <v>1.0776657787582582E-5</v>
      </c>
      <c r="M19">
        <f>'Pretax Fuel Prices'!M19+'Fuel Taxes'!M19</f>
        <v>1.0776657787582582E-5</v>
      </c>
      <c r="N19">
        <f>'Pretax Fuel Prices'!N19+'Fuel Taxes'!N19</f>
        <v>1.0776657787582582E-5</v>
      </c>
      <c r="O19">
        <f>'Pretax Fuel Prices'!O19+'Fuel Taxes'!O19</f>
        <v>1.0776657787582582E-5</v>
      </c>
      <c r="P19">
        <f>'Pretax Fuel Prices'!P19+'Fuel Taxes'!P19</f>
        <v>1.0776657787582582E-5</v>
      </c>
      <c r="Q19">
        <f>'Pretax Fuel Prices'!Q19+'Fuel Taxes'!Q19</f>
        <v>1.0776657787582582E-5</v>
      </c>
      <c r="R19">
        <f>'Pretax Fuel Prices'!R19+'Fuel Taxes'!R19</f>
        <v>1.0776657787582582E-5</v>
      </c>
      <c r="S19">
        <f>'Pretax Fuel Prices'!S19+'Fuel Taxes'!S19</f>
        <v>1.0776657787582582E-5</v>
      </c>
      <c r="T19">
        <f>'Pretax Fuel Prices'!T19+'Fuel Taxes'!T19</f>
        <v>1.0776657787582582E-5</v>
      </c>
      <c r="U19">
        <f>'Pretax Fuel Prices'!U19+'Fuel Taxes'!U19</f>
        <v>1.0776657787582582E-5</v>
      </c>
      <c r="V19">
        <f>'Pretax Fuel Prices'!V19+'Fuel Taxes'!V19</f>
        <v>1.0776657787582582E-5</v>
      </c>
      <c r="W19">
        <f>'Pretax Fuel Prices'!W19+'Fuel Taxes'!W19</f>
        <v>1.0776657787582582E-5</v>
      </c>
      <c r="X19">
        <f>'Pretax Fuel Prices'!X19+'Fuel Taxes'!X19</f>
        <v>1.0776657787582582E-5</v>
      </c>
      <c r="Y19">
        <f>'Pretax Fuel Prices'!Y19+'Fuel Taxes'!Y19</f>
        <v>1.0776657787582582E-5</v>
      </c>
      <c r="Z19">
        <f>'Pretax Fuel Prices'!Z19+'Fuel Taxes'!Z19</f>
        <v>1.0776657787582582E-5</v>
      </c>
      <c r="AA19">
        <f>'Pretax Fuel Prices'!AA19+'Fuel Taxes'!AA19</f>
        <v>1.0776657787582582E-5</v>
      </c>
      <c r="AB19">
        <f>'Pretax Fuel Prices'!AB19+'Fuel Taxes'!AB19</f>
        <v>1.0776657787582582E-5</v>
      </c>
      <c r="AC19">
        <f>'Pretax Fuel Prices'!AC19+'Fuel Taxes'!AC19</f>
        <v>1.0776657787582582E-5</v>
      </c>
      <c r="AD19">
        <f>'Pretax Fuel Prices'!AD19+'Fuel Taxes'!AD19</f>
        <v>1.0776657787582582E-5</v>
      </c>
      <c r="AE19">
        <f>'Pretax Fuel Prices'!AE19+'Fuel Taxes'!AE19</f>
        <v>1.0776657787582582E-5</v>
      </c>
      <c r="AF19">
        <f>'Pretax Fuel Prices'!AF19+'Fuel Taxes'!AF19</f>
        <v>0</v>
      </c>
      <c r="AG19">
        <f>'Pretax Fuel Prices'!AG19+'Fuel Taxes'!AG19</f>
        <v>0</v>
      </c>
      <c r="AH19">
        <f>'Pretax Fuel Prices'!AH19+'Fuel Taxes'!AH19</f>
        <v>0</v>
      </c>
      <c r="AI19">
        <f>'Pretax Fuel Prices'!AI19+'Fuel Taxes'!AI19</f>
        <v>0</v>
      </c>
    </row>
    <row r="20" spans="1:51" x14ac:dyDescent="0.35">
      <c r="A20" t="s">
        <v>58</v>
      </c>
      <c r="B20">
        <f>'Pretax Fuel Prices'!B20+'Fuel Taxes'!B20</f>
        <v>1.0776657787582582E-5</v>
      </c>
      <c r="C20">
        <f>'Pretax Fuel Prices'!C20+'Fuel Taxes'!C20</f>
        <v>1.0776657787582582E-5</v>
      </c>
      <c r="D20">
        <f>'Pretax Fuel Prices'!D20+'Fuel Taxes'!D20</f>
        <v>1.0776657787582582E-5</v>
      </c>
      <c r="E20">
        <f>'Pretax Fuel Prices'!E20+'Fuel Taxes'!E20</f>
        <v>1.0776657787582582E-5</v>
      </c>
      <c r="F20">
        <f>'Pretax Fuel Prices'!F20+'Fuel Taxes'!F20</f>
        <v>1.0776657787582582E-5</v>
      </c>
      <c r="G20">
        <f>'Pretax Fuel Prices'!G20+'Fuel Taxes'!G20</f>
        <v>1.0776657787582582E-5</v>
      </c>
      <c r="H20">
        <f>'Pretax Fuel Prices'!H20+'Fuel Taxes'!H20</f>
        <v>1.0776657787582582E-5</v>
      </c>
      <c r="I20">
        <f>'Pretax Fuel Prices'!I20+'Fuel Taxes'!I20</f>
        <v>1.0776657787582582E-5</v>
      </c>
      <c r="J20">
        <f>'Pretax Fuel Prices'!J20+'Fuel Taxes'!J20</f>
        <v>1.0776657787582582E-5</v>
      </c>
      <c r="K20">
        <f>'Pretax Fuel Prices'!K20+'Fuel Taxes'!K20</f>
        <v>1.0776657787582582E-5</v>
      </c>
      <c r="L20">
        <f>'Pretax Fuel Prices'!L20+'Fuel Taxes'!L20</f>
        <v>1.0776657787582582E-5</v>
      </c>
      <c r="M20">
        <f>'Pretax Fuel Prices'!M20+'Fuel Taxes'!M20</f>
        <v>1.0776657787582582E-5</v>
      </c>
      <c r="N20">
        <f>'Pretax Fuel Prices'!N20+'Fuel Taxes'!N20</f>
        <v>1.0776657787582582E-5</v>
      </c>
      <c r="O20">
        <f>'Pretax Fuel Prices'!O20+'Fuel Taxes'!O20</f>
        <v>1.0776657787582582E-5</v>
      </c>
      <c r="P20">
        <f>'Pretax Fuel Prices'!P20+'Fuel Taxes'!P20</f>
        <v>1.0776657787582582E-5</v>
      </c>
      <c r="Q20">
        <f>'Pretax Fuel Prices'!Q20+'Fuel Taxes'!Q20</f>
        <v>1.0776657787582582E-5</v>
      </c>
      <c r="R20">
        <f>'Pretax Fuel Prices'!R20+'Fuel Taxes'!R20</f>
        <v>1.0776657787582582E-5</v>
      </c>
      <c r="S20">
        <f>'Pretax Fuel Prices'!S20+'Fuel Taxes'!S20</f>
        <v>1.0776657787582582E-5</v>
      </c>
      <c r="T20">
        <f>'Pretax Fuel Prices'!T20+'Fuel Taxes'!T20</f>
        <v>1.0776657787582582E-5</v>
      </c>
      <c r="U20">
        <f>'Pretax Fuel Prices'!U20+'Fuel Taxes'!U20</f>
        <v>1.0776657787582582E-5</v>
      </c>
      <c r="V20">
        <f>'Pretax Fuel Prices'!V20+'Fuel Taxes'!V20</f>
        <v>1.0776657787582582E-5</v>
      </c>
      <c r="W20">
        <f>'Pretax Fuel Prices'!W20+'Fuel Taxes'!W20</f>
        <v>1.0776657787582582E-5</v>
      </c>
      <c r="X20">
        <f>'Pretax Fuel Prices'!X20+'Fuel Taxes'!X20</f>
        <v>1.0776657787582582E-5</v>
      </c>
      <c r="Y20">
        <f>'Pretax Fuel Prices'!Y20+'Fuel Taxes'!Y20</f>
        <v>1.0776657787582582E-5</v>
      </c>
      <c r="Z20">
        <f>'Pretax Fuel Prices'!Z20+'Fuel Taxes'!Z20</f>
        <v>1.0776657787582582E-5</v>
      </c>
      <c r="AA20">
        <f>'Pretax Fuel Prices'!AA20+'Fuel Taxes'!AA20</f>
        <v>1.0776657787582582E-5</v>
      </c>
      <c r="AB20">
        <f>'Pretax Fuel Prices'!AB20+'Fuel Taxes'!AB20</f>
        <v>1.0776657787582582E-5</v>
      </c>
      <c r="AC20">
        <f>'Pretax Fuel Prices'!AC20+'Fuel Taxes'!AC20</f>
        <v>1.0776657787582582E-5</v>
      </c>
      <c r="AD20">
        <f>'Pretax Fuel Prices'!AD20+'Fuel Taxes'!AD20</f>
        <v>1.0776657787582582E-5</v>
      </c>
      <c r="AE20">
        <f>'Pretax Fuel Prices'!AE20+'Fuel Taxes'!AE20</f>
        <v>1.0776657787582582E-5</v>
      </c>
      <c r="AF20">
        <f>'Pretax Fuel Prices'!AF20+'Fuel Taxes'!AF20</f>
        <v>0</v>
      </c>
      <c r="AG20">
        <f>'Pretax Fuel Prices'!AG20+'Fuel Taxes'!AG20</f>
        <v>0</v>
      </c>
      <c r="AH20">
        <f>'Pretax Fuel Prices'!AH20+'Fuel Taxes'!AH20</f>
        <v>0</v>
      </c>
      <c r="AI20">
        <f>'Pretax Fuel Prices'!AI20+'Fuel Taxes'!AI20</f>
        <v>0</v>
      </c>
    </row>
    <row r="21" spans="1:51" s="4" customFormat="1" x14ac:dyDescent="0.35">
      <c r="A21" s="6" t="s">
        <v>31</v>
      </c>
    </row>
    <row r="22" spans="1:51" x14ac:dyDescent="0.35">
      <c r="A22" t="s">
        <v>29</v>
      </c>
      <c r="B22" s="1">
        <v>2021</v>
      </c>
      <c r="C22" s="1">
        <v>2022</v>
      </c>
      <c r="D22" s="1">
        <v>2023</v>
      </c>
      <c r="E22" s="1">
        <v>2024</v>
      </c>
      <c r="F22" s="1">
        <v>2025</v>
      </c>
      <c r="G22" s="1">
        <v>2026</v>
      </c>
      <c r="H22" s="1">
        <v>2027</v>
      </c>
      <c r="I22" s="1">
        <v>2028</v>
      </c>
      <c r="J22" s="1">
        <v>2029</v>
      </c>
      <c r="K22" s="1">
        <v>2030</v>
      </c>
      <c r="L22" s="1">
        <v>2031</v>
      </c>
      <c r="M22" s="1">
        <v>2032</v>
      </c>
      <c r="N22" s="1">
        <v>2033</v>
      </c>
      <c r="O22" s="1">
        <v>2034</v>
      </c>
      <c r="P22" s="1">
        <v>2035</v>
      </c>
      <c r="Q22" s="1">
        <v>2036</v>
      </c>
      <c r="R22" s="1">
        <v>2037</v>
      </c>
      <c r="S22" s="1">
        <v>2038</v>
      </c>
      <c r="T22" s="1">
        <v>2039</v>
      </c>
      <c r="U22" s="1">
        <v>2040</v>
      </c>
      <c r="V22" s="1">
        <v>2041</v>
      </c>
      <c r="W22" s="1">
        <v>2042</v>
      </c>
      <c r="X22" s="1">
        <v>2043</v>
      </c>
      <c r="Y22" s="1">
        <v>2044</v>
      </c>
      <c r="Z22" s="1">
        <v>2045</v>
      </c>
      <c r="AA22" s="1">
        <v>2046</v>
      </c>
      <c r="AB22" s="1">
        <v>2047</v>
      </c>
      <c r="AC22" s="1">
        <v>2048</v>
      </c>
      <c r="AD22" s="1">
        <v>2049</v>
      </c>
      <c r="AE22" s="1">
        <v>2050</v>
      </c>
      <c r="AF22" s="1">
        <v>2051</v>
      </c>
      <c r="AG22" s="1">
        <v>2052</v>
      </c>
      <c r="AH22" s="1">
        <v>2053</v>
      </c>
      <c r="AI22" s="1">
        <v>2054</v>
      </c>
      <c r="AJ22" s="1">
        <v>2055</v>
      </c>
      <c r="AK22" s="1">
        <v>2056</v>
      </c>
      <c r="AL22" s="1">
        <v>2057</v>
      </c>
      <c r="AM22" s="1">
        <v>2058</v>
      </c>
      <c r="AN22" s="1">
        <v>2059</v>
      </c>
      <c r="AO22" s="1">
        <v>2060</v>
      </c>
      <c r="AP22" s="1">
        <v>2061</v>
      </c>
      <c r="AQ22" s="1">
        <v>2062</v>
      </c>
      <c r="AR22" s="1">
        <v>2063</v>
      </c>
      <c r="AS22" s="1">
        <v>2064</v>
      </c>
      <c r="AT22" s="1">
        <v>2065</v>
      </c>
      <c r="AU22" s="1">
        <v>2066</v>
      </c>
      <c r="AV22" s="1">
        <v>2067</v>
      </c>
      <c r="AW22" s="1">
        <v>2068</v>
      </c>
      <c r="AX22" s="1">
        <v>2069</v>
      </c>
      <c r="AY22" s="1">
        <v>2070</v>
      </c>
    </row>
    <row r="23" spans="1:51" x14ac:dyDescent="0.35">
      <c r="A23" t="s">
        <v>51</v>
      </c>
      <c r="B23">
        <f>'Pretax Fuel Prices'!B23+'Fuel Taxes'!B23</f>
        <v>0</v>
      </c>
      <c r="C23">
        <f>'Pretax Fuel Prices'!C23+'Fuel Taxes'!C23</f>
        <v>0</v>
      </c>
      <c r="D23">
        <f>'Pretax Fuel Prices'!D23+'Fuel Taxes'!D23</f>
        <v>0</v>
      </c>
      <c r="E23">
        <f>'Pretax Fuel Prices'!E23+'Fuel Taxes'!E23</f>
        <v>0</v>
      </c>
      <c r="F23">
        <f>'Pretax Fuel Prices'!F23+'Fuel Taxes'!F23</f>
        <v>0</v>
      </c>
      <c r="G23">
        <f>'Pretax Fuel Prices'!G23+'Fuel Taxes'!G23</f>
        <v>0</v>
      </c>
      <c r="H23">
        <f>'Pretax Fuel Prices'!H23+'Fuel Taxes'!H23</f>
        <v>0</v>
      </c>
      <c r="I23">
        <f>'Pretax Fuel Prices'!I23+'Fuel Taxes'!I23</f>
        <v>0</v>
      </c>
      <c r="J23">
        <f>'Pretax Fuel Prices'!J23+'Fuel Taxes'!J23</f>
        <v>0</v>
      </c>
      <c r="K23">
        <f>'Pretax Fuel Prices'!K23+'Fuel Taxes'!K23</f>
        <v>0</v>
      </c>
      <c r="L23">
        <f>'Pretax Fuel Prices'!L23+'Fuel Taxes'!L23</f>
        <v>0</v>
      </c>
      <c r="M23">
        <f>'Pretax Fuel Prices'!M23+'Fuel Taxes'!M23</f>
        <v>0</v>
      </c>
      <c r="N23">
        <f>'Pretax Fuel Prices'!N23+'Fuel Taxes'!N23</f>
        <v>0</v>
      </c>
      <c r="O23">
        <f>'Pretax Fuel Prices'!O23+'Fuel Taxes'!O23</f>
        <v>0</v>
      </c>
      <c r="P23">
        <f>'Pretax Fuel Prices'!P23+'Fuel Taxes'!P23</f>
        <v>0</v>
      </c>
      <c r="Q23">
        <f>'Pretax Fuel Prices'!Q23+'Fuel Taxes'!Q23</f>
        <v>0</v>
      </c>
      <c r="R23">
        <f>'Pretax Fuel Prices'!R23+'Fuel Taxes'!R23</f>
        <v>0</v>
      </c>
      <c r="S23">
        <f>'Pretax Fuel Prices'!S23+'Fuel Taxes'!S23</f>
        <v>0</v>
      </c>
      <c r="T23">
        <f>'Pretax Fuel Prices'!T23+'Fuel Taxes'!T23</f>
        <v>0</v>
      </c>
      <c r="U23">
        <f>'Pretax Fuel Prices'!U23+'Fuel Taxes'!U23</f>
        <v>0</v>
      </c>
      <c r="V23">
        <f>'Pretax Fuel Prices'!V23+'Fuel Taxes'!V23</f>
        <v>0</v>
      </c>
      <c r="W23">
        <f>'Pretax Fuel Prices'!W23+'Fuel Taxes'!W23</f>
        <v>0</v>
      </c>
      <c r="X23">
        <f>'Pretax Fuel Prices'!X23+'Fuel Taxes'!X23</f>
        <v>0</v>
      </c>
      <c r="Y23">
        <f>'Pretax Fuel Prices'!Y23+'Fuel Taxes'!Y23</f>
        <v>0</v>
      </c>
      <c r="Z23">
        <f>'Pretax Fuel Prices'!Z23+'Fuel Taxes'!Z23</f>
        <v>0</v>
      </c>
      <c r="AA23">
        <f>'Pretax Fuel Prices'!AA23+'Fuel Taxes'!AA23</f>
        <v>0</v>
      </c>
      <c r="AB23">
        <f>'Pretax Fuel Prices'!AB23+'Fuel Taxes'!AB23</f>
        <v>0</v>
      </c>
      <c r="AC23">
        <f>'Pretax Fuel Prices'!AC23+'Fuel Taxes'!AC23</f>
        <v>0</v>
      </c>
      <c r="AD23">
        <f>'Pretax Fuel Prices'!AD23+'Fuel Taxes'!AD23</f>
        <v>0</v>
      </c>
      <c r="AE23">
        <f>'Pretax Fuel Prices'!AE23+'Fuel Taxes'!AE23</f>
        <v>0</v>
      </c>
      <c r="AF23">
        <f>'Pretax Fuel Prices'!AF23+'Fuel Taxes'!AF23</f>
        <v>0</v>
      </c>
      <c r="AG23">
        <f>'Pretax Fuel Prices'!AG23+'Fuel Taxes'!AG23</f>
        <v>0</v>
      </c>
      <c r="AH23">
        <f>'Pretax Fuel Prices'!AH23+'Fuel Taxes'!AH23</f>
        <v>0</v>
      </c>
      <c r="AI23">
        <f>'Pretax Fuel Prices'!AI23+'Fuel Taxes'!AI23</f>
        <v>0</v>
      </c>
    </row>
    <row r="24" spans="1:51" x14ac:dyDescent="0.35">
      <c r="A24" t="s">
        <v>52</v>
      </c>
      <c r="B24" s="5">
        <f>'Pretax Fuel Prices'!B24+'Fuel Taxes'!B24</f>
        <v>7.4000000000000001E-7</v>
      </c>
      <c r="C24">
        <f>'Pretax Fuel Prices'!C24+'Fuel Taxes'!C24</f>
        <v>7.4000000000000001E-7</v>
      </c>
      <c r="D24">
        <f>'Pretax Fuel Prices'!D24+'Fuel Taxes'!D24</f>
        <v>7.4000000000000001E-7</v>
      </c>
      <c r="E24">
        <f>'Pretax Fuel Prices'!E24+'Fuel Taxes'!E24</f>
        <v>7.4000000000000001E-7</v>
      </c>
      <c r="F24">
        <f>'Pretax Fuel Prices'!F24+'Fuel Taxes'!F24</f>
        <v>7.4000000000000001E-7</v>
      </c>
      <c r="G24">
        <f>'Pretax Fuel Prices'!G24+'Fuel Taxes'!G24</f>
        <v>7.4000000000000001E-7</v>
      </c>
      <c r="H24">
        <f>'Pretax Fuel Prices'!H24+'Fuel Taxes'!H24</f>
        <v>7.4000000000000001E-7</v>
      </c>
      <c r="I24">
        <f>'Pretax Fuel Prices'!I24+'Fuel Taxes'!I24</f>
        <v>7.4000000000000001E-7</v>
      </c>
      <c r="J24">
        <f>'Pretax Fuel Prices'!J24+'Fuel Taxes'!J24</f>
        <v>7.5088235294117644E-7</v>
      </c>
      <c r="K24">
        <f>'Pretax Fuel Prices'!K24+'Fuel Taxes'!K24</f>
        <v>7.5088235294117644E-7</v>
      </c>
      <c r="L24">
        <f>'Pretax Fuel Prices'!L24+'Fuel Taxes'!L24</f>
        <v>7.5088235294117644E-7</v>
      </c>
      <c r="M24">
        <f>'Pretax Fuel Prices'!M24+'Fuel Taxes'!M24</f>
        <v>7.5088235294117644E-7</v>
      </c>
      <c r="N24">
        <f>'Pretax Fuel Prices'!N24+'Fuel Taxes'!N24</f>
        <v>7.5088235294117644E-7</v>
      </c>
      <c r="O24">
        <f>'Pretax Fuel Prices'!O24+'Fuel Taxes'!O24</f>
        <v>7.5088235294117644E-7</v>
      </c>
      <c r="P24">
        <f>'Pretax Fuel Prices'!P24+'Fuel Taxes'!P24</f>
        <v>7.5088235294117644E-7</v>
      </c>
      <c r="Q24">
        <f>'Pretax Fuel Prices'!Q24+'Fuel Taxes'!Q24</f>
        <v>7.6176470588235288E-7</v>
      </c>
      <c r="R24">
        <f>'Pretax Fuel Prices'!R24+'Fuel Taxes'!R24</f>
        <v>7.6176470588235288E-7</v>
      </c>
      <c r="S24">
        <f>'Pretax Fuel Prices'!S24+'Fuel Taxes'!S24</f>
        <v>7.6176470588235288E-7</v>
      </c>
      <c r="T24">
        <f>'Pretax Fuel Prices'!T24+'Fuel Taxes'!T24</f>
        <v>7.6176470588235288E-7</v>
      </c>
      <c r="U24">
        <f>'Pretax Fuel Prices'!U24+'Fuel Taxes'!U24</f>
        <v>7.6176470588235288E-7</v>
      </c>
      <c r="V24">
        <f>'Pretax Fuel Prices'!V24+'Fuel Taxes'!V24</f>
        <v>7.6176470588235288E-7</v>
      </c>
      <c r="W24">
        <f>'Pretax Fuel Prices'!W24+'Fuel Taxes'!W24</f>
        <v>7.7264705882352931E-7</v>
      </c>
      <c r="X24">
        <f>'Pretax Fuel Prices'!X24+'Fuel Taxes'!X24</f>
        <v>7.7264705882352931E-7</v>
      </c>
      <c r="Y24">
        <f>'Pretax Fuel Prices'!Y24+'Fuel Taxes'!Y24</f>
        <v>7.7264705882352931E-7</v>
      </c>
      <c r="Z24">
        <f>'Pretax Fuel Prices'!Z24+'Fuel Taxes'!Z24</f>
        <v>7.7264705882352931E-7</v>
      </c>
      <c r="AA24">
        <f>'Pretax Fuel Prices'!AA24+'Fuel Taxes'!AA24</f>
        <v>7.7264705882352931E-7</v>
      </c>
      <c r="AB24">
        <f>'Pretax Fuel Prices'!AB24+'Fuel Taxes'!AB24</f>
        <v>7.8352941176470575E-7</v>
      </c>
      <c r="AC24">
        <f>'Pretax Fuel Prices'!AC24+'Fuel Taxes'!AC24</f>
        <v>7.8352941176470575E-7</v>
      </c>
      <c r="AD24">
        <f>'Pretax Fuel Prices'!AD24+'Fuel Taxes'!AD24</f>
        <v>7.8352941176470575E-7</v>
      </c>
      <c r="AE24">
        <f>'Pretax Fuel Prices'!AE24+'Fuel Taxes'!AE24</f>
        <v>7.8352941176470575E-7</v>
      </c>
      <c r="AF24">
        <f>'Pretax Fuel Prices'!AF24+'Fuel Taxes'!AF24</f>
        <v>0</v>
      </c>
      <c r="AG24">
        <f>'Pretax Fuel Prices'!AG24+'Fuel Taxes'!AG24</f>
        <v>0</v>
      </c>
      <c r="AH24">
        <f>'Pretax Fuel Prices'!AH24+'Fuel Taxes'!AH24</f>
        <v>0</v>
      </c>
      <c r="AI24">
        <f>'Pretax Fuel Prices'!AI24+'Fuel Taxes'!AI24</f>
        <v>0</v>
      </c>
    </row>
    <row r="25" spans="1:51" x14ac:dyDescent="0.35">
      <c r="A25" t="s">
        <v>53</v>
      </c>
      <c r="B25">
        <f>'Pretax Fuel Prices'!B25+'Fuel Taxes'!B25</f>
        <v>0</v>
      </c>
      <c r="C25">
        <f>'Pretax Fuel Prices'!C25+'Fuel Taxes'!C25</f>
        <v>0</v>
      </c>
      <c r="D25">
        <f>'Pretax Fuel Prices'!D25+'Fuel Taxes'!D25</f>
        <v>0</v>
      </c>
      <c r="E25">
        <f>'Pretax Fuel Prices'!E25+'Fuel Taxes'!E25</f>
        <v>0</v>
      </c>
      <c r="F25">
        <f>'Pretax Fuel Prices'!F25+'Fuel Taxes'!F25</f>
        <v>0</v>
      </c>
      <c r="G25">
        <f>'Pretax Fuel Prices'!G25+'Fuel Taxes'!G25</f>
        <v>0</v>
      </c>
      <c r="H25">
        <f>'Pretax Fuel Prices'!H25+'Fuel Taxes'!H25</f>
        <v>0</v>
      </c>
      <c r="I25">
        <f>'Pretax Fuel Prices'!I25+'Fuel Taxes'!I25</f>
        <v>0</v>
      </c>
      <c r="J25">
        <f>'Pretax Fuel Prices'!J25+'Fuel Taxes'!J25</f>
        <v>0</v>
      </c>
      <c r="K25">
        <f>'Pretax Fuel Prices'!K25+'Fuel Taxes'!K25</f>
        <v>0</v>
      </c>
      <c r="L25">
        <f>'Pretax Fuel Prices'!L25+'Fuel Taxes'!L25</f>
        <v>0</v>
      </c>
      <c r="M25">
        <f>'Pretax Fuel Prices'!M25+'Fuel Taxes'!M25</f>
        <v>0</v>
      </c>
      <c r="N25">
        <f>'Pretax Fuel Prices'!N25+'Fuel Taxes'!N25</f>
        <v>0</v>
      </c>
      <c r="O25">
        <f>'Pretax Fuel Prices'!O25+'Fuel Taxes'!O25</f>
        <v>0</v>
      </c>
      <c r="P25">
        <f>'Pretax Fuel Prices'!P25+'Fuel Taxes'!P25</f>
        <v>0</v>
      </c>
      <c r="Q25">
        <f>'Pretax Fuel Prices'!Q25+'Fuel Taxes'!Q25</f>
        <v>0</v>
      </c>
      <c r="R25">
        <f>'Pretax Fuel Prices'!R25+'Fuel Taxes'!R25</f>
        <v>0</v>
      </c>
      <c r="S25">
        <f>'Pretax Fuel Prices'!S25+'Fuel Taxes'!S25</f>
        <v>0</v>
      </c>
      <c r="T25">
        <f>'Pretax Fuel Prices'!T25+'Fuel Taxes'!T25</f>
        <v>0</v>
      </c>
      <c r="U25">
        <f>'Pretax Fuel Prices'!U25+'Fuel Taxes'!U25</f>
        <v>0</v>
      </c>
      <c r="V25">
        <f>'Pretax Fuel Prices'!V25+'Fuel Taxes'!V25</f>
        <v>0</v>
      </c>
      <c r="W25">
        <f>'Pretax Fuel Prices'!W25+'Fuel Taxes'!W25</f>
        <v>0</v>
      </c>
      <c r="X25">
        <f>'Pretax Fuel Prices'!X25+'Fuel Taxes'!X25</f>
        <v>0</v>
      </c>
      <c r="Y25">
        <f>'Pretax Fuel Prices'!Y25+'Fuel Taxes'!Y25</f>
        <v>0</v>
      </c>
      <c r="Z25">
        <f>'Pretax Fuel Prices'!Z25+'Fuel Taxes'!Z25</f>
        <v>0</v>
      </c>
      <c r="AA25">
        <f>'Pretax Fuel Prices'!AA25+'Fuel Taxes'!AA25</f>
        <v>0</v>
      </c>
      <c r="AB25">
        <f>'Pretax Fuel Prices'!AB25+'Fuel Taxes'!AB25</f>
        <v>0</v>
      </c>
      <c r="AC25">
        <f>'Pretax Fuel Prices'!AC25+'Fuel Taxes'!AC25</f>
        <v>0</v>
      </c>
      <c r="AD25">
        <f>'Pretax Fuel Prices'!AD25+'Fuel Taxes'!AD25</f>
        <v>0</v>
      </c>
      <c r="AE25">
        <f>'Pretax Fuel Prices'!AE25+'Fuel Taxes'!AE25</f>
        <v>0</v>
      </c>
      <c r="AF25">
        <f>'Pretax Fuel Prices'!AF25+'Fuel Taxes'!AF25</f>
        <v>0</v>
      </c>
      <c r="AG25">
        <f>'Pretax Fuel Prices'!AG25+'Fuel Taxes'!AG25</f>
        <v>0</v>
      </c>
      <c r="AH25">
        <f>'Pretax Fuel Prices'!AH25+'Fuel Taxes'!AH25</f>
        <v>0</v>
      </c>
      <c r="AI25">
        <f>'Pretax Fuel Prices'!AI25+'Fuel Taxes'!AI25</f>
        <v>0</v>
      </c>
    </row>
    <row r="26" spans="1:51" x14ac:dyDescent="0.35">
      <c r="A26" t="s">
        <v>54</v>
      </c>
      <c r="B26">
        <f>'Pretax Fuel Prices'!B26+'Fuel Taxes'!B26</f>
        <v>0</v>
      </c>
      <c r="C26">
        <f>'Pretax Fuel Prices'!C26+'Fuel Taxes'!C26</f>
        <v>0</v>
      </c>
      <c r="D26">
        <f>'Pretax Fuel Prices'!D26+'Fuel Taxes'!D26</f>
        <v>0</v>
      </c>
      <c r="E26">
        <f>'Pretax Fuel Prices'!E26+'Fuel Taxes'!E26</f>
        <v>0</v>
      </c>
      <c r="F26">
        <f>'Pretax Fuel Prices'!F26+'Fuel Taxes'!F26</f>
        <v>0</v>
      </c>
      <c r="G26">
        <f>'Pretax Fuel Prices'!G26+'Fuel Taxes'!G26</f>
        <v>0</v>
      </c>
      <c r="H26">
        <f>'Pretax Fuel Prices'!H26+'Fuel Taxes'!H26</f>
        <v>0</v>
      </c>
      <c r="I26">
        <f>'Pretax Fuel Prices'!I26+'Fuel Taxes'!I26</f>
        <v>0</v>
      </c>
      <c r="J26">
        <f>'Pretax Fuel Prices'!J26+'Fuel Taxes'!J26</f>
        <v>0</v>
      </c>
      <c r="K26">
        <f>'Pretax Fuel Prices'!K26+'Fuel Taxes'!K26</f>
        <v>0</v>
      </c>
      <c r="L26">
        <f>'Pretax Fuel Prices'!L26+'Fuel Taxes'!L26</f>
        <v>0</v>
      </c>
      <c r="M26">
        <f>'Pretax Fuel Prices'!M26+'Fuel Taxes'!M26</f>
        <v>0</v>
      </c>
      <c r="N26">
        <f>'Pretax Fuel Prices'!N26+'Fuel Taxes'!N26</f>
        <v>0</v>
      </c>
      <c r="O26">
        <f>'Pretax Fuel Prices'!O26+'Fuel Taxes'!O26</f>
        <v>0</v>
      </c>
      <c r="P26">
        <f>'Pretax Fuel Prices'!P26+'Fuel Taxes'!P26</f>
        <v>0</v>
      </c>
      <c r="Q26">
        <f>'Pretax Fuel Prices'!Q26+'Fuel Taxes'!Q26</f>
        <v>0</v>
      </c>
      <c r="R26">
        <f>'Pretax Fuel Prices'!R26+'Fuel Taxes'!R26</f>
        <v>0</v>
      </c>
      <c r="S26">
        <f>'Pretax Fuel Prices'!S26+'Fuel Taxes'!S26</f>
        <v>0</v>
      </c>
      <c r="T26">
        <f>'Pretax Fuel Prices'!T26+'Fuel Taxes'!T26</f>
        <v>0</v>
      </c>
      <c r="U26">
        <f>'Pretax Fuel Prices'!U26+'Fuel Taxes'!U26</f>
        <v>0</v>
      </c>
      <c r="V26">
        <f>'Pretax Fuel Prices'!V26+'Fuel Taxes'!V26</f>
        <v>0</v>
      </c>
      <c r="W26">
        <f>'Pretax Fuel Prices'!W26+'Fuel Taxes'!W26</f>
        <v>0</v>
      </c>
      <c r="X26">
        <f>'Pretax Fuel Prices'!X26+'Fuel Taxes'!X26</f>
        <v>0</v>
      </c>
      <c r="Y26">
        <f>'Pretax Fuel Prices'!Y26+'Fuel Taxes'!Y26</f>
        <v>0</v>
      </c>
      <c r="Z26">
        <f>'Pretax Fuel Prices'!Z26+'Fuel Taxes'!Z26</f>
        <v>0</v>
      </c>
      <c r="AA26">
        <f>'Pretax Fuel Prices'!AA26+'Fuel Taxes'!AA26</f>
        <v>0</v>
      </c>
      <c r="AB26">
        <f>'Pretax Fuel Prices'!AB26+'Fuel Taxes'!AB26</f>
        <v>0</v>
      </c>
      <c r="AC26">
        <f>'Pretax Fuel Prices'!AC26+'Fuel Taxes'!AC26</f>
        <v>0</v>
      </c>
      <c r="AD26">
        <f>'Pretax Fuel Prices'!AD26+'Fuel Taxes'!AD26</f>
        <v>0</v>
      </c>
      <c r="AE26">
        <f>'Pretax Fuel Prices'!AE26+'Fuel Taxes'!AE26</f>
        <v>0</v>
      </c>
      <c r="AF26">
        <f>'Pretax Fuel Prices'!AF26+'Fuel Taxes'!AF26</f>
        <v>0</v>
      </c>
      <c r="AG26">
        <f>'Pretax Fuel Prices'!AG26+'Fuel Taxes'!AG26</f>
        <v>0</v>
      </c>
      <c r="AH26">
        <f>'Pretax Fuel Prices'!AH26+'Fuel Taxes'!AH26</f>
        <v>0</v>
      </c>
      <c r="AI26">
        <f>'Pretax Fuel Prices'!AI26+'Fuel Taxes'!AI26</f>
        <v>0</v>
      </c>
    </row>
    <row r="27" spans="1:51" x14ac:dyDescent="0.35">
      <c r="A27" t="s">
        <v>55</v>
      </c>
      <c r="B27">
        <f>'Pretax Fuel Prices'!B27+'Fuel Taxes'!B27</f>
        <v>0</v>
      </c>
      <c r="C27">
        <f>'Pretax Fuel Prices'!C27+'Fuel Taxes'!C27</f>
        <v>0</v>
      </c>
      <c r="D27">
        <f>'Pretax Fuel Prices'!D27+'Fuel Taxes'!D27</f>
        <v>0</v>
      </c>
      <c r="E27">
        <f>'Pretax Fuel Prices'!E27+'Fuel Taxes'!E27</f>
        <v>0</v>
      </c>
      <c r="F27">
        <f>'Pretax Fuel Prices'!F27+'Fuel Taxes'!F27</f>
        <v>0</v>
      </c>
      <c r="G27">
        <f>'Pretax Fuel Prices'!G27+'Fuel Taxes'!G27</f>
        <v>0</v>
      </c>
      <c r="H27">
        <f>'Pretax Fuel Prices'!H27+'Fuel Taxes'!H27</f>
        <v>0</v>
      </c>
      <c r="I27">
        <f>'Pretax Fuel Prices'!I27+'Fuel Taxes'!I27</f>
        <v>0</v>
      </c>
      <c r="J27">
        <f>'Pretax Fuel Prices'!J27+'Fuel Taxes'!J27</f>
        <v>0</v>
      </c>
      <c r="K27">
        <f>'Pretax Fuel Prices'!K27+'Fuel Taxes'!K27</f>
        <v>0</v>
      </c>
      <c r="L27">
        <f>'Pretax Fuel Prices'!L27+'Fuel Taxes'!L27</f>
        <v>0</v>
      </c>
      <c r="M27">
        <f>'Pretax Fuel Prices'!M27+'Fuel Taxes'!M27</f>
        <v>0</v>
      </c>
      <c r="N27">
        <f>'Pretax Fuel Prices'!N27+'Fuel Taxes'!N27</f>
        <v>0</v>
      </c>
      <c r="O27">
        <f>'Pretax Fuel Prices'!O27+'Fuel Taxes'!O27</f>
        <v>0</v>
      </c>
      <c r="P27">
        <f>'Pretax Fuel Prices'!P27+'Fuel Taxes'!P27</f>
        <v>0</v>
      </c>
      <c r="Q27">
        <f>'Pretax Fuel Prices'!Q27+'Fuel Taxes'!Q27</f>
        <v>0</v>
      </c>
      <c r="R27">
        <f>'Pretax Fuel Prices'!R27+'Fuel Taxes'!R27</f>
        <v>0</v>
      </c>
      <c r="S27">
        <f>'Pretax Fuel Prices'!S27+'Fuel Taxes'!S27</f>
        <v>0</v>
      </c>
      <c r="T27">
        <f>'Pretax Fuel Prices'!T27+'Fuel Taxes'!T27</f>
        <v>0</v>
      </c>
      <c r="U27">
        <f>'Pretax Fuel Prices'!U27+'Fuel Taxes'!U27</f>
        <v>0</v>
      </c>
      <c r="V27">
        <f>'Pretax Fuel Prices'!V27+'Fuel Taxes'!V27</f>
        <v>0</v>
      </c>
      <c r="W27">
        <f>'Pretax Fuel Prices'!W27+'Fuel Taxes'!W27</f>
        <v>0</v>
      </c>
      <c r="X27">
        <f>'Pretax Fuel Prices'!X27+'Fuel Taxes'!X27</f>
        <v>0</v>
      </c>
      <c r="Y27">
        <f>'Pretax Fuel Prices'!Y27+'Fuel Taxes'!Y27</f>
        <v>0</v>
      </c>
      <c r="Z27">
        <f>'Pretax Fuel Prices'!Z27+'Fuel Taxes'!Z27</f>
        <v>0</v>
      </c>
      <c r="AA27">
        <f>'Pretax Fuel Prices'!AA27+'Fuel Taxes'!AA27</f>
        <v>0</v>
      </c>
      <c r="AB27">
        <f>'Pretax Fuel Prices'!AB27+'Fuel Taxes'!AB27</f>
        <v>0</v>
      </c>
      <c r="AC27">
        <f>'Pretax Fuel Prices'!AC27+'Fuel Taxes'!AC27</f>
        <v>0</v>
      </c>
      <c r="AD27">
        <f>'Pretax Fuel Prices'!AD27+'Fuel Taxes'!AD27</f>
        <v>0</v>
      </c>
      <c r="AE27">
        <f>'Pretax Fuel Prices'!AE27+'Fuel Taxes'!AE27</f>
        <v>0</v>
      </c>
      <c r="AF27">
        <f>'Pretax Fuel Prices'!AF27+'Fuel Taxes'!AF27</f>
        <v>0</v>
      </c>
      <c r="AG27">
        <f>'Pretax Fuel Prices'!AG27+'Fuel Taxes'!AG27</f>
        <v>0</v>
      </c>
      <c r="AH27">
        <f>'Pretax Fuel Prices'!AH27+'Fuel Taxes'!AH27</f>
        <v>0</v>
      </c>
      <c r="AI27">
        <f>'Pretax Fuel Prices'!AI27+'Fuel Taxes'!AI27</f>
        <v>0</v>
      </c>
    </row>
    <row r="28" spans="1:51" x14ac:dyDescent="0.35">
      <c r="A28" t="s">
        <v>56</v>
      </c>
      <c r="B28">
        <f>'Pretax Fuel Prices'!B28+'Fuel Taxes'!B28</f>
        <v>0</v>
      </c>
      <c r="C28">
        <f>'Pretax Fuel Prices'!C28+'Fuel Taxes'!C28</f>
        <v>0</v>
      </c>
      <c r="D28">
        <f>'Pretax Fuel Prices'!D28+'Fuel Taxes'!D28</f>
        <v>0</v>
      </c>
      <c r="E28">
        <f>'Pretax Fuel Prices'!E28+'Fuel Taxes'!E28</f>
        <v>0</v>
      </c>
      <c r="F28">
        <f>'Pretax Fuel Prices'!F28+'Fuel Taxes'!F28</f>
        <v>0</v>
      </c>
      <c r="G28">
        <f>'Pretax Fuel Prices'!G28+'Fuel Taxes'!G28</f>
        <v>0</v>
      </c>
      <c r="H28">
        <f>'Pretax Fuel Prices'!H28+'Fuel Taxes'!H28</f>
        <v>0</v>
      </c>
      <c r="I28">
        <f>'Pretax Fuel Prices'!I28+'Fuel Taxes'!I28</f>
        <v>0</v>
      </c>
      <c r="J28">
        <f>'Pretax Fuel Prices'!J28+'Fuel Taxes'!J28</f>
        <v>0</v>
      </c>
      <c r="K28">
        <f>'Pretax Fuel Prices'!K28+'Fuel Taxes'!K28</f>
        <v>0</v>
      </c>
      <c r="L28">
        <f>'Pretax Fuel Prices'!L28+'Fuel Taxes'!L28</f>
        <v>0</v>
      </c>
      <c r="M28">
        <f>'Pretax Fuel Prices'!M28+'Fuel Taxes'!M28</f>
        <v>0</v>
      </c>
      <c r="N28">
        <f>'Pretax Fuel Prices'!N28+'Fuel Taxes'!N28</f>
        <v>0</v>
      </c>
      <c r="O28">
        <f>'Pretax Fuel Prices'!O28+'Fuel Taxes'!O28</f>
        <v>0</v>
      </c>
      <c r="P28">
        <f>'Pretax Fuel Prices'!P28+'Fuel Taxes'!P28</f>
        <v>0</v>
      </c>
      <c r="Q28">
        <f>'Pretax Fuel Prices'!Q28+'Fuel Taxes'!Q28</f>
        <v>0</v>
      </c>
      <c r="R28">
        <f>'Pretax Fuel Prices'!R28+'Fuel Taxes'!R28</f>
        <v>0</v>
      </c>
      <c r="S28">
        <f>'Pretax Fuel Prices'!S28+'Fuel Taxes'!S28</f>
        <v>0</v>
      </c>
      <c r="T28">
        <f>'Pretax Fuel Prices'!T28+'Fuel Taxes'!T28</f>
        <v>0</v>
      </c>
      <c r="U28">
        <f>'Pretax Fuel Prices'!U28+'Fuel Taxes'!U28</f>
        <v>0</v>
      </c>
      <c r="V28">
        <f>'Pretax Fuel Prices'!V28+'Fuel Taxes'!V28</f>
        <v>0</v>
      </c>
      <c r="W28">
        <f>'Pretax Fuel Prices'!W28+'Fuel Taxes'!W28</f>
        <v>0</v>
      </c>
      <c r="X28">
        <f>'Pretax Fuel Prices'!X28+'Fuel Taxes'!X28</f>
        <v>0</v>
      </c>
      <c r="Y28">
        <f>'Pretax Fuel Prices'!Y28+'Fuel Taxes'!Y28</f>
        <v>0</v>
      </c>
      <c r="Z28">
        <f>'Pretax Fuel Prices'!Z28+'Fuel Taxes'!Z28</f>
        <v>0</v>
      </c>
      <c r="AA28">
        <f>'Pretax Fuel Prices'!AA28+'Fuel Taxes'!AA28</f>
        <v>0</v>
      </c>
      <c r="AB28">
        <f>'Pretax Fuel Prices'!AB28+'Fuel Taxes'!AB28</f>
        <v>0</v>
      </c>
      <c r="AC28">
        <f>'Pretax Fuel Prices'!AC28+'Fuel Taxes'!AC28</f>
        <v>0</v>
      </c>
      <c r="AD28">
        <f>'Pretax Fuel Prices'!AD28+'Fuel Taxes'!AD28</f>
        <v>0</v>
      </c>
      <c r="AE28">
        <f>'Pretax Fuel Prices'!AE28+'Fuel Taxes'!AE28</f>
        <v>0</v>
      </c>
      <c r="AF28">
        <f>'Pretax Fuel Prices'!AF28+'Fuel Taxes'!AF28</f>
        <v>0</v>
      </c>
      <c r="AG28">
        <f>'Pretax Fuel Prices'!AG28+'Fuel Taxes'!AG28</f>
        <v>0</v>
      </c>
      <c r="AH28">
        <f>'Pretax Fuel Prices'!AH28+'Fuel Taxes'!AH28</f>
        <v>0</v>
      </c>
      <c r="AI28">
        <f>'Pretax Fuel Prices'!AI28+'Fuel Taxes'!AI28</f>
        <v>0</v>
      </c>
    </row>
    <row r="29" spans="1:51" x14ac:dyDescent="0.35">
      <c r="A29" t="s">
        <v>57</v>
      </c>
      <c r="B29">
        <f>'Pretax Fuel Prices'!B29+'Fuel Taxes'!B29</f>
        <v>0</v>
      </c>
      <c r="C29">
        <f>'Pretax Fuel Prices'!C29+'Fuel Taxes'!C29</f>
        <v>0</v>
      </c>
      <c r="D29">
        <f>'Pretax Fuel Prices'!D29+'Fuel Taxes'!D29</f>
        <v>0</v>
      </c>
      <c r="E29">
        <f>'Pretax Fuel Prices'!E29+'Fuel Taxes'!E29</f>
        <v>0</v>
      </c>
      <c r="F29">
        <f>'Pretax Fuel Prices'!F29+'Fuel Taxes'!F29</f>
        <v>0</v>
      </c>
      <c r="G29">
        <f>'Pretax Fuel Prices'!G29+'Fuel Taxes'!G29</f>
        <v>0</v>
      </c>
      <c r="H29">
        <f>'Pretax Fuel Prices'!H29+'Fuel Taxes'!H29</f>
        <v>0</v>
      </c>
      <c r="I29">
        <f>'Pretax Fuel Prices'!I29+'Fuel Taxes'!I29</f>
        <v>0</v>
      </c>
      <c r="J29">
        <f>'Pretax Fuel Prices'!J29+'Fuel Taxes'!J29</f>
        <v>0</v>
      </c>
      <c r="K29">
        <f>'Pretax Fuel Prices'!K29+'Fuel Taxes'!K29</f>
        <v>0</v>
      </c>
      <c r="L29">
        <f>'Pretax Fuel Prices'!L29+'Fuel Taxes'!L29</f>
        <v>0</v>
      </c>
      <c r="M29">
        <f>'Pretax Fuel Prices'!M29+'Fuel Taxes'!M29</f>
        <v>0</v>
      </c>
      <c r="N29">
        <f>'Pretax Fuel Prices'!N29+'Fuel Taxes'!N29</f>
        <v>0</v>
      </c>
      <c r="O29">
        <f>'Pretax Fuel Prices'!O29+'Fuel Taxes'!O29</f>
        <v>0</v>
      </c>
      <c r="P29">
        <f>'Pretax Fuel Prices'!P29+'Fuel Taxes'!P29</f>
        <v>0</v>
      </c>
      <c r="Q29">
        <f>'Pretax Fuel Prices'!Q29+'Fuel Taxes'!Q29</f>
        <v>0</v>
      </c>
      <c r="R29">
        <f>'Pretax Fuel Prices'!R29+'Fuel Taxes'!R29</f>
        <v>0</v>
      </c>
      <c r="S29">
        <f>'Pretax Fuel Prices'!S29+'Fuel Taxes'!S29</f>
        <v>0</v>
      </c>
      <c r="T29">
        <f>'Pretax Fuel Prices'!T29+'Fuel Taxes'!T29</f>
        <v>0</v>
      </c>
      <c r="U29">
        <f>'Pretax Fuel Prices'!U29+'Fuel Taxes'!U29</f>
        <v>0</v>
      </c>
      <c r="V29">
        <f>'Pretax Fuel Prices'!V29+'Fuel Taxes'!V29</f>
        <v>0</v>
      </c>
      <c r="W29">
        <f>'Pretax Fuel Prices'!W29+'Fuel Taxes'!W29</f>
        <v>0</v>
      </c>
      <c r="X29">
        <f>'Pretax Fuel Prices'!X29+'Fuel Taxes'!X29</f>
        <v>0</v>
      </c>
      <c r="Y29">
        <f>'Pretax Fuel Prices'!Y29+'Fuel Taxes'!Y29</f>
        <v>0</v>
      </c>
      <c r="Z29">
        <f>'Pretax Fuel Prices'!Z29+'Fuel Taxes'!Z29</f>
        <v>0</v>
      </c>
      <c r="AA29">
        <f>'Pretax Fuel Prices'!AA29+'Fuel Taxes'!AA29</f>
        <v>0</v>
      </c>
      <c r="AB29">
        <f>'Pretax Fuel Prices'!AB29+'Fuel Taxes'!AB29</f>
        <v>0</v>
      </c>
      <c r="AC29">
        <f>'Pretax Fuel Prices'!AC29+'Fuel Taxes'!AC29</f>
        <v>0</v>
      </c>
      <c r="AD29">
        <f>'Pretax Fuel Prices'!AD29+'Fuel Taxes'!AD29</f>
        <v>0</v>
      </c>
      <c r="AE29">
        <f>'Pretax Fuel Prices'!AE29+'Fuel Taxes'!AE29</f>
        <v>0</v>
      </c>
      <c r="AF29">
        <f>'Pretax Fuel Prices'!AF29+'Fuel Taxes'!AF29</f>
        <v>0</v>
      </c>
      <c r="AG29">
        <f>'Pretax Fuel Prices'!AG29+'Fuel Taxes'!AG29</f>
        <v>0</v>
      </c>
      <c r="AH29">
        <f>'Pretax Fuel Prices'!AH29+'Fuel Taxes'!AH29</f>
        <v>0</v>
      </c>
      <c r="AI29">
        <f>'Pretax Fuel Prices'!AI29+'Fuel Taxes'!AI29</f>
        <v>0</v>
      </c>
    </row>
    <row r="30" spans="1:51" x14ac:dyDescent="0.35">
      <c r="A30" t="s">
        <v>58</v>
      </c>
      <c r="B30">
        <f>'Pretax Fuel Prices'!B30+'Fuel Taxes'!B30</f>
        <v>0</v>
      </c>
      <c r="C30">
        <f>'Pretax Fuel Prices'!C30+'Fuel Taxes'!C30</f>
        <v>0</v>
      </c>
      <c r="D30">
        <f>'Pretax Fuel Prices'!D30+'Fuel Taxes'!D30</f>
        <v>0</v>
      </c>
      <c r="E30">
        <f>'Pretax Fuel Prices'!E30+'Fuel Taxes'!E30</f>
        <v>0</v>
      </c>
      <c r="F30">
        <f>'Pretax Fuel Prices'!F30+'Fuel Taxes'!F30</f>
        <v>0</v>
      </c>
      <c r="G30">
        <f>'Pretax Fuel Prices'!G30+'Fuel Taxes'!G30</f>
        <v>0</v>
      </c>
      <c r="H30">
        <f>'Pretax Fuel Prices'!H30+'Fuel Taxes'!H30</f>
        <v>0</v>
      </c>
      <c r="I30">
        <f>'Pretax Fuel Prices'!I30+'Fuel Taxes'!I30</f>
        <v>0</v>
      </c>
      <c r="J30">
        <f>'Pretax Fuel Prices'!J30+'Fuel Taxes'!J30</f>
        <v>0</v>
      </c>
      <c r="K30">
        <f>'Pretax Fuel Prices'!K30+'Fuel Taxes'!K30</f>
        <v>0</v>
      </c>
      <c r="L30">
        <f>'Pretax Fuel Prices'!L30+'Fuel Taxes'!L30</f>
        <v>0</v>
      </c>
      <c r="M30">
        <f>'Pretax Fuel Prices'!M30+'Fuel Taxes'!M30</f>
        <v>0</v>
      </c>
      <c r="N30">
        <f>'Pretax Fuel Prices'!N30+'Fuel Taxes'!N30</f>
        <v>0</v>
      </c>
      <c r="O30">
        <f>'Pretax Fuel Prices'!O30+'Fuel Taxes'!O30</f>
        <v>0</v>
      </c>
      <c r="P30">
        <f>'Pretax Fuel Prices'!P30+'Fuel Taxes'!P30</f>
        <v>0</v>
      </c>
      <c r="Q30">
        <f>'Pretax Fuel Prices'!Q30+'Fuel Taxes'!Q30</f>
        <v>0</v>
      </c>
      <c r="R30">
        <f>'Pretax Fuel Prices'!R30+'Fuel Taxes'!R30</f>
        <v>0</v>
      </c>
      <c r="S30">
        <f>'Pretax Fuel Prices'!S30+'Fuel Taxes'!S30</f>
        <v>0</v>
      </c>
      <c r="T30">
        <f>'Pretax Fuel Prices'!T30+'Fuel Taxes'!T30</f>
        <v>0</v>
      </c>
      <c r="U30">
        <f>'Pretax Fuel Prices'!U30+'Fuel Taxes'!U30</f>
        <v>0</v>
      </c>
      <c r="V30">
        <f>'Pretax Fuel Prices'!V30+'Fuel Taxes'!V30</f>
        <v>0</v>
      </c>
      <c r="W30">
        <f>'Pretax Fuel Prices'!W30+'Fuel Taxes'!W30</f>
        <v>0</v>
      </c>
      <c r="X30">
        <f>'Pretax Fuel Prices'!X30+'Fuel Taxes'!X30</f>
        <v>0</v>
      </c>
      <c r="Y30">
        <f>'Pretax Fuel Prices'!Y30+'Fuel Taxes'!Y30</f>
        <v>0</v>
      </c>
      <c r="Z30">
        <f>'Pretax Fuel Prices'!Z30+'Fuel Taxes'!Z30</f>
        <v>0</v>
      </c>
      <c r="AA30">
        <f>'Pretax Fuel Prices'!AA30+'Fuel Taxes'!AA30</f>
        <v>0</v>
      </c>
      <c r="AB30">
        <f>'Pretax Fuel Prices'!AB30+'Fuel Taxes'!AB30</f>
        <v>0</v>
      </c>
      <c r="AC30">
        <f>'Pretax Fuel Prices'!AC30+'Fuel Taxes'!AC30</f>
        <v>0</v>
      </c>
      <c r="AD30">
        <f>'Pretax Fuel Prices'!AD30+'Fuel Taxes'!AD30</f>
        <v>0</v>
      </c>
      <c r="AE30">
        <f>'Pretax Fuel Prices'!AE30+'Fuel Taxes'!AE30</f>
        <v>0</v>
      </c>
      <c r="AF30">
        <f>'Pretax Fuel Prices'!AF30+'Fuel Taxes'!AF30</f>
        <v>0</v>
      </c>
      <c r="AG30">
        <f>'Pretax Fuel Prices'!AG30+'Fuel Taxes'!AG30</f>
        <v>0</v>
      </c>
      <c r="AH30">
        <f>'Pretax Fuel Prices'!AH30+'Fuel Taxes'!AH30</f>
        <v>0</v>
      </c>
      <c r="AI30">
        <f>'Pretax Fuel Prices'!AI30+'Fuel Taxes'!AI30</f>
        <v>0</v>
      </c>
    </row>
    <row r="31" spans="1:51" s="4" customFormat="1" x14ac:dyDescent="0.35">
      <c r="A31" s="6" t="s">
        <v>32</v>
      </c>
    </row>
    <row r="32" spans="1:51" x14ac:dyDescent="0.35">
      <c r="A32" t="s">
        <v>29</v>
      </c>
      <c r="B32" s="1">
        <v>2021</v>
      </c>
      <c r="C32" s="1">
        <v>2022</v>
      </c>
      <c r="D32" s="1">
        <v>2023</v>
      </c>
      <c r="E32" s="1">
        <v>2024</v>
      </c>
      <c r="F32" s="1">
        <v>2025</v>
      </c>
      <c r="G32" s="1">
        <v>2026</v>
      </c>
      <c r="H32" s="1">
        <v>2027</v>
      </c>
      <c r="I32" s="1">
        <v>2028</v>
      </c>
      <c r="J32" s="1">
        <v>2029</v>
      </c>
      <c r="K32" s="1">
        <v>2030</v>
      </c>
      <c r="L32" s="1">
        <v>2031</v>
      </c>
      <c r="M32" s="1">
        <v>2032</v>
      </c>
      <c r="N32" s="1">
        <v>2033</v>
      </c>
      <c r="O32" s="1">
        <v>2034</v>
      </c>
      <c r="P32" s="1">
        <v>2035</v>
      </c>
      <c r="Q32" s="1">
        <v>2036</v>
      </c>
      <c r="R32" s="1">
        <v>2037</v>
      </c>
      <c r="S32" s="1">
        <v>2038</v>
      </c>
      <c r="T32" s="1">
        <v>2039</v>
      </c>
      <c r="U32" s="1">
        <v>2040</v>
      </c>
      <c r="V32" s="1">
        <v>2041</v>
      </c>
      <c r="W32" s="1">
        <v>2042</v>
      </c>
      <c r="X32" s="1">
        <v>2043</v>
      </c>
      <c r="Y32" s="1">
        <v>2044</v>
      </c>
      <c r="Z32" s="1">
        <v>2045</v>
      </c>
      <c r="AA32" s="1">
        <v>2046</v>
      </c>
      <c r="AB32" s="1">
        <v>2047</v>
      </c>
      <c r="AC32" s="1">
        <v>2048</v>
      </c>
      <c r="AD32" s="1">
        <v>2049</v>
      </c>
      <c r="AE32" s="1">
        <v>2050</v>
      </c>
      <c r="AF32" s="1">
        <v>2051</v>
      </c>
      <c r="AG32" s="1">
        <v>2052</v>
      </c>
      <c r="AH32" s="1">
        <v>2053</v>
      </c>
      <c r="AI32" s="1">
        <v>2054</v>
      </c>
      <c r="AJ32" s="1">
        <v>2055</v>
      </c>
      <c r="AK32" s="1">
        <v>2056</v>
      </c>
      <c r="AL32" s="1">
        <v>2057</v>
      </c>
      <c r="AM32" s="1">
        <v>2058</v>
      </c>
      <c r="AN32" s="1">
        <v>2059</v>
      </c>
      <c r="AO32" s="1">
        <v>2060</v>
      </c>
      <c r="AP32" s="1">
        <v>2061</v>
      </c>
      <c r="AQ32" s="1">
        <v>2062</v>
      </c>
      <c r="AR32" s="1">
        <v>2063</v>
      </c>
      <c r="AS32" s="1">
        <v>2064</v>
      </c>
      <c r="AT32" s="1">
        <v>2065</v>
      </c>
      <c r="AU32" s="1">
        <v>2066</v>
      </c>
      <c r="AV32" s="1">
        <v>2067</v>
      </c>
      <c r="AW32" s="1">
        <v>2068</v>
      </c>
      <c r="AX32" s="1">
        <v>2069</v>
      </c>
      <c r="AY32" s="1">
        <v>2070</v>
      </c>
    </row>
    <row r="33" spans="1:51" x14ac:dyDescent="0.35">
      <c r="A33" t="s">
        <v>51</v>
      </c>
      <c r="B33">
        <f>'Pretax Fuel Prices'!B33+'Fuel Taxes'!B33</f>
        <v>0</v>
      </c>
      <c r="C33">
        <f>'Pretax Fuel Prices'!C33+'Fuel Taxes'!C33</f>
        <v>0</v>
      </c>
      <c r="D33">
        <f>'Pretax Fuel Prices'!D33+'Fuel Taxes'!D33</f>
        <v>0</v>
      </c>
      <c r="E33">
        <f>'Pretax Fuel Prices'!E33+'Fuel Taxes'!E33</f>
        <v>0</v>
      </c>
      <c r="F33">
        <f>'Pretax Fuel Prices'!F33+'Fuel Taxes'!F33</f>
        <v>0</v>
      </c>
      <c r="G33">
        <f>'Pretax Fuel Prices'!G33+'Fuel Taxes'!G33</f>
        <v>0</v>
      </c>
      <c r="H33">
        <f>'Pretax Fuel Prices'!H33+'Fuel Taxes'!H33</f>
        <v>0</v>
      </c>
      <c r="I33">
        <f>'Pretax Fuel Prices'!I33+'Fuel Taxes'!I33</f>
        <v>0</v>
      </c>
      <c r="J33">
        <f>'Pretax Fuel Prices'!J33+'Fuel Taxes'!J33</f>
        <v>0</v>
      </c>
      <c r="K33">
        <f>'Pretax Fuel Prices'!K33+'Fuel Taxes'!K33</f>
        <v>0</v>
      </c>
      <c r="L33">
        <f>'Pretax Fuel Prices'!L33+'Fuel Taxes'!L33</f>
        <v>0</v>
      </c>
      <c r="M33">
        <f>'Pretax Fuel Prices'!M33+'Fuel Taxes'!M33</f>
        <v>0</v>
      </c>
      <c r="N33">
        <f>'Pretax Fuel Prices'!N33+'Fuel Taxes'!N33</f>
        <v>0</v>
      </c>
      <c r="O33">
        <f>'Pretax Fuel Prices'!O33+'Fuel Taxes'!O33</f>
        <v>0</v>
      </c>
      <c r="P33">
        <f>'Pretax Fuel Prices'!P33+'Fuel Taxes'!P33</f>
        <v>0</v>
      </c>
      <c r="Q33">
        <f>'Pretax Fuel Prices'!Q33+'Fuel Taxes'!Q33</f>
        <v>0</v>
      </c>
      <c r="R33">
        <f>'Pretax Fuel Prices'!R33+'Fuel Taxes'!R33</f>
        <v>0</v>
      </c>
      <c r="S33">
        <f>'Pretax Fuel Prices'!S33+'Fuel Taxes'!S33</f>
        <v>0</v>
      </c>
      <c r="T33">
        <f>'Pretax Fuel Prices'!T33+'Fuel Taxes'!T33</f>
        <v>0</v>
      </c>
      <c r="U33">
        <f>'Pretax Fuel Prices'!U33+'Fuel Taxes'!U33</f>
        <v>0</v>
      </c>
      <c r="V33">
        <f>'Pretax Fuel Prices'!V33+'Fuel Taxes'!V33</f>
        <v>0</v>
      </c>
      <c r="W33">
        <f>'Pretax Fuel Prices'!W33+'Fuel Taxes'!W33</f>
        <v>0</v>
      </c>
      <c r="X33">
        <f>'Pretax Fuel Prices'!X33+'Fuel Taxes'!X33</f>
        <v>0</v>
      </c>
      <c r="Y33">
        <f>'Pretax Fuel Prices'!Y33+'Fuel Taxes'!Y33</f>
        <v>0</v>
      </c>
      <c r="Z33">
        <f>'Pretax Fuel Prices'!Z33+'Fuel Taxes'!Z33</f>
        <v>0</v>
      </c>
      <c r="AA33">
        <f>'Pretax Fuel Prices'!AA33+'Fuel Taxes'!AA33</f>
        <v>0</v>
      </c>
      <c r="AB33">
        <f>'Pretax Fuel Prices'!AB33+'Fuel Taxes'!AB33</f>
        <v>0</v>
      </c>
      <c r="AC33">
        <f>'Pretax Fuel Prices'!AC33+'Fuel Taxes'!AC33</f>
        <v>0</v>
      </c>
      <c r="AD33">
        <f>'Pretax Fuel Prices'!AD33+'Fuel Taxes'!AD33</f>
        <v>0</v>
      </c>
      <c r="AE33">
        <f>'Pretax Fuel Prices'!AE33+'Fuel Taxes'!AE33</f>
        <v>0</v>
      </c>
      <c r="AF33">
        <f>'Pretax Fuel Prices'!AF33+'Fuel Taxes'!AF33</f>
        <v>0</v>
      </c>
      <c r="AG33">
        <f>'Pretax Fuel Prices'!AG33+'Fuel Taxes'!AG33</f>
        <v>0</v>
      </c>
      <c r="AH33">
        <f>'Pretax Fuel Prices'!AH33+'Fuel Taxes'!AH33</f>
        <v>0</v>
      </c>
      <c r="AI33">
        <f>'Pretax Fuel Prices'!AI33+'Fuel Taxes'!AI33</f>
        <v>0</v>
      </c>
    </row>
    <row r="34" spans="1:51" x14ac:dyDescent="0.35">
      <c r="A34" t="s">
        <v>52</v>
      </c>
      <c r="B34">
        <f>'Pretax Fuel Prices'!B34+'Fuel Taxes'!B34</f>
        <v>2.3976693894636732E-6</v>
      </c>
      <c r="C34">
        <f>'Pretax Fuel Prices'!C34+'Fuel Taxes'!C34</f>
        <v>2.3976693894636732E-6</v>
      </c>
      <c r="D34">
        <f>'Pretax Fuel Prices'!D34+'Fuel Taxes'!D34</f>
        <v>2.3976693894636732E-6</v>
      </c>
      <c r="E34">
        <f>'Pretax Fuel Prices'!E34+'Fuel Taxes'!E34</f>
        <v>2.3976693894636732E-6</v>
      </c>
      <c r="F34">
        <f>'Pretax Fuel Prices'!F34+'Fuel Taxes'!F34</f>
        <v>2.3976693894636732E-6</v>
      </c>
      <c r="G34">
        <f>'Pretax Fuel Prices'!G34+'Fuel Taxes'!G34</f>
        <v>2.3976693894636732E-6</v>
      </c>
      <c r="H34">
        <f>'Pretax Fuel Prices'!H34+'Fuel Taxes'!H34</f>
        <v>2.3976693894636732E-6</v>
      </c>
      <c r="I34">
        <f>'Pretax Fuel Prices'!I34+'Fuel Taxes'!I34</f>
        <v>2.3976693894636732E-6</v>
      </c>
      <c r="J34">
        <f>'Pretax Fuel Prices'!J34+'Fuel Taxes'!J34</f>
        <v>2.3976693894636732E-6</v>
      </c>
      <c r="K34">
        <f>'Pretax Fuel Prices'!K34+'Fuel Taxes'!K34</f>
        <v>2.3976693894636732E-6</v>
      </c>
      <c r="L34">
        <f>'Pretax Fuel Prices'!L34+'Fuel Taxes'!L34</f>
        <v>2.3976693894636732E-6</v>
      </c>
      <c r="M34">
        <f>'Pretax Fuel Prices'!M34+'Fuel Taxes'!M34</f>
        <v>2.3976693894636732E-6</v>
      </c>
      <c r="N34">
        <f>'Pretax Fuel Prices'!N34+'Fuel Taxes'!N34</f>
        <v>2.3976693894636732E-6</v>
      </c>
      <c r="O34">
        <f>'Pretax Fuel Prices'!O34+'Fuel Taxes'!O34</f>
        <v>2.3976693894636732E-6</v>
      </c>
      <c r="P34">
        <f>'Pretax Fuel Prices'!P34+'Fuel Taxes'!P34</f>
        <v>2.3976693894636732E-6</v>
      </c>
      <c r="Q34">
        <f>'Pretax Fuel Prices'!Q34+'Fuel Taxes'!Q34</f>
        <v>2.3976693894636732E-6</v>
      </c>
      <c r="R34">
        <f>'Pretax Fuel Prices'!R34+'Fuel Taxes'!R34</f>
        <v>2.3976693894636732E-6</v>
      </c>
      <c r="S34">
        <f>'Pretax Fuel Prices'!S34+'Fuel Taxes'!S34</f>
        <v>2.3976693894636732E-6</v>
      </c>
      <c r="T34">
        <f>'Pretax Fuel Prices'!T34+'Fuel Taxes'!T34</f>
        <v>2.3976693894636732E-6</v>
      </c>
      <c r="U34">
        <f>'Pretax Fuel Prices'!U34+'Fuel Taxes'!U34</f>
        <v>2.3976693894636732E-6</v>
      </c>
      <c r="V34">
        <f>'Pretax Fuel Prices'!V34+'Fuel Taxes'!V34</f>
        <v>2.3976693894636732E-6</v>
      </c>
      <c r="W34">
        <f>'Pretax Fuel Prices'!W34+'Fuel Taxes'!W34</f>
        <v>2.3976693894636732E-6</v>
      </c>
      <c r="X34">
        <f>'Pretax Fuel Prices'!X34+'Fuel Taxes'!X34</f>
        <v>2.3976693894636732E-6</v>
      </c>
      <c r="Y34">
        <f>'Pretax Fuel Prices'!Y34+'Fuel Taxes'!Y34</f>
        <v>2.3976693894636732E-6</v>
      </c>
      <c r="Z34">
        <f>'Pretax Fuel Prices'!Z34+'Fuel Taxes'!Z34</f>
        <v>2.3976693894636732E-6</v>
      </c>
      <c r="AA34">
        <f>'Pretax Fuel Prices'!AA34+'Fuel Taxes'!AA34</f>
        <v>2.3976693894636732E-6</v>
      </c>
      <c r="AB34">
        <f>'Pretax Fuel Prices'!AB34+'Fuel Taxes'!AB34</f>
        <v>2.3976693894636732E-6</v>
      </c>
      <c r="AC34">
        <f>'Pretax Fuel Prices'!AC34+'Fuel Taxes'!AC34</f>
        <v>2.3976693894636732E-6</v>
      </c>
      <c r="AD34">
        <f>'Pretax Fuel Prices'!AD34+'Fuel Taxes'!AD34</f>
        <v>2.3976693894636732E-6</v>
      </c>
      <c r="AE34">
        <f>'Pretax Fuel Prices'!AE34+'Fuel Taxes'!AE34</f>
        <v>2.3976693894636732E-6</v>
      </c>
      <c r="AF34">
        <f>'Pretax Fuel Prices'!AF34+'Fuel Taxes'!AF34</f>
        <v>1.61118996363117E-7</v>
      </c>
      <c r="AG34">
        <f>'Pretax Fuel Prices'!AG34+'Fuel Taxes'!AG34</f>
        <v>0</v>
      </c>
      <c r="AH34">
        <f>'Pretax Fuel Prices'!AH34+'Fuel Taxes'!AH34</f>
        <v>0</v>
      </c>
      <c r="AI34">
        <f>'Pretax Fuel Prices'!AI34+'Fuel Taxes'!AI34</f>
        <v>0</v>
      </c>
    </row>
    <row r="35" spans="1:51" x14ac:dyDescent="0.35">
      <c r="A35" t="s">
        <v>53</v>
      </c>
      <c r="B35">
        <f>'Pretax Fuel Prices'!B35+'Fuel Taxes'!B35</f>
        <v>2.3976693894636732E-6</v>
      </c>
      <c r="C35">
        <f>'Pretax Fuel Prices'!C35+'Fuel Taxes'!C35</f>
        <v>2.3976693894636732E-6</v>
      </c>
      <c r="D35">
        <f>'Pretax Fuel Prices'!D35+'Fuel Taxes'!D35</f>
        <v>2.3976693894636732E-6</v>
      </c>
      <c r="E35">
        <f>'Pretax Fuel Prices'!E35+'Fuel Taxes'!E35</f>
        <v>2.3976693894636732E-6</v>
      </c>
      <c r="F35">
        <f>'Pretax Fuel Prices'!F35+'Fuel Taxes'!F35</f>
        <v>2.3976693894636732E-6</v>
      </c>
      <c r="G35">
        <f>'Pretax Fuel Prices'!G35+'Fuel Taxes'!G35</f>
        <v>2.3976693894636732E-6</v>
      </c>
      <c r="H35">
        <f>'Pretax Fuel Prices'!H35+'Fuel Taxes'!H35</f>
        <v>2.3976693894636732E-6</v>
      </c>
      <c r="I35">
        <f>'Pretax Fuel Prices'!I35+'Fuel Taxes'!I35</f>
        <v>2.3976693894636732E-6</v>
      </c>
      <c r="J35">
        <f>'Pretax Fuel Prices'!J35+'Fuel Taxes'!J35</f>
        <v>2.3976693894636732E-6</v>
      </c>
      <c r="K35">
        <f>'Pretax Fuel Prices'!K35+'Fuel Taxes'!K35</f>
        <v>2.3976693894636732E-6</v>
      </c>
      <c r="L35">
        <f>'Pretax Fuel Prices'!L35+'Fuel Taxes'!L35</f>
        <v>2.3976693894636732E-6</v>
      </c>
      <c r="M35">
        <f>'Pretax Fuel Prices'!M35+'Fuel Taxes'!M35</f>
        <v>2.3976693894636732E-6</v>
      </c>
      <c r="N35">
        <f>'Pretax Fuel Prices'!N35+'Fuel Taxes'!N35</f>
        <v>2.3976693894636732E-6</v>
      </c>
      <c r="O35">
        <f>'Pretax Fuel Prices'!O35+'Fuel Taxes'!O35</f>
        <v>2.3976693894636732E-6</v>
      </c>
      <c r="P35">
        <f>'Pretax Fuel Prices'!P35+'Fuel Taxes'!P35</f>
        <v>2.3976693894636732E-6</v>
      </c>
      <c r="Q35">
        <f>'Pretax Fuel Prices'!Q35+'Fuel Taxes'!Q35</f>
        <v>2.3976693894636732E-6</v>
      </c>
      <c r="R35">
        <f>'Pretax Fuel Prices'!R35+'Fuel Taxes'!R35</f>
        <v>2.3976693894636732E-6</v>
      </c>
      <c r="S35">
        <f>'Pretax Fuel Prices'!S35+'Fuel Taxes'!S35</f>
        <v>2.3976693894636732E-6</v>
      </c>
      <c r="T35">
        <f>'Pretax Fuel Prices'!T35+'Fuel Taxes'!T35</f>
        <v>2.3976693894636732E-6</v>
      </c>
      <c r="U35">
        <f>'Pretax Fuel Prices'!U35+'Fuel Taxes'!U35</f>
        <v>2.3976693894636732E-6</v>
      </c>
      <c r="V35">
        <f>'Pretax Fuel Prices'!V35+'Fuel Taxes'!V35</f>
        <v>2.3976693894636732E-6</v>
      </c>
      <c r="W35">
        <f>'Pretax Fuel Prices'!W35+'Fuel Taxes'!W35</f>
        <v>2.3976693894636732E-6</v>
      </c>
      <c r="X35">
        <f>'Pretax Fuel Prices'!X35+'Fuel Taxes'!X35</f>
        <v>2.3976693894636732E-6</v>
      </c>
      <c r="Y35">
        <f>'Pretax Fuel Prices'!Y35+'Fuel Taxes'!Y35</f>
        <v>2.3976693894636732E-6</v>
      </c>
      <c r="Z35">
        <f>'Pretax Fuel Prices'!Z35+'Fuel Taxes'!Z35</f>
        <v>2.3976693894636732E-6</v>
      </c>
      <c r="AA35">
        <f>'Pretax Fuel Prices'!AA35+'Fuel Taxes'!AA35</f>
        <v>2.3976693894636732E-6</v>
      </c>
      <c r="AB35">
        <f>'Pretax Fuel Prices'!AB35+'Fuel Taxes'!AB35</f>
        <v>2.3976693894636732E-6</v>
      </c>
      <c r="AC35">
        <f>'Pretax Fuel Prices'!AC35+'Fuel Taxes'!AC35</f>
        <v>2.3976693894636732E-6</v>
      </c>
      <c r="AD35">
        <f>'Pretax Fuel Prices'!AD35+'Fuel Taxes'!AD35</f>
        <v>2.3976693894636732E-6</v>
      </c>
      <c r="AE35">
        <f>'Pretax Fuel Prices'!AE35+'Fuel Taxes'!AE35</f>
        <v>2.3976693894636732E-6</v>
      </c>
      <c r="AF35">
        <f>'Pretax Fuel Prices'!AF35+'Fuel Taxes'!AF35</f>
        <v>1.61118996363117E-7</v>
      </c>
      <c r="AG35">
        <f>'Pretax Fuel Prices'!AG35+'Fuel Taxes'!AG35</f>
        <v>0</v>
      </c>
      <c r="AH35">
        <f>'Pretax Fuel Prices'!AH35+'Fuel Taxes'!AH35</f>
        <v>0</v>
      </c>
      <c r="AI35">
        <f>'Pretax Fuel Prices'!AI35+'Fuel Taxes'!AI35</f>
        <v>0</v>
      </c>
    </row>
    <row r="36" spans="1:51" x14ac:dyDescent="0.35">
      <c r="A36" t="s">
        <v>54</v>
      </c>
      <c r="B36">
        <f>'Pretax Fuel Prices'!B36+'Fuel Taxes'!B36</f>
        <v>2.3976693894636732E-6</v>
      </c>
      <c r="C36">
        <f>'Pretax Fuel Prices'!C36+'Fuel Taxes'!C36</f>
        <v>2.3976693894636732E-6</v>
      </c>
      <c r="D36">
        <f>'Pretax Fuel Prices'!D36+'Fuel Taxes'!D36</f>
        <v>2.3976693894636732E-6</v>
      </c>
      <c r="E36">
        <f>'Pretax Fuel Prices'!E36+'Fuel Taxes'!E36</f>
        <v>2.3976693894636732E-6</v>
      </c>
      <c r="F36">
        <f>'Pretax Fuel Prices'!F36+'Fuel Taxes'!F36</f>
        <v>2.3976693894636732E-6</v>
      </c>
      <c r="G36">
        <f>'Pretax Fuel Prices'!G36+'Fuel Taxes'!G36</f>
        <v>2.3976693894636732E-6</v>
      </c>
      <c r="H36">
        <f>'Pretax Fuel Prices'!H36+'Fuel Taxes'!H36</f>
        <v>2.3976693894636732E-6</v>
      </c>
      <c r="I36">
        <f>'Pretax Fuel Prices'!I36+'Fuel Taxes'!I36</f>
        <v>2.3976693894636732E-6</v>
      </c>
      <c r="J36">
        <f>'Pretax Fuel Prices'!J36+'Fuel Taxes'!J36</f>
        <v>2.3976693894636732E-6</v>
      </c>
      <c r="K36">
        <f>'Pretax Fuel Prices'!K36+'Fuel Taxes'!K36</f>
        <v>2.3976693894636732E-6</v>
      </c>
      <c r="L36">
        <f>'Pretax Fuel Prices'!L36+'Fuel Taxes'!L36</f>
        <v>2.3976693894636732E-6</v>
      </c>
      <c r="M36">
        <f>'Pretax Fuel Prices'!M36+'Fuel Taxes'!M36</f>
        <v>2.3976693894636732E-6</v>
      </c>
      <c r="N36">
        <f>'Pretax Fuel Prices'!N36+'Fuel Taxes'!N36</f>
        <v>2.3976693894636732E-6</v>
      </c>
      <c r="O36">
        <f>'Pretax Fuel Prices'!O36+'Fuel Taxes'!O36</f>
        <v>2.3976693894636732E-6</v>
      </c>
      <c r="P36">
        <f>'Pretax Fuel Prices'!P36+'Fuel Taxes'!P36</f>
        <v>2.3976693894636732E-6</v>
      </c>
      <c r="Q36">
        <f>'Pretax Fuel Prices'!Q36+'Fuel Taxes'!Q36</f>
        <v>2.3976693894636732E-6</v>
      </c>
      <c r="R36">
        <f>'Pretax Fuel Prices'!R36+'Fuel Taxes'!R36</f>
        <v>2.3976693894636732E-6</v>
      </c>
      <c r="S36">
        <f>'Pretax Fuel Prices'!S36+'Fuel Taxes'!S36</f>
        <v>2.3976693894636732E-6</v>
      </c>
      <c r="T36">
        <f>'Pretax Fuel Prices'!T36+'Fuel Taxes'!T36</f>
        <v>2.3976693894636732E-6</v>
      </c>
      <c r="U36">
        <f>'Pretax Fuel Prices'!U36+'Fuel Taxes'!U36</f>
        <v>2.3976693894636732E-6</v>
      </c>
      <c r="V36">
        <f>'Pretax Fuel Prices'!V36+'Fuel Taxes'!V36</f>
        <v>2.3976693894636732E-6</v>
      </c>
      <c r="W36">
        <f>'Pretax Fuel Prices'!W36+'Fuel Taxes'!W36</f>
        <v>2.3976693894636732E-6</v>
      </c>
      <c r="X36">
        <f>'Pretax Fuel Prices'!X36+'Fuel Taxes'!X36</f>
        <v>2.3976693894636732E-6</v>
      </c>
      <c r="Y36">
        <f>'Pretax Fuel Prices'!Y36+'Fuel Taxes'!Y36</f>
        <v>2.3976693894636732E-6</v>
      </c>
      <c r="Z36">
        <f>'Pretax Fuel Prices'!Z36+'Fuel Taxes'!Z36</f>
        <v>2.3976693894636732E-6</v>
      </c>
      <c r="AA36">
        <f>'Pretax Fuel Prices'!AA36+'Fuel Taxes'!AA36</f>
        <v>2.3976693894636732E-6</v>
      </c>
      <c r="AB36">
        <f>'Pretax Fuel Prices'!AB36+'Fuel Taxes'!AB36</f>
        <v>2.3976693894636732E-6</v>
      </c>
      <c r="AC36">
        <f>'Pretax Fuel Prices'!AC36+'Fuel Taxes'!AC36</f>
        <v>2.3976693894636732E-6</v>
      </c>
      <c r="AD36">
        <f>'Pretax Fuel Prices'!AD36+'Fuel Taxes'!AD36</f>
        <v>2.3976693894636732E-6</v>
      </c>
      <c r="AE36">
        <f>'Pretax Fuel Prices'!AE36+'Fuel Taxes'!AE36</f>
        <v>2.3976693894636732E-6</v>
      </c>
      <c r="AF36">
        <f>'Pretax Fuel Prices'!AF36+'Fuel Taxes'!AF36</f>
        <v>1.61118996363117E-7</v>
      </c>
      <c r="AG36">
        <f>'Pretax Fuel Prices'!AG36+'Fuel Taxes'!AG36</f>
        <v>0</v>
      </c>
      <c r="AH36">
        <f>'Pretax Fuel Prices'!AH36+'Fuel Taxes'!AH36</f>
        <v>0</v>
      </c>
      <c r="AI36">
        <f>'Pretax Fuel Prices'!AI36+'Fuel Taxes'!AI36</f>
        <v>0</v>
      </c>
    </row>
    <row r="37" spans="1:51" x14ac:dyDescent="0.35">
      <c r="A37" t="s">
        <v>55</v>
      </c>
      <c r="B37">
        <f>'Pretax Fuel Prices'!B37+'Fuel Taxes'!B37</f>
        <v>2.3976693894636732E-6</v>
      </c>
      <c r="C37">
        <f>'Pretax Fuel Prices'!C37+'Fuel Taxes'!C37</f>
        <v>2.3976693894636732E-6</v>
      </c>
      <c r="D37">
        <f>'Pretax Fuel Prices'!D37+'Fuel Taxes'!D37</f>
        <v>2.3976693894636732E-6</v>
      </c>
      <c r="E37">
        <f>'Pretax Fuel Prices'!E37+'Fuel Taxes'!E37</f>
        <v>2.3976693894636732E-6</v>
      </c>
      <c r="F37">
        <f>'Pretax Fuel Prices'!F37+'Fuel Taxes'!F37</f>
        <v>2.3976693894636732E-6</v>
      </c>
      <c r="G37">
        <f>'Pretax Fuel Prices'!G37+'Fuel Taxes'!G37</f>
        <v>2.3976693894636732E-6</v>
      </c>
      <c r="H37">
        <f>'Pretax Fuel Prices'!H37+'Fuel Taxes'!H37</f>
        <v>2.3976693894636732E-6</v>
      </c>
      <c r="I37">
        <f>'Pretax Fuel Prices'!I37+'Fuel Taxes'!I37</f>
        <v>2.3976693894636732E-6</v>
      </c>
      <c r="J37">
        <f>'Pretax Fuel Prices'!J37+'Fuel Taxes'!J37</f>
        <v>2.3976693894636732E-6</v>
      </c>
      <c r="K37">
        <f>'Pretax Fuel Prices'!K37+'Fuel Taxes'!K37</f>
        <v>2.3976693894636732E-6</v>
      </c>
      <c r="L37">
        <f>'Pretax Fuel Prices'!L37+'Fuel Taxes'!L37</f>
        <v>2.3976693894636732E-6</v>
      </c>
      <c r="M37">
        <f>'Pretax Fuel Prices'!M37+'Fuel Taxes'!M37</f>
        <v>2.3976693894636732E-6</v>
      </c>
      <c r="N37">
        <f>'Pretax Fuel Prices'!N37+'Fuel Taxes'!N37</f>
        <v>2.3976693894636732E-6</v>
      </c>
      <c r="O37">
        <f>'Pretax Fuel Prices'!O37+'Fuel Taxes'!O37</f>
        <v>2.3976693894636732E-6</v>
      </c>
      <c r="P37">
        <f>'Pretax Fuel Prices'!P37+'Fuel Taxes'!P37</f>
        <v>2.3976693894636732E-6</v>
      </c>
      <c r="Q37">
        <f>'Pretax Fuel Prices'!Q37+'Fuel Taxes'!Q37</f>
        <v>2.3976693894636732E-6</v>
      </c>
      <c r="R37">
        <f>'Pretax Fuel Prices'!R37+'Fuel Taxes'!R37</f>
        <v>2.3976693894636732E-6</v>
      </c>
      <c r="S37">
        <f>'Pretax Fuel Prices'!S37+'Fuel Taxes'!S37</f>
        <v>2.3976693894636732E-6</v>
      </c>
      <c r="T37">
        <f>'Pretax Fuel Prices'!T37+'Fuel Taxes'!T37</f>
        <v>2.3976693894636732E-6</v>
      </c>
      <c r="U37">
        <f>'Pretax Fuel Prices'!U37+'Fuel Taxes'!U37</f>
        <v>2.3976693894636732E-6</v>
      </c>
      <c r="V37">
        <f>'Pretax Fuel Prices'!V37+'Fuel Taxes'!V37</f>
        <v>2.3976693894636732E-6</v>
      </c>
      <c r="W37">
        <f>'Pretax Fuel Prices'!W37+'Fuel Taxes'!W37</f>
        <v>2.3976693894636732E-6</v>
      </c>
      <c r="X37">
        <f>'Pretax Fuel Prices'!X37+'Fuel Taxes'!X37</f>
        <v>2.3976693894636732E-6</v>
      </c>
      <c r="Y37">
        <f>'Pretax Fuel Prices'!Y37+'Fuel Taxes'!Y37</f>
        <v>2.3976693894636732E-6</v>
      </c>
      <c r="Z37">
        <f>'Pretax Fuel Prices'!Z37+'Fuel Taxes'!Z37</f>
        <v>2.3976693894636732E-6</v>
      </c>
      <c r="AA37">
        <f>'Pretax Fuel Prices'!AA37+'Fuel Taxes'!AA37</f>
        <v>2.3976693894636732E-6</v>
      </c>
      <c r="AB37">
        <f>'Pretax Fuel Prices'!AB37+'Fuel Taxes'!AB37</f>
        <v>2.3976693894636732E-6</v>
      </c>
      <c r="AC37">
        <f>'Pretax Fuel Prices'!AC37+'Fuel Taxes'!AC37</f>
        <v>2.3976693894636732E-6</v>
      </c>
      <c r="AD37">
        <f>'Pretax Fuel Prices'!AD37+'Fuel Taxes'!AD37</f>
        <v>2.3976693894636732E-6</v>
      </c>
      <c r="AE37">
        <f>'Pretax Fuel Prices'!AE37+'Fuel Taxes'!AE37</f>
        <v>2.3976693894636732E-6</v>
      </c>
      <c r="AF37">
        <f>'Pretax Fuel Prices'!AF37+'Fuel Taxes'!AF37</f>
        <v>1.61118996363117E-7</v>
      </c>
      <c r="AG37">
        <f>'Pretax Fuel Prices'!AG37+'Fuel Taxes'!AG37</f>
        <v>0</v>
      </c>
      <c r="AH37">
        <f>'Pretax Fuel Prices'!AH37+'Fuel Taxes'!AH37</f>
        <v>0</v>
      </c>
      <c r="AI37">
        <f>'Pretax Fuel Prices'!AI37+'Fuel Taxes'!AI37</f>
        <v>0</v>
      </c>
    </row>
    <row r="38" spans="1:51" x14ac:dyDescent="0.35">
      <c r="A38" t="s">
        <v>56</v>
      </c>
      <c r="B38">
        <f>'Pretax Fuel Prices'!B38+'Fuel Taxes'!B38</f>
        <v>2.3976693894636732E-6</v>
      </c>
      <c r="C38">
        <f>'Pretax Fuel Prices'!C38+'Fuel Taxes'!C38</f>
        <v>2.3976693894636732E-6</v>
      </c>
      <c r="D38">
        <f>'Pretax Fuel Prices'!D38+'Fuel Taxes'!D38</f>
        <v>2.3976693894636732E-6</v>
      </c>
      <c r="E38">
        <f>'Pretax Fuel Prices'!E38+'Fuel Taxes'!E38</f>
        <v>2.3976693894636732E-6</v>
      </c>
      <c r="F38">
        <f>'Pretax Fuel Prices'!F38+'Fuel Taxes'!F38</f>
        <v>2.3976693894636732E-6</v>
      </c>
      <c r="G38">
        <f>'Pretax Fuel Prices'!G38+'Fuel Taxes'!G38</f>
        <v>2.3976693894636732E-6</v>
      </c>
      <c r="H38">
        <f>'Pretax Fuel Prices'!H38+'Fuel Taxes'!H38</f>
        <v>2.3976693894636732E-6</v>
      </c>
      <c r="I38">
        <f>'Pretax Fuel Prices'!I38+'Fuel Taxes'!I38</f>
        <v>2.3976693894636732E-6</v>
      </c>
      <c r="J38">
        <f>'Pretax Fuel Prices'!J38+'Fuel Taxes'!J38</f>
        <v>2.3976693894636732E-6</v>
      </c>
      <c r="K38">
        <f>'Pretax Fuel Prices'!K38+'Fuel Taxes'!K38</f>
        <v>2.3976693894636732E-6</v>
      </c>
      <c r="L38">
        <f>'Pretax Fuel Prices'!L38+'Fuel Taxes'!L38</f>
        <v>2.3976693894636732E-6</v>
      </c>
      <c r="M38">
        <f>'Pretax Fuel Prices'!M38+'Fuel Taxes'!M38</f>
        <v>2.3976693894636732E-6</v>
      </c>
      <c r="N38">
        <f>'Pretax Fuel Prices'!N38+'Fuel Taxes'!N38</f>
        <v>2.3976693894636732E-6</v>
      </c>
      <c r="O38">
        <f>'Pretax Fuel Prices'!O38+'Fuel Taxes'!O38</f>
        <v>2.3976693894636732E-6</v>
      </c>
      <c r="P38">
        <f>'Pretax Fuel Prices'!P38+'Fuel Taxes'!P38</f>
        <v>2.3976693894636732E-6</v>
      </c>
      <c r="Q38">
        <f>'Pretax Fuel Prices'!Q38+'Fuel Taxes'!Q38</f>
        <v>2.3976693894636732E-6</v>
      </c>
      <c r="R38">
        <f>'Pretax Fuel Prices'!R38+'Fuel Taxes'!R38</f>
        <v>2.3976693894636732E-6</v>
      </c>
      <c r="S38">
        <f>'Pretax Fuel Prices'!S38+'Fuel Taxes'!S38</f>
        <v>2.3976693894636732E-6</v>
      </c>
      <c r="T38">
        <f>'Pretax Fuel Prices'!T38+'Fuel Taxes'!T38</f>
        <v>2.3976693894636732E-6</v>
      </c>
      <c r="U38">
        <f>'Pretax Fuel Prices'!U38+'Fuel Taxes'!U38</f>
        <v>2.3976693894636732E-6</v>
      </c>
      <c r="V38">
        <f>'Pretax Fuel Prices'!V38+'Fuel Taxes'!V38</f>
        <v>2.3976693894636732E-6</v>
      </c>
      <c r="W38">
        <f>'Pretax Fuel Prices'!W38+'Fuel Taxes'!W38</f>
        <v>2.3976693894636732E-6</v>
      </c>
      <c r="X38">
        <f>'Pretax Fuel Prices'!X38+'Fuel Taxes'!X38</f>
        <v>2.3976693894636732E-6</v>
      </c>
      <c r="Y38">
        <f>'Pretax Fuel Prices'!Y38+'Fuel Taxes'!Y38</f>
        <v>2.3976693894636732E-6</v>
      </c>
      <c r="Z38">
        <f>'Pretax Fuel Prices'!Z38+'Fuel Taxes'!Z38</f>
        <v>2.3976693894636732E-6</v>
      </c>
      <c r="AA38">
        <f>'Pretax Fuel Prices'!AA38+'Fuel Taxes'!AA38</f>
        <v>2.3976693894636732E-6</v>
      </c>
      <c r="AB38">
        <f>'Pretax Fuel Prices'!AB38+'Fuel Taxes'!AB38</f>
        <v>2.3976693894636732E-6</v>
      </c>
      <c r="AC38">
        <f>'Pretax Fuel Prices'!AC38+'Fuel Taxes'!AC38</f>
        <v>2.3976693894636732E-6</v>
      </c>
      <c r="AD38">
        <f>'Pretax Fuel Prices'!AD38+'Fuel Taxes'!AD38</f>
        <v>2.3976693894636732E-6</v>
      </c>
      <c r="AE38">
        <f>'Pretax Fuel Prices'!AE38+'Fuel Taxes'!AE38</f>
        <v>2.3976693894636732E-6</v>
      </c>
      <c r="AF38">
        <f>'Pretax Fuel Prices'!AF38+'Fuel Taxes'!AF38</f>
        <v>0</v>
      </c>
      <c r="AG38">
        <f>'Pretax Fuel Prices'!AG38+'Fuel Taxes'!AG38</f>
        <v>0</v>
      </c>
      <c r="AH38">
        <f>'Pretax Fuel Prices'!AH38+'Fuel Taxes'!AH38</f>
        <v>0</v>
      </c>
      <c r="AI38">
        <f>'Pretax Fuel Prices'!AI38+'Fuel Taxes'!AI38</f>
        <v>0</v>
      </c>
    </row>
    <row r="39" spans="1:51" x14ac:dyDescent="0.35">
      <c r="A39" t="s">
        <v>57</v>
      </c>
      <c r="B39">
        <f>'Pretax Fuel Prices'!B39+'Fuel Taxes'!B39</f>
        <v>0</v>
      </c>
      <c r="C39">
        <f>'Pretax Fuel Prices'!C39+'Fuel Taxes'!C39</f>
        <v>0</v>
      </c>
      <c r="D39">
        <f>'Pretax Fuel Prices'!D39+'Fuel Taxes'!D39</f>
        <v>0</v>
      </c>
      <c r="E39">
        <f>'Pretax Fuel Prices'!E39+'Fuel Taxes'!E39</f>
        <v>0</v>
      </c>
      <c r="F39">
        <f>'Pretax Fuel Prices'!F39+'Fuel Taxes'!F39</f>
        <v>0</v>
      </c>
      <c r="G39">
        <f>'Pretax Fuel Prices'!G39+'Fuel Taxes'!G39</f>
        <v>0</v>
      </c>
      <c r="H39">
        <f>'Pretax Fuel Prices'!H39+'Fuel Taxes'!H39</f>
        <v>0</v>
      </c>
      <c r="I39">
        <f>'Pretax Fuel Prices'!I39+'Fuel Taxes'!I39</f>
        <v>0</v>
      </c>
      <c r="J39">
        <f>'Pretax Fuel Prices'!J39+'Fuel Taxes'!J39</f>
        <v>0</v>
      </c>
      <c r="K39">
        <f>'Pretax Fuel Prices'!K39+'Fuel Taxes'!K39</f>
        <v>0</v>
      </c>
      <c r="L39">
        <f>'Pretax Fuel Prices'!L39+'Fuel Taxes'!L39</f>
        <v>0</v>
      </c>
      <c r="M39">
        <f>'Pretax Fuel Prices'!M39+'Fuel Taxes'!M39</f>
        <v>0</v>
      </c>
      <c r="N39">
        <f>'Pretax Fuel Prices'!N39+'Fuel Taxes'!N39</f>
        <v>0</v>
      </c>
      <c r="O39">
        <f>'Pretax Fuel Prices'!O39+'Fuel Taxes'!O39</f>
        <v>0</v>
      </c>
      <c r="P39">
        <f>'Pretax Fuel Prices'!P39+'Fuel Taxes'!P39</f>
        <v>0</v>
      </c>
      <c r="Q39">
        <f>'Pretax Fuel Prices'!Q39+'Fuel Taxes'!Q39</f>
        <v>0</v>
      </c>
      <c r="R39">
        <f>'Pretax Fuel Prices'!R39+'Fuel Taxes'!R39</f>
        <v>0</v>
      </c>
      <c r="S39">
        <f>'Pretax Fuel Prices'!S39+'Fuel Taxes'!S39</f>
        <v>0</v>
      </c>
      <c r="T39">
        <f>'Pretax Fuel Prices'!T39+'Fuel Taxes'!T39</f>
        <v>0</v>
      </c>
      <c r="U39">
        <f>'Pretax Fuel Prices'!U39+'Fuel Taxes'!U39</f>
        <v>0</v>
      </c>
      <c r="V39">
        <f>'Pretax Fuel Prices'!V39+'Fuel Taxes'!V39</f>
        <v>0</v>
      </c>
      <c r="W39">
        <f>'Pretax Fuel Prices'!W39+'Fuel Taxes'!W39</f>
        <v>0</v>
      </c>
      <c r="X39">
        <f>'Pretax Fuel Prices'!X39+'Fuel Taxes'!X39</f>
        <v>0</v>
      </c>
      <c r="Y39">
        <f>'Pretax Fuel Prices'!Y39+'Fuel Taxes'!Y39</f>
        <v>0</v>
      </c>
      <c r="Z39">
        <f>'Pretax Fuel Prices'!Z39+'Fuel Taxes'!Z39</f>
        <v>0</v>
      </c>
      <c r="AA39">
        <f>'Pretax Fuel Prices'!AA39+'Fuel Taxes'!AA39</f>
        <v>0</v>
      </c>
      <c r="AB39">
        <f>'Pretax Fuel Prices'!AB39+'Fuel Taxes'!AB39</f>
        <v>0</v>
      </c>
      <c r="AC39">
        <f>'Pretax Fuel Prices'!AC39+'Fuel Taxes'!AC39</f>
        <v>0</v>
      </c>
      <c r="AD39">
        <f>'Pretax Fuel Prices'!AD39+'Fuel Taxes'!AD39</f>
        <v>0</v>
      </c>
      <c r="AE39">
        <f>'Pretax Fuel Prices'!AE39+'Fuel Taxes'!AE39</f>
        <v>0</v>
      </c>
      <c r="AF39">
        <f>'Pretax Fuel Prices'!AF39+'Fuel Taxes'!AF39</f>
        <v>0</v>
      </c>
      <c r="AG39">
        <f>'Pretax Fuel Prices'!AG39+'Fuel Taxes'!AG39</f>
        <v>0</v>
      </c>
      <c r="AH39">
        <f>'Pretax Fuel Prices'!AH39+'Fuel Taxes'!AH39</f>
        <v>0</v>
      </c>
      <c r="AI39">
        <f>'Pretax Fuel Prices'!AI39+'Fuel Taxes'!AI39</f>
        <v>0</v>
      </c>
    </row>
    <row r="40" spans="1:51" x14ac:dyDescent="0.35">
      <c r="A40" t="s">
        <v>58</v>
      </c>
      <c r="B40">
        <f>'Pretax Fuel Prices'!B40+'Fuel Taxes'!B40</f>
        <v>2.3976693894636732E-6</v>
      </c>
      <c r="C40">
        <f>'Pretax Fuel Prices'!C40+'Fuel Taxes'!C40</f>
        <v>2.3976693894636732E-6</v>
      </c>
      <c r="D40">
        <f>'Pretax Fuel Prices'!D40+'Fuel Taxes'!D40</f>
        <v>2.3976693894636732E-6</v>
      </c>
      <c r="E40">
        <f>'Pretax Fuel Prices'!E40+'Fuel Taxes'!E40</f>
        <v>2.3976693894636732E-6</v>
      </c>
      <c r="F40">
        <f>'Pretax Fuel Prices'!F40+'Fuel Taxes'!F40</f>
        <v>2.3976693894636732E-6</v>
      </c>
      <c r="G40">
        <f>'Pretax Fuel Prices'!G40+'Fuel Taxes'!G40</f>
        <v>2.3976693894636732E-6</v>
      </c>
      <c r="H40">
        <f>'Pretax Fuel Prices'!H40+'Fuel Taxes'!H40</f>
        <v>2.3976693894636732E-6</v>
      </c>
      <c r="I40">
        <f>'Pretax Fuel Prices'!I40+'Fuel Taxes'!I40</f>
        <v>2.3976693894636732E-6</v>
      </c>
      <c r="J40">
        <f>'Pretax Fuel Prices'!J40+'Fuel Taxes'!J40</f>
        <v>2.3976693894636732E-6</v>
      </c>
      <c r="K40">
        <f>'Pretax Fuel Prices'!K40+'Fuel Taxes'!K40</f>
        <v>2.3976693894636732E-6</v>
      </c>
      <c r="L40">
        <f>'Pretax Fuel Prices'!L40+'Fuel Taxes'!L40</f>
        <v>2.3976693894636732E-6</v>
      </c>
      <c r="M40">
        <f>'Pretax Fuel Prices'!M40+'Fuel Taxes'!M40</f>
        <v>2.3976693894636732E-6</v>
      </c>
      <c r="N40">
        <f>'Pretax Fuel Prices'!N40+'Fuel Taxes'!N40</f>
        <v>2.3976693894636732E-6</v>
      </c>
      <c r="O40">
        <f>'Pretax Fuel Prices'!O40+'Fuel Taxes'!O40</f>
        <v>2.3976693894636732E-6</v>
      </c>
      <c r="P40">
        <f>'Pretax Fuel Prices'!P40+'Fuel Taxes'!P40</f>
        <v>2.3976693894636732E-6</v>
      </c>
      <c r="Q40">
        <f>'Pretax Fuel Prices'!Q40+'Fuel Taxes'!Q40</f>
        <v>2.3976693894636732E-6</v>
      </c>
      <c r="R40">
        <f>'Pretax Fuel Prices'!R40+'Fuel Taxes'!R40</f>
        <v>2.3976693894636732E-6</v>
      </c>
      <c r="S40">
        <f>'Pretax Fuel Prices'!S40+'Fuel Taxes'!S40</f>
        <v>2.3976693894636732E-6</v>
      </c>
      <c r="T40">
        <f>'Pretax Fuel Prices'!T40+'Fuel Taxes'!T40</f>
        <v>2.3976693894636732E-6</v>
      </c>
      <c r="U40">
        <f>'Pretax Fuel Prices'!U40+'Fuel Taxes'!U40</f>
        <v>2.3976693894636732E-6</v>
      </c>
      <c r="V40">
        <f>'Pretax Fuel Prices'!V40+'Fuel Taxes'!V40</f>
        <v>2.3976693894636732E-6</v>
      </c>
      <c r="W40">
        <f>'Pretax Fuel Prices'!W40+'Fuel Taxes'!W40</f>
        <v>2.3976693894636732E-6</v>
      </c>
      <c r="X40">
        <f>'Pretax Fuel Prices'!X40+'Fuel Taxes'!X40</f>
        <v>2.3976693894636732E-6</v>
      </c>
      <c r="Y40">
        <f>'Pretax Fuel Prices'!Y40+'Fuel Taxes'!Y40</f>
        <v>2.3976693894636732E-6</v>
      </c>
      <c r="Z40">
        <f>'Pretax Fuel Prices'!Z40+'Fuel Taxes'!Z40</f>
        <v>2.3976693894636732E-6</v>
      </c>
      <c r="AA40">
        <f>'Pretax Fuel Prices'!AA40+'Fuel Taxes'!AA40</f>
        <v>2.3976693894636732E-6</v>
      </c>
      <c r="AB40">
        <f>'Pretax Fuel Prices'!AB40+'Fuel Taxes'!AB40</f>
        <v>2.3976693894636732E-6</v>
      </c>
      <c r="AC40">
        <f>'Pretax Fuel Prices'!AC40+'Fuel Taxes'!AC40</f>
        <v>2.3976693894636732E-6</v>
      </c>
      <c r="AD40">
        <f>'Pretax Fuel Prices'!AD40+'Fuel Taxes'!AD40</f>
        <v>2.3976693894636732E-6</v>
      </c>
      <c r="AE40">
        <f>'Pretax Fuel Prices'!AE40+'Fuel Taxes'!AE40</f>
        <v>2.3976693894636732E-6</v>
      </c>
      <c r="AF40">
        <f>'Pretax Fuel Prices'!AF40+'Fuel Taxes'!AF40</f>
        <v>1.61118996363117E-7</v>
      </c>
      <c r="AG40">
        <f>'Pretax Fuel Prices'!AG40+'Fuel Taxes'!AG40</f>
        <v>0</v>
      </c>
      <c r="AH40">
        <f>'Pretax Fuel Prices'!AH40+'Fuel Taxes'!AH40</f>
        <v>0</v>
      </c>
      <c r="AI40">
        <f>'Pretax Fuel Prices'!AI40+'Fuel Taxes'!AI40</f>
        <v>0</v>
      </c>
    </row>
    <row r="41" spans="1:51" s="4" customFormat="1" x14ac:dyDescent="0.35">
      <c r="A41" s="6" t="s">
        <v>33</v>
      </c>
    </row>
    <row r="42" spans="1:51" x14ac:dyDescent="0.35">
      <c r="A42" t="s">
        <v>29</v>
      </c>
      <c r="B42" s="1">
        <v>2021</v>
      </c>
      <c r="C42" s="1">
        <v>2022</v>
      </c>
      <c r="D42" s="1">
        <v>2023</v>
      </c>
      <c r="E42" s="1">
        <v>2024</v>
      </c>
      <c r="F42" s="1">
        <v>2025</v>
      </c>
      <c r="G42" s="1">
        <v>2026</v>
      </c>
      <c r="H42" s="1">
        <v>2027</v>
      </c>
      <c r="I42" s="1">
        <v>2028</v>
      </c>
      <c r="J42" s="1">
        <v>2029</v>
      </c>
      <c r="K42" s="1">
        <v>2030</v>
      </c>
      <c r="L42" s="1">
        <v>2031</v>
      </c>
      <c r="M42" s="1">
        <v>2032</v>
      </c>
      <c r="N42" s="1">
        <v>2033</v>
      </c>
      <c r="O42" s="1">
        <v>2034</v>
      </c>
      <c r="P42" s="1">
        <v>2035</v>
      </c>
      <c r="Q42" s="1">
        <v>2036</v>
      </c>
      <c r="R42" s="1">
        <v>2037</v>
      </c>
      <c r="S42" s="1">
        <v>2038</v>
      </c>
      <c r="T42" s="1">
        <v>2039</v>
      </c>
      <c r="U42" s="1">
        <v>2040</v>
      </c>
      <c r="V42" s="1">
        <v>2041</v>
      </c>
      <c r="W42" s="1">
        <v>2042</v>
      </c>
      <c r="X42" s="1">
        <v>2043</v>
      </c>
      <c r="Y42" s="1">
        <v>2044</v>
      </c>
      <c r="Z42" s="1">
        <v>2045</v>
      </c>
      <c r="AA42" s="1">
        <v>2046</v>
      </c>
      <c r="AB42" s="1">
        <v>2047</v>
      </c>
      <c r="AC42" s="1">
        <v>2048</v>
      </c>
      <c r="AD42" s="1">
        <v>2049</v>
      </c>
      <c r="AE42" s="1">
        <v>2050</v>
      </c>
      <c r="AF42" s="1">
        <v>2051</v>
      </c>
      <c r="AG42" s="1">
        <v>2052</v>
      </c>
      <c r="AH42" s="1">
        <v>2053</v>
      </c>
      <c r="AI42" s="1">
        <v>2054</v>
      </c>
      <c r="AJ42" s="1">
        <v>2055</v>
      </c>
      <c r="AK42" s="1">
        <v>2056</v>
      </c>
      <c r="AL42" s="1">
        <v>2057</v>
      </c>
      <c r="AM42" s="1">
        <v>2058</v>
      </c>
      <c r="AN42" s="1">
        <v>2059</v>
      </c>
      <c r="AO42" s="1">
        <v>2060</v>
      </c>
      <c r="AP42" s="1">
        <v>2061</v>
      </c>
      <c r="AQ42" s="1">
        <v>2062</v>
      </c>
      <c r="AR42" s="1">
        <v>2063</v>
      </c>
      <c r="AS42" s="1">
        <v>2064</v>
      </c>
      <c r="AT42" s="1">
        <v>2065</v>
      </c>
      <c r="AU42" s="1">
        <v>2066</v>
      </c>
      <c r="AV42" s="1">
        <v>2067</v>
      </c>
      <c r="AW42" s="1">
        <v>2068</v>
      </c>
      <c r="AX42" s="1">
        <v>2069</v>
      </c>
      <c r="AY42" s="1">
        <v>2070</v>
      </c>
    </row>
    <row r="43" spans="1:51" x14ac:dyDescent="0.35">
      <c r="A43" t="s">
        <v>51</v>
      </c>
      <c r="B43">
        <f>'Pretax Fuel Prices'!B43+'Fuel Taxes'!B43</f>
        <v>2.4978810347681078E-5</v>
      </c>
      <c r="C43">
        <f>'Pretax Fuel Prices'!C43+'Fuel Taxes'!C43</f>
        <v>2.4978810347681078E-5</v>
      </c>
      <c r="D43">
        <f>'Pretax Fuel Prices'!D43+'Fuel Taxes'!D43</f>
        <v>2.5229167444559884E-5</v>
      </c>
      <c r="E43">
        <f>'Pretax Fuel Prices'!E43+'Fuel Taxes'!E43</f>
        <v>2.4978810347681078E-5</v>
      </c>
      <c r="F43">
        <f>'Pretax Fuel Prices'!F43+'Fuel Taxes'!F43</f>
        <v>2.5012949951800914E-5</v>
      </c>
      <c r="G43">
        <f>'Pretax Fuel Prices'!G43+'Fuel Taxes'!G43</f>
        <v>2.5012949951800914E-5</v>
      </c>
      <c r="H43">
        <f>'Pretax Fuel Prices'!H43+'Fuel Taxes'!H43</f>
        <v>2.4910531139441399E-5</v>
      </c>
      <c r="I43">
        <f>'Pretax Fuel Prices'!I43+'Fuel Taxes'!I43</f>
        <v>2.4580514966282973E-5</v>
      </c>
      <c r="J43">
        <f>'Pretax Fuel Prices'!J43+'Fuel Taxes'!J43</f>
        <v>2.4865011667281622E-5</v>
      </c>
      <c r="K43">
        <f>'Pretax Fuel Prices'!K43+'Fuel Taxes'!K43</f>
        <v>2.5069849292000645E-5</v>
      </c>
      <c r="L43">
        <f>'Pretax Fuel Prices'!L43+'Fuel Taxes'!L43</f>
        <v>2.5377105729079183E-5</v>
      </c>
      <c r="M43">
        <f>'Pretax Fuel Prices'!M43+'Fuel Taxes'!M43</f>
        <v>2.5502284277518579E-5</v>
      </c>
      <c r="N43">
        <f>'Pretax Fuel Prices'!N43+'Fuel Taxes'!N43</f>
        <v>2.584368031871696E-5</v>
      </c>
      <c r="O43">
        <f>'Pretax Fuel Prices'!O43+'Fuel Taxes'!O43</f>
        <v>2.6640271081513169E-5</v>
      </c>
      <c r="P43">
        <f>'Pretax Fuel Prices'!P43+'Fuel Taxes'!P43</f>
        <v>2.6822348970152304E-5</v>
      </c>
      <c r="Q43">
        <f>'Pretax Fuel Prices'!Q43+'Fuel Taxes'!Q43</f>
        <v>2.7061326198991162E-5</v>
      </c>
      <c r="R43">
        <f>'Pretax Fuel Prices'!R43+'Fuel Taxes'!R43</f>
        <v>2.7539280656668887E-5</v>
      </c>
      <c r="S43">
        <f>'Pretax Fuel Prices'!S43+'Fuel Taxes'!S43</f>
        <v>2.7983095510226768E-5</v>
      </c>
      <c r="T43">
        <f>'Pretax Fuel Prices'!T43+'Fuel Taxes'!T43</f>
        <v>2.8278972079265365E-5</v>
      </c>
      <c r="U43">
        <f>'Pretax Fuel Prices'!U43+'Fuel Taxes'!U43</f>
        <v>2.8620368120463739E-5</v>
      </c>
      <c r="V43">
        <f>'Pretax Fuel Prices'!V43+'Fuel Taxes'!V43</f>
        <v>2.8700027196743365E-5</v>
      </c>
      <c r="W43">
        <f>'Pretax Fuel Prices'!W43+'Fuel Taxes'!W43</f>
        <v>2.9018663501861843E-5</v>
      </c>
      <c r="X43">
        <f>'Pretax Fuel Prices'!X43+'Fuel Taxes'!X43</f>
        <v>2.9405579015220001E-5</v>
      </c>
      <c r="Y43">
        <f>'Pretax Fuel Prices'!Y43+'Fuel Taxes'!Y43</f>
        <v>2.9507997827579515E-5</v>
      </c>
      <c r="Z43">
        <f>'Pretax Fuel Prices'!Z43+'Fuel Taxes'!Z43</f>
        <v>2.9724215320338486E-5</v>
      </c>
      <c r="AA43">
        <f>'Pretax Fuel Prices'!AA43+'Fuel Taxes'!AA43</f>
        <v>3.0179410041936315E-5</v>
      </c>
      <c r="AB43">
        <f>'Pretax Fuel Prices'!AB43+'Fuel Taxes'!AB43</f>
        <v>3.0429767138815121E-5</v>
      </c>
      <c r="AC43">
        <f>'Pretax Fuel Prices'!AC43+'Fuel Taxes'!AC43</f>
        <v>3.0668744367653987E-5</v>
      </c>
      <c r="AD43">
        <f>'Pretax Fuel Prices'!AD43+'Fuel Taxes'!AD43</f>
        <v>3.1055659881012144E-5</v>
      </c>
      <c r="AE43">
        <f>'Pretax Fuel Prices'!AE43+'Fuel Taxes'!AE43</f>
        <v>3.1158078693371659E-5</v>
      </c>
      <c r="AF43">
        <f>'Pretax Fuel Prices'!AF43+'Fuel Taxes'!AF43</f>
        <v>0</v>
      </c>
      <c r="AG43">
        <f>'Pretax Fuel Prices'!AG43+'Fuel Taxes'!AG43</f>
        <v>0</v>
      </c>
      <c r="AH43">
        <f>'Pretax Fuel Prices'!AH43+'Fuel Taxes'!AH43</f>
        <v>0</v>
      </c>
      <c r="AI43">
        <f>'Pretax Fuel Prices'!AI43+'Fuel Taxes'!AI43</f>
        <v>0</v>
      </c>
    </row>
    <row r="44" spans="1:51" x14ac:dyDescent="0.35">
      <c r="A44" t="s">
        <v>52</v>
      </c>
      <c r="B44">
        <f>'Pretax Fuel Prices'!B44+'Fuel Taxes'!B44</f>
        <v>0</v>
      </c>
      <c r="C44">
        <f>'Pretax Fuel Prices'!C44+'Fuel Taxes'!C44</f>
        <v>0</v>
      </c>
      <c r="D44">
        <f>'Pretax Fuel Prices'!D44+'Fuel Taxes'!D44</f>
        <v>0</v>
      </c>
      <c r="E44">
        <f>'Pretax Fuel Prices'!E44+'Fuel Taxes'!E44</f>
        <v>0</v>
      </c>
      <c r="F44">
        <f>'Pretax Fuel Prices'!F44+'Fuel Taxes'!F44</f>
        <v>0</v>
      </c>
      <c r="G44">
        <f>'Pretax Fuel Prices'!G44+'Fuel Taxes'!G44</f>
        <v>0</v>
      </c>
      <c r="H44">
        <f>'Pretax Fuel Prices'!H44+'Fuel Taxes'!H44</f>
        <v>0</v>
      </c>
      <c r="I44">
        <f>'Pretax Fuel Prices'!I44+'Fuel Taxes'!I44</f>
        <v>0</v>
      </c>
      <c r="J44">
        <f>'Pretax Fuel Prices'!J44+'Fuel Taxes'!J44</f>
        <v>0</v>
      </c>
      <c r="K44">
        <f>'Pretax Fuel Prices'!K44+'Fuel Taxes'!K44</f>
        <v>0</v>
      </c>
      <c r="L44">
        <f>'Pretax Fuel Prices'!L44+'Fuel Taxes'!L44</f>
        <v>0</v>
      </c>
      <c r="M44">
        <f>'Pretax Fuel Prices'!M44+'Fuel Taxes'!M44</f>
        <v>0</v>
      </c>
      <c r="N44">
        <f>'Pretax Fuel Prices'!N44+'Fuel Taxes'!N44</f>
        <v>0</v>
      </c>
      <c r="O44">
        <f>'Pretax Fuel Prices'!O44+'Fuel Taxes'!O44</f>
        <v>0</v>
      </c>
      <c r="P44">
        <f>'Pretax Fuel Prices'!P44+'Fuel Taxes'!P44</f>
        <v>0</v>
      </c>
      <c r="Q44">
        <f>'Pretax Fuel Prices'!Q44+'Fuel Taxes'!Q44</f>
        <v>0</v>
      </c>
      <c r="R44">
        <f>'Pretax Fuel Prices'!R44+'Fuel Taxes'!R44</f>
        <v>0</v>
      </c>
      <c r="S44">
        <f>'Pretax Fuel Prices'!S44+'Fuel Taxes'!S44</f>
        <v>0</v>
      </c>
      <c r="T44">
        <f>'Pretax Fuel Prices'!T44+'Fuel Taxes'!T44</f>
        <v>0</v>
      </c>
      <c r="U44">
        <f>'Pretax Fuel Prices'!U44+'Fuel Taxes'!U44</f>
        <v>0</v>
      </c>
      <c r="V44">
        <f>'Pretax Fuel Prices'!V44+'Fuel Taxes'!V44</f>
        <v>0</v>
      </c>
      <c r="W44">
        <f>'Pretax Fuel Prices'!W44+'Fuel Taxes'!W44</f>
        <v>0</v>
      </c>
      <c r="X44">
        <f>'Pretax Fuel Prices'!X44+'Fuel Taxes'!X44</f>
        <v>0</v>
      </c>
      <c r="Y44">
        <f>'Pretax Fuel Prices'!Y44+'Fuel Taxes'!Y44</f>
        <v>0</v>
      </c>
      <c r="Z44">
        <f>'Pretax Fuel Prices'!Z44+'Fuel Taxes'!Z44</f>
        <v>0</v>
      </c>
      <c r="AA44">
        <f>'Pretax Fuel Prices'!AA44+'Fuel Taxes'!AA44</f>
        <v>0</v>
      </c>
      <c r="AB44">
        <f>'Pretax Fuel Prices'!AB44+'Fuel Taxes'!AB44</f>
        <v>0</v>
      </c>
      <c r="AC44">
        <f>'Pretax Fuel Prices'!AC44+'Fuel Taxes'!AC44</f>
        <v>0</v>
      </c>
      <c r="AD44">
        <f>'Pretax Fuel Prices'!AD44+'Fuel Taxes'!AD44</f>
        <v>0</v>
      </c>
      <c r="AE44">
        <f>'Pretax Fuel Prices'!AE44+'Fuel Taxes'!AE44</f>
        <v>0</v>
      </c>
      <c r="AF44">
        <f>'Pretax Fuel Prices'!AF44+'Fuel Taxes'!AF44</f>
        <v>0</v>
      </c>
      <c r="AG44">
        <f>'Pretax Fuel Prices'!AG44+'Fuel Taxes'!AG44</f>
        <v>0</v>
      </c>
      <c r="AH44">
        <f>'Pretax Fuel Prices'!AH44+'Fuel Taxes'!AH44</f>
        <v>0</v>
      </c>
      <c r="AI44">
        <f>'Pretax Fuel Prices'!AI44+'Fuel Taxes'!AI44</f>
        <v>0</v>
      </c>
    </row>
    <row r="45" spans="1:51" x14ac:dyDescent="0.35">
      <c r="A45" t="s">
        <v>53</v>
      </c>
      <c r="B45">
        <f>'Pretax Fuel Prices'!B45+'Fuel Taxes'!B45</f>
        <v>0</v>
      </c>
      <c r="C45">
        <f>'Pretax Fuel Prices'!C45+'Fuel Taxes'!C45</f>
        <v>0</v>
      </c>
      <c r="D45">
        <f>'Pretax Fuel Prices'!D45+'Fuel Taxes'!D45</f>
        <v>0</v>
      </c>
      <c r="E45">
        <f>'Pretax Fuel Prices'!E45+'Fuel Taxes'!E45</f>
        <v>0</v>
      </c>
      <c r="F45">
        <f>'Pretax Fuel Prices'!F45+'Fuel Taxes'!F45</f>
        <v>0</v>
      </c>
      <c r="G45">
        <f>'Pretax Fuel Prices'!G45+'Fuel Taxes'!G45</f>
        <v>0</v>
      </c>
      <c r="H45">
        <f>'Pretax Fuel Prices'!H45+'Fuel Taxes'!H45</f>
        <v>0</v>
      </c>
      <c r="I45">
        <f>'Pretax Fuel Prices'!I45+'Fuel Taxes'!I45</f>
        <v>0</v>
      </c>
      <c r="J45">
        <f>'Pretax Fuel Prices'!J45+'Fuel Taxes'!J45</f>
        <v>0</v>
      </c>
      <c r="K45">
        <f>'Pretax Fuel Prices'!K45+'Fuel Taxes'!K45</f>
        <v>0</v>
      </c>
      <c r="L45">
        <f>'Pretax Fuel Prices'!L45+'Fuel Taxes'!L45</f>
        <v>0</v>
      </c>
      <c r="M45">
        <f>'Pretax Fuel Prices'!M45+'Fuel Taxes'!M45</f>
        <v>0</v>
      </c>
      <c r="N45">
        <f>'Pretax Fuel Prices'!N45+'Fuel Taxes'!N45</f>
        <v>0</v>
      </c>
      <c r="O45">
        <f>'Pretax Fuel Prices'!O45+'Fuel Taxes'!O45</f>
        <v>0</v>
      </c>
      <c r="P45">
        <f>'Pretax Fuel Prices'!P45+'Fuel Taxes'!P45</f>
        <v>0</v>
      </c>
      <c r="Q45">
        <f>'Pretax Fuel Prices'!Q45+'Fuel Taxes'!Q45</f>
        <v>0</v>
      </c>
      <c r="R45">
        <f>'Pretax Fuel Prices'!R45+'Fuel Taxes'!R45</f>
        <v>0</v>
      </c>
      <c r="S45">
        <f>'Pretax Fuel Prices'!S45+'Fuel Taxes'!S45</f>
        <v>0</v>
      </c>
      <c r="T45">
        <f>'Pretax Fuel Prices'!T45+'Fuel Taxes'!T45</f>
        <v>0</v>
      </c>
      <c r="U45">
        <f>'Pretax Fuel Prices'!U45+'Fuel Taxes'!U45</f>
        <v>0</v>
      </c>
      <c r="V45">
        <f>'Pretax Fuel Prices'!V45+'Fuel Taxes'!V45</f>
        <v>0</v>
      </c>
      <c r="W45">
        <f>'Pretax Fuel Prices'!W45+'Fuel Taxes'!W45</f>
        <v>0</v>
      </c>
      <c r="X45">
        <f>'Pretax Fuel Prices'!X45+'Fuel Taxes'!X45</f>
        <v>0</v>
      </c>
      <c r="Y45">
        <f>'Pretax Fuel Prices'!Y45+'Fuel Taxes'!Y45</f>
        <v>0</v>
      </c>
      <c r="Z45">
        <f>'Pretax Fuel Prices'!Z45+'Fuel Taxes'!Z45</f>
        <v>0</v>
      </c>
      <c r="AA45">
        <f>'Pretax Fuel Prices'!AA45+'Fuel Taxes'!AA45</f>
        <v>0</v>
      </c>
      <c r="AB45">
        <f>'Pretax Fuel Prices'!AB45+'Fuel Taxes'!AB45</f>
        <v>0</v>
      </c>
      <c r="AC45">
        <f>'Pretax Fuel Prices'!AC45+'Fuel Taxes'!AC45</f>
        <v>0</v>
      </c>
      <c r="AD45">
        <f>'Pretax Fuel Prices'!AD45+'Fuel Taxes'!AD45</f>
        <v>0</v>
      </c>
      <c r="AE45">
        <f>'Pretax Fuel Prices'!AE45+'Fuel Taxes'!AE45</f>
        <v>0</v>
      </c>
      <c r="AF45">
        <f>'Pretax Fuel Prices'!AF45+'Fuel Taxes'!AF45</f>
        <v>0</v>
      </c>
      <c r="AG45">
        <f>'Pretax Fuel Prices'!AG45+'Fuel Taxes'!AG45</f>
        <v>0</v>
      </c>
      <c r="AH45">
        <f>'Pretax Fuel Prices'!AH45+'Fuel Taxes'!AH45</f>
        <v>0</v>
      </c>
      <c r="AI45">
        <f>'Pretax Fuel Prices'!AI45+'Fuel Taxes'!AI45</f>
        <v>0</v>
      </c>
    </row>
    <row r="46" spans="1:51" x14ac:dyDescent="0.35">
      <c r="A46" t="s">
        <v>54</v>
      </c>
      <c r="B46">
        <f>'Pretax Fuel Prices'!B46+'Fuel Taxes'!B46</f>
        <v>0</v>
      </c>
      <c r="C46">
        <f>'Pretax Fuel Prices'!C46+'Fuel Taxes'!C46</f>
        <v>0</v>
      </c>
      <c r="D46">
        <f>'Pretax Fuel Prices'!D46+'Fuel Taxes'!D46</f>
        <v>0</v>
      </c>
      <c r="E46">
        <f>'Pretax Fuel Prices'!E46+'Fuel Taxes'!E46</f>
        <v>0</v>
      </c>
      <c r="F46">
        <f>'Pretax Fuel Prices'!F46+'Fuel Taxes'!F46</f>
        <v>0</v>
      </c>
      <c r="G46">
        <f>'Pretax Fuel Prices'!G46+'Fuel Taxes'!G46</f>
        <v>0</v>
      </c>
      <c r="H46">
        <f>'Pretax Fuel Prices'!H46+'Fuel Taxes'!H46</f>
        <v>0</v>
      </c>
      <c r="I46">
        <f>'Pretax Fuel Prices'!I46+'Fuel Taxes'!I46</f>
        <v>0</v>
      </c>
      <c r="J46">
        <f>'Pretax Fuel Prices'!J46+'Fuel Taxes'!J46</f>
        <v>0</v>
      </c>
      <c r="K46">
        <f>'Pretax Fuel Prices'!K46+'Fuel Taxes'!K46</f>
        <v>0</v>
      </c>
      <c r="L46">
        <f>'Pretax Fuel Prices'!L46+'Fuel Taxes'!L46</f>
        <v>0</v>
      </c>
      <c r="M46">
        <f>'Pretax Fuel Prices'!M46+'Fuel Taxes'!M46</f>
        <v>0</v>
      </c>
      <c r="N46">
        <f>'Pretax Fuel Prices'!N46+'Fuel Taxes'!N46</f>
        <v>0</v>
      </c>
      <c r="O46">
        <f>'Pretax Fuel Prices'!O46+'Fuel Taxes'!O46</f>
        <v>0</v>
      </c>
      <c r="P46">
        <f>'Pretax Fuel Prices'!P46+'Fuel Taxes'!P46</f>
        <v>0</v>
      </c>
      <c r="Q46">
        <f>'Pretax Fuel Prices'!Q46+'Fuel Taxes'!Q46</f>
        <v>0</v>
      </c>
      <c r="R46">
        <f>'Pretax Fuel Prices'!R46+'Fuel Taxes'!R46</f>
        <v>0</v>
      </c>
      <c r="S46">
        <f>'Pretax Fuel Prices'!S46+'Fuel Taxes'!S46</f>
        <v>0</v>
      </c>
      <c r="T46">
        <f>'Pretax Fuel Prices'!T46+'Fuel Taxes'!T46</f>
        <v>0</v>
      </c>
      <c r="U46">
        <f>'Pretax Fuel Prices'!U46+'Fuel Taxes'!U46</f>
        <v>0</v>
      </c>
      <c r="V46">
        <f>'Pretax Fuel Prices'!V46+'Fuel Taxes'!V46</f>
        <v>0</v>
      </c>
      <c r="W46">
        <f>'Pretax Fuel Prices'!W46+'Fuel Taxes'!W46</f>
        <v>0</v>
      </c>
      <c r="X46">
        <f>'Pretax Fuel Prices'!X46+'Fuel Taxes'!X46</f>
        <v>0</v>
      </c>
      <c r="Y46">
        <f>'Pretax Fuel Prices'!Y46+'Fuel Taxes'!Y46</f>
        <v>0</v>
      </c>
      <c r="Z46">
        <f>'Pretax Fuel Prices'!Z46+'Fuel Taxes'!Z46</f>
        <v>0</v>
      </c>
      <c r="AA46">
        <f>'Pretax Fuel Prices'!AA46+'Fuel Taxes'!AA46</f>
        <v>0</v>
      </c>
      <c r="AB46">
        <f>'Pretax Fuel Prices'!AB46+'Fuel Taxes'!AB46</f>
        <v>0</v>
      </c>
      <c r="AC46">
        <f>'Pretax Fuel Prices'!AC46+'Fuel Taxes'!AC46</f>
        <v>0</v>
      </c>
      <c r="AD46">
        <f>'Pretax Fuel Prices'!AD46+'Fuel Taxes'!AD46</f>
        <v>0</v>
      </c>
      <c r="AE46">
        <f>'Pretax Fuel Prices'!AE46+'Fuel Taxes'!AE46</f>
        <v>0</v>
      </c>
      <c r="AF46">
        <f>'Pretax Fuel Prices'!AF46+'Fuel Taxes'!AF46</f>
        <v>0</v>
      </c>
      <c r="AG46">
        <f>'Pretax Fuel Prices'!AG46+'Fuel Taxes'!AG46</f>
        <v>0</v>
      </c>
      <c r="AH46">
        <f>'Pretax Fuel Prices'!AH46+'Fuel Taxes'!AH46</f>
        <v>0</v>
      </c>
      <c r="AI46">
        <f>'Pretax Fuel Prices'!AI46+'Fuel Taxes'!AI46</f>
        <v>0</v>
      </c>
    </row>
    <row r="47" spans="1:51" x14ac:dyDescent="0.35">
      <c r="A47" t="s">
        <v>55</v>
      </c>
      <c r="B47">
        <f>'Pretax Fuel Prices'!B47+'Fuel Taxes'!B47</f>
        <v>0</v>
      </c>
      <c r="C47">
        <f>'Pretax Fuel Prices'!C47+'Fuel Taxes'!C47</f>
        <v>0</v>
      </c>
      <c r="D47">
        <f>'Pretax Fuel Prices'!D47+'Fuel Taxes'!D47</f>
        <v>0</v>
      </c>
      <c r="E47">
        <f>'Pretax Fuel Prices'!E47+'Fuel Taxes'!E47</f>
        <v>0</v>
      </c>
      <c r="F47">
        <f>'Pretax Fuel Prices'!F47+'Fuel Taxes'!F47</f>
        <v>0</v>
      </c>
      <c r="G47">
        <f>'Pretax Fuel Prices'!G47+'Fuel Taxes'!G47</f>
        <v>0</v>
      </c>
      <c r="H47">
        <f>'Pretax Fuel Prices'!H47+'Fuel Taxes'!H47</f>
        <v>0</v>
      </c>
      <c r="I47">
        <f>'Pretax Fuel Prices'!I47+'Fuel Taxes'!I47</f>
        <v>0</v>
      </c>
      <c r="J47">
        <f>'Pretax Fuel Prices'!J47+'Fuel Taxes'!J47</f>
        <v>0</v>
      </c>
      <c r="K47">
        <f>'Pretax Fuel Prices'!K47+'Fuel Taxes'!K47</f>
        <v>0</v>
      </c>
      <c r="L47">
        <f>'Pretax Fuel Prices'!L47+'Fuel Taxes'!L47</f>
        <v>0</v>
      </c>
      <c r="M47">
        <f>'Pretax Fuel Prices'!M47+'Fuel Taxes'!M47</f>
        <v>0</v>
      </c>
      <c r="N47">
        <f>'Pretax Fuel Prices'!N47+'Fuel Taxes'!N47</f>
        <v>0</v>
      </c>
      <c r="O47">
        <f>'Pretax Fuel Prices'!O47+'Fuel Taxes'!O47</f>
        <v>0</v>
      </c>
      <c r="P47">
        <f>'Pretax Fuel Prices'!P47+'Fuel Taxes'!P47</f>
        <v>0</v>
      </c>
      <c r="Q47">
        <f>'Pretax Fuel Prices'!Q47+'Fuel Taxes'!Q47</f>
        <v>0</v>
      </c>
      <c r="R47">
        <f>'Pretax Fuel Prices'!R47+'Fuel Taxes'!R47</f>
        <v>0</v>
      </c>
      <c r="S47">
        <f>'Pretax Fuel Prices'!S47+'Fuel Taxes'!S47</f>
        <v>0</v>
      </c>
      <c r="T47">
        <f>'Pretax Fuel Prices'!T47+'Fuel Taxes'!T47</f>
        <v>0</v>
      </c>
      <c r="U47">
        <f>'Pretax Fuel Prices'!U47+'Fuel Taxes'!U47</f>
        <v>0</v>
      </c>
      <c r="V47">
        <f>'Pretax Fuel Prices'!V47+'Fuel Taxes'!V47</f>
        <v>0</v>
      </c>
      <c r="W47">
        <f>'Pretax Fuel Prices'!W47+'Fuel Taxes'!W47</f>
        <v>0</v>
      </c>
      <c r="X47">
        <f>'Pretax Fuel Prices'!X47+'Fuel Taxes'!X47</f>
        <v>0</v>
      </c>
      <c r="Y47">
        <f>'Pretax Fuel Prices'!Y47+'Fuel Taxes'!Y47</f>
        <v>0</v>
      </c>
      <c r="Z47">
        <f>'Pretax Fuel Prices'!Z47+'Fuel Taxes'!Z47</f>
        <v>0</v>
      </c>
      <c r="AA47">
        <f>'Pretax Fuel Prices'!AA47+'Fuel Taxes'!AA47</f>
        <v>0</v>
      </c>
      <c r="AB47">
        <f>'Pretax Fuel Prices'!AB47+'Fuel Taxes'!AB47</f>
        <v>0</v>
      </c>
      <c r="AC47">
        <f>'Pretax Fuel Prices'!AC47+'Fuel Taxes'!AC47</f>
        <v>0</v>
      </c>
      <c r="AD47">
        <f>'Pretax Fuel Prices'!AD47+'Fuel Taxes'!AD47</f>
        <v>0</v>
      </c>
      <c r="AE47">
        <f>'Pretax Fuel Prices'!AE47+'Fuel Taxes'!AE47</f>
        <v>0</v>
      </c>
      <c r="AF47">
        <f>'Pretax Fuel Prices'!AF47+'Fuel Taxes'!AF47</f>
        <v>0</v>
      </c>
      <c r="AG47">
        <f>'Pretax Fuel Prices'!AG47+'Fuel Taxes'!AG47</f>
        <v>0</v>
      </c>
      <c r="AH47">
        <f>'Pretax Fuel Prices'!AH47+'Fuel Taxes'!AH47</f>
        <v>0</v>
      </c>
      <c r="AI47">
        <f>'Pretax Fuel Prices'!AI47+'Fuel Taxes'!AI47</f>
        <v>0</v>
      </c>
    </row>
    <row r="48" spans="1:51" x14ac:dyDescent="0.35">
      <c r="A48" t="s">
        <v>56</v>
      </c>
      <c r="B48">
        <f>'Pretax Fuel Prices'!B48+'Fuel Taxes'!B48</f>
        <v>0</v>
      </c>
      <c r="C48">
        <f>'Pretax Fuel Prices'!C48+'Fuel Taxes'!C48</f>
        <v>0</v>
      </c>
      <c r="D48">
        <f>'Pretax Fuel Prices'!D48+'Fuel Taxes'!D48</f>
        <v>0</v>
      </c>
      <c r="E48">
        <f>'Pretax Fuel Prices'!E48+'Fuel Taxes'!E48</f>
        <v>0</v>
      </c>
      <c r="F48">
        <f>'Pretax Fuel Prices'!F48+'Fuel Taxes'!F48</f>
        <v>0</v>
      </c>
      <c r="G48">
        <f>'Pretax Fuel Prices'!G48+'Fuel Taxes'!G48</f>
        <v>0</v>
      </c>
      <c r="H48">
        <f>'Pretax Fuel Prices'!H48+'Fuel Taxes'!H48</f>
        <v>0</v>
      </c>
      <c r="I48">
        <f>'Pretax Fuel Prices'!I48+'Fuel Taxes'!I48</f>
        <v>0</v>
      </c>
      <c r="J48">
        <f>'Pretax Fuel Prices'!J48+'Fuel Taxes'!J48</f>
        <v>0</v>
      </c>
      <c r="K48">
        <f>'Pretax Fuel Prices'!K48+'Fuel Taxes'!K48</f>
        <v>0</v>
      </c>
      <c r="L48">
        <f>'Pretax Fuel Prices'!L48+'Fuel Taxes'!L48</f>
        <v>0</v>
      </c>
      <c r="M48">
        <f>'Pretax Fuel Prices'!M48+'Fuel Taxes'!M48</f>
        <v>0</v>
      </c>
      <c r="N48">
        <f>'Pretax Fuel Prices'!N48+'Fuel Taxes'!N48</f>
        <v>0</v>
      </c>
      <c r="O48">
        <f>'Pretax Fuel Prices'!O48+'Fuel Taxes'!O48</f>
        <v>0</v>
      </c>
      <c r="P48">
        <f>'Pretax Fuel Prices'!P48+'Fuel Taxes'!P48</f>
        <v>0</v>
      </c>
      <c r="Q48">
        <f>'Pretax Fuel Prices'!Q48+'Fuel Taxes'!Q48</f>
        <v>0</v>
      </c>
      <c r="R48">
        <f>'Pretax Fuel Prices'!R48+'Fuel Taxes'!R48</f>
        <v>0</v>
      </c>
      <c r="S48">
        <f>'Pretax Fuel Prices'!S48+'Fuel Taxes'!S48</f>
        <v>0</v>
      </c>
      <c r="T48">
        <f>'Pretax Fuel Prices'!T48+'Fuel Taxes'!T48</f>
        <v>0</v>
      </c>
      <c r="U48">
        <f>'Pretax Fuel Prices'!U48+'Fuel Taxes'!U48</f>
        <v>0</v>
      </c>
      <c r="V48">
        <f>'Pretax Fuel Prices'!V48+'Fuel Taxes'!V48</f>
        <v>0</v>
      </c>
      <c r="W48">
        <f>'Pretax Fuel Prices'!W48+'Fuel Taxes'!W48</f>
        <v>0</v>
      </c>
      <c r="X48">
        <f>'Pretax Fuel Prices'!X48+'Fuel Taxes'!X48</f>
        <v>0</v>
      </c>
      <c r="Y48">
        <f>'Pretax Fuel Prices'!Y48+'Fuel Taxes'!Y48</f>
        <v>0</v>
      </c>
      <c r="Z48">
        <f>'Pretax Fuel Prices'!Z48+'Fuel Taxes'!Z48</f>
        <v>0</v>
      </c>
      <c r="AA48">
        <f>'Pretax Fuel Prices'!AA48+'Fuel Taxes'!AA48</f>
        <v>0</v>
      </c>
      <c r="AB48">
        <f>'Pretax Fuel Prices'!AB48+'Fuel Taxes'!AB48</f>
        <v>0</v>
      </c>
      <c r="AC48">
        <f>'Pretax Fuel Prices'!AC48+'Fuel Taxes'!AC48</f>
        <v>0</v>
      </c>
      <c r="AD48">
        <f>'Pretax Fuel Prices'!AD48+'Fuel Taxes'!AD48</f>
        <v>0</v>
      </c>
      <c r="AE48">
        <f>'Pretax Fuel Prices'!AE48+'Fuel Taxes'!AE48</f>
        <v>0</v>
      </c>
      <c r="AF48">
        <f>'Pretax Fuel Prices'!AF48+'Fuel Taxes'!AF48</f>
        <v>0</v>
      </c>
      <c r="AG48">
        <f>'Pretax Fuel Prices'!AG48+'Fuel Taxes'!AG48</f>
        <v>0</v>
      </c>
      <c r="AH48">
        <f>'Pretax Fuel Prices'!AH48+'Fuel Taxes'!AH48</f>
        <v>0</v>
      </c>
      <c r="AI48">
        <f>'Pretax Fuel Prices'!AI48+'Fuel Taxes'!AI48</f>
        <v>0</v>
      </c>
    </row>
    <row r="49" spans="1:51" x14ac:dyDescent="0.35">
      <c r="A49" t="s">
        <v>57</v>
      </c>
      <c r="B49">
        <f>'Pretax Fuel Prices'!B49+'Fuel Taxes'!B49</f>
        <v>0</v>
      </c>
      <c r="C49">
        <f>'Pretax Fuel Prices'!C49+'Fuel Taxes'!C49</f>
        <v>0</v>
      </c>
      <c r="D49">
        <f>'Pretax Fuel Prices'!D49+'Fuel Taxes'!D49</f>
        <v>0</v>
      </c>
      <c r="E49">
        <f>'Pretax Fuel Prices'!E49+'Fuel Taxes'!E49</f>
        <v>0</v>
      </c>
      <c r="F49">
        <f>'Pretax Fuel Prices'!F49+'Fuel Taxes'!F49</f>
        <v>0</v>
      </c>
      <c r="G49">
        <f>'Pretax Fuel Prices'!G49+'Fuel Taxes'!G49</f>
        <v>0</v>
      </c>
      <c r="H49">
        <f>'Pretax Fuel Prices'!H49+'Fuel Taxes'!H49</f>
        <v>0</v>
      </c>
      <c r="I49">
        <f>'Pretax Fuel Prices'!I49+'Fuel Taxes'!I49</f>
        <v>0</v>
      </c>
      <c r="J49">
        <f>'Pretax Fuel Prices'!J49+'Fuel Taxes'!J49</f>
        <v>0</v>
      </c>
      <c r="K49">
        <f>'Pretax Fuel Prices'!K49+'Fuel Taxes'!K49</f>
        <v>0</v>
      </c>
      <c r="L49">
        <f>'Pretax Fuel Prices'!L49+'Fuel Taxes'!L49</f>
        <v>0</v>
      </c>
      <c r="M49">
        <f>'Pretax Fuel Prices'!M49+'Fuel Taxes'!M49</f>
        <v>0</v>
      </c>
      <c r="N49">
        <f>'Pretax Fuel Prices'!N49+'Fuel Taxes'!N49</f>
        <v>0</v>
      </c>
      <c r="O49">
        <f>'Pretax Fuel Prices'!O49+'Fuel Taxes'!O49</f>
        <v>0</v>
      </c>
      <c r="P49">
        <f>'Pretax Fuel Prices'!P49+'Fuel Taxes'!P49</f>
        <v>0</v>
      </c>
      <c r="Q49">
        <f>'Pretax Fuel Prices'!Q49+'Fuel Taxes'!Q49</f>
        <v>0</v>
      </c>
      <c r="R49">
        <f>'Pretax Fuel Prices'!R49+'Fuel Taxes'!R49</f>
        <v>0</v>
      </c>
      <c r="S49">
        <f>'Pretax Fuel Prices'!S49+'Fuel Taxes'!S49</f>
        <v>0</v>
      </c>
      <c r="T49">
        <f>'Pretax Fuel Prices'!T49+'Fuel Taxes'!T49</f>
        <v>0</v>
      </c>
      <c r="U49">
        <f>'Pretax Fuel Prices'!U49+'Fuel Taxes'!U49</f>
        <v>0</v>
      </c>
      <c r="V49">
        <f>'Pretax Fuel Prices'!V49+'Fuel Taxes'!V49</f>
        <v>0</v>
      </c>
      <c r="W49">
        <f>'Pretax Fuel Prices'!W49+'Fuel Taxes'!W49</f>
        <v>0</v>
      </c>
      <c r="X49">
        <f>'Pretax Fuel Prices'!X49+'Fuel Taxes'!X49</f>
        <v>0</v>
      </c>
      <c r="Y49">
        <f>'Pretax Fuel Prices'!Y49+'Fuel Taxes'!Y49</f>
        <v>0</v>
      </c>
      <c r="Z49">
        <f>'Pretax Fuel Prices'!Z49+'Fuel Taxes'!Z49</f>
        <v>0</v>
      </c>
      <c r="AA49">
        <f>'Pretax Fuel Prices'!AA49+'Fuel Taxes'!AA49</f>
        <v>0</v>
      </c>
      <c r="AB49">
        <f>'Pretax Fuel Prices'!AB49+'Fuel Taxes'!AB49</f>
        <v>0</v>
      </c>
      <c r="AC49">
        <f>'Pretax Fuel Prices'!AC49+'Fuel Taxes'!AC49</f>
        <v>0</v>
      </c>
      <c r="AD49">
        <f>'Pretax Fuel Prices'!AD49+'Fuel Taxes'!AD49</f>
        <v>0</v>
      </c>
      <c r="AE49">
        <f>'Pretax Fuel Prices'!AE49+'Fuel Taxes'!AE49</f>
        <v>0</v>
      </c>
      <c r="AF49">
        <f>'Pretax Fuel Prices'!AF49+'Fuel Taxes'!AF49</f>
        <v>0</v>
      </c>
      <c r="AG49">
        <f>'Pretax Fuel Prices'!AG49+'Fuel Taxes'!AG49</f>
        <v>0</v>
      </c>
      <c r="AH49">
        <f>'Pretax Fuel Prices'!AH49+'Fuel Taxes'!AH49</f>
        <v>0</v>
      </c>
      <c r="AI49">
        <f>'Pretax Fuel Prices'!AI49+'Fuel Taxes'!AI49</f>
        <v>0</v>
      </c>
    </row>
    <row r="50" spans="1:51" x14ac:dyDescent="0.35">
      <c r="A50" t="s">
        <v>58</v>
      </c>
      <c r="B50">
        <f>'Pretax Fuel Prices'!B50+'Fuel Taxes'!B50</f>
        <v>0</v>
      </c>
      <c r="C50">
        <f>'Pretax Fuel Prices'!C50+'Fuel Taxes'!C50</f>
        <v>0</v>
      </c>
      <c r="D50">
        <f>'Pretax Fuel Prices'!D50+'Fuel Taxes'!D50</f>
        <v>0</v>
      </c>
      <c r="E50">
        <f>'Pretax Fuel Prices'!E50+'Fuel Taxes'!E50</f>
        <v>0</v>
      </c>
      <c r="F50">
        <f>'Pretax Fuel Prices'!F50+'Fuel Taxes'!F50</f>
        <v>0</v>
      </c>
      <c r="G50">
        <f>'Pretax Fuel Prices'!G50+'Fuel Taxes'!G50</f>
        <v>0</v>
      </c>
      <c r="H50">
        <f>'Pretax Fuel Prices'!H50+'Fuel Taxes'!H50</f>
        <v>0</v>
      </c>
      <c r="I50">
        <f>'Pretax Fuel Prices'!I50+'Fuel Taxes'!I50</f>
        <v>0</v>
      </c>
      <c r="J50">
        <f>'Pretax Fuel Prices'!J50+'Fuel Taxes'!J50</f>
        <v>0</v>
      </c>
      <c r="K50">
        <f>'Pretax Fuel Prices'!K50+'Fuel Taxes'!K50</f>
        <v>0</v>
      </c>
      <c r="L50">
        <f>'Pretax Fuel Prices'!L50+'Fuel Taxes'!L50</f>
        <v>0</v>
      </c>
      <c r="M50">
        <f>'Pretax Fuel Prices'!M50+'Fuel Taxes'!M50</f>
        <v>0</v>
      </c>
      <c r="N50">
        <f>'Pretax Fuel Prices'!N50+'Fuel Taxes'!N50</f>
        <v>0</v>
      </c>
      <c r="O50">
        <f>'Pretax Fuel Prices'!O50+'Fuel Taxes'!O50</f>
        <v>0</v>
      </c>
      <c r="P50">
        <f>'Pretax Fuel Prices'!P50+'Fuel Taxes'!P50</f>
        <v>0</v>
      </c>
      <c r="Q50">
        <f>'Pretax Fuel Prices'!Q50+'Fuel Taxes'!Q50</f>
        <v>0</v>
      </c>
      <c r="R50">
        <f>'Pretax Fuel Prices'!R50+'Fuel Taxes'!R50</f>
        <v>0</v>
      </c>
      <c r="S50">
        <f>'Pretax Fuel Prices'!S50+'Fuel Taxes'!S50</f>
        <v>0</v>
      </c>
      <c r="T50">
        <f>'Pretax Fuel Prices'!T50+'Fuel Taxes'!T50</f>
        <v>0</v>
      </c>
      <c r="U50">
        <f>'Pretax Fuel Prices'!U50+'Fuel Taxes'!U50</f>
        <v>0</v>
      </c>
      <c r="V50">
        <f>'Pretax Fuel Prices'!V50+'Fuel Taxes'!V50</f>
        <v>0</v>
      </c>
      <c r="W50">
        <f>'Pretax Fuel Prices'!W50+'Fuel Taxes'!W50</f>
        <v>0</v>
      </c>
      <c r="X50">
        <f>'Pretax Fuel Prices'!X50+'Fuel Taxes'!X50</f>
        <v>0</v>
      </c>
      <c r="Y50">
        <f>'Pretax Fuel Prices'!Y50+'Fuel Taxes'!Y50</f>
        <v>0</v>
      </c>
      <c r="Z50">
        <f>'Pretax Fuel Prices'!Z50+'Fuel Taxes'!Z50</f>
        <v>0</v>
      </c>
      <c r="AA50">
        <f>'Pretax Fuel Prices'!AA50+'Fuel Taxes'!AA50</f>
        <v>0</v>
      </c>
      <c r="AB50">
        <f>'Pretax Fuel Prices'!AB50+'Fuel Taxes'!AB50</f>
        <v>0</v>
      </c>
      <c r="AC50">
        <f>'Pretax Fuel Prices'!AC50+'Fuel Taxes'!AC50</f>
        <v>0</v>
      </c>
      <c r="AD50">
        <f>'Pretax Fuel Prices'!AD50+'Fuel Taxes'!AD50</f>
        <v>0</v>
      </c>
      <c r="AE50">
        <f>'Pretax Fuel Prices'!AE50+'Fuel Taxes'!AE50</f>
        <v>0</v>
      </c>
      <c r="AF50">
        <f>'Pretax Fuel Prices'!AF50+'Fuel Taxes'!AF50</f>
        <v>0</v>
      </c>
      <c r="AG50">
        <f>'Pretax Fuel Prices'!AG50+'Fuel Taxes'!AG50</f>
        <v>0</v>
      </c>
      <c r="AH50">
        <f>'Pretax Fuel Prices'!AH50+'Fuel Taxes'!AH50</f>
        <v>0</v>
      </c>
      <c r="AI50">
        <f>'Pretax Fuel Prices'!AI50+'Fuel Taxes'!AI50</f>
        <v>0</v>
      </c>
    </row>
    <row r="51" spans="1:51" s="4" customFormat="1" x14ac:dyDescent="0.35">
      <c r="A51" s="6" t="s">
        <v>34</v>
      </c>
    </row>
    <row r="52" spans="1:51" x14ac:dyDescent="0.35">
      <c r="A52" t="s">
        <v>29</v>
      </c>
      <c r="B52" s="1">
        <v>2021</v>
      </c>
      <c r="C52" s="1">
        <v>2022</v>
      </c>
      <c r="D52" s="1">
        <v>2023</v>
      </c>
      <c r="E52" s="1">
        <v>2024</v>
      </c>
      <c r="F52" s="1">
        <v>2025</v>
      </c>
      <c r="G52" s="1">
        <v>2026</v>
      </c>
      <c r="H52" s="1">
        <v>2027</v>
      </c>
      <c r="I52" s="1">
        <v>2028</v>
      </c>
      <c r="J52" s="1">
        <v>2029</v>
      </c>
      <c r="K52" s="1">
        <v>2030</v>
      </c>
      <c r="L52" s="1">
        <v>2031</v>
      </c>
      <c r="M52" s="1">
        <v>2032</v>
      </c>
      <c r="N52" s="1">
        <v>2033</v>
      </c>
      <c r="O52" s="1">
        <v>2034</v>
      </c>
      <c r="P52" s="1">
        <v>2035</v>
      </c>
      <c r="Q52" s="1">
        <v>2036</v>
      </c>
      <c r="R52" s="1">
        <v>2037</v>
      </c>
      <c r="S52" s="1">
        <v>2038</v>
      </c>
      <c r="T52" s="1">
        <v>2039</v>
      </c>
      <c r="U52" s="1">
        <v>2040</v>
      </c>
      <c r="V52" s="1">
        <v>2041</v>
      </c>
      <c r="W52" s="1">
        <v>2042</v>
      </c>
      <c r="X52" s="1">
        <v>2043</v>
      </c>
      <c r="Y52" s="1">
        <v>2044</v>
      </c>
      <c r="Z52" s="1">
        <v>2045</v>
      </c>
      <c r="AA52" s="1">
        <v>2046</v>
      </c>
      <c r="AB52" s="1">
        <v>2047</v>
      </c>
      <c r="AC52" s="1">
        <v>2048</v>
      </c>
      <c r="AD52" s="1">
        <v>2049</v>
      </c>
      <c r="AE52" s="1">
        <v>2050</v>
      </c>
      <c r="AF52" s="1">
        <v>2051</v>
      </c>
      <c r="AG52" s="1">
        <v>2052</v>
      </c>
      <c r="AH52" s="1">
        <v>2053</v>
      </c>
      <c r="AI52" s="1">
        <v>2054</v>
      </c>
      <c r="AJ52" s="1">
        <v>2055</v>
      </c>
      <c r="AK52" s="1">
        <v>2056</v>
      </c>
      <c r="AL52" s="1">
        <v>2057</v>
      </c>
      <c r="AM52" s="1">
        <v>2058</v>
      </c>
      <c r="AN52" s="1">
        <v>2059</v>
      </c>
      <c r="AO52" s="1">
        <v>2060</v>
      </c>
      <c r="AP52" s="1">
        <v>2061</v>
      </c>
      <c r="AQ52" s="1">
        <v>2062</v>
      </c>
      <c r="AR52" s="1">
        <v>2063</v>
      </c>
      <c r="AS52" s="1">
        <v>2064</v>
      </c>
      <c r="AT52" s="1">
        <v>2065</v>
      </c>
      <c r="AU52" s="1">
        <v>2066</v>
      </c>
      <c r="AV52" s="1">
        <v>2067</v>
      </c>
      <c r="AW52" s="1">
        <v>2068</v>
      </c>
      <c r="AX52" s="1">
        <v>2069</v>
      </c>
      <c r="AY52" s="1">
        <v>2070</v>
      </c>
    </row>
    <row r="53" spans="1:51" x14ac:dyDescent="0.35">
      <c r="A53" t="s">
        <v>51</v>
      </c>
      <c r="B53">
        <f>'Pretax Fuel Prices'!B53+'Fuel Taxes'!B53</f>
        <v>1.940434135390926E-5</v>
      </c>
      <c r="C53">
        <f>'Pretax Fuel Prices'!B53+'Fuel Taxes'!C53</f>
        <v>1.940434135390926E-5</v>
      </c>
      <c r="D53">
        <f>'Pretax Fuel Prices'!C53+'Fuel Taxes'!D53</f>
        <v>1.9703485240267327E-5</v>
      </c>
      <c r="E53">
        <f>'Pretax Fuel Prices'!D53+'Fuel Taxes'!E53</f>
        <v>1.9805354114341729E-5</v>
      </c>
      <c r="F53">
        <f>'Pretax Fuel Prices'!E53+'Fuel Taxes'!F53</f>
        <v>1.9450961180354674E-5</v>
      </c>
      <c r="G53">
        <f>'Pretax Fuel Prices'!F53+'Fuel Taxes'!G53</f>
        <v>1.9641661198211895E-5</v>
      </c>
      <c r="H53">
        <f>'Pretax Fuel Prices'!G53+'Fuel Taxes'!H53</f>
        <v>1.9864028621808342E-5</v>
      </c>
      <c r="I53">
        <f>'Pretax Fuel Prices'!H53+'Fuel Taxes'!I53</f>
        <v>2.0083246510815962E-5</v>
      </c>
      <c r="J53">
        <f>'Pretax Fuel Prices'!I53+'Fuel Taxes'!J53</f>
        <v>2.0340746667515694E-5</v>
      </c>
      <c r="K53">
        <f>'Pretax Fuel Prices'!J53+'Fuel Taxes'!K53</f>
        <v>2.0572942485525244E-5</v>
      </c>
      <c r="L53">
        <f>'Pretax Fuel Prices'!K53+'Fuel Taxes'!L53</f>
        <v>2.0805893688246305E-5</v>
      </c>
      <c r="M53">
        <f>'Pretax Fuel Prices'!L53+'Fuel Taxes'!M53</f>
        <v>2.0971792957221017E-5</v>
      </c>
      <c r="N53">
        <f>'Pretax Fuel Prices'!M53+'Fuel Taxes'!N53</f>
        <v>2.1240864138897489E-5</v>
      </c>
      <c r="O53">
        <f>'Pretax Fuel Prices'!N53+'Fuel Taxes'!O53</f>
        <v>2.1540595546697844E-5</v>
      </c>
      <c r="P53">
        <f>'Pretax Fuel Prices'!O53+'Fuel Taxes'!P53</f>
        <v>2.190068009465705E-5</v>
      </c>
      <c r="Q53">
        <f>'Pretax Fuel Prices'!P53+'Fuel Taxes'!Q53</f>
        <v>2.2111224698372924E-5</v>
      </c>
      <c r="R53">
        <f>'Pretax Fuel Prices'!Q53+'Fuel Taxes'!R53</f>
        <v>2.2356482377019016E-5</v>
      </c>
      <c r="S53">
        <f>'Pretax Fuel Prices'!R53+'Fuel Taxes'!S53</f>
        <v>2.2637292446941453E-5</v>
      </c>
      <c r="T53">
        <f>'Pretax Fuel Prices'!S53+'Fuel Taxes'!T53</f>
        <v>2.2826921287311933E-5</v>
      </c>
      <c r="U53">
        <f>'Pretax Fuel Prices'!T53+'Fuel Taxes'!U53</f>
        <v>2.3042505985686273E-5</v>
      </c>
      <c r="V53">
        <f>'Pretax Fuel Prices'!U53+'Fuel Taxes'!V53</f>
        <v>2.3243957645937329E-5</v>
      </c>
      <c r="W53">
        <f>'Pretax Fuel Prices'!V53+'Fuel Taxes'!W53</f>
        <v>2.3417962612524728E-5</v>
      </c>
      <c r="X53">
        <f>'Pretax Fuel Prices'!W53+'Fuel Taxes'!X53</f>
        <v>2.3618007368750599E-5</v>
      </c>
      <c r="Y53">
        <f>'Pretax Fuel Prices'!X53+'Fuel Taxes'!Y53</f>
        <v>2.3732582443159874E-5</v>
      </c>
      <c r="Z53">
        <f>'Pretax Fuel Prices'!Y53+'Fuel Taxes'!Z53</f>
        <v>2.3798627197290877E-5</v>
      </c>
      <c r="AA53">
        <f>'Pretax Fuel Prices'!Z53+'Fuel Taxes'!AA53</f>
        <v>2.4038676918009272E-5</v>
      </c>
      <c r="AB53">
        <f>'Pretax Fuel Prices'!AA53+'Fuel Taxes'!AB53</f>
        <v>2.4303947045783244E-5</v>
      </c>
      <c r="AC53">
        <f>'Pretax Fuel Prices'!AB53+'Fuel Taxes'!AC53</f>
        <v>2.4468859068905825E-5</v>
      </c>
      <c r="AD53">
        <f>'Pretax Fuel Prices'!AC53+'Fuel Taxes'!AD53</f>
        <v>2.4721970650260769E-5</v>
      </c>
      <c r="AE53">
        <f>'Pretax Fuel Prices'!AD53+'Fuel Taxes'!AE53</f>
        <v>2.491855007912258E-5</v>
      </c>
      <c r="AF53">
        <f>'Pretax Fuel Prices'!AE53+'Fuel Taxes'!AF53</f>
        <v>1.4275012679810496E-5</v>
      </c>
      <c r="AG53">
        <f>'Pretax Fuel Prices'!AF53+'Fuel Taxes'!AG53</f>
        <v>0</v>
      </c>
      <c r="AH53">
        <f>'Pretax Fuel Prices'!AG53+'Fuel Taxes'!AH53</f>
        <v>0</v>
      </c>
      <c r="AI53">
        <f>'Pretax Fuel Prices'!AH53+'Fuel Taxes'!AI53</f>
        <v>0</v>
      </c>
    </row>
    <row r="54" spans="1:51" x14ac:dyDescent="0.35">
      <c r="A54" t="s">
        <v>52</v>
      </c>
      <c r="B54">
        <f>'Pretax Fuel Prices'!B54+'Fuel Taxes'!B54</f>
        <v>1.940434135390926E-5</v>
      </c>
      <c r="C54">
        <f>'Pretax Fuel Prices'!B54+'Fuel Taxes'!C54</f>
        <v>1.940434135390926E-5</v>
      </c>
      <c r="D54">
        <f>'Pretax Fuel Prices'!C54+'Fuel Taxes'!D54</f>
        <v>1.9633878185930069E-5</v>
      </c>
      <c r="E54">
        <f>'Pretax Fuel Prices'!D54+'Fuel Taxes'!E54</f>
        <v>1.971204344252695E-5</v>
      </c>
      <c r="F54">
        <f>'Pretax Fuel Prices'!E54+'Fuel Taxes'!F54</f>
        <v>1.9116447700188243E-5</v>
      </c>
      <c r="G54">
        <f>'Pretax Fuel Prices'!F54+'Fuel Taxes'!G54</f>
        <v>1.8508760344545951E-5</v>
      </c>
      <c r="H54">
        <f>'Pretax Fuel Prices'!G54+'Fuel Taxes'!H54</f>
        <v>1.7950828364942513E-5</v>
      </c>
      <c r="I54">
        <f>'Pretax Fuel Prices'!H54+'Fuel Taxes'!I54</f>
        <v>1.7441895313243558E-5</v>
      </c>
      <c r="J54">
        <f>'Pretax Fuel Prices'!I54+'Fuel Taxes'!J54</f>
        <v>1.6971298422621545E-5</v>
      </c>
      <c r="K54">
        <f>'Pretax Fuel Prices'!J54+'Fuel Taxes'!K54</f>
        <v>1.6712679311701039E-5</v>
      </c>
      <c r="L54">
        <f>'Pretax Fuel Prices'!K54+'Fuel Taxes'!L54</f>
        <v>1.6807963409827907E-5</v>
      </c>
      <c r="M54">
        <f>'Pretax Fuel Prices'!L54+'Fuel Taxes'!M54</f>
        <v>1.6898600605040379E-5</v>
      </c>
      <c r="N54">
        <f>'Pretax Fuel Prices'!M54+'Fuel Taxes'!N54</f>
        <v>1.7128977934988281E-5</v>
      </c>
      <c r="O54">
        <f>'Pretax Fuel Prices'!N54+'Fuel Taxes'!O54</f>
        <v>1.7266972985902589E-5</v>
      </c>
      <c r="P54">
        <f>'Pretax Fuel Prices'!O54+'Fuel Taxes'!P54</f>
        <v>1.7389154068318717E-5</v>
      </c>
      <c r="Q54">
        <f>'Pretax Fuel Prices'!P54+'Fuel Taxes'!Q54</f>
        <v>1.7541386103495506E-5</v>
      </c>
      <c r="R54">
        <f>'Pretax Fuel Prices'!Q54+'Fuel Taxes'!R54</f>
        <v>1.7763562274919834E-5</v>
      </c>
      <c r="S54">
        <f>'Pretax Fuel Prices'!R54+'Fuel Taxes'!S54</f>
        <v>1.8053789361010931E-5</v>
      </c>
      <c r="T54">
        <f>'Pretax Fuel Prices'!S54+'Fuel Taxes'!T54</f>
        <v>1.8277542516670959E-5</v>
      </c>
      <c r="U54">
        <f>'Pretax Fuel Prices'!T54+'Fuel Taxes'!U54</f>
        <v>1.8511642201813456E-5</v>
      </c>
      <c r="V54">
        <f>'Pretax Fuel Prices'!U54+'Fuel Taxes'!V54</f>
        <v>1.8712136678586112E-5</v>
      </c>
      <c r="W54">
        <f>'Pretax Fuel Prices'!V54+'Fuel Taxes'!W54</f>
        <v>1.8824055281312481E-5</v>
      </c>
      <c r="X54">
        <f>'Pretax Fuel Prices'!W54+'Fuel Taxes'!X54</f>
        <v>1.896957909240869E-5</v>
      </c>
      <c r="Y54">
        <f>'Pretax Fuel Prices'!X54+'Fuel Taxes'!Y54</f>
        <v>1.9118088772390886E-5</v>
      </c>
      <c r="Z54">
        <f>'Pretax Fuel Prices'!Y54+'Fuel Taxes'!Z54</f>
        <v>1.9227189605816688E-5</v>
      </c>
      <c r="AA54">
        <f>'Pretax Fuel Prices'!Z54+'Fuel Taxes'!AA54</f>
        <v>1.9479332680208971E-5</v>
      </c>
      <c r="AB54">
        <f>'Pretax Fuel Prices'!AA54+'Fuel Taxes'!AB54</f>
        <v>1.9735870508137525E-5</v>
      </c>
      <c r="AC54">
        <f>'Pretax Fuel Prices'!AB54+'Fuel Taxes'!AC54</f>
        <v>1.9888018493521601E-5</v>
      </c>
      <c r="AD54">
        <f>'Pretax Fuel Prices'!AC54+'Fuel Taxes'!AD54</f>
        <v>2.0142727187836322E-5</v>
      </c>
      <c r="AE54">
        <f>'Pretax Fuel Prices'!AD54+'Fuel Taxes'!AE54</f>
        <v>2.0386352866359963E-5</v>
      </c>
      <c r="AF54">
        <f>'Pretax Fuel Prices'!AE54+'Fuel Taxes'!AF54</f>
        <v>1.1703109946747403E-5</v>
      </c>
      <c r="AG54">
        <f>'Pretax Fuel Prices'!AF54+'Fuel Taxes'!AG54</f>
        <v>0</v>
      </c>
      <c r="AH54">
        <f>'Pretax Fuel Prices'!AG54+'Fuel Taxes'!AH54</f>
        <v>0</v>
      </c>
      <c r="AI54">
        <f>'Pretax Fuel Prices'!AH54+'Fuel Taxes'!AI54</f>
        <v>0</v>
      </c>
    </row>
    <row r="55" spans="1:51" x14ac:dyDescent="0.35">
      <c r="A55" t="s">
        <v>53</v>
      </c>
      <c r="B55">
        <f>'Pretax Fuel Prices'!B55+'Fuel Taxes'!B55</f>
        <v>1.3092837153855812E-5</v>
      </c>
      <c r="C55">
        <f>'Pretax Fuel Prices'!B55+'Fuel Taxes'!C55</f>
        <v>1.3092837153855812E-5</v>
      </c>
      <c r="D55">
        <f>'Pretax Fuel Prices'!C55+'Fuel Taxes'!D55</f>
        <v>1.3247786978800951E-5</v>
      </c>
      <c r="E55">
        <f>'Pretax Fuel Prices'!D55+'Fuel Taxes'!E55</f>
        <v>1.3300552771200576E-5</v>
      </c>
      <c r="F55">
        <f>'Pretax Fuel Prices'!E55+'Fuel Taxes'!F55</f>
        <v>1.3179504005096315E-5</v>
      </c>
      <c r="G55">
        <f>'Pretax Fuel Prices'!F55+'Fuel Taxes'!G55</f>
        <v>1.3448007483387757E-5</v>
      </c>
      <c r="H55">
        <f>'Pretax Fuel Prices'!G55+'Fuel Taxes'!H55</f>
        <v>1.3757253225825078E-5</v>
      </c>
      <c r="I55">
        <f>'Pretax Fuel Prices'!H55+'Fuel Taxes'!I55</f>
        <v>1.4071411075658462E-5</v>
      </c>
      <c r="J55">
        <f>'Pretax Fuel Prices'!I55+'Fuel Taxes'!J55</f>
        <v>1.4419326720443897E-5</v>
      </c>
      <c r="K55">
        <f>'Pretax Fuel Prices'!J55+'Fuel Taxes'!K55</f>
        <v>1.4668778938430246E-5</v>
      </c>
      <c r="L55">
        <f>'Pretax Fuel Prices'!K55+'Fuel Taxes'!L55</f>
        <v>1.4803399475705618E-5</v>
      </c>
      <c r="M55">
        <f>'Pretax Fuel Prices'!L55+'Fuel Taxes'!M55</f>
        <v>1.4903254406216957E-5</v>
      </c>
      <c r="N55">
        <f>'Pretax Fuel Prices'!M55+'Fuel Taxes'!N55</f>
        <v>1.5075480295854663E-5</v>
      </c>
      <c r="O55">
        <f>'Pretax Fuel Prices'!N55+'Fuel Taxes'!O55</f>
        <v>1.5177407588163767E-5</v>
      </c>
      <c r="P55">
        <f>'Pretax Fuel Prices'!O55+'Fuel Taxes'!P55</f>
        <v>1.5290564074293528E-5</v>
      </c>
      <c r="Q55">
        <f>'Pretax Fuel Prices'!P55+'Fuel Taxes'!Q55</f>
        <v>1.5430266933486341E-5</v>
      </c>
      <c r="R55">
        <f>'Pretax Fuel Prices'!Q55+'Fuel Taxes'!R55</f>
        <v>1.5574157779132194E-5</v>
      </c>
      <c r="S55">
        <f>'Pretax Fuel Prices'!R55+'Fuel Taxes'!S55</f>
        <v>1.5744594997841101E-5</v>
      </c>
      <c r="T55">
        <f>'Pretax Fuel Prices'!S55+'Fuel Taxes'!T55</f>
        <v>1.5877199911492502E-5</v>
      </c>
      <c r="U55">
        <f>'Pretax Fuel Prices'!T55+'Fuel Taxes'!U55</f>
        <v>1.6014163026118321E-5</v>
      </c>
      <c r="V55">
        <f>'Pretax Fuel Prices'!U55+'Fuel Taxes'!V55</f>
        <v>1.6140677806040296E-5</v>
      </c>
      <c r="W55">
        <f>'Pretax Fuel Prices'!V55+'Fuel Taxes'!W55</f>
        <v>1.6252159097588842E-5</v>
      </c>
      <c r="X55">
        <f>'Pretax Fuel Prices'!W55+'Fuel Taxes'!X55</f>
        <v>1.6383869675775848E-5</v>
      </c>
      <c r="Y55">
        <f>'Pretax Fuel Prices'!X55+'Fuel Taxes'!Y55</f>
        <v>1.6463949225039067E-5</v>
      </c>
      <c r="Z55">
        <f>'Pretax Fuel Prices'!Y55+'Fuel Taxes'!Z55</f>
        <v>1.6517368924891648E-5</v>
      </c>
      <c r="AA55">
        <f>'Pretax Fuel Prices'!Z55+'Fuel Taxes'!AA55</f>
        <v>1.6681432319002169E-5</v>
      </c>
      <c r="AB55">
        <f>'Pretax Fuel Prices'!AA55+'Fuel Taxes'!AB55</f>
        <v>1.6853714946813668E-5</v>
      </c>
      <c r="AC55">
        <f>'Pretax Fuel Prices'!AB55+'Fuel Taxes'!AC55</f>
        <v>1.6962569970142804E-5</v>
      </c>
      <c r="AD55">
        <f>'Pretax Fuel Prices'!AC55+'Fuel Taxes'!AD55</f>
        <v>1.7124901431498315E-5</v>
      </c>
      <c r="AE55">
        <f>'Pretax Fuel Prices'!AD55+'Fuel Taxes'!AE55</f>
        <v>1.7261253901528694E-5</v>
      </c>
      <c r="AF55">
        <f>'Pretax Fuel Prices'!AE55+'Fuel Taxes'!AF55</f>
        <v>9.8964169551887151E-6</v>
      </c>
      <c r="AG55">
        <f>'Pretax Fuel Prices'!AF55+'Fuel Taxes'!AG55</f>
        <v>0</v>
      </c>
      <c r="AH55">
        <f>'Pretax Fuel Prices'!AG55+'Fuel Taxes'!AH55</f>
        <v>0</v>
      </c>
      <c r="AI55">
        <f>'Pretax Fuel Prices'!AH55+'Fuel Taxes'!AI55</f>
        <v>0</v>
      </c>
    </row>
    <row r="56" spans="1:51" x14ac:dyDescent="0.35">
      <c r="A56" t="s">
        <v>54</v>
      </c>
      <c r="B56">
        <f>'Pretax Fuel Prices'!B56+'Fuel Taxes'!B56</f>
        <v>1.940434135390926E-5</v>
      </c>
      <c r="C56">
        <f>'Pretax Fuel Prices'!B56+'Fuel Taxes'!C56</f>
        <v>1.940434135390926E-5</v>
      </c>
      <c r="D56">
        <f>'Pretax Fuel Prices'!C56+'Fuel Taxes'!D56</f>
        <v>1.9633126662158253E-5</v>
      </c>
      <c r="E56">
        <f>'Pretax Fuel Prices'!D56+'Fuel Taxes'!E56</f>
        <v>1.9711035998831755E-5</v>
      </c>
      <c r="F56">
        <f>'Pretax Fuel Prices'!E56+'Fuel Taxes'!F56</f>
        <v>1.9152289743126473E-5</v>
      </c>
      <c r="G56">
        <f>'Pretax Fuel Prices'!F56+'Fuel Taxes'!G56</f>
        <v>1.8655419411632049E-5</v>
      </c>
      <c r="H56">
        <f>'Pretax Fuel Prices'!G56+'Fuel Taxes'!H56</f>
        <v>1.8217385033322485E-5</v>
      </c>
      <c r="I56">
        <f>'Pretax Fuel Prices'!H56+'Fuel Taxes'!I56</f>
        <v>1.7787923938784833E-5</v>
      </c>
      <c r="J56">
        <f>'Pretax Fuel Prices'!I56+'Fuel Taxes'!J56</f>
        <v>1.7395352992130004E-5</v>
      </c>
      <c r="K56">
        <f>'Pretax Fuel Prices'!J56+'Fuel Taxes'!K56</f>
        <v>1.7246408025229656E-5</v>
      </c>
      <c r="L56">
        <f>'Pretax Fuel Prices'!K56+'Fuel Taxes'!L56</f>
        <v>1.7459451037772889E-5</v>
      </c>
      <c r="M56">
        <f>'Pretax Fuel Prices'!L56+'Fuel Taxes'!M56</f>
        <v>1.7612086276080616E-5</v>
      </c>
      <c r="N56">
        <f>'Pretax Fuel Prices'!M56+'Fuel Taxes'!N56</f>
        <v>1.7870257621853392E-5</v>
      </c>
      <c r="O56">
        <f>'Pretax Fuel Prices'!N56+'Fuel Taxes'!O56</f>
        <v>1.8142284240325087E-5</v>
      </c>
      <c r="P56">
        <f>'Pretax Fuel Prices'!O56+'Fuel Taxes'!P56</f>
        <v>1.8465307603197424E-5</v>
      </c>
      <c r="Q56">
        <f>'Pretax Fuel Prices'!P56+'Fuel Taxes'!Q56</f>
        <v>1.8671580580369294E-5</v>
      </c>
      <c r="R56">
        <f>'Pretax Fuel Prices'!Q56+'Fuel Taxes'!R56</f>
        <v>1.8911181190291211E-5</v>
      </c>
      <c r="S56">
        <f>'Pretax Fuel Prices'!R56+'Fuel Taxes'!S56</f>
        <v>1.9195343607667586E-5</v>
      </c>
      <c r="T56">
        <f>'Pretax Fuel Prices'!S56+'Fuel Taxes'!T56</f>
        <v>1.9389815884359964E-5</v>
      </c>
      <c r="U56">
        <f>'Pretax Fuel Prices'!T56+'Fuel Taxes'!U56</f>
        <v>1.9604997243728928E-5</v>
      </c>
      <c r="V56">
        <f>'Pretax Fuel Prices'!U56+'Fuel Taxes'!V56</f>
        <v>1.9798316572402142E-5</v>
      </c>
      <c r="W56">
        <f>'Pretax Fuel Prices'!V56+'Fuel Taxes'!W56</f>
        <v>1.9957721846081232E-5</v>
      </c>
      <c r="X56">
        <f>'Pretax Fuel Prices'!W56+'Fuel Taxes'!X56</f>
        <v>2.0159949556951543E-5</v>
      </c>
      <c r="Y56">
        <f>'Pretax Fuel Prices'!X56+'Fuel Taxes'!Y56</f>
        <v>2.0288584417737795E-5</v>
      </c>
      <c r="Z56">
        <f>'Pretax Fuel Prices'!Y56+'Fuel Taxes'!Z56</f>
        <v>2.0371336973837836E-5</v>
      </c>
      <c r="AA56">
        <f>'Pretax Fuel Prices'!Z56+'Fuel Taxes'!AA56</f>
        <v>2.0618776792543983E-5</v>
      </c>
      <c r="AB56">
        <f>'Pretax Fuel Prices'!AA56+'Fuel Taxes'!AB56</f>
        <v>2.0877031912923059E-5</v>
      </c>
      <c r="AC56">
        <f>'Pretax Fuel Prices'!AB56+'Fuel Taxes'!AC56</f>
        <v>2.1042955898154623E-5</v>
      </c>
      <c r="AD56">
        <f>'Pretax Fuel Prices'!AC56+'Fuel Taxes'!AD56</f>
        <v>2.129039571686077E-5</v>
      </c>
      <c r="AE56">
        <f>'Pretax Fuel Prices'!AD56+'Fuel Taxes'!AE56</f>
        <v>2.1502118232172247E-5</v>
      </c>
      <c r="AF56">
        <f>'Pretax Fuel Prices'!AE56+'Fuel Taxes'!AF56</f>
        <v>1.2330164368748508E-5</v>
      </c>
      <c r="AG56">
        <f>'Pretax Fuel Prices'!AF56+'Fuel Taxes'!AG56</f>
        <v>0</v>
      </c>
      <c r="AH56">
        <f>'Pretax Fuel Prices'!AG56+'Fuel Taxes'!AH56</f>
        <v>0</v>
      </c>
      <c r="AI56">
        <f>'Pretax Fuel Prices'!AH56+'Fuel Taxes'!AI56</f>
        <v>0</v>
      </c>
    </row>
    <row r="57" spans="1:51" x14ac:dyDescent="0.35">
      <c r="A57" t="s">
        <v>55</v>
      </c>
      <c r="B57">
        <f>'Pretax Fuel Prices'!B57+'Fuel Taxes'!B57</f>
        <v>1.940434135390926E-5</v>
      </c>
      <c r="C57">
        <f>'Pretax Fuel Prices'!B57+'Fuel Taxes'!C57</f>
        <v>1.940434135390926E-5</v>
      </c>
      <c r="D57">
        <f>'Pretax Fuel Prices'!C57+'Fuel Taxes'!D57</f>
        <v>1.9633985949700972E-5</v>
      </c>
      <c r="E57">
        <f>'Pretax Fuel Prices'!D57+'Fuel Taxes'!E57</f>
        <v>1.9712187903601418E-5</v>
      </c>
      <c r="F57">
        <f>'Pretax Fuel Prices'!E57+'Fuel Taxes'!F57</f>
        <v>1.9163019914263732E-5</v>
      </c>
      <c r="G57">
        <f>'Pretax Fuel Prices'!F57+'Fuel Taxes'!G57</f>
        <v>1.8687721180080839E-5</v>
      </c>
      <c r="H57">
        <f>'Pretax Fuel Prices'!G57+'Fuel Taxes'!H57</f>
        <v>1.8262369359773689E-5</v>
      </c>
      <c r="I57">
        <f>'Pretax Fuel Prices'!H57+'Fuel Taxes'!I57</f>
        <v>1.7848189847804123E-5</v>
      </c>
      <c r="J57">
        <f>'Pretax Fuel Prices'!I57+'Fuel Taxes'!J57</f>
        <v>1.7469797670670356E-5</v>
      </c>
      <c r="K57">
        <f>'Pretax Fuel Prices'!J57+'Fuel Taxes'!K57</f>
        <v>1.7328077848623158E-5</v>
      </c>
      <c r="L57">
        <f>'Pretax Fuel Prices'!K57+'Fuel Taxes'!L57</f>
        <v>1.7556248780261209E-5</v>
      </c>
      <c r="M57">
        <f>'Pretax Fuel Prices'!L57+'Fuel Taxes'!M57</f>
        <v>1.7718567315874269E-5</v>
      </c>
      <c r="N57">
        <f>'Pretax Fuel Prices'!M57+'Fuel Taxes'!N57</f>
        <v>1.7982926057414127E-5</v>
      </c>
      <c r="O57">
        <f>'Pretax Fuel Prices'!N57+'Fuel Taxes'!O57</f>
        <v>1.8143098214851883E-5</v>
      </c>
      <c r="P57">
        <f>'Pretax Fuel Prices'!O57+'Fuel Taxes'!P57</f>
        <v>1.8316020405231109E-5</v>
      </c>
      <c r="Q57">
        <f>'Pretax Fuel Prices'!P57+'Fuel Taxes'!Q57</f>
        <v>1.8526960397874148E-5</v>
      </c>
      <c r="R57">
        <f>'Pretax Fuel Prices'!Q57+'Fuel Taxes'!R57</f>
        <v>1.8761001810466699E-5</v>
      </c>
      <c r="S57">
        <f>'Pretax Fuel Prices'!R57+'Fuel Taxes'!S57</f>
        <v>1.903057829013693E-5</v>
      </c>
      <c r="T57">
        <f>'Pretax Fuel Prices'!S57+'Fuel Taxes'!T57</f>
        <v>1.9229673260420736E-5</v>
      </c>
      <c r="U57">
        <f>'Pretax Fuel Prices'!T57+'Fuel Taxes'!U57</f>
        <v>1.9450880550819111E-5</v>
      </c>
      <c r="V57">
        <f>'Pretax Fuel Prices'!U57+'Fuel Taxes'!V57</f>
        <v>1.9644925961477955E-5</v>
      </c>
      <c r="W57">
        <f>'Pretax Fuel Prices'!V57+'Fuel Taxes'!W57</f>
        <v>1.9808822221694908E-5</v>
      </c>
      <c r="X57">
        <f>'Pretax Fuel Prices'!W57+'Fuel Taxes'!X57</f>
        <v>2.0013134930109095E-5</v>
      </c>
      <c r="Y57">
        <f>'Pretax Fuel Prices'!X57+'Fuel Taxes'!Y57</f>
        <v>2.0140927469676943E-5</v>
      </c>
      <c r="Z57">
        <f>'Pretax Fuel Prices'!Y57+'Fuel Taxes'!Z57</f>
        <v>2.0229208571629801E-5</v>
      </c>
      <c r="AA57">
        <f>'Pretax Fuel Prices'!Z57+'Fuel Taxes'!AA57</f>
        <v>2.0477577741767703E-5</v>
      </c>
      <c r="AB57">
        <f>'Pretax Fuel Prices'!AA57+'Fuel Taxes'!AB57</f>
        <v>2.0740695115714495E-5</v>
      </c>
      <c r="AC57">
        <f>'Pretax Fuel Prices'!AB57+'Fuel Taxes'!AC57</f>
        <v>2.0912460027753364E-5</v>
      </c>
      <c r="AD57">
        <f>'Pretax Fuel Prices'!AC57+'Fuel Taxes'!AD57</f>
        <v>2.1164721479175878E-5</v>
      </c>
      <c r="AE57">
        <f>'Pretax Fuel Prices'!AD57+'Fuel Taxes'!AE57</f>
        <v>2.1378564653268571E-5</v>
      </c>
      <c r="AF57">
        <f>'Pretax Fuel Prices'!AE57+'Fuel Taxes'!AF57</f>
        <v>1.2256466868252211E-5</v>
      </c>
      <c r="AG57">
        <f>'Pretax Fuel Prices'!AF57+'Fuel Taxes'!AG57</f>
        <v>0</v>
      </c>
      <c r="AH57">
        <f>'Pretax Fuel Prices'!AG57+'Fuel Taxes'!AH57</f>
        <v>0</v>
      </c>
      <c r="AI57">
        <f>'Pretax Fuel Prices'!AH57+'Fuel Taxes'!AI57</f>
        <v>0</v>
      </c>
    </row>
    <row r="58" spans="1:51" x14ac:dyDescent="0.35">
      <c r="A58" t="s">
        <v>56</v>
      </c>
      <c r="B58">
        <f>'Pretax Fuel Prices'!B58+'Fuel Taxes'!B58</f>
        <v>1.940434135390926E-5</v>
      </c>
      <c r="C58">
        <f>'Pretax Fuel Prices'!B58+'Fuel Taxes'!C58</f>
        <v>1.940434135390926E-5</v>
      </c>
      <c r="D58">
        <f>'Pretax Fuel Prices'!C58+'Fuel Taxes'!D58</f>
        <v>1.9633985949700972E-5</v>
      </c>
      <c r="E58">
        <f>'Pretax Fuel Prices'!D58+'Fuel Taxes'!E58</f>
        <v>1.9712187903601418E-5</v>
      </c>
      <c r="F58">
        <f>'Pretax Fuel Prices'!E58+'Fuel Taxes'!F58</f>
        <v>1.9163019914263732E-5</v>
      </c>
      <c r="G58">
        <f>'Pretax Fuel Prices'!F58+'Fuel Taxes'!G58</f>
        <v>1.8687721180080839E-5</v>
      </c>
      <c r="H58">
        <f>'Pretax Fuel Prices'!G58+'Fuel Taxes'!H58</f>
        <v>1.8262369359773689E-5</v>
      </c>
      <c r="I58">
        <f>'Pretax Fuel Prices'!H58+'Fuel Taxes'!I58</f>
        <v>1.7848189847804123E-5</v>
      </c>
      <c r="J58">
        <f>'Pretax Fuel Prices'!I58+'Fuel Taxes'!J58</f>
        <v>1.7469797670670356E-5</v>
      </c>
      <c r="K58">
        <f>'Pretax Fuel Prices'!J58+'Fuel Taxes'!K58</f>
        <v>1.7328077848623158E-5</v>
      </c>
      <c r="L58">
        <f>'Pretax Fuel Prices'!K58+'Fuel Taxes'!L58</f>
        <v>1.7556248780261209E-5</v>
      </c>
      <c r="M58">
        <f>'Pretax Fuel Prices'!L58+'Fuel Taxes'!M58</f>
        <v>1.7718567315874269E-5</v>
      </c>
      <c r="N58">
        <f>'Pretax Fuel Prices'!M58+'Fuel Taxes'!N58</f>
        <v>1.7982926057414127E-5</v>
      </c>
      <c r="O58">
        <f>'Pretax Fuel Prices'!N58+'Fuel Taxes'!O58</f>
        <v>1.8143098214851883E-5</v>
      </c>
      <c r="P58">
        <f>'Pretax Fuel Prices'!O58+'Fuel Taxes'!P58</f>
        <v>1.8316020405231109E-5</v>
      </c>
      <c r="Q58">
        <f>'Pretax Fuel Prices'!P58+'Fuel Taxes'!Q58</f>
        <v>1.8526960397874148E-5</v>
      </c>
      <c r="R58">
        <f>'Pretax Fuel Prices'!Q58+'Fuel Taxes'!R58</f>
        <v>1.8761001810466699E-5</v>
      </c>
      <c r="S58">
        <f>'Pretax Fuel Prices'!R58+'Fuel Taxes'!S58</f>
        <v>1.903057829013693E-5</v>
      </c>
      <c r="T58">
        <f>'Pretax Fuel Prices'!S58+'Fuel Taxes'!T58</f>
        <v>1.9229673260420736E-5</v>
      </c>
      <c r="U58">
        <f>'Pretax Fuel Prices'!T58+'Fuel Taxes'!U58</f>
        <v>1.9450880550819111E-5</v>
      </c>
      <c r="V58">
        <f>'Pretax Fuel Prices'!U58+'Fuel Taxes'!V58</f>
        <v>1.9644925961477955E-5</v>
      </c>
      <c r="W58">
        <f>'Pretax Fuel Prices'!V58+'Fuel Taxes'!W58</f>
        <v>1.9808822221694908E-5</v>
      </c>
      <c r="X58">
        <f>'Pretax Fuel Prices'!W58+'Fuel Taxes'!X58</f>
        <v>2.0013134930109095E-5</v>
      </c>
      <c r="Y58">
        <f>'Pretax Fuel Prices'!X58+'Fuel Taxes'!Y58</f>
        <v>2.0140927469676943E-5</v>
      </c>
      <c r="Z58">
        <f>'Pretax Fuel Prices'!Y58+'Fuel Taxes'!Z58</f>
        <v>2.0229208571629801E-5</v>
      </c>
      <c r="AA58">
        <f>'Pretax Fuel Prices'!Z58+'Fuel Taxes'!AA58</f>
        <v>2.0477577741767703E-5</v>
      </c>
      <c r="AB58">
        <f>'Pretax Fuel Prices'!AA58+'Fuel Taxes'!AB58</f>
        <v>2.0740695115714495E-5</v>
      </c>
      <c r="AC58">
        <f>'Pretax Fuel Prices'!AB58+'Fuel Taxes'!AC58</f>
        <v>2.0912460027753364E-5</v>
      </c>
      <c r="AD58">
        <f>'Pretax Fuel Prices'!AC58+'Fuel Taxes'!AD58</f>
        <v>2.1164721479175878E-5</v>
      </c>
      <c r="AE58">
        <f>'Pretax Fuel Prices'!AD58+'Fuel Taxes'!AE58</f>
        <v>2.1378564653268571E-5</v>
      </c>
      <c r="AF58">
        <f>'Pretax Fuel Prices'!AE58+'Fuel Taxes'!AF58</f>
        <v>1.2256466868252211E-5</v>
      </c>
      <c r="AG58">
        <f>'Pretax Fuel Prices'!AF58+'Fuel Taxes'!AG58</f>
        <v>0</v>
      </c>
      <c r="AH58">
        <f>'Pretax Fuel Prices'!AG58+'Fuel Taxes'!AH58</f>
        <v>0</v>
      </c>
      <c r="AI58">
        <f>'Pretax Fuel Prices'!AH58+'Fuel Taxes'!AI58</f>
        <v>0</v>
      </c>
    </row>
    <row r="59" spans="1:51" x14ac:dyDescent="0.35">
      <c r="A59" t="s">
        <v>57</v>
      </c>
      <c r="B59">
        <f>'Pretax Fuel Prices'!B59+'Fuel Taxes'!B59</f>
        <v>0</v>
      </c>
      <c r="C59">
        <f>'Pretax Fuel Prices'!B59+'Fuel Taxes'!C59</f>
        <v>0</v>
      </c>
      <c r="D59">
        <f>'Pretax Fuel Prices'!C59+'Fuel Taxes'!D59</f>
        <v>0</v>
      </c>
      <c r="E59">
        <f>'Pretax Fuel Prices'!D59+'Fuel Taxes'!E59</f>
        <v>0</v>
      </c>
      <c r="F59">
        <f>'Pretax Fuel Prices'!E59+'Fuel Taxes'!F59</f>
        <v>0</v>
      </c>
      <c r="G59">
        <f>'Pretax Fuel Prices'!F59+'Fuel Taxes'!G59</f>
        <v>0</v>
      </c>
      <c r="H59">
        <f>'Pretax Fuel Prices'!G59+'Fuel Taxes'!H59</f>
        <v>0</v>
      </c>
      <c r="I59">
        <f>'Pretax Fuel Prices'!H59+'Fuel Taxes'!I59</f>
        <v>0</v>
      </c>
      <c r="J59">
        <f>'Pretax Fuel Prices'!I59+'Fuel Taxes'!J59</f>
        <v>0</v>
      </c>
      <c r="K59">
        <f>'Pretax Fuel Prices'!J59+'Fuel Taxes'!K59</f>
        <v>0</v>
      </c>
      <c r="L59">
        <f>'Pretax Fuel Prices'!K59+'Fuel Taxes'!L59</f>
        <v>0</v>
      </c>
      <c r="M59">
        <f>'Pretax Fuel Prices'!L59+'Fuel Taxes'!M59</f>
        <v>0</v>
      </c>
      <c r="N59">
        <f>'Pretax Fuel Prices'!M59+'Fuel Taxes'!N59</f>
        <v>0</v>
      </c>
      <c r="O59">
        <f>'Pretax Fuel Prices'!N59+'Fuel Taxes'!O59</f>
        <v>0</v>
      </c>
      <c r="P59">
        <f>'Pretax Fuel Prices'!O59+'Fuel Taxes'!P59</f>
        <v>0</v>
      </c>
      <c r="Q59">
        <f>'Pretax Fuel Prices'!P59+'Fuel Taxes'!Q59</f>
        <v>0</v>
      </c>
      <c r="R59">
        <f>'Pretax Fuel Prices'!Q59+'Fuel Taxes'!R59</f>
        <v>0</v>
      </c>
      <c r="S59">
        <f>'Pretax Fuel Prices'!R59+'Fuel Taxes'!S59</f>
        <v>0</v>
      </c>
      <c r="T59">
        <f>'Pretax Fuel Prices'!S59+'Fuel Taxes'!T59</f>
        <v>0</v>
      </c>
      <c r="U59">
        <f>'Pretax Fuel Prices'!T59+'Fuel Taxes'!U59</f>
        <v>0</v>
      </c>
      <c r="V59">
        <f>'Pretax Fuel Prices'!U59+'Fuel Taxes'!V59</f>
        <v>0</v>
      </c>
      <c r="W59">
        <f>'Pretax Fuel Prices'!V59+'Fuel Taxes'!W59</f>
        <v>0</v>
      </c>
      <c r="X59">
        <f>'Pretax Fuel Prices'!W59+'Fuel Taxes'!X59</f>
        <v>0</v>
      </c>
      <c r="Y59">
        <f>'Pretax Fuel Prices'!X59+'Fuel Taxes'!Y59</f>
        <v>0</v>
      </c>
      <c r="Z59">
        <f>'Pretax Fuel Prices'!Y59+'Fuel Taxes'!Z59</f>
        <v>0</v>
      </c>
      <c r="AA59">
        <f>'Pretax Fuel Prices'!Z59+'Fuel Taxes'!AA59</f>
        <v>0</v>
      </c>
      <c r="AB59">
        <f>'Pretax Fuel Prices'!AA59+'Fuel Taxes'!AB59</f>
        <v>0</v>
      </c>
      <c r="AC59">
        <f>'Pretax Fuel Prices'!AB59+'Fuel Taxes'!AC59</f>
        <v>0</v>
      </c>
      <c r="AD59">
        <f>'Pretax Fuel Prices'!AC59+'Fuel Taxes'!AD59</f>
        <v>0</v>
      </c>
      <c r="AE59">
        <f>'Pretax Fuel Prices'!AD59+'Fuel Taxes'!AE59</f>
        <v>0</v>
      </c>
      <c r="AF59">
        <f>'Pretax Fuel Prices'!AE59+'Fuel Taxes'!AF59</f>
        <v>0</v>
      </c>
      <c r="AG59">
        <f>'Pretax Fuel Prices'!AF59+'Fuel Taxes'!AG59</f>
        <v>0</v>
      </c>
      <c r="AH59">
        <f>'Pretax Fuel Prices'!AG59+'Fuel Taxes'!AH59</f>
        <v>0</v>
      </c>
      <c r="AI59">
        <f>'Pretax Fuel Prices'!AH59+'Fuel Taxes'!AI59</f>
        <v>0</v>
      </c>
    </row>
    <row r="60" spans="1:51" x14ac:dyDescent="0.35">
      <c r="A60" t="s">
        <v>58</v>
      </c>
      <c r="B60">
        <f>'Pretax Fuel Prices'!B60+'Fuel Taxes'!B60</f>
        <v>1.940434135390926E-5</v>
      </c>
      <c r="C60">
        <f>'Pretax Fuel Prices'!B60+'Fuel Taxes'!C60</f>
        <v>1.940434135390926E-5</v>
      </c>
      <c r="D60">
        <f>'Pretax Fuel Prices'!C60+'Fuel Taxes'!D60</f>
        <v>1.9633985949700972E-5</v>
      </c>
      <c r="E60">
        <f>'Pretax Fuel Prices'!D60+'Fuel Taxes'!E60</f>
        <v>1.9712187903601418E-5</v>
      </c>
      <c r="F60">
        <f>'Pretax Fuel Prices'!E60+'Fuel Taxes'!F60</f>
        <v>1.9163019914263732E-5</v>
      </c>
      <c r="G60">
        <f>'Pretax Fuel Prices'!F60+'Fuel Taxes'!G60</f>
        <v>1.8687721180080839E-5</v>
      </c>
      <c r="H60">
        <f>'Pretax Fuel Prices'!G60+'Fuel Taxes'!H60</f>
        <v>1.8262369359773689E-5</v>
      </c>
      <c r="I60">
        <f>'Pretax Fuel Prices'!H60+'Fuel Taxes'!I60</f>
        <v>1.7848189847804123E-5</v>
      </c>
      <c r="J60">
        <f>'Pretax Fuel Prices'!I60+'Fuel Taxes'!J60</f>
        <v>1.7469797670670356E-5</v>
      </c>
      <c r="K60">
        <f>'Pretax Fuel Prices'!J60+'Fuel Taxes'!K60</f>
        <v>1.7328077848623158E-5</v>
      </c>
      <c r="L60">
        <f>'Pretax Fuel Prices'!K60+'Fuel Taxes'!L60</f>
        <v>1.7556248780261209E-5</v>
      </c>
      <c r="M60">
        <f>'Pretax Fuel Prices'!L60+'Fuel Taxes'!M60</f>
        <v>1.7718567315874269E-5</v>
      </c>
      <c r="N60">
        <f>'Pretax Fuel Prices'!M60+'Fuel Taxes'!N60</f>
        <v>1.7982926057414127E-5</v>
      </c>
      <c r="O60">
        <f>'Pretax Fuel Prices'!N60+'Fuel Taxes'!O60</f>
        <v>1.8143098214851883E-5</v>
      </c>
      <c r="P60">
        <f>'Pretax Fuel Prices'!O60+'Fuel Taxes'!P60</f>
        <v>1.8316020405231109E-5</v>
      </c>
      <c r="Q60">
        <f>'Pretax Fuel Prices'!P60+'Fuel Taxes'!Q60</f>
        <v>1.8526960397874148E-5</v>
      </c>
      <c r="R60">
        <f>'Pretax Fuel Prices'!Q60+'Fuel Taxes'!R60</f>
        <v>1.8761001810466699E-5</v>
      </c>
      <c r="S60">
        <f>'Pretax Fuel Prices'!R60+'Fuel Taxes'!S60</f>
        <v>1.903057829013693E-5</v>
      </c>
      <c r="T60">
        <f>'Pretax Fuel Prices'!S60+'Fuel Taxes'!T60</f>
        <v>1.9229673260420736E-5</v>
      </c>
      <c r="U60">
        <f>'Pretax Fuel Prices'!T60+'Fuel Taxes'!U60</f>
        <v>1.9450880550819111E-5</v>
      </c>
      <c r="V60">
        <f>'Pretax Fuel Prices'!U60+'Fuel Taxes'!V60</f>
        <v>1.9644925961477955E-5</v>
      </c>
      <c r="W60">
        <f>'Pretax Fuel Prices'!V60+'Fuel Taxes'!W60</f>
        <v>1.9808822221694908E-5</v>
      </c>
      <c r="X60">
        <f>'Pretax Fuel Prices'!W60+'Fuel Taxes'!X60</f>
        <v>2.0013134930109095E-5</v>
      </c>
      <c r="Y60">
        <f>'Pretax Fuel Prices'!X60+'Fuel Taxes'!Y60</f>
        <v>2.0140927469676943E-5</v>
      </c>
      <c r="Z60">
        <f>'Pretax Fuel Prices'!Y60+'Fuel Taxes'!Z60</f>
        <v>2.0229208571629801E-5</v>
      </c>
      <c r="AA60">
        <f>'Pretax Fuel Prices'!Z60+'Fuel Taxes'!AA60</f>
        <v>2.0477577741767703E-5</v>
      </c>
      <c r="AB60">
        <f>'Pretax Fuel Prices'!AA60+'Fuel Taxes'!AB60</f>
        <v>2.0740695115714495E-5</v>
      </c>
      <c r="AC60">
        <f>'Pretax Fuel Prices'!AB60+'Fuel Taxes'!AC60</f>
        <v>2.0912460027753364E-5</v>
      </c>
      <c r="AD60">
        <f>'Pretax Fuel Prices'!AC60+'Fuel Taxes'!AD60</f>
        <v>2.1164721479175878E-5</v>
      </c>
      <c r="AE60">
        <f>'Pretax Fuel Prices'!AD60+'Fuel Taxes'!AE60</f>
        <v>2.1378564653268571E-5</v>
      </c>
      <c r="AF60">
        <f>'Pretax Fuel Prices'!AE60+'Fuel Taxes'!AF60</f>
        <v>1.2256466868252211E-5</v>
      </c>
      <c r="AG60">
        <f>'Pretax Fuel Prices'!AF60+'Fuel Taxes'!AG60</f>
        <v>0</v>
      </c>
      <c r="AH60">
        <f>'Pretax Fuel Prices'!AG60+'Fuel Taxes'!AH60</f>
        <v>0</v>
      </c>
      <c r="AI60">
        <f>'Pretax Fuel Prices'!AH60+'Fuel Taxes'!AI60</f>
        <v>0</v>
      </c>
    </row>
    <row r="61" spans="1:51" s="4" customFormat="1" x14ac:dyDescent="0.35">
      <c r="A61" s="6" t="s">
        <v>35</v>
      </c>
    </row>
    <row r="62" spans="1:51" x14ac:dyDescent="0.35">
      <c r="A62" t="s">
        <v>29</v>
      </c>
      <c r="B62" s="1">
        <v>2021</v>
      </c>
      <c r="C62" s="1">
        <v>2022</v>
      </c>
      <c r="D62" s="1">
        <v>2023</v>
      </c>
      <c r="E62" s="1">
        <v>2024</v>
      </c>
      <c r="F62" s="1">
        <v>2025</v>
      </c>
      <c r="G62" s="1">
        <v>2026</v>
      </c>
      <c r="H62" s="1">
        <v>2027</v>
      </c>
      <c r="I62" s="1">
        <v>2028</v>
      </c>
      <c r="J62" s="1">
        <v>2029</v>
      </c>
      <c r="K62" s="1">
        <v>2030</v>
      </c>
      <c r="L62" s="1">
        <v>2031</v>
      </c>
      <c r="M62" s="1">
        <v>2032</v>
      </c>
      <c r="N62" s="1">
        <v>2033</v>
      </c>
      <c r="O62" s="1">
        <v>2034</v>
      </c>
      <c r="P62" s="1">
        <v>2035</v>
      </c>
      <c r="Q62" s="1">
        <v>2036</v>
      </c>
      <c r="R62" s="1">
        <v>2037</v>
      </c>
      <c r="S62" s="1">
        <v>2038</v>
      </c>
      <c r="T62" s="1">
        <v>2039</v>
      </c>
      <c r="U62" s="1">
        <v>2040</v>
      </c>
      <c r="V62" s="1">
        <v>2041</v>
      </c>
      <c r="W62" s="1">
        <v>2042</v>
      </c>
      <c r="X62" s="1">
        <v>2043</v>
      </c>
      <c r="Y62" s="1">
        <v>2044</v>
      </c>
      <c r="Z62" s="1">
        <v>2045</v>
      </c>
      <c r="AA62" s="1">
        <v>2046</v>
      </c>
      <c r="AB62" s="1">
        <v>2047</v>
      </c>
      <c r="AC62" s="1">
        <v>2048</v>
      </c>
      <c r="AD62" s="1">
        <v>2049</v>
      </c>
      <c r="AE62" s="1">
        <v>2050</v>
      </c>
      <c r="AF62" s="1">
        <v>2051</v>
      </c>
      <c r="AG62" s="1">
        <v>2052</v>
      </c>
      <c r="AH62" s="1">
        <v>2053</v>
      </c>
      <c r="AI62" s="1">
        <v>2054</v>
      </c>
      <c r="AJ62" s="1">
        <v>2055</v>
      </c>
      <c r="AK62" s="1">
        <v>2056</v>
      </c>
      <c r="AL62" s="1">
        <v>2057</v>
      </c>
      <c r="AM62" s="1">
        <v>2058</v>
      </c>
      <c r="AN62" s="1">
        <v>2059</v>
      </c>
      <c r="AO62" s="1">
        <v>2060</v>
      </c>
      <c r="AP62" s="1">
        <v>2061</v>
      </c>
      <c r="AQ62" s="1">
        <v>2062</v>
      </c>
      <c r="AR62" s="1">
        <v>2063</v>
      </c>
      <c r="AS62" s="1">
        <v>2064</v>
      </c>
      <c r="AT62" s="1">
        <v>2065</v>
      </c>
      <c r="AU62" s="1">
        <v>2066</v>
      </c>
      <c r="AV62" s="1">
        <v>2067</v>
      </c>
      <c r="AW62" s="1">
        <v>2068</v>
      </c>
      <c r="AX62" s="1">
        <v>2069</v>
      </c>
      <c r="AY62" s="1">
        <v>2070</v>
      </c>
    </row>
    <row r="63" spans="1:51" x14ac:dyDescent="0.35">
      <c r="A63" t="s">
        <v>51</v>
      </c>
      <c r="B63">
        <f>'Pretax Fuel Prices'!B63+'Fuel Taxes'!B63</f>
        <v>2.4978810347681078E-5</v>
      </c>
      <c r="C63">
        <f>'Pretax Fuel Prices'!C63+'Fuel Taxes'!C63</f>
        <v>2.4978810347681078E-5</v>
      </c>
      <c r="D63">
        <f>'Pretax Fuel Prices'!D63+'Fuel Taxes'!D63</f>
        <v>2.5287954040102873E-5</v>
      </c>
      <c r="E63">
        <f>'Pretax Fuel Prices'!E63+'Fuel Taxes'!E63</f>
        <v>2.4978810347681078E-5</v>
      </c>
      <c r="F63">
        <f>'Pretax Fuel Prices'!F63+'Fuel Taxes'!F63</f>
        <v>3.0821626134453017E-5</v>
      </c>
      <c r="G63">
        <f>'Pretax Fuel Prices'!G63+'Fuel Taxes'!G63</f>
        <v>2.9296517251838822E-5</v>
      </c>
      <c r="H63">
        <f>'Pretax Fuel Prices'!H63+'Fuel Taxes'!H63</f>
        <v>2.9492308257039298E-5</v>
      </c>
      <c r="I63">
        <f>'Pretax Fuel Prices'!I63+'Fuel Taxes'!I63</f>
        <v>2.9389260359565361E-5</v>
      </c>
      <c r="J63">
        <f>'Pretax Fuel Prices'!J63+'Fuel Taxes'!J63</f>
        <v>2.8709144236237407E-5</v>
      </c>
      <c r="K63">
        <f>'Pretax Fuel Prices'!K63+'Fuel Taxes'!K63</f>
        <v>2.8791582554216562E-5</v>
      </c>
      <c r="L63">
        <f>'Pretax Fuel Prices'!L63+'Fuel Taxes'!L63</f>
        <v>2.9018287928659206E-5</v>
      </c>
      <c r="M63">
        <f>'Pretax Fuel Prices'!M63+'Fuel Taxes'!M63</f>
        <v>2.9296517251838822E-5</v>
      </c>
      <c r="N63">
        <f>'Pretax Fuel Prices'!N63+'Fuel Taxes'!N63</f>
        <v>2.958505136476583E-5</v>
      </c>
      <c r="O63">
        <f>'Pretax Fuel Prices'!O63+'Fuel Taxes'!O63</f>
        <v>3.0976197980663909E-5</v>
      </c>
      <c r="P63">
        <f>'Pretax Fuel Prices'!P63+'Fuel Taxes'!P63</f>
        <v>3.1316256042327886E-5</v>
      </c>
      <c r="Q63">
        <f>'Pretax Fuel Prices'!Q63+'Fuel Taxes'!Q63</f>
        <v>3.1481132678286183E-5</v>
      </c>
      <c r="R63">
        <f>'Pretax Fuel Prices'!R63+'Fuel Taxes'!R63</f>
        <v>3.216124880161413E-5</v>
      </c>
      <c r="S63">
        <f>'Pretax Fuel Prices'!S63+'Fuel Taxes'!S63</f>
        <v>3.266618349923639E-5</v>
      </c>
      <c r="T63">
        <f>'Pretax Fuel Prices'!T63+'Fuel Taxes'!T63</f>
        <v>3.3779100791954857E-5</v>
      </c>
      <c r="U63">
        <f>'Pretax Fuel Prices'!U63+'Fuel Taxes'!U63</f>
        <v>3.3655443314986129E-5</v>
      </c>
      <c r="V63">
        <f>'Pretax Fuel Prices'!V63+'Fuel Taxes'!V63</f>
        <v>3.3830624740691816E-5</v>
      </c>
      <c r="W63">
        <f>'Pretax Fuel Prices'!W63+'Fuel Taxes'!W63</f>
        <v>3.4799274976946788E-5</v>
      </c>
      <c r="X63">
        <f>'Pretax Fuel Prices'!X63+'Fuel Taxes'!X63</f>
        <v>3.5829753951686109E-5</v>
      </c>
      <c r="Y63">
        <f>'Pretax Fuel Prices'!Y63+'Fuel Taxes'!Y63</f>
        <v>3.6695356290467128E-5</v>
      </c>
      <c r="Z63">
        <f>'Pretax Fuel Prices'!Z63+'Fuel Taxes'!Z63</f>
        <v>3.7014804772636317E-5</v>
      </c>
      <c r="AA63">
        <f>'Pretax Fuel Prices'!AA63+'Fuel Taxes'!AA63</f>
        <v>3.8622351973229646E-5</v>
      </c>
      <c r="AB63">
        <f>'Pretax Fuel Prices'!AB63+'Fuel Taxes'!AB63</f>
        <v>3.9096372301609741E-5</v>
      </c>
      <c r="AC63">
        <f>'Pretax Fuel Prices'!AC63+'Fuel Taxes'!AC63</f>
        <v>3.951886868125287E-5</v>
      </c>
      <c r="AD63">
        <f>'Pretax Fuel Prices'!AD63+'Fuel Taxes'!AD63</f>
        <v>3.9951669850643382E-5</v>
      </c>
      <c r="AE63">
        <f>'Pretax Fuel Prices'!AE63+'Fuel Taxes'!AE63</f>
        <v>4.0456604548265642E-5</v>
      </c>
      <c r="AF63">
        <f>'Pretax Fuel Prices'!AF63+'Fuel Taxes'!AF63</f>
        <v>0</v>
      </c>
      <c r="AG63">
        <f>'Pretax Fuel Prices'!AG63+'Fuel Taxes'!AG63</f>
        <v>0</v>
      </c>
      <c r="AH63">
        <f>'Pretax Fuel Prices'!AH63+'Fuel Taxes'!AH63</f>
        <v>0</v>
      </c>
      <c r="AI63">
        <f>'Pretax Fuel Prices'!AI63+'Fuel Taxes'!AI63</f>
        <v>0</v>
      </c>
    </row>
    <row r="64" spans="1:51" x14ac:dyDescent="0.35">
      <c r="A64" t="s">
        <v>52</v>
      </c>
      <c r="B64">
        <f>'Pretax Fuel Prices'!B64+'Fuel Taxes'!B64</f>
        <v>0</v>
      </c>
      <c r="C64">
        <f>'Pretax Fuel Prices'!C64+'Fuel Taxes'!C64</f>
        <v>0</v>
      </c>
      <c r="D64">
        <f>'Pretax Fuel Prices'!D64+'Fuel Taxes'!D64</f>
        <v>0</v>
      </c>
      <c r="E64">
        <f>'Pretax Fuel Prices'!E64+'Fuel Taxes'!E64</f>
        <v>0</v>
      </c>
      <c r="F64">
        <f>'Pretax Fuel Prices'!F64+'Fuel Taxes'!F64</f>
        <v>0</v>
      </c>
      <c r="G64">
        <f>'Pretax Fuel Prices'!G64+'Fuel Taxes'!G64</f>
        <v>0</v>
      </c>
      <c r="H64">
        <f>'Pretax Fuel Prices'!H64+'Fuel Taxes'!H64</f>
        <v>0</v>
      </c>
      <c r="I64">
        <f>'Pretax Fuel Prices'!I64+'Fuel Taxes'!I64</f>
        <v>0</v>
      </c>
      <c r="J64">
        <f>'Pretax Fuel Prices'!J64+'Fuel Taxes'!J64</f>
        <v>0</v>
      </c>
      <c r="K64">
        <f>'Pretax Fuel Prices'!K64+'Fuel Taxes'!K64</f>
        <v>0</v>
      </c>
      <c r="L64">
        <f>'Pretax Fuel Prices'!L64+'Fuel Taxes'!L64</f>
        <v>0</v>
      </c>
      <c r="M64">
        <f>'Pretax Fuel Prices'!M64+'Fuel Taxes'!M64</f>
        <v>0</v>
      </c>
      <c r="N64">
        <f>'Pretax Fuel Prices'!N64+'Fuel Taxes'!N64</f>
        <v>0</v>
      </c>
      <c r="O64">
        <f>'Pretax Fuel Prices'!O64+'Fuel Taxes'!O64</f>
        <v>0</v>
      </c>
      <c r="P64">
        <f>'Pretax Fuel Prices'!P64+'Fuel Taxes'!P64</f>
        <v>0</v>
      </c>
      <c r="Q64">
        <f>'Pretax Fuel Prices'!Q64+'Fuel Taxes'!Q64</f>
        <v>0</v>
      </c>
      <c r="R64">
        <f>'Pretax Fuel Prices'!R64+'Fuel Taxes'!R64</f>
        <v>0</v>
      </c>
      <c r="S64">
        <f>'Pretax Fuel Prices'!S64+'Fuel Taxes'!S64</f>
        <v>0</v>
      </c>
      <c r="T64">
        <f>'Pretax Fuel Prices'!T64+'Fuel Taxes'!T64</f>
        <v>0</v>
      </c>
      <c r="U64">
        <f>'Pretax Fuel Prices'!U64+'Fuel Taxes'!U64</f>
        <v>0</v>
      </c>
      <c r="V64">
        <f>'Pretax Fuel Prices'!V64+'Fuel Taxes'!V64</f>
        <v>0</v>
      </c>
      <c r="W64">
        <f>'Pretax Fuel Prices'!W64+'Fuel Taxes'!W64</f>
        <v>0</v>
      </c>
      <c r="X64">
        <f>'Pretax Fuel Prices'!X64+'Fuel Taxes'!X64</f>
        <v>0</v>
      </c>
      <c r="Y64">
        <f>'Pretax Fuel Prices'!Y64+'Fuel Taxes'!Y64</f>
        <v>0</v>
      </c>
      <c r="Z64">
        <f>'Pretax Fuel Prices'!Z64+'Fuel Taxes'!Z64</f>
        <v>0</v>
      </c>
      <c r="AA64">
        <f>'Pretax Fuel Prices'!AA64+'Fuel Taxes'!AA64</f>
        <v>0</v>
      </c>
      <c r="AB64">
        <f>'Pretax Fuel Prices'!AB64+'Fuel Taxes'!AB64</f>
        <v>0</v>
      </c>
      <c r="AC64">
        <f>'Pretax Fuel Prices'!AC64+'Fuel Taxes'!AC64</f>
        <v>0</v>
      </c>
      <c r="AD64">
        <f>'Pretax Fuel Prices'!AD64+'Fuel Taxes'!AD64</f>
        <v>0</v>
      </c>
      <c r="AE64">
        <f>'Pretax Fuel Prices'!AE64+'Fuel Taxes'!AE64</f>
        <v>0</v>
      </c>
      <c r="AF64">
        <f>'Pretax Fuel Prices'!AF64+'Fuel Taxes'!AF64</f>
        <v>0</v>
      </c>
      <c r="AG64">
        <f>'Pretax Fuel Prices'!AG64+'Fuel Taxes'!AG64</f>
        <v>0</v>
      </c>
      <c r="AH64">
        <f>'Pretax Fuel Prices'!AH64+'Fuel Taxes'!AH64</f>
        <v>0</v>
      </c>
      <c r="AI64">
        <f>'Pretax Fuel Prices'!AI64+'Fuel Taxes'!AI64</f>
        <v>0</v>
      </c>
    </row>
    <row r="65" spans="1:51" x14ac:dyDescent="0.35">
      <c r="A65" t="s">
        <v>53</v>
      </c>
      <c r="B65">
        <f>'Pretax Fuel Prices'!B65+'Fuel Taxes'!B65</f>
        <v>0</v>
      </c>
      <c r="C65">
        <f>'Pretax Fuel Prices'!C65+'Fuel Taxes'!C65</f>
        <v>0</v>
      </c>
      <c r="D65">
        <f>'Pretax Fuel Prices'!D65+'Fuel Taxes'!D65</f>
        <v>0</v>
      </c>
      <c r="E65">
        <f>'Pretax Fuel Prices'!E65+'Fuel Taxes'!E65</f>
        <v>0</v>
      </c>
      <c r="F65">
        <f>'Pretax Fuel Prices'!F65+'Fuel Taxes'!F65</f>
        <v>0</v>
      </c>
      <c r="G65">
        <f>'Pretax Fuel Prices'!G65+'Fuel Taxes'!G65</f>
        <v>0</v>
      </c>
      <c r="H65">
        <f>'Pretax Fuel Prices'!H65+'Fuel Taxes'!H65</f>
        <v>0</v>
      </c>
      <c r="I65">
        <f>'Pretax Fuel Prices'!I65+'Fuel Taxes'!I65</f>
        <v>0</v>
      </c>
      <c r="J65">
        <f>'Pretax Fuel Prices'!J65+'Fuel Taxes'!J65</f>
        <v>0</v>
      </c>
      <c r="K65">
        <f>'Pretax Fuel Prices'!K65+'Fuel Taxes'!K65</f>
        <v>0</v>
      </c>
      <c r="L65">
        <f>'Pretax Fuel Prices'!L65+'Fuel Taxes'!L65</f>
        <v>0</v>
      </c>
      <c r="M65">
        <f>'Pretax Fuel Prices'!M65+'Fuel Taxes'!M65</f>
        <v>0</v>
      </c>
      <c r="N65">
        <f>'Pretax Fuel Prices'!N65+'Fuel Taxes'!N65</f>
        <v>0</v>
      </c>
      <c r="O65">
        <f>'Pretax Fuel Prices'!O65+'Fuel Taxes'!O65</f>
        <v>0</v>
      </c>
      <c r="P65">
        <f>'Pretax Fuel Prices'!P65+'Fuel Taxes'!P65</f>
        <v>0</v>
      </c>
      <c r="Q65">
        <f>'Pretax Fuel Prices'!Q65+'Fuel Taxes'!Q65</f>
        <v>0</v>
      </c>
      <c r="R65">
        <f>'Pretax Fuel Prices'!R65+'Fuel Taxes'!R65</f>
        <v>0</v>
      </c>
      <c r="S65">
        <f>'Pretax Fuel Prices'!S65+'Fuel Taxes'!S65</f>
        <v>0</v>
      </c>
      <c r="T65">
        <f>'Pretax Fuel Prices'!T65+'Fuel Taxes'!T65</f>
        <v>0</v>
      </c>
      <c r="U65">
        <f>'Pretax Fuel Prices'!U65+'Fuel Taxes'!U65</f>
        <v>0</v>
      </c>
      <c r="V65">
        <f>'Pretax Fuel Prices'!V65+'Fuel Taxes'!V65</f>
        <v>0</v>
      </c>
      <c r="W65">
        <f>'Pretax Fuel Prices'!W65+'Fuel Taxes'!W65</f>
        <v>0</v>
      </c>
      <c r="X65">
        <f>'Pretax Fuel Prices'!X65+'Fuel Taxes'!X65</f>
        <v>0</v>
      </c>
      <c r="Y65">
        <f>'Pretax Fuel Prices'!Y65+'Fuel Taxes'!Y65</f>
        <v>0</v>
      </c>
      <c r="Z65">
        <f>'Pretax Fuel Prices'!Z65+'Fuel Taxes'!Z65</f>
        <v>0</v>
      </c>
      <c r="AA65">
        <f>'Pretax Fuel Prices'!AA65+'Fuel Taxes'!AA65</f>
        <v>0</v>
      </c>
      <c r="AB65">
        <f>'Pretax Fuel Prices'!AB65+'Fuel Taxes'!AB65</f>
        <v>0</v>
      </c>
      <c r="AC65">
        <f>'Pretax Fuel Prices'!AC65+'Fuel Taxes'!AC65</f>
        <v>0</v>
      </c>
      <c r="AD65">
        <f>'Pretax Fuel Prices'!AD65+'Fuel Taxes'!AD65</f>
        <v>0</v>
      </c>
      <c r="AE65">
        <f>'Pretax Fuel Prices'!AE65+'Fuel Taxes'!AE65</f>
        <v>0</v>
      </c>
      <c r="AF65">
        <f>'Pretax Fuel Prices'!AF65+'Fuel Taxes'!AF65</f>
        <v>0</v>
      </c>
      <c r="AG65">
        <f>'Pretax Fuel Prices'!AG65+'Fuel Taxes'!AG65</f>
        <v>0</v>
      </c>
      <c r="AH65">
        <f>'Pretax Fuel Prices'!AH65+'Fuel Taxes'!AH65</f>
        <v>0</v>
      </c>
      <c r="AI65">
        <f>'Pretax Fuel Prices'!AI65+'Fuel Taxes'!AI65</f>
        <v>0</v>
      </c>
    </row>
    <row r="66" spans="1:51" x14ac:dyDescent="0.35">
      <c r="A66" t="s">
        <v>54</v>
      </c>
      <c r="B66">
        <f>'Pretax Fuel Prices'!B66+'Fuel Taxes'!B66</f>
        <v>0</v>
      </c>
      <c r="C66">
        <f>'Pretax Fuel Prices'!C66+'Fuel Taxes'!C66</f>
        <v>0</v>
      </c>
      <c r="D66">
        <f>'Pretax Fuel Prices'!D66+'Fuel Taxes'!D66</f>
        <v>0</v>
      </c>
      <c r="E66">
        <f>'Pretax Fuel Prices'!E66+'Fuel Taxes'!E66</f>
        <v>0</v>
      </c>
      <c r="F66">
        <f>'Pretax Fuel Prices'!F66+'Fuel Taxes'!F66</f>
        <v>0</v>
      </c>
      <c r="G66">
        <f>'Pretax Fuel Prices'!G66+'Fuel Taxes'!G66</f>
        <v>0</v>
      </c>
      <c r="H66">
        <f>'Pretax Fuel Prices'!H66+'Fuel Taxes'!H66</f>
        <v>0</v>
      </c>
      <c r="I66">
        <f>'Pretax Fuel Prices'!I66+'Fuel Taxes'!I66</f>
        <v>0</v>
      </c>
      <c r="J66">
        <f>'Pretax Fuel Prices'!J66+'Fuel Taxes'!J66</f>
        <v>0</v>
      </c>
      <c r="K66">
        <f>'Pretax Fuel Prices'!K66+'Fuel Taxes'!K66</f>
        <v>0</v>
      </c>
      <c r="L66">
        <f>'Pretax Fuel Prices'!L66+'Fuel Taxes'!L66</f>
        <v>0</v>
      </c>
      <c r="M66">
        <f>'Pretax Fuel Prices'!M66+'Fuel Taxes'!M66</f>
        <v>0</v>
      </c>
      <c r="N66">
        <f>'Pretax Fuel Prices'!N66+'Fuel Taxes'!N66</f>
        <v>0</v>
      </c>
      <c r="O66">
        <f>'Pretax Fuel Prices'!O66+'Fuel Taxes'!O66</f>
        <v>0</v>
      </c>
      <c r="P66">
        <f>'Pretax Fuel Prices'!P66+'Fuel Taxes'!P66</f>
        <v>0</v>
      </c>
      <c r="Q66">
        <f>'Pretax Fuel Prices'!Q66+'Fuel Taxes'!Q66</f>
        <v>0</v>
      </c>
      <c r="R66">
        <f>'Pretax Fuel Prices'!R66+'Fuel Taxes'!R66</f>
        <v>0</v>
      </c>
      <c r="S66">
        <f>'Pretax Fuel Prices'!S66+'Fuel Taxes'!S66</f>
        <v>0</v>
      </c>
      <c r="T66">
        <f>'Pretax Fuel Prices'!T66+'Fuel Taxes'!T66</f>
        <v>0</v>
      </c>
      <c r="U66">
        <f>'Pretax Fuel Prices'!U66+'Fuel Taxes'!U66</f>
        <v>0</v>
      </c>
      <c r="V66">
        <f>'Pretax Fuel Prices'!V66+'Fuel Taxes'!V66</f>
        <v>0</v>
      </c>
      <c r="W66">
        <f>'Pretax Fuel Prices'!W66+'Fuel Taxes'!W66</f>
        <v>0</v>
      </c>
      <c r="X66">
        <f>'Pretax Fuel Prices'!X66+'Fuel Taxes'!X66</f>
        <v>0</v>
      </c>
      <c r="Y66">
        <f>'Pretax Fuel Prices'!Y66+'Fuel Taxes'!Y66</f>
        <v>0</v>
      </c>
      <c r="Z66">
        <f>'Pretax Fuel Prices'!Z66+'Fuel Taxes'!Z66</f>
        <v>0</v>
      </c>
      <c r="AA66">
        <f>'Pretax Fuel Prices'!AA66+'Fuel Taxes'!AA66</f>
        <v>0</v>
      </c>
      <c r="AB66">
        <f>'Pretax Fuel Prices'!AB66+'Fuel Taxes'!AB66</f>
        <v>0</v>
      </c>
      <c r="AC66">
        <f>'Pretax Fuel Prices'!AC66+'Fuel Taxes'!AC66</f>
        <v>0</v>
      </c>
      <c r="AD66">
        <f>'Pretax Fuel Prices'!AD66+'Fuel Taxes'!AD66</f>
        <v>0</v>
      </c>
      <c r="AE66">
        <f>'Pretax Fuel Prices'!AE66+'Fuel Taxes'!AE66</f>
        <v>0</v>
      </c>
      <c r="AF66">
        <f>'Pretax Fuel Prices'!AF66+'Fuel Taxes'!AF66</f>
        <v>0</v>
      </c>
      <c r="AG66">
        <f>'Pretax Fuel Prices'!AG66+'Fuel Taxes'!AG66</f>
        <v>0</v>
      </c>
      <c r="AH66">
        <f>'Pretax Fuel Prices'!AH66+'Fuel Taxes'!AH66</f>
        <v>0</v>
      </c>
      <c r="AI66">
        <f>'Pretax Fuel Prices'!AI66+'Fuel Taxes'!AI66</f>
        <v>0</v>
      </c>
    </row>
    <row r="67" spans="1:51" x14ac:dyDescent="0.35">
      <c r="A67" t="s">
        <v>55</v>
      </c>
      <c r="B67">
        <f>'Pretax Fuel Prices'!B67+'Fuel Taxes'!B67</f>
        <v>0</v>
      </c>
      <c r="C67">
        <f>'Pretax Fuel Prices'!C67+'Fuel Taxes'!C67</f>
        <v>0</v>
      </c>
      <c r="D67">
        <f>'Pretax Fuel Prices'!D67+'Fuel Taxes'!D67</f>
        <v>0</v>
      </c>
      <c r="E67">
        <f>'Pretax Fuel Prices'!E67+'Fuel Taxes'!E67</f>
        <v>0</v>
      </c>
      <c r="F67">
        <f>'Pretax Fuel Prices'!F67+'Fuel Taxes'!F67</f>
        <v>0</v>
      </c>
      <c r="G67">
        <f>'Pretax Fuel Prices'!G67+'Fuel Taxes'!G67</f>
        <v>0</v>
      </c>
      <c r="H67">
        <f>'Pretax Fuel Prices'!H67+'Fuel Taxes'!H67</f>
        <v>0</v>
      </c>
      <c r="I67">
        <f>'Pretax Fuel Prices'!I67+'Fuel Taxes'!I67</f>
        <v>0</v>
      </c>
      <c r="J67">
        <f>'Pretax Fuel Prices'!J67+'Fuel Taxes'!J67</f>
        <v>0</v>
      </c>
      <c r="K67">
        <f>'Pretax Fuel Prices'!K67+'Fuel Taxes'!K67</f>
        <v>0</v>
      </c>
      <c r="L67">
        <f>'Pretax Fuel Prices'!L67+'Fuel Taxes'!L67</f>
        <v>0</v>
      </c>
      <c r="M67">
        <f>'Pretax Fuel Prices'!M67+'Fuel Taxes'!M67</f>
        <v>0</v>
      </c>
      <c r="N67">
        <f>'Pretax Fuel Prices'!N67+'Fuel Taxes'!N67</f>
        <v>0</v>
      </c>
      <c r="O67">
        <f>'Pretax Fuel Prices'!O67+'Fuel Taxes'!O67</f>
        <v>0</v>
      </c>
      <c r="P67">
        <f>'Pretax Fuel Prices'!P67+'Fuel Taxes'!P67</f>
        <v>0</v>
      </c>
      <c r="Q67">
        <f>'Pretax Fuel Prices'!Q67+'Fuel Taxes'!Q67</f>
        <v>0</v>
      </c>
      <c r="R67">
        <f>'Pretax Fuel Prices'!R67+'Fuel Taxes'!R67</f>
        <v>0</v>
      </c>
      <c r="S67">
        <f>'Pretax Fuel Prices'!S67+'Fuel Taxes'!S67</f>
        <v>0</v>
      </c>
      <c r="T67">
        <f>'Pretax Fuel Prices'!T67+'Fuel Taxes'!T67</f>
        <v>0</v>
      </c>
      <c r="U67">
        <f>'Pretax Fuel Prices'!U67+'Fuel Taxes'!U67</f>
        <v>0</v>
      </c>
      <c r="V67">
        <f>'Pretax Fuel Prices'!V67+'Fuel Taxes'!V67</f>
        <v>0</v>
      </c>
      <c r="W67">
        <f>'Pretax Fuel Prices'!W67+'Fuel Taxes'!W67</f>
        <v>0</v>
      </c>
      <c r="X67">
        <f>'Pretax Fuel Prices'!X67+'Fuel Taxes'!X67</f>
        <v>0</v>
      </c>
      <c r="Y67">
        <f>'Pretax Fuel Prices'!Y67+'Fuel Taxes'!Y67</f>
        <v>0</v>
      </c>
      <c r="Z67">
        <f>'Pretax Fuel Prices'!Z67+'Fuel Taxes'!Z67</f>
        <v>0</v>
      </c>
      <c r="AA67">
        <f>'Pretax Fuel Prices'!AA67+'Fuel Taxes'!AA67</f>
        <v>0</v>
      </c>
      <c r="AB67">
        <f>'Pretax Fuel Prices'!AB67+'Fuel Taxes'!AB67</f>
        <v>0</v>
      </c>
      <c r="AC67">
        <f>'Pretax Fuel Prices'!AC67+'Fuel Taxes'!AC67</f>
        <v>0</v>
      </c>
      <c r="AD67">
        <f>'Pretax Fuel Prices'!AD67+'Fuel Taxes'!AD67</f>
        <v>0</v>
      </c>
      <c r="AE67">
        <f>'Pretax Fuel Prices'!AE67+'Fuel Taxes'!AE67</f>
        <v>0</v>
      </c>
      <c r="AF67">
        <f>'Pretax Fuel Prices'!AF67+'Fuel Taxes'!AF67</f>
        <v>0</v>
      </c>
      <c r="AG67">
        <f>'Pretax Fuel Prices'!AG67+'Fuel Taxes'!AG67</f>
        <v>0</v>
      </c>
      <c r="AH67">
        <f>'Pretax Fuel Prices'!AH67+'Fuel Taxes'!AH67</f>
        <v>0</v>
      </c>
      <c r="AI67">
        <f>'Pretax Fuel Prices'!AI67+'Fuel Taxes'!AI67</f>
        <v>0</v>
      </c>
    </row>
    <row r="68" spans="1:51" x14ac:dyDescent="0.35">
      <c r="A68" t="s">
        <v>56</v>
      </c>
      <c r="B68">
        <f>'Pretax Fuel Prices'!B68+'Fuel Taxes'!B68</f>
        <v>0</v>
      </c>
      <c r="C68">
        <f>'Pretax Fuel Prices'!C68+'Fuel Taxes'!C68</f>
        <v>0</v>
      </c>
      <c r="D68">
        <f>'Pretax Fuel Prices'!D68+'Fuel Taxes'!D68</f>
        <v>0</v>
      </c>
      <c r="E68">
        <f>'Pretax Fuel Prices'!E68+'Fuel Taxes'!E68</f>
        <v>0</v>
      </c>
      <c r="F68">
        <f>'Pretax Fuel Prices'!F68+'Fuel Taxes'!F68</f>
        <v>0</v>
      </c>
      <c r="G68">
        <f>'Pretax Fuel Prices'!G68+'Fuel Taxes'!G68</f>
        <v>0</v>
      </c>
      <c r="H68">
        <f>'Pretax Fuel Prices'!H68+'Fuel Taxes'!H68</f>
        <v>0</v>
      </c>
      <c r="I68">
        <f>'Pretax Fuel Prices'!I68+'Fuel Taxes'!I68</f>
        <v>0</v>
      </c>
      <c r="J68">
        <f>'Pretax Fuel Prices'!J68+'Fuel Taxes'!J68</f>
        <v>0</v>
      </c>
      <c r="K68">
        <f>'Pretax Fuel Prices'!K68+'Fuel Taxes'!K68</f>
        <v>0</v>
      </c>
      <c r="L68">
        <f>'Pretax Fuel Prices'!L68+'Fuel Taxes'!L68</f>
        <v>0</v>
      </c>
      <c r="M68">
        <f>'Pretax Fuel Prices'!M68+'Fuel Taxes'!M68</f>
        <v>0</v>
      </c>
      <c r="N68">
        <f>'Pretax Fuel Prices'!N68+'Fuel Taxes'!N68</f>
        <v>0</v>
      </c>
      <c r="O68">
        <f>'Pretax Fuel Prices'!O68+'Fuel Taxes'!O68</f>
        <v>0</v>
      </c>
      <c r="P68">
        <f>'Pretax Fuel Prices'!P68+'Fuel Taxes'!P68</f>
        <v>0</v>
      </c>
      <c r="Q68">
        <f>'Pretax Fuel Prices'!Q68+'Fuel Taxes'!Q68</f>
        <v>0</v>
      </c>
      <c r="R68">
        <f>'Pretax Fuel Prices'!R68+'Fuel Taxes'!R68</f>
        <v>0</v>
      </c>
      <c r="S68">
        <f>'Pretax Fuel Prices'!S68+'Fuel Taxes'!S68</f>
        <v>0</v>
      </c>
      <c r="T68">
        <f>'Pretax Fuel Prices'!T68+'Fuel Taxes'!T68</f>
        <v>0</v>
      </c>
      <c r="U68">
        <f>'Pretax Fuel Prices'!U68+'Fuel Taxes'!U68</f>
        <v>0</v>
      </c>
      <c r="V68">
        <f>'Pretax Fuel Prices'!V68+'Fuel Taxes'!V68</f>
        <v>0</v>
      </c>
      <c r="W68">
        <f>'Pretax Fuel Prices'!W68+'Fuel Taxes'!W68</f>
        <v>0</v>
      </c>
      <c r="X68">
        <f>'Pretax Fuel Prices'!X68+'Fuel Taxes'!X68</f>
        <v>0</v>
      </c>
      <c r="Y68">
        <f>'Pretax Fuel Prices'!Y68+'Fuel Taxes'!Y68</f>
        <v>0</v>
      </c>
      <c r="Z68">
        <f>'Pretax Fuel Prices'!Z68+'Fuel Taxes'!Z68</f>
        <v>0</v>
      </c>
      <c r="AA68">
        <f>'Pretax Fuel Prices'!AA68+'Fuel Taxes'!AA68</f>
        <v>0</v>
      </c>
      <c r="AB68">
        <f>'Pretax Fuel Prices'!AB68+'Fuel Taxes'!AB68</f>
        <v>0</v>
      </c>
      <c r="AC68">
        <f>'Pretax Fuel Prices'!AC68+'Fuel Taxes'!AC68</f>
        <v>0</v>
      </c>
      <c r="AD68">
        <f>'Pretax Fuel Prices'!AD68+'Fuel Taxes'!AD68</f>
        <v>0</v>
      </c>
      <c r="AE68">
        <f>'Pretax Fuel Prices'!AE68+'Fuel Taxes'!AE68</f>
        <v>0</v>
      </c>
      <c r="AF68">
        <f>'Pretax Fuel Prices'!AF68+'Fuel Taxes'!AF68</f>
        <v>0</v>
      </c>
      <c r="AG68">
        <f>'Pretax Fuel Prices'!AG68+'Fuel Taxes'!AG68</f>
        <v>0</v>
      </c>
      <c r="AH68">
        <f>'Pretax Fuel Prices'!AH68+'Fuel Taxes'!AH68</f>
        <v>0</v>
      </c>
      <c r="AI68">
        <f>'Pretax Fuel Prices'!AI68+'Fuel Taxes'!AI68</f>
        <v>0</v>
      </c>
    </row>
    <row r="69" spans="1:51" x14ac:dyDescent="0.35">
      <c r="A69" t="s">
        <v>57</v>
      </c>
      <c r="B69">
        <f>'Pretax Fuel Prices'!B69+'Fuel Taxes'!B69</f>
        <v>0</v>
      </c>
      <c r="C69">
        <f>'Pretax Fuel Prices'!C69+'Fuel Taxes'!C69</f>
        <v>0</v>
      </c>
      <c r="D69">
        <f>'Pretax Fuel Prices'!D69+'Fuel Taxes'!D69</f>
        <v>0</v>
      </c>
      <c r="E69">
        <f>'Pretax Fuel Prices'!E69+'Fuel Taxes'!E69</f>
        <v>0</v>
      </c>
      <c r="F69">
        <f>'Pretax Fuel Prices'!F69+'Fuel Taxes'!F69</f>
        <v>0</v>
      </c>
      <c r="G69">
        <f>'Pretax Fuel Prices'!G69+'Fuel Taxes'!G69</f>
        <v>0</v>
      </c>
      <c r="H69">
        <f>'Pretax Fuel Prices'!H69+'Fuel Taxes'!H69</f>
        <v>0</v>
      </c>
      <c r="I69">
        <f>'Pretax Fuel Prices'!I69+'Fuel Taxes'!I69</f>
        <v>0</v>
      </c>
      <c r="J69">
        <f>'Pretax Fuel Prices'!J69+'Fuel Taxes'!J69</f>
        <v>0</v>
      </c>
      <c r="K69">
        <f>'Pretax Fuel Prices'!K69+'Fuel Taxes'!K69</f>
        <v>0</v>
      </c>
      <c r="L69">
        <f>'Pretax Fuel Prices'!L69+'Fuel Taxes'!L69</f>
        <v>0</v>
      </c>
      <c r="M69">
        <f>'Pretax Fuel Prices'!M69+'Fuel Taxes'!M69</f>
        <v>0</v>
      </c>
      <c r="N69">
        <f>'Pretax Fuel Prices'!N69+'Fuel Taxes'!N69</f>
        <v>0</v>
      </c>
      <c r="O69">
        <f>'Pretax Fuel Prices'!O69+'Fuel Taxes'!O69</f>
        <v>0</v>
      </c>
      <c r="P69">
        <f>'Pretax Fuel Prices'!P69+'Fuel Taxes'!P69</f>
        <v>0</v>
      </c>
      <c r="Q69">
        <f>'Pretax Fuel Prices'!Q69+'Fuel Taxes'!Q69</f>
        <v>0</v>
      </c>
      <c r="R69">
        <f>'Pretax Fuel Prices'!R69+'Fuel Taxes'!R69</f>
        <v>0</v>
      </c>
      <c r="S69">
        <f>'Pretax Fuel Prices'!S69+'Fuel Taxes'!S69</f>
        <v>0</v>
      </c>
      <c r="T69">
        <f>'Pretax Fuel Prices'!T69+'Fuel Taxes'!T69</f>
        <v>0</v>
      </c>
      <c r="U69">
        <f>'Pretax Fuel Prices'!U69+'Fuel Taxes'!U69</f>
        <v>0</v>
      </c>
      <c r="V69">
        <f>'Pretax Fuel Prices'!V69+'Fuel Taxes'!V69</f>
        <v>0</v>
      </c>
      <c r="W69">
        <f>'Pretax Fuel Prices'!W69+'Fuel Taxes'!W69</f>
        <v>0</v>
      </c>
      <c r="X69">
        <f>'Pretax Fuel Prices'!X69+'Fuel Taxes'!X69</f>
        <v>0</v>
      </c>
      <c r="Y69">
        <f>'Pretax Fuel Prices'!Y69+'Fuel Taxes'!Y69</f>
        <v>0</v>
      </c>
      <c r="Z69">
        <f>'Pretax Fuel Prices'!Z69+'Fuel Taxes'!Z69</f>
        <v>0</v>
      </c>
      <c r="AA69">
        <f>'Pretax Fuel Prices'!AA69+'Fuel Taxes'!AA69</f>
        <v>0</v>
      </c>
      <c r="AB69">
        <f>'Pretax Fuel Prices'!AB69+'Fuel Taxes'!AB69</f>
        <v>0</v>
      </c>
      <c r="AC69">
        <f>'Pretax Fuel Prices'!AC69+'Fuel Taxes'!AC69</f>
        <v>0</v>
      </c>
      <c r="AD69">
        <f>'Pretax Fuel Prices'!AD69+'Fuel Taxes'!AD69</f>
        <v>0</v>
      </c>
      <c r="AE69">
        <f>'Pretax Fuel Prices'!AE69+'Fuel Taxes'!AE69</f>
        <v>0</v>
      </c>
      <c r="AF69">
        <f>'Pretax Fuel Prices'!AF69+'Fuel Taxes'!AF69</f>
        <v>0</v>
      </c>
      <c r="AG69">
        <f>'Pretax Fuel Prices'!AG69+'Fuel Taxes'!AG69</f>
        <v>0</v>
      </c>
      <c r="AH69">
        <f>'Pretax Fuel Prices'!AH69+'Fuel Taxes'!AH69</f>
        <v>0</v>
      </c>
      <c r="AI69">
        <f>'Pretax Fuel Prices'!AI69+'Fuel Taxes'!AI69</f>
        <v>0</v>
      </c>
    </row>
    <row r="70" spans="1:51" x14ac:dyDescent="0.35">
      <c r="A70" t="s">
        <v>58</v>
      </c>
      <c r="B70">
        <f>'Pretax Fuel Prices'!B70+'Fuel Taxes'!B70</f>
        <v>0</v>
      </c>
      <c r="C70">
        <f>'Pretax Fuel Prices'!C70+'Fuel Taxes'!C70</f>
        <v>0</v>
      </c>
      <c r="D70">
        <f>'Pretax Fuel Prices'!D70+'Fuel Taxes'!D70</f>
        <v>0</v>
      </c>
      <c r="E70">
        <f>'Pretax Fuel Prices'!E70+'Fuel Taxes'!E70</f>
        <v>0</v>
      </c>
      <c r="F70">
        <f>'Pretax Fuel Prices'!F70+'Fuel Taxes'!F70</f>
        <v>0</v>
      </c>
      <c r="G70">
        <f>'Pretax Fuel Prices'!G70+'Fuel Taxes'!G70</f>
        <v>0</v>
      </c>
      <c r="H70">
        <f>'Pretax Fuel Prices'!H70+'Fuel Taxes'!H70</f>
        <v>0</v>
      </c>
      <c r="I70">
        <f>'Pretax Fuel Prices'!I70+'Fuel Taxes'!I70</f>
        <v>0</v>
      </c>
      <c r="J70">
        <f>'Pretax Fuel Prices'!J70+'Fuel Taxes'!J70</f>
        <v>0</v>
      </c>
      <c r="K70">
        <f>'Pretax Fuel Prices'!K70+'Fuel Taxes'!K70</f>
        <v>0</v>
      </c>
      <c r="L70">
        <f>'Pretax Fuel Prices'!L70+'Fuel Taxes'!L70</f>
        <v>0</v>
      </c>
      <c r="M70">
        <f>'Pretax Fuel Prices'!M70+'Fuel Taxes'!M70</f>
        <v>0</v>
      </c>
      <c r="N70">
        <f>'Pretax Fuel Prices'!N70+'Fuel Taxes'!N70</f>
        <v>0</v>
      </c>
      <c r="O70">
        <f>'Pretax Fuel Prices'!O70+'Fuel Taxes'!O70</f>
        <v>0</v>
      </c>
      <c r="P70">
        <f>'Pretax Fuel Prices'!P70+'Fuel Taxes'!P70</f>
        <v>0</v>
      </c>
      <c r="Q70">
        <f>'Pretax Fuel Prices'!Q70+'Fuel Taxes'!Q70</f>
        <v>0</v>
      </c>
      <c r="R70">
        <f>'Pretax Fuel Prices'!R70+'Fuel Taxes'!R70</f>
        <v>0</v>
      </c>
      <c r="S70">
        <f>'Pretax Fuel Prices'!S70+'Fuel Taxes'!S70</f>
        <v>0</v>
      </c>
      <c r="T70">
        <f>'Pretax Fuel Prices'!T70+'Fuel Taxes'!T70</f>
        <v>0</v>
      </c>
      <c r="U70">
        <f>'Pretax Fuel Prices'!U70+'Fuel Taxes'!U70</f>
        <v>0</v>
      </c>
      <c r="V70">
        <f>'Pretax Fuel Prices'!V70+'Fuel Taxes'!V70</f>
        <v>0</v>
      </c>
      <c r="W70">
        <f>'Pretax Fuel Prices'!W70+'Fuel Taxes'!W70</f>
        <v>0</v>
      </c>
      <c r="X70">
        <f>'Pretax Fuel Prices'!X70+'Fuel Taxes'!X70</f>
        <v>0</v>
      </c>
      <c r="Y70">
        <f>'Pretax Fuel Prices'!Y70+'Fuel Taxes'!Y70</f>
        <v>0</v>
      </c>
      <c r="Z70">
        <f>'Pretax Fuel Prices'!Z70+'Fuel Taxes'!Z70</f>
        <v>0</v>
      </c>
      <c r="AA70">
        <f>'Pretax Fuel Prices'!AA70+'Fuel Taxes'!AA70</f>
        <v>0</v>
      </c>
      <c r="AB70">
        <f>'Pretax Fuel Prices'!AB70+'Fuel Taxes'!AB70</f>
        <v>0</v>
      </c>
      <c r="AC70">
        <f>'Pretax Fuel Prices'!AC70+'Fuel Taxes'!AC70</f>
        <v>0</v>
      </c>
      <c r="AD70">
        <f>'Pretax Fuel Prices'!AD70+'Fuel Taxes'!AD70</f>
        <v>0</v>
      </c>
      <c r="AE70">
        <f>'Pretax Fuel Prices'!AE70+'Fuel Taxes'!AE70</f>
        <v>0</v>
      </c>
      <c r="AF70">
        <f>'Pretax Fuel Prices'!AF70+'Fuel Taxes'!AF70</f>
        <v>0</v>
      </c>
      <c r="AG70">
        <f>'Pretax Fuel Prices'!AG70+'Fuel Taxes'!AG70</f>
        <v>0</v>
      </c>
      <c r="AH70">
        <f>'Pretax Fuel Prices'!AH70+'Fuel Taxes'!AH70</f>
        <v>0</v>
      </c>
      <c r="AI70">
        <f>'Pretax Fuel Prices'!AI70+'Fuel Taxes'!AI70</f>
        <v>0</v>
      </c>
    </row>
    <row r="71" spans="1:51" s="4" customFormat="1" x14ac:dyDescent="0.35">
      <c r="A71" s="6" t="s">
        <v>36</v>
      </c>
    </row>
    <row r="72" spans="1:51" x14ac:dyDescent="0.35">
      <c r="A72" t="s">
        <v>29</v>
      </c>
      <c r="B72" s="1">
        <v>2021</v>
      </c>
      <c r="C72" s="1">
        <v>2022</v>
      </c>
      <c r="D72" s="1">
        <v>2023</v>
      </c>
      <c r="E72" s="1">
        <v>2024</v>
      </c>
      <c r="F72" s="1">
        <v>2025</v>
      </c>
      <c r="G72" s="1">
        <v>2026</v>
      </c>
      <c r="H72" s="1">
        <v>2027</v>
      </c>
      <c r="I72" s="1">
        <v>2028</v>
      </c>
      <c r="J72" s="1">
        <v>2029</v>
      </c>
      <c r="K72" s="1">
        <v>2030</v>
      </c>
      <c r="L72" s="1">
        <v>2031</v>
      </c>
      <c r="M72" s="1">
        <v>2032</v>
      </c>
      <c r="N72" s="1">
        <v>2033</v>
      </c>
      <c r="O72" s="1">
        <v>2034</v>
      </c>
      <c r="P72" s="1">
        <v>2035</v>
      </c>
      <c r="Q72" s="1">
        <v>2036</v>
      </c>
      <c r="R72" s="1">
        <v>2037</v>
      </c>
      <c r="S72" s="1">
        <v>2038</v>
      </c>
      <c r="T72" s="1">
        <v>2039</v>
      </c>
      <c r="U72" s="1">
        <v>2040</v>
      </c>
      <c r="V72" s="1">
        <v>2041</v>
      </c>
      <c r="W72" s="1">
        <v>2042</v>
      </c>
      <c r="X72" s="1">
        <v>2043</v>
      </c>
      <c r="Y72" s="1">
        <v>2044</v>
      </c>
      <c r="Z72" s="1">
        <v>2045</v>
      </c>
      <c r="AA72" s="1">
        <v>2046</v>
      </c>
      <c r="AB72" s="1">
        <v>2047</v>
      </c>
      <c r="AC72" s="1">
        <v>2048</v>
      </c>
      <c r="AD72" s="1">
        <v>2049</v>
      </c>
      <c r="AE72" s="1">
        <v>2050</v>
      </c>
      <c r="AF72" s="1">
        <v>2051</v>
      </c>
      <c r="AG72" s="1">
        <v>2052</v>
      </c>
      <c r="AH72" s="1">
        <v>2053</v>
      </c>
      <c r="AI72" s="1">
        <v>2054</v>
      </c>
      <c r="AJ72" s="1">
        <v>2055</v>
      </c>
      <c r="AK72" s="1">
        <v>2056</v>
      </c>
      <c r="AL72" s="1">
        <v>2057</v>
      </c>
      <c r="AM72" s="1">
        <v>2058</v>
      </c>
      <c r="AN72" s="1">
        <v>2059</v>
      </c>
      <c r="AO72" s="1">
        <v>2060</v>
      </c>
      <c r="AP72" s="1">
        <v>2061</v>
      </c>
      <c r="AQ72" s="1">
        <v>2062</v>
      </c>
      <c r="AR72" s="1">
        <v>2063</v>
      </c>
      <c r="AS72" s="1">
        <v>2064</v>
      </c>
      <c r="AT72" s="1">
        <v>2065</v>
      </c>
      <c r="AU72" s="1">
        <v>2066</v>
      </c>
      <c r="AV72" s="1">
        <v>2067</v>
      </c>
      <c r="AW72" s="1">
        <v>2068</v>
      </c>
      <c r="AX72" s="1">
        <v>2069</v>
      </c>
      <c r="AY72" s="1">
        <v>2070</v>
      </c>
    </row>
    <row r="73" spans="1:51" x14ac:dyDescent="0.35">
      <c r="A73" t="s">
        <v>51</v>
      </c>
      <c r="B73">
        <f>'Pretax Fuel Prices'!B73+'Fuel Taxes'!B73</f>
        <v>1.9404341353909256E-5</v>
      </c>
      <c r="C73">
        <f>'Pretax Fuel Prices'!C73+'Fuel Taxes'!C73</f>
        <v>1.9404341353909256E-5</v>
      </c>
      <c r="D73">
        <f>'Pretax Fuel Prices'!D73+'Fuel Taxes'!D73</f>
        <v>2.0104498000699797E-5</v>
      </c>
      <c r="E73">
        <f>'Pretax Fuel Prices'!E73+'Fuel Taxes'!E73</f>
        <v>1.9404341353909256E-5</v>
      </c>
      <c r="F73">
        <f>'Pretax Fuel Prices'!F73+'Fuel Taxes'!F73</f>
        <v>1.9513456675487005E-5</v>
      </c>
      <c r="G73">
        <f>'Pretax Fuel Prices'!G73+'Fuel Taxes'!G73</f>
        <v>1.9813523809825808E-5</v>
      </c>
      <c r="H73">
        <f>'Pretax Fuel Prices'!H73+'Fuel Taxes'!H73</f>
        <v>1.993173207486837E-5</v>
      </c>
      <c r="I73">
        <f>'Pretax Fuel Prices'!I73+'Fuel Taxes'!I73</f>
        <v>2.028635686999604E-5</v>
      </c>
      <c r="J73">
        <f>'Pretax Fuel Prices'!J73+'Fuel Taxes'!J73</f>
        <v>2.0413658078503416E-5</v>
      </c>
      <c r="K73">
        <f>'Pretax Fuel Prices'!K73+'Fuel Taxes'!K73</f>
        <v>2.0786468760560716E-5</v>
      </c>
      <c r="L73">
        <f>'Pretax Fuel Prices'!L73+'Fuel Taxes'!L73</f>
        <v>2.0831933477884777E-5</v>
      </c>
      <c r="M73">
        <f>'Pretax Fuel Prices'!M73+'Fuel Taxes'!M73</f>
        <v>2.1159279442618017E-5</v>
      </c>
      <c r="N73">
        <f>'Pretax Fuel Prices'!N73+'Fuel Taxes'!N73</f>
        <v>2.1350231255379074E-5</v>
      </c>
      <c r="O73">
        <f>'Pretax Fuel Prices'!O73+'Fuel Taxes'!O73</f>
        <v>2.1795785485154869E-5</v>
      </c>
      <c r="P73">
        <f>'Pretax Fuel Prices'!P73+'Fuel Taxes'!P73</f>
        <v>2.2041294958704801E-5</v>
      </c>
      <c r="Q73">
        <f>'Pretax Fuel Prices'!Q73+'Fuel Taxes'!Q73</f>
        <v>2.2204967941071424E-5</v>
      </c>
      <c r="R73">
        <f>'Pretax Fuel Prices'!R73+'Fuel Taxes'!R73</f>
        <v>2.2559592736199094E-5</v>
      </c>
      <c r="S73">
        <f>'Pretax Fuel Prices'!S73+'Fuel Taxes'!S73</f>
        <v>2.2741451605495341E-5</v>
      </c>
      <c r="T73">
        <f>'Pretax Fuel Prices'!T73+'Fuel Taxes'!T73</f>
        <v>2.2941496361721212E-5</v>
      </c>
      <c r="U73">
        <f>'Pretax Fuel Prices'!U73+'Fuel Taxes'!U73</f>
        <v>2.3177912891806326E-5</v>
      </c>
      <c r="V73">
        <f>'Pretax Fuel Prices'!V73+'Fuel Taxes'!V73</f>
        <v>2.3332492930708132E-5</v>
      </c>
      <c r="W73">
        <f>'Pretax Fuel Prices'!W73+'Fuel Taxes'!W73</f>
        <v>2.3532537686934E-5</v>
      </c>
      <c r="X73">
        <f>'Pretax Fuel Prices'!X73+'Fuel Taxes'!X73</f>
        <v>2.373258244315987E-5</v>
      </c>
      <c r="Y73">
        <f>'Pretax Fuel Prices'!Y73+'Fuel Taxes'!Y73</f>
        <v>2.373258244315987E-5</v>
      </c>
      <c r="Z73">
        <f>'Pretax Fuel Prices'!Z73+'Fuel Taxes'!Z73</f>
        <v>2.388716248206168E-5</v>
      </c>
      <c r="AA73">
        <f>'Pretax Fuel Prices'!AA73+'Fuel Taxes'!AA73</f>
        <v>2.4241787277189353E-5</v>
      </c>
      <c r="AB73">
        <f>'Pretax Fuel Prices'!AB73+'Fuel Taxes'!AB73</f>
        <v>2.438727437262635E-5</v>
      </c>
      <c r="AC73">
        <f>'Pretax Fuel Prices'!AC73+'Fuel Taxes'!AC73</f>
        <v>2.457822618538741E-5</v>
      </c>
      <c r="AD73">
        <f>'Pretax Fuel Prices'!AD73+'Fuel Taxes'!AD73</f>
        <v>2.491466509358546E-5</v>
      </c>
      <c r="AE73">
        <f>'Pretax Fuel Prices'!AE73+'Fuel Taxes'!AE73</f>
        <v>2.492375803705027E-5</v>
      </c>
      <c r="AF73">
        <f>'Pretax Fuel Prices'!AF73+'Fuel Taxes'!AF73</f>
        <v>0</v>
      </c>
      <c r="AG73">
        <f>'Pretax Fuel Prices'!AG73+'Fuel Taxes'!AG73</f>
        <v>0</v>
      </c>
      <c r="AH73">
        <f>'Pretax Fuel Prices'!AH73+'Fuel Taxes'!AH73</f>
        <v>0</v>
      </c>
      <c r="AI73">
        <f>'Pretax Fuel Prices'!AI73+'Fuel Taxes'!AI73</f>
        <v>0</v>
      </c>
    </row>
    <row r="74" spans="1:51" x14ac:dyDescent="0.35">
      <c r="A74" t="s">
        <v>52</v>
      </c>
      <c r="B74">
        <f>'Pretax Fuel Prices'!B74+'Fuel Taxes'!B74</f>
        <v>1.9404341353909256E-5</v>
      </c>
      <c r="C74">
        <f>'Pretax Fuel Prices'!C74+'Fuel Taxes'!C74</f>
        <v>1.9404341353909256E-5</v>
      </c>
      <c r="D74">
        <f>'Pretax Fuel Prices'!D74+'Fuel Taxes'!D74</f>
        <v>1.994158027454776E-5</v>
      </c>
      <c r="E74">
        <f>'Pretax Fuel Prices'!E74+'Fuel Taxes'!E74</f>
        <v>1.9404341353909256E-5</v>
      </c>
      <c r="F74">
        <f>'Pretax Fuel Prices'!F74+'Fuel Taxes'!F74</f>
        <v>1.873051626700673E-5</v>
      </c>
      <c r="G74">
        <f>'Pretax Fuel Prices'!G74+'Fuel Taxes'!G74</f>
        <v>1.8211488835203431E-5</v>
      </c>
      <c r="H74">
        <f>'Pretax Fuel Prices'!H74+'Fuel Taxes'!H74</f>
        <v>1.7601403959224117E-5</v>
      </c>
      <c r="I74">
        <f>'Pretax Fuel Prices'!I74+'Fuel Taxes'!I74</f>
        <v>1.7228068438102453E-5</v>
      </c>
      <c r="J74">
        <f>'Pretax Fuel Prices'!J74+'Fuel Taxes'!J74</f>
        <v>1.6627089306540738E-5</v>
      </c>
      <c r="K74">
        <f>'Pretax Fuel Prices'!K74+'Fuel Taxes'!K74</f>
        <v>1.6827415683727975E-5</v>
      </c>
      <c r="L74">
        <f>'Pretax Fuel Prices'!L74+'Fuel Taxes'!L74</f>
        <v>1.6781886961639965E-5</v>
      </c>
      <c r="M74">
        <f>'Pretax Fuel Prices'!M74+'Fuel Taxes'!M74</f>
        <v>1.7055059294168017E-5</v>
      </c>
      <c r="N74">
        <f>'Pretax Fuel Prices'!N74+'Fuel Taxes'!N74</f>
        <v>1.7228068438102453E-5</v>
      </c>
      <c r="O74">
        <f>'Pretax Fuel Prices'!O74+'Fuel Taxes'!O74</f>
        <v>1.7319125882278466E-5</v>
      </c>
      <c r="P74">
        <f>'Pretax Fuel Prices'!P74+'Fuel Taxes'!P74</f>
        <v>1.7483029281795296E-5</v>
      </c>
      <c r="Q74">
        <f>'Pretax Fuel Prices'!Q74+'Fuel Taxes'!Q74</f>
        <v>1.7619615448059325E-5</v>
      </c>
      <c r="R74">
        <f>'Pretax Fuel Prices'!R74+'Fuel Taxes'!R74</f>
        <v>1.7956527991510585E-5</v>
      </c>
      <c r="S74">
        <f>'Pretax Fuel Prices'!S74+'Fuel Taxes'!S74</f>
        <v>1.818417160195063E-5</v>
      </c>
      <c r="T74">
        <f>'Pretax Fuel Prices'!T74+'Fuel Taxes'!T74</f>
        <v>1.8402709467973073E-5</v>
      </c>
      <c r="U74">
        <f>'Pretax Fuel Prices'!U74+'Fuel Taxes'!U74</f>
        <v>1.8657670311665919E-5</v>
      </c>
      <c r="V74">
        <f>'Pretax Fuel Prices'!V74+'Fuel Taxes'!V74</f>
        <v>1.8785150733512342E-5</v>
      </c>
      <c r="W74">
        <f>'Pretax Fuel Prices'!W74+'Fuel Taxes'!W74</f>
        <v>1.8876208177688358E-5</v>
      </c>
      <c r="X74">
        <f>'Pretax Fuel Prices'!X74+'Fuel Taxes'!X74</f>
        <v>1.9094746043710801E-5</v>
      </c>
      <c r="Y74">
        <f>'Pretax Fuel Prices'!Y74+'Fuel Taxes'!Y74</f>
        <v>1.9149380510216413E-5</v>
      </c>
      <c r="Z74">
        <f>'Pretax Fuel Prices'!Z74+'Fuel Taxes'!Z74</f>
        <v>1.9331495398568449E-5</v>
      </c>
      <c r="AA74">
        <f>'Pretax Fuel Prices'!AA74+'Fuel Taxes'!AA74</f>
        <v>1.9677513686437315E-5</v>
      </c>
      <c r="AB74">
        <f>'Pretax Fuel Prices'!AB74+'Fuel Taxes'!AB74</f>
        <v>1.981409985270134E-5</v>
      </c>
      <c r="AC74">
        <f>'Pretax Fuel Prices'!AC74+'Fuel Taxes'!AC74</f>
        <v>1.998710899663577E-5</v>
      </c>
      <c r="AD74">
        <f>'Pretax Fuel Prices'!AD74+'Fuel Taxes'!AD74</f>
        <v>2.0351338773339841E-5</v>
      </c>
      <c r="AE74">
        <f>'Pretax Fuel Prices'!AE74+'Fuel Taxes'!AE74</f>
        <v>2.0433290473098254E-5</v>
      </c>
      <c r="AF74">
        <f>'Pretax Fuel Prices'!AF74+'Fuel Taxes'!AF74</f>
        <v>0</v>
      </c>
      <c r="AG74">
        <f>'Pretax Fuel Prices'!AG74+'Fuel Taxes'!AG74</f>
        <v>0</v>
      </c>
      <c r="AH74">
        <f>'Pretax Fuel Prices'!AH74+'Fuel Taxes'!AH74</f>
        <v>0</v>
      </c>
      <c r="AI74">
        <f>'Pretax Fuel Prices'!AI74+'Fuel Taxes'!AI74</f>
        <v>0</v>
      </c>
    </row>
    <row r="75" spans="1:51" x14ac:dyDescent="0.35">
      <c r="A75" t="s">
        <v>53</v>
      </c>
      <c r="B75">
        <f>'Pretax Fuel Prices'!B75+'Fuel Taxes'!B75</f>
        <v>1.3092837153855811E-5</v>
      </c>
      <c r="C75">
        <f>'Pretax Fuel Prices'!C75+'Fuel Taxes'!C75</f>
        <v>1.3092837153855811E-5</v>
      </c>
      <c r="D75">
        <f>'Pretax Fuel Prices'!D75+'Fuel Taxes'!D75</f>
        <v>1.3455502596145714E-5</v>
      </c>
      <c r="E75">
        <f>'Pretax Fuel Prices'!E75+'Fuel Taxes'!E75</f>
        <v>1.3092837153855811E-5</v>
      </c>
      <c r="F75">
        <f>'Pretax Fuel Prices'!F75+'Fuel Taxes'!F75</f>
        <v>1.3295683926662029E-5</v>
      </c>
      <c r="G75">
        <f>'Pretax Fuel Prices'!G75+'Fuel Taxes'!G75</f>
        <v>1.3652202497048713E-5</v>
      </c>
      <c r="H75">
        <f>'Pretax Fuel Prices'!H75+'Fuel Taxes'!H75</f>
        <v>1.3898077373177458E-5</v>
      </c>
      <c r="I75">
        <f>'Pretax Fuel Prices'!I75+'Fuel Taxes'!I75</f>
        <v>1.4303770918789894E-5</v>
      </c>
      <c r="J75">
        <f>'Pretax Fuel Prices'!J75+'Fuel Taxes'!J75</f>
        <v>1.4574233282531516E-5</v>
      </c>
      <c r="K75">
        <f>'Pretax Fuel Prices'!K75+'Fuel Taxes'!K75</f>
        <v>1.4795520671047389E-5</v>
      </c>
      <c r="L75">
        <f>'Pretax Fuel Prices'!L75+'Fuel Taxes'!L75</f>
        <v>1.4813961286757045E-5</v>
      </c>
      <c r="M75">
        <f>'Pretax Fuel Prices'!M75+'Fuel Taxes'!M75</f>
        <v>1.5022954931466481E-5</v>
      </c>
      <c r="N75">
        <f>'Pretax Fuel Prices'!N75+'Fuel Taxes'!N75</f>
        <v>1.5145892369530856E-5</v>
      </c>
      <c r="O75">
        <f>'Pretax Fuel Prices'!O75+'Fuel Taxes'!O75</f>
        <v>1.5219654832369481E-5</v>
      </c>
      <c r="P75">
        <f>'Pretax Fuel Prices'!P75+'Fuel Taxes'!P75</f>
        <v>1.5385620373756383E-5</v>
      </c>
      <c r="Q75">
        <f>'Pretax Fuel Prices'!Q75+'Fuel Taxes'!Q75</f>
        <v>1.5490117196111101E-5</v>
      </c>
      <c r="R75">
        <f>'Pretax Fuel Prices'!R75+'Fuel Taxes'!R75</f>
        <v>1.5686817097014099E-5</v>
      </c>
      <c r="S75">
        <f>'Pretax Fuel Prices'!S75+'Fuel Taxes'!S75</f>
        <v>1.582204827888491E-5</v>
      </c>
      <c r="T75">
        <f>'Pretax Fuel Prices'!T75+'Fuel Taxes'!T75</f>
        <v>1.5951132588852502E-5</v>
      </c>
      <c r="U75">
        <f>'Pretax Fuel Prices'!U75+'Fuel Taxes'!U75</f>
        <v>1.6098657514529752E-5</v>
      </c>
      <c r="V75">
        <f>'Pretax Fuel Prices'!V75+'Fuel Taxes'!V75</f>
        <v>1.619700746498125E-5</v>
      </c>
      <c r="W75">
        <f>'Pretax Fuel Prices'!W75+'Fuel Taxes'!W75</f>
        <v>1.6326091774948842E-5</v>
      </c>
      <c r="X75">
        <f>'Pretax Fuel Prices'!X75+'Fuel Taxes'!X75</f>
        <v>1.6461322956819657E-5</v>
      </c>
      <c r="Y75">
        <f>'Pretax Fuel Prices'!Y75+'Fuel Taxes'!Y75</f>
        <v>1.6467469828722873E-5</v>
      </c>
      <c r="Z75">
        <f>'Pretax Fuel Prices'!Z75+'Fuel Taxes'!Z75</f>
        <v>1.6584260394884026E-5</v>
      </c>
      <c r="AA75">
        <f>'Pretax Fuel Prices'!AA75+'Fuel Taxes'!AA75</f>
        <v>1.681169465530312E-5</v>
      </c>
      <c r="AB75">
        <f>'Pretax Fuel Prices'!AB75+'Fuel Taxes'!AB75</f>
        <v>1.6910044605754619E-5</v>
      </c>
      <c r="AC75">
        <f>'Pretax Fuel Prices'!AC75+'Fuel Taxes'!AC75</f>
        <v>1.7032982043818988E-5</v>
      </c>
      <c r="AD75">
        <f>'Pretax Fuel Prices'!AD75+'Fuel Taxes'!AD75</f>
        <v>1.7248122560431647E-5</v>
      </c>
      <c r="AE75">
        <f>'Pretax Fuel Prices'!AE75+'Fuel Taxes'!AE75</f>
        <v>1.727885691994774E-5</v>
      </c>
      <c r="AF75">
        <f>'Pretax Fuel Prices'!AF75+'Fuel Taxes'!AF75</f>
        <v>0</v>
      </c>
      <c r="AG75">
        <f>'Pretax Fuel Prices'!AG75+'Fuel Taxes'!AG75</f>
        <v>0</v>
      </c>
      <c r="AH75">
        <f>'Pretax Fuel Prices'!AH75+'Fuel Taxes'!AH75</f>
        <v>0</v>
      </c>
      <c r="AI75">
        <f>'Pretax Fuel Prices'!AI75+'Fuel Taxes'!AI75</f>
        <v>0</v>
      </c>
    </row>
    <row r="76" spans="1:51" x14ac:dyDescent="0.35">
      <c r="A76" t="s">
        <v>54</v>
      </c>
      <c r="B76">
        <f>'Pretax Fuel Prices'!B76+'Fuel Taxes'!B76</f>
        <v>1.9404341353909256E-5</v>
      </c>
      <c r="C76">
        <f>'Pretax Fuel Prices'!C76+'Fuel Taxes'!C76</f>
        <v>1.9404341353909256E-5</v>
      </c>
      <c r="D76">
        <f>'Pretax Fuel Prices'!D76+'Fuel Taxes'!D76</f>
        <v>1.9939821307080746E-5</v>
      </c>
      <c r="E76">
        <f>'Pretax Fuel Prices'!E76+'Fuel Taxes'!E76</f>
        <v>1.9404341353909256E-5</v>
      </c>
      <c r="F76">
        <f>'Pretax Fuel Prices'!F76+'Fuel Taxes'!F76</f>
        <v>1.8814405812279654E-5</v>
      </c>
      <c r="G76">
        <f>'Pretax Fuel Prices'!G76+'Fuel Taxes'!G76</f>
        <v>1.8442292624482514E-5</v>
      </c>
      <c r="H76">
        <f>'Pretax Fuel Prices'!H76+'Fuel Taxes'!H76</f>
        <v>1.791588860272071E-5</v>
      </c>
      <c r="I76">
        <f>'Pretax Fuel Prices'!I76+'Fuel Taxes'!I76</f>
        <v>1.7616382866201059E-5</v>
      </c>
      <c r="J76">
        <f>'Pretax Fuel Prices'!J76+'Fuel Taxes'!J76</f>
        <v>1.7099054775848947E-5</v>
      </c>
      <c r="K76">
        <f>'Pretax Fuel Prices'!K76+'Fuel Taxes'!K76</f>
        <v>1.7443940169417025E-5</v>
      </c>
      <c r="L76">
        <f>'Pretax Fuel Prices'!L76+'Fuel Taxes'!L76</f>
        <v>1.7480243895055772E-5</v>
      </c>
      <c r="M76">
        <f>'Pretax Fuel Prices'!M76+'Fuel Taxes'!M76</f>
        <v>1.7788825562985107E-5</v>
      </c>
      <c r="N76">
        <f>'Pretax Fuel Prices'!N76+'Fuel Taxes'!N76</f>
        <v>1.7979420122588514E-5</v>
      </c>
      <c r="O76">
        <f>'Pretax Fuel Prices'!O76+'Fuel Taxes'!O76</f>
        <v>1.8360609241795339E-5</v>
      </c>
      <c r="P76">
        <f>'Pretax Fuel Prices'!P76+'Fuel Taxes'!P76</f>
        <v>1.8605659389856867E-5</v>
      </c>
      <c r="Q76">
        <f>'Pretax Fuel Prices'!Q76+'Fuel Taxes'!Q76</f>
        <v>1.8759950223821538E-5</v>
      </c>
      <c r="R76">
        <f>'Pretax Fuel Prices'!R76+'Fuel Taxes'!R76</f>
        <v>1.9113911548799298E-5</v>
      </c>
      <c r="S76">
        <f>'Pretax Fuel Prices'!S76+'Fuel Taxes'!S76</f>
        <v>1.9304506108402712E-5</v>
      </c>
      <c r="T76">
        <f>'Pretax Fuel Prices'!T76+'Fuel Taxes'!T76</f>
        <v>1.9504176599415811E-5</v>
      </c>
      <c r="U76">
        <f>'Pretax Fuel Prices'!U76+'Fuel Taxes'!U76</f>
        <v>1.9740150816067653E-5</v>
      </c>
      <c r="V76">
        <f>'Pretax Fuel Prices'!V76+'Fuel Taxes'!V76</f>
        <v>1.9876289787212941E-5</v>
      </c>
      <c r="W76">
        <f>'Pretax Fuel Prices'!W76+'Fuel Taxes'!W76</f>
        <v>2.0066884346816358E-5</v>
      </c>
      <c r="X76">
        <f>'Pretax Fuel Prices'!X76+'Fuel Taxes'!X76</f>
        <v>2.0284706700648831E-5</v>
      </c>
      <c r="Y76">
        <f>'Pretax Fuel Prices'!Y76+'Fuel Taxes'!Y76</f>
        <v>2.0293782632058516E-5</v>
      </c>
      <c r="Z76">
        <f>'Pretax Fuel Prices'!Z76+'Fuel Taxes'!Z76</f>
        <v>2.0475301260252238E-5</v>
      </c>
      <c r="AA76">
        <f>'Pretax Fuel Prices'!AA76+'Fuel Taxes'!AA76</f>
        <v>2.0811110722410628E-5</v>
      </c>
      <c r="AB76">
        <f>'Pretax Fuel Prices'!AB76+'Fuel Taxes'!AB76</f>
        <v>2.0965401556375303E-5</v>
      </c>
      <c r="AC76">
        <f>'Pretax Fuel Prices'!AC76+'Fuel Taxes'!AC76</f>
        <v>2.1146920184569025E-5</v>
      </c>
      <c r="AD76">
        <f>'Pretax Fuel Prices'!AD76+'Fuel Taxes'!AD76</f>
        <v>2.1482729646727419E-5</v>
      </c>
      <c r="AE76">
        <f>'Pretax Fuel Prices'!AE76+'Fuel Taxes'!AE76</f>
        <v>2.1528109303775847E-5</v>
      </c>
      <c r="AF76">
        <f>'Pretax Fuel Prices'!AF76+'Fuel Taxes'!AF76</f>
        <v>0</v>
      </c>
      <c r="AG76">
        <f>'Pretax Fuel Prices'!AG76+'Fuel Taxes'!AG76</f>
        <v>0</v>
      </c>
      <c r="AH76">
        <f>'Pretax Fuel Prices'!AH76+'Fuel Taxes'!AH76</f>
        <v>0</v>
      </c>
      <c r="AI76">
        <f>'Pretax Fuel Prices'!AI76+'Fuel Taxes'!AI76</f>
        <v>0</v>
      </c>
    </row>
    <row r="77" spans="1:51" x14ac:dyDescent="0.35">
      <c r="A77" t="s">
        <v>55</v>
      </c>
      <c r="B77">
        <f>'Pretax Fuel Prices'!B77+'Fuel Taxes'!B77</f>
        <v>1.9404341353909256E-5</v>
      </c>
      <c r="C77">
        <f>'Pretax Fuel Prices'!C77+'Fuel Taxes'!C77</f>
        <v>1.9404341353909256E-5</v>
      </c>
      <c r="D77">
        <f>'Pretax Fuel Prices'!D77+'Fuel Taxes'!D77</f>
        <v>1.994183249939313E-5</v>
      </c>
      <c r="E77">
        <f>'Pretax Fuel Prices'!E77+'Fuel Taxes'!E77</f>
        <v>1.9404341353909256E-5</v>
      </c>
      <c r="F77">
        <f>'Pretax Fuel Prices'!F77+'Fuel Taxes'!F77</f>
        <v>1.8839520150180445E-5</v>
      </c>
      <c r="G77">
        <f>'Pretax Fuel Prices'!G77+'Fuel Taxes'!G77</f>
        <v>1.8484229392996187E-5</v>
      </c>
      <c r="H77">
        <f>'Pretax Fuel Prices'!H77+'Fuel Taxes'!H77</f>
        <v>1.796495828634228E-5</v>
      </c>
      <c r="I77">
        <f>'Pretax Fuel Prices'!I77+'Fuel Taxes'!I77</f>
        <v>1.7691657703892857E-5</v>
      </c>
      <c r="J77">
        <f>'Pretax Fuel Prices'!J77+'Fuel Taxes'!J77</f>
        <v>1.7172386597238947E-5</v>
      </c>
      <c r="K77">
        <f>'Pretax Fuel Prices'!K77+'Fuel Taxes'!K77</f>
        <v>1.753678737383818E-5</v>
      </c>
      <c r="L77">
        <f>'Pretax Fuel Prices'!L77+'Fuel Taxes'!L77</f>
        <v>1.7582337470913084E-5</v>
      </c>
      <c r="M77">
        <f>'Pretax Fuel Prices'!M77+'Fuel Taxes'!M77</f>
        <v>1.7901188150437413E-5</v>
      </c>
      <c r="N77">
        <f>'Pretax Fuel Prices'!N77+'Fuel Taxes'!N77</f>
        <v>1.8092498558152009E-5</v>
      </c>
      <c r="O77">
        <f>'Pretax Fuel Prices'!O77+'Fuel Taxes'!O77</f>
        <v>1.8210928810546765E-5</v>
      </c>
      <c r="P77">
        <f>'Pretax Fuel Prices'!P77+'Fuel Taxes'!P77</f>
        <v>1.8456899334751249E-5</v>
      </c>
      <c r="Q77">
        <f>'Pretax Fuel Prices'!Q77+'Fuel Taxes'!Q77</f>
        <v>1.8620879684220901E-5</v>
      </c>
      <c r="R77">
        <f>'Pretax Fuel Prices'!R77+'Fuel Taxes'!R77</f>
        <v>1.8948840383160216E-5</v>
      </c>
      <c r="S77">
        <f>'Pretax Fuel Prices'!S77+'Fuel Taxes'!S77</f>
        <v>1.9140150790874815E-5</v>
      </c>
      <c r="T77">
        <f>'Pretax Fuel Prices'!T77+'Fuel Taxes'!T77</f>
        <v>1.9349681237419371E-5</v>
      </c>
      <c r="U77">
        <f>'Pretax Fuel Prices'!U77+'Fuel Taxes'!U77</f>
        <v>1.9586541742208875E-5</v>
      </c>
      <c r="V77">
        <f>'Pretax Fuel Prices'!V77+'Fuel Taxes'!V77</f>
        <v>1.9723192033433589E-5</v>
      </c>
      <c r="W77">
        <f>'Pretax Fuel Prices'!W77+'Fuel Taxes'!W77</f>
        <v>1.992361246056317E-5</v>
      </c>
      <c r="X77">
        <f>'Pretax Fuel Prices'!X77+'Fuel Taxes'!X77</f>
        <v>2.0133142907107733E-5</v>
      </c>
      <c r="Y77">
        <f>'Pretax Fuel Prices'!Y77+'Fuel Taxes'!Y77</f>
        <v>2.0151362945937692E-5</v>
      </c>
      <c r="Z77">
        <f>'Pretax Fuel Prices'!Z77+'Fuel Taxes'!Z77</f>
        <v>2.0333563334237307E-5</v>
      </c>
      <c r="AA77">
        <f>'Pretax Fuel Prices'!AA77+'Fuel Taxes'!AA77</f>
        <v>2.0670634052591596E-5</v>
      </c>
      <c r="AB77">
        <f>'Pretax Fuel Prices'!AB77+'Fuel Taxes'!AB77</f>
        <v>2.0834614402061255E-5</v>
      </c>
      <c r="AC77">
        <f>'Pretax Fuel Prices'!AC77+'Fuel Taxes'!AC77</f>
        <v>2.1016814790360873E-5</v>
      </c>
      <c r="AD77">
        <f>'Pretax Fuel Prices'!AD77+'Fuel Taxes'!AD77</f>
        <v>2.1362995528130147E-5</v>
      </c>
      <c r="AE77">
        <f>'Pretax Fuel Prices'!AE77+'Fuel Taxes'!AE77</f>
        <v>2.1399435605790069E-5</v>
      </c>
      <c r="AF77">
        <f>'Pretax Fuel Prices'!AF77+'Fuel Taxes'!AF77</f>
        <v>0</v>
      </c>
      <c r="AG77">
        <f>'Pretax Fuel Prices'!AG77+'Fuel Taxes'!AG77</f>
        <v>0</v>
      </c>
      <c r="AH77">
        <f>'Pretax Fuel Prices'!AH77+'Fuel Taxes'!AH77</f>
        <v>0</v>
      </c>
      <c r="AI77">
        <f>'Pretax Fuel Prices'!AI77+'Fuel Taxes'!AI77</f>
        <v>0</v>
      </c>
    </row>
    <row r="78" spans="1:51" x14ac:dyDescent="0.35">
      <c r="A78" t="s">
        <v>56</v>
      </c>
      <c r="B78">
        <f>'Pretax Fuel Prices'!B78+'Fuel Taxes'!B78</f>
        <v>1.9404341353909256E-5</v>
      </c>
      <c r="C78">
        <f>'Pretax Fuel Prices'!C78+'Fuel Taxes'!C78</f>
        <v>1.9404341353909256E-5</v>
      </c>
      <c r="D78">
        <f>'Pretax Fuel Prices'!D78+'Fuel Taxes'!D78</f>
        <v>1.994183249939313E-5</v>
      </c>
      <c r="E78">
        <f>'Pretax Fuel Prices'!E78+'Fuel Taxes'!E78</f>
        <v>1.9404341353909256E-5</v>
      </c>
      <c r="F78">
        <f>'Pretax Fuel Prices'!F78+'Fuel Taxes'!F78</f>
        <v>1.8839520150180445E-5</v>
      </c>
      <c r="G78">
        <f>'Pretax Fuel Prices'!G78+'Fuel Taxes'!G78</f>
        <v>1.8484229392996187E-5</v>
      </c>
      <c r="H78">
        <f>'Pretax Fuel Prices'!H78+'Fuel Taxes'!H78</f>
        <v>1.796495828634228E-5</v>
      </c>
      <c r="I78">
        <f>'Pretax Fuel Prices'!I78+'Fuel Taxes'!I78</f>
        <v>1.7691657703892857E-5</v>
      </c>
      <c r="J78">
        <f>'Pretax Fuel Prices'!J78+'Fuel Taxes'!J78</f>
        <v>1.7172386597238947E-5</v>
      </c>
      <c r="K78">
        <f>'Pretax Fuel Prices'!K78+'Fuel Taxes'!K78</f>
        <v>1.753678737383818E-5</v>
      </c>
      <c r="L78">
        <f>'Pretax Fuel Prices'!L78+'Fuel Taxes'!L78</f>
        <v>1.7582337470913084E-5</v>
      </c>
      <c r="M78">
        <f>'Pretax Fuel Prices'!M78+'Fuel Taxes'!M78</f>
        <v>1.7901188150437413E-5</v>
      </c>
      <c r="N78">
        <f>'Pretax Fuel Prices'!N78+'Fuel Taxes'!N78</f>
        <v>1.8092498558152009E-5</v>
      </c>
      <c r="O78">
        <f>'Pretax Fuel Prices'!O78+'Fuel Taxes'!O78</f>
        <v>1.8210928810546765E-5</v>
      </c>
      <c r="P78">
        <f>'Pretax Fuel Prices'!P78+'Fuel Taxes'!P78</f>
        <v>1.8456899334751249E-5</v>
      </c>
      <c r="Q78">
        <f>'Pretax Fuel Prices'!Q78+'Fuel Taxes'!Q78</f>
        <v>1.8620879684220901E-5</v>
      </c>
      <c r="R78">
        <f>'Pretax Fuel Prices'!R78+'Fuel Taxes'!R78</f>
        <v>1.8948840383160216E-5</v>
      </c>
      <c r="S78">
        <f>'Pretax Fuel Prices'!S78+'Fuel Taxes'!S78</f>
        <v>1.9140150790874815E-5</v>
      </c>
      <c r="T78">
        <f>'Pretax Fuel Prices'!T78+'Fuel Taxes'!T78</f>
        <v>1.9349681237419371E-5</v>
      </c>
      <c r="U78">
        <f>'Pretax Fuel Prices'!U78+'Fuel Taxes'!U78</f>
        <v>1.9586541742208875E-5</v>
      </c>
      <c r="V78">
        <f>'Pretax Fuel Prices'!V78+'Fuel Taxes'!V78</f>
        <v>1.9723192033433589E-5</v>
      </c>
      <c r="W78">
        <f>'Pretax Fuel Prices'!W78+'Fuel Taxes'!W78</f>
        <v>1.992361246056317E-5</v>
      </c>
      <c r="X78">
        <f>'Pretax Fuel Prices'!X78+'Fuel Taxes'!X78</f>
        <v>2.0133142907107733E-5</v>
      </c>
      <c r="Y78">
        <f>'Pretax Fuel Prices'!Y78+'Fuel Taxes'!Y78</f>
        <v>2.0151362945937692E-5</v>
      </c>
      <c r="Z78">
        <f>'Pretax Fuel Prices'!Z78+'Fuel Taxes'!Z78</f>
        <v>2.0333563334237307E-5</v>
      </c>
      <c r="AA78">
        <f>'Pretax Fuel Prices'!AA78+'Fuel Taxes'!AA78</f>
        <v>2.0670634052591596E-5</v>
      </c>
      <c r="AB78">
        <f>'Pretax Fuel Prices'!AB78+'Fuel Taxes'!AB78</f>
        <v>2.0834614402061255E-5</v>
      </c>
      <c r="AC78">
        <f>'Pretax Fuel Prices'!AC78+'Fuel Taxes'!AC78</f>
        <v>2.1016814790360873E-5</v>
      </c>
      <c r="AD78">
        <f>'Pretax Fuel Prices'!AD78+'Fuel Taxes'!AD78</f>
        <v>2.1362995528130147E-5</v>
      </c>
      <c r="AE78">
        <f>'Pretax Fuel Prices'!AE78+'Fuel Taxes'!AE78</f>
        <v>2.1399435605790069E-5</v>
      </c>
      <c r="AF78">
        <f>'Pretax Fuel Prices'!AF78+'Fuel Taxes'!AF78</f>
        <v>0</v>
      </c>
      <c r="AG78">
        <f>'Pretax Fuel Prices'!AG78+'Fuel Taxes'!AG78</f>
        <v>0</v>
      </c>
      <c r="AH78">
        <f>'Pretax Fuel Prices'!AH78+'Fuel Taxes'!AH78</f>
        <v>0</v>
      </c>
      <c r="AI78">
        <f>'Pretax Fuel Prices'!AI78+'Fuel Taxes'!AI78</f>
        <v>0</v>
      </c>
    </row>
    <row r="79" spans="1:51" x14ac:dyDescent="0.35">
      <c r="A79" t="s">
        <v>57</v>
      </c>
      <c r="B79">
        <f>'Pretax Fuel Prices'!B79+'Fuel Taxes'!B79</f>
        <v>0</v>
      </c>
      <c r="C79">
        <f>'Pretax Fuel Prices'!C79+'Fuel Taxes'!C79</f>
        <v>0</v>
      </c>
      <c r="D79">
        <f>'Pretax Fuel Prices'!D79+'Fuel Taxes'!D79</f>
        <v>0</v>
      </c>
      <c r="E79">
        <f>'Pretax Fuel Prices'!E79+'Fuel Taxes'!E79</f>
        <v>0</v>
      </c>
      <c r="F79">
        <f>'Pretax Fuel Prices'!F79+'Fuel Taxes'!F79</f>
        <v>0</v>
      </c>
      <c r="G79">
        <f>'Pretax Fuel Prices'!G79+'Fuel Taxes'!G79</f>
        <v>0</v>
      </c>
      <c r="H79">
        <f>'Pretax Fuel Prices'!H79+'Fuel Taxes'!H79</f>
        <v>0</v>
      </c>
      <c r="I79">
        <f>'Pretax Fuel Prices'!I79+'Fuel Taxes'!I79</f>
        <v>0</v>
      </c>
      <c r="J79">
        <f>'Pretax Fuel Prices'!J79+'Fuel Taxes'!J79</f>
        <v>0</v>
      </c>
      <c r="K79">
        <f>'Pretax Fuel Prices'!K79+'Fuel Taxes'!K79</f>
        <v>0</v>
      </c>
      <c r="L79">
        <f>'Pretax Fuel Prices'!L79+'Fuel Taxes'!L79</f>
        <v>0</v>
      </c>
      <c r="M79">
        <f>'Pretax Fuel Prices'!M79+'Fuel Taxes'!M79</f>
        <v>0</v>
      </c>
      <c r="N79">
        <f>'Pretax Fuel Prices'!N79+'Fuel Taxes'!N79</f>
        <v>0</v>
      </c>
      <c r="O79">
        <f>'Pretax Fuel Prices'!O79+'Fuel Taxes'!O79</f>
        <v>0</v>
      </c>
      <c r="P79">
        <f>'Pretax Fuel Prices'!P79+'Fuel Taxes'!P79</f>
        <v>0</v>
      </c>
      <c r="Q79">
        <f>'Pretax Fuel Prices'!Q79+'Fuel Taxes'!Q79</f>
        <v>0</v>
      </c>
      <c r="R79">
        <f>'Pretax Fuel Prices'!R79+'Fuel Taxes'!R79</f>
        <v>0</v>
      </c>
      <c r="S79">
        <f>'Pretax Fuel Prices'!S79+'Fuel Taxes'!S79</f>
        <v>0</v>
      </c>
      <c r="T79">
        <f>'Pretax Fuel Prices'!T79+'Fuel Taxes'!T79</f>
        <v>0</v>
      </c>
      <c r="U79">
        <f>'Pretax Fuel Prices'!U79+'Fuel Taxes'!U79</f>
        <v>0</v>
      </c>
      <c r="V79">
        <f>'Pretax Fuel Prices'!V79+'Fuel Taxes'!V79</f>
        <v>0</v>
      </c>
      <c r="W79">
        <f>'Pretax Fuel Prices'!W79+'Fuel Taxes'!W79</f>
        <v>0</v>
      </c>
      <c r="X79">
        <f>'Pretax Fuel Prices'!X79+'Fuel Taxes'!X79</f>
        <v>0</v>
      </c>
      <c r="Y79">
        <f>'Pretax Fuel Prices'!Y79+'Fuel Taxes'!Y79</f>
        <v>0</v>
      </c>
      <c r="Z79">
        <f>'Pretax Fuel Prices'!Z79+'Fuel Taxes'!Z79</f>
        <v>0</v>
      </c>
      <c r="AA79">
        <f>'Pretax Fuel Prices'!AA79+'Fuel Taxes'!AA79</f>
        <v>0</v>
      </c>
      <c r="AB79">
        <f>'Pretax Fuel Prices'!AB79+'Fuel Taxes'!AB79</f>
        <v>0</v>
      </c>
      <c r="AC79">
        <f>'Pretax Fuel Prices'!AC79+'Fuel Taxes'!AC79</f>
        <v>0</v>
      </c>
      <c r="AD79">
        <f>'Pretax Fuel Prices'!AD79+'Fuel Taxes'!AD79</f>
        <v>0</v>
      </c>
      <c r="AE79">
        <f>'Pretax Fuel Prices'!AE79+'Fuel Taxes'!AE79</f>
        <v>0</v>
      </c>
      <c r="AF79">
        <f>'Pretax Fuel Prices'!AF79+'Fuel Taxes'!AF79</f>
        <v>0</v>
      </c>
      <c r="AG79">
        <f>'Pretax Fuel Prices'!AG79+'Fuel Taxes'!AG79</f>
        <v>0</v>
      </c>
      <c r="AH79">
        <f>'Pretax Fuel Prices'!AH79+'Fuel Taxes'!AH79</f>
        <v>0</v>
      </c>
      <c r="AI79">
        <f>'Pretax Fuel Prices'!AI79+'Fuel Taxes'!AI79</f>
        <v>0</v>
      </c>
    </row>
    <row r="80" spans="1:51" x14ac:dyDescent="0.35">
      <c r="A80" t="s">
        <v>58</v>
      </c>
      <c r="B80">
        <f>'Pretax Fuel Prices'!B80+'Fuel Taxes'!B80</f>
        <v>1.9404341353909256E-5</v>
      </c>
      <c r="C80">
        <f>'Pretax Fuel Prices'!C80+'Fuel Taxes'!C80</f>
        <v>1.9404341353909256E-5</v>
      </c>
      <c r="D80">
        <f>'Pretax Fuel Prices'!D80+'Fuel Taxes'!D80</f>
        <v>1.994183249939313E-5</v>
      </c>
      <c r="E80">
        <f>'Pretax Fuel Prices'!E80+'Fuel Taxes'!E80</f>
        <v>1.9404341353909256E-5</v>
      </c>
      <c r="F80">
        <f>'Pretax Fuel Prices'!F80+'Fuel Taxes'!F80</f>
        <v>1.8839520150180445E-5</v>
      </c>
      <c r="G80">
        <f>'Pretax Fuel Prices'!G80+'Fuel Taxes'!G80</f>
        <v>1.8484229392996187E-5</v>
      </c>
      <c r="H80">
        <f>'Pretax Fuel Prices'!H80+'Fuel Taxes'!H80</f>
        <v>1.796495828634228E-5</v>
      </c>
      <c r="I80">
        <f>'Pretax Fuel Prices'!I80+'Fuel Taxes'!I80</f>
        <v>1.7691657703892857E-5</v>
      </c>
      <c r="J80">
        <f>'Pretax Fuel Prices'!J80+'Fuel Taxes'!J80</f>
        <v>1.7172386597238947E-5</v>
      </c>
      <c r="K80">
        <f>'Pretax Fuel Prices'!K80+'Fuel Taxes'!K80</f>
        <v>1.753678737383818E-5</v>
      </c>
      <c r="L80">
        <f>'Pretax Fuel Prices'!L80+'Fuel Taxes'!L80</f>
        <v>1.7582337470913084E-5</v>
      </c>
      <c r="M80">
        <f>'Pretax Fuel Prices'!M80+'Fuel Taxes'!M80</f>
        <v>1.7901188150437413E-5</v>
      </c>
      <c r="N80">
        <f>'Pretax Fuel Prices'!N80+'Fuel Taxes'!N80</f>
        <v>1.8092498558152009E-5</v>
      </c>
      <c r="O80">
        <f>'Pretax Fuel Prices'!O80+'Fuel Taxes'!O80</f>
        <v>1.8210928810546765E-5</v>
      </c>
      <c r="P80">
        <f>'Pretax Fuel Prices'!P80+'Fuel Taxes'!P80</f>
        <v>1.8456899334751249E-5</v>
      </c>
      <c r="Q80">
        <f>'Pretax Fuel Prices'!Q80+'Fuel Taxes'!Q80</f>
        <v>1.8620879684220901E-5</v>
      </c>
      <c r="R80">
        <f>'Pretax Fuel Prices'!R80+'Fuel Taxes'!R80</f>
        <v>1.8948840383160216E-5</v>
      </c>
      <c r="S80">
        <f>'Pretax Fuel Prices'!S80+'Fuel Taxes'!S80</f>
        <v>1.9140150790874815E-5</v>
      </c>
      <c r="T80">
        <f>'Pretax Fuel Prices'!T80+'Fuel Taxes'!T80</f>
        <v>1.9349681237419371E-5</v>
      </c>
      <c r="U80">
        <f>'Pretax Fuel Prices'!U80+'Fuel Taxes'!U80</f>
        <v>1.9586541742208875E-5</v>
      </c>
      <c r="V80">
        <f>'Pretax Fuel Prices'!V80+'Fuel Taxes'!V80</f>
        <v>1.9723192033433589E-5</v>
      </c>
      <c r="W80">
        <f>'Pretax Fuel Prices'!W80+'Fuel Taxes'!W80</f>
        <v>1.992361246056317E-5</v>
      </c>
      <c r="X80">
        <f>'Pretax Fuel Prices'!X80+'Fuel Taxes'!X80</f>
        <v>2.0133142907107733E-5</v>
      </c>
      <c r="Y80">
        <f>'Pretax Fuel Prices'!Y80+'Fuel Taxes'!Y80</f>
        <v>2.0151362945937692E-5</v>
      </c>
      <c r="Z80">
        <f>'Pretax Fuel Prices'!Z80+'Fuel Taxes'!Z80</f>
        <v>2.0333563334237307E-5</v>
      </c>
      <c r="AA80">
        <f>'Pretax Fuel Prices'!AA80+'Fuel Taxes'!AA80</f>
        <v>2.0670634052591596E-5</v>
      </c>
      <c r="AB80">
        <f>'Pretax Fuel Prices'!AB80+'Fuel Taxes'!AB80</f>
        <v>2.0834614402061255E-5</v>
      </c>
      <c r="AC80">
        <f>'Pretax Fuel Prices'!AC80+'Fuel Taxes'!AC80</f>
        <v>2.1016814790360873E-5</v>
      </c>
      <c r="AD80">
        <f>'Pretax Fuel Prices'!AD80+'Fuel Taxes'!AD80</f>
        <v>2.1362995528130147E-5</v>
      </c>
      <c r="AE80">
        <f>'Pretax Fuel Prices'!AE80+'Fuel Taxes'!AE80</f>
        <v>2.1399435605790069E-5</v>
      </c>
      <c r="AF80">
        <f>'Pretax Fuel Prices'!AF80+'Fuel Taxes'!AF80</f>
        <v>0</v>
      </c>
      <c r="AG80">
        <f>'Pretax Fuel Prices'!AG80+'Fuel Taxes'!AG80</f>
        <v>0</v>
      </c>
      <c r="AH80">
        <f>'Pretax Fuel Prices'!AH80+'Fuel Taxes'!AH80</f>
        <v>0</v>
      </c>
      <c r="AI80">
        <f>'Pretax Fuel Prices'!AI80+'Fuel Taxes'!AI80</f>
        <v>0</v>
      </c>
    </row>
    <row r="81" spans="1:51" s="4" customFormat="1" x14ac:dyDescent="0.35">
      <c r="A81" s="6" t="s">
        <v>37</v>
      </c>
    </row>
    <row r="82" spans="1:51" x14ac:dyDescent="0.35">
      <c r="A82" t="s">
        <v>29</v>
      </c>
      <c r="B82" s="1">
        <v>2021</v>
      </c>
      <c r="C82" s="1">
        <v>2022</v>
      </c>
      <c r="D82" s="1">
        <v>2023</v>
      </c>
      <c r="E82" s="1">
        <v>2024</v>
      </c>
      <c r="F82" s="1">
        <v>2025</v>
      </c>
      <c r="G82" s="1">
        <v>2026</v>
      </c>
      <c r="H82" s="1">
        <v>2027</v>
      </c>
      <c r="I82" s="1">
        <v>2028</v>
      </c>
      <c r="J82" s="1">
        <v>2029</v>
      </c>
      <c r="K82" s="1">
        <v>2030</v>
      </c>
      <c r="L82" s="1">
        <v>2031</v>
      </c>
      <c r="M82" s="1">
        <v>2032</v>
      </c>
      <c r="N82" s="1">
        <v>2033</v>
      </c>
      <c r="O82" s="1">
        <v>2034</v>
      </c>
      <c r="P82" s="1">
        <v>2035</v>
      </c>
      <c r="Q82" s="1">
        <v>2036</v>
      </c>
      <c r="R82" s="1">
        <v>2037</v>
      </c>
      <c r="S82" s="1">
        <v>2038</v>
      </c>
      <c r="T82" s="1">
        <v>2039</v>
      </c>
      <c r="U82" s="1">
        <v>2040</v>
      </c>
      <c r="V82" s="1">
        <v>2041</v>
      </c>
      <c r="W82" s="1">
        <v>2042</v>
      </c>
      <c r="X82" s="1">
        <v>2043</v>
      </c>
      <c r="Y82" s="1">
        <v>2044</v>
      </c>
      <c r="Z82" s="1">
        <v>2045</v>
      </c>
      <c r="AA82" s="1">
        <v>2046</v>
      </c>
      <c r="AB82" s="1">
        <v>2047</v>
      </c>
      <c r="AC82" s="1">
        <v>2048</v>
      </c>
      <c r="AD82" s="1">
        <v>2049</v>
      </c>
      <c r="AE82" s="1">
        <v>2050</v>
      </c>
      <c r="AF82" s="1">
        <v>2051</v>
      </c>
      <c r="AG82" s="1">
        <v>2052</v>
      </c>
      <c r="AH82" s="1">
        <v>2053</v>
      </c>
      <c r="AI82" s="1">
        <v>2054</v>
      </c>
      <c r="AJ82" s="1">
        <v>2055</v>
      </c>
      <c r="AK82" s="1">
        <v>2056</v>
      </c>
      <c r="AL82" s="1">
        <v>2057</v>
      </c>
      <c r="AM82" s="1">
        <v>2058</v>
      </c>
      <c r="AN82" s="1">
        <v>2059</v>
      </c>
      <c r="AO82" s="1">
        <v>2060</v>
      </c>
      <c r="AP82" s="1">
        <v>2061</v>
      </c>
      <c r="AQ82" s="1">
        <v>2062</v>
      </c>
      <c r="AR82" s="1">
        <v>2063</v>
      </c>
      <c r="AS82" s="1">
        <v>2064</v>
      </c>
      <c r="AT82" s="1">
        <v>2065</v>
      </c>
      <c r="AU82" s="1">
        <v>2066</v>
      </c>
      <c r="AV82" s="1">
        <v>2067</v>
      </c>
      <c r="AW82" s="1">
        <v>2068</v>
      </c>
      <c r="AX82" s="1">
        <v>2069</v>
      </c>
      <c r="AY82" s="1">
        <v>2070</v>
      </c>
    </row>
    <row r="83" spans="1:51" x14ac:dyDescent="0.35">
      <c r="A83" t="s">
        <v>51</v>
      </c>
      <c r="B83">
        <f>'Pretax Fuel Prices'!B83+'Fuel Taxes'!B83</f>
        <v>2.547793435977131E-5</v>
      </c>
      <c r="C83">
        <f>'Pretax Fuel Prices'!C83+'Fuel Taxes'!C83</f>
        <v>2.547793435977131E-5</v>
      </c>
      <c r="D83">
        <f>'Pretax Fuel Prices'!D83+'Fuel Taxes'!D83</f>
        <v>2.6397241269659967E-5</v>
      </c>
      <c r="E83">
        <f>'Pretax Fuel Prices'!E83+'Fuel Taxes'!E83</f>
        <v>2.547793435977131E-5</v>
      </c>
      <c r="F83">
        <f>'Pretax Fuel Prices'!F83+'Fuel Taxes'!F83</f>
        <v>2.5621202969104612E-5</v>
      </c>
      <c r="G83">
        <f>'Pretax Fuel Prices'!G83+'Fuel Taxes'!G83</f>
        <v>2.6015191644771173E-5</v>
      </c>
      <c r="H83">
        <f>'Pretax Fuel Prices'!H83+'Fuel Taxes'!H83</f>
        <v>2.6170399304882249E-5</v>
      </c>
      <c r="I83">
        <f>'Pretax Fuel Prices'!I83+'Fuel Taxes'!I83</f>
        <v>2.6636022285215459E-5</v>
      </c>
      <c r="J83">
        <f>'Pretax Fuel Prices'!J83+'Fuel Taxes'!J83</f>
        <v>2.6803168996104305E-5</v>
      </c>
      <c r="K83">
        <f>'Pretax Fuel Prices'!K83+'Fuel Taxes'!K83</f>
        <v>2.7292670077993078E-5</v>
      </c>
      <c r="L83">
        <f>'Pretax Fuel Prices'!L83+'Fuel Taxes'!L83</f>
        <v>2.7352365331881946E-5</v>
      </c>
      <c r="M83">
        <f>'Pretax Fuel Prices'!M83+'Fuel Taxes'!M83</f>
        <v>2.7782171159881837E-5</v>
      </c>
      <c r="N83">
        <f>'Pretax Fuel Prices'!N83+'Fuel Taxes'!N83</f>
        <v>2.8032891226215106E-5</v>
      </c>
      <c r="O83">
        <f>'Pretax Fuel Prices'!O83+'Fuel Taxes'!O83</f>
        <v>2.8617904714326066E-5</v>
      </c>
      <c r="P83">
        <f>'Pretax Fuel Prices'!P83+'Fuel Taxes'!P83</f>
        <v>2.8940259085325985E-5</v>
      </c>
      <c r="Q83">
        <f>'Pretax Fuel Prices'!Q83+'Fuel Taxes'!Q83</f>
        <v>2.9155161999325939E-5</v>
      </c>
      <c r="R83">
        <f>'Pretax Fuel Prices'!R83+'Fuel Taxes'!R83</f>
        <v>2.9620784979659146E-5</v>
      </c>
      <c r="S83">
        <f>'Pretax Fuel Prices'!S83+'Fuel Taxes'!S83</f>
        <v>2.9859565995214645E-5</v>
      </c>
      <c r="T83">
        <f>'Pretax Fuel Prices'!T83+'Fuel Taxes'!T83</f>
        <v>3.0122225112325686E-5</v>
      </c>
      <c r="U83">
        <f>'Pretax Fuel Prices'!U83+'Fuel Taxes'!U83</f>
        <v>3.0432640432547827E-5</v>
      </c>
      <c r="V83">
        <f>'Pretax Fuel Prices'!V83+'Fuel Taxes'!V83</f>
        <v>3.063560429577E-5</v>
      </c>
      <c r="W83">
        <f>'Pretax Fuel Prices'!W83+'Fuel Taxes'!W83</f>
        <v>3.0898263412881047E-5</v>
      </c>
      <c r="X83">
        <f>'Pretax Fuel Prices'!X83+'Fuel Taxes'!X83</f>
        <v>3.1160922529992095E-5</v>
      </c>
      <c r="Y83">
        <f>'Pretax Fuel Prices'!Y83+'Fuel Taxes'!Y83</f>
        <v>3.1160922529992095E-5</v>
      </c>
      <c r="Z83">
        <f>'Pretax Fuel Prices'!Z83+'Fuel Taxes'!Z83</f>
        <v>3.1363886393214258E-5</v>
      </c>
      <c r="AA83">
        <f>'Pretax Fuel Prices'!AA83+'Fuel Taxes'!AA83</f>
        <v>3.1829509373547475E-5</v>
      </c>
      <c r="AB83">
        <f>'Pretax Fuel Prices'!AB83+'Fuel Taxes'!AB83</f>
        <v>3.2020534185991877E-5</v>
      </c>
      <c r="AC83">
        <f>'Pretax Fuel Prices'!AC83+'Fuel Taxes'!AC83</f>
        <v>3.2271254252325143E-5</v>
      </c>
      <c r="AD83">
        <f>'Pretax Fuel Prices'!AD83+'Fuel Taxes'!AD83</f>
        <v>3.2712999131102805E-5</v>
      </c>
      <c r="AE83">
        <f>'Pretax Fuel Prices'!AE83+'Fuel Taxes'!AE83</f>
        <v>3.2724938181880579E-5</v>
      </c>
      <c r="AF83">
        <f>'Pretax Fuel Prices'!AF83+'Fuel Taxes'!AF83</f>
        <v>0</v>
      </c>
      <c r="AG83">
        <f>'Pretax Fuel Prices'!AG83+'Fuel Taxes'!AG83</f>
        <v>0</v>
      </c>
      <c r="AH83">
        <f>'Pretax Fuel Prices'!AH83+'Fuel Taxes'!AH83</f>
        <v>0</v>
      </c>
      <c r="AI83">
        <f>'Pretax Fuel Prices'!AI83+'Fuel Taxes'!AI83</f>
        <v>0</v>
      </c>
    </row>
    <row r="84" spans="1:51" x14ac:dyDescent="0.35">
      <c r="A84" t="s">
        <v>52</v>
      </c>
      <c r="B84">
        <f>'Pretax Fuel Prices'!B84+'Fuel Taxes'!B84</f>
        <v>0</v>
      </c>
      <c r="C84">
        <f>'Pretax Fuel Prices'!C84+'Fuel Taxes'!C84</f>
        <v>0</v>
      </c>
      <c r="D84">
        <f>'Pretax Fuel Prices'!D84+'Fuel Taxes'!D84</f>
        <v>0</v>
      </c>
      <c r="E84">
        <f>'Pretax Fuel Prices'!E84+'Fuel Taxes'!E84</f>
        <v>0</v>
      </c>
      <c r="F84">
        <f>'Pretax Fuel Prices'!F84+'Fuel Taxes'!F84</f>
        <v>0</v>
      </c>
      <c r="G84">
        <f>'Pretax Fuel Prices'!G84+'Fuel Taxes'!G84</f>
        <v>0</v>
      </c>
      <c r="H84">
        <f>'Pretax Fuel Prices'!H84+'Fuel Taxes'!H84</f>
        <v>0</v>
      </c>
      <c r="I84">
        <f>'Pretax Fuel Prices'!I84+'Fuel Taxes'!I84</f>
        <v>0</v>
      </c>
      <c r="J84">
        <f>'Pretax Fuel Prices'!J84+'Fuel Taxes'!J84</f>
        <v>0</v>
      </c>
      <c r="K84">
        <f>'Pretax Fuel Prices'!K84+'Fuel Taxes'!K84</f>
        <v>0</v>
      </c>
      <c r="L84">
        <f>'Pretax Fuel Prices'!L84+'Fuel Taxes'!L84</f>
        <v>0</v>
      </c>
      <c r="M84">
        <f>'Pretax Fuel Prices'!M84+'Fuel Taxes'!M84</f>
        <v>0</v>
      </c>
      <c r="N84">
        <f>'Pretax Fuel Prices'!N84+'Fuel Taxes'!N84</f>
        <v>0</v>
      </c>
      <c r="O84">
        <f>'Pretax Fuel Prices'!O84+'Fuel Taxes'!O84</f>
        <v>0</v>
      </c>
      <c r="P84">
        <f>'Pretax Fuel Prices'!P84+'Fuel Taxes'!P84</f>
        <v>0</v>
      </c>
      <c r="Q84">
        <f>'Pretax Fuel Prices'!Q84+'Fuel Taxes'!Q84</f>
        <v>0</v>
      </c>
      <c r="R84">
        <f>'Pretax Fuel Prices'!R84+'Fuel Taxes'!R84</f>
        <v>0</v>
      </c>
      <c r="S84">
        <f>'Pretax Fuel Prices'!S84+'Fuel Taxes'!S84</f>
        <v>0</v>
      </c>
      <c r="T84">
        <f>'Pretax Fuel Prices'!T84+'Fuel Taxes'!T84</f>
        <v>0</v>
      </c>
      <c r="U84">
        <f>'Pretax Fuel Prices'!U84+'Fuel Taxes'!U84</f>
        <v>0</v>
      </c>
      <c r="V84">
        <f>'Pretax Fuel Prices'!V84+'Fuel Taxes'!V84</f>
        <v>0</v>
      </c>
      <c r="W84">
        <f>'Pretax Fuel Prices'!W84+'Fuel Taxes'!W84</f>
        <v>0</v>
      </c>
      <c r="X84">
        <f>'Pretax Fuel Prices'!X84+'Fuel Taxes'!X84</f>
        <v>0</v>
      </c>
      <c r="Y84">
        <f>'Pretax Fuel Prices'!Y84+'Fuel Taxes'!Y84</f>
        <v>0</v>
      </c>
      <c r="Z84">
        <f>'Pretax Fuel Prices'!Z84+'Fuel Taxes'!Z84</f>
        <v>0</v>
      </c>
      <c r="AA84">
        <f>'Pretax Fuel Prices'!AA84+'Fuel Taxes'!AA84</f>
        <v>0</v>
      </c>
      <c r="AB84">
        <f>'Pretax Fuel Prices'!AB84+'Fuel Taxes'!AB84</f>
        <v>0</v>
      </c>
      <c r="AC84">
        <f>'Pretax Fuel Prices'!AC84+'Fuel Taxes'!AC84</f>
        <v>0</v>
      </c>
      <c r="AD84">
        <f>'Pretax Fuel Prices'!AD84+'Fuel Taxes'!AD84</f>
        <v>0</v>
      </c>
      <c r="AE84">
        <f>'Pretax Fuel Prices'!AE84+'Fuel Taxes'!AE84</f>
        <v>0</v>
      </c>
      <c r="AF84">
        <f>'Pretax Fuel Prices'!AF84+'Fuel Taxes'!AF84</f>
        <v>0</v>
      </c>
      <c r="AG84">
        <f>'Pretax Fuel Prices'!AG84+'Fuel Taxes'!AG84</f>
        <v>0</v>
      </c>
      <c r="AH84">
        <f>'Pretax Fuel Prices'!AH84+'Fuel Taxes'!AH84</f>
        <v>0</v>
      </c>
      <c r="AI84">
        <f>'Pretax Fuel Prices'!AI84+'Fuel Taxes'!AI84</f>
        <v>0</v>
      </c>
    </row>
    <row r="85" spans="1:51" x14ac:dyDescent="0.35">
      <c r="A85" t="s">
        <v>53</v>
      </c>
      <c r="B85">
        <f>'Pretax Fuel Prices'!B85+'Fuel Taxes'!B85</f>
        <v>1.3092837153855812E-5</v>
      </c>
      <c r="C85">
        <f>'Pretax Fuel Prices'!C85+'Fuel Taxes'!C85</f>
        <v>1.3092837153855812E-5</v>
      </c>
      <c r="D85">
        <f>'Pretax Fuel Prices'!D85+'Fuel Taxes'!D85</f>
        <v>1.3455502596145714E-5</v>
      </c>
      <c r="E85">
        <f>'Pretax Fuel Prices'!E85+'Fuel Taxes'!E85</f>
        <v>1.3092837153855812E-5</v>
      </c>
      <c r="F85">
        <f>'Pretax Fuel Prices'!F85+'Fuel Taxes'!F85</f>
        <v>1.3295683926662029E-5</v>
      </c>
      <c r="G85">
        <f>'Pretax Fuel Prices'!G85+'Fuel Taxes'!G85</f>
        <v>1.3652202497048713E-5</v>
      </c>
      <c r="H85">
        <f>'Pretax Fuel Prices'!H85+'Fuel Taxes'!H85</f>
        <v>1.3898077373177458E-5</v>
      </c>
      <c r="I85">
        <f>'Pretax Fuel Prices'!I85+'Fuel Taxes'!I85</f>
        <v>1.4303770918789897E-5</v>
      </c>
      <c r="J85">
        <f>'Pretax Fuel Prices'!J85+'Fuel Taxes'!J85</f>
        <v>1.4574233282531518E-5</v>
      </c>
      <c r="K85">
        <f>'Pretax Fuel Prices'!K85+'Fuel Taxes'!K85</f>
        <v>1.4795520671047389E-5</v>
      </c>
      <c r="L85">
        <f>'Pretax Fuel Prices'!L85+'Fuel Taxes'!L85</f>
        <v>1.4813961286757047E-5</v>
      </c>
      <c r="M85">
        <f>'Pretax Fuel Prices'!M85+'Fuel Taxes'!M85</f>
        <v>1.5022954931466483E-5</v>
      </c>
      <c r="N85">
        <f>'Pretax Fuel Prices'!N85+'Fuel Taxes'!N85</f>
        <v>1.5145892369530857E-5</v>
      </c>
      <c r="O85">
        <f>'Pretax Fuel Prices'!O85+'Fuel Taxes'!O85</f>
        <v>1.5219654832369482E-5</v>
      </c>
      <c r="P85">
        <f>'Pretax Fuel Prices'!P85+'Fuel Taxes'!P85</f>
        <v>1.5385620373756383E-5</v>
      </c>
      <c r="Q85">
        <f>'Pretax Fuel Prices'!Q85+'Fuel Taxes'!Q85</f>
        <v>1.5490117196111101E-5</v>
      </c>
      <c r="R85">
        <f>'Pretax Fuel Prices'!R85+'Fuel Taxes'!R85</f>
        <v>1.5686817097014099E-5</v>
      </c>
      <c r="S85">
        <f>'Pretax Fuel Prices'!S85+'Fuel Taxes'!S85</f>
        <v>1.582204827888491E-5</v>
      </c>
      <c r="T85">
        <f>'Pretax Fuel Prices'!T85+'Fuel Taxes'!T85</f>
        <v>1.5951132588852502E-5</v>
      </c>
      <c r="U85">
        <f>'Pretax Fuel Prices'!U85+'Fuel Taxes'!U85</f>
        <v>1.6098657514529752E-5</v>
      </c>
      <c r="V85">
        <f>'Pretax Fuel Prices'!V85+'Fuel Taxes'!V85</f>
        <v>1.619700746498125E-5</v>
      </c>
      <c r="W85">
        <f>'Pretax Fuel Prices'!W85+'Fuel Taxes'!W85</f>
        <v>1.6326091774948842E-5</v>
      </c>
      <c r="X85">
        <f>'Pretax Fuel Prices'!X85+'Fuel Taxes'!X85</f>
        <v>1.6461322956819657E-5</v>
      </c>
      <c r="Y85">
        <f>'Pretax Fuel Prices'!Y85+'Fuel Taxes'!Y85</f>
        <v>1.6467469828722873E-5</v>
      </c>
      <c r="Z85">
        <f>'Pretax Fuel Prices'!Z85+'Fuel Taxes'!Z85</f>
        <v>1.658426039488403E-5</v>
      </c>
      <c r="AA85">
        <f>'Pretax Fuel Prices'!AA85+'Fuel Taxes'!AA85</f>
        <v>1.681169465530312E-5</v>
      </c>
      <c r="AB85">
        <f>'Pretax Fuel Prices'!AB85+'Fuel Taxes'!AB85</f>
        <v>1.6910044605754619E-5</v>
      </c>
      <c r="AC85">
        <f>'Pretax Fuel Prices'!AC85+'Fuel Taxes'!AC85</f>
        <v>1.7032982043818991E-5</v>
      </c>
      <c r="AD85">
        <f>'Pretax Fuel Prices'!AD85+'Fuel Taxes'!AD85</f>
        <v>1.7248122560431647E-5</v>
      </c>
      <c r="AE85">
        <f>'Pretax Fuel Prices'!AE85+'Fuel Taxes'!AE85</f>
        <v>1.727885691994774E-5</v>
      </c>
      <c r="AF85">
        <f>'Pretax Fuel Prices'!AF85+'Fuel Taxes'!AF85</f>
        <v>0</v>
      </c>
      <c r="AG85">
        <f>'Pretax Fuel Prices'!AG85+'Fuel Taxes'!AG85</f>
        <v>0</v>
      </c>
      <c r="AH85">
        <f>'Pretax Fuel Prices'!AH85+'Fuel Taxes'!AH85</f>
        <v>0</v>
      </c>
      <c r="AI85">
        <f>'Pretax Fuel Prices'!AI85+'Fuel Taxes'!AI85</f>
        <v>0</v>
      </c>
    </row>
    <row r="86" spans="1:51" x14ac:dyDescent="0.35">
      <c r="A86" t="s">
        <v>54</v>
      </c>
      <c r="B86">
        <f>'Pretax Fuel Prices'!B86+'Fuel Taxes'!B86</f>
        <v>1.3092837153855812E-5</v>
      </c>
      <c r="C86">
        <f>'Pretax Fuel Prices'!C86+'Fuel Taxes'!C86</f>
        <v>1.3092837153855812E-5</v>
      </c>
      <c r="D86">
        <f>'Pretax Fuel Prices'!D86+'Fuel Taxes'!D86</f>
        <v>1.3454145569233498E-5</v>
      </c>
      <c r="E86">
        <f>'Pretax Fuel Prices'!E86+'Fuel Taxes'!E86</f>
        <v>1.3092837153855812E-5</v>
      </c>
      <c r="F86">
        <f>'Pretax Fuel Prices'!F86+'Fuel Taxes'!F86</f>
        <v>1.2694785509795651E-5</v>
      </c>
      <c r="G86">
        <f>'Pretax Fuel Prices'!G86+'Fuel Taxes'!G86</f>
        <v>1.2443706780465394E-5</v>
      </c>
      <c r="H86">
        <f>'Pretax Fuel Prices'!H86+'Fuel Taxes'!H86</f>
        <v>1.2088522236534785E-5</v>
      </c>
      <c r="I86">
        <f>'Pretax Fuel Prices'!I86+'Fuel Taxes'!I86</f>
        <v>1.1886434478781165E-5</v>
      </c>
      <c r="J86">
        <f>'Pretax Fuel Prices'!J86+'Fuel Taxes'!J86</f>
        <v>1.1537373806297641E-5</v>
      </c>
      <c r="K86">
        <f>'Pretax Fuel Prices'!K86+'Fuel Taxes'!K86</f>
        <v>1.1770080921286657E-5</v>
      </c>
      <c r="L86">
        <f>'Pretax Fuel Prices'!L86+'Fuel Taxes'!L86</f>
        <v>1.1794576407074976E-5</v>
      </c>
      <c r="M86">
        <f>'Pretax Fuel Prices'!M86+'Fuel Taxes'!M86</f>
        <v>1.2002788036275677E-5</v>
      </c>
      <c r="N86">
        <f>'Pretax Fuel Prices'!N86+'Fuel Taxes'!N86</f>
        <v>1.2131389336664341E-5</v>
      </c>
      <c r="O86">
        <f>'Pretax Fuel Prices'!O86+'Fuel Taxes'!O86</f>
        <v>1.238859193744168E-5</v>
      </c>
      <c r="P86">
        <f>'Pretax Fuel Prices'!P86+'Fuel Taxes'!P86</f>
        <v>1.2553936466512825E-5</v>
      </c>
      <c r="Q86">
        <f>'Pretax Fuel Prices'!Q86+'Fuel Taxes'!Q86</f>
        <v>1.2658042281113176E-5</v>
      </c>
      <c r="R86">
        <f>'Pretax Fuel Prices'!R86+'Fuel Taxes'!R86</f>
        <v>1.2896873267549273E-5</v>
      </c>
      <c r="S86">
        <f>'Pretax Fuel Prices'!S86+'Fuel Taxes'!S86</f>
        <v>1.3025474567937939E-5</v>
      </c>
      <c r="T86">
        <f>'Pretax Fuel Prices'!T86+'Fuel Taxes'!T86</f>
        <v>1.3160199739773687E-5</v>
      </c>
      <c r="U86">
        <f>'Pretax Fuel Prices'!U86+'Fuel Taxes'!U86</f>
        <v>1.3319420397397752E-5</v>
      </c>
      <c r="V86">
        <f>'Pretax Fuel Prices'!V86+'Fuel Taxes'!V86</f>
        <v>1.3411278469103942E-5</v>
      </c>
      <c r="W86">
        <f>'Pretax Fuel Prices'!W86+'Fuel Taxes'!W86</f>
        <v>1.3539879769492612E-5</v>
      </c>
      <c r="X86">
        <f>'Pretax Fuel Prices'!X86+'Fuel Taxes'!X86</f>
        <v>1.3686852684222516E-5</v>
      </c>
      <c r="Y86">
        <f>'Pretax Fuel Prices'!Y86+'Fuel Taxes'!Y86</f>
        <v>1.3692976555669599E-5</v>
      </c>
      <c r="Z86">
        <f>'Pretax Fuel Prices'!Z86+'Fuel Taxes'!Z86</f>
        <v>1.3815453984611184E-5</v>
      </c>
      <c r="AA86">
        <f>'Pretax Fuel Prices'!AA86+'Fuel Taxes'!AA86</f>
        <v>1.4042037228153124E-5</v>
      </c>
      <c r="AB86">
        <f>'Pretax Fuel Prices'!AB86+'Fuel Taxes'!AB86</f>
        <v>1.4146143042753477E-5</v>
      </c>
      <c r="AC86">
        <f>'Pretax Fuel Prices'!AC86+'Fuel Taxes'!AC86</f>
        <v>1.4268620471695065E-5</v>
      </c>
      <c r="AD86">
        <f>'Pretax Fuel Prices'!AD86+'Fuel Taxes'!AD86</f>
        <v>1.4495203715237002E-5</v>
      </c>
      <c r="AE86">
        <f>'Pretax Fuel Prices'!AE86+'Fuel Taxes'!AE86</f>
        <v>1.4525823072472398E-5</v>
      </c>
      <c r="AF86">
        <f>'Pretax Fuel Prices'!AF86+'Fuel Taxes'!AF86</f>
        <v>0</v>
      </c>
      <c r="AG86">
        <f>'Pretax Fuel Prices'!AG86+'Fuel Taxes'!AG86</f>
        <v>0</v>
      </c>
      <c r="AH86">
        <f>'Pretax Fuel Prices'!AH86+'Fuel Taxes'!AH86</f>
        <v>0</v>
      </c>
      <c r="AI86">
        <f>'Pretax Fuel Prices'!AI86+'Fuel Taxes'!AI86</f>
        <v>0</v>
      </c>
    </row>
    <row r="87" spans="1:51" x14ac:dyDescent="0.35">
      <c r="A87" t="s">
        <v>55</v>
      </c>
      <c r="B87">
        <f>'Pretax Fuel Prices'!B87+'Fuel Taxes'!B87</f>
        <v>0</v>
      </c>
      <c r="C87">
        <f>'Pretax Fuel Prices'!C87+'Fuel Taxes'!C87</f>
        <v>0</v>
      </c>
      <c r="D87">
        <f>'Pretax Fuel Prices'!D87+'Fuel Taxes'!D87</f>
        <v>0</v>
      </c>
      <c r="E87">
        <f>'Pretax Fuel Prices'!E87+'Fuel Taxes'!E87</f>
        <v>0</v>
      </c>
      <c r="F87">
        <f>'Pretax Fuel Prices'!F87+'Fuel Taxes'!F87</f>
        <v>0</v>
      </c>
      <c r="G87">
        <f>'Pretax Fuel Prices'!G87+'Fuel Taxes'!G87</f>
        <v>0</v>
      </c>
      <c r="H87">
        <f>'Pretax Fuel Prices'!H87+'Fuel Taxes'!H87</f>
        <v>0</v>
      </c>
      <c r="I87">
        <f>'Pretax Fuel Prices'!I87+'Fuel Taxes'!I87</f>
        <v>0</v>
      </c>
      <c r="J87">
        <f>'Pretax Fuel Prices'!J87+'Fuel Taxes'!J87</f>
        <v>0</v>
      </c>
      <c r="K87">
        <f>'Pretax Fuel Prices'!K87+'Fuel Taxes'!K87</f>
        <v>0</v>
      </c>
      <c r="L87">
        <f>'Pretax Fuel Prices'!L87+'Fuel Taxes'!L87</f>
        <v>0</v>
      </c>
      <c r="M87">
        <f>'Pretax Fuel Prices'!M87+'Fuel Taxes'!M87</f>
        <v>0</v>
      </c>
      <c r="N87">
        <f>'Pretax Fuel Prices'!N87+'Fuel Taxes'!N87</f>
        <v>0</v>
      </c>
      <c r="O87">
        <f>'Pretax Fuel Prices'!O87+'Fuel Taxes'!O87</f>
        <v>0</v>
      </c>
      <c r="P87">
        <f>'Pretax Fuel Prices'!P87+'Fuel Taxes'!P87</f>
        <v>0</v>
      </c>
      <c r="Q87">
        <f>'Pretax Fuel Prices'!Q87+'Fuel Taxes'!Q87</f>
        <v>0</v>
      </c>
      <c r="R87">
        <f>'Pretax Fuel Prices'!R87+'Fuel Taxes'!R87</f>
        <v>0</v>
      </c>
      <c r="S87">
        <f>'Pretax Fuel Prices'!S87+'Fuel Taxes'!S87</f>
        <v>0</v>
      </c>
      <c r="T87">
        <f>'Pretax Fuel Prices'!T87+'Fuel Taxes'!T87</f>
        <v>0</v>
      </c>
      <c r="U87">
        <f>'Pretax Fuel Prices'!U87+'Fuel Taxes'!U87</f>
        <v>0</v>
      </c>
      <c r="V87">
        <f>'Pretax Fuel Prices'!V87+'Fuel Taxes'!V87</f>
        <v>0</v>
      </c>
      <c r="W87">
        <f>'Pretax Fuel Prices'!W87+'Fuel Taxes'!W87</f>
        <v>0</v>
      </c>
      <c r="X87">
        <f>'Pretax Fuel Prices'!X87+'Fuel Taxes'!X87</f>
        <v>0</v>
      </c>
      <c r="Y87">
        <f>'Pretax Fuel Prices'!Y87+'Fuel Taxes'!Y87</f>
        <v>0</v>
      </c>
      <c r="Z87">
        <f>'Pretax Fuel Prices'!Z87+'Fuel Taxes'!Z87</f>
        <v>0</v>
      </c>
      <c r="AA87">
        <f>'Pretax Fuel Prices'!AA87+'Fuel Taxes'!AA87</f>
        <v>0</v>
      </c>
      <c r="AB87">
        <f>'Pretax Fuel Prices'!AB87+'Fuel Taxes'!AB87</f>
        <v>0</v>
      </c>
      <c r="AC87">
        <f>'Pretax Fuel Prices'!AC87+'Fuel Taxes'!AC87</f>
        <v>0</v>
      </c>
      <c r="AD87">
        <f>'Pretax Fuel Prices'!AD87+'Fuel Taxes'!AD87</f>
        <v>0</v>
      </c>
      <c r="AE87">
        <f>'Pretax Fuel Prices'!AE87+'Fuel Taxes'!AE87</f>
        <v>0</v>
      </c>
      <c r="AF87">
        <f>'Pretax Fuel Prices'!AF87+'Fuel Taxes'!AF87</f>
        <v>0</v>
      </c>
      <c r="AG87">
        <f>'Pretax Fuel Prices'!AG87+'Fuel Taxes'!AG87</f>
        <v>0</v>
      </c>
      <c r="AH87">
        <f>'Pretax Fuel Prices'!AH87+'Fuel Taxes'!AH87</f>
        <v>0</v>
      </c>
      <c r="AI87">
        <f>'Pretax Fuel Prices'!AI87+'Fuel Taxes'!AI87</f>
        <v>0</v>
      </c>
    </row>
    <row r="88" spans="1:51" x14ac:dyDescent="0.35">
      <c r="A88" t="s">
        <v>56</v>
      </c>
      <c r="B88">
        <f>'Pretax Fuel Prices'!B88+'Fuel Taxes'!B88</f>
        <v>0</v>
      </c>
      <c r="C88">
        <f>'Pretax Fuel Prices'!C88+'Fuel Taxes'!C88</f>
        <v>0</v>
      </c>
      <c r="D88">
        <f>'Pretax Fuel Prices'!D88+'Fuel Taxes'!D88</f>
        <v>0</v>
      </c>
      <c r="E88">
        <f>'Pretax Fuel Prices'!E88+'Fuel Taxes'!E88</f>
        <v>0</v>
      </c>
      <c r="F88">
        <f>'Pretax Fuel Prices'!F88+'Fuel Taxes'!F88</f>
        <v>0</v>
      </c>
      <c r="G88">
        <f>'Pretax Fuel Prices'!G88+'Fuel Taxes'!G88</f>
        <v>0</v>
      </c>
      <c r="H88">
        <f>'Pretax Fuel Prices'!H88+'Fuel Taxes'!H88</f>
        <v>0</v>
      </c>
      <c r="I88">
        <f>'Pretax Fuel Prices'!I88+'Fuel Taxes'!I88</f>
        <v>0</v>
      </c>
      <c r="J88">
        <f>'Pretax Fuel Prices'!J88+'Fuel Taxes'!J88</f>
        <v>0</v>
      </c>
      <c r="K88">
        <f>'Pretax Fuel Prices'!K88+'Fuel Taxes'!K88</f>
        <v>0</v>
      </c>
      <c r="L88">
        <f>'Pretax Fuel Prices'!L88+'Fuel Taxes'!L88</f>
        <v>0</v>
      </c>
      <c r="M88">
        <f>'Pretax Fuel Prices'!M88+'Fuel Taxes'!M88</f>
        <v>0</v>
      </c>
      <c r="N88">
        <f>'Pretax Fuel Prices'!N88+'Fuel Taxes'!N88</f>
        <v>0</v>
      </c>
      <c r="O88">
        <f>'Pretax Fuel Prices'!O88+'Fuel Taxes'!O88</f>
        <v>0</v>
      </c>
      <c r="P88">
        <f>'Pretax Fuel Prices'!P88+'Fuel Taxes'!P88</f>
        <v>0</v>
      </c>
      <c r="Q88">
        <f>'Pretax Fuel Prices'!Q88+'Fuel Taxes'!Q88</f>
        <v>0</v>
      </c>
      <c r="R88">
        <f>'Pretax Fuel Prices'!R88+'Fuel Taxes'!R88</f>
        <v>0</v>
      </c>
      <c r="S88">
        <f>'Pretax Fuel Prices'!S88+'Fuel Taxes'!S88</f>
        <v>0</v>
      </c>
      <c r="T88">
        <f>'Pretax Fuel Prices'!T88+'Fuel Taxes'!T88</f>
        <v>0</v>
      </c>
      <c r="U88">
        <f>'Pretax Fuel Prices'!U88+'Fuel Taxes'!U88</f>
        <v>0</v>
      </c>
      <c r="V88">
        <f>'Pretax Fuel Prices'!V88+'Fuel Taxes'!V88</f>
        <v>0</v>
      </c>
      <c r="W88">
        <f>'Pretax Fuel Prices'!W88+'Fuel Taxes'!W88</f>
        <v>0</v>
      </c>
      <c r="X88">
        <f>'Pretax Fuel Prices'!X88+'Fuel Taxes'!X88</f>
        <v>0</v>
      </c>
      <c r="Y88">
        <f>'Pretax Fuel Prices'!Y88+'Fuel Taxes'!Y88</f>
        <v>0</v>
      </c>
      <c r="Z88">
        <f>'Pretax Fuel Prices'!Z88+'Fuel Taxes'!Z88</f>
        <v>0</v>
      </c>
      <c r="AA88">
        <f>'Pretax Fuel Prices'!AA88+'Fuel Taxes'!AA88</f>
        <v>0</v>
      </c>
      <c r="AB88">
        <f>'Pretax Fuel Prices'!AB88+'Fuel Taxes'!AB88</f>
        <v>0</v>
      </c>
      <c r="AC88">
        <f>'Pretax Fuel Prices'!AC88+'Fuel Taxes'!AC88</f>
        <v>0</v>
      </c>
      <c r="AD88">
        <f>'Pretax Fuel Prices'!AD88+'Fuel Taxes'!AD88</f>
        <v>0</v>
      </c>
      <c r="AE88">
        <f>'Pretax Fuel Prices'!AE88+'Fuel Taxes'!AE88</f>
        <v>0</v>
      </c>
      <c r="AF88">
        <f>'Pretax Fuel Prices'!AF88+'Fuel Taxes'!AF88</f>
        <v>0</v>
      </c>
      <c r="AG88">
        <f>'Pretax Fuel Prices'!AG88+'Fuel Taxes'!AG88</f>
        <v>0</v>
      </c>
      <c r="AH88">
        <f>'Pretax Fuel Prices'!AH88+'Fuel Taxes'!AH88</f>
        <v>0</v>
      </c>
      <c r="AI88">
        <f>'Pretax Fuel Prices'!AI88+'Fuel Taxes'!AI88</f>
        <v>0</v>
      </c>
    </row>
    <row r="89" spans="1:51" x14ac:dyDescent="0.35">
      <c r="A89" t="s">
        <v>57</v>
      </c>
      <c r="B89">
        <f>'Pretax Fuel Prices'!B89+'Fuel Taxes'!B89</f>
        <v>0</v>
      </c>
      <c r="C89">
        <f>'Pretax Fuel Prices'!C89+'Fuel Taxes'!C89</f>
        <v>0</v>
      </c>
      <c r="D89">
        <f>'Pretax Fuel Prices'!D89+'Fuel Taxes'!D89</f>
        <v>0</v>
      </c>
      <c r="E89">
        <f>'Pretax Fuel Prices'!E89+'Fuel Taxes'!E89</f>
        <v>0</v>
      </c>
      <c r="F89">
        <f>'Pretax Fuel Prices'!F89+'Fuel Taxes'!F89</f>
        <v>0</v>
      </c>
      <c r="G89">
        <f>'Pretax Fuel Prices'!G89+'Fuel Taxes'!G89</f>
        <v>0</v>
      </c>
      <c r="H89">
        <f>'Pretax Fuel Prices'!H89+'Fuel Taxes'!H89</f>
        <v>0</v>
      </c>
      <c r="I89">
        <f>'Pretax Fuel Prices'!I89+'Fuel Taxes'!I89</f>
        <v>0</v>
      </c>
      <c r="J89">
        <f>'Pretax Fuel Prices'!J89+'Fuel Taxes'!J89</f>
        <v>0</v>
      </c>
      <c r="K89">
        <f>'Pretax Fuel Prices'!K89+'Fuel Taxes'!K89</f>
        <v>0</v>
      </c>
      <c r="L89">
        <f>'Pretax Fuel Prices'!L89+'Fuel Taxes'!L89</f>
        <v>0</v>
      </c>
      <c r="M89">
        <f>'Pretax Fuel Prices'!M89+'Fuel Taxes'!M89</f>
        <v>0</v>
      </c>
      <c r="N89">
        <f>'Pretax Fuel Prices'!N89+'Fuel Taxes'!N89</f>
        <v>0</v>
      </c>
      <c r="O89">
        <f>'Pretax Fuel Prices'!O89+'Fuel Taxes'!O89</f>
        <v>0</v>
      </c>
      <c r="P89">
        <f>'Pretax Fuel Prices'!P89+'Fuel Taxes'!P89</f>
        <v>0</v>
      </c>
      <c r="Q89">
        <f>'Pretax Fuel Prices'!Q89+'Fuel Taxes'!Q89</f>
        <v>0</v>
      </c>
      <c r="R89">
        <f>'Pretax Fuel Prices'!R89+'Fuel Taxes'!R89</f>
        <v>0</v>
      </c>
      <c r="S89">
        <f>'Pretax Fuel Prices'!S89+'Fuel Taxes'!S89</f>
        <v>0</v>
      </c>
      <c r="T89">
        <f>'Pretax Fuel Prices'!T89+'Fuel Taxes'!T89</f>
        <v>0</v>
      </c>
      <c r="U89">
        <f>'Pretax Fuel Prices'!U89+'Fuel Taxes'!U89</f>
        <v>0</v>
      </c>
      <c r="V89">
        <f>'Pretax Fuel Prices'!V89+'Fuel Taxes'!V89</f>
        <v>0</v>
      </c>
      <c r="W89">
        <f>'Pretax Fuel Prices'!W89+'Fuel Taxes'!W89</f>
        <v>0</v>
      </c>
      <c r="X89">
        <f>'Pretax Fuel Prices'!X89+'Fuel Taxes'!X89</f>
        <v>0</v>
      </c>
      <c r="Y89">
        <f>'Pretax Fuel Prices'!Y89+'Fuel Taxes'!Y89</f>
        <v>0</v>
      </c>
      <c r="Z89">
        <f>'Pretax Fuel Prices'!Z89+'Fuel Taxes'!Z89</f>
        <v>0</v>
      </c>
      <c r="AA89">
        <f>'Pretax Fuel Prices'!AA89+'Fuel Taxes'!AA89</f>
        <v>0</v>
      </c>
      <c r="AB89">
        <f>'Pretax Fuel Prices'!AB89+'Fuel Taxes'!AB89</f>
        <v>0</v>
      </c>
      <c r="AC89">
        <f>'Pretax Fuel Prices'!AC89+'Fuel Taxes'!AC89</f>
        <v>0</v>
      </c>
      <c r="AD89">
        <f>'Pretax Fuel Prices'!AD89+'Fuel Taxes'!AD89</f>
        <v>0</v>
      </c>
      <c r="AE89">
        <f>'Pretax Fuel Prices'!AE89+'Fuel Taxes'!AE89</f>
        <v>0</v>
      </c>
      <c r="AF89">
        <f>'Pretax Fuel Prices'!AF89+'Fuel Taxes'!AF89</f>
        <v>0</v>
      </c>
      <c r="AG89">
        <f>'Pretax Fuel Prices'!AG89+'Fuel Taxes'!AG89</f>
        <v>0</v>
      </c>
      <c r="AH89">
        <f>'Pretax Fuel Prices'!AH89+'Fuel Taxes'!AH89</f>
        <v>0</v>
      </c>
      <c r="AI89">
        <f>'Pretax Fuel Prices'!AI89+'Fuel Taxes'!AI89</f>
        <v>0</v>
      </c>
    </row>
    <row r="90" spans="1:51" x14ac:dyDescent="0.35">
      <c r="A90" t="s">
        <v>58</v>
      </c>
      <c r="B90">
        <f>'Pretax Fuel Prices'!B90+'Fuel Taxes'!B90</f>
        <v>0</v>
      </c>
      <c r="C90">
        <f>'Pretax Fuel Prices'!C90+'Fuel Taxes'!C90</f>
        <v>0</v>
      </c>
      <c r="D90">
        <f>'Pretax Fuel Prices'!D90+'Fuel Taxes'!D90</f>
        <v>0</v>
      </c>
      <c r="E90">
        <f>'Pretax Fuel Prices'!E90+'Fuel Taxes'!E90</f>
        <v>0</v>
      </c>
      <c r="F90">
        <f>'Pretax Fuel Prices'!F90+'Fuel Taxes'!F90</f>
        <v>0</v>
      </c>
      <c r="G90">
        <f>'Pretax Fuel Prices'!G90+'Fuel Taxes'!G90</f>
        <v>0</v>
      </c>
      <c r="H90">
        <f>'Pretax Fuel Prices'!H90+'Fuel Taxes'!H90</f>
        <v>0</v>
      </c>
      <c r="I90">
        <f>'Pretax Fuel Prices'!I90+'Fuel Taxes'!I90</f>
        <v>0</v>
      </c>
      <c r="J90">
        <f>'Pretax Fuel Prices'!J90+'Fuel Taxes'!J90</f>
        <v>0</v>
      </c>
      <c r="K90">
        <f>'Pretax Fuel Prices'!K90+'Fuel Taxes'!K90</f>
        <v>0</v>
      </c>
      <c r="L90">
        <f>'Pretax Fuel Prices'!L90+'Fuel Taxes'!L90</f>
        <v>0</v>
      </c>
      <c r="M90">
        <f>'Pretax Fuel Prices'!M90+'Fuel Taxes'!M90</f>
        <v>0</v>
      </c>
      <c r="N90">
        <f>'Pretax Fuel Prices'!N90+'Fuel Taxes'!N90</f>
        <v>0</v>
      </c>
      <c r="O90">
        <f>'Pretax Fuel Prices'!O90+'Fuel Taxes'!O90</f>
        <v>0</v>
      </c>
      <c r="P90">
        <f>'Pretax Fuel Prices'!P90+'Fuel Taxes'!P90</f>
        <v>0</v>
      </c>
      <c r="Q90">
        <f>'Pretax Fuel Prices'!Q90+'Fuel Taxes'!Q90</f>
        <v>0</v>
      </c>
      <c r="R90">
        <f>'Pretax Fuel Prices'!R90+'Fuel Taxes'!R90</f>
        <v>0</v>
      </c>
      <c r="S90">
        <f>'Pretax Fuel Prices'!S90+'Fuel Taxes'!S90</f>
        <v>0</v>
      </c>
      <c r="T90">
        <f>'Pretax Fuel Prices'!T90+'Fuel Taxes'!T90</f>
        <v>0</v>
      </c>
      <c r="U90">
        <f>'Pretax Fuel Prices'!U90+'Fuel Taxes'!U90</f>
        <v>0</v>
      </c>
      <c r="V90">
        <f>'Pretax Fuel Prices'!V90+'Fuel Taxes'!V90</f>
        <v>0</v>
      </c>
      <c r="W90">
        <f>'Pretax Fuel Prices'!W90+'Fuel Taxes'!W90</f>
        <v>0</v>
      </c>
      <c r="X90">
        <f>'Pretax Fuel Prices'!X90+'Fuel Taxes'!X90</f>
        <v>0</v>
      </c>
      <c r="Y90">
        <f>'Pretax Fuel Prices'!Y90+'Fuel Taxes'!Y90</f>
        <v>0</v>
      </c>
      <c r="Z90">
        <f>'Pretax Fuel Prices'!Z90+'Fuel Taxes'!Z90</f>
        <v>0</v>
      </c>
      <c r="AA90">
        <f>'Pretax Fuel Prices'!AA90+'Fuel Taxes'!AA90</f>
        <v>0</v>
      </c>
      <c r="AB90">
        <f>'Pretax Fuel Prices'!AB90+'Fuel Taxes'!AB90</f>
        <v>0</v>
      </c>
      <c r="AC90">
        <f>'Pretax Fuel Prices'!AC90+'Fuel Taxes'!AC90</f>
        <v>0</v>
      </c>
      <c r="AD90">
        <f>'Pretax Fuel Prices'!AD90+'Fuel Taxes'!AD90</f>
        <v>0</v>
      </c>
      <c r="AE90">
        <f>'Pretax Fuel Prices'!AE90+'Fuel Taxes'!AE90</f>
        <v>0</v>
      </c>
      <c r="AF90">
        <f>'Pretax Fuel Prices'!AF90+'Fuel Taxes'!AF90</f>
        <v>0</v>
      </c>
      <c r="AG90">
        <f>'Pretax Fuel Prices'!AG90+'Fuel Taxes'!AG90</f>
        <v>0</v>
      </c>
      <c r="AH90">
        <f>'Pretax Fuel Prices'!AH90+'Fuel Taxes'!AH90</f>
        <v>0</v>
      </c>
      <c r="AI90">
        <f>'Pretax Fuel Prices'!AI90+'Fuel Taxes'!AI90</f>
        <v>0</v>
      </c>
    </row>
    <row r="91" spans="1:51" s="4" customFormat="1" x14ac:dyDescent="0.35">
      <c r="A91" s="6" t="s">
        <v>38</v>
      </c>
    </row>
    <row r="92" spans="1:51" x14ac:dyDescent="0.35">
      <c r="A92" t="s">
        <v>29</v>
      </c>
      <c r="B92" s="1">
        <v>2021</v>
      </c>
      <c r="C92" s="1">
        <v>2022</v>
      </c>
      <c r="D92" s="1">
        <v>2023</v>
      </c>
      <c r="E92" s="1">
        <v>2024</v>
      </c>
      <c r="F92" s="1">
        <v>2025</v>
      </c>
      <c r="G92" s="1">
        <v>2026</v>
      </c>
      <c r="H92" s="1">
        <v>2027</v>
      </c>
      <c r="I92" s="1">
        <v>2028</v>
      </c>
      <c r="J92" s="1">
        <v>2029</v>
      </c>
      <c r="K92" s="1">
        <v>2030</v>
      </c>
      <c r="L92" s="1">
        <v>2031</v>
      </c>
      <c r="M92" s="1">
        <v>2032</v>
      </c>
      <c r="N92" s="1">
        <v>2033</v>
      </c>
      <c r="O92" s="1">
        <v>2034</v>
      </c>
      <c r="P92" s="1">
        <v>2035</v>
      </c>
      <c r="Q92" s="1">
        <v>2036</v>
      </c>
      <c r="R92" s="1">
        <v>2037</v>
      </c>
      <c r="S92" s="1">
        <v>2038</v>
      </c>
      <c r="T92" s="1">
        <v>2039</v>
      </c>
      <c r="U92" s="1">
        <v>2040</v>
      </c>
      <c r="V92" s="1">
        <v>2041</v>
      </c>
      <c r="W92" s="1">
        <v>2042</v>
      </c>
      <c r="X92" s="1">
        <v>2043</v>
      </c>
      <c r="Y92" s="1">
        <v>2044</v>
      </c>
      <c r="Z92" s="1">
        <v>2045</v>
      </c>
      <c r="AA92" s="1">
        <v>2046</v>
      </c>
      <c r="AB92" s="1">
        <v>2047</v>
      </c>
      <c r="AC92" s="1">
        <v>2048</v>
      </c>
      <c r="AD92" s="1">
        <v>2049</v>
      </c>
      <c r="AE92" s="1">
        <v>2050</v>
      </c>
      <c r="AF92" s="1">
        <v>2051</v>
      </c>
      <c r="AG92" s="1">
        <v>2052</v>
      </c>
      <c r="AH92" s="1">
        <v>2053</v>
      </c>
      <c r="AI92" s="1">
        <v>2054</v>
      </c>
      <c r="AJ92" s="1">
        <v>2055</v>
      </c>
      <c r="AK92" s="1">
        <v>2056</v>
      </c>
      <c r="AL92" s="1">
        <v>2057</v>
      </c>
      <c r="AM92" s="1">
        <v>2058</v>
      </c>
      <c r="AN92" s="1">
        <v>2059</v>
      </c>
      <c r="AO92" s="1">
        <v>2060</v>
      </c>
      <c r="AP92" s="1">
        <v>2061</v>
      </c>
      <c r="AQ92" s="1">
        <v>2062</v>
      </c>
      <c r="AR92" s="1">
        <v>2063</v>
      </c>
      <c r="AS92" s="1">
        <v>2064</v>
      </c>
      <c r="AT92" s="1">
        <v>2065</v>
      </c>
      <c r="AU92" s="1">
        <v>2066</v>
      </c>
      <c r="AV92" s="1">
        <v>2067</v>
      </c>
      <c r="AW92" s="1">
        <v>2068</v>
      </c>
      <c r="AX92" s="1">
        <v>2069</v>
      </c>
      <c r="AY92" s="1">
        <v>2070</v>
      </c>
    </row>
    <row r="93" spans="1:51" x14ac:dyDescent="0.35">
      <c r="A93" t="s">
        <v>51</v>
      </c>
      <c r="B93">
        <f>'Pretax Fuel Prices'!B93+'Fuel Taxes'!B93</f>
        <v>0</v>
      </c>
      <c r="C93">
        <f>'Pretax Fuel Prices'!C93+'Fuel Taxes'!C93</f>
        <v>0</v>
      </c>
      <c r="D93">
        <f>'Pretax Fuel Prices'!D93+'Fuel Taxes'!D93</f>
        <v>0</v>
      </c>
      <c r="E93">
        <f>'Pretax Fuel Prices'!E93+'Fuel Taxes'!E93</f>
        <v>0</v>
      </c>
      <c r="F93">
        <f>'Pretax Fuel Prices'!F93+'Fuel Taxes'!F93</f>
        <v>0</v>
      </c>
      <c r="G93">
        <f>'Pretax Fuel Prices'!G93+'Fuel Taxes'!G93</f>
        <v>0</v>
      </c>
      <c r="H93">
        <f>'Pretax Fuel Prices'!H93+'Fuel Taxes'!H93</f>
        <v>0</v>
      </c>
      <c r="I93">
        <f>'Pretax Fuel Prices'!I93+'Fuel Taxes'!I93</f>
        <v>0</v>
      </c>
      <c r="J93">
        <f>'Pretax Fuel Prices'!J93+'Fuel Taxes'!J93</f>
        <v>0</v>
      </c>
      <c r="K93">
        <f>'Pretax Fuel Prices'!K93+'Fuel Taxes'!K93</f>
        <v>0</v>
      </c>
      <c r="L93">
        <f>'Pretax Fuel Prices'!L93+'Fuel Taxes'!L93</f>
        <v>0</v>
      </c>
      <c r="M93">
        <f>'Pretax Fuel Prices'!M93+'Fuel Taxes'!M93</f>
        <v>0</v>
      </c>
      <c r="N93">
        <f>'Pretax Fuel Prices'!N93+'Fuel Taxes'!N93</f>
        <v>0</v>
      </c>
      <c r="O93">
        <f>'Pretax Fuel Prices'!O93+'Fuel Taxes'!O93</f>
        <v>0</v>
      </c>
      <c r="P93">
        <f>'Pretax Fuel Prices'!P93+'Fuel Taxes'!P93</f>
        <v>0</v>
      </c>
      <c r="Q93">
        <f>'Pretax Fuel Prices'!Q93+'Fuel Taxes'!Q93</f>
        <v>0</v>
      </c>
      <c r="R93">
        <f>'Pretax Fuel Prices'!R93+'Fuel Taxes'!R93</f>
        <v>0</v>
      </c>
      <c r="S93">
        <f>'Pretax Fuel Prices'!S93+'Fuel Taxes'!S93</f>
        <v>0</v>
      </c>
      <c r="T93">
        <f>'Pretax Fuel Prices'!T93+'Fuel Taxes'!T93</f>
        <v>0</v>
      </c>
      <c r="U93">
        <f>'Pretax Fuel Prices'!U93+'Fuel Taxes'!U93</f>
        <v>0</v>
      </c>
      <c r="V93">
        <f>'Pretax Fuel Prices'!V93+'Fuel Taxes'!V93</f>
        <v>0</v>
      </c>
      <c r="W93">
        <f>'Pretax Fuel Prices'!W93+'Fuel Taxes'!W93</f>
        <v>0</v>
      </c>
      <c r="X93">
        <f>'Pretax Fuel Prices'!X93+'Fuel Taxes'!X93</f>
        <v>0</v>
      </c>
      <c r="Y93">
        <f>'Pretax Fuel Prices'!Y93+'Fuel Taxes'!Y93</f>
        <v>0</v>
      </c>
      <c r="Z93">
        <f>'Pretax Fuel Prices'!Z93+'Fuel Taxes'!Z93</f>
        <v>0</v>
      </c>
      <c r="AA93">
        <f>'Pretax Fuel Prices'!AA93+'Fuel Taxes'!AA93</f>
        <v>0</v>
      </c>
      <c r="AB93">
        <f>'Pretax Fuel Prices'!AB93+'Fuel Taxes'!AB93</f>
        <v>0</v>
      </c>
      <c r="AC93">
        <f>'Pretax Fuel Prices'!AC93+'Fuel Taxes'!AC93</f>
        <v>0</v>
      </c>
      <c r="AD93">
        <f>'Pretax Fuel Prices'!AD93+'Fuel Taxes'!AD93</f>
        <v>0</v>
      </c>
      <c r="AE93">
        <f>'Pretax Fuel Prices'!AE93+'Fuel Taxes'!AE93</f>
        <v>0</v>
      </c>
      <c r="AF93">
        <f>'Pretax Fuel Prices'!AF93+'Fuel Taxes'!AF93</f>
        <v>0</v>
      </c>
      <c r="AG93">
        <f>'Pretax Fuel Prices'!AG93+'Fuel Taxes'!AG93</f>
        <v>0</v>
      </c>
      <c r="AH93">
        <f>'Pretax Fuel Prices'!AH93+'Fuel Taxes'!AH93</f>
        <v>0</v>
      </c>
      <c r="AI93">
        <f>'Pretax Fuel Prices'!AI93+'Fuel Taxes'!AI93</f>
        <v>0</v>
      </c>
    </row>
    <row r="94" spans="1:51" x14ac:dyDescent="0.35">
      <c r="A94" t="s">
        <v>52</v>
      </c>
      <c r="B94">
        <f>'Pretax Fuel Prices'!B94+'Fuel Taxes'!B94</f>
        <v>1.8905991541657413E-6</v>
      </c>
      <c r="C94">
        <f>'Pretax Fuel Prices'!C94+'Fuel Taxes'!C94</f>
        <v>1.8905991541657413E-6</v>
      </c>
      <c r="D94">
        <f>'Pretax Fuel Prices'!D94+'Fuel Taxes'!D94</f>
        <v>1.8814214883688203E-6</v>
      </c>
      <c r="E94">
        <f>'Pretax Fuel Prices'!E94+'Fuel Taxes'!E94</f>
        <v>1.8905991541657413E-6</v>
      </c>
      <c r="F94">
        <f>'Pretax Fuel Prices'!F94+'Fuel Taxes'!F94</f>
        <v>1.863066156774978E-6</v>
      </c>
      <c r="G94">
        <f>'Pretax Fuel Prices'!G94+'Fuel Taxes'!G94</f>
        <v>1.8355331593842151E-6</v>
      </c>
      <c r="H94">
        <f>'Pretax Fuel Prices'!H94+'Fuel Taxes'!H94</f>
        <v>1.8171778277903729E-6</v>
      </c>
      <c r="I94">
        <f>'Pretax Fuel Prices'!I94+'Fuel Taxes'!I94</f>
        <v>1.8080001619934514E-6</v>
      </c>
      <c r="J94">
        <f>'Pretax Fuel Prices'!J94+'Fuel Taxes'!J94</f>
        <v>1.7896448303996096E-6</v>
      </c>
      <c r="K94">
        <f>'Pretax Fuel Prices'!K94+'Fuel Taxes'!K94</f>
        <v>1.7988224961965306E-6</v>
      </c>
      <c r="L94">
        <f>'Pretax Fuel Prices'!L94+'Fuel Taxes'!L94</f>
        <v>1.8080001619934514E-6</v>
      </c>
      <c r="M94">
        <f>'Pretax Fuel Prices'!M94+'Fuel Taxes'!M94</f>
        <v>1.7988224961965306E-6</v>
      </c>
      <c r="N94">
        <f>'Pretax Fuel Prices'!N94+'Fuel Taxes'!N94</f>
        <v>1.7988224961965306E-6</v>
      </c>
      <c r="O94">
        <f>'Pretax Fuel Prices'!O94+'Fuel Taxes'!O94</f>
        <v>1.7988224961965306E-6</v>
      </c>
      <c r="P94">
        <f>'Pretax Fuel Prices'!P94+'Fuel Taxes'!P94</f>
        <v>1.7896448303996096E-6</v>
      </c>
      <c r="Q94">
        <f>'Pretax Fuel Prices'!Q94+'Fuel Taxes'!Q94</f>
        <v>1.7896448303996096E-6</v>
      </c>
      <c r="R94">
        <f>'Pretax Fuel Prices'!R94+'Fuel Taxes'!R94</f>
        <v>1.7988224961965306E-6</v>
      </c>
      <c r="S94">
        <f>'Pretax Fuel Prices'!S94+'Fuel Taxes'!S94</f>
        <v>1.7988224961965306E-6</v>
      </c>
      <c r="T94">
        <f>'Pretax Fuel Prices'!T94+'Fuel Taxes'!T94</f>
        <v>1.7896448303996096E-6</v>
      </c>
      <c r="U94">
        <f>'Pretax Fuel Prices'!U94+'Fuel Taxes'!U94</f>
        <v>1.7896448303996096E-6</v>
      </c>
      <c r="V94">
        <f>'Pretax Fuel Prices'!V94+'Fuel Taxes'!V94</f>
        <v>1.7988224961965306E-6</v>
      </c>
      <c r="W94">
        <f>'Pretax Fuel Prices'!W94+'Fuel Taxes'!W94</f>
        <v>1.7988224961965306E-6</v>
      </c>
      <c r="X94">
        <f>'Pretax Fuel Prices'!X94+'Fuel Taxes'!X94</f>
        <v>1.7896448303996096E-6</v>
      </c>
      <c r="Y94">
        <f>'Pretax Fuel Prices'!Y94+'Fuel Taxes'!Y94</f>
        <v>1.7896448303996096E-6</v>
      </c>
      <c r="Z94">
        <f>'Pretax Fuel Prices'!Z94+'Fuel Taxes'!Z94</f>
        <v>1.7896448303996096E-6</v>
      </c>
      <c r="AA94">
        <f>'Pretax Fuel Prices'!AA94+'Fuel Taxes'!AA94</f>
        <v>1.7896448303996096E-6</v>
      </c>
      <c r="AB94">
        <f>'Pretax Fuel Prices'!AB94+'Fuel Taxes'!AB94</f>
        <v>1.7896448303996096E-6</v>
      </c>
      <c r="AC94">
        <f>'Pretax Fuel Prices'!AC94+'Fuel Taxes'!AC94</f>
        <v>1.7896448303996096E-6</v>
      </c>
      <c r="AD94">
        <f>'Pretax Fuel Prices'!AD94+'Fuel Taxes'!AD94</f>
        <v>1.7896448303996096E-6</v>
      </c>
      <c r="AE94">
        <f>'Pretax Fuel Prices'!AE94+'Fuel Taxes'!AE94</f>
        <v>1.7896448303996096E-6</v>
      </c>
      <c r="AF94">
        <f>'Pretax Fuel Prices'!AF94+'Fuel Taxes'!AF94</f>
        <v>0</v>
      </c>
      <c r="AG94">
        <f>'Pretax Fuel Prices'!AG94+'Fuel Taxes'!AG94</f>
        <v>0</v>
      </c>
      <c r="AH94">
        <f>'Pretax Fuel Prices'!AH94+'Fuel Taxes'!AH94</f>
        <v>0</v>
      </c>
      <c r="AI94">
        <f>'Pretax Fuel Prices'!AI94+'Fuel Taxes'!AI94</f>
        <v>0</v>
      </c>
    </row>
    <row r="95" spans="1:51" x14ac:dyDescent="0.35">
      <c r="A95" t="s">
        <v>53</v>
      </c>
      <c r="B95">
        <f>'Pretax Fuel Prices'!B95+'Fuel Taxes'!B95</f>
        <v>0</v>
      </c>
      <c r="C95">
        <f>'Pretax Fuel Prices'!C95+'Fuel Taxes'!C95</f>
        <v>0</v>
      </c>
      <c r="D95">
        <f>'Pretax Fuel Prices'!D95+'Fuel Taxes'!D95</f>
        <v>0</v>
      </c>
      <c r="E95">
        <f>'Pretax Fuel Prices'!E95+'Fuel Taxes'!E95</f>
        <v>0</v>
      </c>
      <c r="F95">
        <f>'Pretax Fuel Prices'!F95+'Fuel Taxes'!F95</f>
        <v>0</v>
      </c>
      <c r="G95">
        <f>'Pretax Fuel Prices'!G95+'Fuel Taxes'!G95</f>
        <v>0</v>
      </c>
      <c r="H95">
        <f>'Pretax Fuel Prices'!H95+'Fuel Taxes'!H95</f>
        <v>0</v>
      </c>
      <c r="I95">
        <f>'Pretax Fuel Prices'!I95+'Fuel Taxes'!I95</f>
        <v>0</v>
      </c>
      <c r="J95">
        <f>'Pretax Fuel Prices'!J95+'Fuel Taxes'!J95</f>
        <v>0</v>
      </c>
      <c r="K95">
        <f>'Pretax Fuel Prices'!K95+'Fuel Taxes'!K95</f>
        <v>0</v>
      </c>
      <c r="L95">
        <f>'Pretax Fuel Prices'!L95+'Fuel Taxes'!L95</f>
        <v>0</v>
      </c>
      <c r="M95">
        <f>'Pretax Fuel Prices'!M95+'Fuel Taxes'!M95</f>
        <v>0</v>
      </c>
      <c r="N95">
        <f>'Pretax Fuel Prices'!N95+'Fuel Taxes'!N95</f>
        <v>0</v>
      </c>
      <c r="O95">
        <f>'Pretax Fuel Prices'!O95+'Fuel Taxes'!O95</f>
        <v>0</v>
      </c>
      <c r="P95">
        <f>'Pretax Fuel Prices'!P95+'Fuel Taxes'!P95</f>
        <v>0</v>
      </c>
      <c r="Q95">
        <f>'Pretax Fuel Prices'!Q95+'Fuel Taxes'!Q95</f>
        <v>0</v>
      </c>
      <c r="R95">
        <f>'Pretax Fuel Prices'!R95+'Fuel Taxes'!R95</f>
        <v>0</v>
      </c>
      <c r="S95">
        <f>'Pretax Fuel Prices'!S95+'Fuel Taxes'!S95</f>
        <v>0</v>
      </c>
      <c r="T95">
        <f>'Pretax Fuel Prices'!T95+'Fuel Taxes'!T95</f>
        <v>0</v>
      </c>
      <c r="U95">
        <f>'Pretax Fuel Prices'!U95+'Fuel Taxes'!U95</f>
        <v>0</v>
      </c>
      <c r="V95">
        <f>'Pretax Fuel Prices'!V95+'Fuel Taxes'!V95</f>
        <v>0</v>
      </c>
      <c r="W95">
        <f>'Pretax Fuel Prices'!W95+'Fuel Taxes'!W95</f>
        <v>0</v>
      </c>
      <c r="X95">
        <f>'Pretax Fuel Prices'!X95+'Fuel Taxes'!X95</f>
        <v>0</v>
      </c>
      <c r="Y95">
        <f>'Pretax Fuel Prices'!Y95+'Fuel Taxes'!Y95</f>
        <v>0</v>
      </c>
      <c r="Z95">
        <f>'Pretax Fuel Prices'!Z95+'Fuel Taxes'!Z95</f>
        <v>0</v>
      </c>
      <c r="AA95">
        <f>'Pretax Fuel Prices'!AA95+'Fuel Taxes'!AA95</f>
        <v>0</v>
      </c>
      <c r="AB95">
        <f>'Pretax Fuel Prices'!AB95+'Fuel Taxes'!AB95</f>
        <v>0</v>
      </c>
      <c r="AC95">
        <f>'Pretax Fuel Prices'!AC95+'Fuel Taxes'!AC95</f>
        <v>0</v>
      </c>
      <c r="AD95">
        <f>'Pretax Fuel Prices'!AD95+'Fuel Taxes'!AD95</f>
        <v>0</v>
      </c>
      <c r="AE95">
        <f>'Pretax Fuel Prices'!AE95+'Fuel Taxes'!AE95</f>
        <v>0</v>
      </c>
      <c r="AF95">
        <f>'Pretax Fuel Prices'!AF95+'Fuel Taxes'!AF95</f>
        <v>0</v>
      </c>
      <c r="AG95">
        <f>'Pretax Fuel Prices'!AG95+'Fuel Taxes'!AG95</f>
        <v>0</v>
      </c>
      <c r="AH95">
        <f>'Pretax Fuel Prices'!AH95+'Fuel Taxes'!AH95</f>
        <v>0</v>
      </c>
      <c r="AI95">
        <f>'Pretax Fuel Prices'!AI95+'Fuel Taxes'!AI95</f>
        <v>0</v>
      </c>
    </row>
    <row r="96" spans="1:51" x14ac:dyDescent="0.35">
      <c r="A96" t="s">
        <v>54</v>
      </c>
      <c r="B96">
        <f>'Pretax Fuel Prices'!B96+'Fuel Taxes'!B96</f>
        <v>0</v>
      </c>
      <c r="C96">
        <f>'Pretax Fuel Prices'!C96+'Fuel Taxes'!C96</f>
        <v>0</v>
      </c>
      <c r="D96">
        <f>'Pretax Fuel Prices'!D96+'Fuel Taxes'!D96</f>
        <v>0</v>
      </c>
      <c r="E96">
        <f>'Pretax Fuel Prices'!E96+'Fuel Taxes'!E96</f>
        <v>0</v>
      </c>
      <c r="F96">
        <f>'Pretax Fuel Prices'!F96+'Fuel Taxes'!F96</f>
        <v>0</v>
      </c>
      <c r="G96">
        <f>'Pretax Fuel Prices'!G96+'Fuel Taxes'!G96</f>
        <v>0</v>
      </c>
      <c r="H96">
        <f>'Pretax Fuel Prices'!H96+'Fuel Taxes'!H96</f>
        <v>0</v>
      </c>
      <c r="I96">
        <f>'Pretax Fuel Prices'!I96+'Fuel Taxes'!I96</f>
        <v>0</v>
      </c>
      <c r="J96">
        <f>'Pretax Fuel Prices'!J96+'Fuel Taxes'!J96</f>
        <v>0</v>
      </c>
      <c r="K96">
        <f>'Pretax Fuel Prices'!K96+'Fuel Taxes'!K96</f>
        <v>0</v>
      </c>
      <c r="L96">
        <f>'Pretax Fuel Prices'!L96+'Fuel Taxes'!L96</f>
        <v>0</v>
      </c>
      <c r="M96">
        <f>'Pretax Fuel Prices'!M96+'Fuel Taxes'!M96</f>
        <v>0</v>
      </c>
      <c r="N96">
        <f>'Pretax Fuel Prices'!N96+'Fuel Taxes'!N96</f>
        <v>0</v>
      </c>
      <c r="O96">
        <f>'Pretax Fuel Prices'!O96+'Fuel Taxes'!O96</f>
        <v>0</v>
      </c>
      <c r="P96">
        <f>'Pretax Fuel Prices'!P96+'Fuel Taxes'!P96</f>
        <v>0</v>
      </c>
      <c r="Q96">
        <f>'Pretax Fuel Prices'!Q96+'Fuel Taxes'!Q96</f>
        <v>0</v>
      </c>
      <c r="R96">
        <f>'Pretax Fuel Prices'!R96+'Fuel Taxes'!R96</f>
        <v>0</v>
      </c>
      <c r="S96">
        <f>'Pretax Fuel Prices'!S96+'Fuel Taxes'!S96</f>
        <v>0</v>
      </c>
      <c r="T96">
        <f>'Pretax Fuel Prices'!T96+'Fuel Taxes'!T96</f>
        <v>0</v>
      </c>
      <c r="U96">
        <f>'Pretax Fuel Prices'!U96+'Fuel Taxes'!U96</f>
        <v>0</v>
      </c>
      <c r="V96">
        <f>'Pretax Fuel Prices'!V96+'Fuel Taxes'!V96</f>
        <v>0</v>
      </c>
      <c r="W96">
        <f>'Pretax Fuel Prices'!W96+'Fuel Taxes'!W96</f>
        <v>0</v>
      </c>
      <c r="X96">
        <f>'Pretax Fuel Prices'!X96+'Fuel Taxes'!X96</f>
        <v>0</v>
      </c>
      <c r="Y96">
        <f>'Pretax Fuel Prices'!Y96+'Fuel Taxes'!Y96</f>
        <v>0</v>
      </c>
      <c r="Z96">
        <f>'Pretax Fuel Prices'!Z96+'Fuel Taxes'!Z96</f>
        <v>0</v>
      </c>
      <c r="AA96">
        <f>'Pretax Fuel Prices'!AA96+'Fuel Taxes'!AA96</f>
        <v>0</v>
      </c>
      <c r="AB96">
        <f>'Pretax Fuel Prices'!AB96+'Fuel Taxes'!AB96</f>
        <v>0</v>
      </c>
      <c r="AC96">
        <f>'Pretax Fuel Prices'!AC96+'Fuel Taxes'!AC96</f>
        <v>0</v>
      </c>
      <c r="AD96">
        <f>'Pretax Fuel Prices'!AD96+'Fuel Taxes'!AD96</f>
        <v>0</v>
      </c>
      <c r="AE96">
        <f>'Pretax Fuel Prices'!AE96+'Fuel Taxes'!AE96</f>
        <v>0</v>
      </c>
      <c r="AF96">
        <f>'Pretax Fuel Prices'!AF96+'Fuel Taxes'!AF96</f>
        <v>0</v>
      </c>
      <c r="AG96">
        <f>'Pretax Fuel Prices'!AG96+'Fuel Taxes'!AG96</f>
        <v>0</v>
      </c>
      <c r="AH96">
        <f>'Pretax Fuel Prices'!AH96+'Fuel Taxes'!AH96</f>
        <v>0</v>
      </c>
      <c r="AI96">
        <f>'Pretax Fuel Prices'!AI96+'Fuel Taxes'!AI96</f>
        <v>0</v>
      </c>
    </row>
    <row r="97" spans="1:51" x14ac:dyDescent="0.35">
      <c r="A97" t="s">
        <v>55</v>
      </c>
      <c r="B97">
        <f>'Pretax Fuel Prices'!B97+'Fuel Taxes'!B97</f>
        <v>1.8905991541657413E-6</v>
      </c>
      <c r="C97">
        <f>'Pretax Fuel Prices'!C97+'Fuel Taxes'!C97</f>
        <v>1.8905991541657413E-6</v>
      </c>
      <c r="D97">
        <f>'Pretax Fuel Prices'!D97+'Fuel Taxes'!D97</f>
        <v>1.8815532251984416E-6</v>
      </c>
      <c r="E97">
        <f>'Pretax Fuel Prices'!E97+'Fuel Taxes'!E97</f>
        <v>1.8905991541657413E-6</v>
      </c>
      <c r="F97">
        <f>'Pretax Fuel Prices'!F97+'Fuel Taxes'!F97</f>
        <v>1.8725072962311407E-6</v>
      </c>
      <c r="G97">
        <f>'Pretax Fuel Prices'!G97+'Fuel Taxes'!G97</f>
        <v>1.8453695093292406E-6</v>
      </c>
      <c r="H97">
        <f>'Pretax Fuel Prices'!H97+'Fuel Taxes'!H97</f>
        <v>1.8363235803619402E-6</v>
      </c>
      <c r="I97">
        <f>'Pretax Fuel Prices'!I97+'Fuel Taxes'!I97</f>
        <v>1.8272776513946403E-6</v>
      </c>
      <c r="J97">
        <f>'Pretax Fuel Prices'!J97+'Fuel Taxes'!J97</f>
        <v>1.8182317224273399E-6</v>
      </c>
      <c r="K97">
        <f>'Pretax Fuel Prices'!K97+'Fuel Taxes'!K97</f>
        <v>1.8272776513946403E-6</v>
      </c>
      <c r="L97">
        <f>'Pretax Fuel Prices'!L97+'Fuel Taxes'!L97</f>
        <v>1.8363235803619402E-6</v>
      </c>
      <c r="M97">
        <f>'Pretax Fuel Prices'!M97+'Fuel Taxes'!M97</f>
        <v>1.8182317224273399E-6</v>
      </c>
      <c r="N97">
        <f>'Pretax Fuel Prices'!N97+'Fuel Taxes'!N97</f>
        <v>1.8272776513946403E-6</v>
      </c>
      <c r="O97">
        <f>'Pretax Fuel Prices'!O97+'Fuel Taxes'!O97</f>
        <v>1.8272776513946403E-6</v>
      </c>
      <c r="P97">
        <f>'Pretax Fuel Prices'!P97+'Fuel Taxes'!P97</f>
        <v>1.8182317224273399E-6</v>
      </c>
      <c r="Q97">
        <f>'Pretax Fuel Prices'!Q97+'Fuel Taxes'!Q97</f>
        <v>1.8182317224273399E-6</v>
      </c>
      <c r="R97">
        <f>'Pretax Fuel Prices'!R97+'Fuel Taxes'!R97</f>
        <v>1.8272776513946403E-6</v>
      </c>
      <c r="S97">
        <f>'Pretax Fuel Prices'!S97+'Fuel Taxes'!S97</f>
        <v>1.8272776513946403E-6</v>
      </c>
      <c r="T97">
        <f>'Pretax Fuel Prices'!T97+'Fuel Taxes'!T97</f>
        <v>1.8182317224273399E-6</v>
      </c>
      <c r="U97">
        <f>'Pretax Fuel Prices'!U97+'Fuel Taxes'!U97</f>
        <v>1.8182317224273399E-6</v>
      </c>
      <c r="V97">
        <f>'Pretax Fuel Prices'!V97+'Fuel Taxes'!V97</f>
        <v>1.8272776513946403E-6</v>
      </c>
      <c r="W97">
        <f>'Pretax Fuel Prices'!W97+'Fuel Taxes'!W97</f>
        <v>1.8272776513946403E-6</v>
      </c>
      <c r="X97">
        <f>'Pretax Fuel Prices'!X97+'Fuel Taxes'!X97</f>
        <v>1.8272776513946403E-6</v>
      </c>
      <c r="Y97">
        <f>'Pretax Fuel Prices'!Y97+'Fuel Taxes'!Y97</f>
        <v>1.8182317224273399E-6</v>
      </c>
      <c r="Z97">
        <f>'Pretax Fuel Prices'!Z97+'Fuel Taxes'!Z97</f>
        <v>1.8182317224273399E-6</v>
      </c>
      <c r="AA97">
        <f>'Pretax Fuel Prices'!AA97+'Fuel Taxes'!AA97</f>
        <v>1.8272776513946403E-6</v>
      </c>
      <c r="AB97">
        <f>'Pretax Fuel Prices'!AB97+'Fuel Taxes'!AB97</f>
        <v>1.8272776513946403E-6</v>
      </c>
      <c r="AC97">
        <f>'Pretax Fuel Prices'!AC97+'Fuel Taxes'!AC97</f>
        <v>1.8272776513946403E-6</v>
      </c>
      <c r="AD97">
        <f>'Pretax Fuel Prices'!AD97+'Fuel Taxes'!AD97</f>
        <v>1.8272776513946403E-6</v>
      </c>
      <c r="AE97">
        <f>'Pretax Fuel Prices'!AE97+'Fuel Taxes'!AE97</f>
        <v>1.8272776513946403E-6</v>
      </c>
      <c r="AF97">
        <f>'Pretax Fuel Prices'!AF97+'Fuel Taxes'!AF97</f>
        <v>0</v>
      </c>
      <c r="AG97">
        <f>'Pretax Fuel Prices'!AG97+'Fuel Taxes'!AG97</f>
        <v>0</v>
      </c>
      <c r="AH97">
        <f>'Pretax Fuel Prices'!AH97+'Fuel Taxes'!AH97</f>
        <v>0</v>
      </c>
      <c r="AI97">
        <f>'Pretax Fuel Prices'!AI97+'Fuel Taxes'!AI97</f>
        <v>0</v>
      </c>
    </row>
    <row r="98" spans="1:51" x14ac:dyDescent="0.35">
      <c r="A98" t="s">
        <v>56</v>
      </c>
      <c r="B98">
        <f>'Pretax Fuel Prices'!B98+'Fuel Taxes'!B98</f>
        <v>1.8905991541657413E-6</v>
      </c>
      <c r="C98">
        <f>'Pretax Fuel Prices'!C98+'Fuel Taxes'!C98</f>
        <v>1.8905991541657413E-6</v>
      </c>
      <c r="D98">
        <f>'Pretax Fuel Prices'!D98+'Fuel Taxes'!D98</f>
        <v>1.8815532251984416E-6</v>
      </c>
      <c r="E98">
        <f>'Pretax Fuel Prices'!E98+'Fuel Taxes'!E98</f>
        <v>1.8905991541657413E-6</v>
      </c>
      <c r="F98">
        <f>'Pretax Fuel Prices'!F98+'Fuel Taxes'!F98</f>
        <v>1.8725072962311407E-6</v>
      </c>
      <c r="G98">
        <f>'Pretax Fuel Prices'!G98+'Fuel Taxes'!G98</f>
        <v>1.8453695093292406E-6</v>
      </c>
      <c r="H98">
        <f>'Pretax Fuel Prices'!H98+'Fuel Taxes'!H98</f>
        <v>1.8363235803619402E-6</v>
      </c>
      <c r="I98">
        <f>'Pretax Fuel Prices'!I98+'Fuel Taxes'!I98</f>
        <v>1.8272776513946403E-6</v>
      </c>
      <c r="J98">
        <f>'Pretax Fuel Prices'!J98+'Fuel Taxes'!J98</f>
        <v>1.8182317224273399E-6</v>
      </c>
      <c r="K98">
        <f>'Pretax Fuel Prices'!K98+'Fuel Taxes'!K98</f>
        <v>1.8272776513946403E-6</v>
      </c>
      <c r="L98">
        <f>'Pretax Fuel Prices'!L98+'Fuel Taxes'!L98</f>
        <v>1.8363235803619402E-6</v>
      </c>
      <c r="M98">
        <f>'Pretax Fuel Prices'!M98+'Fuel Taxes'!M98</f>
        <v>1.8182317224273399E-6</v>
      </c>
      <c r="N98">
        <f>'Pretax Fuel Prices'!N98+'Fuel Taxes'!N98</f>
        <v>1.8272776513946403E-6</v>
      </c>
      <c r="O98">
        <f>'Pretax Fuel Prices'!O98+'Fuel Taxes'!O98</f>
        <v>1.8272776513946403E-6</v>
      </c>
      <c r="P98">
        <f>'Pretax Fuel Prices'!P98+'Fuel Taxes'!P98</f>
        <v>1.8182317224273399E-6</v>
      </c>
      <c r="Q98">
        <f>'Pretax Fuel Prices'!Q98+'Fuel Taxes'!Q98</f>
        <v>1.8182317224273399E-6</v>
      </c>
      <c r="R98">
        <f>'Pretax Fuel Prices'!R98+'Fuel Taxes'!R98</f>
        <v>1.8272776513946403E-6</v>
      </c>
      <c r="S98">
        <f>'Pretax Fuel Prices'!S98+'Fuel Taxes'!S98</f>
        <v>1.8272776513946403E-6</v>
      </c>
      <c r="T98">
        <f>'Pretax Fuel Prices'!T98+'Fuel Taxes'!T98</f>
        <v>1.8182317224273399E-6</v>
      </c>
      <c r="U98">
        <f>'Pretax Fuel Prices'!U98+'Fuel Taxes'!U98</f>
        <v>1.8182317224273399E-6</v>
      </c>
      <c r="V98">
        <f>'Pretax Fuel Prices'!V98+'Fuel Taxes'!V98</f>
        <v>1.8272776513946403E-6</v>
      </c>
      <c r="W98">
        <f>'Pretax Fuel Prices'!W98+'Fuel Taxes'!W98</f>
        <v>1.8272776513946403E-6</v>
      </c>
      <c r="X98">
        <f>'Pretax Fuel Prices'!X98+'Fuel Taxes'!X98</f>
        <v>1.8272776513946403E-6</v>
      </c>
      <c r="Y98">
        <f>'Pretax Fuel Prices'!Y98+'Fuel Taxes'!Y98</f>
        <v>1.8182317224273399E-6</v>
      </c>
      <c r="Z98">
        <f>'Pretax Fuel Prices'!Z98+'Fuel Taxes'!Z98</f>
        <v>1.8182317224273399E-6</v>
      </c>
      <c r="AA98">
        <f>'Pretax Fuel Prices'!AA98+'Fuel Taxes'!AA98</f>
        <v>1.8272776513946403E-6</v>
      </c>
      <c r="AB98">
        <f>'Pretax Fuel Prices'!AB98+'Fuel Taxes'!AB98</f>
        <v>1.8272776513946403E-6</v>
      </c>
      <c r="AC98">
        <f>'Pretax Fuel Prices'!AC98+'Fuel Taxes'!AC98</f>
        <v>1.8272776513946403E-6</v>
      </c>
      <c r="AD98">
        <f>'Pretax Fuel Prices'!AD98+'Fuel Taxes'!AD98</f>
        <v>1.8272776513946403E-6</v>
      </c>
      <c r="AE98">
        <f>'Pretax Fuel Prices'!AE98+'Fuel Taxes'!AE98</f>
        <v>1.8272776513946403E-6</v>
      </c>
      <c r="AF98">
        <f>'Pretax Fuel Prices'!AF98+'Fuel Taxes'!AF98</f>
        <v>0</v>
      </c>
      <c r="AG98">
        <f>'Pretax Fuel Prices'!AG98+'Fuel Taxes'!AG98</f>
        <v>0</v>
      </c>
      <c r="AH98">
        <f>'Pretax Fuel Prices'!AH98+'Fuel Taxes'!AH98</f>
        <v>0</v>
      </c>
      <c r="AI98">
        <f>'Pretax Fuel Prices'!AI98+'Fuel Taxes'!AI98</f>
        <v>0</v>
      </c>
    </row>
    <row r="99" spans="1:51" x14ac:dyDescent="0.35">
      <c r="A99" t="s">
        <v>57</v>
      </c>
      <c r="B99">
        <f>'Pretax Fuel Prices'!B99+'Fuel Taxes'!B99</f>
        <v>0</v>
      </c>
      <c r="C99">
        <f>'Pretax Fuel Prices'!C99+'Fuel Taxes'!C99</f>
        <v>0</v>
      </c>
      <c r="D99">
        <f>'Pretax Fuel Prices'!D99+'Fuel Taxes'!D99</f>
        <v>0</v>
      </c>
      <c r="E99">
        <f>'Pretax Fuel Prices'!E99+'Fuel Taxes'!E99</f>
        <v>0</v>
      </c>
      <c r="F99">
        <f>'Pretax Fuel Prices'!F99+'Fuel Taxes'!F99</f>
        <v>0</v>
      </c>
      <c r="G99">
        <f>'Pretax Fuel Prices'!G99+'Fuel Taxes'!G99</f>
        <v>0</v>
      </c>
      <c r="H99">
        <f>'Pretax Fuel Prices'!H99+'Fuel Taxes'!H99</f>
        <v>0</v>
      </c>
      <c r="I99">
        <f>'Pretax Fuel Prices'!I99+'Fuel Taxes'!I99</f>
        <v>0</v>
      </c>
      <c r="J99">
        <f>'Pretax Fuel Prices'!J99+'Fuel Taxes'!J99</f>
        <v>0</v>
      </c>
      <c r="K99">
        <f>'Pretax Fuel Prices'!K99+'Fuel Taxes'!K99</f>
        <v>0</v>
      </c>
      <c r="L99">
        <f>'Pretax Fuel Prices'!L99+'Fuel Taxes'!L99</f>
        <v>0</v>
      </c>
      <c r="M99">
        <f>'Pretax Fuel Prices'!M99+'Fuel Taxes'!M99</f>
        <v>0</v>
      </c>
      <c r="N99">
        <f>'Pretax Fuel Prices'!N99+'Fuel Taxes'!N99</f>
        <v>0</v>
      </c>
      <c r="O99">
        <f>'Pretax Fuel Prices'!O99+'Fuel Taxes'!O99</f>
        <v>0</v>
      </c>
      <c r="P99">
        <f>'Pretax Fuel Prices'!P99+'Fuel Taxes'!P99</f>
        <v>0</v>
      </c>
      <c r="Q99">
        <f>'Pretax Fuel Prices'!Q99+'Fuel Taxes'!Q99</f>
        <v>0</v>
      </c>
      <c r="R99">
        <f>'Pretax Fuel Prices'!R99+'Fuel Taxes'!R99</f>
        <v>0</v>
      </c>
      <c r="S99">
        <f>'Pretax Fuel Prices'!S99+'Fuel Taxes'!S99</f>
        <v>0</v>
      </c>
      <c r="T99">
        <f>'Pretax Fuel Prices'!T99+'Fuel Taxes'!T99</f>
        <v>0</v>
      </c>
      <c r="U99">
        <f>'Pretax Fuel Prices'!U99+'Fuel Taxes'!U99</f>
        <v>0</v>
      </c>
      <c r="V99">
        <f>'Pretax Fuel Prices'!V99+'Fuel Taxes'!V99</f>
        <v>0</v>
      </c>
      <c r="W99">
        <f>'Pretax Fuel Prices'!W99+'Fuel Taxes'!W99</f>
        <v>0</v>
      </c>
      <c r="X99">
        <f>'Pretax Fuel Prices'!X99+'Fuel Taxes'!X99</f>
        <v>0</v>
      </c>
      <c r="Y99">
        <f>'Pretax Fuel Prices'!Y99+'Fuel Taxes'!Y99</f>
        <v>0</v>
      </c>
      <c r="Z99">
        <f>'Pretax Fuel Prices'!Z99+'Fuel Taxes'!Z99</f>
        <v>0</v>
      </c>
      <c r="AA99">
        <f>'Pretax Fuel Prices'!AA99+'Fuel Taxes'!AA99</f>
        <v>0</v>
      </c>
      <c r="AB99">
        <f>'Pretax Fuel Prices'!AB99+'Fuel Taxes'!AB99</f>
        <v>0</v>
      </c>
      <c r="AC99">
        <f>'Pretax Fuel Prices'!AC99+'Fuel Taxes'!AC99</f>
        <v>0</v>
      </c>
      <c r="AD99">
        <f>'Pretax Fuel Prices'!AD99+'Fuel Taxes'!AD99</f>
        <v>0</v>
      </c>
      <c r="AE99">
        <f>'Pretax Fuel Prices'!AE99+'Fuel Taxes'!AE99</f>
        <v>0</v>
      </c>
      <c r="AF99">
        <f>'Pretax Fuel Prices'!AF99+'Fuel Taxes'!AF99</f>
        <v>0</v>
      </c>
      <c r="AG99">
        <f>'Pretax Fuel Prices'!AG99+'Fuel Taxes'!AG99</f>
        <v>0</v>
      </c>
      <c r="AH99">
        <f>'Pretax Fuel Prices'!AH99+'Fuel Taxes'!AH99</f>
        <v>0</v>
      </c>
      <c r="AI99">
        <f>'Pretax Fuel Prices'!AI99+'Fuel Taxes'!AI99</f>
        <v>0</v>
      </c>
    </row>
    <row r="100" spans="1:51" x14ac:dyDescent="0.35">
      <c r="A100" t="s">
        <v>58</v>
      </c>
      <c r="B100">
        <f>'Pretax Fuel Prices'!B100+'Fuel Taxes'!B100</f>
        <v>1.8905991541657413E-6</v>
      </c>
      <c r="C100">
        <f>'Pretax Fuel Prices'!C100+'Fuel Taxes'!C100</f>
        <v>1.8905991541657413E-6</v>
      </c>
      <c r="D100">
        <f>'Pretax Fuel Prices'!D100+'Fuel Taxes'!D100</f>
        <v>1.8815532251984416E-6</v>
      </c>
      <c r="E100">
        <f>'Pretax Fuel Prices'!E100+'Fuel Taxes'!E100</f>
        <v>1.8905991541657413E-6</v>
      </c>
      <c r="F100">
        <f>'Pretax Fuel Prices'!F100+'Fuel Taxes'!F100</f>
        <v>1.8725072962311407E-6</v>
      </c>
      <c r="G100">
        <f>'Pretax Fuel Prices'!G100+'Fuel Taxes'!G100</f>
        <v>1.8453695093292406E-6</v>
      </c>
      <c r="H100">
        <f>'Pretax Fuel Prices'!H100+'Fuel Taxes'!H100</f>
        <v>1.8363235803619402E-6</v>
      </c>
      <c r="I100">
        <f>'Pretax Fuel Prices'!I100+'Fuel Taxes'!I100</f>
        <v>1.8272776513946403E-6</v>
      </c>
      <c r="J100">
        <f>'Pretax Fuel Prices'!J100+'Fuel Taxes'!J100</f>
        <v>1.8182317224273399E-6</v>
      </c>
      <c r="K100">
        <f>'Pretax Fuel Prices'!K100+'Fuel Taxes'!K100</f>
        <v>1.8272776513946403E-6</v>
      </c>
      <c r="L100">
        <f>'Pretax Fuel Prices'!L100+'Fuel Taxes'!L100</f>
        <v>1.8363235803619402E-6</v>
      </c>
      <c r="M100">
        <f>'Pretax Fuel Prices'!M100+'Fuel Taxes'!M100</f>
        <v>1.8182317224273399E-6</v>
      </c>
      <c r="N100">
        <f>'Pretax Fuel Prices'!N100+'Fuel Taxes'!N100</f>
        <v>1.8272776513946403E-6</v>
      </c>
      <c r="O100">
        <f>'Pretax Fuel Prices'!O100+'Fuel Taxes'!O100</f>
        <v>1.8272776513946403E-6</v>
      </c>
      <c r="P100">
        <f>'Pretax Fuel Prices'!P100+'Fuel Taxes'!P100</f>
        <v>1.8182317224273399E-6</v>
      </c>
      <c r="Q100">
        <f>'Pretax Fuel Prices'!Q100+'Fuel Taxes'!Q100</f>
        <v>1.8182317224273399E-6</v>
      </c>
      <c r="R100">
        <f>'Pretax Fuel Prices'!R100+'Fuel Taxes'!R100</f>
        <v>1.8272776513946403E-6</v>
      </c>
      <c r="S100">
        <f>'Pretax Fuel Prices'!S100+'Fuel Taxes'!S100</f>
        <v>1.8272776513946403E-6</v>
      </c>
      <c r="T100">
        <f>'Pretax Fuel Prices'!T100+'Fuel Taxes'!T100</f>
        <v>1.8182317224273399E-6</v>
      </c>
      <c r="U100">
        <f>'Pretax Fuel Prices'!U100+'Fuel Taxes'!U100</f>
        <v>1.8182317224273399E-6</v>
      </c>
      <c r="V100">
        <f>'Pretax Fuel Prices'!V100+'Fuel Taxes'!V100</f>
        <v>1.8272776513946403E-6</v>
      </c>
      <c r="W100">
        <f>'Pretax Fuel Prices'!W100+'Fuel Taxes'!W100</f>
        <v>1.8272776513946403E-6</v>
      </c>
      <c r="X100">
        <f>'Pretax Fuel Prices'!X100+'Fuel Taxes'!X100</f>
        <v>1.8272776513946403E-6</v>
      </c>
      <c r="Y100">
        <f>'Pretax Fuel Prices'!Y100+'Fuel Taxes'!Y100</f>
        <v>1.8182317224273399E-6</v>
      </c>
      <c r="Z100">
        <f>'Pretax Fuel Prices'!Z100+'Fuel Taxes'!Z100</f>
        <v>1.8182317224273399E-6</v>
      </c>
      <c r="AA100">
        <f>'Pretax Fuel Prices'!AA100+'Fuel Taxes'!AA100</f>
        <v>1.8272776513946403E-6</v>
      </c>
      <c r="AB100">
        <f>'Pretax Fuel Prices'!AB100+'Fuel Taxes'!AB100</f>
        <v>1.8272776513946403E-6</v>
      </c>
      <c r="AC100">
        <f>'Pretax Fuel Prices'!AC100+'Fuel Taxes'!AC100</f>
        <v>1.8272776513946403E-6</v>
      </c>
      <c r="AD100">
        <f>'Pretax Fuel Prices'!AD100+'Fuel Taxes'!AD100</f>
        <v>1.8272776513946403E-6</v>
      </c>
      <c r="AE100">
        <f>'Pretax Fuel Prices'!AE100+'Fuel Taxes'!AE100</f>
        <v>1.8272776513946403E-6</v>
      </c>
      <c r="AF100">
        <f>'Pretax Fuel Prices'!AF100+'Fuel Taxes'!AF100</f>
        <v>0</v>
      </c>
      <c r="AG100">
        <f>'Pretax Fuel Prices'!AG100+'Fuel Taxes'!AG100</f>
        <v>0</v>
      </c>
      <c r="AH100">
        <f>'Pretax Fuel Prices'!AH100+'Fuel Taxes'!AH100</f>
        <v>0</v>
      </c>
      <c r="AI100">
        <f>'Pretax Fuel Prices'!AI100+'Fuel Taxes'!AI100</f>
        <v>0</v>
      </c>
    </row>
    <row r="101" spans="1:51" s="4" customFormat="1" x14ac:dyDescent="0.35">
      <c r="A101" s="6" t="s">
        <v>45</v>
      </c>
    </row>
    <row r="102" spans="1:51" x14ac:dyDescent="0.35">
      <c r="A102" t="s">
        <v>29</v>
      </c>
      <c r="B102" s="1">
        <v>2021</v>
      </c>
      <c r="C102" s="1">
        <v>2022</v>
      </c>
      <c r="D102" s="1">
        <v>2023</v>
      </c>
      <c r="E102" s="1">
        <v>2024</v>
      </c>
      <c r="F102" s="1">
        <v>2025</v>
      </c>
      <c r="G102" s="1">
        <v>2026</v>
      </c>
      <c r="H102" s="1">
        <v>2027</v>
      </c>
      <c r="I102" s="1">
        <v>2028</v>
      </c>
      <c r="J102" s="1">
        <v>2029</v>
      </c>
      <c r="K102" s="1">
        <v>2030</v>
      </c>
      <c r="L102" s="1">
        <v>2031</v>
      </c>
      <c r="M102" s="1">
        <v>2032</v>
      </c>
      <c r="N102" s="1">
        <v>2033</v>
      </c>
      <c r="O102" s="1">
        <v>2034</v>
      </c>
      <c r="P102" s="1">
        <v>2035</v>
      </c>
      <c r="Q102" s="1">
        <v>2036</v>
      </c>
      <c r="R102" s="1">
        <v>2037</v>
      </c>
      <c r="S102" s="1">
        <v>2038</v>
      </c>
      <c r="T102" s="1">
        <v>2039</v>
      </c>
      <c r="U102" s="1">
        <v>2040</v>
      </c>
      <c r="V102" s="1">
        <v>2041</v>
      </c>
      <c r="W102" s="1">
        <v>2042</v>
      </c>
      <c r="X102" s="1">
        <v>2043</v>
      </c>
      <c r="Y102" s="1">
        <v>2044</v>
      </c>
      <c r="Z102" s="1">
        <v>2045</v>
      </c>
      <c r="AA102" s="1">
        <v>2046</v>
      </c>
      <c r="AB102" s="1">
        <v>2047</v>
      </c>
      <c r="AC102" s="1">
        <v>2048</v>
      </c>
      <c r="AD102" s="1">
        <v>2049</v>
      </c>
      <c r="AE102" s="1">
        <v>2050</v>
      </c>
      <c r="AF102" s="1">
        <v>2051</v>
      </c>
      <c r="AG102" s="1">
        <v>2052</v>
      </c>
      <c r="AH102" s="1">
        <v>2053</v>
      </c>
      <c r="AI102" s="1">
        <v>2054</v>
      </c>
      <c r="AJ102" s="1">
        <v>2055</v>
      </c>
      <c r="AK102" s="1">
        <v>2056</v>
      </c>
      <c r="AL102" s="1">
        <v>2057</v>
      </c>
      <c r="AM102" s="1">
        <v>2058</v>
      </c>
      <c r="AN102" s="1">
        <v>2059</v>
      </c>
      <c r="AO102" s="1">
        <v>2060</v>
      </c>
      <c r="AP102" s="1">
        <v>2061</v>
      </c>
      <c r="AQ102" s="1">
        <v>2062</v>
      </c>
      <c r="AR102" s="1">
        <v>2063</v>
      </c>
      <c r="AS102" s="1">
        <v>2064</v>
      </c>
      <c r="AT102" s="1">
        <v>2065</v>
      </c>
      <c r="AU102" s="1">
        <v>2066</v>
      </c>
      <c r="AV102" s="1">
        <v>2067</v>
      </c>
      <c r="AW102" s="1">
        <v>2068</v>
      </c>
      <c r="AX102" s="1">
        <v>2069</v>
      </c>
      <c r="AY102" s="1">
        <v>2070</v>
      </c>
    </row>
    <row r="103" spans="1:51" x14ac:dyDescent="0.35">
      <c r="A103" t="s">
        <v>51</v>
      </c>
      <c r="B103">
        <f>'Pretax Fuel Prices'!B103+'Fuel Taxes'!B103</f>
        <v>0</v>
      </c>
      <c r="C103">
        <f>'Pretax Fuel Prices'!C103+'Fuel Taxes'!C103</f>
        <v>0</v>
      </c>
      <c r="D103">
        <f>'Pretax Fuel Prices'!D103+'Fuel Taxes'!D103</f>
        <v>0</v>
      </c>
      <c r="E103">
        <f>'Pretax Fuel Prices'!E103+'Fuel Taxes'!E103</f>
        <v>0</v>
      </c>
      <c r="F103">
        <f>'Pretax Fuel Prices'!F103+'Fuel Taxes'!F103</f>
        <v>0</v>
      </c>
      <c r="G103">
        <f>'Pretax Fuel Prices'!G103+'Fuel Taxes'!G103</f>
        <v>0</v>
      </c>
      <c r="H103">
        <f>'Pretax Fuel Prices'!H103+'Fuel Taxes'!H103</f>
        <v>0</v>
      </c>
      <c r="I103">
        <f>'Pretax Fuel Prices'!I103+'Fuel Taxes'!I103</f>
        <v>0</v>
      </c>
      <c r="J103">
        <f>'Pretax Fuel Prices'!J103+'Fuel Taxes'!J103</f>
        <v>0</v>
      </c>
      <c r="K103">
        <f>'Pretax Fuel Prices'!K103+'Fuel Taxes'!K103</f>
        <v>0</v>
      </c>
      <c r="L103">
        <f>'Pretax Fuel Prices'!L103+'Fuel Taxes'!L103</f>
        <v>0</v>
      </c>
      <c r="M103">
        <f>'Pretax Fuel Prices'!M103+'Fuel Taxes'!M103</f>
        <v>0</v>
      </c>
      <c r="N103">
        <f>'Pretax Fuel Prices'!N103+'Fuel Taxes'!N103</f>
        <v>0</v>
      </c>
      <c r="O103">
        <f>'Pretax Fuel Prices'!O103+'Fuel Taxes'!O103</f>
        <v>0</v>
      </c>
      <c r="P103">
        <f>'Pretax Fuel Prices'!P103+'Fuel Taxes'!P103</f>
        <v>0</v>
      </c>
      <c r="Q103">
        <f>'Pretax Fuel Prices'!Q103+'Fuel Taxes'!Q103</f>
        <v>0</v>
      </c>
      <c r="R103">
        <f>'Pretax Fuel Prices'!R103+'Fuel Taxes'!R103</f>
        <v>0</v>
      </c>
      <c r="S103">
        <f>'Pretax Fuel Prices'!S103+'Fuel Taxes'!S103</f>
        <v>0</v>
      </c>
      <c r="T103">
        <f>'Pretax Fuel Prices'!T103+'Fuel Taxes'!T103</f>
        <v>0</v>
      </c>
      <c r="U103">
        <f>'Pretax Fuel Prices'!U103+'Fuel Taxes'!U103</f>
        <v>0</v>
      </c>
      <c r="V103">
        <f>'Pretax Fuel Prices'!V103+'Fuel Taxes'!V103</f>
        <v>0</v>
      </c>
      <c r="W103">
        <f>'Pretax Fuel Prices'!W103+'Fuel Taxes'!W103</f>
        <v>0</v>
      </c>
      <c r="X103">
        <f>'Pretax Fuel Prices'!X103+'Fuel Taxes'!X103</f>
        <v>0</v>
      </c>
      <c r="Y103">
        <f>'Pretax Fuel Prices'!Y103+'Fuel Taxes'!Y103</f>
        <v>0</v>
      </c>
      <c r="Z103">
        <f>'Pretax Fuel Prices'!Z103+'Fuel Taxes'!Z103</f>
        <v>0</v>
      </c>
      <c r="AA103">
        <f>'Pretax Fuel Prices'!AA103+'Fuel Taxes'!AA103</f>
        <v>0</v>
      </c>
      <c r="AB103">
        <f>'Pretax Fuel Prices'!AB103+'Fuel Taxes'!AB103</f>
        <v>0</v>
      </c>
      <c r="AC103">
        <f>'Pretax Fuel Prices'!AC103+'Fuel Taxes'!AC103</f>
        <v>0</v>
      </c>
      <c r="AD103">
        <f>'Pretax Fuel Prices'!AD103+'Fuel Taxes'!AD103</f>
        <v>0</v>
      </c>
      <c r="AE103">
        <f>'Pretax Fuel Prices'!AE103+'Fuel Taxes'!AE103</f>
        <v>0</v>
      </c>
      <c r="AF103">
        <f>'Pretax Fuel Prices'!AF103+'Fuel Taxes'!AF103</f>
        <v>0</v>
      </c>
      <c r="AG103">
        <f>'Pretax Fuel Prices'!AG103+'Fuel Taxes'!AG103</f>
        <v>0</v>
      </c>
      <c r="AH103">
        <f>'Pretax Fuel Prices'!AH103+'Fuel Taxes'!AH103</f>
        <v>0</v>
      </c>
      <c r="AI103">
        <f>'Pretax Fuel Prices'!AI103+'Fuel Taxes'!AI103</f>
        <v>0</v>
      </c>
    </row>
    <row r="104" spans="1:51" x14ac:dyDescent="0.35">
      <c r="A104" t="s">
        <v>52</v>
      </c>
      <c r="B104">
        <f>'Pretax Fuel Prices'!B104+'Fuel Taxes'!B104</f>
        <v>1.1209844827586207E-5</v>
      </c>
      <c r="C104">
        <f>'Pretax Fuel Prices'!C104+'Fuel Taxes'!C104</f>
        <v>1.1209844827586207E-5</v>
      </c>
      <c r="D104">
        <f>'Pretax Fuel Prices'!D104+'Fuel Taxes'!D104</f>
        <v>1.3071758616398746E-5</v>
      </c>
      <c r="E104">
        <f>'Pretax Fuel Prices'!E104+'Fuel Taxes'!E104</f>
        <v>1.1209844827586207E-5</v>
      </c>
      <c r="F104">
        <f>'Pretax Fuel Prices'!F104+'Fuel Taxes'!F104</f>
        <v>1.3505123403181156E-5</v>
      </c>
      <c r="G104">
        <f>'Pretax Fuel Prices'!G104+'Fuel Taxes'!G104</f>
        <v>1.397179981669205E-5</v>
      </c>
      <c r="H104">
        <f>'Pretax Fuel Prices'!H104+'Fuel Taxes'!H104</f>
        <v>1.4198980837011451E-5</v>
      </c>
      <c r="I104">
        <f>'Pretax Fuel Prices'!I104+'Fuel Taxes'!I104</f>
        <v>1.4790465432215168E-5</v>
      </c>
      <c r="J104">
        <f>'Pretax Fuel Prices'!J104+'Fuel Taxes'!J104</f>
        <v>1.5150524974411309E-5</v>
      </c>
      <c r="K104">
        <f>'Pretax Fuel Prices'!K104+'Fuel Taxes'!K104</f>
        <v>1.5179587272046207E-5</v>
      </c>
      <c r="L104">
        <f>'Pretax Fuel Prices'!L104+'Fuel Taxes'!L104</f>
        <v>1.5732059235786704E-5</v>
      </c>
      <c r="M104">
        <f>'Pretax Fuel Prices'!M104+'Fuel Taxes'!M104</f>
        <v>1.5611768887914245E-5</v>
      </c>
      <c r="N104">
        <f>'Pretax Fuel Prices'!N104+'Fuel Taxes'!N104</f>
        <v>1.5962316776817658E-5</v>
      </c>
      <c r="O104">
        <f>'Pretax Fuel Prices'!O104+'Fuel Taxes'!O104</f>
        <v>1.6213447681873948E-5</v>
      </c>
      <c r="P104">
        <f>'Pretax Fuel Prices'!P104+'Fuel Taxes'!P104</f>
        <v>1.6593813412158859E-5</v>
      </c>
      <c r="Q104">
        <f>'Pretax Fuel Prices'!Q104+'Fuel Taxes'!Q104</f>
        <v>1.6681288844019508E-5</v>
      </c>
      <c r="R104">
        <f>'Pretax Fuel Prices'!R104+'Fuel Taxes'!R104</f>
        <v>1.7590874166873538E-5</v>
      </c>
      <c r="S104">
        <f>'Pretax Fuel Prices'!S104+'Fuel Taxes'!S104</f>
        <v>1.7469949401743571E-5</v>
      </c>
      <c r="T104">
        <f>'Pretax Fuel Prices'!T104+'Fuel Taxes'!T104</f>
        <v>1.7771494256897064E-5</v>
      </c>
      <c r="U104">
        <f>'Pretax Fuel Prices'!U104+'Fuel Taxes'!U104</f>
        <v>1.8478494835907908E-5</v>
      </c>
      <c r="V104">
        <f>'Pretax Fuel Prices'!V104+'Fuel Taxes'!V104</f>
        <v>1.8704138516985512E-5</v>
      </c>
      <c r="W104">
        <f>'Pretax Fuel Prices'!W104+'Fuel Taxes'!W104</f>
        <v>1.9029489102537175E-5</v>
      </c>
      <c r="X104">
        <f>'Pretax Fuel Prices'!X104+'Fuel Taxes'!X104</f>
        <v>1.9360725376177656E-5</v>
      </c>
      <c r="Y104">
        <f>'Pretax Fuel Prices'!Y104+'Fuel Taxes'!Y104</f>
        <v>1.9889121032286744E-5</v>
      </c>
      <c r="Z104">
        <f>'Pretax Fuel Prices'!Z104+'Fuel Taxes'!Z104</f>
        <v>2.0109574926891566E-5</v>
      </c>
      <c r="AA104">
        <f>'Pretax Fuel Prices'!AA104+'Fuel Taxes'!AA104</f>
        <v>2.0653756173927101E-5</v>
      </c>
      <c r="AB104">
        <f>'Pretax Fuel Prices'!AB104+'Fuel Taxes'!AB104</f>
        <v>2.0851857395445881E-5</v>
      </c>
      <c r="AC104">
        <f>'Pretax Fuel Prices'!AC104+'Fuel Taxes'!AC104</f>
        <v>2.1124381863650814E-5</v>
      </c>
      <c r="AD104">
        <f>'Pretax Fuel Prices'!AD104+'Fuel Taxes'!AD104</f>
        <v>2.1610566550260548E-5</v>
      </c>
      <c r="AE104">
        <f>'Pretax Fuel Prices'!AE104+'Fuel Taxes'!AE104</f>
        <v>2.1825654955899847E-5</v>
      </c>
      <c r="AF104">
        <f>'Pretax Fuel Prices'!AF104+'Fuel Taxes'!AF104</f>
        <v>0</v>
      </c>
      <c r="AG104">
        <f>'Pretax Fuel Prices'!AG104+'Fuel Taxes'!AG104</f>
        <v>0</v>
      </c>
      <c r="AH104">
        <f>'Pretax Fuel Prices'!AH104+'Fuel Taxes'!AH104</f>
        <v>0</v>
      </c>
      <c r="AI104">
        <f>'Pretax Fuel Prices'!AI104+'Fuel Taxes'!AI104</f>
        <v>0</v>
      </c>
    </row>
    <row r="105" spans="1:51" x14ac:dyDescent="0.35">
      <c r="A105" t="s">
        <v>53</v>
      </c>
      <c r="B105">
        <f>'Pretax Fuel Prices'!B105+'Fuel Taxes'!B105</f>
        <v>0</v>
      </c>
      <c r="C105">
        <f>'Pretax Fuel Prices'!C105+'Fuel Taxes'!C105</f>
        <v>0</v>
      </c>
      <c r="D105">
        <f>'Pretax Fuel Prices'!D105+'Fuel Taxes'!D105</f>
        <v>0</v>
      </c>
      <c r="E105">
        <f>'Pretax Fuel Prices'!E105+'Fuel Taxes'!E105</f>
        <v>0</v>
      </c>
      <c r="F105">
        <f>'Pretax Fuel Prices'!F105+'Fuel Taxes'!F105</f>
        <v>0</v>
      </c>
      <c r="G105">
        <f>'Pretax Fuel Prices'!G105+'Fuel Taxes'!G105</f>
        <v>0</v>
      </c>
      <c r="H105">
        <f>'Pretax Fuel Prices'!H105+'Fuel Taxes'!H105</f>
        <v>0</v>
      </c>
      <c r="I105">
        <f>'Pretax Fuel Prices'!I105+'Fuel Taxes'!I105</f>
        <v>0</v>
      </c>
      <c r="J105">
        <f>'Pretax Fuel Prices'!J105+'Fuel Taxes'!J105</f>
        <v>0</v>
      </c>
      <c r="K105">
        <f>'Pretax Fuel Prices'!K105+'Fuel Taxes'!K105</f>
        <v>0</v>
      </c>
      <c r="L105">
        <f>'Pretax Fuel Prices'!L105+'Fuel Taxes'!L105</f>
        <v>0</v>
      </c>
      <c r="M105">
        <f>'Pretax Fuel Prices'!M105+'Fuel Taxes'!M105</f>
        <v>0</v>
      </c>
      <c r="N105">
        <f>'Pretax Fuel Prices'!N105+'Fuel Taxes'!N105</f>
        <v>0</v>
      </c>
      <c r="O105">
        <f>'Pretax Fuel Prices'!O105+'Fuel Taxes'!O105</f>
        <v>0</v>
      </c>
      <c r="P105">
        <f>'Pretax Fuel Prices'!P105+'Fuel Taxes'!P105</f>
        <v>0</v>
      </c>
      <c r="Q105">
        <f>'Pretax Fuel Prices'!Q105+'Fuel Taxes'!Q105</f>
        <v>0</v>
      </c>
      <c r="R105">
        <f>'Pretax Fuel Prices'!R105+'Fuel Taxes'!R105</f>
        <v>0</v>
      </c>
      <c r="S105">
        <f>'Pretax Fuel Prices'!S105+'Fuel Taxes'!S105</f>
        <v>0</v>
      </c>
      <c r="T105">
        <f>'Pretax Fuel Prices'!T105+'Fuel Taxes'!T105</f>
        <v>0</v>
      </c>
      <c r="U105">
        <f>'Pretax Fuel Prices'!U105+'Fuel Taxes'!U105</f>
        <v>0</v>
      </c>
      <c r="V105">
        <f>'Pretax Fuel Prices'!V105+'Fuel Taxes'!V105</f>
        <v>0</v>
      </c>
      <c r="W105">
        <f>'Pretax Fuel Prices'!W105+'Fuel Taxes'!W105</f>
        <v>0</v>
      </c>
      <c r="X105">
        <f>'Pretax Fuel Prices'!X105+'Fuel Taxes'!X105</f>
        <v>0</v>
      </c>
      <c r="Y105">
        <f>'Pretax Fuel Prices'!Y105+'Fuel Taxes'!Y105</f>
        <v>0</v>
      </c>
      <c r="Z105">
        <f>'Pretax Fuel Prices'!Z105+'Fuel Taxes'!Z105</f>
        <v>0</v>
      </c>
      <c r="AA105">
        <f>'Pretax Fuel Prices'!AA105+'Fuel Taxes'!AA105</f>
        <v>0</v>
      </c>
      <c r="AB105">
        <f>'Pretax Fuel Prices'!AB105+'Fuel Taxes'!AB105</f>
        <v>0</v>
      </c>
      <c r="AC105">
        <f>'Pretax Fuel Prices'!AC105+'Fuel Taxes'!AC105</f>
        <v>0</v>
      </c>
      <c r="AD105">
        <f>'Pretax Fuel Prices'!AD105+'Fuel Taxes'!AD105</f>
        <v>0</v>
      </c>
      <c r="AE105">
        <f>'Pretax Fuel Prices'!AE105+'Fuel Taxes'!AE105</f>
        <v>0</v>
      </c>
      <c r="AF105">
        <f>'Pretax Fuel Prices'!AF105+'Fuel Taxes'!AF105</f>
        <v>0</v>
      </c>
      <c r="AG105">
        <f>'Pretax Fuel Prices'!AG105+'Fuel Taxes'!AG105</f>
        <v>0</v>
      </c>
      <c r="AH105">
        <f>'Pretax Fuel Prices'!AH105+'Fuel Taxes'!AH105</f>
        <v>0</v>
      </c>
      <c r="AI105">
        <f>'Pretax Fuel Prices'!AI105+'Fuel Taxes'!AI105</f>
        <v>0</v>
      </c>
    </row>
    <row r="106" spans="1:51" x14ac:dyDescent="0.35">
      <c r="A106" t="s">
        <v>54</v>
      </c>
      <c r="B106">
        <f>'Pretax Fuel Prices'!B106+'Fuel Taxes'!B106</f>
        <v>0</v>
      </c>
      <c r="C106">
        <f>'Pretax Fuel Prices'!C106+'Fuel Taxes'!C106</f>
        <v>0</v>
      </c>
      <c r="D106">
        <f>'Pretax Fuel Prices'!D106+'Fuel Taxes'!D106</f>
        <v>0</v>
      </c>
      <c r="E106">
        <f>'Pretax Fuel Prices'!E106+'Fuel Taxes'!E106</f>
        <v>0</v>
      </c>
      <c r="F106">
        <f>'Pretax Fuel Prices'!F106+'Fuel Taxes'!F106</f>
        <v>0</v>
      </c>
      <c r="G106">
        <f>'Pretax Fuel Prices'!G106+'Fuel Taxes'!G106</f>
        <v>0</v>
      </c>
      <c r="H106">
        <f>'Pretax Fuel Prices'!H106+'Fuel Taxes'!H106</f>
        <v>0</v>
      </c>
      <c r="I106">
        <f>'Pretax Fuel Prices'!I106+'Fuel Taxes'!I106</f>
        <v>0</v>
      </c>
      <c r="J106">
        <f>'Pretax Fuel Prices'!J106+'Fuel Taxes'!J106</f>
        <v>0</v>
      </c>
      <c r="K106">
        <f>'Pretax Fuel Prices'!K106+'Fuel Taxes'!K106</f>
        <v>0</v>
      </c>
      <c r="L106">
        <f>'Pretax Fuel Prices'!L106+'Fuel Taxes'!L106</f>
        <v>0</v>
      </c>
      <c r="M106">
        <f>'Pretax Fuel Prices'!M106+'Fuel Taxes'!M106</f>
        <v>0</v>
      </c>
      <c r="N106">
        <f>'Pretax Fuel Prices'!N106+'Fuel Taxes'!N106</f>
        <v>0</v>
      </c>
      <c r="O106">
        <f>'Pretax Fuel Prices'!O106+'Fuel Taxes'!O106</f>
        <v>0</v>
      </c>
      <c r="P106">
        <f>'Pretax Fuel Prices'!P106+'Fuel Taxes'!P106</f>
        <v>0</v>
      </c>
      <c r="Q106">
        <f>'Pretax Fuel Prices'!Q106+'Fuel Taxes'!Q106</f>
        <v>0</v>
      </c>
      <c r="R106">
        <f>'Pretax Fuel Prices'!R106+'Fuel Taxes'!R106</f>
        <v>0</v>
      </c>
      <c r="S106">
        <f>'Pretax Fuel Prices'!S106+'Fuel Taxes'!S106</f>
        <v>0</v>
      </c>
      <c r="T106">
        <f>'Pretax Fuel Prices'!T106+'Fuel Taxes'!T106</f>
        <v>0</v>
      </c>
      <c r="U106">
        <f>'Pretax Fuel Prices'!U106+'Fuel Taxes'!U106</f>
        <v>0</v>
      </c>
      <c r="V106">
        <f>'Pretax Fuel Prices'!V106+'Fuel Taxes'!V106</f>
        <v>0</v>
      </c>
      <c r="W106">
        <f>'Pretax Fuel Prices'!W106+'Fuel Taxes'!W106</f>
        <v>0</v>
      </c>
      <c r="X106">
        <f>'Pretax Fuel Prices'!X106+'Fuel Taxes'!X106</f>
        <v>0</v>
      </c>
      <c r="Y106">
        <f>'Pretax Fuel Prices'!Y106+'Fuel Taxes'!Y106</f>
        <v>0</v>
      </c>
      <c r="Z106">
        <f>'Pretax Fuel Prices'!Z106+'Fuel Taxes'!Z106</f>
        <v>0</v>
      </c>
      <c r="AA106">
        <f>'Pretax Fuel Prices'!AA106+'Fuel Taxes'!AA106</f>
        <v>0</v>
      </c>
      <c r="AB106">
        <f>'Pretax Fuel Prices'!AB106+'Fuel Taxes'!AB106</f>
        <v>0</v>
      </c>
      <c r="AC106">
        <f>'Pretax Fuel Prices'!AC106+'Fuel Taxes'!AC106</f>
        <v>0</v>
      </c>
      <c r="AD106">
        <f>'Pretax Fuel Prices'!AD106+'Fuel Taxes'!AD106</f>
        <v>0</v>
      </c>
      <c r="AE106">
        <f>'Pretax Fuel Prices'!AE106+'Fuel Taxes'!AE106</f>
        <v>0</v>
      </c>
      <c r="AF106">
        <f>'Pretax Fuel Prices'!AF106+'Fuel Taxes'!AF106</f>
        <v>0</v>
      </c>
      <c r="AG106">
        <f>'Pretax Fuel Prices'!AG106+'Fuel Taxes'!AG106</f>
        <v>0</v>
      </c>
      <c r="AH106">
        <f>'Pretax Fuel Prices'!AH106+'Fuel Taxes'!AH106</f>
        <v>0</v>
      </c>
      <c r="AI106">
        <f>'Pretax Fuel Prices'!AI106+'Fuel Taxes'!AI106</f>
        <v>0</v>
      </c>
    </row>
    <row r="107" spans="1:51" x14ac:dyDescent="0.35">
      <c r="A107" t="s">
        <v>55</v>
      </c>
      <c r="B107">
        <f>'Pretax Fuel Prices'!B107+'Fuel Taxes'!B107</f>
        <v>1.1209844827586207E-5</v>
      </c>
      <c r="C107">
        <f>'Pretax Fuel Prices'!C107+'Fuel Taxes'!C107</f>
        <v>1.1209844827586207E-5</v>
      </c>
      <c r="D107">
        <f>'Pretax Fuel Prices'!D107+'Fuel Taxes'!D107</f>
        <v>1.3071758616398746E-5</v>
      </c>
      <c r="E107">
        <f>'Pretax Fuel Prices'!E107+'Fuel Taxes'!E107</f>
        <v>1.1209844827586207E-5</v>
      </c>
      <c r="F107">
        <f>'Pretax Fuel Prices'!F107+'Fuel Taxes'!F107</f>
        <v>1.3505123403181156E-5</v>
      </c>
      <c r="G107">
        <f>'Pretax Fuel Prices'!G107+'Fuel Taxes'!G107</f>
        <v>1.397179981669205E-5</v>
      </c>
      <c r="H107">
        <f>'Pretax Fuel Prices'!H107+'Fuel Taxes'!H107</f>
        <v>1.4198980837011451E-5</v>
      </c>
      <c r="I107">
        <f>'Pretax Fuel Prices'!I107+'Fuel Taxes'!I107</f>
        <v>1.4790465432215168E-5</v>
      </c>
      <c r="J107">
        <f>'Pretax Fuel Prices'!J107+'Fuel Taxes'!J107</f>
        <v>1.5150524974411309E-5</v>
      </c>
      <c r="K107">
        <f>'Pretax Fuel Prices'!K107+'Fuel Taxes'!K107</f>
        <v>1.5179587272046207E-5</v>
      </c>
      <c r="L107">
        <f>'Pretax Fuel Prices'!L107+'Fuel Taxes'!L107</f>
        <v>1.5732059235786704E-5</v>
      </c>
      <c r="M107">
        <f>'Pretax Fuel Prices'!M107+'Fuel Taxes'!M107</f>
        <v>1.5611768887914245E-5</v>
      </c>
      <c r="N107">
        <f>'Pretax Fuel Prices'!N107+'Fuel Taxes'!N107</f>
        <v>1.5962316776817658E-5</v>
      </c>
      <c r="O107">
        <f>'Pretax Fuel Prices'!O107+'Fuel Taxes'!O107</f>
        <v>1.6213447681873948E-5</v>
      </c>
      <c r="P107">
        <f>'Pretax Fuel Prices'!P107+'Fuel Taxes'!P107</f>
        <v>1.6593813412158859E-5</v>
      </c>
      <c r="Q107">
        <f>'Pretax Fuel Prices'!Q107+'Fuel Taxes'!Q107</f>
        <v>1.6681288844019508E-5</v>
      </c>
      <c r="R107">
        <f>'Pretax Fuel Prices'!R107+'Fuel Taxes'!R107</f>
        <v>1.7590874166873538E-5</v>
      </c>
      <c r="S107">
        <f>'Pretax Fuel Prices'!S107+'Fuel Taxes'!S107</f>
        <v>1.7469949401743571E-5</v>
      </c>
      <c r="T107">
        <f>'Pretax Fuel Prices'!T107+'Fuel Taxes'!T107</f>
        <v>1.7771494256897064E-5</v>
      </c>
      <c r="U107">
        <f>'Pretax Fuel Prices'!U107+'Fuel Taxes'!U107</f>
        <v>1.8478494835907908E-5</v>
      </c>
      <c r="V107">
        <f>'Pretax Fuel Prices'!V107+'Fuel Taxes'!V107</f>
        <v>1.8704138516985512E-5</v>
      </c>
      <c r="W107">
        <f>'Pretax Fuel Prices'!W107+'Fuel Taxes'!W107</f>
        <v>1.9029489102537175E-5</v>
      </c>
      <c r="X107">
        <f>'Pretax Fuel Prices'!X107+'Fuel Taxes'!X107</f>
        <v>1.9360725376177656E-5</v>
      </c>
      <c r="Y107">
        <f>'Pretax Fuel Prices'!Y107+'Fuel Taxes'!Y107</f>
        <v>1.9889121032286744E-5</v>
      </c>
      <c r="Z107">
        <f>'Pretax Fuel Prices'!Z107+'Fuel Taxes'!Z107</f>
        <v>2.0109574926891566E-5</v>
      </c>
      <c r="AA107">
        <f>'Pretax Fuel Prices'!AA107+'Fuel Taxes'!AA107</f>
        <v>2.0653756173927101E-5</v>
      </c>
      <c r="AB107">
        <f>'Pretax Fuel Prices'!AB107+'Fuel Taxes'!AB107</f>
        <v>2.0851857395445881E-5</v>
      </c>
      <c r="AC107">
        <f>'Pretax Fuel Prices'!AC107+'Fuel Taxes'!AC107</f>
        <v>2.1124381863650814E-5</v>
      </c>
      <c r="AD107">
        <f>'Pretax Fuel Prices'!AD107+'Fuel Taxes'!AD107</f>
        <v>2.1610566550260548E-5</v>
      </c>
      <c r="AE107">
        <f>'Pretax Fuel Prices'!AE107+'Fuel Taxes'!AE107</f>
        <v>2.1825654955899847E-5</v>
      </c>
      <c r="AF107">
        <f>'Pretax Fuel Prices'!AF107+'Fuel Taxes'!AF107</f>
        <v>0</v>
      </c>
      <c r="AG107">
        <f>'Pretax Fuel Prices'!AG107+'Fuel Taxes'!AG107</f>
        <v>0</v>
      </c>
      <c r="AH107">
        <f>'Pretax Fuel Prices'!AH107+'Fuel Taxes'!AH107</f>
        <v>0</v>
      </c>
      <c r="AI107">
        <f>'Pretax Fuel Prices'!AI107+'Fuel Taxes'!AI107</f>
        <v>0</v>
      </c>
    </row>
    <row r="108" spans="1:51" x14ac:dyDescent="0.35">
      <c r="A108" t="s">
        <v>56</v>
      </c>
      <c r="B108">
        <f>'Pretax Fuel Prices'!B108+'Fuel Taxes'!B108</f>
        <v>0</v>
      </c>
      <c r="C108">
        <f>'Pretax Fuel Prices'!C108+'Fuel Taxes'!C108</f>
        <v>0</v>
      </c>
      <c r="D108">
        <f>'Pretax Fuel Prices'!D108+'Fuel Taxes'!D108</f>
        <v>0</v>
      </c>
      <c r="E108">
        <f>'Pretax Fuel Prices'!E108+'Fuel Taxes'!E108</f>
        <v>0</v>
      </c>
      <c r="F108">
        <f>'Pretax Fuel Prices'!F108+'Fuel Taxes'!F108</f>
        <v>0</v>
      </c>
      <c r="G108">
        <f>'Pretax Fuel Prices'!G108+'Fuel Taxes'!G108</f>
        <v>0</v>
      </c>
      <c r="H108">
        <f>'Pretax Fuel Prices'!H108+'Fuel Taxes'!H108</f>
        <v>0</v>
      </c>
      <c r="I108">
        <f>'Pretax Fuel Prices'!I108+'Fuel Taxes'!I108</f>
        <v>0</v>
      </c>
      <c r="J108">
        <f>'Pretax Fuel Prices'!J108+'Fuel Taxes'!J108</f>
        <v>0</v>
      </c>
      <c r="K108">
        <f>'Pretax Fuel Prices'!K108+'Fuel Taxes'!K108</f>
        <v>0</v>
      </c>
      <c r="L108">
        <f>'Pretax Fuel Prices'!L108+'Fuel Taxes'!L108</f>
        <v>0</v>
      </c>
      <c r="M108">
        <f>'Pretax Fuel Prices'!M108+'Fuel Taxes'!M108</f>
        <v>0</v>
      </c>
      <c r="N108">
        <f>'Pretax Fuel Prices'!N108+'Fuel Taxes'!N108</f>
        <v>0</v>
      </c>
      <c r="O108">
        <f>'Pretax Fuel Prices'!O108+'Fuel Taxes'!O108</f>
        <v>0</v>
      </c>
      <c r="P108">
        <f>'Pretax Fuel Prices'!P108+'Fuel Taxes'!P108</f>
        <v>0</v>
      </c>
      <c r="Q108">
        <f>'Pretax Fuel Prices'!Q108+'Fuel Taxes'!Q108</f>
        <v>0</v>
      </c>
      <c r="R108">
        <f>'Pretax Fuel Prices'!R108+'Fuel Taxes'!R108</f>
        <v>0</v>
      </c>
      <c r="S108">
        <f>'Pretax Fuel Prices'!S108+'Fuel Taxes'!S108</f>
        <v>0</v>
      </c>
      <c r="T108">
        <f>'Pretax Fuel Prices'!T108+'Fuel Taxes'!T108</f>
        <v>0</v>
      </c>
      <c r="U108">
        <f>'Pretax Fuel Prices'!U108+'Fuel Taxes'!U108</f>
        <v>0</v>
      </c>
      <c r="V108">
        <f>'Pretax Fuel Prices'!V108+'Fuel Taxes'!V108</f>
        <v>0</v>
      </c>
      <c r="W108">
        <f>'Pretax Fuel Prices'!W108+'Fuel Taxes'!W108</f>
        <v>0</v>
      </c>
      <c r="X108">
        <f>'Pretax Fuel Prices'!X108+'Fuel Taxes'!X108</f>
        <v>0</v>
      </c>
      <c r="Y108">
        <f>'Pretax Fuel Prices'!Y108+'Fuel Taxes'!Y108</f>
        <v>0</v>
      </c>
      <c r="Z108">
        <f>'Pretax Fuel Prices'!Z108+'Fuel Taxes'!Z108</f>
        <v>0</v>
      </c>
      <c r="AA108">
        <f>'Pretax Fuel Prices'!AA108+'Fuel Taxes'!AA108</f>
        <v>0</v>
      </c>
      <c r="AB108">
        <f>'Pretax Fuel Prices'!AB108+'Fuel Taxes'!AB108</f>
        <v>0</v>
      </c>
      <c r="AC108">
        <f>'Pretax Fuel Prices'!AC108+'Fuel Taxes'!AC108</f>
        <v>0</v>
      </c>
      <c r="AD108">
        <f>'Pretax Fuel Prices'!AD108+'Fuel Taxes'!AD108</f>
        <v>0</v>
      </c>
      <c r="AE108">
        <f>'Pretax Fuel Prices'!AE108+'Fuel Taxes'!AE108</f>
        <v>0</v>
      </c>
      <c r="AF108">
        <f>'Pretax Fuel Prices'!AF108+'Fuel Taxes'!AF108</f>
        <v>0</v>
      </c>
      <c r="AG108">
        <f>'Pretax Fuel Prices'!AG108+'Fuel Taxes'!AG108</f>
        <v>0</v>
      </c>
      <c r="AH108">
        <f>'Pretax Fuel Prices'!AH108+'Fuel Taxes'!AH108</f>
        <v>0</v>
      </c>
      <c r="AI108">
        <f>'Pretax Fuel Prices'!AI108+'Fuel Taxes'!AI108</f>
        <v>0</v>
      </c>
    </row>
    <row r="109" spans="1:51" x14ac:dyDescent="0.35">
      <c r="A109" t="s">
        <v>57</v>
      </c>
      <c r="B109">
        <f>'Pretax Fuel Prices'!B109+'Fuel Taxes'!B109</f>
        <v>0</v>
      </c>
      <c r="C109">
        <f>'Pretax Fuel Prices'!C109+'Fuel Taxes'!C109</f>
        <v>0</v>
      </c>
      <c r="D109">
        <f>'Pretax Fuel Prices'!D109+'Fuel Taxes'!D109</f>
        <v>0</v>
      </c>
      <c r="E109">
        <f>'Pretax Fuel Prices'!E109+'Fuel Taxes'!E109</f>
        <v>0</v>
      </c>
      <c r="F109">
        <f>'Pretax Fuel Prices'!F109+'Fuel Taxes'!F109</f>
        <v>0</v>
      </c>
      <c r="G109">
        <f>'Pretax Fuel Prices'!G109+'Fuel Taxes'!G109</f>
        <v>0</v>
      </c>
      <c r="H109">
        <f>'Pretax Fuel Prices'!H109+'Fuel Taxes'!H109</f>
        <v>0</v>
      </c>
      <c r="I109">
        <f>'Pretax Fuel Prices'!I109+'Fuel Taxes'!I109</f>
        <v>0</v>
      </c>
      <c r="J109">
        <f>'Pretax Fuel Prices'!J109+'Fuel Taxes'!J109</f>
        <v>0</v>
      </c>
      <c r="K109">
        <f>'Pretax Fuel Prices'!K109+'Fuel Taxes'!K109</f>
        <v>0</v>
      </c>
      <c r="L109">
        <f>'Pretax Fuel Prices'!L109+'Fuel Taxes'!L109</f>
        <v>0</v>
      </c>
      <c r="M109">
        <f>'Pretax Fuel Prices'!M109+'Fuel Taxes'!M109</f>
        <v>0</v>
      </c>
      <c r="N109">
        <f>'Pretax Fuel Prices'!N109+'Fuel Taxes'!N109</f>
        <v>0</v>
      </c>
      <c r="O109">
        <f>'Pretax Fuel Prices'!O109+'Fuel Taxes'!O109</f>
        <v>0</v>
      </c>
      <c r="P109">
        <f>'Pretax Fuel Prices'!P109+'Fuel Taxes'!P109</f>
        <v>0</v>
      </c>
      <c r="Q109">
        <f>'Pretax Fuel Prices'!Q109+'Fuel Taxes'!Q109</f>
        <v>0</v>
      </c>
      <c r="R109">
        <f>'Pretax Fuel Prices'!R109+'Fuel Taxes'!R109</f>
        <v>0</v>
      </c>
      <c r="S109">
        <f>'Pretax Fuel Prices'!S109+'Fuel Taxes'!S109</f>
        <v>0</v>
      </c>
      <c r="T109">
        <f>'Pretax Fuel Prices'!T109+'Fuel Taxes'!T109</f>
        <v>0</v>
      </c>
      <c r="U109">
        <f>'Pretax Fuel Prices'!U109+'Fuel Taxes'!U109</f>
        <v>0</v>
      </c>
      <c r="V109">
        <f>'Pretax Fuel Prices'!V109+'Fuel Taxes'!V109</f>
        <v>0</v>
      </c>
      <c r="W109">
        <f>'Pretax Fuel Prices'!W109+'Fuel Taxes'!W109</f>
        <v>0</v>
      </c>
      <c r="X109">
        <f>'Pretax Fuel Prices'!X109+'Fuel Taxes'!X109</f>
        <v>0</v>
      </c>
      <c r="Y109">
        <f>'Pretax Fuel Prices'!Y109+'Fuel Taxes'!Y109</f>
        <v>0</v>
      </c>
      <c r="Z109">
        <f>'Pretax Fuel Prices'!Z109+'Fuel Taxes'!Z109</f>
        <v>0</v>
      </c>
      <c r="AA109">
        <f>'Pretax Fuel Prices'!AA109+'Fuel Taxes'!AA109</f>
        <v>0</v>
      </c>
      <c r="AB109">
        <f>'Pretax Fuel Prices'!AB109+'Fuel Taxes'!AB109</f>
        <v>0</v>
      </c>
      <c r="AC109">
        <f>'Pretax Fuel Prices'!AC109+'Fuel Taxes'!AC109</f>
        <v>0</v>
      </c>
      <c r="AD109">
        <f>'Pretax Fuel Prices'!AD109+'Fuel Taxes'!AD109</f>
        <v>0</v>
      </c>
      <c r="AE109">
        <f>'Pretax Fuel Prices'!AE109+'Fuel Taxes'!AE109</f>
        <v>0</v>
      </c>
      <c r="AF109">
        <f>'Pretax Fuel Prices'!AF109+'Fuel Taxes'!AF109</f>
        <v>0</v>
      </c>
      <c r="AG109">
        <f>'Pretax Fuel Prices'!AG109+'Fuel Taxes'!AG109</f>
        <v>0</v>
      </c>
      <c r="AH109">
        <f>'Pretax Fuel Prices'!AH109+'Fuel Taxes'!AH109</f>
        <v>0</v>
      </c>
      <c r="AI109">
        <f>'Pretax Fuel Prices'!AI109+'Fuel Taxes'!AI109</f>
        <v>0</v>
      </c>
    </row>
    <row r="110" spans="1:51" x14ac:dyDescent="0.35">
      <c r="A110" t="s">
        <v>58</v>
      </c>
      <c r="B110">
        <f>'Pretax Fuel Prices'!B110+'Fuel Taxes'!B110</f>
        <v>1.1209844827586207E-5</v>
      </c>
      <c r="C110">
        <f>'Pretax Fuel Prices'!C110+'Fuel Taxes'!C110</f>
        <v>1.1209844827586207E-5</v>
      </c>
      <c r="D110">
        <f>'Pretax Fuel Prices'!D110+'Fuel Taxes'!D110</f>
        <v>1.3071758616398746E-5</v>
      </c>
      <c r="E110">
        <f>'Pretax Fuel Prices'!E110+'Fuel Taxes'!E110</f>
        <v>1.1209844827586207E-5</v>
      </c>
      <c r="F110">
        <f>'Pretax Fuel Prices'!F110+'Fuel Taxes'!F110</f>
        <v>1.3505123403181156E-5</v>
      </c>
      <c r="G110">
        <f>'Pretax Fuel Prices'!G110+'Fuel Taxes'!G110</f>
        <v>1.397179981669205E-5</v>
      </c>
      <c r="H110">
        <f>'Pretax Fuel Prices'!H110+'Fuel Taxes'!H110</f>
        <v>1.4198980837011451E-5</v>
      </c>
      <c r="I110">
        <f>'Pretax Fuel Prices'!I110+'Fuel Taxes'!I110</f>
        <v>1.4790465432215168E-5</v>
      </c>
      <c r="J110">
        <f>'Pretax Fuel Prices'!J110+'Fuel Taxes'!J110</f>
        <v>1.5150524974411309E-5</v>
      </c>
      <c r="K110">
        <f>'Pretax Fuel Prices'!K110+'Fuel Taxes'!K110</f>
        <v>1.5179587272046207E-5</v>
      </c>
      <c r="L110">
        <f>'Pretax Fuel Prices'!L110+'Fuel Taxes'!L110</f>
        <v>1.5732059235786704E-5</v>
      </c>
      <c r="M110">
        <f>'Pretax Fuel Prices'!M110+'Fuel Taxes'!M110</f>
        <v>1.5611768887914245E-5</v>
      </c>
      <c r="N110">
        <f>'Pretax Fuel Prices'!N110+'Fuel Taxes'!N110</f>
        <v>1.5962316776817658E-5</v>
      </c>
      <c r="O110">
        <f>'Pretax Fuel Prices'!O110+'Fuel Taxes'!O110</f>
        <v>1.6213447681873948E-5</v>
      </c>
      <c r="P110">
        <f>'Pretax Fuel Prices'!P110+'Fuel Taxes'!P110</f>
        <v>1.6593813412158859E-5</v>
      </c>
      <c r="Q110">
        <f>'Pretax Fuel Prices'!Q110+'Fuel Taxes'!Q110</f>
        <v>1.6681288844019508E-5</v>
      </c>
      <c r="R110">
        <f>'Pretax Fuel Prices'!R110+'Fuel Taxes'!R110</f>
        <v>1.7590874166873538E-5</v>
      </c>
      <c r="S110">
        <f>'Pretax Fuel Prices'!S110+'Fuel Taxes'!S110</f>
        <v>1.7469949401743571E-5</v>
      </c>
      <c r="T110">
        <f>'Pretax Fuel Prices'!T110+'Fuel Taxes'!T110</f>
        <v>1.7771494256897064E-5</v>
      </c>
      <c r="U110">
        <f>'Pretax Fuel Prices'!U110+'Fuel Taxes'!U110</f>
        <v>1.8478494835907908E-5</v>
      </c>
      <c r="V110">
        <f>'Pretax Fuel Prices'!V110+'Fuel Taxes'!V110</f>
        <v>1.8704138516985512E-5</v>
      </c>
      <c r="W110">
        <f>'Pretax Fuel Prices'!W110+'Fuel Taxes'!W110</f>
        <v>1.9029489102537175E-5</v>
      </c>
      <c r="X110">
        <f>'Pretax Fuel Prices'!X110+'Fuel Taxes'!X110</f>
        <v>1.9360725376177656E-5</v>
      </c>
      <c r="Y110">
        <f>'Pretax Fuel Prices'!Y110+'Fuel Taxes'!Y110</f>
        <v>1.9889121032286744E-5</v>
      </c>
      <c r="Z110">
        <f>'Pretax Fuel Prices'!Z110+'Fuel Taxes'!Z110</f>
        <v>2.0109574926891566E-5</v>
      </c>
      <c r="AA110">
        <f>'Pretax Fuel Prices'!AA110+'Fuel Taxes'!AA110</f>
        <v>2.0653756173927101E-5</v>
      </c>
      <c r="AB110">
        <f>'Pretax Fuel Prices'!AB110+'Fuel Taxes'!AB110</f>
        <v>2.0851857395445881E-5</v>
      </c>
      <c r="AC110">
        <f>'Pretax Fuel Prices'!AC110+'Fuel Taxes'!AC110</f>
        <v>2.1124381863650814E-5</v>
      </c>
      <c r="AD110">
        <f>'Pretax Fuel Prices'!AD110+'Fuel Taxes'!AD110</f>
        <v>2.1610566550260548E-5</v>
      </c>
      <c r="AE110">
        <f>'Pretax Fuel Prices'!AE110+'Fuel Taxes'!AE110</f>
        <v>2.1825654955899847E-5</v>
      </c>
      <c r="AF110">
        <f>'Pretax Fuel Prices'!AF110+'Fuel Taxes'!AF110</f>
        <v>0</v>
      </c>
      <c r="AG110">
        <f>'Pretax Fuel Prices'!AG110+'Fuel Taxes'!AG110</f>
        <v>0</v>
      </c>
      <c r="AH110">
        <f>'Pretax Fuel Prices'!AH110+'Fuel Taxes'!AH110</f>
        <v>0</v>
      </c>
      <c r="AI110">
        <f>'Pretax Fuel Prices'!AI110+'Fuel Taxes'!AI110</f>
        <v>0</v>
      </c>
    </row>
    <row r="111" spans="1:51" s="4" customFormat="1" x14ac:dyDescent="0.35">
      <c r="A111" s="6" t="s">
        <v>46</v>
      </c>
    </row>
    <row r="112" spans="1:51" x14ac:dyDescent="0.35">
      <c r="A112" t="s">
        <v>29</v>
      </c>
      <c r="B112" s="1">
        <v>2021</v>
      </c>
      <c r="C112" s="1">
        <v>2022</v>
      </c>
      <c r="D112" s="1">
        <v>2023</v>
      </c>
      <c r="E112" s="1">
        <v>2024</v>
      </c>
      <c r="F112" s="1">
        <v>2025</v>
      </c>
      <c r="G112" s="1">
        <v>2026</v>
      </c>
      <c r="H112" s="1">
        <v>2027</v>
      </c>
      <c r="I112" s="1">
        <v>2028</v>
      </c>
      <c r="J112" s="1">
        <v>2029</v>
      </c>
      <c r="K112" s="1">
        <v>2030</v>
      </c>
      <c r="L112" s="1">
        <v>2031</v>
      </c>
      <c r="M112" s="1">
        <v>2032</v>
      </c>
      <c r="N112" s="1">
        <v>2033</v>
      </c>
      <c r="O112" s="1">
        <v>2034</v>
      </c>
      <c r="P112" s="1">
        <v>2035</v>
      </c>
      <c r="Q112" s="1">
        <v>2036</v>
      </c>
      <c r="R112" s="1">
        <v>2037</v>
      </c>
      <c r="S112" s="1">
        <v>2038</v>
      </c>
      <c r="T112" s="1">
        <v>2039</v>
      </c>
      <c r="U112" s="1">
        <v>2040</v>
      </c>
      <c r="V112" s="1">
        <v>2041</v>
      </c>
      <c r="W112" s="1">
        <v>2042</v>
      </c>
      <c r="X112" s="1">
        <v>2043</v>
      </c>
      <c r="Y112" s="1">
        <v>2044</v>
      </c>
      <c r="Z112" s="1">
        <v>2045</v>
      </c>
      <c r="AA112" s="1">
        <v>2046</v>
      </c>
      <c r="AB112" s="1">
        <v>2047</v>
      </c>
      <c r="AC112" s="1">
        <v>2048</v>
      </c>
      <c r="AD112" s="1">
        <v>2049</v>
      </c>
      <c r="AE112" s="1">
        <v>2050</v>
      </c>
      <c r="AF112" s="1">
        <v>2051</v>
      </c>
      <c r="AG112" s="1">
        <v>2052</v>
      </c>
      <c r="AH112" s="1">
        <v>2053</v>
      </c>
      <c r="AI112" s="1">
        <v>2054</v>
      </c>
      <c r="AJ112" s="1">
        <v>2055</v>
      </c>
      <c r="AK112" s="1">
        <v>2056</v>
      </c>
      <c r="AL112" s="1">
        <v>2057</v>
      </c>
      <c r="AM112" s="1">
        <v>2058</v>
      </c>
      <c r="AN112" s="1">
        <v>2059</v>
      </c>
      <c r="AO112" s="1">
        <v>2060</v>
      </c>
      <c r="AP112" s="1">
        <v>2061</v>
      </c>
      <c r="AQ112" s="1">
        <v>2062</v>
      </c>
      <c r="AR112" s="1">
        <v>2063</v>
      </c>
      <c r="AS112" s="1">
        <v>2064</v>
      </c>
      <c r="AT112" s="1">
        <v>2065</v>
      </c>
      <c r="AU112" s="1">
        <v>2066</v>
      </c>
      <c r="AV112" s="1">
        <v>2067</v>
      </c>
      <c r="AW112" s="1">
        <v>2068</v>
      </c>
      <c r="AX112" s="1">
        <v>2069</v>
      </c>
      <c r="AY112" s="1">
        <v>2070</v>
      </c>
    </row>
    <row r="113" spans="1:51" x14ac:dyDescent="0.35">
      <c r="A113" t="s">
        <v>51</v>
      </c>
      <c r="B113">
        <f>'Pretax Fuel Prices'!B113+'Fuel Taxes'!B113</f>
        <v>0</v>
      </c>
      <c r="C113">
        <f>'Pretax Fuel Prices'!C113+'Fuel Taxes'!C113</f>
        <v>0</v>
      </c>
      <c r="D113">
        <f>'Pretax Fuel Prices'!D113+'Fuel Taxes'!D113</f>
        <v>0</v>
      </c>
      <c r="E113">
        <f>'Pretax Fuel Prices'!E113+'Fuel Taxes'!E113</f>
        <v>0</v>
      </c>
      <c r="F113">
        <f>'Pretax Fuel Prices'!F113+'Fuel Taxes'!F113</f>
        <v>0</v>
      </c>
      <c r="G113">
        <f>'Pretax Fuel Prices'!G113+'Fuel Taxes'!G113</f>
        <v>0</v>
      </c>
      <c r="H113">
        <f>'Pretax Fuel Prices'!H113+'Fuel Taxes'!H113</f>
        <v>0</v>
      </c>
      <c r="I113">
        <f>'Pretax Fuel Prices'!I113+'Fuel Taxes'!I113</f>
        <v>0</v>
      </c>
      <c r="J113">
        <f>'Pretax Fuel Prices'!J113+'Fuel Taxes'!J113</f>
        <v>0</v>
      </c>
      <c r="K113">
        <f>'Pretax Fuel Prices'!K113+'Fuel Taxes'!K113</f>
        <v>0</v>
      </c>
      <c r="L113">
        <f>'Pretax Fuel Prices'!L113+'Fuel Taxes'!L113</f>
        <v>0</v>
      </c>
      <c r="M113">
        <f>'Pretax Fuel Prices'!M113+'Fuel Taxes'!M113</f>
        <v>0</v>
      </c>
      <c r="N113">
        <f>'Pretax Fuel Prices'!N113+'Fuel Taxes'!N113</f>
        <v>0</v>
      </c>
      <c r="O113">
        <f>'Pretax Fuel Prices'!O113+'Fuel Taxes'!O113</f>
        <v>0</v>
      </c>
      <c r="P113">
        <f>'Pretax Fuel Prices'!P113+'Fuel Taxes'!P113</f>
        <v>0</v>
      </c>
      <c r="Q113">
        <f>'Pretax Fuel Prices'!Q113+'Fuel Taxes'!Q113</f>
        <v>0</v>
      </c>
      <c r="R113">
        <f>'Pretax Fuel Prices'!R113+'Fuel Taxes'!R113</f>
        <v>0</v>
      </c>
      <c r="S113">
        <f>'Pretax Fuel Prices'!S113+'Fuel Taxes'!S113</f>
        <v>0</v>
      </c>
      <c r="T113">
        <f>'Pretax Fuel Prices'!T113+'Fuel Taxes'!T113</f>
        <v>0</v>
      </c>
      <c r="U113">
        <f>'Pretax Fuel Prices'!U113+'Fuel Taxes'!U113</f>
        <v>0</v>
      </c>
      <c r="V113">
        <f>'Pretax Fuel Prices'!V113+'Fuel Taxes'!V113</f>
        <v>0</v>
      </c>
      <c r="W113">
        <f>'Pretax Fuel Prices'!W113+'Fuel Taxes'!W113</f>
        <v>0</v>
      </c>
      <c r="X113">
        <f>'Pretax Fuel Prices'!X113+'Fuel Taxes'!X113</f>
        <v>0</v>
      </c>
      <c r="Y113">
        <f>'Pretax Fuel Prices'!Y113+'Fuel Taxes'!Y113</f>
        <v>0</v>
      </c>
      <c r="Z113">
        <f>'Pretax Fuel Prices'!Z113+'Fuel Taxes'!Z113</f>
        <v>0</v>
      </c>
      <c r="AA113">
        <f>'Pretax Fuel Prices'!AA113+'Fuel Taxes'!AA113</f>
        <v>0</v>
      </c>
      <c r="AB113">
        <f>'Pretax Fuel Prices'!AB113+'Fuel Taxes'!AB113</f>
        <v>0</v>
      </c>
      <c r="AC113">
        <f>'Pretax Fuel Prices'!AC113+'Fuel Taxes'!AC113</f>
        <v>0</v>
      </c>
      <c r="AD113">
        <f>'Pretax Fuel Prices'!AD113+'Fuel Taxes'!AD113</f>
        <v>0</v>
      </c>
      <c r="AE113">
        <f>'Pretax Fuel Prices'!AE113+'Fuel Taxes'!AE113</f>
        <v>0</v>
      </c>
      <c r="AF113">
        <f>'Pretax Fuel Prices'!AF113+'Fuel Taxes'!AF113</f>
        <v>0</v>
      </c>
      <c r="AG113">
        <f>'Pretax Fuel Prices'!AG113+'Fuel Taxes'!AG113</f>
        <v>0</v>
      </c>
      <c r="AH113">
        <f>'Pretax Fuel Prices'!AH113+'Fuel Taxes'!AH113</f>
        <v>0</v>
      </c>
      <c r="AI113">
        <f>'Pretax Fuel Prices'!AI113+'Fuel Taxes'!AI113</f>
        <v>0</v>
      </c>
    </row>
    <row r="114" spans="1:51" x14ac:dyDescent="0.35">
      <c r="A114" t="s">
        <v>52</v>
      </c>
      <c r="B114">
        <f>'Pretax Fuel Prices'!B114+'Fuel Taxes'!B114</f>
        <v>1.7309999999999999E-5</v>
      </c>
      <c r="C114">
        <f>'Pretax Fuel Prices'!C114+'Fuel Taxes'!C114</f>
        <v>1.7309999999999999E-5</v>
      </c>
      <c r="D114">
        <f>'Pretax Fuel Prices'!D114+'Fuel Taxes'!D114</f>
        <v>1.8583896103896105E-5</v>
      </c>
      <c r="E114">
        <f>'Pretax Fuel Prices'!E114+'Fuel Taxes'!E114</f>
        <v>1.7309999999999999E-5</v>
      </c>
      <c r="F114">
        <f>'Pretax Fuel Prices'!F114+'Fuel Taxes'!F114</f>
        <v>2.0022649350649347E-5</v>
      </c>
      <c r="G114">
        <f>'Pretax Fuel Prices'!G114+'Fuel Taxes'!G114</f>
        <v>2.0067610389610387E-5</v>
      </c>
      <c r="H114">
        <f>'Pretax Fuel Prices'!H114+'Fuel Taxes'!H114</f>
        <v>1.9962701298701297E-5</v>
      </c>
      <c r="I114">
        <f>'Pretax Fuel Prices'!I114+'Fuel Taxes'!I114</f>
        <v>2.0127558441558437E-5</v>
      </c>
      <c r="J114">
        <f>'Pretax Fuel Prices'!J114+'Fuel Taxes'!J114</f>
        <v>2.0382337662337661E-5</v>
      </c>
      <c r="K114">
        <f>'Pretax Fuel Prices'!K114+'Fuel Taxes'!K114</f>
        <v>2.0562181818181815E-5</v>
      </c>
      <c r="L114">
        <f>'Pretax Fuel Prices'!L114+'Fuel Taxes'!L114</f>
        <v>2.099680519480519E-5</v>
      </c>
      <c r="M114">
        <f>'Pretax Fuel Prices'!M114+'Fuel Taxes'!M114</f>
        <v>2.1011792207792204E-5</v>
      </c>
      <c r="N114">
        <f>'Pretax Fuel Prices'!N114+'Fuel Taxes'!N114</f>
        <v>2.1596285714285714E-5</v>
      </c>
      <c r="O114">
        <f>'Pretax Fuel Prices'!O114+'Fuel Taxes'!O114</f>
        <v>2.1911012987012986E-5</v>
      </c>
      <c r="P114">
        <f>'Pretax Fuel Prices'!P114+'Fuel Taxes'!P114</f>
        <v>2.2315662337662335E-5</v>
      </c>
      <c r="Q114">
        <f>'Pretax Fuel Prices'!Q114+'Fuel Taxes'!Q114</f>
        <v>2.2525480519480514E-5</v>
      </c>
      <c r="R114">
        <f>'Pretax Fuel Prices'!R114+'Fuel Taxes'!R114</f>
        <v>2.291514285714285E-5</v>
      </c>
      <c r="S114">
        <f>'Pretax Fuel Prices'!S114+'Fuel Taxes'!S114</f>
        <v>2.3169922077922078E-5</v>
      </c>
      <c r="T114">
        <f>'Pretax Fuel Prices'!T114+'Fuel Taxes'!T114</f>
        <v>2.3484649350649349E-5</v>
      </c>
      <c r="U114">
        <f>'Pretax Fuel Prices'!U114+'Fuel Taxes'!U114</f>
        <v>2.3754415584415585E-5</v>
      </c>
      <c r="V114">
        <f>'Pretax Fuel Prices'!V114+'Fuel Taxes'!V114</f>
        <v>2.4039168831168831E-5</v>
      </c>
      <c r="W114">
        <f>'Pretax Fuel Prices'!W114+'Fuel Taxes'!W114</f>
        <v>2.4293948051948056E-5</v>
      </c>
      <c r="X114">
        <f>'Pretax Fuel Prices'!X114+'Fuel Taxes'!X114</f>
        <v>2.4638649350649352E-5</v>
      </c>
      <c r="Y114">
        <f>'Pretax Fuel Prices'!Y114+'Fuel Taxes'!Y114</f>
        <v>2.4953376623376617E-5</v>
      </c>
      <c r="Z114">
        <f>'Pretax Fuel Prices'!Z114+'Fuel Taxes'!Z114</f>
        <v>2.5118233766233769E-5</v>
      </c>
      <c r="AA114">
        <f>'Pretax Fuel Prices'!AA114+'Fuel Taxes'!AA114</f>
        <v>2.5373012987012984E-5</v>
      </c>
      <c r="AB114">
        <f>'Pretax Fuel Prices'!AB114+'Fuel Taxes'!AB114</f>
        <v>2.5432961038961034E-5</v>
      </c>
      <c r="AC114">
        <f>'Pretax Fuel Prices'!AC114+'Fuel Taxes'!AC114</f>
        <v>2.5402987012987012E-5</v>
      </c>
      <c r="AD114">
        <f>'Pretax Fuel Prices'!AD114+'Fuel Taxes'!AD114</f>
        <v>2.523812987012987E-5</v>
      </c>
      <c r="AE114">
        <f>'Pretax Fuel Prices'!AE114+'Fuel Taxes'!AE114</f>
        <v>2.5627792207792205E-5</v>
      </c>
      <c r="AF114">
        <f>'Pretax Fuel Prices'!AF114+'Fuel Taxes'!AF114</f>
        <v>0</v>
      </c>
      <c r="AG114">
        <f>'Pretax Fuel Prices'!AG114+'Fuel Taxes'!AG114</f>
        <v>0</v>
      </c>
      <c r="AH114">
        <f>'Pretax Fuel Prices'!AH114+'Fuel Taxes'!AH114</f>
        <v>0</v>
      </c>
      <c r="AI114">
        <f>'Pretax Fuel Prices'!AI114+'Fuel Taxes'!AI114</f>
        <v>0</v>
      </c>
    </row>
    <row r="115" spans="1:51" x14ac:dyDescent="0.35">
      <c r="A115" t="s">
        <v>53</v>
      </c>
      <c r="B115">
        <f>'Pretax Fuel Prices'!B115+'Fuel Taxes'!B115</f>
        <v>0</v>
      </c>
      <c r="C115">
        <f>'Pretax Fuel Prices'!C115+'Fuel Taxes'!C115</f>
        <v>0</v>
      </c>
      <c r="D115">
        <f>'Pretax Fuel Prices'!D115+'Fuel Taxes'!D115</f>
        <v>0</v>
      </c>
      <c r="E115">
        <f>'Pretax Fuel Prices'!E115+'Fuel Taxes'!E115</f>
        <v>0</v>
      </c>
      <c r="F115">
        <f>'Pretax Fuel Prices'!F115+'Fuel Taxes'!F115</f>
        <v>0</v>
      </c>
      <c r="G115">
        <f>'Pretax Fuel Prices'!G115+'Fuel Taxes'!G115</f>
        <v>0</v>
      </c>
      <c r="H115">
        <f>'Pretax Fuel Prices'!H115+'Fuel Taxes'!H115</f>
        <v>0</v>
      </c>
      <c r="I115">
        <f>'Pretax Fuel Prices'!I115+'Fuel Taxes'!I115</f>
        <v>0</v>
      </c>
      <c r="J115">
        <f>'Pretax Fuel Prices'!J115+'Fuel Taxes'!J115</f>
        <v>0</v>
      </c>
      <c r="K115">
        <f>'Pretax Fuel Prices'!K115+'Fuel Taxes'!K115</f>
        <v>0</v>
      </c>
      <c r="L115">
        <f>'Pretax Fuel Prices'!L115+'Fuel Taxes'!L115</f>
        <v>0</v>
      </c>
      <c r="M115">
        <f>'Pretax Fuel Prices'!M115+'Fuel Taxes'!M115</f>
        <v>0</v>
      </c>
      <c r="N115">
        <f>'Pretax Fuel Prices'!N115+'Fuel Taxes'!N115</f>
        <v>0</v>
      </c>
      <c r="O115">
        <f>'Pretax Fuel Prices'!O115+'Fuel Taxes'!O115</f>
        <v>0</v>
      </c>
      <c r="P115">
        <f>'Pretax Fuel Prices'!P115+'Fuel Taxes'!P115</f>
        <v>0</v>
      </c>
      <c r="Q115">
        <f>'Pretax Fuel Prices'!Q115+'Fuel Taxes'!Q115</f>
        <v>0</v>
      </c>
      <c r="R115">
        <f>'Pretax Fuel Prices'!R115+'Fuel Taxes'!R115</f>
        <v>0</v>
      </c>
      <c r="S115">
        <f>'Pretax Fuel Prices'!S115+'Fuel Taxes'!S115</f>
        <v>0</v>
      </c>
      <c r="T115">
        <f>'Pretax Fuel Prices'!T115+'Fuel Taxes'!T115</f>
        <v>0</v>
      </c>
      <c r="U115">
        <f>'Pretax Fuel Prices'!U115+'Fuel Taxes'!U115</f>
        <v>0</v>
      </c>
      <c r="V115">
        <f>'Pretax Fuel Prices'!V115+'Fuel Taxes'!V115</f>
        <v>0</v>
      </c>
      <c r="W115">
        <f>'Pretax Fuel Prices'!W115+'Fuel Taxes'!W115</f>
        <v>0</v>
      </c>
      <c r="X115">
        <f>'Pretax Fuel Prices'!X115+'Fuel Taxes'!X115</f>
        <v>0</v>
      </c>
      <c r="Y115">
        <f>'Pretax Fuel Prices'!Y115+'Fuel Taxes'!Y115</f>
        <v>0</v>
      </c>
      <c r="Z115">
        <f>'Pretax Fuel Prices'!Z115+'Fuel Taxes'!Z115</f>
        <v>0</v>
      </c>
      <c r="AA115">
        <f>'Pretax Fuel Prices'!AA115+'Fuel Taxes'!AA115</f>
        <v>0</v>
      </c>
      <c r="AB115">
        <f>'Pretax Fuel Prices'!AB115+'Fuel Taxes'!AB115</f>
        <v>0</v>
      </c>
      <c r="AC115">
        <f>'Pretax Fuel Prices'!AC115+'Fuel Taxes'!AC115</f>
        <v>0</v>
      </c>
      <c r="AD115">
        <f>'Pretax Fuel Prices'!AD115+'Fuel Taxes'!AD115</f>
        <v>0</v>
      </c>
      <c r="AE115">
        <f>'Pretax Fuel Prices'!AE115+'Fuel Taxes'!AE115</f>
        <v>0</v>
      </c>
      <c r="AF115">
        <f>'Pretax Fuel Prices'!AF115+'Fuel Taxes'!AF115</f>
        <v>0</v>
      </c>
      <c r="AG115">
        <f>'Pretax Fuel Prices'!AG115+'Fuel Taxes'!AG115</f>
        <v>0</v>
      </c>
      <c r="AH115">
        <f>'Pretax Fuel Prices'!AH115+'Fuel Taxes'!AH115</f>
        <v>0</v>
      </c>
      <c r="AI115">
        <f>'Pretax Fuel Prices'!AI115+'Fuel Taxes'!AI115</f>
        <v>0</v>
      </c>
    </row>
    <row r="116" spans="1:51" x14ac:dyDescent="0.35">
      <c r="A116" t="s">
        <v>54</v>
      </c>
      <c r="B116">
        <f>'Pretax Fuel Prices'!B116+'Fuel Taxes'!B116</f>
        <v>0</v>
      </c>
      <c r="C116">
        <f>'Pretax Fuel Prices'!C116+'Fuel Taxes'!C116</f>
        <v>0</v>
      </c>
      <c r="D116">
        <f>'Pretax Fuel Prices'!D116+'Fuel Taxes'!D116</f>
        <v>0</v>
      </c>
      <c r="E116">
        <f>'Pretax Fuel Prices'!E116+'Fuel Taxes'!E116</f>
        <v>0</v>
      </c>
      <c r="F116">
        <f>'Pretax Fuel Prices'!F116+'Fuel Taxes'!F116</f>
        <v>0</v>
      </c>
      <c r="G116">
        <f>'Pretax Fuel Prices'!G116+'Fuel Taxes'!G116</f>
        <v>0</v>
      </c>
      <c r="H116">
        <f>'Pretax Fuel Prices'!H116+'Fuel Taxes'!H116</f>
        <v>0</v>
      </c>
      <c r="I116">
        <f>'Pretax Fuel Prices'!I116+'Fuel Taxes'!I116</f>
        <v>0</v>
      </c>
      <c r="J116">
        <f>'Pretax Fuel Prices'!J116+'Fuel Taxes'!J116</f>
        <v>0</v>
      </c>
      <c r="K116">
        <f>'Pretax Fuel Prices'!K116+'Fuel Taxes'!K116</f>
        <v>0</v>
      </c>
      <c r="L116">
        <f>'Pretax Fuel Prices'!L116+'Fuel Taxes'!L116</f>
        <v>0</v>
      </c>
      <c r="M116">
        <f>'Pretax Fuel Prices'!M116+'Fuel Taxes'!M116</f>
        <v>0</v>
      </c>
      <c r="N116">
        <f>'Pretax Fuel Prices'!N116+'Fuel Taxes'!N116</f>
        <v>0</v>
      </c>
      <c r="O116">
        <f>'Pretax Fuel Prices'!O116+'Fuel Taxes'!O116</f>
        <v>0</v>
      </c>
      <c r="P116">
        <f>'Pretax Fuel Prices'!P116+'Fuel Taxes'!P116</f>
        <v>0</v>
      </c>
      <c r="Q116">
        <f>'Pretax Fuel Prices'!Q116+'Fuel Taxes'!Q116</f>
        <v>0</v>
      </c>
      <c r="R116">
        <f>'Pretax Fuel Prices'!R116+'Fuel Taxes'!R116</f>
        <v>0</v>
      </c>
      <c r="S116">
        <f>'Pretax Fuel Prices'!S116+'Fuel Taxes'!S116</f>
        <v>0</v>
      </c>
      <c r="T116">
        <f>'Pretax Fuel Prices'!T116+'Fuel Taxes'!T116</f>
        <v>0</v>
      </c>
      <c r="U116">
        <f>'Pretax Fuel Prices'!U116+'Fuel Taxes'!U116</f>
        <v>0</v>
      </c>
      <c r="V116">
        <f>'Pretax Fuel Prices'!V116+'Fuel Taxes'!V116</f>
        <v>0</v>
      </c>
      <c r="W116">
        <f>'Pretax Fuel Prices'!W116+'Fuel Taxes'!W116</f>
        <v>0</v>
      </c>
      <c r="X116">
        <f>'Pretax Fuel Prices'!X116+'Fuel Taxes'!X116</f>
        <v>0</v>
      </c>
      <c r="Y116">
        <f>'Pretax Fuel Prices'!Y116+'Fuel Taxes'!Y116</f>
        <v>0</v>
      </c>
      <c r="Z116">
        <f>'Pretax Fuel Prices'!Z116+'Fuel Taxes'!Z116</f>
        <v>0</v>
      </c>
      <c r="AA116">
        <f>'Pretax Fuel Prices'!AA116+'Fuel Taxes'!AA116</f>
        <v>0</v>
      </c>
      <c r="AB116">
        <f>'Pretax Fuel Prices'!AB116+'Fuel Taxes'!AB116</f>
        <v>0</v>
      </c>
      <c r="AC116">
        <f>'Pretax Fuel Prices'!AC116+'Fuel Taxes'!AC116</f>
        <v>0</v>
      </c>
      <c r="AD116">
        <f>'Pretax Fuel Prices'!AD116+'Fuel Taxes'!AD116</f>
        <v>0</v>
      </c>
      <c r="AE116">
        <f>'Pretax Fuel Prices'!AE116+'Fuel Taxes'!AE116</f>
        <v>0</v>
      </c>
      <c r="AF116">
        <f>'Pretax Fuel Prices'!AF116+'Fuel Taxes'!AF116</f>
        <v>0</v>
      </c>
      <c r="AG116">
        <f>'Pretax Fuel Prices'!AG116+'Fuel Taxes'!AG116</f>
        <v>0</v>
      </c>
      <c r="AH116">
        <f>'Pretax Fuel Prices'!AH116+'Fuel Taxes'!AH116</f>
        <v>0</v>
      </c>
      <c r="AI116">
        <f>'Pretax Fuel Prices'!AI116+'Fuel Taxes'!AI116</f>
        <v>0</v>
      </c>
    </row>
    <row r="117" spans="1:51" x14ac:dyDescent="0.35">
      <c r="A117" t="s">
        <v>55</v>
      </c>
      <c r="B117">
        <f>'Pretax Fuel Prices'!B117+'Fuel Taxes'!B117</f>
        <v>1.7309999999999999E-5</v>
      </c>
      <c r="C117">
        <f>'Pretax Fuel Prices'!C117+'Fuel Taxes'!C117</f>
        <v>1.7309999999999999E-5</v>
      </c>
      <c r="D117">
        <f>'Pretax Fuel Prices'!D117+'Fuel Taxes'!D117</f>
        <v>3.0985856353591157E-5</v>
      </c>
      <c r="E117">
        <f>'Pretax Fuel Prices'!E117+'Fuel Taxes'!E117</f>
        <v>1.7309999999999999E-5</v>
      </c>
      <c r="F117">
        <f>'Pretax Fuel Prices'!F117+'Fuel Taxes'!F117</f>
        <v>2.5199917127071824E-5</v>
      </c>
      <c r="G117">
        <f>'Pretax Fuel Prices'!G117+'Fuel Taxes'!G117</f>
        <v>3.3376740331491709E-5</v>
      </c>
      <c r="H117">
        <f>'Pretax Fuel Prices'!H117+'Fuel Taxes'!H117</f>
        <v>4.0931933701657466E-5</v>
      </c>
      <c r="I117">
        <f>'Pretax Fuel Prices'!I117+'Fuel Taxes'!I117</f>
        <v>4.9347845303867397E-5</v>
      </c>
      <c r="J117">
        <f>'Pretax Fuel Prices'!J117+'Fuel Taxes'!J117</f>
        <v>5.7476850828729279E-5</v>
      </c>
      <c r="K117">
        <f>'Pretax Fuel Prices'!K117+'Fuel Taxes'!K117</f>
        <v>5.7333397790055251E-5</v>
      </c>
      <c r="L117">
        <f>'Pretax Fuel Prices'!L117+'Fuel Taxes'!L117</f>
        <v>5.9533011049723745E-5</v>
      </c>
      <c r="M117">
        <f>'Pretax Fuel Prices'!M117+'Fuel Taxes'!M117</f>
        <v>5.8767928176795576E-5</v>
      </c>
      <c r="N117">
        <f>'Pretax Fuel Prices'!N117+'Fuel Taxes'!N117</f>
        <v>6.0919723756906068E-5</v>
      </c>
      <c r="O117">
        <f>'Pretax Fuel Prices'!O117+'Fuel Taxes'!O117</f>
        <v>6.1876077348066295E-5</v>
      </c>
      <c r="P117">
        <f>'Pretax Fuel Prices'!P117+'Fuel Taxes'!P117</f>
        <v>6.3501878453038678E-5</v>
      </c>
      <c r="Q117">
        <f>'Pretax Fuel Prices'!Q117+'Fuel Taxes'!Q117</f>
        <v>6.3884419889502752E-5</v>
      </c>
      <c r="R117">
        <f>'Pretax Fuel Prices'!R117+'Fuel Taxes'!R117</f>
        <v>6.5032044198895015E-5</v>
      </c>
      <c r="S117">
        <f>'Pretax Fuel Prices'!S117+'Fuel Taxes'!S117</f>
        <v>6.5366767955801094E-5</v>
      </c>
      <c r="T117">
        <f>'Pretax Fuel Prices'!T117+'Fuel Taxes'!T117</f>
        <v>6.6514392265193357E-5</v>
      </c>
      <c r="U117">
        <f>'Pretax Fuel Prices'!U117+'Fuel Taxes'!U117</f>
        <v>6.7614198895027611E-5</v>
      </c>
      <c r="V117">
        <f>'Pretax Fuel Prices'!V117+'Fuel Taxes'!V117</f>
        <v>6.8570552486187837E-5</v>
      </c>
      <c r="W117">
        <f>'Pretax Fuel Prices'!W117+'Fuel Taxes'!W117</f>
        <v>6.9479088397790041E-5</v>
      </c>
      <c r="X117">
        <f>'Pretax Fuel Prices'!X117+'Fuel Taxes'!X117</f>
        <v>7.0913618784530373E-5</v>
      </c>
      <c r="Y117">
        <f>'Pretax Fuel Prices'!Y117+'Fuel Taxes'!Y117</f>
        <v>7.2587237569060766E-5</v>
      </c>
      <c r="Z117">
        <f>'Pretax Fuel Prices'!Z117+'Fuel Taxes'!Z117</f>
        <v>7.3973950276243103E-5</v>
      </c>
      <c r="AA117">
        <f>'Pretax Fuel Prices'!AA117+'Fuel Taxes'!AA117</f>
        <v>7.5073756906077357E-5</v>
      </c>
      <c r="AB117">
        <f>'Pretax Fuel Prices'!AB117+'Fuel Taxes'!AB117</f>
        <v>7.6077928176795578E-5</v>
      </c>
      <c r="AC117">
        <f>'Pretax Fuel Prices'!AC117+'Fuel Taxes'!AC117</f>
        <v>7.6843011049723754E-5</v>
      </c>
      <c r="AD117">
        <f>'Pretax Fuel Prices'!AD117+'Fuel Taxes'!AD117</f>
        <v>7.7225552486187842E-5</v>
      </c>
      <c r="AE117">
        <f>'Pretax Fuel Prices'!AE117+'Fuel Taxes'!AE117</f>
        <v>7.8803535911602202E-5</v>
      </c>
      <c r="AF117">
        <f>'Pretax Fuel Prices'!AF117+'Fuel Taxes'!AF117</f>
        <v>0</v>
      </c>
      <c r="AG117">
        <f>'Pretax Fuel Prices'!AG117+'Fuel Taxes'!AG117</f>
        <v>0</v>
      </c>
      <c r="AH117">
        <f>'Pretax Fuel Prices'!AH117+'Fuel Taxes'!AH117</f>
        <v>0</v>
      </c>
      <c r="AI117">
        <f>'Pretax Fuel Prices'!AI117+'Fuel Taxes'!AI117</f>
        <v>0</v>
      </c>
    </row>
    <row r="118" spans="1:51" x14ac:dyDescent="0.35">
      <c r="A118" t="s">
        <v>56</v>
      </c>
      <c r="B118">
        <f>'Pretax Fuel Prices'!B118+'Fuel Taxes'!B118</f>
        <v>0</v>
      </c>
      <c r="C118">
        <f>'Pretax Fuel Prices'!C118+'Fuel Taxes'!C118</f>
        <v>0</v>
      </c>
      <c r="D118">
        <f>'Pretax Fuel Prices'!D118+'Fuel Taxes'!D118</f>
        <v>0</v>
      </c>
      <c r="E118">
        <f>'Pretax Fuel Prices'!E118+'Fuel Taxes'!E118</f>
        <v>0</v>
      </c>
      <c r="F118">
        <f>'Pretax Fuel Prices'!F118+'Fuel Taxes'!F118</f>
        <v>0</v>
      </c>
      <c r="G118">
        <f>'Pretax Fuel Prices'!G118+'Fuel Taxes'!G118</f>
        <v>0</v>
      </c>
      <c r="H118">
        <f>'Pretax Fuel Prices'!H118+'Fuel Taxes'!H118</f>
        <v>0</v>
      </c>
      <c r="I118">
        <f>'Pretax Fuel Prices'!I118+'Fuel Taxes'!I118</f>
        <v>0</v>
      </c>
      <c r="J118">
        <f>'Pretax Fuel Prices'!J118+'Fuel Taxes'!J118</f>
        <v>0</v>
      </c>
      <c r="K118">
        <f>'Pretax Fuel Prices'!K118+'Fuel Taxes'!K118</f>
        <v>0</v>
      </c>
      <c r="L118">
        <f>'Pretax Fuel Prices'!L118+'Fuel Taxes'!L118</f>
        <v>0</v>
      </c>
      <c r="M118">
        <f>'Pretax Fuel Prices'!M118+'Fuel Taxes'!M118</f>
        <v>0</v>
      </c>
      <c r="N118">
        <f>'Pretax Fuel Prices'!N118+'Fuel Taxes'!N118</f>
        <v>0</v>
      </c>
      <c r="O118">
        <f>'Pretax Fuel Prices'!O118+'Fuel Taxes'!O118</f>
        <v>0</v>
      </c>
      <c r="P118">
        <f>'Pretax Fuel Prices'!P118+'Fuel Taxes'!P118</f>
        <v>0</v>
      </c>
      <c r="Q118">
        <f>'Pretax Fuel Prices'!Q118+'Fuel Taxes'!Q118</f>
        <v>0</v>
      </c>
      <c r="R118">
        <f>'Pretax Fuel Prices'!R118+'Fuel Taxes'!R118</f>
        <v>0</v>
      </c>
      <c r="S118">
        <f>'Pretax Fuel Prices'!S118+'Fuel Taxes'!S118</f>
        <v>0</v>
      </c>
      <c r="T118">
        <f>'Pretax Fuel Prices'!T118+'Fuel Taxes'!T118</f>
        <v>0</v>
      </c>
      <c r="U118">
        <f>'Pretax Fuel Prices'!U118+'Fuel Taxes'!U118</f>
        <v>0</v>
      </c>
      <c r="V118">
        <f>'Pretax Fuel Prices'!V118+'Fuel Taxes'!V118</f>
        <v>0</v>
      </c>
      <c r="W118">
        <f>'Pretax Fuel Prices'!W118+'Fuel Taxes'!W118</f>
        <v>0</v>
      </c>
      <c r="X118">
        <f>'Pretax Fuel Prices'!X118+'Fuel Taxes'!X118</f>
        <v>0</v>
      </c>
      <c r="Y118">
        <f>'Pretax Fuel Prices'!Y118+'Fuel Taxes'!Y118</f>
        <v>0</v>
      </c>
      <c r="Z118">
        <f>'Pretax Fuel Prices'!Z118+'Fuel Taxes'!Z118</f>
        <v>0</v>
      </c>
      <c r="AA118">
        <f>'Pretax Fuel Prices'!AA118+'Fuel Taxes'!AA118</f>
        <v>0</v>
      </c>
      <c r="AB118">
        <f>'Pretax Fuel Prices'!AB118+'Fuel Taxes'!AB118</f>
        <v>0</v>
      </c>
      <c r="AC118">
        <f>'Pretax Fuel Prices'!AC118+'Fuel Taxes'!AC118</f>
        <v>0</v>
      </c>
      <c r="AD118">
        <f>'Pretax Fuel Prices'!AD118+'Fuel Taxes'!AD118</f>
        <v>0</v>
      </c>
      <c r="AE118">
        <f>'Pretax Fuel Prices'!AE118+'Fuel Taxes'!AE118</f>
        <v>0</v>
      </c>
      <c r="AF118">
        <f>'Pretax Fuel Prices'!AF118+'Fuel Taxes'!AF118</f>
        <v>0</v>
      </c>
      <c r="AG118">
        <f>'Pretax Fuel Prices'!AG118+'Fuel Taxes'!AG118</f>
        <v>0</v>
      </c>
      <c r="AH118">
        <f>'Pretax Fuel Prices'!AH118+'Fuel Taxes'!AH118</f>
        <v>0</v>
      </c>
      <c r="AI118">
        <f>'Pretax Fuel Prices'!AI118+'Fuel Taxes'!AI118</f>
        <v>0</v>
      </c>
    </row>
    <row r="119" spans="1:51" x14ac:dyDescent="0.35">
      <c r="A119" t="s">
        <v>57</v>
      </c>
      <c r="B119">
        <f>'Pretax Fuel Prices'!B119+'Fuel Taxes'!B119</f>
        <v>0</v>
      </c>
      <c r="C119">
        <f>'Pretax Fuel Prices'!C119+'Fuel Taxes'!C119</f>
        <v>0</v>
      </c>
      <c r="D119">
        <f>'Pretax Fuel Prices'!D119+'Fuel Taxes'!D119</f>
        <v>0</v>
      </c>
      <c r="E119">
        <f>'Pretax Fuel Prices'!E119+'Fuel Taxes'!E119</f>
        <v>0</v>
      </c>
      <c r="F119">
        <f>'Pretax Fuel Prices'!F119+'Fuel Taxes'!F119</f>
        <v>0</v>
      </c>
      <c r="G119">
        <f>'Pretax Fuel Prices'!G119+'Fuel Taxes'!G119</f>
        <v>0</v>
      </c>
      <c r="H119">
        <f>'Pretax Fuel Prices'!H119+'Fuel Taxes'!H119</f>
        <v>0</v>
      </c>
      <c r="I119">
        <f>'Pretax Fuel Prices'!I119+'Fuel Taxes'!I119</f>
        <v>0</v>
      </c>
      <c r="J119">
        <f>'Pretax Fuel Prices'!J119+'Fuel Taxes'!J119</f>
        <v>0</v>
      </c>
      <c r="K119">
        <f>'Pretax Fuel Prices'!K119+'Fuel Taxes'!K119</f>
        <v>0</v>
      </c>
      <c r="L119">
        <f>'Pretax Fuel Prices'!L119+'Fuel Taxes'!L119</f>
        <v>0</v>
      </c>
      <c r="M119">
        <f>'Pretax Fuel Prices'!M119+'Fuel Taxes'!M119</f>
        <v>0</v>
      </c>
      <c r="N119">
        <f>'Pretax Fuel Prices'!N119+'Fuel Taxes'!N119</f>
        <v>0</v>
      </c>
      <c r="O119">
        <f>'Pretax Fuel Prices'!O119+'Fuel Taxes'!O119</f>
        <v>0</v>
      </c>
      <c r="P119">
        <f>'Pretax Fuel Prices'!P119+'Fuel Taxes'!P119</f>
        <v>0</v>
      </c>
      <c r="Q119">
        <f>'Pretax Fuel Prices'!Q119+'Fuel Taxes'!Q119</f>
        <v>0</v>
      </c>
      <c r="R119">
        <f>'Pretax Fuel Prices'!R119+'Fuel Taxes'!R119</f>
        <v>0</v>
      </c>
      <c r="S119">
        <f>'Pretax Fuel Prices'!S119+'Fuel Taxes'!S119</f>
        <v>0</v>
      </c>
      <c r="T119">
        <f>'Pretax Fuel Prices'!T119+'Fuel Taxes'!T119</f>
        <v>0</v>
      </c>
      <c r="U119">
        <f>'Pretax Fuel Prices'!U119+'Fuel Taxes'!U119</f>
        <v>0</v>
      </c>
      <c r="V119">
        <f>'Pretax Fuel Prices'!V119+'Fuel Taxes'!V119</f>
        <v>0</v>
      </c>
      <c r="W119">
        <f>'Pretax Fuel Prices'!W119+'Fuel Taxes'!W119</f>
        <v>0</v>
      </c>
      <c r="X119">
        <f>'Pretax Fuel Prices'!X119+'Fuel Taxes'!X119</f>
        <v>0</v>
      </c>
      <c r="Y119">
        <f>'Pretax Fuel Prices'!Y119+'Fuel Taxes'!Y119</f>
        <v>0</v>
      </c>
      <c r="Z119">
        <f>'Pretax Fuel Prices'!Z119+'Fuel Taxes'!Z119</f>
        <v>0</v>
      </c>
      <c r="AA119">
        <f>'Pretax Fuel Prices'!AA119+'Fuel Taxes'!AA119</f>
        <v>0</v>
      </c>
      <c r="AB119">
        <f>'Pretax Fuel Prices'!AB119+'Fuel Taxes'!AB119</f>
        <v>0</v>
      </c>
      <c r="AC119">
        <f>'Pretax Fuel Prices'!AC119+'Fuel Taxes'!AC119</f>
        <v>0</v>
      </c>
      <c r="AD119">
        <f>'Pretax Fuel Prices'!AD119+'Fuel Taxes'!AD119</f>
        <v>0</v>
      </c>
      <c r="AE119">
        <f>'Pretax Fuel Prices'!AE119+'Fuel Taxes'!AE119</f>
        <v>0</v>
      </c>
      <c r="AF119">
        <f>'Pretax Fuel Prices'!AF119+'Fuel Taxes'!AF119</f>
        <v>0</v>
      </c>
      <c r="AG119">
        <f>'Pretax Fuel Prices'!AG119+'Fuel Taxes'!AG119</f>
        <v>0</v>
      </c>
      <c r="AH119">
        <f>'Pretax Fuel Prices'!AH119+'Fuel Taxes'!AH119</f>
        <v>0</v>
      </c>
      <c r="AI119">
        <f>'Pretax Fuel Prices'!AI119+'Fuel Taxes'!AI119</f>
        <v>0</v>
      </c>
    </row>
    <row r="120" spans="1:51" x14ac:dyDescent="0.35">
      <c r="A120" t="s">
        <v>58</v>
      </c>
      <c r="B120">
        <f>'Pretax Fuel Prices'!B120+'Fuel Taxes'!B120</f>
        <v>1.7309999999999999E-5</v>
      </c>
      <c r="C120">
        <f>'Pretax Fuel Prices'!C120+'Fuel Taxes'!C120</f>
        <v>1.7309999999999999E-5</v>
      </c>
      <c r="D120">
        <f>'Pretax Fuel Prices'!D120+'Fuel Taxes'!D120</f>
        <v>3.0985856353591157E-5</v>
      </c>
      <c r="E120">
        <f>'Pretax Fuel Prices'!E120+'Fuel Taxes'!E120</f>
        <v>1.7309999999999999E-5</v>
      </c>
      <c r="F120">
        <f>'Pretax Fuel Prices'!F120+'Fuel Taxes'!F120</f>
        <v>2.5199917127071824E-5</v>
      </c>
      <c r="G120">
        <f>'Pretax Fuel Prices'!G120+'Fuel Taxes'!G120</f>
        <v>3.3376740331491709E-5</v>
      </c>
      <c r="H120">
        <f>'Pretax Fuel Prices'!H120+'Fuel Taxes'!H120</f>
        <v>4.0931933701657466E-5</v>
      </c>
      <c r="I120">
        <f>'Pretax Fuel Prices'!I120+'Fuel Taxes'!I120</f>
        <v>4.9347845303867397E-5</v>
      </c>
      <c r="J120">
        <f>'Pretax Fuel Prices'!J120+'Fuel Taxes'!J120</f>
        <v>5.7476850828729279E-5</v>
      </c>
      <c r="K120">
        <f>'Pretax Fuel Prices'!K120+'Fuel Taxes'!K120</f>
        <v>5.7333397790055251E-5</v>
      </c>
      <c r="L120">
        <f>'Pretax Fuel Prices'!L120+'Fuel Taxes'!L120</f>
        <v>5.9533011049723745E-5</v>
      </c>
      <c r="M120">
        <f>'Pretax Fuel Prices'!M120+'Fuel Taxes'!M120</f>
        <v>5.8767928176795576E-5</v>
      </c>
      <c r="N120">
        <f>'Pretax Fuel Prices'!N120+'Fuel Taxes'!N120</f>
        <v>6.0919723756906068E-5</v>
      </c>
      <c r="O120">
        <f>'Pretax Fuel Prices'!O120+'Fuel Taxes'!O120</f>
        <v>6.1876077348066295E-5</v>
      </c>
      <c r="P120">
        <f>'Pretax Fuel Prices'!P120+'Fuel Taxes'!P120</f>
        <v>6.3501878453038678E-5</v>
      </c>
      <c r="Q120">
        <f>'Pretax Fuel Prices'!Q120+'Fuel Taxes'!Q120</f>
        <v>6.3884419889502752E-5</v>
      </c>
      <c r="R120">
        <f>'Pretax Fuel Prices'!R120+'Fuel Taxes'!R120</f>
        <v>6.5032044198895015E-5</v>
      </c>
      <c r="S120">
        <f>'Pretax Fuel Prices'!S120+'Fuel Taxes'!S120</f>
        <v>6.5366767955801094E-5</v>
      </c>
      <c r="T120">
        <f>'Pretax Fuel Prices'!T120+'Fuel Taxes'!T120</f>
        <v>6.6514392265193357E-5</v>
      </c>
      <c r="U120">
        <f>'Pretax Fuel Prices'!U120+'Fuel Taxes'!U120</f>
        <v>6.7614198895027611E-5</v>
      </c>
      <c r="V120">
        <f>'Pretax Fuel Prices'!V120+'Fuel Taxes'!V120</f>
        <v>6.8570552486187837E-5</v>
      </c>
      <c r="W120">
        <f>'Pretax Fuel Prices'!W120+'Fuel Taxes'!W120</f>
        <v>6.9479088397790041E-5</v>
      </c>
      <c r="X120">
        <f>'Pretax Fuel Prices'!X120+'Fuel Taxes'!X120</f>
        <v>7.0913618784530373E-5</v>
      </c>
      <c r="Y120">
        <f>'Pretax Fuel Prices'!Y120+'Fuel Taxes'!Y120</f>
        <v>7.2587237569060766E-5</v>
      </c>
      <c r="Z120">
        <f>'Pretax Fuel Prices'!Z120+'Fuel Taxes'!Z120</f>
        <v>7.3973950276243103E-5</v>
      </c>
      <c r="AA120">
        <f>'Pretax Fuel Prices'!AA120+'Fuel Taxes'!AA120</f>
        <v>7.5073756906077357E-5</v>
      </c>
      <c r="AB120">
        <f>'Pretax Fuel Prices'!AB120+'Fuel Taxes'!AB120</f>
        <v>7.6077928176795578E-5</v>
      </c>
      <c r="AC120">
        <f>'Pretax Fuel Prices'!AC120+'Fuel Taxes'!AC120</f>
        <v>7.6843011049723754E-5</v>
      </c>
      <c r="AD120">
        <f>'Pretax Fuel Prices'!AD120+'Fuel Taxes'!AD120</f>
        <v>7.7225552486187842E-5</v>
      </c>
      <c r="AE120">
        <f>'Pretax Fuel Prices'!AE120+'Fuel Taxes'!AE120</f>
        <v>7.8803535911602202E-5</v>
      </c>
      <c r="AF120">
        <f>'Pretax Fuel Prices'!AF120+'Fuel Taxes'!AF120</f>
        <v>0</v>
      </c>
      <c r="AG120">
        <f>'Pretax Fuel Prices'!AG120+'Fuel Taxes'!AG120</f>
        <v>0</v>
      </c>
      <c r="AH120">
        <f>'Pretax Fuel Prices'!AH120+'Fuel Taxes'!AH120</f>
        <v>0</v>
      </c>
      <c r="AI120">
        <f>'Pretax Fuel Prices'!AI120+'Fuel Taxes'!AI120</f>
        <v>0</v>
      </c>
    </row>
    <row r="121" spans="1:51" s="4" customFormat="1" x14ac:dyDescent="0.35">
      <c r="A121" s="6" t="s">
        <v>47</v>
      </c>
    </row>
    <row r="122" spans="1:51" x14ac:dyDescent="0.35">
      <c r="A122" t="s">
        <v>29</v>
      </c>
      <c r="B122" s="1">
        <v>2021</v>
      </c>
      <c r="C122" s="1">
        <v>2022</v>
      </c>
      <c r="D122" s="1">
        <v>2023</v>
      </c>
      <c r="E122" s="1">
        <v>2024</v>
      </c>
      <c r="F122" s="1">
        <v>2025</v>
      </c>
      <c r="G122" s="1">
        <v>2026</v>
      </c>
      <c r="H122" s="1">
        <v>2027</v>
      </c>
      <c r="I122" s="1">
        <v>2028</v>
      </c>
      <c r="J122" s="1">
        <v>2029</v>
      </c>
      <c r="K122" s="1">
        <v>2030</v>
      </c>
      <c r="L122" s="1">
        <v>2031</v>
      </c>
      <c r="M122" s="1">
        <v>2032</v>
      </c>
      <c r="N122" s="1">
        <v>2033</v>
      </c>
      <c r="O122" s="1">
        <v>2034</v>
      </c>
      <c r="P122" s="1">
        <v>2035</v>
      </c>
      <c r="Q122" s="1">
        <v>2036</v>
      </c>
      <c r="R122" s="1">
        <v>2037</v>
      </c>
      <c r="S122" s="1">
        <v>2038</v>
      </c>
      <c r="T122" s="1">
        <v>2039</v>
      </c>
      <c r="U122" s="1">
        <v>2040</v>
      </c>
      <c r="V122" s="1">
        <v>2041</v>
      </c>
      <c r="W122" s="1">
        <v>2042</v>
      </c>
      <c r="X122" s="1">
        <v>2043</v>
      </c>
      <c r="Y122" s="1">
        <v>2044</v>
      </c>
      <c r="Z122" s="1">
        <v>2045</v>
      </c>
      <c r="AA122" s="1">
        <v>2046</v>
      </c>
      <c r="AB122" s="1">
        <v>2047</v>
      </c>
      <c r="AC122" s="1">
        <v>2048</v>
      </c>
      <c r="AD122" s="1">
        <v>2049</v>
      </c>
      <c r="AE122" s="1">
        <v>2050</v>
      </c>
      <c r="AF122" s="1">
        <v>2051</v>
      </c>
      <c r="AG122" s="1">
        <v>2052</v>
      </c>
      <c r="AH122" s="1">
        <v>2053</v>
      </c>
      <c r="AI122" s="1">
        <v>2054</v>
      </c>
      <c r="AJ122" s="1">
        <v>2055</v>
      </c>
      <c r="AK122" s="1">
        <v>2056</v>
      </c>
      <c r="AL122" s="1">
        <v>2057</v>
      </c>
      <c r="AM122" s="1">
        <v>2058</v>
      </c>
      <c r="AN122" s="1">
        <v>2059</v>
      </c>
      <c r="AO122" s="1">
        <v>2060</v>
      </c>
      <c r="AP122" s="1">
        <v>2061</v>
      </c>
      <c r="AQ122" s="1">
        <v>2062</v>
      </c>
      <c r="AR122" s="1">
        <v>2063</v>
      </c>
      <c r="AS122" s="1">
        <v>2064</v>
      </c>
      <c r="AT122" s="1">
        <v>2065</v>
      </c>
      <c r="AU122" s="1">
        <v>2066</v>
      </c>
      <c r="AV122" s="1">
        <v>2067</v>
      </c>
      <c r="AW122" s="1">
        <v>2068</v>
      </c>
      <c r="AX122" s="1">
        <v>2069</v>
      </c>
      <c r="AY122" s="1">
        <v>2070</v>
      </c>
    </row>
    <row r="123" spans="1:51" x14ac:dyDescent="0.35">
      <c r="A123" t="s">
        <v>51</v>
      </c>
      <c r="B123">
        <f>'Pretax Fuel Prices'!B123+'Fuel Taxes'!B123</f>
        <v>1.2359791868021951E-5</v>
      </c>
      <c r="C123">
        <f>'Pretax Fuel Prices'!C123+'Fuel Taxes'!C123</f>
        <v>1.2359791868021951E-5</v>
      </c>
      <c r="D123">
        <f>'Pretax Fuel Prices'!D123+'Fuel Taxes'!D123</f>
        <v>1.3535896630549992E-5</v>
      </c>
      <c r="E123">
        <f>'Pretax Fuel Prices'!E123+'Fuel Taxes'!E123</f>
        <v>1.2359791868021951E-5</v>
      </c>
      <c r="F123">
        <f>'Pretax Fuel Prices'!F123+'Fuel Taxes'!F123</f>
        <v>1.2958536110763495E-5</v>
      </c>
      <c r="G123">
        <f>'Pretax Fuel Prices'!G123+'Fuel Taxes'!G123</f>
        <v>1.3792501306010652E-5</v>
      </c>
      <c r="H123">
        <f>'Pretax Fuel Prices'!H123+'Fuel Taxes'!H123</f>
        <v>1.4305710656931983E-5</v>
      </c>
      <c r="I123">
        <f>'Pretax Fuel Prices'!I123+'Fuel Taxes'!I123</f>
        <v>1.4883071176718473E-5</v>
      </c>
      <c r="J123">
        <f>'Pretax Fuel Prices'!J123+'Fuel Taxes'!J123</f>
        <v>1.5738420094920684E-5</v>
      </c>
      <c r="K123">
        <f>'Pretax Fuel Prices'!K123+'Fuel Taxes'!K123</f>
        <v>1.6561693428690315E-5</v>
      </c>
      <c r="L123">
        <f>'Pretax Fuel Prices'!L123+'Fuel Taxes'!L123</f>
        <v>1.6967984164836363E-5</v>
      </c>
      <c r="M123">
        <f>'Pretax Fuel Prices'!M123+'Fuel Taxes'!M123</f>
        <v>1.720320511734197E-5</v>
      </c>
      <c r="N123">
        <f>'Pretax Fuel Prices'!N123+'Fuel Taxes'!N123</f>
        <v>1.7310123732117246E-5</v>
      </c>
      <c r="O123">
        <f>'Pretax Fuel Prices'!O123+'Fuel Taxes'!O123</f>
        <v>1.7224588840297024E-5</v>
      </c>
      <c r="P123">
        <f>'Pretax Fuel Prices'!P123+'Fuel Taxes'!P123</f>
        <v>1.7245972563252079E-5</v>
      </c>
      <c r="Q123">
        <f>'Pretax Fuel Prices'!Q123+'Fuel Taxes'!Q123</f>
        <v>1.7342199316549825E-5</v>
      </c>
      <c r="R123">
        <f>'Pretax Fuel Prices'!R123+'Fuel Taxes'!R123</f>
        <v>1.766295516087566E-5</v>
      </c>
      <c r="S123">
        <f>'Pretax Fuel Prices'!S123+'Fuel Taxes'!S123</f>
        <v>1.794094355929138E-5</v>
      </c>
      <c r="T123">
        <f>'Pretax Fuel Prices'!T123+'Fuel Taxes'!T123</f>
        <v>1.8218931957707096E-5</v>
      </c>
      <c r="U123">
        <f>'Pretax Fuel Prices'!U123+'Fuel Taxes'!U123</f>
        <v>1.8550379663510452E-5</v>
      </c>
      <c r="V123">
        <f>'Pretax Fuel Prices'!V123+'Fuel Taxes'!V123</f>
        <v>1.8903211092268867E-5</v>
      </c>
      <c r="W123">
        <f>'Pretax Fuel Prices'!W123+'Fuel Taxes'!W123</f>
        <v>1.9223966936594692E-5</v>
      </c>
      <c r="X123">
        <f>'Pretax Fuel Prices'!X123+'Fuel Taxes'!X123</f>
        <v>1.9523339057965466E-5</v>
      </c>
      <c r="Y123">
        <f>'Pretax Fuel Prices'!Y123+'Fuel Taxes'!Y123</f>
        <v>1.9779943733426132E-5</v>
      </c>
      <c r="Z123">
        <f>'Pretax Fuel Prices'!Z123+'Fuel Taxes'!Z123</f>
        <v>2.0025856547409266E-5</v>
      </c>
      <c r="AA123">
        <f>'Pretax Fuel Prices'!AA123+'Fuel Taxes'!AA123</f>
        <v>2.0421455422077793E-5</v>
      </c>
      <c r="AB123">
        <f>'Pretax Fuel Prices'!AB123+'Fuel Taxes'!AB123</f>
        <v>2.071013568197104E-5</v>
      </c>
      <c r="AC123">
        <f>'Pretax Fuel Prices'!AC123+'Fuel Taxes'!AC123</f>
        <v>2.0998815941864283E-5</v>
      </c>
      <c r="AD123">
        <f>'Pretax Fuel Prices'!AD123+'Fuel Taxes'!AD123</f>
        <v>2.1298188063235054E-5</v>
      </c>
      <c r="AE123">
        <f>'Pretax Fuel Prices'!AE123+'Fuel Taxes'!AE123</f>
        <v>2.1576176461650774E-5</v>
      </c>
      <c r="AF123">
        <f>'Pretax Fuel Prices'!AF123+'Fuel Taxes'!AF123</f>
        <v>0</v>
      </c>
      <c r="AG123">
        <f>'Pretax Fuel Prices'!AG123+'Fuel Taxes'!AG123</f>
        <v>0</v>
      </c>
      <c r="AH123">
        <f>'Pretax Fuel Prices'!AH123+'Fuel Taxes'!AH123</f>
        <v>0</v>
      </c>
      <c r="AI123">
        <f>'Pretax Fuel Prices'!AI123+'Fuel Taxes'!AI123</f>
        <v>0</v>
      </c>
    </row>
    <row r="124" spans="1:51" x14ac:dyDescent="0.35">
      <c r="A124" t="s">
        <v>52</v>
      </c>
      <c r="B124">
        <f>'Pretax Fuel Prices'!B124+'Fuel Taxes'!B124</f>
        <v>0</v>
      </c>
      <c r="C124">
        <f>'Pretax Fuel Prices'!C124+'Fuel Taxes'!C124</f>
        <v>0</v>
      </c>
      <c r="D124">
        <f>'Pretax Fuel Prices'!D124+'Fuel Taxes'!D124</f>
        <v>0</v>
      </c>
      <c r="E124">
        <f>'Pretax Fuel Prices'!E124+'Fuel Taxes'!E124</f>
        <v>0</v>
      </c>
      <c r="F124">
        <f>'Pretax Fuel Prices'!F124+'Fuel Taxes'!F124</f>
        <v>0</v>
      </c>
      <c r="G124">
        <f>'Pretax Fuel Prices'!G124+'Fuel Taxes'!G124</f>
        <v>0</v>
      </c>
      <c r="H124">
        <f>'Pretax Fuel Prices'!H124+'Fuel Taxes'!H124</f>
        <v>0</v>
      </c>
      <c r="I124">
        <f>'Pretax Fuel Prices'!I124+'Fuel Taxes'!I124</f>
        <v>0</v>
      </c>
      <c r="J124">
        <f>'Pretax Fuel Prices'!J124+'Fuel Taxes'!J124</f>
        <v>0</v>
      </c>
      <c r="K124">
        <f>'Pretax Fuel Prices'!K124+'Fuel Taxes'!K124</f>
        <v>0</v>
      </c>
      <c r="L124">
        <f>'Pretax Fuel Prices'!L124+'Fuel Taxes'!L124</f>
        <v>0</v>
      </c>
      <c r="M124">
        <f>'Pretax Fuel Prices'!M124+'Fuel Taxes'!M124</f>
        <v>0</v>
      </c>
      <c r="N124">
        <f>'Pretax Fuel Prices'!N124+'Fuel Taxes'!N124</f>
        <v>0</v>
      </c>
      <c r="O124">
        <f>'Pretax Fuel Prices'!O124+'Fuel Taxes'!O124</f>
        <v>0</v>
      </c>
      <c r="P124">
        <f>'Pretax Fuel Prices'!P124+'Fuel Taxes'!P124</f>
        <v>0</v>
      </c>
      <c r="Q124">
        <f>'Pretax Fuel Prices'!Q124+'Fuel Taxes'!Q124</f>
        <v>0</v>
      </c>
      <c r="R124">
        <f>'Pretax Fuel Prices'!R124+'Fuel Taxes'!R124</f>
        <v>0</v>
      </c>
      <c r="S124">
        <f>'Pretax Fuel Prices'!S124+'Fuel Taxes'!S124</f>
        <v>0</v>
      </c>
      <c r="T124">
        <f>'Pretax Fuel Prices'!T124+'Fuel Taxes'!T124</f>
        <v>0</v>
      </c>
      <c r="U124">
        <f>'Pretax Fuel Prices'!U124+'Fuel Taxes'!U124</f>
        <v>0</v>
      </c>
      <c r="V124">
        <f>'Pretax Fuel Prices'!V124+'Fuel Taxes'!V124</f>
        <v>0</v>
      </c>
      <c r="W124">
        <f>'Pretax Fuel Prices'!W124+'Fuel Taxes'!W124</f>
        <v>0</v>
      </c>
      <c r="X124">
        <f>'Pretax Fuel Prices'!X124+'Fuel Taxes'!X124</f>
        <v>0</v>
      </c>
      <c r="Y124">
        <f>'Pretax Fuel Prices'!Y124+'Fuel Taxes'!Y124</f>
        <v>0</v>
      </c>
      <c r="Z124">
        <f>'Pretax Fuel Prices'!Z124+'Fuel Taxes'!Z124</f>
        <v>0</v>
      </c>
      <c r="AA124">
        <f>'Pretax Fuel Prices'!AA124+'Fuel Taxes'!AA124</f>
        <v>0</v>
      </c>
      <c r="AB124">
        <f>'Pretax Fuel Prices'!AB124+'Fuel Taxes'!AB124</f>
        <v>0</v>
      </c>
      <c r="AC124">
        <f>'Pretax Fuel Prices'!AC124+'Fuel Taxes'!AC124</f>
        <v>0</v>
      </c>
      <c r="AD124">
        <f>'Pretax Fuel Prices'!AD124+'Fuel Taxes'!AD124</f>
        <v>0</v>
      </c>
      <c r="AE124">
        <f>'Pretax Fuel Prices'!AE124+'Fuel Taxes'!AE124</f>
        <v>0</v>
      </c>
      <c r="AF124">
        <f>'Pretax Fuel Prices'!AF124+'Fuel Taxes'!AF124</f>
        <v>0</v>
      </c>
      <c r="AG124">
        <f>'Pretax Fuel Prices'!AG124+'Fuel Taxes'!AG124</f>
        <v>0</v>
      </c>
      <c r="AH124">
        <f>'Pretax Fuel Prices'!AH124+'Fuel Taxes'!AH124</f>
        <v>0</v>
      </c>
      <c r="AI124">
        <f>'Pretax Fuel Prices'!AI124+'Fuel Taxes'!AI124</f>
        <v>0</v>
      </c>
    </row>
    <row r="125" spans="1:51" x14ac:dyDescent="0.35">
      <c r="A125" t="s">
        <v>53</v>
      </c>
      <c r="B125">
        <f>'Pretax Fuel Prices'!B125+'Fuel Taxes'!B125</f>
        <v>1.2359791868021951E-5</v>
      </c>
      <c r="C125">
        <f>'Pretax Fuel Prices'!C125+'Fuel Taxes'!C125</f>
        <v>1.2359791868021951E-5</v>
      </c>
      <c r="D125">
        <f>'Pretax Fuel Prices'!D125+'Fuel Taxes'!D125</f>
        <v>1.2517950342162518E-5</v>
      </c>
      <c r="E125">
        <f>'Pretax Fuel Prices'!E125+'Fuel Taxes'!E125</f>
        <v>1.2359791868021951E-5</v>
      </c>
      <c r="F125">
        <f>'Pretax Fuel Prices'!F125+'Fuel Taxes'!F125</f>
        <v>1.2576527554807166E-5</v>
      </c>
      <c r="G125">
        <f>'Pretax Fuel Prices'!G125+'Fuel Taxes'!G125</f>
        <v>1.299242576458421E-5</v>
      </c>
      <c r="H125">
        <f>'Pretax Fuel Prices'!H125+'Fuel Taxes'!H125</f>
        <v>1.3402466253096787E-5</v>
      </c>
      <c r="I125">
        <f>'Pretax Fuel Prices'!I125+'Fuel Taxes'!I125</f>
        <v>1.3853510790460619E-5</v>
      </c>
      <c r="J125">
        <f>'Pretax Fuel Prices'!J125+'Fuel Taxes'!J125</f>
        <v>1.4427567474378227E-5</v>
      </c>
      <c r="K125">
        <f>'Pretax Fuel Prices'!K125+'Fuel Taxes'!K125</f>
        <v>1.504848592841156E-5</v>
      </c>
      <c r="L125">
        <f>'Pretax Fuel Prices'!L125+'Fuel Taxes'!L125</f>
        <v>1.5546392235891116E-5</v>
      </c>
      <c r="M125">
        <f>'Pretax Fuel Prices'!M125+'Fuel Taxes'!M125</f>
        <v>1.5927144118081366E-5</v>
      </c>
      <c r="N125">
        <f>'Pretax Fuel Prices'!N125+'Fuel Taxes'!N125</f>
        <v>1.6196599296246772E-5</v>
      </c>
      <c r="O125">
        <f>'Pretax Fuel Prices'!O125+'Fuel Taxes'!O125</f>
        <v>1.6425050425560923E-5</v>
      </c>
      <c r="P125">
        <f>'Pretax Fuel Prices'!P125+'Fuel Taxes'!P125</f>
        <v>1.6512916244527905E-5</v>
      </c>
      <c r="Q125">
        <f>'Pretax Fuel Prices'!Q125+'Fuel Taxes'!Q125</f>
        <v>1.660663978475935E-5</v>
      </c>
      <c r="R125">
        <f>'Pretax Fuel Prices'!R125+'Fuel Taxes'!R125</f>
        <v>1.6794086865222239E-5</v>
      </c>
      <c r="S125">
        <f>'Pretax Fuel Prices'!S125+'Fuel Taxes'!S125</f>
        <v>1.6987391666949597E-5</v>
      </c>
      <c r="T125">
        <f>'Pretax Fuel Prices'!T125+'Fuel Taxes'!T125</f>
        <v>1.720412735373482E-5</v>
      </c>
      <c r="U125">
        <f>'Pretax Fuel Prices'!U125+'Fuel Taxes'!U125</f>
        <v>1.7444293925577898E-5</v>
      </c>
      <c r="V125">
        <f>'Pretax Fuel Prices'!V125+'Fuel Taxes'!V125</f>
        <v>1.7707891382478841E-5</v>
      </c>
      <c r="W125">
        <f>'Pretax Fuel Prices'!W125+'Fuel Taxes'!W125</f>
        <v>1.7977346560644251E-5</v>
      </c>
      <c r="X125">
        <f>'Pretax Fuel Prices'!X125+'Fuel Taxes'!X125</f>
        <v>1.8235086296280723E-5</v>
      </c>
      <c r="Y125">
        <f>'Pretax Fuel Prices'!Y125+'Fuel Taxes'!Y125</f>
        <v>1.8475252868123805E-5</v>
      </c>
      <c r="Z125">
        <f>'Pretax Fuel Prices'!Z125+'Fuel Taxes'!Z125</f>
        <v>1.8703703997437955E-5</v>
      </c>
      <c r="AA125">
        <f>'Pretax Fuel Prices'!AA125+'Fuel Taxes'!AA125</f>
        <v>1.8984874618132292E-5</v>
      </c>
      <c r="AB125">
        <f>'Pretax Fuel Prices'!AB125+'Fuel Taxes'!AB125</f>
        <v>1.9242614353768771E-5</v>
      </c>
      <c r="AC125">
        <f>'Pretax Fuel Prices'!AC125+'Fuel Taxes'!AC125</f>
        <v>1.9494496368140783E-5</v>
      </c>
      <c r="AD125">
        <f>'Pretax Fuel Prices'!AD125+'Fuel Taxes'!AD125</f>
        <v>1.9746378382512792E-5</v>
      </c>
      <c r="AE125">
        <f>'Pretax Fuel Prices'!AE125+'Fuel Taxes'!AE125</f>
        <v>1.9986544954355873E-5</v>
      </c>
      <c r="AF125">
        <f>'Pretax Fuel Prices'!AF125+'Fuel Taxes'!AF125</f>
        <v>0</v>
      </c>
      <c r="AG125">
        <f>'Pretax Fuel Prices'!AG125+'Fuel Taxes'!AG125</f>
        <v>0</v>
      </c>
      <c r="AH125">
        <f>'Pretax Fuel Prices'!AH125+'Fuel Taxes'!AH125</f>
        <v>0</v>
      </c>
      <c r="AI125">
        <f>'Pretax Fuel Prices'!AI125+'Fuel Taxes'!AI125</f>
        <v>0</v>
      </c>
    </row>
    <row r="126" spans="1:51" x14ac:dyDescent="0.35">
      <c r="A126" t="s">
        <v>54</v>
      </c>
      <c r="B126">
        <f>'Pretax Fuel Prices'!B126+'Fuel Taxes'!B126</f>
        <v>1.2359791868021951E-5</v>
      </c>
      <c r="C126">
        <f>'Pretax Fuel Prices'!C126+'Fuel Taxes'!C126</f>
        <v>1.2359791868021951E-5</v>
      </c>
      <c r="D126">
        <f>'Pretax Fuel Prices'!D126+'Fuel Taxes'!D126</f>
        <v>1.316325342930892E-5</v>
      </c>
      <c r="E126">
        <f>'Pretax Fuel Prices'!E126+'Fuel Taxes'!E126</f>
        <v>1.2359791868021951E-5</v>
      </c>
      <c r="F126">
        <f>'Pretax Fuel Prices'!F126+'Fuel Taxes'!F126</f>
        <v>1.2690187276401637E-5</v>
      </c>
      <c r="G126">
        <f>'Pretax Fuel Prices'!G126+'Fuel Taxes'!G126</f>
        <v>1.324585228140384E-5</v>
      </c>
      <c r="H126">
        <f>'Pretax Fuel Prices'!H126+'Fuel Taxes'!H126</f>
        <v>1.3628810595662113E-5</v>
      </c>
      <c r="I126">
        <f>'Pretax Fuel Prices'!I126+'Fuel Taxes'!I126</f>
        <v>1.4049313842690809E-5</v>
      </c>
      <c r="J126">
        <f>'Pretax Fuel Prices'!J126+'Fuel Taxes'!J126</f>
        <v>1.4635014793909344E-5</v>
      </c>
      <c r="K126">
        <f>'Pretax Fuel Prices'!K126+'Fuel Taxes'!K126</f>
        <v>1.5205697772019714E-5</v>
      </c>
      <c r="L126">
        <f>'Pretax Fuel Prices'!L126+'Fuel Taxes'!L126</f>
        <v>1.5521075207291237E-5</v>
      </c>
      <c r="M126">
        <f>'Pretax Fuel Prices'!M126+'Fuel Taxes'!M126</f>
        <v>1.5708799871143328E-5</v>
      </c>
      <c r="N126">
        <f>'Pretax Fuel Prices'!N126+'Fuel Taxes'!N126</f>
        <v>1.5791398723238252E-5</v>
      </c>
      <c r="O126">
        <f>'Pretax Fuel Prices'!O126+'Fuel Taxes'!O126</f>
        <v>1.5904033521549508E-5</v>
      </c>
      <c r="P126">
        <f>'Pretax Fuel Prices'!P126+'Fuel Taxes'!P126</f>
        <v>1.5911542508103596E-5</v>
      </c>
      <c r="Q126">
        <f>'Pretax Fuel Prices'!Q126+'Fuel Taxes'!Q126</f>
        <v>1.5971614400536263E-5</v>
      </c>
      <c r="R126">
        <f>'Pretax Fuel Prices'!R126+'Fuel Taxes'!R126</f>
        <v>1.6189375010604693E-5</v>
      </c>
      <c r="S126">
        <f>'Pretax Fuel Prices'!S126+'Fuel Taxes'!S126</f>
        <v>1.6377099674456788E-5</v>
      </c>
      <c r="T126">
        <f>'Pretax Fuel Prices'!T126+'Fuel Taxes'!T126</f>
        <v>1.6572333324862967E-5</v>
      </c>
      <c r="U126">
        <f>'Pretax Fuel Prices'!U126+'Fuel Taxes'!U126</f>
        <v>1.6790093934931401E-5</v>
      </c>
      <c r="V126">
        <f>'Pretax Fuel Prices'!V126+'Fuel Taxes'!V126</f>
        <v>1.7022872518108E-5</v>
      </c>
      <c r="W126">
        <f>'Pretax Fuel Prices'!W126+'Fuel Taxes'!W126</f>
        <v>1.7248142114730511E-5</v>
      </c>
      <c r="X126">
        <f>'Pretax Fuel Prices'!X126+'Fuel Taxes'!X126</f>
        <v>1.7443375765136687E-5</v>
      </c>
      <c r="Y126">
        <f>'Pretax Fuel Prices'!Y126+'Fuel Taxes'!Y126</f>
        <v>1.761608245588062E-5</v>
      </c>
      <c r="Z126">
        <f>'Pretax Fuel Prices'!Z126+'Fuel Taxes'!Z126</f>
        <v>1.7781280160070461E-5</v>
      </c>
      <c r="AA126">
        <f>'Pretax Fuel Prices'!AA126+'Fuel Taxes'!AA126</f>
        <v>1.8036585702909307E-5</v>
      </c>
      <c r="AB126">
        <f>'Pretax Fuel Prices'!AB126+'Fuel Taxes'!AB126</f>
        <v>1.823181935331549E-5</v>
      </c>
      <c r="AC126">
        <f>'Pretax Fuel Prices'!AC126+'Fuel Taxes'!AC126</f>
        <v>1.8419544017167585E-5</v>
      </c>
      <c r="AD126">
        <f>'Pretax Fuel Prices'!AD126+'Fuel Taxes'!AD126</f>
        <v>1.8614777667573761E-5</v>
      </c>
      <c r="AE126">
        <f>'Pretax Fuel Prices'!AE126+'Fuel Taxes'!AE126</f>
        <v>1.8794993344871778E-5</v>
      </c>
      <c r="AF126">
        <f>'Pretax Fuel Prices'!AF126+'Fuel Taxes'!AF126</f>
        <v>0</v>
      </c>
      <c r="AG126">
        <f>'Pretax Fuel Prices'!AG126+'Fuel Taxes'!AG126</f>
        <v>0</v>
      </c>
      <c r="AH126">
        <f>'Pretax Fuel Prices'!AH126+'Fuel Taxes'!AH126</f>
        <v>0</v>
      </c>
      <c r="AI126">
        <f>'Pretax Fuel Prices'!AI126+'Fuel Taxes'!AI126</f>
        <v>0</v>
      </c>
    </row>
    <row r="127" spans="1:51" x14ac:dyDescent="0.35">
      <c r="A127" t="s">
        <v>55</v>
      </c>
      <c r="B127">
        <f>'Pretax Fuel Prices'!B127+'Fuel Taxes'!B127</f>
        <v>1.2359791868021951E-5</v>
      </c>
      <c r="C127">
        <f>'Pretax Fuel Prices'!C127+'Fuel Taxes'!C127</f>
        <v>1.2359791868021951E-5</v>
      </c>
      <c r="D127">
        <f>'Pretax Fuel Prices'!D127+'Fuel Taxes'!D127</f>
        <v>1.3535896630549992E-5</v>
      </c>
      <c r="E127">
        <f>'Pretax Fuel Prices'!E127+'Fuel Taxes'!E127</f>
        <v>1.2359791868021951E-5</v>
      </c>
      <c r="F127">
        <f>'Pretax Fuel Prices'!F127+'Fuel Taxes'!F127</f>
        <v>1.2958536110763495E-5</v>
      </c>
      <c r="G127">
        <f>'Pretax Fuel Prices'!G127+'Fuel Taxes'!G127</f>
        <v>1.3792501306010652E-5</v>
      </c>
      <c r="H127">
        <f>'Pretax Fuel Prices'!H127+'Fuel Taxes'!H127</f>
        <v>1.4305710656931983E-5</v>
      </c>
      <c r="I127">
        <f>'Pretax Fuel Prices'!I127+'Fuel Taxes'!I127</f>
        <v>1.4883071176718473E-5</v>
      </c>
      <c r="J127">
        <f>'Pretax Fuel Prices'!J127+'Fuel Taxes'!J127</f>
        <v>1.5738420094920684E-5</v>
      </c>
      <c r="K127">
        <f>'Pretax Fuel Prices'!K127+'Fuel Taxes'!K127</f>
        <v>1.6561693428690315E-5</v>
      </c>
      <c r="L127">
        <f>'Pretax Fuel Prices'!L127+'Fuel Taxes'!L127</f>
        <v>1.6967984164836363E-5</v>
      </c>
      <c r="M127">
        <f>'Pretax Fuel Prices'!M127+'Fuel Taxes'!M127</f>
        <v>1.720320511734197E-5</v>
      </c>
      <c r="N127">
        <f>'Pretax Fuel Prices'!N127+'Fuel Taxes'!N127</f>
        <v>1.7310123732117246E-5</v>
      </c>
      <c r="O127">
        <f>'Pretax Fuel Prices'!O127+'Fuel Taxes'!O127</f>
        <v>1.7224588840297024E-5</v>
      </c>
      <c r="P127">
        <f>'Pretax Fuel Prices'!P127+'Fuel Taxes'!P127</f>
        <v>1.7245972563252079E-5</v>
      </c>
      <c r="Q127">
        <f>'Pretax Fuel Prices'!Q127+'Fuel Taxes'!Q127</f>
        <v>1.7342199316549825E-5</v>
      </c>
      <c r="R127">
        <f>'Pretax Fuel Prices'!R127+'Fuel Taxes'!R127</f>
        <v>1.766295516087566E-5</v>
      </c>
      <c r="S127">
        <f>'Pretax Fuel Prices'!S127+'Fuel Taxes'!S127</f>
        <v>1.794094355929138E-5</v>
      </c>
      <c r="T127">
        <f>'Pretax Fuel Prices'!T127+'Fuel Taxes'!T127</f>
        <v>1.8218931957707096E-5</v>
      </c>
      <c r="U127">
        <f>'Pretax Fuel Prices'!U127+'Fuel Taxes'!U127</f>
        <v>1.8550379663510452E-5</v>
      </c>
      <c r="V127">
        <f>'Pretax Fuel Prices'!V127+'Fuel Taxes'!V127</f>
        <v>1.8903211092268867E-5</v>
      </c>
      <c r="W127">
        <f>'Pretax Fuel Prices'!W127+'Fuel Taxes'!W127</f>
        <v>1.9223966936594692E-5</v>
      </c>
      <c r="X127">
        <f>'Pretax Fuel Prices'!X127+'Fuel Taxes'!X127</f>
        <v>1.9523339057965466E-5</v>
      </c>
      <c r="Y127">
        <f>'Pretax Fuel Prices'!Y127+'Fuel Taxes'!Y127</f>
        <v>1.9779943733426132E-5</v>
      </c>
      <c r="Z127">
        <f>'Pretax Fuel Prices'!Z127+'Fuel Taxes'!Z127</f>
        <v>2.0025856547409266E-5</v>
      </c>
      <c r="AA127">
        <f>'Pretax Fuel Prices'!AA127+'Fuel Taxes'!AA127</f>
        <v>2.0421455422077793E-5</v>
      </c>
      <c r="AB127">
        <f>'Pretax Fuel Prices'!AB127+'Fuel Taxes'!AB127</f>
        <v>2.071013568197104E-5</v>
      </c>
      <c r="AC127">
        <f>'Pretax Fuel Prices'!AC127+'Fuel Taxes'!AC127</f>
        <v>2.0998815941864283E-5</v>
      </c>
      <c r="AD127">
        <f>'Pretax Fuel Prices'!AD127+'Fuel Taxes'!AD127</f>
        <v>2.1298188063235054E-5</v>
      </c>
      <c r="AE127">
        <f>'Pretax Fuel Prices'!AE127+'Fuel Taxes'!AE127</f>
        <v>2.1576176461650774E-5</v>
      </c>
      <c r="AF127">
        <f>'Pretax Fuel Prices'!AF127+'Fuel Taxes'!AF127</f>
        <v>0</v>
      </c>
      <c r="AG127">
        <f>'Pretax Fuel Prices'!AG127+'Fuel Taxes'!AG127</f>
        <v>0</v>
      </c>
      <c r="AH127">
        <f>'Pretax Fuel Prices'!AH127+'Fuel Taxes'!AH127</f>
        <v>0</v>
      </c>
      <c r="AI127">
        <f>'Pretax Fuel Prices'!AI127+'Fuel Taxes'!AI127</f>
        <v>0</v>
      </c>
    </row>
    <row r="128" spans="1:51" x14ac:dyDescent="0.35">
      <c r="A128" t="s">
        <v>56</v>
      </c>
      <c r="B128">
        <f>'Pretax Fuel Prices'!B128+'Fuel Taxes'!B128</f>
        <v>1.2359791868021951E-5</v>
      </c>
      <c r="C128">
        <f>'Pretax Fuel Prices'!C128+'Fuel Taxes'!C128</f>
        <v>1.2359791868021951E-5</v>
      </c>
      <c r="D128">
        <f>'Pretax Fuel Prices'!D128+'Fuel Taxes'!D128</f>
        <v>1.3535896630549992E-5</v>
      </c>
      <c r="E128">
        <f>'Pretax Fuel Prices'!E128+'Fuel Taxes'!E128</f>
        <v>1.2359791868021951E-5</v>
      </c>
      <c r="F128">
        <f>'Pretax Fuel Prices'!F128+'Fuel Taxes'!F128</f>
        <v>1.2958536110763495E-5</v>
      </c>
      <c r="G128">
        <f>'Pretax Fuel Prices'!G128+'Fuel Taxes'!G128</f>
        <v>1.3792501306010652E-5</v>
      </c>
      <c r="H128">
        <f>'Pretax Fuel Prices'!H128+'Fuel Taxes'!H128</f>
        <v>1.4305710656931983E-5</v>
      </c>
      <c r="I128">
        <f>'Pretax Fuel Prices'!I128+'Fuel Taxes'!I128</f>
        <v>1.4883071176718473E-5</v>
      </c>
      <c r="J128">
        <f>'Pretax Fuel Prices'!J128+'Fuel Taxes'!J128</f>
        <v>1.5738420094920684E-5</v>
      </c>
      <c r="K128">
        <f>'Pretax Fuel Prices'!K128+'Fuel Taxes'!K128</f>
        <v>1.6561693428690315E-5</v>
      </c>
      <c r="L128">
        <f>'Pretax Fuel Prices'!L128+'Fuel Taxes'!L128</f>
        <v>1.6967984164836363E-5</v>
      </c>
      <c r="M128">
        <f>'Pretax Fuel Prices'!M128+'Fuel Taxes'!M128</f>
        <v>1.720320511734197E-5</v>
      </c>
      <c r="N128">
        <f>'Pretax Fuel Prices'!N128+'Fuel Taxes'!N128</f>
        <v>1.7310123732117246E-5</v>
      </c>
      <c r="O128">
        <f>'Pretax Fuel Prices'!O128+'Fuel Taxes'!O128</f>
        <v>1.7224588840297024E-5</v>
      </c>
      <c r="P128">
        <f>'Pretax Fuel Prices'!P128+'Fuel Taxes'!P128</f>
        <v>1.7245972563252079E-5</v>
      </c>
      <c r="Q128">
        <f>'Pretax Fuel Prices'!Q128+'Fuel Taxes'!Q128</f>
        <v>1.7342199316549825E-5</v>
      </c>
      <c r="R128">
        <f>'Pretax Fuel Prices'!R128+'Fuel Taxes'!R128</f>
        <v>1.766295516087566E-5</v>
      </c>
      <c r="S128">
        <f>'Pretax Fuel Prices'!S128+'Fuel Taxes'!S128</f>
        <v>1.794094355929138E-5</v>
      </c>
      <c r="T128">
        <f>'Pretax Fuel Prices'!T128+'Fuel Taxes'!T128</f>
        <v>1.8218931957707096E-5</v>
      </c>
      <c r="U128">
        <f>'Pretax Fuel Prices'!U128+'Fuel Taxes'!U128</f>
        <v>1.8550379663510452E-5</v>
      </c>
      <c r="V128">
        <f>'Pretax Fuel Prices'!V128+'Fuel Taxes'!V128</f>
        <v>1.8903211092268867E-5</v>
      </c>
      <c r="W128">
        <f>'Pretax Fuel Prices'!W128+'Fuel Taxes'!W128</f>
        <v>1.9223966936594692E-5</v>
      </c>
      <c r="X128">
        <f>'Pretax Fuel Prices'!X128+'Fuel Taxes'!X128</f>
        <v>1.9523339057965466E-5</v>
      </c>
      <c r="Y128">
        <f>'Pretax Fuel Prices'!Y128+'Fuel Taxes'!Y128</f>
        <v>1.9779943733426132E-5</v>
      </c>
      <c r="Z128">
        <f>'Pretax Fuel Prices'!Z128+'Fuel Taxes'!Z128</f>
        <v>2.0025856547409266E-5</v>
      </c>
      <c r="AA128">
        <f>'Pretax Fuel Prices'!AA128+'Fuel Taxes'!AA128</f>
        <v>2.0421455422077793E-5</v>
      </c>
      <c r="AB128">
        <f>'Pretax Fuel Prices'!AB128+'Fuel Taxes'!AB128</f>
        <v>2.071013568197104E-5</v>
      </c>
      <c r="AC128">
        <f>'Pretax Fuel Prices'!AC128+'Fuel Taxes'!AC128</f>
        <v>2.0998815941864283E-5</v>
      </c>
      <c r="AD128">
        <f>'Pretax Fuel Prices'!AD128+'Fuel Taxes'!AD128</f>
        <v>2.1298188063235054E-5</v>
      </c>
      <c r="AE128">
        <f>'Pretax Fuel Prices'!AE128+'Fuel Taxes'!AE128</f>
        <v>2.1576176461650774E-5</v>
      </c>
      <c r="AF128">
        <f>'Pretax Fuel Prices'!AF128+'Fuel Taxes'!AF128</f>
        <v>0</v>
      </c>
      <c r="AG128">
        <f>'Pretax Fuel Prices'!AG128+'Fuel Taxes'!AG128</f>
        <v>0</v>
      </c>
      <c r="AH128">
        <f>'Pretax Fuel Prices'!AH128+'Fuel Taxes'!AH128</f>
        <v>0</v>
      </c>
      <c r="AI128">
        <f>'Pretax Fuel Prices'!AI128+'Fuel Taxes'!AI128</f>
        <v>0</v>
      </c>
    </row>
    <row r="129" spans="1:51" x14ac:dyDescent="0.35">
      <c r="A129" t="s">
        <v>57</v>
      </c>
      <c r="B129">
        <f>'Pretax Fuel Prices'!B129+'Fuel Taxes'!B129</f>
        <v>0</v>
      </c>
      <c r="C129">
        <f>'Pretax Fuel Prices'!C129+'Fuel Taxes'!C129</f>
        <v>0</v>
      </c>
      <c r="D129">
        <f>'Pretax Fuel Prices'!D129+'Fuel Taxes'!D129</f>
        <v>0</v>
      </c>
      <c r="E129">
        <f>'Pretax Fuel Prices'!E129+'Fuel Taxes'!E129</f>
        <v>0</v>
      </c>
      <c r="F129">
        <f>'Pretax Fuel Prices'!F129+'Fuel Taxes'!F129</f>
        <v>0</v>
      </c>
      <c r="G129">
        <f>'Pretax Fuel Prices'!G129+'Fuel Taxes'!G129</f>
        <v>0</v>
      </c>
      <c r="H129">
        <f>'Pretax Fuel Prices'!H129+'Fuel Taxes'!H129</f>
        <v>0</v>
      </c>
      <c r="I129">
        <f>'Pretax Fuel Prices'!I129+'Fuel Taxes'!I129</f>
        <v>0</v>
      </c>
      <c r="J129">
        <f>'Pretax Fuel Prices'!J129+'Fuel Taxes'!J129</f>
        <v>0</v>
      </c>
      <c r="K129">
        <f>'Pretax Fuel Prices'!K129+'Fuel Taxes'!K129</f>
        <v>0</v>
      </c>
      <c r="L129">
        <f>'Pretax Fuel Prices'!L129+'Fuel Taxes'!L129</f>
        <v>0</v>
      </c>
      <c r="M129">
        <f>'Pretax Fuel Prices'!M129+'Fuel Taxes'!M129</f>
        <v>0</v>
      </c>
      <c r="N129">
        <f>'Pretax Fuel Prices'!N129+'Fuel Taxes'!N129</f>
        <v>0</v>
      </c>
      <c r="O129">
        <f>'Pretax Fuel Prices'!O129+'Fuel Taxes'!O129</f>
        <v>0</v>
      </c>
      <c r="P129">
        <f>'Pretax Fuel Prices'!P129+'Fuel Taxes'!P129</f>
        <v>0</v>
      </c>
      <c r="Q129">
        <f>'Pretax Fuel Prices'!Q129+'Fuel Taxes'!Q129</f>
        <v>0</v>
      </c>
      <c r="R129">
        <f>'Pretax Fuel Prices'!R129+'Fuel Taxes'!R129</f>
        <v>0</v>
      </c>
      <c r="S129">
        <f>'Pretax Fuel Prices'!S129+'Fuel Taxes'!S129</f>
        <v>0</v>
      </c>
      <c r="T129">
        <f>'Pretax Fuel Prices'!T129+'Fuel Taxes'!T129</f>
        <v>0</v>
      </c>
      <c r="U129">
        <f>'Pretax Fuel Prices'!U129+'Fuel Taxes'!U129</f>
        <v>0</v>
      </c>
      <c r="V129">
        <f>'Pretax Fuel Prices'!V129+'Fuel Taxes'!V129</f>
        <v>0</v>
      </c>
      <c r="W129">
        <f>'Pretax Fuel Prices'!W129+'Fuel Taxes'!W129</f>
        <v>0</v>
      </c>
      <c r="X129">
        <f>'Pretax Fuel Prices'!X129+'Fuel Taxes'!X129</f>
        <v>0</v>
      </c>
      <c r="Y129">
        <f>'Pretax Fuel Prices'!Y129+'Fuel Taxes'!Y129</f>
        <v>0</v>
      </c>
      <c r="Z129">
        <f>'Pretax Fuel Prices'!Z129+'Fuel Taxes'!Z129</f>
        <v>0</v>
      </c>
      <c r="AA129">
        <f>'Pretax Fuel Prices'!AA129+'Fuel Taxes'!AA129</f>
        <v>0</v>
      </c>
      <c r="AB129">
        <f>'Pretax Fuel Prices'!AB129+'Fuel Taxes'!AB129</f>
        <v>0</v>
      </c>
      <c r="AC129">
        <f>'Pretax Fuel Prices'!AC129+'Fuel Taxes'!AC129</f>
        <v>0</v>
      </c>
      <c r="AD129">
        <f>'Pretax Fuel Prices'!AD129+'Fuel Taxes'!AD129</f>
        <v>0</v>
      </c>
      <c r="AE129">
        <f>'Pretax Fuel Prices'!AE129+'Fuel Taxes'!AE129</f>
        <v>0</v>
      </c>
      <c r="AF129">
        <f>'Pretax Fuel Prices'!AF129+'Fuel Taxes'!AF129</f>
        <v>0</v>
      </c>
      <c r="AG129">
        <f>'Pretax Fuel Prices'!AG129+'Fuel Taxes'!AG129</f>
        <v>0</v>
      </c>
      <c r="AH129">
        <f>'Pretax Fuel Prices'!AH129+'Fuel Taxes'!AH129</f>
        <v>0</v>
      </c>
      <c r="AI129">
        <f>'Pretax Fuel Prices'!AI129+'Fuel Taxes'!AI129</f>
        <v>0</v>
      </c>
    </row>
    <row r="130" spans="1:51" x14ac:dyDescent="0.35">
      <c r="A130" t="s">
        <v>58</v>
      </c>
      <c r="B130">
        <f>'Pretax Fuel Prices'!B130+'Fuel Taxes'!B130</f>
        <v>1.2359791868021951E-5</v>
      </c>
      <c r="C130">
        <f>'Pretax Fuel Prices'!C130+'Fuel Taxes'!C130</f>
        <v>1.2359791868021951E-5</v>
      </c>
      <c r="D130">
        <f>'Pretax Fuel Prices'!D130+'Fuel Taxes'!D130</f>
        <v>1.3535896630549992E-5</v>
      </c>
      <c r="E130">
        <f>'Pretax Fuel Prices'!E130+'Fuel Taxes'!E130</f>
        <v>1.2359791868021951E-5</v>
      </c>
      <c r="F130">
        <f>'Pretax Fuel Prices'!F130+'Fuel Taxes'!F130</f>
        <v>1.2958536110763495E-5</v>
      </c>
      <c r="G130">
        <f>'Pretax Fuel Prices'!G130+'Fuel Taxes'!G130</f>
        <v>1.3792501306010652E-5</v>
      </c>
      <c r="H130">
        <f>'Pretax Fuel Prices'!H130+'Fuel Taxes'!H130</f>
        <v>1.4305710656931983E-5</v>
      </c>
      <c r="I130">
        <f>'Pretax Fuel Prices'!I130+'Fuel Taxes'!I130</f>
        <v>1.4883071176718473E-5</v>
      </c>
      <c r="J130">
        <f>'Pretax Fuel Prices'!J130+'Fuel Taxes'!J130</f>
        <v>1.5738420094920684E-5</v>
      </c>
      <c r="K130">
        <f>'Pretax Fuel Prices'!K130+'Fuel Taxes'!K130</f>
        <v>1.6561693428690315E-5</v>
      </c>
      <c r="L130">
        <f>'Pretax Fuel Prices'!L130+'Fuel Taxes'!L130</f>
        <v>1.6967984164836363E-5</v>
      </c>
      <c r="M130">
        <f>'Pretax Fuel Prices'!M130+'Fuel Taxes'!M130</f>
        <v>1.720320511734197E-5</v>
      </c>
      <c r="N130">
        <f>'Pretax Fuel Prices'!N130+'Fuel Taxes'!N130</f>
        <v>1.7310123732117246E-5</v>
      </c>
      <c r="O130">
        <f>'Pretax Fuel Prices'!O130+'Fuel Taxes'!O130</f>
        <v>1.7224588840297024E-5</v>
      </c>
      <c r="P130">
        <f>'Pretax Fuel Prices'!P130+'Fuel Taxes'!P130</f>
        <v>1.7245972563252079E-5</v>
      </c>
      <c r="Q130">
        <f>'Pretax Fuel Prices'!Q130+'Fuel Taxes'!Q130</f>
        <v>1.7342199316549825E-5</v>
      </c>
      <c r="R130">
        <f>'Pretax Fuel Prices'!R130+'Fuel Taxes'!R130</f>
        <v>1.766295516087566E-5</v>
      </c>
      <c r="S130">
        <f>'Pretax Fuel Prices'!S130+'Fuel Taxes'!S130</f>
        <v>1.794094355929138E-5</v>
      </c>
      <c r="T130">
        <f>'Pretax Fuel Prices'!T130+'Fuel Taxes'!T130</f>
        <v>1.8218931957707096E-5</v>
      </c>
      <c r="U130">
        <f>'Pretax Fuel Prices'!U130+'Fuel Taxes'!U130</f>
        <v>1.8550379663510452E-5</v>
      </c>
      <c r="V130">
        <f>'Pretax Fuel Prices'!V130+'Fuel Taxes'!V130</f>
        <v>1.8903211092268867E-5</v>
      </c>
      <c r="W130">
        <f>'Pretax Fuel Prices'!W130+'Fuel Taxes'!W130</f>
        <v>1.9223966936594692E-5</v>
      </c>
      <c r="X130">
        <f>'Pretax Fuel Prices'!X130+'Fuel Taxes'!X130</f>
        <v>1.9523339057965466E-5</v>
      </c>
      <c r="Y130">
        <f>'Pretax Fuel Prices'!Y130+'Fuel Taxes'!Y130</f>
        <v>1.9779943733426132E-5</v>
      </c>
      <c r="Z130">
        <f>'Pretax Fuel Prices'!Z130+'Fuel Taxes'!Z130</f>
        <v>2.0025856547409266E-5</v>
      </c>
      <c r="AA130">
        <f>'Pretax Fuel Prices'!AA130+'Fuel Taxes'!AA130</f>
        <v>2.0421455422077793E-5</v>
      </c>
      <c r="AB130">
        <f>'Pretax Fuel Prices'!AB130+'Fuel Taxes'!AB130</f>
        <v>2.071013568197104E-5</v>
      </c>
      <c r="AC130">
        <f>'Pretax Fuel Prices'!AC130+'Fuel Taxes'!AC130</f>
        <v>2.0998815941864283E-5</v>
      </c>
      <c r="AD130">
        <f>'Pretax Fuel Prices'!AD130+'Fuel Taxes'!AD130</f>
        <v>2.1298188063235054E-5</v>
      </c>
      <c r="AE130">
        <f>'Pretax Fuel Prices'!AE130+'Fuel Taxes'!AE130</f>
        <v>2.1576176461650774E-5</v>
      </c>
      <c r="AF130">
        <f>'Pretax Fuel Prices'!AF130+'Fuel Taxes'!AF130</f>
        <v>0</v>
      </c>
      <c r="AG130">
        <f>'Pretax Fuel Prices'!AG130+'Fuel Taxes'!AG130</f>
        <v>0</v>
      </c>
      <c r="AH130">
        <f>'Pretax Fuel Prices'!AH130+'Fuel Taxes'!AH130</f>
        <v>0</v>
      </c>
      <c r="AI130">
        <f>'Pretax Fuel Prices'!AI130+'Fuel Taxes'!AI130</f>
        <v>0</v>
      </c>
    </row>
    <row r="131" spans="1:51" s="4" customFormat="1" x14ac:dyDescent="0.35">
      <c r="A131" s="6" t="s">
        <v>48</v>
      </c>
    </row>
    <row r="132" spans="1:51" x14ac:dyDescent="0.35">
      <c r="A132" t="s">
        <v>29</v>
      </c>
      <c r="B132" s="1">
        <v>2021</v>
      </c>
      <c r="C132" s="1">
        <v>2022</v>
      </c>
      <c r="D132" s="1">
        <v>2023</v>
      </c>
      <c r="E132" s="1">
        <v>2024</v>
      </c>
      <c r="F132" s="1">
        <v>2025</v>
      </c>
      <c r="G132" s="1">
        <v>2026</v>
      </c>
      <c r="H132" s="1">
        <v>2027</v>
      </c>
      <c r="I132" s="1">
        <v>2028</v>
      </c>
      <c r="J132" s="1">
        <v>2029</v>
      </c>
      <c r="K132" s="1">
        <v>2030</v>
      </c>
      <c r="L132" s="1">
        <v>2031</v>
      </c>
      <c r="M132" s="1">
        <v>2032</v>
      </c>
      <c r="N132" s="1">
        <v>2033</v>
      </c>
      <c r="O132" s="1">
        <v>2034</v>
      </c>
      <c r="P132" s="1">
        <v>2035</v>
      </c>
      <c r="Q132" s="1">
        <v>2036</v>
      </c>
      <c r="R132" s="1">
        <v>2037</v>
      </c>
      <c r="S132" s="1">
        <v>2038</v>
      </c>
      <c r="T132" s="1">
        <v>2039</v>
      </c>
      <c r="U132" s="1">
        <v>2040</v>
      </c>
      <c r="V132" s="1">
        <v>2041</v>
      </c>
      <c r="W132" s="1">
        <v>2042</v>
      </c>
      <c r="X132" s="1">
        <v>2043</v>
      </c>
      <c r="Y132" s="1">
        <v>2044</v>
      </c>
      <c r="Z132" s="1">
        <v>2045</v>
      </c>
      <c r="AA132" s="1">
        <v>2046</v>
      </c>
      <c r="AB132" s="1">
        <v>2047</v>
      </c>
      <c r="AC132" s="1">
        <v>2048</v>
      </c>
      <c r="AD132" s="1">
        <v>2049</v>
      </c>
      <c r="AE132" s="1">
        <v>2050</v>
      </c>
      <c r="AF132" s="1">
        <v>2051</v>
      </c>
      <c r="AG132" s="1">
        <v>2052</v>
      </c>
      <c r="AH132" s="1">
        <v>2053</v>
      </c>
      <c r="AI132" s="1">
        <v>2054</v>
      </c>
      <c r="AJ132" s="1">
        <v>2055</v>
      </c>
      <c r="AK132" s="1">
        <v>2056</v>
      </c>
      <c r="AL132" s="1">
        <v>2057</v>
      </c>
      <c r="AM132" s="1">
        <v>2058</v>
      </c>
      <c r="AN132" s="1">
        <v>2059</v>
      </c>
      <c r="AO132" s="1">
        <v>2060</v>
      </c>
      <c r="AP132" s="1">
        <v>2061</v>
      </c>
      <c r="AQ132" s="1">
        <v>2062</v>
      </c>
      <c r="AR132" s="1">
        <v>2063</v>
      </c>
      <c r="AS132" s="1">
        <v>2064</v>
      </c>
      <c r="AT132" s="1">
        <v>2065</v>
      </c>
      <c r="AU132" s="1">
        <v>2066</v>
      </c>
      <c r="AV132" s="1">
        <v>2067</v>
      </c>
      <c r="AW132" s="1">
        <v>2068</v>
      </c>
      <c r="AX132" s="1">
        <v>2069</v>
      </c>
      <c r="AY132" s="1">
        <v>2070</v>
      </c>
    </row>
    <row r="133" spans="1:51" x14ac:dyDescent="0.35">
      <c r="A133" t="s">
        <v>22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51" x14ac:dyDescent="0.35">
      <c r="A134" t="s">
        <v>23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51" x14ac:dyDescent="0.35">
      <c r="A135" t="s">
        <v>24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51" x14ac:dyDescent="0.35">
      <c r="A136" t="s">
        <v>25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51" x14ac:dyDescent="0.35">
      <c r="A137" t="s">
        <v>26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51" x14ac:dyDescent="0.35">
      <c r="A138" t="s">
        <v>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51" x14ac:dyDescent="0.35">
      <c r="A139" t="s">
        <v>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51" x14ac:dyDescent="0.35">
      <c r="A140" t="s">
        <v>58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51" s="4" customFormat="1" x14ac:dyDescent="0.35">
      <c r="A141" s="6" t="s">
        <v>49</v>
      </c>
    </row>
    <row r="142" spans="1:51" x14ac:dyDescent="0.35">
      <c r="A142" t="s">
        <v>29</v>
      </c>
      <c r="B142" s="1">
        <v>2021</v>
      </c>
      <c r="C142" s="1">
        <v>2022</v>
      </c>
      <c r="D142" s="1">
        <v>2023</v>
      </c>
      <c r="E142" s="1">
        <v>2024</v>
      </c>
      <c r="F142" s="1">
        <v>2025</v>
      </c>
      <c r="G142" s="1">
        <v>2026</v>
      </c>
      <c r="H142" s="1">
        <v>2027</v>
      </c>
      <c r="I142" s="1">
        <v>2028</v>
      </c>
      <c r="J142" s="1">
        <v>2029</v>
      </c>
      <c r="K142" s="1">
        <v>2030</v>
      </c>
      <c r="L142" s="1">
        <v>2031</v>
      </c>
      <c r="M142" s="1">
        <v>2032</v>
      </c>
      <c r="N142" s="1">
        <v>2033</v>
      </c>
      <c r="O142" s="1">
        <v>2034</v>
      </c>
      <c r="P142" s="1">
        <v>2035</v>
      </c>
      <c r="Q142" s="1">
        <v>2036</v>
      </c>
      <c r="R142" s="1">
        <v>2037</v>
      </c>
      <c r="S142" s="1">
        <v>2038</v>
      </c>
      <c r="T142" s="1">
        <v>2039</v>
      </c>
      <c r="U142" s="1">
        <v>2040</v>
      </c>
      <c r="V142" s="1">
        <v>2041</v>
      </c>
      <c r="W142" s="1">
        <v>2042</v>
      </c>
      <c r="X142" s="1">
        <v>2043</v>
      </c>
      <c r="Y142" s="1">
        <v>2044</v>
      </c>
      <c r="Z142" s="1">
        <v>2045</v>
      </c>
      <c r="AA142" s="1">
        <v>2046</v>
      </c>
      <c r="AB142" s="1">
        <v>2047</v>
      </c>
      <c r="AC142" s="1">
        <v>2048</v>
      </c>
      <c r="AD142" s="1">
        <v>2049</v>
      </c>
      <c r="AE142" s="1">
        <v>2050</v>
      </c>
      <c r="AF142" s="1">
        <v>2051</v>
      </c>
      <c r="AG142" s="1">
        <v>2052</v>
      </c>
      <c r="AH142" s="1">
        <v>2053</v>
      </c>
      <c r="AI142" s="1">
        <v>2054</v>
      </c>
      <c r="AJ142" s="1">
        <v>2055</v>
      </c>
      <c r="AK142" s="1">
        <v>2056</v>
      </c>
      <c r="AL142" s="1">
        <v>2057</v>
      </c>
      <c r="AM142" s="1">
        <v>2058</v>
      </c>
      <c r="AN142" s="1">
        <v>2059</v>
      </c>
      <c r="AO142" s="1">
        <v>2060</v>
      </c>
      <c r="AP142" s="1">
        <v>2061</v>
      </c>
      <c r="AQ142" s="1">
        <v>2062</v>
      </c>
      <c r="AR142" s="1">
        <v>2063</v>
      </c>
      <c r="AS142" s="1">
        <v>2064</v>
      </c>
      <c r="AT142" s="1">
        <v>2065</v>
      </c>
      <c r="AU142" s="1">
        <v>2066</v>
      </c>
      <c r="AV142" s="1">
        <v>2067</v>
      </c>
      <c r="AW142" s="1">
        <v>2068</v>
      </c>
      <c r="AX142" s="1">
        <v>2069</v>
      </c>
      <c r="AY142" s="1">
        <v>2070</v>
      </c>
    </row>
    <row r="143" spans="1:51" x14ac:dyDescent="0.35">
      <c r="A143" t="s">
        <v>51</v>
      </c>
      <c r="B143">
        <f>'Pretax Fuel Prices'!B143+'Fuel Taxes'!B143</f>
        <v>9.9769177792049732E-5</v>
      </c>
      <c r="C143">
        <f>'Pretax Fuel Prices'!C143+'Fuel Taxes'!C143</f>
        <v>9.3216010269583927E-5</v>
      </c>
      <c r="D143">
        <f>'Pretax Fuel Prices'!D143+'Fuel Taxes'!D143</f>
        <v>8.6662842747119856E-5</v>
      </c>
      <c r="E143">
        <f>'Pretax Fuel Prices'!E143+'Fuel Taxes'!E143</f>
        <v>8.0109675224654051E-5</v>
      </c>
      <c r="F143">
        <f>'Pretax Fuel Prices'!F143+'Fuel Taxes'!F143</f>
        <v>7.3556507702188245E-5</v>
      </c>
      <c r="G143">
        <f>'Pretax Fuel Prices'!G143+'Fuel Taxes'!G143</f>
        <v>6.7003340179724175E-5</v>
      </c>
      <c r="H143">
        <f>'Pretax Fuel Prices'!H143+'Fuel Taxes'!H143</f>
        <v>6.0450172657258369E-5</v>
      </c>
      <c r="I143">
        <f>'Pretax Fuel Prices'!I143+'Fuel Taxes'!I143</f>
        <v>5.3897005134792564E-5</v>
      </c>
      <c r="J143">
        <f>'Pretax Fuel Prices'!J143+'Fuel Taxes'!J143</f>
        <v>4.7343837612326765E-5</v>
      </c>
      <c r="K143">
        <f>'Pretax Fuel Prices'!K143+'Fuel Taxes'!K143</f>
        <v>4.0790670089862688E-5</v>
      </c>
      <c r="L143">
        <f>'Pretax Fuel Prices'!L143+'Fuel Taxes'!L143</f>
        <v>3.4237502567396882E-5</v>
      </c>
      <c r="M143">
        <f>'Pretax Fuel Prices'!M143+'Fuel Taxes'!M143</f>
        <v>2.7684335044931077E-5</v>
      </c>
      <c r="N143">
        <f>'Pretax Fuel Prices'!N143+'Fuel Taxes'!N143</f>
        <v>2.113116752246701E-5</v>
      </c>
      <c r="O143">
        <f>'Pretax Fuel Prices'!O143+'Fuel Taxes'!O143</f>
        <v>1.4578000000001203E-5</v>
      </c>
      <c r="P143">
        <f>'Pretax Fuel Prices'!P143+'Fuel Taxes'!P143</f>
        <v>1.4222799999999989E-5</v>
      </c>
      <c r="Q143">
        <f>'Pretax Fuel Prices'!Q143+'Fuel Taxes'!Q143</f>
        <v>1.3867599999999969E-5</v>
      </c>
      <c r="R143">
        <f>'Pretax Fuel Prices'!R143+'Fuel Taxes'!R143</f>
        <v>1.3512399999999949E-5</v>
      </c>
      <c r="S143">
        <f>'Pretax Fuel Prices'!S143+'Fuel Taxes'!S143</f>
        <v>1.3157199999999929E-5</v>
      </c>
      <c r="T143">
        <f>'Pretax Fuel Prices'!T143+'Fuel Taxes'!T143</f>
        <v>1.2802000000000019E-5</v>
      </c>
      <c r="U143">
        <f>'Pretax Fuel Prices'!U143+'Fuel Taxes'!U143</f>
        <v>1.2446799999999999E-5</v>
      </c>
      <c r="V143">
        <f>'Pretax Fuel Prices'!V143+'Fuel Taxes'!V143</f>
        <v>1.2091599999999979E-5</v>
      </c>
      <c r="W143">
        <f>'Pretax Fuel Prices'!W143+'Fuel Taxes'!W143</f>
        <v>1.1736399999999958E-5</v>
      </c>
      <c r="X143">
        <f>'Pretax Fuel Prices'!X143+'Fuel Taxes'!X143</f>
        <v>1.1381199999999938E-5</v>
      </c>
      <c r="Y143">
        <f>'Pretax Fuel Prices'!Y143+'Fuel Taxes'!Y143</f>
        <v>1.1026000000000026E-5</v>
      </c>
      <c r="Z143">
        <f>'Pretax Fuel Prices'!Z143+'Fuel Taxes'!Z143</f>
        <v>1.0670800000000006E-5</v>
      </c>
      <c r="AA143">
        <f>'Pretax Fuel Prices'!AA143+'Fuel Taxes'!AA143</f>
        <v>1.0315599999999986E-5</v>
      </c>
      <c r="AB143">
        <f>'Pretax Fuel Prices'!AB143+'Fuel Taxes'!AB143</f>
        <v>9.9603999999999665E-6</v>
      </c>
      <c r="AC143">
        <f>'Pretax Fuel Prices'!AC143+'Fuel Taxes'!AC143</f>
        <v>9.6051999999999483E-6</v>
      </c>
      <c r="AD143">
        <f>'Pretax Fuel Prices'!AD143+'Fuel Taxes'!AD143</f>
        <v>9.2499999999999284E-6</v>
      </c>
      <c r="AE143">
        <f>'Pretax Fuel Prices'!AE143+'Fuel Taxes'!AE143</f>
        <v>8.8948000000000152E-6</v>
      </c>
      <c r="AF143">
        <f>'Pretax Fuel Prices'!AF143+'Fuel Taxes'!AF143</f>
        <v>0</v>
      </c>
      <c r="AG143">
        <f>'Pretax Fuel Prices'!AG143+'Fuel Taxes'!AG143</f>
        <v>0</v>
      </c>
      <c r="AH143">
        <f>'Pretax Fuel Prices'!AH143+'Fuel Taxes'!AH143</f>
        <v>0</v>
      </c>
      <c r="AI143">
        <f>'Pretax Fuel Prices'!AI143+'Fuel Taxes'!AI143</f>
        <v>0</v>
      </c>
    </row>
    <row r="144" spans="1:51" x14ac:dyDescent="0.35">
      <c r="A144" t="s">
        <v>52</v>
      </c>
      <c r="B144">
        <f>'Pretax Fuel Prices'!B144+'Fuel Taxes'!B144</f>
        <v>0</v>
      </c>
      <c r="C144">
        <f>'Pretax Fuel Prices'!C144+'Fuel Taxes'!C144</f>
        <v>0</v>
      </c>
      <c r="D144">
        <f>'Pretax Fuel Prices'!D144+'Fuel Taxes'!D144</f>
        <v>0</v>
      </c>
      <c r="E144">
        <f>'Pretax Fuel Prices'!E144+'Fuel Taxes'!E144</f>
        <v>0</v>
      </c>
      <c r="F144">
        <f>'Pretax Fuel Prices'!F144+'Fuel Taxes'!F144</f>
        <v>0</v>
      </c>
      <c r="G144">
        <f>'Pretax Fuel Prices'!G144+'Fuel Taxes'!G144</f>
        <v>0</v>
      </c>
      <c r="H144">
        <f>'Pretax Fuel Prices'!H144+'Fuel Taxes'!H144</f>
        <v>0</v>
      </c>
      <c r="I144">
        <f>'Pretax Fuel Prices'!I144+'Fuel Taxes'!I144</f>
        <v>0</v>
      </c>
      <c r="J144">
        <f>'Pretax Fuel Prices'!J144+'Fuel Taxes'!J144</f>
        <v>0</v>
      </c>
      <c r="K144">
        <f>'Pretax Fuel Prices'!K144+'Fuel Taxes'!K144</f>
        <v>0</v>
      </c>
      <c r="L144">
        <f>'Pretax Fuel Prices'!L144+'Fuel Taxes'!L144</f>
        <v>0</v>
      </c>
      <c r="M144">
        <f>'Pretax Fuel Prices'!M144+'Fuel Taxes'!M144</f>
        <v>0</v>
      </c>
      <c r="N144">
        <f>'Pretax Fuel Prices'!N144+'Fuel Taxes'!N144</f>
        <v>0</v>
      </c>
      <c r="O144">
        <f>'Pretax Fuel Prices'!O144+'Fuel Taxes'!O144</f>
        <v>0</v>
      </c>
      <c r="P144">
        <f>'Pretax Fuel Prices'!P144+'Fuel Taxes'!P144</f>
        <v>0</v>
      </c>
      <c r="Q144">
        <f>'Pretax Fuel Prices'!Q144+'Fuel Taxes'!Q144</f>
        <v>0</v>
      </c>
      <c r="R144">
        <f>'Pretax Fuel Prices'!R144+'Fuel Taxes'!R144</f>
        <v>0</v>
      </c>
      <c r="S144">
        <f>'Pretax Fuel Prices'!S144+'Fuel Taxes'!S144</f>
        <v>0</v>
      </c>
      <c r="T144">
        <f>'Pretax Fuel Prices'!T144+'Fuel Taxes'!T144</f>
        <v>0</v>
      </c>
      <c r="U144">
        <f>'Pretax Fuel Prices'!U144+'Fuel Taxes'!U144</f>
        <v>0</v>
      </c>
      <c r="V144">
        <f>'Pretax Fuel Prices'!V144+'Fuel Taxes'!V144</f>
        <v>0</v>
      </c>
      <c r="W144">
        <f>'Pretax Fuel Prices'!W144+'Fuel Taxes'!W144</f>
        <v>0</v>
      </c>
      <c r="X144">
        <f>'Pretax Fuel Prices'!X144+'Fuel Taxes'!X144</f>
        <v>0</v>
      </c>
      <c r="Y144">
        <f>'Pretax Fuel Prices'!Y144+'Fuel Taxes'!Y144</f>
        <v>0</v>
      </c>
      <c r="Z144">
        <f>'Pretax Fuel Prices'!Z144+'Fuel Taxes'!Z144</f>
        <v>0</v>
      </c>
      <c r="AA144">
        <f>'Pretax Fuel Prices'!AA144+'Fuel Taxes'!AA144</f>
        <v>0</v>
      </c>
      <c r="AB144">
        <f>'Pretax Fuel Prices'!AB144+'Fuel Taxes'!AB144</f>
        <v>0</v>
      </c>
      <c r="AC144">
        <f>'Pretax Fuel Prices'!AC144+'Fuel Taxes'!AC144</f>
        <v>0</v>
      </c>
      <c r="AD144">
        <f>'Pretax Fuel Prices'!AD144+'Fuel Taxes'!AD144</f>
        <v>0</v>
      </c>
      <c r="AE144">
        <f>'Pretax Fuel Prices'!AE144+'Fuel Taxes'!AE144</f>
        <v>0</v>
      </c>
      <c r="AF144">
        <f>'Pretax Fuel Prices'!AF144+'Fuel Taxes'!AF144</f>
        <v>0</v>
      </c>
      <c r="AG144">
        <f>'Pretax Fuel Prices'!AG144+'Fuel Taxes'!AG144</f>
        <v>0</v>
      </c>
      <c r="AH144">
        <f>'Pretax Fuel Prices'!AH144+'Fuel Taxes'!AH144</f>
        <v>0</v>
      </c>
      <c r="AI144">
        <f>'Pretax Fuel Prices'!AI144+'Fuel Taxes'!AI144</f>
        <v>0</v>
      </c>
    </row>
    <row r="145" spans="1:35" x14ac:dyDescent="0.35">
      <c r="A145" t="s">
        <v>53</v>
      </c>
      <c r="B145">
        <f>'Pretax Fuel Prices'!B145+'Fuel Taxes'!B145</f>
        <v>9.9769177792049732E-5</v>
      </c>
      <c r="C145">
        <f>'Pretax Fuel Prices'!C145+'Fuel Taxes'!C145</f>
        <v>9.3216010269583927E-5</v>
      </c>
      <c r="D145">
        <f>'Pretax Fuel Prices'!D145+'Fuel Taxes'!D145</f>
        <v>8.6662842747119856E-5</v>
      </c>
      <c r="E145">
        <f>'Pretax Fuel Prices'!E145+'Fuel Taxes'!E145</f>
        <v>8.0109675224654051E-5</v>
      </c>
      <c r="F145">
        <f>'Pretax Fuel Prices'!F145+'Fuel Taxes'!F145</f>
        <v>7.3556507702188245E-5</v>
      </c>
      <c r="G145">
        <f>'Pretax Fuel Prices'!G145+'Fuel Taxes'!G145</f>
        <v>6.7003340179724175E-5</v>
      </c>
      <c r="H145">
        <f>'Pretax Fuel Prices'!H145+'Fuel Taxes'!H145</f>
        <v>6.0450172657258369E-5</v>
      </c>
      <c r="I145">
        <f>'Pretax Fuel Prices'!I145+'Fuel Taxes'!I145</f>
        <v>5.3897005134792564E-5</v>
      </c>
      <c r="J145">
        <f>'Pretax Fuel Prices'!J145+'Fuel Taxes'!J145</f>
        <v>4.7343837612326765E-5</v>
      </c>
      <c r="K145">
        <f>'Pretax Fuel Prices'!K145+'Fuel Taxes'!K145</f>
        <v>4.0790670089862688E-5</v>
      </c>
      <c r="L145">
        <f>'Pretax Fuel Prices'!L145+'Fuel Taxes'!L145</f>
        <v>3.4237502567396882E-5</v>
      </c>
      <c r="M145">
        <f>'Pretax Fuel Prices'!M145+'Fuel Taxes'!M145</f>
        <v>2.7684335044931077E-5</v>
      </c>
      <c r="N145">
        <f>'Pretax Fuel Prices'!N145+'Fuel Taxes'!N145</f>
        <v>2.113116752246701E-5</v>
      </c>
      <c r="O145">
        <f>'Pretax Fuel Prices'!O145+'Fuel Taxes'!O145</f>
        <v>1.4578000000001203E-5</v>
      </c>
      <c r="P145">
        <f>'Pretax Fuel Prices'!P145+'Fuel Taxes'!P145</f>
        <v>1.4222799999999989E-5</v>
      </c>
      <c r="Q145">
        <f>'Pretax Fuel Prices'!Q145+'Fuel Taxes'!Q145</f>
        <v>1.3867599999999969E-5</v>
      </c>
      <c r="R145">
        <f>'Pretax Fuel Prices'!R145+'Fuel Taxes'!R145</f>
        <v>1.3512399999999949E-5</v>
      </c>
      <c r="S145">
        <f>'Pretax Fuel Prices'!S145+'Fuel Taxes'!S145</f>
        <v>1.3157199999999929E-5</v>
      </c>
      <c r="T145">
        <f>'Pretax Fuel Prices'!T145+'Fuel Taxes'!T145</f>
        <v>1.2802000000000019E-5</v>
      </c>
      <c r="U145">
        <f>'Pretax Fuel Prices'!U145+'Fuel Taxes'!U145</f>
        <v>1.2446799999999999E-5</v>
      </c>
      <c r="V145">
        <f>'Pretax Fuel Prices'!V145+'Fuel Taxes'!V145</f>
        <v>1.2091599999999979E-5</v>
      </c>
      <c r="W145">
        <f>'Pretax Fuel Prices'!W145+'Fuel Taxes'!W145</f>
        <v>1.1736399999999958E-5</v>
      </c>
      <c r="X145">
        <f>'Pretax Fuel Prices'!X145+'Fuel Taxes'!X145</f>
        <v>1.1381199999999938E-5</v>
      </c>
      <c r="Y145">
        <f>'Pretax Fuel Prices'!Y145+'Fuel Taxes'!Y145</f>
        <v>1.1026000000000026E-5</v>
      </c>
      <c r="Z145">
        <f>'Pretax Fuel Prices'!Z145+'Fuel Taxes'!Z145</f>
        <v>1.0670800000000006E-5</v>
      </c>
      <c r="AA145">
        <f>'Pretax Fuel Prices'!AA145+'Fuel Taxes'!AA145</f>
        <v>1.0315599999999986E-5</v>
      </c>
      <c r="AB145">
        <f>'Pretax Fuel Prices'!AB145+'Fuel Taxes'!AB145</f>
        <v>9.9603999999999665E-6</v>
      </c>
      <c r="AC145">
        <f>'Pretax Fuel Prices'!AC145+'Fuel Taxes'!AC145</f>
        <v>9.6051999999999483E-6</v>
      </c>
      <c r="AD145">
        <f>'Pretax Fuel Prices'!AD145+'Fuel Taxes'!AD145</f>
        <v>9.2499999999999284E-6</v>
      </c>
      <c r="AE145">
        <f>'Pretax Fuel Prices'!AE145+'Fuel Taxes'!AE145</f>
        <v>8.8948000000000152E-6</v>
      </c>
      <c r="AF145">
        <f>'Pretax Fuel Prices'!AF145+'Fuel Taxes'!AF145</f>
        <v>0</v>
      </c>
      <c r="AG145">
        <f>'Pretax Fuel Prices'!AG145+'Fuel Taxes'!AG145</f>
        <v>0</v>
      </c>
      <c r="AH145">
        <f>'Pretax Fuel Prices'!AH145+'Fuel Taxes'!AH145</f>
        <v>0</v>
      </c>
      <c r="AI145">
        <f>'Pretax Fuel Prices'!AI145+'Fuel Taxes'!AI145</f>
        <v>0</v>
      </c>
    </row>
    <row r="146" spans="1:35" x14ac:dyDescent="0.35">
      <c r="A146" t="s">
        <v>54</v>
      </c>
      <c r="B146">
        <f>'Pretax Fuel Prices'!B146+'Fuel Taxes'!B146</f>
        <v>9.9769177792049732E-5</v>
      </c>
      <c r="C146">
        <f>'Pretax Fuel Prices'!C146+'Fuel Taxes'!C146</f>
        <v>9.3216010269583927E-5</v>
      </c>
      <c r="D146">
        <f>'Pretax Fuel Prices'!D146+'Fuel Taxes'!D146</f>
        <v>8.6662842747119856E-5</v>
      </c>
      <c r="E146">
        <f>'Pretax Fuel Prices'!E146+'Fuel Taxes'!E146</f>
        <v>8.0109675224654051E-5</v>
      </c>
      <c r="F146">
        <f>'Pretax Fuel Prices'!F146+'Fuel Taxes'!F146</f>
        <v>7.3556507702188245E-5</v>
      </c>
      <c r="G146">
        <f>'Pretax Fuel Prices'!G146+'Fuel Taxes'!G146</f>
        <v>6.7003340179724175E-5</v>
      </c>
      <c r="H146">
        <f>'Pretax Fuel Prices'!H146+'Fuel Taxes'!H146</f>
        <v>6.0450172657258369E-5</v>
      </c>
      <c r="I146">
        <f>'Pretax Fuel Prices'!I146+'Fuel Taxes'!I146</f>
        <v>5.3897005134792564E-5</v>
      </c>
      <c r="J146">
        <f>'Pretax Fuel Prices'!J146+'Fuel Taxes'!J146</f>
        <v>4.7343837612326765E-5</v>
      </c>
      <c r="K146">
        <f>'Pretax Fuel Prices'!K146+'Fuel Taxes'!K146</f>
        <v>4.0790670089862688E-5</v>
      </c>
      <c r="L146">
        <f>'Pretax Fuel Prices'!L146+'Fuel Taxes'!L146</f>
        <v>3.4237502567396882E-5</v>
      </c>
      <c r="M146">
        <f>'Pretax Fuel Prices'!M146+'Fuel Taxes'!M146</f>
        <v>2.7684335044931077E-5</v>
      </c>
      <c r="N146">
        <f>'Pretax Fuel Prices'!N146+'Fuel Taxes'!N146</f>
        <v>2.113116752246701E-5</v>
      </c>
      <c r="O146">
        <f>'Pretax Fuel Prices'!O146+'Fuel Taxes'!O146</f>
        <v>1.4578000000001203E-5</v>
      </c>
      <c r="P146">
        <f>'Pretax Fuel Prices'!P146+'Fuel Taxes'!P146</f>
        <v>1.4222799999999989E-5</v>
      </c>
      <c r="Q146">
        <f>'Pretax Fuel Prices'!Q146+'Fuel Taxes'!Q146</f>
        <v>1.3867599999999969E-5</v>
      </c>
      <c r="R146">
        <f>'Pretax Fuel Prices'!R146+'Fuel Taxes'!R146</f>
        <v>1.3512399999999949E-5</v>
      </c>
      <c r="S146">
        <f>'Pretax Fuel Prices'!S146+'Fuel Taxes'!S146</f>
        <v>1.3157199999999929E-5</v>
      </c>
      <c r="T146">
        <f>'Pretax Fuel Prices'!T146+'Fuel Taxes'!T146</f>
        <v>1.2802000000000019E-5</v>
      </c>
      <c r="U146">
        <f>'Pretax Fuel Prices'!U146+'Fuel Taxes'!U146</f>
        <v>1.2446799999999999E-5</v>
      </c>
      <c r="V146">
        <f>'Pretax Fuel Prices'!V146+'Fuel Taxes'!V146</f>
        <v>1.2091599999999979E-5</v>
      </c>
      <c r="W146">
        <f>'Pretax Fuel Prices'!W146+'Fuel Taxes'!W146</f>
        <v>1.1736399999999958E-5</v>
      </c>
      <c r="X146">
        <f>'Pretax Fuel Prices'!X146+'Fuel Taxes'!X146</f>
        <v>1.1381199999999938E-5</v>
      </c>
      <c r="Y146">
        <f>'Pretax Fuel Prices'!Y146+'Fuel Taxes'!Y146</f>
        <v>1.1026000000000026E-5</v>
      </c>
      <c r="Z146">
        <f>'Pretax Fuel Prices'!Z146+'Fuel Taxes'!Z146</f>
        <v>1.0670800000000006E-5</v>
      </c>
      <c r="AA146">
        <f>'Pretax Fuel Prices'!AA146+'Fuel Taxes'!AA146</f>
        <v>1.0315599999999986E-5</v>
      </c>
      <c r="AB146">
        <f>'Pretax Fuel Prices'!AB146+'Fuel Taxes'!AB146</f>
        <v>9.9603999999999665E-6</v>
      </c>
      <c r="AC146">
        <f>'Pretax Fuel Prices'!AC146+'Fuel Taxes'!AC146</f>
        <v>9.6051999999999483E-6</v>
      </c>
      <c r="AD146">
        <f>'Pretax Fuel Prices'!AD146+'Fuel Taxes'!AD146</f>
        <v>9.2499999999999284E-6</v>
      </c>
      <c r="AE146">
        <f>'Pretax Fuel Prices'!AE146+'Fuel Taxes'!AE146</f>
        <v>8.8948000000000152E-6</v>
      </c>
      <c r="AF146">
        <f>'Pretax Fuel Prices'!AF146+'Fuel Taxes'!AF146</f>
        <v>0</v>
      </c>
      <c r="AG146">
        <f>'Pretax Fuel Prices'!AG146+'Fuel Taxes'!AG146</f>
        <v>0</v>
      </c>
      <c r="AH146">
        <f>'Pretax Fuel Prices'!AH146+'Fuel Taxes'!AH146</f>
        <v>0</v>
      </c>
      <c r="AI146">
        <f>'Pretax Fuel Prices'!AI146+'Fuel Taxes'!AI146</f>
        <v>0</v>
      </c>
    </row>
    <row r="147" spans="1:35" x14ac:dyDescent="0.35">
      <c r="A147" t="s">
        <v>55</v>
      </c>
      <c r="B147">
        <f>'Pretax Fuel Prices'!B147+'Fuel Taxes'!B147</f>
        <v>9.9769177792049732E-5</v>
      </c>
      <c r="C147">
        <f>'Pretax Fuel Prices'!C147+'Fuel Taxes'!C147</f>
        <v>9.3216010269583927E-5</v>
      </c>
      <c r="D147">
        <f>'Pretax Fuel Prices'!D147+'Fuel Taxes'!D147</f>
        <v>8.6662842747119856E-5</v>
      </c>
      <c r="E147">
        <f>'Pretax Fuel Prices'!E147+'Fuel Taxes'!E147</f>
        <v>8.0109675224654051E-5</v>
      </c>
      <c r="F147">
        <f>'Pretax Fuel Prices'!F147+'Fuel Taxes'!F147</f>
        <v>7.3556507702188245E-5</v>
      </c>
      <c r="G147">
        <f>'Pretax Fuel Prices'!G147+'Fuel Taxes'!G147</f>
        <v>6.7003340179724175E-5</v>
      </c>
      <c r="H147">
        <f>'Pretax Fuel Prices'!H147+'Fuel Taxes'!H147</f>
        <v>6.0450172657258369E-5</v>
      </c>
      <c r="I147">
        <f>'Pretax Fuel Prices'!I147+'Fuel Taxes'!I147</f>
        <v>5.3897005134792564E-5</v>
      </c>
      <c r="J147">
        <f>'Pretax Fuel Prices'!J147+'Fuel Taxes'!J147</f>
        <v>4.7343837612326765E-5</v>
      </c>
      <c r="K147">
        <f>'Pretax Fuel Prices'!K147+'Fuel Taxes'!K147</f>
        <v>4.0790670089862688E-5</v>
      </c>
      <c r="L147">
        <f>'Pretax Fuel Prices'!L147+'Fuel Taxes'!L147</f>
        <v>3.4237502567396882E-5</v>
      </c>
      <c r="M147">
        <f>'Pretax Fuel Prices'!M147+'Fuel Taxes'!M147</f>
        <v>2.7684335044931077E-5</v>
      </c>
      <c r="N147">
        <f>'Pretax Fuel Prices'!N147+'Fuel Taxes'!N147</f>
        <v>2.113116752246701E-5</v>
      </c>
      <c r="O147">
        <f>'Pretax Fuel Prices'!O147+'Fuel Taxes'!O147</f>
        <v>1.4578000000001203E-5</v>
      </c>
      <c r="P147">
        <f>'Pretax Fuel Prices'!P147+'Fuel Taxes'!P147</f>
        <v>1.4222799999999989E-5</v>
      </c>
      <c r="Q147">
        <f>'Pretax Fuel Prices'!Q147+'Fuel Taxes'!Q147</f>
        <v>1.3867599999999969E-5</v>
      </c>
      <c r="R147">
        <f>'Pretax Fuel Prices'!R147+'Fuel Taxes'!R147</f>
        <v>1.3512399999999949E-5</v>
      </c>
      <c r="S147">
        <f>'Pretax Fuel Prices'!S147+'Fuel Taxes'!S147</f>
        <v>1.3157199999999929E-5</v>
      </c>
      <c r="T147">
        <f>'Pretax Fuel Prices'!T147+'Fuel Taxes'!T147</f>
        <v>1.2802000000000019E-5</v>
      </c>
      <c r="U147">
        <f>'Pretax Fuel Prices'!U147+'Fuel Taxes'!U147</f>
        <v>1.2446799999999999E-5</v>
      </c>
      <c r="V147">
        <f>'Pretax Fuel Prices'!V147+'Fuel Taxes'!V147</f>
        <v>1.2091599999999979E-5</v>
      </c>
      <c r="W147">
        <f>'Pretax Fuel Prices'!W147+'Fuel Taxes'!W147</f>
        <v>1.1736399999999958E-5</v>
      </c>
      <c r="X147">
        <f>'Pretax Fuel Prices'!X147+'Fuel Taxes'!X147</f>
        <v>1.1381199999999938E-5</v>
      </c>
      <c r="Y147">
        <f>'Pretax Fuel Prices'!Y147+'Fuel Taxes'!Y147</f>
        <v>1.1026000000000026E-5</v>
      </c>
      <c r="Z147">
        <f>'Pretax Fuel Prices'!Z147+'Fuel Taxes'!Z147</f>
        <v>1.0670800000000006E-5</v>
      </c>
      <c r="AA147">
        <f>'Pretax Fuel Prices'!AA147+'Fuel Taxes'!AA147</f>
        <v>1.0315599999999986E-5</v>
      </c>
      <c r="AB147">
        <f>'Pretax Fuel Prices'!AB147+'Fuel Taxes'!AB147</f>
        <v>9.9603999999999665E-6</v>
      </c>
      <c r="AC147">
        <f>'Pretax Fuel Prices'!AC147+'Fuel Taxes'!AC147</f>
        <v>9.6051999999999483E-6</v>
      </c>
      <c r="AD147">
        <f>'Pretax Fuel Prices'!AD147+'Fuel Taxes'!AD147</f>
        <v>9.2499999999999284E-6</v>
      </c>
      <c r="AE147">
        <f>'Pretax Fuel Prices'!AE147+'Fuel Taxes'!AE147</f>
        <v>8.8948000000000152E-6</v>
      </c>
      <c r="AF147">
        <f>'Pretax Fuel Prices'!AF147+'Fuel Taxes'!AF147</f>
        <v>0</v>
      </c>
      <c r="AG147">
        <f>'Pretax Fuel Prices'!AG147+'Fuel Taxes'!AG147</f>
        <v>0</v>
      </c>
      <c r="AH147">
        <f>'Pretax Fuel Prices'!AH147+'Fuel Taxes'!AH147</f>
        <v>0</v>
      </c>
      <c r="AI147">
        <f>'Pretax Fuel Prices'!AI147+'Fuel Taxes'!AI147</f>
        <v>0</v>
      </c>
    </row>
    <row r="148" spans="1:35" x14ac:dyDescent="0.35">
      <c r="A148" t="s">
        <v>56</v>
      </c>
      <c r="B148">
        <f>'Pretax Fuel Prices'!B148+'Fuel Taxes'!B148</f>
        <v>9.1591555421904051E-5</v>
      </c>
      <c r="C148">
        <f>'Pretax Fuel Prices'!C148+'Fuel Taxes'!C148</f>
        <v>8.5575521015226019E-5</v>
      </c>
      <c r="D148">
        <f>'Pretax Fuel Prices'!D148+'Fuel Taxes'!D148</f>
        <v>7.9559486608549586E-5</v>
      </c>
      <c r="E148">
        <f>'Pretax Fuel Prices'!E148+'Fuel Taxes'!E148</f>
        <v>7.3543452201871567E-5</v>
      </c>
      <c r="F148">
        <f>'Pretax Fuel Prices'!F148+'Fuel Taxes'!F148</f>
        <v>6.7527417795193535E-5</v>
      </c>
      <c r="G148">
        <f>'Pretax Fuel Prices'!G148+'Fuel Taxes'!G148</f>
        <v>6.1511383388517102E-5</v>
      </c>
      <c r="H148">
        <f>'Pretax Fuel Prices'!H148+'Fuel Taxes'!H148</f>
        <v>5.5495348981839076E-5</v>
      </c>
      <c r="I148">
        <f>'Pretax Fuel Prices'!I148+'Fuel Taxes'!I148</f>
        <v>4.9479314575161051E-5</v>
      </c>
      <c r="J148">
        <f>'Pretax Fuel Prices'!J148+'Fuel Taxes'!J148</f>
        <v>4.3463280168483025E-5</v>
      </c>
      <c r="K148">
        <f>'Pretax Fuel Prices'!K148+'Fuel Taxes'!K148</f>
        <v>3.7447245761806585E-5</v>
      </c>
      <c r="L148">
        <f>'Pretax Fuel Prices'!L148+'Fuel Taxes'!L148</f>
        <v>3.143121135512856E-5</v>
      </c>
      <c r="M148">
        <f>'Pretax Fuel Prices'!M148+'Fuel Taxes'!M148</f>
        <v>2.5415176948450534E-5</v>
      </c>
      <c r="N148">
        <f>'Pretax Fuel Prices'!N148+'Fuel Taxes'!N148</f>
        <v>1.9399142541774101E-5</v>
      </c>
      <c r="O148">
        <f>'Pretax Fuel Prices'!O148+'Fuel Taxes'!O148</f>
        <v>1.3383108135096074E-5</v>
      </c>
      <c r="P148">
        <f>'Pretax Fuel Prices'!P148+'Fuel Taxes'!P148</f>
        <v>1.305702225160026E-5</v>
      </c>
      <c r="Q148">
        <f>'Pretax Fuel Prices'!Q148+'Fuel Taxes'!Q148</f>
        <v>1.2730936368105542E-5</v>
      </c>
      <c r="R148">
        <f>'Pretax Fuel Prices'!R148+'Fuel Taxes'!R148</f>
        <v>1.2404850484610824E-5</v>
      </c>
      <c r="S148">
        <f>'Pretax Fuel Prices'!S148+'Fuel Taxes'!S148</f>
        <v>1.2078764601116106E-5</v>
      </c>
      <c r="T148">
        <f>'Pretax Fuel Prices'!T148+'Fuel Taxes'!T148</f>
        <v>1.1752678717621488E-5</v>
      </c>
      <c r="U148">
        <f>'Pretax Fuel Prices'!U148+'Fuel Taxes'!U148</f>
        <v>1.142659283412677E-5</v>
      </c>
      <c r="V148">
        <f>'Pretax Fuel Prices'!V148+'Fuel Taxes'!V148</f>
        <v>1.1100506950632052E-5</v>
      </c>
      <c r="W148">
        <f>'Pretax Fuel Prices'!W148+'Fuel Taxes'!W148</f>
        <v>1.0774421067137333E-5</v>
      </c>
      <c r="X148">
        <f>'Pretax Fuel Prices'!X148+'Fuel Taxes'!X148</f>
        <v>1.0448335183642615E-5</v>
      </c>
      <c r="Y148">
        <f>'Pretax Fuel Prices'!Y148+'Fuel Taxes'!Y148</f>
        <v>1.0122249300147997E-5</v>
      </c>
      <c r="Z148">
        <f>'Pretax Fuel Prices'!Z148+'Fuel Taxes'!Z148</f>
        <v>9.796163416653279E-6</v>
      </c>
      <c r="AA148">
        <f>'Pretax Fuel Prices'!AA148+'Fuel Taxes'!AA148</f>
        <v>9.4700775331585611E-6</v>
      </c>
      <c r="AB148">
        <f>'Pretax Fuel Prices'!AB148+'Fuel Taxes'!AB148</f>
        <v>9.1439916496638431E-6</v>
      </c>
      <c r="AC148">
        <f>'Pretax Fuel Prices'!AC148+'Fuel Taxes'!AC148</f>
        <v>8.8179057661691252E-6</v>
      </c>
      <c r="AD148">
        <f>'Pretax Fuel Prices'!AD148+'Fuel Taxes'!AD148</f>
        <v>8.4918198826744073E-6</v>
      </c>
      <c r="AE148">
        <f>'Pretax Fuel Prices'!AE148+'Fuel Taxes'!AE148</f>
        <v>8.1657339991797876E-6</v>
      </c>
      <c r="AF148">
        <f>'Pretax Fuel Prices'!AF148+'Fuel Taxes'!AF148</f>
        <v>0</v>
      </c>
      <c r="AG148">
        <f>'Pretax Fuel Prices'!AG148+'Fuel Taxes'!AG148</f>
        <v>0</v>
      </c>
      <c r="AH148">
        <f>'Pretax Fuel Prices'!AH148+'Fuel Taxes'!AH148</f>
        <v>0</v>
      </c>
      <c r="AI148">
        <f>'Pretax Fuel Prices'!AI148+'Fuel Taxes'!AI148</f>
        <v>0</v>
      </c>
    </row>
    <row r="149" spans="1:35" x14ac:dyDescent="0.35">
      <c r="A149" t="s">
        <v>57</v>
      </c>
      <c r="B149">
        <f>'Pretax Fuel Prices'!B149+'Fuel Taxes'!B149</f>
        <v>0</v>
      </c>
      <c r="C149">
        <f>'Pretax Fuel Prices'!C149+'Fuel Taxes'!C149</f>
        <v>0</v>
      </c>
      <c r="D149">
        <f>'Pretax Fuel Prices'!D149+'Fuel Taxes'!D149</f>
        <v>0</v>
      </c>
      <c r="E149">
        <f>'Pretax Fuel Prices'!E149+'Fuel Taxes'!E149</f>
        <v>0</v>
      </c>
      <c r="F149">
        <f>'Pretax Fuel Prices'!F149+'Fuel Taxes'!F149</f>
        <v>0</v>
      </c>
      <c r="G149">
        <f>'Pretax Fuel Prices'!G149+'Fuel Taxes'!G149</f>
        <v>0</v>
      </c>
      <c r="H149">
        <f>'Pretax Fuel Prices'!H149+'Fuel Taxes'!H149</f>
        <v>0</v>
      </c>
      <c r="I149">
        <f>'Pretax Fuel Prices'!I149+'Fuel Taxes'!I149</f>
        <v>0</v>
      </c>
      <c r="J149">
        <f>'Pretax Fuel Prices'!J149+'Fuel Taxes'!J149</f>
        <v>0</v>
      </c>
      <c r="K149">
        <f>'Pretax Fuel Prices'!K149+'Fuel Taxes'!K149</f>
        <v>0</v>
      </c>
      <c r="L149">
        <f>'Pretax Fuel Prices'!L149+'Fuel Taxes'!L149</f>
        <v>0</v>
      </c>
      <c r="M149">
        <f>'Pretax Fuel Prices'!M149+'Fuel Taxes'!M149</f>
        <v>0</v>
      </c>
      <c r="N149">
        <f>'Pretax Fuel Prices'!N149+'Fuel Taxes'!N149</f>
        <v>0</v>
      </c>
      <c r="O149">
        <f>'Pretax Fuel Prices'!O149+'Fuel Taxes'!O149</f>
        <v>0</v>
      </c>
      <c r="P149">
        <f>'Pretax Fuel Prices'!P149+'Fuel Taxes'!P149</f>
        <v>0</v>
      </c>
      <c r="Q149">
        <f>'Pretax Fuel Prices'!Q149+'Fuel Taxes'!Q149</f>
        <v>0</v>
      </c>
      <c r="R149">
        <f>'Pretax Fuel Prices'!R149+'Fuel Taxes'!R149</f>
        <v>0</v>
      </c>
      <c r="S149">
        <f>'Pretax Fuel Prices'!S149+'Fuel Taxes'!S149</f>
        <v>0</v>
      </c>
      <c r="T149">
        <f>'Pretax Fuel Prices'!T149+'Fuel Taxes'!T149</f>
        <v>0</v>
      </c>
      <c r="U149">
        <f>'Pretax Fuel Prices'!U149+'Fuel Taxes'!U149</f>
        <v>0</v>
      </c>
      <c r="V149">
        <f>'Pretax Fuel Prices'!V149+'Fuel Taxes'!V149</f>
        <v>0</v>
      </c>
      <c r="W149">
        <f>'Pretax Fuel Prices'!W149+'Fuel Taxes'!W149</f>
        <v>0</v>
      </c>
      <c r="X149">
        <f>'Pretax Fuel Prices'!X149+'Fuel Taxes'!X149</f>
        <v>0</v>
      </c>
      <c r="Y149">
        <f>'Pretax Fuel Prices'!Y149+'Fuel Taxes'!Y149</f>
        <v>0</v>
      </c>
      <c r="Z149">
        <f>'Pretax Fuel Prices'!Z149+'Fuel Taxes'!Z149</f>
        <v>0</v>
      </c>
      <c r="AA149">
        <f>'Pretax Fuel Prices'!AA149+'Fuel Taxes'!AA149</f>
        <v>0</v>
      </c>
      <c r="AB149">
        <f>'Pretax Fuel Prices'!AB149+'Fuel Taxes'!AB149</f>
        <v>0</v>
      </c>
      <c r="AC149">
        <f>'Pretax Fuel Prices'!AC149+'Fuel Taxes'!AC149</f>
        <v>0</v>
      </c>
      <c r="AD149">
        <f>'Pretax Fuel Prices'!AD149+'Fuel Taxes'!AD149</f>
        <v>0</v>
      </c>
      <c r="AE149">
        <f>'Pretax Fuel Prices'!AE149+'Fuel Taxes'!AE149</f>
        <v>0</v>
      </c>
      <c r="AF149">
        <f>'Pretax Fuel Prices'!AF149+'Fuel Taxes'!AF149</f>
        <v>0</v>
      </c>
      <c r="AG149">
        <f>'Pretax Fuel Prices'!AG149+'Fuel Taxes'!AG149</f>
        <v>0</v>
      </c>
      <c r="AH149">
        <f>'Pretax Fuel Prices'!AH149+'Fuel Taxes'!AH149</f>
        <v>0</v>
      </c>
      <c r="AI149">
        <f>'Pretax Fuel Prices'!AI149+'Fuel Taxes'!AI149</f>
        <v>0</v>
      </c>
    </row>
    <row r="150" spans="1:35" x14ac:dyDescent="0.35">
      <c r="A150" t="s">
        <v>58</v>
      </c>
      <c r="B150">
        <f>'Pretax Fuel Prices'!B150+'Fuel Taxes'!B150</f>
        <v>9.9769177792049732E-5</v>
      </c>
      <c r="C150">
        <f>'Pretax Fuel Prices'!C150+'Fuel Taxes'!C150</f>
        <v>9.3216010269583927E-5</v>
      </c>
      <c r="D150">
        <f>'Pretax Fuel Prices'!D150+'Fuel Taxes'!D150</f>
        <v>8.6662842747119856E-5</v>
      </c>
      <c r="E150">
        <f>'Pretax Fuel Prices'!E150+'Fuel Taxes'!E150</f>
        <v>8.0109675224654051E-5</v>
      </c>
      <c r="F150">
        <f>'Pretax Fuel Prices'!F150+'Fuel Taxes'!F150</f>
        <v>7.3556507702188245E-5</v>
      </c>
      <c r="G150">
        <f>'Pretax Fuel Prices'!G150+'Fuel Taxes'!G150</f>
        <v>6.7003340179724175E-5</v>
      </c>
      <c r="H150">
        <f>'Pretax Fuel Prices'!H150+'Fuel Taxes'!H150</f>
        <v>6.0450172657258369E-5</v>
      </c>
      <c r="I150">
        <f>'Pretax Fuel Prices'!I150+'Fuel Taxes'!I150</f>
        <v>5.3897005134792564E-5</v>
      </c>
      <c r="J150">
        <f>'Pretax Fuel Prices'!J150+'Fuel Taxes'!J150</f>
        <v>4.7343837612326765E-5</v>
      </c>
      <c r="K150">
        <f>'Pretax Fuel Prices'!K150+'Fuel Taxes'!K150</f>
        <v>4.0790670089862688E-5</v>
      </c>
      <c r="L150">
        <f>'Pretax Fuel Prices'!L150+'Fuel Taxes'!L150</f>
        <v>3.4237502567396882E-5</v>
      </c>
      <c r="M150">
        <f>'Pretax Fuel Prices'!M150+'Fuel Taxes'!M150</f>
        <v>2.7684335044931077E-5</v>
      </c>
      <c r="N150">
        <f>'Pretax Fuel Prices'!N150+'Fuel Taxes'!N150</f>
        <v>2.113116752246701E-5</v>
      </c>
      <c r="O150">
        <f>'Pretax Fuel Prices'!O150+'Fuel Taxes'!O150</f>
        <v>1.4578000000001203E-5</v>
      </c>
      <c r="P150">
        <f>'Pretax Fuel Prices'!P150+'Fuel Taxes'!P150</f>
        <v>1.4222799999999989E-5</v>
      </c>
      <c r="Q150">
        <f>'Pretax Fuel Prices'!Q150+'Fuel Taxes'!Q150</f>
        <v>1.3867599999999969E-5</v>
      </c>
      <c r="R150">
        <f>'Pretax Fuel Prices'!R150+'Fuel Taxes'!R150</f>
        <v>1.3512399999999949E-5</v>
      </c>
      <c r="S150">
        <f>'Pretax Fuel Prices'!S150+'Fuel Taxes'!S150</f>
        <v>1.3157199999999929E-5</v>
      </c>
      <c r="T150">
        <f>'Pretax Fuel Prices'!T150+'Fuel Taxes'!T150</f>
        <v>1.2802000000000019E-5</v>
      </c>
      <c r="U150">
        <f>'Pretax Fuel Prices'!U150+'Fuel Taxes'!U150</f>
        <v>1.2446799999999999E-5</v>
      </c>
      <c r="V150">
        <f>'Pretax Fuel Prices'!V150+'Fuel Taxes'!V150</f>
        <v>1.2091599999999979E-5</v>
      </c>
      <c r="W150">
        <f>'Pretax Fuel Prices'!W150+'Fuel Taxes'!W150</f>
        <v>1.1736399999999958E-5</v>
      </c>
      <c r="X150">
        <f>'Pretax Fuel Prices'!X150+'Fuel Taxes'!X150</f>
        <v>1.1381199999999938E-5</v>
      </c>
      <c r="Y150">
        <f>'Pretax Fuel Prices'!Y150+'Fuel Taxes'!Y150</f>
        <v>1.1026000000000026E-5</v>
      </c>
      <c r="Z150">
        <f>'Pretax Fuel Prices'!Z150+'Fuel Taxes'!Z150</f>
        <v>1.0670800000000006E-5</v>
      </c>
      <c r="AA150">
        <f>'Pretax Fuel Prices'!AA150+'Fuel Taxes'!AA150</f>
        <v>1.0315599999999986E-5</v>
      </c>
      <c r="AB150">
        <f>'Pretax Fuel Prices'!AB150+'Fuel Taxes'!AB150</f>
        <v>9.9603999999999665E-6</v>
      </c>
      <c r="AC150">
        <f>'Pretax Fuel Prices'!AC150+'Fuel Taxes'!AC150</f>
        <v>9.6051999999999483E-6</v>
      </c>
      <c r="AD150">
        <f>'Pretax Fuel Prices'!AD150+'Fuel Taxes'!AD150</f>
        <v>9.2499999999999284E-6</v>
      </c>
      <c r="AE150">
        <f>'Pretax Fuel Prices'!AE150+'Fuel Taxes'!AE150</f>
        <v>8.8948000000000152E-6</v>
      </c>
      <c r="AF150">
        <f>'Pretax Fuel Prices'!AF150+'Fuel Taxes'!AF150</f>
        <v>0</v>
      </c>
      <c r="AG150">
        <f>'Pretax Fuel Prices'!AG150+'Fuel Taxes'!AG150</f>
        <v>0</v>
      </c>
      <c r="AH150">
        <f>'Pretax Fuel Prices'!AH150+'Fuel Taxes'!AH150</f>
        <v>0</v>
      </c>
      <c r="AI150">
        <f>'Pretax Fuel Prices'!AI150+'Fuel Taxes'!AI150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-0.249977111117893"/>
  </sheetPr>
  <dimension ref="A1:BC22"/>
  <sheetViews>
    <sheetView tabSelected="1" workbookViewId="0">
      <selection activeCell="B21" sqref="B21"/>
    </sheetView>
  </sheetViews>
  <sheetFormatPr defaultRowHeight="14.5" x14ac:dyDescent="0.35"/>
  <cols>
    <col min="1" max="1" width="29.54296875" customWidth="1"/>
  </cols>
  <sheetData>
    <row r="1" spans="1:55" ht="29" x14ac:dyDescent="0.35">
      <c r="A1" s="10" t="s">
        <v>50</v>
      </c>
      <c r="B1" s="8">
        <v>2021</v>
      </c>
      <c r="C1" s="8">
        <v>2022</v>
      </c>
      <c r="D1" s="8">
        <v>2023</v>
      </c>
      <c r="E1" s="8">
        <v>2024</v>
      </c>
      <c r="F1" s="8">
        <v>2025</v>
      </c>
      <c r="G1" s="8">
        <v>2026</v>
      </c>
      <c r="H1" s="8">
        <v>2027</v>
      </c>
      <c r="I1" s="8">
        <v>2028</v>
      </c>
      <c r="J1" s="8">
        <v>2029</v>
      </c>
      <c r="K1" s="8">
        <v>2030</v>
      </c>
      <c r="L1" s="8">
        <v>2031</v>
      </c>
      <c r="M1" s="8">
        <v>2032</v>
      </c>
      <c r="N1" s="8">
        <v>2033</v>
      </c>
      <c r="O1" s="8">
        <v>2034</v>
      </c>
      <c r="P1" s="8">
        <v>2035</v>
      </c>
      <c r="Q1" s="8">
        <v>2036</v>
      </c>
      <c r="R1" s="8">
        <v>2037</v>
      </c>
      <c r="S1" s="8">
        <v>2038</v>
      </c>
      <c r="T1" s="8">
        <v>2039</v>
      </c>
      <c r="U1" s="8">
        <v>2040</v>
      </c>
      <c r="V1" s="8">
        <v>2041</v>
      </c>
      <c r="W1" s="8">
        <v>2042</v>
      </c>
      <c r="X1" s="8">
        <v>2043</v>
      </c>
      <c r="Y1" s="8">
        <v>2044</v>
      </c>
      <c r="Z1" s="8">
        <v>2045</v>
      </c>
      <c r="AA1" s="8">
        <v>2046</v>
      </c>
      <c r="AB1" s="8">
        <v>2047</v>
      </c>
      <c r="AC1" s="8">
        <v>2048</v>
      </c>
      <c r="AD1" s="8">
        <v>2049</v>
      </c>
      <c r="AE1" s="8">
        <v>2050</v>
      </c>
      <c r="AF1" s="8">
        <v>2051</v>
      </c>
      <c r="AG1" s="8">
        <v>2052</v>
      </c>
      <c r="AH1" s="8">
        <v>2053</v>
      </c>
      <c r="AI1" s="8">
        <v>2054</v>
      </c>
      <c r="AJ1" s="8">
        <v>2055</v>
      </c>
      <c r="AK1" s="8">
        <v>2056</v>
      </c>
      <c r="AL1" s="8">
        <v>2057</v>
      </c>
      <c r="AM1" s="8">
        <v>2058</v>
      </c>
      <c r="AN1" s="8">
        <v>2059</v>
      </c>
      <c r="AO1" s="8">
        <v>2060</v>
      </c>
      <c r="AP1" s="8">
        <v>2061</v>
      </c>
      <c r="AQ1" s="8">
        <v>2062</v>
      </c>
      <c r="AR1" s="8">
        <v>2063</v>
      </c>
      <c r="AS1" s="8">
        <v>2064</v>
      </c>
      <c r="AT1" s="8">
        <v>2065</v>
      </c>
      <c r="AU1" s="8">
        <v>2066</v>
      </c>
      <c r="AV1" s="8">
        <v>2067</v>
      </c>
      <c r="AW1" s="8">
        <v>2068</v>
      </c>
      <c r="AX1" s="8">
        <v>2069</v>
      </c>
      <c r="AY1" s="8">
        <v>2070</v>
      </c>
      <c r="AZ1" s="8"/>
      <c r="BA1" s="8"/>
      <c r="BB1" s="8"/>
      <c r="BC1" s="8"/>
    </row>
    <row r="2" spans="1:55" x14ac:dyDescent="0.35">
      <c r="A2" s="3" t="s">
        <v>20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/>
      <c r="AG2" s="4"/>
    </row>
    <row r="3" spans="1:55" x14ac:dyDescent="0.35">
      <c r="A3" s="7" t="s">
        <v>2</v>
      </c>
      <c r="B3" s="5">
        <f>IEA!$C$8*'Fuel Price Data'!D4/'Fuel Price Data'!$D$4</f>
        <v>2.8566363443120592E-6</v>
      </c>
      <c r="C3" s="5">
        <f>IEA!$C$8*'Fuel Price Data'!E4/'Fuel Price Data'!$D$4</f>
        <v>2.8705711557477282E-6</v>
      </c>
      <c r="D3" s="5">
        <f>IEA!$C$8*'Fuel Price Data'!F4/'Fuel Price Data'!$D$4</f>
        <v>2.8287667214407221E-6</v>
      </c>
      <c r="E3" s="5">
        <f>IEA!$C$8*'Fuel Price Data'!G4/'Fuel Price Data'!$D$4</f>
        <v>2.7869622871337171E-6</v>
      </c>
      <c r="F3" s="5">
        <f>IEA!$C$8*'Fuel Price Data'!H4/'Fuel Price Data'!$D$4</f>
        <v>2.7590926642623795E-6</v>
      </c>
      <c r="G3" s="5">
        <f>IEA!$C$8*'Fuel Price Data'!I4/'Fuel Price Data'!$D$4</f>
        <v>2.7451578528267105E-6</v>
      </c>
      <c r="H3" s="5">
        <f>IEA!$C$8*'Fuel Price Data'!J4/'Fuel Price Data'!$D$4</f>
        <v>2.7172882299553733E-6</v>
      </c>
      <c r="I3" s="5">
        <f>IEA!$C$8*'Fuel Price Data'!K4/'Fuel Price Data'!$D$4</f>
        <v>2.7312230413910423E-6</v>
      </c>
      <c r="J3" s="5">
        <f>IEA!$C$8*'Fuel Price Data'!L4/'Fuel Price Data'!$D$4</f>
        <v>2.7451578528267105E-6</v>
      </c>
      <c r="K3" s="5">
        <f>IEA!$C$8*'Fuel Price Data'!M4/'Fuel Price Data'!$D$4</f>
        <v>2.7312230413910423E-6</v>
      </c>
      <c r="L3" s="5">
        <f>IEA!$C$8*'Fuel Price Data'!N4/'Fuel Price Data'!$D$4</f>
        <v>2.7312230413910423E-6</v>
      </c>
      <c r="M3" s="5">
        <f>IEA!$C$8*'Fuel Price Data'!O4/'Fuel Price Data'!$D$4</f>
        <v>2.7312230413910423E-6</v>
      </c>
      <c r="N3" s="5">
        <f>IEA!$C$8*'Fuel Price Data'!P4/'Fuel Price Data'!$D$4</f>
        <v>2.7172882299553733E-6</v>
      </c>
      <c r="O3" s="5">
        <f>IEA!$C$8*'Fuel Price Data'!Q4/'Fuel Price Data'!$D$4</f>
        <v>2.7172882299553733E-6</v>
      </c>
      <c r="P3" s="5">
        <f>IEA!$C$8*'Fuel Price Data'!R4/'Fuel Price Data'!$D$4</f>
        <v>2.7312230413910423E-6</v>
      </c>
      <c r="Q3" s="5">
        <f>IEA!$C$8*'Fuel Price Data'!S4/'Fuel Price Data'!$D$4</f>
        <v>2.7312230413910423E-6</v>
      </c>
      <c r="R3" s="5">
        <f>IEA!$C$8*'Fuel Price Data'!T4/'Fuel Price Data'!$D$4</f>
        <v>2.7172882299553733E-6</v>
      </c>
      <c r="S3" s="5">
        <f>IEA!$C$8*'Fuel Price Data'!U4/'Fuel Price Data'!$D$4</f>
        <v>2.7172882299553733E-6</v>
      </c>
      <c r="T3" s="5">
        <f>IEA!$C$8*'Fuel Price Data'!V4/'Fuel Price Data'!$D$4</f>
        <v>2.7312230413910423E-6</v>
      </c>
      <c r="U3" s="5">
        <f>IEA!$C$8*'Fuel Price Data'!W4/'Fuel Price Data'!$D$4</f>
        <v>2.7312230413910423E-6</v>
      </c>
      <c r="V3" s="5">
        <f>IEA!$C$8*'Fuel Price Data'!X4/'Fuel Price Data'!$D$4</f>
        <v>2.7172882299553733E-6</v>
      </c>
      <c r="W3" s="5">
        <f>IEA!$C$8*'Fuel Price Data'!Y4/'Fuel Price Data'!$D$4</f>
        <v>2.7172882299553733E-6</v>
      </c>
      <c r="X3" s="5">
        <f>IEA!$C$8*'Fuel Price Data'!Z4/'Fuel Price Data'!$D$4</f>
        <v>2.7172882299553733E-6</v>
      </c>
      <c r="Y3" s="5">
        <f>IEA!$C$8*'Fuel Price Data'!AA4/'Fuel Price Data'!$D$4</f>
        <v>2.7172882299553733E-6</v>
      </c>
      <c r="Z3" s="5">
        <f>IEA!$C$8*'Fuel Price Data'!AB4/'Fuel Price Data'!$D$4</f>
        <v>2.7172882299553733E-6</v>
      </c>
      <c r="AA3" s="5">
        <f>IEA!$C$8*'Fuel Price Data'!AC4/'Fuel Price Data'!$D$4</f>
        <v>2.7172882299553733E-6</v>
      </c>
      <c r="AB3" s="5">
        <f>IEA!$C$8*'Fuel Price Data'!AD4/'Fuel Price Data'!$D$4</f>
        <v>2.7172882299553733E-6</v>
      </c>
      <c r="AC3" s="5">
        <f>IEA!$C$8*'Fuel Price Data'!AE4/'Fuel Price Data'!$D$4</f>
        <v>2.7172882299553733E-6</v>
      </c>
      <c r="AD3" s="5">
        <f>IEA!$C$8*'Fuel Price Data'!AF4/'Fuel Price Data'!$D$4</f>
        <v>0</v>
      </c>
      <c r="AE3" s="5">
        <f>IEA!$C$8*'Fuel Price Data'!AG4/'Fuel Price Data'!$D$4</f>
        <v>0</v>
      </c>
      <c r="AF3" s="5"/>
      <c r="AG3" s="5"/>
    </row>
    <row r="4" spans="1:55" x14ac:dyDescent="0.35">
      <c r="A4" s="7" t="s">
        <v>3</v>
      </c>
      <c r="B4" s="5">
        <f>IEA!$C$7*'Fuel Price Data'!D14/'Fuel Price Data'!$D$14</f>
        <v>9.8786029719506992E-6</v>
      </c>
      <c r="C4" s="5">
        <f>IEA!$C$7*'Fuel Price Data'!E14/'Fuel Price Data'!$D$14</f>
        <v>9.8786029719506992E-6</v>
      </c>
      <c r="D4" s="5">
        <f>IEA!$C$7*'Fuel Price Data'!F14/'Fuel Price Data'!$D$14</f>
        <v>1.4822790046618915E-5</v>
      </c>
      <c r="E4" s="5">
        <f>IEA!$C$7*'Fuel Price Data'!G14/'Fuel Price Data'!$D$14</f>
        <v>1.5420122580404579E-5</v>
      </c>
      <c r="F4" s="5">
        <f>IEA!$C$7*'Fuel Price Data'!H14/'Fuel Price Data'!$D$14</f>
        <v>1.4304563894134256E-5</v>
      </c>
      <c r="G4" s="5">
        <f>IEA!$C$7*'Fuel Price Data'!I14/'Fuel Price Data'!$D$14</f>
        <v>1.3393741012695884E-5</v>
      </c>
      <c r="H4" s="5">
        <f>IEA!$C$7*'Fuel Price Data'!J14/'Fuel Price Data'!$D$14</f>
        <v>1.3769156914093647E-5</v>
      </c>
      <c r="I4" s="5">
        <f>IEA!$C$7*'Fuel Price Data'!K14/'Fuel Price Data'!$D$14</f>
        <v>1.4266354001353322E-5</v>
      </c>
      <c r="J4" s="5">
        <f>IEA!$C$7*'Fuel Price Data'!L14/'Fuel Price Data'!$D$14</f>
        <v>1.454271005060464E-5</v>
      </c>
      <c r="K4" s="5">
        <f>IEA!$C$7*'Fuel Price Data'!M14/'Fuel Price Data'!$D$14</f>
        <v>1.5180269814185319E-5</v>
      </c>
      <c r="L4" s="5">
        <f>IEA!$C$7*'Fuel Price Data'!N14/'Fuel Price Data'!$D$14</f>
        <v>1.573059648337509E-5</v>
      </c>
      <c r="M4" s="5">
        <f>IEA!$C$7*'Fuel Price Data'!O14/'Fuel Price Data'!$D$14</f>
        <v>1.5985507570908E-5</v>
      </c>
      <c r="N4" s="5">
        <f>IEA!$C$7*'Fuel Price Data'!P14/'Fuel Price Data'!$D$14</f>
        <v>1.6054962285309873E-5</v>
      </c>
      <c r="O4" s="5">
        <f>IEA!$C$7*'Fuel Price Data'!Q14/'Fuel Price Data'!$D$14</f>
        <v>1.6363581385528101E-5</v>
      </c>
      <c r="P4" s="5">
        <f>IEA!$C$7*'Fuel Price Data'!R14/'Fuel Price Data'!$D$14</f>
        <v>1.6670326561316194E-5</v>
      </c>
      <c r="Q4" s="5">
        <f>IEA!$C$7*'Fuel Price Data'!S14/'Fuel Price Data'!$D$14</f>
        <v>1.6812926473946651E-5</v>
      </c>
      <c r="R4" s="5">
        <f>IEA!$C$7*'Fuel Price Data'!T14/'Fuel Price Data'!$D$14</f>
        <v>1.6887778281924116E-5</v>
      </c>
      <c r="S4" s="5">
        <f>IEA!$C$7*'Fuel Price Data'!U14/'Fuel Price Data'!$D$14</f>
        <v>1.6909859039431322E-5</v>
      </c>
      <c r="T4" s="5">
        <f>IEA!$C$7*'Fuel Price Data'!V14/'Fuel Price Data'!$D$14</f>
        <v>1.6866849605507885E-5</v>
      </c>
      <c r="U4" s="5">
        <f>IEA!$C$7*'Fuel Price Data'!W14/'Fuel Price Data'!$D$14</f>
        <v>1.6969246190440646E-5</v>
      </c>
      <c r="V4" s="5">
        <f>IEA!$C$7*'Fuel Price Data'!X14/'Fuel Price Data'!$D$14</f>
        <v>1.6972190928830871E-5</v>
      </c>
      <c r="W4" s="5">
        <f>IEA!$C$7*'Fuel Price Data'!Y14/'Fuel Price Data'!$D$14</f>
        <v>1.6966918126161367E-5</v>
      </c>
      <c r="X4" s="5">
        <f>IEA!$C$7*'Fuel Price Data'!Z14/'Fuel Price Data'!$D$14</f>
        <v>1.6965818629684495E-5</v>
      </c>
      <c r="Y4" s="5">
        <f>IEA!$C$7*'Fuel Price Data'!AA14/'Fuel Price Data'!$D$14</f>
        <v>1.6868790455810533E-5</v>
      </c>
      <c r="Z4" s="5">
        <f>IEA!$C$7*'Fuel Price Data'!AB14/'Fuel Price Data'!$D$14</f>
        <v>1.6758482276663773E-5</v>
      </c>
      <c r="AA4" s="5">
        <f>IEA!$C$7*'Fuel Price Data'!AC14/'Fuel Price Data'!$D$14</f>
        <v>1.6740402730248475E-5</v>
      </c>
      <c r="AB4" s="5">
        <f>IEA!$C$7*'Fuel Price Data'!AD14/'Fuel Price Data'!$D$14</f>
        <v>1.6768272575727373E-5</v>
      </c>
      <c r="AC4" s="5">
        <f>IEA!$C$7*'Fuel Price Data'!AE14/'Fuel Price Data'!$D$14</f>
        <v>1.6831890397962913E-5</v>
      </c>
      <c r="AD4" s="5">
        <f>IEA!$C$7*'Fuel Price Data'!AF14/'Fuel Price Data'!$D$14</f>
        <v>0</v>
      </c>
      <c r="AE4" s="5">
        <f>IEA!$C$7*'Fuel Price Data'!AG14/'Fuel Price Data'!$D$14</f>
        <v>0</v>
      </c>
      <c r="AF4" s="5"/>
      <c r="AG4" s="5"/>
    </row>
    <row r="5" spans="1:55" x14ac:dyDescent="0.35">
      <c r="A5" s="7" t="s">
        <v>4</v>
      </c>
      <c r="B5" s="5">
        <f>SUMPRODUCT('Fuel Price Data'!D23:D27,'BAU Fuel Use by Sector'!$AO$3:$AO$7)/SUM('BAU Fuel Use by Sector'!$AO$3:$AO$7)</f>
        <v>7.4000000000000001E-7</v>
      </c>
      <c r="C5" s="5">
        <f>SUMPRODUCT('Fuel Price Data'!E23:E27,'BAU Fuel Use by Sector'!$AO$3:$AO$7)/SUM('BAU Fuel Use by Sector'!$AO$3:$AO$7)</f>
        <v>7.4000000000000001E-7</v>
      </c>
      <c r="D5" s="5">
        <f>SUMPRODUCT('Fuel Price Data'!F23:F27,'BAU Fuel Use by Sector'!$AO$3:$AO$7)/SUM('BAU Fuel Use by Sector'!$AO$3:$AO$7)</f>
        <v>7.4000000000000001E-7</v>
      </c>
      <c r="E5" s="5">
        <f>SUMPRODUCT('Fuel Price Data'!G23:G27,'BAU Fuel Use by Sector'!$AO$3:$AO$7)/SUM('BAU Fuel Use by Sector'!$AO$3:$AO$7)</f>
        <v>7.4000000000000001E-7</v>
      </c>
      <c r="F5" s="5">
        <f>SUMPRODUCT('Fuel Price Data'!H23:H27,'BAU Fuel Use by Sector'!$AO$3:$AO$7)/SUM('BAU Fuel Use by Sector'!$AO$3:$AO$7)</f>
        <v>7.4000000000000001E-7</v>
      </c>
      <c r="G5" s="5">
        <f>SUMPRODUCT('Fuel Price Data'!I23:I27,'BAU Fuel Use by Sector'!$AO$3:$AO$7)/SUM('BAU Fuel Use by Sector'!$AO$3:$AO$7)</f>
        <v>7.4000000000000001E-7</v>
      </c>
      <c r="H5" s="5">
        <f>SUMPRODUCT('Fuel Price Data'!J23:J27,'BAU Fuel Use by Sector'!$AO$3:$AO$7)/SUM('BAU Fuel Use by Sector'!$AO$3:$AO$7)</f>
        <v>7.5088235294117634E-7</v>
      </c>
      <c r="I5" s="5">
        <f>SUMPRODUCT('Fuel Price Data'!K23:K27,'BAU Fuel Use by Sector'!$AO$3:$AO$7)/SUM('BAU Fuel Use by Sector'!$AO$3:$AO$7)</f>
        <v>7.5088235294117634E-7</v>
      </c>
      <c r="J5" s="5">
        <f>SUMPRODUCT('Fuel Price Data'!L23:L27,'BAU Fuel Use by Sector'!$AO$3:$AO$7)/SUM('BAU Fuel Use by Sector'!$AO$3:$AO$7)</f>
        <v>7.5088235294117634E-7</v>
      </c>
      <c r="K5" s="5">
        <f>SUMPRODUCT('Fuel Price Data'!M23:M27,'BAU Fuel Use by Sector'!$AO$3:$AO$7)/SUM('BAU Fuel Use by Sector'!$AO$3:$AO$7)</f>
        <v>7.5088235294117634E-7</v>
      </c>
      <c r="L5" s="5">
        <f>SUMPRODUCT('Fuel Price Data'!N23:N27,'BAU Fuel Use by Sector'!$AO$3:$AO$7)/SUM('BAU Fuel Use by Sector'!$AO$3:$AO$7)</f>
        <v>7.5088235294117634E-7</v>
      </c>
      <c r="M5" s="5">
        <f>SUMPRODUCT('Fuel Price Data'!O23:O27,'BAU Fuel Use by Sector'!$AO$3:$AO$7)/SUM('BAU Fuel Use by Sector'!$AO$3:$AO$7)</f>
        <v>7.5088235294117634E-7</v>
      </c>
      <c r="N5" s="5">
        <f>SUMPRODUCT('Fuel Price Data'!P23:P27,'BAU Fuel Use by Sector'!$AO$3:$AO$7)/SUM('BAU Fuel Use by Sector'!$AO$3:$AO$7)</f>
        <v>7.5088235294117634E-7</v>
      </c>
      <c r="O5" s="5">
        <f>SUMPRODUCT('Fuel Price Data'!Q23:Q27,'BAU Fuel Use by Sector'!$AO$3:$AO$7)/SUM('BAU Fuel Use by Sector'!$AO$3:$AO$7)</f>
        <v>7.6176470588235288E-7</v>
      </c>
      <c r="P5" s="5">
        <f>SUMPRODUCT('Fuel Price Data'!R23:R27,'BAU Fuel Use by Sector'!$AO$3:$AO$7)/SUM('BAU Fuel Use by Sector'!$AO$3:$AO$7)</f>
        <v>7.6176470588235288E-7</v>
      </c>
      <c r="Q5" s="5">
        <f>SUMPRODUCT('Fuel Price Data'!S23:S27,'BAU Fuel Use by Sector'!$AO$3:$AO$7)/SUM('BAU Fuel Use by Sector'!$AO$3:$AO$7)</f>
        <v>7.6176470588235288E-7</v>
      </c>
      <c r="R5" s="5">
        <f>SUMPRODUCT('Fuel Price Data'!T23:T27,'BAU Fuel Use by Sector'!$AO$3:$AO$7)/SUM('BAU Fuel Use by Sector'!$AO$3:$AO$7)</f>
        <v>7.6176470588235288E-7</v>
      </c>
      <c r="S5" s="5">
        <f>SUMPRODUCT('Fuel Price Data'!U23:U27,'BAU Fuel Use by Sector'!$AO$3:$AO$7)/SUM('BAU Fuel Use by Sector'!$AO$3:$AO$7)</f>
        <v>7.6176470588235288E-7</v>
      </c>
      <c r="T5" s="5">
        <f>SUMPRODUCT('Fuel Price Data'!V23:V27,'BAU Fuel Use by Sector'!$AO$3:$AO$7)/SUM('BAU Fuel Use by Sector'!$AO$3:$AO$7)</f>
        <v>7.6176470588235288E-7</v>
      </c>
      <c r="U5" s="5">
        <f>SUMPRODUCT('Fuel Price Data'!W23:W27,'BAU Fuel Use by Sector'!$AO$3:$AO$7)/SUM('BAU Fuel Use by Sector'!$AO$3:$AO$7)</f>
        <v>7.7264705882352931E-7</v>
      </c>
      <c r="V5" s="5">
        <f>SUMPRODUCT('Fuel Price Data'!X23:X27,'BAU Fuel Use by Sector'!$AO$3:$AO$7)/SUM('BAU Fuel Use by Sector'!$AO$3:$AO$7)</f>
        <v>7.7264705882352931E-7</v>
      </c>
      <c r="W5" s="5">
        <f>SUMPRODUCT('Fuel Price Data'!Y23:Y27,'BAU Fuel Use by Sector'!$AO$3:$AO$7)/SUM('BAU Fuel Use by Sector'!$AO$3:$AO$7)</f>
        <v>7.7264705882352931E-7</v>
      </c>
      <c r="X5" s="5">
        <f>SUMPRODUCT('Fuel Price Data'!Z23:Z27,'BAU Fuel Use by Sector'!$AO$3:$AO$7)/SUM('BAU Fuel Use by Sector'!$AO$3:$AO$7)</f>
        <v>7.7264705882352931E-7</v>
      </c>
      <c r="Y5" s="5">
        <f>SUMPRODUCT('Fuel Price Data'!AA23:AA27,'BAU Fuel Use by Sector'!$AO$3:$AO$7)/SUM('BAU Fuel Use by Sector'!$AO$3:$AO$7)</f>
        <v>7.7264705882352931E-7</v>
      </c>
      <c r="Z5" s="5">
        <f>SUMPRODUCT('Fuel Price Data'!AB23:AB27,'BAU Fuel Use by Sector'!$AO$3:$AO$7)/SUM('BAU Fuel Use by Sector'!$AO$3:$AO$7)</f>
        <v>7.8352941176470585E-7</v>
      </c>
      <c r="AA5" s="5">
        <f>SUMPRODUCT('Fuel Price Data'!AC23:AC27,'BAU Fuel Use by Sector'!$AO$3:$AO$7)/SUM('BAU Fuel Use by Sector'!$AO$3:$AO$7)</f>
        <v>7.8352941176470585E-7</v>
      </c>
      <c r="AB5" s="5">
        <f>SUMPRODUCT('Fuel Price Data'!AD23:AD27,'BAU Fuel Use by Sector'!$AO$3:$AO$7)/SUM('BAU Fuel Use by Sector'!$AO$3:$AO$7)</f>
        <v>7.8352941176470585E-7</v>
      </c>
      <c r="AC5" s="5">
        <f>SUMPRODUCT('Fuel Price Data'!AE23:AE27,'BAU Fuel Use by Sector'!$AO$3:$AO$7)/SUM('BAU Fuel Use by Sector'!$AO$3:$AO$7)</f>
        <v>7.8352941176470585E-7</v>
      </c>
      <c r="AD5" s="5">
        <f>SUMPRODUCT('Fuel Price Data'!AF23:AF27,'BAU Fuel Use by Sector'!$AO$3:$AO$7)/SUM('BAU Fuel Use by Sector'!$AO$3:$AO$7)</f>
        <v>0</v>
      </c>
      <c r="AE5" s="5">
        <f>SUMPRODUCT('Fuel Price Data'!AG23:AG27,'BAU Fuel Use by Sector'!$AO$3:$AO$7)/SUM('BAU Fuel Use by Sector'!$AO$3:$AO$7)</f>
        <v>0</v>
      </c>
      <c r="AF5" s="5"/>
      <c r="AG5" s="5"/>
    </row>
    <row r="6" spans="1:55" x14ac:dyDescent="0.35">
      <c r="A6" s="30" t="s">
        <v>12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/>
      <c r="AG6" s="4"/>
    </row>
    <row r="7" spans="1:55" x14ac:dyDescent="0.35">
      <c r="A7" s="30" t="s">
        <v>13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/>
      <c r="AG7" s="4"/>
    </row>
    <row r="8" spans="1:55" x14ac:dyDescent="0.35">
      <c r="A8" s="30" t="s">
        <v>14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/>
      <c r="AG8" s="4"/>
    </row>
    <row r="9" spans="1:55" x14ac:dyDescent="0.35">
      <c r="A9" s="30" t="s">
        <v>5</v>
      </c>
      <c r="B9" s="5">
        <f>SUMPRODUCT('Fuel Price Data'!D33:D37,'BAU Fuel Use by Sector'!$AS$3:$AS$7)/SUM('BAU Fuel Use by Sector'!$AS$3:$AS$7)</f>
        <v>2.3976693894636736E-6</v>
      </c>
      <c r="C9" s="5">
        <f>SUMPRODUCT('Fuel Price Data'!E33:E37,'BAU Fuel Use by Sector'!$AS$3:$AS$7)/SUM('BAU Fuel Use by Sector'!$AS$3:$AS$7)</f>
        <v>2.3976693894636736E-6</v>
      </c>
      <c r="D9" s="5">
        <f>SUMPRODUCT('Fuel Price Data'!F33:F37,'BAU Fuel Use by Sector'!$AS$3:$AS$7)/SUM('BAU Fuel Use by Sector'!$AS$3:$AS$7)</f>
        <v>2.3976693894636736E-6</v>
      </c>
      <c r="E9" s="5">
        <f>SUMPRODUCT('Fuel Price Data'!G33:G37,'BAU Fuel Use by Sector'!$AS$3:$AS$7)/SUM('BAU Fuel Use by Sector'!$AS$3:$AS$7)</f>
        <v>2.3976693894636736E-6</v>
      </c>
      <c r="F9" s="5">
        <f>SUMPRODUCT('Fuel Price Data'!H33:H37,'BAU Fuel Use by Sector'!$AS$3:$AS$7)/SUM('BAU Fuel Use by Sector'!$AS$3:$AS$7)</f>
        <v>2.3976693894636736E-6</v>
      </c>
      <c r="G9" s="5">
        <f>SUMPRODUCT('Fuel Price Data'!I33:I37,'BAU Fuel Use by Sector'!$AS$3:$AS$7)/SUM('BAU Fuel Use by Sector'!$AS$3:$AS$7)</f>
        <v>2.3976693894636736E-6</v>
      </c>
      <c r="H9" s="5">
        <f>SUMPRODUCT('Fuel Price Data'!J33:J37,'BAU Fuel Use by Sector'!$AS$3:$AS$7)/SUM('BAU Fuel Use by Sector'!$AS$3:$AS$7)</f>
        <v>2.3976693894636736E-6</v>
      </c>
      <c r="I9" s="5">
        <f>SUMPRODUCT('Fuel Price Data'!K33:K37,'BAU Fuel Use by Sector'!$AS$3:$AS$7)/SUM('BAU Fuel Use by Sector'!$AS$3:$AS$7)</f>
        <v>2.3976693894636736E-6</v>
      </c>
      <c r="J9" s="5">
        <f>SUMPRODUCT('Fuel Price Data'!L33:L37,'BAU Fuel Use by Sector'!$AS$3:$AS$7)/SUM('BAU Fuel Use by Sector'!$AS$3:$AS$7)</f>
        <v>2.3976693894636736E-6</v>
      </c>
      <c r="K9" s="5">
        <f>SUMPRODUCT('Fuel Price Data'!M33:M37,'BAU Fuel Use by Sector'!$AS$3:$AS$7)/SUM('BAU Fuel Use by Sector'!$AS$3:$AS$7)</f>
        <v>2.3976693894636736E-6</v>
      </c>
      <c r="L9" s="5">
        <f>SUMPRODUCT('Fuel Price Data'!N33:N37,'BAU Fuel Use by Sector'!$AS$3:$AS$7)/SUM('BAU Fuel Use by Sector'!$AS$3:$AS$7)</f>
        <v>2.3976693894636736E-6</v>
      </c>
      <c r="M9" s="5">
        <f>SUMPRODUCT('Fuel Price Data'!O33:O37,'BAU Fuel Use by Sector'!$AS$3:$AS$7)/SUM('BAU Fuel Use by Sector'!$AS$3:$AS$7)</f>
        <v>2.3976693894636736E-6</v>
      </c>
      <c r="N9" s="5">
        <f>SUMPRODUCT('Fuel Price Data'!P33:P37,'BAU Fuel Use by Sector'!$AS$3:$AS$7)/SUM('BAU Fuel Use by Sector'!$AS$3:$AS$7)</f>
        <v>2.3976693894636736E-6</v>
      </c>
      <c r="O9" s="5">
        <f>SUMPRODUCT('Fuel Price Data'!Q33:Q37,'BAU Fuel Use by Sector'!$AS$3:$AS$7)/SUM('BAU Fuel Use by Sector'!$AS$3:$AS$7)</f>
        <v>2.3976693894636736E-6</v>
      </c>
      <c r="P9" s="5">
        <f>SUMPRODUCT('Fuel Price Data'!R33:R37,'BAU Fuel Use by Sector'!$AS$3:$AS$7)/SUM('BAU Fuel Use by Sector'!$AS$3:$AS$7)</f>
        <v>2.3976693894636736E-6</v>
      </c>
      <c r="Q9" s="5">
        <f>SUMPRODUCT('Fuel Price Data'!S33:S37,'BAU Fuel Use by Sector'!$AS$3:$AS$7)/SUM('BAU Fuel Use by Sector'!$AS$3:$AS$7)</f>
        <v>2.3976693894636736E-6</v>
      </c>
      <c r="R9" s="5">
        <f>SUMPRODUCT('Fuel Price Data'!T33:T37,'BAU Fuel Use by Sector'!$AS$3:$AS$7)/SUM('BAU Fuel Use by Sector'!$AS$3:$AS$7)</f>
        <v>2.3976693894636736E-6</v>
      </c>
      <c r="S9" s="5">
        <f>SUMPRODUCT('Fuel Price Data'!U33:U37,'BAU Fuel Use by Sector'!$AS$3:$AS$7)/SUM('BAU Fuel Use by Sector'!$AS$3:$AS$7)</f>
        <v>2.3976693894636736E-6</v>
      </c>
      <c r="T9" s="5">
        <f>SUMPRODUCT('Fuel Price Data'!V33:V37,'BAU Fuel Use by Sector'!$AS$3:$AS$7)/SUM('BAU Fuel Use by Sector'!$AS$3:$AS$7)</f>
        <v>2.3976693894636736E-6</v>
      </c>
      <c r="U9" s="5">
        <f>SUMPRODUCT('Fuel Price Data'!W33:W37,'BAU Fuel Use by Sector'!$AS$3:$AS$7)/SUM('BAU Fuel Use by Sector'!$AS$3:$AS$7)</f>
        <v>2.3976693894636736E-6</v>
      </c>
      <c r="V9" s="5">
        <f>SUMPRODUCT('Fuel Price Data'!X33:X37,'BAU Fuel Use by Sector'!$AS$3:$AS$7)/SUM('BAU Fuel Use by Sector'!$AS$3:$AS$7)</f>
        <v>2.3976693894636736E-6</v>
      </c>
      <c r="W9" s="5">
        <f>SUMPRODUCT('Fuel Price Data'!Y33:Y37,'BAU Fuel Use by Sector'!$AS$3:$AS$7)/SUM('BAU Fuel Use by Sector'!$AS$3:$AS$7)</f>
        <v>2.3976693894636736E-6</v>
      </c>
      <c r="X9" s="5">
        <f>SUMPRODUCT('Fuel Price Data'!Z33:Z37,'BAU Fuel Use by Sector'!$AS$3:$AS$7)/SUM('BAU Fuel Use by Sector'!$AS$3:$AS$7)</f>
        <v>2.3976693894636736E-6</v>
      </c>
      <c r="Y9" s="5">
        <f>SUMPRODUCT('Fuel Price Data'!AA33:AA37,'BAU Fuel Use by Sector'!$AS$3:$AS$7)/SUM('BAU Fuel Use by Sector'!$AS$3:$AS$7)</f>
        <v>2.3976693894636736E-6</v>
      </c>
      <c r="Z9" s="5">
        <f>SUMPRODUCT('Fuel Price Data'!AB33:AB37,'BAU Fuel Use by Sector'!$AS$3:$AS$7)/SUM('BAU Fuel Use by Sector'!$AS$3:$AS$7)</f>
        <v>2.3976693894636736E-6</v>
      </c>
      <c r="AA9" s="5">
        <f>SUMPRODUCT('Fuel Price Data'!AC33:AC37,'BAU Fuel Use by Sector'!$AS$3:$AS$7)/SUM('BAU Fuel Use by Sector'!$AS$3:$AS$7)</f>
        <v>2.3976693894636736E-6</v>
      </c>
      <c r="AB9" s="5">
        <f>SUMPRODUCT('Fuel Price Data'!AD33:AD37,'BAU Fuel Use by Sector'!$AS$3:$AS$7)/SUM('BAU Fuel Use by Sector'!$AS$3:$AS$7)</f>
        <v>2.3976693894636736E-6</v>
      </c>
      <c r="AC9" s="5">
        <f>SUMPRODUCT('Fuel Price Data'!AE33:AE37,'BAU Fuel Use by Sector'!$AS$3:$AS$7)/SUM('BAU Fuel Use by Sector'!$AS$3:$AS$7)</f>
        <v>2.3976693894636736E-6</v>
      </c>
      <c r="AD9" s="5">
        <f>SUMPRODUCT('Fuel Price Data'!AF33:AF37,'BAU Fuel Use by Sector'!$AS$3:$AS$7)/SUM('BAU Fuel Use by Sector'!$AS$3:$AS$7)</f>
        <v>1.61118996363117E-7</v>
      </c>
      <c r="AE9" s="5">
        <f>SUMPRODUCT('Fuel Price Data'!AG33:AG37,'BAU Fuel Use by Sector'!$AS$3:$AS$7)/SUM('BAU Fuel Use by Sector'!$AS$3:$AS$7)</f>
        <v>0</v>
      </c>
      <c r="AF9" s="5"/>
      <c r="AG9" s="5"/>
    </row>
    <row r="10" spans="1:55" x14ac:dyDescent="0.35">
      <c r="A10" s="30" t="s">
        <v>6</v>
      </c>
      <c r="B10" s="5">
        <f>'India Petroleum Products'!$D$25*'Fuel Price Data'!D43/'Fuel Price Data'!$D$43</f>
        <v>1.3435237874624531E-5</v>
      </c>
      <c r="C10" s="5">
        <f>'India Petroleum Products'!$D$25*'Fuel Price Data'!E43/'Fuel Price Data'!$D$43</f>
        <v>1.3301915712584956E-5</v>
      </c>
      <c r="D10" s="5">
        <f>'India Petroleum Products'!$D$25*'Fuel Price Data'!F43/'Fuel Price Data'!$D$43</f>
        <v>1.3320096007408532E-5</v>
      </c>
      <c r="E10" s="5">
        <f>'India Petroleum Products'!$D$25*'Fuel Price Data'!G43/'Fuel Price Data'!$D$43</f>
        <v>1.3320096007408532E-5</v>
      </c>
      <c r="F10" s="5">
        <f>'India Petroleum Products'!$D$25*'Fuel Price Data'!H43/'Fuel Price Data'!$D$43</f>
        <v>1.3265555122937795E-5</v>
      </c>
      <c r="G10" s="5">
        <f>'India Petroleum Products'!$D$25*'Fuel Price Data'!I43/'Fuel Price Data'!$D$43</f>
        <v>1.3089812272976538E-5</v>
      </c>
      <c r="H10" s="5">
        <f>'India Petroleum Products'!$D$25*'Fuel Price Data'!J43/'Fuel Price Data'!$D$43</f>
        <v>1.3241314729839694E-5</v>
      </c>
      <c r="I10" s="5">
        <f>'India Petroleum Products'!$D$25*'Fuel Price Data'!K43/'Fuel Price Data'!$D$43</f>
        <v>1.3350396498781164E-5</v>
      </c>
      <c r="J10" s="5">
        <f>'India Petroleum Products'!$D$25*'Fuel Price Data'!L43/'Fuel Price Data'!$D$43</f>
        <v>1.3514019152193371E-5</v>
      </c>
      <c r="K10" s="5">
        <f>'India Petroleum Products'!$D$25*'Fuel Price Data'!M43/'Fuel Price Data'!$D$43</f>
        <v>1.3580680233213155E-5</v>
      </c>
      <c r="L10" s="5">
        <f>'India Petroleum Products'!$D$25*'Fuel Price Data'!N43/'Fuel Price Data'!$D$43</f>
        <v>1.3762483181448943E-5</v>
      </c>
      <c r="M10" s="5">
        <f>'India Petroleum Products'!$D$25*'Fuel Price Data'!O43/'Fuel Price Data'!$D$43</f>
        <v>1.4186690060665776E-5</v>
      </c>
      <c r="N10" s="5">
        <f>'India Petroleum Products'!$D$25*'Fuel Price Data'!P43/'Fuel Price Data'!$D$43</f>
        <v>1.4283651633058196E-5</v>
      </c>
      <c r="O10" s="5">
        <f>'India Petroleum Products'!$D$25*'Fuel Price Data'!Q43/'Fuel Price Data'!$D$43</f>
        <v>1.4410913696823245E-5</v>
      </c>
      <c r="P10" s="5">
        <f>'India Petroleum Products'!$D$25*'Fuel Price Data'!R43/'Fuel Price Data'!$D$43</f>
        <v>1.4665437824353343E-5</v>
      </c>
      <c r="Q10" s="5">
        <f>'India Petroleum Products'!$D$25*'Fuel Price Data'!S43/'Fuel Price Data'!$D$43</f>
        <v>1.4901781657059862E-5</v>
      </c>
      <c r="R10" s="5">
        <f>'India Petroleum Products'!$D$25*'Fuel Price Data'!T43/'Fuel Price Data'!$D$43</f>
        <v>1.5059344212197544E-5</v>
      </c>
      <c r="S10" s="5">
        <f>'India Petroleum Products'!$D$25*'Fuel Price Data'!U43/'Fuel Price Data'!$D$43</f>
        <v>1.524114716043333E-5</v>
      </c>
      <c r="T10" s="5">
        <f>'India Petroleum Products'!$D$25*'Fuel Price Data'!V43/'Fuel Price Data'!$D$43</f>
        <v>1.5283567848355013E-5</v>
      </c>
      <c r="U10" s="5">
        <f>'India Petroleum Products'!$D$25*'Fuel Price Data'!W43/'Fuel Price Data'!$D$43</f>
        <v>1.5453250600041748E-5</v>
      </c>
      <c r="V10" s="5">
        <f>'India Petroleum Products'!$D$25*'Fuel Price Data'!X43/'Fuel Price Data'!$D$43</f>
        <v>1.5659293941375635E-5</v>
      </c>
      <c r="W10" s="5">
        <f>'India Petroleum Products'!$D$25*'Fuel Price Data'!Y43/'Fuel Price Data'!$D$43</f>
        <v>1.5713834825846371E-5</v>
      </c>
      <c r="X10" s="5">
        <f>'India Petroleum Products'!$D$25*'Fuel Price Data'!Z43/'Fuel Price Data'!$D$43</f>
        <v>1.5828976693062369E-5</v>
      </c>
      <c r="Y10" s="5">
        <f>'India Petroleum Products'!$D$25*'Fuel Price Data'!AA43/'Fuel Price Data'!$D$43</f>
        <v>1.6071380624043415E-5</v>
      </c>
      <c r="Z10" s="5">
        <f>'India Petroleum Products'!$D$25*'Fuel Price Data'!AB43/'Fuel Price Data'!$D$43</f>
        <v>1.620470278608299E-5</v>
      </c>
      <c r="AA10" s="5">
        <f>'India Petroleum Products'!$D$25*'Fuel Price Data'!AC43/'Fuel Price Data'!$D$43</f>
        <v>1.6331964849848041E-5</v>
      </c>
      <c r="AB10" s="5">
        <f>'India Petroleum Products'!$D$25*'Fuel Price Data'!AD43/'Fuel Price Data'!$D$43</f>
        <v>1.6538008191181931E-5</v>
      </c>
      <c r="AC10" s="5">
        <f>'India Petroleum Products'!$D$25*'Fuel Price Data'!AE43/'Fuel Price Data'!$D$43</f>
        <v>1.6592549075652668E-5</v>
      </c>
      <c r="AD10" s="5">
        <f>'India Petroleum Products'!$D$25*'Fuel Price Data'!AF43/'Fuel Price Data'!$D$43</f>
        <v>0</v>
      </c>
      <c r="AE10" s="5">
        <f>'India Petroleum Products'!$D$25*'Fuel Price Data'!AG43/'Fuel Price Data'!$D$43</f>
        <v>0</v>
      </c>
      <c r="AF10" s="5"/>
      <c r="AG10" s="5"/>
    </row>
    <row r="11" spans="1:55" x14ac:dyDescent="0.35">
      <c r="A11" s="30" t="s">
        <v>7</v>
      </c>
      <c r="B11" s="5">
        <f>'India Petroleum Products'!$E$25*'Fuel Price Data'!D53/'Fuel Price Data'!$D$53</f>
        <v>1.2842023770145411E-5</v>
      </c>
      <c r="C11" s="5">
        <f>'India Petroleum Products'!$E$25*'Fuel Price Data'!E53/'Fuel Price Data'!$D$53</f>
        <v>1.2908418242308532E-5</v>
      </c>
      <c r="D11" s="5">
        <f>'India Petroleum Products'!$E$25*'Fuel Price Data'!F53/'Fuel Price Data'!$D$53</f>
        <v>1.2677437660612642E-5</v>
      </c>
      <c r="E11" s="5">
        <f>'India Petroleum Products'!$E$25*'Fuel Price Data'!G53/'Fuel Price Data'!$D$53</f>
        <v>1.2801729080756156E-5</v>
      </c>
      <c r="F11" s="5">
        <f>'India Petroleum Products'!$E$25*'Fuel Price Data'!H53/'Fuel Price Data'!$D$53</f>
        <v>1.2946660178209696E-5</v>
      </c>
      <c r="G11" s="5">
        <f>'India Petroleum Products'!$E$25*'Fuel Price Data'!I53/'Fuel Price Data'!$D$53</f>
        <v>1.3089538522175141E-5</v>
      </c>
      <c r="H11" s="5">
        <f>'India Petroleum Products'!$E$25*'Fuel Price Data'!J53/'Fuel Price Data'!$D$53</f>
        <v>1.3257367872811852E-5</v>
      </c>
      <c r="I11" s="5">
        <f>'India Petroleum Products'!$E$25*'Fuel Price Data'!K53/'Fuel Price Data'!$D$53</f>
        <v>1.3408704764627982E-5</v>
      </c>
      <c r="J11" s="5">
        <f>'India Petroleum Products'!$E$25*'Fuel Price Data'!L53/'Fuel Price Data'!$D$53</f>
        <v>1.3560533989059509E-5</v>
      </c>
      <c r="K11" s="5">
        <f>'India Petroleum Products'!$E$25*'Fuel Price Data'!M53/'Fuel Price Data'!$D$53</f>
        <v>1.3668661172126033E-5</v>
      </c>
      <c r="L11" s="5">
        <f>'India Petroleum Products'!$E$25*'Fuel Price Data'!N53/'Fuel Price Data'!$D$53</f>
        <v>1.3844032101117249E-5</v>
      </c>
      <c r="M11" s="5">
        <f>'India Petroleum Products'!$E$25*'Fuel Price Data'!O53/'Fuel Price Data'!$D$53</f>
        <v>1.4039386263931295E-5</v>
      </c>
      <c r="N11" s="5">
        <f>'India Petroleum Products'!$E$25*'Fuel Price Data'!P53/'Fuel Price Data'!$D$53</f>
        <v>1.4274076435125164E-5</v>
      </c>
      <c r="O11" s="5">
        <f>'India Petroleum Products'!$E$25*'Fuel Price Data'!Q53/'Fuel Price Data'!$D$53</f>
        <v>1.4411301843352404E-5</v>
      </c>
      <c r="P11" s="5">
        <f>'India Petroleum Products'!$E$25*'Fuel Price Data'!R53/'Fuel Price Data'!$D$53</f>
        <v>1.4571151986643148E-5</v>
      </c>
      <c r="Q11" s="5">
        <f>'India Petroleum Products'!$E$25*'Fuel Price Data'!S53/'Fuel Price Data'!$D$53</f>
        <v>1.4754173901236732E-5</v>
      </c>
      <c r="R11" s="5">
        <f>'India Petroleum Products'!$E$25*'Fuel Price Data'!T53/'Fuel Price Data'!$D$53</f>
        <v>1.4877767166379795E-5</v>
      </c>
      <c r="S11" s="5">
        <f>'India Petroleum Products'!$E$25*'Fuel Price Data'!U53/'Fuel Price Data'!$D$53</f>
        <v>1.5018277527224227E-5</v>
      </c>
      <c r="T11" s="5">
        <f>'India Petroleum Products'!$E$25*'Fuel Price Data'!V53/'Fuel Price Data'!$D$53</f>
        <v>1.5149576481593592E-5</v>
      </c>
      <c r="U11" s="5">
        <f>'India Petroleum Products'!$E$25*'Fuel Price Data'!W53/'Fuel Price Data'!$D$53</f>
        <v>1.5262986667141477E-5</v>
      </c>
      <c r="V11" s="5">
        <f>'India Petroleum Products'!$E$25*'Fuel Price Data'!X53/'Fuel Price Data'!$D$53</f>
        <v>1.5393368652014663E-5</v>
      </c>
      <c r="W11" s="5">
        <f>'India Petroleum Products'!$E$25*'Fuel Price Data'!Y53/'Fuel Price Data'!$D$53</f>
        <v>1.5468044569045986E-5</v>
      </c>
      <c r="X11" s="5">
        <f>'India Petroleum Products'!$E$25*'Fuel Price Data'!Z53/'Fuel Price Data'!$D$53</f>
        <v>1.5511090166923787E-5</v>
      </c>
      <c r="Y11" s="5">
        <f>'India Petroleum Products'!$E$25*'Fuel Price Data'!AA53/'Fuel Price Data'!$D$53</f>
        <v>1.5667545950349471E-5</v>
      </c>
      <c r="Z11" s="5">
        <f>'India Petroleum Products'!$E$25*'Fuel Price Data'!AB53/'Fuel Price Data'!$D$53</f>
        <v>1.5840439488971807E-5</v>
      </c>
      <c r="AA11" s="5">
        <f>'India Petroleum Products'!$E$25*'Fuel Price Data'!AC53/'Fuel Price Data'!$D$53</f>
        <v>1.594792322066182E-5</v>
      </c>
      <c r="AB11" s="5">
        <f>'India Petroleum Products'!$E$25*'Fuel Price Data'!AD53/'Fuel Price Data'!$D$53</f>
        <v>1.6112892255562123E-5</v>
      </c>
      <c r="AC11" s="5">
        <f>'India Petroleum Products'!$E$25*'Fuel Price Data'!AE53/'Fuel Price Data'!$D$53</f>
        <v>1.6241015664562159E-5</v>
      </c>
      <c r="AD11" s="5">
        <f>'India Petroleum Products'!$E$25*'Fuel Price Data'!AF53/'Fuel Price Data'!$D$53</f>
        <v>9.3039403901300028E-6</v>
      </c>
      <c r="AE11" s="5">
        <f>'India Petroleum Products'!$E$25*'Fuel Price Data'!AG53/'Fuel Price Data'!$D$53</f>
        <v>0</v>
      </c>
      <c r="AF11" s="5"/>
      <c r="AG11" s="5"/>
    </row>
    <row r="12" spans="1:55" x14ac:dyDescent="0.35">
      <c r="A12" s="30" t="s">
        <v>8</v>
      </c>
      <c r="B12" s="5">
        <f>SUMPRODUCT('Fuel Price Data'!D63:D67,'BAU Fuel Use by Sector'!$AV$3:$AV$7)/SUM('BAU Fuel Use by Sector'!$AV$3:$AV$7)</f>
        <v>2.528795404010287E-5</v>
      </c>
      <c r="C12" s="5">
        <f>SUMPRODUCT('Fuel Price Data'!E63:E67,'BAU Fuel Use by Sector'!$AV$3:$AV$7)/SUM('BAU Fuel Use by Sector'!$AV$3:$AV$7)</f>
        <v>2.4978810347681078E-5</v>
      </c>
      <c r="D12" s="5">
        <f>SUMPRODUCT('Fuel Price Data'!F63:F67,'BAU Fuel Use by Sector'!$AV$3:$AV$7)/SUM('BAU Fuel Use by Sector'!$AV$3:$AV$7)</f>
        <v>3.0821626134453017E-5</v>
      </c>
      <c r="E12" s="5">
        <f>SUMPRODUCT('Fuel Price Data'!G63:G67,'BAU Fuel Use by Sector'!$AV$3:$AV$7)/SUM('BAU Fuel Use by Sector'!$AV$3:$AV$7)</f>
        <v>2.9296517251838822E-5</v>
      </c>
      <c r="F12" s="5">
        <f>SUMPRODUCT('Fuel Price Data'!H63:H67,'BAU Fuel Use by Sector'!$AV$3:$AV$7)/SUM('BAU Fuel Use by Sector'!$AV$3:$AV$7)</f>
        <v>2.9492308257039298E-5</v>
      </c>
      <c r="G12" s="5">
        <f>SUMPRODUCT('Fuel Price Data'!I63:I67,'BAU Fuel Use by Sector'!$AV$3:$AV$7)/SUM('BAU Fuel Use by Sector'!$AV$3:$AV$7)</f>
        <v>2.9389260359565361E-5</v>
      </c>
      <c r="H12" s="5">
        <f>SUMPRODUCT('Fuel Price Data'!J63:J67,'BAU Fuel Use by Sector'!$AV$3:$AV$7)/SUM('BAU Fuel Use by Sector'!$AV$3:$AV$7)</f>
        <v>2.8709144236237407E-5</v>
      </c>
      <c r="I12" s="5">
        <f>SUMPRODUCT('Fuel Price Data'!K63:K67,'BAU Fuel Use by Sector'!$AV$3:$AV$7)/SUM('BAU Fuel Use by Sector'!$AV$3:$AV$7)</f>
        <v>2.8791582554216562E-5</v>
      </c>
      <c r="J12" s="5">
        <f>SUMPRODUCT('Fuel Price Data'!L63:L67,'BAU Fuel Use by Sector'!$AV$3:$AV$7)/SUM('BAU Fuel Use by Sector'!$AV$3:$AV$7)</f>
        <v>2.9018287928659202E-5</v>
      </c>
      <c r="K12" s="5">
        <f>SUMPRODUCT('Fuel Price Data'!M63:M67,'BAU Fuel Use by Sector'!$AV$3:$AV$7)/SUM('BAU Fuel Use by Sector'!$AV$3:$AV$7)</f>
        <v>2.9296517251838822E-5</v>
      </c>
      <c r="L12" s="5">
        <f>SUMPRODUCT('Fuel Price Data'!N63:N67,'BAU Fuel Use by Sector'!$AV$3:$AV$7)/SUM('BAU Fuel Use by Sector'!$AV$3:$AV$7)</f>
        <v>2.9585051364765826E-5</v>
      </c>
      <c r="M12" s="5">
        <f>SUMPRODUCT('Fuel Price Data'!O63:O67,'BAU Fuel Use by Sector'!$AV$3:$AV$7)/SUM('BAU Fuel Use by Sector'!$AV$3:$AV$7)</f>
        <v>3.0976197980663909E-5</v>
      </c>
      <c r="N12" s="5">
        <f>SUMPRODUCT('Fuel Price Data'!P63:P67,'BAU Fuel Use by Sector'!$AV$3:$AV$7)/SUM('BAU Fuel Use by Sector'!$AV$3:$AV$7)</f>
        <v>3.1316256042327886E-5</v>
      </c>
      <c r="O12" s="5">
        <f>SUMPRODUCT('Fuel Price Data'!Q63:Q67,'BAU Fuel Use by Sector'!$AV$3:$AV$7)/SUM('BAU Fuel Use by Sector'!$AV$3:$AV$7)</f>
        <v>3.1481132678286183E-5</v>
      </c>
      <c r="P12" s="5">
        <f>SUMPRODUCT('Fuel Price Data'!R63:R67,'BAU Fuel Use by Sector'!$AV$3:$AV$7)/SUM('BAU Fuel Use by Sector'!$AV$3:$AV$7)</f>
        <v>3.216124880161413E-5</v>
      </c>
      <c r="Q12" s="5">
        <f>SUMPRODUCT('Fuel Price Data'!S63:S67,'BAU Fuel Use by Sector'!$AV$3:$AV$7)/SUM('BAU Fuel Use by Sector'!$AV$3:$AV$7)</f>
        <v>3.266618349923639E-5</v>
      </c>
      <c r="R12" s="5">
        <f>SUMPRODUCT('Fuel Price Data'!T63:T67,'BAU Fuel Use by Sector'!$AV$3:$AV$7)/SUM('BAU Fuel Use by Sector'!$AV$3:$AV$7)</f>
        <v>3.3779100791954857E-5</v>
      </c>
      <c r="S12" s="5">
        <f>SUMPRODUCT('Fuel Price Data'!U63:U67,'BAU Fuel Use by Sector'!$AV$3:$AV$7)/SUM('BAU Fuel Use by Sector'!$AV$3:$AV$7)</f>
        <v>3.3655443314986129E-5</v>
      </c>
      <c r="T12" s="5">
        <f>SUMPRODUCT('Fuel Price Data'!V63:V67,'BAU Fuel Use by Sector'!$AV$3:$AV$7)/SUM('BAU Fuel Use by Sector'!$AV$3:$AV$7)</f>
        <v>3.3830624740691816E-5</v>
      </c>
      <c r="U12" s="5">
        <f>SUMPRODUCT('Fuel Price Data'!W63:W67,'BAU Fuel Use by Sector'!$AV$3:$AV$7)/SUM('BAU Fuel Use by Sector'!$AV$3:$AV$7)</f>
        <v>3.4799274976946788E-5</v>
      </c>
      <c r="V12" s="5">
        <f>SUMPRODUCT('Fuel Price Data'!X63:X67,'BAU Fuel Use by Sector'!$AV$3:$AV$7)/SUM('BAU Fuel Use by Sector'!$AV$3:$AV$7)</f>
        <v>3.5829753951686109E-5</v>
      </c>
      <c r="W12" s="5">
        <f>SUMPRODUCT('Fuel Price Data'!Y63:Y67,'BAU Fuel Use by Sector'!$AV$3:$AV$7)/SUM('BAU Fuel Use by Sector'!$AV$3:$AV$7)</f>
        <v>3.6695356290467128E-5</v>
      </c>
      <c r="X12" s="5">
        <f>SUMPRODUCT('Fuel Price Data'!Z63:Z67,'BAU Fuel Use by Sector'!$AV$3:$AV$7)/SUM('BAU Fuel Use by Sector'!$AV$3:$AV$7)</f>
        <v>3.7014804772636317E-5</v>
      </c>
      <c r="Y12" s="5">
        <f>SUMPRODUCT('Fuel Price Data'!AA63:AA67,'BAU Fuel Use by Sector'!$AV$3:$AV$7)/SUM('BAU Fuel Use by Sector'!$AV$3:$AV$7)</f>
        <v>3.8622351973229646E-5</v>
      </c>
      <c r="Z12" s="5">
        <f>SUMPRODUCT('Fuel Price Data'!AB63:AB67,'BAU Fuel Use by Sector'!$AV$3:$AV$7)/SUM('BAU Fuel Use by Sector'!$AV$3:$AV$7)</f>
        <v>3.9096372301609741E-5</v>
      </c>
      <c r="AA12" s="5">
        <f>SUMPRODUCT('Fuel Price Data'!AC63:AC67,'BAU Fuel Use by Sector'!$AV$3:$AV$7)/SUM('BAU Fuel Use by Sector'!$AV$3:$AV$7)</f>
        <v>3.951886868125287E-5</v>
      </c>
      <c r="AB12" s="5">
        <f>SUMPRODUCT('Fuel Price Data'!AD63:AD67,'BAU Fuel Use by Sector'!$AV$3:$AV$7)/SUM('BAU Fuel Use by Sector'!$AV$3:$AV$7)</f>
        <v>3.9951669850643382E-5</v>
      </c>
      <c r="AC12" s="5">
        <f>SUMPRODUCT('Fuel Price Data'!AE63:AE67,'BAU Fuel Use by Sector'!$AV$3:$AV$7)/SUM('BAU Fuel Use by Sector'!$AV$3:$AV$7)</f>
        <v>4.0456604548265642E-5</v>
      </c>
      <c r="AD12" s="5">
        <f>SUMPRODUCT('Fuel Price Data'!AF63:AF67,'BAU Fuel Use by Sector'!$AV$3:$AV$7)/SUM('BAU Fuel Use by Sector'!$AV$3:$AV$7)</f>
        <v>0</v>
      </c>
      <c r="AE12" s="5">
        <f>SUMPRODUCT('Fuel Price Data'!AG63:AG67,'BAU Fuel Use by Sector'!$AV$3:$AV$7)/SUM('BAU Fuel Use by Sector'!$AV$3:$AV$7)</f>
        <v>0</v>
      </c>
      <c r="AF12" s="5"/>
      <c r="AG12" s="5"/>
    </row>
    <row r="13" spans="1:55" x14ac:dyDescent="0.35">
      <c r="A13" s="30" t="s">
        <v>9</v>
      </c>
      <c r="B13" s="5">
        <f>SUMPRODUCT('Fuel Price Data'!D73:D77,'BAU Fuel Use by Sector'!$AW$3:$AW$7)/SUM('BAU Fuel Use by Sector'!$AW$3:$AW$7)</f>
        <v>2.0104498000699797E-5</v>
      </c>
      <c r="C13" s="5">
        <f>SUMPRODUCT('Fuel Price Data'!E73:E77,'BAU Fuel Use by Sector'!$AW$3:$AW$7)/SUM('BAU Fuel Use by Sector'!$AW$3:$AW$7)</f>
        <v>1.9404341353909256E-5</v>
      </c>
      <c r="D13" s="5">
        <f>SUMPRODUCT('Fuel Price Data'!F73:F77,'BAU Fuel Use by Sector'!$AW$3:$AW$7)/SUM('BAU Fuel Use by Sector'!$AW$3:$AW$7)</f>
        <v>1.9513456675487005E-5</v>
      </c>
      <c r="E13" s="5">
        <f>SUMPRODUCT('Fuel Price Data'!G73:G77,'BAU Fuel Use by Sector'!$AW$3:$AW$7)/SUM('BAU Fuel Use by Sector'!$AW$3:$AW$7)</f>
        <v>1.9813523809825808E-5</v>
      </c>
      <c r="F13" s="5">
        <f>SUMPRODUCT('Fuel Price Data'!H73:H77,'BAU Fuel Use by Sector'!$AW$3:$AW$7)/SUM('BAU Fuel Use by Sector'!$AW$3:$AW$7)</f>
        <v>1.993173207486837E-5</v>
      </c>
      <c r="G13" s="5">
        <f>SUMPRODUCT('Fuel Price Data'!I73:I77,'BAU Fuel Use by Sector'!$AW$3:$AW$7)/SUM('BAU Fuel Use by Sector'!$AW$3:$AW$7)</f>
        <v>2.028635686999604E-5</v>
      </c>
      <c r="H13" s="5">
        <f>SUMPRODUCT('Fuel Price Data'!J73:J77,'BAU Fuel Use by Sector'!$AW$3:$AW$7)/SUM('BAU Fuel Use by Sector'!$AW$3:$AW$7)</f>
        <v>2.0413658078503416E-5</v>
      </c>
      <c r="I13" s="5">
        <f>SUMPRODUCT('Fuel Price Data'!K73:K77,'BAU Fuel Use by Sector'!$AW$3:$AW$7)/SUM('BAU Fuel Use by Sector'!$AW$3:$AW$7)</f>
        <v>2.0786468760560716E-5</v>
      </c>
      <c r="J13" s="5">
        <f>SUMPRODUCT('Fuel Price Data'!L73:L77,'BAU Fuel Use by Sector'!$AW$3:$AW$7)/SUM('BAU Fuel Use by Sector'!$AW$3:$AW$7)</f>
        <v>2.0831933477884777E-5</v>
      </c>
      <c r="K13" s="5">
        <f>SUMPRODUCT('Fuel Price Data'!M73:M77,'BAU Fuel Use by Sector'!$AW$3:$AW$7)/SUM('BAU Fuel Use by Sector'!$AW$3:$AW$7)</f>
        <v>2.1159279442618017E-5</v>
      </c>
      <c r="L13" s="5">
        <f>SUMPRODUCT('Fuel Price Data'!N73:N77,'BAU Fuel Use by Sector'!$AW$3:$AW$7)/SUM('BAU Fuel Use by Sector'!$AW$3:$AW$7)</f>
        <v>2.1350231255379074E-5</v>
      </c>
      <c r="M13" s="5">
        <f>SUMPRODUCT('Fuel Price Data'!O73:O77,'BAU Fuel Use by Sector'!$AW$3:$AW$7)/SUM('BAU Fuel Use by Sector'!$AW$3:$AW$7)</f>
        <v>2.1795785485154869E-5</v>
      </c>
      <c r="N13" s="5">
        <f>SUMPRODUCT('Fuel Price Data'!P73:P77,'BAU Fuel Use by Sector'!$AW$3:$AW$7)/SUM('BAU Fuel Use by Sector'!$AW$3:$AW$7)</f>
        <v>2.2041294958704801E-5</v>
      </c>
      <c r="O13" s="5">
        <f>SUMPRODUCT('Fuel Price Data'!Q73:Q77,'BAU Fuel Use by Sector'!$AW$3:$AW$7)/SUM('BAU Fuel Use by Sector'!$AW$3:$AW$7)</f>
        <v>2.2204967941071424E-5</v>
      </c>
      <c r="P13" s="5">
        <f>SUMPRODUCT('Fuel Price Data'!R73:R77,'BAU Fuel Use by Sector'!$AW$3:$AW$7)/SUM('BAU Fuel Use by Sector'!$AW$3:$AW$7)</f>
        <v>2.2559592736199094E-5</v>
      </c>
      <c r="Q13" s="5">
        <f>SUMPRODUCT('Fuel Price Data'!S73:S77,'BAU Fuel Use by Sector'!$AW$3:$AW$7)/SUM('BAU Fuel Use by Sector'!$AW$3:$AW$7)</f>
        <v>2.2741451605495341E-5</v>
      </c>
      <c r="R13" s="5">
        <f>SUMPRODUCT('Fuel Price Data'!T73:T77,'BAU Fuel Use by Sector'!$AW$3:$AW$7)/SUM('BAU Fuel Use by Sector'!$AW$3:$AW$7)</f>
        <v>2.2941496361721212E-5</v>
      </c>
      <c r="S13" s="5">
        <f>SUMPRODUCT('Fuel Price Data'!U73:U77,'BAU Fuel Use by Sector'!$AW$3:$AW$7)/SUM('BAU Fuel Use by Sector'!$AW$3:$AW$7)</f>
        <v>2.3177912891806326E-5</v>
      </c>
      <c r="T13" s="5">
        <f>SUMPRODUCT('Fuel Price Data'!V73:V77,'BAU Fuel Use by Sector'!$AW$3:$AW$7)/SUM('BAU Fuel Use by Sector'!$AW$3:$AW$7)</f>
        <v>2.3332492930708132E-5</v>
      </c>
      <c r="U13" s="5">
        <f>SUMPRODUCT('Fuel Price Data'!W73:W77,'BAU Fuel Use by Sector'!$AW$3:$AW$7)/SUM('BAU Fuel Use by Sector'!$AW$3:$AW$7)</f>
        <v>2.3532537686934E-5</v>
      </c>
      <c r="V13" s="5">
        <f>SUMPRODUCT('Fuel Price Data'!X73:X77,'BAU Fuel Use by Sector'!$AW$3:$AW$7)/SUM('BAU Fuel Use by Sector'!$AW$3:$AW$7)</f>
        <v>2.373258244315987E-5</v>
      </c>
      <c r="W13" s="5">
        <f>SUMPRODUCT('Fuel Price Data'!Y73:Y77,'BAU Fuel Use by Sector'!$AW$3:$AW$7)/SUM('BAU Fuel Use by Sector'!$AW$3:$AW$7)</f>
        <v>2.373258244315987E-5</v>
      </c>
      <c r="X13" s="5">
        <f>SUMPRODUCT('Fuel Price Data'!Z73:Z77,'BAU Fuel Use by Sector'!$AW$3:$AW$7)/SUM('BAU Fuel Use by Sector'!$AW$3:$AW$7)</f>
        <v>2.388716248206168E-5</v>
      </c>
      <c r="Y13" s="5">
        <f>SUMPRODUCT('Fuel Price Data'!AA73:AA77,'BAU Fuel Use by Sector'!$AW$3:$AW$7)/SUM('BAU Fuel Use by Sector'!$AW$3:$AW$7)</f>
        <v>2.4241787277189353E-5</v>
      </c>
      <c r="Z13" s="5">
        <f>SUMPRODUCT('Fuel Price Data'!AB73:AB77,'BAU Fuel Use by Sector'!$AW$3:$AW$7)/SUM('BAU Fuel Use by Sector'!$AW$3:$AW$7)</f>
        <v>2.438727437262635E-5</v>
      </c>
      <c r="AA13" s="5">
        <f>SUMPRODUCT('Fuel Price Data'!AC73:AC77,'BAU Fuel Use by Sector'!$AW$3:$AW$7)/SUM('BAU Fuel Use by Sector'!$AW$3:$AW$7)</f>
        <v>2.457822618538741E-5</v>
      </c>
      <c r="AB13" s="5">
        <f>SUMPRODUCT('Fuel Price Data'!AD73:AD77,'BAU Fuel Use by Sector'!$AW$3:$AW$7)/SUM('BAU Fuel Use by Sector'!$AW$3:$AW$7)</f>
        <v>2.491466509358546E-5</v>
      </c>
      <c r="AC13" s="5">
        <f>SUMPRODUCT('Fuel Price Data'!AE73:AE77,'BAU Fuel Use by Sector'!$AW$3:$AW$7)/SUM('BAU Fuel Use by Sector'!$AW$3:$AW$7)</f>
        <v>2.492375803705027E-5</v>
      </c>
      <c r="AD13" s="5">
        <f>SUMPRODUCT('Fuel Price Data'!AF73:AF77,'BAU Fuel Use by Sector'!$AW$3:$AW$7)/SUM('BAU Fuel Use by Sector'!$AW$3:$AW$7)</f>
        <v>0</v>
      </c>
      <c r="AE13" s="5">
        <f>SUMPRODUCT('Fuel Price Data'!AG73:AG77,'BAU Fuel Use by Sector'!$AW$3:$AW$7)/SUM('BAU Fuel Use by Sector'!$AW$3:$AW$7)</f>
        <v>0</v>
      </c>
      <c r="AF13" s="5"/>
      <c r="AG13" s="5"/>
    </row>
    <row r="14" spans="1:55" x14ac:dyDescent="0.35">
      <c r="A14" s="30" t="s">
        <v>10</v>
      </c>
      <c r="B14" s="5">
        <f>SUMPRODUCT('Fuel Price Data'!D83:D87,'BAU Fuel Use by Sector'!$AX$3:$AX$7)/SUM('BAU Fuel Use by Sector'!$AX$3:$AX$7)</f>
        <v>2.6397241269659967E-5</v>
      </c>
      <c r="C14" s="5">
        <f>SUMPRODUCT('Fuel Price Data'!E83:E87,'BAU Fuel Use by Sector'!$AX$3:$AX$7)/SUM('BAU Fuel Use by Sector'!$AX$3:$AX$7)</f>
        <v>2.547793435977131E-5</v>
      </c>
      <c r="D14" s="5">
        <f>SUMPRODUCT('Fuel Price Data'!F83:F87,'BAU Fuel Use by Sector'!$AX$3:$AX$7)/SUM('BAU Fuel Use by Sector'!$AX$3:$AX$7)</f>
        <v>2.5621202969104612E-5</v>
      </c>
      <c r="E14" s="5">
        <f>SUMPRODUCT('Fuel Price Data'!G83:G87,'BAU Fuel Use by Sector'!$AX$3:$AX$7)/SUM('BAU Fuel Use by Sector'!$AX$3:$AX$7)</f>
        <v>2.6015191644771173E-5</v>
      </c>
      <c r="F14" s="5">
        <f>SUMPRODUCT('Fuel Price Data'!H83:H87,'BAU Fuel Use by Sector'!$AX$3:$AX$7)/SUM('BAU Fuel Use by Sector'!$AX$3:$AX$7)</f>
        <v>2.6170399304882249E-5</v>
      </c>
      <c r="G14" s="5">
        <f>SUMPRODUCT('Fuel Price Data'!I83:I87,'BAU Fuel Use by Sector'!$AX$3:$AX$7)/SUM('BAU Fuel Use by Sector'!$AX$3:$AX$7)</f>
        <v>2.6636022285215462E-5</v>
      </c>
      <c r="H14" s="5">
        <f>SUMPRODUCT('Fuel Price Data'!J83:J87,'BAU Fuel Use by Sector'!$AX$3:$AX$7)/SUM('BAU Fuel Use by Sector'!$AX$3:$AX$7)</f>
        <v>2.6803168996104305E-5</v>
      </c>
      <c r="I14" s="5">
        <f>SUMPRODUCT('Fuel Price Data'!K83:K87,'BAU Fuel Use by Sector'!$AX$3:$AX$7)/SUM('BAU Fuel Use by Sector'!$AX$3:$AX$7)</f>
        <v>2.7292670077993074E-5</v>
      </c>
      <c r="J14" s="5">
        <f>SUMPRODUCT('Fuel Price Data'!L83:L87,'BAU Fuel Use by Sector'!$AX$3:$AX$7)/SUM('BAU Fuel Use by Sector'!$AX$3:$AX$7)</f>
        <v>2.7352365331881949E-5</v>
      </c>
      <c r="K14" s="5">
        <f>SUMPRODUCT('Fuel Price Data'!M83:M87,'BAU Fuel Use by Sector'!$AX$3:$AX$7)/SUM('BAU Fuel Use by Sector'!$AX$3:$AX$7)</f>
        <v>2.778217115988184E-5</v>
      </c>
      <c r="L14" s="5">
        <f>SUMPRODUCT('Fuel Price Data'!N83:N87,'BAU Fuel Use by Sector'!$AX$3:$AX$7)/SUM('BAU Fuel Use by Sector'!$AX$3:$AX$7)</f>
        <v>2.8032891226215106E-5</v>
      </c>
      <c r="M14" s="5">
        <f>SUMPRODUCT('Fuel Price Data'!O83:O87,'BAU Fuel Use by Sector'!$AX$3:$AX$7)/SUM('BAU Fuel Use by Sector'!$AX$3:$AX$7)</f>
        <v>2.8617904714326063E-5</v>
      </c>
      <c r="N14" s="5">
        <f>SUMPRODUCT('Fuel Price Data'!P83:P87,'BAU Fuel Use by Sector'!$AX$3:$AX$7)/SUM('BAU Fuel Use by Sector'!$AX$3:$AX$7)</f>
        <v>2.8940259085325985E-5</v>
      </c>
      <c r="O14" s="5">
        <f>SUMPRODUCT('Fuel Price Data'!Q83:Q87,'BAU Fuel Use by Sector'!$AX$3:$AX$7)/SUM('BAU Fuel Use by Sector'!$AX$3:$AX$7)</f>
        <v>2.9155161999325939E-5</v>
      </c>
      <c r="P14" s="5">
        <f>SUMPRODUCT('Fuel Price Data'!R83:R87,'BAU Fuel Use by Sector'!$AX$3:$AX$7)/SUM('BAU Fuel Use by Sector'!$AX$3:$AX$7)</f>
        <v>2.9620784979659146E-5</v>
      </c>
      <c r="Q14" s="5">
        <f>SUMPRODUCT('Fuel Price Data'!S83:S87,'BAU Fuel Use by Sector'!$AX$3:$AX$7)/SUM('BAU Fuel Use by Sector'!$AX$3:$AX$7)</f>
        <v>2.9859565995214645E-5</v>
      </c>
      <c r="R14" s="5">
        <f>SUMPRODUCT('Fuel Price Data'!T83:T87,'BAU Fuel Use by Sector'!$AX$3:$AX$7)/SUM('BAU Fuel Use by Sector'!$AX$3:$AX$7)</f>
        <v>3.0122225112325689E-5</v>
      </c>
      <c r="S14" s="5">
        <f>SUMPRODUCT('Fuel Price Data'!U83:U87,'BAU Fuel Use by Sector'!$AX$3:$AX$7)/SUM('BAU Fuel Use by Sector'!$AX$3:$AX$7)</f>
        <v>3.043264043254783E-5</v>
      </c>
      <c r="T14" s="5">
        <f>SUMPRODUCT('Fuel Price Data'!V83:V87,'BAU Fuel Use by Sector'!$AX$3:$AX$7)/SUM('BAU Fuel Use by Sector'!$AX$3:$AX$7)</f>
        <v>3.063560429577E-5</v>
      </c>
      <c r="U14" s="5">
        <f>SUMPRODUCT('Fuel Price Data'!W83:W87,'BAU Fuel Use by Sector'!$AX$3:$AX$7)/SUM('BAU Fuel Use by Sector'!$AX$3:$AX$7)</f>
        <v>3.0898263412881047E-5</v>
      </c>
      <c r="V14" s="5">
        <f>SUMPRODUCT('Fuel Price Data'!X83:X87,'BAU Fuel Use by Sector'!$AX$3:$AX$7)/SUM('BAU Fuel Use by Sector'!$AX$3:$AX$7)</f>
        <v>3.1160922529992095E-5</v>
      </c>
      <c r="W14" s="5">
        <f>SUMPRODUCT('Fuel Price Data'!Y83:Y87,'BAU Fuel Use by Sector'!$AX$3:$AX$7)/SUM('BAU Fuel Use by Sector'!$AX$3:$AX$7)</f>
        <v>3.1160922529992095E-5</v>
      </c>
      <c r="X14" s="5">
        <f>SUMPRODUCT('Fuel Price Data'!Z83:Z87,'BAU Fuel Use by Sector'!$AX$3:$AX$7)/SUM('BAU Fuel Use by Sector'!$AX$3:$AX$7)</f>
        <v>3.1363886393214258E-5</v>
      </c>
      <c r="Y14" s="5">
        <f>SUMPRODUCT('Fuel Price Data'!AA83:AA87,'BAU Fuel Use by Sector'!$AX$3:$AX$7)/SUM('BAU Fuel Use by Sector'!$AX$3:$AX$7)</f>
        <v>3.1829509373547475E-5</v>
      </c>
      <c r="Z14" s="5">
        <f>SUMPRODUCT('Fuel Price Data'!AB83:AB87,'BAU Fuel Use by Sector'!$AX$3:$AX$7)/SUM('BAU Fuel Use by Sector'!$AX$3:$AX$7)</f>
        <v>3.2020534185991877E-5</v>
      </c>
      <c r="AA14" s="5">
        <f>SUMPRODUCT('Fuel Price Data'!AC83:AC87,'BAU Fuel Use by Sector'!$AX$3:$AX$7)/SUM('BAU Fuel Use by Sector'!$AX$3:$AX$7)</f>
        <v>3.2271254252325143E-5</v>
      </c>
      <c r="AB14" s="5">
        <f>SUMPRODUCT('Fuel Price Data'!AD83:AD87,'BAU Fuel Use by Sector'!$AX$3:$AX$7)/SUM('BAU Fuel Use by Sector'!$AX$3:$AX$7)</f>
        <v>3.2712999131102805E-5</v>
      </c>
      <c r="AC14" s="5">
        <f>SUMPRODUCT('Fuel Price Data'!AE83:AE87,'BAU Fuel Use by Sector'!$AX$3:$AX$7)/SUM('BAU Fuel Use by Sector'!$AX$3:$AX$7)</f>
        <v>3.2724938181880579E-5</v>
      </c>
      <c r="AD14" s="5">
        <f>SUMPRODUCT('Fuel Price Data'!AF83:AF87,'BAU Fuel Use by Sector'!$AX$3:$AX$7)/SUM('BAU Fuel Use by Sector'!$AX$3:$AX$7)</f>
        <v>0</v>
      </c>
      <c r="AE14" s="5">
        <f>SUMPRODUCT('Fuel Price Data'!AG83:AG87,'BAU Fuel Use by Sector'!$AX$3:$AX$7)/SUM('BAU Fuel Use by Sector'!$AX$3:$AX$7)</f>
        <v>0</v>
      </c>
      <c r="AF14" s="5"/>
      <c r="AG14" s="5"/>
    </row>
    <row r="15" spans="1:55" x14ac:dyDescent="0.35">
      <c r="A15" s="30" t="s">
        <v>19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/>
      <c r="AG15" s="4"/>
    </row>
    <row r="16" spans="1:55" x14ac:dyDescent="0.35">
      <c r="A16" s="30" t="s">
        <v>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/>
      <c r="AG16" s="4"/>
    </row>
    <row r="17" spans="1:33" x14ac:dyDescent="0.35">
      <c r="A17" s="7" t="s">
        <v>11</v>
      </c>
      <c r="B17" s="11">
        <f>SUMPRODUCT('Fuel Price Data'!D93:D97,'BAU Fuel Use by Sector'!$BA$3:$BA$7)/SUM('BAU Fuel Use by Sector'!$BA$3:$BA$7)</f>
        <v>1.8814214883688203E-6</v>
      </c>
      <c r="C17" s="11">
        <f>SUMPRODUCT('Fuel Price Data'!E93:E97,'BAU Fuel Use by Sector'!$BA$3:$BA$7)/SUM('BAU Fuel Use by Sector'!$BA$3:$BA$7)</f>
        <v>1.8905991541657413E-6</v>
      </c>
      <c r="D17" s="11">
        <f>SUMPRODUCT('Fuel Price Data'!F93:F97,'BAU Fuel Use by Sector'!$BA$3:$BA$7)/SUM('BAU Fuel Use by Sector'!$BA$3:$BA$7)</f>
        <v>1.8630661567749778E-6</v>
      </c>
      <c r="E17" s="11">
        <f>SUMPRODUCT('Fuel Price Data'!G93:G97,'BAU Fuel Use by Sector'!$BA$3:$BA$7)/SUM('BAU Fuel Use by Sector'!$BA$3:$BA$7)</f>
        <v>1.8355331593842151E-6</v>
      </c>
      <c r="F17" s="11">
        <f>SUMPRODUCT('Fuel Price Data'!H93:H97,'BAU Fuel Use by Sector'!$BA$3:$BA$7)/SUM('BAU Fuel Use by Sector'!$BA$3:$BA$7)</f>
        <v>1.8171778277903729E-6</v>
      </c>
      <c r="G17" s="11">
        <f>SUMPRODUCT('Fuel Price Data'!I93:I97,'BAU Fuel Use by Sector'!$BA$3:$BA$7)/SUM('BAU Fuel Use by Sector'!$BA$3:$BA$7)</f>
        <v>1.8080001619934514E-6</v>
      </c>
      <c r="H17" s="11">
        <f>SUMPRODUCT('Fuel Price Data'!J93:J97,'BAU Fuel Use by Sector'!$BA$3:$BA$7)/SUM('BAU Fuel Use by Sector'!$BA$3:$BA$7)</f>
        <v>1.7896448303996096E-6</v>
      </c>
      <c r="I17" s="11">
        <f>SUMPRODUCT('Fuel Price Data'!K93:K97,'BAU Fuel Use by Sector'!$BA$3:$BA$7)/SUM('BAU Fuel Use by Sector'!$BA$3:$BA$7)</f>
        <v>1.7988224961965304E-6</v>
      </c>
      <c r="J17" s="11">
        <f>SUMPRODUCT('Fuel Price Data'!L93:L97,'BAU Fuel Use by Sector'!$BA$3:$BA$7)/SUM('BAU Fuel Use by Sector'!$BA$3:$BA$7)</f>
        <v>1.8080001619934514E-6</v>
      </c>
      <c r="K17" s="11">
        <f>SUMPRODUCT('Fuel Price Data'!M93:M97,'BAU Fuel Use by Sector'!$BA$3:$BA$7)/SUM('BAU Fuel Use by Sector'!$BA$3:$BA$7)</f>
        <v>1.7988224961965304E-6</v>
      </c>
      <c r="L17" s="11">
        <f>SUMPRODUCT('Fuel Price Data'!N93:N97,'BAU Fuel Use by Sector'!$BA$3:$BA$7)/SUM('BAU Fuel Use by Sector'!$BA$3:$BA$7)</f>
        <v>1.7988224961965304E-6</v>
      </c>
      <c r="M17" s="11">
        <f>SUMPRODUCT('Fuel Price Data'!O93:O97,'BAU Fuel Use by Sector'!$BA$3:$BA$7)/SUM('BAU Fuel Use by Sector'!$BA$3:$BA$7)</f>
        <v>1.7988224961965304E-6</v>
      </c>
      <c r="N17" s="11">
        <f>SUMPRODUCT('Fuel Price Data'!P93:P97,'BAU Fuel Use by Sector'!$BA$3:$BA$7)/SUM('BAU Fuel Use by Sector'!$BA$3:$BA$7)</f>
        <v>1.7896448303996096E-6</v>
      </c>
      <c r="O17" s="11">
        <f>SUMPRODUCT('Fuel Price Data'!Q93:Q97,'BAU Fuel Use by Sector'!$BA$3:$BA$7)/SUM('BAU Fuel Use by Sector'!$BA$3:$BA$7)</f>
        <v>1.7896448303996096E-6</v>
      </c>
      <c r="P17" s="11">
        <f>SUMPRODUCT('Fuel Price Data'!R93:R97,'BAU Fuel Use by Sector'!$BA$3:$BA$7)/SUM('BAU Fuel Use by Sector'!$BA$3:$BA$7)</f>
        <v>1.7988224961965304E-6</v>
      </c>
      <c r="Q17" s="11">
        <f>SUMPRODUCT('Fuel Price Data'!S93:S97,'BAU Fuel Use by Sector'!$BA$3:$BA$7)/SUM('BAU Fuel Use by Sector'!$BA$3:$BA$7)</f>
        <v>1.7988224961965304E-6</v>
      </c>
      <c r="R17" s="11">
        <f>SUMPRODUCT('Fuel Price Data'!T93:T97,'BAU Fuel Use by Sector'!$BA$3:$BA$7)/SUM('BAU Fuel Use by Sector'!$BA$3:$BA$7)</f>
        <v>1.7896448303996096E-6</v>
      </c>
      <c r="S17" s="11">
        <f>SUMPRODUCT('Fuel Price Data'!U93:U97,'BAU Fuel Use by Sector'!$BA$3:$BA$7)/SUM('BAU Fuel Use by Sector'!$BA$3:$BA$7)</f>
        <v>1.7896448303996096E-6</v>
      </c>
      <c r="T17" s="11">
        <f>SUMPRODUCT('Fuel Price Data'!V93:V97,'BAU Fuel Use by Sector'!$BA$3:$BA$7)/SUM('BAU Fuel Use by Sector'!$BA$3:$BA$7)</f>
        <v>1.7988224961965304E-6</v>
      </c>
      <c r="U17" s="11">
        <f>SUMPRODUCT('Fuel Price Data'!W93:W97,'BAU Fuel Use by Sector'!$BA$3:$BA$7)/SUM('BAU Fuel Use by Sector'!$BA$3:$BA$7)</f>
        <v>1.7988224961965304E-6</v>
      </c>
      <c r="V17" s="11">
        <f>SUMPRODUCT('Fuel Price Data'!X93:X97,'BAU Fuel Use by Sector'!$BA$3:$BA$7)/SUM('BAU Fuel Use by Sector'!$BA$3:$BA$7)</f>
        <v>1.7896448303996096E-6</v>
      </c>
      <c r="W17" s="11">
        <f>SUMPRODUCT('Fuel Price Data'!Y93:Y97,'BAU Fuel Use by Sector'!$BA$3:$BA$7)/SUM('BAU Fuel Use by Sector'!$BA$3:$BA$7)</f>
        <v>1.7896448303996096E-6</v>
      </c>
      <c r="X17" s="11">
        <f>SUMPRODUCT('Fuel Price Data'!Z93:Z97,'BAU Fuel Use by Sector'!$BA$3:$BA$7)/SUM('BAU Fuel Use by Sector'!$BA$3:$BA$7)</f>
        <v>1.7896448303996096E-6</v>
      </c>
      <c r="Y17" s="11">
        <f>SUMPRODUCT('Fuel Price Data'!AA93:AA97,'BAU Fuel Use by Sector'!$BA$3:$BA$7)/SUM('BAU Fuel Use by Sector'!$BA$3:$BA$7)</f>
        <v>1.7896448303996096E-6</v>
      </c>
      <c r="Z17" s="11">
        <f>SUMPRODUCT('Fuel Price Data'!AB93:AB97,'BAU Fuel Use by Sector'!$BA$3:$BA$7)/SUM('BAU Fuel Use by Sector'!$BA$3:$BA$7)</f>
        <v>1.7896448303996096E-6</v>
      </c>
      <c r="AA17" s="11">
        <f>SUMPRODUCT('Fuel Price Data'!AC93:AC97,'BAU Fuel Use by Sector'!$BA$3:$BA$7)/SUM('BAU Fuel Use by Sector'!$BA$3:$BA$7)</f>
        <v>1.7896448303996096E-6</v>
      </c>
      <c r="AB17" s="11">
        <f>SUMPRODUCT('Fuel Price Data'!AD93:AD97,'BAU Fuel Use by Sector'!$BA$3:$BA$7)/SUM('BAU Fuel Use by Sector'!$BA$3:$BA$7)</f>
        <v>1.7896448303996096E-6</v>
      </c>
      <c r="AC17" s="11">
        <f>SUMPRODUCT('Fuel Price Data'!AE93:AE97,'BAU Fuel Use by Sector'!$BA$3:$BA$7)/SUM('BAU Fuel Use by Sector'!$BA$3:$BA$7)</f>
        <v>1.7896448303996096E-6</v>
      </c>
      <c r="AD17" s="11">
        <f>SUMPRODUCT('Fuel Price Data'!AF93:AF97,'BAU Fuel Use by Sector'!$BA$3:$BA$7)/SUM('BAU Fuel Use by Sector'!$BA$3:$BA$7)</f>
        <v>0</v>
      </c>
      <c r="AE17" s="11">
        <f>SUMPRODUCT('Fuel Price Data'!AG93:AG97,'BAU Fuel Use by Sector'!$BA$3:$BA$7)/SUM('BAU Fuel Use by Sector'!$BA$3:$BA$7)</f>
        <v>0</v>
      </c>
      <c r="AF17" s="11"/>
      <c r="AG17" s="11"/>
    </row>
    <row r="18" spans="1:33" x14ac:dyDescent="0.35">
      <c r="A18" s="30" t="s">
        <v>40</v>
      </c>
      <c r="B18" s="11">
        <f>IEA!$C$6*Crude!C54/Crude!$C$54</f>
        <v>9.9415662247071769E-6</v>
      </c>
      <c r="C18" s="11">
        <f>IEA!$C$6*Crude!D54/Crude!$C$54</f>
        <v>9.1781759015846486E-6</v>
      </c>
      <c r="D18" s="11">
        <f>IEA!$C$6*Crude!E54/Crude!$C$54</f>
        <v>9.6686346750509564E-6</v>
      </c>
      <c r="E18" s="11">
        <f>IEA!$C$6*Crude!F54/Crude!$C$54</f>
        <v>1.0040397212024351E-5</v>
      </c>
      <c r="F18" s="11">
        <f>IEA!$C$6*Crude!G54/Crude!$C$54</f>
        <v>1.0250553444775675E-5</v>
      </c>
      <c r="G18" s="11">
        <f>IEA!$C$6*Crude!H54/Crude!$C$54</f>
        <v>1.0511254759171768E-5</v>
      </c>
      <c r="H18" s="11">
        <f>IEA!$C$6*Crude!I54/Crude!$C$54</f>
        <v>1.0782900393582836E-5</v>
      </c>
      <c r="I18" s="11">
        <f>IEA!$C$6*Crude!J54/Crude!$C$54</f>
        <v>1.1039644816405366E-5</v>
      </c>
      <c r="J18" s="11">
        <f>IEA!$C$6*Crude!K54/Crude!$C$54</f>
        <v>1.1229290253898992E-5</v>
      </c>
      <c r="K18" s="11">
        <f>IEA!$C$6*Crude!L54/Crude!$C$54</f>
        <v>1.1478131874917236E-5</v>
      </c>
      <c r="L18" s="11">
        <f>IEA!$C$6*Crude!M54/Crude!$C$54</f>
        <v>1.1723108690765345E-5</v>
      </c>
      <c r="M18" s="11">
        <f>IEA!$C$6*Crude!N54/Crude!$C$54</f>
        <v>1.1896176222496937E-5</v>
      </c>
      <c r="N18" s="11">
        <f>IEA!$C$6*Crude!O54/Crude!$C$54</f>
        <v>1.213830934118159E-5</v>
      </c>
      <c r="O18" s="11">
        <f>IEA!$C$6*Crude!P54/Crude!$C$54</f>
        <v>1.2334089898036859E-5</v>
      </c>
      <c r="P18" s="11">
        <f>IEA!$C$6*Crude!Q54/Crude!$C$54</f>
        <v>1.2628490443550679E-5</v>
      </c>
      <c r="Q18" s="11">
        <f>IEA!$C$6*Crude!R54/Crude!$C$54</f>
        <v>1.28446835910835E-5</v>
      </c>
      <c r="R18" s="11">
        <f>IEA!$C$6*Crude!S54/Crude!$C$54</f>
        <v>1.3071746856129046E-5</v>
      </c>
      <c r="S18" s="11">
        <f>IEA!$C$6*Crude!T54/Crude!$C$54</f>
        <v>1.3315160713140091E-5</v>
      </c>
      <c r="T18" s="11">
        <f>IEA!$C$6*Crude!U54/Crude!$C$54</f>
        <v>1.3518941178245513E-5</v>
      </c>
      <c r="U18" s="11">
        <f>IEA!$C$6*Crude!V54/Crude!$C$54</f>
        <v>1.3748304877737186E-5</v>
      </c>
      <c r="V18" s="11">
        <f>IEA!$C$6*Crude!W54/Crude!$C$54</f>
        <v>1.3987515076713696E-5</v>
      </c>
      <c r="W18" s="11">
        <f>IEA!$C$6*Crude!X54/Crude!$C$54</f>
        <v>1.4194196812594259E-5</v>
      </c>
      <c r="X18" s="11">
        <f>IEA!$C$6*Crude!Y54/Crude!$C$54</f>
        <v>1.4375845949993234E-5</v>
      </c>
      <c r="Y18" s="11">
        <f>IEA!$C$6*Crude!Z54/Crude!$C$54</f>
        <v>1.4700463856566694E-5</v>
      </c>
      <c r="Z18" s="11">
        <f>IEA!$C$6*Crude!AA54/Crude!$C$54</f>
        <v>1.488667793817924E-5</v>
      </c>
      <c r="AA18" s="11">
        <f>IEA!$C$6*Crude!AB54/Crude!$C$54</f>
        <v>1.5108178054948152E-5</v>
      </c>
      <c r="AB18" s="11">
        <f>IEA!$C$6*Crude!AC54/Crude!$C$54</f>
        <v>1.5336584181345229E-5</v>
      </c>
      <c r="AC18" s="11">
        <f>IEA!$C$6*Crude!AD54/Crude!$C$54</f>
        <v>1.5534677252123737E-5</v>
      </c>
      <c r="AD18" s="11">
        <f>IEA!$C$6*Crude!AE54/Crude!$C$54</f>
        <v>1.5802517851244923E-5</v>
      </c>
      <c r="AE18" s="11">
        <f>IEA!$C$6*Crude!AF54/Crude!$C$54</f>
        <v>1.6054471271067949E-5</v>
      </c>
      <c r="AF18" s="11"/>
      <c r="AG18" s="11"/>
    </row>
    <row r="19" spans="1:33" x14ac:dyDescent="0.35">
      <c r="A19" s="30" t="s">
        <v>41</v>
      </c>
      <c r="B19" s="11">
        <f>'Fuel Price Data'!D114</f>
        <v>1.8583896103896105E-5</v>
      </c>
      <c r="C19" s="11">
        <f>'Fuel Price Data'!E114</f>
        <v>1.7309999999999999E-5</v>
      </c>
      <c r="D19" s="11">
        <f>'Fuel Price Data'!F114</f>
        <v>2.0022649350649347E-5</v>
      </c>
      <c r="E19" s="11">
        <f>'Fuel Price Data'!G114</f>
        <v>2.0067610389610387E-5</v>
      </c>
      <c r="F19" s="11">
        <f>'Fuel Price Data'!H114</f>
        <v>1.9962701298701297E-5</v>
      </c>
      <c r="G19" s="11">
        <f>'Fuel Price Data'!I114</f>
        <v>2.0127558441558437E-5</v>
      </c>
      <c r="H19" s="11">
        <f>'Fuel Price Data'!J114</f>
        <v>2.0382337662337661E-5</v>
      </c>
      <c r="I19" s="11">
        <f>'Fuel Price Data'!K114</f>
        <v>2.0562181818181815E-5</v>
      </c>
      <c r="J19" s="11">
        <f>'Fuel Price Data'!L114</f>
        <v>2.099680519480519E-5</v>
      </c>
      <c r="K19" s="11">
        <f>'Fuel Price Data'!M114</f>
        <v>2.1011792207792204E-5</v>
      </c>
      <c r="L19" s="11">
        <f>'Fuel Price Data'!N114</f>
        <v>2.1596285714285714E-5</v>
      </c>
      <c r="M19" s="11">
        <f>'Fuel Price Data'!O114</f>
        <v>2.1911012987012986E-5</v>
      </c>
      <c r="N19" s="11">
        <f>'Fuel Price Data'!P114</f>
        <v>2.2315662337662335E-5</v>
      </c>
      <c r="O19" s="11">
        <f>'Fuel Price Data'!Q114</f>
        <v>2.2525480519480514E-5</v>
      </c>
      <c r="P19" s="11">
        <f>'Fuel Price Data'!R114</f>
        <v>2.291514285714285E-5</v>
      </c>
      <c r="Q19" s="11">
        <f>'Fuel Price Data'!S114</f>
        <v>2.3169922077922078E-5</v>
      </c>
      <c r="R19" s="11">
        <f>'Fuel Price Data'!T114</f>
        <v>2.3484649350649349E-5</v>
      </c>
      <c r="S19" s="11">
        <f>'Fuel Price Data'!U114</f>
        <v>2.3754415584415585E-5</v>
      </c>
      <c r="T19" s="11">
        <f>'Fuel Price Data'!V114</f>
        <v>2.4039168831168831E-5</v>
      </c>
      <c r="U19" s="11">
        <f>'Fuel Price Data'!W114</f>
        <v>2.4293948051948056E-5</v>
      </c>
      <c r="V19" s="11">
        <f>'Fuel Price Data'!X114</f>
        <v>2.4638649350649352E-5</v>
      </c>
      <c r="W19" s="11">
        <f>'Fuel Price Data'!Y114</f>
        <v>2.4953376623376617E-5</v>
      </c>
      <c r="X19" s="11">
        <f>'Fuel Price Data'!Z114</f>
        <v>2.5118233766233769E-5</v>
      </c>
      <c r="Y19" s="11">
        <f>'Fuel Price Data'!AA114</f>
        <v>2.5373012987012984E-5</v>
      </c>
      <c r="Z19" s="11">
        <f>'Fuel Price Data'!AB114</f>
        <v>2.5432961038961034E-5</v>
      </c>
      <c r="AA19" s="11">
        <f>'Fuel Price Data'!AC114</f>
        <v>2.5402987012987012E-5</v>
      </c>
      <c r="AB19" s="11">
        <f>'Fuel Price Data'!AD114</f>
        <v>2.523812987012987E-5</v>
      </c>
      <c r="AC19" s="11">
        <f>'Fuel Price Data'!AE114</f>
        <v>2.5627792207792205E-5</v>
      </c>
      <c r="AD19" s="11">
        <f>'Fuel Price Data'!AF114</f>
        <v>0</v>
      </c>
      <c r="AE19" s="11">
        <f>'Fuel Price Data'!AG114</f>
        <v>0</v>
      </c>
      <c r="AF19" s="11"/>
      <c r="AG19" s="11"/>
    </row>
    <row r="20" spans="1:33" x14ac:dyDescent="0.35">
      <c r="A20" s="30" t="s">
        <v>42</v>
      </c>
      <c r="B20" s="5">
        <f>'India Petroleum Products'!$G$25*'Fuel Price Data'!D125/'Fuel Price Data'!$D$125</f>
        <v>9.9106469845578083E-6</v>
      </c>
      <c r="C20" s="5">
        <f>'India Petroleum Products'!$G$25*'Fuel Price Data'!E125/'Fuel Price Data'!$D$125</f>
        <v>9.7854305743645186E-6</v>
      </c>
      <c r="D20" s="5">
        <f>'India Petroleum Products'!$G$25*'Fuel Price Data'!F125/'Fuel Price Data'!$D$125</f>
        <v>9.9570234327775415E-6</v>
      </c>
      <c r="E20" s="5">
        <f>'India Petroleum Products'!$G$25*'Fuel Price Data'!G125/'Fuel Price Data'!$D$125</f>
        <v>1.0286296215137675E-5</v>
      </c>
      <c r="F20" s="5">
        <f>'India Petroleum Products'!$G$25*'Fuel Price Data'!H125/'Fuel Price Data'!$D$125</f>
        <v>1.0610931352675834E-5</v>
      </c>
      <c r="G20" s="5">
        <f>'India Petroleum Products'!$G$25*'Fuel Price Data'!I125/'Fuel Price Data'!$D$125</f>
        <v>1.0968030003967808E-5</v>
      </c>
      <c r="H20" s="5">
        <f>'India Petroleum Products'!$G$25*'Fuel Price Data'!J125/'Fuel Price Data'!$D$125</f>
        <v>1.1422519196521234E-5</v>
      </c>
      <c r="I20" s="5">
        <f>'India Petroleum Products'!$G$25*'Fuel Price Data'!K125/'Fuel Price Data'!$D$125</f>
        <v>1.1914109547650448E-5</v>
      </c>
      <c r="J20" s="5">
        <f>'India Petroleum Products'!$G$25*'Fuel Price Data'!L125/'Fuel Price Data'!$D$125</f>
        <v>1.2308309357518211E-5</v>
      </c>
      <c r="K20" s="5">
        <f>'India Petroleum Products'!$G$25*'Fuel Price Data'!M125/'Fuel Price Data'!$D$125</f>
        <v>1.2609756270946501E-5</v>
      </c>
      <c r="L20" s="5">
        <f>'India Petroleum Products'!$G$25*'Fuel Price Data'!N125/'Fuel Price Data'!$D$125</f>
        <v>1.2823087932757291E-5</v>
      </c>
      <c r="M20" s="5">
        <f>'India Petroleum Products'!$G$25*'Fuel Price Data'!O125/'Fuel Price Data'!$D$125</f>
        <v>1.3003956080814267E-5</v>
      </c>
      <c r="N20" s="5">
        <f>'India Petroleum Products'!$G$25*'Fuel Price Data'!P125/'Fuel Price Data'!$D$125</f>
        <v>1.3073520753143874E-5</v>
      </c>
      <c r="O20" s="5">
        <f>'India Petroleum Products'!$G$25*'Fuel Price Data'!Q125/'Fuel Price Data'!$D$125</f>
        <v>1.3147723070295451E-5</v>
      </c>
      <c r="P20" s="5">
        <f>'India Petroleum Products'!$G$25*'Fuel Price Data'!R125/'Fuel Price Data'!$D$125</f>
        <v>1.3296127704598608E-5</v>
      </c>
      <c r="Q20" s="5">
        <f>'India Petroleum Products'!$G$25*'Fuel Price Data'!S125/'Fuel Price Data'!$D$125</f>
        <v>1.344916998372374E-5</v>
      </c>
      <c r="R20" s="5">
        <f>'India Petroleum Products'!$G$25*'Fuel Price Data'!T125/'Fuel Price Data'!$D$125</f>
        <v>1.3620762842136771E-5</v>
      </c>
      <c r="S20" s="5">
        <f>'India Petroleum Products'!$G$25*'Fuel Price Data'!U125/'Fuel Price Data'!$D$125</f>
        <v>1.3810906279837692E-5</v>
      </c>
      <c r="T20" s="5">
        <f>'India Petroleum Products'!$G$25*'Fuel Price Data'!V125/'Fuel Price Data'!$D$125</f>
        <v>1.4019600296826508E-5</v>
      </c>
      <c r="U20" s="5">
        <f>'India Petroleum Products'!$G$25*'Fuel Price Data'!W125/'Fuel Price Data'!$D$125</f>
        <v>1.4232931958637301E-5</v>
      </c>
      <c r="V20" s="5">
        <f>'India Petroleum Products'!$G$25*'Fuel Price Data'!X125/'Fuel Price Data'!$D$125</f>
        <v>1.443698833080414E-5</v>
      </c>
      <c r="W20" s="5">
        <f>'India Petroleum Products'!$G$25*'Fuel Price Data'!Y125/'Fuel Price Data'!$D$125</f>
        <v>1.4627131768505062E-5</v>
      </c>
      <c r="X20" s="5">
        <f>'India Petroleum Products'!$G$25*'Fuel Price Data'!Z125/'Fuel Price Data'!$D$125</f>
        <v>1.4807999916562036E-5</v>
      </c>
      <c r="Y20" s="5">
        <f>'India Petroleum Products'!$G$25*'Fuel Price Data'!AA125/'Fuel Price Data'!$D$125</f>
        <v>1.5030606868016775E-5</v>
      </c>
      <c r="Z20" s="5">
        <f>'India Petroleum Products'!$G$25*'Fuel Price Data'!AB125/'Fuel Price Data'!$D$125</f>
        <v>1.5234663240183619E-5</v>
      </c>
      <c r="AA20" s="5">
        <f>'India Petroleum Products'!$G$25*'Fuel Price Data'!AC125/'Fuel Price Data'!$D$125</f>
        <v>1.543408196752849E-5</v>
      </c>
      <c r="AB20" s="5">
        <f>'India Petroleum Products'!$G$25*'Fuel Price Data'!AD125/'Fuel Price Data'!$D$125</f>
        <v>1.5633500694873357E-5</v>
      </c>
      <c r="AC20" s="5">
        <f>'India Petroleum Products'!$G$25*'Fuel Price Data'!AE125/'Fuel Price Data'!$D$125</f>
        <v>1.5823644132574279E-5</v>
      </c>
      <c r="AD20" s="5">
        <f>'India Petroleum Products'!$G$25*'Fuel Price Data'!AF125/'Fuel Price Data'!$D$125</f>
        <v>0</v>
      </c>
      <c r="AE20" s="5">
        <f>'India Petroleum Products'!$G$25*'Fuel Price Data'!AG125/'Fuel Price Data'!$D$125</f>
        <v>0</v>
      </c>
      <c r="AF20" s="5"/>
      <c r="AG20" s="5"/>
    </row>
    <row r="21" spans="1:33" x14ac:dyDescent="0.35">
      <c r="A21" s="30" t="s">
        <v>43</v>
      </c>
      <c r="B21" s="9">
        <f>SUMPRODUCT('Fuel Price Data'!D133:D137,'BAU Fuel Use by Sector'!$BE$3:$BE$7)/SUM('BAU Fuel Use by Sector'!$BE$3:$BE$7)</f>
        <v>0</v>
      </c>
      <c r="C21" s="9">
        <f>SUMPRODUCT('Fuel Price Data'!E133:E137,'BAU Fuel Use by Sector'!$BE$3:$BE$7)/SUM('BAU Fuel Use by Sector'!$BE$3:$BE$7)</f>
        <v>0</v>
      </c>
      <c r="D21" s="9">
        <f>SUMPRODUCT('Fuel Price Data'!F133:F137,'BAU Fuel Use by Sector'!$BE$3:$BE$7)/SUM('BAU Fuel Use by Sector'!$BE$3:$BE$7)</f>
        <v>0</v>
      </c>
      <c r="E21" s="9">
        <f>SUMPRODUCT('Fuel Price Data'!G133:G137,'BAU Fuel Use by Sector'!$BE$3:$BE$7)/SUM('BAU Fuel Use by Sector'!$BE$3:$BE$7)</f>
        <v>0</v>
      </c>
      <c r="F21" s="9">
        <f>SUMPRODUCT('Fuel Price Data'!H133:H137,'BAU Fuel Use by Sector'!$BE$3:$BE$7)/SUM('BAU Fuel Use by Sector'!$BE$3:$BE$7)</f>
        <v>0</v>
      </c>
      <c r="G21" s="9">
        <f>SUMPRODUCT('Fuel Price Data'!I133:I137,'BAU Fuel Use by Sector'!$BE$3:$BE$7)/SUM('BAU Fuel Use by Sector'!$BE$3:$BE$7)</f>
        <v>0</v>
      </c>
      <c r="H21" s="9">
        <f>SUMPRODUCT('Fuel Price Data'!J133:J137,'BAU Fuel Use by Sector'!$BE$3:$BE$7)/SUM('BAU Fuel Use by Sector'!$BE$3:$BE$7)</f>
        <v>0</v>
      </c>
      <c r="I21" s="9">
        <f>SUMPRODUCT('Fuel Price Data'!K133:K137,'BAU Fuel Use by Sector'!$BE$3:$BE$7)/SUM('BAU Fuel Use by Sector'!$BE$3:$BE$7)</f>
        <v>0</v>
      </c>
      <c r="J21" s="9">
        <f>SUMPRODUCT('Fuel Price Data'!L133:L137,'BAU Fuel Use by Sector'!$BE$3:$BE$7)/SUM('BAU Fuel Use by Sector'!$BE$3:$BE$7)</f>
        <v>0</v>
      </c>
      <c r="K21" s="9">
        <f>SUMPRODUCT('Fuel Price Data'!M133:M137,'BAU Fuel Use by Sector'!$BE$3:$BE$7)/SUM('BAU Fuel Use by Sector'!$BE$3:$BE$7)</f>
        <v>0</v>
      </c>
      <c r="L21" s="9">
        <f>SUMPRODUCT('Fuel Price Data'!N133:N137,'BAU Fuel Use by Sector'!$BE$3:$BE$7)/SUM('BAU Fuel Use by Sector'!$BE$3:$BE$7)</f>
        <v>0</v>
      </c>
      <c r="M21" s="9">
        <f>SUMPRODUCT('Fuel Price Data'!O133:O137,'BAU Fuel Use by Sector'!$BE$3:$BE$7)/SUM('BAU Fuel Use by Sector'!$BE$3:$BE$7)</f>
        <v>0</v>
      </c>
      <c r="N21" s="9">
        <f>SUMPRODUCT('Fuel Price Data'!P133:P137,'BAU Fuel Use by Sector'!$BE$3:$BE$7)/SUM('BAU Fuel Use by Sector'!$BE$3:$BE$7)</f>
        <v>0</v>
      </c>
      <c r="O21" s="9">
        <f>SUMPRODUCT('Fuel Price Data'!Q133:Q137,'BAU Fuel Use by Sector'!$BE$3:$BE$7)/SUM('BAU Fuel Use by Sector'!$BE$3:$BE$7)</f>
        <v>0</v>
      </c>
      <c r="P21" s="9">
        <f>SUMPRODUCT('Fuel Price Data'!R133:R137,'BAU Fuel Use by Sector'!$BE$3:$BE$7)/SUM('BAU Fuel Use by Sector'!$BE$3:$BE$7)</f>
        <v>0</v>
      </c>
      <c r="Q21" s="9">
        <f>SUMPRODUCT('Fuel Price Data'!S133:S137,'BAU Fuel Use by Sector'!$BE$3:$BE$7)/SUM('BAU Fuel Use by Sector'!$BE$3:$BE$7)</f>
        <v>0</v>
      </c>
      <c r="R21" s="9">
        <f>SUMPRODUCT('Fuel Price Data'!T133:T137,'BAU Fuel Use by Sector'!$BE$3:$BE$7)/SUM('BAU Fuel Use by Sector'!$BE$3:$BE$7)</f>
        <v>0</v>
      </c>
      <c r="S21" s="9">
        <f>SUMPRODUCT('Fuel Price Data'!U133:U137,'BAU Fuel Use by Sector'!$BE$3:$BE$7)/SUM('BAU Fuel Use by Sector'!$BE$3:$BE$7)</f>
        <v>0</v>
      </c>
      <c r="T21" s="9">
        <f>SUMPRODUCT('Fuel Price Data'!V133:V137,'BAU Fuel Use by Sector'!$BE$3:$BE$7)/SUM('BAU Fuel Use by Sector'!$BE$3:$BE$7)</f>
        <v>0</v>
      </c>
      <c r="U21" s="9">
        <f>SUMPRODUCT('Fuel Price Data'!W133:W137,'BAU Fuel Use by Sector'!$BE$3:$BE$7)/SUM('BAU Fuel Use by Sector'!$BE$3:$BE$7)</f>
        <v>0</v>
      </c>
      <c r="V21" s="9">
        <f>SUMPRODUCT('Fuel Price Data'!X133:X137,'BAU Fuel Use by Sector'!$BE$3:$BE$7)/SUM('BAU Fuel Use by Sector'!$BE$3:$BE$7)</f>
        <v>0</v>
      </c>
      <c r="W21" s="9">
        <f>SUMPRODUCT('Fuel Price Data'!Y133:Y137,'BAU Fuel Use by Sector'!$BE$3:$BE$7)/SUM('BAU Fuel Use by Sector'!$BE$3:$BE$7)</f>
        <v>0</v>
      </c>
      <c r="X21" s="9">
        <f>SUMPRODUCT('Fuel Price Data'!Z133:Z137,'BAU Fuel Use by Sector'!$BE$3:$BE$7)/SUM('BAU Fuel Use by Sector'!$BE$3:$BE$7)</f>
        <v>0</v>
      </c>
      <c r="Y21" s="9">
        <f>SUMPRODUCT('Fuel Price Data'!AA133:AA137,'BAU Fuel Use by Sector'!$BE$3:$BE$7)/SUM('BAU Fuel Use by Sector'!$BE$3:$BE$7)</f>
        <v>0</v>
      </c>
      <c r="Z21" s="9">
        <f>SUMPRODUCT('Fuel Price Data'!AB133:AB137,'BAU Fuel Use by Sector'!$BE$3:$BE$7)/SUM('BAU Fuel Use by Sector'!$BE$3:$BE$7)</f>
        <v>0</v>
      </c>
      <c r="AA21" s="9">
        <f>SUMPRODUCT('Fuel Price Data'!AC133:AC137,'BAU Fuel Use by Sector'!$BE$3:$BE$7)/SUM('BAU Fuel Use by Sector'!$BE$3:$BE$7)</f>
        <v>0</v>
      </c>
      <c r="AB21" s="9">
        <f>SUMPRODUCT('Fuel Price Data'!AD133:AD137,'BAU Fuel Use by Sector'!$BE$3:$BE$7)/SUM('BAU Fuel Use by Sector'!$BE$3:$BE$7)</f>
        <v>0</v>
      </c>
      <c r="AC21" s="9">
        <f>SUMPRODUCT('Fuel Price Data'!AE133:AE137,'BAU Fuel Use by Sector'!$BE$3:$BE$7)/SUM('BAU Fuel Use by Sector'!$BE$3:$BE$7)</f>
        <v>0</v>
      </c>
      <c r="AD21" s="9">
        <f>SUMPRODUCT('Fuel Price Data'!AF133:AF137,'BAU Fuel Use by Sector'!$BE$3:$BE$7)/SUM('BAU Fuel Use by Sector'!$BE$3:$BE$7)</f>
        <v>0</v>
      </c>
      <c r="AE21" s="9">
        <f>SUMPRODUCT('Fuel Price Data'!AG133:AG137,'BAU Fuel Use by Sector'!$BE$3:$BE$7)/SUM('BAU Fuel Use by Sector'!$BE$3:$BE$7)</f>
        <v>0</v>
      </c>
      <c r="AF21" s="9"/>
      <c r="AG21" s="9"/>
    </row>
    <row r="22" spans="1:33" x14ac:dyDescent="0.35">
      <c r="A22" s="30" t="s">
        <v>44</v>
      </c>
      <c r="B22" s="5">
        <f>'Fuel Price Data'!B143</f>
        <v>9.9769177792049732E-5</v>
      </c>
      <c r="C22" s="5">
        <f>'Fuel Price Data'!C143</f>
        <v>9.3216010269583927E-5</v>
      </c>
      <c r="D22" s="5">
        <f>'Fuel Price Data'!D143</f>
        <v>8.6662842747119856E-5</v>
      </c>
      <c r="E22" s="5">
        <f>'Fuel Price Data'!E143</f>
        <v>8.0109675224654051E-5</v>
      </c>
      <c r="F22" s="5">
        <f>'Fuel Price Data'!F143</f>
        <v>7.3556507702188245E-5</v>
      </c>
      <c r="G22" s="5">
        <f>'Fuel Price Data'!G143</f>
        <v>6.7003340179724175E-5</v>
      </c>
      <c r="H22" s="5">
        <f>'Fuel Price Data'!H143</f>
        <v>6.0450172657258369E-5</v>
      </c>
      <c r="I22" s="5">
        <f>'Fuel Price Data'!I143</f>
        <v>5.3897005134792564E-5</v>
      </c>
      <c r="J22" s="5">
        <f>'Fuel Price Data'!J143</f>
        <v>4.7343837612326765E-5</v>
      </c>
      <c r="K22" s="5">
        <f>'Fuel Price Data'!K143</f>
        <v>4.0790670089862688E-5</v>
      </c>
      <c r="L22" s="5">
        <f>'Fuel Price Data'!L143</f>
        <v>3.4237502567396882E-5</v>
      </c>
      <c r="M22" s="5">
        <f>'Fuel Price Data'!M143</f>
        <v>2.7684335044931077E-5</v>
      </c>
      <c r="N22" s="5">
        <f>'Fuel Price Data'!N143</f>
        <v>2.113116752246701E-5</v>
      </c>
      <c r="O22" s="5">
        <f>'Fuel Price Data'!O143</f>
        <v>1.4578000000001203E-5</v>
      </c>
      <c r="P22" s="5">
        <f>'Fuel Price Data'!P143</f>
        <v>1.4222799999999989E-5</v>
      </c>
      <c r="Q22" s="5">
        <f>'Fuel Price Data'!Q143</f>
        <v>1.3867599999999969E-5</v>
      </c>
      <c r="R22" s="5">
        <f>'Fuel Price Data'!R143</f>
        <v>1.3512399999999949E-5</v>
      </c>
      <c r="S22" s="5">
        <f>'Fuel Price Data'!S143</f>
        <v>1.3157199999999929E-5</v>
      </c>
      <c r="T22" s="5">
        <f>'Fuel Price Data'!T143</f>
        <v>1.2802000000000019E-5</v>
      </c>
      <c r="U22" s="5">
        <f>'Fuel Price Data'!U143</f>
        <v>1.2446799999999999E-5</v>
      </c>
      <c r="V22" s="5">
        <f>'Fuel Price Data'!V143</f>
        <v>1.2091599999999979E-5</v>
      </c>
      <c r="W22" s="5">
        <f>'Fuel Price Data'!W143</f>
        <v>1.1736399999999958E-5</v>
      </c>
      <c r="X22" s="5">
        <f>'Fuel Price Data'!X143</f>
        <v>1.1381199999999938E-5</v>
      </c>
      <c r="Y22" s="5">
        <f>'Fuel Price Data'!Y143</f>
        <v>1.1026000000000026E-5</v>
      </c>
      <c r="Z22" s="5">
        <f>'Fuel Price Data'!Z143</f>
        <v>1.0670800000000006E-5</v>
      </c>
      <c r="AA22" s="5">
        <f>'Fuel Price Data'!AA143</f>
        <v>1.0315599999999986E-5</v>
      </c>
      <c r="AB22" s="5">
        <f>'Fuel Price Data'!AB143</f>
        <v>9.9603999999999665E-6</v>
      </c>
      <c r="AC22" s="5">
        <f>'Fuel Price Data'!AC143</f>
        <v>9.6051999999999483E-6</v>
      </c>
      <c r="AD22" s="5">
        <f>'Fuel Price Data'!AD143</f>
        <v>9.2499999999999284E-6</v>
      </c>
      <c r="AE22" s="5">
        <f>'Fuel Price Data'!AE143</f>
        <v>8.8948000000000152E-6</v>
      </c>
      <c r="AF22" s="5"/>
      <c r="AG22" s="5"/>
    </row>
  </sheetData>
  <pageMargins left="0.7" right="0.7" top="0.75" bottom="0.75" header="0.3" footer="0.3"/>
  <pageSetup orientation="portrait" r:id="rId1"/>
  <ignoredErrors>
    <ignoredError sqref="B6:AE8 B15:AE16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9E6E03-4510-4FB1-903C-2EC6F88A4B94}"/>
</file>

<file path=customXml/itemProps2.xml><?xml version="1.0" encoding="utf-8"?>
<ds:datastoreItem xmlns:ds="http://schemas.openxmlformats.org/officeDocument/2006/customXml" ds:itemID="{1FC0F3E7-F800-44DE-9537-092ED6B5AB44}"/>
</file>

<file path=customXml/itemProps3.xml><?xml version="1.0" encoding="utf-8"?>
<ds:datastoreItem xmlns:ds="http://schemas.openxmlformats.org/officeDocument/2006/customXml" ds:itemID="{E91BE3C7-E884-4E3D-9E71-33BFDEFB5F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Crude</vt:lpstr>
      <vt:lpstr>India Petroleum Products</vt:lpstr>
      <vt:lpstr>IEA</vt:lpstr>
      <vt:lpstr>LNG</vt:lpstr>
      <vt:lpstr>Data - Other Petroleum Producs</vt:lpstr>
      <vt:lpstr>Pretax Fuel Prices</vt:lpstr>
      <vt:lpstr>Fuel Taxes</vt:lpstr>
      <vt:lpstr>BAU Fuel Use by Sector</vt:lpstr>
      <vt:lpstr>Fuel Price Data</vt:lpstr>
      <vt:lpstr>IMFPbFT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Shruti Dayal</cp:lastModifiedBy>
  <dcterms:created xsi:type="dcterms:W3CDTF">2019-05-15T20:03:57Z</dcterms:created>
  <dcterms:modified xsi:type="dcterms:W3CDTF">2024-03-07T12:30:35Z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